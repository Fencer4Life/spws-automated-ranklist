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Rankingi SPWS/Sezon 2024 - 2025/Szabla 2024-2025/"/>
    </mc:Choice>
  </mc:AlternateContent>
  <xr:revisionPtr revIDLastSave="1239" documentId="11_B3A69C960F5821989FD86571A643362AC660E643" xr6:coauthVersionLast="47" xr6:coauthVersionMax="47" xr10:uidLastSave="{0CEFC8F2-58D5-4511-9AF8-8D48E9003B77}"/>
  <bookViews>
    <workbookView xWindow="-5257" yWindow="-14780" windowWidth="34994" windowHeight="14169" tabRatio="714" xr2:uid="{00000000-000D-0000-FFFF-FFFF00000000}"/>
  </bookViews>
  <sheets>
    <sheet name="All" sheetId="2" r:id="rId1"/>
    <sheet name="MP (1)" sheetId="5" r:id="rId2"/>
    <sheet name="MP (2)" sheetId="12" r:id="rId3"/>
    <sheet name="PP1 (1)" sheetId="10" r:id="rId4"/>
    <sheet name="PP1 (2)" sheetId="16" r:id="rId5"/>
    <sheet name="PP2 (1)" sheetId="11" r:id="rId6"/>
    <sheet name="PP2 (2)" sheetId="18" r:id="rId7"/>
    <sheet name="PP3 (1)" sheetId="19" r:id="rId8"/>
    <sheet name="PP3 (2)" sheetId="20" r:id="rId9"/>
    <sheet name="PP4 (1)" sheetId="21" r:id="rId10"/>
    <sheet name="PP4 (2)" sheetId="22" r:id="rId11"/>
    <sheet name="PP5 (1)" sheetId="23" r:id="rId12"/>
    <sheet name="PP5(2)" sheetId="24" r:id="rId13"/>
  </sheets>
  <definedNames>
    <definedName name="_xlnm._FilterDatabase" localSheetId="0" hidden="1">All!$A$4:$AR$114</definedName>
    <definedName name="_xlnm._FilterDatabase" localSheetId="1" hidden="1">'MP (1)'!$A$5:$L$5</definedName>
    <definedName name="_xlnm._FilterDatabase" localSheetId="2" hidden="1">'MP (2)'!$A$5:$L$5</definedName>
    <definedName name="_xlnm._FilterDatabase" localSheetId="3" hidden="1">'PP1 (1)'!$A$5:$L$23</definedName>
    <definedName name="_xlnm._FilterDatabase" localSheetId="4" hidden="1">'PP1 (2)'!$A$5:$L$38</definedName>
    <definedName name="_xlnm._FilterDatabase" localSheetId="5" hidden="1">'PP2 (1)'!$A$5:$L$5</definedName>
    <definedName name="_xlnm._FilterDatabase" localSheetId="6" hidden="1">'PP2 (2)'!$A$5:$L$44</definedName>
    <definedName name="_xlnm._FilterDatabase" localSheetId="9" hidden="1">'PP4 (1)'!$A$5:$L$5</definedName>
    <definedName name="_xlnm._FilterDatabase" localSheetId="10" hidden="1">'PP4 (2)'!$A$5:$L$5</definedName>
    <definedName name="_xlnm._FilterDatabase" localSheetId="11" hidden="1">'PP5 (1)'!$A$5:$L$5</definedName>
    <definedName name="_xlnm._FilterDatabase" localSheetId="12" hidden="1">'PP5(2)'!$A$5:$L$5</definedName>
    <definedName name="ExternalData_1" localSheetId="7" hidden="1">'PP3 (1)'!$A$5:$K$40</definedName>
    <definedName name="ExternalData_1" localSheetId="8" hidden="1">'PP3 (2)'!$A$5:$K$39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2" i="2" l="1"/>
  <c r="AO82" i="2"/>
  <c r="AN82" i="2"/>
  <c r="AM82" i="2"/>
  <c r="AL82" i="2"/>
  <c r="AK82" i="2"/>
  <c r="AJ82" i="2"/>
  <c r="AI82" i="2"/>
  <c r="AD82" i="2" s="1"/>
  <c r="AH82" i="2"/>
  <c r="AG82" i="2"/>
  <c r="AF82" i="2"/>
  <c r="AE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 s="1"/>
  <c r="P82" i="2"/>
  <c r="O82" i="2"/>
  <c r="N82" i="2"/>
  <c r="M82" i="2"/>
  <c r="L82" i="2"/>
  <c r="K82" i="2"/>
  <c r="J82" i="2"/>
  <c r="I82" i="2"/>
  <c r="H82" i="2"/>
  <c r="G82" i="2"/>
  <c r="F82" i="2"/>
  <c r="E82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 s="1"/>
  <c r="AC81" i="2"/>
  <c r="AB81" i="2"/>
  <c r="AA81" i="2"/>
  <c r="Z81" i="2"/>
  <c r="Y81" i="2"/>
  <c r="X81" i="2"/>
  <c r="W81" i="2"/>
  <c r="V81" i="2"/>
  <c r="U81" i="2"/>
  <c r="T81" i="2"/>
  <c r="S81" i="2"/>
  <c r="R81" i="2"/>
  <c r="P81" i="2"/>
  <c r="O81" i="2"/>
  <c r="N81" i="2"/>
  <c r="M81" i="2"/>
  <c r="L81" i="2"/>
  <c r="K81" i="2"/>
  <c r="J81" i="2"/>
  <c r="I81" i="2"/>
  <c r="H81" i="2"/>
  <c r="G81" i="2"/>
  <c r="F81" i="2"/>
  <c r="E81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 s="1"/>
  <c r="P80" i="2"/>
  <c r="O80" i="2"/>
  <c r="N80" i="2"/>
  <c r="M80" i="2"/>
  <c r="L80" i="2"/>
  <c r="K80" i="2"/>
  <c r="J80" i="2"/>
  <c r="I80" i="2"/>
  <c r="H80" i="2"/>
  <c r="G80" i="2"/>
  <c r="F80" i="2"/>
  <c r="E80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 s="1"/>
  <c r="AC79" i="2"/>
  <c r="AB79" i="2"/>
  <c r="AA79" i="2"/>
  <c r="Z79" i="2"/>
  <c r="Y79" i="2"/>
  <c r="X79" i="2"/>
  <c r="W79" i="2"/>
  <c r="V79" i="2"/>
  <c r="U79" i="2"/>
  <c r="T79" i="2"/>
  <c r="S79" i="2"/>
  <c r="R79" i="2"/>
  <c r="P79" i="2"/>
  <c r="O79" i="2"/>
  <c r="N79" i="2"/>
  <c r="M79" i="2"/>
  <c r="L79" i="2"/>
  <c r="K79" i="2"/>
  <c r="J79" i="2"/>
  <c r="I79" i="2"/>
  <c r="H79" i="2"/>
  <c r="G79" i="2"/>
  <c r="F79" i="2"/>
  <c r="E79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 s="1"/>
  <c r="P78" i="2"/>
  <c r="O78" i="2"/>
  <c r="N78" i="2"/>
  <c r="M78" i="2"/>
  <c r="L78" i="2"/>
  <c r="K78" i="2"/>
  <c r="J78" i="2"/>
  <c r="I78" i="2"/>
  <c r="H78" i="2"/>
  <c r="G78" i="2"/>
  <c r="F78" i="2"/>
  <c r="E78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C77" i="2"/>
  <c r="AB77" i="2"/>
  <c r="AA77" i="2"/>
  <c r="Z77" i="2"/>
  <c r="Y77" i="2"/>
  <c r="X77" i="2"/>
  <c r="W77" i="2"/>
  <c r="V77" i="2"/>
  <c r="U77" i="2"/>
  <c r="T77" i="2"/>
  <c r="S77" i="2"/>
  <c r="R77" i="2"/>
  <c r="P77" i="2"/>
  <c r="O77" i="2"/>
  <c r="N77" i="2"/>
  <c r="M77" i="2"/>
  <c r="L77" i="2"/>
  <c r="K77" i="2"/>
  <c r="J77" i="2"/>
  <c r="I77" i="2"/>
  <c r="H77" i="2"/>
  <c r="G77" i="2"/>
  <c r="F77" i="2"/>
  <c r="E77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C76" i="2"/>
  <c r="AB76" i="2"/>
  <c r="AA76" i="2"/>
  <c r="Z76" i="2"/>
  <c r="Y76" i="2"/>
  <c r="X76" i="2"/>
  <c r="W76" i="2"/>
  <c r="V76" i="2"/>
  <c r="U76" i="2"/>
  <c r="T76" i="2"/>
  <c r="S76" i="2"/>
  <c r="R76" i="2"/>
  <c r="P76" i="2"/>
  <c r="O76" i="2"/>
  <c r="N76" i="2"/>
  <c r="M76" i="2"/>
  <c r="L76" i="2"/>
  <c r="K76" i="2"/>
  <c r="J76" i="2"/>
  <c r="I76" i="2"/>
  <c r="H76" i="2"/>
  <c r="G76" i="2"/>
  <c r="F76" i="2"/>
  <c r="E76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C75" i="2"/>
  <c r="AB75" i="2"/>
  <c r="AA75" i="2"/>
  <c r="Z75" i="2"/>
  <c r="Y75" i="2"/>
  <c r="X75" i="2"/>
  <c r="W75" i="2"/>
  <c r="V75" i="2"/>
  <c r="U75" i="2"/>
  <c r="T75" i="2"/>
  <c r="S75" i="2"/>
  <c r="R75" i="2"/>
  <c r="P75" i="2"/>
  <c r="O75" i="2"/>
  <c r="N75" i="2"/>
  <c r="M75" i="2"/>
  <c r="L75" i="2"/>
  <c r="K75" i="2"/>
  <c r="J75" i="2"/>
  <c r="I75" i="2"/>
  <c r="H75" i="2"/>
  <c r="G75" i="2"/>
  <c r="F75" i="2"/>
  <c r="E75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 s="1"/>
  <c r="P74" i="2"/>
  <c r="O74" i="2"/>
  <c r="N74" i="2"/>
  <c r="M74" i="2"/>
  <c r="L74" i="2"/>
  <c r="K74" i="2"/>
  <c r="J74" i="2"/>
  <c r="I74" i="2"/>
  <c r="H74" i="2"/>
  <c r="G74" i="2"/>
  <c r="F74" i="2"/>
  <c r="E74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C73" i="2"/>
  <c r="AB73" i="2"/>
  <c r="AA73" i="2"/>
  <c r="Z73" i="2"/>
  <c r="Y73" i="2"/>
  <c r="X73" i="2"/>
  <c r="W73" i="2"/>
  <c r="V73" i="2"/>
  <c r="U73" i="2"/>
  <c r="T73" i="2"/>
  <c r="S73" i="2"/>
  <c r="R73" i="2"/>
  <c r="P73" i="2"/>
  <c r="O73" i="2"/>
  <c r="N73" i="2"/>
  <c r="M73" i="2"/>
  <c r="L73" i="2"/>
  <c r="K73" i="2"/>
  <c r="J73" i="2"/>
  <c r="I73" i="2"/>
  <c r="H73" i="2"/>
  <c r="G73" i="2"/>
  <c r="F73" i="2"/>
  <c r="E73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C72" i="2"/>
  <c r="AB72" i="2"/>
  <c r="AA72" i="2"/>
  <c r="Z72" i="2"/>
  <c r="Y72" i="2"/>
  <c r="X72" i="2"/>
  <c r="W72" i="2"/>
  <c r="V72" i="2"/>
  <c r="U72" i="2"/>
  <c r="T72" i="2"/>
  <c r="S72" i="2"/>
  <c r="R72" i="2"/>
  <c r="P72" i="2"/>
  <c r="O72" i="2"/>
  <c r="N72" i="2"/>
  <c r="M72" i="2"/>
  <c r="L72" i="2"/>
  <c r="K72" i="2"/>
  <c r="J72" i="2"/>
  <c r="I72" i="2"/>
  <c r="H72" i="2"/>
  <c r="G72" i="2"/>
  <c r="F72" i="2"/>
  <c r="E72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 s="1"/>
  <c r="AC71" i="2"/>
  <c r="AB71" i="2"/>
  <c r="AA71" i="2"/>
  <c r="Z71" i="2"/>
  <c r="Y71" i="2"/>
  <c r="X71" i="2"/>
  <c r="W71" i="2"/>
  <c r="V71" i="2"/>
  <c r="U71" i="2"/>
  <c r="T71" i="2"/>
  <c r="S71" i="2"/>
  <c r="R71" i="2"/>
  <c r="P71" i="2"/>
  <c r="O71" i="2"/>
  <c r="N71" i="2"/>
  <c r="M71" i="2"/>
  <c r="L71" i="2"/>
  <c r="K71" i="2"/>
  <c r="J71" i="2"/>
  <c r="I71" i="2"/>
  <c r="H71" i="2"/>
  <c r="G71" i="2"/>
  <c r="F71" i="2"/>
  <c r="E71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 s="1"/>
  <c r="P70" i="2"/>
  <c r="O70" i="2"/>
  <c r="N70" i="2"/>
  <c r="M70" i="2"/>
  <c r="L70" i="2"/>
  <c r="K70" i="2"/>
  <c r="J70" i="2"/>
  <c r="I70" i="2"/>
  <c r="H70" i="2"/>
  <c r="G70" i="2"/>
  <c r="F70" i="2"/>
  <c r="E70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C69" i="2"/>
  <c r="AB69" i="2"/>
  <c r="AA69" i="2"/>
  <c r="Z69" i="2"/>
  <c r="Y69" i="2"/>
  <c r="X69" i="2"/>
  <c r="W69" i="2"/>
  <c r="V69" i="2"/>
  <c r="U69" i="2"/>
  <c r="T69" i="2"/>
  <c r="S69" i="2"/>
  <c r="R69" i="2"/>
  <c r="P69" i="2"/>
  <c r="O69" i="2"/>
  <c r="N69" i="2"/>
  <c r="M69" i="2"/>
  <c r="L69" i="2"/>
  <c r="K69" i="2"/>
  <c r="J69" i="2"/>
  <c r="I69" i="2"/>
  <c r="H69" i="2"/>
  <c r="G69" i="2"/>
  <c r="F69" i="2"/>
  <c r="E69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C68" i="2"/>
  <c r="AB68" i="2"/>
  <c r="AA68" i="2"/>
  <c r="Z68" i="2"/>
  <c r="Y68" i="2"/>
  <c r="X68" i="2"/>
  <c r="W68" i="2"/>
  <c r="V68" i="2"/>
  <c r="U68" i="2"/>
  <c r="T68" i="2"/>
  <c r="S68" i="2"/>
  <c r="R68" i="2"/>
  <c r="P68" i="2"/>
  <c r="O68" i="2"/>
  <c r="N68" i="2"/>
  <c r="M68" i="2"/>
  <c r="L68" i="2"/>
  <c r="K68" i="2"/>
  <c r="J68" i="2"/>
  <c r="I68" i="2"/>
  <c r="H68" i="2"/>
  <c r="G68" i="2"/>
  <c r="F68" i="2"/>
  <c r="E68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 s="1"/>
  <c r="AC67" i="2"/>
  <c r="AB67" i="2"/>
  <c r="AA67" i="2"/>
  <c r="Z67" i="2"/>
  <c r="Y67" i="2"/>
  <c r="X67" i="2"/>
  <c r="W67" i="2"/>
  <c r="V67" i="2"/>
  <c r="U67" i="2"/>
  <c r="T67" i="2"/>
  <c r="S67" i="2"/>
  <c r="R67" i="2"/>
  <c r="P67" i="2"/>
  <c r="O67" i="2"/>
  <c r="N67" i="2"/>
  <c r="M67" i="2"/>
  <c r="L67" i="2"/>
  <c r="K67" i="2"/>
  <c r="J67" i="2"/>
  <c r="I67" i="2"/>
  <c r="H67" i="2"/>
  <c r="G67" i="2"/>
  <c r="F67" i="2"/>
  <c r="E67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 s="1"/>
  <c r="P66" i="2"/>
  <c r="O66" i="2"/>
  <c r="N66" i="2"/>
  <c r="M66" i="2"/>
  <c r="L66" i="2"/>
  <c r="K66" i="2"/>
  <c r="J66" i="2"/>
  <c r="I66" i="2"/>
  <c r="H66" i="2"/>
  <c r="G66" i="2"/>
  <c r="F66" i="2"/>
  <c r="E66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C65" i="2"/>
  <c r="AB65" i="2"/>
  <c r="AA65" i="2"/>
  <c r="Z65" i="2"/>
  <c r="Y65" i="2"/>
  <c r="X65" i="2"/>
  <c r="W65" i="2"/>
  <c r="V65" i="2"/>
  <c r="U65" i="2"/>
  <c r="T65" i="2"/>
  <c r="S65" i="2"/>
  <c r="R65" i="2"/>
  <c r="P65" i="2"/>
  <c r="O65" i="2"/>
  <c r="N65" i="2"/>
  <c r="M65" i="2"/>
  <c r="L65" i="2"/>
  <c r="K65" i="2"/>
  <c r="J65" i="2"/>
  <c r="I65" i="2"/>
  <c r="H65" i="2"/>
  <c r="G65" i="2"/>
  <c r="F65" i="2"/>
  <c r="E65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C64" i="2"/>
  <c r="AB64" i="2"/>
  <c r="AA64" i="2"/>
  <c r="Z64" i="2"/>
  <c r="Y64" i="2"/>
  <c r="X64" i="2"/>
  <c r="W64" i="2"/>
  <c r="V64" i="2"/>
  <c r="U64" i="2"/>
  <c r="T64" i="2"/>
  <c r="S64" i="2"/>
  <c r="R64" i="2"/>
  <c r="P64" i="2"/>
  <c r="O64" i="2"/>
  <c r="N64" i="2"/>
  <c r="M64" i="2"/>
  <c r="L64" i="2"/>
  <c r="K64" i="2"/>
  <c r="J64" i="2"/>
  <c r="I64" i="2"/>
  <c r="H64" i="2"/>
  <c r="G64" i="2"/>
  <c r="F64" i="2"/>
  <c r="E64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C63" i="2"/>
  <c r="AB63" i="2"/>
  <c r="AA63" i="2"/>
  <c r="Z63" i="2"/>
  <c r="Y63" i="2"/>
  <c r="X63" i="2"/>
  <c r="W63" i="2"/>
  <c r="V63" i="2"/>
  <c r="U63" i="2"/>
  <c r="T63" i="2"/>
  <c r="S63" i="2"/>
  <c r="R63" i="2"/>
  <c r="P63" i="2"/>
  <c r="O63" i="2"/>
  <c r="N63" i="2"/>
  <c r="M63" i="2"/>
  <c r="L63" i="2"/>
  <c r="K63" i="2"/>
  <c r="J63" i="2"/>
  <c r="I63" i="2"/>
  <c r="H63" i="2"/>
  <c r="G63" i="2"/>
  <c r="F63" i="2"/>
  <c r="E63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 s="1"/>
  <c r="P62" i="2"/>
  <c r="O62" i="2"/>
  <c r="N62" i="2"/>
  <c r="M62" i="2"/>
  <c r="L62" i="2"/>
  <c r="K62" i="2"/>
  <c r="J62" i="2"/>
  <c r="I62" i="2"/>
  <c r="H62" i="2"/>
  <c r="G62" i="2"/>
  <c r="F62" i="2"/>
  <c r="E62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C61" i="2"/>
  <c r="AB61" i="2"/>
  <c r="AA61" i="2"/>
  <c r="Z61" i="2"/>
  <c r="Y61" i="2"/>
  <c r="X61" i="2"/>
  <c r="W61" i="2"/>
  <c r="V61" i="2"/>
  <c r="U61" i="2"/>
  <c r="T61" i="2"/>
  <c r="S61" i="2"/>
  <c r="R61" i="2"/>
  <c r="P61" i="2"/>
  <c r="O61" i="2"/>
  <c r="N61" i="2"/>
  <c r="M61" i="2"/>
  <c r="L61" i="2"/>
  <c r="K61" i="2"/>
  <c r="J61" i="2"/>
  <c r="I61" i="2"/>
  <c r="H61" i="2"/>
  <c r="G61" i="2"/>
  <c r="F61" i="2"/>
  <c r="E61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 s="1"/>
  <c r="P60" i="2"/>
  <c r="O60" i="2"/>
  <c r="N60" i="2"/>
  <c r="M60" i="2"/>
  <c r="L60" i="2"/>
  <c r="K60" i="2"/>
  <c r="J60" i="2"/>
  <c r="I60" i="2"/>
  <c r="H60" i="2"/>
  <c r="G60" i="2"/>
  <c r="F60" i="2"/>
  <c r="E60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C59" i="2"/>
  <c r="AB59" i="2"/>
  <c r="AA59" i="2"/>
  <c r="Z59" i="2"/>
  <c r="Y59" i="2"/>
  <c r="X59" i="2"/>
  <c r="W59" i="2"/>
  <c r="V59" i="2"/>
  <c r="U59" i="2"/>
  <c r="T59" i="2"/>
  <c r="S59" i="2"/>
  <c r="R59" i="2"/>
  <c r="P59" i="2"/>
  <c r="O59" i="2"/>
  <c r="N59" i="2"/>
  <c r="M59" i="2"/>
  <c r="L59" i="2"/>
  <c r="K59" i="2"/>
  <c r="J59" i="2"/>
  <c r="I59" i="2"/>
  <c r="H59" i="2"/>
  <c r="G59" i="2"/>
  <c r="F59" i="2"/>
  <c r="E59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C58" i="2"/>
  <c r="AB58" i="2"/>
  <c r="AA58" i="2"/>
  <c r="Z58" i="2"/>
  <c r="Y58" i="2"/>
  <c r="X58" i="2"/>
  <c r="W58" i="2"/>
  <c r="V58" i="2"/>
  <c r="U58" i="2"/>
  <c r="T58" i="2"/>
  <c r="S58" i="2"/>
  <c r="R58" i="2"/>
  <c r="P58" i="2"/>
  <c r="O58" i="2"/>
  <c r="N58" i="2"/>
  <c r="M58" i="2"/>
  <c r="L58" i="2"/>
  <c r="K58" i="2"/>
  <c r="J58" i="2"/>
  <c r="I58" i="2"/>
  <c r="H58" i="2"/>
  <c r="G58" i="2"/>
  <c r="F58" i="2"/>
  <c r="E58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C57" i="2"/>
  <c r="AB57" i="2"/>
  <c r="AA57" i="2"/>
  <c r="Z57" i="2"/>
  <c r="Y57" i="2"/>
  <c r="X57" i="2"/>
  <c r="W57" i="2"/>
  <c r="V57" i="2"/>
  <c r="U57" i="2"/>
  <c r="T57" i="2"/>
  <c r="S57" i="2"/>
  <c r="R57" i="2"/>
  <c r="P57" i="2"/>
  <c r="O57" i="2"/>
  <c r="N57" i="2"/>
  <c r="M57" i="2"/>
  <c r="L57" i="2"/>
  <c r="K57" i="2"/>
  <c r="J57" i="2"/>
  <c r="I57" i="2"/>
  <c r="H57" i="2"/>
  <c r="G57" i="2"/>
  <c r="F57" i="2"/>
  <c r="E57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C56" i="2"/>
  <c r="AB56" i="2"/>
  <c r="AA56" i="2"/>
  <c r="Z56" i="2"/>
  <c r="Y56" i="2"/>
  <c r="X56" i="2"/>
  <c r="W56" i="2"/>
  <c r="V56" i="2"/>
  <c r="U56" i="2"/>
  <c r="T56" i="2"/>
  <c r="S56" i="2"/>
  <c r="R56" i="2"/>
  <c r="P56" i="2"/>
  <c r="O56" i="2"/>
  <c r="N56" i="2"/>
  <c r="M56" i="2"/>
  <c r="L56" i="2"/>
  <c r="K56" i="2"/>
  <c r="J56" i="2"/>
  <c r="I56" i="2"/>
  <c r="H56" i="2"/>
  <c r="G56" i="2"/>
  <c r="F56" i="2"/>
  <c r="E56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C55" i="2"/>
  <c r="AB55" i="2"/>
  <c r="AA55" i="2"/>
  <c r="Z55" i="2"/>
  <c r="Y55" i="2"/>
  <c r="X55" i="2"/>
  <c r="W55" i="2"/>
  <c r="V55" i="2"/>
  <c r="U55" i="2"/>
  <c r="T55" i="2"/>
  <c r="S55" i="2"/>
  <c r="R55" i="2"/>
  <c r="P55" i="2"/>
  <c r="O55" i="2"/>
  <c r="N55" i="2"/>
  <c r="M55" i="2"/>
  <c r="L55" i="2"/>
  <c r="K55" i="2"/>
  <c r="J55" i="2"/>
  <c r="I55" i="2"/>
  <c r="H55" i="2"/>
  <c r="G55" i="2"/>
  <c r="F55" i="2"/>
  <c r="E55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C54" i="2"/>
  <c r="AB54" i="2"/>
  <c r="AA54" i="2"/>
  <c r="Z54" i="2"/>
  <c r="Y54" i="2"/>
  <c r="X54" i="2"/>
  <c r="W54" i="2"/>
  <c r="V54" i="2"/>
  <c r="U54" i="2"/>
  <c r="T54" i="2"/>
  <c r="S54" i="2"/>
  <c r="R54" i="2"/>
  <c r="P54" i="2"/>
  <c r="O54" i="2"/>
  <c r="N54" i="2"/>
  <c r="M54" i="2"/>
  <c r="L54" i="2"/>
  <c r="K54" i="2"/>
  <c r="J54" i="2"/>
  <c r="I54" i="2"/>
  <c r="H54" i="2"/>
  <c r="G54" i="2"/>
  <c r="F54" i="2"/>
  <c r="E54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C53" i="2"/>
  <c r="AB53" i="2"/>
  <c r="AA53" i="2"/>
  <c r="Z53" i="2"/>
  <c r="Y53" i="2"/>
  <c r="X53" i="2"/>
  <c r="W53" i="2"/>
  <c r="V53" i="2"/>
  <c r="U53" i="2"/>
  <c r="T53" i="2"/>
  <c r="S53" i="2"/>
  <c r="R53" i="2"/>
  <c r="P53" i="2"/>
  <c r="O53" i="2"/>
  <c r="N53" i="2"/>
  <c r="M53" i="2"/>
  <c r="L53" i="2"/>
  <c r="K53" i="2"/>
  <c r="J53" i="2"/>
  <c r="I53" i="2"/>
  <c r="H53" i="2"/>
  <c r="G53" i="2"/>
  <c r="F53" i="2"/>
  <c r="E53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C52" i="2"/>
  <c r="AB52" i="2"/>
  <c r="AA52" i="2"/>
  <c r="Z52" i="2"/>
  <c r="Y52" i="2"/>
  <c r="X52" i="2"/>
  <c r="W52" i="2"/>
  <c r="V52" i="2"/>
  <c r="U52" i="2"/>
  <c r="T52" i="2"/>
  <c r="S52" i="2"/>
  <c r="R52" i="2"/>
  <c r="P52" i="2"/>
  <c r="O52" i="2"/>
  <c r="N52" i="2"/>
  <c r="M52" i="2"/>
  <c r="L52" i="2"/>
  <c r="K52" i="2"/>
  <c r="J52" i="2"/>
  <c r="I52" i="2"/>
  <c r="H52" i="2"/>
  <c r="G52" i="2"/>
  <c r="F52" i="2"/>
  <c r="E52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C51" i="2"/>
  <c r="AB51" i="2"/>
  <c r="AA51" i="2"/>
  <c r="Z51" i="2"/>
  <c r="Y51" i="2"/>
  <c r="X51" i="2"/>
  <c r="W51" i="2"/>
  <c r="V51" i="2"/>
  <c r="U51" i="2"/>
  <c r="T51" i="2"/>
  <c r="S51" i="2"/>
  <c r="R51" i="2"/>
  <c r="P51" i="2"/>
  <c r="O51" i="2"/>
  <c r="N51" i="2"/>
  <c r="M51" i="2"/>
  <c r="L51" i="2"/>
  <c r="K51" i="2"/>
  <c r="J51" i="2"/>
  <c r="I51" i="2"/>
  <c r="H51" i="2"/>
  <c r="G51" i="2"/>
  <c r="F51" i="2"/>
  <c r="E51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C50" i="2"/>
  <c r="AB50" i="2"/>
  <c r="AA50" i="2"/>
  <c r="Z50" i="2"/>
  <c r="Y50" i="2"/>
  <c r="X50" i="2"/>
  <c r="W50" i="2"/>
  <c r="V50" i="2"/>
  <c r="U50" i="2"/>
  <c r="T50" i="2"/>
  <c r="S50" i="2"/>
  <c r="R50" i="2"/>
  <c r="P50" i="2"/>
  <c r="O50" i="2"/>
  <c r="N50" i="2"/>
  <c r="M50" i="2"/>
  <c r="L50" i="2"/>
  <c r="K50" i="2"/>
  <c r="J50" i="2"/>
  <c r="I50" i="2"/>
  <c r="H50" i="2"/>
  <c r="G50" i="2"/>
  <c r="F50" i="2"/>
  <c r="E50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C49" i="2"/>
  <c r="AB49" i="2"/>
  <c r="AA49" i="2"/>
  <c r="Z49" i="2"/>
  <c r="Y49" i="2"/>
  <c r="X49" i="2"/>
  <c r="W49" i="2"/>
  <c r="V49" i="2"/>
  <c r="U49" i="2"/>
  <c r="T49" i="2"/>
  <c r="S49" i="2"/>
  <c r="R49" i="2"/>
  <c r="P49" i="2"/>
  <c r="O49" i="2"/>
  <c r="N49" i="2"/>
  <c r="M49" i="2"/>
  <c r="L49" i="2"/>
  <c r="K49" i="2"/>
  <c r="J49" i="2"/>
  <c r="I49" i="2"/>
  <c r="H49" i="2"/>
  <c r="G49" i="2"/>
  <c r="F49" i="2"/>
  <c r="E49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C48" i="2"/>
  <c r="AB48" i="2"/>
  <c r="AA48" i="2"/>
  <c r="Z48" i="2"/>
  <c r="Y48" i="2"/>
  <c r="X48" i="2"/>
  <c r="W48" i="2"/>
  <c r="V48" i="2"/>
  <c r="U48" i="2"/>
  <c r="T48" i="2"/>
  <c r="S48" i="2"/>
  <c r="R48" i="2"/>
  <c r="P48" i="2"/>
  <c r="O48" i="2"/>
  <c r="N48" i="2"/>
  <c r="M48" i="2"/>
  <c r="L48" i="2"/>
  <c r="K48" i="2"/>
  <c r="J48" i="2"/>
  <c r="I48" i="2"/>
  <c r="H48" i="2"/>
  <c r="G48" i="2"/>
  <c r="F48" i="2"/>
  <c r="E48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C47" i="2"/>
  <c r="AB47" i="2"/>
  <c r="AA47" i="2"/>
  <c r="Z47" i="2"/>
  <c r="Y47" i="2"/>
  <c r="X47" i="2"/>
  <c r="W47" i="2"/>
  <c r="V47" i="2"/>
  <c r="U47" i="2"/>
  <c r="T47" i="2"/>
  <c r="S47" i="2"/>
  <c r="R47" i="2"/>
  <c r="P47" i="2"/>
  <c r="O47" i="2"/>
  <c r="N47" i="2"/>
  <c r="M47" i="2"/>
  <c r="L47" i="2"/>
  <c r="K47" i="2"/>
  <c r="J47" i="2"/>
  <c r="I47" i="2"/>
  <c r="H47" i="2"/>
  <c r="G47" i="2"/>
  <c r="F47" i="2"/>
  <c r="E47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C46" i="2"/>
  <c r="AB46" i="2"/>
  <c r="AA46" i="2"/>
  <c r="Z46" i="2"/>
  <c r="Y46" i="2"/>
  <c r="X46" i="2"/>
  <c r="W46" i="2"/>
  <c r="V46" i="2"/>
  <c r="U46" i="2"/>
  <c r="T46" i="2"/>
  <c r="S46" i="2"/>
  <c r="R46" i="2"/>
  <c r="P46" i="2"/>
  <c r="O46" i="2"/>
  <c r="N46" i="2"/>
  <c r="M46" i="2"/>
  <c r="L46" i="2"/>
  <c r="K46" i="2"/>
  <c r="J46" i="2"/>
  <c r="I46" i="2"/>
  <c r="H46" i="2"/>
  <c r="G46" i="2"/>
  <c r="F46" i="2"/>
  <c r="E46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C45" i="2"/>
  <c r="AB45" i="2"/>
  <c r="AA45" i="2"/>
  <c r="Z45" i="2"/>
  <c r="Y45" i="2"/>
  <c r="X45" i="2"/>
  <c r="W45" i="2"/>
  <c r="V45" i="2"/>
  <c r="U45" i="2"/>
  <c r="T45" i="2"/>
  <c r="S45" i="2"/>
  <c r="R45" i="2"/>
  <c r="P45" i="2"/>
  <c r="O45" i="2"/>
  <c r="N45" i="2"/>
  <c r="M45" i="2"/>
  <c r="L45" i="2"/>
  <c r="K45" i="2"/>
  <c r="J45" i="2"/>
  <c r="I45" i="2"/>
  <c r="H45" i="2"/>
  <c r="G45" i="2"/>
  <c r="F45" i="2"/>
  <c r="E45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C44" i="2"/>
  <c r="AB44" i="2"/>
  <c r="AA44" i="2"/>
  <c r="Z44" i="2"/>
  <c r="Y44" i="2"/>
  <c r="X44" i="2"/>
  <c r="W44" i="2"/>
  <c r="V44" i="2"/>
  <c r="U44" i="2"/>
  <c r="T44" i="2"/>
  <c r="S44" i="2"/>
  <c r="R44" i="2"/>
  <c r="P44" i="2"/>
  <c r="O44" i="2"/>
  <c r="N44" i="2"/>
  <c r="M44" i="2"/>
  <c r="L44" i="2"/>
  <c r="K44" i="2"/>
  <c r="J44" i="2"/>
  <c r="I44" i="2"/>
  <c r="H44" i="2"/>
  <c r="G44" i="2"/>
  <c r="F44" i="2"/>
  <c r="E44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C43" i="2"/>
  <c r="AB43" i="2"/>
  <c r="AA43" i="2"/>
  <c r="Z43" i="2"/>
  <c r="Y43" i="2"/>
  <c r="X43" i="2"/>
  <c r="W43" i="2"/>
  <c r="V43" i="2"/>
  <c r="U43" i="2"/>
  <c r="T43" i="2"/>
  <c r="S43" i="2"/>
  <c r="R43" i="2"/>
  <c r="P43" i="2"/>
  <c r="O43" i="2"/>
  <c r="N43" i="2"/>
  <c r="M43" i="2"/>
  <c r="L43" i="2"/>
  <c r="K43" i="2"/>
  <c r="J43" i="2"/>
  <c r="I43" i="2"/>
  <c r="H43" i="2"/>
  <c r="G43" i="2"/>
  <c r="F43" i="2"/>
  <c r="E43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C42" i="2"/>
  <c r="AB42" i="2"/>
  <c r="AA42" i="2"/>
  <c r="Z42" i="2"/>
  <c r="Y42" i="2"/>
  <c r="X42" i="2"/>
  <c r="W42" i="2"/>
  <c r="V42" i="2"/>
  <c r="U42" i="2"/>
  <c r="T42" i="2"/>
  <c r="S42" i="2"/>
  <c r="R42" i="2"/>
  <c r="P42" i="2"/>
  <c r="O42" i="2"/>
  <c r="N42" i="2"/>
  <c r="M42" i="2"/>
  <c r="L42" i="2"/>
  <c r="K42" i="2"/>
  <c r="J42" i="2"/>
  <c r="I42" i="2"/>
  <c r="H42" i="2"/>
  <c r="G42" i="2"/>
  <c r="F42" i="2"/>
  <c r="E42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C41" i="2"/>
  <c r="AB41" i="2"/>
  <c r="AA41" i="2"/>
  <c r="Z41" i="2"/>
  <c r="Y41" i="2"/>
  <c r="X41" i="2"/>
  <c r="W41" i="2"/>
  <c r="V41" i="2"/>
  <c r="U41" i="2"/>
  <c r="T41" i="2"/>
  <c r="S41" i="2"/>
  <c r="R41" i="2"/>
  <c r="P41" i="2"/>
  <c r="O41" i="2"/>
  <c r="N41" i="2"/>
  <c r="M41" i="2"/>
  <c r="L41" i="2"/>
  <c r="K41" i="2"/>
  <c r="J41" i="2"/>
  <c r="I41" i="2"/>
  <c r="H41" i="2"/>
  <c r="G41" i="2"/>
  <c r="F41" i="2"/>
  <c r="E41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C40" i="2"/>
  <c r="AB40" i="2"/>
  <c r="AA40" i="2"/>
  <c r="Z40" i="2"/>
  <c r="Y40" i="2"/>
  <c r="X40" i="2"/>
  <c r="W40" i="2"/>
  <c r="V40" i="2"/>
  <c r="U40" i="2"/>
  <c r="T40" i="2"/>
  <c r="S40" i="2"/>
  <c r="R40" i="2"/>
  <c r="P40" i="2"/>
  <c r="O40" i="2"/>
  <c r="N40" i="2"/>
  <c r="M40" i="2"/>
  <c r="L40" i="2"/>
  <c r="K40" i="2"/>
  <c r="J40" i="2"/>
  <c r="I40" i="2"/>
  <c r="H40" i="2"/>
  <c r="G40" i="2"/>
  <c r="F40" i="2"/>
  <c r="E40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C39" i="2"/>
  <c r="AB39" i="2"/>
  <c r="AA39" i="2"/>
  <c r="Z39" i="2"/>
  <c r="Y39" i="2"/>
  <c r="X39" i="2"/>
  <c r="W39" i="2"/>
  <c r="V39" i="2"/>
  <c r="U39" i="2"/>
  <c r="T39" i="2"/>
  <c r="S39" i="2"/>
  <c r="R39" i="2"/>
  <c r="P39" i="2"/>
  <c r="O39" i="2"/>
  <c r="N39" i="2"/>
  <c r="M39" i="2"/>
  <c r="L39" i="2"/>
  <c r="K39" i="2"/>
  <c r="J39" i="2"/>
  <c r="I39" i="2"/>
  <c r="H39" i="2"/>
  <c r="G39" i="2"/>
  <c r="F39" i="2"/>
  <c r="E39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C38" i="2"/>
  <c r="AB38" i="2"/>
  <c r="AA38" i="2"/>
  <c r="Z38" i="2"/>
  <c r="Y38" i="2"/>
  <c r="X38" i="2"/>
  <c r="W38" i="2"/>
  <c r="V38" i="2"/>
  <c r="U38" i="2"/>
  <c r="T38" i="2"/>
  <c r="S38" i="2"/>
  <c r="R38" i="2"/>
  <c r="P38" i="2"/>
  <c r="O38" i="2"/>
  <c r="N38" i="2"/>
  <c r="M38" i="2"/>
  <c r="L38" i="2"/>
  <c r="K38" i="2"/>
  <c r="J38" i="2"/>
  <c r="I38" i="2"/>
  <c r="H38" i="2"/>
  <c r="G38" i="2"/>
  <c r="F38" i="2"/>
  <c r="E38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C37" i="2"/>
  <c r="AB37" i="2"/>
  <c r="AA37" i="2"/>
  <c r="Z37" i="2"/>
  <c r="Y37" i="2"/>
  <c r="X37" i="2"/>
  <c r="W37" i="2"/>
  <c r="V37" i="2"/>
  <c r="U37" i="2"/>
  <c r="T37" i="2"/>
  <c r="S37" i="2"/>
  <c r="R37" i="2"/>
  <c r="P37" i="2"/>
  <c r="O37" i="2"/>
  <c r="N37" i="2"/>
  <c r="M37" i="2"/>
  <c r="L37" i="2"/>
  <c r="K37" i="2"/>
  <c r="J37" i="2"/>
  <c r="I37" i="2"/>
  <c r="H37" i="2"/>
  <c r="G37" i="2"/>
  <c r="F37" i="2"/>
  <c r="E37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C36" i="2"/>
  <c r="AB36" i="2"/>
  <c r="AA36" i="2"/>
  <c r="Z36" i="2"/>
  <c r="Y36" i="2"/>
  <c r="X36" i="2"/>
  <c r="W36" i="2"/>
  <c r="V36" i="2"/>
  <c r="U36" i="2"/>
  <c r="T36" i="2"/>
  <c r="S36" i="2"/>
  <c r="R36" i="2"/>
  <c r="P36" i="2"/>
  <c r="O36" i="2"/>
  <c r="N36" i="2"/>
  <c r="M36" i="2"/>
  <c r="L36" i="2"/>
  <c r="K36" i="2"/>
  <c r="J36" i="2"/>
  <c r="I36" i="2"/>
  <c r="H36" i="2"/>
  <c r="G36" i="2"/>
  <c r="F36" i="2"/>
  <c r="E36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C35" i="2"/>
  <c r="AB35" i="2"/>
  <c r="AA35" i="2"/>
  <c r="Z35" i="2"/>
  <c r="Y35" i="2"/>
  <c r="X35" i="2"/>
  <c r="W35" i="2"/>
  <c r="V35" i="2"/>
  <c r="U35" i="2"/>
  <c r="T35" i="2"/>
  <c r="S35" i="2"/>
  <c r="R35" i="2"/>
  <c r="P35" i="2"/>
  <c r="O35" i="2"/>
  <c r="N35" i="2"/>
  <c r="M35" i="2"/>
  <c r="L35" i="2"/>
  <c r="K35" i="2"/>
  <c r="J35" i="2"/>
  <c r="I35" i="2"/>
  <c r="H35" i="2"/>
  <c r="G35" i="2"/>
  <c r="F35" i="2"/>
  <c r="E35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C34" i="2"/>
  <c r="AB34" i="2"/>
  <c r="AA34" i="2"/>
  <c r="Z34" i="2"/>
  <c r="Y34" i="2"/>
  <c r="X34" i="2"/>
  <c r="W34" i="2"/>
  <c r="V34" i="2"/>
  <c r="U34" i="2"/>
  <c r="T34" i="2"/>
  <c r="S34" i="2"/>
  <c r="R34" i="2"/>
  <c r="P34" i="2"/>
  <c r="O34" i="2"/>
  <c r="N34" i="2"/>
  <c r="M34" i="2"/>
  <c r="L34" i="2"/>
  <c r="K34" i="2"/>
  <c r="J34" i="2"/>
  <c r="I34" i="2"/>
  <c r="H34" i="2"/>
  <c r="G34" i="2"/>
  <c r="F34" i="2"/>
  <c r="E34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C33" i="2"/>
  <c r="AB33" i="2"/>
  <c r="AA33" i="2"/>
  <c r="Z33" i="2"/>
  <c r="Y33" i="2"/>
  <c r="X33" i="2"/>
  <c r="W33" i="2"/>
  <c r="V33" i="2"/>
  <c r="U33" i="2"/>
  <c r="T33" i="2"/>
  <c r="S33" i="2"/>
  <c r="R33" i="2"/>
  <c r="P33" i="2"/>
  <c r="O33" i="2"/>
  <c r="N33" i="2"/>
  <c r="M33" i="2"/>
  <c r="L33" i="2"/>
  <c r="K33" i="2"/>
  <c r="J33" i="2"/>
  <c r="I33" i="2"/>
  <c r="H33" i="2"/>
  <c r="G33" i="2"/>
  <c r="F33" i="2"/>
  <c r="E33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C32" i="2"/>
  <c r="AB32" i="2"/>
  <c r="AA32" i="2"/>
  <c r="Z32" i="2"/>
  <c r="Y32" i="2"/>
  <c r="X32" i="2"/>
  <c r="W32" i="2"/>
  <c r="V32" i="2"/>
  <c r="U32" i="2"/>
  <c r="T32" i="2"/>
  <c r="S32" i="2"/>
  <c r="R32" i="2"/>
  <c r="P32" i="2"/>
  <c r="O32" i="2"/>
  <c r="N32" i="2"/>
  <c r="M32" i="2"/>
  <c r="L32" i="2"/>
  <c r="K32" i="2"/>
  <c r="J32" i="2"/>
  <c r="I32" i="2"/>
  <c r="H32" i="2"/>
  <c r="G32" i="2"/>
  <c r="F32" i="2"/>
  <c r="E32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C31" i="2"/>
  <c r="AB31" i="2"/>
  <c r="AA31" i="2"/>
  <c r="Z31" i="2"/>
  <c r="Y31" i="2"/>
  <c r="X31" i="2"/>
  <c r="W31" i="2"/>
  <c r="V31" i="2"/>
  <c r="U31" i="2"/>
  <c r="T31" i="2"/>
  <c r="S31" i="2"/>
  <c r="R31" i="2"/>
  <c r="P31" i="2"/>
  <c r="O31" i="2"/>
  <c r="N31" i="2"/>
  <c r="M31" i="2"/>
  <c r="L31" i="2"/>
  <c r="K31" i="2"/>
  <c r="J31" i="2"/>
  <c r="I31" i="2"/>
  <c r="H31" i="2"/>
  <c r="G31" i="2"/>
  <c r="F31" i="2"/>
  <c r="E31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C30" i="2"/>
  <c r="AB30" i="2"/>
  <c r="AA30" i="2"/>
  <c r="Z30" i="2"/>
  <c r="Y30" i="2"/>
  <c r="X30" i="2"/>
  <c r="W30" i="2"/>
  <c r="V30" i="2"/>
  <c r="U30" i="2"/>
  <c r="T30" i="2"/>
  <c r="S30" i="2"/>
  <c r="R30" i="2"/>
  <c r="P30" i="2"/>
  <c r="O30" i="2"/>
  <c r="N30" i="2"/>
  <c r="M30" i="2"/>
  <c r="L30" i="2"/>
  <c r="K30" i="2"/>
  <c r="J30" i="2"/>
  <c r="I30" i="2"/>
  <c r="H30" i="2"/>
  <c r="G30" i="2"/>
  <c r="F30" i="2"/>
  <c r="E30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C29" i="2"/>
  <c r="AB29" i="2"/>
  <c r="AA29" i="2"/>
  <c r="Z29" i="2"/>
  <c r="Y29" i="2"/>
  <c r="X29" i="2"/>
  <c r="W29" i="2"/>
  <c r="V29" i="2"/>
  <c r="U29" i="2"/>
  <c r="T29" i="2"/>
  <c r="S29" i="2"/>
  <c r="R29" i="2"/>
  <c r="P29" i="2"/>
  <c r="O29" i="2"/>
  <c r="N29" i="2"/>
  <c r="M29" i="2"/>
  <c r="L29" i="2"/>
  <c r="K29" i="2"/>
  <c r="J29" i="2"/>
  <c r="I29" i="2"/>
  <c r="H29" i="2"/>
  <c r="G29" i="2"/>
  <c r="F29" i="2"/>
  <c r="E29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C28" i="2"/>
  <c r="AB28" i="2"/>
  <c r="AA28" i="2"/>
  <c r="Z28" i="2"/>
  <c r="Y28" i="2"/>
  <c r="X28" i="2"/>
  <c r="W28" i="2"/>
  <c r="V28" i="2"/>
  <c r="U28" i="2"/>
  <c r="T28" i="2"/>
  <c r="S28" i="2"/>
  <c r="R28" i="2"/>
  <c r="P28" i="2"/>
  <c r="O28" i="2"/>
  <c r="N28" i="2"/>
  <c r="M28" i="2"/>
  <c r="L28" i="2"/>
  <c r="K28" i="2"/>
  <c r="J28" i="2"/>
  <c r="I28" i="2"/>
  <c r="H28" i="2"/>
  <c r="G28" i="2"/>
  <c r="F28" i="2"/>
  <c r="E28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C27" i="2"/>
  <c r="AB27" i="2"/>
  <c r="AA27" i="2"/>
  <c r="Z27" i="2"/>
  <c r="Y27" i="2"/>
  <c r="X27" i="2"/>
  <c r="W27" i="2"/>
  <c r="V27" i="2"/>
  <c r="U27" i="2"/>
  <c r="T27" i="2"/>
  <c r="S27" i="2"/>
  <c r="R27" i="2"/>
  <c r="P27" i="2"/>
  <c r="O27" i="2"/>
  <c r="N27" i="2"/>
  <c r="M27" i="2"/>
  <c r="L27" i="2"/>
  <c r="K27" i="2"/>
  <c r="J27" i="2"/>
  <c r="I27" i="2"/>
  <c r="H27" i="2"/>
  <c r="G27" i="2"/>
  <c r="F27" i="2"/>
  <c r="E27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C26" i="2"/>
  <c r="AB26" i="2"/>
  <c r="AA26" i="2"/>
  <c r="Z26" i="2"/>
  <c r="Y26" i="2"/>
  <c r="X26" i="2"/>
  <c r="W26" i="2"/>
  <c r="V26" i="2"/>
  <c r="U26" i="2"/>
  <c r="T26" i="2"/>
  <c r="S26" i="2"/>
  <c r="R26" i="2"/>
  <c r="P26" i="2"/>
  <c r="O26" i="2"/>
  <c r="N26" i="2"/>
  <c r="M26" i="2"/>
  <c r="L26" i="2"/>
  <c r="K26" i="2"/>
  <c r="J26" i="2"/>
  <c r="I26" i="2"/>
  <c r="H26" i="2"/>
  <c r="G26" i="2"/>
  <c r="F26" i="2"/>
  <c r="E26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C25" i="2"/>
  <c r="AB25" i="2"/>
  <c r="AA25" i="2"/>
  <c r="Z25" i="2"/>
  <c r="Y25" i="2"/>
  <c r="X25" i="2"/>
  <c r="W25" i="2"/>
  <c r="V25" i="2"/>
  <c r="U25" i="2"/>
  <c r="T25" i="2"/>
  <c r="S25" i="2"/>
  <c r="R25" i="2"/>
  <c r="P25" i="2"/>
  <c r="O25" i="2"/>
  <c r="N25" i="2"/>
  <c r="M25" i="2"/>
  <c r="L25" i="2"/>
  <c r="K25" i="2"/>
  <c r="J25" i="2"/>
  <c r="I25" i="2"/>
  <c r="H25" i="2"/>
  <c r="G25" i="2"/>
  <c r="F25" i="2"/>
  <c r="E25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C24" i="2"/>
  <c r="AB24" i="2"/>
  <c r="AA24" i="2"/>
  <c r="Z24" i="2"/>
  <c r="Y24" i="2"/>
  <c r="X24" i="2"/>
  <c r="W24" i="2"/>
  <c r="V24" i="2"/>
  <c r="U24" i="2"/>
  <c r="T24" i="2"/>
  <c r="S24" i="2"/>
  <c r="R24" i="2"/>
  <c r="P24" i="2"/>
  <c r="O24" i="2"/>
  <c r="N24" i="2"/>
  <c r="M24" i="2"/>
  <c r="L24" i="2"/>
  <c r="K24" i="2"/>
  <c r="J24" i="2"/>
  <c r="I24" i="2"/>
  <c r="H24" i="2"/>
  <c r="G24" i="2"/>
  <c r="F24" i="2"/>
  <c r="E24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C23" i="2"/>
  <c r="AB23" i="2"/>
  <c r="AA23" i="2"/>
  <c r="Z23" i="2"/>
  <c r="Y23" i="2"/>
  <c r="X23" i="2"/>
  <c r="W23" i="2"/>
  <c r="V23" i="2"/>
  <c r="U23" i="2"/>
  <c r="T23" i="2"/>
  <c r="S23" i="2"/>
  <c r="R23" i="2"/>
  <c r="P23" i="2"/>
  <c r="O23" i="2"/>
  <c r="N23" i="2"/>
  <c r="M23" i="2"/>
  <c r="L23" i="2"/>
  <c r="K23" i="2"/>
  <c r="J23" i="2"/>
  <c r="I23" i="2"/>
  <c r="H23" i="2"/>
  <c r="G23" i="2"/>
  <c r="F23" i="2"/>
  <c r="E23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C22" i="2"/>
  <c r="AB22" i="2"/>
  <c r="AA22" i="2"/>
  <c r="Z22" i="2"/>
  <c r="Y22" i="2"/>
  <c r="X22" i="2"/>
  <c r="W22" i="2"/>
  <c r="V22" i="2"/>
  <c r="U22" i="2"/>
  <c r="T22" i="2"/>
  <c r="S22" i="2"/>
  <c r="R22" i="2"/>
  <c r="P22" i="2"/>
  <c r="O22" i="2"/>
  <c r="N22" i="2"/>
  <c r="M22" i="2"/>
  <c r="L22" i="2"/>
  <c r="K22" i="2"/>
  <c r="J22" i="2"/>
  <c r="I22" i="2"/>
  <c r="H22" i="2"/>
  <c r="G22" i="2"/>
  <c r="F22" i="2"/>
  <c r="E22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C21" i="2"/>
  <c r="AB21" i="2"/>
  <c r="AA21" i="2"/>
  <c r="Z21" i="2"/>
  <c r="Y21" i="2"/>
  <c r="X21" i="2"/>
  <c r="W21" i="2"/>
  <c r="V21" i="2"/>
  <c r="U21" i="2"/>
  <c r="T21" i="2"/>
  <c r="S21" i="2"/>
  <c r="R21" i="2"/>
  <c r="P21" i="2"/>
  <c r="O21" i="2"/>
  <c r="N21" i="2"/>
  <c r="M21" i="2"/>
  <c r="L21" i="2"/>
  <c r="K21" i="2"/>
  <c r="J21" i="2"/>
  <c r="I21" i="2"/>
  <c r="H21" i="2"/>
  <c r="G21" i="2"/>
  <c r="F21" i="2"/>
  <c r="E21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C20" i="2"/>
  <c r="AB20" i="2"/>
  <c r="AA20" i="2"/>
  <c r="Z20" i="2"/>
  <c r="Y20" i="2"/>
  <c r="X20" i="2"/>
  <c r="W20" i="2"/>
  <c r="V20" i="2"/>
  <c r="U20" i="2"/>
  <c r="T20" i="2"/>
  <c r="S20" i="2"/>
  <c r="R20" i="2"/>
  <c r="P20" i="2"/>
  <c r="O20" i="2"/>
  <c r="N20" i="2"/>
  <c r="M20" i="2"/>
  <c r="L20" i="2"/>
  <c r="K20" i="2"/>
  <c r="J20" i="2"/>
  <c r="I20" i="2"/>
  <c r="H20" i="2"/>
  <c r="G20" i="2"/>
  <c r="F20" i="2"/>
  <c r="E20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C19" i="2"/>
  <c r="AB19" i="2"/>
  <c r="AA19" i="2"/>
  <c r="Z19" i="2"/>
  <c r="Y19" i="2"/>
  <c r="X19" i="2"/>
  <c r="W19" i="2"/>
  <c r="V19" i="2"/>
  <c r="U19" i="2"/>
  <c r="T19" i="2"/>
  <c r="S19" i="2"/>
  <c r="R19" i="2"/>
  <c r="P19" i="2"/>
  <c r="O19" i="2"/>
  <c r="N19" i="2"/>
  <c r="M19" i="2"/>
  <c r="L19" i="2"/>
  <c r="K19" i="2"/>
  <c r="J19" i="2"/>
  <c r="I19" i="2"/>
  <c r="H19" i="2"/>
  <c r="G19" i="2"/>
  <c r="F19" i="2"/>
  <c r="E19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C18" i="2"/>
  <c r="AB18" i="2"/>
  <c r="AA18" i="2"/>
  <c r="Z18" i="2"/>
  <c r="Y18" i="2"/>
  <c r="X18" i="2"/>
  <c r="W18" i="2"/>
  <c r="V18" i="2"/>
  <c r="U18" i="2"/>
  <c r="T18" i="2"/>
  <c r="S18" i="2"/>
  <c r="R18" i="2"/>
  <c r="P18" i="2"/>
  <c r="O18" i="2"/>
  <c r="N18" i="2"/>
  <c r="M18" i="2"/>
  <c r="L18" i="2"/>
  <c r="K18" i="2"/>
  <c r="J18" i="2"/>
  <c r="I18" i="2"/>
  <c r="H18" i="2"/>
  <c r="G18" i="2"/>
  <c r="F18" i="2"/>
  <c r="E18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C17" i="2"/>
  <c r="AB17" i="2"/>
  <c r="AA17" i="2"/>
  <c r="Z17" i="2"/>
  <c r="Y17" i="2"/>
  <c r="X17" i="2"/>
  <c r="W17" i="2"/>
  <c r="V17" i="2"/>
  <c r="U17" i="2"/>
  <c r="T17" i="2"/>
  <c r="S17" i="2"/>
  <c r="R17" i="2"/>
  <c r="P17" i="2"/>
  <c r="O17" i="2"/>
  <c r="N17" i="2"/>
  <c r="M17" i="2"/>
  <c r="L17" i="2"/>
  <c r="K17" i="2"/>
  <c r="J17" i="2"/>
  <c r="I17" i="2"/>
  <c r="H17" i="2"/>
  <c r="G17" i="2"/>
  <c r="F17" i="2"/>
  <c r="E17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C16" i="2"/>
  <c r="AB16" i="2"/>
  <c r="AA16" i="2"/>
  <c r="Z16" i="2"/>
  <c r="Y16" i="2"/>
  <c r="X16" i="2"/>
  <c r="W16" i="2"/>
  <c r="V16" i="2"/>
  <c r="U16" i="2"/>
  <c r="T16" i="2"/>
  <c r="S16" i="2"/>
  <c r="R16" i="2"/>
  <c r="P16" i="2"/>
  <c r="O16" i="2"/>
  <c r="N16" i="2"/>
  <c r="M16" i="2"/>
  <c r="L16" i="2"/>
  <c r="K16" i="2"/>
  <c r="J16" i="2"/>
  <c r="I16" i="2"/>
  <c r="H16" i="2"/>
  <c r="G16" i="2"/>
  <c r="F16" i="2"/>
  <c r="E16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C15" i="2"/>
  <c r="AB15" i="2"/>
  <c r="AA15" i="2"/>
  <c r="Z15" i="2"/>
  <c r="Y15" i="2"/>
  <c r="X15" i="2"/>
  <c r="W15" i="2"/>
  <c r="V15" i="2"/>
  <c r="U15" i="2"/>
  <c r="T15" i="2"/>
  <c r="S15" i="2"/>
  <c r="R15" i="2"/>
  <c r="P15" i="2"/>
  <c r="O15" i="2"/>
  <c r="N15" i="2"/>
  <c r="M15" i="2"/>
  <c r="L15" i="2"/>
  <c r="K15" i="2"/>
  <c r="J15" i="2"/>
  <c r="I15" i="2"/>
  <c r="H15" i="2"/>
  <c r="G15" i="2"/>
  <c r="F15" i="2"/>
  <c r="E15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C14" i="2"/>
  <c r="AB14" i="2"/>
  <c r="AA14" i="2"/>
  <c r="Z14" i="2"/>
  <c r="Y14" i="2"/>
  <c r="X14" i="2"/>
  <c r="W14" i="2"/>
  <c r="V14" i="2"/>
  <c r="U14" i="2"/>
  <c r="T14" i="2"/>
  <c r="S14" i="2"/>
  <c r="R14" i="2"/>
  <c r="P14" i="2"/>
  <c r="O14" i="2"/>
  <c r="N14" i="2"/>
  <c r="M14" i="2"/>
  <c r="L14" i="2"/>
  <c r="K14" i="2"/>
  <c r="J14" i="2"/>
  <c r="I14" i="2"/>
  <c r="H14" i="2"/>
  <c r="G14" i="2"/>
  <c r="F14" i="2"/>
  <c r="E14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C13" i="2"/>
  <c r="AB13" i="2"/>
  <c r="AA13" i="2"/>
  <c r="Z13" i="2"/>
  <c r="Y13" i="2"/>
  <c r="X13" i="2"/>
  <c r="W13" i="2"/>
  <c r="V13" i="2"/>
  <c r="U13" i="2"/>
  <c r="T13" i="2"/>
  <c r="S13" i="2"/>
  <c r="R13" i="2"/>
  <c r="P13" i="2"/>
  <c r="O13" i="2"/>
  <c r="N13" i="2"/>
  <c r="M13" i="2"/>
  <c r="L13" i="2"/>
  <c r="K13" i="2"/>
  <c r="J13" i="2"/>
  <c r="I13" i="2"/>
  <c r="H13" i="2"/>
  <c r="G13" i="2"/>
  <c r="F13" i="2"/>
  <c r="E13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C12" i="2"/>
  <c r="AB12" i="2"/>
  <c r="AA12" i="2"/>
  <c r="Z12" i="2"/>
  <c r="Y12" i="2"/>
  <c r="X12" i="2"/>
  <c r="W12" i="2"/>
  <c r="V12" i="2"/>
  <c r="U12" i="2"/>
  <c r="T12" i="2"/>
  <c r="S12" i="2"/>
  <c r="R12" i="2"/>
  <c r="P12" i="2"/>
  <c r="O12" i="2"/>
  <c r="N12" i="2"/>
  <c r="M12" i="2"/>
  <c r="L12" i="2"/>
  <c r="K12" i="2"/>
  <c r="J12" i="2"/>
  <c r="I12" i="2"/>
  <c r="H12" i="2"/>
  <c r="G12" i="2"/>
  <c r="F12" i="2"/>
  <c r="E12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C11" i="2"/>
  <c r="AB11" i="2"/>
  <c r="AA11" i="2"/>
  <c r="Z11" i="2"/>
  <c r="Y11" i="2"/>
  <c r="X11" i="2"/>
  <c r="W11" i="2"/>
  <c r="V11" i="2"/>
  <c r="U11" i="2"/>
  <c r="T11" i="2"/>
  <c r="S11" i="2"/>
  <c r="R11" i="2"/>
  <c r="P11" i="2"/>
  <c r="O11" i="2"/>
  <c r="N11" i="2"/>
  <c r="M11" i="2"/>
  <c r="L11" i="2"/>
  <c r="K11" i="2"/>
  <c r="J11" i="2"/>
  <c r="I11" i="2"/>
  <c r="H11" i="2"/>
  <c r="G11" i="2"/>
  <c r="F11" i="2"/>
  <c r="E11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 s="1"/>
  <c r="P10" i="2"/>
  <c r="O10" i="2"/>
  <c r="N10" i="2"/>
  <c r="M10" i="2"/>
  <c r="L10" i="2"/>
  <c r="K10" i="2"/>
  <c r="J10" i="2"/>
  <c r="I10" i="2"/>
  <c r="H10" i="2"/>
  <c r="G10" i="2"/>
  <c r="F10" i="2"/>
  <c r="E10" i="2"/>
  <c r="AP9" i="2"/>
  <c r="AO9" i="2"/>
  <c r="AN9" i="2"/>
  <c r="AM9" i="2"/>
  <c r="AL9" i="2"/>
  <c r="AK9" i="2"/>
  <c r="AJ9" i="2"/>
  <c r="AI9" i="2"/>
  <c r="AH9" i="2"/>
  <c r="AG9" i="2"/>
  <c r="AF9" i="2"/>
  <c r="AE9" i="2"/>
  <c r="AC9" i="2"/>
  <c r="AB9" i="2"/>
  <c r="AA9" i="2"/>
  <c r="Z9" i="2"/>
  <c r="Y9" i="2"/>
  <c r="X9" i="2"/>
  <c r="W9" i="2"/>
  <c r="V9" i="2"/>
  <c r="U9" i="2"/>
  <c r="T9" i="2"/>
  <c r="S9" i="2"/>
  <c r="R9" i="2"/>
  <c r="P9" i="2"/>
  <c r="O9" i="2"/>
  <c r="N9" i="2"/>
  <c r="M9" i="2"/>
  <c r="L9" i="2"/>
  <c r="K9" i="2"/>
  <c r="J9" i="2"/>
  <c r="I9" i="2"/>
  <c r="H9" i="2"/>
  <c r="G9" i="2"/>
  <c r="F9" i="2"/>
  <c r="E9" i="2"/>
  <c r="AP8" i="2"/>
  <c r="AO8" i="2"/>
  <c r="AN8" i="2"/>
  <c r="AM8" i="2"/>
  <c r="AL8" i="2"/>
  <c r="AK8" i="2"/>
  <c r="AJ8" i="2"/>
  <c r="AI8" i="2"/>
  <c r="AH8" i="2"/>
  <c r="AG8" i="2"/>
  <c r="AF8" i="2"/>
  <c r="AE8" i="2"/>
  <c r="AC8" i="2"/>
  <c r="AB8" i="2"/>
  <c r="AA8" i="2"/>
  <c r="Z8" i="2"/>
  <c r="Y8" i="2"/>
  <c r="X8" i="2"/>
  <c r="W8" i="2"/>
  <c r="V8" i="2"/>
  <c r="U8" i="2"/>
  <c r="T8" i="2"/>
  <c r="S8" i="2"/>
  <c r="R8" i="2"/>
  <c r="P8" i="2"/>
  <c r="O8" i="2"/>
  <c r="N8" i="2"/>
  <c r="M8" i="2"/>
  <c r="L8" i="2"/>
  <c r="K8" i="2"/>
  <c r="J8" i="2"/>
  <c r="I8" i="2"/>
  <c r="H8" i="2"/>
  <c r="G8" i="2"/>
  <c r="F8" i="2"/>
  <c r="E8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 s="1"/>
  <c r="AC7" i="2"/>
  <c r="AB7" i="2"/>
  <c r="AA7" i="2"/>
  <c r="Z7" i="2"/>
  <c r="Y7" i="2"/>
  <c r="X7" i="2"/>
  <c r="W7" i="2"/>
  <c r="V7" i="2"/>
  <c r="U7" i="2"/>
  <c r="T7" i="2"/>
  <c r="S7" i="2"/>
  <c r="R7" i="2"/>
  <c r="P7" i="2"/>
  <c r="O7" i="2"/>
  <c r="N7" i="2"/>
  <c r="M7" i="2"/>
  <c r="L7" i="2"/>
  <c r="K7" i="2"/>
  <c r="J7" i="2"/>
  <c r="I7" i="2"/>
  <c r="H7" i="2"/>
  <c r="G7" i="2"/>
  <c r="F7" i="2"/>
  <c r="E7" i="2"/>
  <c r="AP6" i="2"/>
  <c r="AO6" i="2"/>
  <c r="AN6" i="2"/>
  <c r="AM6" i="2"/>
  <c r="AL6" i="2"/>
  <c r="AK6" i="2"/>
  <c r="AJ6" i="2"/>
  <c r="AI6" i="2"/>
  <c r="AH6" i="2"/>
  <c r="AG6" i="2"/>
  <c r="AF6" i="2"/>
  <c r="AE6" i="2"/>
  <c r="AC6" i="2"/>
  <c r="AB6" i="2"/>
  <c r="AA6" i="2"/>
  <c r="Z6" i="2"/>
  <c r="Y6" i="2"/>
  <c r="X6" i="2"/>
  <c r="W6" i="2"/>
  <c r="V6" i="2"/>
  <c r="U6" i="2"/>
  <c r="T6" i="2"/>
  <c r="S6" i="2"/>
  <c r="R6" i="2"/>
  <c r="P6" i="2"/>
  <c r="O6" i="2"/>
  <c r="N6" i="2"/>
  <c r="M6" i="2"/>
  <c r="L6" i="2"/>
  <c r="K6" i="2"/>
  <c r="J6" i="2"/>
  <c r="I6" i="2"/>
  <c r="H6" i="2"/>
  <c r="G6" i="2"/>
  <c r="F6" i="2"/>
  <c r="E6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5" i="2"/>
  <c r="AP114" i="2"/>
  <c r="AO114" i="2"/>
  <c r="AN114" i="2"/>
  <c r="AM114" i="2"/>
  <c r="AL114" i="2"/>
  <c r="AK114" i="2"/>
  <c r="AJ114" i="2"/>
  <c r="AI114" i="2"/>
  <c r="AH114" i="2"/>
  <c r="AF114" i="2"/>
  <c r="AE114" i="2"/>
  <c r="AC114" i="2"/>
  <c r="AB114" i="2"/>
  <c r="AA114" i="2"/>
  <c r="Z114" i="2"/>
  <c r="Y114" i="2"/>
  <c r="X114" i="2"/>
  <c r="W114" i="2"/>
  <c r="V114" i="2"/>
  <c r="U114" i="2"/>
  <c r="S114" i="2"/>
  <c r="R114" i="2"/>
  <c r="P114" i="2"/>
  <c r="O114" i="2"/>
  <c r="N114" i="2"/>
  <c r="M114" i="2"/>
  <c r="L114" i="2"/>
  <c r="K114" i="2"/>
  <c r="J114" i="2"/>
  <c r="I114" i="2"/>
  <c r="H114" i="2"/>
  <c r="F114" i="2"/>
  <c r="E114" i="2"/>
  <c r="A114" i="2"/>
  <c r="AP113" i="2"/>
  <c r="AO113" i="2"/>
  <c r="AN113" i="2"/>
  <c r="AM113" i="2"/>
  <c r="AL113" i="2"/>
  <c r="AK113" i="2"/>
  <c r="AJ113" i="2"/>
  <c r="AI113" i="2"/>
  <c r="AH113" i="2"/>
  <c r="AF113" i="2"/>
  <c r="AE113" i="2"/>
  <c r="AC113" i="2"/>
  <c r="AB113" i="2"/>
  <c r="AA113" i="2"/>
  <c r="Z113" i="2"/>
  <c r="Y113" i="2"/>
  <c r="X113" i="2"/>
  <c r="W113" i="2"/>
  <c r="V113" i="2"/>
  <c r="U113" i="2"/>
  <c r="S113" i="2"/>
  <c r="R113" i="2"/>
  <c r="P113" i="2"/>
  <c r="O113" i="2"/>
  <c r="N113" i="2"/>
  <c r="M113" i="2"/>
  <c r="L113" i="2"/>
  <c r="K113" i="2"/>
  <c r="J113" i="2"/>
  <c r="I113" i="2"/>
  <c r="H113" i="2"/>
  <c r="F113" i="2"/>
  <c r="E113" i="2"/>
  <c r="A113" i="2"/>
  <c r="AP112" i="2"/>
  <c r="AO112" i="2"/>
  <c r="AN112" i="2"/>
  <c r="AM112" i="2"/>
  <c r="AL112" i="2"/>
  <c r="AK112" i="2"/>
  <c r="AJ112" i="2"/>
  <c r="AI112" i="2"/>
  <c r="AH112" i="2"/>
  <c r="AF112" i="2"/>
  <c r="AE112" i="2"/>
  <c r="AC112" i="2"/>
  <c r="AB112" i="2"/>
  <c r="AA112" i="2"/>
  <c r="Z112" i="2"/>
  <c r="Y112" i="2"/>
  <c r="X112" i="2"/>
  <c r="W112" i="2"/>
  <c r="V112" i="2"/>
  <c r="U112" i="2"/>
  <c r="S112" i="2"/>
  <c r="R112" i="2"/>
  <c r="P112" i="2"/>
  <c r="O112" i="2"/>
  <c r="N112" i="2"/>
  <c r="M112" i="2"/>
  <c r="L112" i="2"/>
  <c r="K112" i="2"/>
  <c r="J112" i="2"/>
  <c r="I112" i="2"/>
  <c r="H112" i="2"/>
  <c r="F112" i="2"/>
  <c r="E112" i="2"/>
  <c r="A112" i="2"/>
  <c r="AP111" i="2"/>
  <c r="AO111" i="2"/>
  <c r="AN111" i="2"/>
  <c r="AM111" i="2"/>
  <c r="AL111" i="2"/>
  <c r="AK111" i="2"/>
  <c r="AJ111" i="2"/>
  <c r="AI111" i="2"/>
  <c r="AH111" i="2"/>
  <c r="AF111" i="2"/>
  <c r="AE111" i="2"/>
  <c r="AC111" i="2"/>
  <c r="AB111" i="2"/>
  <c r="AA111" i="2"/>
  <c r="Z111" i="2"/>
  <c r="Y111" i="2"/>
  <c r="X111" i="2"/>
  <c r="W111" i="2"/>
  <c r="V111" i="2"/>
  <c r="U111" i="2"/>
  <c r="S111" i="2"/>
  <c r="R111" i="2"/>
  <c r="P111" i="2"/>
  <c r="O111" i="2"/>
  <c r="N111" i="2"/>
  <c r="M111" i="2"/>
  <c r="L111" i="2"/>
  <c r="K111" i="2"/>
  <c r="J111" i="2"/>
  <c r="I111" i="2"/>
  <c r="H111" i="2"/>
  <c r="F111" i="2"/>
  <c r="E111" i="2"/>
  <c r="A111" i="2"/>
  <c r="AP110" i="2"/>
  <c r="AO110" i="2"/>
  <c r="AN110" i="2"/>
  <c r="AM110" i="2"/>
  <c r="AL110" i="2"/>
  <c r="AK110" i="2"/>
  <c r="AJ110" i="2"/>
  <c r="AI110" i="2"/>
  <c r="AH110" i="2"/>
  <c r="AF110" i="2"/>
  <c r="AE110" i="2"/>
  <c r="AC110" i="2"/>
  <c r="AB110" i="2"/>
  <c r="AA110" i="2"/>
  <c r="Z110" i="2"/>
  <c r="Y110" i="2"/>
  <c r="X110" i="2"/>
  <c r="W110" i="2"/>
  <c r="V110" i="2"/>
  <c r="U110" i="2"/>
  <c r="S110" i="2"/>
  <c r="R110" i="2"/>
  <c r="P110" i="2"/>
  <c r="O110" i="2"/>
  <c r="N110" i="2"/>
  <c r="M110" i="2"/>
  <c r="L110" i="2"/>
  <c r="K110" i="2"/>
  <c r="J110" i="2"/>
  <c r="I110" i="2"/>
  <c r="H110" i="2"/>
  <c r="F110" i="2"/>
  <c r="E110" i="2"/>
  <c r="A110" i="2"/>
  <c r="AP109" i="2"/>
  <c r="AO109" i="2"/>
  <c r="AN109" i="2"/>
  <c r="AM109" i="2"/>
  <c r="AL109" i="2"/>
  <c r="AK109" i="2"/>
  <c r="AJ109" i="2"/>
  <c r="AI109" i="2"/>
  <c r="AH109" i="2"/>
  <c r="AF109" i="2"/>
  <c r="AE109" i="2"/>
  <c r="AC109" i="2"/>
  <c r="AB109" i="2"/>
  <c r="AA109" i="2"/>
  <c r="Z109" i="2"/>
  <c r="Y109" i="2"/>
  <c r="X109" i="2"/>
  <c r="W109" i="2"/>
  <c r="V109" i="2"/>
  <c r="U109" i="2"/>
  <c r="S109" i="2"/>
  <c r="R109" i="2"/>
  <c r="P109" i="2"/>
  <c r="O109" i="2"/>
  <c r="N109" i="2"/>
  <c r="M109" i="2"/>
  <c r="L109" i="2"/>
  <c r="K109" i="2"/>
  <c r="J109" i="2"/>
  <c r="I109" i="2"/>
  <c r="H109" i="2"/>
  <c r="F109" i="2"/>
  <c r="E109" i="2"/>
  <c r="A109" i="2"/>
  <c r="AP108" i="2"/>
  <c r="AO108" i="2"/>
  <c r="AN108" i="2"/>
  <c r="AM108" i="2"/>
  <c r="AL108" i="2"/>
  <c r="AK108" i="2"/>
  <c r="AJ108" i="2"/>
  <c r="AI108" i="2"/>
  <c r="AH108" i="2"/>
  <c r="AF108" i="2"/>
  <c r="AE108" i="2"/>
  <c r="AC108" i="2"/>
  <c r="AB108" i="2"/>
  <c r="AA108" i="2"/>
  <c r="Z108" i="2"/>
  <c r="Y108" i="2"/>
  <c r="X108" i="2"/>
  <c r="W108" i="2"/>
  <c r="V108" i="2"/>
  <c r="U108" i="2"/>
  <c r="S108" i="2"/>
  <c r="R108" i="2"/>
  <c r="P108" i="2"/>
  <c r="O108" i="2"/>
  <c r="N108" i="2"/>
  <c r="M108" i="2"/>
  <c r="L108" i="2"/>
  <c r="K108" i="2"/>
  <c r="J108" i="2"/>
  <c r="I108" i="2"/>
  <c r="H108" i="2"/>
  <c r="F108" i="2"/>
  <c r="E108" i="2"/>
  <c r="A108" i="2"/>
  <c r="AP107" i="2"/>
  <c r="AO107" i="2"/>
  <c r="AN107" i="2"/>
  <c r="AM107" i="2"/>
  <c r="AL107" i="2"/>
  <c r="AK107" i="2"/>
  <c r="AJ107" i="2"/>
  <c r="AI107" i="2"/>
  <c r="AH107" i="2"/>
  <c r="AF107" i="2"/>
  <c r="AE107" i="2"/>
  <c r="AC107" i="2"/>
  <c r="AB107" i="2"/>
  <c r="AA107" i="2"/>
  <c r="Z107" i="2"/>
  <c r="Y107" i="2"/>
  <c r="X107" i="2"/>
  <c r="W107" i="2"/>
  <c r="V107" i="2"/>
  <c r="U107" i="2"/>
  <c r="S107" i="2"/>
  <c r="R107" i="2"/>
  <c r="P107" i="2"/>
  <c r="O107" i="2"/>
  <c r="N107" i="2"/>
  <c r="M107" i="2"/>
  <c r="L107" i="2"/>
  <c r="K107" i="2"/>
  <c r="J107" i="2"/>
  <c r="I107" i="2"/>
  <c r="H107" i="2"/>
  <c r="F107" i="2"/>
  <c r="E107" i="2"/>
  <c r="A107" i="2"/>
  <c r="AP106" i="2"/>
  <c r="AO106" i="2"/>
  <c r="AN106" i="2"/>
  <c r="AM106" i="2"/>
  <c r="AL106" i="2"/>
  <c r="AK106" i="2"/>
  <c r="AJ106" i="2"/>
  <c r="AI106" i="2"/>
  <c r="AH106" i="2"/>
  <c r="AF106" i="2"/>
  <c r="AE106" i="2"/>
  <c r="AC106" i="2"/>
  <c r="AB106" i="2"/>
  <c r="AA106" i="2"/>
  <c r="Z106" i="2"/>
  <c r="Y106" i="2"/>
  <c r="X106" i="2"/>
  <c r="W106" i="2"/>
  <c r="V106" i="2"/>
  <c r="U106" i="2"/>
  <c r="S106" i="2"/>
  <c r="R106" i="2"/>
  <c r="P106" i="2"/>
  <c r="O106" i="2"/>
  <c r="N106" i="2"/>
  <c r="M106" i="2"/>
  <c r="L106" i="2"/>
  <c r="K106" i="2"/>
  <c r="J106" i="2"/>
  <c r="I106" i="2"/>
  <c r="H106" i="2"/>
  <c r="F106" i="2"/>
  <c r="E106" i="2"/>
  <c r="A106" i="2"/>
  <c r="AP105" i="2"/>
  <c r="AO105" i="2"/>
  <c r="AN105" i="2"/>
  <c r="AM105" i="2"/>
  <c r="AL105" i="2"/>
  <c r="AK105" i="2"/>
  <c r="AJ105" i="2"/>
  <c r="AI105" i="2"/>
  <c r="AH105" i="2"/>
  <c r="AF105" i="2"/>
  <c r="AE105" i="2"/>
  <c r="AC105" i="2"/>
  <c r="AB105" i="2"/>
  <c r="AA105" i="2"/>
  <c r="Z105" i="2"/>
  <c r="Y105" i="2"/>
  <c r="X105" i="2"/>
  <c r="W105" i="2"/>
  <c r="V105" i="2"/>
  <c r="U105" i="2"/>
  <c r="S105" i="2"/>
  <c r="R105" i="2"/>
  <c r="P105" i="2"/>
  <c r="O105" i="2"/>
  <c r="N105" i="2"/>
  <c r="M105" i="2"/>
  <c r="L105" i="2"/>
  <c r="K105" i="2"/>
  <c r="J105" i="2"/>
  <c r="I105" i="2"/>
  <c r="H105" i="2"/>
  <c r="F105" i="2"/>
  <c r="E105" i="2"/>
  <c r="A105" i="2"/>
  <c r="AP104" i="2"/>
  <c r="AO104" i="2"/>
  <c r="AN104" i="2"/>
  <c r="AM104" i="2"/>
  <c r="AL104" i="2"/>
  <c r="AK104" i="2"/>
  <c r="AJ104" i="2"/>
  <c r="AI104" i="2"/>
  <c r="AH104" i="2"/>
  <c r="AF104" i="2"/>
  <c r="AE104" i="2"/>
  <c r="AC104" i="2"/>
  <c r="AB104" i="2"/>
  <c r="AA104" i="2"/>
  <c r="Z104" i="2"/>
  <c r="Y104" i="2"/>
  <c r="X104" i="2"/>
  <c r="W104" i="2"/>
  <c r="V104" i="2"/>
  <c r="U104" i="2"/>
  <c r="S104" i="2"/>
  <c r="R104" i="2"/>
  <c r="P104" i="2"/>
  <c r="O104" i="2"/>
  <c r="N104" i="2"/>
  <c r="M104" i="2"/>
  <c r="L104" i="2"/>
  <c r="K104" i="2"/>
  <c r="J104" i="2"/>
  <c r="I104" i="2"/>
  <c r="H104" i="2"/>
  <c r="F104" i="2"/>
  <c r="E104" i="2"/>
  <c r="A104" i="2"/>
  <c r="AP103" i="2"/>
  <c r="AO103" i="2"/>
  <c r="AN103" i="2"/>
  <c r="AM103" i="2"/>
  <c r="AL103" i="2"/>
  <c r="AK103" i="2"/>
  <c r="AJ103" i="2"/>
  <c r="AI103" i="2"/>
  <c r="AH103" i="2"/>
  <c r="AF103" i="2"/>
  <c r="AE103" i="2"/>
  <c r="AC103" i="2"/>
  <c r="AB103" i="2"/>
  <c r="AA103" i="2"/>
  <c r="Z103" i="2"/>
  <c r="Y103" i="2"/>
  <c r="X103" i="2"/>
  <c r="W103" i="2"/>
  <c r="V103" i="2"/>
  <c r="U103" i="2"/>
  <c r="S103" i="2"/>
  <c r="R103" i="2"/>
  <c r="P103" i="2"/>
  <c r="O103" i="2"/>
  <c r="N103" i="2"/>
  <c r="M103" i="2"/>
  <c r="L103" i="2"/>
  <c r="K103" i="2"/>
  <c r="J103" i="2"/>
  <c r="I103" i="2"/>
  <c r="H103" i="2"/>
  <c r="F103" i="2"/>
  <c r="E103" i="2"/>
  <c r="A103" i="2"/>
  <c r="AP102" i="2"/>
  <c r="AO102" i="2"/>
  <c r="AN102" i="2"/>
  <c r="AM102" i="2"/>
  <c r="AL102" i="2"/>
  <c r="AK102" i="2"/>
  <c r="AJ102" i="2"/>
  <c r="AI102" i="2"/>
  <c r="AH102" i="2"/>
  <c r="AF102" i="2"/>
  <c r="AE102" i="2"/>
  <c r="AC102" i="2"/>
  <c r="AB102" i="2"/>
  <c r="AA102" i="2"/>
  <c r="Z102" i="2"/>
  <c r="Y102" i="2"/>
  <c r="X102" i="2"/>
  <c r="W102" i="2"/>
  <c r="V102" i="2"/>
  <c r="U102" i="2"/>
  <c r="S102" i="2"/>
  <c r="R102" i="2"/>
  <c r="P102" i="2"/>
  <c r="O102" i="2"/>
  <c r="N102" i="2"/>
  <c r="M102" i="2"/>
  <c r="L102" i="2"/>
  <c r="K102" i="2"/>
  <c r="J102" i="2"/>
  <c r="I102" i="2"/>
  <c r="H102" i="2"/>
  <c r="F102" i="2"/>
  <c r="E102" i="2"/>
  <c r="A102" i="2"/>
  <c r="AP101" i="2"/>
  <c r="AO101" i="2"/>
  <c r="AN101" i="2"/>
  <c r="AM101" i="2"/>
  <c r="AL101" i="2"/>
  <c r="AK101" i="2"/>
  <c r="AJ101" i="2"/>
  <c r="AI101" i="2"/>
  <c r="AH101" i="2"/>
  <c r="AF101" i="2"/>
  <c r="AE101" i="2"/>
  <c r="AC101" i="2"/>
  <c r="AB101" i="2"/>
  <c r="AA101" i="2"/>
  <c r="Z101" i="2"/>
  <c r="Y101" i="2"/>
  <c r="X101" i="2"/>
  <c r="W101" i="2"/>
  <c r="V101" i="2"/>
  <c r="U101" i="2"/>
  <c r="S101" i="2"/>
  <c r="R101" i="2"/>
  <c r="P101" i="2"/>
  <c r="O101" i="2"/>
  <c r="N101" i="2"/>
  <c r="M101" i="2"/>
  <c r="L101" i="2"/>
  <c r="K101" i="2"/>
  <c r="J101" i="2"/>
  <c r="I101" i="2"/>
  <c r="H101" i="2"/>
  <c r="F101" i="2"/>
  <c r="E101" i="2"/>
  <c r="A101" i="2"/>
  <c r="AP100" i="2"/>
  <c r="AO100" i="2"/>
  <c r="AN100" i="2"/>
  <c r="AM100" i="2"/>
  <c r="AL100" i="2"/>
  <c r="AK100" i="2"/>
  <c r="AJ100" i="2"/>
  <c r="AI100" i="2"/>
  <c r="AH100" i="2"/>
  <c r="AF100" i="2"/>
  <c r="AE100" i="2"/>
  <c r="AC100" i="2"/>
  <c r="AB100" i="2"/>
  <c r="AA100" i="2"/>
  <c r="Z100" i="2"/>
  <c r="Y100" i="2"/>
  <c r="X100" i="2"/>
  <c r="W100" i="2"/>
  <c r="V100" i="2"/>
  <c r="U100" i="2"/>
  <c r="S100" i="2"/>
  <c r="R100" i="2"/>
  <c r="P100" i="2"/>
  <c r="O100" i="2"/>
  <c r="N100" i="2"/>
  <c r="M100" i="2"/>
  <c r="L100" i="2"/>
  <c r="K100" i="2"/>
  <c r="J100" i="2"/>
  <c r="I100" i="2"/>
  <c r="H100" i="2"/>
  <c r="F100" i="2"/>
  <c r="E100" i="2"/>
  <c r="A100" i="2"/>
  <c r="AP99" i="2"/>
  <c r="AO99" i="2"/>
  <c r="AN99" i="2"/>
  <c r="AM99" i="2"/>
  <c r="AL99" i="2"/>
  <c r="AK99" i="2"/>
  <c r="AJ99" i="2"/>
  <c r="AI99" i="2"/>
  <c r="AH99" i="2"/>
  <c r="AF99" i="2"/>
  <c r="AE99" i="2"/>
  <c r="AC99" i="2"/>
  <c r="AB99" i="2"/>
  <c r="AA99" i="2"/>
  <c r="Z99" i="2"/>
  <c r="Y99" i="2"/>
  <c r="X99" i="2"/>
  <c r="W99" i="2"/>
  <c r="V99" i="2"/>
  <c r="U99" i="2"/>
  <c r="S99" i="2"/>
  <c r="R99" i="2"/>
  <c r="P99" i="2"/>
  <c r="O99" i="2"/>
  <c r="N99" i="2"/>
  <c r="M99" i="2"/>
  <c r="L99" i="2"/>
  <c r="K99" i="2"/>
  <c r="J99" i="2"/>
  <c r="I99" i="2"/>
  <c r="H99" i="2"/>
  <c r="F99" i="2"/>
  <c r="E99" i="2"/>
  <c r="A99" i="2"/>
  <c r="AP98" i="2"/>
  <c r="AO98" i="2"/>
  <c r="AN98" i="2"/>
  <c r="AM98" i="2"/>
  <c r="AL98" i="2"/>
  <c r="AK98" i="2"/>
  <c r="AJ98" i="2"/>
  <c r="AI98" i="2"/>
  <c r="AH98" i="2"/>
  <c r="AF98" i="2"/>
  <c r="AE98" i="2"/>
  <c r="AC98" i="2"/>
  <c r="AB98" i="2"/>
  <c r="AA98" i="2"/>
  <c r="Z98" i="2"/>
  <c r="Y98" i="2"/>
  <c r="X98" i="2"/>
  <c r="W98" i="2"/>
  <c r="V98" i="2"/>
  <c r="U98" i="2"/>
  <c r="S98" i="2"/>
  <c r="R98" i="2"/>
  <c r="P98" i="2"/>
  <c r="O98" i="2"/>
  <c r="N98" i="2"/>
  <c r="M98" i="2"/>
  <c r="L98" i="2"/>
  <c r="K98" i="2"/>
  <c r="J98" i="2"/>
  <c r="I98" i="2"/>
  <c r="H98" i="2"/>
  <c r="F98" i="2"/>
  <c r="E98" i="2"/>
  <c r="A98" i="2"/>
  <c r="AP97" i="2"/>
  <c r="AO97" i="2"/>
  <c r="AN97" i="2"/>
  <c r="AM97" i="2"/>
  <c r="AL97" i="2"/>
  <c r="AK97" i="2"/>
  <c r="AJ97" i="2"/>
  <c r="AI97" i="2"/>
  <c r="AH97" i="2"/>
  <c r="AF97" i="2"/>
  <c r="AE97" i="2"/>
  <c r="AC97" i="2"/>
  <c r="AB97" i="2"/>
  <c r="AA97" i="2"/>
  <c r="Z97" i="2"/>
  <c r="Y97" i="2"/>
  <c r="X97" i="2"/>
  <c r="W97" i="2"/>
  <c r="V97" i="2"/>
  <c r="U97" i="2"/>
  <c r="S97" i="2"/>
  <c r="R97" i="2"/>
  <c r="P97" i="2"/>
  <c r="O97" i="2"/>
  <c r="N97" i="2"/>
  <c r="M97" i="2"/>
  <c r="L97" i="2"/>
  <c r="K97" i="2"/>
  <c r="J97" i="2"/>
  <c r="I97" i="2"/>
  <c r="H97" i="2"/>
  <c r="F97" i="2"/>
  <c r="E97" i="2"/>
  <c r="A97" i="2"/>
  <c r="AP96" i="2"/>
  <c r="AO96" i="2"/>
  <c r="AN96" i="2"/>
  <c r="AM96" i="2"/>
  <c r="AL96" i="2"/>
  <c r="AK96" i="2"/>
  <c r="AJ96" i="2"/>
  <c r="AI96" i="2"/>
  <c r="AH96" i="2"/>
  <c r="AF96" i="2"/>
  <c r="AE96" i="2"/>
  <c r="AC96" i="2"/>
  <c r="AB96" i="2"/>
  <c r="AA96" i="2"/>
  <c r="Z96" i="2"/>
  <c r="Y96" i="2"/>
  <c r="X96" i="2"/>
  <c r="W96" i="2"/>
  <c r="V96" i="2"/>
  <c r="U96" i="2"/>
  <c r="S96" i="2"/>
  <c r="R96" i="2"/>
  <c r="P96" i="2"/>
  <c r="O96" i="2"/>
  <c r="N96" i="2"/>
  <c r="M96" i="2"/>
  <c r="L96" i="2"/>
  <c r="K96" i="2"/>
  <c r="J96" i="2"/>
  <c r="I96" i="2"/>
  <c r="H96" i="2"/>
  <c r="F96" i="2"/>
  <c r="E96" i="2"/>
  <c r="A96" i="2"/>
  <c r="AP95" i="2"/>
  <c r="AO95" i="2"/>
  <c r="AN95" i="2"/>
  <c r="AM95" i="2"/>
  <c r="AL95" i="2"/>
  <c r="AK95" i="2"/>
  <c r="AJ95" i="2"/>
  <c r="AI95" i="2"/>
  <c r="AH95" i="2"/>
  <c r="AF95" i="2"/>
  <c r="AE95" i="2"/>
  <c r="AC95" i="2"/>
  <c r="AB95" i="2"/>
  <c r="AA95" i="2"/>
  <c r="Z95" i="2"/>
  <c r="Y95" i="2"/>
  <c r="X95" i="2"/>
  <c r="W95" i="2"/>
  <c r="V95" i="2"/>
  <c r="U95" i="2"/>
  <c r="S95" i="2"/>
  <c r="R95" i="2"/>
  <c r="P95" i="2"/>
  <c r="O95" i="2"/>
  <c r="N95" i="2"/>
  <c r="M95" i="2"/>
  <c r="L95" i="2"/>
  <c r="K95" i="2"/>
  <c r="J95" i="2"/>
  <c r="I95" i="2"/>
  <c r="H95" i="2"/>
  <c r="F95" i="2"/>
  <c r="E95" i="2"/>
  <c r="A95" i="2"/>
  <c r="AP94" i="2"/>
  <c r="AO94" i="2"/>
  <c r="AN94" i="2"/>
  <c r="AM94" i="2"/>
  <c r="AL94" i="2"/>
  <c r="AK94" i="2"/>
  <c r="AJ94" i="2"/>
  <c r="AI94" i="2"/>
  <c r="AH94" i="2"/>
  <c r="AF94" i="2"/>
  <c r="AE94" i="2"/>
  <c r="AC94" i="2"/>
  <c r="AB94" i="2"/>
  <c r="AA94" i="2"/>
  <c r="Z94" i="2"/>
  <c r="Y94" i="2"/>
  <c r="X94" i="2"/>
  <c r="W94" i="2"/>
  <c r="V94" i="2"/>
  <c r="U94" i="2"/>
  <c r="S94" i="2"/>
  <c r="R94" i="2"/>
  <c r="P94" i="2"/>
  <c r="O94" i="2"/>
  <c r="N94" i="2"/>
  <c r="M94" i="2"/>
  <c r="L94" i="2"/>
  <c r="K94" i="2"/>
  <c r="J94" i="2"/>
  <c r="I94" i="2"/>
  <c r="H94" i="2"/>
  <c r="F94" i="2"/>
  <c r="E94" i="2"/>
  <c r="A94" i="2"/>
  <c r="AP93" i="2"/>
  <c r="AO93" i="2"/>
  <c r="AN93" i="2"/>
  <c r="AM93" i="2"/>
  <c r="AL93" i="2"/>
  <c r="AK93" i="2"/>
  <c r="AJ93" i="2"/>
  <c r="AI93" i="2"/>
  <c r="AH93" i="2"/>
  <c r="AF93" i="2"/>
  <c r="AE93" i="2"/>
  <c r="AC93" i="2"/>
  <c r="AB93" i="2"/>
  <c r="AA93" i="2"/>
  <c r="Z93" i="2"/>
  <c r="Y93" i="2"/>
  <c r="X93" i="2"/>
  <c r="W93" i="2"/>
  <c r="V93" i="2"/>
  <c r="U93" i="2"/>
  <c r="S93" i="2"/>
  <c r="R93" i="2"/>
  <c r="P93" i="2"/>
  <c r="O93" i="2"/>
  <c r="N93" i="2"/>
  <c r="M93" i="2"/>
  <c r="L93" i="2"/>
  <c r="K93" i="2"/>
  <c r="J93" i="2"/>
  <c r="I93" i="2"/>
  <c r="H93" i="2"/>
  <c r="F93" i="2"/>
  <c r="E93" i="2"/>
  <c r="A93" i="2"/>
  <c r="AP92" i="2"/>
  <c r="AO92" i="2"/>
  <c r="AN92" i="2"/>
  <c r="AM92" i="2"/>
  <c r="AL92" i="2"/>
  <c r="AK92" i="2"/>
  <c r="AJ92" i="2"/>
  <c r="AI92" i="2"/>
  <c r="AH92" i="2"/>
  <c r="AF92" i="2"/>
  <c r="AE92" i="2"/>
  <c r="AC92" i="2"/>
  <c r="AB92" i="2"/>
  <c r="AA92" i="2"/>
  <c r="Z92" i="2"/>
  <c r="Y92" i="2"/>
  <c r="X92" i="2"/>
  <c r="W92" i="2"/>
  <c r="V92" i="2"/>
  <c r="U92" i="2"/>
  <c r="S92" i="2"/>
  <c r="R92" i="2"/>
  <c r="P92" i="2"/>
  <c r="O92" i="2"/>
  <c r="N92" i="2"/>
  <c r="M92" i="2"/>
  <c r="L92" i="2"/>
  <c r="K92" i="2"/>
  <c r="J92" i="2"/>
  <c r="I92" i="2"/>
  <c r="H92" i="2"/>
  <c r="F92" i="2"/>
  <c r="E92" i="2"/>
  <c r="A92" i="2"/>
  <c r="AP91" i="2"/>
  <c r="AO91" i="2"/>
  <c r="AN91" i="2"/>
  <c r="AM91" i="2"/>
  <c r="AL91" i="2"/>
  <c r="AK91" i="2"/>
  <c r="AJ91" i="2"/>
  <c r="AI91" i="2"/>
  <c r="AH91" i="2"/>
  <c r="AF91" i="2"/>
  <c r="AE91" i="2"/>
  <c r="AC91" i="2"/>
  <c r="AB91" i="2"/>
  <c r="AA91" i="2"/>
  <c r="Z91" i="2"/>
  <c r="Y91" i="2"/>
  <c r="X91" i="2"/>
  <c r="W91" i="2"/>
  <c r="V91" i="2"/>
  <c r="U91" i="2"/>
  <c r="S91" i="2"/>
  <c r="R91" i="2"/>
  <c r="P91" i="2"/>
  <c r="O91" i="2"/>
  <c r="N91" i="2"/>
  <c r="M91" i="2"/>
  <c r="L91" i="2"/>
  <c r="K91" i="2"/>
  <c r="J91" i="2"/>
  <c r="I91" i="2"/>
  <c r="H91" i="2"/>
  <c r="F91" i="2"/>
  <c r="E91" i="2"/>
  <c r="A91" i="2"/>
  <c r="AP90" i="2"/>
  <c r="AO90" i="2"/>
  <c r="AN90" i="2"/>
  <c r="AM90" i="2"/>
  <c r="AL90" i="2"/>
  <c r="AK90" i="2"/>
  <c r="AJ90" i="2"/>
  <c r="AI90" i="2"/>
  <c r="AH90" i="2"/>
  <c r="AF90" i="2"/>
  <c r="AE90" i="2"/>
  <c r="AC90" i="2"/>
  <c r="AB90" i="2"/>
  <c r="AA90" i="2"/>
  <c r="Z90" i="2"/>
  <c r="Y90" i="2"/>
  <c r="X90" i="2"/>
  <c r="W90" i="2"/>
  <c r="V90" i="2"/>
  <c r="U90" i="2"/>
  <c r="S90" i="2"/>
  <c r="R90" i="2"/>
  <c r="P90" i="2"/>
  <c r="O90" i="2"/>
  <c r="N90" i="2"/>
  <c r="M90" i="2"/>
  <c r="L90" i="2"/>
  <c r="K90" i="2"/>
  <c r="J90" i="2"/>
  <c r="I90" i="2"/>
  <c r="H90" i="2"/>
  <c r="F90" i="2"/>
  <c r="E90" i="2"/>
  <c r="A90" i="2"/>
  <c r="AP89" i="2"/>
  <c r="AO89" i="2"/>
  <c r="AN89" i="2"/>
  <c r="AM89" i="2"/>
  <c r="AL89" i="2"/>
  <c r="AK89" i="2"/>
  <c r="AJ89" i="2"/>
  <c r="AI89" i="2"/>
  <c r="AH89" i="2"/>
  <c r="AF89" i="2"/>
  <c r="AE89" i="2"/>
  <c r="AC89" i="2"/>
  <c r="AB89" i="2"/>
  <c r="AA89" i="2"/>
  <c r="Z89" i="2"/>
  <c r="Y89" i="2"/>
  <c r="X89" i="2"/>
  <c r="W89" i="2"/>
  <c r="V89" i="2"/>
  <c r="U89" i="2"/>
  <c r="S89" i="2"/>
  <c r="R89" i="2"/>
  <c r="P89" i="2"/>
  <c r="O89" i="2"/>
  <c r="N89" i="2"/>
  <c r="M89" i="2"/>
  <c r="L89" i="2"/>
  <c r="K89" i="2"/>
  <c r="J89" i="2"/>
  <c r="I89" i="2"/>
  <c r="H89" i="2"/>
  <c r="F89" i="2"/>
  <c r="E89" i="2"/>
  <c r="A89" i="2"/>
  <c r="AP88" i="2"/>
  <c r="AO88" i="2"/>
  <c r="AN88" i="2"/>
  <c r="AM88" i="2"/>
  <c r="AL88" i="2"/>
  <c r="AK88" i="2"/>
  <c r="AJ88" i="2"/>
  <c r="AI88" i="2"/>
  <c r="AH88" i="2"/>
  <c r="AF88" i="2"/>
  <c r="AE88" i="2"/>
  <c r="AC88" i="2"/>
  <c r="AB88" i="2"/>
  <c r="AA88" i="2"/>
  <c r="Z88" i="2"/>
  <c r="Y88" i="2"/>
  <c r="X88" i="2"/>
  <c r="W88" i="2"/>
  <c r="V88" i="2"/>
  <c r="U88" i="2"/>
  <c r="S88" i="2"/>
  <c r="R88" i="2"/>
  <c r="P88" i="2"/>
  <c r="O88" i="2"/>
  <c r="N88" i="2"/>
  <c r="M88" i="2"/>
  <c r="L88" i="2"/>
  <c r="K88" i="2"/>
  <c r="J88" i="2"/>
  <c r="I88" i="2"/>
  <c r="H88" i="2"/>
  <c r="F88" i="2"/>
  <c r="E88" i="2"/>
  <c r="A88" i="2"/>
  <c r="AP87" i="2"/>
  <c r="AO87" i="2"/>
  <c r="AN87" i="2"/>
  <c r="AM87" i="2"/>
  <c r="AL87" i="2"/>
  <c r="AK87" i="2"/>
  <c r="AJ87" i="2"/>
  <c r="AI87" i="2"/>
  <c r="AH87" i="2"/>
  <c r="AF87" i="2"/>
  <c r="AE87" i="2"/>
  <c r="AC87" i="2"/>
  <c r="AB87" i="2"/>
  <c r="AA87" i="2"/>
  <c r="Z87" i="2"/>
  <c r="Y87" i="2"/>
  <c r="X87" i="2"/>
  <c r="W87" i="2"/>
  <c r="V87" i="2"/>
  <c r="U87" i="2"/>
  <c r="S87" i="2"/>
  <c r="R87" i="2"/>
  <c r="P87" i="2"/>
  <c r="O87" i="2"/>
  <c r="N87" i="2"/>
  <c r="M87" i="2"/>
  <c r="L87" i="2"/>
  <c r="K87" i="2"/>
  <c r="J87" i="2"/>
  <c r="I87" i="2"/>
  <c r="H87" i="2"/>
  <c r="F87" i="2"/>
  <c r="E87" i="2"/>
  <c r="A87" i="2"/>
  <c r="AP86" i="2"/>
  <c r="AO86" i="2"/>
  <c r="AN86" i="2"/>
  <c r="AM86" i="2"/>
  <c r="AL86" i="2"/>
  <c r="AK86" i="2"/>
  <c r="AJ86" i="2"/>
  <c r="AI86" i="2"/>
  <c r="AH86" i="2"/>
  <c r="AF86" i="2"/>
  <c r="AE86" i="2"/>
  <c r="AC86" i="2"/>
  <c r="AB86" i="2"/>
  <c r="AA86" i="2"/>
  <c r="Z86" i="2"/>
  <c r="Y86" i="2"/>
  <c r="X86" i="2"/>
  <c r="W86" i="2"/>
  <c r="V86" i="2"/>
  <c r="U86" i="2"/>
  <c r="S86" i="2"/>
  <c r="R86" i="2"/>
  <c r="P86" i="2"/>
  <c r="O86" i="2"/>
  <c r="N86" i="2"/>
  <c r="M86" i="2"/>
  <c r="L86" i="2"/>
  <c r="K86" i="2"/>
  <c r="J86" i="2"/>
  <c r="I86" i="2"/>
  <c r="H86" i="2"/>
  <c r="F86" i="2"/>
  <c r="E86" i="2"/>
  <c r="A86" i="2"/>
  <c r="AP85" i="2"/>
  <c r="AO85" i="2"/>
  <c r="AN85" i="2"/>
  <c r="AM85" i="2"/>
  <c r="AL85" i="2"/>
  <c r="AK85" i="2"/>
  <c r="AJ85" i="2"/>
  <c r="AI85" i="2"/>
  <c r="AH85" i="2"/>
  <c r="AF85" i="2"/>
  <c r="AE85" i="2"/>
  <c r="AC85" i="2"/>
  <c r="AB85" i="2"/>
  <c r="AA85" i="2"/>
  <c r="Z85" i="2"/>
  <c r="Y85" i="2"/>
  <c r="X85" i="2"/>
  <c r="W85" i="2"/>
  <c r="V85" i="2"/>
  <c r="U85" i="2"/>
  <c r="S85" i="2"/>
  <c r="R85" i="2"/>
  <c r="P85" i="2"/>
  <c r="O85" i="2"/>
  <c r="N85" i="2"/>
  <c r="M85" i="2"/>
  <c r="L85" i="2"/>
  <c r="K85" i="2"/>
  <c r="J85" i="2"/>
  <c r="I85" i="2"/>
  <c r="H85" i="2"/>
  <c r="F85" i="2"/>
  <c r="E85" i="2"/>
  <c r="A85" i="2"/>
  <c r="AP84" i="2"/>
  <c r="AO84" i="2"/>
  <c r="AN84" i="2"/>
  <c r="AM84" i="2"/>
  <c r="AL84" i="2"/>
  <c r="AK84" i="2"/>
  <c r="AJ84" i="2"/>
  <c r="AI84" i="2"/>
  <c r="AH84" i="2"/>
  <c r="AF84" i="2"/>
  <c r="AE84" i="2"/>
  <c r="AC84" i="2"/>
  <c r="AB84" i="2"/>
  <c r="AA84" i="2"/>
  <c r="Z84" i="2"/>
  <c r="Y84" i="2"/>
  <c r="X84" i="2"/>
  <c r="W84" i="2"/>
  <c r="V84" i="2"/>
  <c r="U84" i="2"/>
  <c r="S84" i="2"/>
  <c r="R84" i="2"/>
  <c r="P84" i="2"/>
  <c r="O84" i="2"/>
  <c r="N84" i="2"/>
  <c r="M84" i="2"/>
  <c r="L84" i="2"/>
  <c r="K84" i="2"/>
  <c r="J84" i="2"/>
  <c r="I84" i="2"/>
  <c r="H84" i="2"/>
  <c r="F84" i="2"/>
  <c r="E84" i="2"/>
  <c r="A84" i="2"/>
  <c r="AP83" i="2"/>
  <c r="AO83" i="2"/>
  <c r="AN83" i="2"/>
  <c r="AM83" i="2"/>
  <c r="AL83" i="2"/>
  <c r="AK83" i="2"/>
  <c r="AJ83" i="2"/>
  <c r="AI83" i="2"/>
  <c r="AH83" i="2"/>
  <c r="AF83" i="2"/>
  <c r="AE83" i="2"/>
  <c r="AC83" i="2"/>
  <c r="AB83" i="2"/>
  <c r="AA83" i="2"/>
  <c r="Z83" i="2"/>
  <c r="Y83" i="2"/>
  <c r="X83" i="2"/>
  <c r="W83" i="2"/>
  <c r="V83" i="2"/>
  <c r="U83" i="2"/>
  <c r="S83" i="2"/>
  <c r="R83" i="2"/>
  <c r="P83" i="2"/>
  <c r="O83" i="2"/>
  <c r="N83" i="2"/>
  <c r="M83" i="2"/>
  <c r="L83" i="2"/>
  <c r="K83" i="2"/>
  <c r="J83" i="2"/>
  <c r="I83" i="2"/>
  <c r="H83" i="2"/>
  <c r="F83" i="2"/>
  <c r="E83" i="2"/>
  <c r="A83" i="2"/>
  <c r="A45" i="2"/>
  <c r="A65" i="2"/>
  <c r="A82" i="2"/>
  <c r="A31" i="2"/>
  <c r="A74" i="2"/>
  <c r="A46" i="2"/>
  <c r="A77" i="2"/>
  <c r="A58" i="2"/>
  <c r="A18" i="2"/>
  <c r="A57" i="2"/>
  <c r="A33" i="2"/>
  <c r="A8" i="2"/>
  <c r="A60" i="2"/>
  <c r="A19" i="2"/>
  <c r="A14" i="2"/>
  <c r="A78" i="2"/>
  <c r="A48" i="2"/>
  <c r="A70" i="2"/>
  <c r="A38" i="2"/>
  <c r="A44" i="2"/>
  <c r="A47" i="2"/>
  <c r="A73" i="2"/>
  <c r="A25" i="2"/>
  <c r="A49" i="2"/>
  <c r="A23" i="2"/>
  <c r="A51" i="2"/>
  <c r="A50" i="2"/>
  <c r="A15" i="2"/>
  <c r="A9" i="2"/>
  <c r="A59" i="2"/>
  <c r="A72" i="2"/>
  <c r="AO5" i="2"/>
  <c r="AP5" i="2"/>
  <c r="AM5" i="2"/>
  <c r="AN5" i="2"/>
  <c r="AK5" i="2"/>
  <c r="AL5" i="2"/>
  <c r="AJ5" i="2"/>
  <c r="AI5" i="2"/>
  <c r="W5" i="2"/>
  <c r="V5" i="2"/>
  <c r="J5" i="2"/>
  <c r="I5" i="2"/>
  <c r="AB5" i="2"/>
  <c r="AC5" i="2"/>
  <c r="Z5" i="2"/>
  <c r="AA5" i="2"/>
  <c r="X5" i="2"/>
  <c r="Y5" i="2"/>
  <c r="O5" i="2"/>
  <c r="P5" i="2"/>
  <c r="M5" i="2"/>
  <c r="N5" i="2"/>
  <c r="K5" i="2"/>
  <c r="L5" i="2"/>
  <c r="A56" i="2"/>
  <c r="AD75" i="2" l="1"/>
  <c r="Q7" i="2"/>
  <c r="Q6" i="2"/>
  <c r="Q11" i="2"/>
  <c r="AD63" i="2"/>
  <c r="AD6" i="2"/>
  <c r="AD10" i="2"/>
  <c r="AD14" i="2"/>
  <c r="AD18" i="2"/>
  <c r="AD22" i="2"/>
  <c r="AD26" i="2"/>
  <c r="AD30" i="2"/>
  <c r="AD34" i="2"/>
  <c r="AD38" i="2"/>
  <c r="AD42" i="2"/>
  <c r="AD46" i="2"/>
  <c r="AD50" i="2"/>
  <c r="AD54" i="2"/>
  <c r="AD58" i="2"/>
  <c r="AD62" i="2"/>
  <c r="AD66" i="2"/>
  <c r="AD70" i="2"/>
  <c r="AD74" i="2"/>
  <c r="AD78" i="2"/>
  <c r="Q9" i="2"/>
  <c r="AD9" i="2"/>
  <c r="Q13" i="2"/>
  <c r="AD13" i="2"/>
  <c r="Q15" i="2"/>
  <c r="Q17" i="2"/>
  <c r="AD17" i="2"/>
  <c r="Q19" i="2"/>
  <c r="Q21" i="2"/>
  <c r="AD21" i="2"/>
  <c r="Q23" i="2"/>
  <c r="Q25" i="2"/>
  <c r="AD25" i="2"/>
  <c r="Q27" i="2"/>
  <c r="Q29" i="2"/>
  <c r="AD29" i="2"/>
  <c r="Q31" i="2"/>
  <c r="Q33" i="2"/>
  <c r="AD33" i="2"/>
  <c r="Q35" i="2"/>
  <c r="Q37" i="2"/>
  <c r="AD37" i="2"/>
  <c r="Q39" i="2"/>
  <c r="Q41" i="2"/>
  <c r="AD41" i="2"/>
  <c r="Q43" i="2"/>
  <c r="Q45" i="2"/>
  <c r="AD45" i="2"/>
  <c r="Q47" i="2"/>
  <c r="Q49" i="2"/>
  <c r="AD49" i="2"/>
  <c r="Q51" i="2"/>
  <c r="Q53" i="2"/>
  <c r="AD53" i="2"/>
  <c r="Q55" i="2"/>
  <c r="Q57" i="2"/>
  <c r="AD57" i="2"/>
  <c r="Q59" i="2"/>
  <c r="Q61" i="2"/>
  <c r="AD61" i="2"/>
  <c r="Q63" i="2"/>
  <c r="Q65" i="2"/>
  <c r="AD65" i="2"/>
  <c r="Q67" i="2"/>
  <c r="AD69" i="2"/>
  <c r="Q71" i="2"/>
  <c r="AD73" i="2"/>
  <c r="Q75" i="2"/>
  <c r="AD77" i="2"/>
  <c r="Q79" i="2"/>
  <c r="AD80" i="2"/>
  <c r="AD8" i="2"/>
  <c r="AD12" i="2"/>
  <c r="AD16" i="2"/>
  <c r="AD20" i="2"/>
  <c r="AD24" i="2"/>
  <c r="AD28" i="2"/>
  <c r="AD32" i="2"/>
  <c r="AD36" i="2"/>
  <c r="AD40" i="2"/>
  <c r="AD44" i="2"/>
  <c r="AD48" i="2"/>
  <c r="AD52" i="2"/>
  <c r="AD56" i="2"/>
  <c r="Q69" i="2"/>
  <c r="Q73" i="2"/>
  <c r="Q77" i="2"/>
  <c r="Q8" i="2"/>
  <c r="Q12" i="2"/>
  <c r="Q16" i="2"/>
  <c r="Q20" i="2"/>
  <c r="Q24" i="2"/>
  <c r="Q28" i="2"/>
  <c r="Q32" i="2"/>
  <c r="Q36" i="2"/>
  <c r="Q40" i="2"/>
  <c r="Q44" i="2"/>
  <c r="Q48" i="2"/>
  <c r="Q52" i="2"/>
  <c r="Q56" i="2"/>
  <c r="AD60" i="2"/>
  <c r="AD64" i="2"/>
  <c r="AD68" i="2"/>
  <c r="AD72" i="2"/>
  <c r="AD76" i="2"/>
  <c r="Q81" i="2"/>
  <c r="AD11" i="2"/>
  <c r="Q14" i="2"/>
  <c r="AD15" i="2"/>
  <c r="Q18" i="2"/>
  <c r="AD19" i="2"/>
  <c r="Q22" i="2"/>
  <c r="AD23" i="2"/>
  <c r="Q26" i="2"/>
  <c r="AD27" i="2"/>
  <c r="Q30" i="2"/>
  <c r="AD31" i="2"/>
  <c r="Q34" i="2"/>
  <c r="AD35" i="2"/>
  <c r="Q38" i="2"/>
  <c r="AD39" i="2"/>
  <c r="Q42" i="2"/>
  <c r="AD43" i="2"/>
  <c r="Q46" i="2"/>
  <c r="AD47" i="2"/>
  <c r="Q50" i="2"/>
  <c r="AD51" i="2"/>
  <c r="Q54" i="2"/>
  <c r="AD55" i="2"/>
  <c r="Q58" i="2"/>
  <c r="AD59" i="2"/>
  <c r="Q64" i="2"/>
  <c r="Q68" i="2"/>
  <c r="Q72" i="2"/>
  <c r="Q76" i="2"/>
  <c r="D33" i="2"/>
  <c r="D46" i="2"/>
  <c r="Q85" i="2"/>
  <c r="Q86" i="2"/>
  <c r="Q93" i="2"/>
  <c r="Q94" i="2"/>
  <c r="Q101" i="2"/>
  <c r="Q102" i="2"/>
  <c r="D104" i="2"/>
  <c r="Q109" i="2"/>
  <c r="Q110" i="2"/>
  <c r="D112" i="2"/>
  <c r="D45" i="2"/>
  <c r="D83" i="2"/>
  <c r="Q84" i="2"/>
  <c r="D90" i="2"/>
  <c r="D91" i="2"/>
  <c r="Q92" i="2"/>
  <c r="AD94" i="2"/>
  <c r="D98" i="2"/>
  <c r="D99" i="2"/>
  <c r="Q100" i="2"/>
  <c r="AD102" i="2"/>
  <c r="D106" i="2"/>
  <c r="D107" i="2"/>
  <c r="Q108" i="2"/>
  <c r="D114" i="2"/>
  <c r="AD88" i="2"/>
  <c r="Q83" i="2"/>
  <c r="AD86" i="2"/>
  <c r="AD89" i="2"/>
  <c r="Q91" i="2"/>
  <c r="D97" i="2"/>
  <c r="AD97" i="2"/>
  <c r="Q99" i="2"/>
  <c r="AD105" i="2"/>
  <c r="Q107" i="2"/>
  <c r="AD110" i="2"/>
  <c r="AD113" i="2"/>
  <c r="D88" i="2"/>
  <c r="D96" i="2"/>
  <c r="AD104" i="2"/>
  <c r="AD112" i="2"/>
  <c r="D65" i="2"/>
  <c r="D84" i="2"/>
  <c r="D89" i="2"/>
  <c r="Q89" i="2"/>
  <c r="Q90" i="2"/>
  <c r="D92" i="2"/>
  <c r="Q97" i="2"/>
  <c r="Q98" i="2"/>
  <c r="D100" i="2"/>
  <c r="D105" i="2"/>
  <c r="Q105" i="2"/>
  <c r="Q106" i="2"/>
  <c r="D108" i="2"/>
  <c r="D113" i="2"/>
  <c r="Q113" i="2"/>
  <c r="Q114" i="2"/>
  <c r="D85" i="2"/>
  <c r="D109" i="2"/>
  <c r="AD83" i="2"/>
  <c r="AD84" i="2"/>
  <c r="AD91" i="2"/>
  <c r="AD92" i="2"/>
  <c r="AD99" i="2"/>
  <c r="AD100" i="2"/>
  <c r="AD107" i="2"/>
  <c r="AD108" i="2"/>
  <c r="AD87" i="2"/>
  <c r="AD95" i="2"/>
  <c r="AD96" i="2"/>
  <c r="AD103" i="2"/>
  <c r="AD111" i="2"/>
  <c r="D86" i="2"/>
  <c r="D87" i="2"/>
  <c r="Q88" i="2"/>
  <c r="D94" i="2"/>
  <c r="D95" i="2"/>
  <c r="Q96" i="2"/>
  <c r="AD98" i="2"/>
  <c r="D102" i="2"/>
  <c r="D103" i="2"/>
  <c r="Q104" i="2"/>
  <c r="D110" i="2"/>
  <c r="D111" i="2"/>
  <c r="Q112" i="2"/>
  <c r="AD114" i="2"/>
  <c r="AD85" i="2"/>
  <c r="Q87" i="2"/>
  <c r="AD90" i="2"/>
  <c r="D93" i="2"/>
  <c r="AD93" i="2"/>
  <c r="Q95" i="2"/>
  <c r="D101" i="2"/>
  <c r="AD101" i="2"/>
  <c r="Q103" i="2"/>
  <c r="AD106" i="2"/>
  <c r="AD109" i="2"/>
  <c r="Q111" i="2"/>
  <c r="D23" i="2"/>
  <c r="D49" i="2"/>
  <c r="D48" i="2"/>
  <c r="D78" i="2"/>
  <c r="D18" i="2"/>
  <c r="D58" i="2"/>
  <c r="D51" i="2"/>
  <c r="D25" i="2"/>
  <c r="D70" i="2"/>
  <c r="D14" i="2"/>
  <c r="D57" i="2"/>
  <c r="D77" i="2"/>
  <c r="D9" i="2"/>
  <c r="D15" i="2"/>
  <c r="D47" i="2"/>
  <c r="D44" i="2"/>
  <c r="D82" i="2"/>
  <c r="D60" i="2"/>
  <c r="D8" i="2"/>
  <c r="D74" i="2"/>
  <c r="D31" i="2"/>
  <c r="D50" i="2"/>
  <c r="D73" i="2"/>
  <c r="D38" i="2"/>
  <c r="D19" i="2"/>
  <c r="D59" i="2"/>
  <c r="D72" i="2"/>
  <c r="D56" i="2"/>
  <c r="A7" i="2"/>
  <c r="A13" i="2"/>
  <c r="A10" i="2"/>
  <c r="A43" i="2"/>
  <c r="A6" i="2"/>
  <c r="A53" i="2"/>
  <c r="A12" i="2"/>
  <c r="A17" i="2"/>
  <c r="A22" i="2"/>
  <c r="A21" i="2"/>
  <c r="A11" i="2"/>
  <c r="A28" i="2"/>
  <c r="A76" i="2"/>
  <c r="A71" i="2"/>
  <c r="A42" i="2"/>
  <c r="A32" i="2"/>
  <c r="A34" i="2"/>
  <c r="A26" i="2"/>
  <c r="A5" i="2"/>
  <c r="A20" i="2"/>
  <c r="A40" i="2"/>
  <c r="A55" i="2"/>
  <c r="A30" i="2"/>
  <c r="A24" i="2"/>
  <c r="A68" i="2"/>
  <c r="A64" i="2"/>
  <c r="A27" i="2"/>
  <c r="A75" i="2"/>
  <c r="A67" i="2"/>
  <c r="A37" i="2"/>
  <c r="A62" i="2"/>
  <c r="A61" i="2"/>
  <c r="A36" i="2"/>
  <c r="A80" i="2"/>
  <c r="A81" i="2"/>
  <c r="A52" i="2"/>
  <c r="A66" i="2"/>
  <c r="A54" i="2"/>
  <c r="A63" i="2"/>
  <c r="A39" i="2"/>
  <c r="A41" i="2"/>
  <c r="A35" i="2"/>
  <c r="A69" i="2"/>
  <c r="A29" i="2"/>
  <c r="A16" i="2"/>
  <c r="A79" i="2"/>
  <c r="AE5" i="2"/>
  <c r="R5" i="2"/>
  <c r="F5" i="2"/>
  <c r="AH5" i="2"/>
  <c r="AF5" i="2"/>
  <c r="U5" i="2"/>
  <c r="S5" i="2"/>
  <c r="H5" i="2"/>
  <c r="E5" i="2"/>
  <c r="AD5" i="2" l="1"/>
  <c r="D55" i="2"/>
  <c r="D67" i="2"/>
  <c r="D64" i="2"/>
  <c r="D75" i="2"/>
  <c r="D63" i="2"/>
  <c r="D30" i="2"/>
  <c r="D80" i="2"/>
  <c r="D36" i="2"/>
  <c r="D24" i="2"/>
  <c r="D66" i="2"/>
  <c r="D39" i="2"/>
  <c r="D69" i="2"/>
  <c r="D62" i="2"/>
  <c r="D81" i="2"/>
  <c r="D5" i="2"/>
  <c r="D29" i="2"/>
  <c r="D37" i="2"/>
  <c r="D68" i="2"/>
  <c r="D52" i="2"/>
  <c r="D41" i="2"/>
  <c r="D79" i="2"/>
  <c r="Q5" i="2"/>
  <c r="D27" i="2"/>
  <c r="D54" i="2"/>
  <c r="D61" i="2"/>
  <c r="D35" i="2"/>
  <c r="D16" i="2"/>
  <c r="D7" i="2"/>
  <c r="D22" i="2"/>
  <c r="D17" i="2"/>
  <c r="D42" i="2"/>
  <c r="D26" i="2"/>
  <c r="D34" i="2"/>
  <c r="D40" i="2"/>
  <c r="D13" i="2"/>
  <c r="D43" i="2"/>
  <c r="D28" i="2"/>
  <c r="D20" i="2"/>
  <c r="D53" i="2"/>
  <c r="D76" i="2"/>
  <c r="D10" i="2"/>
  <c r="D6" i="2"/>
  <c r="D12" i="2"/>
  <c r="D11" i="2"/>
  <c r="D21" i="2"/>
  <c r="D71" i="2"/>
  <c r="D3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C37970-1D0E-4B83-8AAD-E9D4B9EAB427}" keepAlive="1" name="Query - poolresults (2)" description="Connection to the 'poolresults (2)' query in the workbook." type="5" refreshedVersion="8" background="1" saveData="1">
    <dbPr connection="Provider=Microsoft.Mashup.OleDb.1;Data Source=$Workbook$;Location=&quot;poolresults (2)&quot;;Extended Properties=&quot;&quot;" command="SELECT * FROM [poolresults (2)]"/>
  </connection>
  <connection id="2" xr16:uid="{1D3F2627-28AD-4C19-9171-7DBE010A3909}" keepAlive="1" name="Query - poolresults (3)" description="Connection to the 'poolresults (3)' query in the workbook." type="5" refreshedVersion="8" background="1" saveData="1">
    <dbPr connection="Provider=Microsoft.Mashup.OleDb.1;Data Source=$Workbook$;Location=&quot;poolresults (3)&quot;;Extended Properties=&quot;&quot;" command="SELECT * FROM [poolresults (3)]"/>
  </connection>
</connections>
</file>

<file path=xl/sharedStrings.xml><?xml version="1.0" encoding="utf-8"?>
<sst xmlns="http://schemas.openxmlformats.org/spreadsheetml/2006/main" count="1920" uniqueCount="201">
  <si>
    <t>L.P.</t>
  </si>
  <si>
    <t>IMIĘ NAZWISKO</t>
  </si>
  <si>
    <t>V/M</t>
  </si>
  <si>
    <t>TS</t>
  </si>
  <si>
    <t>Ind</t>
  </si>
  <si>
    <t>MP</t>
  </si>
  <si>
    <t>PP1</t>
  </si>
  <si>
    <t>PP2</t>
  </si>
  <si>
    <t>PP3</t>
  </si>
  <si>
    <t>GANSZCZYK Marcin</t>
  </si>
  <si>
    <t>NOWICKI Robert</t>
  </si>
  <si>
    <t>ZAWROTNIAK Przemysław</t>
  </si>
  <si>
    <t>KROCHMALSKI Jakub</t>
  </si>
  <si>
    <t>GAJDA Leszek</t>
  </si>
  <si>
    <t>ZABŁOCKI Michał</t>
  </si>
  <si>
    <t>KOSIŃSKI Łukasz</t>
  </si>
  <si>
    <t>WINGROWICZ Mariusz</t>
  </si>
  <si>
    <t>MAZIK Aleksander</t>
  </si>
  <si>
    <t>KACZMAREK Paweł</t>
  </si>
  <si>
    <t>GRACZYK Bogdan</t>
  </si>
  <si>
    <t>MŁYNEK Janusz</t>
  </si>
  <si>
    <t>JAROSZEK Zbigniew</t>
  </si>
  <si>
    <t>WIERZBICKI Jacek</t>
  </si>
  <si>
    <t>OWCZAREK Ewelina</t>
  </si>
  <si>
    <t>KUCIĘBA Piotr</t>
  </si>
  <si>
    <t>REDZIŃSKI Michał</t>
  </si>
  <si>
    <t>RUDY Andrzej</t>
  </si>
  <si>
    <t>SAJEWICZ Izabela</t>
  </si>
  <si>
    <t>GAJDA Zbigniew</t>
  </si>
  <si>
    <t>CHUDYCKI Artur</t>
  </si>
  <si>
    <t>HAJDAS Martyna</t>
  </si>
  <si>
    <t>TK</t>
  </si>
  <si>
    <t>MAINKA Andrzej</t>
  </si>
  <si>
    <t>GĘZIKIEWICZ Marcin</t>
  </si>
  <si>
    <t>PRĘGOWSKI Jerzy</t>
  </si>
  <si>
    <t>PRZYSTAJKO Daniel</t>
  </si>
  <si>
    <t>SZYMAŃSKI Adam</t>
  </si>
  <si>
    <t>FUHRMANN Ulrike</t>
  </si>
  <si>
    <t>KIEROŃSKI Tomasz</t>
  </si>
  <si>
    <t>SZEPIETOWSKI Rafał</t>
  </si>
  <si>
    <t>TECŁAW Robert</t>
  </si>
  <si>
    <t>ROMANOWICZ Aleksiej</t>
  </si>
  <si>
    <t>KMIECIK Adam</t>
  </si>
  <si>
    <t>MIKOŁAJCZUK Norbert</t>
  </si>
  <si>
    <t>KOWALEWSKI Rafał</t>
  </si>
  <si>
    <t>KOTSEV Ivan</t>
  </si>
  <si>
    <t>RUTECKI Paweł</t>
  </si>
  <si>
    <t>JUSZKIEWICZ Piotr</t>
  </si>
  <si>
    <t>BORYSIUK Zbigniew</t>
  </si>
  <si>
    <t>BARAŃSKI Wacław</t>
  </si>
  <si>
    <t>BUJKO Paulina</t>
  </si>
  <si>
    <t>DARUL Tomasz</t>
  </si>
  <si>
    <t>KOTTS Radosław</t>
  </si>
  <si>
    <t>SULŻYC Piotr</t>
  </si>
  <si>
    <t>GRACZYK Anna</t>
  </si>
  <si>
    <t>MIECZYŃSKI Adam</t>
  </si>
  <si>
    <t>SPŁAWA-NEYMAN Maciej</t>
  </si>
  <si>
    <t>WOJCIECHOWSKI Marek</t>
  </si>
  <si>
    <t>KARKOSZ Jan</t>
  </si>
  <si>
    <t>PLUCIŃSKI Paweł</t>
  </si>
  <si>
    <t>FARAGO József</t>
  </si>
  <si>
    <t>RAJKIEWICZ Radosław</t>
  </si>
  <si>
    <t>DWORAKOWSKA-BANAŚ Agnieszka</t>
  </si>
  <si>
    <t>KARWAT Aleksandra</t>
  </si>
  <si>
    <t>GAWLE Katarzyna</t>
  </si>
  <si>
    <t>KIERSZNICKI Ryszard</t>
  </si>
  <si>
    <t>KOZAK Marta</t>
  </si>
  <si>
    <t>MIKULICKA Joanna</t>
  </si>
  <si>
    <t>KORONA-TRZEBSKI Przemysław</t>
  </si>
  <si>
    <t>BROSCH Artur</t>
  </si>
  <si>
    <t>SOSNOWSKA Aniela</t>
  </si>
  <si>
    <t>WASILCZUK Beata</t>
  </si>
  <si>
    <t>SAMECKA -NACZYŃSKA Martyna</t>
  </si>
  <si>
    <t>BARTUSIK Grzegorz</t>
  </si>
  <si>
    <t>MILCZAREK Renata</t>
  </si>
  <si>
    <t>ADAMCZEWSKI Wojciech</t>
  </si>
  <si>
    <t>OSSOWSKI Wojciech</t>
  </si>
  <si>
    <t>CHOJNACKI Tomasz</t>
  </si>
  <si>
    <t>DOMAŃSKI Sławomir</t>
  </si>
  <si>
    <t>KOŁUCKI Michał</t>
  </si>
  <si>
    <t>NOWICKI Wiesław</t>
  </si>
  <si>
    <t>TARANCZEWSKI Janusz</t>
  </si>
  <si>
    <t>miejsce i data: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</si>
  <si>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</si>
  <si>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</si>
  <si>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</si>
  <si>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</si>
  <si>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</si>
  <si>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</si>
  <si>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</si>
  <si>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</si>
  <si>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</si>
  <si>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</si>
  <si>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</si>
  <si>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>KOLEJARZ 24 KATOWICE</t>
  </si>
  <si>
    <t xml:space="preserve"> POL</t>
  </si>
  <si>
    <t>KU AZS-UAM POZNAŃ</t>
  </si>
  <si>
    <t>3T</t>
  </si>
  <si>
    <t>KS CRACOVIA 1906.</t>
  </si>
  <si>
    <t>MUKS VICTOR WARSZAWA</t>
  </si>
  <si>
    <t>DRAGON ŁÓDŹ</t>
  </si>
  <si>
    <t>MAZIK ALEKSANDER</t>
  </si>
  <si>
    <t>MKS KUSY SZCZECIN</t>
  </si>
  <si>
    <t>ZAGŁĘBIOWSKI KLUB SZERMIERCZY</t>
  </si>
  <si>
    <t>O.Ś. AZS POZNAŃ</t>
  </si>
  <si>
    <t>WIERZBICKI JACEK</t>
  </si>
  <si>
    <t>AZS KU POLITECHNIKI OPOLSKIEJ</t>
  </si>
  <si>
    <t>AZS AWF WARSZAWA</t>
  </si>
  <si>
    <t>ST. POLSKICH WETERANÓW SZERMIERKI</t>
  </si>
  <si>
    <t>KS KARABELA</t>
  </si>
  <si>
    <t>2T</t>
  </si>
  <si>
    <t>35T</t>
  </si>
  <si>
    <t>KONIN 29.09.2024</t>
  </si>
  <si>
    <t>https://www.fencingtimelive.com/pools/results/48B3B35694194E2299C4885DA3E478C4/58C4EE89356E4C8180A4A431D7992A55</t>
  </si>
  <si>
    <t>Kolejarz 24 Katowice</t>
  </si>
  <si>
    <t> POL</t>
  </si>
  <si>
    <t>KS Dragon Łódź</t>
  </si>
  <si>
    <t>Cracovia 1905, Kraków</t>
  </si>
  <si>
    <t>KU UAM Poznań</t>
  </si>
  <si>
    <t>Koniński Klub Szermierczy</t>
  </si>
  <si>
    <t> BUL</t>
  </si>
  <si>
    <t>ZKS Sosnowiec</t>
  </si>
  <si>
    <t>KU AZS ASzWoj</t>
  </si>
  <si>
    <t>KŚ AZS Poznań</t>
  </si>
  <si>
    <t>AZS Politechnika Opolska</t>
  </si>
  <si>
    <t>UKS Hajduczek Olsztyn</t>
  </si>
  <si>
    <t>SPWS</t>
  </si>
  <si>
    <t>29T</t>
  </si>
  <si>
    <t>AZS AWF Warszawa</t>
  </si>
  <si>
    <t>https://www.fencingtimelive.com/pools/results/48B3B35694194E2299C4885DA3E478C4/1AA8D489CD6B48C2BC538775D11F2FB1</t>
  </si>
  <si>
    <t>BYTOM 27.10.2024</t>
  </si>
  <si>
    <t>https://www.fencingtimelive.com/pools/results/531DA31C163040509F98F81C822F3E55/C39EF8979D404339874D72FA19503BC0</t>
  </si>
  <si>
    <t>KU AZS UAM Poznań</t>
  </si>
  <si>
    <t>7T</t>
  </si>
  <si>
    <t>KU AZS ASZWOJ</t>
  </si>
  <si>
    <t>AZS POLITECHNIKA OPOLSKA</t>
  </si>
  <si>
    <t>KKSZ KONIN</t>
  </si>
  <si>
    <t>https://www.fencingtimelive.com/pools/results/531DA31C163040509F98F81C822F3E55/A1C14AA24FBF42649D809979C3F335BC</t>
  </si>
  <si>
    <t>KRAKÓW 01.12.2024</t>
  </si>
  <si>
    <t>https://www.fencingtimelive.com/pools/results/85977BF4E61F45DAB7602CFB6D755623/DD6E6F701219450489F980A22CA5F2BD</t>
  </si>
  <si>
    <t>KUCIĘBA PIOTR</t>
  </si>
  <si>
    <t>KU AZS ASZWOJ WARSZAWA</t>
  </si>
  <si>
    <t>KARKOSZ JAN</t>
  </si>
  <si>
    <t>REDZIŃSKI MICHAŁ</t>
  </si>
  <si>
    <t>SPŁAWA-NEYMAN MACIEJ</t>
  </si>
  <si>
    <t>SZPADA SZAMOTUŁY</t>
  </si>
  <si>
    <t>UKS START OPOLE</t>
  </si>
  <si>
    <t>DWORAKOWSKA-BANAŚ AGNIESZKA</t>
  </si>
  <si>
    <t>UKS DZIKA W ŚWIERZNIE</t>
  </si>
  <si>
    <t>KARWAT ALEKSANDRA</t>
  </si>
  <si>
    <t>https://www.fencingtimelive.com/pools/results/85977BF4E61F45DAB7602CFB6D755623/DC958DDCDA5E4F97BE6D2F50936E8310</t>
  </si>
  <si>
    <t>KOŃCZYŁO Tomasz</t>
  </si>
  <si>
    <t>31T</t>
  </si>
  <si>
    <t>kat</t>
  </si>
  <si>
    <t>3k</t>
  </si>
  <si>
    <t>1k</t>
  </si>
  <si>
    <t>2k</t>
  </si>
  <si>
    <t>0k</t>
  </si>
  <si>
    <t>4k</t>
  </si>
  <si>
    <t>https://www.fencingtimelive.com/pools/results/120E8F2B60AB45DA94BA872C29291A6E/679D2E917CF84522B18C871E97FC9571</t>
  </si>
  <si>
    <t>WARSZAWA 23.02.2025</t>
  </si>
  <si>
    <t>15T</t>
  </si>
  <si>
    <t>21T</t>
  </si>
  <si>
    <t>Faegteklubben Trekanten</t>
  </si>
  <si>
    <t>33T</t>
  </si>
  <si>
    <t>OLBRYCHSKI Antoni</t>
  </si>
  <si>
    <t>WIERZBA Weronika</t>
  </si>
  <si>
    <t>PP4</t>
  </si>
  <si>
    <t>https://www.fencingtimelive.com/pools/results/120E8F2B60AB45DA94BA872C29291A6E/E8F829C734C04F5FB7703EE1F731688D</t>
  </si>
  <si>
    <t>27T</t>
  </si>
  <si>
    <t>SZCZECIN 27.04.2025</t>
  </si>
  <si>
    <t>https://www.fencingtimelive.com/pools/results/04AEFBAD04174A6B8D69B14D7AA77181/8B14CAE349764F0B90FE4BA961A90717</t>
  </si>
  <si>
    <t>https://www.fencingtimelive.com/pools/results/04AEFBAD04174A6B8D69B14D7AA77181/44FEE6F4D90B4EEAB8D04A67AB721E26</t>
  </si>
  <si>
    <t>PP5</t>
  </si>
  <si>
    <t>CRACOVIA</t>
  </si>
  <si>
    <t>KONIŃSKI KLUB SZERMIERCZY</t>
  </si>
  <si>
    <t>DRAGON LODZ</t>
  </si>
  <si>
    <t>GRUNEWALD BERLIN</t>
  </si>
  <si>
    <t> GER</t>
  </si>
  <si>
    <t>MUKS VICTOR</t>
  </si>
  <si>
    <t>KŚ AZS POZNAŃ</t>
  </si>
  <si>
    <t>WOLAŃSKI Adam</t>
  </si>
  <si>
    <t>UKS DZIKA ŚWIERZNO</t>
  </si>
  <si>
    <t>SPWS SZCZECIN</t>
  </si>
  <si>
    <t>OWCZAREK Elżbieta</t>
  </si>
  <si>
    <t>Certain promotion</t>
  </si>
  <si>
    <t>https://www.fencingtimelive.com/pools/results/9B8A16518BEB48109EE773D1CD09CE8A/79EBEBFEC7E0465C9CC52644A8EFF2E1</t>
  </si>
  <si>
    <t>PABIANICE</t>
  </si>
  <si>
    <t>8.06.2025</t>
  </si>
  <si>
    <t>CRACOVIA 1906</t>
  </si>
  <si>
    <t>KU AZS ASzwoj Warszawa</t>
  </si>
  <si>
    <t>Dragon Łódź</t>
  </si>
  <si>
    <t>AZS AWF POZNAŃ</t>
  </si>
  <si>
    <t>MUKS Victor Warszawa</t>
  </si>
  <si>
    <t>MKS KUSY</t>
  </si>
  <si>
    <t>Stowarzyszenie Polskich Weteranów Szermierki</t>
  </si>
  <si>
    <t>UKS Dzikaw Świerznie</t>
  </si>
  <si>
    <t>STANISŁAWSKI Albert</t>
  </si>
  <si>
    <t>https://www.fencingtimelive.com/pools/results/9B8A16518BEB48109EE773D1CD09CE8A/9285A055279044158B2465671EA2E3B6</t>
  </si>
  <si>
    <t>1T</t>
  </si>
  <si>
    <t>OWCZAREK ElŻbieta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</si>
</sst>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1"/>
      <color rgb="FF212529"/>
      <name val="Arial"/>
      <family val="2"/>
    </font>
    <font>
      <sz val="11"/>
      <color rgb="FF008000"/>
      <name val="Arial"/>
      <family val="2"/>
    </font>
    <font>
      <sz val="10"/>
      <color rgb="FF212529"/>
      <name val="Arial"/>
      <family val="2"/>
    </font>
    <font>
      <sz val="10"/>
      <color rgb="FF008000"/>
      <name val="Arial"/>
      <family val="2"/>
    </font>
    <font>
      <sz val="11"/>
      <color rgb="FF212529"/>
      <name val="Roboto"/>
    </font>
    <font>
      <sz val="11"/>
      <color rgb="FF008000"/>
      <name val="Roboto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3" borderId="0" xfId="1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4" borderId="16" xfId="2" applyBorder="1" applyAlignment="1">
      <alignment horizontal="left" vertical="center"/>
    </xf>
    <xf numFmtId="0" fontId="1" fillId="4" borderId="17" xfId="2" applyBorder="1" applyAlignment="1">
      <alignment horizontal="left" vertical="center"/>
    </xf>
    <xf numFmtId="0" fontId="1" fillId="4" borderId="18" xfId="2" applyBorder="1" applyAlignment="1">
      <alignment horizontal="left" vertical="center"/>
    </xf>
    <xf numFmtId="0" fontId="0" fillId="6" borderId="13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2" fontId="0" fillId="5" borderId="8" xfId="0" applyNumberFormat="1" applyFill="1" applyBorder="1" applyAlignment="1">
      <alignment horizontal="center"/>
    </xf>
    <xf numFmtId="0" fontId="1" fillId="4" borderId="21" xfId="2" applyBorder="1" applyAlignment="1">
      <alignment horizontal="left" vertical="center"/>
    </xf>
    <xf numFmtId="0" fontId="1" fillId="4" borderId="22" xfId="2" applyBorder="1" applyAlignment="1">
      <alignment horizontal="left" vertical="center"/>
    </xf>
    <xf numFmtId="0" fontId="0" fillId="7" borderId="20" xfId="0" applyFill="1" applyBorder="1" applyAlignment="1">
      <alignment horizontal="center" vertical="center"/>
    </xf>
    <xf numFmtId="0" fontId="8" fillId="8" borderId="23" xfId="0" applyFont="1" applyFill="1" applyBorder="1" applyAlignment="1">
      <alignment vertical="center" wrapText="1"/>
    </xf>
    <xf numFmtId="0" fontId="9" fillId="8" borderId="23" xfId="0" applyFont="1" applyFill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3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0" fontId="12" fillId="8" borderId="23" xfId="0" applyFont="1" applyFill="1" applyBorder="1" applyAlignment="1">
      <alignment vertical="center" wrapText="1"/>
    </xf>
    <xf numFmtId="0" fontId="13" fillId="8" borderId="2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4" borderId="14" xfId="2" applyBorder="1" applyAlignment="1">
      <alignment horizontal="center" vertical="center"/>
    </xf>
    <xf numFmtId="0" fontId="1" fillId="4" borderId="15" xfId="2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4" borderId="19" xfId="2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3" applyAlignment="1">
      <alignment horizontal="center" vertical="center" wrapText="1"/>
    </xf>
  </cellXfs>
  <cellStyles count="4">
    <cellStyle name="20% — akcent 3" xfId="2" builtinId="38"/>
    <cellStyle name="Akcent 1" xfId="1" builtinId="29"/>
    <cellStyle name="Hiperłącze" xfId="3" builtinId="8"/>
    <cellStyle name="Normalny" xfId="0" builtinId="0"/>
  </cellStyles>
  <dxfs count="5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F5F599-5A85-4942-8421-71AA32190576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D28CB3-E3AD-429E-B302-29533D44E520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353FF-74D1-4D2E-86E7-1A75196ED651}" name="poolresults__2" displayName="poolresults__2" ref="A5:K40" tableType="queryTable" totalsRowShown="0" headerRowDxfId="4">
  <autoFilter ref="A5:K40" xr:uid="{11D353FF-74D1-4D2E-86E7-1A75196ED651}"/>
  <tableColumns count="11">
    <tableColumn id="1" xr3:uid="{8A034672-5790-4AA5-8016-4809A9EC1AC2}" uniqueName="1" name="Place" queryTableFieldId="1"/>
    <tableColumn id="2" xr3:uid="{C6836CC2-DE29-4B75-B929-B23BCC47D5A8}" uniqueName="2" name="Name" queryTableFieldId="2"/>
    <tableColumn id="3" xr3:uid="{CEDBFE96-E8E1-418A-A6A3-1113574FD627}" uniqueName="3" name="V" queryTableFieldId="3"/>
    <tableColumn id="4" xr3:uid="{4A6439C7-8F02-4476-A651-2811FA66DBFC}" uniqueName="4" name="M" queryTableFieldId="4"/>
    <tableColumn id="5" xr3:uid="{08B020AB-5C66-42C6-A51A-13BC2CB6D50F}" uniqueName="5" name="V / M" queryTableFieldId="5"/>
    <tableColumn id="6" xr3:uid="{B79D9758-1682-4D49-A46F-063E7B383216}" uniqueName="6" name="TS" queryTableFieldId="6"/>
    <tableColumn id="7" xr3:uid="{66885C3E-0D35-45D1-B97E-E4B923039B7D}" uniqueName="7" name="TR" queryTableFieldId="7"/>
    <tableColumn id="8" xr3:uid="{3E19D70C-7E1F-4F4B-A712-B6EF513F1629}" uniqueName="8" name="Ind" queryTableFieldId="8"/>
    <tableColumn id="9" xr3:uid="{F71DD892-1C6E-4360-A942-FD3FF65F2106}" uniqueName="9" name="Status" queryTableFieldId="9"/>
    <tableColumn id="10" xr3:uid="{3F84B3D8-5DD6-40DA-AB76-32233952A595}" uniqueName="10" name="Club(s)" queryTableFieldId="10"/>
    <tableColumn id="11" xr3:uid="{BE8501A5-E21D-4AC3-8251-8C4839AA0D7D}" uniqueName="11" name="Country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1F307-410E-4954-B3DB-CABB310A492A}" name="poolresults__3" displayName="poolresults__3" ref="A5:K39" tableType="queryTable" totalsRowShown="0" headerRowDxfId="3">
  <autoFilter ref="A5:K39" xr:uid="{AC11F307-410E-4954-B3DB-CABB310A492A}"/>
  <tableColumns count="11">
    <tableColumn id="1" xr3:uid="{97E7435F-3C00-4A63-9CA7-215B37F89CCF}" uniqueName="1" name="Place" queryTableFieldId="1"/>
    <tableColumn id="2" xr3:uid="{12BE4696-20F7-404F-8D22-F620555D8A31}" uniqueName="2" name="Name" queryTableFieldId="2"/>
    <tableColumn id="3" xr3:uid="{38AFBF41-B160-4A50-9C95-D38B61C2FF34}" uniqueName="3" name="V" queryTableFieldId="3"/>
    <tableColumn id="4" xr3:uid="{766A7429-A8D8-4681-BD69-5B369A9051AE}" uniqueName="4" name="M" queryTableFieldId="4"/>
    <tableColumn id="5" xr3:uid="{0D94C2D2-9647-4475-ABEC-676F2C00DAB8}" uniqueName="5" name="V / M" queryTableFieldId="5"/>
    <tableColumn id="6" xr3:uid="{2C298FD9-5EBF-4D24-B81D-4B4169A9A432}" uniqueName="6" name="TS" queryTableFieldId="6"/>
    <tableColumn id="7" xr3:uid="{306F0E71-AE12-482B-9E0F-DD730DBBDAC5}" uniqueName="7" name="TR" queryTableFieldId="7"/>
    <tableColumn id="8" xr3:uid="{3275E757-25B9-488E-9AEA-00B9AB6FFEF8}" uniqueName="8" name="Ind" queryTableFieldId="8"/>
    <tableColumn id="9" xr3:uid="{3F73F43C-9920-4C6E-AE7F-86C8B96A87E1}" uniqueName="9" name="Status" queryTableFieldId="9"/>
    <tableColumn id="10" xr3:uid="{1EF9D759-7420-4112-901A-D62CEA85399B}" uniqueName="10" name="Club(s)" queryTableFieldId="10"/>
    <tableColumn id="11" xr3:uid="{6FD9BCFA-F650-4003-84F5-755C1A8BF817}" uniqueName="11" name="Country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9B8A16518BEB48109EE773D1CD09CE8A/79EBEBFEC7E0465C9CC52644A8EFF2E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9B8A16518BEB48109EE773D1CD09CE8A/9285A055279044158B2465671EA2E3B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48B3B35694194E2299C4885DA3E478C4/58C4EE89356E4C8180A4A431D7992A5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48B3B35694194E2299C4885DA3E478C4/1AA8D489CD6B48C2BC538775D11F2FB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531DA31C163040509F98F81C822F3E55/C39EF8979D404339874D72FA19503BC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531DA31C163040509F98F81C822F3E55/A1C14AA24FBF42649D809979C3F335BC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pools/results/85977BF4E61F45DAB7602CFB6D755623/DD6E6F701219450489F980A22CA5F2BD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fencingtimelive.com/pools/results/85977BF4E61F45DAB7602CFB6D755623/DC958DDCDA5E4F97BE6D2F50936E8310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pools/results/120E8F2B60AB45DA94BA872C29291A6E/679D2E917CF84522B18C871E97FC957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120E8F2B60AB45DA94BA872C29291A6E/E8F829C734C04F5FB7703EE1F731688D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pools/results/04AEFBAD04174A6B8D69B14D7AA77181/8B14CAE349764F0B90FE4BA961A90717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04AEFBAD04174A6B8D69B14D7AA77181/44FEE6F4D90B4EEAB8D04A67AB721E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4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5" sqref="C5"/>
    </sheetView>
  </sheetViews>
  <sheetFormatPr defaultColWidth="11.625" defaultRowHeight="12.75" customHeight="1" x14ac:dyDescent="0.2"/>
  <cols>
    <col min="1" max="2" width="4.75" bestFit="1" customWidth="1"/>
    <col min="3" max="3" width="29" bestFit="1" customWidth="1"/>
    <col min="4" max="4" width="9.75" style="2" customWidth="1"/>
    <col min="5" max="5" width="4.75" style="4" customWidth="1"/>
    <col min="6" max="6" width="4.75" style="11" customWidth="1"/>
    <col min="7" max="7" width="4.75" style="12" customWidth="1"/>
    <col min="8" max="8" width="4.75" style="11" customWidth="1"/>
    <col min="9" max="9" width="4.75" style="12" customWidth="1"/>
    <col min="10" max="10" width="4.75" style="4" customWidth="1"/>
    <col min="11" max="11" width="4.75" style="12" customWidth="1"/>
    <col min="12" max="12" width="4.75" style="11" customWidth="1"/>
    <col min="13" max="13" width="4.75" style="12" customWidth="1"/>
    <col min="14" max="14" width="4.75" style="4" customWidth="1"/>
    <col min="15" max="15" width="4.75" style="12" customWidth="1"/>
    <col min="16" max="16" width="4.75" style="4" customWidth="1"/>
    <col min="17" max="17" width="4.75" style="8" customWidth="1"/>
    <col min="18" max="18" width="4.75" style="4" customWidth="1"/>
    <col min="19" max="19" width="4.75" style="11" customWidth="1"/>
    <col min="20" max="20" width="4.75" style="12" customWidth="1"/>
    <col min="21" max="21" width="4.75" style="11" customWidth="1"/>
    <col min="22" max="22" width="4.75" style="12" customWidth="1"/>
    <col min="23" max="23" width="4.75" style="4" customWidth="1"/>
    <col min="24" max="24" width="4.75" style="12" customWidth="1"/>
    <col min="25" max="25" width="4.75" style="11" customWidth="1"/>
    <col min="26" max="26" width="4.75" style="12" customWidth="1"/>
    <col min="27" max="27" width="4.75" style="4" customWidth="1"/>
    <col min="28" max="28" width="4.75" style="12" customWidth="1"/>
    <col min="29" max="29" width="4.75" style="4" customWidth="1"/>
    <col min="30" max="30" width="4.75" style="8" customWidth="1"/>
    <col min="31" max="31" width="4.75" style="4" customWidth="1"/>
    <col min="32" max="32" width="4.75" style="11" customWidth="1"/>
    <col min="33" max="33" width="4.75" style="12" customWidth="1"/>
    <col min="34" max="34" width="4.75" style="11" customWidth="1"/>
    <col min="35" max="35" width="4.75" style="12" customWidth="1"/>
    <col min="36" max="36" width="4.75" style="11" customWidth="1"/>
    <col min="37" max="37" width="4.75" style="12" customWidth="1"/>
    <col min="38" max="38" width="4.75" style="11" customWidth="1"/>
    <col min="39" max="39" width="4.75" style="12" customWidth="1"/>
    <col min="40" max="40" width="4.75" style="11" customWidth="1"/>
    <col min="41" max="41" width="4.75" style="12" customWidth="1"/>
    <col min="42" max="42" width="4.75" style="13" customWidth="1"/>
    <col min="43" max="43" width="3.75" customWidth="1"/>
    <col min="44" max="45" width="23.875" bestFit="1" customWidth="1"/>
  </cols>
  <sheetData>
    <row r="1" spans="1:42" ht="12.9" x14ac:dyDescent="0.2">
      <c r="F1" s="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4"/>
    </row>
    <row r="2" spans="1:42" ht="13.95" customHeight="1" x14ac:dyDescent="0.2">
      <c r="A2" s="39" t="s">
        <v>0</v>
      </c>
      <c r="B2" s="39" t="s">
        <v>153</v>
      </c>
      <c r="C2" s="39" t="s">
        <v>1</v>
      </c>
      <c r="D2" s="39" t="s">
        <v>2</v>
      </c>
      <c r="E2" s="44" t="s">
        <v>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6"/>
      <c r="Q2" s="39" t="s">
        <v>3</v>
      </c>
      <c r="R2" s="44" t="s">
        <v>3</v>
      </c>
      <c r="S2" s="45"/>
      <c r="T2" s="45"/>
      <c r="U2" s="45"/>
      <c r="V2" s="45"/>
      <c r="W2" s="45"/>
      <c r="X2" s="45"/>
      <c r="Y2" s="45"/>
      <c r="Z2" s="45"/>
      <c r="AA2" s="45"/>
      <c r="AB2" s="45"/>
      <c r="AC2" s="46"/>
      <c r="AD2" s="39" t="s">
        <v>4</v>
      </c>
      <c r="AE2" s="48" t="s">
        <v>4</v>
      </c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50"/>
    </row>
    <row r="3" spans="1:42" ht="13.95" customHeight="1" x14ac:dyDescent="0.2">
      <c r="A3" s="40"/>
      <c r="B3" s="40"/>
      <c r="C3" s="40"/>
      <c r="D3" s="40"/>
      <c r="E3" s="42" t="s">
        <v>5</v>
      </c>
      <c r="F3" s="43"/>
      <c r="G3" s="43" t="s">
        <v>6</v>
      </c>
      <c r="H3" s="43"/>
      <c r="I3" s="43" t="s">
        <v>7</v>
      </c>
      <c r="J3" s="43"/>
      <c r="K3" s="43" t="s">
        <v>8</v>
      </c>
      <c r="L3" s="43"/>
      <c r="M3" s="43" t="s">
        <v>167</v>
      </c>
      <c r="N3" s="43"/>
      <c r="O3" s="43" t="s">
        <v>173</v>
      </c>
      <c r="P3" s="47"/>
      <c r="Q3" s="40"/>
      <c r="R3" s="42" t="s">
        <v>5</v>
      </c>
      <c r="S3" s="43"/>
      <c r="T3" s="43" t="s">
        <v>6</v>
      </c>
      <c r="U3" s="43"/>
      <c r="V3" s="43" t="s">
        <v>7</v>
      </c>
      <c r="W3" s="43"/>
      <c r="X3" s="43" t="s">
        <v>8</v>
      </c>
      <c r="Y3" s="43"/>
      <c r="Z3" s="43" t="s">
        <v>167</v>
      </c>
      <c r="AA3" s="43"/>
      <c r="AB3" s="43" t="s">
        <v>173</v>
      </c>
      <c r="AC3" s="47"/>
      <c r="AD3" s="40"/>
      <c r="AE3" s="42" t="s">
        <v>5</v>
      </c>
      <c r="AF3" s="43"/>
      <c r="AG3" s="43" t="s">
        <v>6</v>
      </c>
      <c r="AH3" s="43"/>
      <c r="AI3" s="43" t="s">
        <v>7</v>
      </c>
      <c r="AJ3" s="43"/>
      <c r="AK3" s="43" t="s">
        <v>8</v>
      </c>
      <c r="AL3" s="43"/>
      <c r="AM3" s="43" t="s">
        <v>167</v>
      </c>
      <c r="AN3" s="43"/>
      <c r="AO3" s="43" t="s">
        <v>173</v>
      </c>
      <c r="AP3" s="47"/>
    </row>
    <row r="4" spans="1:42" ht="13.95" customHeight="1" x14ac:dyDescent="0.2">
      <c r="A4" s="41"/>
      <c r="B4" s="41"/>
      <c r="C4" s="41"/>
      <c r="D4" s="40"/>
      <c r="E4" s="15">
        <v>1</v>
      </c>
      <c r="F4" s="16">
        <v>2</v>
      </c>
      <c r="G4" s="17">
        <v>1</v>
      </c>
      <c r="H4" s="16">
        <v>2</v>
      </c>
      <c r="I4" s="17">
        <v>1</v>
      </c>
      <c r="J4" s="27">
        <v>2</v>
      </c>
      <c r="K4" s="17">
        <v>1</v>
      </c>
      <c r="L4" s="16">
        <v>2</v>
      </c>
      <c r="M4" s="17">
        <v>1</v>
      </c>
      <c r="N4" s="27">
        <v>2</v>
      </c>
      <c r="O4" s="17">
        <v>1</v>
      </c>
      <c r="P4" s="27">
        <v>2</v>
      </c>
      <c r="Q4" s="40"/>
      <c r="R4" s="15">
        <v>1</v>
      </c>
      <c r="S4" s="16">
        <v>2</v>
      </c>
      <c r="T4" s="17">
        <v>1</v>
      </c>
      <c r="U4" s="16">
        <v>2</v>
      </c>
      <c r="V4" s="17">
        <v>1</v>
      </c>
      <c r="W4" s="27">
        <v>2</v>
      </c>
      <c r="X4" s="17">
        <v>1</v>
      </c>
      <c r="Y4" s="16">
        <v>2</v>
      </c>
      <c r="Z4" s="17">
        <v>1</v>
      </c>
      <c r="AA4" s="27">
        <v>2</v>
      </c>
      <c r="AB4" s="17">
        <v>1</v>
      </c>
      <c r="AC4" s="27">
        <v>2</v>
      </c>
      <c r="AD4" s="40"/>
      <c r="AE4" s="15">
        <v>1</v>
      </c>
      <c r="AF4" s="16">
        <v>2</v>
      </c>
      <c r="AG4" s="17">
        <v>1</v>
      </c>
      <c r="AH4" s="16">
        <v>2</v>
      </c>
      <c r="AI4" s="17">
        <v>1</v>
      </c>
      <c r="AJ4" s="16">
        <v>2</v>
      </c>
      <c r="AK4" s="17">
        <v>1</v>
      </c>
      <c r="AL4" s="16">
        <v>2</v>
      </c>
      <c r="AM4" s="17">
        <v>1</v>
      </c>
      <c r="AN4" s="16">
        <v>2</v>
      </c>
      <c r="AO4" s="17">
        <v>1</v>
      </c>
      <c r="AP4" s="28">
        <v>2</v>
      </c>
    </row>
    <row r="5" spans="1:42" ht="14.3" x14ac:dyDescent="0.25">
      <c r="A5" s="1">
        <f>ROW()-4</f>
        <v>1</v>
      </c>
      <c r="B5" s="1">
        <v>2</v>
      </c>
      <c r="C5" s="3" t="s">
        <v>11</v>
      </c>
      <c r="D5" s="26">
        <f>SUM(E5:P5)</f>
        <v>10.25</v>
      </c>
      <c r="E5" s="23">
        <f>_xlfn.XLOOKUP($C5,'MP (1)'!$B$6:$B$100,'MP (1)'!$E$6:$E$100,"")</f>
        <v>0.75</v>
      </c>
      <c r="F5" s="22">
        <f>_xlfn.XLOOKUP($C5,'MP (2)'!$B$6:$B$100,'MP (2)'!$E$6:$E$100,"")</f>
        <v>0.8</v>
      </c>
      <c r="G5" s="21">
        <f>_xlfn.XLOOKUP($C5,'PP1 (1)'!$B$6:$B$66,'PP1 (1)'!$E$6:$E$66,"")</f>
        <v>0.8</v>
      </c>
      <c r="H5" s="22">
        <f>_xlfn.XLOOKUP($C5,'PP1 (2)'!$B$6:$B$100,'PP1 (2)'!$E$6:$E$100,"")</f>
        <v>0.8</v>
      </c>
      <c r="I5" s="18">
        <f>_xlfn.XLOOKUP($C5,'PP2 (1)'!$B$6:$B$99,'PP2 (1)'!$E$6:$E$99,"")</f>
        <v>0.67</v>
      </c>
      <c r="J5" s="20">
        <f>_xlfn.XLOOKUP($C5,'PP2 (2)'!$B$6:$B$100,'PP2 (2)'!$E$6:$E$100,"")</f>
        <v>0.83</v>
      </c>
      <c r="K5" s="21">
        <f>_xlfn.XLOOKUP($C5,'PP3 (1)'!$B$5:$B$113,'PP3 (1)'!$E$5:$E$113,"")</f>
        <v>1</v>
      </c>
      <c r="L5" s="22">
        <f>_xlfn.XLOOKUP($C5,'PP3 (2)'!$B$5:$B$112,'PP3 (2)'!$E$5:$E$112,"")</f>
        <v>1</v>
      </c>
      <c r="M5" s="18">
        <f>_xlfn.XLOOKUP($C5,'PP4 (1)'!$B$6:$B$100,'PP4 (1)'!$E$6:$E$100,"")</f>
        <v>0.8</v>
      </c>
      <c r="N5" s="20">
        <f>_xlfn.XLOOKUP($C5,'PP4 (2)'!$B$6:$B$100,'PP4 (2)'!$E$6:$E$100,"")</f>
        <v>0.8</v>
      </c>
      <c r="O5" s="21">
        <f>_xlfn.XLOOKUP($C5,'PP5 (1)'!$B$6:$B$100,'PP5 (1)'!$E$6:$E$100,"")</f>
        <v>1</v>
      </c>
      <c r="P5" s="23">
        <f>_xlfn.XLOOKUP($C5,'PP5(2)'!$B$6:$B$100,'PP5(2)'!$E$6:$E$100,"")</f>
        <v>1</v>
      </c>
      <c r="Q5" s="10">
        <f>SUM(R5:AC5)</f>
        <v>290</v>
      </c>
      <c r="R5" s="23">
        <f>_xlfn.XLOOKUP($C5,'MP (1)'!$B$6:$B$100,'MP (1)'!$F$6:$F$100,"")</f>
        <v>19</v>
      </c>
      <c r="S5" s="22">
        <f>_xlfn.XLOOKUP($C5,'MP (2)'!$B$6:$B$100,'MP (2)'!$F$6:$F$100,"")</f>
        <v>23</v>
      </c>
      <c r="T5" s="21">
        <f>_xlfn.XLOOKUP($C5,'PP1 (1)'!$B$6:$B$66,'PP1 (1)'!$F$6:$F$66,"")</f>
        <v>24</v>
      </c>
      <c r="U5" s="22">
        <f>_xlfn.XLOOKUP($C5,'PP1 (2)'!$B$6:$B$100,'PP1 (2)'!$F$6:$F$100,"")</f>
        <v>22</v>
      </c>
      <c r="V5" s="18">
        <f>_xlfn.XLOOKUP($C5,'PP2 (1)'!$B$6:$B$99,'PP2 (1)'!$F$6:$F$99,"")</f>
        <v>25</v>
      </c>
      <c r="W5" s="20">
        <f>_xlfn.XLOOKUP($C5,'PP2 (2)'!$B$6:$B$100,'PP2 (2)'!$F$6:$F$100,"")</f>
        <v>29</v>
      </c>
      <c r="X5" s="21">
        <f>_xlfn.XLOOKUP($C5,'PP3 (1)'!$B$5:$B$113,'PP3 (1)'!$F$5:$F$113,"")</f>
        <v>30</v>
      </c>
      <c r="Y5" s="22">
        <f>_xlfn.XLOOKUP($C5,'PP3 (2)'!$B$5:$B$112,'PP3 (2)'!$F$5:$F$112,"")</f>
        <v>25</v>
      </c>
      <c r="Z5" s="18">
        <f>_xlfn.XLOOKUP($C5,'PP4 (1)'!$B$6:$B$100,'PP4 (1)'!$F$6:$F$100,"")</f>
        <v>20</v>
      </c>
      <c r="AA5" s="20">
        <f>_xlfn.XLOOKUP($C5,'PP4 (2)'!$B$6:$B$100,'PP4 (2)'!$F$6:$F$100,"")</f>
        <v>23</v>
      </c>
      <c r="AB5" s="21">
        <f>_xlfn.XLOOKUP($C5,'PP5 (1)'!$B$6:$B$100,'PP5 (1)'!$F$6:$F$100,"")</f>
        <v>25</v>
      </c>
      <c r="AC5" s="23">
        <f>_xlfn.XLOOKUP($C5,'PP5(2)'!$B$6:$B$100,'PP5(2)'!$F$6:$F$100,"")</f>
        <v>25</v>
      </c>
      <c r="AD5" s="10">
        <f>SUM(AE5:AP5)</f>
        <v>166</v>
      </c>
      <c r="AE5" s="23">
        <f>_xlfn.XLOOKUP($C5,'MP (1)'!$B$6:$B$100,'MP (1)'!$H$6:$H$100,"")</f>
        <v>8</v>
      </c>
      <c r="AF5" s="22">
        <f>_xlfn.XLOOKUP($C5,'MP (2)'!$B$6:$B$100,'MP (2)'!$H$6:$H$100,"")</f>
        <v>14</v>
      </c>
      <c r="AG5" s="21">
        <f>_xlfn.XLOOKUP($C5,'PP1 (1)'!$B$6:$B$66,'PP1 (1)'!$H$6:$H$66,"")</f>
        <v>14</v>
      </c>
      <c r="AH5" s="22">
        <f>_xlfn.XLOOKUP($C5,'PP1 (2)'!$B$6:$B$100,'PP1 (2)'!$H$6:$H$100,"")</f>
        <v>16</v>
      </c>
      <c r="AI5" s="18">
        <f>_xlfn.XLOOKUP($C5,'PP2 (1)'!$B$6:$B$99,'PP2 (1)'!$H$6:$H$99,"")</f>
        <v>8</v>
      </c>
      <c r="AJ5" s="19">
        <f>_xlfn.XLOOKUP($C5,'PP2 (2)'!$B$6:$B$100,'PP2 (2)'!$H$6:$H$100,"")</f>
        <v>16</v>
      </c>
      <c r="AK5" s="21">
        <f>_xlfn.XLOOKUP($C5,'PP3 (1)'!$B$5:$B$113,'PP3 (1)'!$H$5:$H$113,"")</f>
        <v>22</v>
      </c>
      <c r="AL5" s="22">
        <f>_xlfn.XLOOKUP($C5,'PP3 (2)'!$B$5:$B$112,'PP3 (2)'!$H$5:$H$112,"")</f>
        <v>14</v>
      </c>
      <c r="AM5" s="18">
        <f>_xlfn.XLOOKUP($C5,'PP4 (1)'!$B$6:$B$100,'PP4 (1)'!$H$6:$H$100,"")</f>
        <v>8</v>
      </c>
      <c r="AN5" s="19">
        <f>_xlfn.XLOOKUP($C5,'PP4 (2)'!$B$6:$B$100,'PP4 (2)'!$H$6:$H$100,"")</f>
        <v>13</v>
      </c>
      <c r="AO5" s="21">
        <f>_xlfn.XLOOKUP($C5,'PP5 (1)'!$B$6:$B$100,'PP5 (1)'!$H$6:$H$100,"")</f>
        <v>13</v>
      </c>
      <c r="AP5" s="29">
        <f>_xlfn.XLOOKUP($C5,'PP5(2)'!$B$6:$B$100,'PP5(2)'!$H$6:$H$100,"")</f>
        <v>20</v>
      </c>
    </row>
    <row r="6" spans="1:42" ht="14.3" x14ac:dyDescent="0.25">
      <c r="A6" s="1">
        <f>ROW()-4</f>
        <v>2</v>
      </c>
      <c r="B6" s="1">
        <v>2</v>
      </c>
      <c r="C6" s="3" t="s">
        <v>10</v>
      </c>
      <c r="D6" s="26">
        <f>SUM(E6:P6)</f>
        <v>10.190000000000001</v>
      </c>
      <c r="E6" s="23">
        <f>_xlfn.XLOOKUP($C6,'MP (1)'!$B$6:$B$100,'MP (1)'!$E$6:$E$100,"")</f>
        <v>0.83</v>
      </c>
      <c r="F6" s="22">
        <f>_xlfn.XLOOKUP($C6,'MP (2)'!$B$6:$B$100,'MP (2)'!$E$6:$E$100,"")</f>
        <v>0.8</v>
      </c>
      <c r="G6" s="21">
        <f>_xlfn.XLOOKUP($C6,'PP1 (1)'!$B$6:$B$66,'PP1 (1)'!$E$6:$E$66,"")</f>
        <v>0.8</v>
      </c>
      <c r="H6" s="22">
        <f>_xlfn.XLOOKUP($C6,'PP1 (2)'!$B$6:$B$100,'PP1 (2)'!$E$6:$E$100,"")</f>
        <v>0.5</v>
      </c>
      <c r="I6" s="18">
        <f>_xlfn.XLOOKUP($C6,'PP2 (1)'!$B$6:$B$99,'PP2 (1)'!$E$6:$E$99,"")</f>
        <v>1</v>
      </c>
      <c r="J6" s="20">
        <f>_xlfn.XLOOKUP($C6,'PP2 (2)'!$B$6:$B$100,'PP2 (2)'!$E$6:$E$100,"")</f>
        <v>0.8</v>
      </c>
      <c r="K6" s="21">
        <f>_xlfn.XLOOKUP($C6,'PP3 (1)'!$B$5:$B$113,'PP3 (1)'!$E$5:$E$113,"")</f>
        <v>0.83</v>
      </c>
      <c r="L6" s="22">
        <f>_xlfn.XLOOKUP($C6,'PP3 (2)'!$B$5:$B$112,'PP3 (2)'!$E$5:$E$112,"")</f>
        <v>0.83</v>
      </c>
      <c r="M6" s="18">
        <f>_xlfn.XLOOKUP($C6,'PP4 (1)'!$B$6:$B$100,'PP4 (1)'!$E$6:$E$100,"")</f>
        <v>1</v>
      </c>
      <c r="N6" s="20">
        <f>_xlfn.XLOOKUP($C6,'PP4 (2)'!$B$6:$B$100,'PP4 (2)'!$E$6:$E$100,"")</f>
        <v>1</v>
      </c>
      <c r="O6" s="21">
        <f>_xlfn.XLOOKUP($C6,'PP5 (1)'!$B$6:$B$100,'PP5 (1)'!$E$6:$E$100,"")</f>
        <v>1</v>
      </c>
      <c r="P6" s="23">
        <f>_xlfn.XLOOKUP($C6,'PP5(2)'!$B$6:$B$100,'PP5(2)'!$E$6:$E$100,"")</f>
        <v>0.8</v>
      </c>
      <c r="Q6" s="10">
        <f>SUM(R6:AC6)</f>
        <v>277</v>
      </c>
      <c r="R6" s="23">
        <f>_xlfn.XLOOKUP($C6,'MP (1)'!$B$6:$B$100,'MP (1)'!$F$6:$F$100,"")</f>
        <v>28</v>
      </c>
      <c r="S6" s="22">
        <f>_xlfn.XLOOKUP($C6,'MP (2)'!$B$6:$B$100,'MP (2)'!$F$6:$F$100,"")</f>
        <v>22</v>
      </c>
      <c r="T6" s="21">
        <f>_xlfn.XLOOKUP($C6,'PP1 (1)'!$B$6:$B$66,'PP1 (1)'!$F$6:$F$66,"")</f>
        <v>20</v>
      </c>
      <c r="U6" s="22">
        <f>_xlfn.XLOOKUP($C6,'PP1 (2)'!$B$6:$B$100,'PP1 (2)'!$F$6:$F$100,"")</f>
        <v>15</v>
      </c>
      <c r="V6" s="18">
        <f>_xlfn.XLOOKUP($C6,'PP2 (1)'!$B$6:$B$99,'PP2 (1)'!$F$6:$F$99,"")</f>
        <v>25</v>
      </c>
      <c r="W6" s="20">
        <f>_xlfn.XLOOKUP($C6,'PP2 (2)'!$B$6:$B$100,'PP2 (2)'!$F$6:$F$100,"")</f>
        <v>22</v>
      </c>
      <c r="X6" s="21">
        <f>_xlfn.XLOOKUP($C6,'PP3 (1)'!$B$5:$B$113,'PP3 (1)'!$F$5:$F$113,"")</f>
        <v>26</v>
      </c>
      <c r="Y6" s="22">
        <f>_xlfn.XLOOKUP($C6,'PP3 (2)'!$B$5:$B$112,'PP3 (2)'!$F$5:$F$112,"")</f>
        <v>28</v>
      </c>
      <c r="Z6" s="18">
        <f>_xlfn.XLOOKUP($C6,'PP4 (1)'!$B$6:$B$100,'PP4 (1)'!$F$6:$F$100,"")</f>
        <v>20</v>
      </c>
      <c r="AA6" s="20">
        <f>_xlfn.XLOOKUP($C6,'PP4 (2)'!$B$6:$B$100,'PP4 (2)'!$F$6:$F$100,"")</f>
        <v>25</v>
      </c>
      <c r="AB6" s="21">
        <f>_xlfn.XLOOKUP($C6,'PP5 (1)'!$B$6:$B$100,'PP5 (1)'!$F$6:$F$100,"")</f>
        <v>25</v>
      </c>
      <c r="AC6" s="23">
        <f>_xlfn.XLOOKUP($C6,'PP5(2)'!$B$6:$B$100,'PP5(2)'!$F$6:$F$100,"")</f>
        <v>21</v>
      </c>
      <c r="AD6" s="10">
        <f>SUM(AE6:AP6)</f>
        <v>139</v>
      </c>
      <c r="AE6" s="23">
        <f>_xlfn.XLOOKUP($C6,'MP (1)'!$B$6:$B$100,'MP (1)'!$H$6:$H$100,"")</f>
        <v>12</v>
      </c>
      <c r="AF6" s="22">
        <f>_xlfn.XLOOKUP($C6,'MP (2)'!$B$6:$B$100,'MP (2)'!$H$6:$H$100,"")</f>
        <v>9</v>
      </c>
      <c r="AG6" s="21">
        <f>_xlfn.XLOOKUP($C6,'PP1 (1)'!$B$6:$B$66,'PP1 (1)'!$H$6:$H$66,"")</f>
        <v>7</v>
      </c>
      <c r="AH6" s="22">
        <f>_xlfn.XLOOKUP($C6,'PP1 (2)'!$B$6:$B$100,'PP1 (2)'!$H$6:$H$100,"")</f>
        <v>5</v>
      </c>
      <c r="AI6" s="18">
        <f>_xlfn.XLOOKUP($C6,'PP2 (1)'!$B$6:$B$99,'PP2 (1)'!$H$6:$H$99,"")</f>
        <v>17</v>
      </c>
      <c r="AJ6" s="19">
        <f>_xlfn.XLOOKUP($C6,'PP2 (2)'!$B$6:$B$100,'PP2 (2)'!$H$6:$H$100,"")</f>
        <v>6</v>
      </c>
      <c r="AK6" s="21">
        <f>_xlfn.XLOOKUP($C6,'PP3 (1)'!$B$5:$B$113,'PP3 (1)'!$H$5:$H$113,"")</f>
        <v>13</v>
      </c>
      <c r="AL6" s="22">
        <f>_xlfn.XLOOKUP($C6,'PP3 (2)'!$B$5:$B$112,'PP3 (2)'!$H$5:$H$112,"")</f>
        <v>19</v>
      </c>
      <c r="AM6" s="18">
        <f>_xlfn.XLOOKUP($C6,'PP4 (1)'!$B$6:$B$100,'PP4 (1)'!$H$6:$H$100,"")</f>
        <v>11</v>
      </c>
      <c r="AN6" s="19">
        <f>_xlfn.XLOOKUP($C6,'PP4 (2)'!$B$6:$B$100,'PP4 (2)'!$H$6:$H$100,"")</f>
        <v>17</v>
      </c>
      <c r="AO6" s="21">
        <f>_xlfn.XLOOKUP($C6,'PP5 (1)'!$B$6:$B$100,'PP5 (1)'!$H$6:$H$100,"")</f>
        <v>17</v>
      </c>
      <c r="AP6" s="29">
        <f>_xlfn.XLOOKUP($C6,'PP5(2)'!$B$6:$B$100,'PP5(2)'!$H$6:$H$100,"")</f>
        <v>6</v>
      </c>
    </row>
    <row r="7" spans="1:42" ht="14.3" x14ac:dyDescent="0.25">
      <c r="A7" s="1">
        <f>ROW()-4</f>
        <v>3</v>
      </c>
      <c r="B7" s="1">
        <v>2</v>
      </c>
      <c r="C7" s="3" t="s">
        <v>9</v>
      </c>
      <c r="D7" s="9">
        <f>SUM(E7:P7)</f>
        <v>8.5599999999999987</v>
      </c>
      <c r="E7" s="23" t="str">
        <f>_xlfn.XLOOKUP($C7,'MP (1)'!$B$6:$B$100,'MP (1)'!$E$6:$E$100,"")</f>
        <v/>
      </c>
      <c r="F7" s="22" t="str">
        <f>_xlfn.XLOOKUP($C7,'MP (2)'!$B$6:$B$100,'MP (2)'!$E$6:$E$100,"")</f>
        <v/>
      </c>
      <c r="G7" s="21">
        <f>_xlfn.XLOOKUP($C7,'PP1 (1)'!$B$6:$B$66,'PP1 (1)'!$E$6:$E$66,"")</f>
        <v>1</v>
      </c>
      <c r="H7" s="22">
        <f>_xlfn.XLOOKUP($C7,'PP1 (2)'!$B$6:$B$100,'PP1 (2)'!$E$6:$E$100,"")</f>
        <v>0.83</v>
      </c>
      <c r="I7" s="18">
        <f>_xlfn.XLOOKUP($C7,'PP2 (1)'!$B$6:$B$99,'PP2 (1)'!$E$6:$E$99,"")</f>
        <v>1</v>
      </c>
      <c r="J7" s="20">
        <f>_xlfn.XLOOKUP($C7,'PP2 (2)'!$B$6:$B$100,'PP2 (2)'!$E$6:$E$100,"")</f>
        <v>0.5</v>
      </c>
      <c r="K7" s="21">
        <f>_xlfn.XLOOKUP($C7,'PP3 (1)'!$B$5:$B$113,'PP3 (1)'!$E$5:$E$113,"")</f>
        <v>0.83</v>
      </c>
      <c r="L7" s="22">
        <f>_xlfn.XLOOKUP($C7,'PP3 (2)'!$B$5:$B$112,'PP3 (2)'!$E$5:$E$112,"")</f>
        <v>1</v>
      </c>
      <c r="M7" s="18">
        <f>_xlfn.XLOOKUP($C7,'PP4 (1)'!$B$6:$B$100,'PP4 (1)'!$E$6:$E$100,"")</f>
        <v>0.8</v>
      </c>
      <c r="N7" s="20">
        <f>_xlfn.XLOOKUP($C7,'PP4 (2)'!$B$6:$B$100,'PP4 (2)'!$E$6:$E$100,"")</f>
        <v>0.8</v>
      </c>
      <c r="O7" s="21">
        <f>_xlfn.XLOOKUP($C7,'PP5 (1)'!$B$6:$B$100,'PP5 (1)'!$E$6:$E$100,"")</f>
        <v>0.8</v>
      </c>
      <c r="P7" s="23">
        <f>_xlfn.XLOOKUP($C7,'PP5(2)'!$B$6:$B$100,'PP5(2)'!$E$6:$E$100,"")</f>
        <v>1</v>
      </c>
      <c r="Q7" s="10">
        <f>SUM(R7:AC7)</f>
        <v>255</v>
      </c>
      <c r="R7" s="23" t="str">
        <f>_xlfn.XLOOKUP($C7,'MP (1)'!$B$6:$B$100,'MP (1)'!$F$6:$F$100,"")</f>
        <v/>
      </c>
      <c r="S7" s="22" t="str">
        <f>_xlfn.XLOOKUP($C7,'MP (2)'!$B$6:$B$100,'MP (2)'!$F$6:$F$100,"")</f>
        <v/>
      </c>
      <c r="T7" s="21">
        <f>_xlfn.XLOOKUP($C7,'PP1 (1)'!$B$6:$B$66,'PP1 (1)'!$F$6:$F$66,"")</f>
        <v>30</v>
      </c>
      <c r="U7" s="22">
        <f>_xlfn.XLOOKUP($C7,'PP1 (2)'!$B$6:$B$100,'PP1 (2)'!$F$6:$F$100,"")</f>
        <v>29</v>
      </c>
      <c r="V7" s="18">
        <f>_xlfn.XLOOKUP($C7,'PP2 (1)'!$B$6:$B$99,'PP2 (1)'!$F$6:$F$99,"")</f>
        <v>25</v>
      </c>
      <c r="W7" s="20">
        <f>_xlfn.XLOOKUP($C7,'PP2 (2)'!$B$6:$B$100,'PP2 (2)'!$F$6:$F$100,"")</f>
        <v>24</v>
      </c>
      <c r="X7" s="21">
        <f>_xlfn.XLOOKUP($C7,'PP3 (1)'!$B$5:$B$113,'PP3 (1)'!$F$5:$F$113,"")</f>
        <v>28</v>
      </c>
      <c r="Y7" s="22">
        <f>_xlfn.XLOOKUP($C7,'PP3 (2)'!$B$5:$B$112,'PP3 (2)'!$F$5:$F$112,"")</f>
        <v>30</v>
      </c>
      <c r="Z7" s="18">
        <f>_xlfn.XLOOKUP($C7,'PP4 (1)'!$B$6:$B$100,'PP4 (1)'!$F$6:$F$100,"")</f>
        <v>24</v>
      </c>
      <c r="AA7" s="20">
        <f>_xlfn.XLOOKUP($C7,'PP4 (2)'!$B$6:$B$100,'PP4 (2)'!$F$6:$F$100,"")</f>
        <v>21</v>
      </c>
      <c r="AB7" s="21">
        <f>_xlfn.XLOOKUP($C7,'PP5 (1)'!$B$6:$B$100,'PP5 (1)'!$F$6:$F$100,"")</f>
        <v>24</v>
      </c>
      <c r="AC7" s="23">
        <f>_xlfn.XLOOKUP($C7,'PP5(2)'!$B$6:$B$100,'PP5(2)'!$F$6:$F$100,"")</f>
        <v>20</v>
      </c>
      <c r="AD7" s="10">
        <f>SUM(AE7:AP7)</f>
        <v>157</v>
      </c>
      <c r="AE7" s="23" t="str">
        <f>_xlfn.XLOOKUP($C7,'MP (1)'!$B$6:$B$100,'MP (1)'!$H$6:$H$100,"")</f>
        <v/>
      </c>
      <c r="AF7" s="22" t="str">
        <f>_xlfn.XLOOKUP($C7,'MP (2)'!$B$6:$B$100,'MP (2)'!$H$6:$H$100,"")</f>
        <v/>
      </c>
      <c r="AG7" s="21">
        <f>_xlfn.XLOOKUP($C7,'PP1 (1)'!$B$6:$B$66,'PP1 (1)'!$H$6:$H$66,"")</f>
        <v>20</v>
      </c>
      <c r="AH7" s="22">
        <f>_xlfn.XLOOKUP($C7,'PP1 (2)'!$B$6:$B$100,'PP1 (2)'!$H$6:$H$100,"")</f>
        <v>22</v>
      </c>
      <c r="AI7" s="18">
        <f>_xlfn.XLOOKUP($C7,'PP2 (1)'!$B$6:$B$99,'PP2 (1)'!$H$6:$H$99,"")</f>
        <v>20</v>
      </c>
      <c r="AJ7" s="19">
        <f>_xlfn.XLOOKUP($C7,'PP2 (2)'!$B$6:$B$100,'PP2 (2)'!$H$6:$H$100,"")</f>
        <v>5</v>
      </c>
      <c r="AK7" s="21">
        <f>_xlfn.XLOOKUP($C7,'PP3 (1)'!$B$5:$B$113,'PP3 (1)'!$H$5:$H$113,"")</f>
        <v>18</v>
      </c>
      <c r="AL7" s="22">
        <f>_xlfn.XLOOKUP($C7,'PP3 (2)'!$B$5:$B$112,'PP3 (2)'!$H$5:$H$112,"")</f>
        <v>18</v>
      </c>
      <c r="AM7" s="18">
        <f>_xlfn.XLOOKUP($C7,'PP4 (1)'!$B$6:$B$100,'PP4 (1)'!$H$6:$H$100,"")</f>
        <v>16</v>
      </c>
      <c r="AN7" s="19">
        <f>_xlfn.XLOOKUP($C7,'PP4 (2)'!$B$6:$B$100,'PP4 (2)'!$H$6:$H$100,"")</f>
        <v>11</v>
      </c>
      <c r="AO7" s="21">
        <f>_xlfn.XLOOKUP($C7,'PP5 (1)'!$B$6:$B$100,'PP5 (1)'!$H$6:$H$100,"")</f>
        <v>11</v>
      </c>
      <c r="AP7" s="29">
        <f>_xlfn.XLOOKUP($C7,'PP5(2)'!$B$6:$B$100,'PP5(2)'!$H$6:$H$100,"")</f>
        <v>16</v>
      </c>
    </row>
    <row r="8" spans="1:42" ht="14.3" x14ac:dyDescent="0.25">
      <c r="A8" s="1">
        <f>ROW()-4</f>
        <v>4</v>
      </c>
      <c r="B8" s="1">
        <v>2</v>
      </c>
      <c r="C8" s="3" t="s">
        <v>31</v>
      </c>
      <c r="D8" s="26">
        <f>SUM(E8:P8)</f>
        <v>8.17</v>
      </c>
      <c r="E8" s="23">
        <f>_xlfn.XLOOKUP($C8,'MP (1)'!$B$6:$B$100,'MP (1)'!$E$6:$E$100,"")</f>
        <v>1</v>
      </c>
      <c r="F8" s="22">
        <f>_xlfn.XLOOKUP($C8,'MP (2)'!$B$6:$B$100,'MP (2)'!$E$6:$E$100,"")</f>
        <v>1</v>
      </c>
      <c r="G8" s="21">
        <f>_xlfn.XLOOKUP($C8,'PP1 (1)'!$B$6:$B$66,'PP1 (1)'!$E$6:$E$66,"")</f>
        <v>0.6</v>
      </c>
      <c r="H8" s="22">
        <f>_xlfn.XLOOKUP($C8,'PP1 (2)'!$B$6:$B$100,'PP1 (2)'!$E$6:$E$100,"")</f>
        <v>1</v>
      </c>
      <c r="I8" s="18">
        <f>_xlfn.XLOOKUP($C8,'PP2 (1)'!$B$6:$B$99,'PP2 (1)'!$E$6:$E$99,"")</f>
        <v>0.2</v>
      </c>
      <c r="J8" s="20">
        <f>_xlfn.XLOOKUP($C8,'PP2 (2)'!$B$6:$B$100,'PP2 (2)'!$E$6:$E$100,"")</f>
        <v>0.6</v>
      </c>
      <c r="K8" s="21">
        <f>_xlfn.XLOOKUP($C8,'PP3 (1)'!$B$5:$B$113,'PP3 (1)'!$E$5:$E$113,"")</f>
        <v>0.67</v>
      </c>
      <c r="L8" s="22" t="str">
        <f>_xlfn.XLOOKUP($C8,'PP3 (2)'!$B$5:$B$112,'PP3 (2)'!$E$5:$E$112,"")</f>
        <v/>
      </c>
      <c r="M8" s="18">
        <f>_xlfn.XLOOKUP($C8,'PP4 (1)'!$B$6:$B$100,'PP4 (1)'!$E$6:$E$100,"")</f>
        <v>0.8</v>
      </c>
      <c r="N8" s="20">
        <f>_xlfn.XLOOKUP($C8,'PP4 (2)'!$B$6:$B$100,'PP4 (2)'!$E$6:$E$100,"")</f>
        <v>0.75</v>
      </c>
      <c r="O8" s="21">
        <f>_xlfn.XLOOKUP($C8,'PP5 (1)'!$B$6:$B$100,'PP5 (1)'!$E$6:$E$100,"")</f>
        <v>0.8</v>
      </c>
      <c r="P8" s="23">
        <f>_xlfn.XLOOKUP($C8,'PP5(2)'!$B$6:$B$100,'PP5(2)'!$E$6:$E$100,"")</f>
        <v>0.75</v>
      </c>
      <c r="Q8" s="10">
        <f>SUM(R8:AC8)</f>
        <v>233</v>
      </c>
      <c r="R8" s="23">
        <f>_xlfn.XLOOKUP($C8,'MP (1)'!$B$6:$B$100,'MP (1)'!$F$6:$F$100,"")</f>
        <v>20</v>
      </c>
      <c r="S8" s="22">
        <f>_xlfn.XLOOKUP($C8,'MP (2)'!$B$6:$B$100,'MP (2)'!$F$6:$F$100,"")</f>
        <v>25</v>
      </c>
      <c r="T8" s="21">
        <f>_xlfn.XLOOKUP($C8,'PP1 (1)'!$B$6:$B$66,'PP1 (1)'!$F$6:$F$66,"")</f>
        <v>20</v>
      </c>
      <c r="U8" s="22">
        <f>_xlfn.XLOOKUP($C8,'PP1 (2)'!$B$6:$B$100,'PP1 (2)'!$F$6:$F$100,"")</f>
        <v>20</v>
      </c>
      <c r="V8" s="18">
        <f>_xlfn.XLOOKUP($C8,'PP2 (1)'!$B$6:$B$99,'PP2 (1)'!$F$6:$F$99,"")</f>
        <v>15</v>
      </c>
      <c r="W8" s="20">
        <f>_xlfn.XLOOKUP($C8,'PP2 (2)'!$B$6:$B$100,'PP2 (2)'!$F$6:$F$100,"")</f>
        <v>21</v>
      </c>
      <c r="X8" s="21">
        <f>_xlfn.XLOOKUP($C8,'PP3 (1)'!$B$5:$B$113,'PP3 (1)'!$F$5:$F$113,"")</f>
        <v>28</v>
      </c>
      <c r="Y8" s="22" t="str">
        <f>_xlfn.XLOOKUP($C8,'PP3 (2)'!$B$5:$B$112,'PP3 (2)'!$F$5:$F$112,"")</f>
        <v/>
      </c>
      <c r="Z8" s="18">
        <f>_xlfn.XLOOKUP($C8,'PP4 (1)'!$B$6:$B$100,'PP4 (1)'!$F$6:$F$100,"")</f>
        <v>24</v>
      </c>
      <c r="AA8" s="20">
        <f>_xlfn.XLOOKUP($C8,'PP4 (2)'!$B$6:$B$100,'PP4 (2)'!$F$6:$F$100,"")</f>
        <v>18</v>
      </c>
      <c r="AB8" s="21">
        <f>_xlfn.XLOOKUP($C8,'PP5 (1)'!$B$6:$B$100,'PP5 (1)'!$F$6:$F$100,"")</f>
        <v>24</v>
      </c>
      <c r="AC8" s="23">
        <f>_xlfn.XLOOKUP($C8,'PP5(2)'!$B$6:$B$100,'PP5(2)'!$F$6:$F$100,"")</f>
        <v>18</v>
      </c>
      <c r="AD8" s="10">
        <f>SUM(AE8:AP8)</f>
        <v>90</v>
      </c>
      <c r="AE8" s="23">
        <f>_xlfn.XLOOKUP($C8,'MP (1)'!$B$6:$B$100,'MP (1)'!$H$6:$H$100,"")</f>
        <v>14</v>
      </c>
      <c r="AF8" s="22">
        <f>_xlfn.XLOOKUP($C8,'MP (2)'!$B$6:$B$100,'MP (2)'!$H$6:$H$100,"")</f>
        <v>14</v>
      </c>
      <c r="AG8" s="21">
        <f>_xlfn.XLOOKUP($C8,'PP1 (1)'!$B$6:$B$66,'PP1 (1)'!$H$6:$H$66,"")</f>
        <v>5</v>
      </c>
      <c r="AH8" s="22">
        <f>_xlfn.XLOOKUP($C8,'PP1 (2)'!$B$6:$B$100,'PP1 (2)'!$H$6:$H$100,"")</f>
        <v>15</v>
      </c>
      <c r="AI8" s="18">
        <f>_xlfn.XLOOKUP($C8,'PP2 (1)'!$B$6:$B$99,'PP2 (1)'!$H$6:$H$99,"")</f>
        <v>-8</v>
      </c>
      <c r="AJ8" s="19">
        <f>_xlfn.XLOOKUP($C8,'PP2 (2)'!$B$6:$B$100,'PP2 (2)'!$H$6:$H$100,"")</f>
        <v>3</v>
      </c>
      <c r="AK8" s="21">
        <f>_xlfn.XLOOKUP($C8,'PP3 (1)'!$B$5:$B$113,'PP3 (1)'!$H$5:$H$113,"")</f>
        <v>10</v>
      </c>
      <c r="AL8" s="22" t="str">
        <f>_xlfn.XLOOKUP($C8,'PP3 (2)'!$B$5:$B$112,'PP3 (2)'!$H$5:$H$112,"")</f>
        <v/>
      </c>
      <c r="AM8" s="18">
        <f>_xlfn.XLOOKUP($C8,'PP4 (1)'!$B$6:$B$100,'PP4 (1)'!$H$6:$H$100,"")</f>
        <v>7</v>
      </c>
      <c r="AN8" s="19">
        <f>_xlfn.XLOOKUP($C8,'PP4 (2)'!$B$6:$B$100,'PP4 (2)'!$H$6:$H$100,"")</f>
        <v>8</v>
      </c>
      <c r="AO8" s="21">
        <f>_xlfn.XLOOKUP($C8,'PP5 (1)'!$B$6:$B$100,'PP5 (1)'!$H$6:$H$100,"")</f>
        <v>13</v>
      </c>
      <c r="AP8" s="29">
        <f>_xlfn.XLOOKUP($C8,'PP5(2)'!$B$6:$B$100,'PP5(2)'!$H$6:$H$100,"")</f>
        <v>9</v>
      </c>
    </row>
    <row r="9" spans="1:42" ht="14.3" x14ac:dyDescent="0.25">
      <c r="A9" s="1">
        <f>ROW()-4</f>
        <v>5</v>
      </c>
      <c r="B9" s="1">
        <v>1</v>
      </c>
      <c r="C9" s="3" t="s">
        <v>24</v>
      </c>
      <c r="D9" s="26">
        <f>SUM(E9:P9)</f>
        <v>7.67</v>
      </c>
      <c r="E9" s="23">
        <f>_xlfn.XLOOKUP($C9,'MP (1)'!$B$6:$B$100,'MP (1)'!$E$6:$E$100,"")</f>
        <v>1</v>
      </c>
      <c r="F9" s="22">
        <f>_xlfn.XLOOKUP($C9,'MP (2)'!$B$6:$B$100,'MP (2)'!$E$6:$E$100,"")</f>
        <v>1</v>
      </c>
      <c r="G9" s="21" t="str">
        <f>_xlfn.XLOOKUP($C9,'PP1 (1)'!$B$6:$B$66,'PP1 (1)'!$E$6:$E$66,"")</f>
        <v/>
      </c>
      <c r="H9" s="22" t="str">
        <f>_xlfn.XLOOKUP($C9,'PP1 (2)'!$B$6:$B$100,'PP1 (2)'!$E$6:$E$100,"")</f>
        <v/>
      </c>
      <c r="I9" s="18">
        <f>_xlfn.XLOOKUP($C9,'PP2 (1)'!$B$6:$B$99,'PP2 (1)'!$E$6:$E$99,"")</f>
        <v>0.67</v>
      </c>
      <c r="J9" s="20">
        <f>_xlfn.XLOOKUP($C9,'PP2 (2)'!$B$6:$B$100,'PP2 (2)'!$E$6:$E$100,"")</f>
        <v>1</v>
      </c>
      <c r="K9" s="21">
        <f>_xlfn.XLOOKUP($C9,'PP3 (1)'!$B$5:$B$113,'PP3 (1)'!$E$5:$E$113,"")</f>
        <v>1</v>
      </c>
      <c r="L9" s="22">
        <f>_xlfn.XLOOKUP($C9,'PP3 (2)'!$B$5:$B$112,'PP3 (2)'!$E$5:$E$112,"")</f>
        <v>1</v>
      </c>
      <c r="M9" s="18">
        <f>_xlfn.XLOOKUP($C9,'PP4 (1)'!$B$6:$B$100,'PP4 (1)'!$E$6:$E$100,"")</f>
        <v>1</v>
      </c>
      <c r="N9" s="20">
        <f>_xlfn.XLOOKUP($C9,'PP4 (2)'!$B$6:$B$100,'PP4 (2)'!$E$6:$E$100,"")</f>
        <v>1</v>
      </c>
      <c r="O9" s="21" t="str">
        <f>_xlfn.XLOOKUP($C9,'PP5 (1)'!$B$6:$B$100,'PP5 (1)'!$E$6:$E$100,"")</f>
        <v/>
      </c>
      <c r="P9" s="23" t="str">
        <f>_xlfn.XLOOKUP($C9,'PP5(2)'!$B$6:$B$100,'PP5(2)'!$E$6:$E$100,"")</f>
        <v/>
      </c>
      <c r="Q9" s="10">
        <f>SUM(R9:AC9)</f>
        <v>223</v>
      </c>
      <c r="R9" s="23">
        <f>_xlfn.XLOOKUP($C9,'MP (1)'!$B$6:$B$100,'MP (1)'!$F$6:$F$100,"")</f>
        <v>30</v>
      </c>
      <c r="S9" s="22">
        <f>_xlfn.XLOOKUP($C9,'MP (2)'!$B$6:$B$100,'MP (2)'!$F$6:$F$100,"")</f>
        <v>25</v>
      </c>
      <c r="T9" s="21" t="str">
        <f>_xlfn.XLOOKUP($C9,'PP1 (1)'!$B$6:$B$66,'PP1 (1)'!$F$6:$F$66,"")</f>
        <v/>
      </c>
      <c r="U9" s="22" t="str">
        <f>_xlfn.XLOOKUP($C9,'PP1 (2)'!$B$6:$B$100,'PP1 (2)'!$F$6:$F$100,"")</f>
        <v/>
      </c>
      <c r="V9" s="18">
        <f>_xlfn.XLOOKUP($C9,'PP2 (1)'!$B$6:$B$99,'PP2 (1)'!$F$6:$F$99,"")</f>
        <v>28</v>
      </c>
      <c r="W9" s="20">
        <f>_xlfn.XLOOKUP($C9,'PP2 (2)'!$B$6:$B$100,'PP2 (2)'!$F$6:$F$100,"")</f>
        <v>30</v>
      </c>
      <c r="X9" s="21">
        <f>_xlfn.XLOOKUP($C9,'PP3 (1)'!$B$5:$B$113,'PP3 (1)'!$F$5:$F$113,"")</f>
        <v>30</v>
      </c>
      <c r="Y9" s="22">
        <f>_xlfn.XLOOKUP($C9,'PP3 (2)'!$B$5:$B$112,'PP3 (2)'!$F$5:$F$112,"")</f>
        <v>30</v>
      </c>
      <c r="Z9" s="18">
        <f>_xlfn.XLOOKUP($C9,'PP4 (1)'!$B$6:$B$100,'PP4 (1)'!$F$6:$F$100,"")</f>
        <v>25</v>
      </c>
      <c r="AA9" s="20">
        <f>_xlfn.XLOOKUP($C9,'PP4 (2)'!$B$6:$B$100,'PP4 (2)'!$F$6:$F$100,"")</f>
        <v>25</v>
      </c>
      <c r="AB9" s="21" t="str">
        <f>_xlfn.XLOOKUP($C9,'PP5 (1)'!$B$6:$B$100,'PP5 (1)'!$F$6:$F$100,"")</f>
        <v/>
      </c>
      <c r="AC9" s="23" t="str">
        <f>_xlfn.XLOOKUP($C9,'PP5(2)'!$B$6:$B$100,'PP5(2)'!$F$6:$F$100,"")</f>
        <v/>
      </c>
      <c r="AD9" s="10">
        <f>SUM(AE9:AP9)</f>
        <v>153</v>
      </c>
      <c r="AE9" s="23">
        <f>_xlfn.XLOOKUP($C9,'MP (1)'!$B$6:$B$100,'MP (1)'!$H$6:$H$100,"")</f>
        <v>21</v>
      </c>
      <c r="AF9" s="22">
        <f>_xlfn.XLOOKUP($C9,'MP (2)'!$B$6:$B$100,'MP (2)'!$H$6:$H$100,"")</f>
        <v>16</v>
      </c>
      <c r="AG9" s="21" t="str">
        <f>_xlfn.XLOOKUP($C9,'PP1 (1)'!$B$6:$B$66,'PP1 (1)'!$H$6:$H$66,"")</f>
        <v/>
      </c>
      <c r="AH9" s="22" t="str">
        <f>_xlfn.XLOOKUP($C9,'PP1 (2)'!$B$6:$B$100,'PP1 (2)'!$H$6:$H$100,"")</f>
        <v/>
      </c>
      <c r="AI9" s="18">
        <f>_xlfn.XLOOKUP($C9,'PP2 (1)'!$B$6:$B$99,'PP2 (1)'!$H$6:$H$99,"")</f>
        <v>12</v>
      </c>
      <c r="AJ9" s="19">
        <f>_xlfn.XLOOKUP($C9,'PP2 (2)'!$B$6:$B$100,'PP2 (2)'!$H$6:$H$100,"")</f>
        <v>17</v>
      </c>
      <c r="AK9" s="21">
        <f>_xlfn.XLOOKUP($C9,'PP3 (1)'!$B$5:$B$113,'PP3 (1)'!$H$5:$H$113,"")</f>
        <v>25</v>
      </c>
      <c r="AL9" s="22">
        <f>_xlfn.XLOOKUP($C9,'PP3 (2)'!$B$5:$B$112,'PP3 (2)'!$H$5:$H$112,"")</f>
        <v>21</v>
      </c>
      <c r="AM9" s="18">
        <f>_xlfn.XLOOKUP($C9,'PP4 (1)'!$B$6:$B$100,'PP4 (1)'!$H$6:$H$100,"")</f>
        <v>21</v>
      </c>
      <c r="AN9" s="19">
        <f>_xlfn.XLOOKUP($C9,'PP4 (2)'!$B$6:$B$100,'PP4 (2)'!$H$6:$H$100,"")</f>
        <v>20</v>
      </c>
      <c r="AO9" s="21" t="str">
        <f>_xlfn.XLOOKUP($C9,'PP5 (1)'!$B$6:$B$100,'PP5 (1)'!$H$6:$H$100,"")</f>
        <v/>
      </c>
      <c r="AP9" s="29" t="str">
        <f>_xlfn.XLOOKUP($C9,'PP5(2)'!$B$6:$B$100,'PP5(2)'!$H$6:$H$100,"")</f>
        <v/>
      </c>
    </row>
    <row r="10" spans="1:42" ht="14.3" x14ac:dyDescent="0.25">
      <c r="A10" s="1">
        <f>ROW()-4</f>
        <v>6</v>
      </c>
      <c r="B10" s="1">
        <v>1</v>
      </c>
      <c r="C10" s="3" t="s">
        <v>15</v>
      </c>
      <c r="D10" s="9">
        <f>SUM(E10:P10)</f>
        <v>7.4</v>
      </c>
      <c r="E10" s="23">
        <f>_xlfn.XLOOKUP($C10,'MP (1)'!$B$6:$B$100,'MP (1)'!$E$6:$E$100,"")</f>
        <v>0.8</v>
      </c>
      <c r="F10" s="22">
        <f>_xlfn.XLOOKUP($C10,'MP (2)'!$B$6:$B$100,'MP (2)'!$E$6:$E$100,"")</f>
        <v>0.8</v>
      </c>
      <c r="G10" s="21">
        <f>_xlfn.XLOOKUP($C10,'PP1 (1)'!$B$6:$B$66,'PP1 (1)'!$E$6:$E$66,"")</f>
        <v>0.8</v>
      </c>
      <c r="H10" s="22">
        <f>_xlfn.XLOOKUP($C10,'PP1 (2)'!$B$6:$B$100,'PP1 (2)'!$E$6:$E$100,"")</f>
        <v>1</v>
      </c>
      <c r="I10" s="18">
        <f>_xlfn.XLOOKUP($C10,'PP2 (1)'!$B$6:$B$99,'PP2 (1)'!$E$6:$E$99,"")</f>
        <v>1</v>
      </c>
      <c r="J10" s="20">
        <f>_xlfn.XLOOKUP($C10,'PP2 (2)'!$B$6:$B$100,'PP2 (2)'!$E$6:$E$100,"")</f>
        <v>1</v>
      </c>
      <c r="K10" s="21" t="str">
        <f>_xlfn.XLOOKUP($C10,'PP3 (1)'!$B$5:$B$113,'PP3 (1)'!$E$5:$E$113,"")</f>
        <v/>
      </c>
      <c r="L10" s="22" t="str">
        <f>_xlfn.XLOOKUP($C10,'PP3 (2)'!$B$5:$B$112,'PP3 (2)'!$E$5:$E$112,"")</f>
        <v/>
      </c>
      <c r="M10" s="18">
        <f>_xlfn.XLOOKUP($C10,'PP4 (1)'!$B$6:$B$100,'PP4 (1)'!$E$6:$E$100,"")</f>
        <v>1</v>
      </c>
      <c r="N10" s="20">
        <f>_xlfn.XLOOKUP($C10,'PP4 (2)'!$B$6:$B$100,'PP4 (2)'!$E$6:$E$100,"")</f>
        <v>1</v>
      </c>
      <c r="O10" s="21" t="str">
        <f>_xlfn.XLOOKUP($C10,'PP5 (1)'!$B$6:$B$100,'PP5 (1)'!$E$6:$E$100,"")</f>
        <v/>
      </c>
      <c r="P10" s="23" t="str">
        <f>_xlfn.XLOOKUP($C10,'PP5(2)'!$B$6:$B$100,'PP5(2)'!$E$6:$E$100,"")</f>
        <v/>
      </c>
      <c r="Q10" s="10">
        <f>SUM(R10:AC10)</f>
        <v>191</v>
      </c>
      <c r="R10" s="23">
        <f>_xlfn.XLOOKUP($C10,'MP (1)'!$B$6:$B$100,'MP (1)'!$F$6:$F$100,"")</f>
        <v>23</v>
      </c>
      <c r="S10" s="22">
        <f>_xlfn.XLOOKUP($C10,'MP (2)'!$B$6:$B$100,'MP (2)'!$F$6:$F$100,"")</f>
        <v>22</v>
      </c>
      <c r="T10" s="21">
        <f>_xlfn.XLOOKUP($C10,'PP1 (1)'!$B$6:$B$66,'PP1 (1)'!$F$6:$F$66,"")</f>
        <v>21</v>
      </c>
      <c r="U10" s="22">
        <f>_xlfn.XLOOKUP($C10,'PP1 (2)'!$B$6:$B$100,'PP1 (2)'!$F$6:$F$100,"")</f>
        <v>25</v>
      </c>
      <c r="V10" s="18">
        <f>_xlfn.XLOOKUP($C10,'PP2 (1)'!$B$6:$B$99,'PP2 (1)'!$F$6:$F$99,"")</f>
        <v>25</v>
      </c>
      <c r="W10" s="20">
        <f>_xlfn.XLOOKUP($C10,'PP2 (2)'!$B$6:$B$100,'PP2 (2)'!$F$6:$F$100,"")</f>
        <v>25</v>
      </c>
      <c r="X10" s="21" t="str">
        <f>_xlfn.XLOOKUP($C10,'PP3 (1)'!$B$5:$B$113,'PP3 (1)'!$F$5:$F$113,"")</f>
        <v/>
      </c>
      <c r="Y10" s="22" t="str">
        <f>_xlfn.XLOOKUP($C10,'PP3 (2)'!$B$5:$B$112,'PP3 (2)'!$F$5:$F$112,"")</f>
        <v/>
      </c>
      <c r="Z10" s="18">
        <f>_xlfn.XLOOKUP($C10,'PP4 (1)'!$B$6:$B$100,'PP4 (1)'!$F$6:$F$100,"")</f>
        <v>25</v>
      </c>
      <c r="AA10" s="20">
        <f>_xlfn.XLOOKUP($C10,'PP4 (2)'!$B$6:$B$100,'PP4 (2)'!$F$6:$F$100,"")</f>
        <v>25</v>
      </c>
      <c r="AB10" s="21" t="str">
        <f>_xlfn.XLOOKUP($C10,'PP5 (1)'!$B$6:$B$100,'PP5 (1)'!$F$6:$F$100,"")</f>
        <v/>
      </c>
      <c r="AC10" s="23" t="str">
        <f>_xlfn.XLOOKUP($C10,'PP5(2)'!$B$6:$B$100,'PP5(2)'!$F$6:$F$100,"")</f>
        <v/>
      </c>
      <c r="AD10" s="10">
        <f>SUM(AE10:AP10)</f>
        <v>116</v>
      </c>
      <c r="AE10" s="23">
        <f>_xlfn.XLOOKUP($C10,'MP (1)'!$B$6:$B$100,'MP (1)'!$H$6:$H$100,"")</f>
        <v>11</v>
      </c>
      <c r="AF10" s="22">
        <f>_xlfn.XLOOKUP($C10,'MP (2)'!$B$6:$B$100,'MP (2)'!$H$6:$H$100,"")</f>
        <v>10</v>
      </c>
      <c r="AG10" s="21">
        <f>_xlfn.XLOOKUP($C10,'PP1 (1)'!$B$6:$B$66,'PP1 (1)'!$H$6:$H$66,"")</f>
        <v>11</v>
      </c>
      <c r="AH10" s="22">
        <f>_xlfn.XLOOKUP($C10,'PP1 (2)'!$B$6:$B$100,'PP1 (2)'!$H$6:$H$100,"")</f>
        <v>16</v>
      </c>
      <c r="AI10" s="18">
        <f>_xlfn.XLOOKUP($C10,'PP2 (1)'!$B$6:$B$99,'PP2 (1)'!$H$6:$H$99,"")</f>
        <v>16</v>
      </c>
      <c r="AJ10" s="19">
        <f>_xlfn.XLOOKUP($C10,'PP2 (2)'!$B$6:$B$100,'PP2 (2)'!$H$6:$H$100,"")</f>
        <v>16</v>
      </c>
      <c r="AK10" s="21" t="str">
        <f>_xlfn.XLOOKUP($C10,'PP3 (1)'!$B$5:$B$113,'PP3 (1)'!$H$5:$H$113,"")</f>
        <v/>
      </c>
      <c r="AL10" s="22" t="str">
        <f>_xlfn.XLOOKUP($C10,'PP3 (2)'!$B$5:$B$112,'PP3 (2)'!$H$5:$H$112,"")</f>
        <v/>
      </c>
      <c r="AM10" s="18">
        <f>_xlfn.XLOOKUP($C10,'PP4 (1)'!$B$6:$B$100,'PP4 (1)'!$H$6:$H$100,"")</f>
        <v>16</v>
      </c>
      <c r="AN10" s="19">
        <f>_xlfn.XLOOKUP($C10,'PP4 (2)'!$B$6:$B$100,'PP4 (2)'!$H$6:$H$100,"")</f>
        <v>20</v>
      </c>
      <c r="AO10" s="21" t="str">
        <f>_xlfn.XLOOKUP($C10,'PP5 (1)'!$B$6:$B$100,'PP5 (1)'!$H$6:$H$100,"")</f>
        <v/>
      </c>
      <c r="AP10" s="29" t="str">
        <f>_xlfn.XLOOKUP($C10,'PP5(2)'!$B$6:$B$100,'PP5(2)'!$H$6:$H$100,"")</f>
        <v/>
      </c>
    </row>
    <row r="11" spans="1:42" ht="14.3" x14ac:dyDescent="0.25">
      <c r="A11" s="1">
        <f>ROW()-4</f>
        <v>7</v>
      </c>
      <c r="B11" s="1">
        <v>1</v>
      </c>
      <c r="C11" s="3" t="s">
        <v>12</v>
      </c>
      <c r="D11" s="26">
        <f>SUM(E11:P11)</f>
        <v>7.18</v>
      </c>
      <c r="E11" s="23">
        <f>_xlfn.XLOOKUP($C11,'MP (1)'!$B$6:$B$100,'MP (1)'!$E$6:$E$100,"")</f>
        <v>0.83</v>
      </c>
      <c r="F11" s="22">
        <f>_xlfn.XLOOKUP($C11,'MP (2)'!$B$6:$B$100,'MP (2)'!$E$6:$E$100,"")</f>
        <v>1</v>
      </c>
      <c r="G11" s="21">
        <f>_xlfn.XLOOKUP($C11,'PP1 (1)'!$B$6:$B$66,'PP1 (1)'!$E$6:$E$66,"")</f>
        <v>1</v>
      </c>
      <c r="H11" s="22">
        <f>_xlfn.XLOOKUP($C11,'PP1 (2)'!$B$6:$B$100,'PP1 (2)'!$E$6:$E$100,"")</f>
        <v>0.75</v>
      </c>
      <c r="I11" s="18">
        <f>_xlfn.XLOOKUP($C11,'PP2 (1)'!$B$6:$B$99,'PP2 (1)'!$E$6:$E$99,"")</f>
        <v>0.8</v>
      </c>
      <c r="J11" s="20">
        <f>_xlfn.XLOOKUP($C11,'PP2 (2)'!$B$6:$B$100,'PP2 (2)'!$E$6:$E$100,"")</f>
        <v>0.8</v>
      </c>
      <c r="K11" s="21">
        <f>_xlfn.XLOOKUP($C11,'PP3 (1)'!$B$5:$B$113,'PP3 (1)'!$E$5:$E$113,"")</f>
        <v>1</v>
      </c>
      <c r="L11" s="22">
        <f>_xlfn.XLOOKUP($C11,'PP3 (2)'!$B$5:$B$112,'PP3 (2)'!$E$5:$E$112,"")</f>
        <v>1</v>
      </c>
      <c r="M11" s="18" t="str">
        <f>_xlfn.XLOOKUP($C11,'PP4 (1)'!$B$6:$B$100,'PP4 (1)'!$E$6:$E$100,"")</f>
        <v/>
      </c>
      <c r="N11" s="20" t="str">
        <f>_xlfn.XLOOKUP($C11,'PP4 (2)'!$B$6:$B$100,'PP4 (2)'!$E$6:$E$100,"")</f>
        <v/>
      </c>
      <c r="O11" s="21" t="str">
        <f>_xlfn.XLOOKUP($C11,'PP5 (1)'!$B$6:$B$100,'PP5 (1)'!$E$6:$E$100,"")</f>
        <v/>
      </c>
      <c r="P11" s="23" t="str">
        <f>_xlfn.XLOOKUP($C11,'PP5(2)'!$B$6:$B$100,'PP5(2)'!$E$6:$E$100,"")</f>
        <v/>
      </c>
      <c r="Q11" s="10">
        <f>SUM(R11:AC11)</f>
        <v>200</v>
      </c>
      <c r="R11" s="23">
        <f>_xlfn.XLOOKUP($C11,'MP (1)'!$B$6:$B$100,'MP (1)'!$F$6:$F$100,"")</f>
        <v>26</v>
      </c>
      <c r="S11" s="22">
        <f>_xlfn.XLOOKUP($C11,'MP (2)'!$B$6:$B$100,'MP (2)'!$F$6:$F$100,"")</f>
        <v>25</v>
      </c>
      <c r="T11" s="21">
        <f>_xlfn.XLOOKUP($C11,'PP1 (1)'!$B$6:$B$66,'PP1 (1)'!$F$6:$F$66,"")</f>
        <v>25</v>
      </c>
      <c r="U11" s="22">
        <f>_xlfn.XLOOKUP($C11,'PP1 (2)'!$B$6:$B$100,'PP1 (2)'!$F$6:$F$100,"")</f>
        <v>18</v>
      </c>
      <c r="V11" s="18">
        <f>_xlfn.XLOOKUP($C11,'PP2 (1)'!$B$6:$B$99,'PP2 (1)'!$F$6:$F$99,"")</f>
        <v>24</v>
      </c>
      <c r="W11" s="20">
        <f>_xlfn.XLOOKUP($C11,'PP2 (2)'!$B$6:$B$100,'PP2 (2)'!$F$6:$F$100,"")</f>
        <v>22</v>
      </c>
      <c r="X11" s="21">
        <f>_xlfn.XLOOKUP($C11,'PP3 (1)'!$B$5:$B$113,'PP3 (1)'!$F$5:$F$113,"")</f>
        <v>30</v>
      </c>
      <c r="Y11" s="22">
        <f>_xlfn.XLOOKUP($C11,'PP3 (2)'!$B$5:$B$112,'PP3 (2)'!$F$5:$F$112,"")</f>
        <v>30</v>
      </c>
      <c r="Z11" s="18" t="str">
        <f>_xlfn.XLOOKUP($C11,'PP4 (1)'!$B$6:$B$100,'PP4 (1)'!$F$6:$F$100,"")</f>
        <v/>
      </c>
      <c r="AA11" s="20" t="str">
        <f>_xlfn.XLOOKUP($C11,'PP4 (2)'!$B$6:$B$100,'PP4 (2)'!$F$6:$F$100,"")</f>
        <v/>
      </c>
      <c r="AB11" s="21" t="str">
        <f>_xlfn.XLOOKUP($C11,'PP5 (1)'!$B$6:$B$100,'PP5 (1)'!$F$6:$F$100,"")</f>
        <v/>
      </c>
      <c r="AC11" s="23" t="str">
        <f>_xlfn.XLOOKUP($C11,'PP5(2)'!$B$6:$B$100,'PP5(2)'!$F$6:$F$100,"")</f>
        <v/>
      </c>
      <c r="AD11" s="10">
        <f>SUM(AE11:AP11)</f>
        <v>128</v>
      </c>
      <c r="AE11" s="23">
        <f>_xlfn.XLOOKUP($C11,'MP (1)'!$B$6:$B$100,'MP (1)'!$H$6:$H$100,"")</f>
        <v>14</v>
      </c>
      <c r="AF11" s="22">
        <f>_xlfn.XLOOKUP($C11,'MP (2)'!$B$6:$B$100,'MP (2)'!$H$6:$H$100,"")</f>
        <v>21</v>
      </c>
      <c r="AG11" s="21">
        <f>_xlfn.XLOOKUP($C11,'PP1 (1)'!$B$6:$B$66,'PP1 (1)'!$H$6:$H$66,"")</f>
        <v>16</v>
      </c>
      <c r="AH11" s="22">
        <f>_xlfn.XLOOKUP($C11,'PP1 (2)'!$B$6:$B$100,'PP1 (2)'!$H$6:$H$100,"")</f>
        <v>6</v>
      </c>
      <c r="AI11" s="18">
        <f>_xlfn.XLOOKUP($C11,'PP2 (1)'!$B$6:$B$99,'PP2 (1)'!$H$6:$H$99,"")</f>
        <v>18</v>
      </c>
      <c r="AJ11" s="19">
        <f>_xlfn.XLOOKUP($C11,'PP2 (2)'!$B$6:$B$100,'PP2 (2)'!$H$6:$H$100,"")</f>
        <v>14</v>
      </c>
      <c r="AK11" s="21">
        <f>_xlfn.XLOOKUP($C11,'PP3 (1)'!$B$5:$B$113,'PP3 (1)'!$H$5:$H$113,"")</f>
        <v>15</v>
      </c>
      <c r="AL11" s="22">
        <f>_xlfn.XLOOKUP($C11,'PP3 (2)'!$B$5:$B$112,'PP3 (2)'!$H$5:$H$112,"")</f>
        <v>24</v>
      </c>
      <c r="AM11" s="18" t="str">
        <f>_xlfn.XLOOKUP($C11,'PP4 (1)'!$B$6:$B$100,'PP4 (1)'!$H$6:$H$100,"")</f>
        <v/>
      </c>
      <c r="AN11" s="19" t="str">
        <f>_xlfn.XLOOKUP($C11,'PP4 (2)'!$B$6:$B$100,'PP4 (2)'!$H$6:$H$100,"")</f>
        <v/>
      </c>
      <c r="AO11" s="21" t="str">
        <f>_xlfn.XLOOKUP($C11,'PP5 (1)'!$B$6:$B$100,'PP5 (1)'!$H$6:$H$100,"")</f>
        <v/>
      </c>
      <c r="AP11" s="29" t="str">
        <f>_xlfn.XLOOKUP($C11,'PP5(2)'!$B$6:$B$100,'PP5(2)'!$H$6:$H$100,"")</f>
        <v/>
      </c>
    </row>
    <row r="12" spans="1:42" ht="14.3" x14ac:dyDescent="0.25">
      <c r="A12" s="1">
        <f>ROW()-4</f>
        <v>8</v>
      </c>
      <c r="B12" s="1">
        <v>3</v>
      </c>
      <c r="C12" s="3" t="s">
        <v>13</v>
      </c>
      <c r="D12" s="26">
        <f>SUM(E12:P12)</f>
        <v>6.6900000000000013</v>
      </c>
      <c r="E12" s="23">
        <f>_xlfn.XLOOKUP($C12,'MP (1)'!$B$6:$B$100,'MP (1)'!$E$6:$E$100,"")</f>
        <v>0.6</v>
      </c>
      <c r="F12" s="22">
        <f>_xlfn.XLOOKUP($C12,'MP (2)'!$B$6:$B$100,'MP (2)'!$E$6:$E$100,"")</f>
        <v>1</v>
      </c>
      <c r="G12" s="21" t="str">
        <f>_xlfn.XLOOKUP($C12,'PP1 (1)'!$B$6:$B$66,'PP1 (1)'!$E$6:$E$66,"")</f>
        <v/>
      </c>
      <c r="H12" s="22" t="str">
        <f>_xlfn.XLOOKUP($C12,'PP1 (2)'!$B$6:$B$100,'PP1 (2)'!$E$6:$E$100,"")</f>
        <v/>
      </c>
      <c r="I12" s="18">
        <f>_xlfn.XLOOKUP($C12,'PP2 (1)'!$B$6:$B$99,'PP2 (1)'!$E$6:$E$99,"")</f>
        <v>0.8</v>
      </c>
      <c r="J12" s="20">
        <f>_xlfn.XLOOKUP($C12,'PP2 (2)'!$B$6:$B$100,'PP2 (2)'!$E$6:$E$100,"")</f>
        <v>1</v>
      </c>
      <c r="K12" s="21">
        <f>_xlfn.XLOOKUP($C12,'PP3 (1)'!$B$5:$B$113,'PP3 (1)'!$E$5:$E$113,"")</f>
        <v>0.67</v>
      </c>
      <c r="L12" s="22">
        <f>_xlfn.XLOOKUP($C12,'PP3 (2)'!$B$5:$B$112,'PP3 (2)'!$E$5:$E$112,"")</f>
        <v>0.67</v>
      </c>
      <c r="M12" s="18">
        <f>_xlfn.XLOOKUP($C12,'PP4 (1)'!$B$6:$B$100,'PP4 (1)'!$E$6:$E$100,"")</f>
        <v>0.4</v>
      </c>
      <c r="N12" s="20">
        <f>_xlfn.XLOOKUP($C12,'PP4 (2)'!$B$6:$B$100,'PP4 (2)'!$E$6:$E$100,"")</f>
        <v>0.4</v>
      </c>
      <c r="O12" s="21">
        <f>_xlfn.XLOOKUP($C12,'PP5 (1)'!$B$6:$B$100,'PP5 (1)'!$E$6:$E$100,"")</f>
        <v>0.75</v>
      </c>
      <c r="P12" s="23">
        <f>_xlfn.XLOOKUP($C12,'PP5(2)'!$B$6:$B$100,'PP5(2)'!$E$6:$E$100,"")</f>
        <v>0.4</v>
      </c>
      <c r="Q12" s="10">
        <f>SUM(R12:AC12)</f>
        <v>218</v>
      </c>
      <c r="R12" s="23">
        <f>_xlfn.XLOOKUP($C12,'MP (1)'!$B$6:$B$100,'MP (1)'!$F$6:$F$100,"")</f>
        <v>20</v>
      </c>
      <c r="S12" s="22">
        <f>_xlfn.XLOOKUP($C12,'MP (2)'!$B$6:$B$100,'MP (2)'!$F$6:$F$100,"")</f>
        <v>25</v>
      </c>
      <c r="T12" s="21" t="str">
        <f>_xlfn.XLOOKUP($C12,'PP1 (1)'!$B$6:$B$66,'PP1 (1)'!$F$6:$F$66,"")</f>
        <v/>
      </c>
      <c r="U12" s="22" t="str">
        <f>_xlfn.XLOOKUP($C12,'PP1 (2)'!$B$6:$B$100,'PP1 (2)'!$F$6:$F$100,"")</f>
        <v/>
      </c>
      <c r="V12" s="18">
        <f>_xlfn.XLOOKUP($C12,'PP2 (1)'!$B$6:$B$99,'PP2 (1)'!$F$6:$F$99,"")</f>
        <v>23</v>
      </c>
      <c r="W12" s="20">
        <f>_xlfn.XLOOKUP($C12,'PP2 (2)'!$B$6:$B$100,'PP2 (2)'!$F$6:$F$100,"")</f>
        <v>25</v>
      </c>
      <c r="X12" s="21">
        <f>_xlfn.XLOOKUP($C12,'PP3 (1)'!$B$5:$B$113,'PP3 (1)'!$F$5:$F$113,"")</f>
        <v>27</v>
      </c>
      <c r="Y12" s="22">
        <f>_xlfn.XLOOKUP($C12,'PP3 (2)'!$B$5:$B$112,'PP3 (2)'!$F$5:$F$112,"")</f>
        <v>23</v>
      </c>
      <c r="Z12" s="18">
        <f>_xlfn.XLOOKUP($C12,'PP4 (1)'!$B$6:$B$100,'PP4 (1)'!$F$6:$F$100,"")</f>
        <v>18</v>
      </c>
      <c r="AA12" s="20">
        <f>_xlfn.XLOOKUP($C12,'PP4 (2)'!$B$6:$B$100,'PP4 (2)'!$F$6:$F$100,"")</f>
        <v>20</v>
      </c>
      <c r="AB12" s="21">
        <f>_xlfn.XLOOKUP($C12,'PP5 (1)'!$B$6:$B$100,'PP5 (1)'!$F$6:$F$100,"")</f>
        <v>19</v>
      </c>
      <c r="AC12" s="23">
        <f>_xlfn.XLOOKUP($C12,'PP5(2)'!$B$6:$B$100,'PP5(2)'!$F$6:$F$100,"")</f>
        <v>18</v>
      </c>
      <c r="AD12" s="10">
        <f>SUM(AE12:AP12)</f>
        <v>70</v>
      </c>
      <c r="AE12" s="23">
        <f>_xlfn.XLOOKUP($C12,'MP (1)'!$B$6:$B$100,'MP (1)'!$H$6:$H$100,"")</f>
        <v>4</v>
      </c>
      <c r="AF12" s="22">
        <f>_xlfn.XLOOKUP($C12,'MP (2)'!$B$6:$B$100,'MP (2)'!$H$6:$H$100,"")</f>
        <v>17</v>
      </c>
      <c r="AG12" s="21" t="str">
        <f>_xlfn.XLOOKUP($C12,'PP1 (1)'!$B$6:$B$66,'PP1 (1)'!$H$6:$H$66,"")</f>
        <v/>
      </c>
      <c r="AH12" s="22" t="str">
        <f>_xlfn.XLOOKUP($C12,'PP1 (2)'!$B$6:$B$100,'PP1 (2)'!$H$6:$H$100,"")</f>
        <v/>
      </c>
      <c r="AI12" s="18">
        <f>_xlfn.XLOOKUP($C12,'PP2 (1)'!$B$6:$B$99,'PP2 (1)'!$H$6:$H$99,"")</f>
        <v>12</v>
      </c>
      <c r="AJ12" s="19">
        <f>_xlfn.XLOOKUP($C12,'PP2 (2)'!$B$6:$B$100,'PP2 (2)'!$H$6:$H$100,"")</f>
        <v>15</v>
      </c>
      <c r="AK12" s="21">
        <f>_xlfn.XLOOKUP($C12,'PP3 (1)'!$B$5:$B$113,'PP3 (1)'!$H$5:$H$113,"")</f>
        <v>12</v>
      </c>
      <c r="AL12" s="22">
        <f>_xlfn.XLOOKUP($C12,'PP3 (2)'!$B$5:$B$112,'PP3 (2)'!$H$5:$H$112,"")</f>
        <v>3</v>
      </c>
      <c r="AM12" s="18">
        <f>_xlfn.XLOOKUP($C12,'PP4 (1)'!$B$6:$B$100,'PP4 (1)'!$H$6:$H$100,"")</f>
        <v>-2</v>
      </c>
      <c r="AN12" s="19">
        <f>_xlfn.XLOOKUP($C12,'PP4 (2)'!$B$6:$B$100,'PP4 (2)'!$H$6:$H$100,"")</f>
        <v>0</v>
      </c>
      <c r="AO12" s="21">
        <f>_xlfn.XLOOKUP($C12,'PP5 (1)'!$B$6:$B$100,'PP5 (1)'!$H$6:$H$100,"")</f>
        <v>8</v>
      </c>
      <c r="AP12" s="29">
        <f>_xlfn.XLOOKUP($C12,'PP5(2)'!$B$6:$B$100,'PP5(2)'!$H$6:$H$100,"")</f>
        <v>1</v>
      </c>
    </row>
    <row r="13" spans="1:42" ht="14.3" x14ac:dyDescent="0.25">
      <c r="A13" s="1">
        <f>ROW()-4</f>
        <v>9</v>
      </c>
      <c r="B13" s="1">
        <v>2</v>
      </c>
      <c r="C13" s="3" t="s">
        <v>17</v>
      </c>
      <c r="D13" s="26">
        <f>SUM(E13:P13)</f>
        <v>6.6899999999999986</v>
      </c>
      <c r="E13" s="23">
        <f>_xlfn.XLOOKUP($C13,'MP (1)'!$B$6:$B$100,'MP (1)'!$E$6:$E$100,"")</f>
        <v>0.75</v>
      </c>
      <c r="F13" s="22">
        <f>_xlfn.XLOOKUP($C13,'MP (2)'!$B$6:$B$100,'MP (2)'!$E$6:$E$100,"")</f>
        <v>0.4</v>
      </c>
      <c r="G13" s="21">
        <f>_xlfn.XLOOKUP($C13,'PP1 (1)'!$B$6:$B$66,'PP1 (1)'!$E$6:$E$66,"")</f>
        <v>0.2</v>
      </c>
      <c r="H13" s="22">
        <f>_xlfn.XLOOKUP($C13,'PP1 (2)'!$B$6:$B$100,'PP1 (2)'!$E$6:$E$100,"")</f>
        <v>0.2</v>
      </c>
      <c r="I13" s="18">
        <f>_xlfn.XLOOKUP($C13,'PP2 (1)'!$B$6:$B$99,'PP2 (1)'!$E$6:$E$99,"")</f>
        <v>0.4</v>
      </c>
      <c r="J13" s="20">
        <f>_xlfn.XLOOKUP($C13,'PP2 (2)'!$B$6:$B$100,'PP2 (2)'!$E$6:$E$100,"")</f>
        <v>0.6</v>
      </c>
      <c r="K13" s="21">
        <f>_xlfn.XLOOKUP($C13,'PP3 (1)'!$B$5:$B$113,'PP3 (1)'!$E$5:$E$113,"")</f>
        <v>0.67</v>
      </c>
      <c r="L13" s="22">
        <f>_xlfn.XLOOKUP($C13,'PP3 (2)'!$B$5:$B$112,'PP3 (2)'!$E$5:$E$112,"")</f>
        <v>0.67</v>
      </c>
      <c r="M13" s="18">
        <f>_xlfn.XLOOKUP($C13,'PP4 (1)'!$B$6:$B$100,'PP4 (1)'!$E$6:$E$100,"")</f>
        <v>0.6</v>
      </c>
      <c r="N13" s="20">
        <f>_xlfn.XLOOKUP($C13,'PP4 (2)'!$B$6:$B$100,'PP4 (2)'!$E$6:$E$100,"")</f>
        <v>0.6</v>
      </c>
      <c r="O13" s="21">
        <f>_xlfn.XLOOKUP($C13,'PP5 (1)'!$B$6:$B$100,'PP5 (1)'!$E$6:$E$100,"")</f>
        <v>1</v>
      </c>
      <c r="P13" s="23">
        <f>_xlfn.XLOOKUP($C13,'PP5(2)'!$B$6:$B$100,'PP5(2)'!$E$6:$E$100,"")</f>
        <v>0.6</v>
      </c>
      <c r="Q13" s="10">
        <f>SUM(R13:AC13)</f>
        <v>221</v>
      </c>
      <c r="R13" s="23">
        <f>_xlfn.XLOOKUP($C13,'MP (1)'!$B$6:$B$100,'MP (1)'!$F$6:$F$100,"")</f>
        <v>19</v>
      </c>
      <c r="S13" s="22">
        <f>_xlfn.XLOOKUP($C13,'MP (2)'!$B$6:$B$100,'MP (2)'!$F$6:$F$100,"")</f>
        <v>17</v>
      </c>
      <c r="T13" s="21">
        <f>_xlfn.XLOOKUP($C13,'PP1 (1)'!$B$6:$B$66,'PP1 (1)'!$F$6:$F$66,"")</f>
        <v>7</v>
      </c>
      <c r="U13" s="22">
        <f>_xlfn.XLOOKUP($C13,'PP1 (2)'!$B$6:$B$100,'PP1 (2)'!$F$6:$F$100,"")</f>
        <v>14</v>
      </c>
      <c r="V13" s="18">
        <f>_xlfn.XLOOKUP($C13,'PP2 (1)'!$B$6:$B$99,'PP2 (1)'!$F$6:$F$99,"")</f>
        <v>14</v>
      </c>
      <c r="W13" s="20">
        <f>_xlfn.XLOOKUP($C13,'PP2 (2)'!$B$6:$B$100,'PP2 (2)'!$F$6:$F$100,"")</f>
        <v>21</v>
      </c>
      <c r="X13" s="21">
        <f>_xlfn.XLOOKUP($C13,'PP3 (1)'!$B$5:$B$113,'PP3 (1)'!$F$5:$F$113,"")</f>
        <v>24</v>
      </c>
      <c r="Y13" s="22">
        <f>_xlfn.XLOOKUP($C13,'PP3 (2)'!$B$5:$B$112,'PP3 (2)'!$F$5:$F$112,"")</f>
        <v>22</v>
      </c>
      <c r="Z13" s="18">
        <f>_xlfn.XLOOKUP($C13,'PP4 (1)'!$B$6:$B$100,'PP4 (1)'!$F$6:$F$100,"")</f>
        <v>23</v>
      </c>
      <c r="AA13" s="20">
        <f>_xlfn.XLOOKUP($C13,'PP4 (2)'!$B$6:$B$100,'PP4 (2)'!$F$6:$F$100,"")</f>
        <v>19</v>
      </c>
      <c r="AB13" s="21">
        <f>_xlfn.XLOOKUP($C13,'PP5 (1)'!$B$6:$B$100,'PP5 (1)'!$F$6:$F$100,"")</f>
        <v>20</v>
      </c>
      <c r="AC13" s="23">
        <f>_xlfn.XLOOKUP($C13,'PP5(2)'!$B$6:$B$100,'PP5(2)'!$F$6:$F$100,"")</f>
        <v>21</v>
      </c>
      <c r="AD13" s="10">
        <f>SUM(AE13:AP13)</f>
        <v>13</v>
      </c>
      <c r="AE13" s="23">
        <f>_xlfn.XLOOKUP($C13,'MP (1)'!$B$6:$B$100,'MP (1)'!$H$6:$H$100,"")</f>
        <v>9</v>
      </c>
      <c r="AF13" s="22">
        <f>_xlfn.XLOOKUP($C13,'MP (2)'!$B$6:$B$100,'MP (2)'!$H$6:$H$100,"")</f>
        <v>-1</v>
      </c>
      <c r="AG13" s="21">
        <f>_xlfn.XLOOKUP($C13,'PP1 (1)'!$B$6:$B$66,'PP1 (1)'!$H$6:$H$66,"")</f>
        <v>-13</v>
      </c>
      <c r="AH13" s="22">
        <f>_xlfn.XLOOKUP($C13,'PP1 (2)'!$B$6:$B$100,'PP1 (2)'!$H$6:$H$100,"")</f>
        <v>-9</v>
      </c>
      <c r="AI13" s="18">
        <f>_xlfn.XLOOKUP($C13,'PP2 (1)'!$B$6:$B$99,'PP2 (1)'!$H$6:$H$99,"")</f>
        <v>-5</v>
      </c>
      <c r="AJ13" s="19">
        <f>_xlfn.XLOOKUP($C13,'PP2 (2)'!$B$6:$B$100,'PP2 (2)'!$H$6:$H$100,"")</f>
        <v>4</v>
      </c>
      <c r="AK13" s="21">
        <f>_xlfn.XLOOKUP($C13,'PP3 (1)'!$B$5:$B$113,'PP3 (1)'!$H$5:$H$113,"")</f>
        <v>4</v>
      </c>
      <c r="AL13" s="22">
        <f>_xlfn.XLOOKUP($C13,'PP3 (2)'!$B$5:$B$112,'PP3 (2)'!$H$5:$H$112,"")</f>
        <v>2</v>
      </c>
      <c r="AM13" s="18">
        <f>_xlfn.XLOOKUP($C13,'PP4 (1)'!$B$6:$B$100,'PP4 (1)'!$H$6:$H$100,"")</f>
        <v>8</v>
      </c>
      <c r="AN13" s="19">
        <f>_xlfn.XLOOKUP($C13,'PP4 (2)'!$B$6:$B$100,'PP4 (2)'!$H$6:$H$100,"")</f>
        <v>1</v>
      </c>
      <c r="AO13" s="21">
        <f>_xlfn.XLOOKUP($C13,'PP5 (1)'!$B$6:$B$100,'PP5 (1)'!$H$6:$H$100,"")</f>
        <v>9</v>
      </c>
      <c r="AP13" s="29">
        <f>_xlfn.XLOOKUP($C13,'PP5(2)'!$B$6:$B$100,'PP5(2)'!$H$6:$H$100,"")</f>
        <v>4</v>
      </c>
    </row>
    <row r="14" spans="1:42" ht="14.3" x14ac:dyDescent="0.25">
      <c r="A14" s="1">
        <f>ROW()-4</f>
        <v>10</v>
      </c>
      <c r="B14" s="1" t="s">
        <v>157</v>
      </c>
      <c r="C14" s="3" t="s">
        <v>23</v>
      </c>
      <c r="D14" s="26">
        <f>SUM(E14:P14)</f>
        <v>6.669999999999999</v>
      </c>
      <c r="E14" s="23">
        <f>_xlfn.XLOOKUP($C14,'MP (1)'!$B$6:$B$100,'MP (1)'!$E$6:$E$100,"")</f>
        <v>0.6</v>
      </c>
      <c r="F14" s="22">
        <f>_xlfn.XLOOKUP($C14,'MP (2)'!$B$6:$B$100,'MP (2)'!$E$6:$E$100,"")</f>
        <v>0.6</v>
      </c>
      <c r="G14" s="21">
        <f>_xlfn.XLOOKUP($C14,'PP1 (1)'!$B$6:$B$66,'PP1 (1)'!$E$6:$E$66,"")</f>
        <v>0.8</v>
      </c>
      <c r="H14" s="22">
        <f>_xlfn.XLOOKUP($C14,'PP1 (2)'!$B$6:$B$100,'PP1 (2)'!$E$6:$E$100,"")</f>
        <v>0.4</v>
      </c>
      <c r="I14" s="18">
        <f>_xlfn.XLOOKUP($C14,'PP2 (1)'!$B$6:$B$99,'PP2 (1)'!$E$6:$E$99,"")</f>
        <v>0.4</v>
      </c>
      <c r="J14" s="20">
        <f>_xlfn.XLOOKUP($C14,'PP2 (2)'!$B$6:$B$100,'PP2 (2)'!$E$6:$E$100,"")</f>
        <v>0.4</v>
      </c>
      <c r="K14" s="21">
        <f>_xlfn.XLOOKUP($C14,'PP3 (1)'!$B$5:$B$113,'PP3 (1)'!$E$5:$E$113,"")</f>
        <v>0.67</v>
      </c>
      <c r="L14" s="22">
        <f>_xlfn.XLOOKUP($C14,'PP3 (2)'!$B$5:$B$112,'PP3 (2)'!$E$5:$E$112,"")</f>
        <v>0.4</v>
      </c>
      <c r="M14" s="18">
        <f>_xlfn.XLOOKUP($C14,'PP4 (1)'!$B$6:$B$100,'PP4 (1)'!$E$6:$E$100,"")</f>
        <v>0.6</v>
      </c>
      <c r="N14" s="20">
        <f>_xlfn.XLOOKUP($C14,'PP4 (2)'!$B$6:$B$100,'PP4 (2)'!$E$6:$E$100,"")</f>
        <v>0.8</v>
      </c>
      <c r="O14" s="21">
        <f>_xlfn.XLOOKUP($C14,'PP5 (1)'!$B$6:$B$100,'PP5 (1)'!$E$6:$E$100,"")</f>
        <v>0.2</v>
      </c>
      <c r="P14" s="23">
        <f>_xlfn.XLOOKUP($C14,'PP5(2)'!$B$6:$B$100,'PP5(2)'!$E$6:$E$100,"")</f>
        <v>0.8</v>
      </c>
      <c r="Q14" s="10">
        <f>SUM(R14:AC14)</f>
        <v>232</v>
      </c>
      <c r="R14" s="23">
        <f>_xlfn.XLOOKUP($C14,'MP (1)'!$B$6:$B$100,'MP (1)'!$F$6:$F$100,"")</f>
        <v>21</v>
      </c>
      <c r="S14" s="22">
        <f>_xlfn.XLOOKUP($C14,'MP (2)'!$B$6:$B$100,'MP (2)'!$F$6:$F$100,"")</f>
        <v>20</v>
      </c>
      <c r="T14" s="21">
        <f>_xlfn.XLOOKUP($C14,'PP1 (1)'!$B$6:$B$66,'PP1 (1)'!$F$6:$F$66,"")</f>
        <v>21</v>
      </c>
      <c r="U14" s="22">
        <f>_xlfn.XLOOKUP($C14,'PP1 (2)'!$B$6:$B$100,'PP1 (2)'!$F$6:$F$100,"")</f>
        <v>19</v>
      </c>
      <c r="V14" s="18">
        <f>_xlfn.XLOOKUP($C14,'PP2 (1)'!$B$6:$B$99,'PP2 (1)'!$F$6:$F$99,"")</f>
        <v>18</v>
      </c>
      <c r="W14" s="20">
        <f>_xlfn.XLOOKUP($C14,'PP2 (2)'!$B$6:$B$100,'PP2 (2)'!$F$6:$F$100,"")</f>
        <v>12</v>
      </c>
      <c r="X14" s="21">
        <f>_xlfn.XLOOKUP($C14,'PP3 (1)'!$B$5:$B$113,'PP3 (1)'!$F$5:$F$113,"")</f>
        <v>27</v>
      </c>
      <c r="Y14" s="22">
        <f>_xlfn.XLOOKUP($C14,'PP3 (2)'!$B$5:$B$112,'PP3 (2)'!$F$5:$F$112,"")</f>
        <v>17</v>
      </c>
      <c r="Z14" s="18">
        <f>_xlfn.XLOOKUP($C14,'PP4 (1)'!$B$6:$B$100,'PP4 (1)'!$F$6:$F$100,"")</f>
        <v>18</v>
      </c>
      <c r="AA14" s="20">
        <f>_xlfn.XLOOKUP($C14,'PP4 (2)'!$B$6:$B$100,'PP4 (2)'!$F$6:$F$100,"")</f>
        <v>20</v>
      </c>
      <c r="AB14" s="21">
        <f>_xlfn.XLOOKUP($C14,'PP5 (1)'!$B$6:$B$100,'PP5 (1)'!$F$6:$F$100,"")</f>
        <v>17</v>
      </c>
      <c r="AC14" s="23">
        <f>_xlfn.XLOOKUP($C14,'PP5(2)'!$B$6:$B$100,'PP5(2)'!$F$6:$F$100,"")</f>
        <v>22</v>
      </c>
      <c r="AD14" s="10">
        <f>SUM(AE14:AP14)</f>
        <v>36</v>
      </c>
      <c r="AE14" s="23">
        <f>_xlfn.XLOOKUP($C14,'MP (1)'!$B$6:$B$100,'MP (1)'!$H$6:$H$100,"")</f>
        <v>6</v>
      </c>
      <c r="AF14" s="22">
        <f>_xlfn.XLOOKUP($C14,'MP (2)'!$B$6:$B$100,'MP (2)'!$H$6:$H$100,"")</f>
        <v>6</v>
      </c>
      <c r="AG14" s="21">
        <f>_xlfn.XLOOKUP($C14,'PP1 (1)'!$B$6:$B$66,'PP1 (1)'!$H$6:$H$66,"")</f>
        <v>8</v>
      </c>
      <c r="AH14" s="22">
        <f>_xlfn.XLOOKUP($C14,'PP1 (2)'!$B$6:$B$100,'PP1 (2)'!$H$6:$H$100,"")</f>
        <v>2</v>
      </c>
      <c r="AI14" s="18">
        <f>_xlfn.XLOOKUP($C14,'PP2 (1)'!$B$6:$B$99,'PP2 (1)'!$H$6:$H$99,"")</f>
        <v>-1</v>
      </c>
      <c r="AJ14" s="19">
        <f>_xlfn.XLOOKUP($C14,'PP2 (2)'!$B$6:$B$100,'PP2 (2)'!$H$6:$H$100,"")</f>
        <v>-6</v>
      </c>
      <c r="AK14" s="21">
        <f>_xlfn.XLOOKUP($C14,'PP3 (1)'!$B$5:$B$113,'PP3 (1)'!$H$5:$H$113,"")</f>
        <v>8</v>
      </c>
      <c r="AL14" s="22">
        <f>_xlfn.XLOOKUP($C14,'PP3 (2)'!$B$5:$B$112,'PP3 (2)'!$H$5:$H$112,"")</f>
        <v>-2</v>
      </c>
      <c r="AM14" s="18">
        <f>_xlfn.XLOOKUP($C14,'PP4 (1)'!$B$6:$B$100,'PP4 (1)'!$H$6:$H$100,"")</f>
        <v>2</v>
      </c>
      <c r="AN14" s="19">
        <f>_xlfn.XLOOKUP($C14,'PP4 (2)'!$B$6:$B$100,'PP4 (2)'!$H$6:$H$100,"")</f>
        <v>3</v>
      </c>
      <c r="AO14" s="21">
        <f>_xlfn.XLOOKUP($C14,'PP5 (1)'!$B$6:$B$100,'PP5 (1)'!$H$6:$H$100,"")</f>
        <v>-3</v>
      </c>
      <c r="AP14" s="29">
        <f>_xlfn.XLOOKUP($C14,'PP5(2)'!$B$6:$B$100,'PP5(2)'!$H$6:$H$100,"")</f>
        <v>13</v>
      </c>
    </row>
    <row r="15" spans="1:42" ht="14.3" x14ac:dyDescent="0.25">
      <c r="A15" s="1">
        <f>ROW()-4</f>
        <v>11</v>
      </c>
      <c r="B15" s="1">
        <v>1</v>
      </c>
      <c r="C15" s="3" t="s">
        <v>35</v>
      </c>
      <c r="D15" s="26">
        <f>SUM(E15:P15)</f>
        <v>6.47</v>
      </c>
      <c r="E15" s="23" t="str">
        <f>_xlfn.XLOOKUP($C15,'MP (1)'!$B$6:$B$100,'MP (1)'!$E$6:$E$100,"")</f>
        <v/>
      </c>
      <c r="F15" s="22" t="str">
        <f>_xlfn.XLOOKUP($C15,'MP (2)'!$B$6:$B$100,'MP (2)'!$E$6:$E$100,"")</f>
        <v/>
      </c>
      <c r="G15" s="21">
        <f>_xlfn.XLOOKUP($C15,'PP1 (1)'!$B$6:$B$66,'PP1 (1)'!$E$6:$E$66,"")</f>
        <v>0.6</v>
      </c>
      <c r="H15" s="22">
        <f>_xlfn.XLOOKUP($C15,'PP1 (2)'!$B$6:$B$100,'PP1 (2)'!$E$6:$E$100,"")</f>
        <v>0.8</v>
      </c>
      <c r="I15" s="18">
        <f>_xlfn.XLOOKUP($C15,'PP2 (1)'!$B$6:$B$99,'PP2 (1)'!$E$6:$E$99,"")</f>
        <v>0.67</v>
      </c>
      <c r="J15" s="20">
        <f>_xlfn.XLOOKUP($C15,'PP2 (2)'!$B$6:$B$100,'PP2 (2)'!$E$6:$E$100,"")</f>
        <v>0.6</v>
      </c>
      <c r="K15" s="21" t="str">
        <f>_xlfn.XLOOKUP($C15,'PP3 (1)'!$B$5:$B$113,'PP3 (1)'!$E$5:$E$113,"")</f>
        <v/>
      </c>
      <c r="L15" s="22" t="str">
        <f>_xlfn.XLOOKUP($C15,'PP3 (2)'!$B$5:$B$112,'PP3 (2)'!$E$5:$E$112,"")</f>
        <v/>
      </c>
      <c r="M15" s="18">
        <f>_xlfn.XLOOKUP($C15,'PP4 (1)'!$B$6:$B$100,'PP4 (1)'!$E$6:$E$100,"")</f>
        <v>1</v>
      </c>
      <c r="N15" s="20">
        <f>_xlfn.XLOOKUP($C15,'PP4 (2)'!$B$6:$B$100,'PP4 (2)'!$E$6:$E$100,"")</f>
        <v>1</v>
      </c>
      <c r="O15" s="21">
        <f>_xlfn.XLOOKUP($C15,'PP5 (1)'!$B$6:$B$100,'PP5 (1)'!$E$6:$E$100,"")</f>
        <v>0.8</v>
      </c>
      <c r="P15" s="23">
        <f>_xlfn.XLOOKUP($C15,'PP5(2)'!$B$6:$B$100,'PP5(2)'!$E$6:$E$100,"")</f>
        <v>1</v>
      </c>
      <c r="Q15" s="10">
        <f>SUM(R15:AC15)</f>
        <v>178</v>
      </c>
      <c r="R15" s="23" t="str">
        <f>_xlfn.XLOOKUP($C15,'MP (1)'!$B$6:$B$100,'MP (1)'!$F$6:$F$100,"")</f>
        <v/>
      </c>
      <c r="S15" s="22" t="str">
        <f>_xlfn.XLOOKUP($C15,'MP (2)'!$B$6:$B$100,'MP (2)'!$F$6:$F$100,"")</f>
        <v/>
      </c>
      <c r="T15" s="21">
        <f>_xlfn.XLOOKUP($C15,'PP1 (1)'!$B$6:$B$66,'PP1 (1)'!$F$6:$F$66,"")</f>
        <v>19</v>
      </c>
      <c r="U15" s="22">
        <f>_xlfn.XLOOKUP($C15,'PP1 (2)'!$B$6:$B$100,'PP1 (2)'!$F$6:$F$100,"")</f>
        <v>21</v>
      </c>
      <c r="V15" s="18">
        <f>_xlfn.XLOOKUP($C15,'PP2 (1)'!$B$6:$B$99,'PP2 (1)'!$F$6:$F$99,"")</f>
        <v>23</v>
      </c>
      <c r="W15" s="20">
        <f>_xlfn.XLOOKUP($C15,'PP2 (2)'!$B$6:$B$100,'PP2 (2)'!$F$6:$F$100,"")</f>
        <v>18</v>
      </c>
      <c r="X15" s="21" t="str">
        <f>_xlfn.XLOOKUP($C15,'PP3 (1)'!$B$5:$B$113,'PP3 (1)'!$F$5:$F$113,"")</f>
        <v/>
      </c>
      <c r="Y15" s="22" t="str">
        <f>_xlfn.XLOOKUP($C15,'PP3 (2)'!$B$5:$B$112,'PP3 (2)'!$F$5:$F$112,"")</f>
        <v/>
      </c>
      <c r="Z15" s="18">
        <f>_xlfn.XLOOKUP($C15,'PP4 (1)'!$B$6:$B$100,'PP4 (1)'!$F$6:$F$100,"")</f>
        <v>25</v>
      </c>
      <c r="AA15" s="20">
        <f>_xlfn.XLOOKUP($C15,'PP4 (2)'!$B$6:$B$100,'PP4 (2)'!$F$6:$F$100,"")</f>
        <v>25</v>
      </c>
      <c r="AB15" s="21">
        <f>_xlfn.XLOOKUP($C15,'PP5 (1)'!$B$6:$B$100,'PP5 (1)'!$F$6:$F$100,"")</f>
        <v>22</v>
      </c>
      <c r="AC15" s="23">
        <f>_xlfn.XLOOKUP($C15,'PP5(2)'!$B$6:$B$100,'PP5(2)'!$F$6:$F$100,"")</f>
        <v>25</v>
      </c>
      <c r="AD15" s="10">
        <f>SUM(AE15:AP15)</f>
        <v>80</v>
      </c>
      <c r="AE15" s="23" t="str">
        <f>_xlfn.XLOOKUP($C15,'MP (1)'!$B$6:$B$100,'MP (1)'!$H$6:$H$100,"")</f>
        <v/>
      </c>
      <c r="AF15" s="22" t="str">
        <f>_xlfn.XLOOKUP($C15,'MP (2)'!$B$6:$B$100,'MP (2)'!$H$6:$H$100,"")</f>
        <v/>
      </c>
      <c r="AG15" s="21">
        <f>_xlfn.XLOOKUP($C15,'PP1 (1)'!$B$6:$B$66,'PP1 (1)'!$H$6:$H$66,"")</f>
        <v>5</v>
      </c>
      <c r="AH15" s="22">
        <f>_xlfn.XLOOKUP($C15,'PP1 (2)'!$B$6:$B$100,'PP1 (2)'!$H$6:$H$100,"")</f>
        <v>7</v>
      </c>
      <c r="AI15" s="18">
        <f>_xlfn.XLOOKUP($C15,'PP2 (1)'!$B$6:$B$99,'PP2 (1)'!$H$6:$H$99,"")</f>
        <v>3</v>
      </c>
      <c r="AJ15" s="19">
        <f>_xlfn.XLOOKUP($C15,'PP2 (2)'!$B$6:$B$100,'PP2 (2)'!$H$6:$H$100,"")</f>
        <v>3</v>
      </c>
      <c r="AK15" s="21" t="str">
        <f>_xlfn.XLOOKUP($C15,'PP3 (1)'!$B$5:$B$113,'PP3 (1)'!$H$5:$H$113,"")</f>
        <v/>
      </c>
      <c r="AL15" s="22" t="str">
        <f>_xlfn.XLOOKUP($C15,'PP3 (2)'!$B$5:$B$112,'PP3 (2)'!$H$5:$H$112,"")</f>
        <v/>
      </c>
      <c r="AM15" s="18">
        <f>_xlfn.XLOOKUP($C15,'PP4 (1)'!$B$6:$B$100,'PP4 (1)'!$H$6:$H$100,"")</f>
        <v>14</v>
      </c>
      <c r="AN15" s="19">
        <f>_xlfn.XLOOKUP($C15,'PP4 (2)'!$B$6:$B$100,'PP4 (2)'!$H$6:$H$100,"")</f>
        <v>21</v>
      </c>
      <c r="AO15" s="21">
        <f>_xlfn.XLOOKUP($C15,'PP5 (1)'!$B$6:$B$100,'PP5 (1)'!$H$6:$H$100,"")</f>
        <v>9</v>
      </c>
      <c r="AP15" s="29">
        <f>_xlfn.XLOOKUP($C15,'PP5(2)'!$B$6:$B$100,'PP5(2)'!$H$6:$H$100,"")</f>
        <v>18</v>
      </c>
    </row>
    <row r="16" spans="1:42" ht="14.3" x14ac:dyDescent="0.25">
      <c r="A16" s="1">
        <f>ROW()-4</f>
        <v>12</v>
      </c>
      <c r="B16" s="1">
        <v>2</v>
      </c>
      <c r="C16" s="3" t="s">
        <v>18</v>
      </c>
      <c r="D16" s="26">
        <f>SUM(E16:P16)</f>
        <v>6.3999999999999995</v>
      </c>
      <c r="E16" s="23">
        <f>_xlfn.XLOOKUP($C16,'MP (1)'!$B$6:$B$100,'MP (1)'!$E$6:$E$100,"")</f>
        <v>0.4</v>
      </c>
      <c r="F16" s="22">
        <f>_xlfn.XLOOKUP($C16,'MP (2)'!$B$6:$B$100,'MP (2)'!$E$6:$E$100,"")</f>
        <v>0.8</v>
      </c>
      <c r="G16" s="21">
        <f>_xlfn.XLOOKUP($C16,'PP1 (1)'!$B$6:$B$66,'PP1 (1)'!$E$6:$E$66,"")</f>
        <v>0.8</v>
      </c>
      <c r="H16" s="22">
        <f>_xlfn.XLOOKUP($C16,'PP1 (2)'!$B$6:$B$100,'PP1 (2)'!$E$6:$E$100,"")</f>
        <v>0.6</v>
      </c>
      <c r="I16" s="18" t="str">
        <f>_xlfn.XLOOKUP($C16,'PP2 (1)'!$B$6:$B$99,'PP2 (1)'!$E$6:$E$99,"")</f>
        <v/>
      </c>
      <c r="J16" s="20" t="str">
        <f>_xlfn.XLOOKUP($C16,'PP2 (2)'!$B$6:$B$100,'PP2 (2)'!$E$6:$E$100,"")</f>
        <v/>
      </c>
      <c r="K16" s="21">
        <f>_xlfn.XLOOKUP($C16,'PP3 (1)'!$B$5:$B$113,'PP3 (1)'!$E$5:$E$113,"")</f>
        <v>0.67</v>
      </c>
      <c r="L16" s="22">
        <f>_xlfn.XLOOKUP($C16,'PP3 (2)'!$B$5:$B$112,'PP3 (2)'!$E$5:$E$112,"")</f>
        <v>0.83</v>
      </c>
      <c r="M16" s="18">
        <f>_xlfn.XLOOKUP($C16,'PP4 (1)'!$B$6:$B$100,'PP4 (1)'!$E$6:$E$100,"")</f>
        <v>0.2</v>
      </c>
      <c r="N16" s="20">
        <f>_xlfn.XLOOKUP($C16,'PP4 (2)'!$B$6:$B$100,'PP4 (2)'!$E$6:$E$100,"")</f>
        <v>0.5</v>
      </c>
      <c r="O16" s="21">
        <f>_xlfn.XLOOKUP($C16,'PP5 (1)'!$B$6:$B$100,'PP5 (1)'!$E$6:$E$100,"")</f>
        <v>0.8</v>
      </c>
      <c r="P16" s="23">
        <f>_xlfn.XLOOKUP($C16,'PP5(2)'!$B$6:$B$100,'PP5(2)'!$E$6:$E$100,"")</f>
        <v>0.8</v>
      </c>
      <c r="Q16" s="10">
        <f>SUM(R16:AC16)</f>
        <v>201</v>
      </c>
      <c r="R16" s="23">
        <f>_xlfn.XLOOKUP($C16,'MP (1)'!$B$6:$B$100,'MP (1)'!$F$6:$F$100,"")</f>
        <v>16</v>
      </c>
      <c r="S16" s="22">
        <f>_xlfn.XLOOKUP($C16,'MP (2)'!$B$6:$B$100,'MP (2)'!$F$6:$F$100,"")</f>
        <v>20</v>
      </c>
      <c r="T16" s="21">
        <f>_xlfn.XLOOKUP($C16,'PP1 (1)'!$B$6:$B$66,'PP1 (1)'!$F$6:$F$66,"")</f>
        <v>23</v>
      </c>
      <c r="U16" s="22">
        <f>_xlfn.XLOOKUP($C16,'PP1 (2)'!$B$6:$B$100,'PP1 (2)'!$F$6:$F$100,"")</f>
        <v>17</v>
      </c>
      <c r="V16" s="18" t="str">
        <f>_xlfn.XLOOKUP($C16,'PP2 (1)'!$B$6:$B$99,'PP2 (1)'!$F$6:$F$99,"")</f>
        <v/>
      </c>
      <c r="W16" s="20" t="str">
        <f>_xlfn.XLOOKUP($C16,'PP2 (2)'!$B$6:$B$100,'PP2 (2)'!$F$6:$F$100,"")</f>
        <v/>
      </c>
      <c r="X16" s="21">
        <f>_xlfn.XLOOKUP($C16,'PP3 (1)'!$B$5:$B$113,'PP3 (1)'!$F$5:$F$113,"")</f>
        <v>23</v>
      </c>
      <c r="Y16" s="22">
        <f>_xlfn.XLOOKUP($C16,'PP3 (2)'!$B$5:$B$112,'PP3 (2)'!$F$5:$F$112,"")</f>
        <v>28</v>
      </c>
      <c r="Z16" s="18">
        <f>_xlfn.XLOOKUP($C16,'PP4 (1)'!$B$6:$B$100,'PP4 (1)'!$F$6:$F$100,"")</f>
        <v>16</v>
      </c>
      <c r="AA16" s="20">
        <f>_xlfn.XLOOKUP($C16,'PP4 (2)'!$B$6:$B$100,'PP4 (2)'!$F$6:$F$100,"")</f>
        <v>12</v>
      </c>
      <c r="AB16" s="21">
        <f>_xlfn.XLOOKUP($C16,'PP5 (1)'!$B$6:$B$100,'PP5 (1)'!$F$6:$F$100,"")</f>
        <v>22</v>
      </c>
      <c r="AC16" s="23">
        <f>_xlfn.XLOOKUP($C16,'PP5(2)'!$B$6:$B$100,'PP5(2)'!$F$6:$F$100,"")</f>
        <v>24</v>
      </c>
      <c r="AD16" s="10">
        <f>SUM(AE16:AP16)</f>
        <v>41</v>
      </c>
      <c r="AE16" s="23">
        <f>_xlfn.XLOOKUP($C16,'MP (1)'!$B$6:$B$100,'MP (1)'!$H$6:$H$100,"")</f>
        <v>-5</v>
      </c>
      <c r="AF16" s="22">
        <f>_xlfn.XLOOKUP($C16,'MP (2)'!$B$6:$B$100,'MP (2)'!$H$6:$H$100,"")</f>
        <v>6</v>
      </c>
      <c r="AG16" s="21">
        <f>_xlfn.XLOOKUP($C16,'PP1 (1)'!$B$6:$B$66,'PP1 (1)'!$H$6:$H$66,"")</f>
        <v>7</v>
      </c>
      <c r="AH16" s="22">
        <f>_xlfn.XLOOKUP($C16,'PP1 (2)'!$B$6:$B$100,'PP1 (2)'!$H$6:$H$100,"")</f>
        <v>0</v>
      </c>
      <c r="AI16" s="18" t="str">
        <f>_xlfn.XLOOKUP($C16,'PP2 (1)'!$B$6:$B$99,'PP2 (1)'!$H$6:$H$99,"")</f>
        <v/>
      </c>
      <c r="AJ16" s="19" t="str">
        <f>_xlfn.XLOOKUP($C16,'PP2 (2)'!$B$6:$B$100,'PP2 (2)'!$H$6:$H$100,"")</f>
        <v/>
      </c>
      <c r="AK16" s="21">
        <f>_xlfn.XLOOKUP($C16,'PP3 (1)'!$B$5:$B$113,'PP3 (1)'!$H$5:$H$113,"")</f>
        <v>6</v>
      </c>
      <c r="AL16" s="22">
        <f>_xlfn.XLOOKUP($C16,'PP3 (2)'!$B$5:$B$112,'PP3 (2)'!$H$5:$H$112,"")</f>
        <v>18</v>
      </c>
      <c r="AM16" s="18">
        <f>_xlfn.XLOOKUP($C16,'PP4 (1)'!$B$6:$B$100,'PP4 (1)'!$H$6:$H$100,"")</f>
        <v>-8</v>
      </c>
      <c r="AN16" s="19">
        <f>_xlfn.XLOOKUP($C16,'PP4 (2)'!$B$6:$B$100,'PP4 (2)'!$H$6:$H$100,"")</f>
        <v>0</v>
      </c>
      <c r="AO16" s="21">
        <f>_xlfn.XLOOKUP($C16,'PP5 (1)'!$B$6:$B$100,'PP5 (1)'!$H$6:$H$100,"")</f>
        <v>7</v>
      </c>
      <c r="AP16" s="29">
        <f>_xlfn.XLOOKUP($C16,'PP5(2)'!$B$6:$B$100,'PP5(2)'!$H$6:$H$100,"")</f>
        <v>10</v>
      </c>
    </row>
    <row r="17" spans="1:42" ht="14.3" x14ac:dyDescent="0.25">
      <c r="A17" s="1">
        <f>ROW()-4</f>
        <v>13</v>
      </c>
      <c r="B17" s="1">
        <v>2</v>
      </c>
      <c r="C17" s="3" t="s">
        <v>28</v>
      </c>
      <c r="D17" s="26">
        <f>SUM(E17:P17)</f>
        <v>5.8699999999999992</v>
      </c>
      <c r="E17" s="23">
        <f>_xlfn.XLOOKUP($C17,'MP (1)'!$B$6:$B$100,'MP (1)'!$E$6:$E$100,"")</f>
        <v>0.5</v>
      </c>
      <c r="F17" s="22">
        <f>_xlfn.XLOOKUP($C17,'MP (2)'!$B$6:$B$100,'MP (2)'!$E$6:$E$100,"")</f>
        <v>0.4</v>
      </c>
      <c r="G17" s="21" t="str">
        <f>_xlfn.XLOOKUP($C17,'PP1 (1)'!$B$6:$B$66,'PP1 (1)'!$E$6:$E$66,"")</f>
        <v/>
      </c>
      <c r="H17" s="22" t="str">
        <f>_xlfn.XLOOKUP($C17,'PP1 (2)'!$B$6:$B$100,'PP1 (2)'!$E$6:$E$100,"")</f>
        <v/>
      </c>
      <c r="I17" s="18">
        <f>_xlfn.XLOOKUP($C17,'PP2 (1)'!$B$6:$B$99,'PP2 (1)'!$E$6:$E$99,"")</f>
        <v>0.6</v>
      </c>
      <c r="J17" s="20">
        <f>_xlfn.XLOOKUP($C17,'PP2 (2)'!$B$6:$B$100,'PP2 (2)'!$E$6:$E$100,"")</f>
        <v>0.4</v>
      </c>
      <c r="K17" s="21">
        <f>_xlfn.XLOOKUP($C17,'PP3 (1)'!$B$5:$B$113,'PP3 (1)'!$E$5:$E$113,"")</f>
        <v>0.5</v>
      </c>
      <c r="L17" s="22">
        <f>_xlfn.XLOOKUP($C17,'PP3 (2)'!$B$5:$B$112,'PP3 (2)'!$E$5:$E$112,"")</f>
        <v>0.67</v>
      </c>
      <c r="M17" s="18">
        <f>_xlfn.XLOOKUP($C17,'PP4 (1)'!$B$6:$B$100,'PP4 (1)'!$E$6:$E$100,"")</f>
        <v>0.6</v>
      </c>
      <c r="N17" s="20">
        <f>_xlfn.XLOOKUP($C17,'PP4 (2)'!$B$6:$B$100,'PP4 (2)'!$E$6:$E$100,"")</f>
        <v>0.8</v>
      </c>
      <c r="O17" s="21">
        <f>_xlfn.XLOOKUP($C17,'PP5 (1)'!$B$6:$B$100,'PP5 (1)'!$E$6:$E$100,"")</f>
        <v>0.6</v>
      </c>
      <c r="P17" s="23">
        <f>_xlfn.XLOOKUP($C17,'PP5(2)'!$B$6:$B$100,'PP5(2)'!$E$6:$E$100,"")</f>
        <v>0.8</v>
      </c>
      <c r="Q17" s="10">
        <f>SUM(R17:AC17)</f>
        <v>182</v>
      </c>
      <c r="R17" s="23">
        <f>_xlfn.XLOOKUP($C17,'MP (1)'!$B$6:$B$100,'MP (1)'!$F$6:$F$100,"")</f>
        <v>12</v>
      </c>
      <c r="S17" s="22">
        <f>_xlfn.XLOOKUP($C17,'MP (2)'!$B$6:$B$100,'MP (2)'!$F$6:$F$100,"")</f>
        <v>15</v>
      </c>
      <c r="T17" s="21" t="str">
        <f>_xlfn.XLOOKUP($C17,'PP1 (1)'!$B$6:$B$66,'PP1 (1)'!$F$6:$F$66,"")</f>
        <v/>
      </c>
      <c r="U17" s="22" t="str">
        <f>_xlfn.XLOOKUP($C17,'PP1 (2)'!$B$6:$B$100,'PP1 (2)'!$F$6:$F$100,"")</f>
        <v/>
      </c>
      <c r="V17" s="18">
        <f>_xlfn.XLOOKUP($C17,'PP2 (1)'!$B$6:$B$99,'PP2 (1)'!$F$6:$F$99,"")</f>
        <v>15</v>
      </c>
      <c r="W17" s="20">
        <f>_xlfn.XLOOKUP($C17,'PP2 (2)'!$B$6:$B$100,'PP2 (2)'!$F$6:$F$100,"")</f>
        <v>13</v>
      </c>
      <c r="X17" s="21">
        <f>_xlfn.XLOOKUP($C17,'PP3 (1)'!$B$5:$B$113,'PP3 (1)'!$F$5:$F$113,"")</f>
        <v>21</v>
      </c>
      <c r="Y17" s="22">
        <f>_xlfn.XLOOKUP($C17,'PP3 (2)'!$B$5:$B$112,'PP3 (2)'!$F$5:$F$112,"")</f>
        <v>24</v>
      </c>
      <c r="Z17" s="18">
        <f>_xlfn.XLOOKUP($C17,'PP4 (1)'!$B$6:$B$100,'PP4 (1)'!$F$6:$F$100,"")</f>
        <v>21</v>
      </c>
      <c r="AA17" s="20">
        <f>_xlfn.XLOOKUP($C17,'PP4 (2)'!$B$6:$B$100,'PP4 (2)'!$F$6:$F$100,"")</f>
        <v>21</v>
      </c>
      <c r="AB17" s="21">
        <f>_xlfn.XLOOKUP($C17,'PP5 (1)'!$B$6:$B$100,'PP5 (1)'!$F$6:$F$100,"")</f>
        <v>19</v>
      </c>
      <c r="AC17" s="23">
        <f>_xlfn.XLOOKUP($C17,'PP5(2)'!$B$6:$B$100,'PP5(2)'!$F$6:$F$100,"")</f>
        <v>21</v>
      </c>
      <c r="AD17" s="10">
        <f>SUM(AE17:AP17)</f>
        <v>25</v>
      </c>
      <c r="AE17" s="23">
        <f>_xlfn.XLOOKUP($C17,'MP (1)'!$B$6:$B$100,'MP (1)'!$H$6:$H$100,"")</f>
        <v>-3</v>
      </c>
      <c r="AF17" s="22">
        <f>_xlfn.XLOOKUP($C17,'MP (2)'!$B$6:$B$100,'MP (2)'!$H$6:$H$100,"")</f>
        <v>-4</v>
      </c>
      <c r="AG17" s="21" t="str">
        <f>_xlfn.XLOOKUP($C17,'PP1 (1)'!$B$6:$B$66,'PP1 (1)'!$H$6:$H$66,"")</f>
        <v/>
      </c>
      <c r="AH17" s="22" t="str">
        <f>_xlfn.XLOOKUP($C17,'PP1 (2)'!$B$6:$B$100,'PP1 (2)'!$H$6:$H$100,"")</f>
        <v/>
      </c>
      <c r="AI17" s="18">
        <f>_xlfn.XLOOKUP($C17,'PP2 (1)'!$B$6:$B$99,'PP2 (1)'!$H$6:$H$99,"")</f>
        <v>-3</v>
      </c>
      <c r="AJ17" s="19">
        <f>_xlfn.XLOOKUP($C17,'PP2 (2)'!$B$6:$B$100,'PP2 (2)'!$H$6:$H$100,"")</f>
        <v>-3</v>
      </c>
      <c r="AK17" s="21">
        <f>_xlfn.XLOOKUP($C17,'PP3 (1)'!$B$5:$B$113,'PP3 (1)'!$H$5:$H$113,"")</f>
        <v>-3</v>
      </c>
      <c r="AL17" s="22">
        <f>_xlfn.XLOOKUP($C17,'PP3 (2)'!$B$5:$B$112,'PP3 (2)'!$H$5:$H$112,"")</f>
        <v>10</v>
      </c>
      <c r="AM17" s="18">
        <f>_xlfn.XLOOKUP($C17,'PP4 (1)'!$B$6:$B$100,'PP4 (1)'!$H$6:$H$100,"")</f>
        <v>8</v>
      </c>
      <c r="AN17" s="19">
        <f>_xlfn.XLOOKUP($C17,'PP4 (2)'!$B$6:$B$100,'PP4 (2)'!$H$6:$H$100,"")</f>
        <v>10</v>
      </c>
      <c r="AO17" s="21">
        <f>_xlfn.XLOOKUP($C17,'PP5 (1)'!$B$6:$B$100,'PP5 (1)'!$H$6:$H$100,"")</f>
        <v>2</v>
      </c>
      <c r="AP17" s="29">
        <f>_xlfn.XLOOKUP($C17,'PP5(2)'!$B$6:$B$100,'PP5(2)'!$H$6:$H$100,"")</f>
        <v>11</v>
      </c>
    </row>
    <row r="18" spans="1:42" ht="13.1" customHeight="1" x14ac:dyDescent="0.25">
      <c r="A18" s="1">
        <f>ROW()-4</f>
        <v>14</v>
      </c>
      <c r="B18" s="1">
        <v>0</v>
      </c>
      <c r="C18" s="3" t="s">
        <v>25</v>
      </c>
      <c r="D18" s="26">
        <f>SUM(E18:P18)</f>
        <v>5.57</v>
      </c>
      <c r="E18" s="23">
        <f>_xlfn.XLOOKUP($C18,'MP (1)'!$B$6:$B$100,'MP (1)'!$E$6:$E$100,"")</f>
        <v>0.5</v>
      </c>
      <c r="F18" s="22">
        <f>_xlfn.XLOOKUP($C18,'MP (2)'!$B$6:$B$100,'MP (2)'!$E$6:$E$100,"")</f>
        <v>0.6</v>
      </c>
      <c r="G18" s="21">
        <f>_xlfn.XLOOKUP($C18,'PP1 (1)'!$B$6:$B$66,'PP1 (1)'!$E$6:$E$66,"")</f>
        <v>0.4</v>
      </c>
      <c r="H18" s="22">
        <f>_xlfn.XLOOKUP($C18,'PP1 (2)'!$B$6:$B$100,'PP1 (2)'!$E$6:$E$100,"")</f>
        <v>0.8</v>
      </c>
      <c r="I18" s="18">
        <f>_xlfn.XLOOKUP($C18,'PP2 (1)'!$B$6:$B$99,'PP2 (1)'!$E$6:$E$99,"")</f>
        <v>0.4</v>
      </c>
      <c r="J18" s="20">
        <f>_xlfn.XLOOKUP($C18,'PP2 (2)'!$B$6:$B$100,'PP2 (2)'!$E$6:$E$100,"")</f>
        <v>0.6</v>
      </c>
      <c r="K18" s="21">
        <f>_xlfn.XLOOKUP($C18,'PP3 (1)'!$B$5:$B$113,'PP3 (1)'!$E$5:$E$113,"")</f>
        <v>0.5</v>
      </c>
      <c r="L18" s="22">
        <f>_xlfn.XLOOKUP($C18,'PP3 (2)'!$B$5:$B$112,'PP3 (2)'!$E$5:$E$112,"")</f>
        <v>0.67</v>
      </c>
      <c r="M18" s="18">
        <f>_xlfn.XLOOKUP($C18,'PP4 (1)'!$B$6:$B$100,'PP4 (1)'!$E$6:$E$100,"")</f>
        <v>0.25</v>
      </c>
      <c r="N18" s="20">
        <f>_xlfn.XLOOKUP($C18,'PP4 (2)'!$B$6:$B$100,'PP4 (2)'!$E$6:$E$100,"")</f>
        <v>0.4</v>
      </c>
      <c r="O18" s="21">
        <f>_xlfn.XLOOKUP($C18,'PP5 (1)'!$B$6:$B$100,'PP5 (1)'!$E$6:$E$100,"")</f>
        <v>0.25</v>
      </c>
      <c r="P18" s="23">
        <f>_xlfn.XLOOKUP($C18,'PP5(2)'!$B$6:$B$100,'PP5(2)'!$E$6:$E$100,"")</f>
        <v>0.2</v>
      </c>
      <c r="Q18" s="10">
        <f>SUM(R18:AC18)</f>
        <v>228</v>
      </c>
      <c r="R18" s="23">
        <f>_xlfn.XLOOKUP($C18,'MP (1)'!$B$6:$B$100,'MP (1)'!$F$6:$F$100,"")</f>
        <v>24</v>
      </c>
      <c r="S18" s="22">
        <f>_xlfn.XLOOKUP($C18,'MP (2)'!$B$6:$B$100,'MP (2)'!$F$6:$F$100,"")</f>
        <v>21</v>
      </c>
      <c r="T18" s="21">
        <f>_xlfn.XLOOKUP($C18,'PP1 (1)'!$B$6:$B$66,'PP1 (1)'!$F$6:$F$66,"")</f>
        <v>19</v>
      </c>
      <c r="U18" s="22">
        <f>_xlfn.XLOOKUP($C18,'PP1 (2)'!$B$6:$B$100,'PP1 (2)'!$F$6:$F$100,"")</f>
        <v>22</v>
      </c>
      <c r="V18" s="18">
        <f>_xlfn.XLOOKUP($C18,'PP2 (1)'!$B$6:$B$99,'PP2 (1)'!$F$6:$F$99,"")</f>
        <v>14</v>
      </c>
      <c r="W18" s="20">
        <f>_xlfn.XLOOKUP($C18,'PP2 (2)'!$B$6:$B$100,'PP2 (2)'!$F$6:$F$100,"")</f>
        <v>22</v>
      </c>
      <c r="X18" s="21">
        <f>_xlfn.XLOOKUP($C18,'PP3 (1)'!$B$5:$B$113,'PP3 (1)'!$F$5:$F$113,"")</f>
        <v>25</v>
      </c>
      <c r="Y18" s="22">
        <f>_xlfn.XLOOKUP($C18,'PP3 (2)'!$B$5:$B$112,'PP3 (2)'!$F$5:$F$112,"")</f>
        <v>23</v>
      </c>
      <c r="Z18" s="18">
        <f>_xlfn.XLOOKUP($C18,'PP4 (1)'!$B$6:$B$100,'PP4 (1)'!$F$6:$F$100,"")</f>
        <v>14</v>
      </c>
      <c r="AA18" s="20">
        <f>_xlfn.XLOOKUP($C18,'PP4 (2)'!$B$6:$B$100,'PP4 (2)'!$F$6:$F$100,"")</f>
        <v>17</v>
      </c>
      <c r="AB18" s="21">
        <f>_xlfn.XLOOKUP($C18,'PP5 (1)'!$B$6:$B$100,'PP5 (1)'!$F$6:$F$100,"")</f>
        <v>17</v>
      </c>
      <c r="AC18" s="23">
        <f>_xlfn.XLOOKUP($C18,'PP5(2)'!$B$6:$B$100,'PP5(2)'!$F$6:$F$100,"")</f>
        <v>10</v>
      </c>
      <c r="AD18" s="10">
        <f>SUM(AE18:AP18)</f>
        <v>7</v>
      </c>
      <c r="AE18" s="23">
        <f>_xlfn.XLOOKUP($C18,'MP (1)'!$B$6:$B$100,'MP (1)'!$H$6:$H$100,"")</f>
        <v>-1</v>
      </c>
      <c r="AF18" s="22">
        <f>_xlfn.XLOOKUP($C18,'MP (2)'!$B$6:$B$100,'MP (2)'!$H$6:$H$100,"")</f>
        <v>7</v>
      </c>
      <c r="AG18" s="21">
        <f>_xlfn.XLOOKUP($C18,'PP1 (1)'!$B$6:$B$66,'PP1 (1)'!$H$6:$H$66,"")</f>
        <v>1</v>
      </c>
      <c r="AH18" s="22">
        <f>_xlfn.XLOOKUP($C18,'PP1 (2)'!$B$6:$B$100,'PP1 (2)'!$H$6:$H$100,"")</f>
        <v>8</v>
      </c>
      <c r="AI18" s="18">
        <f>_xlfn.XLOOKUP($C18,'PP2 (1)'!$B$6:$B$99,'PP2 (1)'!$H$6:$H$99,"")</f>
        <v>-4</v>
      </c>
      <c r="AJ18" s="19">
        <f>_xlfn.XLOOKUP($C18,'PP2 (2)'!$B$6:$B$100,'PP2 (2)'!$H$6:$H$100,"")</f>
        <v>6</v>
      </c>
      <c r="AK18" s="21">
        <f>_xlfn.XLOOKUP($C18,'PP3 (1)'!$B$5:$B$113,'PP3 (1)'!$H$5:$H$113,"")</f>
        <v>2</v>
      </c>
      <c r="AL18" s="22">
        <f>_xlfn.XLOOKUP($C18,'PP3 (2)'!$B$5:$B$112,'PP3 (2)'!$H$5:$H$112,"")</f>
        <v>6</v>
      </c>
      <c r="AM18" s="18">
        <f>_xlfn.XLOOKUP($C18,'PP4 (1)'!$B$6:$B$100,'PP4 (1)'!$H$6:$H$100,"")</f>
        <v>-4</v>
      </c>
      <c r="AN18" s="19">
        <f>_xlfn.XLOOKUP($C18,'PP4 (2)'!$B$6:$B$100,'PP4 (2)'!$H$6:$H$100,"")</f>
        <v>-3</v>
      </c>
      <c r="AO18" s="21">
        <f>_xlfn.XLOOKUP($C18,'PP5 (1)'!$B$6:$B$100,'PP5 (1)'!$H$6:$H$100,"")</f>
        <v>0</v>
      </c>
      <c r="AP18" s="29">
        <f>_xlfn.XLOOKUP($C18,'PP5(2)'!$B$6:$B$100,'PP5(2)'!$H$6:$H$100,"")</f>
        <v>-11</v>
      </c>
    </row>
    <row r="19" spans="1:42" ht="13.1" customHeight="1" x14ac:dyDescent="0.25">
      <c r="A19" s="1">
        <f>ROW()-4</f>
        <v>15</v>
      </c>
      <c r="B19" s="1">
        <v>1</v>
      </c>
      <c r="C19" s="3" t="s">
        <v>40</v>
      </c>
      <c r="D19" s="26">
        <f>SUM(E19:P19)</f>
        <v>5.43</v>
      </c>
      <c r="E19" s="23">
        <f>_xlfn.XLOOKUP($C19,'MP (1)'!$B$6:$B$100,'MP (1)'!$E$6:$E$100,"")</f>
        <v>1</v>
      </c>
      <c r="F19" s="22">
        <f>_xlfn.XLOOKUP($C19,'MP (2)'!$B$6:$B$100,'MP (2)'!$E$6:$E$100,"")</f>
        <v>0.6</v>
      </c>
      <c r="G19" s="21">
        <f>_xlfn.XLOOKUP($C19,'PP1 (1)'!$B$6:$B$66,'PP1 (1)'!$E$6:$E$66,"")</f>
        <v>0.33</v>
      </c>
      <c r="H19" s="22">
        <f>_xlfn.XLOOKUP($C19,'PP1 (2)'!$B$6:$B$100,'PP1 (2)'!$E$6:$E$100,"")</f>
        <v>0.2</v>
      </c>
      <c r="I19" s="18">
        <f>_xlfn.XLOOKUP($C19,'PP2 (1)'!$B$6:$B$99,'PP2 (1)'!$E$6:$E$99,"")</f>
        <v>0.17</v>
      </c>
      <c r="J19" s="20">
        <f>_xlfn.XLOOKUP($C19,'PP2 (2)'!$B$6:$B$100,'PP2 (2)'!$E$6:$E$100,"")</f>
        <v>0</v>
      </c>
      <c r="K19" s="21">
        <f>_xlfn.XLOOKUP($C19,'PP3 (1)'!$B$5:$B$113,'PP3 (1)'!$E$5:$E$113,"")</f>
        <v>0.33</v>
      </c>
      <c r="L19" s="22">
        <f>_xlfn.XLOOKUP($C19,'PP3 (2)'!$B$5:$B$112,'PP3 (2)'!$E$5:$E$112,"")</f>
        <v>0.5</v>
      </c>
      <c r="M19" s="18">
        <f>_xlfn.XLOOKUP($C19,'PP4 (1)'!$B$6:$B$100,'PP4 (1)'!$E$6:$E$100,"")</f>
        <v>0.5</v>
      </c>
      <c r="N19" s="20">
        <f>_xlfn.XLOOKUP($C19,'PP4 (2)'!$B$6:$B$100,'PP4 (2)'!$E$6:$E$100,"")</f>
        <v>0.4</v>
      </c>
      <c r="O19" s="21">
        <f>_xlfn.XLOOKUP($C19,'PP5 (1)'!$B$6:$B$100,'PP5 (1)'!$E$6:$E$100,"")</f>
        <v>0.8</v>
      </c>
      <c r="P19" s="23">
        <f>_xlfn.XLOOKUP($C19,'PP5(2)'!$B$6:$B$100,'PP5(2)'!$E$6:$E$100,"")</f>
        <v>0.6</v>
      </c>
      <c r="Q19" s="10">
        <f>SUM(R19:AC19)</f>
        <v>210</v>
      </c>
      <c r="R19" s="23">
        <f>_xlfn.XLOOKUP($C19,'MP (1)'!$B$6:$B$100,'MP (1)'!$F$6:$F$100,"")</f>
        <v>25</v>
      </c>
      <c r="S19" s="22">
        <f>_xlfn.XLOOKUP($C19,'MP (2)'!$B$6:$B$100,'MP (2)'!$F$6:$F$100,"")</f>
        <v>16</v>
      </c>
      <c r="T19" s="21">
        <f>_xlfn.XLOOKUP($C19,'PP1 (1)'!$B$6:$B$66,'PP1 (1)'!$F$6:$F$66,"")</f>
        <v>21</v>
      </c>
      <c r="U19" s="22">
        <f>_xlfn.XLOOKUP($C19,'PP1 (2)'!$B$6:$B$100,'PP1 (2)'!$F$6:$F$100,"")</f>
        <v>15</v>
      </c>
      <c r="V19" s="18">
        <f>_xlfn.XLOOKUP($C19,'PP2 (1)'!$B$6:$B$99,'PP2 (1)'!$F$6:$F$99,"")</f>
        <v>10</v>
      </c>
      <c r="W19" s="20">
        <f>_xlfn.XLOOKUP($C19,'PP2 (2)'!$B$6:$B$100,'PP2 (2)'!$F$6:$F$100,"")</f>
        <v>12</v>
      </c>
      <c r="X19" s="21">
        <f>_xlfn.XLOOKUP($C19,'PP3 (1)'!$B$5:$B$113,'PP3 (1)'!$F$5:$F$113,"")</f>
        <v>18</v>
      </c>
      <c r="Y19" s="22">
        <f>_xlfn.XLOOKUP($C19,'PP3 (2)'!$B$5:$B$112,'PP3 (2)'!$F$5:$F$112,"")</f>
        <v>21</v>
      </c>
      <c r="Z19" s="18">
        <f>_xlfn.XLOOKUP($C19,'PP4 (1)'!$B$6:$B$100,'PP4 (1)'!$F$6:$F$100,"")</f>
        <v>16</v>
      </c>
      <c r="AA19" s="20">
        <f>_xlfn.XLOOKUP($C19,'PP4 (2)'!$B$6:$B$100,'PP4 (2)'!$F$6:$F$100,"")</f>
        <v>14</v>
      </c>
      <c r="AB19" s="21">
        <f>_xlfn.XLOOKUP($C19,'PP5 (1)'!$B$6:$B$100,'PP5 (1)'!$F$6:$F$100,"")</f>
        <v>23</v>
      </c>
      <c r="AC19" s="23">
        <f>_xlfn.XLOOKUP($C19,'PP5(2)'!$B$6:$B$100,'PP5(2)'!$F$6:$F$100,"")</f>
        <v>19</v>
      </c>
      <c r="AD19" s="10">
        <f>SUM(AE19:AP19)</f>
        <v>-22</v>
      </c>
      <c r="AE19" s="23">
        <f>_xlfn.XLOOKUP($C19,'MP (1)'!$B$6:$B$100,'MP (1)'!$H$6:$H$100,"")</f>
        <v>15</v>
      </c>
      <c r="AF19" s="22">
        <f>_xlfn.XLOOKUP($C19,'MP (2)'!$B$6:$B$100,'MP (2)'!$H$6:$H$100,"")</f>
        <v>0</v>
      </c>
      <c r="AG19" s="21">
        <f>_xlfn.XLOOKUP($C19,'PP1 (1)'!$B$6:$B$66,'PP1 (1)'!$H$6:$H$66,"")</f>
        <v>-3</v>
      </c>
      <c r="AH19" s="22">
        <f>_xlfn.XLOOKUP($C19,'PP1 (2)'!$B$6:$B$100,'PP1 (2)'!$H$6:$H$100,"")</f>
        <v>-5</v>
      </c>
      <c r="AI19" s="18">
        <f>_xlfn.XLOOKUP($C19,'PP2 (1)'!$B$6:$B$99,'PP2 (1)'!$H$6:$H$99,"")</f>
        <v>-18</v>
      </c>
      <c r="AJ19" s="19">
        <f>_xlfn.XLOOKUP($C19,'PP2 (2)'!$B$6:$B$100,'PP2 (2)'!$H$6:$H$100,"")</f>
        <v>-13</v>
      </c>
      <c r="AK19" s="21">
        <f>_xlfn.XLOOKUP($C19,'PP3 (1)'!$B$5:$B$113,'PP3 (1)'!$H$5:$H$113,"")</f>
        <v>-6</v>
      </c>
      <c r="AL19" s="22">
        <f>_xlfn.XLOOKUP($C19,'PP3 (2)'!$B$5:$B$112,'PP3 (2)'!$H$5:$H$112,"")</f>
        <v>0</v>
      </c>
      <c r="AM19" s="18">
        <f>_xlfn.XLOOKUP($C19,'PP4 (1)'!$B$6:$B$100,'PP4 (1)'!$H$6:$H$100,"")</f>
        <v>1</v>
      </c>
      <c r="AN19" s="19">
        <f>_xlfn.XLOOKUP($C19,'PP4 (2)'!$B$6:$B$100,'PP4 (2)'!$H$6:$H$100,"")</f>
        <v>-3</v>
      </c>
      <c r="AO19" s="21">
        <f>_xlfn.XLOOKUP($C19,'PP5 (1)'!$B$6:$B$100,'PP5 (1)'!$H$6:$H$100,"")</f>
        <v>7</v>
      </c>
      <c r="AP19" s="29">
        <f>_xlfn.XLOOKUP($C19,'PP5(2)'!$B$6:$B$100,'PP5(2)'!$H$6:$H$100,"")</f>
        <v>3</v>
      </c>
    </row>
    <row r="20" spans="1:42" ht="13.1" customHeight="1" x14ac:dyDescent="0.25">
      <c r="A20" s="1">
        <f>ROW()-4</f>
        <v>16</v>
      </c>
      <c r="B20" s="1">
        <v>0</v>
      </c>
      <c r="C20" s="3" t="s">
        <v>41</v>
      </c>
      <c r="D20" s="26">
        <f>SUM(E20:P20)</f>
        <v>5.3000000000000007</v>
      </c>
      <c r="E20" s="23" t="str">
        <f>_xlfn.XLOOKUP($C20,'MP (1)'!$B$6:$B$100,'MP (1)'!$E$6:$E$100,"")</f>
        <v/>
      </c>
      <c r="F20" s="22" t="str">
        <f>_xlfn.XLOOKUP($C20,'MP (2)'!$B$6:$B$100,'MP (2)'!$E$6:$E$100,"")</f>
        <v/>
      </c>
      <c r="G20" s="21" t="str">
        <f>_xlfn.XLOOKUP($C20,'PP1 (1)'!$B$6:$B$66,'PP1 (1)'!$E$6:$E$66,"")</f>
        <v/>
      </c>
      <c r="H20" s="22" t="str">
        <f>_xlfn.XLOOKUP($C20,'PP1 (2)'!$B$6:$B$100,'PP1 (2)'!$E$6:$E$100,"")</f>
        <v/>
      </c>
      <c r="I20" s="18">
        <f>_xlfn.XLOOKUP($C20,'PP2 (1)'!$B$6:$B$99,'PP2 (1)'!$E$6:$E$99,"")</f>
        <v>0.83</v>
      </c>
      <c r="J20" s="20">
        <f>_xlfn.XLOOKUP($C20,'PP2 (2)'!$B$6:$B$100,'PP2 (2)'!$E$6:$E$100,"")</f>
        <v>1</v>
      </c>
      <c r="K20" s="21">
        <f>_xlfn.XLOOKUP($C20,'PP3 (1)'!$B$5:$B$113,'PP3 (1)'!$E$5:$E$113,"")</f>
        <v>0.67</v>
      </c>
      <c r="L20" s="22">
        <f>_xlfn.XLOOKUP($C20,'PP3 (2)'!$B$5:$B$112,'PP3 (2)'!$E$5:$E$112,"")</f>
        <v>0.5</v>
      </c>
      <c r="M20" s="18">
        <f>_xlfn.XLOOKUP($C20,'PP4 (1)'!$B$6:$B$100,'PP4 (1)'!$E$6:$E$100,"")</f>
        <v>0.6</v>
      </c>
      <c r="N20" s="20">
        <f>_xlfn.XLOOKUP($C20,'PP4 (2)'!$B$6:$B$100,'PP4 (2)'!$E$6:$E$100,"")</f>
        <v>0.8</v>
      </c>
      <c r="O20" s="21">
        <f>_xlfn.XLOOKUP($C20,'PP5 (1)'!$B$6:$B$100,'PP5 (1)'!$E$6:$E$100,"")</f>
        <v>0.4</v>
      </c>
      <c r="P20" s="23">
        <f>_xlfn.XLOOKUP($C20,'PP5(2)'!$B$6:$B$100,'PP5(2)'!$E$6:$E$100,"")</f>
        <v>0.5</v>
      </c>
      <c r="Q20" s="10">
        <f>SUM(R20:AC20)</f>
        <v>178</v>
      </c>
      <c r="R20" s="23" t="str">
        <f>_xlfn.XLOOKUP($C20,'MP (1)'!$B$6:$B$100,'MP (1)'!$F$6:$F$100,"")</f>
        <v/>
      </c>
      <c r="S20" s="22" t="str">
        <f>_xlfn.XLOOKUP($C20,'MP (2)'!$B$6:$B$100,'MP (2)'!$F$6:$F$100,"")</f>
        <v/>
      </c>
      <c r="T20" s="21" t="str">
        <f>_xlfn.XLOOKUP($C20,'PP1 (1)'!$B$6:$B$66,'PP1 (1)'!$F$6:$F$66,"")</f>
        <v/>
      </c>
      <c r="U20" s="22" t="str">
        <f>_xlfn.XLOOKUP($C20,'PP1 (2)'!$B$6:$B$100,'PP1 (2)'!$F$6:$F$100,"")</f>
        <v/>
      </c>
      <c r="V20" s="18">
        <f>_xlfn.XLOOKUP($C20,'PP2 (1)'!$B$6:$B$99,'PP2 (1)'!$F$6:$F$99,"")</f>
        <v>29</v>
      </c>
      <c r="W20" s="20">
        <f>_xlfn.XLOOKUP($C20,'PP2 (2)'!$B$6:$B$100,'PP2 (2)'!$F$6:$F$100,"")</f>
        <v>25</v>
      </c>
      <c r="X20" s="21">
        <f>_xlfn.XLOOKUP($C20,'PP3 (1)'!$B$5:$B$113,'PP3 (1)'!$F$5:$F$113,"")</f>
        <v>25</v>
      </c>
      <c r="Y20" s="22">
        <f>_xlfn.XLOOKUP($C20,'PP3 (2)'!$B$5:$B$112,'PP3 (2)'!$F$5:$F$112,"")</f>
        <v>22</v>
      </c>
      <c r="Z20" s="18">
        <f>_xlfn.XLOOKUP($C20,'PP4 (1)'!$B$6:$B$100,'PP4 (1)'!$F$6:$F$100,"")</f>
        <v>21</v>
      </c>
      <c r="AA20" s="20">
        <f>_xlfn.XLOOKUP($C20,'PP4 (2)'!$B$6:$B$100,'PP4 (2)'!$F$6:$F$100,"")</f>
        <v>22</v>
      </c>
      <c r="AB20" s="21">
        <f>_xlfn.XLOOKUP($C20,'PP5 (1)'!$B$6:$B$100,'PP5 (1)'!$F$6:$F$100,"")</f>
        <v>21</v>
      </c>
      <c r="AC20" s="23">
        <f>_xlfn.XLOOKUP($C20,'PP5(2)'!$B$6:$B$100,'PP5(2)'!$F$6:$F$100,"")</f>
        <v>13</v>
      </c>
      <c r="AD20" s="10">
        <f>SUM(AE20:AP20)</f>
        <v>57</v>
      </c>
      <c r="AE20" s="23" t="str">
        <f>_xlfn.XLOOKUP($C20,'MP (1)'!$B$6:$B$100,'MP (1)'!$H$6:$H$100,"")</f>
        <v/>
      </c>
      <c r="AF20" s="22" t="str">
        <f>_xlfn.XLOOKUP($C20,'MP (2)'!$B$6:$B$100,'MP (2)'!$H$6:$H$100,"")</f>
        <v/>
      </c>
      <c r="AG20" s="21" t="str">
        <f>_xlfn.XLOOKUP($C20,'PP1 (1)'!$B$6:$B$66,'PP1 (1)'!$H$6:$H$66,"")</f>
        <v/>
      </c>
      <c r="AH20" s="22" t="str">
        <f>_xlfn.XLOOKUP($C20,'PP1 (2)'!$B$6:$B$100,'PP1 (2)'!$H$6:$H$100,"")</f>
        <v/>
      </c>
      <c r="AI20" s="18">
        <f>_xlfn.XLOOKUP($C20,'PP2 (1)'!$B$6:$B$99,'PP2 (1)'!$H$6:$H$99,"")</f>
        <v>15</v>
      </c>
      <c r="AJ20" s="19">
        <f>_xlfn.XLOOKUP($C20,'PP2 (2)'!$B$6:$B$100,'PP2 (2)'!$H$6:$H$100,"")</f>
        <v>21</v>
      </c>
      <c r="AK20" s="21">
        <f>_xlfn.XLOOKUP($C20,'PP3 (1)'!$B$5:$B$113,'PP3 (1)'!$H$5:$H$113,"")</f>
        <v>4</v>
      </c>
      <c r="AL20" s="22">
        <f>_xlfn.XLOOKUP($C20,'PP3 (2)'!$B$5:$B$112,'PP3 (2)'!$H$5:$H$112,"")</f>
        <v>3</v>
      </c>
      <c r="AM20" s="18">
        <f>_xlfn.XLOOKUP($C20,'PP4 (1)'!$B$6:$B$100,'PP4 (1)'!$H$6:$H$100,"")</f>
        <v>1</v>
      </c>
      <c r="AN20" s="19">
        <f>_xlfn.XLOOKUP($C20,'PP4 (2)'!$B$6:$B$100,'PP4 (2)'!$H$6:$H$100,"")</f>
        <v>9</v>
      </c>
      <c r="AO20" s="21">
        <f>_xlfn.XLOOKUP($C20,'PP5 (1)'!$B$6:$B$100,'PP5 (1)'!$H$6:$H$100,"")</f>
        <v>6</v>
      </c>
      <c r="AP20" s="29">
        <f>_xlfn.XLOOKUP($C20,'PP5(2)'!$B$6:$B$100,'PP5(2)'!$H$6:$H$100,"")</f>
        <v>-2</v>
      </c>
    </row>
    <row r="21" spans="1:42" ht="13.1" customHeight="1" x14ac:dyDescent="0.25">
      <c r="A21" s="1">
        <f>ROW()-4</f>
        <v>17</v>
      </c>
      <c r="B21" s="1">
        <v>3</v>
      </c>
      <c r="C21" s="3" t="s">
        <v>14</v>
      </c>
      <c r="D21" s="26">
        <f>SUM(E21:P21)</f>
        <v>5.18</v>
      </c>
      <c r="E21" s="23" t="str">
        <f>_xlfn.XLOOKUP($C21,'MP (1)'!$B$6:$B$100,'MP (1)'!$E$6:$E$100,"")</f>
        <v/>
      </c>
      <c r="F21" s="22" t="str">
        <f>_xlfn.XLOOKUP($C21,'MP (2)'!$B$6:$B$100,'MP (2)'!$E$6:$E$100,"")</f>
        <v/>
      </c>
      <c r="G21" s="21">
        <f>_xlfn.XLOOKUP($C21,'PP1 (1)'!$B$6:$B$66,'PP1 (1)'!$E$6:$E$66,"")</f>
        <v>0.8</v>
      </c>
      <c r="H21" s="22">
        <f>_xlfn.XLOOKUP($C21,'PP1 (2)'!$B$6:$B$100,'PP1 (2)'!$E$6:$E$100,"")</f>
        <v>1</v>
      </c>
      <c r="I21" s="18" t="str">
        <f>_xlfn.XLOOKUP($C21,'PP2 (1)'!$B$6:$B$99,'PP2 (1)'!$E$6:$E$99,"")</f>
        <v/>
      </c>
      <c r="J21" s="20" t="str">
        <f>_xlfn.XLOOKUP($C21,'PP2 (2)'!$B$6:$B$100,'PP2 (2)'!$E$6:$E$100,"")</f>
        <v/>
      </c>
      <c r="K21" s="21">
        <f>_xlfn.XLOOKUP($C21,'PP3 (1)'!$B$5:$B$113,'PP3 (1)'!$E$5:$E$113,"")</f>
        <v>1</v>
      </c>
      <c r="L21" s="22">
        <f>_xlfn.XLOOKUP($C21,'PP3 (2)'!$B$5:$B$112,'PP3 (2)'!$E$5:$E$112,"")</f>
        <v>0.83</v>
      </c>
      <c r="M21" s="18">
        <f>_xlfn.XLOOKUP($C21,'PP4 (1)'!$B$6:$B$100,'PP4 (1)'!$E$6:$E$100,"")</f>
        <v>0.8</v>
      </c>
      <c r="N21" s="20">
        <f>_xlfn.XLOOKUP($C21,'PP4 (2)'!$B$6:$B$100,'PP4 (2)'!$E$6:$E$100,"")</f>
        <v>0.75</v>
      </c>
      <c r="O21" s="21" t="str">
        <f>_xlfn.XLOOKUP($C21,'PP5 (1)'!$B$6:$B$100,'PP5 (1)'!$E$6:$E$100,"")</f>
        <v/>
      </c>
      <c r="P21" s="23" t="str">
        <f>_xlfn.XLOOKUP($C21,'PP5(2)'!$B$6:$B$100,'PP5(2)'!$E$6:$E$100,"")</f>
        <v/>
      </c>
      <c r="Q21" s="10">
        <f>SUM(R21:AC21)</f>
        <v>151</v>
      </c>
      <c r="R21" s="23" t="str">
        <f>_xlfn.XLOOKUP($C21,'MP (1)'!$B$6:$B$100,'MP (1)'!$F$6:$F$100,"")</f>
        <v/>
      </c>
      <c r="S21" s="22" t="str">
        <f>_xlfn.XLOOKUP($C21,'MP (2)'!$B$6:$B$100,'MP (2)'!$F$6:$F$100,"")</f>
        <v/>
      </c>
      <c r="T21" s="21">
        <f>_xlfn.XLOOKUP($C21,'PP1 (1)'!$B$6:$B$66,'PP1 (1)'!$F$6:$F$66,"")</f>
        <v>24</v>
      </c>
      <c r="U21" s="22">
        <f>_xlfn.XLOOKUP($C21,'PP1 (2)'!$B$6:$B$100,'PP1 (2)'!$F$6:$F$100,"")</f>
        <v>25</v>
      </c>
      <c r="V21" s="18" t="str">
        <f>_xlfn.XLOOKUP($C21,'PP2 (1)'!$B$6:$B$99,'PP2 (1)'!$F$6:$F$99,"")</f>
        <v/>
      </c>
      <c r="W21" s="20" t="str">
        <f>_xlfn.XLOOKUP($C21,'PP2 (2)'!$B$6:$B$100,'PP2 (2)'!$F$6:$F$100,"")</f>
        <v/>
      </c>
      <c r="X21" s="21">
        <f>_xlfn.XLOOKUP($C21,'PP3 (1)'!$B$5:$B$113,'PP3 (1)'!$F$5:$F$113,"")</f>
        <v>30</v>
      </c>
      <c r="Y21" s="22">
        <f>_xlfn.XLOOKUP($C21,'PP3 (2)'!$B$5:$B$112,'PP3 (2)'!$F$5:$F$112,"")</f>
        <v>29</v>
      </c>
      <c r="Z21" s="18">
        <f>_xlfn.XLOOKUP($C21,'PP4 (1)'!$B$6:$B$100,'PP4 (1)'!$F$6:$F$100,"")</f>
        <v>24</v>
      </c>
      <c r="AA21" s="20">
        <f>_xlfn.XLOOKUP($C21,'PP4 (2)'!$B$6:$B$100,'PP4 (2)'!$F$6:$F$100,"")</f>
        <v>19</v>
      </c>
      <c r="AB21" s="21" t="str">
        <f>_xlfn.XLOOKUP($C21,'PP5 (1)'!$B$6:$B$100,'PP5 (1)'!$F$6:$F$100,"")</f>
        <v/>
      </c>
      <c r="AC21" s="23" t="str">
        <f>_xlfn.XLOOKUP($C21,'PP5(2)'!$B$6:$B$100,'PP5(2)'!$F$6:$F$100,"")</f>
        <v/>
      </c>
      <c r="AD21" s="10">
        <f>SUM(AE21:AP21)</f>
        <v>83</v>
      </c>
      <c r="AE21" s="23" t="str">
        <f>_xlfn.XLOOKUP($C21,'MP (1)'!$B$6:$B$100,'MP (1)'!$H$6:$H$100,"")</f>
        <v/>
      </c>
      <c r="AF21" s="22" t="str">
        <f>_xlfn.XLOOKUP($C21,'MP (2)'!$B$6:$B$100,'MP (2)'!$H$6:$H$100,"")</f>
        <v/>
      </c>
      <c r="AG21" s="21">
        <f>_xlfn.XLOOKUP($C21,'PP1 (1)'!$B$6:$B$66,'PP1 (1)'!$H$6:$H$66,"")</f>
        <v>14</v>
      </c>
      <c r="AH21" s="22">
        <f>_xlfn.XLOOKUP($C21,'PP1 (2)'!$B$6:$B$100,'PP1 (2)'!$H$6:$H$100,"")</f>
        <v>17</v>
      </c>
      <c r="AI21" s="18" t="str">
        <f>_xlfn.XLOOKUP($C21,'PP2 (1)'!$B$6:$B$99,'PP2 (1)'!$H$6:$H$99,"")</f>
        <v/>
      </c>
      <c r="AJ21" s="19" t="str">
        <f>_xlfn.XLOOKUP($C21,'PP2 (2)'!$B$6:$B$100,'PP2 (2)'!$H$6:$H$100,"")</f>
        <v/>
      </c>
      <c r="AK21" s="21">
        <f>_xlfn.XLOOKUP($C21,'PP3 (1)'!$B$5:$B$113,'PP3 (1)'!$H$5:$H$113,"")</f>
        <v>15</v>
      </c>
      <c r="AL21" s="22">
        <f>_xlfn.XLOOKUP($C21,'PP3 (2)'!$B$5:$B$112,'PP3 (2)'!$H$5:$H$112,"")</f>
        <v>16</v>
      </c>
      <c r="AM21" s="18">
        <f>_xlfn.XLOOKUP($C21,'PP4 (1)'!$B$6:$B$100,'PP4 (1)'!$H$6:$H$100,"")</f>
        <v>13</v>
      </c>
      <c r="AN21" s="19">
        <f>_xlfn.XLOOKUP($C21,'PP4 (2)'!$B$6:$B$100,'PP4 (2)'!$H$6:$H$100,"")</f>
        <v>8</v>
      </c>
      <c r="AO21" s="21" t="str">
        <f>_xlfn.XLOOKUP($C21,'PP5 (1)'!$B$6:$B$100,'PP5 (1)'!$H$6:$H$100,"")</f>
        <v/>
      </c>
      <c r="AP21" s="29" t="str">
        <f>_xlfn.XLOOKUP($C21,'PP5(2)'!$B$6:$B$100,'PP5(2)'!$H$6:$H$100,"")</f>
        <v/>
      </c>
    </row>
    <row r="22" spans="1:42" ht="13.1" customHeight="1" x14ac:dyDescent="0.25">
      <c r="A22" s="1">
        <f>ROW()-4</f>
        <v>18</v>
      </c>
      <c r="B22" s="1">
        <v>2</v>
      </c>
      <c r="C22" s="3" t="s">
        <v>16</v>
      </c>
      <c r="D22" s="26">
        <f>SUM(E22:P22)</f>
        <v>4.9999999999999991</v>
      </c>
      <c r="E22" s="23">
        <f>_xlfn.XLOOKUP($C22,'MP (1)'!$B$6:$B$100,'MP (1)'!$E$6:$E$100,"")</f>
        <v>0.67</v>
      </c>
      <c r="F22" s="22">
        <f>_xlfn.XLOOKUP($C22,'MP (2)'!$B$6:$B$100,'MP (2)'!$E$6:$E$100,"")</f>
        <v>0.6</v>
      </c>
      <c r="G22" s="21" t="str">
        <f>_xlfn.XLOOKUP($C22,'PP1 (1)'!$B$6:$B$66,'PP1 (1)'!$E$6:$E$66,"")</f>
        <v/>
      </c>
      <c r="H22" s="22" t="str">
        <f>_xlfn.XLOOKUP($C22,'PP1 (2)'!$B$6:$B$100,'PP1 (2)'!$E$6:$E$100,"")</f>
        <v/>
      </c>
      <c r="I22" s="18">
        <f>_xlfn.XLOOKUP($C22,'PP2 (1)'!$B$6:$B$99,'PP2 (1)'!$E$6:$E$99,"")</f>
        <v>1</v>
      </c>
      <c r="J22" s="20">
        <f>_xlfn.XLOOKUP($C22,'PP2 (2)'!$B$6:$B$100,'PP2 (2)'!$E$6:$E$100,"")</f>
        <v>0.4</v>
      </c>
      <c r="K22" s="21">
        <f>_xlfn.XLOOKUP($C22,'PP3 (1)'!$B$5:$B$113,'PP3 (1)'!$E$5:$E$113,"")</f>
        <v>0.33</v>
      </c>
      <c r="L22" s="22">
        <f>_xlfn.XLOOKUP($C22,'PP3 (2)'!$B$5:$B$112,'PP3 (2)'!$E$5:$E$112,"")</f>
        <v>0.8</v>
      </c>
      <c r="M22" s="18">
        <f>_xlfn.XLOOKUP($C22,'PP4 (1)'!$B$6:$B$100,'PP4 (1)'!$E$6:$E$100,"")</f>
        <v>0.6</v>
      </c>
      <c r="N22" s="20">
        <f>_xlfn.XLOOKUP($C22,'PP4 (2)'!$B$6:$B$100,'PP4 (2)'!$E$6:$E$100,"")</f>
        <v>0.6</v>
      </c>
      <c r="O22" s="21" t="str">
        <f>_xlfn.XLOOKUP($C22,'PP5 (1)'!$B$6:$B$100,'PP5 (1)'!$E$6:$E$100,"")</f>
        <v/>
      </c>
      <c r="P22" s="23" t="str">
        <f>_xlfn.XLOOKUP($C22,'PP5(2)'!$B$6:$B$100,'PP5(2)'!$E$6:$E$100,"")</f>
        <v/>
      </c>
      <c r="Q22" s="10">
        <f>SUM(R22:AC22)</f>
        <v>182</v>
      </c>
      <c r="R22" s="23">
        <f>_xlfn.XLOOKUP($C22,'MP (1)'!$B$6:$B$100,'MP (1)'!$F$6:$F$100,"")</f>
        <v>27</v>
      </c>
      <c r="S22" s="22">
        <f>_xlfn.XLOOKUP($C22,'MP (2)'!$B$6:$B$100,'MP (2)'!$F$6:$F$100,"")</f>
        <v>22</v>
      </c>
      <c r="T22" s="21" t="str">
        <f>_xlfn.XLOOKUP($C22,'PP1 (1)'!$B$6:$B$66,'PP1 (1)'!$F$6:$F$66,"")</f>
        <v/>
      </c>
      <c r="U22" s="22" t="str">
        <f>_xlfn.XLOOKUP($C22,'PP1 (2)'!$B$6:$B$100,'PP1 (2)'!$F$6:$F$100,"")</f>
        <v/>
      </c>
      <c r="V22" s="18">
        <f>_xlfn.XLOOKUP($C22,'PP2 (1)'!$B$6:$B$99,'PP2 (1)'!$F$6:$F$99,"")</f>
        <v>25</v>
      </c>
      <c r="W22" s="20">
        <f>_xlfn.XLOOKUP($C22,'PP2 (2)'!$B$6:$B$100,'PP2 (2)'!$F$6:$F$100,"")</f>
        <v>21</v>
      </c>
      <c r="X22" s="21">
        <f>_xlfn.XLOOKUP($C22,'PP3 (1)'!$B$5:$B$113,'PP3 (1)'!$F$5:$F$113,"")</f>
        <v>25</v>
      </c>
      <c r="Y22" s="22">
        <f>_xlfn.XLOOKUP($C22,'PP3 (2)'!$B$5:$B$112,'PP3 (2)'!$F$5:$F$112,"")</f>
        <v>22</v>
      </c>
      <c r="Z22" s="18">
        <f>_xlfn.XLOOKUP($C22,'PP4 (1)'!$B$6:$B$100,'PP4 (1)'!$F$6:$F$100,"")</f>
        <v>20</v>
      </c>
      <c r="AA22" s="20">
        <f>_xlfn.XLOOKUP($C22,'PP4 (2)'!$B$6:$B$100,'PP4 (2)'!$F$6:$F$100,"")</f>
        <v>20</v>
      </c>
      <c r="AB22" s="21" t="str">
        <f>_xlfn.XLOOKUP($C22,'PP5 (1)'!$B$6:$B$100,'PP5 (1)'!$F$6:$F$100,"")</f>
        <v/>
      </c>
      <c r="AC22" s="23" t="str">
        <f>_xlfn.XLOOKUP($C22,'PP5(2)'!$B$6:$B$100,'PP5(2)'!$F$6:$F$100,"")</f>
        <v/>
      </c>
      <c r="AD22" s="10">
        <f>SUM(AE22:AP22)</f>
        <v>52</v>
      </c>
      <c r="AE22" s="23">
        <f>_xlfn.XLOOKUP($C22,'MP (1)'!$B$6:$B$100,'MP (1)'!$H$6:$H$100,"")</f>
        <v>7</v>
      </c>
      <c r="AF22" s="22">
        <f>_xlfn.XLOOKUP($C22,'MP (2)'!$B$6:$B$100,'MP (2)'!$H$6:$H$100,"")</f>
        <v>5</v>
      </c>
      <c r="AG22" s="21" t="str">
        <f>_xlfn.XLOOKUP($C22,'PP1 (1)'!$B$6:$B$66,'PP1 (1)'!$H$6:$H$66,"")</f>
        <v/>
      </c>
      <c r="AH22" s="22" t="str">
        <f>_xlfn.XLOOKUP($C22,'PP1 (2)'!$B$6:$B$100,'PP1 (2)'!$H$6:$H$100,"")</f>
        <v/>
      </c>
      <c r="AI22" s="18">
        <f>_xlfn.XLOOKUP($C22,'PP2 (1)'!$B$6:$B$99,'PP2 (1)'!$H$6:$H$99,"")</f>
        <v>14</v>
      </c>
      <c r="AJ22" s="19">
        <f>_xlfn.XLOOKUP($C22,'PP2 (2)'!$B$6:$B$100,'PP2 (2)'!$H$6:$H$100,"")</f>
        <v>2</v>
      </c>
      <c r="AK22" s="21">
        <f>_xlfn.XLOOKUP($C22,'PP3 (1)'!$B$5:$B$113,'PP3 (1)'!$H$5:$H$113,"")</f>
        <v>1</v>
      </c>
      <c r="AL22" s="22">
        <f>_xlfn.XLOOKUP($C22,'PP3 (2)'!$B$5:$B$112,'PP3 (2)'!$H$5:$H$112,"")</f>
        <v>12</v>
      </c>
      <c r="AM22" s="18">
        <f>_xlfn.XLOOKUP($C22,'PP4 (1)'!$B$6:$B$100,'PP4 (1)'!$H$6:$H$100,"")</f>
        <v>4</v>
      </c>
      <c r="AN22" s="19">
        <f>_xlfn.XLOOKUP($C22,'PP4 (2)'!$B$6:$B$100,'PP4 (2)'!$H$6:$H$100,"")</f>
        <v>7</v>
      </c>
      <c r="AO22" s="21" t="str">
        <f>_xlfn.XLOOKUP($C22,'PP5 (1)'!$B$6:$B$100,'PP5 (1)'!$H$6:$H$100,"")</f>
        <v/>
      </c>
      <c r="AP22" s="29" t="str">
        <f>_xlfn.XLOOKUP($C22,'PP5(2)'!$B$6:$B$100,'PP5(2)'!$H$6:$H$100,"")</f>
        <v/>
      </c>
    </row>
    <row r="23" spans="1:42" ht="13.1" customHeight="1" x14ac:dyDescent="0.25">
      <c r="A23" s="1">
        <f>ROW()-4</f>
        <v>19</v>
      </c>
      <c r="B23" s="1">
        <v>1</v>
      </c>
      <c r="C23" s="3" t="s">
        <v>19</v>
      </c>
      <c r="D23" s="26">
        <f>SUM(E23:P23)</f>
        <v>4.9399999999999995</v>
      </c>
      <c r="E23" s="23">
        <f>_xlfn.XLOOKUP($C23,'MP (1)'!$B$6:$B$100,'MP (1)'!$E$6:$E$100,"")</f>
        <v>1</v>
      </c>
      <c r="F23" s="22">
        <f>_xlfn.XLOOKUP($C23,'MP (2)'!$B$6:$B$100,'MP (2)'!$E$6:$E$100,"")</f>
        <v>1</v>
      </c>
      <c r="G23" s="21" t="str">
        <f>_xlfn.XLOOKUP($C23,'PP1 (1)'!$B$6:$B$66,'PP1 (1)'!$E$6:$E$66,"")</f>
        <v/>
      </c>
      <c r="H23" s="22" t="str">
        <f>_xlfn.XLOOKUP($C23,'PP1 (2)'!$B$6:$B$100,'PP1 (2)'!$E$6:$E$100,"")</f>
        <v/>
      </c>
      <c r="I23" s="18">
        <f>_xlfn.XLOOKUP($C23,'PP2 (1)'!$B$6:$B$99,'PP2 (1)'!$E$6:$E$99,"")</f>
        <v>0.8</v>
      </c>
      <c r="J23" s="20">
        <f>_xlfn.XLOOKUP($C23,'PP2 (2)'!$B$6:$B$100,'PP2 (2)'!$E$6:$E$100,"")</f>
        <v>0.8</v>
      </c>
      <c r="K23" s="21">
        <f>_xlfn.XLOOKUP($C23,'PP3 (1)'!$B$5:$B$113,'PP3 (1)'!$E$5:$E$113,"")</f>
        <v>0.67</v>
      </c>
      <c r="L23" s="22">
        <f>_xlfn.XLOOKUP($C23,'PP3 (2)'!$B$5:$B$112,'PP3 (2)'!$E$5:$E$112,"")</f>
        <v>0.67</v>
      </c>
      <c r="M23" s="18" t="str">
        <f>_xlfn.XLOOKUP($C23,'PP4 (1)'!$B$6:$B$100,'PP4 (1)'!$E$6:$E$100,"")</f>
        <v/>
      </c>
      <c r="N23" s="20" t="str">
        <f>_xlfn.XLOOKUP($C23,'PP4 (2)'!$B$6:$B$100,'PP4 (2)'!$E$6:$E$100,"")</f>
        <v/>
      </c>
      <c r="O23" s="21" t="str">
        <f>_xlfn.XLOOKUP($C23,'PP5 (1)'!$B$6:$B$100,'PP5 (1)'!$E$6:$E$100,"")</f>
        <v/>
      </c>
      <c r="P23" s="23" t="str">
        <f>_xlfn.XLOOKUP($C23,'PP5(2)'!$B$6:$B$100,'PP5(2)'!$E$6:$E$100,"")</f>
        <v/>
      </c>
      <c r="Q23" s="10">
        <f>SUM(R23:AC23)</f>
        <v>147</v>
      </c>
      <c r="R23" s="23">
        <f>_xlfn.XLOOKUP($C23,'MP (1)'!$B$6:$B$100,'MP (1)'!$F$6:$F$100,"")</f>
        <v>25</v>
      </c>
      <c r="S23" s="22">
        <f>_xlfn.XLOOKUP($C23,'MP (2)'!$B$6:$B$100,'MP (2)'!$F$6:$F$100,"")</f>
        <v>25</v>
      </c>
      <c r="T23" s="21" t="str">
        <f>_xlfn.XLOOKUP($C23,'PP1 (1)'!$B$6:$B$66,'PP1 (1)'!$F$6:$F$66,"")</f>
        <v/>
      </c>
      <c r="U23" s="22" t="str">
        <f>_xlfn.XLOOKUP($C23,'PP1 (2)'!$B$6:$B$100,'PP1 (2)'!$F$6:$F$100,"")</f>
        <v/>
      </c>
      <c r="V23" s="18">
        <f>_xlfn.XLOOKUP($C23,'PP2 (1)'!$B$6:$B$99,'PP2 (1)'!$F$6:$F$99,"")</f>
        <v>21</v>
      </c>
      <c r="W23" s="20">
        <f>_xlfn.XLOOKUP($C23,'PP2 (2)'!$B$6:$B$100,'PP2 (2)'!$F$6:$F$100,"")</f>
        <v>24</v>
      </c>
      <c r="X23" s="21">
        <f>_xlfn.XLOOKUP($C23,'PP3 (1)'!$B$5:$B$113,'PP3 (1)'!$F$5:$F$113,"")</f>
        <v>27</v>
      </c>
      <c r="Y23" s="22">
        <f>_xlfn.XLOOKUP($C23,'PP3 (2)'!$B$5:$B$112,'PP3 (2)'!$F$5:$F$112,"")</f>
        <v>25</v>
      </c>
      <c r="Z23" s="18" t="str">
        <f>_xlfn.XLOOKUP($C23,'PP4 (1)'!$B$6:$B$100,'PP4 (1)'!$F$6:$F$100,"")</f>
        <v/>
      </c>
      <c r="AA23" s="20" t="str">
        <f>_xlfn.XLOOKUP($C23,'PP4 (2)'!$B$6:$B$100,'PP4 (2)'!$F$6:$F$100,"")</f>
        <v/>
      </c>
      <c r="AB23" s="21" t="str">
        <f>_xlfn.XLOOKUP($C23,'PP5 (1)'!$B$6:$B$100,'PP5 (1)'!$F$6:$F$100,"")</f>
        <v/>
      </c>
      <c r="AC23" s="23" t="str">
        <f>_xlfn.XLOOKUP($C23,'PP5(2)'!$B$6:$B$100,'PP5(2)'!$F$6:$F$100,"")</f>
        <v/>
      </c>
      <c r="AD23" s="10">
        <f>SUM(AE23:AP23)</f>
        <v>73</v>
      </c>
      <c r="AE23" s="23">
        <f>_xlfn.XLOOKUP($C23,'MP (1)'!$B$6:$B$100,'MP (1)'!$H$6:$H$100,"")</f>
        <v>16</v>
      </c>
      <c r="AF23" s="22">
        <f>_xlfn.XLOOKUP($C23,'MP (2)'!$B$6:$B$100,'MP (2)'!$H$6:$H$100,"")</f>
        <v>21</v>
      </c>
      <c r="AG23" s="21" t="str">
        <f>_xlfn.XLOOKUP($C23,'PP1 (1)'!$B$6:$B$66,'PP1 (1)'!$H$6:$H$66,"")</f>
        <v/>
      </c>
      <c r="AH23" s="22" t="str">
        <f>_xlfn.XLOOKUP($C23,'PP1 (2)'!$B$6:$B$100,'PP1 (2)'!$H$6:$H$100,"")</f>
        <v/>
      </c>
      <c r="AI23" s="18">
        <f>_xlfn.XLOOKUP($C23,'PP2 (1)'!$B$6:$B$99,'PP2 (1)'!$H$6:$H$99,"")</f>
        <v>11</v>
      </c>
      <c r="AJ23" s="19">
        <f>_xlfn.XLOOKUP($C23,'PP2 (2)'!$B$6:$B$100,'PP2 (2)'!$H$6:$H$100,"")</f>
        <v>14</v>
      </c>
      <c r="AK23" s="21">
        <f>_xlfn.XLOOKUP($C23,'PP3 (1)'!$B$5:$B$113,'PP3 (1)'!$H$5:$H$113,"")</f>
        <v>4</v>
      </c>
      <c r="AL23" s="22">
        <f>_xlfn.XLOOKUP($C23,'PP3 (2)'!$B$5:$B$112,'PP3 (2)'!$H$5:$H$112,"")</f>
        <v>7</v>
      </c>
      <c r="AM23" s="18" t="str">
        <f>_xlfn.XLOOKUP($C23,'PP4 (1)'!$B$6:$B$100,'PP4 (1)'!$H$6:$H$100,"")</f>
        <v/>
      </c>
      <c r="AN23" s="19" t="str">
        <f>_xlfn.XLOOKUP($C23,'PP4 (2)'!$B$6:$B$100,'PP4 (2)'!$H$6:$H$100,"")</f>
        <v/>
      </c>
      <c r="AO23" s="21" t="str">
        <f>_xlfn.XLOOKUP($C23,'PP5 (1)'!$B$6:$B$100,'PP5 (1)'!$H$6:$H$100,"")</f>
        <v/>
      </c>
      <c r="AP23" s="29" t="str">
        <f>_xlfn.XLOOKUP($C23,'PP5(2)'!$B$6:$B$100,'PP5(2)'!$H$6:$H$100,"")</f>
        <v/>
      </c>
    </row>
    <row r="24" spans="1:42" ht="13.1" customHeight="1" x14ac:dyDescent="0.25">
      <c r="A24" s="1">
        <f>ROW()-4</f>
        <v>20</v>
      </c>
      <c r="B24" s="1">
        <v>3</v>
      </c>
      <c r="C24" s="3" t="s">
        <v>29</v>
      </c>
      <c r="D24" s="26">
        <f>SUM(E24:P24)</f>
        <v>4.4300000000000006</v>
      </c>
      <c r="E24" s="23">
        <f>_xlfn.XLOOKUP($C24,'MP (1)'!$B$6:$B$100,'MP (1)'!$E$6:$E$100,"")</f>
        <v>0.4</v>
      </c>
      <c r="F24" s="22">
        <f>_xlfn.XLOOKUP($C24,'MP (2)'!$B$6:$B$100,'MP (2)'!$E$6:$E$100,"")</f>
        <v>0.4</v>
      </c>
      <c r="G24" s="21">
        <f>_xlfn.XLOOKUP($C24,'PP1 (1)'!$B$6:$B$66,'PP1 (1)'!$E$6:$E$66,"")</f>
        <v>0.6</v>
      </c>
      <c r="H24" s="22">
        <f>_xlfn.XLOOKUP($C24,'PP1 (2)'!$B$6:$B$100,'PP1 (2)'!$E$6:$E$100,"")</f>
        <v>0.6</v>
      </c>
      <c r="I24" s="18" t="str">
        <f>_xlfn.XLOOKUP($C24,'PP2 (1)'!$B$6:$B$99,'PP2 (1)'!$E$6:$E$99,"")</f>
        <v/>
      </c>
      <c r="J24" s="20" t="str">
        <f>_xlfn.XLOOKUP($C24,'PP2 (2)'!$B$6:$B$100,'PP2 (2)'!$E$6:$E$100,"")</f>
        <v/>
      </c>
      <c r="K24" s="21">
        <f>_xlfn.XLOOKUP($C24,'PP3 (1)'!$B$5:$B$113,'PP3 (1)'!$E$5:$E$113,"")</f>
        <v>0.5</v>
      </c>
      <c r="L24" s="22">
        <f>_xlfn.XLOOKUP($C24,'PP3 (2)'!$B$5:$B$112,'PP3 (2)'!$E$5:$E$112,"")</f>
        <v>0.33</v>
      </c>
      <c r="M24" s="18">
        <f>_xlfn.XLOOKUP($C24,'PP4 (1)'!$B$6:$B$100,'PP4 (1)'!$E$6:$E$100,"")</f>
        <v>0.4</v>
      </c>
      <c r="N24" s="20">
        <f>_xlfn.XLOOKUP($C24,'PP4 (2)'!$B$6:$B$100,'PP4 (2)'!$E$6:$E$100,"")</f>
        <v>0.6</v>
      </c>
      <c r="O24" s="21">
        <f>_xlfn.XLOOKUP($C24,'PP5 (1)'!$B$6:$B$100,'PP5 (1)'!$E$6:$E$100,"")</f>
        <v>0.4</v>
      </c>
      <c r="P24" s="23">
        <f>_xlfn.XLOOKUP($C24,'PP5(2)'!$B$6:$B$100,'PP5(2)'!$E$6:$E$100,"")</f>
        <v>0.2</v>
      </c>
      <c r="Q24" s="10">
        <f>SUM(R24:AC24)</f>
        <v>169</v>
      </c>
      <c r="R24" s="23">
        <f>_xlfn.XLOOKUP($C24,'MP (1)'!$B$6:$B$100,'MP (1)'!$F$6:$F$100,"")</f>
        <v>16</v>
      </c>
      <c r="S24" s="22">
        <f>_xlfn.XLOOKUP($C24,'MP (2)'!$B$6:$B$100,'MP (2)'!$F$6:$F$100,"")</f>
        <v>19</v>
      </c>
      <c r="T24" s="21">
        <f>_xlfn.XLOOKUP($C24,'PP1 (1)'!$B$6:$B$66,'PP1 (1)'!$F$6:$F$66,"")</f>
        <v>18</v>
      </c>
      <c r="U24" s="22">
        <f>_xlfn.XLOOKUP($C24,'PP1 (2)'!$B$6:$B$100,'PP1 (2)'!$F$6:$F$100,"")</f>
        <v>19</v>
      </c>
      <c r="V24" s="18" t="str">
        <f>_xlfn.XLOOKUP($C24,'PP2 (1)'!$B$6:$B$99,'PP2 (1)'!$F$6:$F$99,"")</f>
        <v/>
      </c>
      <c r="W24" s="20" t="str">
        <f>_xlfn.XLOOKUP($C24,'PP2 (2)'!$B$6:$B$100,'PP2 (2)'!$F$6:$F$100,"")</f>
        <v/>
      </c>
      <c r="X24" s="21">
        <f>_xlfn.XLOOKUP($C24,'PP3 (1)'!$B$5:$B$113,'PP3 (1)'!$F$5:$F$113,"")</f>
        <v>19</v>
      </c>
      <c r="Y24" s="22">
        <f>_xlfn.XLOOKUP($C24,'PP3 (2)'!$B$5:$B$112,'PP3 (2)'!$F$5:$F$112,"")</f>
        <v>18</v>
      </c>
      <c r="Z24" s="18">
        <f>_xlfn.XLOOKUP($C24,'PP4 (1)'!$B$6:$B$100,'PP4 (1)'!$F$6:$F$100,"")</f>
        <v>16</v>
      </c>
      <c r="AA24" s="20">
        <f>_xlfn.XLOOKUP($C24,'PP4 (2)'!$B$6:$B$100,'PP4 (2)'!$F$6:$F$100,"")</f>
        <v>17</v>
      </c>
      <c r="AB24" s="21">
        <f>_xlfn.XLOOKUP($C24,'PP5 (1)'!$B$6:$B$100,'PP5 (1)'!$F$6:$F$100,"")</f>
        <v>16</v>
      </c>
      <c r="AC24" s="23">
        <f>_xlfn.XLOOKUP($C24,'PP5(2)'!$B$6:$B$100,'PP5(2)'!$F$6:$F$100,"")</f>
        <v>11</v>
      </c>
      <c r="AD24" s="10">
        <f>SUM(AE24:AP24)</f>
        <v>-34</v>
      </c>
      <c r="AE24" s="23">
        <f>_xlfn.XLOOKUP($C24,'MP (1)'!$B$6:$B$100,'MP (1)'!$H$6:$H$100,"")</f>
        <v>-1</v>
      </c>
      <c r="AF24" s="22">
        <f>_xlfn.XLOOKUP($C24,'MP (2)'!$B$6:$B$100,'MP (2)'!$H$6:$H$100,"")</f>
        <v>1</v>
      </c>
      <c r="AG24" s="21">
        <f>_xlfn.XLOOKUP($C24,'PP1 (1)'!$B$6:$B$66,'PP1 (1)'!$H$6:$H$66,"")</f>
        <v>-2</v>
      </c>
      <c r="AH24" s="22">
        <f>_xlfn.XLOOKUP($C24,'PP1 (2)'!$B$6:$B$100,'PP1 (2)'!$H$6:$H$100,"")</f>
        <v>-1</v>
      </c>
      <c r="AI24" s="18" t="str">
        <f>_xlfn.XLOOKUP($C24,'PP2 (1)'!$B$6:$B$99,'PP2 (1)'!$H$6:$H$99,"")</f>
        <v/>
      </c>
      <c r="AJ24" s="19" t="str">
        <f>_xlfn.XLOOKUP($C24,'PP2 (2)'!$B$6:$B$100,'PP2 (2)'!$H$6:$H$100,"")</f>
        <v/>
      </c>
      <c r="AK24" s="21">
        <f>_xlfn.XLOOKUP($C24,'PP3 (1)'!$B$5:$B$113,'PP3 (1)'!$H$5:$H$113,"")</f>
        <v>-3</v>
      </c>
      <c r="AL24" s="22">
        <f>_xlfn.XLOOKUP($C24,'PP3 (2)'!$B$5:$B$112,'PP3 (2)'!$H$5:$H$112,"")</f>
        <v>-6</v>
      </c>
      <c r="AM24" s="18">
        <f>_xlfn.XLOOKUP($C24,'PP4 (1)'!$B$6:$B$100,'PP4 (1)'!$H$6:$H$100,"")</f>
        <v>-7</v>
      </c>
      <c r="AN24" s="19">
        <f>_xlfn.XLOOKUP($C24,'PP4 (2)'!$B$6:$B$100,'PP4 (2)'!$H$6:$H$100,"")</f>
        <v>1</v>
      </c>
      <c r="AO24" s="21">
        <f>_xlfn.XLOOKUP($C24,'PP5 (1)'!$B$6:$B$100,'PP5 (1)'!$H$6:$H$100,"")</f>
        <v>-4</v>
      </c>
      <c r="AP24" s="29">
        <f>_xlfn.XLOOKUP($C24,'PP5(2)'!$B$6:$B$100,'PP5(2)'!$H$6:$H$100,"")</f>
        <v>-12</v>
      </c>
    </row>
    <row r="25" spans="1:42" ht="13.1" customHeight="1" x14ac:dyDescent="0.25">
      <c r="A25" s="1">
        <f>ROW()-4</f>
        <v>21</v>
      </c>
      <c r="B25" s="1" t="s">
        <v>157</v>
      </c>
      <c r="C25" s="3" t="s">
        <v>30</v>
      </c>
      <c r="D25" s="26">
        <f>SUM(E25:P25)</f>
        <v>4.03</v>
      </c>
      <c r="E25" s="23">
        <f>_xlfn.XLOOKUP($C25,'MP (1)'!$B$6:$B$100,'MP (1)'!$E$6:$E$100,"")</f>
        <v>0.33</v>
      </c>
      <c r="F25" s="22">
        <f>_xlfn.XLOOKUP($C25,'MP (2)'!$B$6:$B$100,'MP (2)'!$E$6:$E$100,"")</f>
        <v>0.4</v>
      </c>
      <c r="G25" s="21">
        <f>_xlfn.XLOOKUP($C25,'PP1 (1)'!$B$6:$B$66,'PP1 (1)'!$E$6:$E$66,"")</f>
        <v>0.4</v>
      </c>
      <c r="H25" s="22">
        <f>_xlfn.XLOOKUP($C25,'PP1 (2)'!$B$6:$B$100,'PP1 (2)'!$E$6:$E$100,"")</f>
        <v>0.67</v>
      </c>
      <c r="I25" s="18">
        <f>_xlfn.XLOOKUP($C25,'PP2 (1)'!$B$6:$B$99,'PP2 (1)'!$E$6:$E$99,"")</f>
        <v>0.33</v>
      </c>
      <c r="J25" s="20">
        <f>_xlfn.XLOOKUP($C25,'PP2 (2)'!$B$6:$B$100,'PP2 (2)'!$E$6:$E$100,"")</f>
        <v>0.5</v>
      </c>
      <c r="K25" s="21" t="str">
        <f>_xlfn.XLOOKUP($C25,'PP3 (1)'!$B$5:$B$113,'PP3 (1)'!$E$5:$E$113,"")</f>
        <v/>
      </c>
      <c r="L25" s="22" t="str">
        <f>_xlfn.XLOOKUP($C25,'PP3 (2)'!$B$5:$B$112,'PP3 (2)'!$E$5:$E$112,"")</f>
        <v/>
      </c>
      <c r="M25" s="18">
        <f>_xlfn.XLOOKUP($C25,'PP4 (1)'!$B$6:$B$100,'PP4 (1)'!$E$6:$E$100,"")</f>
        <v>0.6</v>
      </c>
      <c r="N25" s="20">
        <f>_xlfn.XLOOKUP($C25,'PP4 (2)'!$B$6:$B$100,'PP4 (2)'!$E$6:$E$100,"")</f>
        <v>0.8</v>
      </c>
      <c r="O25" s="21" t="str">
        <f>_xlfn.XLOOKUP($C25,'PP5 (1)'!$B$6:$B$100,'PP5 (1)'!$E$6:$E$100,"")</f>
        <v/>
      </c>
      <c r="P25" s="23" t="str">
        <f>_xlfn.XLOOKUP($C25,'PP5(2)'!$B$6:$B$100,'PP5(2)'!$E$6:$E$100,"")</f>
        <v/>
      </c>
      <c r="Q25" s="10">
        <f>SUM(R25:AC25)</f>
        <v>154</v>
      </c>
      <c r="R25" s="23">
        <f>_xlfn.XLOOKUP($C25,'MP (1)'!$B$6:$B$100,'MP (1)'!$F$6:$F$100,"")</f>
        <v>17</v>
      </c>
      <c r="S25" s="22">
        <f>_xlfn.XLOOKUP($C25,'MP (2)'!$B$6:$B$100,'MP (2)'!$F$6:$F$100,"")</f>
        <v>19</v>
      </c>
      <c r="T25" s="21">
        <f>_xlfn.XLOOKUP($C25,'PP1 (1)'!$B$6:$B$66,'PP1 (1)'!$F$6:$F$66,"")</f>
        <v>16</v>
      </c>
      <c r="U25" s="22">
        <f>_xlfn.XLOOKUP($C25,'PP1 (2)'!$B$6:$B$100,'PP1 (2)'!$F$6:$F$100,"")</f>
        <v>23</v>
      </c>
      <c r="V25" s="18">
        <f>_xlfn.XLOOKUP($C25,'PP2 (1)'!$B$6:$B$99,'PP2 (1)'!$F$6:$F$99,"")</f>
        <v>16</v>
      </c>
      <c r="W25" s="20">
        <f>_xlfn.XLOOKUP($C25,'PP2 (2)'!$B$6:$B$100,'PP2 (2)'!$F$6:$F$100,"")</f>
        <v>19</v>
      </c>
      <c r="X25" s="21" t="str">
        <f>_xlfn.XLOOKUP($C25,'PP3 (1)'!$B$5:$B$113,'PP3 (1)'!$F$5:$F$113,"")</f>
        <v/>
      </c>
      <c r="Y25" s="22" t="str">
        <f>_xlfn.XLOOKUP($C25,'PP3 (2)'!$B$5:$B$112,'PP3 (2)'!$F$5:$F$112,"")</f>
        <v/>
      </c>
      <c r="Z25" s="18">
        <f>_xlfn.XLOOKUP($C25,'PP4 (1)'!$B$6:$B$100,'PP4 (1)'!$F$6:$F$100,"")</f>
        <v>21</v>
      </c>
      <c r="AA25" s="20">
        <f>_xlfn.XLOOKUP($C25,'PP4 (2)'!$B$6:$B$100,'PP4 (2)'!$F$6:$F$100,"")</f>
        <v>23</v>
      </c>
      <c r="AB25" s="21" t="str">
        <f>_xlfn.XLOOKUP($C25,'PP5 (1)'!$B$6:$B$100,'PP5 (1)'!$F$6:$F$100,"")</f>
        <v/>
      </c>
      <c r="AC25" s="23" t="str">
        <f>_xlfn.XLOOKUP($C25,'PP5(2)'!$B$6:$B$100,'PP5(2)'!$F$6:$F$100,"")</f>
        <v/>
      </c>
      <c r="AD25" s="10">
        <f>SUM(AE25:AP25)</f>
        <v>-12</v>
      </c>
      <c r="AE25" s="23">
        <f>_xlfn.XLOOKUP($C25,'MP (1)'!$B$6:$B$100,'MP (1)'!$H$6:$H$100,"")</f>
        <v>-10</v>
      </c>
      <c r="AF25" s="22">
        <f>_xlfn.XLOOKUP($C25,'MP (2)'!$B$6:$B$100,'MP (2)'!$H$6:$H$100,"")</f>
        <v>1</v>
      </c>
      <c r="AG25" s="21">
        <f>_xlfn.XLOOKUP($C25,'PP1 (1)'!$B$6:$B$66,'PP1 (1)'!$H$6:$H$66,"")</f>
        <v>-6</v>
      </c>
      <c r="AH25" s="22">
        <f>_xlfn.XLOOKUP($C25,'PP1 (2)'!$B$6:$B$100,'PP1 (2)'!$H$6:$H$100,"")</f>
        <v>3</v>
      </c>
      <c r="AI25" s="18">
        <f>_xlfn.XLOOKUP($C25,'PP2 (1)'!$B$6:$B$99,'PP2 (1)'!$H$6:$H$99,"")</f>
        <v>-9</v>
      </c>
      <c r="AJ25" s="19">
        <f>_xlfn.XLOOKUP($C25,'PP2 (2)'!$B$6:$B$100,'PP2 (2)'!$H$6:$H$100,"")</f>
        <v>-1</v>
      </c>
      <c r="AK25" s="21" t="str">
        <f>_xlfn.XLOOKUP($C25,'PP3 (1)'!$B$5:$B$113,'PP3 (1)'!$H$5:$H$113,"")</f>
        <v/>
      </c>
      <c r="AL25" s="22" t="str">
        <f>_xlfn.XLOOKUP($C25,'PP3 (2)'!$B$5:$B$112,'PP3 (2)'!$H$5:$H$112,"")</f>
        <v/>
      </c>
      <c r="AM25" s="18">
        <f>_xlfn.XLOOKUP($C25,'PP4 (1)'!$B$6:$B$100,'PP4 (1)'!$H$6:$H$100,"")</f>
        <v>3</v>
      </c>
      <c r="AN25" s="19">
        <f>_xlfn.XLOOKUP($C25,'PP4 (2)'!$B$6:$B$100,'PP4 (2)'!$H$6:$H$100,"")</f>
        <v>7</v>
      </c>
      <c r="AO25" s="21" t="str">
        <f>_xlfn.XLOOKUP($C25,'PP5 (1)'!$B$6:$B$100,'PP5 (1)'!$H$6:$H$100,"")</f>
        <v/>
      </c>
      <c r="AP25" s="29" t="str">
        <f>_xlfn.XLOOKUP($C25,'PP5(2)'!$B$6:$B$100,'PP5(2)'!$H$6:$H$100,"")</f>
        <v/>
      </c>
    </row>
    <row r="26" spans="1:42" ht="13.1" customHeight="1" x14ac:dyDescent="0.25">
      <c r="A26" s="1">
        <f>ROW()-4</f>
        <v>22</v>
      </c>
      <c r="B26" s="1">
        <v>2</v>
      </c>
      <c r="C26" s="3" t="s">
        <v>21</v>
      </c>
      <c r="D26" s="26">
        <f>SUM(E26:P26)</f>
        <v>3.94</v>
      </c>
      <c r="E26" s="23" t="str">
        <f>_xlfn.XLOOKUP($C26,'MP (1)'!$B$6:$B$100,'MP (1)'!$E$6:$E$100,"")</f>
        <v/>
      </c>
      <c r="F26" s="22" t="str">
        <f>_xlfn.XLOOKUP($C26,'MP (2)'!$B$6:$B$100,'MP (2)'!$E$6:$E$100,"")</f>
        <v/>
      </c>
      <c r="G26" s="21" t="str">
        <f>_xlfn.XLOOKUP($C26,'PP1 (1)'!$B$6:$B$66,'PP1 (1)'!$E$6:$E$66,"")</f>
        <v/>
      </c>
      <c r="H26" s="22" t="str">
        <f>_xlfn.XLOOKUP($C26,'PP1 (2)'!$B$6:$B$100,'PP1 (2)'!$E$6:$E$100,"")</f>
        <v/>
      </c>
      <c r="I26" s="18">
        <f>_xlfn.XLOOKUP($C26,'PP2 (1)'!$B$6:$B$99,'PP2 (1)'!$E$6:$E$99,"")</f>
        <v>0.6</v>
      </c>
      <c r="J26" s="20">
        <f>_xlfn.XLOOKUP($C26,'PP2 (2)'!$B$6:$B$100,'PP2 (2)'!$E$6:$E$100,"")</f>
        <v>0.2</v>
      </c>
      <c r="K26" s="21">
        <f>_xlfn.XLOOKUP($C26,'PP3 (1)'!$B$5:$B$113,'PP3 (1)'!$E$5:$E$113,"")</f>
        <v>0.67</v>
      </c>
      <c r="L26" s="22">
        <f>_xlfn.XLOOKUP($C26,'PP3 (2)'!$B$5:$B$112,'PP3 (2)'!$E$5:$E$112,"")</f>
        <v>0.67</v>
      </c>
      <c r="M26" s="18">
        <f>_xlfn.XLOOKUP($C26,'PP4 (1)'!$B$6:$B$100,'PP4 (1)'!$E$6:$E$100,"")</f>
        <v>0.5</v>
      </c>
      <c r="N26" s="20">
        <f>_xlfn.XLOOKUP($C26,'PP4 (2)'!$B$6:$B$100,'PP4 (2)'!$E$6:$E$100,"")</f>
        <v>0.5</v>
      </c>
      <c r="O26" s="21">
        <f>_xlfn.XLOOKUP($C26,'PP5 (1)'!$B$6:$B$100,'PP5 (1)'!$E$6:$E$100,"")</f>
        <v>0.4</v>
      </c>
      <c r="P26" s="23">
        <f>_xlfn.XLOOKUP($C26,'PP5(2)'!$B$6:$B$100,'PP5(2)'!$E$6:$E$100,"")</f>
        <v>0.4</v>
      </c>
      <c r="Q26" s="10">
        <f>SUM(R26:AC26)</f>
        <v>149</v>
      </c>
      <c r="R26" s="23" t="str">
        <f>_xlfn.XLOOKUP($C26,'MP (1)'!$B$6:$B$100,'MP (1)'!$F$6:$F$100,"")</f>
        <v/>
      </c>
      <c r="S26" s="22" t="str">
        <f>_xlfn.XLOOKUP($C26,'MP (2)'!$B$6:$B$100,'MP (2)'!$F$6:$F$100,"")</f>
        <v/>
      </c>
      <c r="T26" s="21" t="str">
        <f>_xlfn.XLOOKUP($C26,'PP1 (1)'!$B$6:$B$66,'PP1 (1)'!$F$6:$F$66,"")</f>
        <v/>
      </c>
      <c r="U26" s="22" t="str">
        <f>_xlfn.XLOOKUP($C26,'PP1 (2)'!$B$6:$B$100,'PP1 (2)'!$F$6:$F$100,"")</f>
        <v/>
      </c>
      <c r="V26" s="18">
        <f>_xlfn.XLOOKUP($C26,'PP2 (1)'!$B$6:$B$99,'PP2 (1)'!$F$6:$F$99,"")</f>
        <v>21</v>
      </c>
      <c r="W26" s="20">
        <f>_xlfn.XLOOKUP($C26,'PP2 (2)'!$B$6:$B$100,'PP2 (2)'!$F$6:$F$100,"")</f>
        <v>14</v>
      </c>
      <c r="X26" s="21">
        <f>_xlfn.XLOOKUP($C26,'PP3 (1)'!$B$5:$B$113,'PP3 (1)'!$F$5:$F$113,"")</f>
        <v>24</v>
      </c>
      <c r="Y26" s="22">
        <f>_xlfn.XLOOKUP($C26,'PP3 (2)'!$B$5:$B$112,'PP3 (2)'!$F$5:$F$112,"")</f>
        <v>26</v>
      </c>
      <c r="Z26" s="18">
        <f>_xlfn.XLOOKUP($C26,'PP4 (1)'!$B$6:$B$100,'PP4 (1)'!$F$6:$F$100,"")</f>
        <v>14</v>
      </c>
      <c r="AA26" s="20">
        <f>_xlfn.XLOOKUP($C26,'PP4 (2)'!$B$6:$B$100,'PP4 (2)'!$F$6:$F$100,"")</f>
        <v>13</v>
      </c>
      <c r="AB26" s="21">
        <f>_xlfn.XLOOKUP($C26,'PP5 (1)'!$B$6:$B$100,'PP5 (1)'!$F$6:$F$100,"")</f>
        <v>19</v>
      </c>
      <c r="AC26" s="23">
        <f>_xlfn.XLOOKUP($C26,'PP5(2)'!$B$6:$B$100,'PP5(2)'!$F$6:$F$100,"")</f>
        <v>18</v>
      </c>
      <c r="AD26" s="10">
        <f>SUM(AE26:AP26)</f>
        <v>5</v>
      </c>
      <c r="AE26" s="23" t="str">
        <f>_xlfn.XLOOKUP($C26,'MP (1)'!$B$6:$B$100,'MP (1)'!$H$6:$H$100,"")</f>
        <v/>
      </c>
      <c r="AF26" s="22" t="str">
        <f>_xlfn.XLOOKUP($C26,'MP (2)'!$B$6:$B$100,'MP (2)'!$H$6:$H$100,"")</f>
        <v/>
      </c>
      <c r="AG26" s="21" t="str">
        <f>_xlfn.XLOOKUP($C26,'PP1 (1)'!$B$6:$B$66,'PP1 (1)'!$H$6:$H$66,"")</f>
        <v/>
      </c>
      <c r="AH26" s="22" t="str">
        <f>_xlfn.XLOOKUP($C26,'PP1 (2)'!$B$6:$B$100,'PP1 (2)'!$H$6:$H$100,"")</f>
        <v/>
      </c>
      <c r="AI26" s="18">
        <f>_xlfn.XLOOKUP($C26,'PP2 (1)'!$B$6:$B$99,'PP2 (1)'!$H$6:$H$99,"")</f>
        <v>4</v>
      </c>
      <c r="AJ26" s="19">
        <f>_xlfn.XLOOKUP($C26,'PP2 (2)'!$B$6:$B$100,'PP2 (2)'!$H$6:$H$100,"")</f>
        <v>-8</v>
      </c>
      <c r="AK26" s="21">
        <f>_xlfn.XLOOKUP($C26,'PP3 (1)'!$B$5:$B$113,'PP3 (1)'!$H$5:$H$113,"")</f>
        <v>7</v>
      </c>
      <c r="AL26" s="22">
        <f>_xlfn.XLOOKUP($C26,'PP3 (2)'!$B$5:$B$112,'PP3 (2)'!$H$5:$H$112,"")</f>
        <v>6</v>
      </c>
      <c r="AM26" s="18">
        <f>_xlfn.XLOOKUP($C26,'PP4 (1)'!$B$6:$B$100,'PP4 (1)'!$H$6:$H$100,"")</f>
        <v>-3</v>
      </c>
      <c r="AN26" s="19">
        <f>_xlfn.XLOOKUP($C26,'PP4 (2)'!$B$6:$B$100,'PP4 (2)'!$H$6:$H$100,"")</f>
        <v>-2</v>
      </c>
      <c r="AO26" s="21">
        <f>_xlfn.XLOOKUP($C26,'PP5 (1)'!$B$6:$B$100,'PP5 (1)'!$H$6:$H$100,"")</f>
        <v>1</v>
      </c>
      <c r="AP26" s="29">
        <f>_xlfn.XLOOKUP($C26,'PP5(2)'!$B$6:$B$100,'PP5(2)'!$H$6:$H$100,"")</f>
        <v>0</v>
      </c>
    </row>
    <row r="27" spans="1:42" ht="13.1" customHeight="1" x14ac:dyDescent="0.25">
      <c r="A27" s="1">
        <f>ROW()-4</f>
        <v>23</v>
      </c>
      <c r="B27" s="1">
        <v>2</v>
      </c>
      <c r="C27" s="3" t="s">
        <v>22</v>
      </c>
      <c r="D27" s="26">
        <f>SUM(E27:P27)</f>
        <v>3.41</v>
      </c>
      <c r="E27" s="23" t="str">
        <f>_xlfn.XLOOKUP($C27,'MP (1)'!$B$6:$B$100,'MP (1)'!$E$6:$E$100,"")</f>
        <v/>
      </c>
      <c r="F27" s="22" t="str">
        <f>_xlfn.XLOOKUP($C27,'MP (2)'!$B$6:$B$100,'MP (2)'!$E$6:$E$100,"")</f>
        <v/>
      </c>
      <c r="G27" s="21">
        <f>_xlfn.XLOOKUP($C27,'PP1 (1)'!$B$6:$B$66,'PP1 (1)'!$E$6:$E$66,"")</f>
        <v>0.33</v>
      </c>
      <c r="H27" s="22" t="str">
        <f>_xlfn.XLOOKUP($C27,'PP1 (2)'!$B$6:$B$100,'PP1 (2)'!$E$6:$E$100,"")</f>
        <v/>
      </c>
      <c r="I27" s="18">
        <f>_xlfn.XLOOKUP($C27,'PP2 (1)'!$B$6:$B$99,'PP2 (1)'!$E$6:$E$99,"")</f>
        <v>0.6</v>
      </c>
      <c r="J27" s="20">
        <f>_xlfn.XLOOKUP($C27,'PP2 (2)'!$B$6:$B$100,'PP2 (2)'!$E$6:$E$100,"")</f>
        <v>0.6</v>
      </c>
      <c r="K27" s="21">
        <f>_xlfn.XLOOKUP($C27,'PP3 (1)'!$B$5:$B$113,'PP3 (1)'!$E$5:$E$113,"")</f>
        <v>0.33</v>
      </c>
      <c r="L27" s="22">
        <f>_xlfn.XLOOKUP($C27,'PP3 (2)'!$B$5:$B$112,'PP3 (2)'!$E$5:$E$112,"")</f>
        <v>0.2</v>
      </c>
      <c r="M27" s="18">
        <f>_xlfn.XLOOKUP($C27,'PP4 (1)'!$B$6:$B$100,'PP4 (1)'!$E$6:$E$100,"")</f>
        <v>0.4</v>
      </c>
      <c r="N27" s="20">
        <f>_xlfn.XLOOKUP($C27,'PP4 (2)'!$B$6:$B$100,'PP4 (2)'!$E$6:$E$100,"")</f>
        <v>0.2</v>
      </c>
      <c r="O27" s="21">
        <f>_xlfn.XLOOKUP($C27,'PP5 (1)'!$B$6:$B$100,'PP5 (1)'!$E$6:$E$100,"")</f>
        <v>0.5</v>
      </c>
      <c r="P27" s="23">
        <f>_xlfn.XLOOKUP($C27,'PP5(2)'!$B$6:$B$100,'PP5(2)'!$E$6:$E$100,"")</f>
        <v>0.25</v>
      </c>
      <c r="Q27" s="10">
        <f>SUM(R27:AC27)</f>
        <v>137</v>
      </c>
      <c r="R27" s="23" t="str">
        <f>_xlfn.XLOOKUP($C27,'MP (1)'!$B$6:$B$100,'MP (1)'!$F$6:$F$100,"")</f>
        <v/>
      </c>
      <c r="S27" s="22" t="str">
        <f>_xlfn.XLOOKUP($C27,'MP (2)'!$B$6:$B$100,'MP (2)'!$F$6:$F$100,"")</f>
        <v/>
      </c>
      <c r="T27" s="21">
        <f>_xlfn.XLOOKUP($C27,'PP1 (1)'!$B$6:$B$66,'PP1 (1)'!$F$6:$F$66,"")</f>
        <v>21</v>
      </c>
      <c r="U27" s="22" t="str">
        <f>_xlfn.XLOOKUP($C27,'PP1 (2)'!$B$6:$B$100,'PP1 (2)'!$F$6:$F$100,"")</f>
        <v/>
      </c>
      <c r="V27" s="18">
        <f>_xlfn.XLOOKUP($C27,'PP2 (1)'!$B$6:$B$99,'PP2 (1)'!$F$6:$F$99,"")</f>
        <v>17</v>
      </c>
      <c r="W27" s="20">
        <f>_xlfn.XLOOKUP($C27,'PP2 (2)'!$B$6:$B$100,'PP2 (2)'!$F$6:$F$100,"")</f>
        <v>18</v>
      </c>
      <c r="X27" s="21">
        <f>_xlfn.XLOOKUP($C27,'PP3 (1)'!$B$5:$B$113,'PP3 (1)'!$F$5:$F$113,"")</f>
        <v>20</v>
      </c>
      <c r="Y27" s="22">
        <f>_xlfn.XLOOKUP($C27,'PP3 (2)'!$B$5:$B$112,'PP3 (2)'!$F$5:$F$112,"")</f>
        <v>14</v>
      </c>
      <c r="Z27" s="18">
        <f>_xlfn.XLOOKUP($C27,'PP4 (1)'!$B$6:$B$100,'PP4 (1)'!$F$6:$F$100,"")</f>
        <v>11</v>
      </c>
      <c r="AA27" s="20">
        <f>_xlfn.XLOOKUP($C27,'PP4 (2)'!$B$6:$B$100,'PP4 (2)'!$F$6:$F$100,"")</f>
        <v>13</v>
      </c>
      <c r="AB27" s="21">
        <f>_xlfn.XLOOKUP($C27,'PP5 (1)'!$B$6:$B$100,'PP5 (1)'!$F$6:$F$100,"")</f>
        <v>13</v>
      </c>
      <c r="AC27" s="23">
        <f>_xlfn.XLOOKUP($C27,'PP5(2)'!$B$6:$B$100,'PP5(2)'!$F$6:$F$100,"")</f>
        <v>10</v>
      </c>
      <c r="AD27" s="10">
        <f>SUM(AE27:AP27)</f>
        <v>-40</v>
      </c>
      <c r="AE27" s="23" t="str">
        <f>_xlfn.XLOOKUP($C27,'MP (1)'!$B$6:$B$100,'MP (1)'!$H$6:$H$100,"")</f>
        <v/>
      </c>
      <c r="AF27" s="22" t="str">
        <f>_xlfn.XLOOKUP($C27,'MP (2)'!$B$6:$B$100,'MP (2)'!$H$6:$H$100,"")</f>
        <v/>
      </c>
      <c r="AG27" s="21">
        <f>_xlfn.XLOOKUP($C27,'PP1 (1)'!$B$6:$B$66,'PP1 (1)'!$H$6:$H$66,"")</f>
        <v>-5</v>
      </c>
      <c r="AH27" s="22" t="str">
        <f>_xlfn.XLOOKUP($C27,'PP1 (2)'!$B$6:$B$100,'PP1 (2)'!$H$6:$H$100,"")</f>
        <v/>
      </c>
      <c r="AI27" s="18">
        <f>_xlfn.XLOOKUP($C27,'PP2 (1)'!$B$6:$B$99,'PP2 (1)'!$H$6:$H$99,"")</f>
        <v>2</v>
      </c>
      <c r="AJ27" s="19">
        <f>_xlfn.XLOOKUP($C27,'PP2 (2)'!$B$6:$B$100,'PP2 (2)'!$H$6:$H$100,"")</f>
        <v>2</v>
      </c>
      <c r="AK27" s="21">
        <f>_xlfn.XLOOKUP($C27,'PP3 (1)'!$B$5:$B$113,'PP3 (1)'!$H$5:$H$113,"")</f>
        <v>-2</v>
      </c>
      <c r="AL27" s="22">
        <f>_xlfn.XLOOKUP($C27,'PP3 (2)'!$B$5:$B$112,'PP3 (2)'!$H$5:$H$112,"")</f>
        <v>-8</v>
      </c>
      <c r="AM27" s="18">
        <f>_xlfn.XLOOKUP($C27,'PP4 (1)'!$B$6:$B$100,'PP4 (1)'!$H$6:$H$100,"")</f>
        <v>-10</v>
      </c>
      <c r="AN27" s="19">
        <f>_xlfn.XLOOKUP($C27,'PP4 (2)'!$B$6:$B$100,'PP4 (2)'!$H$6:$H$100,"")</f>
        <v>-10</v>
      </c>
      <c r="AO27" s="21">
        <f>_xlfn.XLOOKUP($C27,'PP5 (1)'!$B$6:$B$100,'PP5 (1)'!$H$6:$H$100,"")</f>
        <v>-3</v>
      </c>
      <c r="AP27" s="29">
        <f>_xlfn.XLOOKUP($C27,'PP5(2)'!$B$6:$B$100,'PP5(2)'!$H$6:$H$100,"")</f>
        <v>-6</v>
      </c>
    </row>
    <row r="28" spans="1:42" ht="13.1" customHeight="1" x14ac:dyDescent="0.25">
      <c r="A28" s="1">
        <f>ROW()-4</f>
        <v>24</v>
      </c>
      <c r="B28" s="1">
        <v>4</v>
      </c>
      <c r="C28" s="3" t="s">
        <v>32</v>
      </c>
      <c r="D28" s="26">
        <f>SUM(E28:P28)</f>
        <v>3.2100000000000004</v>
      </c>
      <c r="E28" s="23">
        <f>_xlfn.XLOOKUP($C28,'MP (1)'!$B$6:$B$100,'MP (1)'!$E$6:$E$100,"")</f>
        <v>0.75</v>
      </c>
      <c r="F28" s="22">
        <f>_xlfn.XLOOKUP($C28,'MP (2)'!$B$6:$B$100,'MP (2)'!$E$6:$E$100,"")</f>
        <v>0.2</v>
      </c>
      <c r="G28" s="21">
        <f>_xlfn.XLOOKUP($C28,'PP1 (1)'!$B$6:$B$66,'PP1 (1)'!$E$6:$E$66,"")</f>
        <v>0.4</v>
      </c>
      <c r="H28" s="22">
        <f>_xlfn.XLOOKUP($C28,'PP1 (2)'!$B$6:$B$100,'PP1 (2)'!$E$6:$E$100,"")</f>
        <v>0</v>
      </c>
      <c r="I28" s="18">
        <f>_xlfn.XLOOKUP($C28,'PP2 (1)'!$B$6:$B$99,'PP2 (1)'!$E$6:$E$99,"")</f>
        <v>0.2</v>
      </c>
      <c r="J28" s="20">
        <f>_xlfn.XLOOKUP($C28,'PP2 (2)'!$B$6:$B$100,'PP2 (2)'!$E$6:$E$100,"")</f>
        <v>0.2</v>
      </c>
      <c r="K28" s="21">
        <f>_xlfn.XLOOKUP($C28,'PP3 (1)'!$B$5:$B$113,'PP3 (1)'!$E$5:$E$113,"")</f>
        <v>0.33</v>
      </c>
      <c r="L28" s="22">
        <f>_xlfn.XLOOKUP($C28,'PP3 (2)'!$B$5:$B$112,'PP3 (2)'!$E$5:$E$112,"")</f>
        <v>0.33</v>
      </c>
      <c r="M28" s="18">
        <f>_xlfn.XLOOKUP($C28,'PP4 (1)'!$B$6:$B$100,'PP4 (1)'!$E$6:$E$100,"")</f>
        <v>0.4</v>
      </c>
      <c r="N28" s="20">
        <f>_xlfn.XLOOKUP($C28,'PP4 (2)'!$B$6:$B$100,'PP4 (2)'!$E$6:$E$100,"")</f>
        <v>0</v>
      </c>
      <c r="O28" s="21">
        <f>_xlfn.XLOOKUP($C28,'PP5 (1)'!$B$6:$B$100,'PP5 (1)'!$E$6:$E$100,"")</f>
        <v>0.2</v>
      </c>
      <c r="P28" s="23">
        <f>_xlfn.XLOOKUP($C28,'PP5(2)'!$B$6:$B$100,'PP5(2)'!$E$6:$E$100,"")</f>
        <v>0.2</v>
      </c>
      <c r="Q28" s="10">
        <f>SUM(R28:AC28)</f>
        <v>155</v>
      </c>
      <c r="R28" s="23">
        <f>_xlfn.XLOOKUP($C28,'MP (1)'!$B$6:$B$100,'MP (1)'!$F$6:$F$100,"")</f>
        <v>18</v>
      </c>
      <c r="S28" s="22">
        <f>_xlfn.XLOOKUP($C28,'MP (2)'!$B$6:$B$100,'MP (2)'!$F$6:$F$100,"")</f>
        <v>13</v>
      </c>
      <c r="T28" s="21">
        <f>_xlfn.XLOOKUP($C28,'PP1 (1)'!$B$6:$B$66,'PP1 (1)'!$F$6:$F$66,"")</f>
        <v>19</v>
      </c>
      <c r="U28" s="22">
        <f>_xlfn.XLOOKUP($C28,'PP1 (2)'!$B$6:$B$100,'PP1 (2)'!$F$6:$F$100,"")</f>
        <v>6</v>
      </c>
      <c r="V28" s="18">
        <f>_xlfn.XLOOKUP($C28,'PP2 (1)'!$B$6:$B$99,'PP2 (1)'!$F$6:$F$99,"")</f>
        <v>14</v>
      </c>
      <c r="W28" s="20">
        <f>_xlfn.XLOOKUP($C28,'PP2 (2)'!$B$6:$B$100,'PP2 (2)'!$F$6:$F$100,"")</f>
        <v>13</v>
      </c>
      <c r="X28" s="21">
        <f>_xlfn.XLOOKUP($C28,'PP3 (1)'!$B$5:$B$113,'PP3 (1)'!$F$5:$F$113,"")</f>
        <v>17</v>
      </c>
      <c r="Y28" s="22">
        <f>_xlfn.XLOOKUP($C28,'PP3 (2)'!$B$5:$B$112,'PP3 (2)'!$F$5:$F$112,"")</f>
        <v>15</v>
      </c>
      <c r="Z28" s="18">
        <f>_xlfn.XLOOKUP($C28,'PP4 (1)'!$B$6:$B$100,'PP4 (1)'!$F$6:$F$100,"")</f>
        <v>15</v>
      </c>
      <c r="AA28" s="20">
        <f>_xlfn.XLOOKUP($C28,'PP4 (2)'!$B$6:$B$100,'PP4 (2)'!$F$6:$F$100,"")</f>
        <v>6</v>
      </c>
      <c r="AB28" s="21">
        <f>_xlfn.XLOOKUP($C28,'PP5 (1)'!$B$6:$B$100,'PP5 (1)'!$F$6:$F$100,"")</f>
        <v>9</v>
      </c>
      <c r="AC28" s="23">
        <f>_xlfn.XLOOKUP($C28,'PP5(2)'!$B$6:$B$100,'PP5(2)'!$F$6:$F$100,"")</f>
        <v>10</v>
      </c>
      <c r="AD28" s="10">
        <f>SUM(AE28:AP28)</f>
        <v>-97</v>
      </c>
      <c r="AE28" s="23">
        <f>_xlfn.XLOOKUP($C28,'MP (1)'!$B$6:$B$100,'MP (1)'!$H$6:$H$100,"")</f>
        <v>5</v>
      </c>
      <c r="AF28" s="22">
        <f>_xlfn.XLOOKUP($C28,'MP (2)'!$B$6:$B$100,'MP (2)'!$H$6:$H$100,"")</f>
        <v>-8</v>
      </c>
      <c r="AG28" s="21">
        <f>_xlfn.XLOOKUP($C28,'PP1 (1)'!$B$6:$B$66,'PP1 (1)'!$H$6:$H$66,"")</f>
        <v>-1</v>
      </c>
      <c r="AH28" s="22">
        <f>_xlfn.XLOOKUP($C28,'PP1 (2)'!$B$6:$B$100,'PP1 (2)'!$H$6:$H$100,"")</f>
        <v>-19</v>
      </c>
      <c r="AI28" s="18">
        <f>_xlfn.XLOOKUP($C28,'PP2 (1)'!$B$6:$B$99,'PP2 (1)'!$H$6:$H$99,"")</f>
        <v>-8</v>
      </c>
      <c r="AJ28" s="19">
        <f>_xlfn.XLOOKUP($C28,'PP2 (2)'!$B$6:$B$100,'PP2 (2)'!$H$6:$H$100,"")</f>
        <v>-11</v>
      </c>
      <c r="AK28" s="21">
        <f>_xlfn.XLOOKUP($C28,'PP3 (1)'!$B$5:$B$113,'PP3 (1)'!$H$5:$H$113,"")</f>
        <v>-7</v>
      </c>
      <c r="AL28" s="22">
        <f>_xlfn.XLOOKUP($C28,'PP3 (2)'!$B$5:$B$112,'PP3 (2)'!$H$5:$H$112,"")</f>
        <v>-8</v>
      </c>
      <c r="AM28" s="18">
        <f>_xlfn.XLOOKUP($C28,'PP4 (1)'!$B$6:$B$100,'PP4 (1)'!$H$6:$H$100,"")</f>
        <v>0</v>
      </c>
      <c r="AN28" s="19">
        <f>_xlfn.XLOOKUP($C28,'PP4 (2)'!$B$6:$B$100,'PP4 (2)'!$H$6:$H$100,"")</f>
        <v>-14</v>
      </c>
      <c r="AO28" s="21">
        <f>_xlfn.XLOOKUP($C28,'PP5 (1)'!$B$6:$B$100,'PP5 (1)'!$H$6:$H$100,"")</f>
        <v>-13</v>
      </c>
      <c r="AP28" s="29">
        <f>_xlfn.XLOOKUP($C28,'PP5(2)'!$B$6:$B$100,'PP5(2)'!$H$6:$H$100,"")</f>
        <v>-13</v>
      </c>
    </row>
    <row r="29" spans="1:42" ht="13.1" customHeight="1" x14ac:dyDescent="0.25">
      <c r="A29" s="1">
        <f>ROW()-4</f>
        <v>25</v>
      </c>
      <c r="B29" s="1">
        <v>4</v>
      </c>
      <c r="C29" s="3" t="s">
        <v>20</v>
      </c>
      <c r="D29" s="26">
        <f>SUM(E29:P29)</f>
        <v>3.17</v>
      </c>
      <c r="E29" s="23">
        <f>_xlfn.XLOOKUP($C29,'MP (1)'!$B$6:$B$100,'MP (1)'!$E$6:$E$100,"")</f>
        <v>0.5</v>
      </c>
      <c r="F29" s="22">
        <f>_xlfn.XLOOKUP($C29,'MP (2)'!$B$6:$B$100,'MP (2)'!$E$6:$E$100,"")</f>
        <v>0.2</v>
      </c>
      <c r="G29" s="21">
        <f>_xlfn.XLOOKUP($C29,'PP1 (1)'!$B$6:$B$66,'PP1 (1)'!$E$6:$E$66,"")</f>
        <v>0.67</v>
      </c>
      <c r="H29" s="22">
        <f>_xlfn.XLOOKUP($C29,'PP1 (2)'!$B$6:$B$100,'PP1 (2)'!$E$6:$E$100,"")</f>
        <v>0.17</v>
      </c>
      <c r="I29" s="18">
        <f>_xlfn.XLOOKUP($C29,'PP2 (1)'!$B$6:$B$99,'PP2 (1)'!$E$6:$E$99,"")</f>
        <v>0.17</v>
      </c>
      <c r="J29" s="20">
        <f>_xlfn.XLOOKUP($C29,'PP2 (2)'!$B$6:$B$100,'PP2 (2)'!$E$6:$E$100,"")</f>
        <v>0.2</v>
      </c>
      <c r="K29" s="21">
        <f>_xlfn.XLOOKUP($C29,'PP3 (1)'!$B$5:$B$113,'PP3 (1)'!$E$5:$E$113,"")</f>
        <v>0.33</v>
      </c>
      <c r="L29" s="22">
        <f>_xlfn.XLOOKUP($C29,'PP3 (2)'!$B$5:$B$112,'PP3 (2)'!$E$5:$E$112,"")</f>
        <v>0.33</v>
      </c>
      <c r="M29" s="18">
        <f>_xlfn.XLOOKUP($C29,'PP4 (1)'!$B$6:$B$100,'PP4 (1)'!$E$6:$E$100,"")</f>
        <v>0.4</v>
      </c>
      <c r="N29" s="20">
        <f>_xlfn.XLOOKUP($C29,'PP4 (2)'!$B$6:$B$100,'PP4 (2)'!$E$6:$E$100,"")</f>
        <v>0.2</v>
      </c>
      <c r="O29" s="21" t="str">
        <f>_xlfn.XLOOKUP($C29,'PP5 (1)'!$B$6:$B$100,'PP5 (1)'!$E$6:$E$100,"")</f>
        <v/>
      </c>
      <c r="P29" s="23" t="str">
        <f>_xlfn.XLOOKUP($C29,'PP5(2)'!$B$6:$B$100,'PP5(2)'!$E$6:$E$100,"")</f>
        <v/>
      </c>
      <c r="Q29" s="10">
        <f>SUM(R29:AC29)</f>
        <v>164</v>
      </c>
      <c r="R29" s="23">
        <f>_xlfn.XLOOKUP($C29,'MP (1)'!$B$6:$B$100,'MP (1)'!$F$6:$F$100,"")</f>
        <v>15</v>
      </c>
      <c r="S29" s="22">
        <f>_xlfn.XLOOKUP($C29,'MP (2)'!$B$6:$B$100,'MP (2)'!$F$6:$F$100,"")</f>
        <v>10</v>
      </c>
      <c r="T29" s="21">
        <f>_xlfn.XLOOKUP($C29,'PP1 (1)'!$B$6:$B$66,'PP1 (1)'!$F$6:$F$66,"")</f>
        <v>22</v>
      </c>
      <c r="U29" s="22">
        <f>_xlfn.XLOOKUP($C29,'PP1 (2)'!$B$6:$B$100,'PP1 (2)'!$F$6:$F$100,"")</f>
        <v>15</v>
      </c>
      <c r="V29" s="18">
        <f>_xlfn.XLOOKUP($C29,'PP2 (1)'!$B$6:$B$99,'PP2 (1)'!$F$6:$F$99,"")</f>
        <v>16</v>
      </c>
      <c r="W29" s="20">
        <f>_xlfn.XLOOKUP($C29,'PP2 (2)'!$B$6:$B$100,'PP2 (2)'!$F$6:$F$100,"")</f>
        <v>11</v>
      </c>
      <c r="X29" s="21">
        <f>_xlfn.XLOOKUP($C29,'PP3 (1)'!$B$5:$B$113,'PP3 (1)'!$F$5:$F$113,"")</f>
        <v>21</v>
      </c>
      <c r="Y29" s="22">
        <f>_xlfn.XLOOKUP($C29,'PP3 (2)'!$B$5:$B$112,'PP3 (2)'!$F$5:$F$112,"")</f>
        <v>22</v>
      </c>
      <c r="Z29" s="18">
        <f>_xlfn.XLOOKUP($C29,'PP4 (1)'!$B$6:$B$100,'PP4 (1)'!$F$6:$F$100,"")</f>
        <v>17</v>
      </c>
      <c r="AA29" s="20">
        <f>_xlfn.XLOOKUP($C29,'PP4 (2)'!$B$6:$B$100,'PP4 (2)'!$F$6:$F$100,"")</f>
        <v>15</v>
      </c>
      <c r="AB29" s="21" t="str">
        <f>_xlfn.XLOOKUP($C29,'PP5 (1)'!$B$6:$B$100,'PP5 (1)'!$F$6:$F$100,"")</f>
        <v/>
      </c>
      <c r="AC29" s="23" t="str">
        <f>_xlfn.XLOOKUP($C29,'PP5(2)'!$B$6:$B$100,'PP5(2)'!$F$6:$F$100,"")</f>
        <v/>
      </c>
      <c r="AD29" s="10">
        <f>SUM(AE29:AP29)</f>
        <v>-57</v>
      </c>
      <c r="AE29" s="23">
        <f>_xlfn.XLOOKUP($C29,'MP (1)'!$B$6:$B$100,'MP (1)'!$H$6:$H$100,"")</f>
        <v>0</v>
      </c>
      <c r="AF29" s="22">
        <f>_xlfn.XLOOKUP($C29,'MP (2)'!$B$6:$B$100,'MP (2)'!$H$6:$H$100,"")</f>
        <v>-12</v>
      </c>
      <c r="AG29" s="21">
        <f>_xlfn.XLOOKUP($C29,'PP1 (1)'!$B$6:$B$66,'PP1 (1)'!$H$6:$H$66,"")</f>
        <v>2</v>
      </c>
      <c r="AH29" s="22">
        <f>_xlfn.XLOOKUP($C29,'PP1 (2)'!$B$6:$B$100,'PP1 (2)'!$H$6:$H$100,"")</f>
        <v>-11</v>
      </c>
      <c r="AI29" s="18">
        <f>_xlfn.XLOOKUP($C29,'PP2 (1)'!$B$6:$B$99,'PP2 (1)'!$H$6:$H$99,"")</f>
        <v>-11</v>
      </c>
      <c r="AJ29" s="19">
        <f>_xlfn.XLOOKUP($C29,'PP2 (2)'!$B$6:$B$100,'PP2 (2)'!$H$6:$H$100,"")</f>
        <v>-11</v>
      </c>
      <c r="AK29" s="21">
        <f>_xlfn.XLOOKUP($C29,'PP3 (1)'!$B$5:$B$113,'PP3 (1)'!$H$5:$H$113,"")</f>
        <v>-3</v>
      </c>
      <c r="AL29" s="22">
        <f>_xlfn.XLOOKUP($C29,'PP3 (2)'!$B$5:$B$112,'PP3 (2)'!$H$5:$H$112,"")</f>
        <v>-1</v>
      </c>
      <c r="AM29" s="18">
        <f>_xlfn.XLOOKUP($C29,'PP4 (1)'!$B$6:$B$100,'PP4 (1)'!$H$6:$H$100,"")</f>
        <v>-4</v>
      </c>
      <c r="AN29" s="19">
        <f>_xlfn.XLOOKUP($C29,'PP4 (2)'!$B$6:$B$100,'PP4 (2)'!$H$6:$H$100,"")</f>
        <v>-6</v>
      </c>
      <c r="AO29" s="21" t="str">
        <f>_xlfn.XLOOKUP($C29,'PP5 (1)'!$B$6:$B$100,'PP5 (1)'!$H$6:$H$100,"")</f>
        <v/>
      </c>
      <c r="AP29" s="29" t="str">
        <f>_xlfn.XLOOKUP($C29,'PP5(2)'!$B$6:$B$100,'PP5(2)'!$H$6:$H$100,"")</f>
        <v/>
      </c>
    </row>
    <row r="30" spans="1:42" ht="13.1" customHeight="1" x14ac:dyDescent="0.25">
      <c r="A30" s="1">
        <f>ROW()-4</f>
        <v>26</v>
      </c>
      <c r="B30" s="1">
        <v>1</v>
      </c>
      <c r="C30" s="3" t="s">
        <v>45</v>
      </c>
      <c r="D30" s="26">
        <f>SUM(E30:P30)</f>
        <v>2.9000000000000004</v>
      </c>
      <c r="E30" s="23" t="str">
        <f>_xlfn.XLOOKUP($C30,'MP (1)'!$B$6:$B$100,'MP (1)'!$E$6:$E$100,"")</f>
        <v/>
      </c>
      <c r="F30" s="22" t="str">
        <f>_xlfn.XLOOKUP($C30,'MP (2)'!$B$6:$B$100,'MP (2)'!$E$6:$E$100,"")</f>
        <v/>
      </c>
      <c r="G30" s="21">
        <f>_xlfn.XLOOKUP($C30,'PP1 (1)'!$B$6:$B$66,'PP1 (1)'!$E$6:$E$66,"")</f>
        <v>0.67</v>
      </c>
      <c r="H30" s="22">
        <f>_xlfn.XLOOKUP($C30,'PP1 (2)'!$B$6:$B$100,'PP1 (2)'!$E$6:$E$100,"")</f>
        <v>0.83</v>
      </c>
      <c r="I30" s="18" t="str">
        <f>_xlfn.XLOOKUP($C30,'PP2 (1)'!$B$6:$B$99,'PP2 (1)'!$E$6:$E$99,"")</f>
        <v/>
      </c>
      <c r="J30" s="20" t="str">
        <f>_xlfn.XLOOKUP($C30,'PP2 (2)'!$B$6:$B$100,'PP2 (2)'!$E$6:$E$100,"")</f>
        <v/>
      </c>
      <c r="K30" s="21" t="str">
        <f>_xlfn.XLOOKUP($C30,'PP3 (1)'!$B$5:$B$113,'PP3 (1)'!$E$5:$E$113,"")</f>
        <v/>
      </c>
      <c r="L30" s="22" t="str">
        <f>_xlfn.XLOOKUP($C30,'PP3 (2)'!$B$5:$B$112,'PP3 (2)'!$E$5:$E$112,"")</f>
        <v/>
      </c>
      <c r="M30" s="18" t="str">
        <f>_xlfn.XLOOKUP($C30,'PP4 (1)'!$B$6:$B$100,'PP4 (1)'!$E$6:$E$100,"")</f>
        <v/>
      </c>
      <c r="N30" s="20" t="str">
        <f>_xlfn.XLOOKUP($C30,'PP4 (2)'!$B$6:$B$100,'PP4 (2)'!$E$6:$E$100,"")</f>
        <v/>
      </c>
      <c r="O30" s="21">
        <f>_xlfn.XLOOKUP($C30,'PP5 (1)'!$B$6:$B$100,'PP5 (1)'!$E$6:$E$100,"")</f>
        <v>0.6</v>
      </c>
      <c r="P30" s="23">
        <f>_xlfn.XLOOKUP($C30,'PP5(2)'!$B$6:$B$100,'PP5(2)'!$E$6:$E$100,"")</f>
        <v>0.8</v>
      </c>
      <c r="Q30" s="10">
        <f>SUM(R30:AC30)</f>
        <v>93</v>
      </c>
      <c r="R30" s="23" t="str">
        <f>_xlfn.XLOOKUP($C30,'MP (1)'!$B$6:$B$100,'MP (1)'!$F$6:$F$100,"")</f>
        <v/>
      </c>
      <c r="S30" s="22" t="str">
        <f>_xlfn.XLOOKUP($C30,'MP (2)'!$B$6:$B$100,'MP (2)'!$F$6:$F$100,"")</f>
        <v/>
      </c>
      <c r="T30" s="21">
        <f>_xlfn.XLOOKUP($C30,'PP1 (1)'!$B$6:$B$66,'PP1 (1)'!$F$6:$F$66,"")</f>
        <v>22</v>
      </c>
      <c r="U30" s="22">
        <f>_xlfn.XLOOKUP($C30,'PP1 (2)'!$B$6:$B$100,'PP1 (2)'!$F$6:$F$100,"")</f>
        <v>29</v>
      </c>
      <c r="V30" s="18" t="str">
        <f>_xlfn.XLOOKUP($C30,'PP2 (1)'!$B$6:$B$99,'PP2 (1)'!$F$6:$F$99,"")</f>
        <v/>
      </c>
      <c r="W30" s="20" t="str">
        <f>_xlfn.XLOOKUP($C30,'PP2 (2)'!$B$6:$B$100,'PP2 (2)'!$F$6:$F$100,"")</f>
        <v/>
      </c>
      <c r="X30" s="21" t="str">
        <f>_xlfn.XLOOKUP($C30,'PP3 (1)'!$B$5:$B$113,'PP3 (1)'!$F$5:$F$113,"")</f>
        <v/>
      </c>
      <c r="Y30" s="22" t="str">
        <f>_xlfn.XLOOKUP($C30,'PP3 (2)'!$B$5:$B$112,'PP3 (2)'!$F$5:$F$112,"")</f>
        <v/>
      </c>
      <c r="Z30" s="18" t="str">
        <f>_xlfn.XLOOKUP($C30,'PP4 (1)'!$B$6:$B$100,'PP4 (1)'!$F$6:$F$100,"")</f>
        <v/>
      </c>
      <c r="AA30" s="20" t="str">
        <f>_xlfn.XLOOKUP($C30,'PP4 (2)'!$B$6:$B$100,'PP4 (2)'!$F$6:$F$100,"")</f>
        <v/>
      </c>
      <c r="AB30" s="21">
        <f>_xlfn.XLOOKUP($C30,'PP5 (1)'!$B$6:$B$100,'PP5 (1)'!$F$6:$F$100,"")</f>
        <v>21</v>
      </c>
      <c r="AC30" s="23">
        <f>_xlfn.XLOOKUP($C30,'PP5(2)'!$B$6:$B$100,'PP5(2)'!$F$6:$F$100,"")</f>
        <v>21</v>
      </c>
      <c r="AD30" s="10">
        <f>SUM(AE30:AP30)</f>
        <v>35</v>
      </c>
      <c r="AE30" s="23" t="str">
        <f>_xlfn.XLOOKUP($C30,'MP (1)'!$B$6:$B$100,'MP (1)'!$H$6:$H$100,"")</f>
        <v/>
      </c>
      <c r="AF30" s="22" t="str">
        <f>_xlfn.XLOOKUP($C30,'MP (2)'!$B$6:$B$100,'MP (2)'!$H$6:$H$100,"")</f>
        <v/>
      </c>
      <c r="AG30" s="21">
        <f>_xlfn.XLOOKUP($C30,'PP1 (1)'!$B$6:$B$66,'PP1 (1)'!$H$6:$H$66,"")</f>
        <v>4</v>
      </c>
      <c r="AH30" s="22">
        <f>_xlfn.XLOOKUP($C30,'PP1 (2)'!$B$6:$B$100,'PP1 (2)'!$H$6:$H$100,"")</f>
        <v>16</v>
      </c>
      <c r="AI30" s="18" t="str">
        <f>_xlfn.XLOOKUP($C30,'PP2 (1)'!$B$6:$B$99,'PP2 (1)'!$H$6:$H$99,"")</f>
        <v/>
      </c>
      <c r="AJ30" s="19" t="str">
        <f>_xlfn.XLOOKUP($C30,'PP2 (2)'!$B$6:$B$100,'PP2 (2)'!$H$6:$H$100,"")</f>
        <v/>
      </c>
      <c r="AK30" s="21" t="str">
        <f>_xlfn.XLOOKUP($C30,'PP3 (1)'!$B$5:$B$113,'PP3 (1)'!$H$5:$H$113,"")</f>
        <v/>
      </c>
      <c r="AL30" s="22" t="str">
        <f>_xlfn.XLOOKUP($C30,'PP3 (2)'!$B$5:$B$112,'PP3 (2)'!$H$5:$H$112,"")</f>
        <v/>
      </c>
      <c r="AM30" s="18" t="str">
        <f>_xlfn.XLOOKUP($C30,'PP4 (1)'!$B$6:$B$100,'PP4 (1)'!$H$6:$H$100,"")</f>
        <v/>
      </c>
      <c r="AN30" s="19" t="str">
        <f>_xlfn.XLOOKUP($C30,'PP4 (2)'!$B$6:$B$100,'PP4 (2)'!$H$6:$H$100,"")</f>
        <v/>
      </c>
      <c r="AO30" s="21">
        <f>_xlfn.XLOOKUP($C30,'PP5 (1)'!$B$6:$B$100,'PP5 (1)'!$H$6:$H$100,"")</f>
        <v>8</v>
      </c>
      <c r="AP30" s="29">
        <f>_xlfn.XLOOKUP($C30,'PP5(2)'!$B$6:$B$100,'PP5(2)'!$H$6:$H$100,"")</f>
        <v>7</v>
      </c>
    </row>
    <row r="31" spans="1:42" ht="13.1" customHeight="1" x14ac:dyDescent="0.25">
      <c r="A31" s="1">
        <f>ROW()-4</f>
        <v>27</v>
      </c>
      <c r="B31" s="1">
        <v>0</v>
      </c>
      <c r="C31" s="3" t="s">
        <v>42</v>
      </c>
      <c r="D31" s="26">
        <f>SUM(E31:P31)</f>
        <v>2.67</v>
      </c>
      <c r="E31" s="23">
        <f>_xlfn.XLOOKUP($C31,'MP (1)'!$B$6:$B$100,'MP (1)'!$E$6:$E$100,"")</f>
        <v>0.67</v>
      </c>
      <c r="F31" s="22">
        <f>_xlfn.XLOOKUP($C31,'MP (2)'!$B$6:$B$100,'MP (2)'!$E$6:$E$100,"")</f>
        <v>0.8</v>
      </c>
      <c r="G31" s="21" t="str">
        <f>_xlfn.XLOOKUP($C31,'PP1 (1)'!$B$6:$B$66,'PP1 (1)'!$E$6:$E$66,"")</f>
        <v/>
      </c>
      <c r="H31" s="22" t="str">
        <f>_xlfn.XLOOKUP($C31,'PP1 (2)'!$B$6:$B$100,'PP1 (2)'!$E$6:$E$100,"")</f>
        <v/>
      </c>
      <c r="I31" s="18" t="str">
        <f>_xlfn.XLOOKUP($C31,'PP2 (1)'!$B$6:$B$99,'PP2 (1)'!$E$6:$E$99,"")</f>
        <v/>
      </c>
      <c r="J31" s="20" t="str">
        <f>_xlfn.XLOOKUP($C31,'PP2 (2)'!$B$6:$B$100,'PP2 (2)'!$E$6:$E$100,"")</f>
        <v/>
      </c>
      <c r="K31" s="21" t="str">
        <f>_xlfn.XLOOKUP($C31,'PP3 (1)'!$B$5:$B$113,'PP3 (1)'!$E$5:$E$113,"")</f>
        <v/>
      </c>
      <c r="L31" s="22" t="str">
        <f>_xlfn.XLOOKUP($C31,'PP3 (2)'!$B$5:$B$112,'PP3 (2)'!$E$5:$E$112,"")</f>
        <v/>
      </c>
      <c r="M31" s="18">
        <f>_xlfn.XLOOKUP($C31,'PP4 (1)'!$B$6:$B$100,'PP4 (1)'!$E$6:$E$100,"")</f>
        <v>0.4</v>
      </c>
      <c r="N31" s="20">
        <f>_xlfn.XLOOKUP($C31,'PP4 (2)'!$B$6:$B$100,'PP4 (2)'!$E$6:$E$100,"")</f>
        <v>0.8</v>
      </c>
      <c r="O31" s="21" t="str">
        <f>_xlfn.XLOOKUP($C31,'PP5 (1)'!$B$6:$B$100,'PP5 (1)'!$E$6:$E$100,"")</f>
        <v/>
      </c>
      <c r="P31" s="23" t="str">
        <f>_xlfn.XLOOKUP($C31,'PP5(2)'!$B$6:$B$100,'PP5(2)'!$E$6:$E$100,"")</f>
        <v/>
      </c>
      <c r="Q31" s="10">
        <f>SUM(R31:AC31)</f>
        <v>92</v>
      </c>
      <c r="R31" s="23">
        <f>_xlfn.XLOOKUP($C31,'MP (1)'!$B$6:$B$100,'MP (1)'!$F$6:$F$100,"")</f>
        <v>25</v>
      </c>
      <c r="S31" s="22">
        <f>_xlfn.XLOOKUP($C31,'MP (2)'!$B$6:$B$100,'MP (2)'!$F$6:$F$100,"")</f>
        <v>24</v>
      </c>
      <c r="T31" s="21" t="str">
        <f>_xlfn.XLOOKUP($C31,'PP1 (1)'!$B$6:$B$66,'PP1 (1)'!$F$6:$F$66,"")</f>
        <v/>
      </c>
      <c r="U31" s="22" t="str">
        <f>_xlfn.XLOOKUP($C31,'PP1 (2)'!$B$6:$B$100,'PP1 (2)'!$F$6:$F$100,"")</f>
        <v/>
      </c>
      <c r="V31" s="18" t="str">
        <f>_xlfn.XLOOKUP($C31,'PP2 (1)'!$B$6:$B$99,'PP2 (1)'!$F$6:$F$99,"")</f>
        <v/>
      </c>
      <c r="W31" s="20" t="str">
        <f>_xlfn.XLOOKUP($C31,'PP2 (2)'!$B$6:$B$100,'PP2 (2)'!$F$6:$F$100,"")</f>
        <v/>
      </c>
      <c r="X31" s="21" t="str">
        <f>_xlfn.XLOOKUP($C31,'PP3 (1)'!$B$5:$B$113,'PP3 (1)'!$F$5:$F$113,"")</f>
        <v/>
      </c>
      <c r="Y31" s="22" t="str">
        <f>_xlfn.XLOOKUP($C31,'PP3 (2)'!$B$5:$B$112,'PP3 (2)'!$F$5:$F$112,"")</f>
        <v/>
      </c>
      <c r="Z31" s="18">
        <f>_xlfn.XLOOKUP($C31,'PP4 (1)'!$B$6:$B$100,'PP4 (1)'!$F$6:$F$100,"")</f>
        <v>20</v>
      </c>
      <c r="AA31" s="20">
        <f>_xlfn.XLOOKUP($C31,'PP4 (2)'!$B$6:$B$100,'PP4 (2)'!$F$6:$F$100,"")</f>
        <v>23</v>
      </c>
      <c r="AB31" s="21" t="str">
        <f>_xlfn.XLOOKUP($C31,'PP5 (1)'!$B$6:$B$100,'PP5 (1)'!$F$6:$F$100,"")</f>
        <v/>
      </c>
      <c r="AC31" s="23" t="str">
        <f>_xlfn.XLOOKUP($C31,'PP5(2)'!$B$6:$B$100,'PP5(2)'!$F$6:$F$100,"")</f>
        <v/>
      </c>
      <c r="AD31" s="10">
        <f>SUM(AE31:AP31)</f>
        <v>33</v>
      </c>
      <c r="AE31" s="23">
        <f>_xlfn.XLOOKUP($C31,'MP (1)'!$B$6:$B$100,'MP (1)'!$H$6:$H$100,"")</f>
        <v>10</v>
      </c>
      <c r="AF31" s="22">
        <f>_xlfn.XLOOKUP($C31,'MP (2)'!$B$6:$B$100,'MP (2)'!$H$6:$H$100,"")</f>
        <v>11</v>
      </c>
      <c r="AG31" s="21" t="str">
        <f>_xlfn.XLOOKUP($C31,'PP1 (1)'!$B$6:$B$66,'PP1 (1)'!$H$6:$H$66,"")</f>
        <v/>
      </c>
      <c r="AH31" s="22" t="str">
        <f>_xlfn.XLOOKUP($C31,'PP1 (2)'!$B$6:$B$100,'PP1 (2)'!$H$6:$H$100,"")</f>
        <v/>
      </c>
      <c r="AI31" s="18" t="str">
        <f>_xlfn.XLOOKUP($C31,'PP2 (1)'!$B$6:$B$99,'PP2 (1)'!$H$6:$H$99,"")</f>
        <v/>
      </c>
      <c r="AJ31" s="19" t="str">
        <f>_xlfn.XLOOKUP($C31,'PP2 (2)'!$B$6:$B$100,'PP2 (2)'!$H$6:$H$100,"")</f>
        <v/>
      </c>
      <c r="AK31" s="21" t="str">
        <f>_xlfn.XLOOKUP($C31,'PP3 (1)'!$B$5:$B$113,'PP3 (1)'!$H$5:$H$113,"")</f>
        <v/>
      </c>
      <c r="AL31" s="22" t="str">
        <f>_xlfn.XLOOKUP($C31,'PP3 (2)'!$B$5:$B$112,'PP3 (2)'!$H$5:$H$112,"")</f>
        <v/>
      </c>
      <c r="AM31" s="18">
        <f>_xlfn.XLOOKUP($C31,'PP4 (1)'!$B$6:$B$100,'PP4 (1)'!$H$6:$H$100,"")</f>
        <v>-2</v>
      </c>
      <c r="AN31" s="19">
        <f>_xlfn.XLOOKUP($C31,'PP4 (2)'!$B$6:$B$100,'PP4 (2)'!$H$6:$H$100,"")</f>
        <v>14</v>
      </c>
      <c r="AO31" s="21" t="str">
        <f>_xlfn.XLOOKUP($C31,'PP5 (1)'!$B$6:$B$100,'PP5 (1)'!$H$6:$H$100,"")</f>
        <v/>
      </c>
      <c r="AP31" s="29" t="str">
        <f>_xlfn.XLOOKUP($C31,'PP5(2)'!$B$6:$B$100,'PP5(2)'!$H$6:$H$100,"")</f>
        <v/>
      </c>
    </row>
    <row r="32" spans="1:42" ht="13.1" customHeight="1" x14ac:dyDescent="0.25">
      <c r="A32" s="1">
        <f>ROW()-4</f>
        <v>28</v>
      </c>
      <c r="B32" s="1">
        <v>0</v>
      </c>
      <c r="C32" s="3" t="s">
        <v>33</v>
      </c>
      <c r="D32" s="26">
        <f>SUM(E32:P32)</f>
        <v>2.6</v>
      </c>
      <c r="E32" s="23">
        <f>_xlfn.XLOOKUP($C32,'MP (1)'!$B$6:$B$100,'MP (1)'!$E$6:$E$100,"")</f>
        <v>0.8</v>
      </c>
      <c r="F32" s="22">
        <f>_xlfn.XLOOKUP($C32,'MP (2)'!$B$6:$B$100,'MP (2)'!$E$6:$E$100,"")</f>
        <v>0.6</v>
      </c>
      <c r="G32" s="21">
        <f>_xlfn.XLOOKUP($C32,'PP1 (1)'!$B$6:$B$66,'PP1 (1)'!$E$6:$E$66,"")</f>
        <v>0.6</v>
      </c>
      <c r="H32" s="22">
        <f>_xlfn.XLOOKUP($C32,'PP1 (2)'!$B$6:$B$100,'PP1 (2)'!$E$6:$E$100,"")</f>
        <v>0.6</v>
      </c>
      <c r="I32" s="18" t="str">
        <f>_xlfn.XLOOKUP($C32,'PP2 (1)'!$B$6:$B$99,'PP2 (1)'!$E$6:$E$99,"")</f>
        <v/>
      </c>
      <c r="J32" s="20" t="str">
        <f>_xlfn.XLOOKUP($C32,'PP2 (2)'!$B$6:$B$100,'PP2 (2)'!$E$6:$E$100,"")</f>
        <v/>
      </c>
      <c r="K32" s="21" t="str">
        <f>_xlfn.XLOOKUP($C32,'PP3 (1)'!$B$5:$B$113,'PP3 (1)'!$E$5:$E$113,"")</f>
        <v/>
      </c>
      <c r="L32" s="22" t="str">
        <f>_xlfn.XLOOKUP($C32,'PP3 (2)'!$B$5:$B$112,'PP3 (2)'!$E$5:$E$112,"")</f>
        <v/>
      </c>
      <c r="M32" s="18" t="str">
        <f>_xlfn.XLOOKUP($C32,'PP4 (1)'!$B$6:$B$100,'PP4 (1)'!$E$6:$E$100,"")</f>
        <v/>
      </c>
      <c r="N32" s="20" t="str">
        <f>_xlfn.XLOOKUP($C32,'PP4 (2)'!$B$6:$B$100,'PP4 (2)'!$E$6:$E$100,"")</f>
        <v/>
      </c>
      <c r="O32" s="21" t="str">
        <f>_xlfn.XLOOKUP($C32,'PP5 (1)'!$B$6:$B$100,'PP5 (1)'!$E$6:$E$100,"")</f>
        <v/>
      </c>
      <c r="P32" s="23" t="str">
        <f>_xlfn.XLOOKUP($C32,'PP5(2)'!$B$6:$B$100,'PP5(2)'!$E$6:$E$100,"")</f>
        <v/>
      </c>
      <c r="Q32" s="10">
        <f>SUM(R32:AC32)</f>
        <v>89</v>
      </c>
      <c r="R32" s="23">
        <f>_xlfn.XLOOKUP($C32,'MP (1)'!$B$6:$B$100,'MP (1)'!$F$6:$F$100,"")</f>
        <v>23</v>
      </c>
      <c r="S32" s="22">
        <f>_xlfn.XLOOKUP($C32,'MP (2)'!$B$6:$B$100,'MP (2)'!$F$6:$F$100,"")</f>
        <v>22</v>
      </c>
      <c r="T32" s="21">
        <f>_xlfn.XLOOKUP($C32,'PP1 (1)'!$B$6:$B$66,'PP1 (1)'!$F$6:$F$66,"")</f>
        <v>22</v>
      </c>
      <c r="U32" s="22">
        <f>_xlfn.XLOOKUP($C32,'PP1 (2)'!$B$6:$B$100,'PP1 (2)'!$F$6:$F$100,"")</f>
        <v>22</v>
      </c>
      <c r="V32" s="18" t="str">
        <f>_xlfn.XLOOKUP($C32,'PP2 (1)'!$B$6:$B$99,'PP2 (1)'!$F$6:$F$99,"")</f>
        <v/>
      </c>
      <c r="W32" s="20" t="str">
        <f>_xlfn.XLOOKUP($C32,'PP2 (2)'!$B$6:$B$100,'PP2 (2)'!$F$6:$F$100,"")</f>
        <v/>
      </c>
      <c r="X32" s="21" t="str">
        <f>_xlfn.XLOOKUP($C32,'PP3 (1)'!$B$5:$B$113,'PP3 (1)'!$F$5:$F$113,"")</f>
        <v/>
      </c>
      <c r="Y32" s="22" t="str">
        <f>_xlfn.XLOOKUP($C32,'PP3 (2)'!$B$5:$B$112,'PP3 (2)'!$F$5:$F$112,"")</f>
        <v/>
      </c>
      <c r="Z32" s="18" t="str">
        <f>_xlfn.XLOOKUP($C32,'PP4 (1)'!$B$6:$B$100,'PP4 (1)'!$F$6:$F$100,"")</f>
        <v/>
      </c>
      <c r="AA32" s="20" t="str">
        <f>_xlfn.XLOOKUP($C32,'PP4 (2)'!$B$6:$B$100,'PP4 (2)'!$F$6:$F$100,"")</f>
        <v/>
      </c>
      <c r="AB32" s="21" t="str">
        <f>_xlfn.XLOOKUP($C32,'PP5 (1)'!$B$6:$B$100,'PP5 (1)'!$F$6:$F$100,"")</f>
        <v/>
      </c>
      <c r="AC32" s="23" t="str">
        <f>_xlfn.XLOOKUP($C32,'PP5(2)'!$B$6:$B$100,'PP5(2)'!$F$6:$F$100,"")</f>
        <v/>
      </c>
      <c r="AD32" s="10">
        <f>SUM(AE32:AP32)</f>
        <v>26</v>
      </c>
      <c r="AE32" s="23">
        <f>_xlfn.XLOOKUP($C32,'MP (1)'!$B$6:$B$100,'MP (1)'!$H$6:$H$100,"")</f>
        <v>12</v>
      </c>
      <c r="AF32" s="22">
        <f>_xlfn.XLOOKUP($C32,'MP (2)'!$B$6:$B$100,'MP (2)'!$H$6:$H$100,"")</f>
        <v>4</v>
      </c>
      <c r="AG32" s="21">
        <f>_xlfn.XLOOKUP($C32,'PP1 (1)'!$B$6:$B$66,'PP1 (1)'!$H$6:$H$66,"")</f>
        <v>4</v>
      </c>
      <c r="AH32" s="22">
        <f>_xlfn.XLOOKUP($C32,'PP1 (2)'!$B$6:$B$100,'PP1 (2)'!$H$6:$H$100,"")</f>
        <v>6</v>
      </c>
      <c r="AI32" s="18" t="str">
        <f>_xlfn.XLOOKUP($C32,'PP2 (1)'!$B$6:$B$99,'PP2 (1)'!$H$6:$H$99,"")</f>
        <v/>
      </c>
      <c r="AJ32" s="19" t="str">
        <f>_xlfn.XLOOKUP($C32,'PP2 (2)'!$B$6:$B$100,'PP2 (2)'!$H$6:$H$100,"")</f>
        <v/>
      </c>
      <c r="AK32" s="21" t="str">
        <f>_xlfn.XLOOKUP($C32,'PP3 (1)'!$B$5:$B$113,'PP3 (1)'!$H$5:$H$113,"")</f>
        <v/>
      </c>
      <c r="AL32" s="22" t="str">
        <f>_xlfn.XLOOKUP($C32,'PP3 (2)'!$B$5:$B$112,'PP3 (2)'!$H$5:$H$112,"")</f>
        <v/>
      </c>
      <c r="AM32" s="18" t="str">
        <f>_xlfn.XLOOKUP($C32,'PP4 (1)'!$B$6:$B$100,'PP4 (1)'!$H$6:$H$100,"")</f>
        <v/>
      </c>
      <c r="AN32" s="19" t="str">
        <f>_xlfn.XLOOKUP($C32,'PP4 (2)'!$B$6:$B$100,'PP4 (2)'!$H$6:$H$100,"")</f>
        <v/>
      </c>
      <c r="AO32" s="21" t="str">
        <f>_xlfn.XLOOKUP($C32,'PP5 (1)'!$B$6:$B$100,'PP5 (1)'!$H$6:$H$100,"")</f>
        <v/>
      </c>
      <c r="AP32" s="29" t="str">
        <f>_xlfn.XLOOKUP($C32,'PP5(2)'!$B$6:$B$100,'PP5(2)'!$H$6:$H$100,"")</f>
        <v/>
      </c>
    </row>
    <row r="33" spans="1:42" ht="13.1" customHeight="1" x14ac:dyDescent="0.25">
      <c r="A33" s="1">
        <f>ROW()-4</f>
        <v>29</v>
      </c>
      <c r="B33" s="1">
        <v>0</v>
      </c>
      <c r="C33" s="3" t="s">
        <v>43</v>
      </c>
      <c r="D33" s="26">
        <f>SUM(E33:P33)</f>
        <v>2.37</v>
      </c>
      <c r="E33" s="23" t="str">
        <f>_xlfn.XLOOKUP($C33,'MP (1)'!$B$6:$B$100,'MP (1)'!$E$6:$E$100,"")</f>
        <v/>
      </c>
      <c r="F33" s="22" t="str">
        <f>_xlfn.XLOOKUP($C33,'MP (2)'!$B$6:$B$100,'MP (2)'!$E$6:$E$100,"")</f>
        <v/>
      </c>
      <c r="G33" s="21">
        <f>_xlfn.XLOOKUP($C33,'PP1 (1)'!$B$6:$B$66,'PP1 (1)'!$E$6:$E$66,"")</f>
        <v>0.33</v>
      </c>
      <c r="H33" s="22">
        <f>_xlfn.XLOOKUP($C33,'PP1 (2)'!$B$6:$B$100,'PP1 (2)'!$E$6:$E$100,"")</f>
        <v>0.2</v>
      </c>
      <c r="I33" s="18">
        <f>_xlfn.XLOOKUP($C33,'PP2 (1)'!$B$6:$B$99,'PP2 (1)'!$E$6:$E$99,"")</f>
        <v>0.4</v>
      </c>
      <c r="J33" s="20">
        <f>_xlfn.XLOOKUP($C33,'PP2 (2)'!$B$6:$B$100,'PP2 (2)'!$E$6:$E$100,"")</f>
        <v>0.17</v>
      </c>
      <c r="K33" s="21">
        <f>_xlfn.XLOOKUP($C33,'PP3 (1)'!$B$5:$B$113,'PP3 (1)'!$E$5:$E$113,"")</f>
        <v>0.17</v>
      </c>
      <c r="L33" s="22">
        <f>_xlfn.XLOOKUP($C33,'PP3 (2)'!$B$5:$B$112,'PP3 (2)'!$E$5:$E$112,"")</f>
        <v>0.5</v>
      </c>
      <c r="M33" s="18">
        <f>_xlfn.XLOOKUP($C33,'PP4 (1)'!$B$6:$B$100,'PP4 (1)'!$E$6:$E$100,"")</f>
        <v>0.4</v>
      </c>
      <c r="N33" s="20">
        <f>_xlfn.XLOOKUP($C33,'PP4 (2)'!$B$6:$B$100,'PP4 (2)'!$E$6:$E$100,"")</f>
        <v>0.2</v>
      </c>
      <c r="O33" s="21" t="str">
        <f>_xlfn.XLOOKUP($C33,'PP5 (1)'!$B$6:$B$100,'PP5 (1)'!$E$6:$E$100,"")</f>
        <v/>
      </c>
      <c r="P33" s="23" t="str">
        <f>_xlfn.XLOOKUP($C33,'PP5(2)'!$B$6:$B$100,'PP5(2)'!$E$6:$E$100,"")</f>
        <v/>
      </c>
      <c r="Q33" s="10">
        <f>SUM(R33:AC33)</f>
        <v>126</v>
      </c>
      <c r="R33" s="23" t="str">
        <f>_xlfn.XLOOKUP($C33,'MP (1)'!$B$6:$B$100,'MP (1)'!$F$6:$F$100,"")</f>
        <v/>
      </c>
      <c r="S33" s="22" t="str">
        <f>_xlfn.XLOOKUP($C33,'MP (2)'!$B$6:$B$100,'MP (2)'!$F$6:$F$100,"")</f>
        <v/>
      </c>
      <c r="T33" s="21">
        <f>_xlfn.XLOOKUP($C33,'PP1 (1)'!$B$6:$B$66,'PP1 (1)'!$F$6:$F$66,"")</f>
        <v>20</v>
      </c>
      <c r="U33" s="22">
        <f>_xlfn.XLOOKUP($C33,'PP1 (2)'!$B$6:$B$100,'PP1 (2)'!$F$6:$F$100,"")</f>
        <v>13</v>
      </c>
      <c r="V33" s="18">
        <f>_xlfn.XLOOKUP($C33,'PP2 (1)'!$B$6:$B$99,'PP2 (1)'!$F$6:$F$99,"")</f>
        <v>14</v>
      </c>
      <c r="W33" s="20">
        <f>_xlfn.XLOOKUP($C33,'PP2 (2)'!$B$6:$B$100,'PP2 (2)'!$F$6:$F$100,"")</f>
        <v>12</v>
      </c>
      <c r="X33" s="21">
        <f>_xlfn.XLOOKUP($C33,'PP3 (1)'!$B$5:$B$113,'PP3 (1)'!$F$5:$F$113,"")</f>
        <v>17</v>
      </c>
      <c r="Y33" s="22">
        <f>_xlfn.XLOOKUP($C33,'PP3 (2)'!$B$5:$B$112,'PP3 (2)'!$F$5:$F$112,"")</f>
        <v>22</v>
      </c>
      <c r="Z33" s="18">
        <f>_xlfn.XLOOKUP($C33,'PP4 (1)'!$B$6:$B$100,'PP4 (1)'!$F$6:$F$100,"")</f>
        <v>15</v>
      </c>
      <c r="AA33" s="20">
        <f>_xlfn.XLOOKUP($C33,'PP4 (2)'!$B$6:$B$100,'PP4 (2)'!$F$6:$F$100,"")</f>
        <v>13</v>
      </c>
      <c r="AB33" s="21" t="str">
        <f>_xlfn.XLOOKUP($C33,'PP5 (1)'!$B$6:$B$100,'PP5 (1)'!$F$6:$F$100,"")</f>
        <v/>
      </c>
      <c r="AC33" s="23" t="str">
        <f>_xlfn.XLOOKUP($C33,'PP5(2)'!$B$6:$B$100,'PP5(2)'!$F$6:$F$100,"")</f>
        <v/>
      </c>
      <c r="AD33" s="10">
        <f>SUM(AE33:AP33)</f>
        <v>-55</v>
      </c>
      <c r="AE33" s="23" t="str">
        <f>_xlfn.XLOOKUP($C33,'MP (1)'!$B$6:$B$100,'MP (1)'!$H$6:$H$100,"")</f>
        <v/>
      </c>
      <c r="AF33" s="22" t="str">
        <f>_xlfn.XLOOKUP($C33,'MP (2)'!$B$6:$B$100,'MP (2)'!$H$6:$H$100,"")</f>
        <v/>
      </c>
      <c r="AG33" s="21">
        <f>_xlfn.XLOOKUP($C33,'PP1 (1)'!$B$6:$B$66,'PP1 (1)'!$H$6:$H$66,"")</f>
        <v>-6</v>
      </c>
      <c r="AH33" s="22">
        <f>_xlfn.XLOOKUP($C33,'PP1 (2)'!$B$6:$B$100,'PP1 (2)'!$H$6:$H$100,"")</f>
        <v>-8</v>
      </c>
      <c r="AI33" s="18">
        <f>_xlfn.XLOOKUP($C33,'PP2 (1)'!$B$6:$B$99,'PP2 (1)'!$H$6:$H$99,"")</f>
        <v>-6</v>
      </c>
      <c r="AJ33" s="19">
        <f>_xlfn.XLOOKUP($C33,'PP2 (2)'!$B$6:$B$100,'PP2 (2)'!$H$6:$H$100,"")</f>
        <v>-14</v>
      </c>
      <c r="AK33" s="21">
        <f>_xlfn.XLOOKUP($C33,'PP3 (1)'!$B$5:$B$113,'PP3 (1)'!$H$5:$H$113,"")</f>
        <v>-8</v>
      </c>
      <c r="AL33" s="22">
        <f>_xlfn.XLOOKUP($C33,'PP3 (2)'!$B$5:$B$112,'PP3 (2)'!$H$5:$H$112,"")</f>
        <v>2</v>
      </c>
      <c r="AM33" s="18">
        <f>_xlfn.XLOOKUP($C33,'PP4 (1)'!$B$6:$B$100,'PP4 (1)'!$H$6:$H$100,"")</f>
        <v>-5</v>
      </c>
      <c r="AN33" s="19">
        <f>_xlfn.XLOOKUP($C33,'PP4 (2)'!$B$6:$B$100,'PP4 (2)'!$H$6:$H$100,"")</f>
        <v>-10</v>
      </c>
      <c r="AO33" s="21" t="str">
        <f>_xlfn.XLOOKUP($C33,'PP5 (1)'!$B$6:$B$100,'PP5 (1)'!$H$6:$H$100,"")</f>
        <v/>
      </c>
      <c r="AP33" s="29" t="str">
        <f>_xlfn.XLOOKUP($C33,'PP5(2)'!$B$6:$B$100,'PP5(2)'!$H$6:$H$100,"")</f>
        <v/>
      </c>
    </row>
    <row r="34" spans="1:42" ht="13.1" customHeight="1" x14ac:dyDescent="0.25">
      <c r="A34" s="1">
        <f>ROW()-4</f>
        <v>30</v>
      </c>
      <c r="B34" s="1" t="s">
        <v>154</v>
      </c>
      <c r="C34" s="3" t="s">
        <v>37</v>
      </c>
      <c r="D34" s="26">
        <f>SUM(E34:P34)</f>
        <v>2.2800000000000002</v>
      </c>
      <c r="E34" s="23">
        <f>_xlfn.XLOOKUP($C34,'MP (1)'!$B$6:$B$100,'MP (1)'!$E$6:$E$100,"")</f>
        <v>0.2</v>
      </c>
      <c r="F34" s="22">
        <f>_xlfn.XLOOKUP($C34,'MP (2)'!$B$6:$B$100,'MP (2)'!$E$6:$E$100,"")</f>
        <v>0.2</v>
      </c>
      <c r="G34" s="21">
        <f>_xlfn.XLOOKUP($C34,'PP1 (1)'!$B$6:$B$66,'PP1 (1)'!$E$6:$E$66,"")</f>
        <v>0</v>
      </c>
      <c r="H34" s="22">
        <f>_xlfn.XLOOKUP($C34,'PP1 (2)'!$B$6:$B$100,'PP1 (2)'!$E$6:$E$100,"")</f>
        <v>0</v>
      </c>
      <c r="I34" s="18">
        <f>_xlfn.XLOOKUP($C34,'PP2 (1)'!$B$6:$B$99,'PP2 (1)'!$E$6:$E$99,"")</f>
        <v>0.2</v>
      </c>
      <c r="J34" s="20">
        <f>_xlfn.XLOOKUP($C34,'PP2 (2)'!$B$6:$B$100,'PP2 (2)'!$E$6:$E$100,"")</f>
        <v>0.5</v>
      </c>
      <c r="K34" s="21">
        <f>_xlfn.XLOOKUP($C34,'PP3 (1)'!$B$5:$B$113,'PP3 (1)'!$E$5:$E$113,"")</f>
        <v>0.33</v>
      </c>
      <c r="L34" s="22">
        <f>_xlfn.XLOOKUP($C34,'PP3 (2)'!$B$5:$B$112,'PP3 (2)'!$E$5:$E$112,"")</f>
        <v>0.4</v>
      </c>
      <c r="M34" s="18">
        <f>_xlfn.XLOOKUP($C34,'PP4 (1)'!$B$6:$B$100,'PP4 (1)'!$E$6:$E$100,"")</f>
        <v>0.25</v>
      </c>
      <c r="N34" s="20">
        <f>_xlfn.XLOOKUP($C34,'PP4 (2)'!$B$6:$B$100,'PP4 (2)'!$E$6:$E$100,"")</f>
        <v>0.2</v>
      </c>
      <c r="O34" s="21" t="str">
        <f>_xlfn.XLOOKUP($C34,'PP5 (1)'!$B$6:$B$100,'PP5 (1)'!$E$6:$E$100,"")</f>
        <v/>
      </c>
      <c r="P34" s="23" t="str">
        <f>_xlfn.XLOOKUP($C34,'PP5(2)'!$B$6:$B$100,'PP5(2)'!$E$6:$E$100,"")</f>
        <v/>
      </c>
      <c r="Q34" s="10">
        <f>SUM(R34:AC34)</f>
        <v>118</v>
      </c>
      <c r="R34" s="23">
        <f>_xlfn.XLOOKUP($C34,'MP (1)'!$B$6:$B$100,'MP (1)'!$F$6:$F$100,"")</f>
        <v>12</v>
      </c>
      <c r="S34" s="22">
        <f>_xlfn.XLOOKUP($C34,'MP (2)'!$B$6:$B$100,'MP (2)'!$F$6:$F$100,"")</f>
        <v>9</v>
      </c>
      <c r="T34" s="21">
        <f>_xlfn.XLOOKUP($C34,'PP1 (1)'!$B$6:$B$66,'PP1 (1)'!$F$6:$F$66,"")</f>
        <v>10</v>
      </c>
      <c r="U34" s="22">
        <f>_xlfn.XLOOKUP($C34,'PP1 (2)'!$B$6:$B$100,'PP1 (2)'!$F$6:$F$100,"")</f>
        <v>7</v>
      </c>
      <c r="V34" s="18">
        <f>_xlfn.XLOOKUP($C34,'PP2 (1)'!$B$6:$B$99,'PP2 (1)'!$F$6:$F$99,"")</f>
        <v>7</v>
      </c>
      <c r="W34" s="20">
        <f>_xlfn.XLOOKUP($C34,'PP2 (2)'!$B$6:$B$100,'PP2 (2)'!$F$6:$F$100,"")</f>
        <v>20</v>
      </c>
      <c r="X34" s="21">
        <f>_xlfn.XLOOKUP($C34,'PP3 (1)'!$B$5:$B$113,'PP3 (1)'!$F$5:$F$113,"")</f>
        <v>16</v>
      </c>
      <c r="Y34" s="22">
        <f>_xlfn.XLOOKUP($C34,'PP3 (2)'!$B$5:$B$112,'PP3 (2)'!$F$5:$F$112,"")</f>
        <v>17</v>
      </c>
      <c r="Z34" s="18">
        <f>_xlfn.XLOOKUP($C34,'PP4 (1)'!$B$6:$B$100,'PP4 (1)'!$F$6:$F$100,"")</f>
        <v>12</v>
      </c>
      <c r="AA34" s="20">
        <f>_xlfn.XLOOKUP($C34,'PP4 (2)'!$B$6:$B$100,'PP4 (2)'!$F$6:$F$100,"")</f>
        <v>8</v>
      </c>
      <c r="AB34" s="21" t="str">
        <f>_xlfn.XLOOKUP($C34,'PP5 (1)'!$B$6:$B$100,'PP5 (1)'!$F$6:$F$100,"")</f>
        <v/>
      </c>
      <c r="AC34" s="23" t="str">
        <f>_xlfn.XLOOKUP($C34,'PP5(2)'!$B$6:$B$100,'PP5(2)'!$F$6:$F$100,"")</f>
        <v/>
      </c>
      <c r="AD34" s="10">
        <f>SUM(AE34:AP34)</f>
        <v>-96</v>
      </c>
      <c r="AE34" s="23">
        <f>_xlfn.XLOOKUP($C34,'MP (1)'!$B$6:$B$100,'MP (1)'!$H$6:$H$100,"")</f>
        <v>-9</v>
      </c>
      <c r="AF34" s="22">
        <f>_xlfn.XLOOKUP($C34,'MP (2)'!$B$6:$B$100,'MP (2)'!$H$6:$H$100,"")</f>
        <v>-14</v>
      </c>
      <c r="AG34" s="21">
        <f>_xlfn.XLOOKUP($C34,'PP1 (1)'!$B$6:$B$66,'PP1 (1)'!$H$6:$H$66,"")</f>
        <v>-15</v>
      </c>
      <c r="AH34" s="22">
        <f>_xlfn.XLOOKUP($C34,'PP1 (2)'!$B$6:$B$100,'PP1 (2)'!$H$6:$H$100,"")</f>
        <v>-13</v>
      </c>
      <c r="AI34" s="18">
        <f>_xlfn.XLOOKUP($C34,'PP2 (1)'!$B$6:$B$99,'PP2 (1)'!$H$6:$H$99,"")</f>
        <v>-15</v>
      </c>
      <c r="AJ34" s="19">
        <f>_xlfn.XLOOKUP($C34,'PP2 (2)'!$B$6:$B$100,'PP2 (2)'!$H$6:$H$100,"")</f>
        <v>1</v>
      </c>
      <c r="AK34" s="21">
        <f>_xlfn.XLOOKUP($C34,'PP3 (1)'!$B$5:$B$113,'PP3 (1)'!$H$5:$H$113,"")</f>
        <v>-9</v>
      </c>
      <c r="AL34" s="22">
        <f>_xlfn.XLOOKUP($C34,'PP3 (2)'!$B$5:$B$112,'PP3 (2)'!$H$5:$H$112,"")</f>
        <v>-4</v>
      </c>
      <c r="AM34" s="18">
        <f>_xlfn.XLOOKUP($C34,'PP4 (1)'!$B$6:$B$100,'PP4 (1)'!$H$6:$H$100,"")</f>
        <v>-5</v>
      </c>
      <c r="AN34" s="19">
        <f>_xlfn.XLOOKUP($C34,'PP4 (2)'!$B$6:$B$100,'PP4 (2)'!$H$6:$H$100,"")</f>
        <v>-13</v>
      </c>
      <c r="AO34" s="21" t="str">
        <f>_xlfn.XLOOKUP($C34,'PP5 (1)'!$B$6:$B$100,'PP5 (1)'!$H$6:$H$100,"")</f>
        <v/>
      </c>
      <c r="AP34" s="29" t="str">
        <f>_xlfn.XLOOKUP($C34,'PP5(2)'!$B$6:$B$100,'PP5(2)'!$H$6:$H$100,"")</f>
        <v/>
      </c>
    </row>
    <row r="35" spans="1:42" ht="13.1" customHeight="1" x14ac:dyDescent="0.25">
      <c r="A35" s="1">
        <f>ROW()-4</f>
        <v>31</v>
      </c>
      <c r="B35" s="1">
        <v>0</v>
      </c>
      <c r="C35" s="3" t="s">
        <v>38</v>
      </c>
      <c r="D35" s="26">
        <f>SUM(E35:P35)</f>
        <v>2.27</v>
      </c>
      <c r="E35" s="23">
        <f>_xlfn.XLOOKUP($C35,'MP (1)'!$B$6:$B$100,'MP (1)'!$E$6:$E$100,"")</f>
        <v>0.67</v>
      </c>
      <c r="F35" s="22">
        <f>_xlfn.XLOOKUP($C35,'MP (2)'!$B$6:$B$100,'MP (2)'!$E$6:$E$100,"")</f>
        <v>0.6</v>
      </c>
      <c r="G35" s="21" t="str">
        <f>_xlfn.XLOOKUP($C35,'PP1 (1)'!$B$6:$B$66,'PP1 (1)'!$E$6:$E$66,"")</f>
        <v/>
      </c>
      <c r="H35" s="22" t="str">
        <f>_xlfn.XLOOKUP($C35,'PP1 (2)'!$B$6:$B$100,'PP1 (2)'!$E$6:$E$100,"")</f>
        <v/>
      </c>
      <c r="I35" s="18">
        <f>_xlfn.XLOOKUP($C35,'PP2 (1)'!$B$6:$B$99,'PP2 (1)'!$E$6:$E$99,"")</f>
        <v>0.2</v>
      </c>
      <c r="J35" s="20">
        <f>_xlfn.XLOOKUP($C35,'PP2 (2)'!$B$6:$B$100,'PP2 (2)'!$E$6:$E$100,"")</f>
        <v>0.4</v>
      </c>
      <c r="K35" s="21" t="str">
        <f>_xlfn.XLOOKUP($C35,'PP3 (1)'!$B$5:$B$113,'PP3 (1)'!$E$5:$E$113,"")</f>
        <v/>
      </c>
      <c r="L35" s="22" t="str">
        <f>_xlfn.XLOOKUP($C35,'PP3 (2)'!$B$5:$B$112,'PP3 (2)'!$E$5:$E$112,"")</f>
        <v/>
      </c>
      <c r="M35" s="18">
        <f>_xlfn.XLOOKUP($C35,'PP4 (1)'!$B$6:$B$100,'PP4 (1)'!$E$6:$E$100,"")</f>
        <v>0</v>
      </c>
      <c r="N35" s="20">
        <f>_xlfn.XLOOKUP($C35,'PP4 (2)'!$B$6:$B$100,'PP4 (2)'!$E$6:$E$100,"")</f>
        <v>0.4</v>
      </c>
      <c r="O35" s="21" t="str">
        <f>_xlfn.XLOOKUP($C35,'PP5 (1)'!$B$6:$B$100,'PP5 (1)'!$E$6:$E$100,"")</f>
        <v/>
      </c>
      <c r="P35" s="23" t="str">
        <f>_xlfn.XLOOKUP($C35,'PP5(2)'!$B$6:$B$100,'PP5(2)'!$E$6:$E$100,"")</f>
        <v/>
      </c>
      <c r="Q35" s="10">
        <f>SUM(R35:AC35)</f>
        <v>96</v>
      </c>
      <c r="R35" s="23">
        <f>_xlfn.XLOOKUP($C35,'MP (1)'!$B$6:$B$100,'MP (1)'!$F$6:$F$100,"")</f>
        <v>23</v>
      </c>
      <c r="S35" s="22">
        <f>_xlfn.XLOOKUP($C35,'MP (2)'!$B$6:$B$100,'MP (2)'!$F$6:$F$100,"")</f>
        <v>18</v>
      </c>
      <c r="T35" s="21" t="str">
        <f>_xlfn.XLOOKUP($C35,'PP1 (1)'!$B$6:$B$66,'PP1 (1)'!$F$6:$F$66,"")</f>
        <v/>
      </c>
      <c r="U35" s="22" t="str">
        <f>_xlfn.XLOOKUP($C35,'PP1 (2)'!$B$6:$B$100,'PP1 (2)'!$F$6:$F$100,"")</f>
        <v/>
      </c>
      <c r="V35" s="18">
        <f>_xlfn.XLOOKUP($C35,'PP2 (1)'!$B$6:$B$99,'PP2 (1)'!$F$6:$F$99,"")</f>
        <v>13</v>
      </c>
      <c r="W35" s="20">
        <f>_xlfn.XLOOKUP($C35,'PP2 (2)'!$B$6:$B$100,'PP2 (2)'!$F$6:$F$100,"")</f>
        <v>12</v>
      </c>
      <c r="X35" s="21" t="str">
        <f>_xlfn.XLOOKUP($C35,'PP3 (1)'!$B$5:$B$113,'PP3 (1)'!$F$5:$F$113,"")</f>
        <v/>
      </c>
      <c r="Y35" s="22" t="str">
        <f>_xlfn.XLOOKUP($C35,'PP3 (2)'!$B$5:$B$112,'PP3 (2)'!$F$5:$F$112,"")</f>
        <v/>
      </c>
      <c r="Z35" s="18">
        <f>_xlfn.XLOOKUP($C35,'PP4 (1)'!$B$6:$B$100,'PP4 (1)'!$F$6:$F$100,"")</f>
        <v>14</v>
      </c>
      <c r="AA35" s="20">
        <f>_xlfn.XLOOKUP($C35,'PP4 (2)'!$B$6:$B$100,'PP4 (2)'!$F$6:$F$100,"")</f>
        <v>16</v>
      </c>
      <c r="AB35" s="21" t="str">
        <f>_xlfn.XLOOKUP($C35,'PP5 (1)'!$B$6:$B$100,'PP5 (1)'!$F$6:$F$100,"")</f>
        <v/>
      </c>
      <c r="AC35" s="23" t="str">
        <f>_xlfn.XLOOKUP($C35,'PP5(2)'!$B$6:$B$100,'PP5(2)'!$F$6:$F$100,"")</f>
        <v/>
      </c>
      <c r="AD35" s="10">
        <f>SUM(AE35:AP35)</f>
        <v>-29</v>
      </c>
      <c r="AE35" s="23">
        <f>_xlfn.XLOOKUP($C35,'MP (1)'!$B$6:$B$100,'MP (1)'!$H$6:$H$100,"")</f>
        <v>4</v>
      </c>
      <c r="AF35" s="22">
        <f>_xlfn.XLOOKUP($C35,'MP (2)'!$B$6:$B$100,'MP (2)'!$H$6:$H$100,"")</f>
        <v>0</v>
      </c>
      <c r="AG35" s="21" t="str">
        <f>_xlfn.XLOOKUP($C35,'PP1 (1)'!$B$6:$B$66,'PP1 (1)'!$H$6:$H$66,"")</f>
        <v/>
      </c>
      <c r="AH35" s="22" t="str">
        <f>_xlfn.XLOOKUP($C35,'PP1 (2)'!$B$6:$B$100,'PP1 (2)'!$H$6:$H$100,"")</f>
        <v/>
      </c>
      <c r="AI35" s="18">
        <f>_xlfn.XLOOKUP($C35,'PP2 (1)'!$B$6:$B$99,'PP2 (1)'!$H$6:$H$99,"")</f>
        <v>-8</v>
      </c>
      <c r="AJ35" s="19">
        <f>_xlfn.XLOOKUP($C35,'PP2 (2)'!$B$6:$B$100,'PP2 (2)'!$H$6:$H$100,"")</f>
        <v>-11</v>
      </c>
      <c r="AK35" s="21" t="str">
        <f>_xlfn.XLOOKUP($C35,'PP3 (1)'!$B$5:$B$113,'PP3 (1)'!$H$5:$H$113,"")</f>
        <v/>
      </c>
      <c r="AL35" s="22" t="str">
        <f>_xlfn.XLOOKUP($C35,'PP3 (2)'!$B$5:$B$112,'PP3 (2)'!$H$5:$H$112,"")</f>
        <v/>
      </c>
      <c r="AM35" s="18">
        <f>_xlfn.XLOOKUP($C35,'PP4 (1)'!$B$6:$B$100,'PP4 (1)'!$H$6:$H$100,"")</f>
        <v>-11</v>
      </c>
      <c r="AN35" s="19">
        <f>_xlfn.XLOOKUP($C35,'PP4 (2)'!$B$6:$B$100,'PP4 (2)'!$H$6:$H$100,"")</f>
        <v>-3</v>
      </c>
      <c r="AO35" s="21" t="str">
        <f>_xlfn.XLOOKUP($C35,'PP5 (1)'!$B$6:$B$100,'PP5 (1)'!$H$6:$H$100,"")</f>
        <v/>
      </c>
      <c r="AP35" s="29" t="str">
        <f>_xlfn.XLOOKUP($C35,'PP5(2)'!$B$6:$B$100,'PP5(2)'!$H$6:$H$100,"")</f>
        <v/>
      </c>
    </row>
    <row r="36" spans="1:42" ht="13.1" customHeight="1" x14ac:dyDescent="0.25">
      <c r="A36" s="1">
        <f>ROW()-4</f>
        <v>32</v>
      </c>
      <c r="B36" s="1">
        <v>4</v>
      </c>
      <c r="C36" s="3" t="s">
        <v>47</v>
      </c>
      <c r="D36" s="26">
        <f>SUM(E36:P36)</f>
        <v>2.16</v>
      </c>
      <c r="E36" s="23">
        <f>_xlfn.XLOOKUP($C36,'MP (1)'!$B$6:$B$100,'MP (1)'!$E$6:$E$100,"")</f>
        <v>0.33</v>
      </c>
      <c r="F36" s="22">
        <f>_xlfn.XLOOKUP($C36,'MP (2)'!$B$6:$B$100,'MP (2)'!$E$6:$E$100,"")</f>
        <v>0.4</v>
      </c>
      <c r="G36" s="21">
        <f>_xlfn.XLOOKUP($C36,'PP1 (1)'!$B$6:$B$66,'PP1 (1)'!$E$6:$E$66,"")</f>
        <v>0</v>
      </c>
      <c r="H36" s="22">
        <f>_xlfn.XLOOKUP($C36,'PP1 (2)'!$B$6:$B$100,'PP1 (2)'!$E$6:$E$100,"")</f>
        <v>0.5</v>
      </c>
      <c r="I36" s="18" t="str">
        <f>_xlfn.XLOOKUP($C36,'PP2 (1)'!$B$6:$B$99,'PP2 (1)'!$E$6:$E$99,"")</f>
        <v/>
      </c>
      <c r="J36" s="20" t="str">
        <f>_xlfn.XLOOKUP($C36,'PP2 (2)'!$B$6:$B$100,'PP2 (2)'!$E$6:$E$100,"")</f>
        <v/>
      </c>
      <c r="K36" s="21">
        <f>_xlfn.XLOOKUP($C36,'PP3 (1)'!$B$5:$B$113,'PP3 (1)'!$E$5:$E$113,"")</f>
        <v>0</v>
      </c>
      <c r="L36" s="22">
        <f>_xlfn.XLOOKUP($C36,'PP3 (2)'!$B$5:$B$112,'PP3 (2)'!$E$5:$E$112,"")</f>
        <v>0.33</v>
      </c>
      <c r="M36" s="18">
        <f>_xlfn.XLOOKUP($C36,'PP4 (1)'!$B$6:$B$100,'PP4 (1)'!$E$6:$E$100,"")</f>
        <v>0.6</v>
      </c>
      <c r="N36" s="20">
        <f>_xlfn.XLOOKUP($C36,'PP4 (2)'!$B$6:$B$100,'PP4 (2)'!$E$6:$E$100,"")</f>
        <v>0</v>
      </c>
      <c r="O36" s="21">
        <f>_xlfn.XLOOKUP($C36,'PP5 (1)'!$B$6:$B$100,'PP5 (1)'!$E$6:$E$100,"")</f>
        <v>0</v>
      </c>
      <c r="P36" s="23">
        <f>_xlfn.XLOOKUP($C36,'PP5(2)'!$B$6:$B$100,'PP5(2)'!$E$6:$E$100,"")</f>
        <v>0</v>
      </c>
      <c r="Q36" s="10">
        <f>SUM(R36:AC36)</f>
        <v>122</v>
      </c>
      <c r="R36" s="23">
        <f>_xlfn.XLOOKUP($C36,'MP (1)'!$B$6:$B$100,'MP (1)'!$F$6:$F$100,"")</f>
        <v>16</v>
      </c>
      <c r="S36" s="22">
        <f>_xlfn.XLOOKUP($C36,'MP (2)'!$B$6:$B$100,'MP (2)'!$F$6:$F$100,"")</f>
        <v>14</v>
      </c>
      <c r="T36" s="21">
        <f>_xlfn.XLOOKUP($C36,'PP1 (1)'!$B$6:$B$66,'PP1 (1)'!$F$6:$F$66,"")</f>
        <v>12</v>
      </c>
      <c r="U36" s="22">
        <f>_xlfn.XLOOKUP($C36,'PP1 (2)'!$B$6:$B$100,'PP1 (2)'!$F$6:$F$100,"")</f>
        <v>18</v>
      </c>
      <c r="V36" s="18" t="str">
        <f>_xlfn.XLOOKUP($C36,'PP2 (1)'!$B$6:$B$99,'PP2 (1)'!$F$6:$F$99,"")</f>
        <v/>
      </c>
      <c r="W36" s="20" t="str">
        <f>_xlfn.XLOOKUP($C36,'PP2 (2)'!$B$6:$B$100,'PP2 (2)'!$F$6:$F$100,"")</f>
        <v/>
      </c>
      <c r="X36" s="21">
        <f>_xlfn.XLOOKUP($C36,'PP3 (1)'!$B$5:$B$113,'PP3 (1)'!$F$5:$F$113,"")</f>
        <v>7</v>
      </c>
      <c r="Y36" s="22">
        <f>_xlfn.XLOOKUP($C36,'PP3 (2)'!$B$5:$B$112,'PP3 (2)'!$F$5:$F$112,"")</f>
        <v>16</v>
      </c>
      <c r="Z36" s="18">
        <f>_xlfn.XLOOKUP($C36,'PP4 (1)'!$B$6:$B$100,'PP4 (1)'!$F$6:$F$100,"")</f>
        <v>21</v>
      </c>
      <c r="AA36" s="20">
        <f>_xlfn.XLOOKUP($C36,'PP4 (2)'!$B$6:$B$100,'PP4 (2)'!$F$6:$F$100,"")</f>
        <v>6</v>
      </c>
      <c r="AB36" s="21">
        <f>_xlfn.XLOOKUP($C36,'PP5 (1)'!$B$6:$B$100,'PP5 (1)'!$F$6:$F$100,"")</f>
        <v>6</v>
      </c>
      <c r="AC36" s="23">
        <f>_xlfn.XLOOKUP($C36,'PP5(2)'!$B$6:$B$100,'PP5(2)'!$F$6:$F$100,"")</f>
        <v>6</v>
      </c>
      <c r="AD36" s="10">
        <f>SUM(AE36:AP36)</f>
        <v>-113</v>
      </c>
      <c r="AE36" s="23">
        <f>_xlfn.XLOOKUP($C36,'MP (1)'!$B$6:$B$100,'MP (1)'!$H$6:$H$100,"")</f>
        <v>-5</v>
      </c>
      <c r="AF36" s="22">
        <f>_xlfn.XLOOKUP($C36,'MP (2)'!$B$6:$B$100,'MP (2)'!$H$6:$H$100,"")</f>
        <v>-5</v>
      </c>
      <c r="AG36" s="21">
        <f>_xlfn.XLOOKUP($C36,'PP1 (1)'!$B$6:$B$66,'PP1 (1)'!$H$6:$H$66,"")</f>
        <v>-13</v>
      </c>
      <c r="AH36" s="22">
        <f>_xlfn.XLOOKUP($C36,'PP1 (2)'!$B$6:$B$100,'PP1 (2)'!$H$6:$H$100,"")</f>
        <v>-3</v>
      </c>
      <c r="AI36" s="18" t="str">
        <f>_xlfn.XLOOKUP($C36,'PP2 (1)'!$B$6:$B$99,'PP2 (1)'!$H$6:$H$99,"")</f>
        <v/>
      </c>
      <c r="AJ36" s="19" t="str">
        <f>_xlfn.XLOOKUP($C36,'PP2 (2)'!$B$6:$B$100,'PP2 (2)'!$H$6:$H$100,"")</f>
        <v/>
      </c>
      <c r="AK36" s="21">
        <f>_xlfn.XLOOKUP($C36,'PP3 (1)'!$B$5:$B$113,'PP3 (1)'!$H$5:$H$113,"")</f>
        <v>-23</v>
      </c>
      <c r="AL36" s="22">
        <f>_xlfn.XLOOKUP($C36,'PP3 (2)'!$B$5:$B$112,'PP3 (2)'!$H$5:$H$112,"")</f>
        <v>-8</v>
      </c>
      <c r="AM36" s="18">
        <f>_xlfn.XLOOKUP($C36,'PP4 (1)'!$B$6:$B$100,'PP4 (1)'!$H$6:$H$100,"")</f>
        <v>1</v>
      </c>
      <c r="AN36" s="19">
        <f>_xlfn.XLOOKUP($C36,'PP4 (2)'!$B$6:$B$100,'PP4 (2)'!$H$6:$H$100,"")</f>
        <v>-19</v>
      </c>
      <c r="AO36" s="21">
        <f>_xlfn.XLOOKUP($C36,'PP5 (1)'!$B$6:$B$100,'PP5 (1)'!$H$6:$H$100,"")</f>
        <v>-19</v>
      </c>
      <c r="AP36" s="29">
        <f>_xlfn.XLOOKUP($C36,'PP5(2)'!$B$6:$B$100,'PP5(2)'!$H$6:$H$100,"")</f>
        <v>-19</v>
      </c>
    </row>
    <row r="37" spans="1:42" ht="13.1" customHeight="1" x14ac:dyDescent="0.25">
      <c r="A37" s="1">
        <f>ROW()-4</f>
        <v>33</v>
      </c>
      <c r="B37" s="1">
        <v>4</v>
      </c>
      <c r="C37" s="3" t="s">
        <v>34</v>
      </c>
      <c r="D37" s="26">
        <f>SUM(E37:P37)</f>
        <v>1.6700000000000002</v>
      </c>
      <c r="E37" s="23" t="str">
        <f>_xlfn.XLOOKUP($C37,'MP (1)'!$B$6:$B$100,'MP (1)'!$E$6:$E$100,"")</f>
        <v/>
      </c>
      <c r="F37" s="22" t="str">
        <f>_xlfn.XLOOKUP($C37,'MP (2)'!$B$6:$B$100,'MP (2)'!$E$6:$E$100,"")</f>
        <v/>
      </c>
      <c r="G37" s="21">
        <f>_xlfn.XLOOKUP($C37,'PP1 (1)'!$B$6:$B$66,'PP1 (1)'!$E$6:$E$66,"")</f>
        <v>0</v>
      </c>
      <c r="H37" s="22">
        <f>_xlfn.XLOOKUP($C37,'PP1 (2)'!$B$6:$B$100,'PP1 (2)'!$E$6:$E$100,"")</f>
        <v>0.17</v>
      </c>
      <c r="I37" s="18">
        <f>_xlfn.XLOOKUP($C37,'PP2 (1)'!$B$6:$B$99,'PP2 (1)'!$E$6:$E$99,"")</f>
        <v>0.2</v>
      </c>
      <c r="J37" s="20">
        <f>_xlfn.XLOOKUP($C37,'PP2 (2)'!$B$6:$B$100,'PP2 (2)'!$E$6:$E$100,"")</f>
        <v>0.2</v>
      </c>
      <c r="K37" s="21">
        <f>_xlfn.XLOOKUP($C37,'PP3 (1)'!$B$5:$B$113,'PP3 (1)'!$E$5:$E$113,"")</f>
        <v>0.5</v>
      </c>
      <c r="L37" s="22">
        <f>_xlfn.XLOOKUP($C37,'PP3 (2)'!$B$5:$B$112,'PP3 (2)'!$E$5:$E$112,"")</f>
        <v>0</v>
      </c>
      <c r="M37" s="18">
        <f>_xlfn.XLOOKUP($C37,'PP4 (1)'!$B$6:$B$100,'PP4 (1)'!$E$6:$E$100,"")</f>
        <v>0.4</v>
      </c>
      <c r="N37" s="20">
        <f>_xlfn.XLOOKUP($C37,'PP4 (2)'!$B$6:$B$100,'PP4 (2)'!$E$6:$E$100,"")</f>
        <v>0.2</v>
      </c>
      <c r="O37" s="21" t="str">
        <f>_xlfn.XLOOKUP($C37,'PP5 (1)'!$B$6:$B$100,'PP5 (1)'!$E$6:$E$100,"")</f>
        <v/>
      </c>
      <c r="P37" s="23" t="str">
        <f>_xlfn.XLOOKUP($C37,'PP5(2)'!$B$6:$B$100,'PP5(2)'!$E$6:$E$100,"")</f>
        <v/>
      </c>
      <c r="Q37" s="10">
        <f>SUM(R37:AC37)</f>
        <v>99</v>
      </c>
      <c r="R37" s="23" t="str">
        <f>_xlfn.XLOOKUP($C37,'MP (1)'!$B$6:$B$100,'MP (1)'!$F$6:$F$100,"")</f>
        <v/>
      </c>
      <c r="S37" s="22" t="str">
        <f>_xlfn.XLOOKUP($C37,'MP (2)'!$B$6:$B$100,'MP (2)'!$F$6:$F$100,"")</f>
        <v/>
      </c>
      <c r="T37" s="21">
        <f>_xlfn.XLOOKUP($C37,'PP1 (1)'!$B$6:$B$66,'PP1 (1)'!$F$6:$F$66,"")</f>
        <v>10</v>
      </c>
      <c r="U37" s="22">
        <f>_xlfn.XLOOKUP($C37,'PP1 (2)'!$B$6:$B$100,'PP1 (2)'!$F$6:$F$100,"")</f>
        <v>11</v>
      </c>
      <c r="V37" s="18">
        <f>_xlfn.XLOOKUP($C37,'PP2 (1)'!$B$6:$B$99,'PP2 (1)'!$F$6:$F$99,"")</f>
        <v>13</v>
      </c>
      <c r="W37" s="20">
        <f>_xlfn.XLOOKUP($C37,'PP2 (2)'!$B$6:$B$100,'PP2 (2)'!$F$6:$F$100,"")</f>
        <v>9</v>
      </c>
      <c r="X37" s="21">
        <f>_xlfn.XLOOKUP($C37,'PP3 (1)'!$B$5:$B$113,'PP3 (1)'!$F$5:$F$113,"")</f>
        <v>18</v>
      </c>
      <c r="Y37" s="22">
        <f>_xlfn.XLOOKUP($C37,'PP3 (2)'!$B$5:$B$112,'PP3 (2)'!$F$5:$F$112,"")</f>
        <v>6</v>
      </c>
      <c r="Z37" s="18">
        <f>_xlfn.XLOOKUP($C37,'PP4 (1)'!$B$6:$B$100,'PP4 (1)'!$F$6:$F$100,"")</f>
        <v>18</v>
      </c>
      <c r="AA37" s="20">
        <f>_xlfn.XLOOKUP($C37,'PP4 (2)'!$B$6:$B$100,'PP4 (2)'!$F$6:$F$100,"")</f>
        <v>14</v>
      </c>
      <c r="AB37" s="21" t="str">
        <f>_xlfn.XLOOKUP($C37,'PP5 (1)'!$B$6:$B$100,'PP5 (1)'!$F$6:$F$100,"")</f>
        <v/>
      </c>
      <c r="AC37" s="23" t="str">
        <f>_xlfn.XLOOKUP($C37,'PP5(2)'!$B$6:$B$100,'PP5(2)'!$F$6:$F$100,"")</f>
        <v/>
      </c>
      <c r="AD37" s="10">
        <f>SUM(AE37:AP37)</f>
        <v>-89</v>
      </c>
      <c r="AE37" s="23" t="str">
        <f>_xlfn.XLOOKUP($C37,'MP (1)'!$B$6:$B$100,'MP (1)'!$H$6:$H$100,"")</f>
        <v/>
      </c>
      <c r="AF37" s="22" t="str">
        <f>_xlfn.XLOOKUP($C37,'MP (2)'!$B$6:$B$100,'MP (2)'!$H$6:$H$100,"")</f>
        <v/>
      </c>
      <c r="AG37" s="21">
        <f>_xlfn.XLOOKUP($C37,'PP1 (1)'!$B$6:$B$66,'PP1 (1)'!$H$6:$H$66,"")</f>
        <v>-15</v>
      </c>
      <c r="AH37" s="22">
        <f>_xlfn.XLOOKUP($C37,'PP1 (2)'!$B$6:$B$100,'PP1 (2)'!$H$6:$H$100,"")</f>
        <v>-16</v>
      </c>
      <c r="AI37" s="18">
        <f>_xlfn.XLOOKUP($C37,'PP2 (1)'!$B$6:$B$99,'PP2 (1)'!$H$6:$H$99,"")</f>
        <v>-9</v>
      </c>
      <c r="AJ37" s="19">
        <f>_xlfn.XLOOKUP($C37,'PP2 (2)'!$B$6:$B$100,'PP2 (2)'!$H$6:$H$100,"")</f>
        <v>-15</v>
      </c>
      <c r="AK37" s="21">
        <f>_xlfn.XLOOKUP($C37,'PP3 (1)'!$B$5:$B$113,'PP3 (1)'!$H$5:$H$113,"")</f>
        <v>0</v>
      </c>
      <c r="AL37" s="22">
        <f>_xlfn.XLOOKUP($C37,'PP3 (2)'!$B$5:$B$112,'PP3 (2)'!$H$5:$H$112,"")</f>
        <v>-24</v>
      </c>
      <c r="AM37" s="18">
        <f>_xlfn.XLOOKUP($C37,'PP4 (1)'!$B$6:$B$100,'PP4 (1)'!$H$6:$H$100,"")</f>
        <v>-2</v>
      </c>
      <c r="AN37" s="19">
        <f>_xlfn.XLOOKUP($C37,'PP4 (2)'!$B$6:$B$100,'PP4 (2)'!$H$6:$H$100,"")</f>
        <v>-8</v>
      </c>
      <c r="AO37" s="21" t="str">
        <f>_xlfn.XLOOKUP($C37,'PP5 (1)'!$B$6:$B$100,'PP5 (1)'!$H$6:$H$100,"")</f>
        <v/>
      </c>
      <c r="AP37" s="29" t="str">
        <f>_xlfn.XLOOKUP($C37,'PP5(2)'!$B$6:$B$100,'PP5(2)'!$H$6:$H$100,"")</f>
        <v/>
      </c>
    </row>
    <row r="38" spans="1:42" ht="13.1" customHeight="1" x14ac:dyDescent="0.25">
      <c r="A38" s="1">
        <f>ROW()-4</f>
        <v>34</v>
      </c>
      <c r="B38" s="1"/>
      <c r="C38" s="3" t="s">
        <v>44</v>
      </c>
      <c r="D38" s="26">
        <f>SUM(E38:P38)</f>
        <v>1.6</v>
      </c>
      <c r="E38" s="23" t="str">
        <f>_xlfn.XLOOKUP($C38,'MP (1)'!$B$6:$B$100,'MP (1)'!$E$6:$E$100,"")</f>
        <v/>
      </c>
      <c r="F38" s="22" t="str">
        <f>_xlfn.XLOOKUP($C38,'MP (2)'!$B$6:$B$100,'MP (2)'!$E$6:$E$100,"")</f>
        <v/>
      </c>
      <c r="G38" s="21" t="str">
        <f>_xlfn.XLOOKUP($C38,'PP1 (1)'!$B$6:$B$66,'PP1 (1)'!$E$6:$E$66,"")</f>
        <v/>
      </c>
      <c r="H38" s="22" t="str">
        <f>_xlfn.XLOOKUP($C38,'PP1 (2)'!$B$6:$B$100,'PP1 (2)'!$E$6:$E$100,"")</f>
        <v/>
      </c>
      <c r="I38" s="18">
        <f>_xlfn.XLOOKUP($C38,'PP2 (1)'!$B$6:$B$99,'PP2 (1)'!$E$6:$E$99,"")</f>
        <v>0.8</v>
      </c>
      <c r="J38" s="20">
        <f>_xlfn.XLOOKUP($C38,'PP2 (2)'!$B$6:$B$100,'PP2 (2)'!$E$6:$E$100,"")</f>
        <v>0.8</v>
      </c>
      <c r="K38" s="21" t="str">
        <f>_xlfn.XLOOKUP($C38,'PP3 (1)'!$B$5:$B$113,'PP3 (1)'!$E$5:$E$113,"")</f>
        <v/>
      </c>
      <c r="L38" s="22" t="str">
        <f>_xlfn.XLOOKUP($C38,'PP3 (2)'!$B$5:$B$112,'PP3 (2)'!$E$5:$E$112,"")</f>
        <v/>
      </c>
      <c r="M38" s="18" t="str">
        <f>_xlfn.XLOOKUP($C38,'PP4 (1)'!$B$6:$B$100,'PP4 (1)'!$E$6:$E$100,"")</f>
        <v/>
      </c>
      <c r="N38" s="20" t="str">
        <f>_xlfn.XLOOKUP($C38,'PP4 (2)'!$B$6:$B$100,'PP4 (2)'!$E$6:$E$100,"")</f>
        <v/>
      </c>
      <c r="O38" s="21" t="str">
        <f>_xlfn.XLOOKUP($C38,'PP5 (1)'!$B$6:$B$100,'PP5 (1)'!$E$6:$E$100,"")</f>
        <v/>
      </c>
      <c r="P38" s="23" t="str">
        <f>_xlfn.XLOOKUP($C38,'PP5(2)'!$B$6:$B$100,'PP5(2)'!$E$6:$E$100,"")</f>
        <v/>
      </c>
      <c r="Q38" s="10">
        <f>SUM(R38:AC38)</f>
        <v>45</v>
      </c>
      <c r="R38" s="23" t="str">
        <f>_xlfn.XLOOKUP($C38,'MP (1)'!$B$6:$B$100,'MP (1)'!$F$6:$F$100,"")</f>
        <v/>
      </c>
      <c r="S38" s="22" t="str">
        <f>_xlfn.XLOOKUP($C38,'MP (2)'!$B$6:$B$100,'MP (2)'!$F$6:$F$100,"")</f>
        <v/>
      </c>
      <c r="T38" s="21" t="str">
        <f>_xlfn.XLOOKUP($C38,'PP1 (1)'!$B$6:$B$66,'PP1 (1)'!$F$6:$F$66,"")</f>
        <v/>
      </c>
      <c r="U38" s="22" t="str">
        <f>_xlfn.XLOOKUP($C38,'PP1 (2)'!$B$6:$B$100,'PP1 (2)'!$F$6:$F$100,"")</f>
        <v/>
      </c>
      <c r="V38" s="18">
        <f>_xlfn.XLOOKUP($C38,'PP2 (1)'!$B$6:$B$99,'PP2 (1)'!$F$6:$F$99,"")</f>
        <v>23</v>
      </c>
      <c r="W38" s="20">
        <f>_xlfn.XLOOKUP($C38,'PP2 (2)'!$B$6:$B$100,'PP2 (2)'!$F$6:$F$100,"")</f>
        <v>22</v>
      </c>
      <c r="X38" s="21" t="str">
        <f>_xlfn.XLOOKUP($C38,'PP3 (1)'!$B$5:$B$113,'PP3 (1)'!$F$5:$F$113,"")</f>
        <v/>
      </c>
      <c r="Y38" s="22" t="str">
        <f>_xlfn.XLOOKUP($C38,'PP3 (2)'!$B$5:$B$112,'PP3 (2)'!$F$5:$F$112,"")</f>
        <v/>
      </c>
      <c r="Z38" s="18" t="str">
        <f>_xlfn.XLOOKUP($C38,'PP4 (1)'!$B$6:$B$100,'PP4 (1)'!$F$6:$F$100,"")</f>
        <v/>
      </c>
      <c r="AA38" s="20" t="str">
        <f>_xlfn.XLOOKUP($C38,'PP4 (2)'!$B$6:$B$100,'PP4 (2)'!$F$6:$F$100,"")</f>
        <v/>
      </c>
      <c r="AB38" s="21" t="str">
        <f>_xlfn.XLOOKUP($C38,'PP5 (1)'!$B$6:$B$100,'PP5 (1)'!$F$6:$F$100,"")</f>
        <v/>
      </c>
      <c r="AC38" s="23" t="str">
        <f>_xlfn.XLOOKUP($C38,'PP5(2)'!$B$6:$B$100,'PP5(2)'!$F$6:$F$100,"")</f>
        <v/>
      </c>
      <c r="AD38" s="10">
        <f>SUM(AE38:AP38)</f>
        <v>22</v>
      </c>
      <c r="AE38" s="23" t="str">
        <f>_xlfn.XLOOKUP($C38,'MP (1)'!$B$6:$B$100,'MP (1)'!$H$6:$H$100,"")</f>
        <v/>
      </c>
      <c r="AF38" s="22" t="str">
        <f>_xlfn.XLOOKUP($C38,'MP (2)'!$B$6:$B$100,'MP (2)'!$H$6:$H$100,"")</f>
        <v/>
      </c>
      <c r="AG38" s="21" t="str">
        <f>_xlfn.XLOOKUP($C38,'PP1 (1)'!$B$6:$B$66,'PP1 (1)'!$H$6:$H$66,"")</f>
        <v/>
      </c>
      <c r="AH38" s="22" t="str">
        <f>_xlfn.XLOOKUP($C38,'PP1 (2)'!$B$6:$B$100,'PP1 (2)'!$H$6:$H$100,"")</f>
        <v/>
      </c>
      <c r="AI38" s="18">
        <f>_xlfn.XLOOKUP($C38,'PP2 (1)'!$B$6:$B$99,'PP2 (1)'!$H$6:$H$99,"")</f>
        <v>12</v>
      </c>
      <c r="AJ38" s="19">
        <f>_xlfn.XLOOKUP($C38,'PP2 (2)'!$B$6:$B$100,'PP2 (2)'!$H$6:$H$100,"")</f>
        <v>10</v>
      </c>
      <c r="AK38" s="21" t="str">
        <f>_xlfn.XLOOKUP($C38,'PP3 (1)'!$B$5:$B$113,'PP3 (1)'!$H$5:$H$113,"")</f>
        <v/>
      </c>
      <c r="AL38" s="22" t="str">
        <f>_xlfn.XLOOKUP($C38,'PP3 (2)'!$B$5:$B$112,'PP3 (2)'!$H$5:$H$112,"")</f>
        <v/>
      </c>
      <c r="AM38" s="18" t="str">
        <f>_xlfn.XLOOKUP($C38,'PP4 (1)'!$B$6:$B$100,'PP4 (1)'!$H$6:$H$100,"")</f>
        <v/>
      </c>
      <c r="AN38" s="19" t="str">
        <f>_xlfn.XLOOKUP($C38,'PP4 (2)'!$B$6:$B$100,'PP4 (2)'!$H$6:$H$100,"")</f>
        <v/>
      </c>
      <c r="AO38" s="21" t="str">
        <f>_xlfn.XLOOKUP($C38,'PP5 (1)'!$B$6:$B$100,'PP5 (1)'!$H$6:$H$100,"")</f>
        <v/>
      </c>
      <c r="AP38" s="29" t="str">
        <f>_xlfn.XLOOKUP($C38,'PP5(2)'!$B$6:$B$100,'PP5(2)'!$H$6:$H$100,"")</f>
        <v/>
      </c>
    </row>
    <row r="39" spans="1:42" ht="13.1" customHeight="1" x14ac:dyDescent="0.25">
      <c r="A39" s="1">
        <f>ROW()-4</f>
        <v>35</v>
      </c>
      <c r="B39" s="1">
        <v>1</v>
      </c>
      <c r="C39" s="3" t="s">
        <v>46</v>
      </c>
      <c r="D39" s="26">
        <f>SUM(E39:P39)</f>
        <v>1.4</v>
      </c>
      <c r="E39" s="23" t="str">
        <f>_xlfn.XLOOKUP($C39,'MP (1)'!$B$6:$B$100,'MP (1)'!$E$6:$E$100,"")</f>
        <v/>
      </c>
      <c r="F39" s="22" t="str">
        <f>_xlfn.XLOOKUP($C39,'MP (2)'!$B$6:$B$100,'MP (2)'!$E$6:$E$100,"")</f>
        <v/>
      </c>
      <c r="G39" s="21">
        <f>_xlfn.XLOOKUP($C39,'PP1 (1)'!$B$6:$B$66,'PP1 (1)'!$E$6:$E$66,"")</f>
        <v>0.8</v>
      </c>
      <c r="H39" s="22">
        <f>_xlfn.XLOOKUP($C39,'PP1 (2)'!$B$6:$B$100,'PP1 (2)'!$E$6:$E$100,"")</f>
        <v>0.6</v>
      </c>
      <c r="I39" s="18" t="str">
        <f>_xlfn.XLOOKUP($C39,'PP2 (1)'!$B$6:$B$99,'PP2 (1)'!$E$6:$E$99,"")</f>
        <v/>
      </c>
      <c r="J39" s="20" t="str">
        <f>_xlfn.XLOOKUP($C39,'PP2 (2)'!$B$6:$B$100,'PP2 (2)'!$E$6:$E$100,"")</f>
        <v/>
      </c>
      <c r="K39" s="21" t="str">
        <f>_xlfn.XLOOKUP($C39,'PP3 (1)'!$B$5:$B$113,'PP3 (1)'!$E$5:$E$113,"")</f>
        <v/>
      </c>
      <c r="L39" s="22" t="str">
        <f>_xlfn.XLOOKUP($C39,'PP3 (2)'!$B$5:$B$112,'PP3 (2)'!$E$5:$E$112,"")</f>
        <v/>
      </c>
      <c r="M39" s="18" t="str">
        <f>_xlfn.XLOOKUP($C39,'PP4 (1)'!$B$6:$B$100,'PP4 (1)'!$E$6:$E$100,"")</f>
        <v/>
      </c>
      <c r="N39" s="20" t="str">
        <f>_xlfn.XLOOKUP($C39,'PP4 (2)'!$B$6:$B$100,'PP4 (2)'!$E$6:$E$100,"")</f>
        <v/>
      </c>
      <c r="O39" s="21" t="str">
        <f>_xlfn.XLOOKUP($C39,'PP5 (1)'!$B$6:$B$100,'PP5 (1)'!$E$6:$E$100,"")</f>
        <v/>
      </c>
      <c r="P39" s="23" t="str">
        <f>_xlfn.XLOOKUP($C39,'PP5(2)'!$B$6:$B$100,'PP5(2)'!$E$6:$E$100,"")</f>
        <v/>
      </c>
      <c r="Q39" s="10">
        <f>SUM(R39:AC39)</f>
        <v>43</v>
      </c>
      <c r="R39" s="23" t="str">
        <f>_xlfn.XLOOKUP($C39,'MP (1)'!$B$6:$B$100,'MP (1)'!$F$6:$F$100,"")</f>
        <v/>
      </c>
      <c r="S39" s="22" t="str">
        <f>_xlfn.XLOOKUP($C39,'MP (2)'!$B$6:$B$100,'MP (2)'!$F$6:$F$100,"")</f>
        <v/>
      </c>
      <c r="T39" s="21">
        <f>_xlfn.XLOOKUP($C39,'PP1 (1)'!$B$6:$B$66,'PP1 (1)'!$F$6:$F$66,"")</f>
        <v>23</v>
      </c>
      <c r="U39" s="22">
        <f>_xlfn.XLOOKUP($C39,'PP1 (2)'!$B$6:$B$100,'PP1 (2)'!$F$6:$F$100,"")</f>
        <v>20</v>
      </c>
      <c r="V39" s="18" t="str">
        <f>_xlfn.XLOOKUP($C39,'PP2 (1)'!$B$6:$B$99,'PP2 (1)'!$F$6:$F$99,"")</f>
        <v/>
      </c>
      <c r="W39" s="20" t="str">
        <f>_xlfn.XLOOKUP($C39,'PP2 (2)'!$B$6:$B$100,'PP2 (2)'!$F$6:$F$100,"")</f>
        <v/>
      </c>
      <c r="X39" s="21" t="str">
        <f>_xlfn.XLOOKUP($C39,'PP3 (1)'!$B$5:$B$113,'PP3 (1)'!$F$5:$F$113,"")</f>
        <v/>
      </c>
      <c r="Y39" s="22" t="str">
        <f>_xlfn.XLOOKUP($C39,'PP3 (2)'!$B$5:$B$112,'PP3 (2)'!$F$5:$F$112,"")</f>
        <v/>
      </c>
      <c r="Z39" s="18" t="str">
        <f>_xlfn.XLOOKUP($C39,'PP4 (1)'!$B$6:$B$100,'PP4 (1)'!$F$6:$F$100,"")</f>
        <v/>
      </c>
      <c r="AA39" s="20" t="str">
        <f>_xlfn.XLOOKUP($C39,'PP4 (2)'!$B$6:$B$100,'PP4 (2)'!$F$6:$F$100,"")</f>
        <v/>
      </c>
      <c r="AB39" s="21" t="str">
        <f>_xlfn.XLOOKUP($C39,'PP5 (1)'!$B$6:$B$100,'PP5 (1)'!$F$6:$F$100,"")</f>
        <v/>
      </c>
      <c r="AC39" s="23" t="str">
        <f>_xlfn.XLOOKUP($C39,'PP5(2)'!$B$6:$B$100,'PP5(2)'!$F$6:$F$100,"")</f>
        <v/>
      </c>
      <c r="AD39" s="10">
        <f>SUM(AE39:AP39)</f>
        <v>15</v>
      </c>
      <c r="AE39" s="23" t="str">
        <f>_xlfn.XLOOKUP($C39,'MP (1)'!$B$6:$B$100,'MP (1)'!$H$6:$H$100,"")</f>
        <v/>
      </c>
      <c r="AF39" s="22" t="str">
        <f>_xlfn.XLOOKUP($C39,'MP (2)'!$B$6:$B$100,'MP (2)'!$H$6:$H$100,"")</f>
        <v/>
      </c>
      <c r="AG39" s="21">
        <f>_xlfn.XLOOKUP($C39,'PP1 (1)'!$B$6:$B$66,'PP1 (1)'!$H$6:$H$66,"")</f>
        <v>10</v>
      </c>
      <c r="AH39" s="22">
        <f>_xlfn.XLOOKUP($C39,'PP1 (2)'!$B$6:$B$100,'PP1 (2)'!$H$6:$H$100,"")</f>
        <v>5</v>
      </c>
      <c r="AI39" s="18" t="str">
        <f>_xlfn.XLOOKUP($C39,'PP2 (1)'!$B$6:$B$99,'PP2 (1)'!$H$6:$H$99,"")</f>
        <v/>
      </c>
      <c r="AJ39" s="19" t="str">
        <f>_xlfn.XLOOKUP($C39,'PP2 (2)'!$B$6:$B$100,'PP2 (2)'!$H$6:$H$100,"")</f>
        <v/>
      </c>
      <c r="AK39" s="21" t="str">
        <f>_xlfn.XLOOKUP($C39,'PP3 (1)'!$B$5:$B$113,'PP3 (1)'!$H$5:$H$113,"")</f>
        <v/>
      </c>
      <c r="AL39" s="22" t="str">
        <f>_xlfn.XLOOKUP($C39,'PP3 (2)'!$B$5:$B$112,'PP3 (2)'!$H$5:$H$112,"")</f>
        <v/>
      </c>
      <c r="AM39" s="18" t="str">
        <f>_xlfn.XLOOKUP($C39,'PP4 (1)'!$B$6:$B$100,'PP4 (1)'!$H$6:$H$100,"")</f>
        <v/>
      </c>
      <c r="AN39" s="19" t="str">
        <f>_xlfn.XLOOKUP($C39,'PP4 (2)'!$B$6:$B$100,'PP4 (2)'!$H$6:$H$100,"")</f>
        <v/>
      </c>
      <c r="AO39" s="21" t="str">
        <f>_xlfn.XLOOKUP($C39,'PP5 (1)'!$B$6:$B$100,'PP5 (1)'!$H$6:$H$100,"")</f>
        <v/>
      </c>
      <c r="AP39" s="29" t="str">
        <f>_xlfn.XLOOKUP($C39,'PP5(2)'!$B$6:$B$100,'PP5(2)'!$H$6:$H$100,"")</f>
        <v/>
      </c>
    </row>
    <row r="40" spans="1:42" ht="13.1" customHeight="1" x14ac:dyDescent="0.25">
      <c r="A40" s="1">
        <f>ROW()-4</f>
        <v>36</v>
      </c>
      <c r="B40" s="1">
        <v>1</v>
      </c>
      <c r="C40" s="3" t="s">
        <v>79</v>
      </c>
      <c r="D40" s="26">
        <f>SUM(E40:P40)</f>
        <v>1.3</v>
      </c>
      <c r="E40" s="23">
        <f>_xlfn.XLOOKUP($C40,'MP (1)'!$B$6:$B$100,'MP (1)'!$E$6:$E$100,"")</f>
        <v>0.5</v>
      </c>
      <c r="F40" s="22">
        <f>_xlfn.XLOOKUP($C40,'MP (2)'!$B$6:$B$100,'MP (2)'!$E$6:$E$100,"")</f>
        <v>0.8</v>
      </c>
      <c r="G40" s="21" t="str">
        <f>_xlfn.XLOOKUP($C40,'PP1 (1)'!$B$6:$B$66,'PP1 (1)'!$E$6:$E$66,"")</f>
        <v/>
      </c>
      <c r="H40" s="22" t="str">
        <f>_xlfn.XLOOKUP($C40,'PP1 (2)'!$B$6:$B$100,'PP1 (2)'!$E$6:$E$100,"")</f>
        <v/>
      </c>
      <c r="I40" s="18" t="str">
        <f>_xlfn.XLOOKUP($C40,'PP2 (1)'!$B$6:$B$99,'PP2 (1)'!$E$6:$E$99,"")</f>
        <v/>
      </c>
      <c r="J40" s="20" t="str">
        <f>_xlfn.XLOOKUP($C40,'PP2 (2)'!$B$6:$B$100,'PP2 (2)'!$E$6:$E$100,"")</f>
        <v/>
      </c>
      <c r="K40" s="21" t="str">
        <f>_xlfn.XLOOKUP($C40,'PP3 (1)'!$B$5:$B$113,'PP3 (1)'!$E$5:$E$113,"")</f>
        <v/>
      </c>
      <c r="L40" s="22" t="str">
        <f>_xlfn.XLOOKUP($C40,'PP3 (2)'!$B$5:$B$112,'PP3 (2)'!$E$5:$E$112,"")</f>
        <v/>
      </c>
      <c r="M40" s="18" t="str">
        <f>_xlfn.XLOOKUP($C40,'PP4 (1)'!$B$6:$B$100,'PP4 (1)'!$E$6:$E$100,"")</f>
        <v/>
      </c>
      <c r="N40" s="20" t="str">
        <f>_xlfn.XLOOKUP($C40,'PP4 (2)'!$B$6:$B$100,'PP4 (2)'!$E$6:$E$100,"")</f>
        <v/>
      </c>
      <c r="O40" s="21" t="str">
        <f>_xlfn.XLOOKUP($C40,'PP5 (1)'!$B$6:$B$100,'PP5 (1)'!$E$6:$E$100,"")</f>
        <v/>
      </c>
      <c r="P40" s="23" t="str">
        <f>_xlfn.XLOOKUP($C40,'PP5(2)'!$B$6:$B$100,'PP5(2)'!$E$6:$E$100,"")</f>
        <v/>
      </c>
      <c r="Q40" s="10">
        <f>SUM(R40:AC40)</f>
        <v>46</v>
      </c>
      <c r="R40" s="23">
        <f>_xlfn.XLOOKUP($C40,'MP (1)'!$B$6:$B$100,'MP (1)'!$F$6:$F$100,"")</f>
        <v>24</v>
      </c>
      <c r="S40" s="22">
        <f>_xlfn.XLOOKUP($C40,'MP (2)'!$B$6:$B$100,'MP (2)'!$F$6:$F$100,"")</f>
        <v>22</v>
      </c>
      <c r="T40" s="21" t="str">
        <f>_xlfn.XLOOKUP($C40,'PP1 (1)'!$B$6:$B$66,'PP1 (1)'!$F$6:$F$66,"")</f>
        <v/>
      </c>
      <c r="U40" s="22" t="str">
        <f>_xlfn.XLOOKUP($C40,'PP1 (2)'!$B$6:$B$100,'PP1 (2)'!$F$6:$F$100,"")</f>
        <v/>
      </c>
      <c r="V40" s="18" t="str">
        <f>_xlfn.XLOOKUP($C40,'PP2 (1)'!$B$6:$B$99,'PP2 (1)'!$F$6:$F$99,"")</f>
        <v/>
      </c>
      <c r="W40" s="20" t="str">
        <f>_xlfn.XLOOKUP($C40,'PP2 (2)'!$B$6:$B$100,'PP2 (2)'!$F$6:$F$100,"")</f>
        <v/>
      </c>
      <c r="X40" s="21" t="str">
        <f>_xlfn.XLOOKUP($C40,'PP3 (1)'!$B$5:$B$113,'PP3 (1)'!$F$5:$F$113,"")</f>
        <v/>
      </c>
      <c r="Y40" s="22" t="str">
        <f>_xlfn.XLOOKUP($C40,'PP3 (2)'!$B$5:$B$112,'PP3 (2)'!$F$5:$F$112,"")</f>
        <v/>
      </c>
      <c r="Z40" s="18" t="str">
        <f>_xlfn.XLOOKUP($C40,'PP4 (1)'!$B$6:$B$100,'PP4 (1)'!$F$6:$F$100,"")</f>
        <v/>
      </c>
      <c r="AA40" s="20" t="str">
        <f>_xlfn.XLOOKUP($C40,'PP4 (2)'!$B$6:$B$100,'PP4 (2)'!$F$6:$F$100,"")</f>
        <v/>
      </c>
      <c r="AB40" s="21" t="str">
        <f>_xlfn.XLOOKUP($C40,'PP5 (1)'!$B$6:$B$100,'PP5 (1)'!$F$6:$F$100,"")</f>
        <v/>
      </c>
      <c r="AC40" s="23" t="str">
        <f>_xlfn.XLOOKUP($C40,'PP5(2)'!$B$6:$B$100,'PP5(2)'!$F$6:$F$100,"")</f>
        <v/>
      </c>
      <c r="AD40" s="10">
        <f>SUM(AE40:AP40)</f>
        <v>13</v>
      </c>
      <c r="AE40" s="23">
        <f>_xlfn.XLOOKUP($C40,'MP (1)'!$B$6:$B$100,'MP (1)'!$H$6:$H$100,"")</f>
        <v>2</v>
      </c>
      <c r="AF40" s="22">
        <f>_xlfn.XLOOKUP($C40,'MP (2)'!$B$6:$B$100,'MP (2)'!$H$6:$H$100,"")</f>
        <v>11</v>
      </c>
      <c r="AG40" s="21" t="str">
        <f>_xlfn.XLOOKUP($C40,'PP1 (1)'!$B$6:$B$66,'PP1 (1)'!$H$6:$H$66,"")</f>
        <v/>
      </c>
      <c r="AH40" s="22" t="str">
        <f>_xlfn.XLOOKUP($C40,'PP1 (2)'!$B$6:$B$100,'PP1 (2)'!$H$6:$H$100,"")</f>
        <v/>
      </c>
      <c r="AI40" s="18" t="str">
        <f>_xlfn.XLOOKUP($C40,'PP2 (1)'!$B$6:$B$99,'PP2 (1)'!$H$6:$H$99,"")</f>
        <v/>
      </c>
      <c r="AJ40" s="19" t="str">
        <f>_xlfn.XLOOKUP($C40,'PP2 (2)'!$B$6:$B$100,'PP2 (2)'!$H$6:$H$100,"")</f>
        <v/>
      </c>
      <c r="AK40" s="21" t="str">
        <f>_xlfn.XLOOKUP($C40,'PP3 (1)'!$B$5:$B$113,'PP3 (1)'!$H$5:$H$113,"")</f>
        <v/>
      </c>
      <c r="AL40" s="22" t="str">
        <f>_xlfn.XLOOKUP($C40,'PP3 (2)'!$B$5:$B$112,'PP3 (2)'!$H$5:$H$112,"")</f>
        <v/>
      </c>
      <c r="AM40" s="18" t="str">
        <f>_xlfn.XLOOKUP($C40,'PP4 (1)'!$B$6:$B$100,'PP4 (1)'!$H$6:$H$100,"")</f>
        <v/>
      </c>
      <c r="AN40" s="19" t="str">
        <f>_xlfn.XLOOKUP($C40,'PP4 (2)'!$B$6:$B$100,'PP4 (2)'!$H$6:$H$100,"")</f>
        <v/>
      </c>
      <c r="AO40" s="21" t="str">
        <f>_xlfn.XLOOKUP($C40,'PP5 (1)'!$B$6:$B$100,'PP5 (1)'!$H$6:$H$100,"")</f>
        <v/>
      </c>
      <c r="AP40" s="29" t="str">
        <f>_xlfn.XLOOKUP($C40,'PP5(2)'!$B$6:$B$100,'PP5(2)'!$H$6:$H$100,"")</f>
        <v/>
      </c>
    </row>
    <row r="41" spans="1:42" ht="13.1" customHeight="1" x14ac:dyDescent="0.25">
      <c r="A41" s="1">
        <f>ROW()-4</f>
        <v>37</v>
      </c>
      <c r="B41" s="1">
        <v>0</v>
      </c>
      <c r="C41" s="3" t="s">
        <v>165</v>
      </c>
      <c r="D41" s="26">
        <f>SUM(E41:P41)</f>
        <v>1.2</v>
      </c>
      <c r="E41" s="23" t="str">
        <f>_xlfn.XLOOKUP($C41,'MP (1)'!$B$6:$B$100,'MP (1)'!$E$6:$E$100,"")</f>
        <v/>
      </c>
      <c r="F41" s="22" t="str">
        <f>_xlfn.XLOOKUP($C41,'MP (2)'!$B$6:$B$100,'MP (2)'!$E$6:$E$100,"")</f>
        <v/>
      </c>
      <c r="G41" s="21" t="str">
        <f>_xlfn.XLOOKUP($C41,'PP1 (1)'!$B$6:$B$66,'PP1 (1)'!$E$6:$E$66,"")</f>
        <v/>
      </c>
      <c r="H41" s="22" t="str">
        <f>_xlfn.XLOOKUP($C41,'PP1 (2)'!$B$6:$B$100,'PP1 (2)'!$E$6:$E$100,"")</f>
        <v/>
      </c>
      <c r="I41" s="18" t="str">
        <f>_xlfn.XLOOKUP($C41,'PP2 (1)'!$B$6:$B$99,'PP2 (1)'!$E$6:$E$99,"")</f>
        <v/>
      </c>
      <c r="J41" s="20" t="str">
        <f>_xlfn.XLOOKUP($C41,'PP2 (2)'!$B$6:$B$100,'PP2 (2)'!$E$6:$E$100,"")</f>
        <v/>
      </c>
      <c r="K41" s="21" t="str">
        <f>_xlfn.XLOOKUP($C41,'PP3 (1)'!$B$5:$B$113,'PP3 (1)'!$E$5:$E$113,"")</f>
        <v/>
      </c>
      <c r="L41" s="22" t="str">
        <f>_xlfn.XLOOKUP($C41,'PP3 (2)'!$B$5:$B$112,'PP3 (2)'!$E$5:$E$112,"")</f>
        <v/>
      </c>
      <c r="M41" s="18">
        <f>_xlfn.XLOOKUP($C41,'PP4 (1)'!$B$6:$B$100,'PP4 (1)'!$E$6:$E$100,"")</f>
        <v>0.6</v>
      </c>
      <c r="N41" s="20">
        <f>_xlfn.XLOOKUP($C41,'PP4 (2)'!$B$6:$B$100,'PP4 (2)'!$E$6:$E$100,"")</f>
        <v>0.6</v>
      </c>
      <c r="O41" s="21" t="str">
        <f>_xlfn.XLOOKUP($C41,'PP5 (1)'!$B$6:$B$100,'PP5 (1)'!$E$6:$E$100,"")</f>
        <v/>
      </c>
      <c r="P41" s="23" t="str">
        <f>_xlfn.XLOOKUP($C41,'PP5(2)'!$B$6:$B$100,'PP5(2)'!$E$6:$E$100,"")</f>
        <v/>
      </c>
      <c r="Q41" s="10">
        <f>SUM(R41:AC41)</f>
        <v>40</v>
      </c>
      <c r="R41" s="23" t="str">
        <f>_xlfn.XLOOKUP($C41,'MP (1)'!$B$6:$B$100,'MP (1)'!$F$6:$F$100,"")</f>
        <v/>
      </c>
      <c r="S41" s="22" t="str">
        <f>_xlfn.XLOOKUP($C41,'MP (2)'!$B$6:$B$100,'MP (2)'!$F$6:$F$100,"")</f>
        <v/>
      </c>
      <c r="T41" s="21" t="str">
        <f>_xlfn.XLOOKUP($C41,'PP1 (1)'!$B$6:$B$66,'PP1 (1)'!$F$6:$F$66,"")</f>
        <v/>
      </c>
      <c r="U41" s="22" t="str">
        <f>_xlfn.XLOOKUP($C41,'PP1 (2)'!$B$6:$B$100,'PP1 (2)'!$F$6:$F$100,"")</f>
        <v/>
      </c>
      <c r="V41" s="18" t="str">
        <f>_xlfn.XLOOKUP($C41,'PP2 (1)'!$B$6:$B$99,'PP2 (1)'!$F$6:$F$99,"")</f>
        <v/>
      </c>
      <c r="W41" s="20" t="str">
        <f>_xlfn.XLOOKUP($C41,'PP2 (2)'!$B$6:$B$100,'PP2 (2)'!$F$6:$F$100,"")</f>
        <v/>
      </c>
      <c r="X41" s="21" t="str">
        <f>_xlfn.XLOOKUP($C41,'PP3 (1)'!$B$5:$B$113,'PP3 (1)'!$F$5:$F$113,"")</f>
        <v/>
      </c>
      <c r="Y41" s="22" t="str">
        <f>_xlfn.XLOOKUP($C41,'PP3 (2)'!$B$5:$B$112,'PP3 (2)'!$F$5:$F$112,"")</f>
        <v/>
      </c>
      <c r="Z41" s="18">
        <f>_xlfn.XLOOKUP($C41,'PP4 (1)'!$B$6:$B$100,'PP4 (1)'!$F$6:$F$100,"")</f>
        <v>21</v>
      </c>
      <c r="AA41" s="20">
        <f>_xlfn.XLOOKUP($C41,'PP4 (2)'!$B$6:$B$100,'PP4 (2)'!$F$6:$F$100,"")</f>
        <v>19</v>
      </c>
      <c r="AB41" s="21" t="str">
        <f>_xlfn.XLOOKUP($C41,'PP5 (1)'!$B$6:$B$100,'PP5 (1)'!$F$6:$F$100,"")</f>
        <v/>
      </c>
      <c r="AC41" s="23" t="str">
        <f>_xlfn.XLOOKUP($C41,'PP5(2)'!$B$6:$B$100,'PP5(2)'!$F$6:$F$100,"")</f>
        <v/>
      </c>
      <c r="AD41" s="10">
        <f>SUM(AE41:AP41)</f>
        <v>6</v>
      </c>
      <c r="AE41" s="23" t="str">
        <f>_xlfn.XLOOKUP($C41,'MP (1)'!$B$6:$B$100,'MP (1)'!$H$6:$H$100,"")</f>
        <v/>
      </c>
      <c r="AF41" s="22" t="str">
        <f>_xlfn.XLOOKUP($C41,'MP (2)'!$B$6:$B$100,'MP (2)'!$H$6:$H$100,"")</f>
        <v/>
      </c>
      <c r="AG41" s="21" t="str">
        <f>_xlfn.XLOOKUP($C41,'PP1 (1)'!$B$6:$B$66,'PP1 (1)'!$H$6:$H$66,"")</f>
        <v/>
      </c>
      <c r="AH41" s="22" t="str">
        <f>_xlfn.XLOOKUP($C41,'PP1 (2)'!$B$6:$B$100,'PP1 (2)'!$H$6:$H$100,"")</f>
        <v/>
      </c>
      <c r="AI41" s="18" t="str">
        <f>_xlfn.XLOOKUP($C41,'PP2 (1)'!$B$6:$B$99,'PP2 (1)'!$H$6:$H$99,"")</f>
        <v/>
      </c>
      <c r="AJ41" s="19" t="str">
        <f>_xlfn.XLOOKUP($C41,'PP2 (2)'!$B$6:$B$100,'PP2 (2)'!$H$6:$H$100,"")</f>
        <v/>
      </c>
      <c r="AK41" s="21" t="str">
        <f>_xlfn.XLOOKUP($C41,'PP3 (1)'!$B$5:$B$113,'PP3 (1)'!$H$5:$H$113,"")</f>
        <v/>
      </c>
      <c r="AL41" s="22" t="str">
        <f>_xlfn.XLOOKUP($C41,'PP3 (2)'!$B$5:$B$112,'PP3 (2)'!$H$5:$H$112,"")</f>
        <v/>
      </c>
      <c r="AM41" s="18">
        <f>_xlfn.XLOOKUP($C41,'PP4 (1)'!$B$6:$B$100,'PP4 (1)'!$H$6:$H$100,"")</f>
        <v>4</v>
      </c>
      <c r="AN41" s="19">
        <f>_xlfn.XLOOKUP($C41,'PP4 (2)'!$B$6:$B$100,'PP4 (2)'!$H$6:$H$100,"")</f>
        <v>2</v>
      </c>
      <c r="AO41" s="21" t="str">
        <f>_xlfn.XLOOKUP($C41,'PP5 (1)'!$B$6:$B$100,'PP5 (1)'!$H$6:$H$100,"")</f>
        <v/>
      </c>
      <c r="AP41" s="29" t="str">
        <f>_xlfn.XLOOKUP($C41,'PP5(2)'!$B$6:$B$100,'PP5(2)'!$H$6:$H$100,"")</f>
        <v/>
      </c>
    </row>
    <row r="42" spans="1:42" ht="13.1" customHeight="1" x14ac:dyDescent="0.25">
      <c r="A42" s="1">
        <f>ROW()-4</f>
        <v>38</v>
      </c>
      <c r="B42" s="1">
        <v>2</v>
      </c>
      <c r="C42" s="3" t="s">
        <v>59</v>
      </c>
      <c r="D42" s="26">
        <f>SUM(E42:P42)</f>
        <v>1.1800000000000002</v>
      </c>
      <c r="E42" s="23">
        <f>_xlfn.XLOOKUP($C42,'MP (1)'!$B$6:$B$100,'MP (1)'!$E$6:$E$100,"")</f>
        <v>0.33</v>
      </c>
      <c r="F42" s="22">
        <f>_xlfn.XLOOKUP($C42,'MP (2)'!$B$6:$B$100,'MP (2)'!$E$6:$E$100,"")</f>
        <v>0.2</v>
      </c>
      <c r="G42" s="21">
        <f>_xlfn.XLOOKUP($C42,'PP1 (1)'!$B$6:$B$66,'PP1 (1)'!$E$6:$E$66,"")</f>
        <v>0.4</v>
      </c>
      <c r="H42" s="22">
        <f>_xlfn.XLOOKUP($C42,'PP1 (2)'!$B$6:$B$100,'PP1 (2)'!$E$6:$E$100,"")</f>
        <v>0.25</v>
      </c>
      <c r="I42" s="18" t="str">
        <f>_xlfn.XLOOKUP($C42,'PP2 (1)'!$B$6:$B$99,'PP2 (1)'!$E$6:$E$99,"")</f>
        <v/>
      </c>
      <c r="J42" s="20" t="str">
        <f>_xlfn.XLOOKUP($C42,'PP2 (2)'!$B$6:$B$100,'PP2 (2)'!$E$6:$E$100,"")</f>
        <v/>
      </c>
      <c r="K42" s="21" t="str">
        <f>_xlfn.XLOOKUP($C42,'PP3 (1)'!$B$5:$B$113,'PP3 (1)'!$E$5:$E$113,"")</f>
        <v/>
      </c>
      <c r="L42" s="22" t="str">
        <f>_xlfn.XLOOKUP($C42,'PP3 (2)'!$B$5:$B$112,'PP3 (2)'!$E$5:$E$112,"")</f>
        <v/>
      </c>
      <c r="M42" s="18" t="str">
        <f>_xlfn.XLOOKUP($C42,'PP4 (1)'!$B$6:$B$100,'PP4 (1)'!$E$6:$E$100,"")</f>
        <v/>
      </c>
      <c r="N42" s="20" t="str">
        <f>_xlfn.XLOOKUP($C42,'PP4 (2)'!$B$6:$B$100,'PP4 (2)'!$E$6:$E$100,"")</f>
        <v/>
      </c>
      <c r="O42" s="21" t="str">
        <f>_xlfn.XLOOKUP($C42,'PP5 (1)'!$B$6:$B$100,'PP5 (1)'!$E$6:$E$100,"")</f>
        <v/>
      </c>
      <c r="P42" s="23" t="str">
        <f>_xlfn.XLOOKUP($C42,'PP5(2)'!$B$6:$B$100,'PP5(2)'!$E$6:$E$100,"")</f>
        <v/>
      </c>
      <c r="Q42" s="10">
        <f>SUM(R42:AC42)</f>
        <v>58</v>
      </c>
      <c r="R42" s="23">
        <f>_xlfn.XLOOKUP($C42,'MP (1)'!$B$6:$B$100,'MP (1)'!$F$6:$F$100,"")</f>
        <v>23</v>
      </c>
      <c r="S42" s="22">
        <f>_xlfn.XLOOKUP($C42,'MP (2)'!$B$6:$B$100,'MP (2)'!$F$6:$F$100,"")</f>
        <v>14</v>
      </c>
      <c r="T42" s="21">
        <f>_xlfn.XLOOKUP($C42,'PP1 (1)'!$B$6:$B$66,'PP1 (1)'!$F$6:$F$66,"")</f>
        <v>15</v>
      </c>
      <c r="U42" s="22">
        <f>_xlfn.XLOOKUP($C42,'PP1 (2)'!$B$6:$B$100,'PP1 (2)'!$F$6:$F$100,"")</f>
        <v>6</v>
      </c>
      <c r="V42" s="18" t="str">
        <f>_xlfn.XLOOKUP($C42,'PP2 (1)'!$B$6:$B$99,'PP2 (1)'!$F$6:$F$99,"")</f>
        <v/>
      </c>
      <c r="W42" s="20" t="str">
        <f>_xlfn.XLOOKUP($C42,'PP2 (2)'!$B$6:$B$100,'PP2 (2)'!$F$6:$F$100,"")</f>
        <v/>
      </c>
      <c r="X42" s="21" t="str">
        <f>_xlfn.XLOOKUP($C42,'PP3 (1)'!$B$5:$B$113,'PP3 (1)'!$F$5:$F$113,"")</f>
        <v/>
      </c>
      <c r="Y42" s="22" t="str">
        <f>_xlfn.XLOOKUP($C42,'PP3 (2)'!$B$5:$B$112,'PP3 (2)'!$F$5:$F$112,"")</f>
        <v/>
      </c>
      <c r="Z42" s="18" t="str">
        <f>_xlfn.XLOOKUP($C42,'PP4 (1)'!$B$6:$B$100,'PP4 (1)'!$F$6:$F$100,"")</f>
        <v/>
      </c>
      <c r="AA42" s="20" t="str">
        <f>_xlfn.XLOOKUP($C42,'PP4 (2)'!$B$6:$B$100,'PP4 (2)'!$F$6:$F$100,"")</f>
        <v/>
      </c>
      <c r="AB42" s="21" t="str">
        <f>_xlfn.XLOOKUP($C42,'PP5 (1)'!$B$6:$B$100,'PP5 (1)'!$F$6:$F$100,"")</f>
        <v/>
      </c>
      <c r="AC42" s="23" t="str">
        <f>_xlfn.XLOOKUP($C42,'PP5(2)'!$B$6:$B$100,'PP5(2)'!$F$6:$F$100,"")</f>
        <v/>
      </c>
      <c r="AD42" s="10">
        <f>SUM(AE42:AP42)</f>
        <v>-24</v>
      </c>
      <c r="AE42" s="23">
        <f>_xlfn.XLOOKUP($C42,'MP (1)'!$B$6:$B$100,'MP (1)'!$H$6:$H$100,"")</f>
        <v>-1</v>
      </c>
      <c r="AF42" s="22">
        <f>_xlfn.XLOOKUP($C42,'MP (2)'!$B$6:$B$100,'MP (2)'!$H$6:$H$100,"")</f>
        <v>-7</v>
      </c>
      <c r="AG42" s="21">
        <f>_xlfn.XLOOKUP($C42,'PP1 (1)'!$B$6:$B$66,'PP1 (1)'!$H$6:$H$66,"")</f>
        <v>-3</v>
      </c>
      <c r="AH42" s="22">
        <f>_xlfn.XLOOKUP($C42,'PP1 (2)'!$B$6:$B$100,'PP1 (2)'!$H$6:$H$100,"")</f>
        <v>-13</v>
      </c>
      <c r="AI42" s="18" t="str">
        <f>_xlfn.XLOOKUP($C42,'PP2 (1)'!$B$6:$B$99,'PP2 (1)'!$H$6:$H$99,"")</f>
        <v/>
      </c>
      <c r="AJ42" s="19" t="str">
        <f>_xlfn.XLOOKUP($C42,'PP2 (2)'!$B$6:$B$100,'PP2 (2)'!$H$6:$H$100,"")</f>
        <v/>
      </c>
      <c r="AK42" s="21" t="str">
        <f>_xlfn.XLOOKUP($C42,'PP3 (1)'!$B$5:$B$113,'PP3 (1)'!$H$5:$H$113,"")</f>
        <v/>
      </c>
      <c r="AL42" s="22" t="str">
        <f>_xlfn.XLOOKUP($C42,'PP3 (2)'!$B$5:$B$112,'PP3 (2)'!$H$5:$H$112,"")</f>
        <v/>
      </c>
      <c r="AM42" s="18" t="str">
        <f>_xlfn.XLOOKUP($C42,'PP4 (1)'!$B$6:$B$100,'PP4 (1)'!$H$6:$H$100,"")</f>
        <v/>
      </c>
      <c r="AN42" s="19" t="str">
        <f>_xlfn.XLOOKUP($C42,'PP4 (2)'!$B$6:$B$100,'PP4 (2)'!$H$6:$H$100,"")</f>
        <v/>
      </c>
      <c r="AO42" s="21" t="str">
        <f>_xlfn.XLOOKUP($C42,'PP5 (1)'!$B$6:$B$100,'PP5 (1)'!$H$6:$H$100,"")</f>
        <v/>
      </c>
      <c r="AP42" s="29" t="str">
        <f>_xlfn.XLOOKUP($C42,'PP5(2)'!$B$6:$B$100,'PP5(2)'!$H$6:$H$100,"")</f>
        <v/>
      </c>
    </row>
    <row r="43" spans="1:42" ht="13.1" customHeight="1" x14ac:dyDescent="0.25">
      <c r="A43" s="1">
        <f>ROW()-4</f>
        <v>39</v>
      </c>
      <c r="B43" s="1">
        <v>3</v>
      </c>
      <c r="C43" s="3" t="s">
        <v>76</v>
      </c>
      <c r="D43" s="26">
        <f>SUM(E43:P43)</f>
        <v>1.1000000000000001</v>
      </c>
      <c r="E43" s="23">
        <f>_xlfn.XLOOKUP($C43,'MP (1)'!$B$6:$B$100,'MP (1)'!$E$6:$E$100,"")</f>
        <v>0.5</v>
      </c>
      <c r="F43" s="22">
        <f>_xlfn.XLOOKUP($C43,'MP (2)'!$B$6:$B$100,'MP (2)'!$E$6:$E$100,"")</f>
        <v>0.6</v>
      </c>
      <c r="G43" s="21" t="str">
        <f>_xlfn.XLOOKUP($C43,'PP1 (1)'!$B$6:$B$66,'PP1 (1)'!$E$6:$E$66,"")</f>
        <v/>
      </c>
      <c r="H43" s="22" t="str">
        <f>_xlfn.XLOOKUP($C43,'PP1 (2)'!$B$6:$B$100,'PP1 (2)'!$E$6:$E$100,"")</f>
        <v/>
      </c>
      <c r="I43" s="18" t="str">
        <f>_xlfn.XLOOKUP($C43,'PP2 (1)'!$B$6:$B$99,'PP2 (1)'!$E$6:$E$99,"")</f>
        <v/>
      </c>
      <c r="J43" s="20" t="str">
        <f>_xlfn.XLOOKUP($C43,'PP2 (2)'!$B$6:$B$100,'PP2 (2)'!$E$6:$E$100,"")</f>
        <v/>
      </c>
      <c r="K43" s="21" t="str">
        <f>_xlfn.XLOOKUP($C43,'PP3 (1)'!$B$5:$B$113,'PP3 (1)'!$E$5:$E$113,"")</f>
        <v/>
      </c>
      <c r="L43" s="22" t="str">
        <f>_xlfn.XLOOKUP($C43,'PP3 (2)'!$B$5:$B$112,'PP3 (2)'!$E$5:$E$112,"")</f>
        <v/>
      </c>
      <c r="M43" s="18" t="str">
        <f>_xlfn.XLOOKUP($C43,'PP4 (1)'!$B$6:$B$100,'PP4 (1)'!$E$6:$E$100,"")</f>
        <v/>
      </c>
      <c r="N43" s="20" t="str">
        <f>_xlfn.XLOOKUP($C43,'PP4 (2)'!$B$6:$B$100,'PP4 (2)'!$E$6:$E$100,"")</f>
        <v/>
      </c>
      <c r="O43" s="21" t="str">
        <f>_xlfn.XLOOKUP($C43,'PP5 (1)'!$B$6:$B$100,'PP5 (1)'!$E$6:$E$100,"")</f>
        <v/>
      </c>
      <c r="P43" s="23" t="str">
        <f>_xlfn.XLOOKUP($C43,'PP5(2)'!$B$6:$B$100,'PP5(2)'!$E$6:$E$100,"")</f>
        <v/>
      </c>
      <c r="Q43" s="10">
        <f>SUM(R43:AC43)</f>
        <v>32</v>
      </c>
      <c r="R43" s="23">
        <f>_xlfn.XLOOKUP($C43,'MP (1)'!$B$6:$B$100,'MP (1)'!$F$6:$F$100,"")</f>
        <v>15</v>
      </c>
      <c r="S43" s="22">
        <f>_xlfn.XLOOKUP($C43,'MP (2)'!$B$6:$B$100,'MP (2)'!$F$6:$F$100,"")</f>
        <v>17</v>
      </c>
      <c r="T43" s="21" t="str">
        <f>_xlfn.XLOOKUP($C43,'PP1 (1)'!$B$6:$B$66,'PP1 (1)'!$F$6:$F$66,"")</f>
        <v/>
      </c>
      <c r="U43" s="22" t="str">
        <f>_xlfn.XLOOKUP($C43,'PP1 (2)'!$B$6:$B$100,'PP1 (2)'!$F$6:$F$100,"")</f>
        <v/>
      </c>
      <c r="V43" s="18" t="str">
        <f>_xlfn.XLOOKUP($C43,'PP2 (1)'!$B$6:$B$99,'PP2 (1)'!$F$6:$F$99,"")</f>
        <v/>
      </c>
      <c r="W43" s="20" t="str">
        <f>_xlfn.XLOOKUP($C43,'PP2 (2)'!$B$6:$B$100,'PP2 (2)'!$F$6:$F$100,"")</f>
        <v/>
      </c>
      <c r="X43" s="21" t="str">
        <f>_xlfn.XLOOKUP($C43,'PP3 (1)'!$B$5:$B$113,'PP3 (1)'!$F$5:$F$113,"")</f>
        <v/>
      </c>
      <c r="Y43" s="22" t="str">
        <f>_xlfn.XLOOKUP($C43,'PP3 (2)'!$B$5:$B$112,'PP3 (2)'!$F$5:$F$112,"")</f>
        <v/>
      </c>
      <c r="Z43" s="18" t="str">
        <f>_xlfn.XLOOKUP($C43,'PP4 (1)'!$B$6:$B$100,'PP4 (1)'!$F$6:$F$100,"")</f>
        <v/>
      </c>
      <c r="AA43" s="20" t="str">
        <f>_xlfn.XLOOKUP($C43,'PP4 (2)'!$B$6:$B$100,'PP4 (2)'!$F$6:$F$100,"")</f>
        <v/>
      </c>
      <c r="AB43" s="21" t="str">
        <f>_xlfn.XLOOKUP($C43,'PP5 (1)'!$B$6:$B$100,'PP5 (1)'!$F$6:$F$100,"")</f>
        <v/>
      </c>
      <c r="AC43" s="23" t="str">
        <f>_xlfn.XLOOKUP($C43,'PP5(2)'!$B$6:$B$100,'PP5(2)'!$F$6:$F$100,"")</f>
        <v/>
      </c>
      <c r="AD43" s="10">
        <f>SUM(AE43:AP43)</f>
        <v>-3</v>
      </c>
      <c r="AE43" s="23">
        <f>_xlfn.XLOOKUP($C43,'MP (1)'!$B$6:$B$100,'MP (1)'!$H$6:$H$100,"")</f>
        <v>-1</v>
      </c>
      <c r="AF43" s="22">
        <f>_xlfn.XLOOKUP($C43,'MP (2)'!$B$6:$B$100,'MP (2)'!$H$6:$H$100,"")</f>
        <v>-2</v>
      </c>
      <c r="AG43" s="21" t="str">
        <f>_xlfn.XLOOKUP($C43,'PP1 (1)'!$B$6:$B$66,'PP1 (1)'!$H$6:$H$66,"")</f>
        <v/>
      </c>
      <c r="AH43" s="22" t="str">
        <f>_xlfn.XLOOKUP($C43,'PP1 (2)'!$B$6:$B$100,'PP1 (2)'!$H$6:$H$100,"")</f>
        <v/>
      </c>
      <c r="AI43" s="18" t="str">
        <f>_xlfn.XLOOKUP($C43,'PP2 (1)'!$B$6:$B$99,'PP2 (1)'!$H$6:$H$99,"")</f>
        <v/>
      </c>
      <c r="AJ43" s="19" t="str">
        <f>_xlfn.XLOOKUP($C43,'PP2 (2)'!$B$6:$B$100,'PP2 (2)'!$H$6:$H$100,"")</f>
        <v/>
      </c>
      <c r="AK43" s="21" t="str">
        <f>_xlfn.XLOOKUP($C43,'PP3 (1)'!$B$5:$B$113,'PP3 (1)'!$H$5:$H$113,"")</f>
        <v/>
      </c>
      <c r="AL43" s="22" t="str">
        <f>_xlfn.XLOOKUP($C43,'PP3 (2)'!$B$5:$B$112,'PP3 (2)'!$H$5:$H$112,"")</f>
        <v/>
      </c>
      <c r="AM43" s="18" t="str">
        <f>_xlfn.XLOOKUP($C43,'PP4 (1)'!$B$6:$B$100,'PP4 (1)'!$H$6:$H$100,"")</f>
        <v/>
      </c>
      <c r="AN43" s="19" t="str">
        <f>_xlfn.XLOOKUP($C43,'PP4 (2)'!$B$6:$B$100,'PP4 (2)'!$H$6:$H$100,"")</f>
        <v/>
      </c>
      <c r="AO43" s="21" t="str">
        <f>_xlfn.XLOOKUP($C43,'PP5 (1)'!$B$6:$B$100,'PP5 (1)'!$H$6:$H$100,"")</f>
        <v/>
      </c>
      <c r="AP43" s="29" t="str">
        <f>_xlfn.XLOOKUP($C43,'PP5(2)'!$B$6:$B$100,'PP5(2)'!$H$6:$H$100,"")</f>
        <v/>
      </c>
    </row>
    <row r="44" spans="1:42" ht="13.1" customHeight="1" x14ac:dyDescent="0.25">
      <c r="A44" s="1">
        <f>ROW()-4</f>
        <v>40</v>
      </c>
      <c r="B44" s="1">
        <v>1</v>
      </c>
      <c r="C44" s="3" t="s">
        <v>51</v>
      </c>
      <c r="D44" s="26">
        <f>SUM(E44:P44)</f>
        <v>1</v>
      </c>
      <c r="E44" s="23" t="str">
        <f>_xlfn.XLOOKUP($C44,'MP (1)'!$B$6:$B$100,'MP (1)'!$E$6:$E$100,"")</f>
        <v/>
      </c>
      <c r="F44" s="22" t="str">
        <f>_xlfn.XLOOKUP($C44,'MP (2)'!$B$6:$B$100,'MP (2)'!$E$6:$E$100,"")</f>
        <v/>
      </c>
      <c r="G44" s="21">
        <f>_xlfn.XLOOKUP($C44,'PP1 (1)'!$B$6:$B$66,'PP1 (1)'!$E$6:$E$66,"")</f>
        <v>0.6</v>
      </c>
      <c r="H44" s="22">
        <f>_xlfn.XLOOKUP($C44,'PP1 (2)'!$B$6:$B$100,'PP1 (2)'!$E$6:$E$100,"")</f>
        <v>0.4</v>
      </c>
      <c r="I44" s="18" t="str">
        <f>_xlfn.XLOOKUP($C44,'PP2 (1)'!$B$6:$B$99,'PP2 (1)'!$E$6:$E$99,"")</f>
        <v/>
      </c>
      <c r="J44" s="20" t="str">
        <f>_xlfn.XLOOKUP($C44,'PP2 (2)'!$B$6:$B$100,'PP2 (2)'!$E$6:$E$100,"")</f>
        <v/>
      </c>
      <c r="K44" s="21" t="str">
        <f>_xlfn.XLOOKUP($C44,'PP3 (1)'!$B$5:$B$113,'PP3 (1)'!$E$5:$E$113,"")</f>
        <v/>
      </c>
      <c r="L44" s="22" t="str">
        <f>_xlfn.XLOOKUP($C44,'PP3 (2)'!$B$5:$B$112,'PP3 (2)'!$E$5:$E$112,"")</f>
        <v/>
      </c>
      <c r="M44" s="18" t="str">
        <f>_xlfn.XLOOKUP($C44,'PP4 (1)'!$B$6:$B$100,'PP4 (1)'!$E$6:$E$100,"")</f>
        <v/>
      </c>
      <c r="N44" s="20" t="str">
        <f>_xlfn.XLOOKUP($C44,'PP4 (2)'!$B$6:$B$100,'PP4 (2)'!$E$6:$E$100,"")</f>
        <v/>
      </c>
      <c r="O44" s="21" t="str">
        <f>_xlfn.XLOOKUP($C44,'PP5 (1)'!$B$6:$B$100,'PP5 (1)'!$E$6:$E$100,"")</f>
        <v/>
      </c>
      <c r="P44" s="23" t="str">
        <f>_xlfn.XLOOKUP($C44,'PP5(2)'!$B$6:$B$100,'PP5(2)'!$E$6:$E$100,"")</f>
        <v/>
      </c>
      <c r="Q44" s="10">
        <f>SUM(R44:AC44)</f>
        <v>36</v>
      </c>
      <c r="R44" s="23" t="str">
        <f>_xlfn.XLOOKUP($C44,'MP (1)'!$B$6:$B$100,'MP (1)'!$F$6:$F$100,"")</f>
        <v/>
      </c>
      <c r="S44" s="22" t="str">
        <f>_xlfn.XLOOKUP($C44,'MP (2)'!$B$6:$B$100,'MP (2)'!$F$6:$F$100,"")</f>
        <v/>
      </c>
      <c r="T44" s="21">
        <f>_xlfn.XLOOKUP($C44,'PP1 (1)'!$B$6:$B$66,'PP1 (1)'!$F$6:$F$66,"")</f>
        <v>18</v>
      </c>
      <c r="U44" s="22">
        <f>_xlfn.XLOOKUP($C44,'PP1 (2)'!$B$6:$B$100,'PP1 (2)'!$F$6:$F$100,"")</f>
        <v>18</v>
      </c>
      <c r="V44" s="18" t="str">
        <f>_xlfn.XLOOKUP($C44,'PP2 (1)'!$B$6:$B$99,'PP2 (1)'!$F$6:$F$99,"")</f>
        <v/>
      </c>
      <c r="W44" s="20" t="str">
        <f>_xlfn.XLOOKUP($C44,'PP2 (2)'!$B$6:$B$100,'PP2 (2)'!$F$6:$F$100,"")</f>
        <v/>
      </c>
      <c r="X44" s="21" t="str">
        <f>_xlfn.XLOOKUP($C44,'PP3 (1)'!$B$5:$B$113,'PP3 (1)'!$F$5:$F$113,"")</f>
        <v/>
      </c>
      <c r="Y44" s="22" t="str">
        <f>_xlfn.XLOOKUP($C44,'PP3 (2)'!$B$5:$B$112,'PP3 (2)'!$F$5:$F$112,"")</f>
        <v/>
      </c>
      <c r="Z44" s="18" t="str">
        <f>_xlfn.XLOOKUP($C44,'PP4 (1)'!$B$6:$B$100,'PP4 (1)'!$F$6:$F$100,"")</f>
        <v/>
      </c>
      <c r="AA44" s="20" t="str">
        <f>_xlfn.XLOOKUP($C44,'PP4 (2)'!$B$6:$B$100,'PP4 (2)'!$F$6:$F$100,"")</f>
        <v/>
      </c>
      <c r="AB44" s="21" t="str">
        <f>_xlfn.XLOOKUP($C44,'PP5 (1)'!$B$6:$B$100,'PP5 (1)'!$F$6:$F$100,"")</f>
        <v/>
      </c>
      <c r="AC44" s="23" t="str">
        <f>_xlfn.XLOOKUP($C44,'PP5(2)'!$B$6:$B$100,'PP5(2)'!$F$6:$F$100,"")</f>
        <v/>
      </c>
      <c r="AD44" s="10">
        <f>SUM(AE44:AP44)</f>
        <v>-2</v>
      </c>
      <c r="AE44" s="23" t="str">
        <f>_xlfn.XLOOKUP($C44,'MP (1)'!$B$6:$B$100,'MP (1)'!$H$6:$H$100,"")</f>
        <v/>
      </c>
      <c r="AF44" s="22" t="str">
        <f>_xlfn.XLOOKUP($C44,'MP (2)'!$B$6:$B$100,'MP (2)'!$H$6:$H$100,"")</f>
        <v/>
      </c>
      <c r="AG44" s="21">
        <f>_xlfn.XLOOKUP($C44,'PP1 (1)'!$B$6:$B$66,'PP1 (1)'!$H$6:$H$66,"")</f>
        <v>1</v>
      </c>
      <c r="AH44" s="22">
        <f>_xlfn.XLOOKUP($C44,'PP1 (2)'!$B$6:$B$100,'PP1 (2)'!$H$6:$H$100,"")</f>
        <v>-3</v>
      </c>
      <c r="AI44" s="18" t="str">
        <f>_xlfn.XLOOKUP($C44,'PP2 (1)'!$B$6:$B$99,'PP2 (1)'!$H$6:$H$99,"")</f>
        <v/>
      </c>
      <c r="AJ44" s="19" t="str">
        <f>_xlfn.XLOOKUP($C44,'PP2 (2)'!$B$6:$B$100,'PP2 (2)'!$H$6:$H$100,"")</f>
        <v/>
      </c>
      <c r="AK44" s="21" t="str">
        <f>_xlfn.XLOOKUP($C44,'PP3 (1)'!$B$5:$B$113,'PP3 (1)'!$H$5:$H$113,"")</f>
        <v/>
      </c>
      <c r="AL44" s="22" t="str">
        <f>_xlfn.XLOOKUP($C44,'PP3 (2)'!$B$5:$B$112,'PP3 (2)'!$H$5:$H$112,"")</f>
        <v/>
      </c>
      <c r="AM44" s="18" t="str">
        <f>_xlfn.XLOOKUP($C44,'PP4 (1)'!$B$6:$B$100,'PP4 (1)'!$H$6:$H$100,"")</f>
        <v/>
      </c>
      <c r="AN44" s="19" t="str">
        <f>_xlfn.XLOOKUP($C44,'PP4 (2)'!$B$6:$B$100,'PP4 (2)'!$H$6:$H$100,"")</f>
        <v/>
      </c>
      <c r="AO44" s="21" t="str">
        <f>_xlfn.XLOOKUP($C44,'PP5 (1)'!$B$6:$B$100,'PP5 (1)'!$H$6:$H$100,"")</f>
        <v/>
      </c>
      <c r="AP44" s="29" t="str">
        <f>_xlfn.XLOOKUP($C44,'PP5(2)'!$B$6:$B$100,'PP5(2)'!$H$6:$H$100,"")</f>
        <v/>
      </c>
    </row>
    <row r="45" spans="1:42" ht="13.1" customHeight="1" x14ac:dyDescent="0.25">
      <c r="A45" s="1">
        <f>ROW()-4</f>
        <v>41</v>
      </c>
      <c r="B45" s="1">
        <v>0</v>
      </c>
      <c r="C45" s="3" t="s">
        <v>197</v>
      </c>
      <c r="D45" s="26">
        <f>SUM(E45:P45)</f>
        <v>0.85</v>
      </c>
      <c r="E45" s="23">
        <f>_xlfn.XLOOKUP($C45,'MP (1)'!$B$6:$B$100,'MP (1)'!$E$6:$E$100,"")</f>
        <v>0.25</v>
      </c>
      <c r="F45" s="22">
        <f>_xlfn.XLOOKUP($C45,'MP (2)'!$B$6:$B$100,'MP (2)'!$E$6:$E$100,"")</f>
        <v>0.6</v>
      </c>
      <c r="G45" s="21" t="str">
        <f>_xlfn.XLOOKUP($C45,'PP1 (1)'!$B$6:$B$66,'PP1 (1)'!$E$6:$E$66,"")</f>
        <v/>
      </c>
      <c r="H45" s="22" t="str">
        <f>_xlfn.XLOOKUP($C45,'PP1 (2)'!$B$6:$B$100,'PP1 (2)'!$E$6:$E$100,"")</f>
        <v/>
      </c>
      <c r="I45" s="18" t="str">
        <f>_xlfn.XLOOKUP($C45,'PP2 (1)'!$B$6:$B$99,'PP2 (1)'!$E$6:$E$99,"")</f>
        <v/>
      </c>
      <c r="J45" s="20" t="str">
        <f>_xlfn.XLOOKUP($C45,'PP2 (2)'!$B$6:$B$100,'PP2 (2)'!$E$6:$E$100,"")</f>
        <v/>
      </c>
      <c r="K45" s="21" t="str">
        <f>_xlfn.XLOOKUP($C45,'PP3 (1)'!$B$5:$B$113,'PP3 (1)'!$E$5:$E$113,"")</f>
        <v/>
      </c>
      <c r="L45" s="22" t="str">
        <f>_xlfn.XLOOKUP($C45,'PP3 (2)'!$B$5:$B$112,'PP3 (2)'!$E$5:$E$112,"")</f>
        <v/>
      </c>
      <c r="M45" s="18" t="str">
        <f>_xlfn.XLOOKUP($C45,'PP4 (1)'!$B$6:$B$100,'PP4 (1)'!$E$6:$E$100,"")</f>
        <v/>
      </c>
      <c r="N45" s="20" t="str">
        <f>_xlfn.XLOOKUP($C45,'PP4 (2)'!$B$6:$B$100,'PP4 (2)'!$E$6:$E$100,"")</f>
        <v/>
      </c>
      <c r="O45" s="21" t="str">
        <f>_xlfn.XLOOKUP($C45,'PP5 (1)'!$B$6:$B$100,'PP5 (1)'!$E$6:$E$100,"")</f>
        <v/>
      </c>
      <c r="P45" s="23" t="str">
        <f>_xlfn.XLOOKUP($C45,'PP5(2)'!$B$6:$B$100,'PP5(2)'!$E$6:$E$100,"")</f>
        <v/>
      </c>
      <c r="Q45" s="10">
        <f>SUM(R45:AC45)</f>
        <v>31</v>
      </c>
      <c r="R45" s="23">
        <f>_xlfn.XLOOKUP($C45,'MP (1)'!$B$6:$B$100,'MP (1)'!$F$6:$F$100,"")</f>
        <v>12</v>
      </c>
      <c r="S45" s="22">
        <f>_xlfn.XLOOKUP($C45,'MP (2)'!$B$6:$B$100,'MP (2)'!$F$6:$F$100,"")</f>
        <v>19</v>
      </c>
      <c r="T45" s="21" t="str">
        <f>_xlfn.XLOOKUP($C45,'PP1 (1)'!$B$6:$B$66,'PP1 (1)'!$F$6:$F$66,"")</f>
        <v/>
      </c>
      <c r="U45" s="22" t="str">
        <f>_xlfn.XLOOKUP($C45,'PP1 (2)'!$B$6:$B$100,'PP1 (2)'!$F$6:$F$100,"")</f>
        <v/>
      </c>
      <c r="V45" s="18" t="str">
        <f>_xlfn.XLOOKUP($C45,'PP2 (1)'!$B$6:$B$99,'PP2 (1)'!$F$6:$F$99,"")</f>
        <v/>
      </c>
      <c r="W45" s="20" t="str">
        <f>_xlfn.XLOOKUP($C45,'PP2 (2)'!$B$6:$B$100,'PP2 (2)'!$F$6:$F$100,"")</f>
        <v/>
      </c>
      <c r="X45" s="21" t="str">
        <f>_xlfn.XLOOKUP($C45,'PP3 (1)'!$B$5:$B$113,'PP3 (1)'!$F$5:$F$113,"")</f>
        <v/>
      </c>
      <c r="Y45" s="22" t="str">
        <f>_xlfn.XLOOKUP($C45,'PP3 (2)'!$B$5:$B$112,'PP3 (2)'!$F$5:$F$112,"")</f>
        <v/>
      </c>
      <c r="Z45" s="18" t="str">
        <f>_xlfn.XLOOKUP($C45,'PP4 (1)'!$B$6:$B$100,'PP4 (1)'!$F$6:$F$100,"")</f>
        <v/>
      </c>
      <c r="AA45" s="20" t="str">
        <f>_xlfn.XLOOKUP($C45,'PP4 (2)'!$B$6:$B$100,'PP4 (2)'!$F$6:$F$100,"")</f>
        <v/>
      </c>
      <c r="AB45" s="21" t="str">
        <f>_xlfn.XLOOKUP($C45,'PP5 (1)'!$B$6:$B$100,'PP5 (1)'!$F$6:$F$100,"")</f>
        <v/>
      </c>
      <c r="AC45" s="23" t="str">
        <f>_xlfn.XLOOKUP($C45,'PP5(2)'!$B$6:$B$100,'PP5(2)'!$F$6:$F$100,"")</f>
        <v/>
      </c>
      <c r="AD45" s="10">
        <f>SUM(AE45:AP45)</f>
        <v>0</v>
      </c>
      <c r="AE45" s="23">
        <f>_xlfn.XLOOKUP($C45,'MP (1)'!$B$6:$B$100,'MP (1)'!$H$6:$H$100,"")</f>
        <v>-4</v>
      </c>
      <c r="AF45" s="22">
        <f>_xlfn.XLOOKUP($C45,'MP (2)'!$B$6:$B$100,'MP (2)'!$H$6:$H$100,"")</f>
        <v>4</v>
      </c>
      <c r="AG45" s="21" t="str">
        <f>_xlfn.XLOOKUP($C45,'PP1 (1)'!$B$6:$B$66,'PP1 (1)'!$H$6:$H$66,"")</f>
        <v/>
      </c>
      <c r="AH45" s="22" t="str">
        <f>_xlfn.XLOOKUP($C45,'PP1 (2)'!$B$6:$B$100,'PP1 (2)'!$H$6:$H$100,"")</f>
        <v/>
      </c>
      <c r="AI45" s="18" t="str">
        <f>_xlfn.XLOOKUP($C45,'PP2 (1)'!$B$6:$B$99,'PP2 (1)'!$H$6:$H$99,"")</f>
        <v/>
      </c>
      <c r="AJ45" s="19" t="str">
        <f>_xlfn.XLOOKUP($C45,'PP2 (2)'!$B$6:$B$100,'PP2 (2)'!$H$6:$H$100,"")</f>
        <v/>
      </c>
      <c r="AK45" s="21" t="str">
        <f>_xlfn.XLOOKUP($C45,'PP3 (1)'!$B$5:$B$113,'PP3 (1)'!$H$5:$H$113,"")</f>
        <v/>
      </c>
      <c r="AL45" s="22" t="str">
        <f>_xlfn.XLOOKUP($C45,'PP3 (2)'!$B$5:$B$112,'PP3 (2)'!$H$5:$H$112,"")</f>
        <v/>
      </c>
      <c r="AM45" s="18" t="str">
        <f>_xlfn.XLOOKUP($C45,'PP4 (1)'!$B$6:$B$100,'PP4 (1)'!$H$6:$H$100,"")</f>
        <v/>
      </c>
      <c r="AN45" s="19" t="str">
        <f>_xlfn.XLOOKUP($C45,'PP4 (2)'!$B$6:$B$100,'PP4 (2)'!$H$6:$H$100,"")</f>
        <v/>
      </c>
      <c r="AO45" s="21" t="str">
        <f>_xlfn.XLOOKUP($C45,'PP5 (1)'!$B$6:$B$100,'PP5 (1)'!$H$6:$H$100,"")</f>
        <v/>
      </c>
      <c r="AP45" s="29" t="str">
        <f>_xlfn.XLOOKUP($C45,'PP5(2)'!$B$6:$B$100,'PP5(2)'!$H$6:$H$100,"")</f>
        <v/>
      </c>
    </row>
    <row r="46" spans="1:42" ht="13.1" customHeight="1" x14ac:dyDescent="0.25">
      <c r="A46" s="1">
        <f>ROW()-4</f>
        <v>42</v>
      </c>
      <c r="B46" s="1" t="s">
        <v>155</v>
      </c>
      <c r="C46" s="3" t="s">
        <v>54</v>
      </c>
      <c r="D46" s="26">
        <f>SUM(E46:P46)</f>
        <v>0.8</v>
      </c>
      <c r="E46" s="23" t="str">
        <f>_xlfn.XLOOKUP($C46,'MP (1)'!$B$6:$B$100,'MP (1)'!$E$6:$E$100,"")</f>
        <v/>
      </c>
      <c r="F46" s="22" t="str">
        <f>_xlfn.XLOOKUP($C46,'MP (2)'!$B$6:$B$100,'MP (2)'!$E$6:$E$100,"")</f>
        <v/>
      </c>
      <c r="G46" s="21" t="str">
        <f>_xlfn.XLOOKUP($C46,'PP1 (1)'!$B$6:$B$66,'PP1 (1)'!$E$6:$E$66,"")</f>
        <v/>
      </c>
      <c r="H46" s="22" t="str">
        <f>_xlfn.XLOOKUP($C46,'PP1 (2)'!$B$6:$B$100,'PP1 (2)'!$E$6:$E$100,"")</f>
        <v/>
      </c>
      <c r="I46" s="18">
        <f>_xlfn.XLOOKUP($C46,'PP2 (1)'!$B$6:$B$99,'PP2 (1)'!$E$6:$E$99,"")</f>
        <v>0.4</v>
      </c>
      <c r="J46" s="20">
        <f>_xlfn.XLOOKUP($C46,'PP2 (2)'!$B$6:$B$100,'PP2 (2)'!$E$6:$E$100,"")</f>
        <v>0.4</v>
      </c>
      <c r="K46" s="21" t="str">
        <f>_xlfn.XLOOKUP($C46,'PP3 (1)'!$B$5:$B$113,'PP3 (1)'!$E$5:$E$113,"")</f>
        <v/>
      </c>
      <c r="L46" s="22" t="str">
        <f>_xlfn.XLOOKUP($C46,'PP3 (2)'!$B$5:$B$112,'PP3 (2)'!$E$5:$E$112,"")</f>
        <v/>
      </c>
      <c r="M46" s="18" t="str">
        <f>_xlfn.XLOOKUP($C46,'PP4 (1)'!$B$6:$B$100,'PP4 (1)'!$E$6:$E$100,"")</f>
        <v/>
      </c>
      <c r="N46" s="20" t="str">
        <f>_xlfn.XLOOKUP($C46,'PP4 (2)'!$B$6:$B$100,'PP4 (2)'!$E$6:$E$100,"")</f>
        <v/>
      </c>
      <c r="O46" s="21" t="str">
        <f>_xlfn.XLOOKUP($C46,'PP5 (1)'!$B$6:$B$100,'PP5 (1)'!$E$6:$E$100,"")</f>
        <v/>
      </c>
      <c r="P46" s="23" t="str">
        <f>_xlfn.XLOOKUP($C46,'PP5(2)'!$B$6:$B$100,'PP5(2)'!$E$6:$E$100,"")</f>
        <v/>
      </c>
      <c r="Q46" s="10">
        <f>SUM(R46:AC46)</f>
        <v>34</v>
      </c>
      <c r="R46" s="23" t="str">
        <f>_xlfn.XLOOKUP($C46,'MP (1)'!$B$6:$B$100,'MP (1)'!$F$6:$F$100,"")</f>
        <v/>
      </c>
      <c r="S46" s="22" t="str">
        <f>_xlfn.XLOOKUP($C46,'MP (2)'!$B$6:$B$100,'MP (2)'!$F$6:$F$100,"")</f>
        <v/>
      </c>
      <c r="T46" s="21" t="str">
        <f>_xlfn.XLOOKUP($C46,'PP1 (1)'!$B$6:$B$66,'PP1 (1)'!$F$6:$F$66,"")</f>
        <v/>
      </c>
      <c r="U46" s="22" t="str">
        <f>_xlfn.XLOOKUP($C46,'PP1 (2)'!$B$6:$B$100,'PP1 (2)'!$F$6:$F$100,"")</f>
        <v/>
      </c>
      <c r="V46" s="18">
        <f>_xlfn.XLOOKUP($C46,'PP2 (1)'!$B$6:$B$99,'PP2 (1)'!$F$6:$F$99,"")</f>
        <v>17</v>
      </c>
      <c r="W46" s="20">
        <f>_xlfn.XLOOKUP($C46,'PP2 (2)'!$B$6:$B$100,'PP2 (2)'!$F$6:$F$100,"")</f>
        <v>17</v>
      </c>
      <c r="X46" s="21" t="str">
        <f>_xlfn.XLOOKUP($C46,'PP3 (1)'!$B$5:$B$113,'PP3 (1)'!$F$5:$F$113,"")</f>
        <v/>
      </c>
      <c r="Y46" s="22" t="str">
        <f>_xlfn.XLOOKUP($C46,'PP3 (2)'!$B$5:$B$112,'PP3 (2)'!$F$5:$F$112,"")</f>
        <v/>
      </c>
      <c r="Z46" s="18" t="str">
        <f>_xlfn.XLOOKUP($C46,'PP4 (1)'!$B$6:$B$100,'PP4 (1)'!$F$6:$F$100,"")</f>
        <v/>
      </c>
      <c r="AA46" s="20" t="str">
        <f>_xlfn.XLOOKUP($C46,'PP4 (2)'!$B$6:$B$100,'PP4 (2)'!$F$6:$F$100,"")</f>
        <v/>
      </c>
      <c r="AB46" s="21" t="str">
        <f>_xlfn.XLOOKUP($C46,'PP5 (1)'!$B$6:$B$100,'PP5 (1)'!$F$6:$F$100,"")</f>
        <v/>
      </c>
      <c r="AC46" s="23" t="str">
        <f>_xlfn.XLOOKUP($C46,'PP5(2)'!$B$6:$B$100,'PP5(2)'!$F$6:$F$100,"")</f>
        <v/>
      </c>
      <c r="AD46" s="10">
        <f>SUM(AE46:AP46)</f>
        <v>-8</v>
      </c>
      <c r="AE46" s="23" t="str">
        <f>_xlfn.XLOOKUP($C46,'MP (1)'!$B$6:$B$100,'MP (1)'!$H$6:$H$100,"")</f>
        <v/>
      </c>
      <c r="AF46" s="22" t="str">
        <f>_xlfn.XLOOKUP($C46,'MP (2)'!$B$6:$B$100,'MP (2)'!$H$6:$H$100,"")</f>
        <v/>
      </c>
      <c r="AG46" s="21" t="str">
        <f>_xlfn.XLOOKUP($C46,'PP1 (1)'!$B$6:$B$66,'PP1 (1)'!$H$6:$H$66,"")</f>
        <v/>
      </c>
      <c r="AH46" s="22" t="str">
        <f>_xlfn.XLOOKUP($C46,'PP1 (2)'!$B$6:$B$100,'PP1 (2)'!$H$6:$H$100,"")</f>
        <v/>
      </c>
      <c r="AI46" s="18">
        <f>_xlfn.XLOOKUP($C46,'PP2 (1)'!$B$6:$B$99,'PP2 (1)'!$H$6:$H$99,"")</f>
        <v>-4</v>
      </c>
      <c r="AJ46" s="19">
        <f>_xlfn.XLOOKUP($C46,'PP2 (2)'!$B$6:$B$100,'PP2 (2)'!$H$6:$H$100,"")</f>
        <v>-4</v>
      </c>
      <c r="AK46" s="21" t="str">
        <f>_xlfn.XLOOKUP($C46,'PP3 (1)'!$B$5:$B$113,'PP3 (1)'!$H$5:$H$113,"")</f>
        <v/>
      </c>
      <c r="AL46" s="22" t="str">
        <f>_xlfn.XLOOKUP($C46,'PP3 (2)'!$B$5:$B$112,'PP3 (2)'!$H$5:$H$112,"")</f>
        <v/>
      </c>
      <c r="AM46" s="18" t="str">
        <f>_xlfn.XLOOKUP($C46,'PP4 (1)'!$B$6:$B$100,'PP4 (1)'!$H$6:$H$100,"")</f>
        <v/>
      </c>
      <c r="AN46" s="19" t="str">
        <f>_xlfn.XLOOKUP($C46,'PP4 (2)'!$B$6:$B$100,'PP4 (2)'!$H$6:$H$100,"")</f>
        <v/>
      </c>
      <c r="AO46" s="21" t="str">
        <f>_xlfn.XLOOKUP($C46,'PP5 (1)'!$B$6:$B$100,'PP5 (1)'!$H$6:$H$100,"")</f>
        <v/>
      </c>
      <c r="AP46" s="29" t="str">
        <f>_xlfn.XLOOKUP($C46,'PP5(2)'!$B$6:$B$100,'PP5(2)'!$H$6:$H$100,"")</f>
        <v/>
      </c>
    </row>
    <row r="47" spans="1:42" ht="13.1" customHeight="1" x14ac:dyDescent="0.25">
      <c r="A47" s="1">
        <f>ROW()-4</f>
        <v>43</v>
      </c>
      <c r="B47" s="1"/>
      <c r="C47" s="3" t="s">
        <v>55</v>
      </c>
      <c r="D47" s="26">
        <f>SUM(E47:P47)</f>
        <v>0.73</v>
      </c>
      <c r="E47" s="23" t="str">
        <f>_xlfn.XLOOKUP($C47,'MP (1)'!$B$6:$B$100,'MP (1)'!$E$6:$E$100,"")</f>
        <v/>
      </c>
      <c r="F47" s="22" t="str">
        <f>_xlfn.XLOOKUP($C47,'MP (2)'!$B$6:$B$100,'MP (2)'!$E$6:$E$100,"")</f>
        <v/>
      </c>
      <c r="G47" s="21">
        <f>_xlfn.XLOOKUP($C47,'PP1 (1)'!$B$6:$B$66,'PP1 (1)'!$E$6:$E$66,"")</f>
        <v>0.4</v>
      </c>
      <c r="H47" s="22">
        <f>_xlfn.XLOOKUP($C47,'PP1 (2)'!$B$6:$B$100,'PP1 (2)'!$E$6:$E$100,"")</f>
        <v>0.33</v>
      </c>
      <c r="I47" s="18" t="str">
        <f>_xlfn.XLOOKUP($C47,'PP2 (1)'!$B$6:$B$99,'PP2 (1)'!$E$6:$E$99,"")</f>
        <v/>
      </c>
      <c r="J47" s="20" t="str">
        <f>_xlfn.XLOOKUP($C47,'PP2 (2)'!$B$6:$B$100,'PP2 (2)'!$E$6:$E$100,"")</f>
        <v/>
      </c>
      <c r="K47" s="21" t="str">
        <f>_xlfn.XLOOKUP($C47,'PP3 (1)'!$B$5:$B$113,'PP3 (1)'!$E$5:$E$113,"")</f>
        <v/>
      </c>
      <c r="L47" s="22" t="str">
        <f>_xlfn.XLOOKUP($C47,'PP3 (2)'!$B$5:$B$112,'PP3 (2)'!$E$5:$E$112,"")</f>
        <v/>
      </c>
      <c r="M47" s="18" t="str">
        <f>_xlfn.XLOOKUP($C47,'PP4 (1)'!$B$6:$B$100,'PP4 (1)'!$E$6:$E$100,"")</f>
        <v/>
      </c>
      <c r="N47" s="20" t="str">
        <f>_xlfn.XLOOKUP($C47,'PP4 (2)'!$B$6:$B$100,'PP4 (2)'!$E$6:$E$100,"")</f>
        <v/>
      </c>
      <c r="O47" s="21" t="str">
        <f>_xlfn.XLOOKUP($C47,'PP5 (1)'!$B$6:$B$100,'PP5 (1)'!$E$6:$E$100,"")</f>
        <v/>
      </c>
      <c r="P47" s="23" t="str">
        <f>_xlfn.XLOOKUP($C47,'PP5(2)'!$B$6:$B$100,'PP5(2)'!$E$6:$E$100,"")</f>
        <v/>
      </c>
      <c r="Q47" s="10">
        <f>SUM(R47:AC47)</f>
        <v>31</v>
      </c>
      <c r="R47" s="23" t="str">
        <f>_xlfn.XLOOKUP($C47,'MP (1)'!$B$6:$B$100,'MP (1)'!$F$6:$F$100,"")</f>
        <v/>
      </c>
      <c r="S47" s="22" t="str">
        <f>_xlfn.XLOOKUP($C47,'MP (2)'!$B$6:$B$100,'MP (2)'!$F$6:$F$100,"")</f>
        <v/>
      </c>
      <c r="T47" s="21">
        <f>_xlfn.XLOOKUP($C47,'PP1 (1)'!$B$6:$B$66,'PP1 (1)'!$F$6:$F$66,"")</f>
        <v>15</v>
      </c>
      <c r="U47" s="22">
        <f>_xlfn.XLOOKUP($C47,'PP1 (2)'!$B$6:$B$100,'PP1 (2)'!$F$6:$F$100,"")</f>
        <v>16</v>
      </c>
      <c r="V47" s="18" t="str">
        <f>_xlfn.XLOOKUP($C47,'PP2 (1)'!$B$6:$B$99,'PP2 (1)'!$F$6:$F$99,"")</f>
        <v/>
      </c>
      <c r="W47" s="20" t="str">
        <f>_xlfn.XLOOKUP($C47,'PP2 (2)'!$B$6:$B$100,'PP2 (2)'!$F$6:$F$100,"")</f>
        <v/>
      </c>
      <c r="X47" s="21" t="str">
        <f>_xlfn.XLOOKUP($C47,'PP3 (1)'!$B$5:$B$113,'PP3 (1)'!$F$5:$F$113,"")</f>
        <v/>
      </c>
      <c r="Y47" s="22" t="str">
        <f>_xlfn.XLOOKUP($C47,'PP3 (2)'!$B$5:$B$112,'PP3 (2)'!$F$5:$F$112,"")</f>
        <v/>
      </c>
      <c r="Z47" s="18" t="str">
        <f>_xlfn.XLOOKUP($C47,'PP4 (1)'!$B$6:$B$100,'PP4 (1)'!$F$6:$F$100,"")</f>
        <v/>
      </c>
      <c r="AA47" s="20" t="str">
        <f>_xlfn.XLOOKUP($C47,'PP4 (2)'!$B$6:$B$100,'PP4 (2)'!$F$6:$F$100,"")</f>
        <v/>
      </c>
      <c r="AB47" s="21" t="str">
        <f>_xlfn.XLOOKUP($C47,'PP5 (1)'!$B$6:$B$100,'PP5 (1)'!$F$6:$F$100,"")</f>
        <v/>
      </c>
      <c r="AC47" s="23" t="str">
        <f>_xlfn.XLOOKUP($C47,'PP5(2)'!$B$6:$B$100,'PP5(2)'!$F$6:$F$100,"")</f>
        <v/>
      </c>
      <c r="AD47" s="10">
        <f>SUM(AE47:AP47)</f>
        <v>-16</v>
      </c>
      <c r="AE47" s="23" t="str">
        <f>_xlfn.XLOOKUP($C47,'MP (1)'!$B$6:$B$100,'MP (1)'!$H$6:$H$100,"")</f>
        <v/>
      </c>
      <c r="AF47" s="22" t="str">
        <f>_xlfn.XLOOKUP($C47,'MP (2)'!$B$6:$B$100,'MP (2)'!$H$6:$H$100,"")</f>
        <v/>
      </c>
      <c r="AG47" s="21">
        <f>_xlfn.XLOOKUP($C47,'PP1 (1)'!$B$6:$B$66,'PP1 (1)'!$H$6:$H$66,"")</f>
        <v>-5</v>
      </c>
      <c r="AH47" s="22">
        <f>_xlfn.XLOOKUP($C47,'PP1 (2)'!$B$6:$B$100,'PP1 (2)'!$H$6:$H$100,"")</f>
        <v>-11</v>
      </c>
      <c r="AI47" s="18" t="str">
        <f>_xlfn.XLOOKUP($C47,'PP2 (1)'!$B$6:$B$99,'PP2 (1)'!$H$6:$H$99,"")</f>
        <v/>
      </c>
      <c r="AJ47" s="19" t="str">
        <f>_xlfn.XLOOKUP($C47,'PP2 (2)'!$B$6:$B$100,'PP2 (2)'!$H$6:$H$100,"")</f>
        <v/>
      </c>
      <c r="AK47" s="21" t="str">
        <f>_xlfn.XLOOKUP($C47,'PP3 (1)'!$B$5:$B$113,'PP3 (1)'!$H$5:$H$113,"")</f>
        <v/>
      </c>
      <c r="AL47" s="22" t="str">
        <f>_xlfn.XLOOKUP($C47,'PP3 (2)'!$B$5:$B$112,'PP3 (2)'!$H$5:$H$112,"")</f>
        <v/>
      </c>
      <c r="AM47" s="18" t="str">
        <f>_xlfn.XLOOKUP($C47,'PP4 (1)'!$B$6:$B$100,'PP4 (1)'!$H$6:$H$100,"")</f>
        <v/>
      </c>
      <c r="AN47" s="19" t="str">
        <f>_xlfn.XLOOKUP($C47,'PP4 (2)'!$B$6:$B$100,'PP4 (2)'!$H$6:$H$100,"")</f>
        <v/>
      </c>
      <c r="AO47" s="21" t="str">
        <f>_xlfn.XLOOKUP($C47,'PP5 (1)'!$B$6:$B$100,'PP5 (1)'!$H$6:$H$100,"")</f>
        <v/>
      </c>
      <c r="AP47" s="29" t="str">
        <f>_xlfn.XLOOKUP($C47,'PP5(2)'!$B$6:$B$100,'PP5(2)'!$H$6:$H$100,"")</f>
        <v/>
      </c>
    </row>
    <row r="48" spans="1:42" ht="13.1" customHeight="1" x14ac:dyDescent="0.25">
      <c r="A48" s="1">
        <f>ROW()-4</f>
        <v>44</v>
      </c>
      <c r="B48" s="1">
        <v>3</v>
      </c>
      <c r="C48" s="3" t="s">
        <v>57</v>
      </c>
      <c r="D48" s="26">
        <f>SUM(E48:P48)</f>
        <v>0.67</v>
      </c>
      <c r="E48" s="23">
        <f>_xlfn.XLOOKUP($C48,'MP (1)'!$B$6:$B$100,'MP (1)'!$E$6:$E$100,"")</f>
        <v>0</v>
      </c>
      <c r="F48" s="22">
        <f>_xlfn.XLOOKUP($C48,'MP (2)'!$B$6:$B$100,'MP (2)'!$E$6:$E$100,"")</f>
        <v>0</v>
      </c>
      <c r="G48" s="21" t="str">
        <f>_xlfn.XLOOKUP($C48,'PP1 (1)'!$B$6:$B$66,'PP1 (1)'!$E$6:$E$66,"")</f>
        <v/>
      </c>
      <c r="H48" s="22" t="str">
        <f>_xlfn.XLOOKUP($C48,'PP1 (2)'!$B$6:$B$100,'PP1 (2)'!$E$6:$E$100,"")</f>
        <v/>
      </c>
      <c r="I48" s="18" t="str">
        <f>_xlfn.XLOOKUP($C48,'PP2 (1)'!$B$6:$B$99,'PP2 (1)'!$E$6:$E$99,"")</f>
        <v/>
      </c>
      <c r="J48" s="20" t="str">
        <f>_xlfn.XLOOKUP($C48,'PP2 (2)'!$B$6:$B$100,'PP2 (2)'!$E$6:$E$100,"")</f>
        <v/>
      </c>
      <c r="K48" s="21">
        <f>_xlfn.XLOOKUP($C48,'PP3 (1)'!$B$5:$B$113,'PP3 (1)'!$E$5:$E$113,"")</f>
        <v>0.5</v>
      </c>
      <c r="L48" s="22">
        <f>_xlfn.XLOOKUP($C48,'PP3 (2)'!$B$5:$B$112,'PP3 (2)'!$E$5:$E$112,"")</f>
        <v>0.17</v>
      </c>
      <c r="M48" s="18" t="str">
        <f>_xlfn.XLOOKUP($C48,'PP4 (1)'!$B$6:$B$100,'PP4 (1)'!$E$6:$E$100,"")</f>
        <v/>
      </c>
      <c r="N48" s="20" t="str">
        <f>_xlfn.XLOOKUP($C48,'PP4 (2)'!$B$6:$B$100,'PP4 (2)'!$E$6:$E$100,"")</f>
        <v/>
      </c>
      <c r="O48" s="21" t="str">
        <f>_xlfn.XLOOKUP($C48,'PP5 (1)'!$B$6:$B$100,'PP5 (1)'!$E$6:$E$100,"")</f>
        <v/>
      </c>
      <c r="P48" s="23" t="str">
        <f>_xlfn.XLOOKUP($C48,'PP5(2)'!$B$6:$B$100,'PP5(2)'!$E$6:$E$100,"")</f>
        <v/>
      </c>
      <c r="Q48" s="10">
        <f>SUM(R48:AC48)</f>
        <v>43</v>
      </c>
      <c r="R48" s="23">
        <f>_xlfn.XLOOKUP($C48,'MP (1)'!$B$6:$B$100,'MP (1)'!$F$6:$F$100,"")</f>
        <v>7</v>
      </c>
      <c r="S48" s="22">
        <f>_xlfn.XLOOKUP($C48,'MP (2)'!$B$6:$B$100,'MP (2)'!$F$6:$F$100,"")</f>
        <v>6</v>
      </c>
      <c r="T48" s="21" t="str">
        <f>_xlfn.XLOOKUP($C48,'PP1 (1)'!$B$6:$B$66,'PP1 (1)'!$F$6:$F$66,"")</f>
        <v/>
      </c>
      <c r="U48" s="22" t="str">
        <f>_xlfn.XLOOKUP($C48,'PP1 (2)'!$B$6:$B$100,'PP1 (2)'!$F$6:$F$100,"")</f>
        <v/>
      </c>
      <c r="V48" s="18" t="str">
        <f>_xlfn.XLOOKUP($C48,'PP2 (1)'!$B$6:$B$99,'PP2 (1)'!$F$6:$F$99,"")</f>
        <v/>
      </c>
      <c r="W48" s="20" t="str">
        <f>_xlfn.XLOOKUP($C48,'PP2 (2)'!$B$6:$B$100,'PP2 (2)'!$F$6:$F$100,"")</f>
        <v/>
      </c>
      <c r="X48" s="21">
        <f>_xlfn.XLOOKUP($C48,'PP3 (1)'!$B$5:$B$113,'PP3 (1)'!$F$5:$F$113,"")</f>
        <v>20</v>
      </c>
      <c r="Y48" s="22">
        <f>_xlfn.XLOOKUP($C48,'PP3 (2)'!$B$5:$B$112,'PP3 (2)'!$F$5:$F$112,"")</f>
        <v>10</v>
      </c>
      <c r="Z48" s="18" t="str">
        <f>_xlfn.XLOOKUP($C48,'PP4 (1)'!$B$6:$B$100,'PP4 (1)'!$F$6:$F$100,"")</f>
        <v/>
      </c>
      <c r="AA48" s="20" t="str">
        <f>_xlfn.XLOOKUP($C48,'PP4 (2)'!$B$6:$B$100,'PP4 (2)'!$F$6:$F$100,"")</f>
        <v/>
      </c>
      <c r="AB48" s="21" t="str">
        <f>_xlfn.XLOOKUP($C48,'PP5 (1)'!$B$6:$B$100,'PP5 (1)'!$F$6:$F$100,"")</f>
        <v/>
      </c>
      <c r="AC48" s="23" t="str">
        <f>_xlfn.XLOOKUP($C48,'PP5(2)'!$B$6:$B$100,'PP5(2)'!$F$6:$F$100,"")</f>
        <v/>
      </c>
      <c r="AD48" s="10">
        <f>SUM(AE48:AP48)</f>
        <v>-54</v>
      </c>
      <c r="AE48" s="23">
        <f>_xlfn.XLOOKUP($C48,'MP (1)'!$B$6:$B$100,'MP (1)'!$H$6:$H$100,"")</f>
        <v>-13</v>
      </c>
      <c r="AF48" s="22">
        <f>_xlfn.XLOOKUP($C48,'MP (2)'!$B$6:$B$100,'MP (2)'!$H$6:$H$100,"")</f>
        <v>-19</v>
      </c>
      <c r="AG48" s="21" t="str">
        <f>_xlfn.XLOOKUP($C48,'PP1 (1)'!$B$6:$B$66,'PP1 (1)'!$H$6:$H$66,"")</f>
        <v/>
      </c>
      <c r="AH48" s="22" t="str">
        <f>_xlfn.XLOOKUP($C48,'PP1 (2)'!$B$6:$B$100,'PP1 (2)'!$H$6:$H$100,"")</f>
        <v/>
      </c>
      <c r="AI48" s="18" t="str">
        <f>_xlfn.XLOOKUP($C48,'PP2 (1)'!$B$6:$B$99,'PP2 (1)'!$H$6:$H$99,"")</f>
        <v/>
      </c>
      <c r="AJ48" s="19" t="str">
        <f>_xlfn.XLOOKUP($C48,'PP2 (2)'!$B$6:$B$100,'PP2 (2)'!$H$6:$H$100,"")</f>
        <v/>
      </c>
      <c r="AK48" s="21">
        <f>_xlfn.XLOOKUP($C48,'PP3 (1)'!$B$5:$B$113,'PP3 (1)'!$H$5:$H$113,"")</f>
        <v>-5</v>
      </c>
      <c r="AL48" s="22">
        <f>_xlfn.XLOOKUP($C48,'PP3 (2)'!$B$5:$B$112,'PP3 (2)'!$H$5:$H$112,"")</f>
        <v>-17</v>
      </c>
      <c r="AM48" s="18" t="str">
        <f>_xlfn.XLOOKUP($C48,'PP4 (1)'!$B$6:$B$100,'PP4 (1)'!$H$6:$H$100,"")</f>
        <v/>
      </c>
      <c r="AN48" s="19" t="str">
        <f>_xlfn.XLOOKUP($C48,'PP4 (2)'!$B$6:$B$100,'PP4 (2)'!$H$6:$H$100,"")</f>
        <v/>
      </c>
      <c r="AO48" s="21" t="str">
        <f>_xlfn.XLOOKUP($C48,'PP5 (1)'!$B$6:$B$100,'PP5 (1)'!$H$6:$H$100,"")</f>
        <v/>
      </c>
      <c r="AP48" s="29" t="str">
        <f>_xlfn.XLOOKUP($C48,'PP5(2)'!$B$6:$B$100,'PP5(2)'!$H$6:$H$100,"")</f>
        <v/>
      </c>
    </row>
    <row r="49" spans="1:42" ht="13.1" customHeight="1" x14ac:dyDescent="0.25">
      <c r="A49" s="1">
        <f>ROW()-4</f>
        <v>45</v>
      </c>
      <c r="B49" s="1"/>
      <c r="C49" s="3" t="s">
        <v>56</v>
      </c>
      <c r="D49" s="26">
        <f>SUM(E49:P49)</f>
        <v>0.67</v>
      </c>
      <c r="E49" s="23" t="str">
        <f>_xlfn.XLOOKUP($C49,'MP (1)'!$B$6:$B$100,'MP (1)'!$E$6:$E$100,"")</f>
        <v/>
      </c>
      <c r="F49" s="22" t="str">
        <f>_xlfn.XLOOKUP($C49,'MP (2)'!$B$6:$B$100,'MP (2)'!$E$6:$E$100,"")</f>
        <v/>
      </c>
      <c r="G49" s="21" t="str">
        <f>_xlfn.XLOOKUP($C49,'PP1 (1)'!$B$6:$B$66,'PP1 (1)'!$E$6:$E$66,"")</f>
        <v/>
      </c>
      <c r="H49" s="22" t="str">
        <f>_xlfn.XLOOKUP($C49,'PP1 (2)'!$B$6:$B$100,'PP1 (2)'!$E$6:$E$100,"")</f>
        <v/>
      </c>
      <c r="I49" s="18" t="str">
        <f>_xlfn.XLOOKUP($C49,'PP2 (1)'!$B$6:$B$99,'PP2 (1)'!$E$6:$E$99,"")</f>
        <v/>
      </c>
      <c r="J49" s="20" t="str">
        <f>_xlfn.XLOOKUP($C49,'PP2 (2)'!$B$6:$B$100,'PP2 (2)'!$E$6:$E$100,"")</f>
        <v/>
      </c>
      <c r="K49" s="21">
        <f>_xlfn.XLOOKUP($C49,'PP3 (1)'!$B$5:$B$113,'PP3 (1)'!$E$5:$E$113,"")</f>
        <v>0.5</v>
      </c>
      <c r="L49" s="22">
        <f>_xlfn.XLOOKUP($C49,'PP3 (2)'!$B$5:$B$112,'PP3 (2)'!$E$5:$E$112,"")</f>
        <v>0.17</v>
      </c>
      <c r="M49" s="18" t="str">
        <f>_xlfn.XLOOKUP($C49,'PP4 (1)'!$B$6:$B$100,'PP4 (1)'!$E$6:$E$100,"")</f>
        <v/>
      </c>
      <c r="N49" s="20" t="str">
        <f>_xlfn.XLOOKUP($C49,'PP4 (2)'!$B$6:$B$100,'PP4 (2)'!$E$6:$E$100,"")</f>
        <v/>
      </c>
      <c r="O49" s="21" t="str">
        <f>_xlfn.XLOOKUP($C49,'PP5 (1)'!$B$6:$B$100,'PP5 (1)'!$E$6:$E$100,"")</f>
        <v/>
      </c>
      <c r="P49" s="23" t="str">
        <f>_xlfn.XLOOKUP($C49,'PP5(2)'!$B$6:$B$100,'PP5(2)'!$E$6:$E$100,"")</f>
        <v/>
      </c>
      <c r="Q49" s="10">
        <f>SUM(R49:AC49)</f>
        <v>40</v>
      </c>
      <c r="R49" s="23" t="str">
        <f>_xlfn.XLOOKUP($C49,'MP (1)'!$B$6:$B$100,'MP (1)'!$F$6:$F$100,"")</f>
        <v/>
      </c>
      <c r="S49" s="22" t="str">
        <f>_xlfn.XLOOKUP($C49,'MP (2)'!$B$6:$B$100,'MP (2)'!$F$6:$F$100,"")</f>
        <v/>
      </c>
      <c r="T49" s="21" t="str">
        <f>_xlfn.XLOOKUP($C49,'PP1 (1)'!$B$6:$B$66,'PP1 (1)'!$F$6:$F$66,"")</f>
        <v/>
      </c>
      <c r="U49" s="22" t="str">
        <f>_xlfn.XLOOKUP($C49,'PP1 (2)'!$B$6:$B$100,'PP1 (2)'!$F$6:$F$100,"")</f>
        <v/>
      </c>
      <c r="V49" s="18" t="str">
        <f>_xlfn.XLOOKUP($C49,'PP2 (1)'!$B$6:$B$99,'PP2 (1)'!$F$6:$F$99,"")</f>
        <v/>
      </c>
      <c r="W49" s="20" t="str">
        <f>_xlfn.XLOOKUP($C49,'PP2 (2)'!$B$6:$B$100,'PP2 (2)'!$F$6:$F$100,"")</f>
        <v/>
      </c>
      <c r="X49" s="21">
        <f>_xlfn.XLOOKUP($C49,'PP3 (1)'!$B$5:$B$113,'PP3 (1)'!$F$5:$F$113,"")</f>
        <v>23</v>
      </c>
      <c r="Y49" s="22">
        <f>_xlfn.XLOOKUP($C49,'PP3 (2)'!$B$5:$B$112,'PP3 (2)'!$F$5:$F$112,"")</f>
        <v>17</v>
      </c>
      <c r="Z49" s="18" t="str">
        <f>_xlfn.XLOOKUP($C49,'PP4 (1)'!$B$6:$B$100,'PP4 (1)'!$F$6:$F$100,"")</f>
        <v/>
      </c>
      <c r="AA49" s="20" t="str">
        <f>_xlfn.XLOOKUP($C49,'PP4 (2)'!$B$6:$B$100,'PP4 (2)'!$F$6:$F$100,"")</f>
        <v/>
      </c>
      <c r="AB49" s="21" t="str">
        <f>_xlfn.XLOOKUP($C49,'PP5 (1)'!$B$6:$B$100,'PP5 (1)'!$F$6:$F$100,"")</f>
        <v/>
      </c>
      <c r="AC49" s="23" t="str">
        <f>_xlfn.XLOOKUP($C49,'PP5(2)'!$B$6:$B$100,'PP5(2)'!$F$6:$F$100,"")</f>
        <v/>
      </c>
      <c r="AD49" s="10">
        <f>SUM(AE49:AP49)</f>
        <v>-10</v>
      </c>
      <c r="AE49" s="23" t="str">
        <f>_xlfn.XLOOKUP($C49,'MP (1)'!$B$6:$B$100,'MP (1)'!$H$6:$H$100,"")</f>
        <v/>
      </c>
      <c r="AF49" s="22" t="str">
        <f>_xlfn.XLOOKUP($C49,'MP (2)'!$B$6:$B$100,'MP (2)'!$H$6:$H$100,"")</f>
        <v/>
      </c>
      <c r="AG49" s="21" t="str">
        <f>_xlfn.XLOOKUP($C49,'PP1 (1)'!$B$6:$B$66,'PP1 (1)'!$H$6:$H$66,"")</f>
        <v/>
      </c>
      <c r="AH49" s="22" t="str">
        <f>_xlfn.XLOOKUP($C49,'PP1 (2)'!$B$6:$B$100,'PP1 (2)'!$H$6:$H$100,"")</f>
        <v/>
      </c>
      <c r="AI49" s="18" t="str">
        <f>_xlfn.XLOOKUP($C49,'PP2 (1)'!$B$6:$B$99,'PP2 (1)'!$H$6:$H$99,"")</f>
        <v/>
      </c>
      <c r="AJ49" s="19" t="str">
        <f>_xlfn.XLOOKUP($C49,'PP2 (2)'!$B$6:$B$100,'PP2 (2)'!$H$6:$H$100,"")</f>
        <v/>
      </c>
      <c r="AK49" s="21">
        <f>_xlfn.XLOOKUP($C49,'PP3 (1)'!$B$5:$B$113,'PP3 (1)'!$H$5:$H$113,"")</f>
        <v>0</v>
      </c>
      <c r="AL49" s="22">
        <f>_xlfn.XLOOKUP($C49,'PP3 (2)'!$B$5:$B$112,'PP3 (2)'!$H$5:$H$112,"")</f>
        <v>-10</v>
      </c>
      <c r="AM49" s="18" t="str">
        <f>_xlfn.XLOOKUP($C49,'PP4 (1)'!$B$6:$B$100,'PP4 (1)'!$H$6:$H$100,"")</f>
        <v/>
      </c>
      <c r="AN49" s="19" t="str">
        <f>_xlfn.XLOOKUP($C49,'PP4 (2)'!$B$6:$B$100,'PP4 (2)'!$H$6:$H$100,"")</f>
        <v/>
      </c>
      <c r="AO49" s="21" t="str">
        <f>_xlfn.XLOOKUP($C49,'PP5 (1)'!$B$6:$B$100,'PP5 (1)'!$H$6:$H$100,"")</f>
        <v/>
      </c>
      <c r="AP49" s="29" t="str">
        <f>_xlfn.XLOOKUP($C49,'PP5(2)'!$B$6:$B$100,'PP5(2)'!$H$6:$H$100,"")</f>
        <v/>
      </c>
    </row>
    <row r="50" spans="1:42" ht="13.1" customHeight="1" x14ac:dyDescent="0.25">
      <c r="A50" s="1">
        <f>ROW()-4</f>
        <v>46</v>
      </c>
      <c r="B50" s="1"/>
      <c r="C50" s="3" t="s">
        <v>58</v>
      </c>
      <c r="D50" s="26">
        <f>SUM(E50:P50)</f>
        <v>0.67</v>
      </c>
      <c r="E50" s="23" t="str">
        <f>_xlfn.XLOOKUP($C50,'MP (1)'!$B$6:$B$100,'MP (1)'!$E$6:$E$100,"")</f>
        <v/>
      </c>
      <c r="F50" s="22" t="str">
        <f>_xlfn.XLOOKUP($C50,'MP (2)'!$B$6:$B$100,'MP (2)'!$E$6:$E$100,"")</f>
        <v/>
      </c>
      <c r="G50" s="21" t="str">
        <f>_xlfn.XLOOKUP($C50,'PP1 (1)'!$B$6:$B$66,'PP1 (1)'!$E$6:$E$66,"")</f>
        <v/>
      </c>
      <c r="H50" s="22" t="str">
        <f>_xlfn.XLOOKUP($C50,'PP1 (2)'!$B$6:$B$100,'PP1 (2)'!$E$6:$E$100,"")</f>
        <v/>
      </c>
      <c r="I50" s="18" t="str">
        <f>_xlfn.XLOOKUP($C50,'PP2 (1)'!$B$6:$B$99,'PP2 (1)'!$E$6:$E$99,"")</f>
        <v/>
      </c>
      <c r="J50" s="20" t="str">
        <f>_xlfn.XLOOKUP($C50,'PP2 (2)'!$B$6:$B$100,'PP2 (2)'!$E$6:$E$100,"")</f>
        <v/>
      </c>
      <c r="K50" s="21">
        <f>_xlfn.XLOOKUP($C50,'PP3 (1)'!$B$5:$B$113,'PP3 (1)'!$E$5:$E$113,"")</f>
        <v>0.67</v>
      </c>
      <c r="L50" s="22" t="str">
        <f>_xlfn.XLOOKUP($C50,'PP3 (2)'!$B$5:$B$112,'PP3 (2)'!$E$5:$E$112,"")</f>
        <v/>
      </c>
      <c r="M50" s="18" t="str">
        <f>_xlfn.XLOOKUP($C50,'PP4 (1)'!$B$6:$B$100,'PP4 (1)'!$E$6:$E$100,"")</f>
        <v/>
      </c>
      <c r="N50" s="20" t="str">
        <f>_xlfn.XLOOKUP($C50,'PP4 (2)'!$B$6:$B$100,'PP4 (2)'!$E$6:$E$100,"")</f>
        <v/>
      </c>
      <c r="O50" s="21" t="str">
        <f>_xlfn.XLOOKUP($C50,'PP5 (1)'!$B$6:$B$100,'PP5 (1)'!$E$6:$E$100,"")</f>
        <v/>
      </c>
      <c r="P50" s="23" t="str">
        <f>_xlfn.XLOOKUP($C50,'PP5(2)'!$B$6:$B$100,'PP5(2)'!$E$6:$E$100,"")</f>
        <v/>
      </c>
      <c r="Q50" s="10">
        <f>SUM(R50:AC50)</f>
        <v>24</v>
      </c>
      <c r="R50" s="23" t="str">
        <f>_xlfn.XLOOKUP($C50,'MP (1)'!$B$6:$B$100,'MP (1)'!$F$6:$F$100,"")</f>
        <v/>
      </c>
      <c r="S50" s="22" t="str">
        <f>_xlfn.XLOOKUP($C50,'MP (2)'!$B$6:$B$100,'MP (2)'!$F$6:$F$100,"")</f>
        <v/>
      </c>
      <c r="T50" s="21" t="str">
        <f>_xlfn.XLOOKUP($C50,'PP1 (1)'!$B$6:$B$66,'PP1 (1)'!$F$6:$F$66,"")</f>
        <v/>
      </c>
      <c r="U50" s="22" t="str">
        <f>_xlfn.XLOOKUP($C50,'PP1 (2)'!$B$6:$B$100,'PP1 (2)'!$F$6:$F$100,"")</f>
        <v/>
      </c>
      <c r="V50" s="18" t="str">
        <f>_xlfn.XLOOKUP($C50,'PP2 (1)'!$B$6:$B$99,'PP2 (1)'!$F$6:$F$99,"")</f>
        <v/>
      </c>
      <c r="W50" s="20" t="str">
        <f>_xlfn.XLOOKUP($C50,'PP2 (2)'!$B$6:$B$100,'PP2 (2)'!$F$6:$F$100,"")</f>
        <v/>
      </c>
      <c r="X50" s="21">
        <f>_xlfn.XLOOKUP($C50,'PP3 (1)'!$B$5:$B$113,'PP3 (1)'!$F$5:$F$113,"")</f>
        <v>24</v>
      </c>
      <c r="Y50" s="22" t="str">
        <f>_xlfn.XLOOKUP($C50,'PP3 (2)'!$B$5:$B$112,'PP3 (2)'!$F$5:$F$112,"")</f>
        <v/>
      </c>
      <c r="Z50" s="18" t="str">
        <f>_xlfn.XLOOKUP($C50,'PP4 (1)'!$B$6:$B$100,'PP4 (1)'!$F$6:$F$100,"")</f>
        <v/>
      </c>
      <c r="AA50" s="20" t="str">
        <f>_xlfn.XLOOKUP($C50,'PP4 (2)'!$B$6:$B$100,'PP4 (2)'!$F$6:$F$100,"")</f>
        <v/>
      </c>
      <c r="AB50" s="21" t="str">
        <f>_xlfn.XLOOKUP($C50,'PP5 (1)'!$B$6:$B$100,'PP5 (1)'!$F$6:$F$100,"")</f>
        <v/>
      </c>
      <c r="AC50" s="23" t="str">
        <f>_xlfn.XLOOKUP($C50,'PP5(2)'!$B$6:$B$100,'PP5(2)'!$F$6:$F$100,"")</f>
        <v/>
      </c>
      <c r="AD50" s="10">
        <f>SUM(AE50:AP50)</f>
        <v>6</v>
      </c>
      <c r="AE50" s="23" t="str">
        <f>_xlfn.XLOOKUP($C50,'MP (1)'!$B$6:$B$100,'MP (1)'!$H$6:$H$100,"")</f>
        <v/>
      </c>
      <c r="AF50" s="22" t="str">
        <f>_xlfn.XLOOKUP($C50,'MP (2)'!$B$6:$B$100,'MP (2)'!$H$6:$H$100,"")</f>
        <v/>
      </c>
      <c r="AG50" s="21" t="str">
        <f>_xlfn.XLOOKUP($C50,'PP1 (1)'!$B$6:$B$66,'PP1 (1)'!$H$6:$H$66,"")</f>
        <v/>
      </c>
      <c r="AH50" s="22" t="str">
        <f>_xlfn.XLOOKUP($C50,'PP1 (2)'!$B$6:$B$100,'PP1 (2)'!$H$6:$H$100,"")</f>
        <v/>
      </c>
      <c r="AI50" s="18" t="str">
        <f>_xlfn.XLOOKUP($C50,'PP2 (1)'!$B$6:$B$99,'PP2 (1)'!$H$6:$H$99,"")</f>
        <v/>
      </c>
      <c r="AJ50" s="19" t="str">
        <f>_xlfn.XLOOKUP($C50,'PP2 (2)'!$B$6:$B$100,'PP2 (2)'!$H$6:$H$100,"")</f>
        <v/>
      </c>
      <c r="AK50" s="21">
        <f>_xlfn.XLOOKUP($C50,'PP3 (1)'!$B$5:$B$113,'PP3 (1)'!$H$5:$H$113,"")</f>
        <v>6</v>
      </c>
      <c r="AL50" s="22" t="str">
        <f>_xlfn.XLOOKUP($C50,'PP3 (2)'!$B$5:$B$112,'PP3 (2)'!$H$5:$H$112,"")</f>
        <v/>
      </c>
      <c r="AM50" s="18" t="str">
        <f>_xlfn.XLOOKUP($C50,'PP4 (1)'!$B$6:$B$100,'PP4 (1)'!$H$6:$H$100,"")</f>
        <v/>
      </c>
      <c r="AN50" s="19" t="str">
        <f>_xlfn.XLOOKUP($C50,'PP4 (2)'!$B$6:$B$100,'PP4 (2)'!$H$6:$H$100,"")</f>
        <v/>
      </c>
      <c r="AO50" s="21" t="str">
        <f>_xlfn.XLOOKUP($C50,'PP5 (1)'!$B$6:$B$100,'PP5 (1)'!$H$6:$H$100,"")</f>
        <v/>
      </c>
      <c r="AP50" s="29" t="str">
        <f>_xlfn.XLOOKUP($C50,'PP5(2)'!$B$6:$B$100,'PP5(2)'!$H$6:$H$100,"")</f>
        <v/>
      </c>
    </row>
    <row r="51" spans="1:42" ht="13.1" customHeight="1" x14ac:dyDescent="0.25">
      <c r="A51" s="1">
        <f>ROW()-4</f>
        <v>47</v>
      </c>
      <c r="B51" s="1" t="s">
        <v>157</v>
      </c>
      <c r="C51" s="3" t="s">
        <v>166</v>
      </c>
      <c r="D51" s="26">
        <f>SUM(E51:P51)</f>
        <v>0.60000000000000009</v>
      </c>
      <c r="E51" s="23" t="str">
        <f>_xlfn.XLOOKUP($C51,'MP (1)'!$B$6:$B$100,'MP (1)'!$E$6:$E$100,"")</f>
        <v/>
      </c>
      <c r="F51" s="22" t="str">
        <f>_xlfn.XLOOKUP($C51,'MP (2)'!$B$6:$B$100,'MP (2)'!$E$6:$E$100,"")</f>
        <v/>
      </c>
      <c r="G51" s="21" t="str">
        <f>_xlfn.XLOOKUP($C51,'PP1 (1)'!$B$6:$B$66,'PP1 (1)'!$E$6:$E$66,"")</f>
        <v/>
      </c>
      <c r="H51" s="22" t="str">
        <f>_xlfn.XLOOKUP($C51,'PP1 (2)'!$B$6:$B$100,'PP1 (2)'!$E$6:$E$100,"")</f>
        <v/>
      </c>
      <c r="I51" s="18" t="str">
        <f>_xlfn.XLOOKUP($C51,'PP2 (1)'!$B$6:$B$99,'PP2 (1)'!$E$6:$E$99,"")</f>
        <v/>
      </c>
      <c r="J51" s="20" t="str">
        <f>_xlfn.XLOOKUP($C51,'PP2 (2)'!$B$6:$B$100,'PP2 (2)'!$E$6:$E$100,"")</f>
        <v/>
      </c>
      <c r="K51" s="21" t="str">
        <f>_xlfn.XLOOKUP($C51,'PP3 (1)'!$B$5:$B$113,'PP3 (1)'!$E$5:$E$113,"")</f>
        <v/>
      </c>
      <c r="L51" s="22" t="str">
        <f>_xlfn.XLOOKUP($C51,'PP3 (2)'!$B$5:$B$112,'PP3 (2)'!$E$5:$E$112,"")</f>
        <v/>
      </c>
      <c r="M51" s="18">
        <f>_xlfn.XLOOKUP($C51,'PP4 (1)'!$B$6:$B$100,'PP4 (1)'!$E$6:$E$100,"")</f>
        <v>0.2</v>
      </c>
      <c r="N51" s="20">
        <f>_xlfn.XLOOKUP($C51,'PP4 (2)'!$B$6:$B$100,'PP4 (2)'!$E$6:$E$100,"")</f>
        <v>0.4</v>
      </c>
      <c r="O51" s="21" t="str">
        <f>_xlfn.XLOOKUP($C51,'PP5 (1)'!$B$6:$B$100,'PP5 (1)'!$E$6:$E$100,"")</f>
        <v/>
      </c>
      <c r="P51" s="23" t="str">
        <f>_xlfn.XLOOKUP($C51,'PP5(2)'!$B$6:$B$100,'PP5(2)'!$E$6:$E$100,"")</f>
        <v/>
      </c>
      <c r="Q51" s="10">
        <f>SUM(R51:AC51)</f>
        <v>27</v>
      </c>
      <c r="R51" s="23" t="str">
        <f>_xlfn.XLOOKUP($C51,'MP (1)'!$B$6:$B$100,'MP (1)'!$F$6:$F$100,"")</f>
        <v/>
      </c>
      <c r="S51" s="22" t="str">
        <f>_xlfn.XLOOKUP($C51,'MP (2)'!$B$6:$B$100,'MP (2)'!$F$6:$F$100,"")</f>
        <v/>
      </c>
      <c r="T51" s="21" t="str">
        <f>_xlfn.XLOOKUP($C51,'PP1 (1)'!$B$6:$B$66,'PP1 (1)'!$F$6:$F$66,"")</f>
        <v/>
      </c>
      <c r="U51" s="22" t="str">
        <f>_xlfn.XLOOKUP($C51,'PP1 (2)'!$B$6:$B$100,'PP1 (2)'!$F$6:$F$100,"")</f>
        <v/>
      </c>
      <c r="V51" s="18" t="str">
        <f>_xlfn.XLOOKUP($C51,'PP2 (1)'!$B$6:$B$99,'PP2 (1)'!$F$6:$F$99,"")</f>
        <v/>
      </c>
      <c r="W51" s="20" t="str">
        <f>_xlfn.XLOOKUP($C51,'PP2 (2)'!$B$6:$B$100,'PP2 (2)'!$F$6:$F$100,"")</f>
        <v/>
      </c>
      <c r="X51" s="21" t="str">
        <f>_xlfn.XLOOKUP($C51,'PP3 (1)'!$B$5:$B$113,'PP3 (1)'!$F$5:$F$113,"")</f>
        <v/>
      </c>
      <c r="Y51" s="22" t="str">
        <f>_xlfn.XLOOKUP($C51,'PP3 (2)'!$B$5:$B$112,'PP3 (2)'!$F$5:$F$112,"")</f>
        <v/>
      </c>
      <c r="Z51" s="18">
        <f>_xlfn.XLOOKUP($C51,'PP4 (1)'!$B$6:$B$100,'PP4 (1)'!$F$6:$F$100,"")</f>
        <v>12</v>
      </c>
      <c r="AA51" s="20">
        <f>_xlfn.XLOOKUP($C51,'PP4 (2)'!$B$6:$B$100,'PP4 (2)'!$F$6:$F$100,"")</f>
        <v>15</v>
      </c>
      <c r="AB51" s="21" t="str">
        <f>_xlfn.XLOOKUP($C51,'PP5 (1)'!$B$6:$B$100,'PP5 (1)'!$F$6:$F$100,"")</f>
        <v/>
      </c>
      <c r="AC51" s="23" t="str">
        <f>_xlfn.XLOOKUP($C51,'PP5(2)'!$B$6:$B$100,'PP5(2)'!$F$6:$F$100,"")</f>
        <v/>
      </c>
      <c r="AD51" s="10">
        <f>SUM(AE51:AP51)</f>
        <v>-18</v>
      </c>
      <c r="AE51" s="23" t="str">
        <f>_xlfn.XLOOKUP($C51,'MP (1)'!$B$6:$B$100,'MP (1)'!$H$6:$H$100,"")</f>
        <v/>
      </c>
      <c r="AF51" s="22" t="str">
        <f>_xlfn.XLOOKUP($C51,'MP (2)'!$B$6:$B$100,'MP (2)'!$H$6:$H$100,"")</f>
        <v/>
      </c>
      <c r="AG51" s="21" t="str">
        <f>_xlfn.XLOOKUP($C51,'PP1 (1)'!$B$6:$B$66,'PP1 (1)'!$H$6:$H$66,"")</f>
        <v/>
      </c>
      <c r="AH51" s="22" t="str">
        <f>_xlfn.XLOOKUP($C51,'PP1 (2)'!$B$6:$B$100,'PP1 (2)'!$H$6:$H$100,"")</f>
        <v/>
      </c>
      <c r="AI51" s="18" t="str">
        <f>_xlfn.XLOOKUP($C51,'PP2 (1)'!$B$6:$B$99,'PP2 (1)'!$H$6:$H$99,"")</f>
        <v/>
      </c>
      <c r="AJ51" s="19" t="str">
        <f>_xlfn.XLOOKUP($C51,'PP2 (2)'!$B$6:$B$100,'PP2 (2)'!$H$6:$H$100,"")</f>
        <v/>
      </c>
      <c r="AK51" s="21" t="str">
        <f>_xlfn.XLOOKUP($C51,'PP3 (1)'!$B$5:$B$113,'PP3 (1)'!$H$5:$H$113,"")</f>
        <v/>
      </c>
      <c r="AL51" s="22" t="str">
        <f>_xlfn.XLOOKUP($C51,'PP3 (2)'!$B$5:$B$112,'PP3 (2)'!$H$5:$H$112,"")</f>
        <v/>
      </c>
      <c r="AM51" s="18">
        <f>_xlfn.XLOOKUP($C51,'PP4 (1)'!$B$6:$B$100,'PP4 (1)'!$H$6:$H$100,"")</f>
        <v>-11</v>
      </c>
      <c r="AN51" s="19">
        <f>_xlfn.XLOOKUP($C51,'PP4 (2)'!$B$6:$B$100,'PP4 (2)'!$H$6:$H$100,"")</f>
        <v>-7</v>
      </c>
      <c r="AO51" s="21" t="str">
        <f>_xlfn.XLOOKUP($C51,'PP5 (1)'!$B$6:$B$100,'PP5 (1)'!$H$6:$H$100,"")</f>
        <v/>
      </c>
      <c r="AP51" s="29" t="str">
        <f>_xlfn.XLOOKUP($C51,'PP5(2)'!$B$6:$B$100,'PP5(2)'!$H$6:$H$100,"")</f>
        <v/>
      </c>
    </row>
    <row r="52" spans="1:42" ht="13.1" customHeight="1" x14ac:dyDescent="0.25">
      <c r="A52" s="1">
        <f>ROW()-4</f>
        <v>48</v>
      </c>
      <c r="B52" s="1">
        <v>1</v>
      </c>
      <c r="C52" s="3" t="s">
        <v>181</v>
      </c>
      <c r="D52" s="26">
        <f>SUM(E52:P52)</f>
        <v>0.60000000000000009</v>
      </c>
      <c r="E52" s="23" t="str">
        <f>_xlfn.XLOOKUP($C52,'MP (1)'!$B$6:$B$100,'MP (1)'!$E$6:$E$100,"")</f>
        <v/>
      </c>
      <c r="F52" s="22" t="str">
        <f>_xlfn.XLOOKUP($C52,'MP (2)'!$B$6:$B$100,'MP (2)'!$E$6:$E$100,"")</f>
        <v/>
      </c>
      <c r="G52" s="21" t="str">
        <f>_xlfn.XLOOKUP($C52,'PP1 (1)'!$B$6:$B$66,'PP1 (1)'!$E$6:$E$66,"")</f>
        <v/>
      </c>
      <c r="H52" s="22" t="str">
        <f>_xlfn.XLOOKUP($C52,'PP1 (2)'!$B$6:$B$100,'PP1 (2)'!$E$6:$E$100,"")</f>
        <v/>
      </c>
      <c r="I52" s="18" t="str">
        <f>_xlfn.XLOOKUP($C52,'PP2 (1)'!$B$6:$B$99,'PP2 (1)'!$E$6:$E$99,"")</f>
        <v/>
      </c>
      <c r="J52" s="20" t="str">
        <f>_xlfn.XLOOKUP($C52,'PP2 (2)'!$B$6:$B$100,'PP2 (2)'!$E$6:$E$100,"")</f>
        <v/>
      </c>
      <c r="K52" s="21" t="str">
        <f>_xlfn.XLOOKUP($C52,'PP3 (1)'!$B$5:$B$113,'PP3 (1)'!$E$5:$E$113,"")</f>
        <v/>
      </c>
      <c r="L52" s="22" t="str">
        <f>_xlfn.XLOOKUP($C52,'PP3 (2)'!$B$5:$B$112,'PP3 (2)'!$E$5:$E$112,"")</f>
        <v/>
      </c>
      <c r="M52" s="18" t="str">
        <f>_xlfn.XLOOKUP($C52,'PP4 (1)'!$B$6:$B$100,'PP4 (1)'!$E$6:$E$100,"")</f>
        <v/>
      </c>
      <c r="N52" s="20" t="str">
        <f>_xlfn.XLOOKUP($C52,'PP4 (2)'!$B$6:$B$100,'PP4 (2)'!$E$6:$E$100,"")</f>
        <v/>
      </c>
      <c r="O52" s="21">
        <f>_xlfn.XLOOKUP($C52,'PP5 (1)'!$B$6:$B$100,'PP5 (1)'!$E$6:$E$100,"")</f>
        <v>0.2</v>
      </c>
      <c r="P52" s="23">
        <f>_xlfn.XLOOKUP($C52,'PP5(2)'!$B$6:$B$100,'PP5(2)'!$E$6:$E$100,"")</f>
        <v>0.4</v>
      </c>
      <c r="Q52" s="10">
        <f>SUM(R52:AC52)</f>
        <v>22</v>
      </c>
      <c r="R52" s="23" t="str">
        <f>_xlfn.XLOOKUP($C52,'MP (1)'!$B$6:$B$100,'MP (1)'!$F$6:$F$100,"")</f>
        <v/>
      </c>
      <c r="S52" s="22" t="str">
        <f>_xlfn.XLOOKUP($C52,'MP (2)'!$B$6:$B$100,'MP (2)'!$F$6:$F$100,"")</f>
        <v/>
      </c>
      <c r="T52" s="21" t="str">
        <f>_xlfn.XLOOKUP($C52,'PP1 (1)'!$B$6:$B$66,'PP1 (1)'!$F$6:$F$66,"")</f>
        <v/>
      </c>
      <c r="U52" s="22" t="str">
        <f>_xlfn.XLOOKUP($C52,'PP1 (2)'!$B$6:$B$100,'PP1 (2)'!$F$6:$F$100,"")</f>
        <v/>
      </c>
      <c r="V52" s="18" t="str">
        <f>_xlfn.XLOOKUP($C52,'PP2 (1)'!$B$6:$B$99,'PP2 (1)'!$F$6:$F$99,"")</f>
        <v/>
      </c>
      <c r="W52" s="20" t="str">
        <f>_xlfn.XLOOKUP($C52,'PP2 (2)'!$B$6:$B$100,'PP2 (2)'!$F$6:$F$100,"")</f>
        <v/>
      </c>
      <c r="X52" s="21" t="str">
        <f>_xlfn.XLOOKUP($C52,'PP3 (1)'!$B$5:$B$113,'PP3 (1)'!$F$5:$F$113,"")</f>
        <v/>
      </c>
      <c r="Y52" s="22" t="str">
        <f>_xlfn.XLOOKUP($C52,'PP3 (2)'!$B$5:$B$112,'PP3 (2)'!$F$5:$F$112,"")</f>
        <v/>
      </c>
      <c r="Z52" s="18" t="str">
        <f>_xlfn.XLOOKUP($C52,'PP4 (1)'!$B$6:$B$100,'PP4 (1)'!$F$6:$F$100,"")</f>
        <v/>
      </c>
      <c r="AA52" s="20" t="str">
        <f>_xlfn.XLOOKUP($C52,'PP4 (2)'!$B$6:$B$100,'PP4 (2)'!$F$6:$F$100,"")</f>
        <v/>
      </c>
      <c r="AB52" s="21">
        <f>_xlfn.XLOOKUP($C52,'PP5 (1)'!$B$6:$B$100,'PP5 (1)'!$F$6:$F$100,"")</f>
        <v>8</v>
      </c>
      <c r="AC52" s="23">
        <f>_xlfn.XLOOKUP($C52,'PP5(2)'!$B$6:$B$100,'PP5(2)'!$F$6:$F$100,"")</f>
        <v>14</v>
      </c>
      <c r="AD52" s="10">
        <f>SUM(AE52:AP52)</f>
        <v>-20</v>
      </c>
      <c r="AE52" s="23" t="str">
        <f>_xlfn.XLOOKUP($C52,'MP (1)'!$B$6:$B$100,'MP (1)'!$H$6:$H$100,"")</f>
        <v/>
      </c>
      <c r="AF52" s="22" t="str">
        <f>_xlfn.XLOOKUP($C52,'MP (2)'!$B$6:$B$100,'MP (2)'!$H$6:$H$100,"")</f>
        <v/>
      </c>
      <c r="AG52" s="21" t="str">
        <f>_xlfn.XLOOKUP($C52,'PP1 (1)'!$B$6:$B$66,'PP1 (1)'!$H$6:$H$66,"")</f>
        <v/>
      </c>
      <c r="AH52" s="22" t="str">
        <f>_xlfn.XLOOKUP($C52,'PP1 (2)'!$B$6:$B$100,'PP1 (2)'!$H$6:$H$100,"")</f>
        <v/>
      </c>
      <c r="AI52" s="18" t="str">
        <f>_xlfn.XLOOKUP($C52,'PP2 (1)'!$B$6:$B$99,'PP2 (1)'!$H$6:$H$99,"")</f>
        <v/>
      </c>
      <c r="AJ52" s="19" t="str">
        <f>_xlfn.XLOOKUP($C52,'PP2 (2)'!$B$6:$B$100,'PP2 (2)'!$H$6:$H$100,"")</f>
        <v/>
      </c>
      <c r="AK52" s="21" t="str">
        <f>_xlfn.XLOOKUP($C52,'PP3 (1)'!$B$5:$B$113,'PP3 (1)'!$H$5:$H$113,"")</f>
        <v/>
      </c>
      <c r="AL52" s="22" t="str">
        <f>_xlfn.XLOOKUP($C52,'PP3 (2)'!$B$5:$B$112,'PP3 (2)'!$H$5:$H$112,"")</f>
        <v/>
      </c>
      <c r="AM52" s="18" t="str">
        <f>_xlfn.XLOOKUP($C52,'PP4 (1)'!$B$6:$B$100,'PP4 (1)'!$H$6:$H$100,"")</f>
        <v/>
      </c>
      <c r="AN52" s="19" t="str">
        <f>_xlfn.XLOOKUP($C52,'PP4 (2)'!$B$6:$B$100,'PP4 (2)'!$H$6:$H$100,"")</f>
        <v/>
      </c>
      <c r="AO52" s="21">
        <f>_xlfn.XLOOKUP($C52,'PP5 (1)'!$B$6:$B$100,'PP5 (1)'!$H$6:$H$100,"")</f>
        <v>-14</v>
      </c>
      <c r="AP52" s="29">
        <f>_xlfn.XLOOKUP($C52,'PP5(2)'!$B$6:$B$100,'PP5(2)'!$H$6:$H$100,"")</f>
        <v>-6</v>
      </c>
    </row>
    <row r="53" spans="1:42" ht="13.1" customHeight="1" x14ac:dyDescent="0.25">
      <c r="A53" s="1">
        <f>ROW()-4</f>
        <v>49</v>
      </c>
      <c r="B53" s="1">
        <v>2</v>
      </c>
      <c r="C53" s="3" t="s">
        <v>26</v>
      </c>
      <c r="D53" s="26">
        <f>SUM(E53:P53)</f>
        <v>0.6</v>
      </c>
      <c r="E53" s="23" t="str">
        <f>_xlfn.XLOOKUP($C53,'MP (1)'!$B$6:$B$100,'MP (1)'!$E$6:$E$100,"")</f>
        <v/>
      </c>
      <c r="F53" s="22" t="str">
        <f>_xlfn.XLOOKUP($C53,'MP (2)'!$B$6:$B$100,'MP (2)'!$E$6:$E$100,"")</f>
        <v/>
      </c>
      <c r="G53" s="21">
        <f>_xlfn.XLOOKUP($C53,'PP1 (1)'!$B$6:$B$66,'PP1 (1)'!$E$6:$E$66,"")</f>
        <v>0</v>
      </c>
      <c r="H53" s="22">
        <f>_xlfn.XLOOKUP($C53,'PP1 (2)'!$B$6:$B$100,'PP1 (2)'!$E$6:$E$100,"")</f>
        <v>0.6</v>
      </c>
      <c r="I53" s="18" t="str">
        <f>_xlfn.XLOOKUP($C53,'PP2 (1)'!$B$6:$B$99,'PP2 (1)'!$E$6:$E$99,"")</f>
        <v/>
      </c>
      <c r="J53" s="20" t="str">
        <f>_xlfn.XLOOKUP($C53,'PP2 (2)'!$B$6:$B$100,'PP2 (2)'!$E$6:$E$100,"")</f>
        <v/>
      </c>
      <c r="K53" s="21" t="str">
        <f>_xlfn.XLOOKUP($C53,'PP3 (1)'!$B$5:$B$113,'PP3 (1)'!$E$5:$E$113,"")</f>
        <v/>
      </c>
      <c r="L53" s="22" t="str">
        <f>_xlfn.XLOOKUP($C53,'PP3 (2)'!$B$5:$B$112,'PP3 (2)'!$E$5:$E$112,"")</f>
        <v/>
      </c>
      <c r="M53" s="18" t="str">
        <f>_xlfn.XLOOKUP($C53,'PP4 (1)'!$B$6:$B$100,'PP4 (1)'!$E$6:$E$100,"")</f>
        <v/>
      </c>
      <c r="N53" s="20" t="str">
        <f>_xlfn.XLOOKUP($C53,'PP4 (2)'!$B$6:$B$100,'PP4 (2)'!$E$6:$E$100,"")</f>
        <v/>
      </c>
      <c r="O53" s="21" t="str">
        <f>_xlfn.XLOOKUP($C53,'PP5 (1)'!$B$6:$B$100,'PP5 (1)'!$E$6:$E$100,"")</f>
        <v/>
      </c>
      <c r="P53" s="23" t="str">
        <f>_xlfn.XLOOKUP($C53,'PP5(2)'!$B$6:$B$100,'PP5(2)'!$E$6:$E$100,"")</f>
        <v/>
      </c>
      <c r="Q53" s="10">
        <f>SUM(R53:AC53)</f>
        <v>29</v>
      </c>
      <c r="R53" s="23" t="str">
        <f>_xlfn.XLOOKUP($C53,'MP (1)'!$B$6:$B$100,'MP (1)'!$F$6:$F$100,"")</f>
        <v/>
      </c>
      <c r="S53" s="22" t="str">
        <f>_xlfn.XLOOKUP($C53,'MP (2)'!$B$6:$B$100,'MP (2)'!$F$6:$F$100,"")</f>
        <v/>
      </c>
      <c r="T53" s="21">
        <f>_xlfn.XLOOKUP($C53,'PP1 (1)'!$B$6:$B$66,'PP1 (1)'!$F$6:$F$66,"")</f>
        <v>8</v>
      </c>
      <c r="U53" s="22">
        <f>_xlfn.XLOOKUP($C53,'PP1 (2)'!$B$6:$B$100,'PP1 (2)'!$F$6:$F$100,"")</f>
        <v>21</v>
      </c>
      <c r="V53" s="18" t="str">
        <f>_xlfn.XLOOKUP($C53,'PP2 (1)'!$B$6:$B$99,'PP2 (1)'!$F$6:$F$99,"")</f>
        <v/>
      </c>
      <c r="W53" s="20" t="str">
        <f>_xlfn.XLOOKUP($C53,'PP2 (2)'!$B$6:$B$100,'PP2 (2)'!$F$6:$F$100,"")</f>
        <v/>
      </c>
      <c r="X53" s="21" t="str">
        <f>_xlfn.XLOOKUP($C53,'PP3 (1)'!$B$5:$B$113,'PP3 (1)'!$F$5:$F$113,"")</f>
        <v/>
      </c>
      <c r="Y53" s="22" t="str">
        <f>_xlfn.XLOOKUP($C53,'PP3 (2)'!$B$5:$B$112,'PP3 (2)'!$F$5:$F$112,"")</f>
        <v/>
      </c>
      <c r="Z53" s="18" t="str">
        <f>_xlfn.XLOOKUP($C53,'PP4 (1)'!$B$6:$B$100,'PP4 (1)'!$F$6:$F$100,"")</f>
        <v/>
      </c>
      <c r="AA53" s="20" t="str">
        <f>_xlfn.XLOOKUP($C53,'PP4 (2)'!$B$6:$B$100,'PP4 (2)'!$F$6:$F$100,"")</f>
        <v/>
      </c>
      <c r="AB53" s="21" t="str">
        <f>_xlfn.XLOOKUP($C53,'PP5 (1)'!$B$6:$B$100,'PP5 (1)'!$F$6:$F$100,"")</f>
        <v/>
      </c>
      <c r="AC53" s="23" t="str">
        <f>_xlfn.XLOOKUP($C53,'PP5(2)'!$B$6:$B$100,'PP5(2)'!$F$6:$F$100,"")</f>
        <v/>
      </c>
      <c r="AD53" s="10">
        <f>SUM(AE53:AP53)</f>
        <v>-16</v>
      </c>
      <c r="AE53" s="23" t="str">
        <f>_xlfn.XLOOKUP($C53,'MP (1)'!$B$6:$B$100,'MP (1)'!$H$6:$H$100,"")</f>
        <v/>
      </c>
      <c r="AF53" s="22" t="str">
        <f>_xlfn.XLOOKUP($C53,'MP (2)'!$B$6:$B$100,'MP (2)'!$H$6:$H$100,"")</f>
        <v/>
      </c>
      <c r="AG53" s="21">
        <f>_xlfn.XLOOKUP($C53,'PP1 (1)'!$B$6:$B$66,'PP1 (1)'!$H$6:$H$66,"")</f>
        <v>-17</v>
      </c>
      <c r="AH53" s="22">
        <f>_xlfn.XLOOKUP($C53,'PP1 (2)'!$B$6:$B$100,'PP1 (2)'!$H$6:$H$100,"")</f>
        <v>1</v>
      </c>
      <c r="AI53" s="18" t="str">
        <f>_xlfn.XLOOKUP($C53,'PP2 (1)'!$B$6:$B$99,'PP2 (1)'!$H$6:$H$99,"")</f>
        <v/>
      </c>
      <c r="AJ53" s="19" t="str">
        <f>_xlfn.XLOOKUP($C53,'PP2 (2)'!$B$6:$B$100,'PP2 (2)'!$H$6:$H$100,"")</f>
        <v/>
      </c>
      <c r="AK53" s="21" t="str">
        <f>_xlfn.XLOOKUP($C53,'PP3 (1)'!$B$5:$B$113,'PP3 (1)'!$H$5:$H$113,"")</f>
        <v/>
      </c>
      <c r="AL53" s="22" t="str">
        <f>_xlfn.XLOOKUP($C53,'PP3 (2)'!$B$5:$B$112,'PP3 (2)'!$H$5:$H$112,"")</f>
        <v/>
      </c>
      <c r="AM53" s="18" t="str">
        <f>_xlfn.XLOOKUP($C53,'PP4 (1)'!$B$6:$B$100,'PP4 (1)'!$H$6:$H$100,"")</f>
        <v/>
      </c>
      <c r="AN53" s="19" t="str">
        <f>_xlfn.XLOOKUP($C53,'PP4 (2)'!$B$6:$B$100,'PP4 (2)'!$H$6:$H$100,"")</f>
        <v/>
      </c>
      <c r="AO53" s="21" t="str">
        <f>_xlfn.XLOOKUP($C53,'PP5 (1)'!$B$6:$B$100,'PP5 (1)'!$H$6:$H$100,"")</f>
        <v/>
      </c>
      <c r="AP53" s="29" t="str">
        <f>_xlfn.XLOOKUP($C53,'PP5(2)'!$B$6:$B$100,'PP5(2)'!$H$6:$H$100,"")</f>
        <v/>
      </c>
    </row>
    <row r="54" spans="1:42" ht="13.1" customHeight="1" x14ac:dyDescent="0.25">
      <c r="A54" s="1">
        <f>ROW()-4</f>
        <v>50</v>
      </c>
      <c r="B54" s="1">
        <v>4</v>
      </c>
      <c r="C54" s="3" t="s">
        <v>48</v>
      </c>
      <c r="D54" s="26">
        <f>SUM(E54:P54)</f>
        <v>0.57000000000000006</v>
      </c>
      <c r="E54" s="23">
        <f>_xlfn.XLOOKUP($C54,'MP (1)'!$B$6:$B$100,'MP (1)'!$E$6:$E$100,"")</f>
        <v>0.17</v>
      </c>
      <c r="F54" s="22">
        <f>_xlfn.XLOOKUP($C54,'MP (2)'!$B$6:$B$100,'MP (2)'!$E$6:$E$100,"")</f>
        <v>0.4</v>
      </c>
      <c r="G54" s="21" t="str">
        <f>_xlfn.XLOOKUP($C54,'PP1 (1)'!$B$6:$B$66,'PP1 (1)'!$E$6:$E$66,"")</f>
        <v/>
      </c>
      <c r="H54" s="22" t="str">
        <f>_xlfn.XLOOKUP($C54,'PP1 (2)'!$B$6:$B$100,'PP1 (2)'!$E$6:$E$100,"")</f>
        <v/>
      </c>
      <c r="I54" s="18" t="str">
        <f>_xlfn.XLOOKUP($C54,'PP2 (1)'!$B$6:$B$99,'PP2 (1)'!$E$6:$E$99,"")</f>
        <v/>
      </c>
      <c r="J54" s="20" t="str">
        <f>_xlfn.XLOOKUP($C54,'PP2 (2)'!$B$6:$B$100,'PP2 (2)'!$E$6:$E$100,"")</f>
        <v/>
      </c>
      <c r="K54" s="21" t="str">
        <f>_xlfn.XLOOKUP($C54,'PP3 (1)'!$B$5:$B$113,'PP3 (1)'!$E$5:$E$113,"")</f>
        <v/>
      </c>
      <c r="L54" s="22" t="str">
        <f>_xlfn.XLOOKUP($C54,'PP3 (2)'!$B$5:$B$112,'PP3 (2)'!$E$5:$E$112,"")</f>
        <v/>
      </c>
      <c r="M54" s="18" t="str">
        <f>_xlfn.XLOOKUP($C54,'PP4 (1)'!$B$6:$B$100,'PP4 (1)'!$E$6:$E$100,"")</f>
        <v/>
      </c>
      <c r="N54" s="20" t="str">
        <f>_xlfn.XLOOKUP($C54,'PP4 (2)'!$B$6:$B$100,'PP4 (2)'!$E$6:$E$100,"")</f>
        <v/>
      </c>
      <c r="O54" s="21" t="str">
        <f>_xlfn.XLOOKUP($C54,'PP5 (1)'!$B$6:$B$100,'PP5 (1)'!$E$6:$E$100,"")</f>
        <v/>
      </c>
      <c r="P54" s="23" t="str">
        <f>_xlfn.XLOOKUP($C54,'PP5(2)'!$B$6:$B$100,'PP5(2)'!$E$6:$E$100,"")</f>
        <v/>
      </c>
      <c r="Q54" s="10">
        <f>SUM(R54:AC54)</f>
        <v>37</v>
      </c>
      <c r="R54" s="23">
        <f>_xlfn.XLOOKUP($C54,'MP (1)'!$B$6:$B$100,'MP (1)'!$F$6:$F$100,"")</f>
        <v>17</v>
      </c>
      <c r="S54" s="22">
        <f>_xlfn.XLOOKUP($C54,'MP (2)'!$B$6:$B$100,'MP (2)'!$F$6:$F$100,"")</f>
        <v>20</v>
      </c>
      <c r="T54" s="21" t="str">
        <f>_xlfn.XLOOKUP($C54,'PP1 (1)'!$B$6:$B$66,'PP1 (1)'!$F$6:$F$66,"")</f>
        <v/>
      </c>
      <c r="U54" s="22" t="str">
        <f>_xlfn.XLOOKUP($C54,'PP1 (2)'!$B$6:$B$100,'PP1 (2)'!$F$6:$F$100,"")</f>
        <v/>
      </c>
      <c r="V54" s="18" t="str">
        <f>_xlfn.XLOOKUP($C54,'PP2 (1)'!$B$6:$B$99,'PP2 (1)'!$F$6:$F$99,"")</f>
        <v/>
      </c>
      <c r="W54" s="20" t="str">
        <f>_xlfn.XLOOKUP($C54,'PP2 (2)'!$B$6:$B$100,'PP2 (2)'!$F$6:$F$100,"")</f>
        <v/>
      </c>
      <c r="X54" s="21" t="str">
        <f>_xlfn.XLOOKUP($C54,'PP3 (1)'!$B$5:$B$113,'PP3 (1)'!$F$5:$F$113,"")</f>
        <v/>
      </c>
      <c r="Y54" s="22" t="str">
        <f>_xlfn.XLOOKUP($C54,'PP3 (2)'!$B$5:$B$112,'PP3 (2)'!$F$5:$F$112,"")</f>
        <v/>
      </c>
      <c r="Z54" s="18" t="str">
        <f>_xlfn.XLOOKUP($C54,'PP4 (1)'!$B$6:$B$100,'PP4 (1)'!$F$6:$F$100,"")</f>
        <v/>
      </c>
      <c r="AA54" s="20" t="str">
        <f>_xlfn.XLOOKUP($C54,'PP4 (2)'!$B$6:$B$100,'PP4 (2)'!$F$6:$F$100,"")</f>
        <v/>
      </c>
      <c r="AB54" s="21" t="str">
        <f>_xlfn.XLOOKUP($C54,'PP5 (1)'!$B$6:$B$100,'PP5 (1)'!$F$6:$F$100,"")</f>
        <v/>
      </c>
      <c r="AC54" s="23" t="str">
        <f>_xlfn.XLOOKUP($C54,'PP5(2)'!$B$6:$B$100,'PP5(2)'!$F$6:$F$100,"")</f>
        <v/>
      </c>
      <c r="AD54" s="10">
        <f>SUM(AE54:AP54)</f>
        <v>-10</v>
      </c>
      <c r="AE54" s="23">
        <f>_xlfn.XLOOKUP($C54,'MP (1)'!$B$6:$B$100,'MP (1)'!$H$6:$H$100,"")</f>
        <v>-11</v>
      </c>
      <c r="AF54" s="22">
        <f>_xlfn.XLOOKUP($C54,'MP (2)'!$B$6:$B$100,'MP (2)'!$H$6:$H$100,"")</f>
        <v>1</v>
      </c>
      <c r="AG54" s="21" t="str">
        <f>_xlfn.XLOOKUP($C54,'PP1 (1)'!$B$6:$B$66,'PP1 (1)'!$H$6:$H$66,"")</f>
        <v/>
      </c>
      <c r="AH54" s="22" t="str">
        <f>_xlfn.XLOOKUP($C54,'PP1 (2)'!$B$6:$B$100,'PP1 (2)'!$H$6:$H$100,"")</f>
        <v/>
      </c>
      <c r="AI54" s="18" t="str">
        <f>_xlfn.XLOOKUP($C54,'PP2 (1)'!$B$6:$B$99,'PP2 (1)'!$H$6:$H$99,"")</f>
        <v/>
      </c>
      <c r="AJ54" s="19" t="str">
        <f>_xlfn.XLOOKUP($C54,'PP2 (2)'!$B$6:$B$100,'PP2 (2)'!$H$6:$H$100,"")</f>
        <v/>
      </c>
      <c r="AK54" s="21" t="str">
        <f>_xlfn.XLOOKUP($C54,'PP3 (1)'!$B$5:$B$113,'PP3 (1)'!$H$5:$H$113,"")</f>
        <v/>
      </c>
      <c r="AL54" s="22" t="str">
        <f>_xlfn.XLOOKUP($C54,'PP3 (2)'!$B$5:$B$112,'PP3 (2)'!$H$5:$H$112,"")</f>
        <v/>
      </c>
      <c r="AM54" s="18" t="str">
        <f>_xlfn.XLOOKUP($C54,'PP4 (1)'!$B$6:$B$100,'PP4 (1)'!$H$6:$H$100,"")</f>
        <v/>
      </c>
      <c r="AN54" s="19" t="str">
        <f>_xlfn.XLOOKUP($C54,'PP4 (2)'!$B$6:$B$100,'PP4 (2)'!$H$6:$H$100,"")</f>
        <v/>
      </c>
      <c r="AO54" s="21" t="str">
        <f>_xlfn.XLOOKUP($C54,'PP5 (1)'!$B$6:$B$100,'PP5 (1)'!$H$6:$H$100,"")</f>
        <v/>
      </c>
      <c r="AP54" s="29" t="str">
        <f>_xlfn.XLOOKUP($C54,'PP5(2)'!$B$6:$B$100,'PP5(2)'!$H$6:$H$100,"")</f>
        <v/>
      </c>
    </row>
    <row r="55" spans="1:42" ht="13.1" customHeight="1" x14ac:dyDescent="0.25">
      <c r="A55" s="1">
        <f>ROW()-4</f>
        <v>51</v>
      </c>
      <c r="B55" s="1">
        <v>4</v>
      </c>
      <c r="C55" s="3" t="s">
        <v>65</v>
      </c>
      <c r="D55" s="26">
        <f>SUM(E55:P55)</f>
        <v>0.4</v>
      </c>
      <c r="E55" s="23">
        <f>_xlfn.XLOOKUP($C55,'MP (1)'!$B$6:$B$100,'MP (1)'!$E$6:$E$100,"")</f>
        <v>0</v>
      </c>
      <c r="F55" s="22">
        <f>_xlfn.XLOOKUP($C55,'MP (2)'!$B$6:$B$100,'MP (2)'!$E$6:$E$100,"")</f>
        <v>0</v>
      </c>
      <c r="G55" s="21" t="str">
        <f>_xlfn.XLOOKUP($C55,'PP1 (1)'!$B$6:$B$66,'PP1 (1)'!$E$6:$E$66,"")</f>
        <v/>
      </c>
      <c r="H55" s="22" t="str">
        <f>_xlfn.XLOOKUP($C55,'PP1 (2)'!$B$6:$B$100,'PP1 (2)'!$E$6:$E$100,"")</f>
        <v/>
      </c>
      <c r="I55" s="18" t="str">
        <f>_xlfn.XLOOKUP($C55,'PP2 (1)'!$B$6:$B$99,'PP2 (1)'!$E$6:$E$99,"")</f>
        <v/>
      </c>
      <c r="J55" s="20" t="str">
        <f>_xlfn.XLOOKUP($C55,'PP2 (2)'!$B$6:$B$100,'PP2 (2)'!$E$6:$E$100,"")</f>
        <v/>
      </c>
      <c r="K55" s="21" t="str">
        <f>_xlfn.XLOOKUP($C55,'PP3 (1)'!$B$5:$B$113,'PP3 (1)'!$E$5:$E$113,"")</f>
        <v/>
      </c>
      <c r="L55" s="22" t="str">
        <f>_xlfn.XLOOKUP($C55,'PP3 (2)'!$B$5:$B$112,'PP3 (2)'!$E$5:$E$112,"")</f>
        <v/>
      </c>
      <c r="M55" s="18">
        <f>_xlfn.XLOOKUP($C55,'PP4 (1)'!$B$6:$B$100,'PP4 (1)'!$E$6:$E$100,"")</f>
        <v>0.4</v>
      </c>
      <c r="N55" s="20">
        <f>_xlfn.XLOOKUP($C55,'PP4 (2)'!$B$6:$B$100,'PP4 (2)'!$E$6:$E$100,"")</f>
        <v>0</v>
      </c>
      <c r="O55" s="21">
        <f>_xlfn.XLOOKUP($C55,'PP5 (1)'!$B$6:$B$100,'PP5 (1)'!$E$6:$E$100,"")</f>
        <v>0</v>
      </c>
      <c r="P55" s="23">
        <f>_xlfn.XLOOKUP($C55,'PP5(2)'!$B$6:$B$100,'PP5(2)'!$E$6:$E$100,"")</f>
        <v>0</v>
      </c>
      <c r="Q55" s="10">
        <f>SUM(R55:AC55)</f>
        <v>45</v>
      </c>
      <c r="R55" s="23">
        <f>_xlfn.XLOOKUP($C55,'MP (1)'!$B$6:$B$100,'MP (1)'!$F$6:$F$100,"")</f>
        <v>5</v>
      </c>
      <c r="S55" s="22">
        <f>_xlfn.XLOOKUP($C55,'MP (2)'!$B$6:$B$100,'MP (2)'!$F$6:$F$100,"")</f>
        <v>10</v>
      </c>
      <c r="T55" s="21" t="str">
        <f>_xlfn.XLOOKUP($C55,'PP1 (1)'!$B$6:$B$66,'PP1 (1)'!$F$6:$F$66,"")</f>
        <v/>
      </c>
      <c r="U55" s="22" t="str">
        <f>_xlfn.XLOOKUP($C55,'PP1 (2)'!$B$6:$B$100,'PP1 (2)'!$F$6:$F$100,"")</f>
        <v/>
      </c>
      <c r="V55" s="18" t="str">
        <f>_xlfn.XLOOKUP($C55,'PP2 (1)'!$B$6:$B$99,'PP2 (1)'!$F$6:$F$99,"")</f>
        <v/>
      </c>
      <c r="W55" s="20" t="str">
        <f>_xlfn.XLOOKUP($C55,'PP2 (2)'!$B$6:$B$100,'PP2 (2)'!$F$6:$F$100,"")</f>
        <v/>
      </c>
      <c r="X55" s="21" t="str">
        <f>_xlfn.XLOOKUP($C55,'PP3 (1)'!$B$5:$B$113,'PP3 (1)'!$F$5:$F$113,"")</f>
        <v/>
      </c>
      <c r="Y55" s="22" t="str">
        <f>_xlfn.XLOOKUP($C55,'PP3 (2)'!$B$5:$B$112,'PP3 (2)'!$F$5:$F$112,"")</f>
        <v/>
      </c>
      <c r="Z55" s="18">
        <f>_xlfn.XLOOKUP($C55,'PP4 (1)'!$B$6:$B$100,'PP4 (1)'!$F$6:$F$100,"")</f>
        <v>10</v>
      </c>
      <c r="AA55" s="20">
        <f>_xlfn.XLOOKUP($C55,'PP4 (2)'!$B$6:$B$100,'PP4 (2)'!$F$6:$F$100,"")</f>
        <v>8</v>
      </c>
      <c r="AB55" s="21">
        <f>_xlfn.XLOOKUP($C55,'PP5 (1)'!$B$6:$B$100,'PP5 (1)'!$F$6:$F$100,"")</f>
        <v>4</v>
      </c>
      <c r="AC55" s="23">
        <f>_xlfn.XLOOKUP($C55,'PP5(2)'!$B$6:$B$100,'PP5(2)'!$F$6:$F$100,"")</f>
        <v>8</v>
      </c>
      <c r="AD55" s="10">
        <f>SUM(AE55:AP55)</f>
        <v>-91</v>
      </c>
      <c r="AE55" s="23">
        <f>_xlfn.XLOOKUP($C55,'MP (1)'!$B$6:$B$100,'MP (1)'!$H$6:$H$100,"")</f>
        <v>-15</v>
      </c>
      <c r="AF55" s="22">
        <f>_xlfn.XLOOKUP($C55,'MP (2)'!$B$6:$B$100,'MP (2)'!$H$6:$H$100,"")</f>
        <v>-15</v>
      </c>
      <c r="AG55" s="21" t="str">
        <f>_xlfn.XLOOKUP($C55,'PP1 (1)'!$B$6:$B$66,'PP1 (1)'!$H$6:$H$66,"")</f>
        <v/>
      </c>
      <c r="AH55" s="22" t="str">
        <f>_xlfn.XLOOKUP($C55,'PP1 (2)'!$B$6:$B$100,'PP1 (2)'!$H$6:$H$100,"")</f>
        <v/>
      </c>
      <c r="AI55" s="18" t="str">
        <f>_xlfn.XLOOKUP($C55,'PP2 (1)'!$B$6:$B$99,'PP2 (1)'!$H$6:$H$99,"")</f>
        <v/>
      </c>
      <c r="AJ55" s="19" t="str">
        <f>_xlfn.XLOOKUP($C55,'PP2 (2)'!$B$6:$B$100,'PP2 (2)'!$H$6:$H$100,"")</f>
        <v/>
      </c>
      <c r="AK55" s="21" t="str">
        <f>_xlfn.XLOOKUP($C55,'PP3 (1)'!$B$5:$B$113,'PP3 (1)'!$H$5:$H$113,"")</f>
        <v/>
      </c>
      <c r="AL55" s="22" t="str">
        <f>_xlfn.XLOOKUP($C55,'PP3 (2)'!$B$5:$B$112,'PP3 (2)'!$H$5:$H$112,"")</f>
        <v/>
      </c>
      <c r="AM55" s="18">
        <f>_xlfn.XLOOKUP($C55,'PP4 (1)'!$B$6:$B$100,'PP4 (1)'!$H$6:$H$100,"")</f>
        <v>-6</v>
      </c>
      <c r="AN55" s="19">
        <f>_xlfn.XLOOKUP($C55,'PP4 (2)'!$B$6:$B$100,'PP4 (2)'!$H$6:$H$100,"")</f>
        <v>-17</v>
      </c>
      <c r="AO55" s="21">
        <f>_xlfn.XLOOKUP($C55,'PP5 (1)'!$B$6:$B$100,'PP5 (1)'!$H$6:$H$100,"")</f>
        <v>-21</v>
      </c>
      <c r="AP55" s="29">
        <f>_xlfn.XLOOKUP($C55,'PP5(2)'!$B$6:$B$100,'PP5(2)'!$H$6:$H$100,"")</f>
        <v>-17</v>
      </c>
    </row>
    <row r="56" spans="1:42" ht="13.1" customHeight="1" x14ac:dyDescent="0.25">
      <c r="A56" s="1">
        <f>ROW()-4</f>
        <v>52</v>
      </c>
      <c r="B56" s="1" t="s">
        <v>155</v>
      </c>
      <c r="C56" s="3" t="s">
        <v>64</v>
      </c>
      <c r="D56" s="26">
        <f>SUM(E56:P56)</f>
        <v>0.4</v>
      </c>
      <c r="E56" s="23">
        <f>_xlfn.XLOOKUP($C56,'MP (1)'!$B$6:$B$100,'MP (1)'!$E$6:$E$100,"")</f>
        <v>0.2</v>
      </c>
      <c r="F56" s="22">
        <f>_xlfn.XLOOKUP($C56,'MP (2)'!$B$6:$B$100,'MP (2)'!$E$6:$E$100,"")</f>
        <v>0.2</v>
      </c>
      <c r="G56" s="21" t="str">
        <f>_xlfn.XLOOKUP($C56,'PP1 (1)'!$B$6:$B$66,'PP1 (1)'!$E$6:$E$66,"")</f>
        <v/>
      </c>
      <c r="H56" s="22" t="str">
        <f>_xlfn.XLOOKUP($C56,'PP1 (2)'!$B$6:$B$100,'PP1 (2)'!$E$6:$E$100,"")</f>
        <v/>
      </c>
      <c r="I56" s="18" t="str">
        <f>_xlfn.XLOOKUP($C56,'PP2 (1)'!$B$6:$B$99,'PP2 (1)'!$E$6:$E$99,"")</f>
        <v/>
      </c>
      <c r="J56" s="20" t="str">
        <f>_xlfn.XLOOKUP($C56,'PP2 (2)'!$B$6:$B$100,'PP2 (2)'!$E$6:$E$100,"")</f>
        <v/>
      </c>
      <c r="K56" s="21">
        <f>_xlfn.XLOOKUP($C56,'PP3 (1)'!$B$5:$B$113,'PP3 (1)'!$E$5:$E$113,"")</f>
        <v>0</v>
      </c>
      <c r="L56" s="22">
        <f>_xlfn.XLOOKUP($C56,'PP3 (2)'!$B$5:$B$112,'PP3 (2)'!$E$5:$E$112,"")</f>
        <v>0</v>
      </c>
      <c r="M56" s="18" t="str">
        <f>_xlfn.XLOOKUP($C56,'PP4 (1)'!$B$6:$B$100,'PP4 (1)'!$E$6:$E$100,"")</f>
        <v/>
      </c>
      <c r="N56" s="20" t="str">
        <f>_xlfn.XLOOKUP($C56,'PP4 (2)'!$B$6:$B$100,'PP4 (2)'!$E$6:$E$100,"")</f>
        <v/>
      </c>
      <c r="O56" s="21" t="str">
        <f>_xlfn.XLOOKUP($C56,'PP5 (1)'!$B$6:$B$100,'PP5 (1)'!$E$6:$E$100,"")</f>
        <v/>
      </c>
      <c r="P56" s="23" t="str">
        <f>_xlfn.XLOOKUP($C56,'PP5(2)'!$B$6:$B$100,'PP5(2)'!$E$6:$E$100,"")</f>
        <v/>
      </c>
      <c r="Q56" s="10">
        <f>SUM(R56:AC56)</f>
        <v>31</v>
      </c>
      <c r="R56" s="23">
        <f>_xlfn.XLOOKUP($C56,'MP (1)'!$B$6:$B$100,'MP (1)'!$F$6:$F$100,"")</f>
        <v>9</v>
      </c>
      <c r="S56" s="22">
        <f>_xlfn.XLOOKUP($C56,'MP (2)'!$B$6:$B$100,'MP (2)'!$F$6:$F$100,"")</f>
        <v>8</v>
      </c>
      <c r="T56" s="21" t="str">
        <f>_xlfn.XLOOKUP($C56,'PP1 (1)'!$B$6:$B$66,'PP1 (1)'!$F$6:$F$66,"")</f>
        <v/>
      </c>
      <c r="U56" s="22" t="str">
        <f>_xlfn.XLOOKUP($C56,'PP1 (2)'!$B$6:$B$100,'PP1 (2)'!$F$6:$F$100,"")</f>
        <v/>
      </c>
      <c r="V56" s="18" t="str">
        <f>_xlfn.XLOOKUP($C56,'PP2 (1)'!$B$6:$B$99,'PP2 (1)'!$F$6:$F$99,"")</f>
        <v/>
      </c>
      <c r="W56" s="20" t="str">
        <f>_xlfn.XLOOKUP($C56,'PP2 (2)'!$B$6:$B$100,'PP2 (2)'!$F$6:$F$100,"")</f>
        <v/>
      </c>
      <c r="X56" s="21">
        <f>_xlfn.XLOOKUP($C56,'PP3 (1)'!$B$5:$B$113,'PP3 (1)'!$F$5:$F$113,"")</f>
        <v>9</v>
      </c>
      <c r="Y56" s="22">
        <f>_xlfn.XLOOKUP($C56,'PP3 (2)'!$B$5:$B$112,'PP3 (2)'!$F$5:$F$112,"")</f>
        <v>5</v>
      </c>
      <c r="Z56" s="18" t="str">
        <f>_xlfn.XLOOKUP($C56,'PP4 (1)'!$B$6:$B$100,'PP4 (1)'!$F$6:$F$100,"")</f>
        <v/>
      </c>
      <c r="AA56" s="20" t="str">
        <f>_xlfn.XLOOKUP($C56,'PP4 (2)'!$B$6:$B$100,'PP4 (2)'!$F$6:$F$100,"")</f>
        <v/>
      </c>
      <c r="AB56" s="21" t="str">
        <f>_xlfn.XLOOKUP($C56,'PP5 (1)'!$B$6:$B$100,'PP5 (1)'!$F$6:$F$100,"")</f>
        <v/>
      </c>
      <c r="AC56" s="23" t="str">
        <f>_xlfn.XLOOKUP($C56,'PP5(2)'!$B$6:$B$100,'PP5(2)'!$F$6:$F$100,"")</f>
        <v/>
      </c>
      <c r="AD56" s="10">
        <f>SUM(AE56:AP56)</f>
        <v>-75</v>
      </c>
      <c r="AE56" s="23">
        <f>_xlfn.XLOOKUP($C56,'MP (1)'!$B$6:$B$100,'MP (1)'!$H$6:$H$100,"")</f>
        <v>-14</v>
      </c>
      <c r="AF56" s="22">
        <f>_xlfn.XLOOKUP($C56,'MP (2)'!$B$6:$B$100,'MP (2)'!$H$6:$H$100,"")</f>
        <v>-15</v>
      </c>
      <c r="AG56" s="21" t="str">
        <f>_xlfn.XLOOKUP($C56,'PP1 (1)'!$B$6:$B$66,'PP1 (1)'!$H$6:$H$66,"")</f>
        <v/>
      </c>
      <c r="AH56" s="22" t="str">
        <f>_xlfn.XLOOKUP($C56,'PP1 (2)'!$B$6:$B$100,'PP1 (2)'!$H$6:$H$100,"")</f>
        <v/>
      </c>
      <c r="AI56" s="18" t="str">
        <f>_xlfn.XLOOKUP($C56,'PP2 (1)'!$B$6:$B$99,'PP2 (1)'!$H$6:$H$99,"")</f>
        <v/>
      </c>
      <c r="AJ56" s="19" t="str">
        <f>_xlfn.XLOOKUP($C56,'PP2 (2)'!$B$6:$B$100,'PP2 (2)'!$H$6:$H$100,"")</f>
        <v/>
      </c>
      <c r="AK56" s="21">
        <f>_xlfn.XLOOKUP($C56,'PP3 (1)'!$B$5:$B$113,'PP3 (1)'!$H$5:$H$113,"")</f>
        <v>-21</v>
      </c>
      <c r="AL56" s="22">
        <f>_xlfn.XLOOKUP($C56,'PP3 (2)'!$B$5:$B$112,'PP3 (2)'!$H$5:$H$112,"")</f>
        <v>-25</v>
      </c>
      <c r="AM56" s="18" t="str">
        <f>_xlfn.XLOOKUP($C56,'PP4 (1)'!$B$6:$B$100,'PP4 (1)'!$H$6:$H$100,"")</f>
        <v/>
      </c>
      <c r="AN56" s="19" t="str">
        <f>_xlfn.XLOOKUP($C56,'PP4 (2)'!$B$6:$B$100,'PP4 (2)'!$H$6:$H$100,"")</f>
        <v/>
      </c>
      <c r="AO56" s="21" t="str">
        <f>_xlfn.XLOOKUP($C56,'PP5 (1)'!$B$6:$B$100,'PP5 (1)'!$H$6:$H$100,"")</f>
        <v/>
      </c>
      <c r="AP56" s="29" t="str">
        <f>_xlfn.XLOOKUP($C56,'PP5(2)'!$B$6:$B$100,'PP5(2)'!$H$6:$H$100,"")</f>
        <v/>
      </c>
    </row>
    <row r="57" spans="1:42" ht="13.1" customHeight="1" x14ac:dyDescent="0.25">
      <c r="A57" s="1">
        <f>ROW()-4</f>
        <v>53</v>
      </c>
      <c r="B57" s="1">
        <v>1</v>
      </c>
      <c r="C57" s="3" t="s">
        <v>61</v>
      </c>
      <c r="D57" s="26">
        <f>SUM(E57:P57)</f>
        <v>0.37</v>
      </c>
      <c r="E57" s="23" t="str">
        <f>_xlfn.XLOOKUP($C57,'MP (1)'!$B$6:$B$100,'MP (1)'!$E$6:$E$100,"")</f>
        <v/>
      </c>
      <c r="F57" s="22" t="str">
        <f>_xlfn.XLOOKUP($C57,'MP (2)'!$B$6:$B$100,'MP (2)'!$E$6:$E$100,"")</f>
        <v/>
      </c>
      <c r="G57" s="21">
        <f>_xlfn.XLOOKUP($C57,'PP1 (1)'!$B$6:$B$66,'PP1 (1)'!$E$6:$E$66,"")</f>
        <v>0.17</v>
      </c>
      <c r="H57" s="22">
        <f>_xlfn.XLOOKUP($C57,'PP1 (2)'!$B$6:$B$100,'PP1 (2)'!$E$6:$E$100,"")</f>
        <v>0.2</v>
      </c>
      <c r="I57" s="18" t="str">
        <f>_xlfn.XLOOKUP($C57,'PP2 (1)'!$B$6:$B$99,'PP2 (1)'!$E$6:$E$99,"")</f>
        <v/>
      </c>
      <c r="J57" s="20" t="str">
        <f>_xlfn.XLOOKUP($C57,'PP2 (2)'!$B$6:$B$100,'PP2 (2)'!$E$6:$E$100,"")</f>
        <v/>
      </c>
      <c r="K57" s="21" t="str">
        <f>_xlfn.XLOOKUP($C57,'PP3 (1)'!$B$5:$B$113,'PP3 (1)'!$E$5:$E$113,"")</f>
        <v/>
      </c>
      <c r="L57" s="22" t="str">
        <f>_xlfn.XLOOKUP($C57,'PP3 (2)'!$B$5:$B$112,'PP3 (2)'!$E$5:$E$112,"")</f>
        <v/>
      </c>
      <c r="M57" s="18" t="str">
        <f>_xlfn.XLOOKUP($C57,'PP4 (1)'!$B$6:$B$100,'PP4 (1)'!$E$6:$E$100,"")</f>
        <v/>
      </c>
      <c r="N57" s="20" t="str">
        <f>_xlfn.XLOOKUP($C57,'PP4 (2)'!$B$6:$B$100,'PP4 (2)'!$E$6:$E$100,"")</f>
        <v/>
      </c>
      <c r="O57" s="21" t="str">
        <f>_xlfn.XLOOKUP($C57,'PP5 (1)'!$B$6:$B$100,'PP5 (1)'!$E$6:$E$100,"")</f>
        <v/>
      </c>
      <c r="P57" s="23" t="str">
        <f>_xlfn.XLOOKUP($C57,'PP5(2)'!$B$6:$B$100,'PP5(2)'!$E$6:$E$100,"")</f>
        <v/>
      </c>
      <c r="Q57" s="10">
        <f>SUM(R57:AC57)</f>
        <v>23</v>
      </c>
      <c r="R57" s="23" t="str">
        <f>_xlfn.XLOOKUP($C57,'MP (1)'!$B$6:$B$100,'MP (1)'!$F$6:$F$100,"")</f>
        <v/>
      </c>
      <c r="S57" s="22" t="str">
        <f>_xlfn.XLOOKUP($C57,'MP (2)'!$B$6:$B$100,'MP (2)'!$F$6:$F$100,"")</f>
        <v/>
      </c>
      <c r="T57" s="21">
        <f>_xlfn.XLOOKUP($C57,'PP1 (1)'!$B$6:$B$66,'PP1 (1)'!$F$6:$F$66,"")</f>
        <v>15</v>
      </c>
      <c r="U57" s="22">
        <f>_xlfn.XLOOKUP($C57,'PP1 (2)'!$B$6:$B$100,'PP1 (2)'!$F$6:$F$100,"")</f>
        <v>8</v>
      </c>
      <c r="V57" s="18" t="str">
        <f>_xlfn.XLOOKUP($C57,'PP2 (1)'!$B$6:$B$99,'PP2 (1)'!$F$6:$F$99,"")</f>
        <v/>
      </c>
      <c r="W57" s="20" t="str">
        <f>_xlfn.XLOOKUP($C57,'PP2 (2)'!$B$6:$B$100,'PP2 (2)'!$F$6:$F$100,"")</f>
        <v/>
      </c>
      <c r="X57" s="21" t="str">
        <f>_xlfn.XLOOKUP($C57,'PP3 (1)'!$B$5:$B$113,'PP3 (1)'!$F$5:$F$113,"")</f>
        <v/>
      </c>
      <c r="Y57" s="22" t="str">
        <f>_xlfn.XLOOKUP($C57,'PP3 (2)'!$B$5:$B$112,'PP3 (2)'!$F$5:$F$112,"")</f>
        <v/>
      </c>
      <c r="Z57" s="18" t="str">
        <f>_xlfn.XLOOKUP($C57,'PP4 (1)'!$B$6:$B$100,'PP4 (1)'!$F$6:$F$100,"")</f>
        <v/>
      </c>
      <c r="AA57" s="20" t="str">
        <f>_xlfn.XLOOKUP($C57,'PP4 (2)'!$B$6:$B$100,'PP4 (2)'!$F$6:$F$100,"")</f>
        <v/>
      </c>
      <c r="AB57" s="21" t="str">
        <f>_xlfn.XLOOKUP($C57,'PP5 (1)'!$B$6:$B$100,'PP5 (1)'!$F$6:$F$100,"")</f>
        <v/>
      </c>
      <c r="AC57" s="23" t="str">
        <f>_xlfn.XLOOKUP($C57,'PP5(2)'!$B$6:$B$100,'PP5(2)'!$F$6:$F$100,"")</f>
        <v/>
      </c>
      <c r="AD57" s="10">
        <f>SUM(AE57:AP57)</f>
        <v>-27</v>
      </c>
      <c r="AE57" s="23" t="str">
        <f>_xlfn.XLOOKUP($C57,'MP (1)'!$B$6:$B$100,'MP (1)'!$H$6:$H$100,"")</f>
        <v/>
      </c>
      <c r="AF57" s="22" t="str">
        <f>_xlfn.XLOOKUP($C57,'MP (2)'!$B$6:$B$100,'MP (2)'!$H$6:$H$100,"")</f>
        <v/>
      </c>
      <c r="AG57" s="21">
        <f>_xlfn.XLOOKUP($C57,'PP1 (1)'!$B$6:$B$66,'PP1 (1)'!$H$6:$H$66,"")</f>
        <v>-12</v>
      </c>
      <c r="AH57" s="22">
        <f>_xlfn.XLOOKUP($C57,'PP1 (2)'!$B$6:$B$100,'PP1 (2)'!$H$6:$H$100,"")</f>
        <v>-15</v>
      </c>
      <c r="AI57" s="18" t="str">
        <f>_xlfn.XLOOKUP($C57,'PP2 (1)'!$B$6:$B$99,'PP2 (1)'!$H$6:$H$99,"")</f>
        <v/>
      </c>
      <c r="AJ57" s="19" t="str">
        <f>_xlfn.XLOOKUP($C57,'PP2 (2)'!$B$6:$B$100,'PP2 (2)'!$H$6:$H$100,"")</f>
        <v/>
      </c>
      <c r="AK57" s="21" t="str">
        <f>_xlfn.XLOOKUP($C57,'PP3 (1)'!$B$5:$B$113,'PP3 (1)'!$H$5:$H$113,"")</f>
        <v/>
      </c>
      <c r="AL57" s="22" t="str">
        <f>_xlfn.XLOOKUP($C57,'PP3 (2)'!$B$5:$B$112,'PP3 (2)'!$H$5:$H$112,"")</f>
        <v/>
      </c>
      <c r="AM57" s="18" t="str">
        <f>_xlfn.XLOOKUP($C57,'PP4 (1)'!$B$6:$B$100,'PP4 (1)'!$H$6:$H$100,"")</f>
        <v/>
      </c>
      <c r="AN57" s="19" t="str">
        <f>_xlfn.XLOOKUP($C57,'PP4 (2)'!$B$6:$B$100,'PP4 (2)'!$H$6:$H$100,"")</f>
        <v/>
      </c>
      <c r="AO57" s="21" t="str">
        <f>_xlfn.XLOOKUP($C57,'PP5 (1)'!$B$6:$B$100,'PP5 (1)'!$H$6:$H$100,"")</f>
        <v/>
      </c>
      <c r="AP57" s="29" t="str">
        <f>_xlfn.XLOOKUP($C57,'PP5(2)'!$B$6:$B$100,'PP5(2)'!$H$6:$H$100,"")</f>
        <v/>
      </c>
    </row>
    <row r="58" spans="1:42" ht="13.1" customHeight="1" x14ac:dyDescent="0.25">
      <c r="A58" s="1">
        <f>ROW()-4</f>
        <v>54</v>
      </c>
      <c r="B58" s="1" t="s">
        <v>156</v>
      </c>
      <c r="C58" s="3" t="s">
        <v>62</v>
      </c>
      <c r="D58" s="26">
        <f>SUM(E58:P58)</f>
        <v>0.34</v>
      </c>
      <c r="E58" s="23">
        <f>_xlfn.XLOOKUP($C58,'MP (1)'!$B$6:$B$100,'MP (1)'!$E$6:$E$100,"")</f>
        <v>0</v>
      </c>
      <c r="F58" s="22">
        <f>_xlfn.XLOOKUP($C58,'MP (2)'!$B$6:$B$100,'MP (2)'!$E$6:$E$100,"")</f>
        <v>0</v>
      </c>
      <c r="G58" s="21" t="str">
        <f>_xlfn.XLOOKUP($C58,'PP1 (1)'!$B$6:$B$66,'PP1 (1)'!$E$6:$E$66,"")</f>
        <v/>
      </c>
      <c r="H58" s="22" t="str">
        <f>_xlfn.XLOOKUP($C58,'PP1 (2)'!$B$6:$B$100,'PP1 (2)'!$E$6:$E$100,"")</f>
        <v/>
      </c>
      <c r="I58" s="18">
        <f>_xlfn.XLOOKUP($C58,'PP2 (1)'!$B$6:$B$99,'PP2 (1)'!$E$6:$E$99,"")</f>
        <v>0</v>
      </c>
      <c r="J58" s="20">
        <f>_xlfn.XLOOKUP($C58,'PP2 (2)'!$B$6:$B$100,'PP2 (2)'!$E$6:$E$100,"")</f>
        <v>0</v>
      </c>
      <c r="K58" s="21">
        <f>_xlfn.XLOOKUP($C58,'PP3 (1)'!$B$5:$B$113,'PP3 (1)'!$E$5:$E$113,"")</f>
        <v>0.17</v>
      </c>
      <c r="L58" s="22">
        <f>_xlfn.XLOOKUP($C58,'PP3 (2)'!$B$5:$B$112,'PP3 (2)'!$E$5:$E$112,"")</f>
        <v>0.17</v>
      </c>
      <c r="M58" s="18" t="str">
        <f>_xlfn.XLOOKUP($C58,'PP4 (1)'!$B$6:$B$100,'PP4 (1)'!$E$6:$E$100,"")</f>
        <v/>
      </c>
      <c r="N58" s="20" t="str">
        <f>_xlfn.XLOOKUP($C58,'PP4 (2)'!$B$6:$B$100,'PP4 (2)'!$E$6:$E$100,"")</f>
        <v/>
      </c>
      <c r="O58" s="21" t="str">
        <f>_xlfn.XLOOKUP($C58,'PP5 (1)'!$B$6:$B$100,'PP5 (1)'!$E$6:$E$100,"")</f>
        <v/>
      </c>
      <c r="P58" s="23" t="str">
        <f>_xlfn.XLOOKUP($C58,'PP5(2)'!$B$6:$B$100,'PP5(2)'!$E$6:$E$100,"")</f>
        <v/>
      </c>
      <c r="Q58" s="10">
        <f>SUM(R58:AC58)</f>
        <v>58</v>
      </c>
      <c r="R58" s="23">
        <f>_xlfn.XLOOKUP($C58,'MP (1)'!$B$6:$B$100,'MP (1)'!$F$6:$F$100,"")</f>
        <v>9</v>
      </c>
      <c r="S58" s="22">
        <f>_xlfn.XLOOKUP($C58,'MP (2)'!$B$6:$B$100,'MP (2)'!$F$6:$F$100,"")</f>
        <v>7</v>
      </c>
      <c r="T58" s="21" t="str">
        <f>_xlfn.XLOOKUP($C58,'PP1 (1)'!$B$6:$B$66,'PP1 (1)'!$F$6:$F$66,"")</f>
        <v/>
      </c>
      <c r="U58" s="22" t="str">
        <f>_xlfn.XLOOKUP($C58,'PP1 (2)'!$B$6:$B$100,'PP1 (2)'!$F$6:$F$100,"")</f>
        <v/>
      </c>
      <c r="V58" s="18">
        <f>_xlfn.XLOOKUP($C58,'PP2 (1)'!$B$6:$B$99,'PP2 (1)'!$F$6:$F$99,"")</f>
        <v>9</v>
      </c>
      <c r="W58" s="20">
        <f>_xlfn.XLOOKUP($C58,'PP2 (2)'!$B$6:$B$100,'PP2 (2)'!$F$6:$F$100,"")</f>
        <v>9</v>
      </c>
      <c r="X58" s="21">
        <f>_xlfn.XLOOKUP($C58,'PP3 (1)'!$B$5:$B$113,'PP3 (1)'!$F$5:$F$113,"")</f>
        <v>13</v>
      </c>
      <c r="Y58" s="22">
        <f>_xlfn.XLOOKUP($C58,'PP3 (2)'!$B$5:$B$112,'PP3 (2)'!$F$5:$F$112,"")</f>
        <v>11</v>
      </c>
      <c r="Z58" s="18" t="str">
        <f>_xlfn.XLOOKUP($C58,'PP4 (1)'!$B$6:$B$100,'PP4 (1)'!$F$6:$F$100,"")</f>
        <v/>
      </c>
      <c r="AA58" s="20" t="str">
        <f>_xlfn.XLOOKUP($C58,'PP4 (2)'!$B$6:$B$100,'PP4 (2)'!$F$6:$F$100,"")</f>
        <v/>
      </c>
      <c r="AB58" s="21" t="str">
        <f>_xlfn.XLOOKUP($C58,'PP5 (1)'!$B$6:$B$100,'PP5 (1)'!$F$6:$F$100,"")</f>
        <v/>
      </c>
      <c r="AC58" s="23" t="str">
        <f>_xlfn.XLOOKUP($C58,'PP5(2)'!$B$6:$B$100,'PP5(2)'!$F$6:$F$100,"")</f>
        <v/>
      </c>
      <c r="AD58" s="10">
        <f>SUM(AE58:AP58)</f>
        <v>-99</v>
      </c>
      <c r="AE58" s="23">
        <f>_xlfn.XLOOKUP($C58,'MP (1)'!$B$6:$B$100,'MP (1)'!$H$6:$H$100,"")</f>
        <v>-16</v>
      </c>
      <c r="AF58" s="22">
        <f>_xlfn.XLOOKUP($C58,'MP (2)'!$B$6:$B$100,'MP (2)'!$H$6:$H$100,"")</f>
        <v>-18</v>
      </c>
      <c r="AG58" s="21" t="str">
        <f>_xlfn.XLOOKUP($C58,'PP1 (1)'!$B$6:$B$66,'PP1 (1)'!$H$6:$H$66,"")</f>
        <v/>
      </c>
      <c r="AH58" s="22" t="str">
        <f>_xlfn.XLOOKUP($C58,'PP1 (2)'!$B$6:$B$100,'PP1 (2)'!$H$6:$H$100,"")</f>
        <v/>
      </c>
      <c r="AI58" s="18">
        <f>_xlfn.XLOOKUP($C58,'PP2 (1)'!$B$6:$B$99,'PP2 (1)'!$H$6:$H$99,"")</f>
        <v>-16</v>
      </c>
      <c r="AJ58" s="19">
        <f>_xlfn.XLOOKUP($C58,'PP2 (2)'!$B$6:$B$100,'PP2 (2)'!$H$6:$H$100,"")</f>
        <v>-16</v>
      </c>
      <c r="AK58" s="21">
        <f>_xlfn.XLOOKUP($C58,'PP3 (1)'!$B$5:$B$113,'PP3 (1)'!$H$5:$H$113,"")</f>
        <v>-15</v>
      </c>
      <c r="AL58" s="22">
        <f>_xlfn.XLOOKUP($C58,'PP3 (2)'!$B$5:$B$112,'PP3 (2)'!$H$5:$H$112,"")</f>
        <v>-18</v>
      </c>
      <c r="AM58" s="18" t="str">
        <f>_xlfn.XLOOKUP($C58,'PP4 (1)'!$B$6:$B$100,'PP4 (1)'!$H$6:$H$100,"")</f>
        <v/>
      </c>
      <c r="AN58" s="19" t="str">
        <f>_xlfn.XLOOKUP($C58,'PP4 (2)'!$B$6:$B$100,'PP4 (2)'!$H$6:$H$100,"")</f>
        <v/>
      </c>
      <c r="AO58" s="21" t="str">
        <f>_xlfn.XLOOKUP($C58,'PP5 (1)'!$B$6:$B$100,'PP5 (1)'!$H$6:$H$100,"")</f>
        <v/>
      </c>
      <c r="AP58" s="29" t="str">
        <f>_xlfn.XLOOKUP($C58,'PP5(2)'!$B$6:$B$100,'PP5(2)'!$H$6:$H$100,"")</f>
        <v/>
      </c>
    </row>
    <row r="59" spans="1:42" ht="13.1" customHeight="1" x14ac:dyDescent="0.25">
      <c r="A59" s="1">
        <f>ROW()-4</f>
        <v>55</v>
      </c>
      <c r="B59" s="1"/>
      <c r="C59" s="3" t="s">
        <v>52</v>
      </c>
      <c r="D59" s="26">
        <f>SUM(E59:P59)</f>
        <v>0.33</v>
      </c>
      <c r="E59" s="23" t="str">
        <f>_xlfn.XLOOKUP($C59,'MP (1)'!$B$6:$B$100,'MP (1)'!$E$6:$E$100,"")</f>
        <v/>
      </c>
      <c r="F59" s="22" t="str">
        <f>_xlfn.XLOOKUP($C59,'MP (2)'!$B$6:$B$100,'MP (2)'!$E$6:$E$100,"")</f>
        <v/>
      </c>
      <c r="G59" s="21" t="str">
        <f>_xlfn.XLOOKUP($C59,'PP1 (1)'!$B$6:$B$66,'PP1 (1)'!$E$6:$E$66,"")</f>
        <v/>
      </c>
      <c r="H59" s="22" t="str">
        <f>_xlfn.XLOOKUP($C59,'PP1 (2)'!$B$6:$B$100,'PP1 (2)'!$E$6:$E$100,"")</f>
        <v/>
      </c>
      <c r="I59" s="18" t="str">
        <f>_xlfn.XLOOKUP($C59,'PP2 (1)'!$B$6:$B$99,'PP2 (1)'!$E$6:$E$99,"")</f>
        <v/>
      </c>
      <c r="J59" s="20" t="str">
        <f>_xlfn.XLOOKUP($C59,'PP2 (2)'!$B$6:$B$100,'PP2 (2)'!$E$6:$E$100,"")</f>
        <v/>
      </c>
      <c r="K59" s="21">
        <f>_xlfn.XLOOKUP($C59,'PP3 (1)'!$B$5:$B$113,'PP3 (1)'!$E$5:$E$113,"")</f>
        <v>0.33</v>
      </c>
      <c r="L59" s="22">
        <f>_xlfn.XLOOKUP($C59,'PP3 (2)'!$B$5:$B$112,'PP3 (2)'!$E$5:$E$112,"")</f>
        <v>0</v>
      </c>
      <c r="M59" s="18" t="str">
        <f>_xlfn.XLOOKUP($C59,'PP4 (1)'!$B$6:$B$100,'PP4 (1)'!$E$6:$E$100,"")</f>
        <v/>
      </c>
      <c r="N59" s="20" t="str">
        <f>_xlfn.XLOOKUP($C59,'PP4 (2)'!$B$6:$B$100,'PP4 (2)'!$E$6:$E$100,"")</f>
        <v/>
      </c>
      <c r="O59" s="21" t="str">
        <f>_xlfn.XLOOKUP($C59,'PP5 (1)'!$B$6:$B$100,'PP5 (1)'!$E$6:$E$100,"")</f>
        <v/>
      </c>
      <c r="P59" s="23" t="str">
        <f>_xlfn.XLOOKUP($C59,'PP5(2)'!$B$6:$B$100,'PP5(2)'!$E$6:$E$100,"")</f>
        <v/>
      </c>
      <c r="Q59" s="10">
        <f>SUM(R59:AC59)</f>
        <v>22</v>
      </c>
      <c r="R59" s="23" t="str">
        <f>_xlfn.XLOOKUP($C59,'MP (1)'!$B$6:$B$100,'MP (1)'!$F$6:$F$100,"")</f>
        <v/>
      </c>
      <c r="S59" s="22" t="str">
        <f>_xlfn.XLOOKUP($C59,'MP (2)'!$B$6:$B$100,'MP (2)'!$F$6:$F$100,"")</f>
        <v/>
      </c>
      <c r="T59" s="21" t="str">
        <f>_xlfn.XLOOKUP($C59,'PP1 (1)'!$B$6:$B$66,'PP1 (1)'!$F$6:$F$66,"")</f>
        <v/>
      </c>
      <c r="U59" s="22" t="str">
        <f>_xlfn.XLOOKUP($C59,'PP1 (2)'!$B$6:$B$100,'PP1 (2)'!$F$6:$F$100,"")</f>
        <v/>
      </c>
      <c r="V59" s="18" t="str">
        <f>_xlfn.XLOOKUP($C59,'PP2 (1)'!$B$6:$B$99,'PP2 (1)'!$F$6:$F$99,"")</f>
        <v/>
      </c>
      <c r="W59" s="20" t="str">
        <f>_xlfn.XLOOKUP($C59,'PP2 (2)'!$B$6:$B$100,'PP2 (2)'!$F$6:$F$100,"")</f>
        <v/>
      </c>
      <c r="X59" s="21">
        <f>_xlfn.XLOOKUP($C59,'PP3 (1)'!$B$5:$B$113,'PP3 (1)'!$F$5:$F$113,"")</f>
        <v>18</v>
      </c>
      <c r="Y59" s="22">
        <f>_xlfn.XLOOKUP($C59,'PP3 (2)'!$B$5:$B$112,'PP3 (2)'!$F$5:$F$112,"")</f>
        <v>4</v>
      </c>
      <c r="Z59" s="18" t="str">
        <f>_xlfn.XLOOKUP($C59,'PP4 (1)'!$B$6:$B$100,'PP4 (1)'!$F$6:$F$100,"")</f>
        <v/>
      </c>
      <c r="AA59" s="20" t="str">
        <f>_xlfn.XLOOKUP($C59,'PP4 (2)'!$B$6:$B$100,'PP4 (2)'!$F$6:$F$100,"")</f>
        <v/>
      </c>
      <c r="AB59" s="21" t="str">
        <f>_xlfn.XLOOKUP($C59,'PP5 (1)'!$B$6:$B$100,'PP5 (1)'!$F$6:$F$100,"")</f>
        <v/>
      </c>
      <c r="AC59" s="23" t="str">
        <f>_xlfn.XLOOKUP($C59,'PP5(2)'!$B$6:$B$100,'PP5(2)'!$F$6:$F$100,"")</f>
        <v/>
      </c>
      <c r="AD59" s="10">
        <f>SUM(AE59:AP59)</f>
        <v>-34</v>
      </c>
      <c r="AE59" s="23" t="str">
        <f>_xlfn.XLOOKUP($C59,'MP (1)'!$B$6:$B$100,'MP (1)'!$H$6:$H$100,"")</f>
        <v/>
      </c>
      <c r="AF59" s="22" t="str">
        <f>_xlfn.XLOOKUP($C59,'MP (2)'!$B$6:$B$100,'MP (2)'!$H$6:$H$100,"")</f>
        <v/>
      </c>
      <c r="AG59" s="21" t="str">
        <f>_xlfn.XLOOKUP($C59,'PP1 (1)'!$B$6:$B$66,'PP1 (1)'!$H$6:$H$66,"")</f>
        <v/>
      </c>
      <c r="AH59" s="22" t="str">
        <f>_xlfn.XLOOKUP($C59,'PP1 (2)'!$B$6:$B$100,'PP1 (2)'!$H$6:$H$100,"")</f>
        <v/>
      </c>
      <c r="AI59" s="18" t="str">
        <f>_xlfn.XLOOKUP($C59,'PP2 (1)'!$B$6:$B$99,'PP2 (1)'!$H$6:$H$99,"")</f>
        <v/>
      </c>
      <c r="AJ59" s="19" t="str">
        <f>_xlfn.XLOOKUP($C59,'PP2 (2)'!$B$6:$B$100,'PP2 (2)'!$H$6:$H$100,"")</f>
        <v/>
      </c>
      <c r="AK59" s="21">
        <f>_xlfn.XLOOKUP($C59,'PP3 (1)'!$B$5:$B$113,'PP3 (1)'!$H$5:$H$113,"")</f>
        <v>-8</v>
      </c>
      <c r="AL59" s="22">
        <f>_xlfn.XLOOKUP($C59,'PP3 (2)'!$B$5:$B$112,'PP3 (2)'!$H$5:$H$112,"")</f>
        <v>-26</v>
      </c>
      <c r="AM59" s="18" t="str">
        <f>_xlfn.XLOOKUP($C59,'PP4 (1)'!$B$6:$B$100,'PP4 (1)'!$H$6:$H$100,"")</f>
        <v/>
      </c>
      <c r="AN59" s="19" t="str">
        <f>_xlfn.XLOOKUP($C59,'PP4 (2)'!$B$6:$B$100,'PP4 (2)'!$H$6:$H$100,"")</f>
        <v/>
      </c>
      <c r="AO59" s="21" t="str">
        <f>_xlfn.XLOOKUP($C59,'PP5 (1)'!$B$6:$B$100,'PP5 (1)'!$H$6:$H$100,"")</f>
        <v/>
      </c>
      <c r="AP59" s="29" t="str">
        <f>_xlfn.XLOOKUP($C59,'PP5(2)'!$B$6:$B$100,'PP5(2)'!$H$6:$H$100,"")</f>
        <v/>
      </c>
    </row>
    <row r="60" spans="1:42" ht="13.1" customHeight="1" x14ac:dyDescent="0.25">
      <c r="A60" s="1">
        <f>ROW()-4</f>
        <v>56</v>
      </c>
      <c r="B60" s="1" t="s">
        <v>157</v>
      </c>
      <c r="C60" s="3" t="s">
        <v>63</v>
      </c>
      <c r="D60" s="26">
        <f>SUM(E60:P60)</f>
        <v>0.2</v>
      </c>
      <c r="E60" s="23" t="str">
        <f>_xlfn.XLOOKUP($C60,'MP (1)'!$B$6:$B$100,'MP (1)'!$E$6:$E$100,"")</f>
        <v/>
      </c>
      <c r="F60" s="22" t="str">
        <f>_xlfn.XLOOKUP($C60,'MP (2)'!$B$6:$B$100,'MP (2)'!$E$6:$E$100,"")</f>
        <v/>
      </c>
      <c r="G60" s="21" t="str">
        <f>_xlfn.XLOOKUP($C60,'PP1 (1)'!$B$6:$B$66,'PP1 (1)'!$E$6:$E$66,"")</f>
        <v/>
      </c>
      <c r="H60" s="22" t="str">
        <f>_xlfn.XLOOKUP($C60,'PP1 (2)'!$B$6:$B$100,'PP1 (2)'!$E$6:$E$100,"")</f>
        <v/>
      </c>
      <c r="I60" s="18">
        <f>_xlfn.XLOOKUP($C60,'PP2 (1)'!$B$6:$B$99,'PP2 (1)'!$E$6:$E$99,"")</f>
        <v>0</v>
      </c>
      <c r="J60" s="20">
        <f>_xlfn.XLOOKUP($C60,'PP2 (2)'!$B$6:$B$100,'PP2 (2)'!$E$6:$E$100,"")</f>
        <v>0</v>
      </c>
      <c r="K60" s="21">
        <f>_xlfn.XLOOKUP($C60,'PP3 (1)'!$B$5:$B$113,'PP3 (1)'!$E$5:$E$113,"")</f>
        <v>0</v>
      </c>
      <c r="L60" s="22">
        <f>_xlfn.XLOOKUP($C60,'PP3 (2)'!$B$5:$B$112,'PP3 (2)'!$E$5:$E$112,"")</f>
        <v>0.2</v>
      </c>
      <c r="M60" s="18">
        <f>_xlfn.XLOOKUP($C60,'PP4 (1)'!$B$6:$B$100,'PP4 (1)'!$E$6:$E$100,"")</f>
        <v>0</v>
      </c>
      <c r="N60" s="20">
        <f>_xlfn.XLOOKUP($C60,'PP4 (2)'!$B$6:$B$100,'PP4 (2)'!$E$6:$E$100,"")</f>
        <v>0</v>
      </c>
      <c r="O60" s="21" t="str">
        <f>_xlfn.XLOOKUP($C60,'PP5 (1)'!$B$6:$B$100,'PP5 (1)'!$E$6:$E$100,"")</f>
        <v/>
      </c>
      <c r="P60" s="23" t="str">
        <f>_xlfn.XLOOKUP($C60,'PP5(2)'!$B$6:$B$100,'PP5(2)'!$E$6:$E$100,"")</f>
        <v/>
      </c>
      <c r="Q60" s="10">
        <f>SUM(R60:AC60)</f>
        <v>49</v>
      </c>
      <c r="R60" s="23" t="str">
        <f>_xlfn.XLOOKUP($C60,'MP (1)'!$B$6:$B$100,'MP (1)'!$F$6:$F$100,"")</f>
        <v/>
      </c>
      <c r="S60" s="22" t="str">
        <f>_xlfn.XLOOKUP($C60,'MP (2)'!$B$6:$B$100,'MP (2)'!$F$6:$F$100,"")</f>
        <v/>
      </c>
      <c r="T60" s="21" t="str">
        <f>_xlfn.XLOOKUP($C60,'PP1 (1)'!$B$6:$B$66,'PP1 (1)'!$F$6:$F$66,"")</f>
        <v/>
      </c>
      <c r="U60" s="22" t="str">
        <f>_xlfn.XLOOKUP($C60,'PP1 (2)'!$B$6:$B$100,'PP1 (2)'!$F$6:$F$100,"")</f>
        <v/>
      </c>
      <c r="V60" s="18">
        <f>_xlfn.XLOOKUP($C60,'PP2 (1)'!$B$6:$B$99,'PP2 (1)'!$F$6:$F$99,"")</f>
        <v>4</v>
      </c>
      <c r="W60" s="20">
        <f>_xlfn.XLOOKUP($C60,'PP2 (2)'!$B$6:$B$100,'PP2 (2)'!$F$6:$F$100,"")</f>
        <v>7</v>
      </c>
      <c r="X60" s="21">
        <f>_xlfn.XLOOKUP($C60,'PP3 (1)'!$B$5:$B$113,'PP3 (1)'!$F$5:$F$113,"")</f>
        <v>11</v>
      </c>
      <c r="Y60" s="22">
        <f>_xlfn.XLOOKUP($C60,'PP3 (2)'!$B$5:$B$112,'PP3 (2)'!$F$5:$F$112,"")</f>
        <v>11</v>
      </c>
      <c r="Z60" s="18">
        <f>_xlfn.XLOOKUP($C60,'PP4 (1)'!$B$6:$B$100,'PP4 (1)'!$F$6:$F$100,"")</f>
        <v>7</v>
      </c>
      <c r="AA60" s="20">
        <f>_xlfn.XLOOKUP($C60,'PP4 (2)'!$B$6:$B$100,'PP4 (2)'!$F$6:$F$100,"")</f>
        <v>9</v>
      </c>
      <c r="AB60" s="21" t="str">
        <f>_xlfn.XLOOKUP($C60,'PP5 (1)'!$B$6:$B$100,'PP5 (1)'!$F$6:$F$100,"")</f>
        <v/>
      </c>
      <c r="AC60" s="23" t="str">
        <f>_xlfn.XLOOKUP($C60,'PP5(2)'!$B$6:$B$100,'PP5(2)'!$F$6:$F$100,"")</f>
        <v/>
      </c>
      <c r="AD60" s="10">
        <f>SUM(AE60:AP60)</f>
        <v>-104</v>
      </c>
      <c r="AE60" s="23" t="str">
        <f>_xlfn.XLOOKUP($C60,'MP (1)'!$B$6:$B$100,'MP (1)'!$H$6:$H$100,"")</f>
        <v/>
      </c>
      <c r="AF60" s="22" t="str">
        <f>_xlfn.XLOOKUP($C60,'MP (2)'!$B$6:$B$100,'MP (2)'!$H$6:$H$100,"")</f>
        <v/>
      </c>
      <c r="AG60" s="21" t="str">
        <f>_xlfn.XLOOKUP($C60,'PP1 (1)'!$B$6:$B$66,'PP1 (1)'!$H$6:$H$66,"")</f>
        <v/>
      </c>
      <c r="AH60" s="22" t="str">
        <f>_xlfn.XLOOKUP($C60,'PP1 (2)'!$B$6:$B$100,'PP1 (2)'!$H$6:$H$100,"")</f>
        <v/>
      </c>
      <c r="AI60" s="18">
        <f>_xlfn.XLOOKUP($C60,'PP2 (1)'!$B$6:$B$99,'PP2 (1)'!$H$6:$H$99,"")</f>
        <v>-21</v>
      </c>
      <c r="AJ60" s="19">
        <f>_xlfn.XLOOKUP($C60,'PP2 (2)'!$B$6:$B$100,'PP2 (2)'!$H$6:$H$100,"")</f>
        <v>-18</v>
      </c>
      <c r="AK60" s="21">
        <f>_xlfn.XLOOKUP($C60,'PP3 (1)'!$B$5:$B$113,'PP3 (1)'!$H$5:$H$113,"")</f>
        <v>-19</v>
      </c>
      <c r="AL60" s="22">
        <f>_xlfn.XLOOKUP($C60,'PP3 (2)'!$B$5:$B$112,'PP3 (2)'!$H$5:$H$112,"")</f>
        <v>-12</v>
      </c>
      <c r="AM60" s="18">
        <f>_xlfn.XLOOKUP($C60,'PP4 (1)'!$B$6:$B$100,'PP4 (1)'!$H$6:$H$100,"")</f>
        <v>-18</v>
      </c>
      <c r="AN60" s="19">
        <f>_xlfn.XLOOKUP($C60,'PP4 (2)'!$B$6:$B$100,'PP4 (2)'!$H$6:$H$100,"")</f>
        <v>-16</v>
      </c>
      <c r="AO60" s="21" t="str">
        <f>_xlfn.XLOOKUP($C60,'PP5 (1)'!$B$6:$B$100,'PP5 (1)'!$H$6:$H$100,"")</f>
        <v/>
      </c>
      <c r="AP60" s="29" t="str">
        <f>_xlfn.XLOOKUP($C60,'PP5(2)'!$B$6:$B$100,'PP5(2)'!$H$6:$H$100,"")</f>
        <v/>
      </c>
    </row>
    <row r="61" spans="1:42" ht="13.1" customHeight="1" x14ac:dyDescent="0.25">
      <c r="A61" s="1">
        <f>ROW()-4</f>
        <v>57</v>
      </c>
      <c r="B61" s="1" t="s">
        <v>157</v>
      </c>
      <c r="C61" s="3" t="s">
        <v>66</v>
      </c>
      <c r="D61" s="26">
        <f>SUM(E61:P61)</f>
        <v>0.2</v>
      </c>
      <c r="E61" s="23" t="str">
        <f>_xlfn.XLOOKUP($C61,'MP (1)'!$B$6:$B$100,'MP (1)'!$E$6:$E$100,"")</f>
        <v/>
      </c>
      <c r="F61" s="22" t="str">
        <f>_xlfn.XLOOKUP($C61,'MP (2)'!$B$6:$B$100,'MP (2)'!$E$6:$E$100,"")</f>
        <v/>
      </c>
      <c r="G61" s="21">
        <f>_xlfn.XLOOKUP($C61,'PP1 (1)'!$B$6:$B$66,'PP1 (1)'!$E$6:$E$66,"")</f>
        <v>0.2</v>
      </c>
      <c r="H61" s="22">
        <f>_xlfn.XLOOKUP($C61,'PP1 (2)'!$B$6:$B$100,'PP1 (2)'!$E$6:$E$100,"")</f>
        <v>0</v>
      </c>
      <c r="I61" s="18" t="str">
        <f>_xlfn.XLOOKUP($C61,'PP2 (1)'!$B$6:$B$99,'PP2 (1)'!$E$6:$E$99,"")</f>
        <v/>
      </c>
      <c r="J61" s="20" t="str">
        <f>_xlfn.XLOOKUP($C61,'PP2 (2)'!$B$6:$B$100,'PP2 (2)'!$E$6:$E$100,"")</f>
        <v/>
      </c>
      <c r="K61" s="21" t="str">
        <f>_xlfn.XLOOKUP($C61,'PP3 (1)'!$B$5:$B$113,'PP3 (1)'!$E$5:$E$113,"")</f>
        <v/>
      </c>
      <c r="L61" s="22" t="str">
        <f>_xlfn.XLOOKUP($C61,'PP3 (2)'!$B$5:$B$112,'PP3 (2)'!$E$5:$E$112,"")</f>
        <v/>
      </c>
      <c r="M61" s="18" t="str">
        <f>_xlfn.XLOOKUP($C61,'PP4 (1)'!$B$6:$B$100,'PP4 (1)'!$E$6:$E$100,"")</f>
        <v/>
      </c>
      <c r="N61" s="20" t="str">
        <f>_xlfn.XLOOKUP($C61,'PP4 (2)'!$B$6:$B$100,'PP4 (2)'!$E$6:$E$100,"")</f>
        <v/>
      </c>
      <c r="O61" s="21" t="str">
        <f>_xlfn.XLOOKUP($C61,'PP5 (1)'!$B$6:$B$100,'PP5 (1)'!$E$6:$E$100,"")</f>
        <v/>
      </c>
      <c r="P61" s="23" t="str">
        <f>_xlfn.XLOOKUP($C61,'PP5(2)'!$B$6:$B$100,'PP5(2)'!$E$6:$E$100,"")</f>
        <v/>
      </c>
      <c r="Q61" s="10">
        <f>SUM(R61:AC61)</f>
        <v>17</v>
      </c>
      <c r="R61" s="23" t="str">
        <f>_xlfn.XLOOKUP($C61,'MP (1)'!$B$6:$B$100,'MP (1)'!$F$6:$F$100,"")</f>
        <v/>
      </c>
      <c r="S61" s="22" t="str">
        <f>_xlfn.XLOOKUP($C61,'MP (2)'!$B$6:$B$100,'MP (2)'!$F$6:$F$100,"")</f>
        <v/>
      </c>
      <c r="T61" s="21">
        <f>_xlfn.XLOOKUP($C61,'PP1 (1)'!$B$6:$B$66,'PP1 (1)'!$F$6:$F$66,"")</f>
        <v>10</v>
      </c>
      <c r="U61" s="22">
        <f>_xlfn.XLOOKUP($C61,'PP1 (2)'!$B$6:$B$100,'PP1 (2)'!$F$6:$F$100,"")</f>
        <v>7</v>
      </c>
      <c r="V61" s="18" t="str">
        <f>_xlfn.XLOOKUP($C61,'PP2 (1)'!$B$6:$B$99,'PP2 (1)'!$F$6:$F$99,"")</f>
        <v/>
      </c>
      <c r="W61" s="20" t="str">
        <f>_xlfn.XLOOKUP($C61,'PP2 (2)'!$B$6:$B$100,'PP2 (2)'!$F$6:$F$100,"")</f>
        <v/>
      </c>
      <c r="X61" s="21" t="str">
        <f>_xlfn.XLOOKUP($C61,'PP3 (1)'!$B$5:$B$113,'PP3 (1)'!$F$5:$F$113,"")</f>
        <v/>
      </c>
      <c r="Y61" s="22" t="str">
        <f>_xlfn.XLOOKUP($C61,'PP3 (2)'!$B$5:$B$112,'PP3 (2)'!$F$5:$F$112,"")</f>
        <v/>
      </c>
      <c r="Z61" s="18" t="str">
        <f>_xlfn.XLOOKUP($C61,'PP4 (1)'!$B$6:$B$100,'PP4 (1)'!$F$6:$F$100,"")</f>
        <v/>
      </c>
      <c r="AA61" s="20" t="str">
        <f>_xlfn.XLOOKUP($C61,'PP4 (2)'!$B$6:$B$100,'PP4 (2)'!$F$6:$F$100,"")</f>
        <v/>
      </c>
      <c r="AB61" s="21" t="str">
        <f>_xlfn.XLOOKUP($C61,'PP5 (1)'!$B$6:$B$100,'PP5 (1)'!$F$6:$F$100,"")</f>
        <v/>
      </c>
      <c r="AC61" s="23" t="str">
        <f>_xlfn.XLOOKUP($C61,'PP5(2)'!$B$6:$B$100,'PP5(2)'!$F$6:$F$100,"")</f>
        <v/>
      </c>
      <c r="AD61" s="10">
        <f>SUM(AE61:AP61)</f>
        <v>-31</v>
      </c>
      <c r="AE61" s="23" t="str">
        <f>_xlfn.XLOOKUP($C61,'MP (1)'!$B$6:$B$100,'MP (1)'!$H$6:$H$100,"")</f>
        <v/>
      </c>
      <c r="AF61" s="22" t="str">
        <f>_xlfn.XLOOKUP($C61,'MP (2)'!$B$6:$B$100,'MP (2)'!$H$6:$H$100,"")</f>
        <v/>
      </c>
      <c r="AG61" s="21">
        <f>_xlfn.XLOOKUP($C61,'PP1 (1)'!$B$6:$B$66,'PP1 (1)'!$H$6:$H$66,"")</f>
        <v>-13</v>
      </c>
      <c r="AH61" s="22">
        <f>_xlfn.XLOOKUP($C61,'PP1 (2)'!$B$6:$B$100,'PP1 (2)'!$H$6:$H$100,"")</f>
        <v>-18</v>
      </c>
      <c r="AI61" s="18" t="str">
        <f>_xlfn.XLOOKUP($C61,'PP2 (1)'!$B$6:$B$99,'PP2 (1)'!$H$6:$H$99,"")</f>
        <v/>
      </c>
      <c r="AJ61" s="19" t="str">
        <f>_xlfn.XLOOKUP($C61,'PP2 (2)'!$B$6:$B$100,'PP2 (2)'!$H$6:$H$100,"")</f>
        <v/>
      </c>
      <c r="AK61" s="21" t="str">
        <f>_xlfn.XLOOKUP($C61,'PP3 (1)'!$B$5:$B$113,'PP3 (1)'!$H$5:$H$113,"")</f>
        <v/>
      </c>
      <c r="AL61" s="22" t="str">
        <f>_xlfn.XLOOKUP($C61,'PP3 (2)'!$B$5:$B$112,'PP3 (2)'!$H$5:$H$112,"")</f>
        <v/>
      </c>
      <c r="AM61" s="18" t="str">
        <f>_xlfn.XLOOKUP($C61,'PP4 (1)'!$B$6:$B$100,'PP4 (1)'!$H$6:$H$100,"")</f>
        <v/>
      </c>
      <c r="AN61" s="19" t="str">
        <f>_xlfn.XLOOKUP($C61,'PP4 (2)'!$B$6:$B$100,'PP4 (2)'!$H$6:$H$100,"")</f>
        <v/>
      </c>
      <c r="AO61" s="21" t="str">
        <f>_xlfn.XLOOKUP($C61,'PP5 (1)'!$B$6:$B$100,'PP5 (1)'!$H$6:$H$100,"")</f>
        <v/>
      </c>
      <c r="AP61" s="29" t="str">
        <f>_xlfn.XLOOKUP($C61,'PP5(2)'!$B$6:$B$100,'PP5(2)'!$H$6:$H$100,"")</f>
        <v/>
      </c>
    </row>
    <row r="62" spans="1:42" ht="13.1" customHeight="1" x14ac:dyDescent="0.25">
      <c r="A62" s="1">
        <f>ROW()-4</f>
        <v>58</v>
      </c>
      <c r="B62" s="1" t="s">
        <v>158</v>
      </c>
      <c r="C62" s="3" t="s">
        <v>70</v>
      </c>
      <c r="D62" s="26">
        <f>SUM(E62:P62)</f>
        <v>0.17</v>
      </c>
      <c r="E62" s="23">
        <f>_xlfn.XLOOKUP($C62,'MP (1)'!$B$6:$B$100,'MP (1)'!$E$6:$E$100,"")</f>
        <v>0</v>
      </c>
      <c r="F62" s="22">
        <f>_xlfn.XLOOKUP($C62,'MP (2)'!$B$6:$B$100,'MP (2)'!$E$6:$E$100,"")</f>
        <v>0</v>
      </c>
      <c r="G62" s="21" t="str">
        <f>_xlfn.XLOOKUP($C62,'PP1 (1)'!$B$6:$B$66,'PP1 (1)'!$E$6:$E$66,"")</f>
        <v/>
      </c>
      <c r="H62" s="22" t="str">
        <f>_xlfn.XLOOKUP($C62,'PP1 (2)'!$B$6:$B$100,'PP1 (2)'!$E$6:$E$100,"")</f>
        <v/>
      </c>
      <c r="I62" s="18" t="str">
        <f>_xlfn.XLOOKUP($C62,'PP2 (1)'!$B$6:$B$99,'PP2 (1)'!$E$6:$E$99,"")</f>
        <v/>
      </c>
      <c r="J62" s="20" t="str">
        <f>_xlfn.XLOOKUP($C62,'PP2 (2)'!$B$6:$B$100,'PP2 (2)'!$E$6:$E$100,"")</f>
        <v/>
      </c>
      <c r="K62" s="21">
        <f>_xlfn.XLOOKUP($C62,'PP3 (1)'!$B$5:$B$113,'PP3 (1)'!$E$5:$E$113,"")</f>
        <v>0.17</v>
      </c>
      <c r="L62" s="22">
        <f>_xlfn.XLOOKUP($C62,'PP3 (2)'!$B$5:$B$112,'PP3 (2)'!$E$5:$E$112,"")</f>
        <v>0</v>
      </c>
      <c r="M62" s="18">
        <f>_xlfn.XLOOKUP($C62,'PP4 (1)'!$B$6:$B$100,'PP4 (1)'!$E$6:$E$100,"")</f>
        <v>0</v>
      </c>
      <c r="N62" s="20">
        <f>_xlfn.XLOOKUP($C62,'PP4 (2)'!$B$6:$B$100,'PP4 (2)'!$E$6:$E$100,"")</f>
        <v>0</v>
      </c>
      <c r="O62" s="21">
        <f>_xlfn.XLOOKUP($C62,'PP5 (1)'!$B$6:$B$100,'PP5 (1)'!$E$6:$E$100,"")</f>
        <v>0</v>
      </c>
      <c r="P62" s="23">
        <f>_xlfn.XLOOKUP($C62,'PP5(2)'!$B$6:$B$100,'PP5(2)'!$E$6:$E$100,"")</f>
        <v>0</v>
      </c>
      <c r="Q62" s="10">
        <f>SUM(R62:AC62)</f>
        <v>40</v>
      </c>
      <c r="R62" s="23">
        <f>_xlfn.XLOOKUP($C62,'MP (1)'!$B$6:$B$100,'MP (1)'!$F$6:$F$100,"")</f>
        <v>6</v>
      </c>
      <c r="S62" s="22">
        <f>_xlfn.XLOOKUP($C62,'MP (2)'!$B$6:$B$100,'MP (2)'!$F$6:$F$100,"")</f>
        <v>5</v>
      </c>
      <c r="T62" s="21" t="str">
        <f>_xlfn.XLOOKUP($C62,'PP1 (1)'!$B$6:$B$66,'PP1 (1)'!$F$6:$F$66,"")</f>
        <v/>
      </c>
      <c r="U62" s="22" t="str">
        <f>_xlfn.XLOOKUP($C62,'PP1 (2)'!$B$6:$B$100,'PP1 (2)'!$F$6:$F$100,"")</f>
        <v/>
      </c>
      <c r="V62" s="18" t="str">
        <f>_xlfn.XLOOKUP($C62,'PP2 (1)'!$B$6:$B$99,'PP2 (1)'!$F$6:$F$99,"")</f>
        <v/>
      </c>
      <c r="W62" s="20" t="str">
        <f>_xlfn.XLOOKUP($C62,'PP2 (2)'!$B$6:$B$100,'PP2 (2)'!$F$6:$F$100,"")</f>
        <v/>
      </c>
      <c r="X62" s="21">
        <f>_xlfn.XLOOKUP($C62,'PP3 (1)'!$B$5:$B$113,'PP3 (1)'!$F$5:$F$113,"")</f>
        <v>8</v>
      </c>
      <c r="Y62" s="22">
        <f>_xlfn.XLOOKUP($C62,'PP3 (2)'!$B$5:$B$112,'PP3 (2)'!$F$5:$F$112,"")</f>
        <v>6</v>
      </c>
      <c r="Z62" s="18">
        <f>_xlfn.XLOOKUP($C62,'PP4 (1)'!$B$6:$B$100,'PP4 (1)'!$F$6:$F$100,"")</f>
        <v>3</v>
      </c>
      <c r="AA62" s="20">
        <f>_xlfn.XLOOKUP($C62,'PP4 (2)'!$B$6:$B$100,'PP4 (2)'!$F$6:$F$100,"")</f>
        <v>3</v>
      </c>
      <c r="AB62" s="21">
        <f>_xlfn.XLOOKUP($C62,'PP5 (1)'!$B$6:$B$100,'PP5 (1)'!$F$6:$F$100,"")</f>
        <v>6</v>
      </c>
      <c r="AC62" s="23">
        <f>_xlfn.XLOOKUP($C62,'PP5(2)'!$B$6:$B$100,'PP5(2)'!$F$6:$F$100,"")</f>
        <v>3</v>
      </c>
      <c r="AD62" s="10">
        <f>SUM(AE62:AP62)</f>
        <v>-158</v>
      </c>
      <c r="AE62" s="23">
        <f>_xlfn.XLOOKUP($C62,'MP (1)'!$B$6:$B$100,'MP (1)'!$H$6:$H$100,"")</f>
        <v>-19</v>
      </c>
      <c r="AF62" s="22">
        <f>_xlfn.XLOOKUP($C62,'MP (2)'!$B$6:$B$100,'MP (2)'!$H$6:$H$100,"")</f>
        <v>-20</v>
      </c>
      <c r="AG62" s="21" t="str">
        <f>_xlfn.XLOOKUP($C62,'PP1 (1)'!$B$6:$B$66,'PP1 (1)'!$H$6:$H$66,"")</f>
        <v/>
      </c>
      <c r="AH62" s="22" t="str">
        <f>_xlfn.XLOOKUP($C62,'PP1 (2)'!$B$6:$B$100,'PP1 (2)'!$H$6:$H$100,"")</f>
        <v/>
      </c>
      <c r="AI62" s="18" t="str">
        <f>_xlfn.XLOOKUP($C62,'PP2 (1)'!$B$6:$B$99,'PP2 (1)'!$H$6:$H$99,"")</f>
        <v/>
      </c>
      <c r="AJ62" s="19" t="str">
        <f>_xlfn.XLOOKUP($C62,'PP2 (2)'!$B$6:$B$100,'PP2 (2)'!$H$6:$H$100,"")</f>
        <v/>
      </c>
      <c r="AK62" s="21">
        <f>_xlfn.XLOOKUP($C62,'PP3 (1)'!$B$5:$B$113,'PP3 (1)'!$H$5:$H$113,"")</f>
        <v>-20</v>
      </c>
      <c r="AL62" s="22">
        <f>_xlfn.XLOOKUP($C62,'PP3 (2)'!$B$5:$B$112,'PP3 (2)'!$H$5:$H$112,"")</f>
        <v>-24</v>
      </c>
      <c r="AM62" s="18">
        <f>_xlfn.XLOOKUP($C62,'PP4 (1)'!$B$6:$B$100,'PP4 (1)'!$H$6:$H$100,"")</f>
        <v>-22</v>
      </c>
      <c r="AN62" s="19">
        <f>_xlfn.XLOOKUP($C62,'PP4 (2)'!$B$6:$B$100,'PP4 (2)'!$H$6:$H$100,"")</f>
        <v>-22</v>
      </c>
      <c r="AO62" s="21">
        <f>_xlfn.XLOOKUP($C62,'PP5 (1)'!$B$6:$B$100,'PP5 (1)'!$H$6:$H$100,"")</f>
        <v>-14</v>
      </c>
      <c r="AP62" s="29">
        <f>_xlfn.XLOOKUP($C62,'PP5(2)'!$B$6:$B$100,'PP5(2)'!$H$6:$H$100,"")</f>
        <v>-17</v>
      </c>
    </row>
    <row r="63" spans="1:42" ht="13.1" customHeight="1" x14ac:dyDescent="0.25">
      <c r="A63" s="1">
        <f>ROW()-4</f>
        <v>59</v>
      </c>
      <c r="B63" s="1">
        <v>1</v>
      </c>
      <c r="C63" s="3" t="s">
        <v>68</v>
      </c>
      <c r="D63" s="26">
        <f>SUM(E63:P63)</f>
        <v>0.17</v>
      </c>
      <c r="E63" s="23" t="str">
        <f>_xlfn.XLOOKUP($C63,'MP (1)'!$B$6:$B$100,'MP (1)'!$E$6:$E$100,"")</f>
        <v/>
      </c>
      <c r="F63" s="22" t="str">
        <f>_xlfn.XLOOKUP($C63,'MP (2)'!$B$6:$B$100,'MP (2)'!$E$6:$E$100,"")</f>
        <v/>
      </c>
      <c r="G63" s="21" t="str">
        <f>_xlfn.XLOOKUP($C63,'PP1 (1)'!$B$6:$B$66,'PP1 (1)'!$E$6:$E$66,"")</f>
        <v/>
      </c>
      <c r="H63" s="22" t="str">
        <f>_xlfn.XLOOKUP($C63,'PP1 (2)'!$B$6:$B$100,'PP1 (2)'!$E$6:$E$100,"")</f>
        <v/>
      </c>
      <c r="I63" s="18" t="str">
        <f>_xlfn.XLOOKUP($C63,'PP2 (1)'!$B$6:$B$99,'PP2 (1)'!$E$6:$E$99,"")</f>
        <v/>
      </c>
      <c r="J63" s="20" t="str">
        <f>_xlfn.XLOOKUP($C63,'PP2 (2)'!$B$6:$B$100,'PP2 (2)'!$E$6:$E$100,"")</f>
        <v/>
      </c>
      <c r="K63" s="21">
        <f>_xlfn.XLOOKUP($C63,'PP3 (1)'!$B$5:$B$113,'PP3 (1)'!$E$5:$E$113,"")</f>
        <v>0</v>
      </c>
      <c r="L63" s="22">
        <f>_xlfn.XLOOKUP($C63,'PP3 (2)'!$B$5:$B$112,'PP3 (2)'!$E$5:$E$112,"")</f>
        <v>0.17</v>
      </c>
      <c r="M63" s="18" t="str">
        <f>_xlfn.XLOOKUP($C63,'PP4 (1)'!$B$6:$B$100,'PP4 (1)'!$E$6:$E$100,"")</f>
        <v/>
      </c>
      <c r="N63" s="20" t="str">
        <f>_xlfn.XLOOKUP($C63,'PP4 (2)'!$B$6:$B$100,'PP4 (2)'!$E$6:$E$100,"")</f>
        <v/>
      </c>
      <c r="O63" s="21" t="str">
        <f>_xlfn.XLOOKUP($C63,'PP5 (1)'!$B$6:$B$100,'PP5 (1)'!$E$6:$E$100,"")</f>
        <v/>
      </c>
      <c r="P63" s="23" t="str">
        <f>_xlfn.XLOOKUP($C63,'PP5(2)'!$B$6:$B$100,'PP5(2)'!$E$6:$E$100,"")</f>
        <v/>
      </c>
      <c r="Q63" s="10">
        <f>SUM(R63:AC63)</f>
        <v>27</v>
      </c>
      <c r="R63" s="23" t="str">
        <f>_xlfn.XLOOKUP($C63,'MP (1)'!$B$6:$B$100,'MP (1)'!$F$6:$F$100,"")</f>
        <v/>
      </c>
      <c r="S63" s="22" t="str">
        <f>_xlfn.XLOOKUP($C63,'MP (2)'!$B$6:$B$100,'MP (2)'!$F$6:$F$100,"")</f>
        <v/>
      </c>
      <c r="T63" s="21" t="str">
        <f>_xlfn.XLOOKUP($C63,'PP1 (1)'!$B$6:$B$66,'PP1 (1)'!$F$6:$F$66,"")</f>
        <v/>
      </c>
      <c r="U63" s="22" t="str">
        <f>_xlfn.XLOOKUP($C63,'PP1 (2)'!$B$6:$B$100,'PP1 (2)'!$F$6:$F$100,"")</f>
        <v/>
      </c>
      <c r="V63" s="18" t="str">
        <f>_xlfn.XLOOKUP($C63,'PP2 (1)'!$B$6:$B$99,'PP2 (1)'!$F$6:$F$99,"")</f>
        <v/>
      </c>
      <c r="W63" s="20" t="str">
        <f>_xlfn.XLOOKUP($C63,'PP2 (2)'!$B$6:$B$100,'PP2 (2)'!$F$6:$F$100,"")</f>
        <v/>
      </c>
      <c r="X63" s="21">
        <f>_xlfn.XLOOKUP($C63,'PP3 (1)'!$B$5:$B$113,'PP3 (1)'!$F$5:$F$113,"")</f>
        <v>10</v>
      </c>
      <c r="Y63" s="22">
        <f>_xlfn.XLOOKUP($C63,'PP3 (2)'!$B$5:$B$112,'PP3 (2)'!$F$5:$F$112,"")</f>
        <v>17</v>
      </c>
      <c r="Z63" s="18" t="str">
        <f>_xlfn.XLOOKUP($C63,'PP4 (1)'!$B$6:$B$100,'PP4 (1)'!$F$6:$F$100,"")</f>
        <v/>
      </c>
      <c r="AA63" s="20" t="str">
        <f>_xlfn.XLOOKUP($C63,'PP4 (2)'!$B$6:$B$100,'PP4 (2)'!$F$6:$F$100,"")</f>
        <v/>
      </c>
      <c r="AB63" s="21" t="str">
        <f>_xlfn.XLOOKUP($C63,'PP5 (1)'!$B$6:$B$100,'PP5 (1)'!$F$6:$F$100,"")</f>
        <v/>
      </c>
      <c r="AC63" s="23" t="str">
        <f>_xlfn.XLOOKUP($C63,'PP5(2)'!$B$6:$B$100,'PP5(2)'!$F$6:$F$100,"")</f>
        <v/>
      </c>
      <c r="AD63" s="10">
        <f>SUM(AE63:AP63)</f>
        <v>-29</v>
      </c>
      <c r="AE63" s="23" t="str">
        <f>_xlfn.XLOOKUP($C63,'MP (1)'!$B$6:$B$100,'MP (1)'!$H$6:$H$100,"")</f>
        <v/>
      </c>
      <c r="AF63" s="22" t="str">
        <f>_xlfn.XLOOKUP($C63,'MP (2)'!$B$6:$B$100,'MP (2)'!$H$6:$H$100,"")</f>
        <v/>
      </c>
      <c r="AG63" s="21" t="str">
        <f>_xlfn.XLOOKUP($C63,'PP1 (1)'!$B$6:$B$66,'PP1 (1)'!$H$6:$H$66,"")</f>
        <v/>
      </c>
      <c r="AH63" s="22" t="str">
        <f>_xlfn.XLOOKUP($C63,'PP1 (2)'!$B$6:$B$100,'PP1 (2)'!$H$6:$H$100,"")</f>
        <v/>
      </c>
      <c r="AI63" s="18" t="str">
        <f>_xlfn.XLOOKUP($C63,'PP2 (1)'!$B$6:$B$99,'PP2 (1)'!$H$6:$H$99,"")</f>
        <v/>
      </c>
      <c r="AJ63" s="19" t="str">
        <f>_xlfn.XLOOKUP($C63,'PP2 (2)'!$B$6:$B$100,'PP2 (2)'!$H$6:$H$100,"")</f>
        <v/>
      </c>
      <c r="AK63" s="21">
        <f>_xlfn.XLOOKUP($C63,'PP3 (1)'!$B$5:$B$113,'PP3 (1)'!$H$5:$H$113,"")</f>
        <v>-20</v>
      </c>
      <c r="AL63" s="22">
        <f>_xlfn.XLOOKUP($C63,'PP3 (2)'!$B$5:$B$112,'PP3 (2)'!$H$5:$H$112,"")</f>
        <v>-9</v>
      </c>
      <c r="AM63" s="18" t="str">
        <f>_xlfn.XLOOKUP($C63,'PP4 (1)'!$B$6:$B$100,'PP4 (1)'!$H$6:$H$100,"")</f>
        <v/>
      </c>
      <c r="AN63" s="19" t="str">
        <f>_xlfn.XLOOKUP($C63,'PP4 (2)'!$B$6:$B$100,'PP4 (2)'!$H$6:$H$100,"")</f>
        <v/>
      </c>
      <c r="AO63" s="21" t="str">
        <f>_xlfn.XLOOKUP($C63,'PP5 (1)'!$B$6:$B$100,'PP5 (1)'!$H$6:$H$100,"")</f>
        <v/>
      </c>
      <c r="AP63" s="29" t="str">
        <f>_xlfn.XLOOKUP($C63,'PP5(2)'!$B$6:$B$100,'PP5(2)'!$H$6:$H$100,"")</f>
        <v/>
      </c>
    </row>
    <row r="64" spans="1:42" ht="13.1" customHeight="1" x14ac:dyDescent="0.25">
      <c r="A64" s="1">
        <f>ROW()-4</f>
        <v>60</v>
      </c>
      <c r="B64" s="1" t="s">
        <v>156</v>
      </c>
      <c r="C64" s="3" t="s">
        <v>74</v>
      </c>
      <c r="D64" s="26">
        <f>SUM(E64:P64)</f>
        <v>0.17</v>
      </c>
      <c r="E64" s="23">
        <f>_xlfn.XLOOKUP($C64,'MP (1)'!$B$6:$B$100,'MP (1)'!$E$6:$E$100,"")</f>
        <v>0.17</v>
      </c>
      <c r="F64" s="22">
        <f>_xlfn.XLOOKUP($C64,'MP (2)'!$B$6:$B$100,'MP (2)'!$E$6:$E$100,"")</f>
        <v>0</v>
      </c>
      <c r="G64" s="21" t="str">
        <f>_xlfn.XLOOKUP($C64,'PP1 (1)'!$B$6:$B$66,'PP1 (1)'!$E$6:$E$66,"")</f>
        <v/>
      </c>
      <c r="H64" s="22" t="str">
        <f>_xlfn.XLOOKUP($C64,'PP1 (2)'!$B$6:$B$100,'PP1 (2)'!$E$6:$E$100,"")</f>
        <v/>
      </c>
      <c r="I64" s="18" t="str">
        <f>_xlfn.XLOOKUP($C64,'PP2 (1)'!$B$6:$B$99,'PP2 (1)'!$E$6:$E$99,"")</f>
        <v/>
      </c>
      <c r="J64" s="20" t="str">
        <f>_xlfn.XLOOKUP($C64,'PP2 (2)'!$B$6:$B$100,'PP2 (2)'!$E$6:$E$100,"")</f>
        <v/>
      </c>
      <c r="K64" s="21" t="str">
        <f>_xlfn.XLOOKUP($C64,'PP3 (1)'!$B$5:$B$113,'PP3 (1)'!$E$5:$E$113,"")</f>
        <v/>
      </c>
      <c r="L64" s="22" t="str">
        <f>_xlfn.XLOOKUP($C64,'PP3 (2)'!$B$5:$B$112,'PP3 (2)'!$E$5:$E$112,"")</f>
        <v/>
      </c>
      <c r="M64" s="18">
        <f>_xlfn.XLOOKUP($C64,'PP4 (1)'!$B$6:$B$100,'PP4 (1)'!$E$6:$E$100,"")</f>
        <v>0</v>
      </c>
      <c r="N64" s="20">
        <f>_xlfn.XLOOKUP($C64,'PP4 (2)'!$B$6:$B$100,'PP4 (2)'!$E$6:$E$100,"")</f>
        <v>0</v>
      </c>
      <c r="O64" s="21" t="str">
        <f>_xlfn.XLOOKUP($C64,'PP5 (1)'!$B$6:$B$100,'PP5 (1)'!$E$6:$E$100,"")</f>
        <v/>
      </c>
      <c r="P64" s="23" t="str">
        <f>_xlfn.XLOOKUP($C64,'PP5(2)'!$B$6:$B$100,'PP5(2)'!$E$6:$E$100,"")</f>
        <v/>
      </c>
      <c r="Q64" s="10">
        <f>SUM(R64:AC64)</f>
        <v>25</v>
      </c>
      <c r="R64" s="23">
        <f>_xlfn.XLOOKUP($C64,'MP (1)'!$B$6:$B$100,'MP (1)'!$F$6:$F$100,"")</f>
        <v>6</v>
      </c>
      <c r="S64" s="22">
        <f>_xlfn.XLOOKUP($C64,'MP (2)'!$B$6:$B$100,'MP (2)'!$F$6:$F$100,"")</f>
        <v>6</v>
      </c>
      <c r="T64" s="21" t="str">
        <f>_xlfn.XLOOKUP($C64,'PP1 (1)'!$B$6:$B$66,'PP1 (1)'!$F$6:$F$66,"")</f>
        <v/>
      </c>
      <c r="U64" s="22" t="str">
        <f>_xlfn.XLOOKUP($C64,'PP1 (2)'!$B$6:$B$100,'PP1 (2)'!$F$6:$F$100,"")</f>
        <v/>
      </c>
      <c r="V64" s="18" t="str">
        <f>_xlfn.XLOOKUP($C64,'PP2 (1)'!$B$6:$B$99,'PP2 (1)'!$F$6:$F$99,"")</f>
        <v/>
      </c>
      <c r="W64" s="20" t="str">
        <f>_xlfn.XLOOKUP($C64,'PP2 (2)'!$B$6:$B$100,'PP2 (2)'!$F$6:$F$100,"")</f>
        <v/>
      </c>
      <c r="X64" s="21" t="str">
        <f>_xlfn.XLOOKUP($C64,'PP3 (1)'!$B$5:$B$113,'PP3 (1)'!$F$5:$F$113,"")</f>
        <v/>
      </c>
      <c r="Y64" s="22" t="str">
        <f>_xlfn.XLOOKUP($C64,'PP3 (2)'!$B$5:$B$112,'PP3 (2)'!$F$5:$F$112,"")</f>
        <v/>
      </c>
      <c r="Z64" s="18">
        <f>_xlfn.XLOOKUP($C64,'PP4 (1)'!$B$6:$B$100,'PP4 (1)'!$F$6:$F$100,"")</f>
        <v>7</v>
      </c>
      <c r="AA64" s="20">
        <f>_xlfn.XLOOKUP($C64,'PP4 (2)'!$B$6:$B$100,'PP4 (2)'!$F$6:$F$100,"")</f>
        <v>6</v>
      </c>
      <c r="AB64" s="21" t="str">
        <f>_xlfn.XLOOKUP($C64,'PP5 (1)'!$B$6:$B$100,'PP5 (1)'!$F$6:$F$100,"")</f>
        <v/>
      </c>
      <c r="AC64" s="23" t="str">
        <f>_xlfn.XLOOKUP($C64,'PP5(2)'!$B$6:$B$100,'PP5(2)'!$F$6:$F$100,"")</f>
        <v/>
      </c>
      <c r="AD64" s="10">
        <f>SUM(AE64:AP64)</f>
        <v>-78</v>
      </c>
      <c r="AE64" s="23">
        <f>_xlfn.XLOOKUP($C64,'MP (1)'!$B$6:$B$100,'MP (1)'!$H$6:$H$100,"")</f>
        <v>-22</v>
      </c>
      <c r="AF64" s="22">
        <f>_xlfn.XLOOKUP($C64,'MP (2)'!$B$6:$B$100,'MP (2)'!$H$6:$H$100,"")</f>
        <v>-19</v>
      </c>
      <c r="AG64" s="21" t="str">
        <f>_xlfn.XLOOKUP($C64,'PP1 (1)'!$B$6:$B$66,'PP1 (1)'!$H$6:$H$66,"")</f>
        <v/>
      </c>
      <c r="AH64" s="22" t="str">
        <f>_xlfn.XLOOKUP($C64,'PP1 (2)'!$B$6:$B$100,'PP1 (2)'!$H$6:$H$100,"")</f>
        <v/>
      </c>
      <c r="AI64" s="18" t="str">
        <f>_xlfn.XLOOKUP($C64,'PP2 (1)'!$B$6:$B$99,'PP2 (1)'!$H$6:$H$99,"")</f>
        <v/>
      </c>
      <c r="AJ64" s="19" t="str">
        <f>_xlfn.XLOOKUP($C64,'PP2 (2)'!$B$6:$B$100,'PP2 (2)'!$H$6:$H$100,"")</f>
        <v/>
      </c>
      <c r="AK64" s="21" t="str">
        <f>_xlfn.XLOOKUP($C64,'PP3 (1)'!$B$5:$B$113,'PP3 (1)'!$H$5:$H$113,"")</f>
        <v/>
      </c>
      <c r="AL64" s="22" t="str">
        <f>_xlfn.XLOOKUP($C64,'PP3 (2)'!$B$5:$B$112,'PP3 (2)'!$H$5:$H$112,"")</f>
        <v/>
      </c>
      <c r="AM64" s="18">
        <f>_xlfn.XLOOKUP($C64,'PP4 (1)'!$B$6:$B$100,'PP4 (1)'!$H$6:$H$100,"")</f>
        <v>-18</v>
      </c>
      <c r="AN64" s="19">
        <f>_xlfn.XLOOKUP($C64,'PP4 (2)'!$B$6:$B$100,'PP4 (2)'!$H$6:$H$100,"")</f>
        <v>-19</v>
      </c>
      <c r="AO64" s="21" t="str">
        <f>_xlfn.XLOOKUP($C64,'PP5 (1)'!$B$6:$B$100,'PP5 (1)'!$H$6:$H$100,"")</f>
        <v/>
      </c>
      <c r="AP64" s="29" t="str">
        <f>_xlfn.XLOOKUP($C64,'PP5(2)'!$B$6:$B$100,'PP5(2)'!$H$6:$H$100,"")</f>
        <v/>
      </c>
    </row>
    <row r="65" spans="1:42" ht="13.1" customHeight="1" x14ac:dyDescent="0.25">
      <c r="A65" s="1">
        <f>ROW()-4</f>
        <v>61</v>
      </c>
      <c r="B65" s="1" t="s">
        <v>154</v>
      </c>
      <c r="C65" s="3" t="s">
        <v>184</v>
      </c>
      <c r="D65" s="26">
        <f>SUM(E65:P65)</f>
        <v>0</v>
      </c>
      <c r="E65" s="23">
        <f>_xlfn.XLOOKUP($C65,'MP (1)'!$B$6:$B$100,'MP (1)'!$E$6:$E$100,"")</f>
        <v>0</v>
      </c>
      <c r="F65" s="22">
        <f>_xlfn.XLOOKUP($C65,'MP (2)'!$B$6:$B$100,'MP (2)'!$E$6:$E$100,"")</f>
        <v>0</v>
      </c>
      <c r="G65" s="21" t="str">
        <f>_xlfn.XLOOKUP($C65,'PP1 (1)'!$B$6:$B$66,'PP1 (1)'!$E$6:$E$66,"")</f>
        <v/>
      </c>
      <c r="H65" s="22" t="str">
        <f>_xlfn.XLOOKUP($C65,'PP1 (2)'!$B$6:$B$100,'PP1 (2)'!$E$6:$E$100,"")</f>
        <v/>
      </c>
      <c r="I65" s="18" t="str">
        <f>_xlfn.XLOOKUP($C65,'PP2 (1)'!$B$6:$B$99,'PP2 (1)'!$E$6:$E$99,"")</f>
        <v/>
      </c>
      <c r="J65" s="20" t="str">
        <f>_xlfn.XLOOKUP($C65,'PP2 (2)'!$B$6:$B$100,'PP2 (2)'!$E$6:$E$100,"")</f>
        <v/>
      </c>
      <c r="K65" s="21" t="str">
        <f>_xlfn.XLOOKUP($C65,'PP3 (1)'!$B$5:$B$113,'PP3 (1)'!$E$5:$E$113,"")</f>
        <v/>
      </c>
      <c r="L65" s="22" t="str">
        <f>_xlfn.XLOOKUP($C65,'PP3 (2)'!$B$5:$B$112,'PP3 (2)'!$E$5:$E$112,"")</f>
        <v/>
      </c>
      <c r="M65" s="18" t="str">
        <f>_xlfn.XLOOKUP($C65,'PP4 (1)'!$B$6:$B$100,'PP4 (1)'!$E$6:$E$100,"")</f>
        <v/>
      </c>
      <c r="N65" s="20" t="str">
        <f>_xlfn.XLOOKUP($C65,'PP4 (2)'!$B$6:$B$100,'PP4 (2)'!$E$6:$E$100,"")</f>
        <v/>
      </c>
      <c r="O65" s="21">
        <f>_xlfn.XLOOKUP($C65,'PP5 (1)'!$B$6:$B$100,'PP5 (1)'!$E$6:$E$100,"")</f>
        <v>0</v>
      </c>
      <c r="P65" s="23">
        <f>_xlfn.XLOOKUP($C65,'PP5(2)'!$B$6:$B$100,'PP5(2)'!$E$6:$E$100,"")</f>
        <v>0</v>
      </c>
      <c r="Q65" s="10">
        <f>SUM(R65:AC65)</f>
        <v>30</v>
      </c>
      <c r="R65" s="23">
        <f>_xlfn.XLOOKUP($C65,'MP (1)'!$B$6:$B$100,'MP (1)'!$F$6:$F$100,"")</f>
        <v>10</v>
      </c>
      <c r="S65" s="22">
        <f>_xlfn.XLOOKUP($C65,'MP (2)'!$B$6:$B$100,'MP (2)'!$F$6:$F$100,"")</f>
        <v>5</v>
      </c>
      <c r="T65" s="21" t="str">
        <f>_xlfn.XLOOKUP($C65,'PP1 (1)'!$B$6:$B$66,'PP1 (1)'!$F$6:$F$66,"")</f>
        <v/>
      </c>
      <c r="U65" s="22" t="str">
        <f>_xlfn.XLOOKUP($C65,'PP1 (2)'!$B$6:$B$100,'PP1 (2)'!$F$6:$F$100,"")</f>
        <v/>
      </c>
      <c r="V65" s="18" t="str">
        <f>_xlfn.XLOOKUP($C65,'PP2 (1)'!$B$6:$B$99,'PP2 (1)'!$F$6:$F$99,"")</f>
        <v/>
      </c>
      <c r="W65" s="20" t="str">
        <f>_xlfn.XLOOKUP($C65,'PP2 (2)'!$B$6:$B$100,'PP2 (2)'!$F$6:$F$100,"")</f>
        <v/>
      </c>
      <c r="X65" s="21" t="str">
        <f>_xlfn.XLOOKUP($C65,'PP3 (1)'!$B$5:$B$113,'PP3 (1)'!$F$5:$F$113,"")</f>
        <v/>
      </c>
      <c r="Y65" s="22" t="str">
        <f>_xlfn.XLOOKUP($C65,'PP3 (2)'!$B$5:$B$112,'PP3 (2)'!$F$5:$F$112,"")</f>
        <v/>
      </c>
      <c r="Z65" s="18" t="str">
        <f>_xlfn.XLOOKUP($C65,'PP4 (1)'!$B$6:$B$100,'PP4 (1)'!$F$6:$F$100,"")</f>
        <v/>
      </c>
      <c r="AA65" s="20" t="str">
        <f>_xlfn.XLOOKUP($C65,'PP4 (2)'!$B$6:$B$100,'PP4 (2)'!$F$6:$F$100,"")</f>
        <v/>
      </c>
      <c r="AB65" s="21">
        <f>_xlfn.XLOOKUP($C65,'PP5 (1)'!$B$6:$B$100,'PP5 (1)'!$F$6:$F$100,"")</f>
        <v>5</v>
      </c>
      <c r="AC65" s="23">
        <f>_xlfn.XLOOKUP($C65,'PP5(2)'!$B$6:$B$100,'PP5(2)'!$F$6:$F$100,"")</f>
        <v>10</v>
      </c>
      <c r="AD65" s="10">
        <f>SUM(AE65:AP65)</f>
        <v>-75</v>
      </c>
      <c r="AE65" s="23">
        <f>_xlfn.XLOOKUP($C65,'MP (1)'!$B$6:$B$100,'MP (1)'!$H$6:$H$100,"")</f>
        <v>-20</v>
      </c>
      <c r="AF65" s="22">
        <f>_xlfn.XLOOKUP($C65,'MP (2)'!$B$6:$B$100,'MP (2)'!$H$6:$H$100,"")</f>
        <v>-20</v>
      </c>
      <c r="AG65" s="21" t="str">
        <f>_xlfn.XLOOKUP($C65,'PP1 (1)'!$B$6:$B$66,'PP1 (1)'!$H$6:$H$66,"")</f>
        <v/>
      </c>
      <c r="AH65" s="22" t="str">
        <f>_xlfn.XLOOKUP($C65,'PP1 (2)'!$B$6:$B$100,'PP1 (2)'!$H$6:$H$100,"")</f>
        <v/>
      </c>
      <c r="AI65" s="18" t="str">
        <f>_xlfn.XLOOKUP($C65,'PP2 (1)'!$B$6:$B$99,'PP2 (1)'!$H$6:$H$99,"")</f>
        <v/>
      </c>
      <c r="AJ65" s="19" t="str">
        <f>_xlfn.XLOOKUP($C65,'PP2 (2)'!$B$6:$B$100,'PP2 (2)'!$H$6:$H$100,"")</f>
        <v/>
      </c>
      <c r="AK65" s="21" t="str">
        <f>_xlfn.XLOOKUP($C65,'PP3 (1)'!$B$5:$B$113,'PP3 (1)'!$H$5:$H$113,"")</f>
        <v/>
      </c>
      <c r="AL65" s="22" t="str">
        <f>_xlfn.XLOOKUP($C65,'PP3 (2)'!$B$5:$B$112,'PP3 (2)'!$H$5:$H$112,"")</f>
        <v/>
      </c>
      <c r="AM65" s="18" t="str">
        <f>_xlfn.XLOOKUP($C65,'PP4 (1)'!$B$6:$B$100,'PP4 (1)'!$H$6:$H$100,"")</f>
        <v/>
      </c>
      <c r="AN65" s="19" t="str">
        <f>_xlfn.XLOOKUP($C65,'PP4 (2)'!$B$6:$B$100,'PP4 (2)'!$H$6:$H$100,"")</f>
        <v/>
      </c>
      <c r="AO65" s="21">
        <f>_xlfn.XLOOKUP($C65,'PP5 (1)'!$B$6:$B$100,'PP5 (1)'!$H$6:$H$100,"")</f>
        <v>-20</v>
      </c>
      <c r="AP65" s="29">
        <f>_xlfn.XLOOKUP($C65,'PP5(2)'!$B$6:$B$100,'PP5(2)'!$H$6:$H$100,"")</f>
        <v>-15</v>
      </c>
    </row>
    <row r="66" spans="1:42" ht="13.1" customHeight="1" x14ac:dyDescent="0.25">
      <c r="A66" s="1">
        <f>ROW()-4</f>
        <v>62</v>
      </c>
      <c r="B66" s="1"/>
      <c r="C66" s="3" t="s">
        <v>73</v>
      </c>
      <c r="D66" s="26">
        <f>SUM(E66:P66)</f>
        <v>0</v>
      </c>
      <c r="E66" s="23" t="str">
        <f>_xlfn.XLOOKUP($C66,'MP (1)'!$B$6:$B$100,'MP (1)'!$E$6:$E$100,"")</f>
        <v/>
      </c>
      <c r="F66" s="22" t="str">
        <f>_xlfn.XLOOKUP($C66,'MP (2)'!$B$6:$B$100,'MP (2)'!$E$6:$E$100,"")</f>
        <v/>
      </c>
      <c r="G66" s="21" t="str">
        <f>_xlfn.XLOOKUP($C66,'PP1 (1)'!$B$6:$B$66,'PP1 (1)'!$E$6:$E$66,"")</f>
        <v/>
      </c>
      <c r="H66" s="22" t="str">
        <f>_xlfn.XLOOKUP($C66,'PP1 (2)'!$B$6:$B$100,'PP1 (2)'!$E$6:$E$100,"")</f>
        <v/>
      </c>
      <c r="I66" s="18">
        <f>_xlfn.XLOOKUP($C66,'PP2 (1)'!$B$6:$B$99,'PP2 (1)'!$E$6:$E$99,"")</f>
        <v>0</v>
      </c>
      <c r="J66" s="20">
        <f>_xlfn.XLOOKUP($C66,'PP2 (2)'!$B$6:$B$100,'PP2 (2)'!$E$6:$E$100,"")</f>
        <v>0</v>
      </c>
      <c r="K66" s="21" t="str">
        <f>_xlfn.XLOOKUP($C66,'PP3 (1)'!$B$5:$B$113,'PP3 (1)'!$E$5:$E$113,"")</f>
        <v/>
      </c>
      <c r="L66" s="22" t="str">
        <f>_xlfn.XLOOKUP($C66,'PP3 (2)'!$B$5:$B$112,'PP3 (2)'!$E$5:$E$112,"")</f>
        <v/>
      </c>
      <c r="M66" s="18" t="str">
        <f>_xlfn.XLOOKUP($C66,'PP4 (1)'!$B$6:$B$100,'PP4 (1)'!$E$6:$E$100,"")</f>
        <v/>
      </c>
      <c r="N66" s="20" t="str">
        <f>_xlfn.XLOOKUP($C66,'PP4 (2)'!$B$6:$B$100,'PP4 (2)'!$E$6:$E$100,"")</f>
        <v/>
      </c>
      <c r="O66" s="21" t="str">
        <f>_xlfn.XLOOKUP($C66,'PP5 (1)'!$B$6:$B$100,'PP5 (1)'!$E$6:$E$100,"")</f>
        <v/>
      </c>
      <c r="P66" s="23" t="str">
        <f>_xlfn.XLOOKUP($C66,'PP5(2)'!$B$6:$B$100,'PP5(2)'!$E$6:$E$100,"")</f>
        <v/>
      </c>
      <c r="Q66" s="10">
        <f>SUM(R66:AC66)</f>
        <v>13</v>
      </c>
      <c r="R66" s="23" t="str">
        <f>_xlfn.XLOOKUP($C66,'MP (1)'!$B$6:$B$100,'MP (1)'!$F$6:$F$100,"")</f>
        <v/>
      </c>
      <c r="S66" s="22" t="str">
        <f>_xlfn.XLOOKUP($C66,'MP (2)'!$B$6:$B$100,'MP (2)'!$F$6:$F$100,"")</f>
        <v/>
      </c>
      <c r="T66" s="21" t="str">
        <f>_xlfn.XLOOKUP($C66,'PP1 (1)'!$B$6:$B$66,'PP1 (1)'!$F$6:$F$66,"")</f>
        <v/>
      </c>
      <c r="U66" s="22" t="str">
        <f>_xlfn.XLOOKUP($C66,'PP1 (2)'!$B$6:$B$100,'PP1 (2)'!$F$6:$F$100,"")</f>
        <v/>
      </c>
      <c r="V66" s="18">
        <f>_xlfn.XLOOKUP($C66,'PP2 (1)'!$B$6:$B$99,'PP2 (1)'!$F$6:$F$99,"")</f>
        <v>7</v>
      </c>
      <c r="W66" s="20">
        <f>_xlfn.XLOOKUP($C66,'PP2 (2)'!$B$6:$B$100,'PP2 (2)'!$F$6:$F$100,"")</f>
        <v>6</v>
      </c>
      <c r="X66" s="21" t="str">
        <f>_xlfn.XLOOKUP($C66,'PP3 (1)'!$B$5:$B$113,'PP3 (1)'!$F$5:$F$113,"")</f>
        <v/>
      </c>
      <c r="Y66" s="22" t="str">
        <f>_xlfn.XLOOKUP($C66,'PP3 (2)'!$B$5:$B$112,'PP3 (2)'!$F$5:$F$112,"")</f>
        <v/>
      </c>
      <c r="Z66" s="18" t="str">
        <f>_xlfn.XLOOKUP($C66,'PP4 (1)'!$B$6:$B$100,'PP4 (1)'!$F$6:$F$100,"")</f>
        <v/>
      </c>
      <c r="AA66" s="20" t="str">
        <f>_xlfn.XLOOKUP($C66,'PP4 (2)'!$B$6:$B$100,'PP4 (2)'!$F$6:$F$100,"")</f>
        <v/>
      </c>
      <c r="AB66" s="21" t="str">
        <f>_xlfn.XLOOKUP($C66,'PP5 (1)'!$B$6:$B$100,'PP5 (1)'!$F$6:$F$100,"")</f>
        <v/>
      </c>
      <c r="AC66" s="23" t="str">
        <f>_xlfn.XLOOKUP($C66,'PP5(2)'!$B$6:$B$100,'PP5(2)'!$F$6:$F$100,"")</f>
        <v/>
      </c>
      <c r="AD66" s="10">
        <f>SUM(AE66:AP66)</f>
        <v>-42</v>
      </c>
      <c r="AE66" s="23" t="str">
        <f>_xlfn.XLOOKUP($C66,'MP (1)'!$B$6:$B$100,'MP (1)'!$H$6:$H$100,"")</f>
        <v/>
      </c>
      <c r="AF66" s="22" t="str">
        <f>_xlfn.XLOOKUP($C66,'MP (2)'!$B$6:$B$100,'MP (2)'!$H$6:$H$100,"")</f>
        <v/>
      </c>
      <c r="AG66" s="21" t="str">
        <f>_xlfn.XLOOKUP($C66,'PP1 (1)'!$B$6:$B$66,'PP1 (1)'!$H$6:$H$66,"")</f>
        <v/>
      </c>
      <c r="AH66" s="22" t="str">
        <f>_xlfn.XLOOKUP($C66,'PP1 (2)'!$B$6:$B$100,'PP1 (2)'!$H$6:$H$100,"")</f>
        <v/>
      </c>
      <c r="AI66" s="18">
        <f>_xlfn.XLOOKUP($C66,'PP2 (1)'!$B$6:$B$99,'PP2 (1)'!$H$6:$H$99,"")</f>
        <v>-18</v>
      </c>
      <c r="AJ66" s="19">
        <f>_xlfn.XLOOKUP($C66,'PP2 (2)'!$B$6:$B$100,'PP2 (2)'!$H$6:$H$100,"")</f>
        <v>-24</v>
      </c>
      <c r="AK66" s="21" t="str">
        <f>_xlfn.XLOOKUP($C66,'PP3 (1)'!$B$5:$B$113,'PP3 (1)'!$H$5:$H$113,"")</f>
        <v/>
      </c>
      <c r="AL66" s="22" t="str">
        <f>_xlfn.XLOOKUP($C66,'PP3 (2)'!$B$5:$B$112,'PP3 (2)'!$H$5:$H$112,"")</f>
        <v/>
      </c>
      <c r="AM66" s="18" t="str">
        <f>_xlfn.XLOOKUP($C66,'PP4 (1)'!$B$6:$B$100,'PP4 (1)'!$H$6:$H$100,"")</f>
        <v/>
      </c>
      <c r="AN66" s="19" t="str">
        <f>_xlfn.XLOOKUP($C66,'PP4 (2)'!$B$6:$B$100,'PP4 (2)'!$H$6:$H$100,"")</f>
        <v/>
      </c>
      <c r="AO66" s="21" t="str">
        <f>_xlfn.XLOOKUP($C66,'PP5 (1)'!$B$6:$B$100,'PP5 (1)'!$H$6:$H$100,"")</f>
        <v/>
      </c>
      <c r="AP66" s="29" t="str">
        <f>_xlfn.XLOOKUP($C66,'PP5(2)'!$B$6:$B$100,'PP5(2)'!$H$6:$H$100,"")</f>
        <v/>
      </c>
    </row>
    <row r="67" spans="1:42" ht="13.1" customHeight="1" x14ac:dyDescent="0.25">
      <c r="A67" s="1">
        <f>ROW()-4</f>
        <v>63</v>
      </c>
      <c r="B67" s="1">
        <v>4</v>
      </c>
      <c r="C67" s="3" t="s">
        <v>75</v>
      </c>
      <c r="D67" s="26">
        <f>SUM(E67:P67)</f>
        <v>0</v>
      </c>
      <c r="E67" s="23" t="str">
        <f>_xlfn.XLOOKUP($C67,'MP (1)'!$B$6:$B$100,'MP (1)'!$E$6:$E$100,"")</f>
        <v/>
      </c>
      <c r="F67" s="22" t="str">
        <f>_xlfn.XLOOKUP($C67,'MP (2)'!$B$6:$B$100,'MP (2)'!$E$6:$E$100,"")</f>
        <v/>
      </c>
      <c r="G67" s="21" t="str">
        <f>_xlfn.XLOOKUP($C67,'PP1 (1)'!$B$6:$B$66,'PP1 (1)'!$E$6:$E$66,"")</f>
        <v/>
      </c>
      <c r="H67" s="22" t="str">
        <f>_xlfn.XLOOKUP($C67,'PP1 (2)'!$B$6:$B$100,'PP1 (2)'!$E$6:$E$100,"")</f>
        <v/>
      </c>
      <c r="I67" s="18" t="str">
        <f>_xlfn.XLOOKUP($C67,'PP2 (1)'!$B$6:$B$99,'PP2 (1)'!$E$6:$E$99,"")</f>
        <v/>
      </c>
      <c r="J67" s="20" t="str">
        <f>_xlfn.XLOOKUP($C67,'PP2 (2)'!$B$6:$B$100,'PP2 (2)'!$E$6:$E$100,"")</f>
        <v/>
      </c>
      <c r="K67" s="21" t="str">
        <f>_xlfn.XLOOKUP($C67,'PP3 (1)'!$B$5:$B$113,'PP3 (1)'!$E$5:$E$113,"")</f>
        <v/>
      </c>
      <c r="L67" s="22" t="str">
        <f>_xlfn.XLOOKUP($C67,'PP3 (2)'!$B$5:$B$112,'PP3 (2)'!$E$5:$E$112,"")</f>
        <v/>
      </c>
      <c r="M67" s="18" t="str">
        <f>_xlfn.XLOOKUP($C67,'PP4 (1)'!$B$6:$B$100,'PP4 (1)'!$E$6:$E$100,"")</f>
        <v/>
      </c>
      <c r="N67" s="20" t="str">
        <f>_xlfn.XLOOKUP($C67,'PP4 (2)'!$B$6:$B$100,'PP4 (2)'!$E$6:$E$100,"")</f>
        <v/>
      </c>
      <c r="O67" s="21" t="str">
        <f>_xlfn.XLOOKUP($C67,'PP5 (1)'!$B$6:$B$100,'PP5 (1)'!$E$6:$E$100,"")</f>
        <v/>
      </c>
      <c r="P67" s="23" t="str">
        <f>_xlfn.XLOOKUP($C67,'PP5(2)'!$B$6:$B$100,'PP5(2)'!$E$6:$E$100,"")</f>
        <v/>
      </c>
      <c r="Q67" s="10">
        <f>SUM(R67:AC67)</f>
        <v>0</v>
      </c>
      <c r="R67" s="23" t="str">
        <f>_xlfn.XLOOKUP($C67,'MP (1)'!$B$6:$B$100,'MP (1)'!$F$6:$F$100,"")</f>
        <v/>
      </c>
      <c r="S67" s="22" t="str">
        <f>_xlfn.XLOOKUP($C67,'MP (2)'!$B$6:$B$100,'MP (2)'!$F$6:$F$100,"")</f>
        <v/>
      </c>
      <c r="T67" s="21" t="str">
        <f>_xlfn.XLOOKUP($C67,'PP1 (1)'!$B$6:$B$66,'PP1 (1)'!$F$6:$F$66,"")</f>
        <v/>
      </c>
      <c r="U67" s="22" t="str">
        <f>_xlfn.XLOOKUP($C67,'PP1 (2)'!$B$6:$B$100,'PP1 (2)'!$F$6:$F$100,"")</f>
        <v/>
      </c>
      <c r="V67" s="18" t="str">
        <f>_xlfn.XLOOKUP($C67,'PP2 (1)'!$B$6:$B$99,'PP2 (1)'!$F$6:$F$99,"")</f>
        <v/>
      </c>
      <c r="W67" s="20" t="str">
        <f>_xlfn.XLOOKUP($C67,'PP2 (2)'!$B$6:$B$100,'PP2 (2)'!$F$6:$F$100,"")</f>
        <v/>
      </c>
      <c r="X67" s="21" t="str">
        <f>_xlfn.XLOOKUP($C67,'PP3 (1)'!$B$5:$B$113,'PP3 (1)'!$F$5:$F$113,"")</f>
        <v/>
      </c>
      <c r="Y67" s="22" t="str">
        <f>_xlfn.XLOOKUP($C67,'PP3 (2)'!$B$5:$B$112,'PP3 (2)'!$F$5:$F$112,"")</f>
        <v/>
      </c>
      <c r="Z67" s="18" t="str">
        <f>_xlfn.XLOOKUP($C67,'PP4 (1)'!$B$6:$B$100,'PP4 (1)'!$F$6:$F$100,"")</f>
        <v/>
      </c>
      <c r="AA67" s="20" t="str">
        <f>_xlfn.XLOOKUP($C67,'PP4 (2)'!$B$6:$B$100,'PP4 (2)'!$F$6:$F$100,"")</f>
        <v/>
      </c>
      <c r="AB67" s="21" t="str">
        <f>_xlfn.XLOOKUP($C67,'PP5 (1)'!$B$6:$B$100,'PP5 (1)'!$F$6:$F$100,"")</f>
        <v/>
      </c>
      <c r="AC67" s="23" t="str">
        <f>_xlfn.XLOOKUP($C67,'PP5(2)'!$B$6:$B$100,'PP5(2)'!$F$6:$F$100,"")</f>
        <v/>
      </c>
      <c r="AD67" s="10">
        <f>SUM(AE67:AP67)</f>
        <v>0</v>
      </c>
      <c r="AE67" s="23" t="str">
        <f>_xlfn.XLOOKUP($C67,'MP (1)'!$B$6:$B$100,'MP (1)'!$H$6:$H$100,"")</f>
        <v/>
      </c>
      <c r="AF67" s="22" t="str">
        <f>_xlfn.XLOOKUP($C67,'MP (2)'!$B$6:$B$100,'MP (2)'!$H$6:$H$100,"")</f>
        <v/>
      </c>
      <c r="AG67" s="21" t="str">
        <f>_xlfn.XLOOKUP($C67,'PP1 (1)'!$B$6:$B$66,'PP1 (1)'!$H$6:$H$66,"")</f>
        <v/>
      </c>
      <c r="AH67" s="22" t="str">
        <f>_xlfn.XLOOKUP($C67,'PP1 (2)'!$B$6:$B$100,'PP1 (2)'!$H$6:$H$100,"")</f>
        <v/>
      </c>
      <c r="AI67" s="18" t="str">
        <f>_xlfn.XLOOKUP($C67,'PP2 (1)'!$B$6:$B$99,'PP2 (1)'!$H$6:$H$99,"")</f>
        <v/>
      </c>
      <c r="AJ67" s="19" t="str">
        <f>_xlfn.XLOOKUP($C67,'PP2 (2)'!$B$6:$B$100,'PP2 (2)'!$H$6:$H$100,"")</f>
        <v/>
      </c>
      <c r="AK67" s="21" t="str">
        <f>_xlfn.XLOOKUP($C67,'PP3 (1)'!$B$5:$B$113,'PP3 (1)'!$H$5:$H$113,"")</f>
        <v/>
      </c>
      <c r="AL67" s="22" t="str">
        <f>_xlfn.XLOOKUP($C67,'PP3 (2)'!$B$5:$B$112,'PP3 (2)'!$H$5:$H$112,"")</f>
        <v/>
      </c>
      <c r="AM67" s="18" t="str">
        <f>_xlfn.XLOOKUP($C67,'PP4 (1)'!$B$6:$B$100,'PP4 (1)'!$H$6:$H$100,"")</f>
        <v/>
      </c>
      <c r="AN67" s="19" t="str">
        <f>_xlfn.XLOOKUP($C67,'PP4 (2)'!$B$6:$B$100,'PP4 (2)'!$H$6:$H$100,"")</f>
        <v/>
      </c>
      <c r="AO67" s="21" t="str">
        <f>_xlfn.XLOOKUP($C67,'PP5 (1)'!$B$6:$B$100,'PP5 (1)'!$H$6:$H$100,"")</f>
        <v/>
      </c>
      <c r="AP67" s="29" t="str">
        <f>_xlfn.XLOOKUP($C67,'PP5(2)'!$B$6:$B$100,'PP5(2)'!$H$6:$H$100,"")</f>
        <v/>
      </c>
    </row>
    <row r="68" spans="1:42" ht="13.1" customHeight="1" x14ac:dyDescent="0.25">
      <c r="A68" s="1">
        <f>ROW()-4</f>
        <v>64</v>
      </c>
      <c r="B68" s="1">
        <v>3</v>
      </c>
      <c r="C68" s="3" t="s">
        <v>49</v>
      </c>
      <c r="D68" s="26">
        <f>SUM(E68:P68)</f>
        <v>0</v>
      </c>
      <c r="E68" s="23" t="str">
        <f>_xlfn.XLOOKUP($C68,'MP (1)'!$B$6:$B$100,'MP (1)'!$E$6:$E$100,"")</f>
        <v/>
      </c>
      <c r="F68" s="22" t="str">
        <f>_xlfn.XLOOKUP($C68,'MP (2)'!$B$6:$B$100,'MP (2)'!$E$6:$E$100,"")</f>
        <v/>
      </c>
      <c r="G68" s="21" t="str">
        <f>_xlfn.XLOOKUP($C68,'PP1 (1)'!$B$6:$B$66,'PP1 (1)'!$E$6:$E$66,"")</f>
        <v/>
      </c>
      <c r="H68" s="22" t="str">
        <f>_xlfn.XLOOKUP($C68,'PP1 (2)'!$B$6:$B$100,'PP1 (2)'!$E$6:$E$100,"")</f>
        <v/>
      </c>
      <c r="I68" s="18" t="str">
        <f>_xlfn.XLOOKUP($C68,'PP2 (1)'!$B$6:$B$99,'PP2 (1)'!$E$6:$E$99,"")</f>
        <v/>
      </c>
      <c r="J68" s="20" t="str">
        <f>_xlfn.XLOOKUP($C68,'PP2 (2)'!$B$6:$B$100,'PP2 (2)'!$E$6:$E$100,"")</f>
        <v/>
      </c>
      <c r="K68" s="21" t="str">
        <f>_xlfn.XLOOKUP($C68,'PP3 (1)'!$B$5:$B$113,'PP3 (1)'!$E$5:$E$113,"")</f>
        <v/>
      </c>
      <c r="L68" s="22" t="str">
        <f>_xlfn.XLOOKUP($C68,'PP3 (2)'!$B$5:$B$112,'PP3 (2)'!$E$5:$E$112,"")</f>
        <v/>
      </c>
      <c r="M68" s="18" t="str">
        <f>_xlfn.XLOOKUP($C68,'PP4 (1)'!$B$6:$B$100,'PP4 (1)'!$E$6:$E$100,"")</f>
        <v/>
      </c>
      <c r="N68" s="20" t="str">
        <f>_xlfn.XLOOKUP($C68,'PP4 (2)'!$B$6:$B$100,'PP4 (2)'!$E$6:$E$100,"")</f>
        <v/>
      </c>
      <c r="O68" s="21" t="str">
        <f>_xlfn.XLOOKUP($C68,'PP5 (1)'!$B$6:$B$100,'PP5 (1)'!$E$6:$E$100,"")</f>
        <v/>
      </c>
      <c r="P68" s="23" t="str">
        <f>_xlfn.XLOOKUP($C68,'PP5(2)'!$B$6:$B$100,'PP5(2)'!$E$6:$E$100,"")</f>
        <v/>
      </c>
      <c r="Q68" s="10">
        <f>SUM(R68:AC68)</f>
        <v>0</v>
      </c>
      <c r="R68" s="23" t="str">
        <f>_xlfn.XLOOKUP($C68,'MP (1)'!$B$6:$B$100,'MP (1)'!$F$6:$F$100,"")</f>
        <v/>
      </c>
      <c r="S68" s="22" t="str">
        <f>_xlfn.XLOOKUP($C68,'MP (2)'!$B$6:$B$100,'MP (2)'!$F$6:$F$100,"")</f>
        <v/>
      </c>
      <c r="T68" s="21" t="str">
        <f>_xlfn.XLOOKUP($C68,'PP1 (1)'!$B$6:$B$66,'PP1 (1)'!$F$6:$F$66,"")</f>
        <v/>
      </c>
      <c r="U68" s="22" t="str">
        <f>_xlfn.XLOOKUP($C68,'PP1 (2)'!$B$6:$B$100,'PP1 (2)'!$F$6:$F$100,"")</f>
        <v/>
      </c>
      <c r="V68" s="18" t="str">
        <f>_xlfn.XLOOKUP($C68,'PP2 (1)'!$B$6:$B$99,'PP2 (1)'!$F$6:$F$99,"")</f>
        <v/>
      </c>
      <c r="W68" s="20" t="str">
        <f>_xlfn.XLOOKUP($C68,'PP2 (2)'!$B$6:$B$100,'PP2 (2)'!$F$6:$F$100,"")</f>
        <v/>
      </c>
      <c r="X68" s="21" t="str">
        <f>_xlfn.XLOOKUP($C68,'PP3 (1)'!$B$5:$B$113,'PP3 (1)'!$F$5:$F$113,"")</f>
        <v/>
      </c>
      <c r="Y68" s="22" t="str">
        <f>_xlfn.XLOOKUP($C68,'PP3 (2)'!$B$5:$B$112,'PP3 (2)'!$F$5:$F$112,"")</f>
        <v/>
      </c>
      <c r="Z68" s="18" t="str">
        <f>_xlfn.XLOOKUP($C68,'PP4 (1)'!$B$6:$B$100,'PP4 (1)'!$F$6:$F$100,"")</f>
        <v/>
      </c>
      <c r="AA68" s="20" t="str">
        <f>_xlfn.XLOOKUP($C68,'PP4 (2)'!$B$6:$B$100,'PP4 (2)'!$F$6:$F$100,"")</f>
        <v/>
      </c>
      <c r="AB68" s="21" t="str">
        <f>_xlfn.XLOOKUP($C68,'PP5 (1)'!$B$6:$B$100,'PP5 (1)'!$F$6:$F$100,"")</f>
        <v/>
      </c>
      <c r="AC68" s="23" t="str">
        <f>_xlfn.XLOOKUP($C68,'PP5(2)'!$B$6:$B$100,'PP5(2)'!$F$6:$F$100,"")</f>
        <v/>
      </c>
      <c r="AD68" s="10">
        <f>SUM(AE68:AP68)</f>
        <v>0</v>
      </c>
      <c r="AE68" s="23" t="str">
        <f>_xlfn.XLOOKUP($C68,'MP (1)'!$B$6:$B$100,'MP (1)'!$H$6:$H$100,"")</f>
        <v/>
      </c>
      <c r="AF68" s="22" t="str">
        <f>_xlfn.XLOOKUP($C68,'MP (2)'!$B$6:$B$100,'MP (2)'!$H$6:$H$100,"")</f>
        <v/>
      </c>
      <c r="AG68" s="21" t="str">
        <f>_xlfn.XLOOKUP($C68,'PP1 (1)'!$B$6:$B$66,'PP1 (1)'!$H$6:$H$66,"")</f>
        <v/>
      </c>
      <c r="AH68" s="22" t="str">
        <f>_xlfn.XLOOKUP($C68,'PP1 (2)'!$B$6:$B$100,'PP1 (2)'!$H$6:$H$100,"")</f>
        <v/>
      </c>
      <c r="AI68" s="18" t="str">
        <f>_xlfn.XLOOKUP($C68,'PP2 (1)'!$B$6:$B$99,'PP2 (1)'!$H$6:$H$99,"")</f>
        <v/>
      </c>
      <c r="AJ68" s="19" t="str">
        <f>_xlfn.XLOOKUP($C68,'PP2 (2)'!$B$6:$B$100,'PP2 (2)'!$H$6:$H$100,"")</f>
        <v/>
      </c>
      <c r="AK68" s="21" t="str">
        <f>_xlfn.XLOOKUP($C68,'PP3 (1)'!$B$5:$B$113,'PP3 (1)'!$H$5:$H$113,"")</f>
        <v/>
      </c>
      <c r="AL68" s="22" t="str">
        <f>_xlfn.XLOOKUP($C68,'PP3 (2)'!$B$5:$B$112,'PP3 (2)'!$H$5:$H$112,"")</f>
        <v/>
      </c>
      <c r="AM68" s="18" t="str">
        <f>_xlfn.XLOOKUP($C68,'PP4 (1)'!$B$6:$B$100,'PP4 (1)'!$H$6:$H$100,"")</f>
        <v/>
      </c>
      <c r="AN68" s="19" t="str">
        <f>_xlfn.XLOOKUP($C68,'PP4 (2)'!$B$6:$B$100,'PP4 (2)'!$H$6:$H$100,"")</f>
        <v/>
      </c>
      <c r="AO68" s="21" t="str">
        <f>_xlfn.XLOOKUP($C68,'PP5 (1)'!$B$6:$B$100,'PP5 (1)'!$H$6:$H$100,"")</f>
        <v/>
      </c>
      <c r="AP68" s="29" t="str">
        <f>_xlfn.XLOOKUP($C68,'PP5(2)'!$B$6:$B$100,'PP5(2)'!$H$6:$H$100,"")</f>
        <v/>
      </c>
    </row>
    <row r="69" spans="1:42" ht="13.1" customHeight="1" x14ac:dyDescent="0.25">
      <c r="A69" s="1">
        <f>ROW()-4</f>
        <v>65</v>
      </c>
      <c r="B69" s="1">
        <v>2</v>
      </c>
      <c r="C69" s="3" t="s">
        <v>69</v>
      </c>
      <c r="D69" s="26">
        <f>SUM(E69:P69)</f>
        <v>0</v>
      </c>
      <c r="E69" s="23" t="str">
        <f>_xlfn.XLOOKUP($C69,'MP (1)'!$B$6:$B$100,'MP (1)'!$E$6:$E$100,"")</f>
        <v/>
      </c>
      <c r="F69" s="22" t="str">
        <f>_xlfn.XLOOKUP($C69,'MP (2)'!$B$6:$B$100,'MP (2)'!$E$6:$E$100,"")</f>
        <v/>
      </c>
      <c r="G69" s="21" t="str">
        <f>_xlfn.XLOOKUP($C69,'PP1 (1)'!$B$6:$B$66,'PP1 (1)'!$E$6:$E$66,"")</f>
        <v/>
      </c>
      <c r="H69" s="22" t="str">
        <f>_xlfn.XLOOKUP($C69,'PP1 (2)'!$B$6:$B$100,'PP1 (2)'!$E$6:$E$100,"")</f>
        <v/>
      </c>
      <c r="I69" s="18" t="str">
        <f>_xlfn.XLOOKUP($C69,'PP2 (1)'!$B$6:$B$99,'PP2 (1)'!$E$6:$E$99,"")</f>
        <v/>
      </c>
      <c r="J69" s="20" t="str">
        <f>_xlfn.XLOOKUP($C69,'PP2 (2)'!$B$6:$B$100,'PP2 (2)'!$E$6:$E$100,"")</f>
        <v/>
      </c>
      <c r="K69" s="21" t="str">
        <f>_xlfn.XLOOKUP($C69,'PP3 (1)'!$B$5:$B$113,'PP3 (1)'!$E$5:$E$113,"")</f>
        <v/>
      </c>
      <c r="L69" s="22" t="str">
        <f>_xlfn.XLOOKUP($C69,'PP3 (2)'!$B$5:$B$112,'PP3 (2)'!$E$5:$E$112,"")</f>
        <v/>
      </c>
      <c r="M69" s="18" t="str">
        <f>_xlfn.XLOOKUP($C69,'PP4 (1)'!$B$6:$B$100,'PP4 (1)'!$E$6:$E$100,"")</f>
        <v/>
      </c>
      <c r="N69" s="20" t="str">
        <f>_xlfn.XLOOKUP($C69,'PP4 (2)'!$B$6:$B$100,'PP4 (2)'!$E$6:$E$100,"")</f>
        <v/>
      </c>
      <c r="O69" s="21" t="str">
        <f>_xlfn.XLOOKUP($C69,'PP5 (1)'!$B$6:$B$100,'PP5 (1)'!$E$6:$E$100,"")</f>
        <v/>
      </c>
      <c r="P69" s="23" t="str">
        <f>_xlfn.XLOOKUP($C69,'PP5(2)'!$B$6:$B$100,'PP5(2)'!$E$6:$E$100,"")</f>
        <v/>
      </c>
      <c r="Q69" s="10">
        <f>SUM(R69:AC69)</f>
        <v>0</v>
      </c>
      <c r="R69" s="23" t="str">
        <f>_xlfn.XLOOKUP($C69,'MP (1)'!$B$6:$B$100,'MP (1)'!$F$6:$F$100,"")</f>
        <v/>
      </c>
      <c r="S69" s="22" t="str">
        <f>_xlfn.XLOOKUP($C69,'MP (2)'!$B$6:$B$100,'MP (2)'!$F$6:$F$100,"")</f>
        <v/>
      </c>
      <c r="T69" s="21" t="str">
        <f>_xlfn.XLOOKUP($C69,'PP1 (1)'!$B$6:$B$66,'PP1 (1)'!$F$6:$F$66,"")</f>
        <v/>
      </c>
      <c r="U69" s="22" t="str">
        <f>_xlfn.XLOOKUP($C69,'PP1 (2)'!$B$6:$B$100,'PP1 (2)'!$F$6:$F$100,"")</f>
        <v/>
      </c>
      <c r="V69" s="18" t="str">
        <f>_xlfn.XLOOKUP($C69,'PP2 (1)'!$B$6:$B$99,'PP2 (1)'!$F$6:$F$99,"")</f>
        <v/>
      </c>
      <c r="W69" s="20" t="str">
        <f>_xlfn.XLOOKUP($C69,'PP2 (2)'!$B$6:$B$100,'PP2 (2)'!$F$6:$F$100,"")</f>
        <v/>
      </c>
      <c r="X69" s="21" t="str">
        <f>_xlfn.XLOOKUP($C69,'PP3 (1)'!$B$5:$B$113,'PP3 (1)'!$F$5:$F$113,"")</f>
        <v/>
      </c>
      <c r="Y69" s="22" t="str">
        <f>_xlfn.XLOOKUP($C69,'PP3 (2)'!$B$5:$B$112,'PP3 (2)'!$F$5:$F$112,"")</f>
        <v/>
      </c>
      <c r="Z69" s="18" t="str">
        <f>_xlfn.XLOOKUP($C69,'PP4 (1)'!$B$6:$B$100,'PP4 (1)'!$F$6:$F$100,"")</f>
        <v/>
      </c>
      <c r="AA69" s="20" t="str">
        <f>_xlfn.XLOOKUP($C69,'PP4 (2)'!$B$6:$B$100,'PP4 (2)'!$F$6:$F$100,"")</f>
        <v/>
      </c>
      <c r="AB69" s="21" t="str">
        <f>_xlfn.XLOOKUP($C69,'PP5 (1)'!$B$6:$B$100,'PP5 (1)'!$F$6:$F$100,"")</f>
        <v/>
      </c>
      <c r="AC69" s="23" t="str">
        <f>_xlfn.XLOOKUP($C69,'PP5(2)'!$B$6:$B$100,'PP5(2)'!$F$6:$F$100,"")</f>
        <v/>
      </c>
      <c r="AD69" s="10">
        <f>SUM(AE69:AP69)</f>
        <v>0</v>
      </c>
      <c r="AE69" s="23" t="str">
        <f>_xlfn.XLOOKUP($C69,'MP (1)'!$B$6:$B$100,'MP (1)'!$H$6:$H$100,"")</f>
        <v/>
      </c>
      <c r="AF69" s="22" t="str">
        <f>_xlfn.XLOOKUP($C69,'MP (2)'!$B$6:$B$100,'MP (2)'!$H$6:$H$100,"")</f>
        <v/>
      </c>
      <c r="AG69" s="21" t="str">
        <f>_xlfn.XLOOKUP($C69,'PP1 (1)'!$B$6:$B$66,'PP1 (1)'!$H$6:$H$66,"")</f>
        <v/>
      </c>
      <c r="AH69" s="22" t="str">
        <f>_xlfn.XLOOKUP($C69,'PP1 (2)'!$B$6:$B$100,'PP1 (2)'!$H$6:$H$100,"")</f>
        <v/>
      </c>
      <c r="AI69" s="18" t="str">
        <f>_xlfn.XLOOKUP($C69,'PP2 (1)'!$B$6:$B$99,'PP2 (1)'!$H$6:$H$99,"")</f>
        <v/>
      </c>
      <c r="AJ69" s="19" t="str">
        <f>_xlfn.XLOOKUP($C69,'PP2 (2)'!$B$6:$B$100,'PP2 (2)'!$H$6:$H$100,"")</f>
        <v/>
      </c>
      <c r="AK69" s="21" t="str">
        <f>_xlfn.XLOOKUP($C69,'PP3 (1)'!$B$5:$B$113,'PP3 (1)'!$H$5:$H$113,"")</f>
        <v/>
      </c>
      <c r="AL69" s="22" t="str">
        <f>_xlfn.XLOOKUP($C69,'PP3 (2)'!$B$5:$B$112,'PP3 (2)'!$H$5:$H$112,"")</f>
        <v/>
      </c>
      <c r="AM69" s="18" t="str">
        <f>_xlfn.XLOOKUP($C69,'PP4 (1)'!$B$6:$B$100,'PP4 (1)'!$H$6:$H$100,"")</f>
        <v/>
      </c>
      <c r="AN69" s="19" t="str">
        <f>_xlfn.XLOOKUP($C69,'PP4 (2)'!$B$6:$B$100,'PP4 (2)'!$H$6:$H$100,"")</f>
        <v/>
      </c>
      <c r="AO69" s="21" t="str">
        <f>_xlfn.XLOOKUP($C69,'PP5 (1)'!$B$6:$B$100,'PP5 (1)'!$H$6:$H$100,"")</f>
        <v/>
      </c>
      <c r="AP69" s="29" t="str">
        <f>_xlfn.XLOOKUP($C69,'PP5(2)'!$B$6:$B$100,'PP5(2)'!$H$6:$H$100,"")</f>
        <v/>
      </c>
    </row>
    <row r="70" spans="1:42" ht="13.1" customHeight="1" x14ac:dyDescent="0.25">
      <c r="A70" s="1">
        <f>ROW()-4</f>
        <v>66</v>
      </c>
      <c r="B70" s="1" t="s">
        <v>155</v>
      </c>
      <c r="C70" s="3" t="s">
        <v>50</v>
      </c>
      <c r="D70" s="26">
        <f>SUM(E70:P70)</f>
        <v>0</v>
      </c>
      <c r="E70" s="23" t="str">
        <f>_xlfn.XLOOKUP($C70,'MP (1)'!$B$6:$B$100,'MP (1)'!$E$6:$E$100,"")</f>
        <v/>
      </c>
      <c r="F70" s="22" t="str">
        <f>_xlfn.XLOOKUP($C70,'MP (2)'!$B$6:$B$100,'MP (2)'!$E$6:$E$100,"")</f>
        <v/>
      </c>
      <c r="G70" s="21" t="str">
        <f>_xlfn.XLOOKUP($C70,'PP1 (1)'!$B$6:$B$66,'PP1 (1)'!$E$6:$E$66,"")</f>
        <v/>
      </c>
      <c r="H70" s="22" t="str">
        <f>_xlfn.XLOOKUP($C70,'PP1 (2)'!$B$6:$B$100,'PP1 (2)'!$E$6:$E$100,"")</f>
        <v/>
      </c>
      <c r="I70" s="18" t="str">
        <f>_xlfn.XLOOKUP($C70,'PP2 (1)'!$B$6:$B$99,'PP2 (1)'!$E$6:$E$99,"")</f>
        <v/>
      </c>
      <c r="J70" s="20" t="str">
        <f>_xlfn.XLOOKUP($C70,'PP2 (2)'!$B$6:$B$100,'PP2 (2)'!$E$6:$E$100,"")</f>
        <v/>
      </c>
      <c r="K70" s="21" t="str">
        <f>_xlfn.XLOOKUP($C70,'PP3 (1)'!$B$5:$B$113,'PP3 (1)'!$E$5:$E$113,"")</f>
        <v/>
      </c>
      <c r="L70" s="22" t="str">
        <f>_xlfn.XLOOKUP($C70,'PP3 (2)'!$B$5:$B$112,'PP3 (2)'!$E$5:$E$112,"")</f>
        <v/>
      </c>
      <c r="M70" s="18" t="str">
        <f>_xlfn.XLOOKUP($C70,'PP4 (1)'!$B$6:$B$100,'PP4 (1)'!$E$6:$E$100,"")</f>
        <v/>
      </c>
      <c r="N70" s="20" t="str">
        <f>_xlfn.XLOOKUP($C70,'PP4 (2)'!$B$6:$B$100,'PP4 (2)'!$E$6:$E$100,"")</f>
        <v/>
      </c>
      <c r="O70" s="21" t="str">
        <f>_xlfn.XLOOKUP($C70,'PP5 (1)'!$B$6:$B$100,'PP5 (1)'!$E$6:$E$100,"")</f>
        <v/>
      </c>
      <c r="P70" s="23" t="str">
        <f>_xlfn.XLOOKUP($C70,'PP5(2)'!$B$6:$B$100,'PP5(2)'!$E$6:$E$100,"")</f>
        <v/>
      </c>
      <c r="Q70" s="10">
        <f>SUM(R70:AC70)</f>
        <v>0</v>
      </c>
      <c r="R70" s="23" t="str">
        <f>_xlfn.XLOOKUP($C70,'MP (1)'!$B$6:$B$100,'MP (1)'!$F$6:$F$100,"")</f>
        <v/>
      </c>
      <c r="S70" s="22" t="str">
        <f>_xlfn.XLOOKUP($C70,'MP (2)'!$B$6:$B$100,'MP (2)'!$F$6:$F$100,"")</f>
        <v/>
      </c>
      <c r="T70" s="21" t="str">
        <f>_xlfn.XLOOKUP($C70,'PP1 (1)'!$B$6:$B$66,'PP1 (1)'!$F$6:$F$66,"")</f>
        <v/>
      </c>
      <c r="U70" s="22" t="str">
        <f>_xlfn.XLOOKUP($C70,'PP1 (2)'!$B$6:$B$100,'PP1 (2)'!$F$6:$F$100,"")</f>
        <v/>
      </c>
      <c r="V70" s="18" t="str">
        <f>_xlfn.XLOOKUP($C70,'PP2 (1)'!$B$6:$B$99,'PP2 (1)'!$F$6:$F$99,"")</f>
        <v/>
      </c>
      <c r="W70" s="20" t="str">
        <f>_xlfn.XLOOKUP($C70,'PP2 (2)'!$B$6:$B$100,'PP2 (2)'!$F$6:$F$100,"")</f>
        <v/>
      </c>
      <c r="X70" s="21" t="str">
        <f>_xlfn.XLOOKUP($C70,'PP3 (1)'!$B$5:$B$113,'PP3 (1)'!$F$5:$F$113,"")</f>
        <v/>
      </c>
      <c r="Y70" s="22" t="str">
        <f>_xlfn.XLOOKUP($C70,'PP3 (2)'!$B$5:$B$112,'PP3 (2)'!$F$5:$F$112,"")</f>
        <v/>
      </c>
      <c r="Z70" s="18" t="str">
        <f>_xlfn.XLOOKUP($C70,'PP4 (1)'!$B$6:$B$100,'PP4 (1)'!$F$6:$F$100,"")</f>
        <v/>
      </c>
      <c r="AA70" s="20" t="str">
        <f>_xlfn.XLOOKUP($C70,'PP4 (2)'!$B$6:$B$100,'PP4 (2)'!$F$6:$F$100,"")</f>
        <v/>
      </c>
      <c r="AB70" s="21" t="str">
        <f>_xlfn.XLOOKUP($C70,'PP5 (1)'!$B$6:$B$100,'PP5 (1)'!$F$6:$F$100,"")</f>
        <v/>
      </c>
      <c r="AC70" s="23" t="str">
        <f>_xlfn.XLOOKUP($C70,'PP5(2)'!$B$6:$B$100,'PP5(2)'!$F$6:$F$100,"")</f>
        <v/>
      </c>
      <c r="AD70" s="10">
        <f>SUM(AE70:AP70)</f>
        <v>0</v>
      </c>
      <c r="AE70" s="23" t="str">
        <f>_xlfn.XLOOKUP($C70,'MP (1)'!$B$6:$B$100,'MP (1)'!$H$6:$H$100,"")</f>
        <v/>
      </c>
      <c r="AF70" s="22" t="str">
        <f>_xlfn.XLOOKUP($C70,'MP (2)'!$B$6:$B$100,'MP (2)'!$H$6:$H$100,"")</f>
        <v/>
      </c>
      <c r="AG70" s="21" t="str">
        <f>_xlfn.XLOOKUP($C70,'PP1 (1)'!$B$6:$B$66,'PP1 (1)'!$H$6:$H$66,"")</f>
        <v/>
      </c>
      <c r="AH70" s="22" t="str">
        <f>_xlfn.XLOOKUP($C70,'PP1 (2)'!$B$6:$B$100,'PP1 (2)'!$H$6:$H$100,"")</f>
        <v/>
      </c>
      <c r="AI70" s="18" t="str">
        <f>_xlfn.XLOOKUP($C70,'PP2 (1)'!$B$6:$B$99,'PP2 (1)'!$H$6:$H$99,"")</f>
        <v/>
      </c>
      <c r="AJ70" s="19" t="str">
        <f>_xlfn.XLOOKUP($C70,'PP2 (2)'!$B$6:$B$100,'PP2 (2)'!$H$6:$H$100,"")</f>
        <v/>
      </c>
      <c r="AK70" s="21" t="str">
        <f>_xlfn.XLOOKUP($C70,'PP3 (1)'!$B$5:$B$113,'PP3 (1)'!$H$5:$H$113,"")</f>
        <v/>
      </c>
      <c r="AL70" s="22" t="str">
        <f>_xlfn.XLOOKUP($C70,'PP3 (2)'!$B$5:$B$112,'PP3 (2)'!$H$5:$H$112,"")</f>
        <v/>
      </c>
      <c r="AM70" s="18" t="str">
        <f>_xlfn.XLOOKUP($C70,'PP4 (1)'!$B$6:$B$100,'PP4 (1)'!$H$6:$H$100,"")</f>
        <v/>
      </c>
      <c r="AN70" s="19" t="str">
        <f>_xlfn.XLOOKUP($C70,'PP4 (2)'!$B$6:$B$100,'PP4 (2)'!$H$6:$H$100,"")</f>
        <v/>
      </c>
      <c r="AO70" s="21" t="str">
        <f>_xlfn.XLOOKUP($C70,'PP5 (1)'!$B$6:$B$100,'PP5 (1)'!$H$6:$H$100,"")</f>
        <v/>
      </c>
      <c r="AP70" s="29" t="str">
        <f>_xlfn.XLOOKUP($C70,'PP5(2)'!$B$6:$B$100,'PP5(2)'!$H$6:$H$100,"")</f>
        <v/>
      </c>
    </row>
    <row r="71" spans="1:42" ht="13.1" customHeight="1" x14ac:dyDescent="0.25">
      <c r="A71" s="1">
        <f>ROW()-4</f>
        <v>67</v>
      </c>
      <c r="B71" s="1">
        <v>0</v>
      </c>
      <c r="C71" s="3" t="s">
        <v>77</v>
      </c>
      <c r="D71" s="26">
        <f>SUM(E71:P71)</f>
        <v>0</v>
      </c>
      <c r="E71" s="23" t="str">
        <f>_xlfn.XLOOKUP($C71,'MP (1)'!$B$6:$B$100,'MP (1)'!$E$6:$E$100,"")</f>
        <v/>
      </c>
      <c r="F71" s="22" t="str">
        <f>_xlfn.XLOOKUP($C71,'MP (2)'!$B$6:$B$100,'MP (2)'!$E$6:$E$100,"")</f>
        <v/>
      </c>
      <c r="G71" s="21" t="str">
        <f>_xlfn.XLOOKUP($C71,'PP1 (1)'!$B$6:$B$66,'PP1 (1)'!$E$6:$E$66,"")</f>
        <v/>
      </c>
      <c r="H71" s="22" t="str">
        <f>_xlfn.XLOOKUP($C71,'PP1 (2)'!$B$6:$B$100,'PP1 (2)'!$E$6:$E$100,"")</f>
        <v/>
      </c>
      <c r="I71" s="18" t="str">
        <f>_xlfn.XLOOKUP($C71,'PP2 (1)'!$B$6:$B$99,'PP2 (1)'!$E$6:$E$99,"")</f>
        <v/>
      </c>
      <c r="J71" s="20" t="str">
        <f>_xlfn.XLOOKUP($C71,'PP2 (2)'!$B$6:$B$100,'PP2 (2)'!$E$6:$E$100,"")</f>
        <v/>
      </c>
      <c r="K71" s="21" t="str">
        <f>_xlfn.XLOOKUP($C71,'PP3 (1)'!$B$5:$B$113,'PP3 (1)'!$E$5:$E$113,"")</f>
        <v/>
      </c>
      <c r="L71" s="22" t="str">
        <f>_xlfn.XLOOKUP($C71,'PP3 (2)'!$B$5:$B$112,'PP3 (2)'!$E$5:$E$112,"")</f>
        <v/>
      </c>
      <c r="M71" s="18" t="str">
        <f>_xlfn.XLOOKUP($C71,'PP4 (1)'!$B$6:$B$100,'PP4 (1)'!$E$6:$E$100,"")</f>
        <v/>
      </c>
      <c r="N71" s="20" t="str">
        <f>_xlfn.XLOOKUP($C71,'PP4 (2)'!$B$6:$B$100,'PP4 (2)'!$E$6:$E$100,"")</f>
        <v/>
      </c>
      <c r="O71" s="21" t="str">
        <f>_xlfn.XLOOKUP($C71,'PP5 (1)'!$B$6:$B$100,'PP5 (1)'!$E$6:$E$100,"")</f>
        <v/>
      </c>
      <c r="P71" s="23" t="str">
        <f>_xlfn.XLOOKUP($C71,'PP5(2)'!$B$6:$B$100,'PP5(2)'!$E$6:$E$100,"")</f>
        <v/>
      </c>
      <c r="Q71" s="10">
        <f>SUM(R71:AC71)</f>
        <v>0</v>
      </c>
      <c r="R71" s="23" t="str">
        <f>_xlfn.XLOOKUP($C71,'MP (1)'!$B$6:$B$100,'MP (1)'!$F$6:$F$100,"")</f>
        <v/>
      </c>
      <c r="S71" s="22" t="str">
        <f>_xlfn.XLOOKUP($C71,'MP (2)'!$B$6:$B$100,'MP (2)'!$F$6:$F$100,"")</f>
        <v/>
      </c>
      <c r="T71" s="21" t="str">
        <f>_xlfn.XLOOKUP($C71,'PP1 (1)'!$B$6:$B$66,'PP1 (1)'!$F$6:$F$66,"")</f>
        <v/>
      </c>
      <c r="U71" s="22" t="str">
        <f>_xlfn.XLOOKUP($C71,'PP1 (2)'!$B$6:$B$100,'PP1 (2)'!$F$6:$F$100,"")</f>
        <v/>
      </c>
      <c r="V71" s="18" t="str">
        <f>_xlfn.XLOOKUP($C71,'PP2 (1)'!$B$6:$B$99,'PP2 (1)'!$F$6:$F$99,"")</f>
        <v/>
      </c>
      <c r="W71" s="20" t="str">
        <f>_xlfn.XLOOKUP($C71,'PP2 (2)'!$B$6:$B$100,'PP2 (2)'!$F$6:$F$100,"")</f>
        <v/>
      </c>
      <c r="X71" s="21" t="str">
        <f>_xlfn.XLOOKUP($C71,'PP3 (1)'!$B$5:$B$113,'PP3 (1)'!$F$5:$F$113,"")</f>
        <v/>
      </c>
      <c r="Y71" s="22" t="str">
        <f>_xlfn.XLOOKUP($C71,'PP3 (2)'!$B$5:$B$112,'PP3 (2)'!$F$5:$F$112,"")</f>
        <v/>
      </c>
      <c r="Z71" s="18" t="str">
        <f>_xlfn.XLOOKUP($C71,'PP4 (1)'!$B$6:$B$100,'PP4 (1)'!$F$6:$F$100,"")</f>
        <v/>
      </c>
      <c r="AA71" s="20" t="str">
        <f>_xlfn.XLOOKUP($C71,'PP4 (2)'!$B$6:$B$100,'PP4 (2)'!$F$6:$F$100,"")</f>
        <v/>
      </c>
      <c r="AB71" s="21" t="str">
        <f>_xlfn.XLOOKUP($C71,'PP5 (1)'!$B$6:$B$100,'PP5 (1)'!$F$6:$F$100,"")</f>
        <v/>
      </c>
      <c r="AC71" s="23" t="str">
        <f>_xlfn.XLOOKUP($C71,'PP5(2)'!$B$6:$B$100,'PP5(2)'!$F$6:$F$100,"")</f>
        <v/>
      </c>
      <c r="AD71" s="10">
        <f>SUM(AE71:AP71)</f>
        <v>0</v>
      </c>
      <c r="AE71" s="23" t="str">
        <f>_xlfn.XLOOKUP($C71,'MP (1)'!$B$6:$B$100,'MP (1)'!$H$6:$H$100,"")</f>
        <v/>
      </c>
      <c r="AF71" s="22" t="str">
        <f>_xlfn.XLOOKUP($C71,'MP (2)'!$B$6:$B$100,'MP (2)'!$H$6:$H$100,"")</f>
        <v/>
      </c>
      <c r="AG71" s="21" t="str">
        <f>_xlfn.XLOOKUP($C71,'PP1 (1)'!$B$6:$B$66,'PP1 (1)'!$H$6:$H$66,"")</f>
        <v/>
      </c>
      <c r="AH71" s="22" t="str">
        <f>_xlfn.XLOOKUP($C71,'PP1 (2)'!$B$6:$B$100,'PP1 (2)'!$H$6:$H$100,"")</f>
        <v/>
      </c>
      <c r="AI71" s="18" t="str">
        <f>_xlfn.XLOOKUP($C71,'PP2 (1)'!$B$6:$B$99,'PP2 (1)'!$H$6:$H$99,"")</f>
        <v/>
      </c>
      <c r="AJ71" s="19" t="str">
        <f>_xlfn.XLOOKUP($C71,'PP2 (2)'!$B$6:$B$100,'PP2 (2)'!$H$6:$H$100,"")</f>
        <v/>
      </c>
      <c r="AK71" s="21" t="str">
        <f>_xlfn.XLOOKUP($C71,'PP3 (1)'!$B$5:$B$113,'PP3 (1)'!$H$5:$H$113,"")</f>
        <v/>
      </c>
      <c r="AL71" s="22" t="str">
        <f>_xlfn.XLOOKUP($C71,'PP3 (2)'!$B$5:$B$112,'PP3 (2)'!$H$5:$H$112,"")</f>
        <v/>
      </c>
      <c r="AM71" s="18" t="str">
        <f>_xlfn.XLOOKUP($C71,'PP4 (1)'!$B$6:$B$100,'PP4 (1)'!$H$6:$H$100,"")</f>
        <v/>
      </c>
      <c r="AN71" s="19" t="str">
        <f>_xlfn.XLOOKUP($C71,'PP4 (2)'!$B$6:$B$100,'PP4 (2)'!$H$6:$H$100,"")</f>
        <v/>
      </c>
      <c r="AO71" s="21" t="str">
        <f>_xlfn.XLOOKUP($C71,'PP5 (1)'!$B$6:$B$100,'PP5 (1)'!$H$6:$H$100,"")</f>
        <v/>
      </c>
      <c r="AP71" s="29" t="str">
        <f>_xlfn.XLOOKUP($C71,'PP5(2)'!$B$6:$B$100,'PP5(2)'!$H$6:$H$100,"")</f>
        <v/>
      </c>
    </row>
    <row r="72" spans="1:42" ht="13.1" customHeight="1" x14ac:dyDescent="0.25">
      <c r="A72" s="1">
        <f>ROW()-4</f>
        <v>68</v>
      </c>
      <c r="B72" s="1">
        <v>0</v>
      </c>
      <c r="C72" s="3" t="s">
        <v>78</v>
      </c>
      <c r="D72" s="26">
        <f>SUM(E72:P72)</f>
        <v>0</v>
      </c>
      <c r="E72" s="23" t="str">
        <f>_xlfn.XLOOKUP($C72,'MP (1)'!$B$6:$B$100,'MP (1)'!$E$6:$E$100,"")</f>
        <v/>
      </c>
      <c r="F72" s="22" t="str">
        <f>_xlfn.XLOOKUP($C72,'MP (2)'!$B$6:$B$100,'MP (2)'!$E$6:$E$100,"")</f>
        <v/>
      </c>
      <c r="G72" s="21" t="str">
        <f>_xlfn.XLOOKUP($C72,'PP1 (1)'!$B$6:$B$66,'PP1 (1)'!$E$6:$E$66,"")</f>
        <v/>
      </c>
      <c r="H72" s="22" t="str">
        <f>_xlfn.XLOOKUP($C72,'PP1 (2)'!$B$6:$B$100,'PP1 (2)'!$E$6:$E$100,"")</f>
        <v/>
      </c>
      <c r="I72" s="18" t="str">
        <f>_xlfn.XLOOKUP($C72,'PP2 (1)'!$B$6:$B$99,'PP2 (1)'!$E$6:$E$99,"")</f>
        <v/>
      </c>
      <c r="J72" s="20" t="str">
        <f>_xlfn.XLOOKUP($C72,'PP2 (2)'!$B$6:$B$100,'PP2 (2)'!$E$6:$E$100,"")</f>
        <v/>
      </c>
      <c r="K72" s="21" t="str">
        <f>_xlfn.XLOOKUP($C72,'PP3 (1)'!$B$5:$B$113,'PP3 (1)'!$E$5:$E$113,"")</f>
        <v/>
      </c>
      <c r="L72" s="22" t="str">
        <f>_xlfn.XLOOKUP($C72,'PP3 (2)'!$B$5:$B$112,'PP3 (2)'!$E$5:$E$112,"")</f>
        <v/>
      </c>
      <c r="M72" s="18" t="str">
        <f>_xlfn.XLOOKUP($C72,'PP4 (1)'!$B$6:$B$100,'PP4 (1)'!$E$6:$E$100,"")</f>
        <v/>
      </c>
      <c r="N72" s="20" t="str">
        <f>_xlfn.XLOOKUP($C72,'PP4 (2)'!$B$6:$B$100,'PP4 (2)'!$E$6:$E$100,"")</f>
        <v/>
      </c>
      <c r="O72" s="21" t="str">
        <f>_xlfn.XLOOKUP($C72,'PP5 (1)'!$B$6:$B$100,'PP5 (1)'!$E$6:$E$100,"")</f>
        <v/>
      </c>
      <c r="P72" s="23" t="str">
        <f>_xlfn.XLOOKUP($C72,'PP5(2)'!$B$6:$B$100,'PP5(2)'!$E$6:$E$100,"")</f>
        <v/>
      </c>
      <c r="Q72" s="10">
        <f>SUM(R72:AC72)</f>
        <v>0</v>
      </c>
      <c r="R72" s="23" t="str">
        <f>_xlfn.XLOOKUP($C72,'MP (1)'!$B$6:$B$100,'MP (1)'!$F$6:$F$100,"")</f>
        <v/>
      </c>
      <c r="S72" s="22" t="str">
        <f>_xlfn.XLOOKUP($C72,'MP (2)'!$B$6:$B$100,'MP (2)'!$F$6:$F$100,"")</f>
        <v/>
      </c>
      <c r="T72" s="21" t="str">
        <f>_xlfn.XLOOKUP($C72,'PP1 (1)'!$B$6:$B$66,'PP1 (1)'!$F$6:$F$66,"")</f>
        <v/>
      </c>
      <c r="U72" s="22" t="str">
        <f>_xlfn.XLOOKUP($C72,'PP1 (2)'!$B$6:$B$100,'PP1 (2)'!$F$6:$F$100,"")</f>
        <v/>
      </c>
      <c r="V72" s="18" t="str">
        <f>_xlfn.XLOOKUP($C72,'PP2 (1)'!$B$6:$B$99,'PP2 (1)'!$F$6:$F$99,"")</f>
        <v/>
      </c>
      <c r="W72" s="20" t="str">
        <f>_xlfn.XLOOKUP($C72,'PP2 (2)'!$B$6:$B$100,'PP2 (2)'!$F$6:$F$100,"")</f>
        <v/>
      </c>
      <c r="X72" s="21" t="str">
        <f>_xlfn.XLOOKUP($C72,'PP3 (1)'!$B$5:$B$113,'PP3 (1)'!$F$5:$F$113,"")</f>
        <v/>
      </c>
      <c r="Y72" s="22" t="str">
        <f>_xlfn.XLOOKUP($C72,'PP3 (2)'!$B$5:$B$112,'PP3 (2)'!$F$5:$F$112,"")</f>
        <v/>
      </c>
      <c r="Z72" s="18" t="str">
        <f>_xlfn.XLOOKUP($C72,'PP4 (1)'!$B$6:$B$100,'PP4 (1)'!$F$6:$F$100,"")</f>
        <v/>
      </c>
      <c r="AA72" s="20" t="str">
        <f>_xlfn.XLOOKUP($C72,'PP4 (2)'!$B$6:$B$100,'PP4 (2)'!$F$6:$F$100,"")</f>
        <v/>
      </c>
      <c r="AB72" s="21" t="str">
        <f>_xlfn.XLOOKUP($C72,'PP5 (1)'!$B$6:$B$100,'PP5 (1)'!$F$6:$F$100,"")</f>
        <v/>
      </c>
      <c r="AC72" s="23" t="str">
        <f>_xlfn.XLOOKUP($C72,'PP5(2)'!$B$6:$B$100,'PP5(2)'!$F$6:$F$100,"")</f>
        <v/>
      </c>
      <c r="AD72" s="10">
        <f>SUM(AE72:AP72)</f>
        <v>0</v>
      </c>
      <c r="AE72" s="23" t="str">
        <f>_xlfn.XLOOKUP($C72,'MP (1)'!$B$6:$B$100,'MP (1)'!$H$6:$H$100,"")</f>
        <v/>
      </c>
      <c r="AF72" s="22" t="str">
        <f>_xlfn.XLOOKUP($C72,'MP (2)'!$B$6:$B$100,'MP (2)'!$H$6:$H$100,"")</f>
        <v/>
      </c>
      <c r="AG72" s="21" t="str">
        <f>_xlfn.XLOOKUP($C72,'PP1 (1)'!$B$6:$B$66,'PP1 (1)'!$H$6:$H$66,"")</f>
        <v/>
      </c>
      <c r="AH72" s="22" t="str">
        <f>_xlfn.XLOOKUP($C72,'PP1 (2)'!$B$6:$B$100,'PP1 (2)'!$H$6:$H$100,"")</f>
        <v/>
      </c>
      <c r="AI72" s="18" t="str">
        <f>_xlfn.XLOOKUP($C72,'PP2 (1)'!$B$6:$B$99,'PP2 (1)'!$H$6:$H$99,"")</f>
        <v/>
      </c>
      <c r="AJ72" s="19" t="str">
        <f>_xlfn.XLOOKUP($C72,'PP2 (2)'!$B$6:$B$100,'PP2 (2)'!$H$6:$H$100,"")</f>
        <v/>
      </c>
      <c r="AK72" s="21" t="str">
        <f>_xlfn.XLOOKUP($C72,'PP3 (1)'!$B$5:$B$113,'PP3 (1)'!$H$5:$H$113,"")</f>
        <v/>
      </c>
      <c r="AL72" s="22" t="str">
        <f>_xlfn.XLOOKUP($C72,'PP3 (2)'!$B$5:$B$112,'PP3 (2)'!$H$5:$H$112,"")</f>
        <v/>
      </c>
      <c r="AM72" s="18" t="str">
        <f>_xlfn.XLOOKUP($C72,'PP4 (1)'!$B$6:$B$100,'PP4 (1)'!$H$6:$H$100,"")</f>
        <v/>
      </c>
      <c r="AN72" s="19" t="str">
        <f>_xlfn.XLOOKUP($C72,'PP4 (2)'!$B$6:$B$100,'PP4 (2)'!$H$6:$H$100,"")</f>
        <v/>
      </c>
      <c r="AO72" s="21" t="str">
        <f>_xlfn.XLOOKUP($C72,'PP5 (1)'!$B$6:$B$100,'PP5 (1)'!$H$6:$H$100,"")</f>
        <v/>
      </c>
      <c r="AP72" s="29" t="str">
        <f>_xlfn.XLOOKUP($C72,'PP5(2)'!$B$6:$B$100,'PP5(2)'!$H$6:$H$100,"")</f>
        <v/>
      </c>
    </row>
    <row r="73" spans="1:42" ht="13.1" customHeight="1" x14ac:dyDescent="0.25">
      <c r="A73" s="1">
        <f>ROW()-4</f>
        <v>69</v>
      </c>
      <c r="B73" s="1"/>
      <c r="C73" s="3" t="s">
        <v>60</v>
      </c>
      <c r="D73" s="26">
        <f>SUM(E73:P73)</f>
        <v>0</v>
      </c>
      <c r="E73" s="23" t="str">
        <f>_xlfn.XLOOKUP($C73,'MP (1)'!$B$6:$B$100,'MP (1)'!$E$6:$E$100,"")</f>
        <v/>
      </c>
      <c r="F73" s="22" t="str">
        <f>_xlfn.XLOOKUP($C73,'MP (2)'!$B$6:$B$100,'MP (2)'!$E$6:$E$100,"")</f>
        <v/>
      </c>
      <c r="G73" s="21" t="str">
        <f>_xlfn.XLOOKUP($C73,'PP1 (1)'!$B$6:$B$66,'PP1 (1)'!$E$6:$E$66,"")</f>
        <v/>
      </c>
      <c r="H73" s="22" t="str">
        <f>_xlfn.XLOOKUP($C73,'PP1 (2)'!$B$6:$B$100,'PP1 (2)'!$E$6:$E$100,"")</f>
        <v/>
      </c>
      <c r="I73" s="18" t="str">
        <f>_xlfn.XLOOKUP($C73,'PP2 (1)'!$B$6:$B$99,'PP2 (1)'!$E$6:$E$99,"")</f>
        <v/>
      </c>
      <c r="J73" s="20" t="str">
        <f>_xlfn.XLOOKUP($C73,'PP2 (2)'!$B$6:$B$100,'PP2 (2)'!$E$6:$E$100,"")</f>
        <v/>
      </c>
      <c r="K73" s="21" t="str">
        <f>_xlfn.XLOOKUP($C73,'PP3 (1)'!$B$5:$B$113,'PP3 (1)'!$E$5:$E$113,"")</f>
        <v/>
      </c>
      <c r="L73" s="22" t="str">
        <f>_xlfn.XLOOKUP($C73,'PP3 (2)'!$B$5:$B$112,'PP3 (2)'!$E$5:$E$112,"")</f>
        <v/>
      </c>
      <c r="M73" s="18" t="str">
        <f>_xlfn.XLOOKUP($C73,'PP4 (1)'!$B$6:$B$100,'PP4 (1)'!$E$6:$E$100,"")</f>
        <v/>
      </c>
      <c r="N73" s="20" t="str">
        <f>_xlfn.XLOOKUP($C73,'PP4 (2)'!$B$6:$B$100,'PP4 (2)'!$E$6:$E$100,"")</f>
        <v/>
      </c>
      <c r="O73" s="21" t="str">
        <f>_xlfn.XLOOKUP($C73,'PP5 (1)'!$B$6:$B$100,'PP5 (1)'!$E$6:$E$100,"")</f>
        <v/>
      </c>
      <c r="P73" s="23" t="str">
        <f>_xlfn.XLOOKUP($C73,'PP5(2)'!$B$6:$B$100,'PP5(2)'!$E$6:$E$100,"")</f>
        <v/>
      </c>
      <c r="Q73" s="10">
        <f>SUM(R73:AC73)</f>
        <v>0</v>
      </c>
      <c r="R73" s="23" t="str">
        <f>_xlfn.XLOOKUP($C73,'MP (1)'!$B$6:$B$100,'MP (1)'!$F$6:$F$100,"")</f>
        <v/>
      </c>
      <c r="S73" s="22" t="str">
        <f>_xlfn.XLOOKUP($C73,'MP (2)'!$B$6:$B$100,'MP (2)'!$F$6:$F$100,"")</f>
        <v/>
      </c>
      <c r="T73" s="21" t="str">
        <f>_xlfn.XLOOKUP($C73,'PP1 (1)'!$B$6:$B$66,'PP1 (1)'!$F$6:$F$66,"")</f>
        <v/>
      </c>
      <c r="U73" s="22" t="str">
        <f>_xlfn.XLOOKUP($C73,'PP1 (2)'!$B$6:$B$100,'PP1 (2)'!$F$6:$F$100,"")</f>
        <v/>
      </c>
      <c r="V73" s="18" t="str">
        <f>_xlfn.XLOOKUP($C73,'PP2 (1)'!$B$6:$B$99,'PP2 (1)'!$F$6:$F$99,"")</f>
        <v/>
      </c>
      <c r="W73" s="20" t="str">
        <f>_xlfn.XLOOKUP($C73,'PP2 (2)'!$B$6:$B$100,'PP2 (2)'!$F$6:$F$100,"")</f>
        <v/>
      </c>
      <c r="X73" s="21" t="str">
        <f>_xlfn.XLOOKUP($C73,'PP3 (1)'!$B$5:$B$113,'PP3 (1)'!$F$5:$F$113,"")</f>
        <v/>
      </c>
      <c r="Y73" s="22" t="str">
        <f>_xlfn.XLOOKUP($C73,'PP3 (2)'!$B$5:$B$112,'PP3 (2)'!$F$5:$F$112,"")</f>
        <v/>
      </c>
      <c r="Z73" s="18" t="str">
        <f>_xlfn.XLOOKUP($C73,'PP4 (1)'!$B$6:$B$100,'PP4 (1)'!$F$6:$F$100,"")</f>
        <v/>
      </c>
      <c r="AA73" s="20" t="str">
        <f>_xlfn.XLOOKUP($C73,'PP4 (2)'!$B$6:$B$100,'PP4 (2)'!$F$6:$F$100,"")</f>
        <v/>
      </c>
      <c r="AB73" s="21" t="str">
        <f>_xlfn.XLOOKUP($C73,'PP5 (1)'!$B$6:$B$100,'PP5 (1)'!$F$6:$F$100,"")</f>
        <v/>
      </c>
      <c r="AC73" s="23" t="str">
        <f>_xlfn.XLOOKUP($C73,'PP5(2)'!$B$6:$B$100,'PP5(2)'!$F$6:$F$100,"")</f>
        <v/>
      </c>
      <c r="AD73" s="10">
        <f>SUM(AE73:AP73)</f>
        <v>0</v>
      </c>
      <c r="AE73" s="23" t="str">
        <f>_xlfn.XLOOKUP($C73,'MP (1)'!$B$6:$B$100,'MP (1)'!$H$6:$H$100,"")</f>
        <v/>
      </c>
      <c r="AF73" s="22" t="str">
        <f>_xlfn.XLOOKUP($C73,'MP (2)'!$B$6:$B$100,'MP (2)'!$H$6:$H$100,"")</f>
        <v/>
      </c>
      <c r="AG73" s="21" t="str">
        <f>_xlfn.XLOOKUP($C73,'PP1 (1)'!$B$6:$B$66,'PP1 (1)'!$H$6:$H$66,"")</f>
        <v/>
      </c>
      <c r="AH73" s="22" t="str">
        <f>_xlfn.XLOOKUP($C73,'PP1 (2)'!$B$6:$B$100,'PP1 (2)'!$H$6:$H$100,"")</f>
        <v/>
      </c>
      <c r="AI73" s="18" t="str">
        <f>_xlfn.XLOOKUP($C73,'PP2 (1)'!$B$6:$B$99,'PP2 (1)'!$H$6:$H$99,"")</f>
        <v/>
      </c>
      <c r="AJ73" s="19" t="str">
        <f>_xlfn.XLOOKUP($C73,'PP2 (2)'!$B$6:$B$100,'PP2 (2)'!$H$6:$H$100,"")</f>
        <v/>
      </c>
      <c r="AK73" s="21" t="str">
        <f>_xlfn.XLOOKUP($C73,'PP3 (1)'!$B$5:$B$113,'PP3 (1)'!$H$5:$H$113,"")</f>
        <v/>
      </c>
      <c r="AL73" s="22" t="str">
        <f>_xlfn.XLOOKUP($C73,'PP3 (2)'!$B$5:$B$112,'PP3 (2)'!$H$5:$H$112,"")</f>
        <v/>
      </c>
      <c r="AM73" s="18" t="str">
        <f>_xlfn.XLOOKUP($C73,'PP4 (1)'!$B$6:$B$100,'PP4 (1)'!$H$6:$H$100,"")</f>
        <v/>
      </c>
      <c r="AN73" s="19" t="str">
        <f>_xlfn.XLOOKUP($C73,'PP4 (2)'!$B$6:$B$100,'PP4 (2)'!$H$6:$H$100,"")</f>
        <v/>
      </c>
      <c r="AO73" s="21" t="str">
        <f>_xlfn.XLOOKUP($C73,'PP5 (1)'!$B$6:$B$100,'PP5 (1)'!$H$6:$H$100,"")</f>
        <v/>
      </c>
      <c r="AP73" s="29" t="str">
        <f>_xlfn.XLOOKUP($C73,'PP5(2)'!$B$6:$B$100,'PP5(2)'!$H$6:$H$100,"")</f>
        <v/>
      </c>
    </row>
    <row r="74" spans="1:42" ht="13.1" customHeight="1" x14ac:dyDescent="0.25">
      <c r="A74" s="1">
        <f>ROW()-4</f>
        <v>70</v>
      </c>
      <c r="B74" s="1" t="s">
        <v>155</v>
      </c>
      <c r="C74" s="3" t="s">
        <v>67</v>
      </c>
      <c r="D74" s="26">
        <f>SUM(E74:P74)</f>
        <v>0</v>
      </c>
      <c r="E74" s="23" t="str">
        <f>_xlfn.XLOOKUP($C74,'MP (1)'!$B$6:$B$100,'MP (1)'!$E$6:$E$100,"")</f>
        <v/>
      </c>
      <c r="F74" s="22" t="str">
        <f>_xlfn.XLOOKUP($C74,'MP (2)'!$B$6:$B$100,'MP (2)'!$E$6:$E$100,"")</f>
        <v/>
      </c>
      <c r="G74" s="21" t="str">
        <f>_xlfn.XLOOKUP($C74,'PP1 (1)'!$B$6:$B$66,'PP1 (1)'!$E$6:$E$66,"")</f>
        <v/>
      </c>
      <c r="H74" s="22" t="str">
        <f>_xlfn.XLOOKUP($C74,'PP1 (2)'!$B$6:$B$100,'PP1 (2)'!$E$6:$E$100,"")</f>
        <v/>
      </c>
      <c r="I74" s="18" t="str">
        <f>_xlfn.XLOOKUP($C74,'PP2 (1)'!$B$6:$B$99,'PP2 (1)'!$E$6:$E$99,"")</f>
        <v/>
      </c>
      <c r="J74" s="20" t="str">
        <f>_xlfn.XLOOKUP($C74,'PP2 (2)'!$B$6:$B$100,'PP2 (2)'!$E$6:$E$100,"")</f>
        <v/>
      </c>
      <c r="K74" s="21" t="str">
        <f>_xlfn.XLOOKUP($C74,'PP3 (1)'!$B$5:$B$113,'PP3 (1)'!$E$5:$E$113,"")</f>
        <v/>
      </c>
      <c r="L74" s="22" t="str">
        <f>_xlfn.XLOOKUP($C74,'PP3 (2)'!$B$5:$B$112,'PP3 (2)'!$E$5:$E$112,"")</f>
        <v/>
      </c>
      <c r="M74" s="18" t="str">
        <f>_xlfn.XLOOKUP($C74,'PP4 (1)'!$B$6:$B$100,'PP4 (1)'!$E$6:$E$100,"")</f>
        <v/>
      </c>
      <c r="N74" s="20" t="str">
        <f>_xlfn.XLOOKUP($C74,'PP4 (2)'!$B$6:$B$100,'PP4 (2)'!$E$6:$E$100,"")</f>
        <v/>
      </c>
      <c r="O74" s="21" t="str">
        <f>_xlfn.XLOOKUP($C74,'PP5 (1)'!$B$6:$B$100,'PP5 (1)'!$E$6:$E$100,"")</f>
        <v/>
      </c>
      <c r="P74" s="23" t="str">
        <f>_xlfn.XLOOKUP($C74,'PP5(2)'!$B$6:$B$100,'PP5(2)'!$E$6:$E$100,"")</f>
        <v/>
      </c>
      <c r="Q74" s="10">
        <f>SUM(R74:AC74)</f>
        <v>0</v>
      </c>
      <c r="R74" s="23" t="str">
        <f>_xlfn.XLOOKUP($C74,'MP (1)'!$B$6:$B$100,'MP (1)'!$F$6:$F$100,"")</f>
        <v/>
      </c>
      <c r="S74" s="22" t="str">
        <f>_xlfn.XLOOKUP($C74,'MP (2)'!$B$6:$B$100,'MP (2)'!$F$6:$F$100,"")</f>
        <v/>
      </c>
      <c r="T74" s="21" t="str">
        <f>_xlfn.XLOOKUP($C74,'PP1 (1)'!$B$6:$B$66,'PP1 (1)'!$F$6:$F$66,"")</f>
        <v/>
      </c>
      <c r="U74" s="22" t="str">
        <f>_xlfn.XLOOKUP($C74,'PP1 (2)'!$B$6:$B$100,'PP1 (2)'!$F$6:$F$100,"")</f>
        <v/>
      </c>
      <c r="V74" s="18" t="str">
        <f>_xlfn.XLOOKUP($C74,'PP2 (1)'!$B$6:$B$99,'PP2 (1)'!$F$6:$F$99,"")</f>
        <v/>
      </c>
      <c r="W74" s="20" t="str">
        <f>_xlfn.XLOOKUP($C74,'PP2 (2)'!$B$6:$B$100,'PP2 (2)'!$F$6:$F$100,"")</f>
        <v/>
      </c>
      <c r="X74" s="21" t="str">
        <f>_xlfn.XLOOKUP($C74,'PP3 (1)'!$B$5:$B$113,'PP3 (1)'!$F$5:$F$113,"")</f>
        <v/>
      </c>
      <c r="Y74" s="22" t="str">
        <f>_xlfn.XLOOKUP($C74,'PP3 (2)'!$B$5:$B$112,'PP3 (2)'!$F$5:$F$112,"")</f>
        <v/>
      </c>
      <c r="Z74" s="18" t="str">
        <f>_xlfn.XLOOKUP($C74,'PP4 (1)'!$B$6:$B$100,'PP4 (1)'!$F$6:$F$100,"")</f>
        <v/>
      </c>
      <c r="AA74" s="20" t="str">
        <f>_xlfn.XLOOKUP($C74,'PP4 (2)'!$B$6:$B$100,'PP4 (2)'!$F$6:$F$100,"")</f>
        <v/>
      </c>
      <c r="AB74" s="21" t="str">
        <f>_xlfn.XLOOKUP($C74,'PP5 (1)'!$B$6:$B$100,'PP5 (1)'!$F$6:$F$100,"")</f>
        <v/>
      </c>
      <c r="AC74" s="23" t="str">
        <f>_xlfn.XLOOKUP($C74,'PP5(2)'!$B$6:$B$100,'PP5(2)'!$F$6:$F$100,"")</f>
        <v/>
      </c>
      <c r="AD74" s="10">
        <f>SUM(AE74:AP74)</f>
        <v>0</v>
      </c>
      <c r="AE74" s="23" t="str">
        <f>_xlfn.XLOOKUP($C74,'MP (1)'!$B$6:$B$100,'MP (1)'!$H$6:$H$100,"")</f>
        <v/>
      </c>
      <c r="AF74" s="22" t="str">
        <f>_xlfn.XLOOKUP($C74,'MP (2)'!$B$6:$B$100,'MP (2)'!$H$6:$H$100,"")</f>
        <v/>
      </c>
      <c r="AG74" s="21" t="str">
        <f>_xlfn.XLOOKUP($C74,'PP1 (1)'!$B$6:$B$66,'PP1 (1)'!$H$6:$H$66,"")</f>
        <v/>
      </c>
      <c r="AH74" s="22" t="str">
        <f>_xlfn.XLOOKUP($C74,'PP1 (2)'!$B$6:$B$100,'PP1 (2)'!$H$6:$H$100,"")</f>
        <v/>
      </c>
      <c r="AI74" s="18" t="str">
        <f>_xlfn.XLOOKUP($C74,'PP2 (1)'!$B$6:$B$99,'PP2 (1)'!$H$6:$H$99,"")</f>
        <v/>
      </c>
      <c r="AJ74" s="19" t="str">
        <f>_xlfn.XLOOKUP($C74,'PP2 (2)'!$B$6:$B$100,'PP2 (2)'!$H$6:$H$100,"")</f>
        <v/>
      </c>
      <c r="AK74" s="21" t="str">
        <f>_xlfn.XLOOKUP($C74,'PP3 (1)'!$B$5:$B$113,'PP3 (1)'!$H$5:$H$113,"")</f>
        <v/>
      </c>
      <c r="AL74" s="22" t="str">
        <f>_xlfn.XLOOKUP($C74,'PP3 (2)'!$B$5:$B$112,'PP3 (2)'!$H$5:$H$112,"")</f>
        <v/>
      </c>
      <c r="AM74" s="18" t="str">
        <f>_xlfn.XLOOKUP($C74,'PP4 (1)'!$B$6:$B$100,'PP4 (1)'!$H$6:$H$100,"")</f>
        <v/>
      </c>
      <c r="AN74" s="19" t="str">
        <f>_xlfn.XLOOKUP($C74,'PP4 (2)'!$B$6:$B$100,'PP4 (2)'!$H$6:$H$100,"")</f>
        <v/>
      </c>
      <c r="AO74" s="21" t="str">
        <f>_xlfn.XLOOKUP($C74,'PP5 (1)'!$B$6:$B$100,'PP5 (1)'!$H$6:$H$100,"")</f>
        <v/>
      </c>
      <c r="AP74" s="29" t="str">
        <f>_xlfn.XLOOKUP($C74,'PP5(2)'!$B$6:$B$100,'PP5(2)'!$H$6:$H$100,"")</f>
        <v/>
      </c>
    </row>
    <row r="75" spans="1:42" ht="13.1" customHeight="1" x14ac:dyDescent="0.25">
      <c r="A75" s="1">
        <f>ROW()-4</f>
        <v>71</v>
      </c>
      <c r="B75" s="1">
        <v>3</v>
      </c>
      <c r="C75" s="3" t="s">
        <v>80</v>
      </c>
      <c r="D75" s="26">
        <f>SUM(E75:P75)</f>
        <v>0</v>
      </c>
      <c r="E75" s="23" t="str">
        <f>_xlfn.XLOOKUP($C75,'MP (1)'!$B$6:$B$100,'MP (1)'!$E$6:$E$100,"")</f>
        <v/>
      </c>
      <c r="F75" s="22" t="str">
        <f>_xlfn.XLOOKUP($C75,'MP (2)'!$B$6:$B$100,'MP (2)'!$E$6:$E$100,"")</f>
        <v/>
      </c>
      <c r="G75" s="21" t="str">
        <f>_xlfn.XLOOKUP($C75,'PP1 (1)'!$B$6:$B$66,'PP1 (1)'!$E$6:$E$66,"")</f>
        <v/>
      </c>
      <c r="H75" s="22" t="str">
        <f>_xlfn.XLOOKUP($C75,'PP1 (2)'!$B$6:$B$100,'PP1 (2)'!$E$6:$E$100,"")</f>
        <v/>
      </c>
      <c r="I75" s="18" t="str">
        <f>_xlfn.XLOOKUP($C75,'PP2 (1)'!$B$6:$B$99,'PP2 (1)'!$E$6:$E$99,"")</f>
        <v/>
      </c>
      <c r="J75" s="20" t="str">
        <f>_xlfn.XLOOKUP($C75,'PP2 (2)'!$B$6:$B$100,'PP2 (2)'!$E$6:$E$100,"")</f>
        <v/>
      </c>
      <c r="K75" s="21" t="str">
        <f>_xlfn.XLOOKUP($C75,'PP3 (1)'!$B$5:$B$113,'PP3 (1)'!$E$5:$E$113,"")</f>
        <v/>
      </c>
      <c r="L75" s="22" t="str">
        <f>_xlfn.XLOOKUP($C75,'PP3 (2)'!$B$5:$B$112,'PP3 (2)'!$E$5:$E$112,"")</f>
        <v/>
      </c>
      <c r="M75" s="18" t="str">
        <f>_xlfn.XLOOKUP($C75,'PP4 (1)'!$B$6:$B$100,'PP4 (1)'!$E$6:$E$100,"")</f>
        <v/>
      </c>
      <c r="N75" s="20" t="str">
        <f>_xlfn.XLOOKUP($C75,'PP4 (2)'!$B$6:$B$100,'PP4 (2)'!$E$6:$E$100,"")</f>
        <v/>
      </c>
      <c r="O75" s="21" t="str">
        <f>_xlfn.XLOOKUP($C75,'PP5 (1)'!$B$6:$B$100,'PP5 (1)'!$E$6:$E$100,"")</f>
        <v/>
      </c>
      <c r="P75" s="23" t="str">
        <f>_xlfn.XLOOKUP($C75,'PP5(2)'!$B$6:$B$100,'PP5(2)'!$E$6:$E$100,"")</f>
        <v/>
      </c>
      <c r="Q75" s="10">
        <f>SUM(R75:AC75)</f>
        <v>0</v>
      </c>
      <c r="R75" s="23" t="str">
        <f>_xlfn.XLOOKUP($C75,'MP (1)'!$B$6:$B$100,'MP (1)'!$F$6:$F$100,"")</f>
        <v/>
      </c>
      <c r="S75" s="22" t="str">
        <f>_xlfn.XLOOKUP($C75,'MP (2)'!$B$6:$B$100,'MP (2)'!$F$6:$F$100,"")</f>
        <v/>
      </c>
      <c r="T75" s="21" t="str">
        <f>_xlfn.XLOOKUP($C75,'PP1 (1)'!$B$6:$B$66,'PP1 (1)'!$F$6:$F$66,"")</f>
        <v/>
      </c>
      <c r="U75" s="22" t="str">
        <f>_xlfn.XLOOKUP($C75,'PP1 (2)'!$B$6:$B$100,'PP1 (2)'!$F$6:$F$100,"")</f>
        <v/>
      </c>
      <c r="V75" s="18" t="str">
        <f>_xlfn.XLOOKUP($C75,'PP2 (1)'!$B$6:$B$99,'PP2 (1)'!$F$6:$F$99,"")</f>
        <v/>
      </c>
      <c r="W75" s="20" t="str">
        <f>_xlfn.XLOOKUP($C75,'PP2 (2)'!$B$6:$B$100,'PP2 (2)'!$F$6:$F$100,"")</f>
        <v/>
      </c>
      <c r="X75" s="21" t="str">
        <f>_xlfn.XLOOKUP($C75,'PP3 (1)'!$B$5:$B$113,'PP3 (1)'!$F$5:$F$113,"")</f>
        <v/>
      </c>
      <c r="Y75" s="22" t="str">
        <f>_xlfn.XLOOKUP($C75,'PP3 (2)'!$B$5:$B$112,'PP3 (2)'!$F$5:$F$112,"")</f>
        <v/>
      </c>
      <c r="Z75" s="18" t="str">
        <f>_xlfn.XLOOKUP($C75,'PP4 (1)'!$B$6:$B$100,'PP4 (1)'!$F$6:$F$100,"")</f>
        <v/>
      </c>
      <c r="AA75" s="20" t="str">
        <f>_xlfn.XLOOKUP($C75,'PP4 (2)'!$B$6:$B$100,'PP4 (2)'!$F$6:$F$100,"")</f>
        <v/>
      </c>
      <c r="AB75" s="21" t="str">
        <f>_xlfn.XLOOKUP($C75,'PP5 (1)'!$B$6:$B$100,'PP5 (1)'!$F$6:$F$100,"")</f>
        <v/>
      </c>
      <c r="AC75" s="23" t="str">
        <f>_xlfn.XLOOKUP($C75,'PP5(2)'!$B$6:$B$100,'PP5(2)'!$F$6:$F$100,"")</f>
        <v/>
      </c>
      <c r="AD75" s="10">
        <f>SUM(AE75:AP75)</f>
        <v>0</v>
      </c>
      <c r="AE75" s="23" t="str">
        <f>_xlfn.XLOOKUP($C75,'MP (1)'!$B$6:$B$100,'MP (1)'!$H$6:$H$100,"")</f>
        <v/>
      </c>
      <c r="AF75" s="22" t="str">
        <f>_xlfn.XLOOKUP($C75,'MP (2)'!$B$6:$B$100,'MP (2)'!$H$6:$H$100,"")</f>
        <v/>
      </c>
      <c r="AG75" s="21" t="str">
        <f>_xlfn.XLOOKUP($C75,'PP1 (1)'!$B$6:$B$66,'PP1 (1)'!$H$6:$H$66,"")</f>
        <v/>
      </c>
      <c r="AH75" s="22" t="str">
        <f>_xlfn.XLOOKUP($C75,'PP1 (2)'!$B$6:$B$100,'PP1 (2)'!$H$6:$H$100,"")</f>
        <v/>
      </c>
      <c r="AI75" s="18" t="str">
        <f>_xlfn.XLOOKUP($C75,'PP2 (1)'!$B$6:$B$99,'PP2 (1)'!$H$6:$H$99,"")</f>
        <v/>
      </c>
      <c r="AJ75" s="19" t="str">
        <f>_xlfn.XLOOKUP($C75,'PP2 (2)'!$B$6:$B$100,'PP2 (2)'!$H$6:$H$100,"")</f>
        <v/>
      </c>
      <c r="AK75" s="21" t="str">
        <f>_xlfn.XLOOKUP($C75,'PP3 (1)'!$B$5:$B$113,'PP3 (1)'!$H$5:$H$113,"")</f>
        <v/>
      </c>
      <c r="AL75" s="22" t="str">
        <f>_xlfn.XLOOKUP($C75,'PP3 (2)'!$B$5:$B$112,'PP3 (2)'!$H$5:$H$112,"")</f>
        <v/>
      </c>
      <c r="AM75" s="18" t="str">
        <f>_xlfn.XLOOKUP($C75,'PP4 (1)'!$B$6:$B$100,'PP4 (1)'!$H$6:$H$100,"")</f>
        <v/>
      </c>
      <c r="AN75" s="19" t="str">
        <f>_xlfn.XLOOKUP($C75,'PP4 (2)'!$B$6:$B$100,'PP4 (2)'!$H$6:$H$100,"")</f>
        <v/>
      </c>
      <c r="AO75" s="21" t="str">
        <f>_xlfn.XLOOKUP($C75,'PP5 (1)'!$B$6:$B$100,'PP5 (1)'!$H$6:$H$100,"")</f>
        <v/>
      </c>
      <c r="AP75" s="29" t="str">
        <f>_xlfn.XLOOKUP($C75,'PP5(2)'!$B$6:$B$100,'PP5(2)'!$H$6:$H$100,"")</f>
        <v/>
      </c>
    </row>
    <row r="76" spans="1:42" ht="13.1" customHeight="1" x14ac:dyDescent="0.25">
      <c r="A76" s="1">
        <f>ROW()-4</f>
        <v>72</v>
      </c>
      <c r="B76" s="1" t="s">
        <v>157</v>
      </c>
      <c r="C76" s="3" t="s">
        <v>27</v>
      </c>
      <c r="D76" s="26">
        <f>SUM(E76:P76)</f>
        <v>0</v>
      </c>
      <c r="E76" s="23" t="str">
        <f>_xlfn.XLOOKUP($C76,'MP (1)'!$B$6:$B$100,'MP (1)'!$E$6:$E$100,"")</f>
        <v/>
      </c>
      <c r="F76" s="22" t="str">
        <f>_xlfn.XLOOKUP($C76,'MP (2)'!$B$6:$B$100,'MP (2)'!$E$6:$E$100,"")</f>
        <v/>
      </c>
      <c r="G76" s="21" t="str">
        <f>_xlfn.XLOOKUP($C76,'PP1 (1)'!$B$6:$B$66,'PP1 (1)'!$E$6:$E$66,"")</f>
        <v/>
      </c>
      <c r="H76" s="22" t="str">
        <f>_xlfn.XLOOKUP($C76,'PP1 (2)'!$B$6:$B$100,'PP1 (2)'!$E$6:$E$100,"")</f>
        <v/>
      </c>
      <c r="I76" s="18" t="str">
        <f>_xlfn.XLOOKUP($C76,'PP2 (1)'!$B$6:$B$99,'PP2 (1)'!$E$6:$E$99,"")</f>
        <v/>
      </c>
      <c r="J76" s="20" t="str">
        <f>_xlfn.XLOOKUP($C76,'PP2 (2)'!$B$6:$B$100,'PP2 (2)'!$E$6:$E$100,"")</f>
        <v/>
      </c>
      <c r="K76" s="21" t="str">
        <f>_xlfn.XLOOKUP($C76,'PP3 (1)'!$B$5:$B$113,'PP3 (1)'!$E$5:$E$113,"")</f>
        <v/>
      </c>
      <c r="L76" s="22" t="str">
        <f>_xlfn.XLOOKUP($C76,'PP3 (2)'!$B$5:$B$112,'PP3 (2)'!$E$5:$E$112,"")</f>
        <v/>
      </c>
      <c r="M76" s="18" t="str">
        <f>_xlfn.XLOOKUP($C76,'PP4 (1)'!$B$6:$B$100,'PP4 (1)'!$E$6:$E$100,"")</f>
        <v/>
      </c>
      <c r="N76" s="20" t="str">
        <f>_xlfn.XLOOKUP($C76,'PP4 (2)'!$B$6:$B$100,'PP4 (2)'!$E$6:$E$100,"")</f>
        <v/>
      </c>
      <c r="O76" s="21" t="str">
        <f>_xlfn.XLOOKUP($C76,'PP5 (1)'!$B$6:$B$100,'PP5 (1)'!$E$6:$E$100,"")</f>
        <v/>
      </c>
      <c r="P76" s="23" t="str">
        <f>_xlfn.XLOOKUP($C76,'PP5(2)'!$B$6:$B$100,'PP5(2)'!$E$6:$E$100,"")</f>
        <v/>
      </c>
      <c r="Q76" s="10">
        <f>SUM(R76:AC76)</f>
        <v>0</v>
      </c>
      <c r="R76" s="23" t="str">
        <f>_xlfn.XLOOKUP($C76,'MP (1)'!$B$6:$B$100,'MP (1)'!$F$6:$F$100,"")</f>
        <v/>
      </c>
      <c r="S76" s="22" t="str">
        <f>_xlfn.XLOOKUP($C76,'MP (2)'!$B$6:$B$100,'MP (2)'!$F$6:$F$100,"")</f>
        <v/>
      </c>
      <c r="T76" s="21" t="str">
        <f>_xlfn.XLOOKUP($C76,'PP1 (1)'!$B$6:$B$66,'PP1 (1)'!$F$6:$F$66,"")</f>
        <v/>
      </c>
      <c r="U76" s="22" t="str">
        <f>_xlfn.XLOOKUP($C76,'PP1 (2)'!$B$6:$B$100,'PP1 (2)'!$F$6:$F$100,"")</f>
        <v/>
      </c>
      <c r="V76" s="18" t="str">
        <f>_xlfn.XLOOKUP($C76,'PP2 (1)'!$B$6:$B$99,'PP2 (1)'!$F$6:$F$99,"")</f>
        <v/>
      </c>
      <c r="W76" s="20" t="str">
        <f>_xlfn.XLOOKUP($C76,'PP2 (2)'!$B$6:$B$100,'PP2 (2)'!$F$6:$F$100,"")</f>
        <v/>
      </c>
      <c r="X76" s="21" t="str">
        <f>_xlfn.XLOOKUP($C76,'PP3 (1)'!$B$5:$B$113,'PP3 (1)'!$F$5:$F$113,"")</f>
        <v/>
      </c>
      <c r="Y76" s="22" t="str">
        <f>_xlfn.XLOOKUP($C76,'PP3 (2)'!$B$5:$B$112,'PP3 (2)'!$F$5:$F$112,"")</f>
        <v/>
      </c>
      <c r="Z76" s="18" t="str">
        <f>_xlfn.XLOOKUP($C76,'PP4 (1)'!$B$6:$B$100,'PP4 (1)'!$F$6:$F$100,"")</f>
        <v/>
      </c>
      <c r="AA76" s="20" t="str">
        <f>_xlfn.XLOOKUP($C76,'PP4 (2)'!$B$6:$B$100,'PP4 (2)'!$F$6:$F$100,"")</f>
        <v/>
      </c>
      <c r="AB76" s="21" t="str">
        <f>_xlfn.XLOOKUP($C76,'PP5 (1)'!$B$6:$B$100,'PP5 (1)'!$F$6:$F$100,"")</f>
        <v/>
      </c>
      <c r="AC76" s="23" t="str">
        <f>_xlfn.XLOOKUP($C76,'PP5(2)'!$B$6:$B$100,'PP5(2)'!$F$6:$F$100,"")</f>
        <v/>
      </c>
      <c r="AD76" s="10">
        <f>SUM(AE76:AP76)</f>
        <v>0</v>
      </c>
      <c r="AE76" s="23" t="str">
        <f>_xlfn.XLOOKUP($C76,'MP (1)'!$B$6:$B$100,'MP (1)'!$H$6:$H$100,"")</f>
        <v/>
      </c>
      <c r="AF76" s="22" t="str">
        <f>_xlfn.XLOOKUP($C76,'MP (2)'!$B$6:$B$100,'MP (2)'!$H$6:$H$100,"")</f>
        <v/>
      </c>
      <c r="AG76" s="21" t="str">
        <f>_xlfn.XLOOKUP($C76,'PP1 (1)'!$B$6:$B$66,'PP1 (1)'!$H$6:$H$66,"")</f>
        <v/>
      </c>
      <c r="AH76" s="22" t="str">
        <f>_xlfn.XLOOKUP($C76,'PP1 (2)'!$B$6:$B$100,'PP1 (2)'!$H$6:$H$100,"")</f>
        <v/>
      </c>
      <c r="AI76" s="18" t="str">
        <f>_xlfn.XLOOKUP($C76,'PP2 (1)'!$B$6:$B$99,'PP2 (1)'!$H$6:$H$99,"")</f>
        <v/>
      </c>
      <c r="AJ76" s="19" t="str">
        <f>_xlfn.XLOOKUP($C76,'PP2 (2)'!$B$6:$B$100,'PP2 (2)'!$H$6:$H$100,"")</f>
        <v/>
      </c>
      <c r="AK76" s="21" t="str">
        <f>_xlfn.XLOOKUP($C76,'PP3 (1)'!$B$5:$B$113,'PP3 (1)'!$H$5:$H$113,"")</f>
        <v/>
      </c>
      <c r="AL76" s="22" t="str">
        <f>_xlfn.XLOOKUP($C76,'PP3 (2)'!$B$5:$B$112,'PP3 (2)'!$H$5:$H$112,"")</f>
        <v/>
      </c>
      <c r="AM76" s="18" t="str">
        <f>_xlfn.XLOOKUP($C76,'PP4 (1)'!$B$6:$B$100,'PP4 (1)'!$H$6:$H$100,"")</f>
        <v/>
      </c>
      <c r="AN76" s="19" t="str">
        <f>_xlfn.XLOOKUP($C76,'PP4 (2)'!$B$6:$B$100,'PP4 (2)'!$H$6:$H$100,"")</f>
        <v/>
      </c>
      <c r="AO76" s="21" t="str">
        <f>_xlfn.XLOOKUP($C76,'PP5 (1)'!$B$6:$B$100,'PP5 (1)'!$H$6:$H$100,"")</f>
        <v/>
      </c>
      <c r="AP76" s="29" t="str">
        <f>_xlfn.XLOOKUP($C76,'PP5(2)'!$B$6:$B$100,'PP5(2)'!$H$6:$H$100,"")</f>
        <v/>
      </c>
    </row>
    <row r="77" spans="1:42" ht="13.1" customHeight="1" x14ac:dyDescent="0.25">
      <c r="A77" s="1">
        <f>ROW()-4</f>
        <v>73</v>
      </c>
      <c r="B77" s="1" t="s">
        <v>155</v>
      </c>
      <c r="C77" s="3" t="s">
        <v>72</v>
      </c>
      <c r="D77" s="26">
        <f>SUM(E77:P77)</f>
        <v>0</v>
      </c>
      <c r="E77" s="23" t="str">
        <f>_xlfn.XLOOKUP($C77,'MP (1)'!$B$6:$B$100,'MP (1)'!$E$6:$E$100,"")</f>
        <v/>
      </c>
      <c r="F77" s="22" t="str">
        <f>_xlfn.XLOOKUP($C77,'MP (2)'!$B$6:$B$100,'MP (2)'!$E$6:$E$100,"")</f>
        <v/>
      </c>
      <c r="G77" s="21" t="str">
        <f>_xlfn.XLOOKUP($C77,'PP1 (1)'!$B$6:$B$66,'PP1 (1)'!$E$6:$E$66,"")</f>
        <v/>
      </c>
      <c r="H77" s="22" t="str">
        <f>_xlfn.XLOOKUP($C77,'PP1 (2)'!$B$6:$B$100,'PP1 (2)'!$E$6:$E$100,"")</f>
        <v/>
      </c>
      <c r="I77" s="18" t="str">
        <f>_xlfn.XLOOKUP($C77,'PP2 (1)'!$B$6:$B$99,'PP2 (1)'!$E$6:$E$99,"")</f>
        <v/>
      </c>
      <c r="J77" s="20" t="str">
        <f>_xlfn.XLOOKUP($C77,'PP2 (2)'!$B$6:$B$100,'PP2 (2)'!$E$6:$E$100,"")</f>
        <v/>
      </c>
      <c r="K77" s="21" t="str">
        <f>_xlfn.XLOOKUP($C77,'PP3 (1)'!$B$5:$B$113,'PP3 (1)'!$E$5:$E$113,"")</f>
        <v/>
      </c>
      <c r="L77" s="22" t="str">
        <f>_xlfn.XLOOKUP($C77,'PP3 (2)'!$B$5:$B$112,'PP3 (2)'!$E$5:$E$112,"")</f>
        <v/>
      </c>
      <c r="M77" s="18" t="str">
        <f>_xlfn.XLOOKUP($C77,'PP4 (1)'!$B$6:$B$100,'PP4 (1)'!$E$6:$E$100,"")</f>
        <v/>
      </c>
      <c r="N77" s="20" t="str">
        <f>_xlfn.XLOOKUP($C77,'PP4 (2)'!$B$6:$B$100,'PP4 (2)'!$E$6:$E$100,"")</f>
        <v/>
      </c>
      <c r="O77" s="21" t="str">
        <f>_xlfn.XLOOKUP($C77,'PP5 (1)'!$B$6:$B$100,'PP5 (1)'!$E$6:$E$100,"")</f>
        <v/>
      </c>
      <c r="P77" s="23" t="str">
        <f>_xlfn.XLOOKUP($C77,'PP5(2)'!$B$6:$B$100,'PP5(2)'!$E$6:$E$100,"")</f>
        <v/>
      </c>
      <c r="Q77" s="10">
        <f>SUM(R77:AC77)</f>
        <v>0</v>
      </c>
      <c r="R77" s="23" t="str">
        <f>_xlfn.XLOOKUP($C77,'MP (1)'!$B$6:$B$100,'MP (1)'!$F$6:$F$100,"")</f>
        <v/>
      </c>
      <c r="S77" s="22" t="str">
        <f>_xlfn.XLOOKUP($C77,'MP (2)'!$B$6:$B$100,'MP (2)'!$F$6:$F$100,"")</f>
        <v/>
      </c>
      <c r="T77" s="21" t="str">
        <f>_xlfn.XLOOKUP($C77,'PP1 (1)'!$B$6:$B$66,'PP1 (1)'!$F$6:$F$66,"")</f>
        <v/>
      </c>
      <c r="U77" s="22" t="str">
        <f>_xlfn.XLOOKUP($C77,'PP1 (2)'!$B$6:$B$100,'PP1 (2)'!$F$6:$F$100,"")</f>
        <v/>
      </c>
      <c r="V77" s="18" t="str">
        <f>_xlfn.XLOOKUP($C77,'PP2 (1)'!$B$6:$B$99,'PP2 (1)'!$F$6:$F$99,"")</f>
        <v/>
      </c>
      <c r="W77" s="20" t="str">
        <f>_xlfn.XLOOKUP($C77,'PP2 (2)'!$B$6:$B$100,'PP2 (2)'!$F$6:$F$100,"")</f>
        <v/>
      </c>
      <c r="X77" s="21" t="str">
        <f>_xlfn.XLOOKUP($C77,'PP3 (1)'!$B$5:$B$113,'PP3 (1)'!$F$5:$F$113,"")</f>
        <v/>
      </c>
      <c r="Y77" s="22" t="str">
        <f>_xlfn.XLOOKUP($C77,'PP3 (2)'!$B$5:$B$112,'PP3 (2)'!$F$5:$F$112,"")</f>
        <v/>
      </c>
      <c r="Z77" s="18" t="str">
        <f>_xlfn.XLOOKUP($C77,'PP4 (1)'!$B$6:$B$100,'PP4 (1)'!$F$6:$F$100,"")</f>
        <v/>
      </c>
      <c r="AA77" s="20" t="str">
        <f>_xlfn.XLOOKUP($C77,'PP4 (2)'!$B$6:$B$100,'PP4 (2)'!$F$6:$F$100,"")</f>
        <v/>
      </c>
      <c r="AB77" s="21" t="str">
        <f>_xlfn.XLOOKUP($C77,'PP5 (1)'!$B$6:$B$100,'PP5 (1)'!$F$6:$F$100,"")</f>
        <v/>
      </c>
      <c r="AC77" s="23" t="str">
        <f>_xlfn.XLOOKUP($C77,'PP5(2)'!$B$6:$B$100,'PP5(2)'!$F$6:$F$100,"")</f>
        <v/>
      </c>
      <c r="AD77" s="10">
        <f>SUM(AE77:AP77)</f>
        <v>0</v>
      </c>
      <c r="AE77" s="23" t="str">
        <f>_xlfn.XLOOKUP($C77,'MP (1)'!$B$6:$B$100,'MP (1)'!$H$6:$H$100,"")</f>
        <v/>
      </c>
      <c r="AF77" s="22" t="str">
        <f>_xlfn.XLOOKUP($C77,'MP (2)'!$B$6:$B$100,'MP (2)'!$H$6:$H$100,"")</f>
        <v/>
      </c>
      <c r="AG77" s="21" t="str">
        <f>_xlfn.XLOOKUP($C77,'PP1 (1)'!$B$6:$B$66,'PP1 (1)'!$H$6:$H$66,"")</f>
        <v/>
      </c>
      <c r="AH77" s="22" t="str">
        <f>_xlfn.XLOOKUP($C77,'PP1 (2)'!$B$6:$B$100,'PP1 (2)'!$H$6:$H$100,"")</f>
        <v/>
      </c>
      <c r="AI77" s="18" t="str">
        <f>_xlfn.XLOOKUP($C77,'PP2 (1)'!$B$6:$B$99,'PP2 (1)'!$H$6:$H$99,"")</f>
        <v/>
      </c>
      <c r="AJ77" s="19" t="str">
        <f>_xlfn.XLOOKUP($C77,'PP2 (2)'!$B$6:$B$100,'PP2 (2)'!$H$6:$H$100,"")</f>
        <v/>
      </c>
      <c r="AK77" s="21" t="str">
        <f>_xlfn.XLOOKUP($C77,'PP3 (1)'!$B$5:$B$113,'PP3 (1)'!$H$5:$H$113,"")</f>
        <v/>
      </c>
      <c r="AL77" s="22" t="str">
        <f>_xlfn.XLOOKUP($C77,'PP3 (2)'!$B$5:$B$112,'PP3 (2)'!$H$5:$H$112,"")</f>
        <v/>
      </c>
      <c r="AM77" s="18" t="str">
        <f>_xlfn.XLOOKUP($C77,'PP4 (1)'!$B$6:$B$100,'PP4 (1)'!$H$6:$H$100,"")</f>
        <v/>
      </c>
      <c r="AN77" s="19" t="str">
        <f>_xlfn.XLOOKUP($C77,'PP4 (2)'!$B$6:$B$100,'PP4 (2)'!$H$6:$H$100,"")</f>
        <v/>
      </c>
      <c r="AO77" s="21" t="str">
        <f>_xlfn.XLOOKUP($C77,'PP5 (1)'!$B$6:$B$100,'PP5 (1)'!$H$6:$H$100,"")</f>
        <v/>
      </c>
      <c r="AP77" s="29" t="str">
        <f>_xlfn.XLOOKUP($C77,'PP5(2)'!$B$6:$B$100,'PP5(2)'!$H$6:$H$100,"")</f>
        <v/>
      </c>
    </row>
    <row r="78" spans="1:42" ht="13.1" customHeight="1" x14ac:dyDescent="0.25">
      <c r="A78" s="1">
        <f>ROW()-4</f>
        <v>74</v>
      </c>
      <c r="B78" s="1"/>
      <c r="C78" s="3" t="s">
        <v>53</v>
      </c>
      <c r="D78" s="26">
        <f>SUM(E78:P78)</f>
        <v>0</v>
      </c>
      <c r="E78" s="23" t="str">
        <f>_xlfn.XLOOKUP($C78,'MP (1)'!$B$6:$B$100,'MP (1)'!$E$6:$E$100,"")</f>
        <v/>
      </c>
      <c r="F78" s="22" t="str">
        <f>_xlfn.XLOOKUP($C78,'MP (2)'!$B$6:$B$100,'MP (2)'!$E$6:$E$100,"")</f>
        <v/>
      </c>
      <c r="G78" s="21" t="str">
        <f>_xlfn.XLOOKUP($C78,'PP1 (1)'!$B$6:$B$66,'PP1 (1)'!$E$6:$E$66,"")</f>
        <v/>
      </c>
      <c r="H78" s="22" t="str">
        <f>_xlfn.XLOOKUP($C78,'PP1 (2)'!$B$6:$B$100,'PP1 (2)'!$E$6:$E$100,"")</f>
        <v/>
      </c>
      <c r="I78" s="18" t="str">
        <f>_xlfn.XLOOKUP($C78,'PP2 (1)'!$B$6:$B$99,'PP2 (1)'!$E$6:$E$99,"")</f>
        <v/>
      </c>
      <c r="J78" s="20" t="str">
        <f>_xlfn.XLOOKUP($C78,'PP2 (2)'!$B$6:$B$100,'PP2 (2)'!$E$6:$E$100,"")</f>
        <v/>
      </c>
      <c r="K78" s="21" t="str">
        <f>_xlfn.XLOOKUP($C78,'PP3 (1)'!$B$5:$B$113,'PP3 (1)'!$E$5:$E$113,"")</f>
        <v/>
      </c>
      <c r="L78" s="22" t="str">
        <f>_xlfn.XLOOKUP($C78,'PP3 (2)'!$B$5:$B$112,'PP3 (2)'!$E$5:$E$112,"")</f>
        <v/>
      </c>
      <c r="M78" s="18" t="str">
        <f>_xlfn.XLOOKUP($C78,'PP4 (1)'!$B$6:$B$100,'PP4 (1)'!$E$6:$E$100,"")</f>
        <v/>
      </c>
      <c r="N78" s="20" t="str">
        <f>_xlfn.XLOOKUP($C78,'PP4 (2)'!$B$6:$B$100,'PP4 (2)'!$E$6:$E$100,"")</f>
        <v/>
      </c>
      <c r="O78" s="21" t="str">
        <f>_xlfn.XLOOKUP($C78,'PP5 (1)'!$B$6:$B$100,'PP5 (1)'!$E$6:$E$100,"")</f>
        <v/>
      </c>
      <c r="P78" s="23" t="str">
        <f>_xlfn.XLOOKUP($C78,'PP5(2)'!$B$6:$B$100,'PP5(2)'!$E$6:$E$100,"")</f>
        <v/>
      </c>
      <c r="Q78" s="10">
        <f>SUM(R78:AC78)</f>
        <v>0</v>
      </c>
      <c r="R78" s="23" t="str">
        <f>_xlfn.XLOOKUP($C78,'MP (1)'!$B$6:$B$100,'MP (1)'!$F$6:$F$100,"")</f>
        <v/>
      </c>
      <c r="S78" s="22" t="str">
        <f>_xlfn.XLOOKUP($C78,'MP (2)'!$B$6:$B$100,'MP (2)'!$F$6:$F$100,"")</f>
        <v/>
      </c>
      <c r="T78" s="21" t="str">
        <f>_xlfn.XLOOKUP($C78,'PP1 (1)'!$B$6:$B$66,'PP1 (1)'!$F$6:$F$66,"")</f>
        <v/>
      </c>
      <c r="U78" s="22" t="str">
        <f>_xlfn.XLOOKUP($C78,'PP1 (2)'!$B$6:$B$100,'PP1 (2)'!$F$6:$F$100,"")</f>
        <v/>
      </c>
      <c r="V78" s="18" t="str">
        <f>_xlfn.XLOOKUP($C78,'PP2 (1)'!$B$6:$B$99,'PP2 (1)'!$F$6:$F$99,"")</f>
        <v/>
      </c>
      <c r="W78" s="20" t="str">
        <f>_xlfn.XLOOKUP($C78,'PP2 (2)'!$B$6:$B$100,'PP2 (2)'!$F$6:$F$100,"")</f>
        <v/>
      </c>
      <c r="X78" s="21" t="str">
        <f>_xlfn.XLOOKUP($C78,'PP3 (1)'!$B$5:$B$113,'PP3 (1)'!$F$5:$F$113,"")</f>
        <v/>
      </c>
      <c r="Y78" s="22" t="str">
        <f>_xlfn.XLOOKUP($C78,'PP3 (2)'!$B$5:$B$112,'PP3 (2)'!$F$5:$F$112,"")</f>
        <v/>
      </c>
      <c r="Z78" s="18" t="str">
        <f>_xlfn.XLOOKUP($C78,'PP4 (1)'!$B$6:$B$100,'PP4 (1)'!$F$6:$F$100,"")</f>
        <v/>
      </c>
      <c r="AA78" s="20" t="str">
        <f>_xlfn.XLOOKUP($C78,'PP4 (2)'!$B$6:$B$100,'PP4 (2)'!$F$6:$F$100,"")</f>
        <v/>
      </c>
      <c r="AB78" s="21" t="str">
        <f>_xlfn.XLOOKUP($C78,'PP5 (1)'!$B$6:$B$100,'PP5 (1)'!$F$6:$F$100,"")</f>
        <v/>
      </c>
      <c r="AC78" s="23" t="str">
        <f>_xlfn.XLOOKUP($C78,'PP5(2)'!$B$6:$B$100,'PP5(2)'!$F$6:$F$100,"")</f>
        <v/>
      </c>
      <c r="AD78" s="10">
        <f>SUM(AE78:AP78)</f>
        <v>0</v>
      </c>
      <c r="AE78" s="23" t="str">
        <f>_xlfn.XLOOKUP($C78,'MP (1)'!$B$6:$B$100,'MP (1)'!$H$6:$H$100,"")</f>
        <v/>
      </c>
      <c r="AF78" s="22" t="str">
        <f>_xlfn.XLOOKUP($C78,'MP (2)'!$B$6:$B$100,'MP (2)'!$H$6:$H$100,"")</f>
        <v/>
      </c>
      <c r="AG78" s="21" t="str">
        <f>_xlfn.XLOOKUP($C78,'PP1 (1)'!$B$6:$B$66,'PP1 (1)'!$H$6:$H$66,"")</f>
        <v/>
      </c>
      <c r="AH78" s="22" t="str">
        <f>_xlfn.XLOOKUP($C78,'PP1 (2)'!$B$6:$B$100,'PP1 (2)'!$H$6:$H$100,"")</f>
        <v/>
      </c>
      <c r="AI78" s="18" t="str">
        <f>_xlfn.XLOOKUP($C78,'PP2 (1)'!$B$6:$B$99,'PP2 (1)'!$H$6:$H$99,"")</f>
        <v/>
      </c>
      <c r="AJ78" s="19" t="str">
        <f>_xlfn.XLOOKUP($C78,'PP2 (2)'!$B$6:$B$100,'PP2 (2)'!$H$6:$H$100,"")</f>
        <v/>
      </c>
      <c r="AK78" s="21" t="str">
        <f>_xlfn.XLOOKUP($C78,'PP3 (1)'!$B$5:$B$113,'PP3 (1)'!$H$5:$H$113,"")</f>
        <v/>
      </c>
      <c r="AL78" s="22" t="str">
        <f>_xlfn.XLOOKUP($C78,'PP3 (2)'!$B$5:$B$112,'PP3 (2)'!$H$5:$H$112,"")</f>
        <v/>
      </c>
      <c r="AM78" s="18" t="str">
        <f>_xlfn.XLOOKUP($C78,'PP4 (1)'!$B$6:$B$100,'PP4 (1)'!$H$6:$H$100,"")</f>
        <v/>
      </c>
      <c r="AN78" s="19" t="str">
        <f>_xlfn.XLOOKUP($C78,'PP4 (2)'!$B$6:$B$100,'PP4 (2)'!$H$6:$H$100,"")</f>
        <v/>
      </c>
      <c r="AO78" s="21" t="str">
        <f>_xlfn.XLOOKUP($C78,'PP5 (1)'!$B$6:$B$100,'PP5 (1)'!$H$6:$H$100,"")</f>
        <v/>
      </c>
      <c r="AP78" s="29" t="str">
        <f>_xlfn.XLOOKUP($C78,'PP5(2)'!$B$6:$B$100,'PP5(2)'!$H$6:$H$100,"")</f>
        <v/>
      </c>
    </row>
    <row r="79" spans="1:42" ht="13.1" customHeight="1" x14ac:dyDescent="0.25">
      <c r="A79" s="1">
        <f>ROW()-4</f>
        <v>75</v>
      </c>
      <c r="B79" s="1">
        <v>0</v>
      </c>
      <c r="C79" s="3" t="s">
        <v>39</v>
      </c>
      <c r="D79" s="26">
        <f>SUM(E79:P79)</f>
        <v>0</v>
      </c>
      <c r="E79" s="23" t="str">
        <f>_xlfn.XLOOKUP($C79,'MP (1)'!$B$6:$B$100,'MP (1)'!$E$6:$E$100,"")</f>
        <v/>
      </c>
      <c r="F79" s="22" t="str">
        <f>_xlfn.XLOOKUP($C79,'MP (2)'!$B$6:$B$100,'MP (2)'!$E$6:$E$100,"")</f>
        <v/>
      </c>
      <c r="G79" s="21" t="str">
        <f>_xlfn.XLOOKUP($C79,'PP1 (1)'!$B$6:$B$66,'PP1 (1)'!$E$6:$E$66,"")</f>
        <v/>
      </c>
      <c r="H79" s="22" t="str">
        <f>_xlfn.XLOOKUP($C79,'PP1 (2)'!$B$6:$B$100,'PP1 (2)'!$E$6:$E$100,"")</f>
        <v/>
      </c>
      <c r="I79" s="18" t="str">
        <f>_xlfn.XLOOKUP($C79,'PP2 (1)'!$B$6:$B$99,'PP2 (1)'!$E$6:$E$99,"")</f>
        <v/>
      </c>
      <c r="J79" s="20" t="str">
        <f>_xlfn.XLOOKUP($C79,'PP2 (2)'!$B$6:$B$100,'PP2 (2)'!$E$6:$E$100,"")</f>
        <v/>
      </c>
      <c r="K79" s="21" t="str">
        <f>_xlfn.XLOOKUP($C79,'PP3 (1)'!$B$5:$B$113,'PP3 (1)'!$E$5:$E$113,"")</f>
        <v/>
      </c>
      <c r="L79" s="22" t="str">
        <f>_xlfn.XLOOKUP($C79,'PP3 (2)'!$B$5:$B$112,'PP3 (2)'!$E$5:$E$112,"")</f>
        <v/>
      </c>
      <c r="M79" s="18" t="str">
        <f>_xlfn.XLOOKUP($C79,'PP4 (1)'!$B$6:$B$100,'PP4 (1)'!$E$6:$E$100,"")</f>
        <v/>
      </c>
      <c r="N79" s="20" t="str">
        <f>_xlfn.XLOOKUP($C79,'PP4 (2)'!$B$6:$B$100,'PP4 (2)'!$E$6:$E$100,"")</f>
        <v/>
      </c>
      <c r="O79" s="21" t="str">
        <f>_xlfn.XLOOKUP($C79,'PP5 (1)'!$B$6:$B$100,'PP5 (1)'!$E$6:$E$100,"")</f>
        <v/>
      </c>
      <c r="P79" s="23" t="str">
        <f>_xlfn.XLOOKUP($C79,'PP5(2)'!$B$6:$B$100,'PP5(2)'!$E$6:$E$100,"")</f>
        <v/>
      </c>
      <c r="Q79" s="10">
        <f>SUM(R79:AC79)</f>
        <v>0</v>
      </c>
      <c r="R79" s="23" t="str">
        <f>_xlfn.XLOOKUP($C79,'MP (1)'!$B$6:$B$100,'MP (1)'!$F$6:$F$100,"")</f>
        <v/>
      </c>
      <c r="S79" s="22" t="str">
        <f>_xlfn.XLOOKUP($C79,'MP (2)'!$B$6:$B$100,'MP (2)'!$F$6:$F$100,"")</f>
        <v/>
      </c>
      <c r="T79" s="21" t="str">
        <f>_xlfn.XLOOKUP($C79,'PP1 (1)'!$B$6:$B$66,'PP1 (1)'!$F$6:$F$66,"")</f>
        <v/>
      </c>
      <c r="U79" s="22" t="str">
        <f>_xlfn.XLOOKUP($C79,'PP1 (2)'!$B$6:$B$100,'PP1 (2)'!$F$6:$F$100,"")</f>
        <v/>
      </c>
      <c r="V79" s="18" t="str">
        <f>_xlfn.XLOOKUP($C79,'PP2 (1)'!$B$6:$B$99,'PP2 (1)'!$F$6:$F$99,"")</f>
        <v/>
      </c>
      <c r="W79" s="20" t="str">
        <f>_xlfn.XLOOKUP($C79,'PP2 (2)'!$B$6:$B$100,'PP2 (2)'!$F$6:$F$100,"")</f>
        <v/>
      </c>
      <c r="X79" s="21" t="str">
        <f>_xlfn.XLOOKUP($C79,'PP3 (1)'!$B$5:$B$113,'PP3 (1)'!$F$5:$F$113,"")</f>
        <v/>
      </c>
      <c r="Y79" s="22" t="str">
        <f>_xlfn.XLOOKUP($C79,'PP3 (2)'!$B$5:$B$112,'PP3 (2)'!$F$5:$F$112,"")</f>
        <v/>
      </c>
      <c r="Z79" s="18" t="str">
        <f>_xlfn.XLOOKUP($C79,'PP4 (1)'!$B$6:$B$100,'PP4 (1)'!$F$6:$F$100,"")</f>
        <v/>
      </c>
      <c r="AA79" s="20" t="str">
        <f>_xlfn.XLOOKUP($C79,'PP4 (2)'!$B$6:$B$100,'PP4 (2)'!$F$6:$F$100,"")</f>
        <v/>
      </c>
      <c r="AB79" s="21" t="str">
        <f>_xlfn.XLOOKUP($C79,'PP5 (1)'!$B$6:$B$100,'PP5 (1)'!$F$6:$F$100,"")</f>
        <v/>
      </c>
      <c r="AC79" s="23" t="str">
        <f>_xlfn.XLOOKUP($C79,'PP5(2)'!$B$6:$B$100,'PP5(2)'!$F$6:$F$100,"")</f>
        <v/>
      </c>
      <c r="AD79" s="10">
        <f>SUM(AE79:AP79)</f>
        <v>0</v>
      </c>
      <c r="AE79" s="23" t="str">
        <f>_xlfn.XLOOKUP($C79,'MP (1)'!$B$6:$B$100,'MP (1)'!$H$6:$H$100,"")</f>
        <v/>
      </c>
      <c r="AF79" s="22" t="str">
        <f>_xlfn.XLOOKUP($C79,'MP (2)'!$B$6:$B$100,'MP (2)'!$H$6:$H$100,"")</f>
        <v/>
      </c>
      <c r="AG79" s="21" t="str">
        <f>_xlfn.XLOOKUP($C79,'PP1 (1)'!$B$6:$B$66,'PP1 (1)'!$H$6:$H$66,"")</f>
        <v/>
      </c>
      <c r="AH79" s="22" t="str">
        <f>_xlfn.XLOOKUP($C79,'PP1 (2)'!$B$6:$B$100,'PP1 (2)'!$H$6:$H$100,"")</f>
        <v/>
      </c>
      <c r="AI79" s="18" t="str">
        <f>_xlfn.XLOOKUP($C79,'PP2 (1)'!$B$6:$B$99,'PP2 (1)'!$H$6:$H$99,"")</f>
        <v/>
      </c>
      <c r="AJ79" s="19" t="str">
        <f>_xlfn.XLOOKUP($C79,'PP2 (2)'!$B$6:$B$100,'PP2 (2)'!$H$6:$H$100,"")</f>
        <v/>
      </c>
      <c r="AK79" s="21" t="str">
        <f>_xlfn.XLOOKUP($C79,'PP3 (1)'!$B$5:$B$113,'PP3 (1)'!$H$5:$H$113,"")</f>
        <v/>
      </c>
      <c r="AL79" s="22" t="str">
        <f>_xlfn.XLOOKUP($C79,'PP3 (2)'!$B$5:$B$112,'PP3 (2)'!$H$5:$H$112,"")</f>
        <v/>
      </c>
      <c r="AM79" s="18" t="str">
        <f>_xlfn.XLOOKUP($C79,'PP4 (1)'!$B$6:$B$100,'PP4 (1)'!$H$6:$H$100,"")</f>
        <v/>
      </c>
      <c r="AN79" s="19" t="str">
        <f>_xlfn.XLOOKUP($C79,'PP4 (2)'!$B$6:$B$100,'PP4 (2)'!$H$6:$H$100,"")</f>
        <v/>
      </c>
      <c r="AO79" s="21" t="str">
        <f>_xlfn.XLOOKUP($C79,'PP5 (1)'!$B$6:$B$100,'PP5 (1)'!$H$6:$H$100,"")</f>
        <v/>
      </c>
      <c r="AP79" s="29" t="str">
        <f>_xlfn.XLOOKUP($C79,'PP5(2)'!$B$6:$B$100,'PP5(2)'!$H$6:$H$100,"")</f>
        <v/>
      </c>
    </row>
    <row r="80" spans="1:42" ht="13.1" customHeight="1" x14ac:dyDescent="0.25">
      <c r="A80" s="1">
        <f>ROW()-4</f>
        <v>76</v>
      </c>
      <c r="B80" s="1">
        <v>1</v>
      </c>
      <c r="C80" s="3" t="s">
        <v>36</v>
      </c>
      <c r="D80" s="26">
        <f>SUM(E80:P80)</f>
        <v>0</v>
      </c>
      <c r="E80" s="23" t="str">
        <f>_xlfn.XLOOKUP($C80,'MP (1)'!$B$6:$B$100,'MP (1)'!$E$6:$E$100,"")</f>
        <v/>
      </c>
      <c r="F80" s="22" t="str">
        <f>_xlfn.XLOOKUP($C80,'MP (2)'!$B$6:$B$100,'MP (2)'!$E$6:$E$100,"")</f>
        <v/>
      </c>
      <c r="G80" s="21" t="str">
        <f>_xlfn.XLOOKUP($C80,'PP1 (1)'!$B$6:$B$66,'PP1 (1)'!$E$6:$E$66,"")</f>
        <v/>
      </c>
      <c r="H80" s="22" t="str">
        <f>_xlfn.XLOOKUP($C80,'PP1 (2)'!$B$6:$B$100,'PP1 (2)'!$E$6:$E$100,"")</f>
        <v/>
      </c>
      <c r="I80" s="18" t="str">
        <f>_xlfn.XLOOKUP($C80,'PP2 (1)'!$B$6:$B$99,'PP2 (1)'!$E$6:$E$99,"")</f>
        <v/>
      </c>
      <c r="J80" s="20" t="str">
        <f>_xlfn.XLOOKUP($C80,'PP2 (2)'!$B$6:$B$100,'PP2 (2)'!$E$6:$E$100,"")</f>
        <v/>
      </c>
      <c r="K80" s="21" t="str">
        <f>_xlfn.XLOOKUP($C80,'PP3 (1)'!$B$5:$B$113,'PP3 (1)'!$E$5:$E$113,"")</f>
        <v/>
      </c>
      <c r="L80" s="22" t="str">
        <f>_xlfn.XLOOKUP($C80,'PP3 (2)'!$B$5:$B$112,'PP3 (2)'!$E$5:$E$112,"")</f>
        <v/>
      </c>
      <c r="M80" s="18" t="str">
        <f>_xlfn.XLOOKUP($C80,'PP4 (1)'!$B$6:$B$100,'PP4 (1)'!$E$6:$E$100,"")</f>
        <v/>
      </c>
      <c r="N80" s="20" t="str">
        <f>_xlfn.XLOOKUP($C80,'PP4 (2)'!$B$6:$B$100,'PP4 (2)'!$E$6:$E$100,"")</f>
        <v/>
      </c>
      <c r="O80" s="21" t="str">
        <f>_xlfn.XLOOKUP($C80,'PP5 (1)'!$B$6:$B$100,'PP5 (1)'!$E$6:$E$100,"")</f>
        <v/>
      </c>
      <c r="P80" s="23" t="str">
        <f>_xlfn.XLOOKUP($C80,'PP5(2)'!$B$6:$B$100,'PP5(2)'!$E$6:$E$100,"")</f>
        <v/>
      </c>
      <c r="Q80" s="10">
        <f>SUM(R80:AC80)</f>
        <v>0</v>
      </c>
      <c r="R80" s="23" t="str">
        <f>_xlfn.XLOOKUP($C80,'MP (1)'!$B$6:$B$100,'MP (1)'!$F$6:$F$100,"")</f>
        <v/>
      </c>
      <c r="S80" s="22" t="str">
        <f>_xlfn.XLOOKUP($C80,'MP (2)'!$B$6:$B$100,'MP (2)'!$F$6:$F$100,"")</f>
        <v/>
      </c>
      <c r="T80" s="21" t="str">
        <f>_xlfn.XLOOKUP($C80,'PP1 (1)'!$B$6:$B$66,'PP1 (1)'!$F$6:$F$66,"")</f>
        <v/>
      </c>
      <c r="U80" s="22" t="str">
        <f>_xlfn.XLOOKUP($C80,'PP1 (2)'!$B$6:$B$100,'PP1 (2)'!$F$6:$F$100,"")</f>
        <v/>
      </c>
      <c r="V80" s="18" t="str">
        <f>_xlfn.XLOOKUP($C80,'PP2 (1)'!$B$6:$B$99,'PP2 (1)'!$F$6:$F$99,"")</f>
        <v/>
      </c>
      <c r="W80" s="20" t="str">
        <f>_xlfn.XLOOKUP($C80,'PP2 (2)'!$B$6:$B$100,'PP2 (2)'!$F$6:$F$100,"")</f>
        <v/>
      </c>
      <c r="X80" s="21" t="str">
        <f>_xlfn.XLOOKUP($C80,'PP3 (1)'!$B$5:$B$113,'PP3 (1)'!$F$5:$F$113,"")</f>
        <v/>
      </c>
      <c r="Y80" s="22" t="str">
        <f>_xlfn.XLOOKUP($C80,'PP3 (2)'!$B$5:$B$112,'PP3 (2)'!$F$5:$F$112,"")</f>
        <v/>
      </c>
      <c r="Z80" s="18" t="str">
        <f>_xlfn.XLOOKUP($C80,'PP4 (1)'!$B$6:$B$100,'PP4 (1)'!$F$6:$F$100,"")</f>
        <v/>
      </c>
      <c r="AA80" s="20" t="str">
        <f>_xlfn.XLOOKUP($C80,'PP4 (2)'!$B$6:$B$100,'PP4 (2)'!$F$6:$F$100,"")</f>
        <v/>
      </c>
      <c r="AB80" s="21" t="str">
        <f>_xlfn.XLOOKUP($C80,'PP5 (1)'!$B$6:$B$100,'PP5 (1)'!$F$6:$F$100,"")</f>
        <v/>
      </c>
      <c r="AC80" s="23" t="str">
        <f>_xlfn.XLOOKUP($C80,'PP5(2)'!$B$6:$B$100,'PP5(2)'!$F$6:$F$100,"")</f>
        <v/>
      </c>
      <c r="AD80" s="10">
        <f>SUM(AE80:AP80)</f>
        <v>0</v>
      </c>
      <c r="AE80" s="23" t="str">
        <f>_xlfn.XLOOKUP($C80,'MP (1)'!$B$6:$B$100,'MP (1)'!$H$6:$H$100,"")</f>
        <v/>
      </c>
      <c r="AF80" s="22" t="str">
        <f>_xlfn.XLOOKUP($C80,'MP (2)'!$B$6:$B$100,'MP (2)'!$H$6:$H$100,"")</f>
        <v/>
      </c>
      <c r="AG80" s="21" t="str">
        <f>_xlfn.XLOOKUP($C80,'PP1 (1)'!$B$6:$B$66,'PP1 (1)'!$H$6:$H$66,"")</f>
        <v/>
      </c>
      <c r="AH80" s="22" t="str">
        <f>_xlfn.XLOOKUP($C80,'PP1 (2)'!$B$6:$B$100,'PP1 (2)'!$H$6:$H$100,"")</f>
        <v/>
      </c>
      <c r="AI80" s="18" t="str">
        <f>_xlfn.XLOOKUP($C80,'PP2 (1)'!$B$6:$B$99,'PP2 (1)'!$H$6:$H$99,"")</f>
        <v/>
      </c>
      <c r="AJ80" s="19" t="str">
        <f>_xlfn.XLOOKUP($C80,'PP2 (2)'!$B$6:$B$100,'PP2 (2)'!$H$6:$H$100,"")</f>
        <v/>
      </c>
      <c r="AK80" s="21" t="str">
        <f>_xlfn.XLOOKUP($C80,'PP3 (1)'!$B$5:$B$113,'PP3 (1)'!$H$5:$H$113,"")</f>
        <v/>
      </c>
      <c r="AL80" s="22" t="str">
        <f>_xlfn.XLOOKUP($C80,'PP3 (2)'!$B$5:$B$112,'PP3 (2)'!$H$5:$H$112,"")</f>
        <v/>
      </c>
      <c r="AM80" s="18" t="str">
        <f>_xlfn.XLOOKUP($C80,'PP4 (1)'!$B$6:$B$100,'PP4 (1)'!$H$6:$H$100,"")</f>
        <v/>
      </c>
      <c r="AN80" s="19" t="str">
        <f>_xlfn.XLOOKUP($C80,'PP4 (2)'!$B$6:$B$100,'PP4 (2)'!$H$6:$H$100,"")</f>
        <v/>
      </c>
      <c r="AO80" s="21" t="str">
        <f>_xlfn.XLOOKUP($C80,'PP5 (1)'!$B$6:$B$100,'PP5 (1)'!$H$6:$H$100,"")</f>
        <v/>
      </c>
      <c r="AP80" s="29" t="str">
        <f>_xlfn.XLOOKUP($C80,'PP5(2)'!$B$6:$B$100,'PP5(2)'!$H$6:$H$100,"")</f>
        <v/>
      </c>
    </row>
    <row r="81" spans="1:42" ht="13.1" customHeight="1" x14ac:dyDescent="0.25">
      <c r="A81" s="1">
        <f>ROW()-4</f>
        <v>77</v>
      </c>
      <c r="B81" s="1">
        <v>4</v>
      </c>
      <c r="C81" s="3" t="s">
        <v>81</v>
      </c>
      <c r="D81" s="26">
        <f>SUM(E81:P81)</f>
        <v>0</v>
      </c>
      <c r="E81" s="23" t="str">
        <f>_xlfn.XLOOKUP($C81,'MP (1)'!$B$6:$B$100,'MP (1)'!$E$6:$E$100,"")</f>
        <v/>
      </c>
      <c r="F81" s="22" t="str">
        <f>_xlfn.XLOOKUP($C81,'MP (2)'!$B$6:$B$100,'MP (2)'!$E$6:$E$100,"")</f>
        <v/>
      </c>
      <c r="G81" s="21" t="str">
        <f>_xlfn.XLOOKUP($C81,'PP1 (1)'!$B$6:$B$66,'PP1 (1)'!$E$6:$E$66,"")</f>
        <v/>
      </c>
      <c r="H81" s="22" t="str">
        <f>_xlfn.XLOOKUP($C81,'PP1 (2)'!$B$6:$B$100,'PP1 (2)'!$E$6:$E$100,"")</f>
        <v/>
      </c>
      <c r="I81" s="18" t="str">
        <f>_xlfn.XLOOKUP($C81,'PP2 (1)'!$B$6:$B$99,'PP2 (1)'!$E$6:$E$99,"")</f>
        <v/>
      </c>
      <c r="J81" s="20" t="str">
        <f>_xlfn.XLOOKUP($C81,'PP2 (2)'!$B$6:$B$100,'PP2 (2)'!$E$6:$E$100,"")</f>
        <v/>
      </c>
      <c r="K81" s="21" t="str">
        <f>_xlfn.XLOOKUP($C81,'PP3 (1)'!$B$5:$B$113,'PP3 (1)'!$E$5:$E$113,"")</f>
        <v/>
      </c>
      <c r="L81" s="22" t="str">
        <f>_xlfn.XLOOKUP($C81,'PP3 (2)'!$B$5:$B$112,'PP3 (2)'!$E$5:$E$112,"")</f>
        <v/>
      </c>
      <c r="M81" s="18" t="str">
        <f>_xlfn.XLOOKUP($C81,'PP4 (1)'!$B$6:$B$100,'PP4 (1)'!$E$6:$E$100,"")</f>
        <v/>
      </c>
      <c r="N81" s="20" t="str">
        <f>_xlfn.XLOOKUP($C81,'PP4 (2)'!$B$6:$B$100,'PP4 (2)'!$E$6:$E$100,"")</f>
        <v/>
      </c>
      <c r="O81" s="21" t="str">
        <f>_xlfn.XLOOKUP($C81,'PP5 (1)'!$B$6:$B$100,'PP5 (1)'!$E$6:$E$100,"")</f>
        <v/>
      </c>
      <c r="P81" s="23" t="str">
        <f>_xlfn.XLOOKUP($C81,'PP5(2)'!$B$6:$B$100,'PP5(2)'!$E$6:$E$100,"")</f>
        <v/>
      </c>
      <c r="Q81" s="10">
        <f>SUM(R81:AC81)</f>
        <v>0</v>
      </c>
      <c r="R81" s="23" t="str">
        <f>_xlfn.XLOOKUP($C81,'MP (1)'!$B$6:$B$100,'MP (1)'!$F$6:$F$100,"")</f>
        <v/>
      </c>
      <c r="S81" s="22" t="str">
        <f>_xlfn.XLOOKUP($C81,'MP (2)'!$B$6:$B$100,'MP (2)'!$F$6:$F$100,"")</f>
        <v/>
      </c>
      <c r="T81" s="21" t="str">
        <f>_xlfn.XLOOKUP($C81,'PP1 (1)'!$B$6:$B$66,'PP1 (1)'!$F$6:$F$66,"")</f>
        <v/>
      </c>
      <c r="U81" s="22" t="str">
        <f>_xlfn.XLOOKUP($C81,'PP1 (2)'!$B$6:$B$100,'PP1 (2)'!$F$6:$F$100,"")</f>
        <v/>
      </c>
      <c r="V81" s="18" t="str">
        <f>_xlfn.XLOOKUP($C81,'PP2 (1)'!$B$6:$B$99,'PP2 (1)'!$F$6:$F$99,"")</f>
        <v/>
      </c>
      <c r="W81" s="20" t="str">
        <f>_xlfn.XLOOKUP($C81,'PP2 (2)'!$B$6:$B$100,'PP2 (2)'!$F$6:$F$100,"")</f>
        <v/>
      </c>
      <c r="X81" s="21" t="str">
        <f>_xlfn.XLOOKUP($C81,'PP3 (1)'!$B$5:$B$113,'PP3 (1)'!$F$5:$F$113,"")</f>
        <v/>
      </c>
      <c r="Y81" s="22" t="str">
        <f>_xlfn.XLOOKUP($C81,'PP3 (2)'!$B$5:$B$112,'PP3 (2)'!$F$5:$F$112,"")</f>
        <v/>
      </c>
      <c r="Z81" s="18" t="str">
        <f>_xlfn.XLOOKUP($C81,'PP4 (1)'!$B$6:$B$100,'PP4 (1)'!$F$6:$F$100,"")</f>
        <v/>
      </c>
      <c r="AA81" s="20" t="str">
        <f>_xlfn.XLOOKUP($C81,'PP4 (2)'!$B$6:$B$100,'PP4 (2)'!$F$6:$F$100,"")</f>
        <v/>
      </c>
      <c r="AB81" s="21" t="str">
        <f>_xlfn.XLOOKUP($C81,'PP5 (1)'!$B$6:$B$100,'PP5 (1)'!$F$6:$F$100,"")</f>
        <v/>
      </c>
      <c r="AC81" s="23" t="str">
        <f>_xlfn.XLOOKUP($C81,'PP5(2)'!$B$6:$B$100,'PP5(2)'!$F$6:$F$100,"")</f>
        <v/>
      </c>
      <c r="AD81" s="10">
        <f>SUM(AE81:AP81)</f>
        <v>0</v>
      </c>
      <c r="AE81" s="23" t="str">
        <f>_xlfn.XLOOKUP($C81,'MP (1)'!$B$6:$B$100,'MP (1)'!$H$6:$H$100,"")</f>
        <v/>
      </c>
      <c r="AF81" s="22" t="str">
        <f>_xlfn.XLOOKUP($C81,'MP (2)'!$B$6:$B$100,'MP (2)'!$H$6:$H$100,"")</f>
        <v/>
      </c>
      <c r="AG81" s="21" t="str">
        <f>_xlfn.XLOOKUP($C81,'PP1 (1)'!$B$6:$B$66,'PP1 (1)'!$H$6:$H$66,"")</f>
        <v/>
      </c>
      <c r="AH81" s="22" t="str">
        <f>_xlfn.XLOOKUP($C81,'PP1 (2)'!$B$6:$B$100,'PP1 (2)'!$H$6:$H$100,"")</f>
        <v/>
      </c>
      <c r="AI81" s="18" t="str">
        <f>_xlfn.XLOOKUP($C81,'PP2 (1)'!$B$6:$B$99,'PP2 (1)'!$H$6:$H$99,"")</f>
        <v/>
      </c>
      <c r="AJ81" s="19" t="str">
        <f>_xlfn.XLOOKUP($C81,'PP2 (2)'!$B$6:$B$100,'PP2 (2)'!$H$6:$H$100,"")</f>
        <v/>
      </c>
      <c r="AK81" s="21" t="str">
        <f>_xlfn.XLOOKUP($C81,'PP3 (1)'!$B$5:$B$113,'PP3 (1)'!$H$5:$H$113,"")</f>
        <v/>
      </c>
      <c r="AL81" s="22" t="str">
        <f>_xlfn.XLOOKUP($C81,'PP3 (2)'!$B$5:$B$112,'PP3 (2)'!$H$5:$H$112,"")</f>
        <v/>
      </c>
      <c r="AM81" s="18" t="str">
        <f>_xlfn.XLOOKUP($C81,'PP4 (1)'!$B$6:$B$100,'PP4 (1)'!$H$6:$H$100,"")</f>
        <v/>
      </c>
      <c r="AN81" s="19" t="str">
        <f>_xlfn.XLOOKUP($C81,'PP4 (2)'!$B$6:$B$100,'PP4 (2)'!$H$6:$H$100,"")</f>
        <v/>
      </c>
      <c r="AO81" s="21" t="str">
        <f>_xlfn.XLOOKUP($C81,'PP5 (1)'!$B$6:$B$100,'PP5 (1)'!$H$6:$H$100,"")</f>
        <v/>
      </c>
      <c r="AP81" s="29" t="str">
        <f>_xlfn.XLOOKUP($C81,'PP5(2)'!$B$6:$B$100,'PP5(2)'!$H$6:$H$100,"")</f>
        <v/>
      </c>
    </row>
    <row r="82" spans="1:42" ht="13.1" customHeight="1" x14ac:dyDescent="0.25">
      <c r="A82" s="1">
        <f>ROW()-4</f>
        <v>78</v>
      </c>
      <c r="B82" s="1" t="s">
        <v>156</v>
      </c>
      <c r="C82" s="3" t="s">
        <v>71</v>
      </c>
      <c r="D82" s="26">
        <f>SUM(E82:P82)</f>
        <v>0</v>
      </c>
      <c r="E82" s="23" t="str">
        <f>_xlfn.XLOOKUP($C82,'MP (1)'!$B$6:$B$100,'MP (1)'!$E$6:$E$100,"")</f>
        <v/>
      </c>
      <c r="F82" s="22" t="str">
        <f>_xlfn.XLOOKUP($C82,'MP (2)'!$B$6:$B$100,'MP (2)'!$E$6:$E$100,"")</f>
        <v/>
      </c>
      <c r="G82" s="21" t="str">
        <f>_xlfn.XLOOKUP($C82,'PP1 (1)'!$B$6:$B$66,'PP1 (1)'!$E$6:$E$66,"")</f>
        <v/>
      </c>
      <c r="H82" s="22" t="str">
        <f>_xlfn.XLOOKUP($C82,'PP1 (2)'!$B$6:$B$100,'PP1 (2)'!$E$6:$E$100,"")</f>
        <v/>
      </c>
      <c r="I82" s="18" t="str">
        <f>_xlfn.XLOOKUP($C82,'PP2 (1)'!$B$6:$B$99,'PP2 (1)'!$E$6:$E$99,"")</f>
        <v/>
      </c>
      <c r="J82" s="20" t="str">
        <f>_xlfn.XLOOKUP($C82,'PP2 (2)'!$B$6:$B$100,'PP2 (2)'!$E$6:$E$100,"")</f>
        <v/>
      </c>
      <c r="K82" s="21" t="str">
        <f>_xlfn.XLOOKUP($C82,'PP3 (1)'!$B$5:$B$113,'PP3 (1)'!$E$5:$E$113,"")</f>
        <v/>
      </c>
      <c r="L82" s="22" t="str">
        <f>_xlfn.XLOOKUP($C82,'PP3 (2)'!$B$5:$B$112,'PP3 (2)'!$E$5:$E$112,"")</f>
        <v/>
      </c>
      <c r="M82" s="18" t="str">
        <f>_xlfn.XLOOKUP($C82,'PP4 (1)'!$B$6:$B$100,'PP4 (1)'!$E$6:$E$100,"")</f>
        <v/>
      </c>
      <c r="N82" s="20" t="str">
        <f>_xlfn.XLOOKUP($C82,'PP4 (2)'!$B$6:$B$100,'PP4 (2)'!$E$6:$E$100,"")</f>
        <v/>
      </c>
      <c r="O82" s="21" t="str">
        <f>_xlfn.XLOOKUP($C82,'PP5 (1)'!$B$6:$B$100,'PP5 (1)'!$E$6:$E$100,"")</f>
        <v/>
      </c>
      <c r="P82" s="23" t="str">
        <f>_xlfn.XLOOKUP($C82,'PP5(2)'!$B$6:$B$100,'PP5(2)'!$E$6:$E$100,"")</f>
        <v/>
      </c>
      <c r="Q82" s="10">
        <f>SUM(R82:AC82)</f>
        <v>0</v>
      </c>
      <c r="R82" s="23" t="str">
        <f>_xlfn.XLOOKUP($C82,'MP (1)'!$B$6:$B$100,'MP (1)'!$F$6:$F$100,"")</f>
        <v/>
      </c>
      <c r="S82" s="22" t="str">
        <f>_xlfn.XLOOKUP($C82,'MP (2)'!$B$6:$B$100,'MP (2)'!$F$6:$F$100,"")</f>
        <v/>
      </c>
      <c r="T82" s="21" t="str">
        <f>_xlfn.XLOOKUP($C82,'PP1 (1)'!$B$6:$B$66,'PP1 (1)'!$F$6:$F$66,"")</f>
        <v/>
      </c>
      <c r="U82" s="22" t="str">
        <f>_xlfn.XLOOKUP($C82,'PP1 (2)'!$B$6:$B$100,'PP1 (2)'!$F$6:$F$100,"")</f>
        <v/>
      </c>
      <c r="V82" s="18" t="str">
        <f>_xlfn.XLOOKUP($C82,'PP2 (1)'!$B$6:$B$99,'PP2 (1)'!$F$6:$F$99,"")</f>
        <v/>
      </c>
      <c r="W82" s="20" t="str">
        <f>_xlfn.XLOOKUP($C82,'PP2 (2)'!$B$6:$B$100,'PP2 (2)'!$F$6:$F$100,"")</f>
        <v/>
      </c>
      <c r="X82" s="21" t="str">
        <f>_xlfn.XLOOKUP($C82,'PP3 (1)'!$B$5:$B$113,'PP3 (1)'!$F$5:$F$113,"")</f>
        <v/>
      </c>
      <c r="Y82" s="22" t="str">
        <f>_xlfn.XLOOKUP($C82,'PP3 (2)'!$B$5:$B$112,'PP3 (2)'!$F$5:$F$112,"")</f>
        <v/>
      </c>
      <c r="Z82" s="18" t="str">
        <f>_xlfn.XLOOKUP($C82,'PP4 (1)'!$B$6:$B$100,'PP4 (1)'!$F$6:$F$100,"")</f>
        <v/>
      </c>
      <c r="AA82" s="20" t="str">
        <f>_xlfn.XLOOKUP($C82,'PP4 (2)'!$B$6:$B$100,'PP4 (2)'!$F$6:$F$100,"")</f>
        <v/>
      </c>
      <c r="AB82" s="21" t="str">
        <f>_xlfn.XLOOKUP($C82,'PP5 (1)'!$B$6:$B$100,'PP5 (1)'!$F$6:$F$100,"")</f>
        <v/>
      </c>
      <c r="AC82" s="23" t="str">
        <f>_xlfn.XLOOKUP($C82,'PP5(2)'!$B$6:$B$100,'PP5(2)'!$F$6:$F$100,"")</f>
        <v/>
      </c>
      <c r="AD82" s="10">
        <f>SUM(AE82:AP82)</f>
        <v>0</v>
      </c>
      <c r="AE82" s="23" t="str">
        <f>_xlfn.XLOOKUP($C82,'MP (1)'!$B$6:$B$100,'MP (1)'!$H$6:$H$100,"")</f>
        <v/>
      </c>
      <c r="AF82" s="22" t="str">
        <f>_xlfn.XLOOKUP($C82,'MP (2)'!$B$6:$B$100,'MP (2)'!$H$6:$H$100,"")</f>
        <v/>
      </c>
      <c r="AG82" s="21" t="str">
        <f>_xlfn.XLOOKUP($C82,'PP1 (1)'!$B$6:$B$66,'PP1 (1)'!$H$6:$H$66,"")</f>
        <v/>
      </c>
      <c r="AH82" s="22" t="str">
        <f>_xlfn.XLOOKUP($C82,'PP1 (2)'!$B$6:$B$100,'PP1 (2)'!$H$6:$H$100,"")</f>
        <v/>
      </c>
      <c r="AI82" s="18" t="str">
        <f>_xlfn.XLOOKUP($C82,'PP2 (1)'!$B$6:$B$99,'PP2 (1)'!$H$6:$H$99,"")</f>
        <v/>
      </c>
      <c r="AJ82" s="19" t="str">
        <f>_xlfn.XLOOKUP($C82,'PP2 (2)'!$B$6:$B$100,'PP2 (2)'!$H$6:$H$100,"")</f>
        <v/>
      </c>
      <c r="AK82" s="21" t="str">
        <f>_xlfn.XLOOKUP($C82,'PP3 (1)'!$B$5:$B$113,'PP3 (1)'!$H$5:$H$113,"")</f>
        <v/>
      </c>
      <c r="AL82" s="22" t="str">
        <f>_xlfn.XLOOKUP($C82,'PP3 (2)'!$B$5:$B$112,'PP3 (2)'!$H$5:$H$112,"")</f>
        <v/>
      </c>
      <c r="AM82" s="18" t="str">
        <f>_xlfn.XLOOKUP($C82,'PP4 (1)'!$B$6:$B$100,'PP4 (1)'!$H$6:$H$100,"")</f>
        <v/>
      </c>
      <c r="AN82" s="19" t="str">
        <f>_xlfn.XLOOKUP($C82,'PP4 (2)'!$B$6:$B$100,'PP4 (2)'!$H$6:$H$100,"")</f>
        <v/>
      </c>
      <c r="AO82" s="21" t="str">
        <f>_xlfn.XLOOKUP($C82,'PP5 (1)'!$B$6:$B$100,'PP5 (1)'!$H$6:$H$100,"")</f>
        <v/>
      </c>
      <c r="AP82" s="29" t="str">
        <f>_xlfn.XLOOKUP($C82,'PP5(2)'!$B$6:$B$100,'PP5(2)'!$H$6:$H$100,"")</f>
        <v/>
      </c>
    </row>
    <row r="83" spans="1:42" ht="13.1" customHeight="1" x14ac:dyDescent="0.25">
      <c r="A83" s="1">
        <f>ROW()-4</f>
        <v>79</v>
      </c>
      <c r="B83" s="1"/>
      <c r="C83" s="3"/>
      <c r="D83" s="26">
        <f>SUM(E83:P83)</f>
        <v>0</v>
      </c>
      <c r="E83" s="23">
        <f>_xlfn.XLOOKUP($C83,'MP (1)'!$B$6:$B$100,'MP (1)'!$E$6:$E$100,"")</f>
        <v>0</v>
      </c>
      <c r="F83" s="22">
        <f>_xlfn.XLOOKUP($C83,'MP (2)'!$B$6:$B$100,'MP (2)'!$E$6:$E$100,"")</f>
        <v>0</v>
      </c>
      <c r="G83" s="21">
        <f>_xlfn.XLOOKUP($C83,'PP1 (1)'!$B$6:$B$66,'PP1 (1)'!$E$6:$E$66,"")</f>
        <v>0</v>
      </c>
      <c r="H83" s="22">
        <f>_xlfn.XLOOKUP($C83,'PP1 (2)'!$B$6:$B$100,'PP1 (2)'!$E$6:$E$100,"")</f>
        <v>0</v>
      </c>
      <c r="I83" s="18">
        <f>_xlfn.XLOOKUP($C83,'PP2 (1)'!$B$6:$B$99,'PP2 (1)'!$E$6:$E$99,"")</f>
        <v>0</v>
      </c>
      <c r="J83" s="20">
        <f>_xlfn.XLOOKUP($C83,'PP2 (2)'!$B$6:$B$100,'PP2 (2)'!$E$6:$E$100,"")</f>
        <v>0</v>
      </c>
      <c r="K83" s="21">
        <f>_xlfn.XLOOKUP($C83,'PP3 (1)'!$B$5:$B$113,'PP3 (1)'!$E$5:$E$113,"")</f>
        <v>0</v>
      </c>
      <c r="L83" s="22">
        <f>_xlfn.XLOOKUP($C83,'PP3 (2)'!$B$5:$B$112,'PP3 (2)'!$E$5:$E$112,"")</f>
        <v>0</v>
      </c>
      <c r="M83" s="18">
        <f>_xlfn.XLOOKUP($C83,'PP4 (1)'!$B$6:$B$100,'PP4 (1)'!$E$6:$E$100,"")</f>
        <v>0</v>
      </c>
      <c r="N83" s="20">
        <f>_xlfn.XLOOKUP($C83,'PP4 (2)'!$B$6:$B$100,'PP4 (2)'!$E$6:$E$100,"")</f>
        <v>0</v>
      </c>
      <c r="O83" s="21">
        <f>_xlfn.XLOOKUP($C83,'PP5 (1)'!$B$6:$B$100,'PP5 (1)'!$E$6:$E$100,"")</f>
        <v>0</v>
      </c>
      <c r="P83" s="23">
        <f>_xlfn.XLOOKUP($C83,'PP5(2)'!$B$6:$B$100,'PP5(2)'!$E$6:$E$100,"")</f>
        <v>0</v>
      </c>
      <c r="Q83" s="10">
        <f>SUM(R83:AC83)</f>
        <v>0</v>
      </c>
      <c r="R83" s="23">
        <f>_xlfn.XLOOKUP($C83,'MP (1)'!$B$6:$B$100,'MP (1)'!$F$6:$F$100,"")</f>
        <v>0</v>
      </c>
      <c r="S83" s="22">
        <f>_xlfn.XLOOKUP($C83,'MP (2)'!$B$6:$B$100,'MP (2)'!$F$6:$F$100,"")</f>
        <v>0</v>
      </c>
      <c r="T83" s="21">
        <f>_xlfn.XLOOKUP($C83,'PP1 (1)'!$B$6:$B$66,'PP1 (1)'!$F$6:$F$66,"")</f>
        <v>0</v>
      </c>
      <c r="U83" s="22">
        <f>_xlfn.XLOOKUP($C83,'PP1 (2)'!$B$6:$B$100,'PP1 (2)'!$F$6:$F$100,"")</f>
        <v>0</v>
      </c>
      <c r="V83" s="18">
        <f>_xlfn.XLOOKUP($C83,'PP2 (1)'!$B$6:$B$99,'PP2 (1)'!$F$6:$F$99,"")</f>
        <v>0</v>
      </c>
      <c r="W83" s="20">
        <f>_xlfn.XLOOKUP($C83,'PP2 (2)'!$B$6:$B$100,'PP2 (2)'!$F$6:$F$100,"")</f>
        <v>0</v>
      </c>
      <c r="X83" s="21">
        <f>_xlfn.XLOOKUP($C83,'PP3 (1)'!$B$5:$B$113,'PP3 (1)'!$F$5:$F$113,"")</f>
        <v>0</v>
      </c>
      <c r="Y83" s="22">
        <f>_xlfn.XLOOKUP($C83,'PP3 (2)'!$B$5:$B$112,'PP3 (2)'!$F$5:$F$112,"")</f>
        <v>0</v>
      </c>
      <c r="Z83" s="18">
        <f>_xlfn.XLOOKUP($C83,'PP4 (1)'!$B$6:$B$100,'PP4 (1)'!$F$6:$F$100,"")</f>
        <v>0</v>
      </c>
      <c r="AA83" s="20">
        <f>_xlfn.XLOOKUP($C83,'PP4 (2)'!$B$6:$B$100,'PP4 (2)'!$F$6:$F$100,"")</f>
        <v>0</v>
      </c>
      <c r="AB83" s="21">
        <f>_xlfn.XLOOKUP($C83,'PP5 (1)'!$B$6:$B$100,'PP5 (1)'!$F$6:$F$100,"")</f>
        <v>0</v>
      </c>
      <c r="AC83" s="23">
        <f>_xlfn.XLOOKUP($C83,'PP5(2)'!$B$6:$B$100,'PP5(2)'!$F$6:$F$100,"")</f>
        <v>0</v>
      </c>
      <c r="AD83" s="10">
        <f>SUM(AE83:AP83)</f>
        <v>0</v>
      </c>
      <c r="AE83" s="23">
        <f>_xlfn.XLOOKUP($C83,'MP (1)'!$B$6:$B$100,'MP (1)'!$H$6:$H$100,"")</f>
        <v>0</v>
      </c>
      <c r="AF83" s="22">
        <f>_xlfn.XLOOKUP($C83,'MP (2)'!$B$6:$B$100,'MP (2)'!$H$6:$H$100,"")</f>
        <v>0</v>
      </c>
      <c r="AG83" s="21">
        <f>_xlfn.XLOOKUP($C83,'PP1 (1)'!$B$6:$B$66,'PP1 (1)'!$H$6:$H$66,"")</f>
        <v>0</v>
      </c>
      <c r="AH83" s="22">
        <f>_xlfn.XLOOKUP($C83,'PP1 (2)'!$B$6:$B$100,'PP1 (2)'!$H$6:$H$100,"")</f>
        <v>0</v>
      </c>
      <c r="AI83" s="18">
        <f>_xlfn.XLOOKUP($C83,'PP2 (1)'!$B$6:$B$99,'PP2 (1)'!$H$6:$H$99,"")</f>
        <v>0</v>
      </c>
      <c r="AJ83" s="19">
        <f>_xlfn.XLOOKUP($C83,'PP2 (2)'!$B$6:$B$100,'PP2 (2)'!$H$6:$H$100,"")</f>
        <v>0</v>
      </c>
      <c r="AK83" s="21">
        <f>_xlfn.XLOOKUP($C83,'PP3 (1)'!$B$5:$B$113,'PP3 (1)'!$H$5:$H$113,"")</f>
        <v>0</v>
      </c>
      <c r="AL83" s="22">
        <f>_xlfn.XLOOKUP($C83,'PP3 (2)'!$B$5:$B$112,'PP3 (2)'!$H$5:$H$112,"")</f>
        <v>0</v>
      </c>
      <c r="AM83" s="18">
        <f>_xlfn.XLOOKUP($C83,'PP4 (1)'!$B$6:$B$100,'PP4 (1)'!$H$6:$H$100,"")</f>
        <v>0</v>
      </c>
      <c r="AN83" s="19">
        <f>_xlfn.XLOOKUP($C83,'PP4 (2)'!$B$6:$B$100,'PP4 (2)'!$H$6:$H$100,"")</f>
        <v>0</v>
      </c>
      <c r="AO83" s="21">
        <f>_xlfn.XLOOKUP($C83,'PP5 (1)'!$B$6:$B$100,'PP5 (1)'!$H$6:$H$100,"")</f>
        <v>0</v>
      </c>
      <c r="AP83" s="29">
        <f>_xlfn.XLOOKUP($C83,'PP5(2)'!$B$6:$B$100,'PP5(2)'!$H$6:$H$100,"")</f>
        <v>0</v>
      </c>
    </row>
    <row r="84" spans="1:42" ht="13.1" customHeight="1" x14ac:dyDescent="0.25">
      <c r="A84" s="1">
        <f>ROW()-4</f>
        <v>80</v>
      </c>
      <c r="B84" s="1"/>
      <c r="C84" s="3"/>
      <c r="D84" s="26">
        <f>SUM(E84:P84)</f>
        <v>0</v>
      </c>
      <c r="E84" s="23">
        <f>_xlfn.XLOOKUP($C84,'MP (1)'!$B$6:$B$100,'MP (1)'!$E$6:$E$100,"")</f>
        <v>0</v>
      </c>
      <c r="F84" s="22">
        <f>_xlfn.XLOOKUP($C84,'MP (2)'!$B$6:$B$100,'MP (2)'!$E$6:$E$100,"")</f>
        <v>0</v>
      </c>
      <c r="G84" s="21">
        <f>_xlfn.XLOOKUP($C84,'PP1 (1)'!$B$6:$B$66,'PP1 (1)'!$E$6:$E$66,"")</f>
        <v>0</v>
      </c>
      <c r="H84" s="22">
        <f>_xlfn.XLOOKUP($C84,'PP1 (2)'!$B$6:$B$100,'PP1 (2)'!$E$6:$E$100,"")</f>
        <v>0</v>
      </c>
      <c r="I84" s="18">
        <f>_xlfn.XLOOKUP($C84,'PP2 (1)'!$B$6:$B$99,'PP2 (1)'!$E$6:$E$99,"")</f>
        <v>0</v>
      </c>
      <c r="J84" s="20">
        <f>_xlfn.XLOOKUP($C84,'PP2 (2)'!$B$6:$B$100,'PP2 (2)'!$E$6:$E$100,"")</f>
        <v>0</v>
      </c>
      <c r="K84" s="21">
        <f>_xlfn.XLOOKUP($C84,'PP3 (1)'!$B$5:$B$113,'PP3 (1)'!$E$5:$E$113,"")</f>
        <v>0</v>
      </c>
      <c r="L84" s="22">
        <f>_xlfn.XLOOKUP($C84,'PP3 (2)'!$B$5:$B$112,'PP3 (2)'!$E$5:$E$112,"")</f>
        <v>0</v>
      </c>
      <c r="M84" s="18">
        <f>_xlfn.XLOOKUP($C84,'PP4 (1)'!$B$6:$B$100,'PP4 (1)'!$E$6:$E$100,"")</f>
        <v>0</v>
      </c>
      <c r="N84" s="20">
        <f>_xlfn.XLOOKUP($C84,'PP4 (2)'!$B$6:$B$100,'PP4 (2)'!$E$6:$E$100,"")</f>
        <v>0</v>
      </c>
      <c r="O84" s="21">
        <f>_xlfn.XLOOKUP($C84,'PP5 (1)'!$B$6:$B$100,'PP5 (1)'!$E$6:$E$100,"")</f>
        <v>0</v>
      </c>
      <c r="P84" s="23">
        <f>_xlfn.XLOOKUP($C84,'PP5(2)'!$B$6:$B$100,'PP5(2)'!$E$6:$E$100,"")</f>
        <v>0</v>
      </c>
      <c r="Q84" s="10">
        <f>SUM(R84:AC84)</f>
        <v>0</v>
      </c>
      <c r="R84" s="23">
        <f>_xlfn.XLOOKUP($C84,'MP (1)'!$B$6:$B$100,'MP (1)'!$F$6:$F$100,"")</f>
        <v>0</v>
      </c>
      <c r="S84" s="22">
        <f>_xlfn.XLOOKUP($C84,'MP (2)'!$B$6:$B$100,'MP (2)'!$F$6:$F$100,"")</f>
        <v>0</v>
      </c>
      <c r="T84" s="21">
        <f>_xlfn.XLOOKUP($C84,'PP1 (1)'!$B$6:$B$66,'PP1 (1)'!$F$6:$F$66,"")</f>
        <v>0</v>
      </c>
      <c r="U84" s="22">
        <f>_xlfn.XLOOKUP($C84,'PP1 (2)'!$B$6:$B$100,'PP1 (2)'!$F$6:$F$100,"")</f>
        <v>0</v>
      </c>
      <c r="V84" s="18">
        <f>_xlfn.XLOOKUP($C84,'PP2 (1)'!$B$6:$B$99,'PP2 (1)'!$F$6:$F$99,"")</f>
        <v>0</v>
      </c>
      <c r="W84" s="20">
        <f>_xlfn.XLOOKUP($C84,'PP2 (2)'!$B$6:$B$100,'PP2 (2)'!$F$6:$F$100,"")</f>
        <v>0</v>
      </c>
      <c r="X84" s="21">
        <f>_xlfn.XLOOKUP($C84,'PP3 (1)'!$B$5:$B$113,'PP3 (1)'!$F$5:$F$113,"")</f>
        <v>0</v>
      </c>
      <c r="Y84" s="22">
        <f>_xlfn.XLOOKUP($C84,'PP3 (2)'!$B$5:$B$112,'PP3 (2)'!$F$5:$F$112,"")</f>
        <v>0</v>
      </c>
      <c r="Z84" s="18">
        <f>_xlfn.XLOOKUP($C84,'PP4 (1)'!$B$6:$B$100,'PP4 (1)'!$F$6:$F$100,"")</f>
        <v>0</v>
      </c>
      <c r="AA84" s="20">
        <f>_xlfn.XLOOKUP($C84,'PP4 (2)'!$B$6:$B$100,'PP4 (2)'!$F$6:$F$100,"")</f>
        <v>0</v>
      </c>
      <c r="AB84" s="21">
        <f>_xlfn.XLOOKUP($C84,'PP5 (1)'!$B$6:$B$100,'PP5 (1)'!$F$6:$F$100,"")</f>
        <v>0</v>
      </c>
      <c r="AC84" s="23">
        <f>_xlfn.XLOOKUP($C84,'PP5(2)'!$B$6:$B$100,'PP5(2)'!$F$6:$F$100,"")</f>
        <v>0</v>
      </c>
      <c r="AD84" s="10">
        <f>SUM(AE84:AP84)</f>
        <v>0</v>
      </c>
      <c r="AE84" s="23">
        <f>_xlfn.XLOOKUP($C84,'MP (1)'!$B$6:$B$100,'MP (1)'!$H$6:$H$100,"")</f>
        <v>0</v>
      </c>
      <c r="AF84" s="22">
        <f>_xlfn.XLOOKUP($C84,'MP (2)'!$B$6:$B$100,'MP (2)'!$H$6:$H$100,"")</f>
        <v>0</v>
      </c>
      <c r="AG84" s="21">
        <f>_xlfn.XLOOKUP($C84,'PP1 (1)'!$B$6:$B$66,'PP1 (1)'!$H$6:$H$66,"")</f>
        <v>0</v>
      </c>
      <c r="AH84" s="22">
        <f>_xlfn.XLOOKUP($C84,'PP1 (2)'!$B$6:$B$100,'PP1 (2)'!$H$6:$H$100,"")</f>
        <v>0</v>
      </c>
      <c r="AI84" s="18">
        <f>_xlfn.XLOOKUP($C84,'PP2 (1)'!$B$6:$B$99,'PP2 (1)'!$H$6:$H$99,"")</f>
        <v>0</v>
      </c>
      <c r="AJ84" s="19">
        <f>_xlfn.XLOOKUP($C84,'PP2 (2)'!$B$6:$B$100,'PP2 (2)'!$H$6:$H$100,"")</f>
        <v>0</v>
      </c>
      <c r="AK84" s="21">
        <f>_xlfn.XLOOKUP($C84,'PP3 (1)'!$B$5:$B$113,'PP3 (1)'!$H$5:$H$113,"")</f>
        <v>0</v>
      </c>
      <c r="AL84" s="22">
        <f>_xlfn.XLOOKUP($C84,'PP3 (2)'!$B$5:$B$112,'PP3 (2)'!$H$5:$H$112,"")</f>
        <v>0</v>
      </c>
      <c r="AM84" s="18">
        <f>_xlfn.XLOOKUP($C84,'PP4 (1)'!$B$6:$B$100,'PP4 (1)'!$H$6:$H$100,"")</f>
        <v>0</v>
      </c>
      <c r="AN84" s="19">
        <f>_xlfn.XLOOKUP($C84,'PP4 (2)'!$B$6:$B$100,'PP4 (2)'!$H$6:$H$100,"")</f>
        <v>0</v>
      </c>
      <c r="AO84" s="21">
        <f>_xlfn.XLOOKUP($C84,'PP5 (1)'!$B$6:$B$100,'PP5 (1)'!$H$6:$H$100,"")</f>
        <v>0</v>
      </c>
      <c r="AP84" s="29">
        <f>_xlfn.XLOOKUP($C84,'PP5(2)'!$B$6:$B$100,'PP5(2)'!$H$6:$H$100,"")</f>
        <v>0</v>
      </c>
    </row>
    <row r="85" spans="1:42" ht="13.1" customHeight="1" x14ac:dyDescent="0.25">
      <c r="A85" s="1">
        <f>ROW()-4</f>
        <v>81</v>
      </c>
      <c r="B85" s="1"/>
      <c r="C85" s="3"/>
      <c r="D85" s="26">
        <f>SUM(E85:P85)</f>
        <v>0</v>
      </c>
      <c r="E85" s="23">
        <f>_xlfn.XLOOKUP($C85,'MP (1)'!$B$6:$B$100,'MP (1)'!$E$6:$E$100,"")</f>
        <v>0</v>
      </c>
      <c r="F85" s="22">
        <f>_xlfn.XLOOKUP($C85,'MP (2)'!$B$6:$B$100,'MP (2)'!$E$6:$E$100,"")</f>
        <v>0</v>
      </c>
      <c r="G85" s="21">
        <f>_xlfn.XLOOKUP($C85,'PP1 (1)'!$B$6:$B$66,'PP1 (1)'!$E$6:$E$66,"")</f>
        <v>0</v>
      </c>
      <c r="H85" s="22">
        <f>_xlfn.XLOOKUP($C85,'PP1 (2)'!$B$6:$B$100,'PP1 (2)'!$E$6:$E$100,"")</f>
        <v>0</v>
      </c>
      <c r="I85" s="18">
        <f>_xlfn.XLOOKUP($C85,'PP2 (1)'!$B$6:$B$99,'PP2 (1)'!$E$6:$E$99,"")</f>
        <v>0</v>
      </c>
      <c r="J85" s="20">
        <f>_xlfn.XLOOKUP($C85,'PP2 (2)'!$B$6:$B$100,'PP2 (2)'!$E$6:$E$100,"")</f>
        <v>0</v>
      </c>
      <c r="K85" s="21">
        <f>_xlfn.XLOOKUP($C85,'PP3 (1)'!$B$5:$B$113,'PP3 (1)'!$E$5:$E$113,"")</f>
        <v>0</v>
      </c>
      <c r="L85" s="22">
        <f>_xlfn.XLOOKUP($C85,'PP3 (2)'!$B$5:$B$112,'PP3 (2)'!$E$5:$E$112,"")</f>
        <v>0</v>
      </c>
      <c r="M85" s="18">
        <f>_xlfn.XLOOKUP($C85,'PP4 (1)'!$B$6:$B$100,'PP4 (1)'!$E$6:$E$100,"")</f>
        <v>0</v>
      </c>
      <c r="N85" s="20">
        <f>_xlfn.XLOOKUP($C85,'PP4 (2)'!$B$6:$B$100,'PP4 (2)'!$E$6:$E$100,"")</f>
        <v>0</v>
      </c>
      <c r="O85" s="21">
        <f>_xlfn.XLOOKUP($C85,'PP5 (1)'!$B$6:$B$100,'PP5 (1)'!$E$6:$E$100,"")</f>
        <v>0</v>
      </c>
      <c r="P85" s="23">
        <f>_xlfn.XLOOKUP($C85,'PP5(2)'!$B$6:$B$100,'PP5(2)'!$E$6:$E$100,"")</f>
        <v>0</v>
      </c>
      <c r="Q85" s="10">
        <f>SUM(R85:AC85)</f>
        <v>0</v>
      </c>
      <c r="R85" s="23">
        <f>_xlfn.XLOOKUP($C85,'MP (1)'!$B$6:$B$100,'MP (1)'!$F$6:$F$100,"")</f>
        <v>0</v>
      </c>
      <c r="S85" s="22">
        <f>_xlfn.XLOOKUP($C85,'MP (2)'!$B$6:$B$100,'MP (2)'!$F$6:$F$100,"")</f>
        <v>0</v>
      </c>
      <c r="T85" s="21">
        <f>_xlfn.XLOOKUP($C85,'PP1 (1)'!$B$6:$B$66,'PP1 (1)'!$F$6:$F$66,"")</f>
        <v>0</v>
      </c>
      <c r="U85" s="22">
        <f>_xlfn.XLOOKUP($C85,'PP1 (2)'!$B$6:$B$100,'PP1 (2)'!$F$6:$F$100,"")</f>
        <v>0</v>
      </c>
      <c r="V85" s="18">
        <f>_xlfn.XLOOKUP($C85,'PP2 (1)'!$B$6:$B$99,'PP2 (1)'!$F$6:$F$99,"")</f>
        <v>0</v>
      </c>
      <c r="W85" s="20">
        <f>_xlfn.XLOOKUP($C85,'PP2 (2)'!$B$6:$B$100,'PP2 (2)'!$F$6:$F$100,"")</f>
        <v>0</v>
      </c>
      <c r="X85" s="21">
        <f>_xlfn.XLOOKUP($C85,'PP3 (1)'!$B$5:$B$113,'PP3 (1)'!$F$5:$F$113,"")</f>
        <v>0</v>
      </c>
      <c r="Y85" s="22">
        <f>_xlfn.XLOOKUP($C85,'PP3 (2)'!$B$5:$B$112,'PP3 (2)'!$F$5:$F$112,"")</f>
        <v>0</v>
      </c>
      <c r="Z85" s="18">
        <f>_xlfn.XLOOKUP($C85,'PP4 (1)'!$B$6:$B$100,'PP4 (1)'!$F$6:$F$100,"")</f>
        <v>0</v>
      </c>
      <c r="AA85" s="20">
        <f>_xlfn.XLOOKUP($C85,'PP4 (2)'!$B$6:$B$100,'PP4 (2)'!$F$6:$F$100,"")</f>
        <v>0</v>
      </c>
      <c r="AB85" s="21">
        <f>_xlfn.XLOOKUP($C85,'PP5 (1)'!$B$6:$B$100,'PP5 (1)'!$F$6:$F$100,"")</f>
        <v>0</v>
      </c>
      <c r="AC85" s="23">
        <f>_xlfn.XLOOKUP($C85,'PP5(2)'!$B$6:$B$100,'PP5(2)'!$F$6:$F$100,"")</f>
        <v>0</v>
      </c>
      <c r="AD85" s="10">
        <f>SUM(AE85:AP85)</f>
        <v>0</v>
      </c>
      <c r="AE85" s="23">
        <f>_xlfn.XLOOKUP($C85,'MP (1)'!$B$6:$B$100,'MP (1)'!$H$6:$H$100,"")</f>
        <v>0</v>
      </c>
      <c r="AF85" s="22">
        <f>_xlfn.XLOOKUP($C85,'MP (2)'!$B$6:$B$100,'MP (2)'!$H$6:$H$100,"")</f>
        <v>0</v>
      </c>
      <c r="AG85" s="21">
        <f>_xlfn.XLOOKUP($C85,'PP1 (1)'!$B$6:$B$66,'PP1 (1)'!$H$6:$H$66,"")</f>
        <v>0</v>
      </c>
      <c r="AH85" s="22">
        <f>_xlfn.XLOOKUP($C85,'PP1 (2)'!$B$6:$B$100,'PP1 (2)'!$H$6:$H$100,"")</f>
        <v>0</v>
      </c>
      <c r="AI85" s="18">
        <f>_xlfn.XLOOKUP($C85,'PP2 (1)'!$B$6:$B$99,'PP2 (1)'!$H$6:$H$99,"")</f>
        <v>0</v>
      </c>
      <c r="AJ85" s="19">
        <f>_xlfn.XLOOKUP($C85,'PP2 (2)'!$B$6:$B$100,'PP2 (2)'!$H$6:$H$100,"")</f>
        <v>0</v>
      </c>
      <c r="AK85" s="21">
        <f>_xlfn.XLOOKUP($C85,'PP3 (1)'!$B$5:$B$113,'PP3 (1)'!$H$5:$H$113,"")</f>
        <v>0</v>
      </c>
      <c r="AL85" s="22">
        <f>_xlfn.XLOOKUP($C85,'PP3 (2)'!$B$5:$B$112,'PP3 (2)'!$H$5:$H$112,"")</f>
        <v>0</v>
      </c>
      <c r="AM85" s="18">
        <f>_xlfn.XLOOKUP($C85,'PP4 (1)'!$B$6:$B$100,'PP4 (1)'!$H$6:$H$100,"")</f>
        <v>0</v>
      </c>
      <c r="AN85" s="19">
        <f>_xlfn.XLOOKUP($C85,'PP4 (2)'!$B$6:$B$100,'PP4 (2)'!$H$6:$H$100,"")</f>
        <v>0</v>
      </c>
      <c r="AO85" s="21">
        <f>_xlfn.XLOOKUP($C85,'PP5 (1)'!$B$6:$B$100,'PP5 (1)'!$H$6:$H$100,"")</f>
        <v>0</v>
      </c>
      <c r="AP85" s="29">
        <f>_xlfn.XLOOKUP($C85,'PP5(2)'!$B$6:$B$100,'PP5(2)'!$H$6:$H$100,"")</f>
        <v>0</v>
      </c>
    </row>
    <row r="86" spans="1:42" ht="13.1" customHeight="1" x14ac:dyDescent="0.25">
      <c r="A86" s="1">
        <f>ROW()-4</f>
        <v>82</v>
      </c>
      <c r="B86" s="1"/>
      <c r="C86" s="3"/>
      <c r="D86" s="26">
        <f>SUM(E86:P86)</f>
        <v>0</v>
      </c>
      <c r="E86" s="23">
        <f>_xlfn.XLOOKUP($C86,'MP (1)'!$B$6:$B$100,'MP (1)'!$E$6:$E$100,"")</f>
        <v>0</v>
      </c>
      <c r="F86" s="22">
        <f>_xlfn.XLOOKUP($C86,'MP (2)'!$B$6:$B$100,'MP (2)'!$E$6:$E$100,"")</f>
        <v>0</v>
      </c>
      <c r="G86" s="21">
        <f>_xlfn.XLOOKUP($C86,'PP1 (1)'!$B$6:$B$66,'PP1 (1)'!$E$6:$E$66,"")</f>
        <v>0</v>
      </c>
      <c r="H86" s="22">
        <f>_xlfn.XLOOKUP($C86,'PP1 (2)'!$B$6:$B$100,'PP1 (2)'!$E$6:$E$100,"")</f>
        <v>0</v>
      </c>
      <c r="I86" s="18">
        <f>_xlfn.XLOOKUP($C86,'PP2 (1)'!$B$6:$B$99,'PP2 (1)'!$E$6:$E$99,"")</f>
        <v>0</v>
      </c>
      <c r="J86" s="20">
        <f>_xlfn.XLOOKUP($C86,'PP2 (2)'!$B$6:$B$100,'PP2 (2)'!$E$6:$E$100,"")</f>
        <v>0</v>
      </c>
      <c r="K86" s="21">
        <f>_xlfn.XLOOKUP($C86,'PP3 (1)'!$B$5:$B$113,'PP3 (1)'!$E$5:$E$113,"")</f>
        <v>0</v>
      </c>
      <c r="L86" s="22">
        <f>_xlfn.XLOOKUP($C86,'PP3 (2)'!$B$5:$B$112,'PP3 (2)'!$E$5:$E$112,"")</f>
        <v>0</v>
      </c>
      <c r="M86" s="18">
        <f>_xlfn.XLOOKUP($C86,'PP4 (1)'!$B$6:$B$100,'PP4 (1)'!$E$6:$E$100,"")</f>
        <v>0</v>
      </c>
      <c r="N86" s="20">
        <f>_xlfn.XLOOKUP($C86,'PP4 (2)'!$B$6:$B$100,'PP4 (2)'!$E$6:$E$100,"")</f>
        <v>0</v>
      </c>
      <c r="O86" s="21">
        <f>_xlfn.XLOOKUP($C86,'PP5 (1)'!$B$6:$B$100,'PP5 (1)'!$E$6:$E$100,"")</f>
        <v>0</v>
      </c>
      <c r="P86" s="23">
        <f>_xlfn.XLOOKUP($C86,'PP5(2)'!$B$6:$B$100,'PP5(2)'!$E$6:$E$100,"")</f>
        <v>0</v>
      </c>
      <c r="Q86" s="10">
        <f>SUM(R86:AC86)</f>
        <v>0</v>
      </c>
      <c r="R86" s="23">
        <f>_xlfn.XLOOKUP($C86,'MP (1)'!$B$6:$B$100,'MP (1)'!$F$6:$F$100,"")</f>
        <v>0</v>
      </c>
      <c r="S86" s="22">
        <f>_xlfn.XLOOKUP($C86,'MP (2)'!$B$6:$B$100,'MP (2)'!$F$6:$F$100,"")</f>
        <v>0</v>
      </c>
      <c r="T86" s="21">
        <f>_xlfn.XLOOKUP($C86,'PP1 (1)'!$B$6:$B$66,'PP1 (1)'!$F$6:$F$66,"")</f>
        <v>0</v>
      </c>
      <c r="U86" s="22">
        <f>_xlfn.XLOOKUP($C86,'PP1 (2)'!$B$6:$B$100,'PP1 (2)'!$F$6:$F$100,"")</f>
        <v>0</v>
      </c>
      <c r="V86" s="18">
        <f>_xlfn.XLOOKUP($C86,'PP2 (1)'!$B$6:$B$99,'PP2 (1)'!$F$6:$F$99,"")</f>
        <v>0</v>
      </c>
      <c r="W86" s="20">
        <f>_xlfn.XLOOKUP($C86,'PP2 (2)'!$B$6:$B$100,'PP2 (2)'!$F$6:$F$100,"")</f>
        <v>0</v>
      </c>
      <c r="X86" s="21">
        <f>_xlfn.XLOOKUP($C86,'PP3 (1)'!$B$5:$B$113,'PP3 (1)'!$F$5:$F$113,"")</f>
        <v>0</v>
      </c>
      <c r="Y86" s="22">
        <f>_xlfn.XLOOKUP($C86,'PP3 (2)'!$B$5:$B$112,'PP3 (2)'!$F$5:$F$112,"")</f>
        <v>0</v>
      </c>
      <c r="Z86" s="18">
        <f>_xlfn.XLOOKUP($C86,'PP4 (1)'!$B$6:$B$100,'PP4 (1)'!$F$6:$F$100,"")</f>
        <v>0</v>
      </c>
      <c r="AA86" s="20">
        <f>_xlfn.XLOOKUP($C86,'PP4 (2)'!$B$6:$B$100,'PP4 (2)'!$F$6:$F$100,"")</f>
        <v>0</v>
      </c>
      <c r="AB86" s="21">
        <f>_xlfn.XLOOKUP($C86,'PP5 (1)'!$B$6:$B$100,'PP5 (1)'!$F$6:$F$100,"")</f>
        <v>0</v>
      </c>
      <c r="AC86" s="23">
        <f>_xlfn.XLOOKUP($C86,'PP5(2)'!$B$6:$B$100,'PP5(2)'!$F$6:$F$100,"")</f>
        <v>0</v>
      </c>
      <c r="AD86" s="10">
        <f>SUM(AE86:AP86)</f>
        <v>0</v>
      </c>
      <c r="AE86" s="23">
        <f>_xlfn.XLOOKUP($C86,'MP (1)'!$B$6:$B$100,'MP (1)'!$H$6:$H$100,"")</f>
        <v>0</v>
      </c>
      <c r="AF86" s="22">
        <f>_xlfn.XLOOKUP($C86,'MP (2)'!$B$6:$B$100,'MP (2)'!$H$6:$H$100,"")</f>
        <v>0</v>
      </c>
      <c r="AG86" s="21">
        <f>_xlfn.XLOOKUP($C86,'PP1 (1)'!$B$6:$B$66,'PP1 (1)'!$H$6:$H$66,"")</f>
        <v>0</v>
      </c>
      <c r="AH86" s="22">
        <f>_xlfn.XLOOKUP($C86,'PP1 (2)'!$B$6:$B$100,'PP1 (2)'!$H$6:$H$100,"")</f>
        <v>0</v>
      </c>
      <c r="AI86" s="18">
        <f>_xlfn.XLOOKUP($C86,'PP2 (1)'!$B$6:$B$99,'PP2 (1)'!$H$6:$H$99,"")</f>
        <v>0</v>
      </c>
      <c r="AJ86" s="19">
        <f>_xlfn.XLOOKUP($C86,'PP2 (2)'!$B$6:$B$100,'PP2 (2)'!$H$6:$H$100,"")</f>
        <v>0</v>
      </c>
      <c r="AK86" s="21">
        <f>_xlfn.XLOOKUP($C86,'PP3 (1)'!$B$5:$B$113,'PP3 (1)'!$H$5:$H$113,"")</f>
        <v>0</v>
      </c>
      <c r="AL86" s="22">
        <f>_xlfn.XLOOKUP($C86,'PP3 (2)'!$B$5:$B$112,'PP3 (2)'!$H$5:$H$112,"")</f>
        <v>0</v>
      </c>
      <c r="AM86" s="18">
        <f>_xlfn.XLOOKUP($C86,'PP4 (1)'!$B$6:$B$100,'PP4 (1)'!$H$6:$H$100,"")</f>
        <v>0</v>
      </c>
      <c r="AN86" s="19">
        <f>_xlfn.XLOOKUP($C86,'PP4 (2)'!$B$6:$B$100,'PP4 (2)'!$H$6:$H$100,"")</f>
        <v>0</v>
      </c>
      <c r="AO86" s="21">
        <f>_xlfn.XLOOKUP($C86,'PP5 (1)'!$B$6:$B$100,'PP5 (1)'!$H$6:$H$100,"")</f>
        <v>0</v>
      </c>
      <c r="AP86" s="29">
        <f>_xlfn.XLOOKUP($C86,'PP5(2)'!$B$6:$B$100,'PP5(2)'!$H$6:$H$100,"")</f>
        <v>0</v>
      </c>
    </row>
    <row r="87" spans="1:42" ht="13.1" customHeight="1" x14ac:dyDescent="0.25">
      <c r="A87" s="1">
        <f>ROW()-4</f>
        <v>83</v>
      </c>
      <c r="B87" s="1"/>
      <c r="C87" s="3"/>
      <c r="D87" s="26">
        <f>SUM(E87:P87)</f>
        <v>0</v>
      </c>
      <c r="E87" s="23">
        <f>_xlfn.XLOOKUP($C87,'MP (1)'!$B$6:$B$100,'MP (1)'!$E$6:$E$100,"")</f>
        <v>0</v>
      </c>
      <c r="F87" s="22">
        <f>_xlfn.XLOOKUP($C87,'MP (2)'!$B$6:$B$100,'MP (2)'!$E$6:$E$100,"")</f>
        <v>0</v>
      </c>
      <c r="G87" s="21">
        <f>_xlfn.XLOOKUP($C87,'PP1 (1)'!$B$6:$B$66,'PP1 (1)'!$E$6:$E$66,"")</f>
        <v>0</v>
      </c>
      <c r="H87" s="22">
        <f>_xlfn.XLOOKUP($C87,'PP1 (2)'!$B$6:$B$100,'PP1 (2)'!$E$6:$E$100,"")</f>
        <v>0</v>
      </c>
      <c r="I87" s="18">
        <f>_xlfn.XLOOKUP($C87,'PP2 (1)'!$B$6:$B$99,'PP2 (1)'!$E$6:$E$99,"")</f>
        <v>0</v>
      </c>
      <c r="J87" s="20">
        <f>_xlfn.XLOOKUP($C87,'PP2 (2)'!$B$6:$B$100,'PP2 (2)'!$E$6:$E$100,"")</f>
        <v>0</v>
      </c>
      <c r="K87" s="21">
        <f>_xlfn.XLOOKUP($C87,'PP3 (1)'!$B$5:$B$113,'PP3 (1)'!$E$5:$E$113,"")</f>
        <v>0</v>
      </c>
      <c r="L87" s="22">
        <f>_xlfn.XLOOKUP($C87,'PP3 (2)'!$B$5:$B$112,'PP3 (2)'!$E$5:$E$112,"")</f>
        <v>0</v>
      </c>
      <c r="M87" s="18">
        <f>_xlfn.XLOOKUP($C87,'PP4 (1)'!$B$6:$B$100,'PP4 (1)'!$E$6:$E$100,"")</f>
        <v>0</v>
      </c>
      <c r="N87" s="20">
        <f>_xlfn.XLOOKUP($C87,'PP4 (2)'!$B$6:$B$100,'PP4 (2)'!$E$6:$E$100,"")</f>
        <v>0</v>
      </c>
      <c r="O87" s="21">
        <f>_xlfn.XLOOKUP($C87,'PP5 (1)'!$B$6:$B$100,'PP5 (1)'!$E$6:$E$100,"")</f>
        <v>0</v>
      </c>
      <c r="P87" s="23">
        <f>_xlfn.XLOOKUP($C87,'PP5(2)'!$B$6:$B$100,'PP5(2)'!$E$6:$E$100,"")</f>
        <v>0</v>
      </c>
      <c r="Q87" s="10">
        <f>SUM(R87:AC87)</f>
        <v>0</v>
      </c>
      <c r="R87" s="23">
        <f>_xlfn.XLOOKUP($C87,'MP (1)'!$B$6:$B$100,'MP (1)'!$F$6:$F$100,"")</f>
        <v>0</v>
      </c>
      <c r="S87" s="22">
        <f>_xlfn.XLOOKUP($C87,'MP (2)'!$B$6:$B$100,'MP (2)'!$F$6:$F$100,"")</f>
        <v>0</v>
      </c>
      <c r="T87" s="21">
        <f>_xlfn.XLOOKUP($C87,'PP1 (1)'!$B$6:$B$66,'PP1 (1)'!$F$6:$F$66,"")</f>
        <v>0</v>
      </c>
      <c r="U87" s="22">
        <f>_xlfn.XLOOKUP($C87,'PP1 (2)'!$B$6:$B$100,'PP1 (2)'!$F$6:$F$100,"")</f>
        <v>0</v>
      </c>
      <c r="V87" s="18">
        <f>_xlfn.XLOOKUP($C87,'PP2 (1)'!$B$6:$B$99,'PP2 (1)'!$F$6:$F$99,"")</f>
        <v>0</v>
      </c>
      <c r="W87" s="20">
        <f>_xlfn.XLOOKUP($C87,'PP2 (2)'!$B$6:$B$100,'PP2 (2)'!$F$6:$F$100,"")</f>
        <v>0</v>
      </c>
      <c r="X87" s="21">
        <f>_xlfn.XLOOKUP($C87,'PP3 (1)'!$B$5:$B$113,'PP3 (1)'!$F$5:$F$113,"")</f>
        <v>0</v>
      </c>
      <c r="Y87" s="22">
        <f>_xlfn.XLOOKUP($C87,'PP3 (2)'!$B$5:$B$112,'PP3 (2)'!$F$5:$F$112,"")</f>
        <v>0</v>
      </c>
      <c r="Z87" s="18">
        <f>_xlfn.XLOOKUP($C87,'PP4 (1)'!$B$6:$B$100,'PP4 (1)'!$F$6:$F$100,"")</f>
        <v>0</v>
      </c>
      <c r="AA87" s="20">
        <f>_xlfn.XLOOKUP($C87,'PP4 (2)'!$B$6:$B$100,'PP4 (2)'!$F$6:$F$100,"")</f>
        <v>0</v>
      </c>
      <c r="AB87" s="21">
        <f>_xlfn.XLOOKUP($C87,'PP5 (1)'!$B$6:$B$100,'PP5 (1)'!$F$6:$F$100,"")</f>
        <v>0</v>
      </c>
      <c r="AC87" s="23">
        <f>_xlfn.XLOOKUP($C87,'PP5(2)'!$B$6:$B$100,'PP5(2)'!$F$6:$F$100,"")</f>
        <v>0</v>
      </c>
      <c r="AD87" s="10">
        <f>SUM(AE87:AP87)</f>
        <v>0</v>
      </c>
      <c r="AE87" s="23">
        <f>_xlfn.XLOOKUP($C87,'MP (1)'!$B$6:$B$100,'MP (1)'!$H$6:$H$100,"")</f>
        <v>0</v>
      </c>
      <c r="AF87" s="22">
        <f>_xlfn.XLOOKUP($C87,'MP (2)'!$B$6:$B$100,'MP (2)'!$H$6:$H$100,"")</f>
        <v>0</v>
      </c>
      <c r="AG87" s="21">
        <f>_xlfn.XLOOKUP($C87,'PP1 (1)'!$B$6:$B$66,'PP1 (1)'!$H$6:$H$66,"")</f>
        <v>0</v>
      </c>
      <c r="AH87" s="22">
        <f>_xlfn.XLOOKUP($C87,'PP1 (2)'!$B$6:$B$100,'PP1 (2)'!$H$6:$H$100,"")</f>
        <v>0</v>
      </c>
      <c r="AI87" s="18">
        <f>_xlfn.XLOOKUP($C87,'PP2 (1)'!$B$6:$B$99,'PP2 (1)'!$H$6:$H$99,"")</f>
        <v>0</v>
      </c>
      <c r="AJ87" s="19">
        <f>_xlfn.XLOOKUP($C87,'PP2 (2)'!$B$6:$B$100,'PP2 (2)'!$H$6:$H$100,"")</f>
        <v>0</v>
      </c>
      <c r="AK87" s="21">
        <f>_xlfn.XLOOKUP($C87,'PP3 (1)'!$B$5:$B$113,'PP3 (1)'!$H$5:$H$113,"")</f>
        <v>0</v>
      </c>
      <c r="AL87" s="22">
        <f>_xlfn.XLOOKUP($C87,'PP3 (2)'!$B$5:$B$112,'PP3 (2)'!$H$5:$H$112,"")</f>
        <v>0</v>
      </c>
      <c r="AM87" s="18">
        <f>_xlfn.XLOOKUP($C87,'PP4 (1)'!$B$6:$B$100,'PP4 (1)'!$H$6:$H$100,"")</f>
        <v>0</v>
      </c>
      <c r="AN87" s="19">
        <f>_xlfn.XLOOKUP($C87,'PP4 (2)'!$B$6:$B$100,'PP4 (2)'!$H$6:$H$100,"")</f>
        <v>0</v>
      </c>
      <c r="AO87" s="21">
        <f>_xlfn.XLOOKUP($C87,'PP5 (1)'!$B$6:$B$100,'PP5 (1)'!$H$6:$H$100,"")</f>
        <v>0</v>
      </c>
      <c r="AP87" s="29">
        <f>_xlfn.XLOOKUP($C87,'PP5(2)'!$B$6:$B$100,'PP5(2)'!$H$6:$H$100,"")</f>
        <v>0</v>
      </c>
    </row>
    <row r="88" spans="1:42" ht="13.1" customHeight="1" x14ac:dyDescent="0.25">
      <c r="A88" s="1">
        <f>ROW()-4</f>
        <v>84</v>
      </c>
      <c r="B88" s="1"/>
      <c r="C88" s="3"/>
      <c r="D88" s="26">
        <f>SUM(E88:P88)</f>
        <v>0</v>
      </c>
      <c r="E88" s="23">
        <f>_xlfn.XLOOKUP($C88,'MP (1)'!$B$6:$B$100,'MP (1)'!$E$6:$E$100,"")</f>
        <v>0</v>
      </c>
      <c r="F88" s="22">
        <f>_xlfn.XLOOKUP($C88,'MP (2)'!$B$6:$B$100,'MP (2)'!$E$6:$E$100,"")</f>
        <v>0</v>
      </c>
      <c r="G88" s="21">
        <f>_xlfn.XLOOKUP($C88,'PP1 (1)'!$B$6:$B$66,'PP1 (1)'!$E$6:$E$66,"")</f>
        <v>0</v>
      </c>
      <c r="H88" s="22">
        <f>_xlfn.XLOOKUP($C88,'PP1 (2)'!$B$6:$B$100,'PP1 (2)'!$E$6:$E$100,"")</f>
        <v>0</v>
      </c>
      <c r="I88" s="18">
        <f>_xlfn.XLOOKUP($C88,'PP2 (1)'!$B$6:$B$99,'PP2 (1)'!$E$6:$E$99,"")</f>
        <v>0</v>
      </c>
      <c r="J88" s="20">
        <f>_xlfn.XLOOKUP($C88,'PP2 (2)'!$B$6:$B$100,'PP2 (2)'!$E$6:$E$100,"")</f>
        <v>0</v>
      </c>
      <c r="K88" s="21">
        <f>_xlfn.XLOOKUP($C88,'PP3 (1)'!$B$5:$B$113,'PP3 (1)'!$E$5:$E$113,"")</f>
        <v>0</v>
      </c>
      <c r="L88" s="22">
        <f>_xlfn.XLOOKUP($C88,'PP3 (2)'!$B$5:$B$112,'PP3 (2)'!$E$5:$E$112,"")</f>
        <v>0</v>
      </c>
      <c r="M88" s="18">
        <f>_xlfn.XLOOKUP($C88,'PP4 (1)'!$B$6:$B$100,'PP4 (1)'!$E$6:$E$100,"")</f>
        <v>0</v>
      </c>
      <c r="N88" s="20">
        <f>_xlfn.XLOOKUP($C88,'PP4 (2)'!$B$6:$B$100,'PP4 (2)'!$E$6:$E$100,"")</f>
        <v>0</v>
      </c>
      <c r="O88" s="21">
        <f>_xlfn.XLOOKUP($C88,'PP5 (1)'!$B$6:$B$100,'PP5 (1)'!$E$6:$E$100,"")</f>
        <v>0</v>
      </c>
      <c r="P88" s="23">
        <f>_xlfn.XLOOKUP($C88,'PP5(2)'!$B$6:$B$100,'PP5(2)'!$E$6:$E$100,"")</f>
        <v>0</v>
      </c>
      <c r="Q88" s="10">
        <f>SUM(R88:AC88)</f>
        <v>0</v>
      </c>
      <c r="R88" s="23">
        <f>_xlfn.XLOOKUP($C88,'MP (1)'!$B$6:$B$100,'MP (1)'!$F$6:$F$100,"")</f>
        <v>0</v>
      </c>
      <c r="S88" s="22">
        <f>_xlfn.XLOOKUP($C88,'MP (2)'!$B$6:$B$100,'MP (2)'!$F$6:$F$100,"")</f>
        <v>0</v>
      </c>
      <c r="T88" s="21">
        <f>_xlfn.XLOOKUP($C88,'PP1 (1)'!$B$6:$B$66,'PP1 (1)'!$F$6:$F$66,"")</f>
        <v>0</v>
      </c>
      <c r="U88" s="22">
        <f>_xlfn.XLOOKUP($C88,'PP1 (2)'!$B$6:$B$100,'PP1 (2)'!$F$6:$F$100,"")</f>
        <v>0</v>
      </c>
      <c r="V88" s="18">
        <f>_xlfn.XLOOKUP($C88,'PP2 (1)'!$B$6:$B$99,'PP2 (1)'!$F$6:$F$99,"")</f>
        <v>0</v>
      </c>
      <c r="W88" s="20">
        <f>_xlfn.XLOOKUP($C88,'PP2 (2)'!$B$6:$B$100,'PP2 (2)'!$F$6:$F$100,"")</f>
        <v>0</v>
      </c>
      <c r="X88" s="21">
        <f>_xlfn.XLOOKUP($C88,'PP3 (1)'!$B$5:$B$113,'PP3 (1)'!$F$5:$F$113,"")</f>
        <v>0</v>
      </c>
      <c r="Y88" s="22">
        <f>_xlfn.XLOOKUP($C88,'PP3 (2)'!$B$5:$B$112,'PP3 (2)'!$F$5:$F$112,"")</f>
        <v>0</v>
      </c>
      <c r="Z88" s="18">
        <f>_xlfn.XLOOKUP($C88,'PP4 (1)'!$B$6:$B$100,'PP4 (1)'!$F$6:$F$100,"")</f>
        <v>0</v>
      </c>
      <c r="AA88" s="20">
        <f>_xlfn.XLOOKUP($C88,'PP4 (2)'!$B$6:$B$100,'PP4 (2)'!$F$6:$F$100,"")</f>
        <v>0</v>
      </c>
      <c r="AB88" s="21">
        <f>_xlfn.XLOOKUP($C88,'PP5 (1)'!$B$6:$B$100,'PP5 (1)'!$F$6:$F$100,"")</f>
        <v>0</v>
      </c>
      <c r="AC88" s="23">
        <f>_xlfn.XLOOKUP($C88,'PP5(2)'!$B$6:$B$100,'PP5(2)'!$F$6:$F$100,"")</f>
        <v>0</v>
      </c>
      <c r="AD88" s="10">
        <f>SUM(AE88:AP88)</f>
        <v>0</v>
      </c>
      <c r="AE88" s="23">
        <f>_xlfn.XLOOKUP($C88,'MP (1)'!$B$6:$B$100,'MP (1)'!$H$6:$H$100,"")</f>
        <v>0</v>
      </c>
      <c r="AF88" s="22">
        <f>_xlfn.XLOOKUP($C88,'MP (2)'!$B$6:$B$100,'MP (2)'!$H$6:$H$100,"")</f>
        <v>0</v>
      </c>
      <c r="AG88" s="21">
        <f>_xlfn.XLOOKUP($C88,'PP1 (1)'!$B$6:$B$66,'PP1 (1)'!$H$6:$H$66,"")</f>
        <v>0</v>
      </c>
      <c r="AH88" s="22">
        <f>_xlfn.XLOOKUP($C88,'PP1 (2)'!$B$6:$B$100,'PP1 (2)'!$H$6:$H$100,"")</f>
        <v>0</v>
      </c>
      <c r="AI88" s="18">
        <f>_xlfn.XLOOKUP($C88,'PP2 (1)'!$B$6:$B$99,'PP2 (1)'!$H$6:$H$99,"")</f>
        <v>0</v>
      </c>
      <c r="AJ88" s="19">
        <f>_xlfn.XLOOKUP($C88,'PP2 (2)'!$B$6:$B$100,'PP2 (2)'!$H$6:$H$100,"")</f>
        <v>0</v>
      </c>
      <c r="AK88" s="21">
        <f>_xlfn.XLOOKUP($C88,'PP3 (1)'!$B$5:$B$113,'PP3 (1)'!$H$5:$H$113,"")</f>
        <v>0</v>
      </c>
      <c r="AL88" s="22">
        <f>_xlfn.XLOOKUP($C88,'PP3 (2)'!$B$5:$B$112,'PP3 (2)'!$H$5:$H$112,"")</f>
        <v>0</v>
      </c>
      <c r="AM88" s="18">
        <f>_xlfn.XLOOKUP($C88,'PP4 (1)'!$B$6:$B$100,'PP4 (1)'!$H$6:$H$100,"")</f>
        <v>0</v>
      </c>
      <c r="AN88" s="19">
        <f>_xlfn.XLOOKUP($C88,'PP4 (2)'!$B$6:$B$100,'PP4 (2)'!$H$6:$H$100,"")</f>
        <v>0</v>
      </c>
      <c r="AO88" s="21">
        <f>_xlfn.XLOOKUP($C88,'PP5 (1)'!$B$6:$B$100,'PP5 (1)'!$H$6:$H$100,"")</f>
        <v>0</v>
      </c>
      <c r="AP88" s="29">
        <f>_xlfn.XLOOKUP($C88,'PP5(2)'!$B$6:$B$100,'PP5(2)'!$H$6:$H$100,"")</f>
        <v>0</v>
      </c>
    </row>
    <row r="89" spans="1:42" ht="13.1" customHeight="1" x14ac:dyDescent="0.25">
      <c r="A89" s="1">
        <f>ROW()-4</f>
        <v>85</v>
      </c>
      <c r="B89" s="1"/>
      <c r="C89" s="3"/>
      <c r="D89" s="26">
        <f>SUM(E89:P89)</f>
        <v>0</v>
      </c>
      <c r="E89" s="23">
        <f>_xlfn.XLOOKUP($C89,'MP (1)'!$B$6:$B$100,'MP (1)'!$E$6:$E$100,"")</f>
        <v>0</v>
      </c>
      <c r="F89" s="22">
        <f>_xlfn.XLOOKUP($C89,'MP (2)'!$B$6:$B$100,'MP (2)'!$E$6:$E$100,"")</f>
        <v>0</v>
      </c>
      <c r="G89" s="21">
        <f>_xlfn.XLOOKUP($C89,'PP1 (1)'!$B$6:$B$66,'PP1 (1)'!$E$6:$E$66,"")</f>
        <v>0</v>
      </c>
      <c r="H89" s="22">
        <f>_xlfn.XLOOKUP($C89,'PP1 (2)'!$B$6:$B$100,'PP1 (2)'!$E$6:$E$100,"")</f>
        <v>0</v>
      </c>
      <c r="I89" s="18">
        <f>_xlfn.XLOOKUP($C89,'PP2 (1)'!$B$6:$B$99,'PP2 (1)'!$E$6:$E$99,"")</f>
        <v>0</v>
      </c>
      <c r="J89" s="20">
        <f>_xlfn.XLOOKUP($C89,'PP2 (2)'!$B$6:$B$100,'PP2 (2)'!$E$6:$E$100,"")</f>
        <v>0</v>
      </c>
      <c r="K89" s="21">
        <f>_xlfn.XLOOKUP($C89,'PP3 (1)'!$B$5:$B$113,'PP3 (1)'!$E$5:$E$113,"")</f>
        <v>0</v>
      </c>
      <c r="L89" s="22">
        <f>_xlfn.XLOOKUP($C89,'PP3 (2)'!$B$5:$B$112,'PP3 (2)'!$E$5:$E$112,"")</f>
        <v>0</v>
      </c>
      <c r="M89" s="18">
        <f>_xlfn.XLOOKUP($C89,'PP4 (1)'!$B$6:$B$100,'PP4 (1)'!$E$6:$E$100,"")</f>
        <v>0</v>
      </c>
      <c r="N89" s="20">
        <f>_xlfn.XLOOKUP($C89,'PP4 (2)'!$B$6:$B$100,'PP4 (2)'!$E$6:$E$100,"")</f>
        <v>0</v>
      </c>
      <c r="O89" s="21">
        <f>_xlfn.XLOOKUP($C89,'PP5 (1)'!$B$6:$B$100,'PP5 (1)'!$E$6:$E$100,"")</f>
        <v>0</v>
      </c>
      <c r="P89" s="23">
        <f>_xlfn.XLOOKUP($C89,'PP5(2)'!$B$6:$B$100,'PP5(2)'!$E$6:$E$100,"")</f>
        <v>0</v>
      </c>
      <c r="Q89" s="10">
        <f>SUM(R89:AC89)</f>
        <v>0</v>
      </c>
      <c r="R89" s="23">
        <f>_xlfn.XLOOKUP($C89,'MP (1)'!$B$6:$B$100,'MP (1)'!$F$6:$F$100,"")</f>
        <v>0</v>
      </c>
      <c r="S89" s="22">
        <f>_xlfn.XLOOKUP($C89,'MP (2)'!$B$6:$B$100,'MP (2)'!$F$6:$F$100,"")</f>
        <v>0</v>
      </c>
      <c r="T89" s="21">
        <f>_xlfn.XLOOKUP($C89,'PP1 (1)'!$B$6:$B$66,'PP1 (1)'!$F$6:$F$66,"")</f>
        <v>0</v>
      </c>
      <c r="U89" s="22">
        <f>_xlfn.XLOOKUP($C89,'PP1 (2)'!$B$6:$B$100,'PP1 (2)'!$F$6:$F$100,"")</f>
        <v>0</v>
      </c>
      <c r="V89" s="18">
        <f>_xlfn.XLOOKUP($C89,'PP2 (1)'!$B$6:$B$99,'PP2 (1)'!$F$6:$F$99,"")</f>
        <v>0</v>
      </c>
      <c r="W89" s="20">
        <f>_xlfn.XLOOKUP($C89,'PP2 (2)'!$B$6:$B$100,'PP2 (2)'!$F$6:$F$100,"")</f>
        <v>0</v>
      </c>
      <c r="X89" s="21">
        <f>_xlfn.XLOOKUP($C89,'PP3 (1)'!$B$5:$B$113,'PP3 (1)'!$F$5:$F$113,"")</f>
        <v>0</v>
      </c>
      <c r="Y89" s="22">
        <f>_xlfn.XLOOKUP($C89,'PP3 (2)'!$B$5:$B$112,'PP3 (2)'!$F$5:$F$112,"")</f>
        <v>0</v>
      </c>
      <c r="Z89" s="18">
        <f>_xlfn.XLOOKUP($C89,'PP4 (1)'!$B$6:$B$100,'PP4 (1)'!$F$6:$F$100,"")</f>
        <v>0</v>
      </c>
      <c r="AA89" s="20">
        <f>_xlfn.XLOOKUP($C89,'PP4 (2)'!$B$6:$B$100,'PP4 (2)'!$F$6:$F$100,"")</f>
        <v>0</v>
      </c>
      <c r="AB89" s="21">
        <f>_xlfn.XLOOKUP($C89,'PP5 (1)'!$B$6:$B$100,'PP5 (1)'!$F$6:$F$100,"")</f>
        <v>0</v>
      </c>
      <c r="AC89" s="23">
        <f>_xlfn.XLOOKUP($C89,'PP5(2)'!$B$6:$B$100,'PP5(2)'!$F$6:$F$100,"")</f>
        <v>0</v>
      </c>
      <c r="AD89" s="10">
        <f>SUM(AE89:AP89)</f>
        <v>0</v>
      </c>
      <c r="AE89" s="23">
        <f>_xlfn.XLOOKUP($C89,'MP (1)'!$B$6:$B$100,'MP (1)'!$H$6:$H$100,"")</f>
        <v>0</v>
      </c>
      <c r="AF89" s="22">
        <f>_xlfn.XLOOKUP($C89,'MP (2)'!$B$6:$B$100,'MP (2)'!$H$6:$H$100,"")</f>
        <v>0</v>
      </c>
      <c r="AG89" s="21">
        <f>_xlfn.XLOOKUP($C89,'PP1 (1)'!$B$6:$B$66,'PP1 (1)'!$H$6:$H$66,"")</f>
        <v>0</v>
      </c>
      <c r="AH89" s="22">
        <f>_xlfn.XLOOKUP($C89,'PP1 (2)'!$B$6:$B$100,'PP1 (2)'!$H$6:$H$100,"")</f>
        <v>0</v>
      </c>
      <c r="AI89" s="18">
        <f>_xlfn.XLOOKUP($C89,'PP2 (1)'!$B$6:$B$99,'PP2 (1)'!$H$6:$H$99,"")</f>
        <v>0</v>
      </c>
      <c r="AJ89" s="19">
        <f>_xlfn.XLOOKUP($C89,'PP2 (2)'!$B$6:$B$100,'PP2 (2)'!$H$6:$H$100,"")</f>
        <v>0</v>
      </c>
      <c r="AK89" s="21">
        <f>_xlfn.XLOOKUP($C89,'PP3 (1)'!$B$5:$B$113,'PP3 (1)'!$H$5:$H$113,"")</f>
        <v>0</v>
      </c>
      <c r="AL89" s="22">
        <f>_xlfn.XLOOKUP($C89,'PP3 (2)'!$B$5:$B$112,'PP3 (2)'!$H$5:$H$112,"")</f>
        <v>0</v>
      </c>
      <c r="AM89" s="18">
        <f>_xlfn.XLOOKUP($C89,'PP4 (1)'!$B$6:$B$100,'PP4 (1)'!$H$6:$H$100,"")</f>
        <v>0</v>
      </c>
      <c r="AN89" s="19">
        <f>_xlfn.XLOOKUP($C89,'PP4 (2)'!$B$6:$B$100,'PP4 (2)'!$H$6:$H$100,"")</f>
        <v>0</v>
      </c>
      <c r="AO89" s="21">
        <f>_xlfn.XLOOKUP($C89,'PP5 (1)'!$B$6:$B$100,'PP5 (1)'!$H$6:$H$100,"")</f>
        <v>0</v>
      </c>
      <c r="AP89" s="29">
        <f>_xlfn.XLOOKUP($C89,'PP5(2)'!$B$6:$B$100,'PP5(2)'!$H$6:$H$100,"")</f>
        <v>0</v>
      </c>
    </row>
    <row r="90" spans="1:42" ht="13.1" customHeight="1" x14ac:dyDescent="0.25">
      <c r="A90" s="1">
        <f>ROW()-4</f>
        <v>86</v>
      </c>
      <c r="B90" s="1"/>
      <c r="C90" s="3"/>
      <c r="D90" s="26">
        <f>SUM(E90:P90)</f>
        <v>0</v>
      </c>
      <c r="E90" s="23">
        <f>_xlfn.XLOOKUP($C90,'MP (1)'!$B$6:$B$100,'MP (1)'!$E$6:$E$100,"")</f>
        <v>0</v>
      </c>
      <c r="F90" s="22">
        <f>_xlfn.XLOOKUP($C90,'MP (2)'!$B$6:$B$100,'MP (2)'!$E$6:$E$100,"")</f>
        <v>0</v>
      </c>
      <c r="G90" s="21">
        <f>_xlfn.XLOOKUP($C90,'PP1 (1)'!$B$6:$B$66,'PP1 (1)'!$E$6:$E$66,"")</f>
        <v>0</v>
      </c>
      <c r="H90" s="22">
        <f>_xlfn.XLOOKUP($C90,'PP1 (2)'!$B$6:$B$100,'PP1 (2)'!$E$6:$E$100,"")</f>
        <v>0</v>
      </c>
      <c r="I90" s="18">
        <f>_xlfn.XLOOKUP($C90,'PP2 (1)'!$B$6:$B$99,'PP2 (1)'!$E$6:$E$99,"")</f>
        <v>0</v>
      </c>
      <c r="J90" s="20">
        <f>_xlfn.XLOOKUP($C90,'PP2 (2)'!$B$6:$B$100,'PP2 (2)'!$E$6:$E$100,"")</f>
        <v>0</v>
      </c>
      <c r="K90" s="21">
        <f>_xlfn.XLOOKUP($C90,'PP3 (1)'!$B$5:$B$113,'PP3 (1)'!$E$5:$E$113,"")</f>
        <v>0</v>
      </c>
      <c r="L90" s="22">
        <f>_xlfn.XLOOKUP($C90,'PP3 (2)'!$B$5:$B$112,'PP3 (2)'!$E$5:$E$112,"")</f>
        <v>0</v>
      </c>
      <c r="M90" s="18">
        <f>_xlfn.XLOOKUP($C90,'PP4 (1)'!$B$6:$B$100,'PP4 (1)'!$E$6:$E$100,"")</f>
        <v>0</v>
      </c>
      <c r="N90" s="20">
        <f>_xlfn.XLOOKUP($C90,'PP4 (2)'!$B$6:$B$100,'PP4 (2)'!$E$6:$E$100,"")</f>
        <v>0</v>
      </c>
      <c r="O90" s="21">
        <f>_xlfn.XLOOKUP($C90,'PP5 (1)'!$B$6:$B$100,'PP5 (1)'!$E$6:$E$100,"")</f>
        <v>0</v>
      </c>
      <c r="P90" s="23">
        <f>_xlfn.XLOOKUP($C90,'PP5(2)'!$B$6:$B$100,'PP5(2)'!$E$6:$E$100,"")</f>
        <v>0</v>
      </c>
      <c r="Q90" s="10">
        <f>SUM(R90:AC90)</f>
        <v>0</v>
      </c>
      <c r="R90" s="23">
        <f>_xlfn.XLOOKUP($C90,'MP (1)'!$B$6:$B$100,'MP (1)'!$F$6:$F$100,"")</f>
        <v>0</v>
      </c>
      <c r="S90" s="22">
        <f>_xlfn.XLOOKUP($C90,'MP (2)'!$B$6:$B$100,'MP (2)'!$F$6:$F$100,"")</f>
        <v>0</v>
      </c>
      <c r="T90" s="21">
        <f>_xlfn.XLOOKUP($C90,'PP1 (1)'!$B$6:$B$66,'PP1 (1)'!$F$6:$F$66,"")</f>
        <v>0</v>
      </c>
      <c r="U90" s="22">
        <f>_xlfn.XLOOKUP($C90,'PP1 (2)'!$B$6:$B$100,'PP1 (2)'!$F$6:$F$100,"")</f>
        <v>0</v>
      </c>
      <c r="V90" s="18">
        <f>_xlfn.XLOOKUP($C90,'PP2 (1)'!$B$6:$B$99,'PP2 (1)'!$F$6:$F$99,"")</f>
        <v>0</v>
      </c>
      <c r="W90" s="20">
        <f>_xlfn.XLOOKUP($C90,'PP2 (2)'!$B$6:$B$100,'PP2 (2)'!$F$6:$F$100,"")</f>
        <v>0</v>
      </c>
      <c r="X90" s="21">
        <f>_xlfn.XLOOKUP($C90,'PP3 (1)'!$B$5:$B$113,'PP3 (1)'!$F$5:$F$113,"")</f>
        <v>0</v>
      </c>
      <c r="Y90" s="22">
        <f>_xlfn.XLOOKUP($C90,'PP3 (2)'!$B$5:$B$112,'PP3 (2)'!$F$5:$F$112,"")</f>
        <v>0</v>
      </c>
      <c r="Z90" s="18">
        <f>_xlfn.XLOOKUP($C90,'PP4 (1)'!$B$6:$B$100,'PP4 (1)'!$F$6:$F$100,"")</f>
        <v>0</v>
      </c>
      <c r="AA90" s="20">
        <f>_xlfn.XLOOKUP($C90,'PP4 (2)'!$B$6:$B$100,'PP4 (2)'!$F$6:$F$100,"")</f>
        <v>0</v>
      </c>
      <c r="AB90" s="21">
        <f>_xlfn.XLOOKUP($C90,'PP5 (1)'!$B$6:$B$100,'PP5 (1)'!$F$6:$F$100,"")</f>
        <v>0</v>
      </c>
      <c r="AC90" s="23">
        <f>_xlfn.XLOOKUP($C90,'PP5(2)'!$B$6:$B$100,'PP5(2)'!$F$6:$F$100,"")</f>
        <v>0</v>
      </c>
      <c r="AD90" s="10">
        <f>SUM(AE90:AP90)</f>
        <v>0</v>
      </c>
      <c r="AE90" s="23">
        <f>_xlfn.XLOOKUP($C90,'MP (1)'!$B$6:$B$100,'MP (1)'!$H$6:$H$100,"")</f>
        <v>0</v>
      </c>
      <c r="AF90" s="22">
        <f>_xlfn.XLOOKUP($C90,'MP (2)'!$B$6:$B$100,'MP (2)'!$H$6:$H$100,"")</f>
        <v>0</v>
      </c>
      <c r="AG90" s="21">
        <f>_xlfn.XLOOKUP($C90,'PP1 (1)'!$B$6:$B$66,'PP1 (1)'!$H$6:$H$66,"")</f>
        <v>0</v>
      </c>
      <c r="AH90" s="22">
        <f>_xlfn.XLOOKUP($C90,'PP1 (2)'!$B$6:$B$100,'PP1 (2)'!$H$6:$H$100,"")</f>
        <v>0</v>
      </c>
      <c r="AI90" s="18">
        <f>_xlfn.XLOOKUP($C90,'PP2 (1)'!$B$6:$B$99,'PP2 (1)'!$H$6:$H$99,"")</f>
        <v>0</v>
      </c>
      <c r="AJ90" s="19">
        <f>_xlfn.XLOOKUP($C90,'PP2 (2)'!$B$6:$B$100,'PP2 (2)'!$H$6:$H$100,"")</f>
        <v>0</v>
      </c>
      <c r="AK90" s="21">
        <f>_xlfn.XLOOKUP($C90,'PP3 (1)'!$B$5:$B$113,'PP3 (1)'!$H$5:$H$113,"")</f>
        <v>0</v>
      </c>
      <c r="AL90" s="22">
        <f>_xlfn.XLOOKUP($C90,'PP3 (2)'!$B$5:$B$112,'PP3 (2)'!$H$5:$H$112,"")</f>
        <v>0</v>
      </c>
      <c r="AM90" s="18">
        <f>_xlfn.XLOOKUP($C90,'PP4 (1)'!$B$6:$B$100,'PP4 (1)'!$H$6:$H$100,"")</f>
        <v>0</v>
      </c>
      <c r="AN90" s="19">
        <f>_xlfn.XLOOKUP($C90,'PP4 (2)'!$B$6:$B$100,'PP4 (2)'!$H$6:$H$100,"")</f>
        <v>0</v>
      </c>
      <c r="AO90" s="21">
        <f>_xlfn.XLOOKUP($C90,'PP5 (1)'!$B$6:$B$100,'PP5 (1)'!$H$6:$H$100,"")</f>
        <v>0</v>
      </c>
      <c r="AP90" s="29">
        <f>_xlfn.XLOOKUP($C90,'PP5(2)'!$B$6:$B$100,'PP5(2)'!$H$6:$H$100,"")</f>
        <v>0</v>
      </c>
    </row>
    <row r="91" spans="1:42" ht="13.1" customHeight="1" x14ac:dyDescent="0.25">
      <c r="A91" s="1">
        <f>ROW()-4</f>
        <v>87</v>
      </c>
      <c r="B91" s="1"/>
      <c r="C91" s="3"/>
      <c r="D91" s="26">
        <f>SUM(E91:P91)</f>
        <v>0</v>
      </c>
      <c r="E91" s="23">
        <f>_xlfn.XLOOKUP($C91,'MP (1)'!$B$6:$B$100,'MP (1)'!$E$6:$E$100,"")</f>
        <v>0</v>
      </c>
      <c r="F91" s="22">
        <f>_xlfn.XLOOKUP($C91,'MP (2)'!$B$6:$B$100,'MP (2)'!$E$6:$E$100,"")</f>
        <v>0</v>
      </c>
      <c r="G91" s="21">
        <f>_xlfn.XLOOKUP($C91,'PP1 (1)'!$B$6:$B$66,'PP1 (1)'!$E$6:$E$66,"")</f>
        <v>0</v>
      </c>
      <c r="H91" s="22">
        <f>_xlfn.XLOOKUP($C91,'PP1 (2)'!$B$6:$B$100,'PP1 (2)'!$E$6:$E$100,"")</f>
        <v>0</v>
      </c>
      <c r="I91" s="18">
        <f>_xlfn.XLOOKUP($C91,'PP2 (1)'!$B$6:$B$99,'PP2 (1)'!$E$6:$E$99,"")</f>
        <v>0</v>
      </c>
      <c r="J91" s="20">
        <f>_xlfn.XLOOKUP($C91,'PP2 (2)'!$B$6:$B$100,'PP2 (2)'!$E$6:$E$100,"")</f>
        <v>0</v>
      </c>
      <c r="K91" s="21">
        <f>_xlfn.XLOOKUP($C91,'PP3 (1)'!$B$5:$B$113,'PP3 (1)'!$E$5:$E$113,"")</f>
        <v>0</v>
      </c>
      <c r="L91" s="22">
        <f>_xlfn.XLOOKUP($C91,'PP3 (2)'!$B$5:$B$112,'PP3 (2)'!$E$5:$E$112,"")</f>
        <v>0</v>
      </c>
      <c r="M91" s="18">
        <f>_xlfn.XLOOKUP($C91,'PP4 (1)'!$B$6:$B$100,'PP4 (1)'!$E$6:$E$100,"")</f>
        <v>0</v>
      </c>
      <c r="N91" s="20">
        <f>_xlfn.XLOOKUP($C91,'PP4 (2)'!$B$6:$B$100,'PP4 (2)'!$E$6:$E$100,"")</f>
        <v>0</v>
      </c>
      <c r="O91" s="21">
        <f>_xlfn.XLOOKUP($C91,'PP5 (1)'!$B$6:$B$100,'PP5 (1)'!$E$6:$E$100,"")</f>
        <v>0</v>
      </c>
      <c r="P91" s="23">
        <f>_xlfn.XLOOKUP($C91,'PP5(2)'!$B$6:$B$100,'PP5(2)'!$E$6:$E$100,"")</f>
        <v>0</v>
      </c>
      <c r="Q91" s="10">
        <f>SUM(R91:AC91)</f>
        <v>0</v>
      </c>
      <c r="R91" s="23">
        <f>_xlfn.XLOOKUP($C91,'MP (1)'!$B$6:$B$100,'MP (1)'!$F$6:$F$100,"")</f>
        <v>0</v>
      </c>
      <c r="S91" s="22">
        <f>_xlfn.XLOOKUP($C91,'MP (2)'!$B$6:$B$100,'MP (2)'!$F$6:$F$100,"")</f>
        <v>0</v>
      </c>
      <c r="T91" s="21">
        <f>_xlfn.XLOOKUP($C91,'PP1 (1)'!$B$6:$B$66,'PP1 (1)'!$F$6:$F$66,"")</f>
        <v>0</v>
      </c>
      <c r="U91" s="22">
        <f>_xlfn.XLOOKUP($C91,'PP1 (2)'!$B$6:$B$100,'PP1 (2)'!$F$6:$F$100,"")</f>
        <v>0</v>
      </c>
      <c r="V91" s="18">
        <f>_xlfn.XLOOKUP($C91,'PP2 (1)'!$B$6:$B$99,'PP2 (1)'!$F$6:$F$99,"")</f>
        <v>0</v>
      </c>
      <c r="W91" s="20">
        <f>_xlfn.XLOOKUP($C91,'PP2 (2)'!$B$6:$B$100,'PP2 (2)'!$F$6:$F$100,"")</f>
        <v>0</v>
      </c>
      <c r="X91" s="21">
        <f>_xlfn.XLOOKUP($C91,'PP3 (1)'!$B$5:$B$113,'PP3 (1)'!$F$5:$F$113,"")</f>
        <v>0</v>
      </c>
      <c r="Y91" s="22">
        <f>_xlfn.XLOOKUP($C91,'PP3 (2)'!$B$5:$B$112,'PP3 (2)'!$F$5:$F$112,"")</f>
        <v>0</v>
      </c>
      <c r="Z91" s="18">
        <f>_xlfn.XLOOKUP($C91,'PP4 (1)'!$B$6:$B$100,'PP4 (1)'!$F$6:$F$100,"")</f>
        <v>0</v>
      </c>
      <c r="AA91" s="20">
        <f>_xlfn.XLOOKUP($C91,'PP4 (2)'!$B$6:$B$100,'PP4 (2)'!$F$6:$F$100,"")</f>
        <v>0</v>
      </c>
      <c r="AB91" s="21">
        <f>_xlfn.XLOOKUP($C91,'PP5 (1)'!$B$6:$B$100,'PP5 (1)'!$F$6:$F$100,"")</f>
        <v>0</v>
      </c>
      <c r="AC91" s="23">
        <f>_xlfn.XLOOKUP($C91,'PP5(2)'!$B$6:$B$100,'PP5(2)'!$F$6:$F$100,"")</f>
        <v>0</v>
      </c>
      <c r="AD91" s="10">
        <f>SUM(AE91:AP91)</f>
        <v>0</v>
      </c>
      <c r="AE91" s="23">
        <f>_xlfn.XLOOKUP($C91,'MP (1)'!$B$6:$B$100,'MP (1)'!$H$6:$H$100,"")</f>
        <v>0</v>
      </c>
      <c r="AF91" s="22">
        <f>_xlfn.XLOOKUP($C91,'MP (2)'!$B$6:$B$100,'MP (2)'!$H$6:$H$100,"")</f>
        <v>0</v>
      </c>
      <c r="AG91" s="21">
        <f>_xlfn.XLOOKUP($C91,'PP1 (1)'!$B$6:$B$66,'PP1 (1)'!$H$6:$H$66,"")</f>
        <v>0</v>
      </c>
      <c r="AH91" s="22">
        <f>_xlfn.XLOOKUP($C91,'PP1 (2)'!$B$6:$B$100,'PP1 (2)'!$H$6:$H$100,"")</f>
        <v>0</v>
      </c>
      <c r="AI91" s="18">
        <f>_xlfn.XLOOKUP($C91,'PP2 (1)'!$B$6:$B$99,'PP2 (1)'!$H$6:$H$99,"")</f>
        <v>0</v>
      </c>
      <c r="AJ91" s="19">
        <f>_xlfn.XLOOKUP($C91,'PP2 (2)'!$B$6:$B$100,'PP2 (2)'!$H$6:$H$100,"")</f>
        <v>0</v>
      </c>
      <c r="AK91" s="21">
        <f>_xlfn.XLOOKUP($C91,'PP3 (1)'!$B$5:$B$113,'PP3 (1)'!$H$5:$H$113,"")</f>
        <v>0</v>
      </c>
      <c r="AL91" s="22">
        <f>_xlfn.XLOOKUP($C91,'PP3 (2)'!$B$5:$B$112,'PP3 (2)'!$H$5:$H$112,"")</f>
        <v>0</v>
      </c>
      <c r="AM91" s="18">
        <f>_xlfn.XLOOKUP($C91,'PP4 (1)'!$B$6:$B$100,'PP4 (1)'!$H$6:$H$100,"")</f>
        <v>0</v>
      </c>
      <c r="AN91" s="19">
        <f>_xlfn.XLOOKUP($C91,'PP4 (2)'!$B$6:$B$100,'PP4 (2)'!$H$6:$H$100,"")</f>
        <v>0</v>
      </c>
      <c r="AO91" s="21">
        <f>_xlfn.XLOOKUP($C91,'PP5 (1)'!$B$6:$B$100,'PP5 (1)'!$H$6:$H$100,"")</f>
        <v>0</v>
      </c>
      <c r="AP91" s="29">
        <f>_xlfn.XLOOKUP($C91,'PP5(2)'!$B$6:$B$100,'PP5(2)'!$H$6:$H$100,"")</f>
        <v>0</v>
      </c>
    </row>
    <row r="92" spans="1:42" ht="13.1" customHeight="1" x14ac:dyDescent="0.25">
      <c r="A92" s="1">
        <f>ROW()-4</f>
        <v>88</v>
      </c>
      <c r="B92" s="1"/>
      <c r="C92" s="3"/>
      <c r="D92" s="26">
        <f>SUM(E92:P92)</f>
        <v>0</v>
      </c>
      <c r="E92" s="23">
        <f>_xlfn.XLOOKUP($C92,'MP (1)'!$B$6:$B$100,'MP (1)'!$E$6:$E$100,"")</f>
        <v>0</v>
      </c>
      <c r="F92" s="22">
        <f>_xlfn.XLOOKUP($C92,'MP (2)'!$B$6:$B$100,'MP (2)'!$E$6:$E$100,"")</f>
        <v>0</v>
      </c>
      <c r="G92" s="21">
        <f>_xlfn.XLOOKUP($C92,'PP1 (1)'!$B$6:$B$66,'PP1 (1)'!$E$6:$E$66,"")</f>
        <v>0</v>
      </c>
      <c r="H92" s="22">
        <f>_xlfn.XLOOKUP($C92,'PP1 (2)'!$B$6:$B$100,'PP1 (2)'!$E$6:$E$100,"")</f>
        <v>0</v>
      </c>
      <c r="I92" s="18">
        <f>_xlfn.XLOOKUP($C92,'PP2 (1)'!$B$6:$B$99,'PP2 (1)'!$E$6:$E$99,"")</f>
        <v>0</v>
      </c>
      <c r="J92" s="20">
        <f>_xlfn.XLOOKUP($C92,'PP2 (2)'!$B$6:$B$100,'PP2 (2)'!$E$6:$E$100,"")</f>
        <v>0</v>
      </c>
      <c r="K92" s="21">
        <f>_xlfn.XLOOKUP($C92,'PP3 (1)'!$B$5:$B$113,'PP3 (1)'!$E$5:$E$113,"")</f>
        <v>0</v>
      </c>
      <c r="L92" s="22">
        <f>_xlfn.XLOOKUP($C92,'PP3 (2)'!$B$5:$B$112,'PP3 (2)'!$E$5:$E$112,"")</f>
        <v>0</v>
      </c>
      <c r="M92" s="18">
        <f>_xlfn.XLOOKUP($C92,'PP4 (1)'!$B$6:$B$100,'PP4 (1)'!$E$6:$E$100,"")</f>
        <v>0</v>
      </c>
      <c r="N92" s="20">
        <f>_xlfn.XLOOKUP($C92,'PP4 (2)'!$B$6:$B$100,'PP4 (2)'!$E$6:$E$100,"")</f>
        <v>0</v>
      </c>
      <c r="O92" s="21">
        <f>_xlfn.XLOOKUP($C92,'PP5 (1)'!$B$6:$B$100,'PP5 (1)'!$E$6:$E$100,"")</f>
        <v>0</v>
      </c>
      <c r="P92" s="23">
        <f>_xlfn.XLOOKUP($C92,'PP5(2)'!$B$6:$B$100,'PP5(2)'!$E$6:$E$100,"")</f>
        <v>0</v>
      </c>
      <c r="Q92" s="10">
        <f>SUM(R92:AC92)</f>
        <v>0</v>
      </c>
      <c r="R92" s="23">
        <f>_xlfn.XLOOKUP($C92,'MP (1)'!$B$6:$B$100,'MP (1)'!$F$6:$F$100,"")</f>
        <v>0</v>
      </c>
      <c r="S92" s="22">
        <f>_xlfn.XLOOKUP($C92,'MP (2)'!$B$6:$B$100,'MP (2)'!$F$6:$F$100,"")</f>
        <v>0</v>
      </c>
      <c r="T92" s="21">
        <f>_xlfn.XLOOKUP($C92,'PP1 (1)'!$B$6:$B$66,'PP1 (1)'!$F$6:$F$66,"")</f>
        <v>0</v>
      </c>
      <c r="U92" s="22">
        <f>_xlfn.XLOOKUP($C92,'PP1 (2)'!$B$6:$B$100,'PP1 (2)'!$F$6:$F$100,"")</f>
        <v>0</v>
      </c>
      <c r="V92" s="18">
        <f>_xlfn.XLOOKUP($C92,'PP2 (1)'!$B$6:$B$99,'PP2 (1)'!$F$6:$F$99,"")</f>
        <v>0</v>
      </c>
      <c r="W92" s="20">
        <f>_xlfn.XLOOKUP($C92,'PP2 (2)'!$B$6:$B$100,'PP2 (2)'!$F$6:$F$100,"")</f>
        <v>0</v>
      </c>
      <c r="X92" s="21">
        <f>_xlfn.XLOOKUP($C92,'PP3 (1)'!$B$5:$B$113,'PP3 (1)'!$F$5:$F$113,"")</f>
        <v>0</v>
      </c>
      <c r="Y92" s="22">
        <f>_xlfn.XLOOKUP($C92,'PP3 (2)'!$B$5:$B$112,'PP3 (2)'!$F$5:$F$112,"")</f>
        <v>0</v>
      </c>
      <c r="Z92" s="18">
        <f>_xlfn.XLOOKUP($C92,'PP4 (1)'!$B$6:$B$100,'PP4 (1)'!$F$6:$F$100,"")</f>
        <v>0</v>
      </c>
      <c r="AA92" s="20">
        <f>_xlfn.XLOOKUP($C92,'PP4 (2)'!$B$6:$B$100,'PP4 (2)'!$F$6:$F$100,"")</f>
        <v>0</v>
      </c>
      <c r="AB92" s="21">
        <f>_xlfn.XLOOKUP($C92,'PP5 (1)'!$B$6:$B$100,'PP5 (1)'!$F$6:$F$100,"")</f>
        <v>0</v>
      </c>
      <c r="AC92" s="23">
        <f>_xlfn.XLOOKUP($C92,'PP5(2)'!$B$6:$B$100,'PP5(2)'!$F$6:$F$100,"")</f>
        <v>0</v>
      </c>
      <c r="AD92" s="10">
        <f>SUM(AE92:AP92)</f>
        <v>0</v>
      </c>
      <c r="AE92" s="23">
        <f>_xlfn.XLOOKUP($C92,'MP (1)'!$B$6:$B$100,'MP (1)'!$H$6:$H$100,"")</f>
        <v>0</v>
      </c>
      <c r="AF92" s="22">
        <f>_xlfn.XLOOKUP($C92,'MP (2)'!$B$6:$B$100,'MP (2)'!$H$6:$H$100,"")</f>
        <v>0</v>
      </c>
      <c r="AG92" s="21">
        <f>_xlfn.XLOOKUP($C92,'PP1 (1)'!$B$6:$B$66,'PP1 (1)'!$H$6:$H$66,"")</f>
        <v>0</v>
      </c>
      <c r="AH92" s="22">
        <f>_xlfn.XLOOKUP($C92,'PP1 (2)'!$B$6:$B$100,'PP1 (2)'!$H$6:$H$100,"")</f>
        <v>0</v>
      </c>
      <c r="AI92" s="18">
        <f>_xlfn.XLOOKUP($C92,'PP2 (1)'!$B$6:$B$99,'PP2 (1)'!$H$6:$H$99,"")</f>
        <v>0</v>
      </c>
      <c r="AJ92" s="19">
        <f>_xlfn.XLOOKUP($C92,'PP2 (2)'!$B$6:$B$100,'PP2 (2)'!$H$6:$H$100,"")</f>
        <v>0</v>
      </c>
      <c r="AK92" s="21">
        <f>_xlfn.XLOOKUP($C92,'PP3 (1)'!$B$5:$B$113,'PP3 (1)'!$H$5:$H$113,"")</f>
        <v>0</v>
      </c>
      <c r="AL92" s="22">
        <f>_xlfn.XLOOKUP($C92,'PP3 (2)'!$B$5:$B$112,'PP3 (2)'!$H$5:$H$112,"")</f>
        <v>0</v>
      </c>
      <c r="AM92" s="18">
        <f>_xlfn.XLOOKUP($C92,'PP4 (1)'!$B$6:$B$100,'PP4 (1)'!$H$6:$H$100,"")</f>
        <v>0</v>
      </c>
      <c r="AN92" s="19">
        <f>_xlfn.XLOOKUP($C92,'PP4 (2)'!$B$6:$B$100,'PP4 (2)'!$H$6:$H$100,"")</f>
        <v>0</v>
      </c>
      <c r="AO92" s="21">
        <f>_xlfn.XLOOKUP($C92,'PP5 (1)'!$B$6:$B$100,'PP5 (1)'!$H$6:$H$100,"")</f>
        <v>0</v>
      </c>
      <c r="AP92" s="29">
        <f>_xlfn.XLOOKUP($C92,'PP5(2)'!$B$6:$B$100,'PP5(2)'!$H$6:$H$100,"")</f>
        <v>0</v>
      </c>
    </row>
    <row r="93" spans="1:42" ht="13.1" customHeight="1" x14ac:dyDescent="0.25">
      <c r="A93" s="1">
        <f>ROW()-4</f>
        <v>89</v>
      </c>
      <c r="B93" s="1"/>
      <c r="C93" s="3"/>
      <c r="D93" s="26">
        <f>SUM(E93:P93)</f>
        <v>0</v>
      </c>
      <c r="E93" s="23">
        <f>_xlfn.XLOOKUP($C93,'MP (1)'!$B$6:$B$100,'MP (1)'!$E$6:$E$100,"")</f>
        <v>0</v>
      </c>
      <c r="F93" s="22">
        <f>_xlfn.XLOOKUP($C93,'MP (2)'!$B$6:$B$100,'MP (2)'!$E$6:$E$100,"")</f>
        <v>0</v>
      </c>
      <c r="G93" s="21">
        <f>_xlfn.XLOOKUP($C93,'PP1 (1)'!$B$6:$B$66,'PP1 (1)'!$E$6:$E$66,"")</f>
        <v>0</v>
      </c>
      <c r="H93" s="22">
        <f>_xlfn.XLOOKUP($C93,'PP1 (2)'!$B$6:$B$100,'PP1 (2)'!$E$6:$E$100,"")</f>
        <v>0</v>
      </c>
      <c r="I93" s="18">
        <f>_xlfn.XLOOKUP($C93,'PP2 (1)'!$B$6:$B$99,'PP2 (1)'!$E$6:$E$99,"")</f>
        <v>0</v>
      </c>
      <c r="J93" s="20">
        <f>_xlfn.XLOOKUP($C93,'PP2 (2)'!$B$6:$B$100,'PP2 (2)'!$E$6:$E$100,"")</f>
        <v>0</v>
      </c>
      <c r="K93" s="21">
        <f>_xlfn.XLOOKUP($C93,'PP3 (1)'!$B$5:$B$113,'PP3 (1)'!$E$5:$E$113,"")</f>
        <v>0</v>
      </c>
      <c r="L93" s="22">
        <f>_xlfn.XLOOKUP($C93,'PP3 (2)'!$B$5:$B$112,'PP3 (2)'!$E$5:$E$112,"")</f>
        <v>0</v>
      </c>
      <c r="M93" s="18">
        <f>_xlfn.XLOOKUP($C93,'PP4 (1)'!$B$6:$B$100,'PP4 (1)'!$E$6:$E$100,"")</f>
        <v>0</v>
      </c>
      <c r="N93" s="20">
        <f>_xlfn.XLOOKUP($C93,'PP4 (2)'!$B$6:$B$100,'PP4 (2)'!$E$6:$E$100,"")</f>
        <v>0</v>
      </c>
      <c r="O93" s="21">
        <f>_xlfn.XLOOKUP($C93,'PP5 (1)'!$B$6:$B$100,'PP5 (1)'!$E$6:$E$100,"")</f>
        <v>0</v>
      </c>
      <c r="P93" s="23">
        <f>_xlfn.XLOOKUP($C93,'PP5(2)'!$B$6:$B$100,'PP5(2)'!$E$6:$E$100,"")</f>
        <v>0</v>
      </c>
      <c r="Q93" s="10">
        <f>SUM(R93:AC93)</f>
        <v>0</v>
      </c>
      <c r="R93" s="23">
        <f>_xlfn.XLOOKUP($C93,'MP (1)'!$B$6:$B$100,'MP (1)'!$F$6:$F$100,"")</f>
        <v>0</v>
      </c>
      <c r="S93" s="22">
        <f>_xlfn.XLOOKUP($C93,'MP (2)'!$B$6:$B$100,'MP (2)'!$F$6:$F$100,"")</f>
        <v>0</v>
      </c>
      <c r="T93" s="21">
        <f>_xlfn.XLOOKUP($C93,'PP1 (1)'!$B$6:$B$66,'PP1 (1)'!$F$6:$F$66,"")</f>
        <v>0</v>
      </c>
      <c r="U93" s="22">
        <f>_xlfn.XLOOKUP($C93,'PP1 (2)'!$B$6:$B$100,'PP1 (2)'!$F$6:$F$100,"")</f>
        <v>0</v>
      </c>
      <c r="V93" s="18">
        <f>_xlfn.XLOOKUP($C93,'PP2 (1)'!$B$6:$B$99,'PP2 (1)'!$F$6:$F$99,"")</f>
        <v>0</v>
      </c>
      <c r="W93" s="20">
        <f>_xlfn.XLOOKUP($C93,'PP2 (2)'!$B$6:$B$100,'PP2 (2)'!$F$6:$F$100,"")</f>
        <v>0</v>
      </c>
      <c r="X93" s="21">
        <f>_xlfn.XLOOKUP($C93,'PP3 (1)'!$B$5:$B$113,'PP3 (1)'!$F$5:$F$113,"")</f>
        <v>0</v>
      </c>
      <c r="Y93" s="22">
        <f>_xlfn.XLOOKUP($C93,'PP3 (2)'!$B$5:$B$112,'PP3 (2)'!$F$5:$F$112,"")</f>
        <v>0</v>
      </c>
      <c r="Z93" s="18">
        <f>_xlfn.XLOOKUP($C93,'PP4 (1)'!$B$6:$B$100,'PP4 (1)'!$F$6:$F$100,"")</f>
        <v>0</v>
      </c>
      <c r="AA93" s="20">
        <f>_xlfn.XLOOKUP($C93,'PP4 (2)'!$B$6:$B$100,'PP4 (2)'!$F$6:$F$100,"")</f>
        <v>0</v>
      </c>
      <c r="AB93" s="21">
        <f>_xlfn.XLOOKUP($C93,'PP5 (1)'!$B$6:$B$100,'PP5 (1)'!$F$6:$F$100,"")</f>
        <v>0</v>
      </c>
      <c r="AC93" s="23">
        <f>_xlfn.XLOOKUP($C93,'PP5(2)'!$B$6:$B$100,'PP5(2)'!$F$6:$F$100,"")</f>
        <v>0</v>
      </c>
      <c r="AD93" s="10">
        <f>SUM(AE93:AP93)</f>
        <v>0</v>
      </c>
      <c r="AE93" s="23">
        <f>_xlfn.XLOOKUP($C93,'MP (1)'!$B$6:$B$100,'MP (1)'!$H$6:$H$100,"")</f>
        <v>0</v>
      </c>
      <c r="AF93" s="22">
        <f>_xlfn.XLOOKUP($C93,'MP (2)'!$B$6:$B$100,'MP (2)'!$H$6:$H$100,"")</f>
        <v>0</v>
      </c>
      <c r="AG93" s="21">
        <f>_xlfn.XLOOKUP($C93,'PP1 (1)'!$B$6:$B$66,'PP1 (1)'!$H$6:$H$66,"")</f>
        <v>0</v>
      </c>
      <c r="AH93" s="22">
        <f>_xlfn.XLOOKUP($C93,'PP1 (2)'!$B$6:$B$100,'PP1 (2)'!$H$6:$H$100,"")</f>
        <v>0</v>
      </c>
      <c r="AI93" s="18">
        <f>_xlfn.XLOOKUP($C93,'PP2 (1)'!$B$6:$B$99,'PP2 (1)'!$H$6:$H$99,"")</f>
        <v>0</v>
      </c>
      <c r="AJ93" s="19">
        <f>_xlfn.XLOOKUP($C93,'PP2 (2)'!$B$6:$B$100,'PP2 (2)'!$H$6:$H$100,"")</f>
        <v>0</v>
      </c>
      <c r="AK93" s="21">
        <f>_xlfn.XLOOKUP($C93,'PP3 (1)'!$B$5:$B$113,'PP3 (1)'!$H$5:$H$113,"")</f>
        <v>0</v>
      </c>
      <c r="AL93" s="22">
        <f>_xlfn.XLOOKUP($C93,'PP3 (2)'!$B$5:$B$112,'PP3 (2)'!$H$5:$H$112,"")</f>
        <v>0</v>
      </c>
      <c r="AM93" s="18">
        <f>_xlfn.XLOOKUP($C93,'PP4 (1)'!$B$6:$B$100,'PP4 (1)'!$H$6:$H$100,"")</f>
        <v>0</v>
      </c>
      <c r="AN93" s="19">
        <f>_xlfn.XLOOKUP($C93,'PP4 (2)'!$B$6:$B$100,'PP4 (2)'!$H$6:$H$100,"")</f>
        <v>0</v>
      </c>
      <c r="AO93" s="21">
        <f>_xlfn.XLOOKUP($C93,'PP5 (1)'!$B$6:$B$100,'PP5 (1)'!$H$6:$H$100,"")</f>
        <v>0</v>
      </c>
      <c r="AP93" s="29">
        <f>_xlfn.XLOOKUP($C93,'PP5(2)'!$B$6:$B$100,'PP5(2)'!$H$6:$H$100,"")</f>
        <v>0</v>
      </c>
    </row>
    <row r="94" spans="1:42" ht="13.1" customHeight="1" x14ac:dyDescent="0.25">
      <c r="A94" s="1">
        <f>ROW()-4</f>
        <v>90</v>
      </c>
      <c r="B94" s="1"/>
      <c r="C94" s="3"/>
      <c r="D94" s="26">
        <f>SUM(E94:P94)</f>
        <v>0</v>
      </c>
      <c r="E94" s="23">
        <f>_xlfn.XLOOKUP($C94,'MP (1)'!$B$6:$B$100,'MP (1)'!$E$6:$E$100,"")</f>
        <v>0</v>
      </c>
      <c r="F94" s="22">
        <f>_xlfn.XLOOKUP($C94,'MP (2)'!$B$6:$B$100,'MP (2)'!$E$6:$E$100,"")</f>
        <v>0</v>
      </c>
      <c r="G94" s="21">
        <f>_xlfn.XLOOKUP($C94,'PP1 (1)'!$B$6:$B$66,'PP1 (1)'!$E$6:$E$66,"")</f>
        <v>0</v>
      </c>
      <c r="H94" s="22">
        <f>_xlfn.XLOOKUP($C94,'PP1 (2)'!$B$6:$B$100,'PP1 (2)'!$E$6:$E$100,"")</f>
        <v>0</v>
      </c>
      <c r="I94" s="18">
        <f>_xlfn.XLOOKUP($C94,'PP2 (1)'!$B$6:$B$99,'PP2 (1)'!$E$6:$E$99,"")</f>
        <v>0</v>
      </c>
      <c r="J94" s="20">
        <f>_xlfn.XLOOKUP($C94,'PP2 (2)'!$B$6:$B$100,'PP2 (2)'!$E$6:$E$100,"")</f>
        <v>0</v>
      </c>
      <c r="K94" s="21">
        <f>_xlfn.XLOOKUP($C94,'PP3 (1)'!$B$5:$B$113,'PP3 (1)'!$E$5:$E$113,"")</f>
        <v>0</v>
      </c>
      <c r="L94" s="22">
        <f>_xlfn.XLOOKUP($C94,'PP3 (2)'!$B$5:$B$112,'PP3 (2)'!$E$5:$E$112,"")</f>
        <v>0</v>
      </c>
      <c r="M94" s="18">
        <f>_xlfn.XLOOKUP($C94,'PP4 (1)'!$B$6:$B$100,'PP4 (1)'!$E$6:$E$100,"")</f>
        <v>0</v>
      </c>
      <c r="N94" s="20">
        <f>_xlfn.XLOOKUP($C94,'PP4 (2)'!$B$6:$B$100,'PP4 (2)'!$E$6:$E$100,"")</f>
        <v>0</v>
      </c>
      <c r="O94" s="21">
        <f>_xlfn.XLOOKUP($C94,'PP5 (1)'!$B$6:$B$100,'PP5 (1)'!$E$6:$E$100,"")</f>
        <v>0</v>
      </c>
      <c r="P94" s="23">
        <f>_xlfn.XLOOKUP($C94,'PP5(2)'!$B$6:$B$100,'PP5(2)'!$E$6:$E$100,"")</f>
        <v>0</v>
      </c>
      <c r="Q94" s="10">
        <f>SUM(R94:AC94)</f>
        <v>0</v>
      </c>
      <c r="R94" s="23">
        <f>_xlfn.XLOOKUP($C94,'MP (1)'!$B$6:$B$100,'MP (1)'!$F$6:$F$100,"")</f>
        <v>0</v>
      </c>
      <c r="S94" s="22">
        <f>_xlfn.XLOOKUP($C94,'MP (2)'!$B$6:$B$100,'MP (2)'!$F$6:$F$100,"")</f>
        <v>0</v>
      </c>
      <c r="T94" s="21">
        <f>_xlfn.XLOOKUP($C94,'PP1 (1)'!$B$6:$B$66,'PP1 (1)'!$F$6:$F$66,"")</f>
        <v>0</v>
      </c>
      <c r="U94" s="22">
        <f>_xlfn.XLOOKUP($C94,'PP1 (2)'!$B$6:$B$100,'PP1 (2)'!$F$6:$F$100,"")</f>
        <v>0</v>
      </c>
      <c r="V94" s="18">
        <f>_xlfn.XLOOKUP($C94,'PP2 (1)'!$B$6:$B$99,'PP2 (1)'!$F$6:$F$99,"")</f>
        <v>0</v>
      </c>
      <c r="W94" s="20">
        <f>_xlfn.XLOOKUP($C94,'PP2 (2)'!$B$6:$B$100,'PP2 (2)'!$F$6:$F$100,"")</f>
        <v>0</v>
      </c>
      <c r="X94" s="21">
        <f>_xlfn.XLOOKUP($C94,'PP3 (1)'!$B$5:$B$113,'PP3 (1)'!$F$5:$F$113,"")</f>
        <v>0</v>
      </c>
      <c r="Y94" s="22">
        <f>_xlfn.XLOOKUP($C94,'PP3 (2)'!$B$5:$B$112,'PP3 (2)'!$F$5:$F$112,"")</f>
        <v>0</v>
      </c>
      <c r="Z94" s="18">
        <f>_xlfn.XLOOKUP($C94,'PP4 (1)'!$B$6:$B$100,'PP4 (1)'!$F$6:$F$100,"")</f>
        <v>0</v>
      </c>
      <c r="AA94" s="20">
        <f>_xlfn.XLOOKUP($C94,'PP4 (2)'!$B$6:$B$100,'PP4 (2)'!$F$6:$F$100,"")</f>
        <v>0</v>
      </c>
      <c r="AB94" s="21">
        <f>_xlfn.XLOOKUP($C94,'PP5 (1)'!$B$6:$B$100,'PP5 (1)'!$F$6:$F$100,"")</f>
        <v>0</v>
      </c>
      <c r="AC94" s="23">
        <f>_xlfn.XLOOKUP($C94,'PP5(2)'!$B$6:$B$100,'PP5(2)'!$F$6:$F$100,"")</f>
        <v>0</v>
      </c>
      <c r="AD94" s="10">
        <f>SUM(AE94:AP94)</f>
        <v>0</v>
      </c>
      <c r="AE94" s="23">
        <f>_xlfn.XLOOKUP($C94,'MP (1)'!$B$6:$B$100,'MP (1)'!$H$6:$H$100,"")</f>
        <v>0</v>
      </c>
      <c r="AF94" s="22">
        <f>_xlfn.XLOOKUP($C94,'MP (2)'!$B$6:$B$100,'MP (2)'!$H$6:$H$100,"")</f>
        <v>0</v>
      </c>
      <c r="AG94" s="21">
        <f>_xlfn.XLOOKUP($C94,'PP1 (1)'!$B$6:$B$66,'PP1 (1)'!$H$6:$H$66,"")</f>
        <v>0</v>
      </c>
      <c r="AH94" s="22">
        <f>_xlfn.XLOOKUP($C94,'PP1 (2)'!$B$6:$B$100,'PP1 (2)'!$H$6:$H$100,"")</f>
        <v>0</v>
      </c>
      <c r="AI94" s="18">
        <f>_xlfn.XLOOKUP($C94,'PP2 (1)'!$B$6:$B$99,'PP2 (1)'!$H$6:$H$99,"")</f>
        <v>0</v>
      </c>
      <c r="AJ94" s="19">
        <f>_xlfn.XLOOKUP($C94,'PP2 (2)'!$B$6:$B$100,'PP2 (2)'!$H$6:$H$100,"")</f>
        <v>0</v>
      </c>
      <c r="AK94" s="21">
        <f>_xlfn.XLOOKUP($C94,'PP3 (1)'!$B$5:$B$113,'PP3 (1)'!$H$5:$H$113,"")</f>
        <v>0</v>
      </c>
      <c r="AL94" s="22">
        <f>_xlfn.XLOOKUP($C94,'PP3 (2)'!$B$5:$B$112,'PP3 (2)'!$H$5:$H$112,"")</f>
        <v>0</v>
      </c>
      <c r="AM94" s="18">
        <f>_xlfn.XLOOKUP($C94,'PP4 (1)'!$B$6:$B$100,'PP4 (1)'!$H$6:$H$100,"")</f>
        <v>0</v>
      </c>
      <c r="AN94" s="19">
        <f>_xlfn.XLOOKUP($C94,'PP4 (2)'!$B$6:$B$100,'PP4 (2)'!$H$6:$H$100,"")</f>
        <v>0</v>
      </c>
      <c r="AO94" s="21">
        <f>_xlfn.XLOOKUP($C94,'PP5 (1)'!$B$6:$B$100,'PP5 (1)'!$H$6:$H$100,"")</f>
        <v>0</v>
      </c>
      <c r="AP94" s="29">
        <f>_xlfn.XLOOKUP($C94,'PP5(2)'!$B$6:$B$100,'PP5(2)'!$H$6:$H$100,"")</f>
        <v>0</v>
      </c>
    </row>
    <row r="95" spans="1:42" ht="13.1" customHeight="1" x14ac:dyDescent="0.25">
      <c r="A95" s="1">
        <f>ROW()-4</f>
        <v>91</v>
      </c>
      <c r="B95" s="1"/>
      <c r="C95" s="3"/>
      <c r="D95" s="26">
        <f>SUM(E95:P95)</f>
        <v>0</v>
      </c>
      <c r="E95" s="23">
        <f>_xlfn.XLOOKUP($C95,'MP (1)'!$B$6:$B$100,'MP (1)'!$E$6:$E$100,"")</f>
        <v>0</v>
      </c>
      <c r="F95" s="22">
        <f>_xlfn.XLOOKUP($C95,'MP (2)'!$B$6:$B$100,'MP (2)'!$E$6:$E$100,"")</f>
        <v>0</v>
      </c>
      <c r="G95" s="21">
        <f>_xlfn.XLOOKUP($C95,'PP1 (1)'!$B$6:$B$66,'PP1 (1)'!$E$6:$E$66,"")</f>
        <v>0</v>
      </c>
      <c r="H95" s="22">
        <f>_xlfn.XLOOKUP($C95,'PP1 (2)'!$B$6:$B$100,'PP1 (2)'!$E$6:$E$100,"")</f>
        <v>0</v>
      </c>
      <c r="I95" s="18">
        <f>_xlfn.XLOOKUP($C95,'PP2 (1)'!$B$6:$B$99,'PP2 (1)'!$E$6:$E$99,"")</f>
        <v>0</v>
      </c>
      <c r="J95" s="20">
        <f>_xlfn.XLOOKUP($C95,'PP2 (2)'!$B$6:$B$100,'PP2 (2)'!$E$6:$E$100,"")</f>
        <v>0</v>
      </c>
      <c r="K95" s="21">
        <f>_xlfn.XLOOKUP($C95,'PP3 (1)'!$B$5:$B$113,'PP3 (1)'!$E$5:$E$113,"")</f>
        <v>0</v>
      </c>
      <c r="L95" s="22">
        <f>_xlfn.XLOOKUP($C95,'PP3 (2)'!$B$5:$B$112,'PP3 (2)'!$E$5:$E$112,"")</f>
        <v>0</v>
      </c>
      <c r="M95" s="18">
        <f>_xlfn.XLOOKUP($C95,'PP4 (1)'!$B$6:$B$100,'PP4 (1)'!$E$6:$E$100,"")</f>
        <v>0</v>
      </c>
      <c r="N95" s="20">
        <f>_xlfn.XLOOKUP($C95,'PP4 (2)'!$B$6:$B$100,'PP4 (2)'!$E$6:$E$100,"")</f>
        <v>0</v>
      </c>
      <c r="O95" s="21">
        <f>_xlfn.XLOOKUP($C95,'PP5 (1)'!$B$6:$B$100,'PP5 (1)'!$E$6:$E$100,"")</f>
        <v>0</v>
      </c>
      <c r="P95" s="23">
        <f>_xlfn.XLOOKUP($C95,'PP5(2)'!$B$6:$B$100,'PP5(2)'!$E$6:$E$100,"")</f>
        <v>0</v>
      </c>
      <c r="Q95" s="10">
        <f>SUM(R95:AC95)</f>
        <v>0</v>
      </c>
      <c r="R95" s="23">
        <f>_xlfn.XLOOKUP($C95,'MP (1)'!$B$6:$B$100,'MP (1)'!$F$6:$F$100,"")</f>
        <v>0</v>
      </c>
      <c r="S95" s="22">
        <f>_xlfn.XLOOKUP($C95,'MP (2)'!$B$6:$B$100,'MP (2)'!$F$6:$F$100,"")</f>
        <v>0</v>
      </c>
      <c r="T95" s="21">
        <f>_xlfn.XLOOKUP($C95,'PP1 (1)'!$B$6:$B$66,'PP1 (1)'!$F$6:$F$66,"")</f>
        <v>0</v>
      </c>
      <c r="U95" s="22">
        <f>_xlfn.XLOOKUP($C95,'PP1 (2)'!$B$6:$B$100,'PP1 (2)'!$F$6:$F$100,"")</f>
        <v>0</v>
      </c>
      <c r="V95" s="18">
        <f>_xlfn.XLOOKUP($C95,'PP2 (1)'!$B$6:$B$99,'PP2 (1)'!$F$6:$F$99,"")</f>
        <v>0</v>
      </c>
      <c r="W95" s="20">
        <f>_xlfn.XLOOKUP($C95,'PP2 (2)'!$B$6:$B$100,'PP2 (2)'!$F$6:$F$100,"")</f>
        <v>0</v>
      </c>
      <c r="X95" s="21">
        <f>_xlfn.XLOOKUP($C95,'PP3 (1)'!$B$5:$B$113,'PP3 (1)'!$F$5:$F$113,"")</f>
        <v>0</v>
      </c>
      <c r="Y95" s="22">
        <f>_xlfn.XLOOKUP($C95,'PP3 (2)'!$B$5:$B$112,'PP3 (2)'!$F$5:$F$112,"")</f>
        <v>0</v>
      </c>
      <c r="Z95" s="18">
        <f>_xlfn.XLOOKUP($C95,'PP4 (1)'!$B$6:$B$100,'PP4 (1)'!$F$6:$F$100,"")</f>
        <v>0</v>
      </c>
      <c r="AA95" s="20">
        <f>_xlfn.XLOOKUP($C95,'PP4 (2)'!$B$6:$B$100,'PP4 (2)'!$F$6:$F$100,"")</f>
        <v>0</v>
      </c>
      <c r="AB95" s="21">
        <f>_xlfn.XLOOKUP($C95,'PP5 (1)'!$B$6:$B$100,'PP5 (1)'!$F$6:$F$100,"")</f>
        <v>0</v>
      </c>
      <c r="AC95" s="23">
        <f>_xlfn.XLOOKUP($C95,'PP5(2)'!$B$6:$B$100,'PP5(2)'!$F$6:$F$100,"")</f>
        <v>0</v>
      </c>
      <c r="AD95" s="10">
        <f>SUM(AE95:AP95)</f>
        <v>0</v>
      </c>
      <c r="AE95" s="23">
        <f>_xlfn.XLOOKUP($C95,'MP (1)'!$B$6:$B$100,'MP (1)'!$H$6:$H$100,"")</f>
        <v>0</v>
      </c>
      <c r="AF95" s="22">
        <f>_xlfn.XLOOKUP($C95,'MP (2)'!$B$6:$B$100,'MP (2)'!$H$6:$H$100,"")</f>
        <v>0</v>
      </c>
      <c r="AG95" s="21">
        <f>_xlfn.XLOOKUP($C95,'PP1 (1)'!$B$6:$B$66,'PP1 (1)'!$H$6:$H$66,"")</f>
        <v>0</v>
      </c>
      <c r="AH95" s="22">
        <f>_xlfn.XLOOKUP($C95,'PP1 (2)'!$B$6:$B$100,'PP1 (2)'!$H$6:$H$100,"")</f>
        <v>0</v>
      </c>
      <c r="AI95" s="18">
        <f>_xlfn.XLOOKUP($C95,'PP2 (1)'!$B$6:$B$99,'PP2 (1)'!$H$6:$H$99,"")</f>
        <v>0</v>
      </c>
      <c r="AJ95" s="19">
        <f>_xlfn.XLOOKUP($C95,'PP2 (2)'!$B$6:$B$100,'PP2 (2)'!$H$6:$H$100,"")</f>
        <v>0</v>
      </c>
      <c r="AK95" s="21">
        <f>_xlfn.XLOOKUP($C95,'PP3 (1)'!$B$5:$B$113,'PP3 (1)'!$H$5:$H$113,"")</f>
        <v>0</v>
      </c>
      <c r="AL95" s="22">
        <f>_xlfn.XLOOKUP($C95,'PP3 (2)'!$B$5:$B$112,'PP3 (2)'!$H$5:$H$112,"")</f>
        <v>0</v>
      </c>
      <c r="AM95" s="18">
        <f>_xlfn.XLOOKUP($C95,'PP4 (1)'!$B$6:$B$100,'PP4 (1)'!$H$6:$H$100,"")</f>
        <v>0</v>
      </c>
      <c r="AN95" s="19">
        <f>_xlfn.XLOOKUP($C95,'PP4 (2)'!$B$6:$B$100,'PP4 (2)'!$H$6:$H$100,"")</f>
        <v>0</v>
      </c>
      <c r="AO95" s="21">
        <f>_xlfn.XLOOKUP($C95,'PP5 (1)'!$B$6:$B$100,'PP5 (1)'!$H$6:$H$100,"")</f>
        <v>0</v>
      </c>
      <c r="AP95" s="29">
        <f>_xlfn.XLOOKUP($C95,'PP5(2)'!$B$6:$B$100,'PP5(2)'!$H$6:$H$100,"")</f>
        <v>0</v>
      </c>
    </row>
    <row r="96" spans="1:42" ht="13.1" customHeight="1" x14ac:dyDescent="0.25">
      <c r="A96" s="1">
        <f>ROW()-4</f>
        <v>92</v>
      </c>
      <c r="B96" s="1"/>
      <c r="C96" s="3"/>
      <c r="D96" s="26">
        <f>SUM(E96:P96)</f>
        <v>0</v>
      </c>
      <c r="E96" s="23">
        <f>_xlfn.XLOOKUP($C96,'MP (1)'!$B$6:$B$100,'MP (1)'!$E$6:$E$100,"")</f>
        <v>0</v>
      </c>
      <c r="F96" s="22">
        <f>_xlfn.XLOOKUP($C96,'MP (2)'!$B$6:$B$100,'MP (2)'!$E$6:$E$100,"")</f>
        <v>0</v>
      </c>
      <c r="G96" s="21">
        <f>_xlfn.XLOOKUP($C96,'PP1 (1)'!$B$6:$B$66,'PP1 (1)'!$E$6:$E$66,"")</f>
        <v>0</v>
      </c>
      <c r="H96" s="22">
        <f>_xlfn.XLOOKUP($C96,'PP1 (2)'!$B$6:$B$100,'PP1 (2)'!$E$6:$E$100,"")</f>
        <v>0</v>
      </c>
      <c r="I96" s="18">
        <f>_xlfn.XLOOKUP($C96,'PP2 (1)'!$B$6:$B$99,'PP2 (1)'!$E$6:$E$99,"")</f>
        <v>0</v>
      </c>
      <c r="J96" s="20">
        <f>_xlfn.XLOOKUP($C96,'PP2 (2)'!$B$6:$B$100,'PP2 (2)'!$E$6:$E$100,"")</f>
        <v>0</v>
      </c>
      <c r="K96" s="21">
        <f>_xlfn.XLOOKUP($C96,'PP3 (1)'!$B$5:$B$113,'PP3 (1)'!$E$5:$E$113,"")</f>
        <v>0</v>
      </c>
      <c r="L96" s="22">
        <f>_xlfn.XLOOKUP($C96,'PP3 (2)'!$B$5:$B$112,'PP3 (2)'!$E$5:$E$112,"")</f>
        <v>0</v>
      </c>
      <c r="M96" s="18">
        <f>_xlfn.XLOOKUP($C96,'PP4 (1)'!$B$6:$B$100,'PP4 (1)'!$E$6:$E$100,"")</f>
        <v>0</v>
      </c>
      <c r="N96" s="20">
        <f>_xlfn.XLOOKUP($C96,'PP4 (2)'!$B$6:$B$100,'PP4 (2)'!$E$6:$E$100,"")</f>
        <v>0</v>
      </c>
      <c r="O96" s="21">
        <f>_xlfn.XLOOKUP($C96,'PP5 (1)'!$B$6:$B$100,'PP5 (1)'!$E$6:$E$100,"")</f>
        <v>0</v>
      </c>
      <c r="P96" s="23">
        <f>_xlfn.XLOOKUP($C96,'PP5(2)'!$B$6:$B$100,'PP5(2)'!$E$6:$E$100,"")</f>
        <v>0</v>
      </c>
      <c r="Q96" s="10">
        <f>SUM(R96:AC96)</f>
        <v>0</v>
      </c>
      <c r="R96" s="23">
        <f>_xlfn.XLOOKUP($C96,'MP (1)'!$B$6:$B$100,'MP (1)'!$F$6:$F$100,"")</f>
        <v>0</v>
      </c>
      <c r="S96" s="22">
        <f>_xlfn.XLOOKUP($C96,'MP (2)'!$B$6:$B$100,'MP (2)'!$F$6:$F$100,"")</f>
        <v>0</v>
      </c>
      <c r="T96" s="21">
        <f>_xlfn.XLOOKUP($C96,'PP1 (1)'!$B$6:$B$66,'PP1 (1)'!$F$6:$F$66,"")</f>
        <v>0</v>
      </c>
      <c r="U96" s="22">
        <f>_xlfn.XLOOKUP($C96,'PP1 (2)'!$B$6:$B$100,'PP1 (2)'!$F$6:$F$100,"")</f>
        <v>0</v>
      </c>
      <c r="V96" s="18">
        <f>_xlfn.XLOOKUP($C96,'PP2 (1)'!$B$6:$B$99,'PP2 (1)'!$F$6:$F$99,"")</f>
        <v>0</v>
      </c>
      <c r="W96" s="20">
        <f>_xlfn.XLOOKUP($C96,'PP2 (2)'!$B$6:$B$100,'PP2 (2)'!$F$6:$F$100,"")</f>
        <v>0</v>
      </c>
      <c r="X96" s="21">
        <f>_xlfn.XLOOKUP($C96,'PP3 (1)'!$B$5:$B$113,'PP3 (1)'!$F$5:$F$113,"")</f>
        <v>0</v>
      </c>
      <c r="Y96" s="22">
        <f>_xlfn.XLOOKUP($C96,'PP3 (2)'!$B$5:$B$112,'PP3 (2)'!$F$5:$F$112,"")</f>
        <v>0</v>
      </c>
      <c r="Z96" s="18">
        <f>_xlfn.XLOOKUP($C96,'PP4 (1)'!$B$6:$B$100,'PP4 (1)'!$F$6:$F$100,"")</f>
        <v>0</v>
      </c>
      <c r="AA96" s="20">
        <f>_xlfn.XLOOKUP($C96,'PP4 (2)'!$B$6:$B$100,'PP4 (2)'!$F$6:$F$100,"")</f>
        <v>0</v>
      </c>
      <c r="AB96" s="21">
        <f>_xlfn.XLOOKUP($C96,'PP5 (1)'!$B$6:$B$100,'PP5 (1)'!$F$6:$F$100,"")</f>
        <v>0</v>
      </c>
      <c r="AC96" s="23">
        <f>_xlfn.XLOOKUP($C96,'PP5(2)'!$B$6:$B$100,'PP5(2)'!$F$6:$F$100,"")</f>
        <v>0</v>
      </c>
      <c r="AD96" s="10">
        <f>SUM(AE96:AP96)</f>
        <v>0</v>
      </c>
      <c r="AE96" s="23">
        <f>_xlfn.XLOOKUP($C96,'MP (1)'!$B$6:$B$100,'MP (1)'!$H$6:$H$100,"")</f>
        <v>0</v>
      </c>
      <c r="AF96" s="22">
        <f>_xlfn.XLOOKUP($C96,'MP (2)'!$B$6:$B$100,'MP (2)'!$H$6:$H$100,"")</f>
        <v>0</v>
      </c>
      <c r="AG96" s="21">
        <f>_xlfn.XLOOKUP($C96,'PP1 (1)'!$B$6:$B$66,'PP1 (1)'!$H$6:$H$66,"")</f>
        <v>0</v>
      </c>
      <c r="AH96" s="22">
        <f>_xlfn.XLOOKUP($C96,'PP1 (2)'!$B$6:$B$100,'PP1 (2)'!$H$6:$H$100,"")</f>
        <v>0</v>
      </c>
      <c r="AI96" s="18">
        <f>_xlfn.XLOOKUP($C96,'PP2 (1)'!$B$6:$B$99,'PP2 (1)'!$H$6:$H$99,"")</f>
        <v>0</v>
      </c>
      <c r="AJ96" s="19">
        <f>_xlfn.XLOOKUP($C96,'PP2 (2)'!$B$6:$B$100,'PP2 (2)'!$H$6:$H$100,"")</f>
        <v>0</v>
      </c>
      <c r="AK96" s="21">
        <f>_xlfn.XLOOKUP($C96,'PP3 (1)'!$B$5:$B$113,'PP3 (1)'!$H$5:$H$113,"")</f>
        <v>0</v>
      </c>
      <c r="AL96" s="22">
        <f>_xlfn.XLOOKUP($C96,'PP3 (2)'!$B$5:$B$112,'PP3 (2)'!$H$5:$H$112,"")</f>
        <v>0</v>
      </c>
      <c r="AM96" s="18">
        <f>_xlfn.XLOOKUP($C96,'PP4 (1)'!$B$6:$B$100,'PP4 (1)'!$H$6:$H$100,"")</f>
        <v>0</v>
      </c>
      <c r="AN96" s="19">
        <f>_xlfn.XLOOKUP($C96,'PP4 (2)'!$B$6:$B$100,'PP4 (2)'!$H$6:$H$100,"")</f>
        <v>0</v>
      </c>
      <c r="AO96" s="21">
        <f>_xlfn.XLOOKUP($C96,'PP5 (1)'!$B$6:$B$100,'PP5 (1)'!$H$6:$H$100,"")</f>
        <v>0</v>
      </c>
      <c r="AP96" s="29">
        <f>_xlfn.XLOOKUP($C96,'PP5(2)'!$B$6:$B$100,'PP5(2)'!$H$6:$H$100,"")</f>
        <v>0</v>
      </c>
    </row>
    <row r="97" spans="1:42" ht="13.1" customHeight="1" x14ac:dyDescent="0.25">
      <c r="A97" s="1">
        <f>ROW()-4</f>
        <v>93</v>
      </c>
      <c r="B97" s="1"/>
      <c r="C97" s="3"/>
      <c r="D97" s="26">
        <f>SUM(E97:P97)</f>
        <v>0</v>
      </c>
      <c r="E97" s="23">
        <f>_xlfn.XLOOKUP($C97,'MP (1)'!$B$6:$B$100,'MP (1)'!$E$6:$E$100,"")</f>
        <v>0</v>
      </c>
      <c r="F97" s="22">
        <f>_xlfn.XLOOKUP($C97,'MP (2)'!$B$6:$B$100,'MP (2)'!$E$6:$E$100,"")</f>
        <v>0</v>
      </c>
      <c r="G97" s="21">
        <f>_xlfn.XLOOKUP($C97,'PP1 (1)'!$B$6:$B$66,'PP1 (1)'!$E$6:$E$66,"")</f>
        <v>0</v>
      </c>
      <c r="H97" s="22">
        <f>_xlfn.XLOOKUP($C97,'PP1 (2)'!$B$6:$B$100,'PP1 (2)'!$E$6:$E$100,"")</f>
        <v>0</v>
      </c>
      <c r="I97" s="18">
        <f>_xlfn.XLOOKUP($C97,'PP2 (1)'!$B$6:$B$99,'PP2 (1)'!$E$6:$E$99,"")</f>
        <v>0</v>
      </c>
      <c r="J97" s="20">
        <f>_xlfn.XLOOKUP($C97,'PP2 (2)'!$B$6:$B$100,'PP2 (2)'!$E$6:$E$100,"")</f>
        <v>0</v>
      </c>
      <c r="K97" s="21">
        <f>_xlfn.XLOOKUP($C97,'PP3 (1)'!$B$5:$B$113,'PP3 (1)'!$E$5:$E$113,"")</f>
        <v>0</v>
      </c>
      <c r="L97" s="22">
        <f>_xlfn.XLOOKUP($C97,'PP3 (2)'!$B$5:$B$112,'PP3 (2)'!$E$5:$E$112,"")</f>
        <v>0</v>
      </c>
      <c r="M97" s="18">
        <f>_xlfn.XLOOKUP($C97,'PP4 (1)'!$B$6:$B$100,'PP4 (1)'!$E$6:$E$100,"")</f>
        <v>0</v>
      </c>
      <c r="N97" s="20">
        <f>_xlfn.XLOOKUP($C97,'PP4 (2)'!$B$6:$B$100,'PP4 (2)'!$E$6:$E$100,"")</f>
        <v>0</v>
      </c>
      <c r="O97" s="21">
        <f>_xlfn.XLOOKUP($C97,'PP5 (1)'!$B$6:$B$100,'PP5 (1)'!$E$6:$E$100,"")</f>
        <v>0</v>
      </c>
      <c r="P97" s="23">
        <f>_xlfn.XLOOKUP($C97,'PP5(2)'!$B$6:$B$100,'PP5(2)'!$E$6:$E$100,"")</f>
        <v>0</v>
      </c>
      <c r="Q97" s="10">
        <f>SUM(R97:AC97)</f>
        <v>0</v>
      </c>
      <c r="R97" s="23">
        <f>_xlfn.XLOOKUP($C97,'MP (1)'!$B$6:$B$100,'MP (1)'!$F$6:$F$100,"")</f>
        <v>0</v>
      </c>
      <c r="S97" s="22">
        <f>_xlfn.XLOOKUP($C97,'MP (2)'!$B$6:$B$100,'MP (2)'!$F$6:$F$100,"")</f>
        <v>0</v>
      </c>
      <c r="T97" s="21">
        <f>_xlfn.XLOOKUP($C97,'PP1 (1)'!$B$6:$B$66,'PP1 (1)'!$F$6:$F$66,"")</f>
        <v>0</v>
      </c>
      <c r="U97" s="22">
        <f>_xlfn.XLOOKUP($C97,'PP1 (2)'!$B$6:$B$100,'PP1 (2)'!$F$6:$F$100,"")</f>
        <v>0</v>
      </c>
      <c r="V97" s="18">
        <f>_xlfn.XLOOKUP($C97,'PP2 (1)'!$B$6:$B$99,'PP2 (1)'!$F$6:$F$99,"")</f>
        <v>0</v>
      </c>
      <c r="W97" s="20">
        <f>_xlfn.XLOOKUP($C97,'PP2 (2)'!$B$6:$B$100,'PP2 (2)'!$F$6:$F$100,"")</f>
        <v>0</v>
      </c>
      <c r="X97" s="21">
        <f>_xlfn.XLOOKUP($C97,'PP3 (1)'!$B$5:$B$113,'PP3 (1)'!$F$5:$F$113,"")</f>
        <v>0</v>
      </c>
      <c r="Y97" s="22">
        <f>_xlfn.XLOOKUP($C97,'PP3 (2)'!$B$5:$B$112,'PP3 (2)'!$F$5:$F$112,"")</f>
        <v>0</v>
      </c>
      <c r="Z97" s="18">
        <f>_xlfn.XLOOKUP($C97,'PP4 (1)'!$B$6:$B$100,'PP4 (1)'!$F$6:$F$100,"")</f>
        <v>0</v>
      </c>
      <c r="AA97" s="20">
        <f>_xlfn.XLOOKUP($C97,'PP4 (2)'!$B$6:$B$100,'PP4 (2)'!$F$6:$F$100,"")</f>
        <v>0</v>
      </c>
      <c r="AB97" s="21">
        <f>_xlfn.XLOOKUP($C97,'PP5 (1)'!$B$6:$B$100,'PP5 (1)'!$F$6:$F$100,"")</f>
        <v>0</v>
      </c>
      <c r="AC97" s="23">
        <f>_xlfn.XLOOKUP($C97,'PP5(2)'!$B$6:$B$100,'PP5(2)'!$F$6:$F$100,"")</f>
        <v>0</v>
      </c>
      <c r="AD97" s="10">
        <f>SUM(AE97:AP97)</f>
        <v>0</v>
      </c>
      <c r="AE97" s="23">
        <f>_xlfn.XLOOKUP($C97,'MP (1)'!$B$6:$B$100,'MP (1)'!$H$6:$H$100,"")</f>
        <v>0</v>
      </c>
      <c r="AF97" s="22">
        <f>_xlfn.XLOOKUP($C97,'MP (2)'!$B$6:$B$100,'MP (2)'!$H$6:$H$100,"")</f>
        <v>0</v>
      </c>
      <c r="AG97" s="21">
        <f>_xlfn.XLOOKUP($C97,'PP1 (1)'!$B$6:$B$66,'PP1 (1)'!$H$6:$H$66,"")</f>
        <v>0</v>
      </c>
      <c r="AH97" s="22">
        <f>_xlfn.XLOOKUP($C97,'PP1 (2)'!$B$6:$B$100,'PP1 (2)'!$H$6:$H$100,"")</f>
        <v>0</v>
      </c>
      <c r="AI97" s="18">
        <f>_xlfn.XLOOKUP($C97,'PP2 (1)'!$B$6:$B$99,'PP2 (1)'!$H$6:$H$99,"")</f>
        <v>0</v>
      </c>
      <c r="AJ97" s="19">
        <f>_xlfn.XLOOKUP($C97,'PP2 (2)'!$B$6:$B$100,'PP2 (2)'!$H$6:$H$100,"")</f>
        <v>0</v>
      </c>
      <c r="AK97" s="21">
        <f>_xlfn.XLOOKUP($C97,'PP3 (1)'!$B$5:$B$113,'PP3 (1)'!$H$5:$H$113,"")</f>
        <v>0</v>
      </c>
      <c r="AL97" s="22">
        <f>_xlfn.XLOOKUP($C97,'PP3 (2)'!$B$5:$B$112,'PP3 (2)'!$H$5:$H$112,"")</f>
        <v>0</v>
      </c>
      <c r="AM97" s="18">
        <f>_xlfn.XLOOKUP($C97,'PP4 (1)'!$B$6:$B$100,'PP4 (1)'!$H$6:$H$100,"")</f>
        <v>0</v>
      </c>
      <c r="AN97" s="19">
        <f>_xlfn.XLOOKUP($C97,'PP4 (2)'!$B$6:$B$100,'PP4 (2)'!$H$6:$H$100,"")</f>
        <v>0</v>
      </c>
      <c r="AO97" s="21">
        <f>_xlfn.XLOOKUP($C97,'PP5 (1)'!$B$6:$B$100,'PP5 (1)'!$H$6:$H$100,"")</f>
        <v>0</v>
      </c>
      <c r="AP97" s="29">
        <f>_xlfn.XLOOKUP($C97,'PP5(2)'!$B$6:$B$100,'PP5(2)'!$H$6:$H$100,"")</f>
        <v>0</v>
      </c>
    </row>
    <row r="98" spans="1:42" ht="13.1" customHeight="1" x14ac:dyDescent="0.25">
      <c r="A98" s="1">
        <f>ROW()-4</f>
        <v>94</v>
      </c>
      <c r="B98" s="1"/>
      <c r="C98" s="3"/>
      <c r="D98" s="26">
        <f>SUM(E98:P98)</f>
        <v>0</v>
      </c>
      <c r="E98" s="23">
        <f>_xlfn.XLOOKUP($C98,'MP (1)'!$B$6:$B$100,'MP (1)'!$E$6:$E$100,"")</f>
        <v>0</v>
      </c>
      <c r="F98" s="22">
        <f>_xlfn.XLOOKUP($C98,'MP (2)'!$B$6:$B$100,'MP (2)'!$E$6:$E$100,"")</f>
        <v>0</v>
      </c>
      <c r="G98" s="21">
        <f>_xlfn.XLOOKUP($C98,'PP1 (1)'!$B$6:$B$66,'PP1 (1)'!$E$6:$E$66,"")</f>
        <v>0</v>
      </c>
      <c r="H98" s="22">
        <f>_xlfn.XLOOKUP($C98,'PP1 (2)'!$B$6:$B$100,'PP1 (2)'!$E$6:$E$100,"")</f>
        <v>0</v>
      </c>
      <c r="I98" s="18">
        <f>_xlfn.XLOOKUP($C98,'PP2 (1)'!$B$6:$B$99,'PP2 (1)'!$E$6:$E$99,"")</f>
        <v>0</v>
      </c>
      <c r="J98" s="20">
        <f>_xlfn.XLOOKUP($C98,'PP2 (2)'!$B$6:$B$100,'PP2 (2)'!$E$6:$E$100,"")</f>
        <v>0</v>
      </c>
      <c r="K98" s="21">
        <f>_xlfn.XLOOKUP($C98,'PP3 (1)'!$B$5:$B$113,'PP3 (1)'!$E$5:$E$113,"")</f>
        <v>0</v>
      </c>
      <c r="L98" s="22">
        <f>_xlfn.XLOOKUP($C98,'PP3 (2)'!$B$5:$B$112,'PP3 (2)'!$E$5:$E$112,"")</f>
        <v>0</v>
      </c>
      <c r="M98" s="18">
        <f>_xlfn.XLOOKUP($C98,'PP4 (1)'!$B$6:$B$100,'PP4 (1)'!$E$6:$E$100,"")</f>
        <v>0</v>
      </c>
      <c r="N98" s="20">
        <f>_xlfn.XLOOKUP($C98,'PP4 (2)'!$B$6:$B$100,'PP4 (2)'!$E$6:$E$100,"")</f>
        <v>0</v>
      </c>
      <c r="O98" s="21">
        <f>_xlfn.XLOOKUP($C98,'PP5 (1)'!$B$6:$B$100,'PP5 (1)'!$E$6:$E$100,"")</f>
        <v>0</v>
      </c>
      <c r="P98" s="23">
        <f>_xlfn.XLOOKUP($C98,'PP5(2)'!$B$6:$B$100,'PP5(2)'!$E$6:$E$100,"")</f>
        <v>0</v>
      </c>
      <c r="Q98" s="10">
        <f>SUM(R98:AC98)</f>
        <v>0</v>
      </c>
      <c r="R98" s="23">
        <f>_xlfn.XLOOKUP($C98,'MP (1)'!$B$6:$B$100,'MP (1)'!$F$6:$F$100,"")</f>
        <v>0</v>
      </c>
      <c r="S98" s="22">
        <f>_xlfn.XLOOKUP($C98,'MP (2)'!$B$6:$B$100,'MP (2)'!$F$6:$F$100,"")</f>
        <v>0</v>
      </c>
      <c r="T98" s="21">
        <f>_xlfn.XLOOKUP($C98,'PP1 (1)'!$B$6:$B$66,'PP1 (1)'!$F$6:$F$66,"")</f>
        <v>0</v>
      </c>
      <c r="U98" s="22">
        <f>_xlfn.XLOOKUP($C98,'PP1 (2)'!$B$6:$B$100,'PP1 (2)'!$F$6:$F$100,"")</f>
        <v>0</v>
      </c>
      <c r="V98" s="18">
        <f>_xlfn.XLOOKUP($C98,'PP2 (1)'!$B$6:$B$99,'PP2 (1)'!$F$6:$F$99,"")</f>
        <v>0</v>
      </c>
      <c r="W98" s="20">
        <f>_xlfn.XLOOKUP($C98,'PP2 (2)'!$B$6:$B$100,'PP2 (2)'!$F$6:$F$100,"")</f>
        <v>0</v>
      </c>
      <c r="X98" s="21">
        <f>_xlfn.XLOOKUP($C98,'PP3 (1)'!$B$5:$B$113,'PP3 (1)'!$F$5:$F$113,"")</f>
        <v>0</v>
      </c>
      <c r="Y98" s="22">
        <f>_xlfn.XLOOKUP($C98,'PP3 (2)'!$B$5:$B$112,'PP3 (2)'!$F$5:$F$112,"")</f>
        <v>0</v>
      </c>
      <c r="Z98" s="18">
        <f>_xlfn.XLOOKUP($C98,'PP4 (1)'!$B$6:$B$100,'PP4 (1)'!$F$6:$F$100,"")</f>
        <v>0</v>
      </c>
      <c r="AA98" s="20">
        <f>_xlfn.XLOOKUP($C98,'PP4 (2)'!$B$6:$B$100,'PP4 (2)'!$F$6:$F$100,"")</f>
        <v>0</v>
      </c>
      <c r="AB98" s="21">
        <f>_xlfn.XLOOKUP($C98,'PP5 (1)'!$B$6:$B$100,'PP5 (1)'!$F$6:$F$100,"")</f>
        <v>0</v>
      </c>
      <c r="AC98" s="23">
        <f>_xlfn.XLOOKUP($C98,'PP5(2)'!$B$6:$B$100,'PP5(2)'!$F$6:$F$100,"")</f>
        <v>0</v>
      </c>
      <c r="AD98" s="10">
        <f>SUM(AE98:AP98)</f>
        <v>0</v>
      </c>
      <c r="AE98" s="23">
        <f>_xlfn.XLOOKUP($C98,'MP (1)'!$B$6:$B$100,'MP (1)'!$H$6:$H$100,"")</f>
        <v>0</v>
      </c>
      <c r="AF98" s="22">
        <f>_xlfn.XLOOKUP($C98,'MP (2)'!$B$6:$B$100,'MP (2)'!$H$6:$H$100,"")</f>
        <v>0</v>
      </c>
      <c r="AG98" s="21">
        <f>_xlfn.XLOOKUP($C98,'PP1 (1)'!$B$6:$B$66,'PP1 (1)'!$H$6:$H$66,"")</f>
        <v>0</v>
      </c>
      <c r="AH98" s="22">
        <f>_xlfn.XLOOKUP($C98,'PP1 (2)'!$B$6:$B$100,'PP1 (2)'!$H$6:$H$100,"")</f>
        <v>0</v>
      </c>
      <c r="AI98" s="18">
        <f>_xlfn.XLOOKUP($C98,'PP2 (1)'!$B$6:$B$99,'PP2 (1)'!$H$6:$H$99,"")</f>
        <v>0</v>
      </c>
      <c r="AJ98" s="19">
        <f>_xlfn.XLOOKUP($C98,'PP2 (2)'!$B$6:$B$100,'PP2 (2)'!$H$6:$H$100,"")</f>
        <v>0</v>
      </c>
      <c r="AK98" s="21">
        <f>_xlfn.XLOOKUP($C98,'PP3 (1)'!$B$5:$B$113,'PP3 (1)'!$H$5:$H$113,"")</f>
        <v>0</v>
      </c>
      <c r="AL98" s="22">
        <f>_xlfn.XLOOKUP($C98,'PP3 (2)'!$B$5:$B$112,'PP3 (2)'!$H$5:$H$112,"")</f>
        <v>0</v>
      </c>
      <c r="AM98" s="18">
        <f>_xlfn.XLOOKUP($C98,'PP4 (1)'!$B$6:$B$100,'PP4 (1)'!$H$6:$H$100,"")</f>
        <v>0</v>
      </c>
      <c r="AN98" s="19">
        <f>_xlfn.XLOOKUP($C98,'PP4 (2)'!$B$6:$B$100,'PP4 (2)'!$H$6:$H$100,"")</f>
        <v>0</v>
      </c>
      <c r="AO98" s="21">
        <f>_xlfn.XLOOKUP($C98,'PP5 (1)'!$B$6:$B$100,'PP5 (1)'!$H$6:$H$100,"")</f>
        <v>0</v>
      </c>
      <c r="AP98" s="29">
        <f>_xlfn.XLOOKUP($C98,'PP5(2)'!$B$6:$B$100,'PP5(2)'!$H$6:$H$100,"")</f>
        <v>0</v>
      </c>
    </row>
    <row r="99" spans="1:42" ht="13.1" customHeight="1" x14ac:dyDescent="0.25">
      <c r="A99" s="1">
        <f>ROW()-4</f>
        <v>95</v>
      </c>
      <c r="B99" s="1"/>
      <c r="C99" s="3"/>
      <c r="D99" s="26">
        <f>SUM(E99:P99)</f>
        <v>0</v>
      </c>
      <c r="E99" s="23">
        <f>_xlfn.XLOOKUP($C99,'MP (1)'!$B$6:$B$100,'MP (1)'!$E$6:$E$100,"")</f>
        <v>0</v>
      </c>
      <c r="F99" s="22">
        <f>_xlfn.XLOOKUP($C99,'MP (2)'!$B$6:$B$100,'MP (2)'!$E$6:$E$100,"")</f>
        <v>0</v>
      </c>
      <c r="G99" s="21">
        <f>_xlfn.XLOOKUP($C99,'PP1 (1)'!$B$6:$B$66,'PP1 (1)'!$E$6:$E$66,"")</f>
        <v>0</v>
      </c>
      <c r="H99" s="22">
        <f>_xlfn.XLOOKUP($C99,'PP1 (2)'!$B$6:$B$100,'PP1 (2)'!$E$6:$E$100,"")</f>
        <v>0</v>
      </c>
      <c r="I99" s="18">
        <f>_xlfn.XLOOKUP($C99,'PP2 (1)'!$B$6:$B$99,'PP2 (1)'!$E$6:$E$99,"")</f>
        <v>0</v>
      </c>
      <c r="J99" s="20">
        <f>_xlfn.XLOOKUP($C99,'PP2 (2)'!$B$6:$B$100,'PP2 (2)'!$E$6:$E$100,"")</f>
        <v>0</v>
      </c>
      <c r="K99" s="21">
        <f>_xlfn.XLOOKUP($C99,'PP3 (1)'!$B$5:$B$113,'PP3 (1)'!$E$5:$E$113,"")</f>
        <v>0</v>
      </c>
      <c r="L99" s="22">
        <f>_xlfn.XLOOKUP($C99,'PP3 (2)'!$B$5:$B$112,'PP3 (2)'!$E$5:$E$112,"")</f>
        <v>0</v>
      </c>
      <c r="M99" s="18">
        <f>_xlfn.XLOOKUP($C99,'PP4 (1)'!$B$6:$B$100,'PP4 (1)'!$E$6:$E$100,"")</f>
        <v>0</v>
      </c>
      <c r="N99" s="20">
        <f>_xlfn.XLOOKUP($C99,'PP4 (2)'!$B$6:$B$100,'PP4 (2)'!$E$6:$E$100,"")</f>
        <v>0</v>
      </c>
      <c r="O99" s="21">
        <f>_xlfn.XLOOKUP($C99,'PP5 (1)'!$B$6:$B$100,'PP5 (1)'!$E$6:$E$100,"")</f>
        <v>0</v>
      </c>
      <c r="P99" s="23">
        <f>_xlfn.XLOOKUP($C99,'PP5(2)'!$B$6:$B$100,'PP5(2)'!$E$6:$E$100,"")</f>
        <v>0</v>
      </c>
      <c r="Q99" s="10">
        <f>SUM(R99:AC99)</f>
        <v>0</v>
      </c>
      <c r="R99" s="23">
        <f>_xlfn.XLOOKUP($C99,'MP (1)'!$B$6:$B$100,'MP (1)'!$F$6:$F$100,"")</f>
        <v>0</v>
      </c>
      <c r="S99" s="22">
        <f>_xlfn.XLOOKUP($C99,'MP (2)'!$B$6:$B$100,'MP (2)'!$F$6:$F$100,"")</f>
        <v>0</v>
      </c>
      <c r="T99" s="21">
        <f>_xlfn.XLOOKUP($C99,'PP1 (1)'!$B$6:$B$66,'PP1 (1)'!$F$6:$F$66,"")</f>
        <v>0</v>
      </c>
      <c r="U99" s="22">
        <f>_xlfn.XLOOKUP($C99,'PP1 (2)'!$B$6:$B$100,'PP1 (2)'!$F$6:$F$100,"")</f>
        <v>0</v>
      </c>
      <c r="V99" s="18">
        <f>_xlfn.XLOOKUP($C99,'PP2 (1)'!$B$6:$B$99,'PP2 (1)'!$F$6:$F$99,"")</f>
        <v>0</v>
      </c>
      <c r="W99" s="20">
        <f>_xlfn.XLOOKUP($C99,'PP2 (2)'!$B$6:$B$100,'PP2 (2)'!$F$6:$F$100,"")</f>
        <v>0</v>
      </c>
      <c r="X99" s="21">
        <f>_xlfn.XLOOKUP($C99,'PP3 (1)'!$B$5:$B$113,'PP3 (1)'!$F$5:$F$113,"")</f>
        <v>0</v>
      </c>
      <c r="Y99" s="22">
        <f>_xlfn.XLOOKUP($C99,'PP3 (2)'!$B$5:$B$112,'PP3 (2)'!$F$5:$F$112,"")</f>
        <v>0</v>
      </c>
      <c r="Z99" s="18">
        <f>_xlfn.XLOOKUP($C99,'PP4 (1)'!$B$6:$B$100,'PP4 (1)'!$F$6:$F$100,"")</f>
        <v>0</v>
      </c>
      <c r="AA99" s="20">
        <f>_xlfn.XLOOKUP($C99,'PP4 (2)'!$B$6:$B$100,'PP4 (2)'!$F$6:$F$100,"")</f>
        <v>0</v>
      </c>
      <c r="AB99" s="21">
        <f>_xlfn.XLOOKUP($C99,'PP5 (1)'!$B$6:$B$100,'PP5 (1)'!$F$6:$F$100,"")</f>
        <v>0</v>
      </c>
      <c r="AC99" s="23">
        <f>_xlfn.XLOOKUP($C99,'PP5(2)'!$B$6:$B$100,'PP5(2)'!$F$6:$F$100,"")</f>
        <v>0</v>
      </c>
      <c r="AD99" s="10">
        <f>SUM(AE99:AP99)</f>
        <v>0</v>
      </c>
      <c r="AE99" s="23">
        <f>_xlfn.XLOOKUP($C99,'MP (1)'!$B$6:$B$100,'MP (1)'!$H$6:$H$100,"")</f>
        <v>0</v>
      </c>
      <c r="AF99" s="22">
        <f>_xlfn.XLOOKUP($C99,'MP (2)'!$B$6:$B$100,'MP (2)'!$H$6:$H$100,"")</f>
        <v>0</v>
      </c>
      <c r="AG99" s="21">
        <f>_xlfn.XLOOKUP($C99,'PP1 (1)'!$B$6:$B$66,'PP1 (1)'!$H$6:$H$66,"")</f>
        <v>0</v>
      </c>
      <c r="AH99" s="22">
        <f>_xlfn.XLOOKUP($C99,'PP1 (2)'!$B$6:$B$100,'PP1 (2)'!$H$6:$H$100,"")</f>
        <v>0</v>
      </c>
      <c r="AI99" s="18">
        <f>_xlfn.XLOOKUP($C99,'PP2 (1)'!$B$6:$B$99,'PP2 (1)'!$H$6:$H$99,"")</f>
        <v>0</v>
      </c>
      <c r="AJ99" s="19">
        <f>_xlfn.XLOOKUP($C99,'PP2 (2)'!$B$6:$B$100,'PP2 (2)'!$H$6:$H$100,"")</f>
        <v>0</v>
      </c>
      <c r="AK99" s="21">
        <f>_xlfn.XLOOKUP($C99,'PP3 (1)'!$B$5:$B$113,'PP3 (1)'!$H$5:$H$113,"")</f>
        <v>0</v>
      </c>
      <c r="AL99" s="22">
        <f>_xlfn.XLOOKUP($C99,'PP3 (2)'!$B$5:$B$112,'PP3 (2)'!$H$5:$H$112,"")</f>
        <v>0</v>
      </c>
      <c r="AM99" s="18">
        <f>_xlfn.XLOOKUP($C99,'PP4 (1)'!$B$6:$B$100,'PP4 (1)'!$H$6:$H$100,"")</f>
        <v>0</v>
      </c>
      <c r="AN99" s="19">
        <f>_xlfn.XLOOKUP($C99,'PP4 (2)'!$B$6:$B$100,'PP4 (2)'!$H$6:$H$100,"")</f>
        <v>0</v>
      </c>
      <c r="AO99" s="21">
        <f>_xlfn.XLOOKUP($C99,'PP5 (1)'!$B$6:$B$100,'PP5 (1)'!$H$6:$H$100,"")</f>
        <v>0</v>
      </c>
      <c r="AP99" s="29">
        <f>_xlfn.XLOOKUP($C99,'PP5(2)'!$B$6:$B$100,'PP5(2)'!$H$6:$H$100,"")</f>
        <v>0</v>
      </c>
    </row>
    <row r="100" spans="1:42" ht="13.1" customHeight="1" x14ac:dyDescent="0.25">
      <c r="A100" s="1">
        <f>ROW()-4</f>
        <v>96</v>
      </c>
      <c r="B100" s="1"/>
      <c r="C100" s="3"/>
      <c r="D100" s="26">
        <f>SUM(E100:P100)</f>
        <v>0</v>
      </c>
      <c r="E100" s="23">
        <f>_xlfn.XLOOKUP($C100,'MP (1)'!$B$6:$B$100,'MP (1)'!$E$6:$E$100,"")</f>
        <v>0</v>
      </c>
      <c r="F100" s="22">
        <f>_xlfn.XLOOKUP($C100,'MP (2)'!$B$6:$B$100,'MP (2)'!$E$6:$E$100,"")</f>
        <v>0</v>
      </c>
      <c r="G100" s="21">
        <f>_xlfn.XLOOKUP($C100,'PP1 (1)'!$B$6:$B$66,'PP1 (1)'!$E$6:$E$66,"")</f>
        <v>0</v>
      </c>
      <c r="H100" s="22">
        <f>_xlfn.XLOOKUP($C100,'PP1 (2)'!$B$6:$B$100,'PP1 (2)'!$E$6:$E$100,"")</f>
        <v>0</v>
      </c>
      <c r="I100" s="18">
        <f>_xlfn.XLOOKUP($C100,'PP2 (1)'!$B$6:$B$99,'PP2 (1)'!$E$6:$E$99,"")</f>
        <v>0</v>
      </c>
      <c r="J100" s="20">
        <f>_xlfn.XLOOKUP($C100,'PP2 (2)'!$B$6:$B$100,'PP2 (2)'!$E$6:$E$100,"")</f>
        <v>0</v>
      </c>
      <c r="K100" s="21">
        <f>_xlfn.XLOOKUP($C100,'PP3 (1)'!$B$5:$B$113,'PP3 (1)'!$E$5:$E$113,"")</f>
        <v>0</v>
      </c>
      <c r="L100" s="22">
        <f>_xlfn.XLOOKUP($C100,'PP3 (2)'!$B$5:$B$112,'PP3 (2)'!$E$5:$E$112,"")</f>
        <v>0</v>
      </c>
      <c r="M100" s="18">
        <f>_xlfn.XLOOKUP($C100,'PP4 (1)'!$B$6:$B$100,'PP4 (1)'!$E$6:$E$100,"")</f>
        <v>0</v>
      </c>
      <c r="N100" s="20">
        <f>_xlfn.XLOOKUP($C100,'PP4 (2)'!$B$6:$B$100,'PP4 (2)'!$E$6:$E$100,"")</f>
        <v>0</v>
      </c>
      <c r="O100" s="21">
        <f>_xlfn.XLOOKUP($C100,'PP5 (1)'!$B$6:$B$100,'PP5 (1)'!$E$6:$E$100,"")</f>
        <v>0</v>
      </c>
      <c r="P100" s="23">
        <f>_xlfn.XLOOKUP($C100,'PP5(2)'!$B$6:$B$100,'PP5(2)'!$E$6:$E$100,"")</f>
        <v>0</v>
      </c>
      <c r="Q100" s="10">
        <f>SUM(R100:AC100)</f>
        <v>0</v>
      </c>
      <c r="R100" s="23">
        <f>_xlfn.XLOOKUP($C100,'MP (1)'!$B$6:$B$100,'MP (1)'!$F$6:$F$100,"")</f>
        <v>0</v>
      </c>
      <c r="S100" s="22">
        <f>_xlfn.XLOOKUP($C100,'MP (2)'!$B$6:$B$100,'MP (2)'!$F$6:$F$100,"")</f>
        <v>0</v>
      </c>
      <c r="T100" s="21">
        <f>_xlfn.XLOOKUP($C100,'PP1 (1)'!$B$6:$B$66,'PP1 (1)'!$F$6:$F$66,"")</f>
        <v>0</v>
      </c>
      <c r="U100" s="22">
        <f>_xlfn.XLOOKUP($C100,'PP1 (2)'!$B$6:$B$100,'PP1 (2)'!$F$6:$F$100,"")</f>
        <v>0</v>
      </c>
      <c r="V100" s="18">
        <f>_xlfn.XLOOKUP($C100,'PP2 (1)'!$B$6:$B$99,'PP2 (1)'!$F$6:$F$99,"")</f>
        <v>0</v>
      </c>
      <c r="W100" s="20">
        <f>_xlfn.XLOOKUP($C100,'PP2 (2)'!$B$6:$B$100,'PP2 (2)'!$F$6:$F$100,"")</f>
        <v>0</v>
      </c>
      <c r="X100" s="21">
        <f>_xlfn.XLOOKUP($C100,'PP3 (1)'!$B$5:$B$113,'PP3 (1)'!$F$5:$F$113,"")</f>
        <v>0</v>
      </c>
      <c r="Y100" s="22">
        <f>_xlfn.XLOOKUP($C100,'PP3 (2)'!$B$5:$B$112,'PP3 (2)'!$F$5:$F$112,"")</f>
        <v>0</v>
      </c>
      <c r="Z100" s="18">
        <f>_xlfn.XLOOKUP($C100,'PP4 (1)'!$B$6:$B$100,'PP4 (1)'!$F$6:$F$100,"")</f>
        <v>0</v>
      </c>
      <c r="AA100" s="20">
        <f>_xlfn.XLOOKUP($C100,'PP4 (2)'!$B$6:$B$100,'PP4 (2)'!$F$6:$F$100,"")</f>
        <v>0</v>
      </c>
      <c r="AB100" s="21">
        <f>_xlfn.XLOOKUP($C100,'PP5 (1)'!$B$6:$B$100,'PP5 (1)'!$F$6:$F$100,"")</f>
        <v>0</v>
      </c>
      <c r="AC100" s="23">
        <f>_xlfn.XLOOKUP($C100,'PP5(2)'!$B$6:$B$100,'PP5(2)'!$F$6:$F$100,"")</f>
        <v>0</v>
      </c>
      <c r="AD100" s="10">
        <f>SUM(AE100:AP100)</f>
        <v>0</v>
      </c>
      <c r="AE100" s="23">
        <f>_xlfn.XLOOKUP($C100,'MP (1)'!$B$6:$B$100,'MP (1)'!$H$6:$H$100,"")</f>
        <v>0</v>
      </c>
      <c r="AF100" s="22">
        <f>_xlfn.XLOOKUP($C100,'MP (2)'!$B$6:$B$100,'MP (2)'!$H$6:$H$100,"")</f>
        <v>0</v>
      </c>
      <c r="AG100" s="21">
        <f>_xlfn.XLOOKUP($C100,'PP1 (1)'!$B$6:$B$66,'PP1 (1)'!$H$6:$H$66,"")</f>
        <v>0</v>
      </c>
      <c r="AH100" s="22">
        <f>_xlfn.XLOOKUP($C100,'PP1 (2)'!$B$6:$B$100,'PP1 (2)'!$H$6:$H$100,"")</f>
        <v>0</v>
      </c>
      <c r="AI100" s="18">
        <f>_xlfn.XLOOKUP($C100,'PP2 (1)'!$B$6:$B$99,'PP2 (1)'!$H$6:$H$99,"")</f>
        <v>0</v>
      </c>
      <c r="AJ100" s="19">
        <f>_xlfn.XLOOKUP($C100,'PP2 (2)'!$B$6:$B$100,'PP2 (2)'!$H$6:$H$100,"")</f>
        <v>0</v>
      </c>
      <c r="AK100" s="21">
        <f>_xlfn.XLOOKUP($C100,'PP3 (1)'!$B$5:$B$113,'PP3 (1)'!$H$5:$H$113,"")</f>
        <v>0</v>
      </c>
      <c r="AL100" s="22">
        <f>_xlfn.XLOOKUP($C100,'PP3 (2)'!$B$5:$B$112,'PP3 (2)'!$H$5:$H$112,"")</f>
        <v>0</v>
      </c>
      <c r="AM100" s="18">
        <f>_xlfn.XLOOKUP($C100,'PP4 (1)'!$B$6:$B$100,'PP4 (1)'!$H$6:$H$100,"")</f>
        <v>0</v>
      </c>
      <c r="AN100" s="19">
        <f>_xlfn.XLOOKUP($C100,'PP4 (2)'!$B$6:$B$100,'PP4 (2)'!$H$6:$H$100,"")</f>
        <v>0</v>
      </c>
      <c r="AO100" s="21">
        <f>_xlfn.XLOOKUP($C100,'PP5 (1)'!$B$6:$B$100,'PP5 (1)'!$H$6:$H$100,"")</f>
        <v>0</v>
      </c>
      <c r="AP100" s="29">
        <f>_xlfn.XLOOKUP($C100,'PP5(2)'!$B$6:$B$100,'PP5(2)'!$H$6:$H$100,"")</f>
        <v>0</v>
      </c>
    </row>
    <row r="101" spans="1:42" ht="13.1" customHeight="1" x14ac:dyDescent="0.25">
      <c r="A101" s="1">
        <f>ROW()-4</f>
        <v>97</v>
      </c>
      <c r="B101" s="1"/>
      <c r="C101" s="3"/>
      <c r="D101" s="26">
        <f>SUM(E101:P101)</f>
        <v>0</v>
      </c>
      <c r="E101" s="23">
        <f>_xlfn.XLOOKUP($C101,'MP (1)'!$B$6:$B$100,'MP (1)'!$E$6:$E$100,"")</f>
        <v>0</v>
      </c>
      <c r="F101" s="22">
        <f>_xlfn.XLOOKUP($C101,'MP (2)'!$B$6:$B$100,'MP (2)'!$E$6:$E$100,"")</f>
        <v>0</v>
      </c>
      <c r="G101" s="21">
        <f>_xlfn.XLOOKUP($C101,'PP1 (1)'!$B$6:$B$66,'PP1 (1)'!$E$6:$E$66,"")</f>
        <v>0</v>
      </c>
      <c r="H101" s="22">
        <f>_xlfn.XLOOKUP($C101,'PP1 (2)'!$B$6:$B$100,'PP1 (2)'!$E$6:$E$100,"")</f>
        <v>0</v>
      </c>
      <c r="I101" s="18">
        <f>_xlfn.XLOOKUP($C101,'PP2 (1)'!$B$6:$B$99,'PP2 (1)'!$E$6:$E$99,"")</f>
        <v>0</v>
      </c>
      <c r="J101" s="20">
        <f>_xlfn.XLOOKUP($C101,'PP2 (2)'!$B$6:$B$100,'PP2 (2)'!$E$6:$E$100,"")</f>
        <v>0</v>
      </c>
      <c r="K101" s="21">
        <f>_xlfn.XLOOKUP($C101,'PP3 (1)'!$B$5:$B$113,'PP3 (1)'!$E$5:$E$113,"")</f>
        <v>0</v>
      </c>
      <c r="L101" s="22">
        <f>_xlfn.XLOOKUP($C101,'PP3 (2)'!$B$5:$B$112,'PP3 (2)'!$E$5:$E$112,"")</f>
        <v>0</v>
      </c>
      <c r="M101" s="18">
        <f>_xlfn.XLOOKUP($C101,'PP4 (1)'!$B$6:$B$100,'PP4 (1)'!$E$6:$E$100,"")</f>
        <v>0</v>
      </c>
      <c r="N101" s="20">
        <f>_xlfn.XLOOKUP($C101,'PP4 (2)'!$B$6:$B$100,'PP4 (2)'!$E$6:$E$100,"")</f>
        <v>0</v>
      </c>
      <c r="O101" s="21">
        <f>_xlfn.XLOOKUP($C101,'PP5 (1)'!$B$6:$B$100,'PP5 (1)'!$E$6:$E$100,"")</f>
        <v>0</v>
      </c>
      <c r="P101" s="23">
        <f>_xlfn.XLOOKUP($C101,'PP5(2)'!$B$6:$B$100,'PP5(2)'!$E$6:$E$100,"")</f>
        <v>0</v>
      </c>
      <c r="Q101" s="10">
        <f>SUM(R101:AC101)</f>
        <v>0</v>
      </c>
      <c r="R101" s="23">
        <f>_xlfn.XLOOKUP($C101,'MP (1)'!$B$6:$B$100,'MP (1)'!$F$6:$F$100,"")</f>
        <v>0</v>
      </c>
      <c r="S101" s="22">
        <f>_xlfn.XLOOKUP($C101,'MP (2)'!$B$6:$B$100,'MP (2)'!$F$6:$F$100,"")</f>
        <v>0</v>
      </c>
      <c r="T101" s="21">
        <f>_xlfn.XLOOKUP($C101,'PP1 (1)'!$B$6:$B$66,'PP1 (1)'!$F$6:$F$66,"")</f>
        <v>0</v>
      </c>
      <c r="U101" s="22">
        <f>_xlfn.XLOOKUP($C101,'PP1 (2)'!$B$6:$B$100,'PP1 (2)'!$F$6:$F$100,"")</f>
        <v>0</v>
      </c>
      <c r="V101" s="18">
        <f>_xlfn.XLOOKUP($C101,'PP2 (1)'!$B$6:$B$99,'PP2 (1)'!$F$6:$F$99,"")</f>
        <v>0</v>
      </c>
      <c r="W101" s="20">
        <f>_xlfn.XLOOKUP($C101,'PP2 (2)'!$B$6:$B$100,'PP2 (2)'!$F$6:$F$100,"")</f>
        <v>0</v>
      </c>
      <c r="X101" s="21">
        <f>_xlfn.XLOOKUP($C101,'PP3 (1)'!$B$5:$B$113,'PP3 (1)'!$F$5:$F$113,"")</f>
        <v>0</v>
      </c>
      <c r="Y101" s="22">
        <f>_xlfn.XLOOKUP($C101,'PP3 (2)'!$B$5:$B$112,'PP3 (2)'!$F$5:$F$112,"")</f>
        <v>0</v>
      </c>
      <c r="Z101" s="18">
        <f>_xlfn.XLOOKUP($C101,'PP4 (1)'!$B$6:$B$100,'PP4 (1)'!$F$6:$F$100,"")</f>
        <v>0</v>
      </c>
      <c r="AA101" s="20">
        <f>_xlfn.XLOOKUP($C101,'PP4 (2)'!$B$6:$B$100,'PP4 (2)'!$F$6:$F$100,"")</f>
        <v>0</v>
      </c>
      <c r="AB101" s="21">
        <f>_xlfn.XLOOKUP($C101,'PP5 (1)'!$B$6:$B$100,'PP5 (1)'!$F$6:$F$100,"")</f>
        <v>0</v>
      </c>
      <c r="AC101" s="23">
        <f>_xlfn.XLOOKUP($C101,'PP5(2)'!$B$6:$B$100,'PP5(2)'!$F$6:$F$100,"")</f>
        <v>0</v>
      </c>
      <c r="AD101" s="10">
        <f>SUM(AE101:AP101)</f>
        <v>0</v>
      </c>
      <c r="AE101" s="23">
        <f>_xlfn.XLOOKUP($C101,'MP (1)'!$B$6:$B$100,'MP (1)'!$H$6:$H$100,"")</f>
        <v>0</v>
      </c>
      <c r="AF101" s="22">
        <f>_xlfn.XLOOKUP($C101,'MP (2)'!$B$6:$B$100,'MP (2)'!$H$6:$H$100,"")</f>
        <v>0</v>
      </c>
      <c r="AG101" s="21">
        <f>_xlfn.XLOOKUP($C101,'PP1 (1)'!$B$6:$B$66,'PP1 (1)'!$H$6:$H$66,"")</f>
        <v>0</v>
      </c>
      <c r="AH101" s="22">
        <f>_xlfn.XLOOKUP($C101,'PP1 (2)'!$B$6:$B$100,'PP1 (2)'!$H$6:$H$100,"")</f>
        <v>0</v>
      </c>
      <c r="AI101" s="18">
        <f>_xlfn.XLOOKUP($C101,'PP2 (1)'!$B$6:$B$99,'PP2 (1)'!$H$6:$H$99,"")</f>
        <v>0</v>
      </c>
      <c r="AJ101" s="19">
        <f>_xlfn.XLOOKUP($C101,'PP2 (2)'!$B$6:$B$100,'PP2 (2)'!$H$6:$H$100,"")</f>
        <v>0</v>
      </c>
      <c r="AK101" s="21">
        <f>_xlfn.XLOOKUP($C101,'PP3 (1)'!$B$5:$B$113,'PP3 (1)'!$H$5:$H$113,"")</f>
        <v>0</v>
      </c>
      <c r="AL101" s="22">
        <f>_xlfn.XLOOKUP($C101,'PP3 (2)'!$B$5:$B$112,'PP3 (2)'!$H$5:$H$112,"")</f>
        <v>0</v>
      </c>
      <c r="AM101" s="18">
        <f>_xlfn.XLOOKUP($C101,'PP4 (1)'!$B$6:$B$100,'PP4 (1)'!$H$6:$H$100,"")</f>
        <v>0</v>
      </c>
      <c r="AN101" s="19">
        <f>_xlfn.XLOOKUP($C101,'PP4 (2)'!$B$6:$B$100,'PP4 (2)'!$H$6:$H$100,"")</f>
        <v>0</v>
      </c>
      <c r="AO101" s="21">
        <f>_xlfn.XLOOKUP($C101,'PP5 (1)'!$B$6:$B$100,'PP5 (1)'!$H$6:$H$100,"")</f>
        <v>0</v>
      </c>
      <c r="AP101" s="29">
        <f>_xlfn.XLOOKUP($C101,'PP5(2)'!$B$6:$B$100,'PP5(2)'!$H$6:$H$100,"")</f>
        <v>0</v>
      </c>
    </row>
    <row r="102" spans="1:42" ht="13.1" customHeight="1" x14ac:dyDescent="0.25">
      <c r="A102" s="1">
        <f>ROW()-4</f>
        <v>98</v>
      </c>
      <c r="B102" s="1"/>
      <c r="C102" s="3"/>
      <c r="D102" s="26">
        <f>SUM(E102:P102)</f>
        <v>0</v>
      </c>
      <c r="E102" s="23">
        <f>_xlfn.XLOOKUP($C102,'MP (1)'!$B$6:$B$100,'MP (1)'!$E$6:$E$100,"")</f>
        <v>0</v>
      </c>
      <c r="F102" s="22">
        <f>_xlfn.XLOOKUP($C102,'MP (2)'!$B$6:$B$100,'MP (2)'!$E$6:$E$100,"")</f>
        <v>0</v>
      </c>
      <c r="G102" s="21">
        <f>_xlfn.XLOOKUP($C102,'PP1 (1)'!$B$6:$B$66,'PP1 (1)'!$E$6:$E$66,"")</f>
        <v>0</v>
      </c>
      <c r="H102" s="22">
        <f>_xlfn.XLOOKUP($C102,'PP1 (2)'!$B$6:$B$100,'PP1 (2)'!$E$6:$E$100,"")</f>
        <v>0</v>
      </c>
      <c r="I102" s="18">
        <f>_xlfn.XLOOKUP($C102,'PP2 (1)'!$B$6:$B$99,'PP2 (1)'!$E$6:$E$99,"")</f>
        <v>0</v>
      </c>
      <c r="J102" s="20">
        <f>_xlfn.XLOOKUP($C102,'PP2 (2)'!$B$6:$B$100,'PP2 (2)'!$E$6:$E$100,"")</f>
        <v>0</v>
      </c>
      <c r="K102" s="21">
        <f>_xlfn.XLOOKUP($C102,'PP3 (1)'!$B$5:$B$113,'PP3 (1)'!$E$5:$E$113,"")</f>
        <v>0</v>
      </c>
      <c r="L102" s="22">
        <f>_xlfn.XLOOKUP($C102,'PP3 (2)'!$B$5:$B$112,'PP3 (2)'!$E$5:$E$112,"")</f>
        <v>0</v>
      </c>
      <c r="M102" s="18">
        <f>_xlfn.XLOOKUP($C102,'PP4 (1)'!$B$6:$B$100,'PP4 (1)'!$E$6:$E$100,"")</f>
        <v>0</v>
      </c>
      <c r="N102" s="20">
        <f>_xlfn.XLOOKUP($C102,'PP4 (2)'!$B$6:$B$100,'PP4 (2)'!$E$6:$E$100,"")</f>
        <v>0</v>
      </c>
      <c r="O102" s="21">
        <f>_xlfn.XLOOKUP($C102,'PP5 (1)'!$B$6:$B$100,'PP5 (1)'!$E$6:$E$100,"")</f>
        <v>0</v>
      </c>
      <c r="P102" s="23">
        <f>_xlfn.XLOOKUP($C102,'PP5(2)'!$B$6:$B$100,'PP5(2)'!$E$6:$E$100,"")</f>
        <v>0</v>
      </c>
      <c r="Q102" s="10">
        <f>SUM(R102:AC102)</f>
        <v>0</v>
      </c>
      <c r="R102" s="23">
        <f>_xlfn.XLOOKUP($C102,'MP (1)'!$B$6:$B$100,'MP (1)'!$F$6:$F$100,"")</f>
        <v>0</v>
      </c>
      <c r="S102" s="22">
        <f>_xlfn.XLOOKUP($C102,'MP (2)'!$B$6:$B$100,'MP (2)'!$F$6:$F$100,"")</f>
        <v>0</v>
      </c>
      <c r="T102" s="21">
        <f>_xlfn.XLOOKUP($C102,'PP1 (1)'!$B$6:$B$66,'PP1 (1)'!$F$6:$F$66,"")</f>
        <v>0</v>
      </c>
      <c r="U102" s="22">
        <f>_xlfn.XLOOKUP($C102,'PP1 (2)'!$B$6:$B$100,'PP1 (2)'!$F$6:$F$100,"")</f>
        <v>0</v>
      </c>
      <c r="V102" s="18">
        <f>_xlfn.XLOOKUP($C102,'PP2 (1)'!$B$6:$B$99,'PP2 (1)'!$F$6:$F$99,"")</f>
        <v>0</v>
      </c>
      <c r="W102" s="20">
        <f>_xlfn.XLOOKUP($C102,'PP2 (2)'!$B$6:$B$100,'PP2 (2)'!$F$6:$F$100,"")</f>
        <v>0</v>
      </c>
      <c r="X102" s="21">
        <f>_xlfn.XLOOKUP($C102,'PP3 (1)'!$B$5:$B$113,'PP3 (1)'!$F$5:$F$113,"")</f>
        <v>0</v>
      </c>
      <c r="Y102" s="22">
        <f>_xlfn.XLOOKUP($C102,'PP3 (2)'!$B$5:$B$112,'PP3 (2)'!$F$5:$F$112,"")</f>
        <v>0</v>
      </c>
      <c r="Z102" s="18">
        <f>_xlfn.XLOOKUP($C102,'PP4 (1)'!$B$6:$B$100,'PP4 (1)'!$F$6:$F$100,"")</f>
        <v>0</v>
      </c>
      <c r="AA102" s="20">
        <f>_xlfn.XLOOKUP($C102,'PP4 (2)'!$B$6:$B$100,'PP4 (2)'!$F$6:$F$100,"")</f>
        <v>0</v>
      </c>
      <c r="AB102" s="21">
        <f>_xlfn.XLOOKUP($C102,'PP5 (1)'!$B$6:$B$100,'PP5 (1)'!$F$6:$F$100,"")</f>
        <v>0</v>
      </c>
      <c r="AC102" s="23">
        <f>_xlfn.XLOOKUP($C102,'PP5(2)'!$B$6:$B$100,'PP5(2)'!$F$6:$F$100,"")</f>
        <v>0</v>
      </c>
      <c r="AD102" s="10">
        <f>SUM(AE102:AP102)</f>
        <v>0</v>
      </c>
      <c r="AE102" s="23">
        <f>_xlfn.XLOOKUP($C102,'MP (1)'!$B$6:$B$100,'MP (1)'!$H$6:$H$100,"")</f>
        <v>0</v>
      </c>
      <c r="AF102" s="22">
        <f>_xlfn.XLOOKUP($C102,'MP (2)'!$B$6:$B$100,'MP (2)'!$H$6:$H$100,"")</f>
        <v>0</v>
      </c>
      <c r="AG102" s="21">
        <f>_xlfn.XLOOKUP($C102,'PP1 (1)'!$B$6:$B$66,'PP1 (1)'!$H$6:$H$66,"")</f>
        <v>0</v>
      </c>
      <c r="AH102" s="22">
        <f>_xlfn.XLOOKUP($C102,'PP1 (2)'!$B$6:$B$100,'PP1 (2)'!$H$6:$H$100,"")</f>
        <v>0</v>
      </c>
      <c r="AI102" s="18">
        <f>_xlfn.XLOOKUP($C102,'PP2 (1)'!$B$6:$B$99,'PP2 (1)'!$H$6:$H$99,"")</f>
        <v>0</v>
      </c>
      <c r="AJ102" s="19">
        <f>_xlfn.XLOOKUP($C102,'PP2 (2)'!$B$6:$B$100,'PP2 (2)'!$H$6:$H$100,"")</f>
        <v>0</v>
      </c>
      <c r="AK102" s="21">
        <f>_xlfn.XLOOKUP($C102,'PP3 (1)'!$B$5:$B$113,'PP3 (1)'!$H$5:$H$113,"")</f>
        <v>0</v>
      </c>
      <c r="AL102" s="22">
        <f>_xlfn.XLOOKUP($C102,'PP3 (2)'!$B$5:$B$112,'PP3 (2)'!$H$5:$H$112,"")</f>
        <v>0</v>
      </c>
      <c r="AM102" s="18">
        <f>_xlfn.XLOOKUP($C102,'PP4 (1)'!$B$6:$B$100,'PP4 (1)'!$H$6:$H$100,"")</f>
        <v>0</v>
      </c>
      <c r="AN102" s="19">
        <f>_xlfn.XLOOKUP($C102,'PP4 (2)'!$B$6:$B$100,'PP4 (2)'!$H$6:$H$100,"")</f>
        <v>0</v>
      </c>
      <c r="AO102" s="21">
        <f>_xlfn.XLOOKUP($C102,'PP5 (1)'!$B$6:$B$100,'PP5 (1)'!$H$6:$H$100,"")</f>
        <v>0</v>
      </c>
      <c r="AP102" s="29">
        <f>_xlfn.XLOOKUP($C102,'PP5(2)'!$B$6:$B$100,'PP5(2)'!$H$6:$H$100,"")</f>
        <v>0</v>
      </c>
    </row>
    <row r="103" spans="1:42" ht="13.1" customHeight="1" x14ac:dyDescent="0.25">
      <c r="A103" s="1">
        <f>ROW()-4</f>
        <v>99</v>
      </c>
      <c r="B103" s="1"/>
      <c r="C103" s="3"/>
      <c r="D103" s="26">
        <f>SUM(E103:P103)</f>
        <v>0</v>
      </c>
      <c r="E103" s="23">
        <f>_xlfn.XLOOKUP($C103,'MP (1)'!$B$6:$B$100,'MP (1)'!$E$6:$E$100,"")</f>
        <v>0</v>
      </c>
      <c r="F103" s="22">
        <f>_xlfn.XLOOKUP($C103,'MP (2)'!$B$6:$B$100,'MP (2)'!$E$6:$E$100,"")</f>
        <v>0</v>
      </c>
      <c r="G103" s="21">
        <f>_xlfn.XLOOKUP($C103,'PP1 (1)'!$B$6:$B$66,'PP1 (1)'!$E$6:$E$66,"")</f>
        <v>0</v>
      </c>
      <c r="H103" s="22">
        <f>_xlfn.XLOOKUP($C103,'PP1 (2)'!$B$6:$B$100,'PP1 (2)'!$E$6:$E$100,"")</f>
        <v>0</v>
      </c>
      <c r="I103" s="18">
        <f>_xlfn.XLOOKUP($C103,'PP2 (1)'!$B$6:$B$99,'PP2 (1)'!$E$6:$E$99,"")</f>
        <v>0</v>
      </c>
      <c r="J103" s="20">
        <f>_xlfn.XLOOKUP($C103,'PP2 (2)'!$B$6:$B$100,'PP2 (2)'!$E$6:$E$100,"")</f>
        <v>0</v>
      </c>
      <c r="K103" s="21">
        <f>_xlfn.XLOOKUP($C103,'PP3 (1)'!$B$5:$B$113,'PP3 (1)'!$E$5:$E$113,"")</f>
        <v>0</v>
      </c>
      <c r="L103" s="22">
        <f>_xlfn.XLOOKUP($C103,'PP3 (2)'!$B$5:$B$112,'PP3 (2)'!$E$5:$E$112,"")</f>
        <v>0</v>
      </c>
      <c r="M103" s="18">
        <f>_xlfn.XLOOKUP($C103,'PP4 (1)'!$B$6:$B$100,'PP4 (1)'!$E$6:$E$100,"")</f>
        <v>0</v>
      </c>
      <c r="N103" s="20">
        <f>_xlfn.XLOOKUP($C103,'PP4 (2)'!$B$6:$B$100,'PP4 (2)'!$E$6:$E$100,"")</f>
        <v>0</v>
      </c>
      <c r="O103" s="21">
        <f>_xlfn.XLOOKUP($C103,'PP5 (1)'!$B$6:$B$100,'PP5 (1)'!$E$6:$E$100,"")</f>
        <v>0</v>
      </c>
      <c r="P103" s="23">
        <f>_xlfn.XLOOKUP($C103,'PP5(2)'!$B$6:$B$100,'PP5(2)'!$E$6:$E$100,"")</f>
        <v>0</v>
      </c>
      <c r="Q103" s="10">
        <f>SUM(R103:AC103)</f>
        <v>0</v>
      </c>
      <c r="R103" s="23">
        <f>_xlfn.XLOOKUP($C103,'MP (1)'!$B$6:$B$100,'MP (1)'!$F$6:$F$100,"")</f>
        <v>0</v>
      </c>
      <c r="S103" s="22">
        <f>_xlfn.XLOOKUP($C103,'MP (2)'!$B$6:$B$100,'MP (2)'!$F$6:$F$100,"")</f>
        <v>0</v>
      </c>
      <c r="T103" s="21">
        <f>_xlfn.XLOOKUP($C103,'PP1 (1)'!$B$6:$B$66,'PP1 (1)'!$F$6:$F$66,"")</f>
        <v>0</v>
      </c>
      <c r="U103" s="22">
        <f>_xlfn.XLOOKUP($C103,'PP1 (2)'!$B$6:$B$100,'PP1 (2)'!$F$6:$F$100,"")</f>
        <v>0</v>
      </c>
      <c r="V103" s="18">
        <f>_xlfn.XLOOKUP($C103,'PP2 (1)'!$B$6:$B$99,'PP2 (1)'!$F$6:$F$99,"")</f>
        <v>0</v>
      </c>
      <c r="W103" s="20">
        <f>_xlfn.XLOOKUP($C103,'PP2 (2)'!$B$6:$B$100,'PP2 (2)'!$F$6:$F$100,"")</f>
        <v>0</v>
      </c>
      <c r="X103" s="21">
        <f>_xlfn.XLOOKUP($C103,'PP3 (1)'!$B$5:$B$113,'PP3 (1)'!$F$5:$F$113,"")</f>
        <v>0</v>
      </c>
      <c r="Y103" s="22">
        <f>_xlfn.XLOOKUP($C103,'PP3 (2)'!$B$5:$B$112,'PP3 (2)'!$F$5:$F$112,"")</f>
        <v>0</v>
      </c>
      <c r="Z103" s="18">
        <f>_xlfn.XLOOKUP($C103,'PP4 (1)'!$B$6:$B$100,'PP4 (1)'!$F$6:$F$100,"")</f>
        <v>0</v>
      </c>
      <c r="AA103" s="20">
        <f>_xlfn.XLOOKUP($C103,'PP4 (2)'!$B$6:$B$100,'PP4 (2)'!$F$6:$F$100,"")</f>
        <v>0</v>
      </c>
      <c r="AB103" s="21">
        <f>_xlfn.XLOOKUP($C103,'PP5 (1)'!$B$6:$B$100,'PP5 (1)'!$F$6:$F$100,"")</f>
        <v>0</v>
      </c>
      <c r="AC103" s="23">
        <f>_xlfn.XLOOKUP($C103,'PP5(2)'!$B$6:$B$100,'PP5(2)'!$F$6:$F$100,"")</f>
        <v>0</v>
      </c>
      <c r="AD103" s="10">
        <f>SUM(AE103:AP103)</f>
        <v>0</v>
      </c>
      <c r="AE103" s="23">
        <f>_xlfn.XLOOKUP($C103,'MP (1)'!$B$6:$B$100,'MP (1)'!$H$6:$H$100,"")</f>
        <v>0</v>
      </c>
      <c r="AF103" s="22">
        <f>_xlfn.XLOOKUP($C103,'MP (2)'!$B$6:$B$100,'MP (2)'!$H$6:$H$100,"")</f>
        <v>0</v>
      </c>
      <c r="AG103" s="21">
        <f>_xlfn.XLOOKUP($C103,'PP1 (1)'!$B$6:$B$66,'PP1 (1)'!$H$6:$H$66,"")</f>
        <v>0</v>
      </c>
      <c r="AH103" s="22">
        <f>_xlfn.XLOOKUP($C103,'PP1 (2)'!$B$6:$B$100,'PP1 (2)'!$H$6:$H$100,"")</f>
        <v>0</v>
      </c>
      <c r="AI103" s="18">
        <f>_xlfn.XLOOKUP($C103,'PP2 (1)'!$B$6:$B$99,'PP2 (1)'!$H$6:$H$99,"")</f>
        <v>0</v>
      </c>
      <c r="AJ103" s="19">
        <f>_xlfn.XLOOKUP($C103,'PP2 (2)'!$B$6:$B$100,'PP2 (2)'!$H$6:$H$100,"")</f>
        <v>0</v>
      </c>
      <c r="AK103" s="21">
        <f>_xlfn.XLOOKUP($C103,'PP3 (1)'!$B$5:$B$113,'PP3 (1)'!$H$5:$H$113,"")</f>
        <v>0</v>
      </c>
      <c r="AL103" s="22">
        <f>_xlfn.XLOOKUP($C103,'PP3 (2)'!$B$5:$B$112,'PP3 (2)'!$H$5:$H$112,"")</f>
        <v>0</v>
      </c>
      <c r="AM103" s="18">
        <f>_xlfn.XLOOKUP($C103,'PP4 (1)'!$B$6:$B$100,'PP4 (1)'!$H$6:$H$100,"")</f>
        <v>0</v>
      </c>
      <c r="AN103" s="19">
        <f>_xlfn.XLOOKUP($C103,'PP4 (2)'!$B$6:$B$100,'PP4 (2)'!$H$6:$H$100,"")</f>
        <v>0</v>
      </c>
      <c r="AO103" s="21">
        <f>_xlfn.XLOOKUP($C103,'PP5 (1)'!$B$6:$B$100,'PP5 (1)'!$H$6:$H$100,"")</f>
        <v>0</v>
      </c>
      <c r="AP103" s="29">
        <f>_xlfn.XLOOKUP($C103,'PP5(2)'!$B$6:$B$100,'PP5(2)'!$H$6:$H$100,"")</f>
        <v>0</v>
      </c>
    </row>
    <row r="104" spans="1:42" ht="13.1" customHeight="1" x14ac:dyDescent="0.25">
      <c r="A104" s="1">
        <f>ROW()-4</f>
        <v>100</v>
      </c>
      <c r="B104" s="1"/>
      <c r="C104" s="3"/>
      <c r="D104" s="26">
        <f>SUM(E104:P104)</f>
        <v>0</v>
      </c>
      <c r="E104" s="23">
        <f>_xlfn.XLOOKUP($C104,'MP (1)'!$B$6:$B$100,'MP (1)'!$E$6:$E$100,"")</f>
        <v>0</v>
      </c>
      <c r="F104" s="22">
        <f>_xlfn.XLOOKUP($C104,'MP (2)'!$B$6:$B$100,'MP (2)'!$E$6:$E$100,"")</f>
        <v>0</v>
      </c>
      <c r="G104" s="21">
        <f>_xlfn.XLOOKUP($C104,'PP1 (1)'!$B$6:$B$66,'PP1 (1)'!$E$6:$E$66,"")</f>
        <v>0</v>
      </c>
      <c r="H104" s="22">
        <f>_xlfn.XLOOKUP($C104,'PP1 (2)'!$B$6:$B$100,'PP1 (2)'!$E$6:$E$100,"")</f>
        <v>0</v>
      </c>
      <c r="I104" s="18">
        <f>_xlfn.XLOOKUP($C104,'PP2 (1)'!$B$6:$B$99,'PP2 (1)'!$E$6:$E$99,"")</f>
        <v>0</v>
      </c>
      <c r="J104" s="20">
        <f>_xlfn.XLOOKUP($C104,'PP2 (2)'!$B$6:$B$100,'PP2 (2)'!$E$6:$E$100,"")</f>
        <v>0</v>
      </c>
      <c r="K104" s="21">
        <f>_xlfn.XLOOKUP($C104,'PP3 (1)'!$B$5:$B$113,'PP3 (1)'!$E$5:$E$113,"")</f>
        <v>0</v>
      </c>
      <c r="L104" s="22">
        <f>_xlfn.XLOOKUP($C104,'PP3 (2)'!$B$5:$B$112,'PP3 (2)'!$E$5:$E$112,"")</f>
        <v>0</v>
      </c>
      <c r="M104" s="18">
        <f>_xlfn.XLOOKUP($C104,'PP4 (1)'!$B$6:$B$100,'PP4 (1)'!$E$6:$E$100,"")</f>
        <v>0</v>
      </c>
      <c r="N104" s="20">
        <f>_xlfn.XLOOKUP($C104,'PP4 (2)'!$B$6:$B$100,'PP4 (2)'!$E$6:$E$100,"")</f>
        <v>0</v>
      </c>
      <c r="O104" s="21">
        <f>_xlfn.XLOOKUP($C104,'PP5 (1)'!$B$6:$B$100,'PP5 (1)'!$E$6:$E$100,"")</f>
        <v>0</v>
      </c>
      <c r="P104" s="23">
        <f>_xlfn.XLOOKUP($C104,'PP5(2)'!$B$6:$B$100,'PP5(2)'!$E$6:$E$100,"")</f>
        <v>0</v>
      </c>
      <c r="Q104" s="10">
        <f>SUM(R104:AC104)</f>
        <v>0</v>
      </c>
      <c r="R104" s="23">
        <f>_xlfn.XLOOKUP($C104,'MP (1)'!$B$6:$B$100,'MP (1)'!$F$6:$F$100,"")</f>
        <v>0</v>
      </c>
      <c r="S104" s="22">
        <f>_xlfn.XLOOKUP($C104,'MP (2)'!$B$6:$B$100,'MP (2)'!$F$6:$F$100,"")</f>
        <v>0</v>
      </c>
      <c r="T104" s="21">
        <f>_xlfn.XLOOKUP($C104,'PP1 (1)'!$B$6:$B$66,'PP1 (1)'!$F$6:$F$66,"")</f>
        <v>0</v>
      </c>
      <c r="U104" s="22">
        <f>_xlfn.XLOOKUP($C104,'PP1 (2)'!$B$6:$B$100,'PP1 (2)'!$F$6:$F$100,"")</f>
        <v>0</v>
      </c>
      <c r="V104" s="18">
        <f>_xlfn.XLOOKUP($C104,'PP2 (1)'!$B$6:$B$99,'PP2 (1)'!$F$6:$F$99,"")</f>
        <v>0</v>
      </c>
      <c r="W104" s="20">
        <f>_xlfn.XLOOKUP($C104,'PP2 (2)'!$B$6:$B$100,'PP2 (2)'!$F$6:$F$100,"")</f>
        <v>0</v>
      </c>
      <c r="X104" s="21">
        <f>_xlfn.XLOOKUP($C104,'PP3 (1)'!$B$5:$B$113,'PP3 (1)'!$F$5:$F$113,"")</f>
        <v>0</v>
      </c>
      <c r="Y104" s="22">
        <f>_xlfn.XLOOKUP($C104,'PP3 (2)'!$B$5:$B$112,'PP3 (2)'!$F$5:$F$112,"")</f>
        <v>0</v>
      </c>
      <c r="Z104" s="18">
        <f>_xlfn.XLOOKUP($C104,'PP4 (1)'!$B$6:$B$100,'PP4 (1)'!$F$6:$F$100,"")</f>
        <v>0</v>
      </c>
      <c r="AA104" s="20">
        <f>_xlfn.XLOOKUP($C104,'PP4 (2)'!$B$6:$B$100,'PP4 (2)'!$F$6:$F$100,"")</f>
        <v>0</v>
      </c>
      <c r="AB104" s="21">
        <f>_xlfn.XLOOKUP($C104,'PP5 (1)'!$B$6:$B$100,'PP5 (1)'!$F$6:$F$100,"")</f>
        <v>0</v>
      </c>
      <c r="AC104" s="23">
        <f>_xlfn.XLOOKUP($C104,'PP5(2)'!$B$6:$B$100,'PP5(2)'!$F$6:$F$100,"")</f>
        <v>0</v>
      </c>
      <c r="AD104" s="10">
        <f>SUM(AE104:AP104)</f>
        <v>0</v>
      </c>
      <c r="AE104" s="23">
        <f>_xlfn.XLOOKUP($C104,'MP (1)'!$B$6:$B$100,'MP (1)'!$H$6:$H$100,"")</f>
        <v>0</v>
      </c>
      <c r="AF104" s="22">
        <f>_xlfn.XLOOKUP($C104,'MP (2)'!$B$6:$B$100,'MP (2)'!$H$6:$H$100,"")</f>
        <v>0</v>
      </c>
      <c r="AG104" s="21">
        <f>_xlfn.XLOOKUP($C104,'PP1 (1)'!$B$6:$B$66,'PP1 (1)'!$H$6:$H$66,"")</f>
        <v>0</v>
      </c>
      <c r="AH104" s="22">
        <f>_xlfn.XLOOKUP($C104,'PP1 (2)'!$B$6:$B$100,'PP1 (2)'!$H$6:$H$100,"")</f>
        <v>0</v>
      </c>
      <c r="AI104" s="18">
        <f>_xlfn.XLOOKUP($C104,'PP2 (1)'!$B$6:$B$99,'PP2 (1)'!$H$6:$H$99,"")</f>
        <v>0</v>
      </c>
      <c r="AJ104" s="19">
        <f>_xlfn.XLOOKUP($C104,'PP2 (2)'!$B$6:$B$100,'PP2 (2)'!$H$6:$H$100,"")</f>
        <v>0</v>
      </c>
      <c r="AK104" s="21">
        <f>_xlfn.XLOOKUP($C104,'PP3 (1)'!$B$5:$B$113,'PP3 (1)'!$H$5:$H$113,"")</f>
        <v>0</v>
      </c>
      <c r="AL104" s="22">
        <f>_xlfn.XLOOKUP($C104,'PP3 (2)'!$B$5:$B$112,'PP3 (2)'!$H$5:$H$112,"")</f>
        <v>0</v>
      </c>
      <c r="AM104" s="18">
        <f>_xlfn.XLOOKUP($C104,'PP4 (1)'!$B$6:$B$100,'PP4 (1)'!$H$6:$H$100,"")</f>
        <v>0</v>
      </c>
      <c r="AN104" s="19">
        <f>_xlfn.XLOOKUP($C104,'PP4 (2)'!$B$6:$B$100,'PP4 (2)'!$H$6:$H$100,"")</f>
        <v>0</v>
      </c>
      <c r="AO104" s="21">
        <f>_xlfn.XLOOKUP($C104,'PP5 (1)'!$B$6:$B$100,'PP5 (1)'!$H$6:$H$100,"")</f>
        <v>0</v>
      </c>
      <c r="AP104" s="29">
        <f>_xlfn.XLOOKUP($C104,'PP5(2)'!$B$6:$B$100,'PP5(2)'!$H$6:$H$100,"")</f>
        <v>0</v>
      </c>
    </row>
    <row r="105" spans="1:42" ht="13.1" customHeight="1" x14ac:dyDescent="0.25">
      <c r="A105" s="1">
        <f>ROW()-4</f>
        <v>101</v>
      </c>
      <c r="B105" s="1"/>
      <c r="C105" s="3"/>
      <c r="D105" s="26">
        <f>SUM(E105:P105)</f>
        <v>0</v>
      </c>
      <c r="E105" s="23">
        <f>_xlfn.XLOOKUP($C105,'MP (1)'!$B$6:$B$100,'MP (1)'!$E$6:$E$100,"")</f>
        <v>0</v>
      </c>
      <c r="F105" s="22">
        <f>_xlfn.XLOOKUP($C105,'MP (2)'!$B$6:$B$100,'MP (2)'!$E$6:$E$100,"")</f>
        <v>0</v>
      </c>
      <c r="G105" s="21">
        <f>_xlfn.XLOOKUP($C105,'PP1 (1)'!$B$6:$B$66,'PP1 (1)'!$E$6:$E$66,"")</f>
        <v>0</v>
      </c>
      <c r="H105" s="22">
        <f>_xlfn.XLOOKUP($C105,'PP1 (2)'!$B$6:$B$100,'PP1 (2)'!$E$6:$E$100,"")</f>
        <v>0</v>
      </c>
      <c r="I105" s="18">
        <f>_xlfn.XLOOKUP($C105,'PP2 (1)'!$B$6:$B$99,'PP2 (1)'!$E$6:$E$99,"")</f>
        <v>0</v>
      </c>
      <c r="J105" s="20">
        <f>_xlfn.XLOOKUP($C105,'PP2 (2)'!$B$6:$B$100,'PP2 (2)'!$E$6:$E$100,"")</f>
        <v>0</v>
      </c>
      <c r="K105" s="21">
        <f>_xlfn.XLOOKUP($C105,'PP3 (1)'!$B$5:$B$113,'PP3 (1)'!$E$5:$E$113,"")</f>
        <v>0</v>
      </c>
      <c r="L105" s="22">
        <f>_xlfn.XLOOKUP($C105,'PP3 (2)'!$B$5:$B$112,'PP3 (2)'!$E$5:$E$112,"")</f>
        <v>0</v>
      </c>
      <c r="M105" s="18">
        <f>_xlfn.XLOOKUP($C105,'PP4 (1)'!$B$6:$B$100,'PP4 (1)'!$E$6:$E$100,"")</f>
        <v>0</v>
      </c>
      <c r="N105" s="20">
        <f>_xlfn.XLOOKUP($C105,'PP4 (2)'!$B$6:$B$100,'PP4 (2)'!$E$6:$E$100,"")</f>
        <v>0</v>
      </c>
      <c r="O105" s="21">
        <f>_xlfn.XLOOKUP($C105,'PP5 (1)'!$B$6:$B$100,'PP5 (1)'!$E$6:$E$100,"")</f>
        <v>0</v>
      </c>
      <c r="P105" s="23">
        <f>_xlfn.XLOOKUP($C105,'PP5(2)'!$B$6:$B$100,'PP5(2)'!$E$6:$E$100,"")</f>
        <v>0</v>
      </c>
      <c r="Q105" s="10">
        <f>SUM(R105:AC105)</f>
        <v>0</v>
      </c>
      <c r="R105" s="23">
        <f>_xlfn.XLOOKUP($C105,'MP (1)'!$B$6:$B$100,'MP (1)'!$F$6:$F$100,"")</f>
        <v>0</v>
      </c>
      <c r="S105" s="22">
        <f>_xlfn.XLOOKUP($C105,'MP (2)'!$B$6:$B$100,'MP (2)'!$F$6:$F$100,"")</f>
        <v>0</v>
      </c>
      <c r="T105" s="21">
        <f>_xlfn.XLOOKUP($C105,'PP1 (1)'!$B$6:$B$66,'PP1 (1)'!$F$6:$F$66,"")</f>
        <v>0</v>
      </c>
      <c r="U105" s="22">
        <f>_xlfn.XLOOKUP($C105,'PP1 (2)'!$B$6:$B$100,'PP1 (2)'!$F$6:$F$100,"")</f>
        <v>0</v>
      </c>
      <c r="V105" s="18">
        <f>_xlfn.XLOOKUP($C105,'PP2 (1)'!$B$6:$B$99,'PP2 (1)'!$F$6:$F$99,"")</f>
        <v>0</v>
      </c>
      <c r="W105" s="20">
        <f>_xlfn.XLOOKUP($C105,'PP2 (2)'!$B$6:$B$100,'PP2 (2)'!$F$6:$F$100,"")</f>
        <v>0</v>
      </c>
      <c r="X105" s="21">
        <f>_xlfn.XLOOKUP($C105,'PP3 (1)'!$B$5:$B$113,'PP3 (1)'!$F$5:$F$113,"")</f>
        <v>0</v>
      </c>
      <c r="Y105" s="22">
        <f>_xlfn.XLOOKUP($C105,'PP3 (2)'!$B$5:$B$112,'PP3 (2)'!$F$5:$F$112,"")</f>
        <v>0</v>
      </c>
      <c r="Z105" s="18">
        <f>_xlfn.XLOOKUP($C105,'PP4 (1)'!$B$6:$B$100,'PP4 (1)'!$F$6:$F$100,"")</f>
        <v>0</v>
      </c>
      <c r="AA105" s="20">
        <f>_xlfn.XLOOKUP($C105,'PP4 (2)'!$B$6:$B$100,'PP4 (2)'!$F$6:$F$100,"")</f>
        <v>0</v>
      </c>
      <c r="AB105" s="21">
        <f>_xlfn.XLOOKUP($C105,'PP5 (1)'!$B$6:$B$100,'PP5 (1)'!$F$6:$F$100,"")</f>
        <v>0</v>
      </c>
      <c r="AC105" s="23">
        <f>_xlfn.XLOOKUP($C105,'PP5(2)'!$B$6:$B$100,'PP5(2)'!$F$6:$F$100,"")</f>
        <v>0</v>
      </c>
      <c r="AD105" s="10">
        <f>SUM(AE105:AP105)</f>
        <v>0</v>
      </c>
      <c r="AE105" s="23">
        <f>_xlfn.XLOOKUP($C105,'MP (1)'!$B$6:$B$100,'MP (1)'!$H$6:$H$100,"")</f>
        <v>0</v>
      </c>
      <c r="AF105" s="22">
        <f>_xlfn.XLOOKUP($C105,'MP (2)'!$B$6:$B$100,'MP (2)'!$H$6:$H$100,"")</f>
        <v>0</v>
      </c>
      <c r="AG105" s="21">
        <f>_xlfn.XLOOKUP($C105,'PP1 (1)'!$B$6:$B$66,'PP1 (1)'!$H$6:$H$66,"")</f>
        <v>0</v>
      </c>
      <c r="AH105" s="22">
        <f>_xlfn.XLOOKUP($C105,'PP1 (2)'!$B$6:$B$100,'PP1 (2)'!$H$6:$H$100,"")</f>
        <v>0</v>
      </c>
      <c r="AI105" s="18">
        <f>_xlfn.XLOOKUP($C105,'PP2 (1)'!$B$6:$B$99,'PP2 (1)'!$H$6:$H$99,"")</f>
        <v>0</v>
      </c>
      <c r="AJ105" s="19">
        <f>_xlfn.XLOOKUP($C105,'PP2 (2)'!$B$6:$B$100,'PP2 (2)'!$H$6:$H$100,"")</f>
        <v>0</v>
      </c>
      <c r="AK105" s="21">
        <f>_xlfn.XLOOKUP($C105,'PP3 (1)'!$B$5:$B$113,'PP3 (1)'!$H$5:$H$113,"")</f>
        <v>0</v>
      </c>
      <c r="AL105" s="22">
        <f>_xlfn.XLOOKUP($C105,'PP3 (2)'!$B$5:$B$112,'PP3 (2)'!$H$5:$H$112,"")</f>
        <v>0</v>
      </c>
      <c r="AM105" s="18">
        <f>_xlfn.XLOOKUP($C105,'PP4 (1)'!$B$6:$B$100,'PP4 (1)'!$H$6:$H$100,"")</f>
        <v>0</v>
      </c>
      <c r="AN105" s="19">
        <f>_xlfn.XLOOKUP($C105,'PP4 (2)'!$B$6:$B$100,'PP4 (2)'!$H$6:$H$100,"")</f>
        <v>0</v>
      </c>
      <c r="AO105" s="21">
        <f>_xlfn.XLOOKUP($C105,'PP5 (1)'!$B$6:$B$100,'PP5 (1)'!$H$6:$H$100,"")</f>
        <v>0</v>
      </c>
      <c r="AP105" s="29">
        <f>_xlfn.XLOOKUP($C105,'PP5(2)'!$B$6:$B$100,'PP5(2)'!$H$6:$H$100,"")</f>
        <v>0</v>
      </c>
    </row>
    <row r="106" spans="1:42" ht="13.1" customHeight="1" x14ac:dyDescent="0.25">
      <c r="A106" s="1">
        <f>ROW()-4</f>
        <v>102</v>
      </c>
      <c r="B106" s="1"/>
      <c r="C106" s="3"/>
      <c r="D106" s="26">
        <f>SUM(E106:P106)</f>
        <v>0</v>
      </c>
      <c r="E106" s="23">
        <f>_xlfn.XLOOKUP($C106,'MP (1)'!$B$6:$B$100,'MP (1)'!$E$6:$E$100,"")</f>
        <v>0</v>
      </c>
      <c r="F106" s="22">
        <f>_xlfn.XLOOKUP($C106,'MP (2)'!$B$6:$B$100,'MP (2)'!$E$6:$E$100,"")</f>
        <v>0</v>
      </c>
      <c r="G106" s="21">
        <f>_xlfn.XLOOKUP($C106,'PP1 (1)'!$B$6:$B$66,'PP1 (1)'!$E$6:$E$66,"")</f>
        <v>0</v>
      </c>
      <c r="H106" s="22">
        <f>_xlfn.XLOOKUP($C106,'PP1 (2)'!$B$6:$B$100,'PP1 (2)'!$E$6:$E$100,"")</f>
        <v>0</v>
      </c>
      <c r="I106" s="18">
        <f>_xlfn.XLOOKUP($C106,'PP2 (1)'!$B$6:$B$99,'PP2 (1)'!$E$6:$E$99,"")</f>
        <v>0</v>
      </c>
      <c r="J106" s="20">
        <f>_xlfn.XLOOKUP($C106,'PP2 (2)'!$B$6:$B$100,'PP2 (2)'!$E$6:$E$100,"")</f>
        <v>0</v>
      </c>
      <c r="K106" s="21">
        <f>_xlfn.XLOOKUP($C106,'PP3 (1)'!$B$5:$B$113,'PP3 (1)'!$E$5:$E$113,"")</f>
        <v>0</v>
      </c>
      <c r="L106" s="22">
        <f>_xlfn.XLOOKUP($C106,'PP3 (2)'!$B$5:$B$112,'PP3 (2)'!$E$5:$E$112,"")</f>
        <v>0</v>
      </c>
      <c r="M106" s="18">
        <f>_xlfn.XLOOKUP($C106,'PP4 (1)'!$B$6:$B$100,'PP4 (1)'!$E$6:$E$100,"")</f>
        <v>0</v>
      </c>
      <c r="N106" s="20">
        <f>_xlfn.XLOOKUP($C106,'PP4 (2)'!$B$6:$B$100,'PP4 (2)'!$E$6:$E$100,"")</f>
        <v>0</v>
      </c>
      <c r="O106" s="21">
        <f>_xlfn.XLOOKUP($C106,'PP5 (1)'!$B$6:$B$100,'PP5 (1)'!$E$6:$E$100,"")</f>
        <v>0</v>
      </c>
      <c r="P106" s="23">
        <f>_xlfn.XLOOKUP($C106,'PP5(2)'!$B$6:$B$100,'PP5(2)'!$E$6:$E$100,"")</f>
        <v>0</v>
      </c>
      <c r="Q106" s="10">
        <f>SUM(R106:AC106)</f>
        <v>0</v>
      </c>
      <c r="R106" s="23">
        <f>_xlfn.XLOOKUP($C106,'MP (1)'!$B$6:$B$100,'MP (1)'!$F$6:$F$100,"")</f>
        <v>0</v>
      </c>
      <c r="S106" s="22">
        <f>_xlfn.XLOOKUP($C106,'MP (2)'!$B$6:$B$100,'MP (2)'!$F$6:$F$100,"")</f>
        <v>0</v>
      </c>
      <c r="T106" s="21">
        <f>_xlfn.XLOOKUP($C106,'PP1 (1)'!$B$6:$B$66,'PP1 (1)'!$F$6:$F$66,"")</f>
        <v>0</v>
      </c>
      <c r="U106" s="22">
        <f>_xlfn.XLOOKUP($C106,'PP1 (2)'!$B$6:$B$100,'PP1 (2)'!$F$6:$F$100,"")</f>
        <v>0</v>
      </c>
      <c r="V106" s="18">
        <f>_xlfn.XLOOKUP($C106,'PP2 (1)'!$B$6:$B$99,'PP2 (1)'!$F$6:$F$99,"")</f>
        <v>0</v>
      </c>
      <c r="W106" s="20">
        <f>_xlfn.XLOOKUP($C106,'PP2 (2)'!$B$6:$B$100,'PP2 (2)'!$F$6:$F$100,"")</f>
        <v>0</v>
      </c>
      <c r="X106" s="21">
        <f>_xlfn.XLOOKUP($C106,'PP3 (1)'!$B$5:$B$113,'PP3 (1)'!$F$5:$F$113,"")</f>
        <v>0</v>
      </c>
      <c r="Y106" s="22">
        <f>_xlfn.XLOOKUP($C106,'PP3 (2)'!$B$5:$B$112,'PP3 (2)'!$F$5:$F$112,"")</f>
        <v>0</v>
      </c>
      <c r="Z106" s="18">
        <f>_xlfn.XLOOKUP($C106,'PP4 (1)'!$B$6:$B$100,'PP4 (1)'!$F$6:$F$100,"")</f>
        <v>0</v>
      </c>
      <c r="AA106" s="20">
        <f>_xlfn.XLOOKUP($C106,'PP4 (2)'!$B$6:$B$100,'PP4 (2)'!$F$6:$F$100,"")</f>
        <v>0</v>
      </c>
      <c r="AB106" s="21">
        <f>_xlfn.XLOOKUP($C106,'PP5 (1)'!$B$6:$B$100,'PP5 (1)'!$F$6:$F$100,"")</f>
        <v>0</v>
      </c>
      <c r="AC106" s="23">
        <f>_xlfn.XLOOKUP($C106,'PP5(2)'!$B$6:$B$100,'PP5(2)'!$F$6:$F$100,"")</f>
        <v>0</v>
      </c>
      <c r="AD106" s="10">
        <f>SUM(AE106:AP106)</f>
        <v>0</v>
      </c>
      <c r="AE106" s="23">
        <f>_xlfn.XLOOKUP($C106,'MP (1)'!$B$6:$B$100,'MP (1)'!$H$6:$H$100,"")</f>
        <v>0</v>
      </c>
      <c r="AF106" s="22">
        <f>_xlfn.XLOOKUP($C106,'MP (2)'!$B$6:$B$100,'MP (2)'!$H$6:$H$100,"")</f>
        <v>0</v>
      </c>
      <c r="AG106" s="21">
        <f>_xlfn.XLOOKUP($C106,'PP1 (1)'!$B$6:$B$66,'PP1 (1)'!$H$6:$H$66,"")</f>
        <v>0</v>
      </c>
      <c r="AH106" s="22">
        <f>_xlfn.XLOOKUP($C106,'PP1 (2)'!$B$6:$B$100,'PP1 (2)'!$H$6:$H$100,"")</f>
        <v>0</v>
      </c>
      <c r="AI106" s="18">
        <f>_xlfn.XLOOKUP($C106,'PP2 (1)'!$B$6:$B$99,'PP2 (1)'!$H$6:$H$99,"")</f>
        <v>0</v>
      </c>
      <c r="AJ106" s="19">
        <f>_xlfn.XLOOKUP($C106,'PP2 (2)'!$B$6:$B$100,'PP2 (2)'!$H$6:$H$100,"")</f>
        <v>0</v>
      </c>
      <c r="AK106" s="21">
        <f>_xlfn.XLOOKUP($C106,'PP3 (1)'!$B$5:$B$113,'PP3 (1)'!$H$5:$H$113,"")</f>
        <v>0</v>
      </c>
      <c r="AL106" s="22">
        <f>_xlfn.XLOOKUP($C106,'PP3 (2)'!$B$5:$B$112,'PP3 (2)'!$H$5:$H$112,"")</f>
        <v>0</v>
      </c>
      <c r="AM106" s="18">
        <f>_xlfn.XLOOKUP($C106,'PP4 (1)'!$B$6:$B$100,'PP4 (1)'!$H$6:$H$100,"")</f>
        <v>0</v>
      </c>
      <c r="AN106" s="19">
        <f>_xlfn.XLOOKUP($C106,'PP4 (2)'!$B$6:$B$100,'PP4 (2)'!$H$6:$H$100,"")</f>
        <v>0</v>
      </c>
      <c r="AO106" s="21">
        <f>_xlfn.XLOOKUP($C106,'PP5 (1)'!$B$6:$B$100,'PP5 (1)'!$H$6:$H$100,"")</f>
        <v>0</v>
      </c>
      <c r="AP106" s="29">
        <f>_xlfn.XLOOKUP($C106,'PP5(2)'!$B$6:$B$100,'PP5(2)'!$H$6:$H$100,"")</f>
        <v>0</v>
      </c>
    </row>
    <row r="107" spans="1:42" ht="13.1" customHeight="1" x14ac:dyDescent="0.25">
      <c r="A107" s="1">
        <f>ROW()-4</f>
        <v>103</v>
      </c>
      <c r="B107" s="1"/>
      <c r="C107" s="3"/>
      <c r="D107" s="26">
        <f>SUM(E107:P107)</f>
        <v>0</v>
      </c>
      <c r="E107" s="23">
        <f>_xlfn.XLOOKUP($C107,'MP (1)'!$B$6:$B$100,'MP (1)'!$E$6:$E$100,"")</f>
        <v>0</v>
      </c>
      <c r="F107" s="22">
        <f>_xlfn.XLOOKUP($C107,'MP (2)'!$B$6:$B$100,'MP (2)'!$E$6:$E$100,"")</f>
        <v>0</v>
      </c>
      <c r="G107" s="21">
        <f>_xlfn.XLOOKUP($C107,'PP1 (1)'!$B$6:$B$66,'PP1 (1)'!$E$6:$E$66,"")</f>
        <v>0</v>
      </c>
      <c r="H107" s="22">
        <f>_xlfn.XLOOKUP($C107,'PP1 (2)'!$B$6:$B$100,'PP1 (2)'!$E$6:$E$100,"")</f>
        <v>0</v>
      </c>
      <c r="I107" s="18">
        <f>_xlfn.XLOOKUP($C107,'PP2 (1)'!$B$6:$B$99,'PP2 (1)'!$E$6:$E$99,"")</f>
        <v>0</v>
      </c>
      <c r="J107" s="20">
        <f>_xlfn.XLOOKUP($C107,'PP2 (2)'!$B$6:$B$100,'PP2 (2)'!$E$6:$E$100,"")</f>
        <v>0</v>
      </c>
      <c r="K107" s="21">
        <f>_xlfn.XLOOKUP($C107,'PP3 (1)'!$B$5:$B$113,'PP3 (1)'!$E$5:$E$113,"")</f>
        <v>0</v>
      </c>
      <c r="L107" s="22">
        <f>_xlfn.XLOOKUP($C107,'PP3 (2)'!$B$5:$B$112,'PP3 (2)'!$E$5:$E$112,"")</f>
        <v>0</v>
      </c>
      <c r="M107" s="18">
        <f>_xlfn.XLOOKUP($C107,'PP4 (1)'!$B$6:$B$100,'PP4 (1)'!$E$6:$E$100,"")</f>
        <v>0</v>
      </c>
      <c r="N107" s="20">
        <f>_xlfn.XLOOKUP($C107,'PP4 (2)'!$B$6:$B$100,'PP4 (2)'!$E$6:$E$100,"")</f>
        <v>0</v>
      </c>
      <c r="O107" s="21">
        <f>_xlfn.XLOOKUP($C107,'PP5 (1)'!$B$6:$B$100,'PP5 (1)'!$E$6:$E$100,"")</f>
        <v>0</v>
      </c>
      <c r="P107" s="23">
        <f>_xlfn.XLOOKUP($C107,'PP5(2)'!$B$6:$B$100,'PP5(2)'!$E$6:$E$100,"")</f>
        <v>0</v>
      </c>
      <c r="Q107" s="10">
        <f>SUM(R107:AC107)</f>
        <v>0</v>
      </c>
      <c r="R107" s="23">
        <f>_xlfn.XLOOKUP($C107,'MP (1)'!$B$6:$B$100,'MP (1)'!$F$6:$F$100,"")</f>
        <v>0</v>
      </c>
      <c r="S107" s="22">
        <f>_xlfn.XLOOKUP($C107,'MP (2)'!$B$6:$B$100,'MP (2)'!$F$6:$F$100,"")</f>
        <v>0</v>
      </c>
      <c r="T107" s="21">
        <f>_xlfn.XLOOKUP($C107,'PP1 (1)'!$B$6:$B$66,'PP1 (1)'!$F$6:$F$66,"")</f>
        <v>0</v>
      </c>
      <c r="U107" s="22">
        <f>_xlfn.XLOOKUP($C107,'PP1 (2)'!$B$6:$B$100,'PP1 (2)'!$F$6:$F$100,"")</f>
        <v>0</v>
      </c>
      <c r="V107" s="18">
        <f>_xlfn.XLOOKUP($C107,'PP2 (1)'!$B$6:$B$99,'PP2 (1)'!$F$6:$F$99,"")</f>
        <v>0</v>
      </c>
      <c r="W107" s="20">
        <f>_xlfn.XLOOKUP($C107,'PP2 (2)'!$B$6:$B$100,'PP2 (2)'!$F$6:$F$100,"")</f>
        <v>0</v>
      </c>
      <c r="X107" s="21">
        <f>_xlfn.XLOOKUP($C107,'PP3 (1)'!$B$5:$B$113,'PP3 (1)'!$F$5:$F$113,"")</f>
        <v>0</v>
      </c>
      <c r="Y107" s="22">
        <f>_xlfn.XLOOKUP($C107,'PP3 (2)'!$B$5:$B$112,'PP3 (2)'!$F$5:$F$112,"")</f>
        <v>0</v>
      </c>
      <c r="Z107" s="18">
        <f>_xlfn.XLOOKUP($C107,'PP4 (1)'!$B$6:$B$100,'PP4 (1)'!$F$6:$F$100,"")</f>
        <v>0</v>
      </c>
      <c r="AA107" s="20">
        <f>_xlfn.XLOOKUP($C107,'PP4 (2)'!$B$6:$B$100,'PP4 (2)'!$F$6:$F$100,"")</f>
        <v>0</v>
      </c>
      <c r="AB107" s="21">
        <f>_xlfn.XLOOKUP($C107,'PP5 (1)'!$B$6:$B$100,'PP5 (1)'!$F$6:$F$100,"")</f>
        <v>0</v>
      </c>
      <c r="AC107" s="23">
        <f>_xlfn.XLOOKUP($C107,'PP5(2)'!$B$6:$B$100,'PP5(2)'!$F$6:$F$100,"")</f>
        <v>0</v>
      </c>
      <c r="AD107" s="10">
        <f>SUM(AE107:AP107)</f>
        <v>0</v>
      </c>
      <c r="AE107" s="23">
        <f>_xlfn.XLOOKUP($C107,'MP (1)'!$B$6:$B$100,'MP (1)'!$H$6:$H$100,"")</f>
        <v>0</v>
      </c>
      <c r="AF107" s="22">
        <f>_xlfn.XLOOKUP($C107,'MP (2)'!$B$6:$B$100,'MP (2)'!$H$6:$H$100,"")</f>
        <v>0</v>
      </c>
      <c r="AG107" s="21">
        <f>_xlfn.XLOOKUP($C107,'PP1 (1)'!$B$6:$B$66,'PP1 (1)'!$H$6:$H$66,"")</f>
        <v>0</v>
      </c>
      <c r="AH107" s="22">
        <f>_xlfn.XLOOKUP($C107,'PP1 (2)'!$B$6:$B$100,'PP1 (2)'!$H$6:$H$100,"")</f>
        <v>0</v>
      </c>
      <c r="AI107" s="18">
        <f>_xlfn.XLOOKUP($C107,'PP2 (1)'!$B$6:$B$99,'PP2 (1)'!$H$6:$H$99,"")</f>
        <v>0</v>
      </c>
      <c r="AJ107" s="19">
        <f>_xlfn.XLOOKUP($C107,'PP2 (2)'!$B$6:$B$100,'PP2 (2)'!$H$6:$H$100,"")</f>
        <v>0</v>
      </c>
      <c r="AK107" s="21">
        <f>_xlfn.XLOOKUP($C107,'PP3 (1)'!$B$5:$B$113,'PP3 (1)'!$H$5:$H$113,"")</f>
        <v>0</v>
      </c>
      <c r="AL107" s="22">
        <f>_xlfn.XLOOKUP($C107,'PP3 (2)'!$B$5:$B$112,'PP3 (2)'!$H$5:$H$112,"")</f>
        <v>0</v>
      </c>
      <c r="AM107" s="18">
        <f>_xlfn.XLOOKUP($C107,'PP4 (1)'!$B$6:$B$100,'PP4 (1)'!$H$6:$H$100,"")</f>
        <v>0</v>
      </c>
      <c r="AN107" s="19">
        <f>_xlfn.XLOOKUP($C107,'PP4 (2)'!$B$6:$B$100,'PP4 (2)'!$H$6:$H$100,"")</f>
        <v>0</v>
      </c>
      <c r="AO107" s="21">
        <f>_xlfn.XLOOKUP($C107,'PP5 (1)'!$B$6:$B$100,'PP5 (1)'!$H$6:$H$100,"")</f>
        <v>0</v>
      </c>
      <c r="AP107" s="29">
        <f>_xlfn.XLOOKUP($C107,'PP5(2)'!$B$6:$B$100,'PP5(2)'!$H$6:$H$100,"")</f>
        <v>0</v>
      </c>
    </row>
    <row r="108" spans="1:42" ht="13.1" customHeight="1" x14ac:dyDescent="0.25">
      <c r="A108" s="1">
        <f>ROW()-4</f>
        <v>104</v>
      </c>
      <c r="B108" s="1"/>
      <c r="C108" s="3"/>
      <c r="D108" s="26">
        <f>SUM(E108:P108)</f>
        <v>0</v>
      </c>
      <c r="E108" s="23">
        <f>_xlfn.XLOOKUP($C108,'MP (1)'!$B$6:$B$100,'MP (1)'!$E$6:$E$100,"")</f>
        <v>0</v>
      </c>
      <c r="F108" s="22">
        <f>_xlfn.XLOOKUP($C108,'MP (2)'!$B$6:$B$100,'MP (2)'!$E$6:$E$100,"")</f>
        <v>0</v>
      </c>
      <c r="G108" s="21">
        <f>_xlfn.XLOOKUP($C108,'PP1 (1)'!$B$6:$B$66,'PP1 (1)'!$E$6:$E$66,"")</f>
        <v>0</v>
      </c>
      <c r="H108" s="22">
        <f>_xlfn.XLOOKUP($C108,'PP1 (2)'!$B$6:$B$100,'PP1 (2)'!$E$6:$E$100,"")</f>
        <v>0</v>
      </c>
      <c r="I108" s="18">
        <f>_xlfn.XLOOKUP($C108,'PP2 (1)'!$B$6:$B$99,'PP2 (1)'!$E$6:$E$99,"")</f>
        <v>0</v>
      </c>
      <c r="J108" s="20">
        <f>_xlfn.XLOOKUP($C108,'PP2 (2)'!$B$6:$B$100,'PP2 (2)'!$E$6:$E$100,"")</f>
        <v>0</v>
      </c>
      <c r="K108" s="21">
        <f>_xlfn.XLOOKUP($C108,'PP3 (1)'!$B$5:$B$113,'PP3 (1)'!$E$5:$E$113,"")</f>
        <v>0</v>
      </c>
      <c r="L108" s="22">
        <f>_xlfn.XLOOKUP($C108,'PP3 (2)'!$B$5:$B$112,'PP3 (2)'!$E$5:$E$112,"")</f>
        <v>0</v>
      </c>
      <c r="M108" s="18">
        <f>_xlfn.XLOOKUP($C108,'PP4 (1)'!$B$6:$B$100,'PP4 (1)'!$E$6:$E$100,"")</f>
        <v>0</v>
      </c>
      <c r="N108" s="20">
        <f>_xlfn.XLOOKUP($C108,'PP4 (2)'!$B$6:$B$100,'PP4 (2)'!$E$6:$E$100,"")</f>
        <v>0</v>
      </c>
      <c r="O108" s="21">
        <f>_xlfn.XLOOKUP($C108,'PP5 (1)'!$B$6:$B$100,'PP5 (1)'!$E$6:$E$100,"")</f>
        <v>0</v>
      </c>
      <c r="P108" s="23">
        <f>_xlfn.XLOOKUP($C108,'PP5(2)'!$B$6:$B$100,'PP5(2)'!$E$6:$E$100,"")</f>
        <v>0</v>
      </c>
      <c r="Q108" s="10">
        <f>SUM(R108:AC108)</f>
        <v>0</v>
      </c>
      <c r="R108" s="23">
        <f>_xlfn.XLOOKUP($C108,'MP (1)'!$B$6:$B$100,'MP (1)'!$F$6:$F$100,"")</f>
        <v>0</v>
      </c>
      <c r="S108" s="22">
        <f>_xlfn.XLOOKUP($C108,'MP (2)'!$B$6:$B$100,'MP (2)'!$F$6:$F$100,"")</f>
        <v>0</v>
      </c>
      <c r="T108" s="21">
        <f>_xlfn.XLOOKUP($C108,'PP1 (1)'!$B$6:$B$66,'PP1 (1)'!$F$6:$F$66,"")</f>
        <v>0</v>
      </c>
      <c r="U108" s="22">
        <f>_xlfn.XLOOKUP($C108,'PP1 (2)'!$B$6:$B$100,'PP1 (2)'!$F$6:$F$100,"")</f>
        <v>0</v>
      </c>
      <c r="V108" s="18">
        <f>_xlfn.XLOOKUP($C108,'PP2 (1)'!$B$6:$B$99,'PP2 (1)'!$F$6:$F$99,"")</f>
        <v>0</v>
      </c>
      <c r="W108" s="20">
        <f>_xlfn.XLOOKUP($C108,'PP2 (2)'!$B$6:$B$100,'PP2 (2)'!$F$6:$F$100,"")</f>
        <v>0</v>
      </c>
      <c r="X108" s="21">
        <f>_xlfn.XLOOKUP($C108,'PP3 (1)'!$B$5:$B$113,'PP3 (1)'!$F$5:$F$113,"")</f>
        <v>0</v>
      </c>
      <c r="Y108" s="22">
        <f>_xlfn.XLOOKUP($C108,'PP3 (2)'!$B$5:$B$112,'PP3 (2)'!$F$5:$F$112,"")</f>
        <v>0</v>
      </c>
      <c r="Z108" s="18">
        <f>_xlfn.XLOOKUP($C108,'PP4 (1)'!$B$6:$B$100,'PP4 (1)'!$F$6:$F$100,"")</f>
        <v>0</v>
      </c>
      <c r="AA108" s="20">
        <f>_xlfn.XLOOKUP($C108,'PP4 (2)'!$B$6:$B$100,'PP4 (2)'!$F$6:$F$100,"")</f>
        <v>0</v>
      </c>
      <c r="AB108" s="21">
        <f>_xlfn.XLOOKUP($C108,'PP5 (1)'!$B$6:$B$100,'PP5 (1)'!$F$6:$F$100,"")</f>
        <v>0</v>
      </c>
      <c r="AC108" s="23">
        <f>_xlfn.XLOOKUP($C108,'PP5(2)'!$B$6:$B$100,'PP5(2)'!$F$6:$F$100,"")</f>
        <v>0</v>
      </c>
      <c r="AD108" s="10">
        <f>SUM(AE108:AP108)</f>
        <v>0</v>
      </c>
      <c r="AE108" s="23">
        <f>_xlfn.XLOOKUP($C108,'MP (1)'!$B$6:$B$100,'MP (1)'!$H$6:$H$100,"")</f>
        <v>0</v>
      </c>
      <c r="AF108" s="22">
        <f>_xlfn.XLOOKUP($C108,'MP (2)'!$B$6:$B$100,'MP (2)'!$H$6:$H$100,"")</f>
        <v>0</v>
      </c>
      <c r="AG108" s="21">
        <f>_xlfn.XLOOKUP($C108,'PP1 (1)'!$B$6:$B$66,'PP1 (1)'!$H$6:$H$66,"")</f>
        <v>0</v>
      </c>
      <c r="AH108" s="22">
        <f>_xlfn.XLOOKUP($C108,'PP1 (2)'!$B$6:$B$100,'PP1 (2)'!$H$6:$H$100,"")</f>
        <v>0</v>
      </c>
      <c r="AI108" s="18">
        <f>_xlfn.XLOOKUP($C108,'PP2 (1)'!$B$6:$B$99,'PP2 (1)'!$H$6:$H$99,"")</f>
        <v>0</v>
      </c>
      <c r="AJ108" s="19">
        <f>_xlfn.XLOOKUP($C108,'PP2 (2)'!$B$6:$B$100,'PP2 (2)'!$H$6:$H$100,"")</f>
        <v>0</v>
      </c>
      <c r="AK108" s="21">
        <f>_xlfn.XLOOKUP($C108,'PP3 (1)'!$B$5:$B$113,'PP3 (1)'!$H$5:$H$113,"")</f>
        <v>0</v>
      </c>
      <c r="AL108" s="22">
        <f>_xlfn.XLOOKUP($C108,'PP3 (2)'!$B$5:$B$112,'PP3 (2)'!$H$5:$H$112,"")</f>
        <v>0</v>
      </c>
      <c r="AM108" s="18">
        <f>_xlfn.XLOOKUP($C108,'PP4 (1)'!$B$6:$B$100,'PP4 (1)'!$H$6:$H$100,"")</f>
        <v>0</v>
      </c>
      <c r="AN108" s="19">
        <f>_xlfn.XLOOKUP($C108,'PP4 (2)'!$B$6:$B$100,'PP4 (2)'!$H$6:$H$100,"")</f>
        <v>0</v>
      </c>
      <c r="AO108" s="21">
        <f>_xlfn.XLOOKUP($C108,'PP5 (1)'!$B$6:$B$100,'PP5 (1)'!$H$6:$H$100,"")</f>
        <v>0</v>
      </c>
      <c r="AP108" s="29">
        <f>_xlfn.XLOOKUP($C108,'PP5(2)'!$B$6:$B$100,'PP5(2)'!$H$6:$H$100,"")</f>
        <v>0</v>
      </c>
    </row>
    <row r="109" spans="1:42" ht="13.1" customHeight="1" x14ac:dyDescent="0.25">
      <c r="A109" s="1">
        <f>ROW()-4</f>
        <v>105</v>
      </c>
      <c r="B109" s="1"/>
      <c r="C109" s="3"/>
      <c r="D109" s="26">
        <f>SUM(E109:P109)</f>
        <v>0</v>
      </c>
      <c r="E109" s="23">
        <f>_xlfn.XLOOKUP($C109,'MP (1)'!$B$6:$B$100,'MP (1)'!$E$6:$E$100,"")</f>
        <v>0</v>
      </c>
      <c r="F109" s="22">
        <f>_xlfn.XLOOKUP($C109,'MP (2)'!$B$6:$B$100,'MP (2)'!$E$6:$E$100,"")</f>
        <v>0</v>
      </c>
      <c r="G109" s="21">
        <f>_xlfn.XLOOKUP($C109,'PP1 (1)'!$B$6:$B$66,'PP1 (1)'!$E$6:$E$66,"")</f>
        <v>0</v>
      </c>
      <c r="H109" s="22">
        <f>_xlfn.XLOOKUP($C109,'PP1 (2)'!$B$6:$B$100,'PP1 (2)'!$E$6:$E$100,"")</f>
        <v>0</v>
      </c>
      <c r="I109" s="18">
        <f>_xlfn.XLOOKUP($C109,'PP2 (1)'!$B$6:$B$99,'PP2 (1)'!$E$6:$E$99,"")</f>
        <v>0</v>
      </c>
      <c r="J109" s="20">
        <f>_xlfn.XLOOKUP($C109,'PP2 (2)'!$B$6:$B$100,'PP2 (2)'!$E$6:$E$100,"")</f>
        <v>0</v>
      </c>
      <c r="K109" s="21">
        <f>_xlfn.XLOOKUP($C109,'PP3 (1)'!$B$5:$B$113,'PP3 (1)'!$E$5:$E$113,"")</f>
        <v>0</v>
      </c>
      <c r="L109" s="22">
        <f>_xlfn.XLOOKUP($C109,'PP3 (2)'!$B$5:$B$112,'PP3 (2)'!$E$5:$E$112,"")</f>
        <v>0</v>
      </c>
      <c r="M109" s="18">
        <f>_xlfn.XLOOKUP($C109,'PP4 (1)'!$B$6:$B$100,'PP4 (1)'!$E$6:$E$100,"")</f>
        <v>0</v>
      </c>
      <c r="N109" s="20">
        <f>_xlfn.XLOOKUP($C109,'PP4 (2)'!$B$6:$B$100,'PP4 (2)'!$E$6:$E$100,"")</f>
        <v>0</v>
      </c>
      <c r="O109" s="21">
        <f>_xlfn.XLOOKUP($C109,'PP5 (1)'!$B$6:$B$100,'PP5 (1)'!$E$6:$E$100,"")</f>
        <v>0</v>
      </c>
      <c r="P109" s="23">
        <f>_xlfn.XLOOKUP($C109,'PP5(2)'!$B$6:$B$100,'PP5(2)'!$E$6:$E$100,"")</f>
        <v>0</v>
      </c>
      <c r="Q109" s="10">
        <f>SUM(R109:AC109)</f>
        <v>0</v>
      </c>
      <c r="R109" s="23">
        <f>_xlfn.XLOOKUP($C109,'MP (1)'!$B$6:$B$100,'MP (1)'!$F$6:$F$100,"")</f>
        <v>0</v>
      </c>
      <c r="S109" s="22">
        <f>_xlfn.XLOOKUP($C109,'MP (2)'!$B$6:$B$100,'MP (2)'!$F$6:$F$100,"")</f>
        <v>0</v>
      </c>
      <c r="T109" s="21">
        <f>_xlfn.XLOOKUP($C109,'PP1 (1)'!$B$6:$B$66,'PP1 (1)'!$F$6:$F$66,"")</f>
        <v>0</v>
      </c>
      <c r="U109" s="22">
        <f>_xlfn.XLOOKUP($C109,'PP1 (2)'!$B$6:$B$100,'PP1 (2)'!$F$6:$F$100,"")</f>
        <v>0</v>
      </c>
      <c r="V109" s="18">
        <f>_xlfn.XLOOKUP($C109,'PP2 (1)'!$B$6:$B$99,'PP2 (1)'!$F$6:$F$99,"")</f>
        <v>0</v>
      </c>
      <c r="W109" s="20">
        <f>_xlfn.XLOOKUP($C109,'PP2 (2)'!$B$6:$B$100,'PP2 (2)'!$F$6:$F$100,"")</f>
        <v>0</v>
      </c>
      <c r="X109" s="21">
        <f>_xlfn.XLOOKUP($C109,'PP3 (1)'!$B$5:$B$113,'PP3 (1)'!$F$5:$F$113,"")</f>
        <v>0</v>
      </c>
      <c r="Y109" s="22">
        <f>_xlfn.XLOOKUP($C109,'PP3 (2)'!$B$5:$B$112,'PP3 (2)'!$F$5:$F$112,"")</f>
        <v>0</v>
      </c>
      <c r="Z109" s="18">
        <f>_xlfn.XLOOKUP($C109,'PP4 (1)'!$B$6:$B$100,'PP4 (1)'!$F$6:$F$100,"")</f>
        <v>0</v>
      </c>
      <c r="AA109" s="20">
        <f>_xlfn.XLOOKUP($C109,'PP4 (2)'!$B$6:$B$100,'PP4 (2)'!$F$6:$F$100,"")</f>
        <v>0</v>
      </c>
      <c r="AB109" s="21">
        <f>_xlfn.XLOOKUP($C109,'PP5 (1)'!$B$6:$B$100,'PP5 (1)'!$F$6:$F$100,"")</f>
        <v>0</v>
      </c>
      <c r="AC109" s="23">
        <f>_xlfn.XLOOKUP($C109,'PP5(2)'!$B$6:$B$100,'PP5(2)'!$F$6:$F$100,"")</f>
        <v>0</v>
      </c>
      <c r="AD109" s="10">
        <f>SUM(AE109:AP109)</f>
        <v>0</v>
      </c>
      <c r="AE109" s="23">
        <f>_xlfn.XLOOKUP($C109,'MP (1)'!$B$6:$B$100,'MP (1)'!$H$6:$H$100,"")</f>
        <v>0</v>
      </c>
      <c r="AF109" s="22">
        <f>_xlfn.XLOOKUP($C109,'MP (2)'!$B$6:$B$100,'MP (2)'!$H$6:$H$100,"")</f>
        <v>0</v>
      </c>
      <c r="AG109" s="21">
        <f>_xlfn.XLOOKUP($C109,'PP1 (1)'!$B$6:$B$66,'PP1 (1)'!$H$6:$H$66,"")</f>
        <v>0</v>
      </c>
      <c r="AH109" s="22">
        <f>_xlfn.XLOOKUP($C109,'PP1 (2)'!$B$6:$B$100,'PP1 (2)'!$H$6:$H$100,"")</f>
        <v>0</v>
      </c>
      <c r="AI109" s="18">
        <f>_xlfn.XLOOKUP($C109,'PP2 (1)'!$B$6:$B$99,'PP2 (1)'!$H$6:$H$99,"")</f>
        <v>0</v>
      </c>
      <c r="AJ109" s="19">
        <f>_xlfn.XLOOKUP($C109,'PP2 (2)'!$B$6:$B$100,'PP2 (2)'!$H$6:$H$100,"")</f>
        <v>0</v>
      </c>
      <c r="AK109" s="21">
        <f>_xlfn.XLOOKUP($C109,'PP3 (1)'!$B$5:$B$113,'PP3 (1)'!$H$5:$H$113,"")</f>
        <v>0</v>
      </c>
      <c r="AL109" s="22">
        <f>_xlfn.XLOOKUP($C109,'PP3 (2)'!$B$5:$B$112,'PP3 (2)'!$H$5:$H$112,"")</f>
        <v>0</v>
      </c>
      <c r="AM109" s="18">
        <f>_xlfn.XLOOKUP($C109,'PP4 (1)'!$B$6:$B$100,'PP4 (1)'!$H$6:$H$100,"")</f>
        <v>0</v>
      </c>
      <c r="AN109" s="19">
        <f>_xlfn.XLOOKUP($C109,'PP4 (2)'!$B$6:$B$100,'PP4 (2)'!$H$6:$H$100,"")</f>
        <v>0</v>
      </c>
      <c r="AO109" s="21">
        <f>_xlfn.XLOOKUP($C109,'PP5 (1)'!$B$6:$B$100,'PP5 (1)'!$H$6:$H$100,"")</f>
        <v>0</v>
      </c>
      <c r="AP109" s="29">
        <f>_xlfn.XLOOKUP($C109,'PP5(2)'!$B$6:$B$100,'PP5(2)'!$H$6:$H$100,"")</f>
        <v>0</v>
      </c>
    </row>
    <row r="110" spans="1:42" ht="13.1" customHeight="1" x14ac:dyDescent="0.25">
      <c r="A110" s="1">
        <f>ROW()-4</f>
        <v>106</v>
      </c>
      <c r="B110" s="1"/>
      <c r="C110" s="3"/>
      <c r="D110" s="26">
        <f>SUM(E110:P110)</f>
        <v>0</v>
      </c>
      <c r="E110" s="23">
        <f>_xlfn.XLOOKUP($C110,'MP (1)'!$B$6:$B$100,'MP (1)'!$E$6:$E$100,"")</f>
        <v>0</v>
      </c>
      <c r="F110" s="22">
        <f>_xlfn.XLOOKUP($C110,'MP (2)'!$B$6:$B$100,'MP (2)'!$E$6:$E$100,"")</f>
        <v>0</v>
      </c>
      <c r="G110" s="21">
        <f>_xlfn.XLOOKUP($C110,'PP1 (1)'!$B$6:$B$66,'PP1 (1)'!$E$6:$E$66,"")</f>
        <v>0</v>
      </c>
      <c r="H110" s="22">
        <f>_xlfn.XLOOKUP($C110,'PP1 (2)'!$B$6:$B$100,'PP1 (2)'!$E$6:$E$100,"")</f>
        <v>0</v>
      </c>
      <c r="I110" s="18">
        <f>_xlfn.XLOOKUP($C110,'PP2 (1)'!$B$6:$B$99,'PP2 (1)'!$E$6:$E$99,"")</f>
        <v>0</v>
      </c>
      <c r="J110" s="20">
        <f>_xlfn.XLOOKUP($C110,'PP2 (2)'!$B$6:$B$100,'PP2 (2)'!$E$6:$E$100,"")</f>
        <v>0</v>
      </c>
      <c r="K110" s="21">
        <f>_xlfn.XLOOKUP($C110,'PP3 (1)'!$B$5:$B$113,'PP3 (1)'!$E$5:$E$113,"")</f>
        <v>0</v>
      </c>
      <c r="L110" s="22">
        <f>_xlfn.XLOOKUP($C110,'PP3 (2)'!$B$5:$B$112,'PP3 (2)'!$E$5:$E$112,"")</f>
        <v>0</v>
      </c>
      <c r="M110" s="18">
        <f>_xlfn.XLOOKUP($C110,'PP4 (1)'!$B$6:$B$100,'PP4 (1)'!$E$6:$E$100,"")</f>
        <v>0</v>
      </c>
      <c r="N110" s="20">
        <f>_xlfn.XLOOKUP($C110,'PP4 (2)'!$B$6:$B$100,'PP4 (2)'!$E$6:$E$100,"")</f>
        <v>0</v>
      </c>
      <c r="O110" s="21">
        <f>_xlfn.XLOOKUP($C110,'PP5 (1)'!$B$6:$B$100,'PP5 (1)'!$E$6:$E$100,"")</f>
        <v>0</v>
      </c>
      <c r="P110" s="23">
        <f>_xlfn.XLOOKUP($C110,'PP5(2)'!$B$6:$B$100,'PP5(2)'!$E$6:$E$100,"")</f>
        <v>0</v>
      </c>
      <c r="Q110" s="10">
        <f>SUM(R110:AC110)</f>
        <v>0</v>
      </c>
      <c r="R110" s="23">
        <f>_xlfn.XLOOKUP($C110,'MP (1)'!$B$6:$B$100,'MP (1)'!$F$6:$F$100,"")</f>
        <v>0</v>
      </c>
      <c r="S110" s="22">
        <f>_xlfn.XLOOKUP($C110,'MP (2)'!$B$6:$B$100,'MP (2)'!$F$6:$F$100,"")</f>
        <v>0</v>
      </c>
      <c r="T110" s="21">
        <f>_xlfn.XLOOKUP($C110,'PP1 (1)'!$B$6:$B$66,'PP1 (1)'!$F$6:$F$66,"")</f>
        <v>0</v>
      </c>
      <c r="U110" s="22">
        <f>_xlfn.XLOOKUP($C110,'PP1 (2)'!$B$6:$B$100,'PP1 (2)'!$F$6:$F$100,"")</f>
        <v>0</v>
      </c>
      <c r="V110" s="18">
        <f>_xlfn.XLOOKUP($C110,'PP2 (1)'!$B$6:$B$99,'PP2 (1)'!$F$6:$F$99,"")</f>
        <v>0</v>
      </c>
      <c r="W110" s="20">
        <f>_xlfn.XLOOKUP($C110,'PP2 (2)'!$B$6:$B$100,'PP2 (2)'!$F$6:$F$100,"")</f>
        <v>0</v>
      </c>
      <c r="X110" s="21">
        <f>_xlfn.XLOOKUP($C110,'PP3 (1)'!$B$5:$B$113,'PP3 (1)'!$F$5:$F$113,"")</f>
        <v>0</v>
      </c>
      <c r="Y110" s="22">
        <f>_xlfn.XLOOKUP($C110,'PP3 (2)'!$B$5:$B$112,'PP3 (2)'!$F$5:$F$112,"")</f>
        <v>0</v>
      </c>
      <c r="Z110" s="18">
        <f>_xlfn.XLOOKUP($C110,'PP4 (1)'!$B$6:$B$100,'PP4 (1)'!$F$6:$F$100,"")</f>
        <v>0</v>
      </c>
      <c r="AA110" s="20">
        <f>_xlfn.XLOOKUP($C110,'PP4 (2)'!$B$6:$B$100,'PP4 (2)'!$F$6:$F$100,"")</f>
        <v>0</v>
      </c>
      <c r="AB110" s="21">
        <f>_xlfn.XLOOKUP($C110,'PP5 (1)'!$B$6:$B$100,'PP5 (1)'!$F$6:$F$100,"")</f>
        <v>0</v>
      </c>
      <c r="AC110" s="23">
        <f>_xlfn.XLOOKUP($C110,'PP5(2)'!$B$6:$B$100,'PP5(2)'!$F$6:$F$100,"")</f>
        <v>0</v>
      </c>
      <c r="AD110" s="10">
        <f>SUM(AE110:AP110)</f>
        <v>0</v>
      </c>
      <c r="AE110" s="23">
        <f>_xlfn.XLOOKUP($C110,'MP (1)'!$B$6:$B$100,'MP (1)'!$H$6:$H$100,"")</f>
        <v>0</v>
      </c>
      <c r="AF110" s="22">
        <f>_xlfn.XLOOKUP($C110,'MP (2)'!$B$6:$B$100,'MP (2)'!$H$6:$H$100,"")</f>
        <v>0</v>
      </c>
      <c r="AG110" s="21">
        <f>_xlfn.XLOOKUP($C110,'PP1 (1)'!$B$6:$B$66,'PP1 (1)'!$H$6:$H$66,"")</f>
        <v>0</v>
      </c>
      <c r="AH110" s="22">
        <f>_xlfn.XLOOKUP($C110,'PP1 (2)'!$B$6:$B$100,'PP1 (2)'!$H$6:$H$100,"")</f>
        <v>0</v>
      </c>
      <c r="AI110" s="18">
        <f>_xlfn.XLOOKUP($C110,'PP2 (1)'!$B$6:$B$99,'PP2 (1)'!$H$6:$H$99,"")</f>
        <v>0</v>
      </c>
      <c r="AJ110" s="19">
        <f>_xlfn.XLOOKUP($C110,'PP2 (2)'!$B$6:$B$100,'PP2 (2)'!$H$6:$H$100,"")</f>
        <v>0</v>
      </c>
      <c r="AK110" s="21">
        <f>_xlfn.XLOOKUP($C110,'PP3 (1)'!$B$5:$B$113,'PP3 (1)'!$H$5:$H$113,"")</f>
        <v>0</v>
      </c>
      <c r="AL110" s="22">
        <f>_xlfn.XLOOKUP($C110,'PP3 (2)'!$B$5:$B$112,'PP3 (2)'!$H$5:$H$112,"")</f>
        <v>0</v>
      </c>
      <c r="AM110" s="18">
        <f>_xlfn.XLOOKUP($C110,'PP4 (1)'!$B$6:$B$100,'PP4 (1)'!$H$6:$H$100,"")</f>
        <v>0</v>
      </c>
      <c r="AN110" s="19">
        <f>_xlfn.XLOOKUP($C110,'PP4 (2)'!$B$6:$B$100,'PP4 (2)'!$H$6:$H$100,"")</f>
        <v>0</v>
      </c>
      <c r="AO110" s="21">
        <f>_xlfn.XLOOKUP($C110,'PP5 (1)'!$B$6:$B$100,'PP5 (1)'!$H$6:$H$100,"")</f>
        <v>0</v>
      </c>
      <c r="AP110" s="29">
        <f>_xlfn.XLOOKUP($C110,'PP5(2)'!$B$6:$B$100,'PP5(2)'!$H$6:$H$100,"")</f>
        <v>0</v>
      </c>
    </row>
    <row r="111" spans="1:42" ht="13.1" customHeight="1" x14ac:dyDescent="0.25">
      <c r="A111" s="1">
        <f>ROW()-4</f>
        <v>107</v>
      </c>
      <c r="B111" s="1"/>
      <c r="C111" s="3"/>
      <c r="D111" s="26">
        <f>SUM(E111:P111)</f>
        <v>0</v>
      </c>
      <c r="E111" s="23">
        <f>_xlfn.XLOOKUP($C111,'MP (1)'!$B$6:$B$100,'MP (1)'!$E$6:$E$100,"")</f>
        <v>0</v>
      </c>
      <c r="F111" s="22">
        <f>_xlfn.XLOOKUP($C111,'MP (2)'!$B$6:$B$100,'MP (2)'!$E$6:$E$100,"")</f>
        <v>0</v>
      </c>
      <c r="G111" s="21">
        <f>_xlfn.XLOOKUP($C111,'PP1 (1)'!$B$6:$B$66,'PP1 (1)'!$E$6:$E$66,"")</f>
        <v>0</v>
      </c>
      <c r="H111" s="22">
        <f>_xlfn.XLOOKUP($C111,'PP1 (2)'!$B$6:$B$100,'PP1 (2)'!$E$6:$E$100,"")</f>
        <v>0</v>
      </c>
      <c r="I111" s="18">
        <f>_xlfn.XLOOKUP($C111,'PP2 (1)'!$B$6:$B$99,'PP2 (1)'!$E$6:$E$99,"")</f>
        <v>0</v>
      </c>
      <c r="J111" s="20">
        <f>_xlfn.XLOOKUP($C111,'PP2 (2)'!$B$6:$B$100,'PP2 (2)'!$E$6:$E$100,"")</f>
        <v>0</v>
      </c>
      <c r="K111" s="21">
        <f>_xlfn.XLOOKUP($C111,'PP3 (1)'!$B$5:$B$113,'PP3 (1)'!$E$5:$E$113,"")</f>
        <v>0</v>
      </c>
      <c r="L111" s="22">
        <f>_xlfn.XLOOKUP($C111,'PP3 (2)'!$B$5:$B$112,'PP3 (2)'!$E$5:$E$112,"")</f>
        <v>0</v>
      </c>
      <c r="M111" s="18">
        <f>_xlfn.XLOOKUP($C111,'PP4 (1)'!$B$6:$B$100,'PP4 (1)'!$E$6:$E$100,"")</f>
        <v>0</v>
      </c>
      <c r="N111" s="20">
        <f>_xlfn.XLOOKUP($C111,'PP4 (2)'!$B$6:$B$100,'PP4 (2)'!$E$6:$E$100,"")</f>
        <v>0</v>
      </c>
      <c r="O111" s="21">
        <f>_xlfn.XLOOKUP($C111,'PP5 (1)'!$B$6:$B$100,'PP5 (1)'!$E$6:$E$100,"")</f>
        <v>0</v>
      </c>
      <c r="P111" s="23">
        <f>_xlfn.XLOOKUP($C111,'PP5(2)'!$B$6:$B$100,'PP5(2)'!$E$6:$E$100,"")</f>
        <v>0</v>
      </c>
      <c r="Q111" s="10">
        <f>SUM(R111:AC111)</f>
        <v>0</v>
      </c>
      <c r="R111" s="23">
        <f>_xlfn.XLOOKUP($C111,'MP (1)'!$B$6:$B$100,'MP (1)'!$F$6:$F$100,"")</f>
        <v>0</v>
      </c>
      <c r="S111" s="22">
        <f>_xlfn.XLOOKUP($C111,'MP (2)'!$B$6:$B$100,'MP (2)'!$F$6:$F$100,"")</f>
        <v>0</v>
      </c>
      <c r="T111" s="21">
        <f>_xlfn.XLOOKUP($C111,'PP1 (1)'!$B$6:$B$66,'PP1 (1)'!$F$6:$F$66,"")</f>
        <v>0</v>
      </c>
      <c r="U111" s="22">
        <f>_xlfn.XLOOKUP($C111,'PP1 (2)'!$B$6:$B$100,'PP1 (2)'!$F$6:$F$100,"")</f>
        <v>0</v>
      </c>
      <c r="V111" s="18">
        <f>_xlfn.XLOOKUP($C111,'PP2 (1)'!$B$6:$B$99,'PP2 (1)'!$F$6:$F$99,"")</f>
        <v>0</v>
      </c>
      <c r="W111" s="20">
        <f>_xlfn.XLOOKUP($C111,'PP2 (2)'!$B$6:$B$100,'PP2 (2)'!$F$6:$F$100,"")</f>
        <v>0</v>
      </c>
      <c r="X111" s="21">
        <f>_xlfn.XLOOKUP($C111,'PP3 (1)'!$B$5:$B$113,'PP3 (1)'!$F$5:$F$113,"")</f>
        <v>0</v>
      </c>
      <c r="Y111" s="22">
        <f>_xlfn.XLOOKUP($C111,'PP3 (2)'!$B$5:$B$112,'PP3 (2)'!$F$5:$F$112,"")</f>
        <v>0</v>
      </c>
      <c r="Z111" s="18">
        <f>_xlfn.XLOOKUP($C111,'PP4 (1)'!$B$6:$B$100,'PP4 (1)'!$F$6:$F$100,"")</f>
        <v>0</v>
      </c>
      <c r="AA111" s="20">
        <f>_xlfn.XLOOKUP($C111,'PP4 (2)'!$B$6:$B$100,'PP4 (2)'!$F$6:$F$100,"")</f>
        <v>0</v>
      </c>
      <c r="AB111" s="21">
        <f>_xlfn.XLOOKUP($C111,'PP5 (1)'!$B$6:$B$100,'PP5 (1)'!$F$6:$F$100,"")</f>
        <v>0</v>
      </c>
      <c r="AC111" s="23">
        <f>_xlfn.XLOOKUP($C111,'PP5(2)'!$B$6:$B$100,'PP5(2)'!$F$6:$F$100,"")</f>
        <v>0</v>
      </c>
      <c r="AD111" s="10">
        <f>SUM(AE111:AP111)</f>
        <v>0</v>
      </c>
      <c r="AE111" s="23">
        <f>_xlfn.XLOOKUP($C111,'MP (1)'!$B$6:$B$100,'MP (1)'!$H$6:$H$100,"")</f>
        <v>0</v>
      </c>
      <c r="AF111" s="22">
        <f>_xlfn.XLOOKUP($C111,'MP (2)'!$B$6:$B$100,'MP (2)'!$H$6:$H$100,"")</f>
        <v>0</v>
      </c>
      <c r="AG111" s="21">
        <f>_xlfn.XLOOKUP($C111,'PP1 (1)'!$B$6:$B$66,'PP1 (1)'!$H$6:$H$66,"")</f>
        <v>0</v>
      </c>
      <c r="AH111" s="22">
        <f>_xlfn.XLOOKUP($C111,'PP1 (2)'!$B$6:$B$100,'PP1 (2)'!$H$6:$H$100,"")</f>
        <v>0</v>
      </c>
      <c r="AI111" s="18">
        <f>_xlfn.XLOOKUP($C111,'PP2 (1)'!$B$6:$B$99,'PP2 (1)'!$H$6:$H$99,"")</f>
        <v>0</v>
      </c>
      <c r="AJ111" s="19">
        <f>_xlfn.XLOOKUP($C111,'PP2 (2)'!$B$6:$B$100,'PP2 (2)'!$H$6:$H$100,"")</f>
        <v>0</v>
      </c>
      <c r="AK111" s="21">
        <f>_xlfn.XLOOKUP($C111,'PP3 (1)'!$B$5:$B$113,'PP3 (1)'!$H$5:$H$113,"")</f>
        <v>0</v>
      </c>
      <c r="AL111" s="22">
        <f>_xlfn.XLOOKUP($C111,'PP3 (2)'!$B$5:$B$112,'PP3 (2)'!$H$5:$H$112,"")</f>
        <v>0</v>
      </c>
      <c r="AM111" s="18">
        <f>_xlfn.XLOOKUP($C111,'PP4 (1)'!$B$6:$B$100,'PP4 (1)'!$H$6:$H$100,"")</f>
        <v>0</v>
      </c>
      <c r="AN111" s="19">
        <f>_xlfn.XLOOKUP($C111,'PP4 (2)'!$B$6:$B$100,'PP4 (2)'!$H$6:$H$100,"")</f>
        <v>0</v>
      </c>
      <c r="AO111" s="21">
        <f>_xlfn.XLOOKUP($C111,'PP5 (1)'!$B$6:$B$100,'PP5 (1)'!$H$6:$H$100,"")</f>
        <v>0</v>
      </c>
      <c r="AP111" s="29">
        <f>_xlfn.XLOOKUP($C111,'PP5(2)'!$B$6:$B$100,'PP5(2)'!$H$6:$H$100,"")</f>
        <v>0</v>
      </c>
    </row>
    <row r="112" spans="1:42" ht="13.1" customHeight="1" x14ac:dyDescent="0.25">
      <c r="A112" s="1">
        <f>ROW()-4</f>
        <v>108</v>
      </c>
      <c r="B112" s="1"/>
      <c r="C112" s="3"/>
      <c r="D112" s="26">
        <f>SUM(E112:P112)</f>
        <v>0</v>
      </c>
      <c r="E112" s="23">
        <f>_xlfn.XLOOKUP($C112,'MP (1)'!$B$6:$B$100,'MP (1)'!$E$6:$E$100,"")</f>
        <v>0</v>
      </c>
      <c r="F112" s="22">
        <f>_xlfn.XLOOKUP($C112,'MP (2)'!$B$6:$B$100,'MP (2)'!$E$6:$E$100,"")</f>
        <v>0</v>
      </c>
      <c r="G112" s="21">
        <f>_xlfn.XLOOKUP($C112,'PP1 (1)'!$B$6:$B$66,'PP1 (1)'!$E$6:$E$66,"")</f>
        <v>0</v>
      </c>
      <c r="H112" s="22">
        <f>_xlfn.XLOOKUP($C112,'PP1 (2)'!$B$6:$B$100,'PP1 (2)'!$E$6:$E$100,"")</f>
        <v>0</v>
      </c>
      <c r="I112" s="18">
        <f>_xlfn.XLOOKUP($C112,'PP2 (1)'!$B$6:$B$99,'PP2 (1)'!$E$6:$E$99,"")</f>
        <v>0</v>
      </c>
      <c r="J112" s="20">
        <f>_xlfn.XLOOKUP($C112,'PP2 (2)'!$B$6:$B$100,'PP2 (2)'!$E$6:$E$100,"")</f>
        <v>0</v>
      </c>
      <c r="K112" s="21">
        <f>_xlfn.XLOOKUP($C112,'PP3 (1)'!$B$5:$B$113,'PP3 (1)'!$E$5:$E$113,"")</f>
        <v>0</v>
      </c>
      <c r="L112" s="22">
        <f>_xlfn.XLOOKUP($C112,'PP3 (2)'!$B$5:$B$112,'PP3 (2)'!$E$5:$E$112,"")</f>
        <v>0</v>
      </c>
      <c r="M112" s="18">
        <f>_xlfn.XLOOKUP($C112,'PP4 (1)'!$B$6:$B$100,'PP4 (1)'!$E$6:$E$100,"")</f>
        <v>0</v>
      </c>
      <c r="N112" s="20">
        <f>_xlfn.XLOOKUP($C112,'PP4 (2)'!$B$6:$B$100,'PP4 (2)'!$E$6:$E$100,"")</f>
        <v>0</v>
      </c>
      <c r="O112" s="21">
        <f>_xlfn.XLOOKUP($C112,'PP5 (1)'!$B$6:$B$100,'PP5 (1)'!$E$6:$E$100,"")</f>
        <v>0</v>
      </c>
      <c r="P112" s="23">
        <f>_xlfn.XLOOKUP($C112,'PP5(2)'!$B$6:$B$100,'PP5(2)'!$E$6:$E$100,"")</f>
        <v>0</v>
      </c>
      <c r="Q112" s="10">
        <f>SUM(R112:AC112)</f>
        <v>0</v>
      </c>
      <c r="R112" s="23">
        <f>_xlfn.XLOOKUP($C112,'MP (1)'!$B$6:$B$100,'MP (1)'!$F$6:$F$100,"")</f>
        <v>0</v>
      </c>
      <c r="S112" s="22">
        <f>_xlfn.XLOOKUP($C112,'MP (2)'!$B$6:$B$100,'MP (2)'!$F$6:$F$100,"")</f>
        <v>0</v>
      </c>
      <c r="T112" s="21">
        <f>_xlfn.XLOOKUP($C112,'PP1 (1)'!$B$6:$B$66,'PP1 (1)'!$F$6:$F$66,"")</f>
        <v>0</v>
      </c>
      <c r="U112" s="22">
        <f>_xlfn.XLOOKUP($C112,'PP1 (2)'!$B$6:$B$100,'PP1 (2)'!$F$6:$F$100,"")</f>
        <v>0</v>
      </c>
      <c r="V112" s="18">
        <f>_xlfn.XLOOKUP($C112,'PP2 (1)'!$B$6:$B$99,'PP2 (1)'!$F$6:$F$99,"")</f>
        <v>0</v>
      </c>
      <c r="W112" s="20">
        <f>_xlfn.XLOOKUP($C112,'PP2 (2)'!$B$6:$B$100,'PP2 (2)'!$F$6:$F$100,"")</f>
        <v>0</v>
      </c>
      <c r="X112" s="21">
        <f>_xlfn.XLOOKUP($C112,'PP3 (1)'!$B$5:$B$113,'PP3 (1)'!$F$5:$F$113,"")</f>
        <v>0</v>
      </c>
      <c r="Y112" s="22">
        <f>_xlfn.XLOOKUP($C112,'PP3 (2)'!$B$5:$B$112,'PP3 (2)'!$F$5:$F$112,"")</f>
        <v>0</v>
      </c>
      <c r="Z112" s="18">
        <f>_xlfn.XLOOKUP($C112,'PP4 (1)'!$B$6:$B$100,'PP4 (1)'!$F$6:$F$100,"")</f>
        <v>0</v>
      </c>
      <c r="AA112" s="20">
        <f>_xlfn.XLOOKUP($C112,'PP4 (2)'!$B$6:$B$100,'PP4 (2)'!$F$6:$F$100,"")</f>
        <v>0</v>
      </c>
      <c r="AB112" s="21">
        <f>_xlfn.XLOOKUP($C112,'PP5 (1)'!$B$6:$B$100,'PP5 (1)'!$F$6:$F$100,"")</f>
        <v>0</v>
      </c>
      <c r="AC112" s="23">
        <f>_xlfn.XLOOKUP($C112,'PP5(2)'!$B$6:$B$100,'PP5(2)'!$F$6:$F$100,"")</f>
        <v>0</v>
      </c>
      <c r="AD112" s="10">
        <f>SUM(AE112:AP112)</f>
        <v>0</v>
      </c>
      <c r="AE112" s="23">
        <f>_xlfn.XLOOKUP($C112,'MP (1)'!$B$6:$B$100,'MP (1)'!$H$6:$H$100,"")</f>
        <v>0</v>
      </c>
      <c r="AF112" s="22">
        <f>_xlfn.XLOOKUP($C112,'MP (2)'!$B$6:$B$100,'MP (2)'!$H$6:$H$100,"")</f>
        <v>0</v>
      </c>
      <c r="AG112" s="21">
        <f>_xlfn.XLOOKUP($C112,'PP1 (1)'!$B$6:$B$66,'PP1 (1)'!$H$6:$H$66,"")</f>
        <v>0</v>
      </c>
      <c r="AH112" s="22">
        <f>_xlfn.XLOOKUP($C112,'PP1 (2)'!$B$6:$B$100,'PP1 (2)'!$H$6:$H$100,"")</f>
        <v>0</v>
      </c>
      <c r="AI112" s="18">
        <f>_xlfn.XLOOKUP($C112,'PP2 (1)'!$B$6:$B$99,'PP2 (1)'!$H$6:$H$99,"")</f>
        <v>0</v>
      </c>
      <c r="AJ112" s="19">
        <f>_xlfn.XLOOKUP($C112,'PP2 (2)'!$B$6:$B$100,'PP2 (2)'!$H$6:$H$100,"")</f>
        <v>0</v>
      </c>
      <c r="AK112" s="21">
        <f>_xlfn.XLOOKUP($C112,'PP3 (1)'!$B$5:$B$113,'PP3 (1)'!$H$5:$H$113,"")</f>
        <v>0</v>
      </c>
      <c r="AL112" s="22">
        <f>_xlfn.XLOOKUP($C112,'PP3 (2)'!$B$5:$B$112,'PP3 (2)'!$H$5:$H$112,"")</f>
        <v>0</v>
      </c>
      <c r="AM112" s="18">
        <f>_xlfn.XLOOKUP($C112,'PP4 (1)'!$B$6:$B$100,'PP4 (1)'!$H$6:$H$100,"")</f>
        <v>0</v>
      </c>
      <c r="AN112" s="19">
        <f>_xlfn.XLOOKUP($C112,'PP4 (2)'!$B$6:$B$100,'PP4 (2)'!$H$6:$H$100,"")</f>
        <v>0</v>
      </c>
      <c r="AO112" s="21">
        <f>_xlfn.XLOOKUP($C112,'PP5 (1)'!$B$6:$B$100,'PP5 (1)'!$H$6:$H$100,"")</f>
        <v>0</v>
      </c>
      <c r="AP112" s="29">
        <f>_xlfn.XLOOKUP($C112,'PP5(2)'!$B$6:$B$100,'PP5(2)'!$H$6:$H$100,"")</f>
        <v>0</v>
      </c>
    </row>
    <row r="113" spans="1:42" ht="13.1" customHeight="1" x14ac:dyDescent="0.25">
      <c r="A113" s="1">
        <f>ROW()-4</f>
        <v>109</v>
      </c>
      <c r="B113" s="1"/>
      <c r="C113" s="3"/>
      <c r="D113" s="26">
        <f>SUM(E113:P113)</f>
        <v>0</v>
      </c>
      <c r="E113" s="23">
        <f>_xlfn.XLOOKUP($C113,'MP (1)'!$B$6:$B$100,'MP (1)'!$E$6:$E$100,"")</f>
        <v>0</v>
      </c>
      <c r="F113" s="22">
        <f>_xlfn.XLOOKUP($C113,'MP (2)'!$B$6:$B$100,'MP (2)'!$E$6:$E$100,"")</f>
        <v>0</v>
      </c>
      <c r="G113" s="21">
        <f>_xlfn.XLOOKUP($C113,'PP1 (1)'!$B$6:$B$66,'PP1 (1)'!$E$6:$E$66,"")</f>
        <v>0</v>
      </c>
      <c r="H113" s="22">
        <f>_xlfn.XLOOKUP($C113,'PP1 (2)'!$B$6:$B$100,'PP1 (2)'!$E$6:$E$100,"")</f>
        <v>0</v>
      </c>
      <c r="I113" s="18">
        <f>_xlfn.XLOOKUP($C113,'PP2 (1)'!$B$6:$B$99,'PP2 (1)'!$E$6:$E$99,"")</f>
        <v>0</v>
      </c>
      <c r="J113" s="20">
        <f>_xlfn.XLOOKUP($C113,'PP2 (2)'!$B$6:$B$100,'PP2 (2)'!$E$6:$E$100,"")</f>
        <v>0</v>
      </c>
      <c r="K113" s="21">
        <f>_xlfn.XLOOKUP($C113,'PP3 (1)'!$B$5:$B$113,'PP3 (1)'!$E$5:$E$113,"")</f>
        <v>0</v>
      </c>
      <c r="L113" s="22">
        <f>_xlfn.XLOOKUP($C113,'PP3 (2)'!$B$5:$B$112,'PP3 (2)'!$E$5:$E$112,"")</f>
        <v>0</v>
      </c>
      <c r="M113" s="18">
        <f>_xlfn.XLOOKUP($C113,'PP4 (1)'!$B$6:$B$100,'PP4 (1)'!$E$6:$E$100,"")</f>
        <v>0</v>
      </c>
      <c r="N113" s="20">
        <f>_xlfn.XLOOKUP($C113,'PP4 (2)'!$B$6:$B$100,'PP4 (2)'!$E$6:$E$100,"")</f>
        <v>0</v>
      </c>
      <c r="O113" s="21">
        <f>_xlfn.XLOOKUP($C113,'PP5 (1)'!$B$6:$B$100,'PP5 (1)'!$E$6:$E$100,"")</f>
        <v>0</v>
      </c>
      <c r="P113" s="23">
        <f>_xlfn.XLOOKUP($C113,'PP5(2)'!$B$6:$B$100,'PP5(2)'!$E$6:$E$100,"")</f>
        <v>0</v>
      </c>
      <c r="Q113" s="10">
        <f>SUM(R113:AC113)</f>
        <v>0</v>
      </c>
      <c r="R113" s="23">
        <f>_xlfn.XLOOKUP($C113,'MP (1)'!$B$6:$B$100,'MP (1)'!$F$6:$F$100,"")</f>
        <v>0</v>
      </c>
      <c r="S113" s="22">
        <f>_xlfn.XLOOKUP($C113,'MP (2)'!$B$6:$B$100,'MP (2)'!$F$6:$F$100,"")</f>
        <v>0</v>
      </c>
      <c r="T113" s="21">
        <f>_xlfn.XLOOKUP($C113,'PP1 (1)'!$B$6:$B$66,'PP1 (1)'!$F$6:$F$66,"")</f>
        <v>0</v>
      </c>
      <c r="U113" s="22">
        <f>_xlfn.XLOOKUP($C113,'PP1 (2)'!$B$6:$B$100,'PP1 (2)'!$F$6:$F$100,"")</f>
        <v>0</v>
      </c>
      <c r="V113" s="18">
        <f>_xlfn.XLOOKUP($C113,'PP2 (1)'!$B$6:$B$99,'PP2 (1)'!$F$6:$F$99,"")</f>
        <v>0</v>
      </c>
      <c r="W113" s="20">
        <f>_xlfn.XLOOKUP($C113,'PP2 (2)'!$B$6:$B$100,'PP2 (2)'!$F$6:$F$100,"")</f>
        <v>0</v>
      </c>
      <c r="X113" s="21">
        <f>_xlfn.XLOOKUP($C113,'PP3 (1)'!$B$5:$B$113,'PP3 (1)'!$F$5:$F$113,"")</f>
        <v>0</v>
      </c>
      <c r="Y113" s="22">
        <f>_xlfn.XLOOKUP($C113,'PP3 (2)'!$B$5:$B$112,'PP3 (2)'!$F$5:$F$112,"")</f>
        <v>0</v>
      </c>
      <c r="Z113" s="18">
        <f>_xlfn.XLOOKUP($C113,'PP4 (1)'!$B$6:$B$100,'PP4 (1)'!$F$6:$F$100,"")</f>
        <v>0</v>
      </c>
      <c r="AA113" s="20">
        <f>_xlfn.XLOOKUP($C113,'PP4 (2)'!$B$6:$B$100,'PP4 (2)'!$F$6:$F$100,"")</f>
        <v>0</v>
      </c>
      <c r="AB113" s="21">
        <f>_xlfn.XLOOKUP($C113,'PP5 (1)'!$B$6:$B$100,'PP5 (1)'!$F$6:$F$100,"")</f>
        <v>0</v>
      </c>
      <c r="AC113" s="23">
        <f>_xlfn.XLOOKUP($C113,'PP5(2)'!$B$6:$B$100,'PP5(2)'!$F$6:$F$100,"")</f>
        <v>0</v>
      </c>
      <c r="AD113" s="10">
        <f>SUM(AE113:AP113)</f>
        <v>0</v>
      </c>
      <c r="AE113" s="23">
        <f>_xlfn.XLOOKUP($C113,'MP (1)'!$B$6:$B$100,'MP (1)'!$H$6:$H$100,"")</f>
        <v>0</v>
      </c>
      <c r="AF113" s="22">
        <f>_xlfn.XLOOKUP($C113,'MP (2)'!$B$6:$B$100,'MP (2)'!$H$6:$H$100,"")</f>
        <v>0</v>
      </c>
      <c r="AG113" s="21">
        <f>_xlfn.XLOOKUP($C113,'PP1 (1)'!$B$6:$B$66,'PP1 (1)'!$H$6:$H$66,"")</f>
        <v>0</v>
      </c>
      <c r="AH113" s="22">
        <f>_xlfn.XLOOKUP($C113,'PP1 (2)'!$B$6:$B$100,'PP1 (2)'!$H$6:$H$100,"")</f>
        <v>0</v>
      </c>
      <c r="AI113" s="18">
        <f>_xlfn.XLOOKUP($C113,'PP2 (1)'!$B$6:$B$99,'PP2 (1)'!$H$6:$H$99,"")</f>
        <v>0</v>
      </c>
      <c r="AJ113" s="19">
        <f>_xlfn.XLOOKUP($C113,'PP2 (2)'!$B$6:$B$100,'PP2 (2)'!$H$6:$H$100,"")</f>
        <v>0</v>
      </c>
      <c r="AK113" s="21">
        <f>_xlfn.XLOOKUP($C113,'PP3 (1)'!$B$5:$B$113,'PP3 (1)'!$H$5:$H$113,"")</f>
        <v>0</v>
      </c>
      <c r="AL113" s="22">
        <f>_xlfn.XLOOKUP($C113,'PP3 (2)'!$B$5:$B$112,'PP3 (2)'!$H$5:$H$112,"")</f>
        <v>0</v>
      </c>
      <c r="AM113" s="18">
        <f>_xlfn.XLOOKUP($C113,'PP4 (1)'!$B$6:$B$100,'PP4 (1)'!$H$6:$H$100,"")</f>
        <v>0</v>
      </c>
      <c r="AN113" s="19">
        <f>_xlfn.XLOOKUP($C113,'PP4 (2)'!$B$6:$B$100,'PP4 (2)'!$H$6:$H$100,"")</f>
        <v>0</v>
      </c>
      <c r="AO113" s="21">
        <f>_xlfn.XLOOKUP($C113,'PP5 (1)'!$B$6:$B$100,'PP5 (1)'!$H$6:$H$100,"")</f>
        <v>0</v>
      </c>
      <c r="AP113" s="29">
        <f>_xlfn.XLOOKUP($C113,'PP5(2)'!$B$6:$B$100,'PP5(2)'!$H$6:$H$100,"")</f>
        <v>0</v>
      </c>
    </row>
    <row r="114" spans="1:42" ht="13.1" customHeight="1" x14ac:dyDescent="0.25">
      <c r="A114" s="1">
        <f>ROW()-4</f>
        <v>110</v>
      </c>
      <c r="B114" s="1"/>
      <c r="C114" s="3"/>
      <c r="D114" s="26">
        <f>SUM(E114:P114)</f>
        <v>0</v>
      </c>
      <c r="E114" s="23">
        <f>_xlfn.XLOOKUP($C114,'MP (1)'!$B$6:$B$100,'MP (1)'!$E$6:$E$100,"")</f>
        <v>0</v>
      </c>
      <c r="F114" s="22">
        <f>_xlfn.XLOOKUP($C114,'MP (2)'!$B$6:$B$100,'MP (2)'!$E$6:$E$100,"")</f>
        <v>0</v>
      </c>
      <c r="G114" s="21">
        <f>_xlfn.XLOOKUP($C114,'PP1 (1)'!$B$6:$B$66,'PP1 (1)'!$E$6:$E$66,"")</f>
        <v>0</v>
      </c>
      <c r="H114" s="22">
        <f>_xlfn.XLOOKUP($C114,'PP1 (2)'!$B$6:$B$100,'PP1 (2)'!$E$6:$E$100,"")</f>
        <v>0</v>
      </c>
      <c r="I114" s="18">
        <f>_xlfn.XLOOKUP($C114,'PP2 (1)'!$B$6:$B$99,'PP2 (1)'!$E$6:$E$99,"")</f>
        <v>0</v>
      </c>
      <c r="J114" s="20">
        <f>_xlfn.XLOOKUP($C114,'PP2 (2)'!$B$6:$B$100,'PP2 (2)'!$E$6:$E$100,"")</f>
        <v>0</v>
      </c>
      <c r="K114" s="21">
        <f>_xlfn.XLOOKUP($C114,'PP3 (1)'!$B$5:$B$113,'PP3 (1)'!$E$5:$E$113,"")</f>
        <v>0</v>
      </c>
      <c r="L114" s="22">
        <f>_xlfn.XLOOKUP($C114,'PP3 (2)'!$B$5:$B$112,'PP3 (2)'!$E$5:$E$112,"")</f>
        <v>0</v>
      </c>
      <c r="M114" s="18">
        <f>_xlfn.XLOOKUP($C114,'PP4 (1)'!$B$6:$B$100,'PP4 (1)'!$E$6:$E$100,"")</f>
        <v>0</v>
      </c>
      <c r="N114" s="20">
        <f>_xlfn.XLOOKUP($C114,'PP4 (2)'!$B$6:$B$100,'PP4 (2)'!$E$6:$E$100,"")</f>
        <v>0</v>
      </c>
      <c r="O114" s="21">
        <f>_xlfn.XLOOKUP($C114,'PP5 (1)'!$B$6:$B$100,'PP5 (1)'!$E$6:$E$100,"")</f>
        <v>0</v>
      </c>
      <c r="P114" s="23">
        <f>_xlfn.XLOOKUP($C114,'PP5(2)'!$B$6:$B$100,'PP5(2)'!$E$6:$E$100,"")</f>
        <v>0</v>
      </c>
      <c r="Q114" s="10">
        <f>SUM(R114:AC114)</f>
        <v>0</v>
      </c>
      <c r="R114" s="23">
        <f>_xlfn.XLOOKUP($C114,'MP (1)'!$B$6:$B$100,'MP (1)'!$F$6:$F$100,"")</f>
        <v>0</v>
      </c>
      <c r="S114" s="22">
        <f>_xlfn.XLOOKUP($C114,'MP (2)'!$B$6:$B$100,'MP (2)'!$F$6:$F$100,"")</f>
        <v>0</v>
      </c>
      <c r="T114" s="21">
        <f>_xlfn.XLOOKUP($C114,'PP1 (1)'!$B$6:$B$66,'PP1 (1)'!$F$6:$F$66,"")</f>
        <v>0</v>
      </c>
      <c r="U114" s="22">
        <f>_xlfn.XLOOKUP($C114,'PP1 (2)'!$B$6:$B$100,'PP1 (2)'!$F$6:$F$100,"")</f>
        <v>0</v>
      </c>
      <c r="V114" s="18">
        <f>_xlfn.XLOOKUP($C114,'PP2 (1)'!$B$6:$B$99,'PP2 (1)'!$F$6:$F$99,"")</f>
        <v>0</v>
      </c>
      <c r="W114" s="20">
        <f>_xlfn.XLOOKUP($C114,'PP2 (2)'!$B$6:$B$100,'PP2 (2)'!$F$6:$F$100,"")</f>
        <v>0</v>
      </c>
      <c r="X114" s="21">
        <f>_xlfn.XLOOKUP($C114,'PP3 (1)'!$B$5:$B$113,'PP3 (1)'!$F$5:$F$113,"")</f>
        <v>0</v>
      </c>
      <c r="Y114" s="22">
        <f>_xlfn.XLOOKUP($C114,'PP3 (2)'!$B$5:$B$112,'PP3 (2)'!$F$5:$F$112,"")</f>
        <v>0</v>
      </c>
      <c r="Z114" s="18">
        <f>_xlfn.XLOOKUP($C114,'PP4 (1)'!$B$6:$B$100,'PP4 (1)'!$F$6:$F$100,"")</f>
        <v>0</v>
      </c>
      <c r="AA114" s="20">
        <f>_xlfn.XLOOKUP($C114,'PP4 (2)'!$B$6:$B$100,'PP4 (2)'!$F$6:$F$100,"")</f>
        <v>0</v>
      </c>
      <c r="AB114" s="21">
        <f>_xlfn.XLOOKUP($C114,'PP5 (1)'!$B$6:$B$100,'PP5 (1)'!$F$6:$F$100,"")</f>
        <v>0</v>
      </c>
      <c r="AC114" s="23">
        <f>_xlfn.XLOOKUP($C114,'PP5(2)'!$B$6:$B$100,'PP5(2)'!$F$6:$F$100,"")</f>
        <v>0</v>
      </c>
      <c r="AD114" s="10">
        <f>SUM(AE114:AP114)</f>
        <v>0</v>
      </c>
      <c r="AE114" s="23">
        <f>_xlfn.XLOOKUP($C114,'MP (1)'!$B$6:$B$100,'MP (1)'!$H$6:$H$100,"")</f>
        <v>0</v>
      </c>
      <c r="AF114" s="22">
        <f>_xlfn.XLOOKUP($C114,'MP (2)'!$B$6:$B$100,'MP (2)'!$H$6:$H$100,"")</f>
        <v>0</v>
      </c>
      <c r="AG114" s="21">
        <f>_xlfn.XLOOKUP($C114,'PP1 (1)'!$B$6:$B$66,'PP1 (1)'!$H$6:$H$66,"")</f>
        <v>0</v>
      </c>
      <c r="AH114" s="22">
        <f>_xlfn.XLOOKUP($C114,'PP1 (2)'!$B$6:$B$100,'PP1 (2)'!$H$6:$H$100,"")</f>
        <v>0</v>
      </c>
      <c r="AI114" s="18">
        <f>_xlfn.XLOOKUP($C114,'PP2 (1)'!$B$6:$B$99,'PP2 (1)'!$H$6:$H$99,"")</f>
        <v>0</v>
      </c>
      <c r="AJ114" s="19">
        <f>_xlfn.XLOOKUP($C114,'PP2 (2)'!$B$6:$B$100,'PP2 (2)'!$H$6:$H$100,"")</f>
        <v>0</v>
      </c>
      <c r="AK114" s="21">
        <f>_xlfn.XLOOKUP($C114,'PP3 (1)'!$B$5:$B$113,'PP3 (1)'!$H$5:$H$113,"")</f>
        <v>0</v>
      </c>
      <c r="AL114" s="22">
        <f>_xlfn.XLOOKUP($C114,'PP3 (2)'!$B$5:$B$112,'PP3 (2)'!$H$5:$H$112,"")</f>
        <v>0</v>
      </c>
      <c r="AM114" s="18">
        <f>_xlfn.XLOOKUP($C114,'PP4 (1)'!$B$6:$B$100,'PP4 (1)'!$H$6:$H$100,"")</f>
        <v>0</v>
      </c>
      <c r="AN114" s="19">
        <f>_xlfn.XLOOKUP($C114,'PP4 (2)'!$B$6:$B$100,'PP4 (2)'!$H$6:$H$100,"")</f>
        <v>0</v>
      </c>
      <c r="AO114" s="21">
        <f>_xlfn.XLOOKUP($C114,'PP5 (1)'!$B$6:$B$100,'PP5 (1)'!$H$6:$H$100,"")</f>
        <v>0</v>
      </c>
      <c r="AP114" s="29">
        <f>_xlfn.XLOOKUP($C114,'PP5(2)'!$B$6:$B$100,'PP5(2)'!$H$6:$H$100,"")</f>
        <v>0</v>
      </c>
    </row>
  </sheetData>
  <sheetProtection selectLockedCells="1" selectUnlockedCells="1"/>
  <autoFilter ref="A4:AR114" xr:uid="{00000000-0009-0000-0000-000000000000}">
    <sortState xmlns:xlrd2="http://schemas.microsoft.com/office/spreadsheetml/2017/richdata2" ref="A7:AP114">
      <sortCondition descending="1" ref="D4:D114"/>
    </sortState>
  </autoFilter>
  <mergeCells count="27">
    <mergeCell ref="AO3:AP3"/>
    <mergeCell ref="AE2:AP2"/>
    <mergeCell ref="AE3:AF3"/>
    <mergeCell ref="AG3:AH3"/>
    <mergeCell ref="AI3:AJ3"/>
    <mergeCell ref="AK3:AL3"/>
    <mergeCell ref="AM3:AN3"/>
    <mergeCell ref="AD2:AD4"/>
    <mergeCell ref="E2:P2"/>
    <mergeCell ref="G3:H3"/>
    <mergeCell ref="O3:P3"/>
    <mergeCell ref="R2:AC2"/>
    <mergeCell ref="R3:S3"/>
    <mergeCell ref="M3:N3"/>
    <mergeCell ref="V3:W3"/>
    <mergeCell ref="X3:Y3"/>
    <mergeCell ref="Z3:AA3"/>
    <mergeCell ref="AB3:AC3"/>
    <mergeCell ref="I3:J3"/>
    <mergeCell ref="K3:L3"/>
    <mergeCell ref="T3:U3"/>
    <mergeCell ref="A2:A4"/>
    <mergeCell ref="C2:C4"/>
    <mergeCell ref="D2:D4"/>
    <mergeCell ref="E3:F3"/>
    <mergeCell ref="Q2:Q4"/>
    <mergeCell ref="B2:B4"/>
  </mergeCells>
  <conditionalFormatting sqref="A5:A114">
    <cfRule type="cellIs" dxfId="2" priority="43" operator="equal">
      <formula>3</formula>
    </cfRule>
    <cfRule type="cellIs" dxfId="1" priority="44" operator="equal">
      <formula>2</formula>
    </cfRule>
    <cfRule type="cellIs" dxfId="0" priority="45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L51"/>
  <sheetViews>
    <sheetView topLeftCell="A21" workbookViewId="0">
      <selection activeCell="B36" sqref="B36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3.875" style="4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1" t="s">
        <v>82</v>
      </c>
      <c r="B2" s="51"/>
      <c r="C2" s="52" t="s">
        <v>187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B3" s="4" t="s">
        <v>188</v>
      </c>
      <c r="C3" s="53" t="s">
        <v>186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4.95" thickBot="1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3</v>
      </c>
      <c r="G5" s="7" t="s">
        <v>88</v>
      </c>
      <c r="H5" s="7" t="s">
        <v>4</v>
      </c>
      <c r="I5" s="7" t="s">
        <v>89</v>
      </c>
      <c r="J5" s="7" t="s">
        <v>90</v>
      </c>
      <c r="K5" s="7" t="s">
        <v>91</v>
      </c>
      <c r="L5" s="7" t="s">
        <v>92</v>
      </c>
    </row>
    <row r="6" spans="1:12" ht="29.25" thickBot="1" x14ac:dyDescent="0.25">
      <c r="A6" s="37">
        <v>1</v>
      </c>
      <c r="B6" s="37" t="s">
        <v>24</v>
      </c>
      <c r="C6" s="37">
        <v>6</v>
      </c>
      <c r="D6" s="37">
        <v>6</v>
      </c>
      <c r="E6" s="37">
        <v>1</v>
      </c>
      <c r="F6" s="37">
        <v>30</v>
      </c>
      <c r="G6" s="37">
        <v>9</v>
      </c>
      <c r="H6" s="37">
        <v>21</v>
      </c>
      <c r="I6" s="38" t="s">
        <v>93</v>
      </c>
      <c r="J6" s="37" t="s">
        <v>114</v>
      </c>
      <c r="K6" s="37" t="s">
        <v>115</v>
      </c>
      <c r="L6" s="6" t="s">
        <v>95</v>
      </c>
    </row>
    <row r="7" spans="1:12" ht="14.95" thickBot="1" x14ac:dyDescent="0.25">
      <c r="A7" s="37">
        <v>2</v>
      </c>
      <c r="B7" s="37" t="s">
        <v>19</v>
      </c>
      <c r="C7" s="37">
        <v>5</v>
      </c>
      <c r="D7" s="37">
        <v>5</v>
      </c>
      <c r="E7" s="37">
        <v>1</v>
      </c>
      <c r="F7" s="37">
        <v>25</v>
      </c>
      <c r="G7" s="37">
        <v>9</v>
      </c>
      <c r="H7" s="37">
        <v>16</v>
      </c>
      <c r="I7" s="38" t="s">
        <v>93</v>
      </c>
      <c r="J7" s="37" t="s">
        <v>189</v>
      </c>
      <c r="K7" s="37" t="s">
        <v>115</v>
      </c>
      <c r="L7" s="6" t="s">
        <v>95</v>
      </c>
    </row>
    <row r="8" spans="1:12" ht="29.25" thickBot="1" x14ac:dyDescent="0.25">
      <c r="A8" s="37">
        <v>3</v>
      </c>
      <c r="B8" s="37" t="s">
        <v>40</v>
      </c>
      <c r="C8" s="37">
        <v>5</v>
      </c>
      <c r="D8" s="37">
        <v>5</v>
      </c>
      <c r="E8" s="37">
        <v>1</v>
      </c>
      <c r="F8" s="37">
        <v>25</v>
      </c>
      <c r="G8" s="37">
        <v>10</v>
      </c>
      <c r="H8" s="37">
        <v>15</v>
      </c>
      <c r="I8" s="38" t="s">
        <v>93</v>
      </c>
      <c r="J8" s="37" t="s">
        <v>119</v>
      </c>
      <c r="K8" s="37" t="s">
        <v>115</v>
      </c>
      <c r="L8" s="6" t="s">
        <v>95</v>
      </c>
    </row>
    <row r="9" spans="1:12" ht="29.25" thickBot="1" x14ac:dyDescent="0.25">
      <c r="A9" s="37">
        <v>4</v>
      </c>
      <c r="B9" s="37" t="s">
        <v>31</v>
      </c>
      <c r="C9" s="37">
        <v>4</v>
      </c>
      <c r="D9" s="37">
        <v>4</v>
      </c>
      <c r="E9" s="37">
        <v>1</v>
      </c>
      <c r="F9" s="37">
        <v>20</v>
      </c>
      <c r="G9" s="37">
        <v>6</v>
      </c>
      <c r="H9" s="37">
        <v>14</v>
      </c>
      <c r="I9" s="38" t="s">
        <v>93</v>
      </c>
      <c r="J9" s="37" t="s">
        <v>190</v>
      </c>
      <c r="K9" s="37" t="s">
        <v>115</v>
      </c>
      <c r="L9" s="6" t="s">
        <v>95</v>
      </c>
    </row>
    <row r="10" spans="1:12" ht="29.25" thickBot="1" x14ac:dyDescent="0.25">
      <c r="A10" s="37">
        <v>5</v>
      </c>
      <c r="B10" s="37" t="s">
        <v>12</v>
      </c>
      <c r="C10" s="37">
        <v>5</v>
      </c>
      <c r="D10" s="37">
        <v>6</v>
      </c>
      <c r="E10" s="37">
        <v>0.83</v>
      </c>
      <c r="F10" s="37">
        <v>26</v>
      </c>
      <c r="G10" s="37">
        <v>12</v>
      </c>
      <c r="H10" s="37">
        <v>14</v>
      </c>
      <c r="I10" s="38" t="s">
        <v>93</v>
      </c>
      <c r="J10" s="37" t="s">
        <v>191</v>
      </c>
      <c r="K10" s="37" t="s">
        <v>115</v>
      </c>
      <c r="L10" s="6" t="s">
        <v>95</v>
      </c>
    </row>
    <row r="11" spans="1:12" ht="29.25" thickBot="1" x14ac:dyDescent="0.25">
      <c r="A11" s="37">
        <v>6</v>
      </c>
      <c r="B11" s="37" t="s">
        <v>10</v>
      </c>
      <c r="C11" s="37">
        <v>5</v>
      </c>
      <c r="D11" s="37">
        <v>6</v>
      </c>
      <c r="E11" s="37">
        <v>0.83</v>
      </c>
      <c r="F11" s="37">
        <v>28</v>
      </c>
      <c r="G11" s="37">
        <v>16</v>
      </c>
      <c r="H11" s="37">
        <v>12</v>
      </c>
      <c r="I11" s="38" t="s">
        <v>93</v>
      </c>
      <c r="J11" s="37" t="s">
        <v>114</v>
      </c>
      <c r="K11" s="37" t="s">
        <v>115</v>
      </c>
      <c r="L11" s="6" t="s">
        <v>95</v>
      </c>
    </row>
    <row r="12" spans="1:12" ht="29.25" thickBot="1" x14ac:dyDescent="0.25">
      <c r="A12" s="37">
        <v>7</v>
      </c>
      <c r="B12" s="37" t="s">
        <v>33</v>
      </c>
      <c r="C12" s="37">
        <v>4</v>
      </c>
      <c r="D12" s="37">
        <v>5</v>
      </c>
      <c r="E12" s="37">
        <v>0.8</v>
      </c>
      <c r="F12" s="37">
        <v>23</v>
      </c>
      <c r="G12" s="37">
        <v>11</v>
      </c>
      <c r="H12" s="37">
        <v>12</v>
      </c>
      <c r="I12" s="38" t="s">
        <v>93</v>
      </c>
      <c r="J12" s="37" t="s">
        <v>96</v>
      </c>
      <c r="K12" s="37" t="s">
        <v>115</v>
      </c>
      <c r="L12" s="6" t="s">
        <v>95</v>
      </c>
    </row>
    <row r="13" spans="1:12" ht="29.25" thickBot="1" x14ac:dyDescent="0.25">
      <c r="A13" s="37">
        <v>8</v>
      </c>
      <c r="B13" s="37" t="s">
        <v>15</v>
      </c>
      <c r="C13" s="37">
        <v>4</v>
      </c>
      <c r="D13" s="37">
        <v>5</v>
      </c>
      <c r="E13" s="37">
        <v>0.8</v>
      </c>
      <c r="F13" s="37">
        <v>23</v>
      </c>
      <c r="G13" s="37">
        <v>12</v>
      </c>
      <c r="H13" s="37">
        <v>11</v>
      </c>
      <c r="I13" s="38" t="s">
        <v>93</v>
      </c>
      <c r="J13" s="37" t="s">
        <v>96</v>
      </c>
      <c r="K13" s="37" t="s">
        <v>115</v>
      </c>
      <c r="L13" s="6" t="s">
        <v>95</v>
      </c>
    </row>
    <row r="14" spans="1:12" ht="29.25" thickBot="1" x14ac:dyDescent="0.25">
      <c r="A14" s="37">
        <v>9</v>
      </c>
      <c r="B14" s="37" t="s">
        <v>17</v>
      </c>
      <c r="C14" s="37">
        <v>3</v>
      </c>
      <c r="D14" s="37">
        <v>4</v>
      </c>
      <c r="E14" s="37">
        <v>0.75</v>
      </c>
      <c r="F14" s="37">
        <v>19</v>
      </c>
      <c r="G14" s="37">
        <v>10</v>
      </c>
      <c r="H14" s="37">
        <v>9</v>
      </c>
      <c r="I14" s="38" t="s">
        <v>93</v>
      </c>
      <c r="J14" s="37" t="s">
        <v>114</v>
      </c>
      <c r="K14" s="37" t="s">
        <v>115</v>
      </c>
      <c r="L14" s="6" t="s">
        <v>95</v>
      </c>
    </row>
    <row r="15" spans="1:12" ht="29.25" thickBot="1" x14ac:dyDescent="0.25">
      <c r="A15" s="37">
        <v>10</v>
      </c>
      <c r="B15" s="37" t="s">
        <v>11</v>
      </c>
      <c r="C15" s="37">
        <v>3</v>
      </c>
      <c r="D15" s="37">
        <v>4</v>
      </c>
      <c r="E15" s="37">
        <v>0.75</v>
      </c>
      <c r="F15" s="37">
        <v>19</v>
      </c>
      <c r="G15" s="37">
        <v>11</v>
      </c>
      <c r="H15" s="37">
        <v>8</v>
      </c>
      <c r="I15" s="38" t="s">
        <v>93</v>
      </c>
      <c r="J15" s="37"/>
      <c r="K15" s="37" t="s">
        <v>115</v>
      </c>
      <c r="L15" s="6" t="s">
        <v>95</v>
      </c>
    </row>
    <row r="16" spans="1:12" ht="14.95" thickBot="1" x14ac:dyDescent="0.25">
      <c r="A16" s="37">
        <v>11</v>
      </c>
      <c r="B16" s="37" t="s">
        <v>32</v>
      </c>
      <c r="C16" s="37">
        <v>3</v>
      </c>
      <c r="D16" s="37">
        <v>4</v>
      </c>
      <c r="E16" s="37">
        <v>0.75</v>
      </c>
      <c r="F16" s="37">
        <v>18</v>
      </c>
      <c r="G16" s="37">
        <v>13</v>
      </c>
      <c r="H16" s="37">
        <v>5</v>
      </c>
      <c r="I16" s="38" t="s">
        <v>93</v>
      </c>
      <c r="J16" s="37" t="s">
        <v>192</v>
      </c>
      <c r="K16" s="37" t="s">
        <v>115</v>
      </c>
      <c r="L16" s="6" t="s">
        <v>95</v>
      </c>
    </row>
    <row r="17" spans="1:12" ht="14.95" thickBot="1" x14ac:dyDescent="0.25">
      <c r="A17" s="37">
        <v>12</v>
      </c>
      <c r="B17" s="37" t="s">
        <v>42</v>
      </c>
      <c r="C17" s="37">
        <v>4</v>
      </c>
      <c r="D17" s="37">
        <v>6</v>
      </c>
      <c r="E17" s="37">
        <v>0.67</v>
      </c>
      <c r="F17" s="37">
        <v>25</v>
      </c>
      <c r="G17" s="37">
        <v>15</v>
      </c>
      <c r="H17" s="37">
        <v>10</v>
      </c>
      <c r="I17" s="38" t="s">
        <v>93</v>
      </c>
      <c r="J17" s="37" t="s">
        <v>121</v>
      </c>
      <c r="K17" s="37" t="s">
        <v>115</v>
      </c>
      <c r="L17" s="6" t="s">
        <v>95</v>
      </c>
    </row>
    <row r="18" spans="1:12" ht="29.25" thickBot="1" x14ac:dyDescent="0.25">
      <c r="A18" s="37">
        <v>13</v>
      </c>
      <c r="B18" s="37" t="s">
        <v>16</v>
      </c>
      <c r="C18" s="37">
        <v>4</v>
      </c>
      <c r="D18" s="37">
        <v>6</v>
      </c>
      <c r="E18" s="37">
        <v>0.67</v>
      </c>
      <c r="F18" s="37">
        <v>27</v>
      </c>
      <c r="G18" s="37">
        <v>20</v>
      </c>
      <c r="H18" s="37">
        <v>7</v>
      </c>
      <c r="I18" s="38" t="s">
        <v>93</v>
      </c>
      <c r="J18" s="37" t="s">
        <v>193</v>
      </c>
      <c r="K18" s="37" t="s">
        <v>115</v>
      </c>
      <c r="L18" s="6" t="s">
        <v>95</v>
      </c>
    </row>
    <row r="19" spans="1:12" ht="29.25" thickBot="1" x14ac:dyDescent="0.25">
      <c r="A19" s="37">
        <v>14</v>
      </c>
      <c r="B19" s="37" t="s">
        <v>38</v>
      </c>
      <c r="C19" s="37">
        <v>4</v>
      </c>
      <c r="D19" s="37">
        <v>6</v>
      </c>
      <c r="E19" s="37">
        <v>0.67</v>
      </c>
      <c r="F19" s="37">
        <v>23</v>
      </c>
      <c r="G19" s="37">
        <v>19</v>
      </c>
      <c r="H19" s="37">
        <v>4</v>
      </c>
      <c r="I19" s="38" t="s">
        <v>93</v>
      </c>
      <c r="J19" s="37" t="s">
        <v>121</v>
      </c>
      <c r="K19" s="37" t="s">
        <v>115</v>
      </c>
      <c r="L19" s="6" t="s">
        <v>95</v>
      </c>
    </row>
    <row r="20" spans="1:12" ht="29.25" thickBot="1" x14ac:dyDescent="0.25">
      <c r="A20" s="37">
        <v>15</v>
      </c>
      <c r="B20" s="37" t="s">
        <v>23</v>
      </c>
      <c r="C20" s="37">
        <v>3</v>
      </c>
      <c r="D20" s="37">
        <v>5</v>
      </c>
      <c r="E20" s="37">
        <v>0.6</v>
      </c>
      <c r="F20" s="37">
        <v>21</v>
      </c>
      <c r="G20" s="37">
        <v>15</v>
      </c>
      <c r="H20" s="37">
        <v>6</v>
      </c>
      <c r="I20" s="38" t="s">
        <v>93</v>
      </c>
      <c r="J20" s="37" t="s">
        <v>119</v>
      </c>
      <c r="K20" s="37" t="s">
        <v>115</v>
      </c>
      <c r="L20" s="6" t="s">
        <v>95</v>
      </c>
    </row>
    <row r="21" spans="1:12" ht="29.25" thickBot="1" x14ac:dyDescent="0.25">
      <c r="A21" s="37">
        <v>16</v>
      </c>
      <c r="B21" s="37" t="s">
        <v>13</v>
      </c>
      <c r="C21" s="37">
        <v>3</v>
      </c>
      <c r="D21" s="37">
        <v>5</v>
      </c>
      <c r="E21" s="37">
        <v>0.6</v>
      </c>
      <c r="F21" s="37">
        <v>20</v>
      </c>
      <c r="G21" s="37">
        <v>16</v>
      </c>
      <c r="H21" s="37">
        <v>4</v>
      </c>
      <c r="I21" s="38" t="s">
        <v>93</v>
      </c>
      <c r="J21" s="37" t="s">
        <v>114</v>
      </c>
      <c r="K21" s="37" t="s">
        <v>115</v>
      </c>
      <c r="L21" s="6" t="s">
        <v>95</v>
      </c>
    </row>
    <row r="22" spans="1:12" ht="29.25" thickBot="1" x14ac:dyDescent="0.25">
      <c r="A22" s="37">
        <v>17</v>
      </c>
      <c r="B22" s="37" t="s">
        <v>79</v>
      </c>
      <c r="C22" s="37">
        <v>3</v>
      </c>
      <c r="D22" s="37">
        <v>6</v>
      </c>
      <c r="E22" s="37">
        <v>0.5</v>
      </c>
      <c r="F22" s="37">
        <v>24</v>
      </c>
      <c r="G22" s="37">
        <v>22</v>
      </c>
      <c r="H22" s="37">
        <v>2</v>
      </c>
      <c r="I22" s="38" t="s">
        <v>93</v>
      </c>
      <c r="J22" s="37" t="s">
        <v>96</v>
      </c>
      <c r="K22" s="37" t="s">
        <v>115</v>
      </c>
      <c r="L22" s="6" t="s">
        <v>95</v>
      </c>
    </row>
    <row r="23" spans="1:12" ht="14.95" thickBot="1" x14ac:dyDescent="0.25">
      <c r="A23" s="37">
        <v>18</v>
      </c>
      <c r="B23" s="37" t="s">
        <v>20</v>
      </c>
      <c r="C23" s="37">
        <v>2</v>
      </c>
      <c r="D23" s="37">
        <v>4</v>
      </c>
      <c r="E23" s="37">
        <v>0.5</v>
      </c>
      <c r="F23" s="37">
        <v>15</v>
      </c>
      <c r="G23" s="37">
        <v>15</v>
      </c>
      <c r="H23" s="37">
        <v>0</v>
      </c>
      <c r="I23" s="38" t="s">
        <v>93</v>
      </c>
      <c r="J23" s="37" t="s">
        <v>121</v>
      </c>
      <c r="K23" s="37" t="s">
        <v>115</v>
      </c>
      <c r="L23" s="6" t="s">
        <v>95</v>
      </c>
    </row>
    <row r="24" spans="1:12" ht="29.25" thickBot="1" x14ac:dyDescent="0.25">
      <c r="A24" s="37">
        <v>19</v>
      </c>
      <c r="B24" s="37" t="s">
        <v>25</v>
      </c>
      <c r="C24" s="37">
        <v>3</v>
      </c>
      <c r="D24" s="37">
        <v>6</v>
      </c>
      <c r="E24" s="37">
        <v>0.5</v>
      </c>
      <c r="F24" s="37">
        <v>24</v>
      </c>
      <c r="G24" s="37">
        <v>25</v>
      </c>
      <c r="H24" s="37">
        <v>-1</v>
      </c>
      <c r="I24" s="38" t="s">
        <v>93</v>
      </c>
      <c r="J24" s="37" t="s">
        <v>190</v>
      </c>
      <c r="K24" s="37" t="s">
        <v>115</v>
      </c>
      <c r="L24" s="6" t="s">
        <v>95</v>
      </c>
    </row>
    <row r="25" spans="1:12" ht="29.25" thickBot="1" x14ac:dyDescent="0.25">
      <c r="A25" s="37">
        <v>20</v>
      </c>
      <c r="B25" s="37" t="s">
        <v>76</v>
      </c>
      <c r="C25" s="37">
        <v>2</v>
      </c>
      <c r="D25" s="37">
        <v>4</v>
      </c>
      <c r="E25" s="37">
        <v>0.5</v>
      </c>
      <c r="F25" s="37">
        <v>15</v>
      </c>
      <c r="G25" s="37">
        <v>16</v>
      </c>
      <c r="H25" s="37">
        <v>-1</v>
      </c>
      <c r="I25" s="38" t="s">
        <v>93</v>
      </c>
      <c r="J25" s="37" t="s">
        <v>193</v>
      </c>
      <c r="K25" s="37" t="s">
        <v>115</v>
      </c>
      <c r="L25" s="6" t="s">
        <v>95</v>
      </c>
    </row>
    <row r="26" spans="1:12" ht="29.25" thickBot="1" x14ac:dyDescent="0.25">
      <c r="A26" s="37">
        <v>21</v>
      </c>
      <c r="B26" s="37" t="s">
        <v>28</v>
      </c>
      <c r="C26" s="37">
        <v>2</v>
      </c>
      <c r="D26" s="37">
        <v>4</v>
      </c>
      <c r="E26" s="37">
        <v>0.5</v>
      </c>
      <c r="F26" s="37">
        <v>12</v>
      </c>
      <c r="G26" s="37">
        <v>15</v>
      </c>
      <c r="H26" s="37">
        <v>-3</v>
      </c>
      <c r="I26" s="38" t="s">
        <v>93</v>
      </c>
      <c r="J26" s="37" t="s">
        <v>114</v>
      </c>
      <c r="K26" s="37" t="s">
        <v>115</v>
      </c>
      <c r="L26" s="6" t="s">
        <v>95</v>
      </c>
    </row>
    <row r="27" spans="1:12" ht="14.95" thickBot="1" x14ac:dyDescent="0.25">
      <c r="A27" s="37">
        <v>22</v>
      </c>
      <c r="B27" s="37" t="s">
        <v>29</v>
      </c>
      <c r="C27" s="37">
        <v>2</v>
      </c>
      <c r="D27" s="37">
        <v>5</v>
      </c>
      <c r="E27" s="37">
        <v>0.4</v>
      </c>
      <c r="F27" s="37">
        <v>16</v>
      </c>
      <c r="G27" s="37">
        <v>17</v>
      </c>
      <c r="H27" s="37">
        <v>-1</v>
      </c>
      <c r="I27" s="38" t="s">
        <v>93</v>
      </c>
      <c r="J27" s="37" t="s">
        <v>194</v>
      </c>
      <c r="K27" s="37" t="s">
        <v>115</v>
      </c>
      <c r="L27" s="6" t="s">
        <v>95</v>
      </c>
    </row>
    <row r="28" spans="1:12" ht="14.95" thickBot="1" x14ac:dyDescent="0.25">
      <c r="A28" s="37">
        <v>23</v>
      </c>
      <c r="B28" s="37" t="s">
        <v>18</v>
      </c>
      <c r="C28" s="37">
        <v>2</v>
      </c>
      <c r="D28" s="37">
        <v>5</v>
      </c>
      <c r="E28" s="37">
        <v>0.4</v>
      </c>
      <c r="F28" s="37">
        <v>16</v>
      </c>
      <c r="G28" s="37">
        <v>21</v>
      </c>
      <c r="H28" s="37">
        <v>-5</v>
      </c>
      <c r="I28" s="38" t="s">
        <v>93</v>
      </c>
      <c r="J28" s="37" t="s">
        <v>191</v>
      </c>
      <c r="K28" s="37" t="s">
        <v>115</v>
      </c>
      <c r="L28" s="6" t="s">
        <v>95</v>
      </c>
    </row>
    <row r="29" spans="1:12" ht="29.25" thickBot="1" x14ac:dyDescent="0.25">
      <c r="A29" s="37">
        <v>24</v>
      </c>
      <c r="B29" s="37" t="s">
        <v>59</v>
      </c>
      <c r="C29" s="37">
        <v>2</v>
      </c>
      <c r="D29" s="37">
        <v>6</v>
      </c>
      <c r="E29" s="37">
        <v>0.33</v>
      </c>
      <c r="F29" s="37">
        <v>23</v>
      </c>
      <c r="G29" s="37">
        <v>24</v>
      </c>
      <c r="H29" s="37">
        <v>-1</v>
      </c>
      <c r="I29" s="38" t="s">
        <v>93</v>
      </c>
      <c r="J29" s="37" t="s">
        <v>119</v>
      </c>
      <c r="K29" s="37" t="s">
        <v>115</v>
      </c>
      <c r="L29" s="6" t="s">
        <v>95</v>
      </c>
    </row>
    <row r="30" spans="1:12" ht="57.75" thickBot="1" x14ac:dyDescent="0.25">
      <c r="A30" s="37">
        <v>25</v>
      </c>
      <c r="B30" s="37" t="s">
        <v>47</v>
      </c>
      <c r="C30" s="37">
        <v>2</v>
      </c>
      <c r="D30" s="37">
        <v>6</v>
      </c>
      <c r="E30" s="37">
        <v>0.33</v>
      </c>
      <c r="F30" s="37">
        <v>16</v>
      </c>
      <c r="G30" s="37">
        <v>21</v>
      </c>
      <c r="H30" s="37">
        <v>-5</v>
      </c>
      <c r="I30" s="38" t="s">
        <v>93</v>
      </c>
      <c r="J30" s="37" t="s">
        <v>195</v>
      </c>
      <c r="K30" s="37" t="s">
        <v>115</v>
      </c>
      <c r="L30" s="6" t="s">
        <v>95</v>
      </c>
    </row>
    <row r="31" spans="1:12" ht="29.25" thickBot="1" x14ac:dyDescent="0.25">
      <c r="A31" s="37">
        <v>26</v>
      </c>
      <c r="B31" s="37" t="s">
        <v>30</v>
      </c>
      <c r="C31" s="37">
        <v>2</v>
      </c>
      <c r="D31" s="37">
        <v>6</v>
      </c>
      <c r="E31" s="37">
        <v>0.33</v>
      </c>
      <c r="F31" s="37">
        <v>17</v>
      </c>
      <c r="G31" s="37">
        <v>27</v>
      </c>
      <c r="H31" s="37">
        <v>-10</v>
      </c>
      <c r="I31" s="38" t="s">
        <v>93</v>
      </c>
      <c r="J31" s="37" t="s">
        <v>96</v>
      </c>
      <c r="K31" s="37" t="s">
        <v>115</v>
      </c>
      <c r="L31" s="6" t="s">
        <v>95</v>
      </c>
    </row>
    <row r="32" spans="1:12" ht="29.25" thickBot="1" x14ac:dyDescent="0.25">
      <c r="A32" s="37">
        <v>27</v>
      </c>
      <c r="B32" s="37" t="s">
        <v>197</v>
      </c>
      <c r="C32" s="37">
        <v>1</v>
      </c>
      <c r="D32" s="37">
        <v>4</v>
      </c>
      <c r="E32" s="37">
        <v>0.25</v>
      </c>
      <c r="F32" s="37">
        <v>12</v>
      </c>
      <c r="G32" s="37">
        <v>16</v>
      </c>
      <c r="H32" s="37">
        <v>-4</v>
      </c>
      <c r="I32" s="38" t="s">
        <v>93</v>
      </c>
      <c r="J32" s="37" t="s">
        <v>119</v>
      </c>
      <c r="K32" s="37" t="s">
        <v>115</v>
      </c>
      <c r="L32" s="6" t="s">
        <v>95</v>
      </c>
    </row>
    <row r="33" spans="1:12" ht="29.25" thickBot="1" x14ac:dyDescent="0.25">
      <c r="A33" s="37">
        <v>28</v>
      </c>
      <c r="B33" s="37" t="s">
        <v>37</v>
      </c>
      <c r="C33" s="37">
        <v>1</v>
      </c>
      <c r="D33" s="37">
        <v>5</v>
      </c>
      <c r="E33" s="37">
        <v>0.2</v>
      </c>
      <c r="F33" s="37">
        <v>12</v>
      </c>
      <c r="G33" s="37">
        <v>21</v>
      </c>
      <c r="H33" s="37">
        <v>-9</v>
      </c>
      <c r="I33" s="38" t="s">
        <v>93</v>
      </c>
      <c r="J33" s="37" t="s">
        <v>107</v>
      </c>
      <c r="K33" s="37" t="s">
        <v>115</v>
      </c>
      <c r="L33" s="6" t="s">
        <v>95</v>
      </c>
    </row>
    <row r="34" spans="1:12" ht="14.95" thickBot="1" x14ac:dyDescent="0.25">
      <c r="A34" s="37">
        <v>29</v>
      </c>
      <c r="B34" s="37" t="s">
        <v>64</v>
      </c>
      <c r="C34" s="37">
        <v>1</v>
      </c>
      <c r="D34" s="37">
        <v>5</v>
      </c>
      <c r="E34" s="37">
        <v>0.2</v>
      </c>
      <c r="F34" s="37">
        <v>9</v>
      </c>
      <c r="G34" s="37">
        <v>23</v>
      </c>
      <c r="H34" s="37">
        <v>-14</v>
      </c>
      <c r="I34" s="38" t="s">
        <v>93</v>
      </c>
      <c r="J34" s="37" t="s">
        <v>121</v>
      </c>
      <c r="K34" s="37" t="s">
        <v>115</v>
      </c>
      <c r="L34" s="6" t="s">
        <v>95</v>
      </c>
    </row>
    <row r="35" spans="1:12" ht="29.25" thickBot="1" x14ac:dyDescent="0.25">
      <c r="A35" s="37">
        <v>30</v>
      </c>
      <c r="B35" s="37" t="s">
        <v>48</v>
      </c>
      <c r="C35" s="37">
        <v>1</v>
      </c>
      <c r="D35" s="37">
        <v>6</v>
      </c>
      <c r="E35" s="37">
        <v>0.17</v>
      </c>
      <c r="F35" s="37">
        <v>17</v>
      </c>
      <c r="G35" s="37">
        <v>28</v>
      </c>
      <c r="H35" s="37">
        <v>-11</v>
      </c>
      <c r="I35" s="38" t="s">
        <v>93</v>
      </c>
      <c r="J35" s="37" t="s">
        <v>124</v>
      </c>
      <c r="K35" s="37" t="s">
        <v>115</v>
      </c>
      <c r="L35" s="6" t="s">
        <v>95</v>
      </c>
    </row>
    <row r="36" spans="1:12" ht="29.25" thickBot="1" x14ac:dyDescent="0.25">
      <c r="A36" s="37">
        <v>31</v>
      </c>
      <c r="B36" s="37" t="s">
        <v>74</v>
      </c>
      <c r="C36" s="37">
        <v>1</v>
      </c>
      <c r="D36" s="37">
        <v>6</v>
      </c>
      <c r="E36" s="37">
        <v>0.17</v>
      </c>
      <c r="F36" s="37">
        <v>6</v>
      </c>
      <c r="G36" s="37">
        <v>28</v>
      </c>
      <c r="H36" s="37">
        <v>-22</v>
      </c>
      <c r="I36" s="38" t="s">
        <v>93</v>
      </c>
      <c r="J36" s="37" t="s">
        <v>107</v>
      </c>
      <c r="K36" s="37" t="s">
        <v>115</v>
      </c>
      <c r="L36" s="6" t="s">
        <v>95</v>
      </c>
    </row>
    <row r="37" spans="1:12" ht="29.25" thickBot="1" x14ac:dyDescent="0.25">
      <c r="A37" s="37">
        <v>32</v>
      </c>
      <c r="B37" s="37" t="s">
        <v>57</v>
      </c>
      <c r="C37" s="37">
        <v>0</v>
      </c>
      <c r="D37" s="37">
        <v>4</v>
      </c>
      <c r="E37" s="37">
        <v>0</v>
      </c>
      <c r="F37" s="37">
        <v>7</v>
      </c>
      <c r="G37" s="37">
        <v>20</v>
      </c>
      <c r="H37" s="37">
        <v>-13</v>
      </c>
      <c r="I37" s="38" t="s">
        <v>93</v>
      </c>
      <c r="J37" s="37" t="s">
        <v>146</v>
      </c>
      <c r="K37" s="37" t="s">
        <v>115</v>
      </c>
      <c r="L37" s="6" t="s">
        <v>95</v>
      </c>
    </row>
    <row r="38" spans="1:12" ht="57.75" thickBot="1" x14ac:dyDescent="0.25">
      <c r="A38" s="37">
        <v>33</v>
      </c>
      <c r="B38" s="37" t="s">
        <v>65</v>
      </c>
      <c r="C38" s="37">
        <v>0</v>
      </c>
      <c r="D38" s="37">
        <v>4</v>
      </c>
      <c r="E38" s="37">
        <v>0</v>
      </c>
      <c r="F38" s="37">
        <v>5</v>
      </c>
      <c r="G38" s="37">
        <v>20</v>
      </c>
      <c r="H38" s="37">
        <v>-15</v>
      </c>
      <c r="I38" s="38" t="s">
        <v>93</v>
      </c>
      <c r="J38" s="37" t="s">
        <v>195</v>
      </c>
      <c r="K38" s="37" t="s">
        <v>115</v>
      </c>
      <c r="L38" s="6" t="s">
        <v>95</v>
      </c>
    </row>
    <row r="39" spans="1:12" ht="29.25" thickBot="1" x14ac:dyDescent="0.25">
      <c r="A39" s="37">
        <v>34</v>
      </c>
      <c r="B39" s="37" t="s">
        <v>62</v>
      </c>
      <c r="C39" s="37">
        <v>0</v>
      </c>
      <c r="D39" s="37">
        <v>5</v>
      </c>
      <c r="E39" s="37">
        <v>0</v>
      </c>
      <c r="F39" s="37">
        <v>9</v>
      </c>
      <c r="G39" s="37">
        <v>25</v>
      </c>
      <c r="H39" s="37">
        <v>-16</v>
      </c>
      <c r="I39" s="38" t="s">
        <v>93</v>
      </c>
      <c r="J39" s="37" t="s">
        <v>121</v>
      </c>
      <c r="K39" s="37" t="s">
        <v>115</v>
      </c>
      <c r="L39" s="6" t="s">
        <v>95</v>
      </c>
    </row>
    <row r="40" spans="1:12" ht="29.25" thickBot="1" x14ac:dyDescent="0.25">
      <c r="A40" s="37">
        <v>35</v>
      </c>
      <c r="B40" s="37" t="s">
        <v>70</v>
      </c>
      <c r="C40" s="37">
        <v>0</v>
      </c>
      <c r="D40" s="37">
        <v>5</v>
      </c>
      <c r="E40" s="37">
        <v>0</v>
      </c>
      <c r="F40" s="37">
        <v>6</v>
      </c>
      <c r="G40" s="37">
        <v>25</v>
      </c>
      <c r="H40" s="37">
        <v>-19</v>
      </c>
      <c r="I40" s="38" t="s">
        <v>93</v>
      </c>
      <c r="J40" s="37" t="s">
        <v>196</v>
      </c>
      <c r="K40" s="37" t="s">
        <v>115</v>
      </c>
      <c r="L40" s="6" t="s">
        <v>95</v>
      </c>
    </row>
    <row r="41" spans="1:12" ht="29.25" thickBot="1" x14ac:dyDescent="0.25">
      <c r="A41" s="37">
        <v>36</v>
      </c>
      <c r="B41" s="37" t="s">
        <v>184</v>
      </c>
      <c r="C41" s="37">
        <v>0</v>
      </c>
      <c r="D41" s="37">
        <v>6</v>
      </c>
      <c r="E41" s="37">
        <v>0</v>
      </c>
      <c r="F41" s="37">
        <v>10</v>
      </c>
      <c r="G41" s="37">
        <v>30</v>
      </c>
      <c r="H41" s="37">
        <v>-20</v>
      </c>
      <c r="I41" s="38" t="s">
        <v>93</v>
      </c>
      <c r="J41" s="37" t="s">
        <v>119</v>
      </c>
      <c r="K41" s="37" t="s">
        <v>115</v>
      </c>
      <c r="L41" s="6" t="s">
        <v>95</v>
      </c>
    </row>
    <row r="42" spans="1:12" ht="13.6" thickBot="1" x14ac:dyDescent="0.25">
      <c r="A42" s="32"/>
      <c r="B42" s="32"/>
      <c r="C42" s="32"/>
      <c r="D42" s="32"/>
      <c r="E42" s="32"/>
      <c r="F42" s="32"/>
      <c r="G42" s="32"/>
      <c r="H42" s="32"/>
      <c r="I42" s="33"/>
      <c r="J42" s="32"/>
      <c r="K42" s="6"/>
      <c r="L42" s="6"/>
    </row>
    <row r="43" spans="1:12" x14ac:dyDescent="0.2">
      <c r="A43" s="34"/>
      <c r="B43"/>
      <c r="C43"/>
      <c r="D43"/>
      <c r="E43"/>
      <c r="F43"/>
      <c r="G43"/>
      <c r="H43"/>
      <c r="I43"/>
      <c r="J43"/>
      <c r="K43" s="6"/>
      <c r="L43" s="6"/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C0481F07-75A9-4A25-A6D5-FC7FDDC192E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50"/>
  <sheetViews>
    <sheetView topLeftCell="A17" workbookViewId="0">
      <selection activeCell="B24" sqref="B24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75" customHeight="1" x14ac:dyDescent="0.2">
      <c r="A2" s="51" t="s">
        <v>82</v>
      </c>
      <c r="B2" s="51"/>
      <c r="C2" s="52" t="s">
        <v>187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B3" s="4" t="s">
        <v>188</v>
      </c>
      <c r="C3" s="53" t="s">
        <v>198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4.95" thickBot="1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3</v>
      </c>
      <c r="G5" s="7" t="s">
        <v>88</v>
      </c>
      <c r="H5" s="7" t="s">
        <v>4</v>
      </c>
      <c r="I5" s="7" t="s">
        <v>89</v>
      </c>
      <c r="J5" s="7" t="s">
        <v>90</v>
      </c>
      <c r="K5" s="7" t="s">
        <v>91</v>
      </c>
      <c r="L5" s="7" t="s">
        <v>92</v>
      </c>
    </row>
    <row r="6" spans="1:12" ht="14.95" thickBot="1" x14ac:dyDescent="0.25">
      <c r="A6" s="37" t="s">
        <v>199</v>
      </c>
      <c r="B6" s="37" t="s">
        <v>19</v>
      </c>
      <c r="C6" s="37">
        <v>5</v>
      </c>
      <c r="D6" s="37">
        <v>5</v>
      </c>
      <c r="E6" s="37">
        <v>1</v>
      </c>
      <c r="F6" s="37">
        <v>25</v>
      </c>
      <c r="G6" s="37">
        <v>4</v>
      </c>
      <c r="H6" s="37">
        <v>21</v>
      </c>
      <c r="I6" s="38" t="s">
        <v>93</v>
      </c>
      <c r="J6" s="37" t="s">
        <v>189</v>
      </c>
      <c r="K6" s="37" t="s">
        <v>115</v>
      </c>
      <c r="L6" s="6" t="s">
        <v>95</v>
      </c>
    </row>
    <row r="7" spans="1:12" ht="29.25" thickBot="1" x14ac:dyDescent="0.25">
      <c r="A7" s="37" t="s">
        <v>199</v>
      </c>
      <c r="B7" s="37" t="s">
        <v>12</v>
      </c>
      <c r="C7" s="37">
        <v>5</v>
      </c>
      <c r="D7" s="37">
        <v>5</v>
      </c>
      <c r="E7" s="37">
        <v>1</v>
      </c>
      <c r="F7" s="37">
        <v>25</v>
      </c>
      <c r="G7" s="37">
        <v>4</v>
      </c>
      <c r="H7" s="37">
        <v>21</v>
      </c>
      <c r="I7" s="38" t="s">
        <v>93</v>
      </c>
      <c r="J7" s="37" t="s">
        <v>191</v>
      </c>
      <c r="K7" s="37" t="s">
        <v>115</v>
      </c>
      <c r="L7" s="6" t="s">
        <v>95</v>
      </c>
    </row>
    <row r="8" spans="1:12" ht="29.25" thickBot="1" x14ac:dyDescent="0.25">
      <c r="A8" s="37">
        <v>3</v>
      </c>
      <c r="B8" s="37" t="s">
        <v>13</v>
      </c>
      <c r="C8" s="37">
        <v>5</v>
      </c>
      <c r="D8" s="37">
        <v>5</v>
      </c>
      <c r="E8" s="37">
        <v>1</v>
      </c>
      <c r="F8" s="37">
        <v>25</v>
      </c>
      <c r="G8" s="37">
        <v>8</v>
      </c>
      <c r="H8" s="37">
        <v>17</v>
      </c>
      <c r="I8" s="38" t="s">
        <v>93</v>
      </c>
      <c r="J8" s="37" t="s">
        <v>114</v>
      </c>
      <c r="K8" s="37" t="s">
        <v>115</v>
      </c>
      <c r="L8" s="6" t="s">
        <v>95</v>
      </c>
    </row>
    <row r="9" spans="1:12" ht="29.25" thickBot="1" x14ac:dyDescent="0.25">
      <c r="A9" s="37">
        <v>4</v>
      </c>
      <c r="B9" s="37" t="s">
        <v>24</v>
      </c>
      <c r="C9" s="37">
        <v>5</v>
      </c>
      <c r="D9" s="37">
        <v>5</v>
      </c>
      <c r="E9" s="37">
        <v>1</v>
      </c>
      <c r="F9" s="37">
        <v>25</v>
      </c>
      <c r="G9" s="37">
        <v>9</v>
      </c>
      <c r="H9" s="37">
        <v>16</v>
      </c>
      <c r="I9" s="38" t="s">
        <v>93</v>
      </c>
      <c r="J9" s="37" t="s">
        <v>114</v>
      </c>
      <c r="K9" s="37" t="s">
        <v>115</v>
      </c>
      <c r="L9" s="6" t="s">
        <v>95</v>
      </c>
    </row>
    <row r="10" spans="1:12" ht="29.25" thickBot="1" x14ac:dyDescent="0.25">
      <c r="A10" s="37">
        <v>5</v>
      </c>
      <c r="B10" s="37" t="s">
        <v>31</v>
      </c>
      <c r="C10" s="37">
        <v>5</v>
      </c>
      <c r="D10" s="37">
        <v>5</v>
      </c>
      <c r="E10" s="37">
        <v>1</v>
      </c>
      <c r="F10" s="37">
        <v>25</v>
      </c>
      <c r="G10" s="37">
        <v>11</v>
      </c>
      <c r="H10" s="37">
        <v>14</v>
      </c>
      <c r="I10" s="38" t="s">
        <v>93</v>
      </c>
      <c r="J10" s="37" t="s">
        <v>190</v>
      </c>
      <c r="K10" s="37" t="s">
        <v>115</v>
      </c>
      <c r="L10" s="6" t="s">
        <v>95</v>
      </c>
    </row>
    <row r="11" spans="1:12" ht="29.25" thickBot="1" x14ac:dyDescent="0.25">
      <c r="A11" s="37">
        <v>6</v>
      </c>
      <c r="B11" s="37" t="s">
        <v>11</v>
      </c>
      <c r="C11" s="37">
        <v>4</v>
      </c>
      <c r="D11" s="37">
        <v>5</v>
      </c>
      <c r="E11" s="37">
        <v>0.8</v>
      </c>
      <c r="F11" s="37">
        <v>23</v>
      </c>
      <c r="G11" s="37">
        <v>9</v>
      </c>
      <c r="H11" s="37">
        <v>14</v>
      </c>
      <c r="I11" s="38" t="s">
        <v>93</v>
      </c>
      <c r="J11" s="37"/>
      <c r="K11" s="37" t="s">
        <v>115</v>
      </c>
      <c r="L11" s="6" t="s">
        <v>95</v>
      </c>
    </row>
    <row r="12" spans="1:12" ht="14.95" thickBot="1" x14ac:dyDescent="0.25">
      <c r="A12" s="37">
        <v>7</v>
      </c>
      <c r="B12" s="37" t="s">
        <v>42</v>
      </c>
      <c r="C12" s="37">
        <v>4</v>
      </c>
      <c r="D12" s="37">
        <v>5</v>
      </c>
      <c r="E12" s="37">
        <v>0.8</v>
      </c>
      <c r="F12" s="37">
        <v>24</v>
      </c>
      <c r="G12" s="37">
        <v>13</v>
      </c>
      <c r="H12" s="37">
        <v>11</v>
      </c>
      <c r="I12" s="38" t="s">
        <v>93</v>
      </c>
      <c r="J12" s="37" t="s">
        <v>121</v>
      </c>
      <c r="K12" s="37" t="s">
        <v>115</v>
      </c>
      <c r="L12" s="6" t="s">
        <v>95</v>
      </c>
    </row>
    <row r="13" spans="1:12" ht="29.25" thickBot="1" x14ac:dyDescent="0.25">
      <c r="A13" s="37">
        <v>8</v>
      </c>
      <c r="B13" s="37" t="s">
        <v>79</v>
      </c>
      <c r="C13" s="37">
        <v>4</v>
      </c>
      <c r="D13" s="37">
        <v>5</v>
      </c>
      <c r="E13" s="37">
        <v>0.8</v>
      </c>
      <c r="F13" s="37">
        <v>22</v>
      </c>
      <c r="G13" s="37">
        <v>11</v>
      </c>
      <c r="H13" s="37">
        <v>11</v>
      </c>
      <c r="I13" s="38" t="s">
        <v>93</v>
      </c>
      <c r="J13" s="37" t="s">
        <v>96</v>
      </c>
      <c r="K13" s="37" t="s">
        <v>115</v>
      </c>
      <c r="L13" s="6" t="s">
        <v>95</v>
      </c>
    </row>
    <row r="14" spans="1:12" ht="29.25" thickBot="1" x14ac:dyDescent="0.25">
      <c r="A14" s="37">
        <v>9</v>
      </c>
      <c r="B14" s="37" t="s">
        <v>15</v>
      </c>
      <c r="C14" s="37">
        <v>4</v>
      </c>
      <c r="D14" s="37">
        <v>5</v>
      </c>
      <c r="E14" s="37">
        <v>0.8</v>
      </c>
      <c r="F14" s="37">
        <v>22</v>
      </c>
      <c r="G14" s="37">
        <v>12</v>
      </c>
      <c r="H14" s="37">
        <v>10</v>
      </c>
      <c r="I14" s="38" t="s">
        <v>93</v>
      </c>
      <c r="J14" s="37" t="s">
        <v>96</v>
      </c>
      <c r="K14" s="37" t="s">
        <v>115</v>
      </c>
      <c r="L14" s="6" t="s">
        <v>95</v>
      </c>
    </row>
    <row r="15" spans="1:12" ht="29.25" thickBot="1" x14ac:dyDescent="0.25">
      <c r="A15" s="37">
        <v>10</v>
      </c>
      <c r="B15" s="37" t="s">
        <v>10</v>
      </c>
      <c r="C15" s="37">
        <v>4</v>
      </c>
      <c r="D15" s="37">
        <v>5</v>
      </c>
      <c r="E15" s="37">
        <v>0.8</v>
      </c>
      <c r="F15" s="37">
        <v>22</v>
      </c>
      <c r="G15" s="37">
        <v>13</v>
      </c>
      <c r="H15" s="37">
        <v>9</v>
      </c>
      <c r="I15" s="38" t="s">
        <v>93</v>
      </c>
      <c r="J15" s="37" t="s">
        <v>114</v>
      </c>
      <c r="K15" s="37" t="s">
        <v>115</v>
      </c>
      <c r="L15" s="6" t="s">
        <v>95</v>
      </c>
    </row>
    <row r="16" spans="1:12" ht="14.95" thickBot="1" x14ac:dyDescent="0.25">
      <c r="A16" s="37">
        <v>11</v>
      </c>
      <c r="B16" s="37" t="s">
        <v>18</v>
      </c>
      <c r="C16" s="37">
        <v>4</v>
      </c>
      <c r="D16" s="37">
        <v>5</v>
      </c>
      <c r="E16" s="37">
        <v>0.8</v>
      </c>
      <c r="F16" s="37">
        <v>20</v>
      </c>
      <c r="G16" s="37">
        <v>14</v>
      </c>
      <c r="H16" s="37">
        <v>6</v>
      </c>
      <c r="I16" s="38" t="s">
        <v>93</v>
      </c>
      <c r="J16" s="37" t="s">
        <v>191</v>
      </c>
      <c r="K16" s="37" t="s">
        <v>115</v>
      </c>
      <c r="L16" s="6" t="s">
        <v>95</v>
      </c>
    </row>
    <row r="17" spans="1:12" ht="29.25" thickBot="1" x14ac:dyDescent="0.25">
      <c r="A17" s="37">
        <v>12</v>
      </c>
      <c r="B17" s="37" t="s">
        <v>25</v>
      </c>
      <c r="C17" s="37">
        <v>3</v>
      </c>
      <c r="D17" s="37">
        <v>5</v>
      </c>
      <c r="E17" s="37">
        <v>0.6</v>
      </c>
      <c r="F17" s="37">
        <v>21</v>
      </c>
      <c r="G17" s="37">
        <v>14</v>
      </c>
      <c r="H17" s="37">
        <v>7</v>
      </c>
      <c r="I17" s="38" t="s">
        <v>93</v>
      </c>
      <c r="J17" s="37" t="s">
        <v>190</v>
      </c>
      <c r="K17" s="37" t="s">
        <v>115</v>
      </c>
      <c r="L17" s="6" t="s">
        <v>95</v>
      </c>
    </row>
    <row r="18" spans="1:12" ht="29.25" thickBot="1" x14ac:dyDescent="0.25">
      <c r="A18" s="37">
        <v>13</v>
      </c>
      <c r="B18" s="37" t="s">
        <v>23</v>
      </c>
      <c r="C18" s="37">
        <v>3</v>
      </c>
      <c r="D18" s="37">
        <v>5</v>
      </c>
      <c r="E18" s="37">
        <v>0.6</v>
      </c>
      <c r="F18" s="37">
        <v>20</v>
      </c>
      <c r="G18" s="37">
        <v>14</v>
      </c>
      <c r="H18" s="37">
        <v>6</v>
      </c>
      <c r="I18" s="38" t="s">
        <v>93</v>
      </c>
      <c r="J18" s="37" t="s">
        <v>119</v>
      </c>
      <c r="K18" s="37" t="s">
        <v>115</v>
      </c>
      <c r="L18" s="6" t="s">
        <v>95</v>
      </c>
    </row>
    <row r="19" spans="1:12" ht="29.25" thickBot="1" x14ac:dyDescent="0.25">
      <c r="A19" s="37">
        <v>14</v>
      </c>
      <c r="B19" s="37" t="s">
        <v>16</v>
      </c>
      <c r="C19" s="37">
        <v>3</v>
      </c>
      <c r="D19" s="37">
        <v>5</v>
      </c>
      <c r="E19" s="37">
        <v>0.6</v>
      </c>
      <c r="F19" s="37">
        <v>22</v>
      </c>
      <c r="G19" s="37">
        <v>17</v>
      </c>
      <c r="H19" s="37">
        <v>5</v>
      </c>
      <c r="I19" s="38" t="s">
        <v>93</v>
      </c>
      <c r="J19" s="37" t="s">
        <v>193</v>
      </c>
      <c r="K19" s="37" t="s">
        <v>115</v>
      </c>
      <c r="L19" s="6" t="s">
        <v>95</v>
      </c>
    </row>
    <row r="20" spans="1:12" ht="29.25" thickBot="1" x14ac:dyDescent="0.25">
      <c r="A20" s="37">
        <v>15</v>
      </c>
      <c r="B20" s="37" t="s">
        <v>33</v>
      </c>
      <c r="C20" s="37">
        <v>3</v>
      </c>
      <c r="D20" s="37">
        <v>5</v>
      </c>
      <c r="E20" s="37">
        <v>0.6</v>
      </c>
      <c r="F20" s="37">
        <v>22</v>
      </c>
      <c r="G20" s="37">
        <v>18</v>
      </c>
      <c r="H20" s="37">
        <v>4</v>
      </c>
      <c r="I20" s="38" t="s">
        <v>93</v>
      </c>
      <c r="J20" s="37" t="s">
        <v>96</v>
      </c>
      <c r="K20" s="37" t="s">
        <v>115</v>
      </c>
      <c r="L20" s="6" t="s">
        <v>95</v>
      </c>
    </row>
    <row r="21" spans="1:12" ht="29.25" thickBot="1" x14ac:dyDescent="0.25">
      <c r="A21" s="37">
        <v>16</v>
      </c>
      <c r="B21" s="37" t="s">
        <v>197</v>
      </c>
      <c r="C21" s="37">
        <v>3</v>
      </c>
      <c r="D21" s="37">
        <v>5</v>
      </c>
      <c r="E21" s="37">
        <v>0.6</v>
      </c>
      <c r="F21" s="37">
        <v>19</v>
      </c>
      <c r="G21" s="37">
        <v>15</v>
      </c>
      <c r="H21" s="37">
        <v>4</v>
      </c>
      <c r="I21" s="38" t="s">
        <v>93</v>
      </c>
      <c r="J21" s="37" t="s">
        <v>119</v>
      </c>
      <c r="K21" s="37" t="s">
        <v>115</v>
      </c>
      <c r="L21" s="6" t="s">
        <v>95</v>
      </c>
    </row>
    <row r="22" spans="1:12" ht="29.25" thickBot="1" x14ac:dyDescent="0.25">
      <c r="A22" s="37">
        <v>17</v>
      </c>
      <c r="B22" s="37" t="s">
        <v>38</v>
      </c>
      <c r="C22" s="37">
        <v>3</v>
      </c>
      <c r="D22" s="37">
        <v>5</v>
      </c>
      <c r="E22" s="37">
        <v>0.6</v>
      </c>
      <c r="F22" s="37">
        <v>18</v>
      </c>
      <c r="G22" s="37">
        <v>18</v>
      </c>
      <c r="H22" s="37">
        <v>0</v>
      </c>
      <c r="I22" s="38" t="s">
        <v>93</v>
      </c>
      <c r="J22" s="37" t="s">
        <v>121</v>
      </c>
      <c r="K22" s="37" t="s">
        <v>115</v>
      </c>
      <c r="L22" s="6" t="s">
        <v>95</v>
      </c>
    </row>
    <row r="23" spans="1:12" ht="29.25" thickBot="1" x14ac:dyDescent="0.25">
      <c r="A23" s="37">
        <v>18</v>
      </c>
      <c r="B23" s="37" t="s">
        <v>40</v>
      </c>
      <c r="C23" s="37">
        <v>3</v>
      </c>
      <c r="D23" s="37">
        <v>5</v>
      </c>
      <c r="E23" s="37">
        <v>0.6</v>
      </c>
      <c r="F23" s="37">
        <v>16</v>
      </c>
      <c r="G23" s="37">
        <v>16</v>
      </c>
      <c r="H23" s="37">
        <v>0</v>
      </c>
      <c r="I23" s="38" t="s">
        <v>93</v>
      </c>
      <c r="J23" s="37" t="s">
        <v>119</v>
      </c>
      <c r="K23" s="37" t="s">
        <v>115</v>
      </c>
      <c r="L23" s="6" t="s">
        <v>95</v>
      </c>
    </row>
    <row r="24" spans="1:12" ht="29.25" thickBot="1" x14ac:dyDescent="0.25">
      <c r="A24" s="37">
        <v>19</v>
      </c>
      <c r="B24" s="37" t="s">
        <v>76</v>
      </c>
      <c r="C24" s="37">
        <v>3</v>
      </c>
      <c r="D24" s="37">
        <v>5</v>
      </c>
      <c r="E24" s="37">
        <v>0.6</v>
      </c>
      <c r="F24" s="37">
        <v>17</v>
      </c>
      <c r="G24" s="37">
        <v>19</v>
      </c>
      <c r="H24" s="37">
        <v>-2</v>
      </c>
      <c r="I24" s="38" t="s">
        <v>93</v>
      </c>
      <c r="J24" s="37" t="s">
        <v>193</v>
      </c>
      <c r="K24" s="37" t="s">
        <v>115</v>
      </c>
      <c r="L24" s="6" t="s">
        <v>95</v>
      </c>
    </row>
    <row r="25" spans="1:12" ht="29.25" thickBot="1" x14ac:dyDescent="0.25">
      <c r="A25" s="37">
        <v>20</v>
      </c>
      <c r="B25" s="37" t="s">
        <v>48</v>
      </c>
      <c r="C25" s="37">
        <v>2</v>
      </c>
      <c r="D25" s="37">
        <v>5</v>
      </c>
      <c r="E25" s="37">
        <v>0.4</v>
      </c>
      <c r="F25" s="37">
        <v>20</v>
      </c>
      <c r="G25" s="37">
        <v>19</v>
      </c>
      <c r="H25" s="37">
        <v>1</v>
      </c>
      <c r="I25" s="38" t="s">
        <v>93</v>
      </c>
      <c r="J25" s="37" t="s">
        <v>124</v>
      </c>
      <c r="K25" s="37" t="s">
        <v>115</v>
      </c>
      <c r="L25" s="6" t="s">
        <v>95</v>
      </c>
    </row>
    <row r="26" spans="1:12" ht="29.25" thickBot="1" x14ac:dyDescent="0.25">
      <c r="A26" s="37" t="s">
        <v>162</v>
      </c>
      <c r="B26" s="37" t="s">
        <v>30</v>
      </c>
      <c r="C26" s="37">
        <v>2</v>
      </c>
      <c r="D26" s="37">
        <v>5</v>
      </c>
      <c r="E26" s="37">
        <v>0.4</v>
      </c>
      <c r="F26" s="37">
        <v>19</v>
      </c>
      <c r="G26" s="37">
        <v>18</v>
      </c>
      <c r="H26" s="37">
        <v>1</v>
      </c>
      <c r="I26" s="38" t="s">
        <v>93</v>
      </c>
      <c r="J26" s="37" t="s">
        <v>96</v>
      </c>
      <c r="K26" s="37" t="s">
        <v>115</v>
      </c>
      <c r="L26" s="6" t="s">
        <v>95</v>
      </c>
    </row>
    <row r="27" spans="1:12" ht="14.95" thickBot="1" x14ac:dyDescent="0.25">
      <c r="A27" s="37" t="s">
        <v>162</v>
      </c>
      <c r="B27" s="37" t="s">
        <v>29</v>
      </c>
      <c r="C27" s="37">
        <v>2</v>
      </c>
      <c r="D27" s="37">
        <v>5</v>
      </c>
      <c r="E27" s="37">
        <v>0.4</v>
      </c>
      <c r="F27" s="37">
        <v>19</v>
      </c>
      <c r="G27" s="37">
        <v>18</v>
      </c>
      <c r="H27" s="37">
        <v>1</v>
      </c>
      <c r="I27" s="38" t="s">
        <v>93</v>
      </c>
      <c r="J27" s="37" t="s">
        <v>194</v>
      </c>
      <c r="K27" s="37" t="s">
        <v>115</v>
      </c>
      <c r="L27" s="6" t="s">
        <v>95</v>
      </c>
    </row>
    <row r="28" spans="1:12" ht="29.25" thickBot="1" x14ac:dyDescent="0.25">
      <c r="A28" s="37">
        <v>23</v>
      </c>
      <c r="B28" s="37" t="s">
        <v>17</v>
      </c>
      <c r="C28" s="37">
        <v>2</v>
      </c>
      <c r="D28" s="37">
        <v>5</v>
      </c>
      <c r="E28" s="37">
        <v>0.4</v>
      </c>
      <c r="F28" s="37">
        <v>17</v>
      </c>
      <c r="G28" s="37">
        <v>18</v>
      </c>
      <c r="H28" s="37">
        <v>-1</v>
      </c>
      <c r="I28" s="38" t="s">
        <v>93</v>
      </c>
      <c r="J28" s="37" t="s">
        <v>114</v>
      </c>
      <c r="K28" s="37" t="s">
        <v>115</v>
      </c>
      <c r="L28" s="6" t="s">
        <v>95</v>
      </c>
    </row>
    <row r="29" spans="1:12" ht="29.25" thickBot="1" x14ac:dyDescent="0.25">
      <c r="A29" s="37">
        <v>24</v>
      </c>
      <c r="B29" s="37" t="s">
        <v>28</v>
      </c>
      <c r="C29" s="37">
        <v>2</v>
      </c>
      <c r="D29" s="37">
        <v>5</v>
      </c>
      <c r="E29" s="37">
        <v>0.4</v>
      </c>
      <c r="F29" s="37">
        <v>15</v>
      </c>
      <c r="G29" s="37">
        <v>19</v>
      </c>
      <c r="H29" s="37">
        <v>-4</v>
      </c>
      <c r="I29" s="38" t="s">
        <v>93</v>
      </c>
      <c r="J29" s="37" t="s">
        <v>114</v>
      </c>
      <c r="K29" s="37" t="s">
        <v>115</v>
      </c>
      <c r="L29" s="5" t="s">
        <v>95</v>
      </c>
    </row>
    <row r="30" spans="1:12" ht="57.75" thickBot="1" x14ac:dyDescent="0.25">
      <c r="A30" s="37">
        <v>25</v>
      </c>
      <c r="B30" s="37" t="s">
        <v>47</v>
      </c>
      <c r="C30" s="37">
        <v>2</v>
      </c>
      <c r="D30" s="37">
        <v>5</v>
      </c>
      <c r="E30" s="37">
        <v>0.4</v>
      </c>
      <c r="F30" s="37">
        <v>14</v>
      </c>
      <c r="G30" s="37">
        <v>19</v>
      </c>
      <c r="H30" s="37">
        <v>-5</v>
      </c>
      <c r="I30" s="38" t="s">
        <v>93</v>
      </c>
      <c r="J30" s="37" t="s">
        <v>195</v>
      </c>
      <c r="K30" s="37" t="s">
        <v>115</v>
      </c>
      <c r="L30" s="5" t="s">
        <v>95</v>
      </c>
    </row>
    <row r="31" spans="1:12" ht="29.25" thickBot="1" x14ac:dyDescent="0.25">
      <c r="A31" s="37">
        <v>26</v>
      </c>
      <c r="B31" s="37" t="s">
        <v>59</v>
      </c>
      <c r="C31" s="37">
        <v>1</v>
      </c>
      <c r="D31" s="37">
        <v>5</v>
      </c>
      <c r="E31" s="37">
        <v>0.2</v>
      </c>
      <c r="F31" s="37">
        <v>14</v>
      </c>
      <c r="G31" s="37">
        <v>21</v>
      </c>
      <c r="H31" s="37">
        <v>-7</v>
      </c>
      <c r="I31" s="38" t="s">
        <v>93</v>
      </c>
      <c r="J31" s="37" t="s">
        <v>119</v>
      </c>
      <c r="K31" s="37" t="s">
        <v>115</v>
      </c>
      <c r="L31" s="5" t="s">
        <v>95</v>
      </c>
    </row>
    <row r="32" spans="1:12" ht="14.95" thickBot="1" x14ac:dyDescent="0.25">
      <c r="A32" s="37">
        <v>27</v>
      </c>
      <c r="B32" s="37" t="s">
        <v>32</v>
      </c>
      <c r="C32" s="37">
        <v>1</v>
      </c>
      <c r="D32" s="37">
        <v>5</v>
      </c>
      <c r="E32" s="37">
        <v>0.2</v>
      </c>
      <c r="F32" s="37">
        <v>13</v>
      </c>
      <c r="G32" s="37">
        <v>21</v>
      </c>
      <c r="H32" s="37">
        <v>-8</v>
      </c>
      <c r="I32" s="38" t="s">
        <v>93</v>
      </c>
      <c r="J32" s="37" t="s">
        <v>192</v>
      </c>
      <c r="K32" s="37" t="s">
        <v>115</v>
      </c>
      <c r="L32" s="5" t="s">
        <v>95</v>
      </c>
    </row>
    <row r="33" spans="1:12" ht="14.95" thickBot="1" x14ac:dyDescent="0.25">
      <c r="A33" s="37">
        <v>28</v>
      </c>
      <c r="B33" s="37" t="s">
        <v>20</v>
      </c>
      <c r="C33" s="37">
        <v>1</v>
      </c>
      <c r="D33" s="37">
        <v>5</v>
      </c>
      <c r="E33" s="37">
        <v>0.2</v>
      </c>
      <c r="F33" s="37">
        <v>10</v>
      </c>
      <c r="G33" s="37">
        <v>22</v>
      </c>
      <c r="H33" s="37">
        <v>-12</v>
      </c>
      <c r="I33" s="38" t="s">
        <v>93</v>
      </c>
      <c r="J33" s="37" t="s">
        <v>121</v>
      </c>
      <c r="K33" s="37" t="s">
        <v>115</v>
      </c>
      <c r="L33" s="5" t="s">
        <v>95</v>
      </c>
    </row>
    <row r="34" spans="1:12" ht="29.25" thickBot="1" x14ac:dyDescent="0.25">
      <c r="A34" s="37">
        <v>29</v>
      </c>
      <c r="B34" s="37" t="s">
        <v>37</v>
      </c>
      <c r="C34" s="37">
        <v>1</v>
      </c>
      <c r="D34" s="37">
        <v>5</v>
      </c>
      <c r="E34" s="37">
        <v>0.2</v>
      </c>
      <c r="F34" s="37">
        <v>9</v>
      </c>
      <c r="G34" s="37">
        <v>23</v>
      </c>
      <c r="H34" s="37">
        <v>-14</v>
      </c>
      <c r="I34" s="38" t="s">
        <v>93</v>
      </c>
      <c r="J34" s="37" t="s">
        <v>107</v>
      </c>
      <c r="K34" s="37" t="s">
        <v>115</v>
      </c>
      <c r="L34" s="5" t="s">
        <v>95</v>
      </c>
    </row>
    <row r="35" spans="1:12" ht="14.95" thickBot="1" x14ac:dyDescent="0.25">
      <c r="A35" s="37">
        <v>30</v>
      </c>
      <c r="B35" s="37" t="s">
        <v>64</v>
      </c>
      <c r="C35" s="37">
        <v>1</v>
      </c>
      <c r="D35" s="37">
        <v>5</v>
      </c>
      <c r="E35" s="37">
        <v>0.2</v>
      </c>
      <c r="F35" s="37">
        <v>8</v>
      </c>
      <c r="G35" s="37">
        <v>23</v>
      </c>
      <c r="H35" s="37">
        <v>-15</v>
      </c>
      <c r="I35" s="38" t="s">
        <v>93</v>
      </c>
      <c r="J35" s="37" t="s">
        <v>121</v>
      </c>
      <c r="K35" s="37" t="s">
        <v>115</v>
      </c>
      <c r="L35" s="5" t="s">
        <v>95</v>
      </c>
    </row>
    <row r="36" spans="1:12" ht="57.75" thickBot="1" x14ac:dyDescent="0.25">
      <c r="A36" s="37">
        <v>31</v>
      </c>
      <c r="B36" s="37" t="s">
        <v>65</v>
      </c>
      <c r="C36" s="37">
        <v>0</v>
      </c>
      <c r="D36" s="37">
        <v>5</v>
      </c>
      <c r="E36" s="37">
        <v>0</v>
      </c>
      <c r="F36" s="37">
        <v>10</v>
      </c>
      <c r="G36" s="37">
        <v>25</v>
      </c>
      <c r="H36" s="37">
        <v>-15</v>
      </c>
      <c r="I36" s="38" t="s">
        <v>93</v>
      </c>
      <c r="J36" s="37" t="s">
        <v>195</v>
      </c>
      <c r="K36" s="37" t="s">
        <v>115</v>
      </c>
      <c r="L36" s="5" t="s">
        <v>95</v>
      </c>
    </row>
    <row r="37" spans="1:12" ht="29.25" thickBot="1" x14ac:dyDescent="0.25">
      <c r="A37" s="37">
        <v>32</v>
      </c>
      <c r="B37" s="37" t="s">
        <v>62</v>
      </c>
      <c r="C37" s="37">
        <v>0</v>
      </c>
      <c r="D37" s="37">
        <v>5</v>
      </c>
      <c r="E37" s="37">
        <v>0</v>
      </c>
      <c r="F37" s="37">
        <v>7</v>
      </c>
      <c r="G37" s="37">
        <v>25</v>
      </c>
      <c r="H37" s="37">
        <v>-18</v>
      </c>
      <c r="I37" s="38" t="s">
        <v>93</v>
      </c>
      <c r="J37" s="37" t="s">
        <v>121</v>
      </c>
      <c r="K37" s="37" t="s">
        <v>115</v>
      </c>
      <c r="L37" s="5" t="s">
        <v>95</v>
      </c>
    </row>
    <row r="38" spans="1:12" ht="29.25" thickBot="1" x14ac:dyDescent="0.25">
      <c r="A38" s="37" t="s">
        <v>164</v>
      </c>
      <c r="B38" s="37" t="s">
        <v>57</v>
      </c>
      <c r="C38" s="37">
        <v>0</v>
      </c>
      <c r="D38" s="37">
        <v>5</v>
      </c>
      <c r="E38" s="37">
        <v>0</v>
      </c>
      <c r="F38" s="37">
        <v>6</v>
      </c>
      <c r="G38" s="37">
        <v>25</v>
      </c>
      <c r="H38" s="37">
        <v>-19</v>
      </c>
      <c r="I38" s="38" t="s">
        <v>93</v>
      </c>
      <c r="J38" s="37" t="s">
        <v>146</v>
      </c>
      <c r="K38" s="37" t="s">
        <v>115</v>
      </c>
      <c r="L38" s="5" t="s">
        <v>95</v>
      </c>
    </row>
    <row r="39" spans="1:12" ht="29.25" thickBot="1" x14ac:dyDescent="0.25">
      <c r="A39" s="37" t="s">
        <v>164</v>
      </c>
      <c r="B39" s="37" t="s">
        <v>74</v>
      </c>
      <c r="C39" s="37">
        <v>0</v>
      </c>
      <c r="D39" s="37">
        <v>5</v>
      </c>
      <c r="E39" s="37">
        <v>0</v>
      </c>
      <c r="F39" s="37">
        <v>6</v>
      </c>
      <c r="G39" s="37">
        <v>25</v>
      </c>
      <c r="H39" s="37">
        <v>-19</v>
      </c>
      <c r="I39" s="38" t="s">
        <v>93</v>
      </c>
      <c r="J39" s="37" t="s">
        <v>107</v>
      </c>
      <c r="K39" s="37" t="s">
        <v>115</v>
      </c>
      <c r="L39" s="5" t="s">
        <v>95</v>
      </c>
    </row>
    <row r="40" spans="1:12" ht="29.25" thickBot="1" x14ac:dyDescent="0.25">
      <c r="A40" s="37" t="s">
        <v>111</v>
      </c>
      <c r="B40" s="37" t="s">
        <v>70</v>
      </c>
      <c r="C40" s="37">
        <v>0</v>
      </c>
      <c r="D40" s="37">
        <v>5</v>
      </c>
      <c r="E40" s="37">
        <v>0</v>
      </c>
      <c r="F40" s="37">
        <v>5</v>
      </c>
      <c r="G40" s="37">
        <v>25</v>
      </c>
      <c r="H40" s="37">
        <v>-20</v>
      </c>
      <c r="I40" s="38" t="s">
        <v>93</v>
      </c>
      <c r="J40" s="37" t="s">
        <v>196</v>
      </c>
      <c r="K40" s="37" t="s">
        <v>115</v>
      </c>
      <c r="L40" s="5" t="s">
        <v>95</v>
      </c>
    </row>
    <row r="41" spans="1:12" ht="29.25" thickBot="1" x14ac:dyDescent="0.25">
      <c r="A41" s="37" t="s">
        <v>111</v>
      </c>
      <c r="B41" s="37" t="s">
        <v>200</v>
      </c>
      <c r="C41" s="37">
        <v>0</v>
      </c>
      <c r="D41" s="37">
        <v>5</v>
      </c>
      <c r="E41" s="37">
        <v>0</v>
      </c>
      <c r="F41" s="37">
        <v>5</v>
      </c>
      <c r="G41" s="37">
        <v>25</v>
      </c>
      <c r="H41" s="37">
        <v>-20</v>
      </c>
      <c r="I41" s="38" t="s">
        <v>93</v>
      </c>
      <c r="J41" s="37" t="s">
        <v>119</v>
      </c>
      <c r="K41" s="37" t="s">
        <v>115</v>
      </c>
      <c r="L41" s="5" t="s">
        <v>95</v>
      </c>
    </row>
    <row r="42" spans="1:12" ht="14.3" thickBot="1" x14ac:dyDescent="0.25">
      <c r="A42" s="30"/>
      <c r="B42" s="30"/>
      <c r="C42" s="30"/>
      <c r="D42" s="30"/>
      <c r="E42" s="30"/>
      <c r="F42" s="30"/>
      <c r="G42" s="30"/>
      <c r="H42" s="30"/>
      <c r="I42" s="31"/>
      <c r="J42" s="30"/>
      <c r="K42" s="5"/>
      <c r="L42" s="5"/>
    </row>
    <row r="43" spans="1:1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09E7A048-6452-4FE1-8507-E3B80E3C610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L42"/>
  <sheetViews>
    <sheetView workbookViewId="0">
      <selection activeCell="C2" sqref="C2:L2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1" t="s">
        <v>82</v>
      </c>
      <c r="B2" s="51"/>
      <c r="C2" s="52" t="s">
        <v>112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113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4.95" thickBot="1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3</v>
      </c>
      <c r="G5" s="7" t="s">
        <v>88</v>
      </c>
      <c r="H5" s="7" t="s">
        <v>4</v>
      </c>
      <c r="I5" s="7" t="s">
        <v>89</v>
      </c>
      <c r="J5" s="7" t="s">
        <v>90</v>
      </c>
      <c r="K5" s="7" t="s">
        <v>91</v>
      </c>
      <c r="L5" s="7" t="s">
        <v>92</v>
      </c>
    </row>
    <row r="6" spans="1:12" ht="27.85" thickBot="1" x14ac:dyDescent="0.25">
      <c r="A6" s="30">
        <v>1</v>
      </c>
      <c r="B6" s="30" t="s">
        <v>9</v>
      </c>
      <c r="C6" s="30">
        <v>6</v>
      </c>
      <c r="D6" s="30">
        <v>6</v>
      </c>
      <c r="E6" s="30">
        <v>1</v>
      </c>
      <c r="F6" s="30">
        <v>30</v>
      </c>
      <c r="G6" s="30">
        <v>10</v>
      </c>
      <c r="H6" s="30">
        <v>20</v>
      </c>
      <c r="I6" s="31" t="s">
        <v>93</v>
      </c>
      <c r="J6" s="30" t="s">
        <v>114</v>
      </c>
      <c r="K6" s="30"/>
      <c r="L6" s="30" t="s">
        <v>115</v>
      </c>
    </row>
    <row r="7" spans="1:12" ht="27.85" thickBot="1" x14ac:dyDescent="0.25">
      <c r="A7" s="30">
        <v>2</v>
      </c>
      <c r="B7" s="30" t="s">
        <v>12</v>
      </c>
      <c r="C7" s="30">
        <v>5</v>
      </c>
      <c r="D7" s="30">
        <v>5</v>
      </c>
      <c r="E7" s="30">
        <v>1</v>
      </c>
      <c r="F7" s="30">
        <v>25</v>
      </c>
      <c r="G7" s="30">
        <v>9</v>
      </c>
      <c r="H7" s="30">
        <v>16</v>
      </c>
      <c r="I7" s="31" t="s">
        <v>93</v>
      </c>
      <c r="J7" s="30" t="s">
        <v>116</v>
      </c>
      <c r="K7" s="30"/>
      <c r="L7" s="30" t="s">
        <v>115</v>
      </c>
    </row>
    <row r="8" spans="1:12" ht="27.85" thickBot="1" x14ac:dyDescent="0.25">
      <c r="A8" s="30" t="s">
        <v>97</v>
      </c>
      <c r="B8" s="30" t="s">
        <v>11</v>
      </c>
      <c r="C8" s="30">
        <v>4</v>
      </c>
      <c r="D8" s="30">
        <v>5</v>
      </c>
      <c r="E8" s="30">
        <v>0.8</v>
      </c>
      <c r="F8" s="30">
        <v>24</v>
      </c>
      <c r="G8" s="30">
        <v>10</v>
      </c>
      <c r="H8" s="30">
        <v>14</v>
      </c>
      <c r="I8" s="31" t="s">
        <v>93</v>
      </c>
      <c r="J8" s="30" t="s">
        <v>117</v>
      </c>
      <c r="K8" s="30"/>
      <c r="L8" s="30" t="s">
        <v>115</v>
      </c>
    </row>
    <row r="9" spans="1:12" ht="27.85" thickBot="1" x14ac:dyDescent="0.25">
      <c r="A9" s="30" t="s">
        <v>97</v>
      </c>
      <c r="B9" s="30" t="s">
        <v>14</v>
      </c>
      <c r="C9" s="30">
        <v>4</v>
      </c>
      <c r="D9" s="30">
        <v>5</v>
      </c>
      <c r="E9" s="30">
        <v>0.8</v>
      </c>
      <c r="F9" s="30">
        <v>24</v>
      </c>
      <c r="G9" s="30">
        <v>10</v>
      </c>
      <c r="H9" s="30">
        <v>14</v>
      </c>
      <c r="I9" s="31" t="s">
        <v>93</v>
      </c>
      <c r="J9" s="30" t="s">
        <v>117</v>
      </c>
      <c r="K9" s="30"/>
      <c r="L9" s="30" t="s">
        <v>115</v>
      </c>
    </row>
    <row r="10" spans="1:12" ht="14.3" thickBot="1" x14ac:dyDescent="0.25">
      <c r="A10" s="30">
        <v>5</v>
      </c>
      <c r="B10" s="30" t="s">
        <v>15</v>
      </c>
      <c r="C10" s="30">
        <v>4</v>
      </c>
      <c r="D10" s="30">
        <v>5</v>
      </c>
      <c r="E10" s="30">
        <v>0.8</v>
      </c>
      <c r="F10" s="30">
        <v>21</v>
      </c>
      <c r="G10" s="30">
        <v>10</v>
      </c>
      <c r="H10" s="30">
        <v>11</v>
      </c>
      <c r="I10" s="31" t="s">
        <v>93</v>
      </c>
      <c r="J10" s="30" t="s">
        <v>118</v>
      </c>
      <c r="K10" s="30"/>
      <c r="L10" s="30" t="s">
        <v>115</v>
      </c>
    </row>
    <row r="11" spans="1:12" ht="27.85" thickBot="1" x14ac:dyDescent="0.25">
      <c r="A11" s="30">
        <v>6</v>
      </c>
      <c r="B11" s="30" t="s">
        <v>46</v>
      </c>
      <c r="C11" s="30">
        <v>4</v>
      </c>
      <c r="D11" s="30">
        <v>5</v>
      </c>
      <c r="E11" s="30">
        <v>0.8</v>
      </c>
      <c r="F11" s="30">
        <v>23</v>
      </c>
      <c r="G11" s="30">
        <v>13</v>
      </c>
      <c r="H11" s="30">
        <v>10</v>
      </c>
      <c r="I11" s="31" t="s">
        <v>93</v>
      </c>
      <c r="J11" s="30" t="s">
        <v>119</v>
      </c>
      <c r="K11" s="30"/>
      <c r="L11" s="30" t="s">
        <v>115</v>
      </c>
    </row>
    <row r="12" spans="1:12" ht="27.85" thickBot="1" x14ac:dyDescent="0.25">
      <c r="A12" s="30">
        <v>7</v>
      </c>
      <c r="B12" s="30" t="s">
        <v>23</v>
      </c>
      <c r="C12" s="30">
        <v>4</v>
      </c>
      <c r="D12" s="30">
        <v>5</v>
      </c>
      <c r="E12" s="30">
        <v>0.8</v>
      </c>
      <c r="F12" s="30">
        <v>21</v>
      </c>
      <c r="G12" s="30">
        <v>13</v>
      </c>
      <c r="H12" s="30">
        <v>8</v>
      </c>
      <c r="I12" s="31" t="s">
        <v>93</v>
      </c>
      <c r="J12" s="30" t="s">
        <v>119</v>
      </c>
      <c r="K12" s="30"/>
      <c r="L12" s="30" t="s">
        <v>115</v>
      </c>
    </row>
    <row r="13" spans="1:12" ht="27.85" thickBot="1" x14ac:dyDescent="0.25">
      <c r="A13" s="30">
        <v>8</v>
      </c>
      <c r="B13" s="30" t="s">
        <v>18</v>
      </c>
      <c r="C13" s="30">
        <v>4</v>
      </c>
      <c r="D13" s="30">
        <v>5</v>
      </c>
      <c r="E13" s="30">
        <v>0.8</v>
      </c>
      <c r="F13" s="30">
        <v>23</v>
      </c>
      <c r="G13" s="30">
        <v>16</v>
      </c>
      <c r="H13" s="30">
        <v>7</v>
      </c>
      <c r="I13" s="31" t="s">
        <v>93</v>
      </c>
      <c r="J13" s="30" t="s">
        <v>116</v>
      </c>
      <c r="K13" s="30"/>
      <c r="L13" s="30" t="s">
        <v>115</v>
      </c>
    </row>
    <row r="14" spans="1:12" ht="27.85" thickBot="1" x14ac:dyDescent="0.25">
      <c r="A14" s="30">
        <v>9</v>
      </c>
      <c r="B14" s="30" t="s">
        <v>10</v>
      </c>
      <c r="C14" s="30">
        <v>4</v>
      </c>
      <c r="D14" s="30">
        <v>5</v>
      </c>
      <c r="E14" s="30">
        <v>0.8</v>
      </c>
      <c r="F14" s="30">
        <v>20</v>
      </c>
      <c r="G14" s="30">
        <v>13</v>
      </c>
      <c r="H14" s="30">
        <v>7</v>
      </c>
      <c r="I14" s="31" t="s">
        <v>93</v>
      </c>
      <c r="J14" s="30" t="s">
        <v>114</v>
      </c>
      <c r="K14" s="30"/>
      <c r="L14" s="30" t="s">
        <v>115</v>
      </c>
    </row>
    <row r="15" spans="1:12" ht="14.3" thickBot="1" x14ac:dyDescent="0.25">
      <c r="A15" s="30">
        <v>10</v>
      </c>
      <c r="B15" s="30" t="s">
        <v>45</v>
      </c>
      <c r="C15" s="30">
        <v>4</v>
      </c>
      <c r="D15" s="30">
        <v>6</v>
      </c>
      <c r="E15" s="30">
        <v>0.67</v>
      </c>
      <c r="F15" s="30">
        <v>22</v>
      </c>
      <c r="G15" s="30">
        <v>18</v>
      </c>
      <c r="H15" s="30">
        <v>4</v>
      </c>
      <c r="I15" s="31" t="s">
        <v>93</v>
      </c>
      <c r="J15" s="30"/>
      <c r="K15" s="30"/>
      <c r="L15" s="30" t="s">
        <v>120</v>
      </c>
    </row>
    <row r="16" spans="1:12" ht="14.3" thickBot="1" x14ac:dyDescent="0.25">
      <c r="A16" s="30">
        <v>11</v>
      </c>
      <c r="B16" s="30" t="s">
        <v>20</v>
      </c>
      <c r="C16" s="30">
        <v>4</v>
      </c>
      <c r="D16" s="30">
        <v>6</v>
      </c>
      <c r="E16" s="30">
        <v>0.67</v>
      </c>
      <c r="F16" s="30">
        <v>22</v>
      </c>
      <c r="G16" s="30">
        <v>20</v>
      </c>
      <c r="H16" s="30">
        <v>2</v>
      </c>
      <c r="I16" s="31" t="s">
        <v>93</v>
      </c>
      <c r="J16" s="30" t="s">
        <v>121</v>
      </c>
      <c r="K16" s="30"/>
      <c r="L16" s="30" t="s">
        <v>115</v>
      </c>
    </row>
    <row r="17" spans="1:12" ht="14.3" thickBot="1" x14ac:dyDescent="0.25">
      <c r="A17" s="30">
        <v>12</v>
      </c>
      <c r="B17" s="30" t="s">
        <v>31</v>
      </c>
      <c r="C17" s="30">
        <v>3</v>
      </c>
      <c r="D17" s="30">
        <v>5</v>
      </c>
      <c r="E17" s="30">
        <v>0.6</v>
      </c>
      <c r="F17" s="30">
        <v>20</v>
      </c>
      <c r="G17" s="30">
        <v>15</v>
      </c>
      <c r="H17" s="30">
        <v>5</v>
      </c>
      <c r="I17" s="31" t="s">
        <v>93</v>
      </c>
      <c r="J17" s="30" t="s">
        <v>122</v>
      </c>
      <c r="K17" s="30"/>
      <c r="L17" s="30" t="s">
        <v>115</v>
      </c>
    </row>
    <row r="18" spans="1:12" ht="27.85" thickBot="1" x14ac:dyDescent="0.25">
      <c r="A18" s="30">
        <v>13</v>
      </c>
      <c r="B18" s="30" t="s">
        <v>35</v>
      </c>
      <c r="C18" s="30">
        <v>3</v>
      </c>
      <c r="D18" s="30">
        <v>5</v>
      </c>
      <c r="E18" s="30">
        <v>0.6</v>
      </c>
      <c r="F18" s="30">
        <v>19</v>
      </c>
      <c r="G18" s="30">
        <v>14</v>
      </c>
      <c r="H18" s="30">
        <v>5</v>
      </c>
      <c r="I18" s="31" t="s">
        <v>93</v>
      </c>
      <c r="J18" s="30" t="s">
        <v>122</v>
      </c>
      <c r="K18" s="30"/>
      <c r="L18" s="30" t="s">
        <v>115</v>
      </c>
    </row>
    <row r="19" spans="1:12" ht="27.85" thickBot="1" x14ac:dyDescent="0.25">
      <c r="A19" s="30">
        <v>14</v>
      </c>
      <c r="B19" s="30" t="s">
        <v>33</v>
      </c>
      <c r="C19" s="30">
        <v>3</v>
      </c>
      <c r="D19" s="30">
        <v>5</v>
      </c>
      <c r="E19" s="30">
        <v>0.6</v>
      </c>
      <c r="F19" s="30">
        <v>22</v>
      </c>
      <c r="G19" s="30">
        <v>18</v>
      </c>
      <c r="H19" s="30">
        <v>4</v>
      </c>
      <c r="I19" s="31" t="s">
        <v>93</v>
      </c>
      <c r="J19" s="30" t="s">
        <v>118</v>
      </c>
      <c r="K19" s="30"/>
      <c r="L19" s="30" t="s">
        <v>115</v>
      </c>
    </row>
    <row r="20" spans="1:12" ht="27.85" thickBot="1" x14ac:dyDescent="0.25">
      <c r="A20" s="30">
        <v>15</v>
      </c>
      <c r="B20" s="30" t="s">
        <v>51</v>
      </c>
      <c r="C20" s="30">
        <v>3</v>
      </c>
      <c r="D20" s="30">
        <v>5</v>
      </c>
      <c r="E20" s="30">
        <v>0.6</v>
      </c>
      <c r="F20" s="30">
        <v>18</v>
      </c>
      <c r="G20" s="30">
        <v>17</v>
      </c>
      <c r="H20" s="30">
        <v>1</v>
      </c>
      <c r="I20" s="31" t="s">
        <v>93</v>
      </c>
      <c r="J20" s="30" t="s">
        <v>119</v>
      </c>
      <c r="K20" s="30"/>
      <c r="L20" s="30" t="s">
        <v>115</v>
      </c>
    </row>
    <row r="21" spans="1:12" ht="27.85" thickBot="1" x14ac:dyDescent="0.25">
      <c r="A21" s="30">
        <v>16</v>
      </c>
      <c r="B21" s="30" t="s">
        <v>29</v>
      </c>
      <c r="C21" s="30">
        <v>3</v>
      </c>
      <c r="D21" s="30">
        <v>5</v>
      </c>
      <c r="E21" s="30">
        <v>0.6</v>
      </c>
      <c r="F21" s="30">
        <v>18</v>
      </c>
      <c r="G21" s="30">
        <v>20</v>
      </c>
      <c r="H21" s="30">
        <v>-2</v>
      </c>
      <c r="I21" s="31" t="s">
        <v>93</v>
      </c>
      <c r="J21" s="30" t="s">
        <v>102</v>
      </c>
      <c r="K21" s="30"/>
      <c r="L21" s="30" t="s">
        <v>115</v>
      </c>
    </row>
    <row r="22" spans="1:12" ht="14.3" thickBot="1" x14ac:dyDescent="0.25">
      <c r="A22" s="30">
        <v>17</v>
      </c>
      <c r="B22" s="30" t="s">
        <v>25</v>
      </c>
      <c r="C22" s="30">
        <v>2</v>
      </c>
      <c r="D22" s="30">
        <v>5</v>
      </c>
      <c r="E22" s="30">
        <v>0.4</v>
      </c>
      <c r="F22" s="30">
        <v>19</v>
      </c>
      <c r="G22" s="30">
        <v>18</v>
      </c>
      <c r="H22" s="30">
        <v>1</v>
      </c>
      <c r="I22" s="31" t="s">
        <v>93</v>
      </c>
      <c r="J22" s="30" t="s">
        <v>122</v>
      </c>
      <c r="K22" s="30"/>
      <c r="L22" s="30" t="s">
        <v>115</v>
      </c>
    </row>
    <row r="23" spans="1:12" ht="14.3" thickBot="1" x14ac:dyDescent="0.25">
      <c r="A23" s="30">
        <v>18</v>
      </c>
      <c r="B23" s="30" t="s">
        <v>32</v>
      </c>
      <c r="C23" s="30">
        <v>2</v>
      </c>
      <c r="D23" s="30">
        <v>5</v>
      </c>
      <c r="E23" s="30">
        <v>0.4</v>
      </c>
      <c r="F23" s="30">
        <v>19</v>
      </c>
      <c r="G23" s="30">
        <v>20</v>
      </c>
      <c r="H23" s="30">
        <v>-1</v>
      </c>
      <c r="I23" s="31" t="s">
        <v>93</v>
      </c>
      <c r="J23" s="30" t="s">
        <v>123</v>
      </c>
      <c r="K23" s="30"/>
      <c r="L23" s="30" t="s">
        <v>115</v>
      </c>
    </row>
    <row r="24" spans="1:12" ht="27.85" thickBot="1" x14ac:dyDescent="0.25">
      <c r="A24" s="30">
        <v>19</v>
      </c>
      <c r="B24" s="30" t="s">
        <v>59</v>
      </c>
      <c r="C24" s="30">
        <v>2</v>
      </c>
      <c r="D24" s="30">
        <v>5</v>
      </c>
      <c r="E24" s="30">
        <v>0.4</v>
      </c>
      <c r="F24" s="30">
        <v>15</v>
      </c>
      <c r="G24" s="30">
        <v>18</v>
      </c>
      <c r="H24" s="30">
        <v>-3</v>
      </c>
      <c r="I24" s="31" t="s">
        <v>93</v>
      </c>
      <c r="J24" s="30" t="s">
        <v>119</v>
      </c>
      <c r="K24" s="30"/>
      <c r="L24" s="30" t="s">
        <v>115</v>
      </c>
    </row>
    <row r="25" spans="1:12" ht="27.85" thickBot="1" x14ac:dyDescent="0.25">
      <c r="A25" s="30">
        <v>20</v>
      </c>
      <c r="B25" s="30" t="s">
        <v>55</v>
      </c>
      <c r="C25" s="30">
        <v>2</v>
      </c>
      <c r="D25" s="30">
        <v>5</v>
      </c>
      <c r="E25" s="30">
        <v>0.4</v>
      </c>
      <c r="F25" s="30">
        <v>15</v>
      </c>
      <c r="G25" s="30">
        <v>20</v>
      </c>
      <c r="H25" s="30">
        <v>-5</v>
      </c>
      <c r="I25" s="31" t="s">
        <v>93</v>
      </c>
      <c r="J25" s="30" t="s">
        <v>119</v>
      </c>
      <c r="K25" s="30"/>
      <c r="L25" s="30" t="s">
        <v>115</v>
      </c>
    </row>
    <row r="26" spans="1:12" ht="14.3" thickBot="1" x14ac:dyDescent="0.25">
      <c r="A26" s="30">
        <v>21</v>
      </c>
      <c r="B26" s="30" t="s">
        <v>30</v>
      </c>
      <c r="C26" s="30">
        <v>2</v>
      </c>
      <c r="D26" s="30">
        <v>5</v>
      </c>
      <c r="E26" s="30">
        <v>0.4</v>
      </c>
      <c r="F26" s="30">
        <v>16</v>
      </c>
      <c r="G26" s="30">
        <v>22</v>
      </c>
      <c r="H26" s="30">
        <v>-6</v>
      </c>
      <c r="I26" s="31" t="s">
        <v>93</v>
      </c>
      <c r="J26" s="30" t="s">
        <v>118</v>
      </c>
      <c r="K26" s="30"/>
      <c r="L26" s="30" t="s">
        <v>115</v>
      </c>
    </row>
    <row r="27" spans="1:12" ht="27.85" thickBot="1" x14ac:dyDescent="0.25">
      <c r="A27" s="30">
        <v>22</v>
      </c>
      <c r="B27" s="30" t="s">
        <v>40</v>
      </c>
      <c r="C27" s="30">
        <v>2</v>
      </c>
      <c r="D27" s="30">
        <v>6</v>
      </c>
      <c r="E27" s="30">
        <v>0.33</v>
      </c>
      <c r="F27" s="30">
        <v>21</v>
      </c>
      <c r="G27" s="30">
        <v>24</v>
      </c>
      <c r="H27" s="30">
        <v>-3</v>
      </c>
      <c r="I27" s="31" t="s">
        <v>93</v>
      </c>
      <c r="J27" s="30" t="s">
        <v>119</v>
      </c>
      <c r="K27" s="30"/>
      <c r="L27" s="30" t="s">
        <v>115</v>
      </c>
    </row>
    <row r="28" spans="1:12" ht="27.85" thickBot="1" x14ac:dyDescent="0.25">
      <c r="A28" s="30">
        <v>23</v>
      </c>
      <c r="B28" s="30" t="s">
        <v>22</v>
      </c>
      <c r="C28" s="30">
        <v>2</v>
      </c>
      <c r="D28" s="30">
        <v>6</v>
      </c>
      <c r="E28" s="30">
        <v>0.33</v>
      </c>
      <c r="F28" s="30">
        <v>21</v>
      </c>
      <c r="G28" s="30">
        <v>26</v>
      </c>
      <c r="H28" s="30">
        <v>-5</v>
      </c>
      <c r="I28" s="31" t="s">
        <v>93</v>
      </c>
      <c r="J28" s="30" t="s">
        <v>124</v>
      </c>
      <c r="K28" s="30"/>
      <c r="L28" s="30" t="s">
        <v>115</v>
      </c>
    </row>
    <row r="29" spans="1:12" ht="27.85" thickBot="1" x14ac:dyDescent="0.25">
      <c r="A29" s="30">
        <v>24</v>
      </c>
      <c r="B29" s="30" t="s">
        <v>43</v>
      </c>
      <c r="C29" s="30">
        <v>2</v>
      </c>
      <c r="D29" s="30">
        <v>6</v>
      </c>
      <c r="E29" s="30">
        <v>0.33</v>
      </c>
      <c r="F29" s="30">
        <v>20</v>
      </c>
      <c r="G29" s="30">
        <v>26</v>
      </c>
      <c r="H29" s="30">
        <v>-6</v>
      </c>
      <c r="I29" s="31" t="s">
        <v>93</v>
      </c>
      <c r="J29" s="30" t="s">
        <v>122</v>
      </c>
      <c r="K29" s="30"/>
      <c r="L29" s="30" t="s">
        <v>115</v>
      </c>
    </row>
    <row r="30" spans="1:12" ht="27.85" thickBot="1" x14ac:dyDescent="0.25">
      <c r="A30" s="30">
        <v>25</v>
      </c>
      <c r="B30" s="30" t="s">
        <v>66</v>
      </c>
      <c r="C30" s="30">
        <v>1</v>
      </c>
      <c r="D30" s="30">
        <v>5</v>
      </c>
      <c r="E30" s="30">
        <v>0.2</v>
      </c>
      <c r="F30" s="30">
        <v>10</v>
      </c>
      <c r="G30" s="30">
        <v>23</v>
      </c>
      <c r="H30" s="30">
        <v>-13</v>
      </c>
      <c r="I30" s="31" t="s">
        <v>93</v>
      </c>
      <c r="J30" s="30" t="s">
        <v>119</v>
      </c>
      <c r="K30" s="30"/>
      <c r="L30" s="30" t="s">
        <v>115</v>
      </c>
    </row>
    <row r="31" spans="1:12" ht="27.85" thickBot="1" x14ac:dyDescent="0.25">
      <c r="A31" s="30">
        <v>26</v>
      </c>
      <c r="B31" s="30" t="s">
        <v>17</v>
      </c>
      <c r="C31" s="30">
        <v>1</v>
      </c>
      <c r="D31" s="30">
        <v>5</v>
      </c>
      <c r="E31" s="30">
        <v>0.2</v>
      </c>
      <c r="F31" s="30">
        <v>7</v>
      </c>
      <c r="G31" s="30">
        <v>20</v>
      </c>
      <c r="H31" s="30">
        <v>-13</v>
      </c>
      <c r="I31" s="31" t="s">
        <v>93</v>
      </c>
      <c r="J31" s="30" t="s">
        <v>114</v>
      </c>
      <c r="K31" s="30"/>
      <c r="L31" s="30" t="s">
        <v>115</v>
      </c>
    </row>
    <row r="32" spans="1:12" ht="27.85" thickBot="1" x14ac:dyDescent="0.25">
      <c r="A32" s="30">
        <v>27</v>
      </c>
      <c r="B32" s="30" t="s">
        <v>61</v>
      </c>
      <c r="C32" s="30">
        <v>1</v>
      </c>
      <c r="D32" s="30">
        <v>6</v>
      </c>
      <c r="E32" s="30">
        <v>0.17</v>
      </c>
      <c r="F32" s="30">
        <v>15</v>
      </c>
      <c r="G32" s="30">
        <v>27</v>
      </c>
      <c r="H32" s="30">
        <v>-12</v>
      </c>
      <c r="I32" s="31" t="s">
        <v>93</v>
      </c>
      <c r="J32" s="30" t="s">
        <v>125</v>
      </c>
      <c r="K32" s="30"/>
      <c r="L32" s="30" t="s">
        <v>115</v>
      </c>
    </row>
    <row r="33" spans="1:12" ht="14.3" thickBot="1" x14ac:dyDescent="0.25">
      <c r="A33" s="30">
        <v>28</v>
      </c>
      <c r="B33" s="30" t="s">
        <v>47</v>
      </c>
      <c r="C33" s="30">
        <v>0</v>
      </c>
      <c r="D33" s="30">
        <v>5</v>
      </c>
      <c r="E33" s="30">
        <v>0</v>
      </c>
      <c r="F33" s="30">
        <v>12</v>
      </c>
      <c r="G33" s="30">
        <v>25</v>
      </c>
      <c r="H33" s="30">
        <v>-13</v>
      </c>
      <c r="I33" s="31" t="s">
        <v>93</v>
      </c>
      <c r="J33" s="30" t="s">
        <v>126</v>
      </c>
      <c r="K33" s="30"/>
      <c r="L33" s="30" t="s">
        <v>115</v>
      </c>
    </row>
    <row r="34" spans="1:12" ht="27.85" thickBot="1" x14ac:dyDescent="0.25">
      <c r="A34" s="30" t="s">
        <v>127</v>
      </c>
      <c r="B34" s="30" t="s">
        <v>34</v>
      </c>
      <c r="C34" s="30">
        <v>0</v>
      </c>
      <c r="D34" s="30">
        <v>5</v>
      </c>
      <c r="E34" s="30">
        <v>0</v>
      </c>
      <c r="F34" s="30">
        <v>10</v>
      </c>
      <c r="G34" s="30">
        <v>25</v>
      </c>
      <c r="H34" s="30">
        <v>-15</v>
      </c>
      <c r="I34" s="31" t="s">
        <v>93</v>
      </c>
      <c r="J34" s="30" t="s">
        <v>128</v>
      </c>
      <c r="K34" s="30"/>
      <c r="L34" s="30" t="s">
        <v>115</v>
      </c>
    </row>
    <row r="35" spans="1:12" ht="27.85" thickBot="1" x14ac:dyDescent="0.25">
      <c r="A35" s="30" t="s">
        <v>127</v>
      </c>
      <c r="B35" s="30" t="s">
        <v>37</v>
      </c>
      <c r="C35" s="30">
        <v>0</v>
      </c>
      <c r="D35" s="30">
        <v>5</v>
      </c>
      <c r="E35" s="30">
        <v>0</v>
      </c>
      <c r="F35" s="30">
        <v>10</v>
      </c>
      <c r="G35" s="30">
        <v>25</v>
      </c>
      <c r="H35" s="30">
        <v>-15</v>
      </c>
      <c r="I35" s="31" t="s">
        <v>93</v>
      </c>
      <c r="J35" s="30" t="s">
        <v>128</v>
      </c>
      <c r="K35" s="30"/>
      <c r="L35" s="30" t="s">
        <v>115</v>
      </c>
    </row>
    <row r="36" spans="1:12" ht="27.85" thickBot="1" x14ac:dyDescent="0.25">
      <c r="A36" s="30">
        <v>31</v>
      </c>
      <c r="B36" s="30" t="s">
        <v>26</v>
      </c>
      <c r="C36" s="30">
        <v>0</v>
      </c>
      <c r="D36" s="30">
        <v>5</v>
      </c>
      <c r="E36" s="30">
        <v>0</v>
      </c>
      <c r="F36" s="30">
        <v>8</v>
      </c>
      <c r="G36" s="30">
        <v>25</v>
      </c>
      <c r="H36" s="30">
        <v>-17</v>
      </c>
      <c r="I36" s="31" t="s">
        <v>93</v>
      </c>
      <c r="J36" s="30" t="s">
        <v>114</v>
      </c>
      <c r="K36" s="30"/>
      <c r="L36" s="30" t="s">
        <v>115</v>
      </c>
    </row>
    <row r="37" spans="1:12" x14ac:dyDescent="0.2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">
      <c r="A42"/>
      <c r="B42"/>
      <c r="C42"/>
      <c r="D42"/>
      <c r="E42"/>
      <c r="F42"/>
      <c r="G42"/>
      <c r="H42"/>
      <c r="I42"/>
      <c r="J42"/>
      <c r="K42"/>
      <c r="L42"/>
    </row>
  </sheetData>
  <autoFilter ref="A5:L23" xr:uid="{00000000-0009-0000-0000-000009000000}">
    <sortState xmlns:xlrd2="http://schemas.microsoft.com/office/spreadsheetml/2017/richdata2" ref="A6:L38">
      <sortCondition ref="A5:A23"/>
    </sortState>
  </autoFilter>
  <mergeCells count="3">
    <mergeCell ref="A2:B2"/>
    <mergeCell ref="C2:L2"/>
    <mergeCell ref="C3:L3"/>
  </mergeCells>
  <hyperlinks>
    <hyperlink ref="C3" r:id="rId1" xr:uid="{133CA220-C0D8-47E4-B15A-16C5EBDDA4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AA50"/>
  <sheetViews>
    <sheetView workbookViewId="0">
      <selection activeCell="N12" sqref="N12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27" ht="13.1" customHeight="1" x14ac:dyDescent="0.2">
      <c r="A2" s="51" t="s">
        <v>82</v>
      </c>
      <c r="B2" s="51"/>
      <c r="C2" s="52" t="s">
        <v>112</v>
      </c>
      <c r="D2" s="52"/>
      <c r="E2" s="52"/>
      <c r="F2" s="52"/>
      <c r="G2" s="52"/>
      <c r="H2" s="52"/>
      <c r="I2" s="52"/>
      <c r="J2" s="52"/>
      <c r="K2" s="52"/>
      <c r="L2" s="52"/>
    </row>
    <row r="3" spans="1:27" ht="13.1" customHeight="1" x14ac:dyDescent="0.2">
      <c r="C3" s="53" t="s">
        <v>129</v>
      </c>
      <c r="D3" s="53"/>
      <c r="E3" s="53"/>
      <c r="F3" s="53"/>
      <c r="G3" s="53"/>
      <c r="H3" s="53"/>
      <c r="I3" s="53"/>
      <c r="J3" s="53"/>
      <c r="K3" s="53"/>
      <c r="L3" s="53"/>
    </row>
    <row r="4" spans="1:27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27" ht="14.95" thickBot="1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3</v>
      </c>
      <c r="G5" s="7" t="s">
        <v>88</v>
      </c>
      <c r="H5" s="7" t="s">
        <v>4</v>
      </c>
      <c r="I5" s="7" t="s">
        <v>89</v>
      </c>
      <c r="J5" s="7" t="s">
        <v>90</v>
      </c>
      <c r="K5" s="7" t="s">
        <v>91</v>
      </c>
      <c r="L5" s="7" t="s">
        <v>92</v>
      </c>
    </row>
    <row r="6" spans="1:27" ht="27.85" thickBot="1" x14ac:dyDescent="0.25">
      <c r="A6" s="30">
        <v>1</v>
      </c>
      <c r="B6" s="30" t="s">
        <v>14</v>
      </c>
      <c r="C6" s="30">
        <v>5</v>
      </c>
      <c r="D6" s="30">
        <v>5</v>
      </c>
      <c r="E6" s="30">
        <v>1</v>
      </c>
      <c r="F6" s="30">
        <v>25</v>
      </c>
      <c r="G6" s="30">
        <v>8</v>
      </c>
      <c r="H6" s="30">
        <v>17</v>
      </c>
      <c r="I6" s="31" t="s">
        <v>93</v>
      </c>
      <c r="J6" s="30" t="s">
        <v>117</v>
      </c>
      <c r="K6" s="30"/>
      <c r="L6" s="30" t="s">
        <v>115</v>
      </c>
    </row>
    <row r="7" spans="1:27" ht="14.3" thickBot="1" x14ac:dyDescent="0.25">
      <c r="A7" s="30">
        <v>2</v>
      </c>
      <c r="B7" s="30" t="s">
        <v>15</v>
      </c>
      <c r="C7" s="30">
        <v>5</v>
      </c>
      <c r="D7" s="30">
        <v>5</v>
      </c>
      <c r="E7" s="30">
        <v>1</v>
      </c>
      <c r="F7" s="30">
        <v>25</v>
      </c>
      <c r="G7" s="30">
        <v>9</v>
      </c>
      <c r="H7" s="30">
        <v>16</v>
      </c>
      <c r="I7" s="31" t="s">
        <v>93</v>
      </c>
      <c r="J7" s="30" t="s">
        <v>118</v>
      </c>
      <c r="K7" s="30"/>
      <c r="L7" s="30" t="s">
        <v>115</v>
      </c>
    </row>
    <row r="8" spans="1:27" ht="14.3" thickBot="1" x14ac:dyDescent="0.25">
      <c r="A8" s="30">
        <v>3</v>
      </c>
      <c r="B8" s="30" t="s">
        <v>31</v>
      </c>
      <c r="C8" s="30">
        <v>4</v>
      </c>
      <c r="D8" s="30">
        <v>4</v>
      </c>
      <c r="E8" s="30">
        <v>1</v>
      </c>
      <c r="F8" s="30">
        <v>20</v>
      </c>
      <c r="G8" s="30">
        <v>5</v>
      </c>
      <c r="H8" s="30">
        <v>15</v>
      </c>
      <c r="I8" s="31" t="s">
        <v>93</v>
      </c>
      <c r="J8" s="30" t="s">
        <v>122</v>
      </c>
      <c r="K8" s="30"/>
      <c r="L8" s="30" t="s">
        <v>115</v>
      </c>
    </row>
    <row r="9" spans="1:27" ht="27.85" thickBot="1" x14ac:dyDescent="0.25">
      <c r="A9" s="30">
        <v>4</v>
      </c>
      <c r="B9" s="30" t="s">
        <v>9</v>
      </c>
      <c r="C9" s="30">
        <v>5</v>
      </c>
      <c r="D9" s="30">
        <v>6</v>
      </c>
      <c r="E9" s="30">
        <v>0.83</v>
      </c>
      <c r="F9" s="30">
        <v>29</v>
      </c>
      <c r="G9" s="30">
        <v>7</v>
      </c>
      <c r="H9" s="30">
        <v>22</v>
      </c>
      <c r="I9" s="31" t="s">
        <v>93</v>
      </c>
      <c r="J9" s="30" t="s">
        <v>114</v>
      </c>
      <c r="K9" s="30"/>
      <c r="L9" s="30" t="s">
        <v>115</v>
      </c>
    </row>
    <row r="10" spans="1:27" ht="14.3" thickBot="1" x14ac:dyDescent="0.25">
      <c r="A10" s="30">
        <v>5</v>
      </c>
      <c r="B10" s="30" t="s">
        <v>45</v>
      </c>
      <c r="C10" s="30">
        <v>5</v>
      </c>
      <c r="D10" s="30">
        <v>6</v>
      </c>
      <c r="E10" s="30">
        <v>0.83</v>
      </c>
      <c r="F10" s="30">
        <v>29</v>
      </c>
      <c r="G10" s="30">
        <v>13</v>
      </c>
      <c r="H10" s="30">
        <v>16</v>
      </c>
      <c r="I10" s="31" t="s">
        <v>93</v>
      </c>
      <c r="J10" s="30"/>
      <c r="K10" s="30"/>
      <c r="L10" s="30" t="s">
        <v>120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27.85" thickBot="1" x14ac:dyDescent="0.25">
      <c r="A11" s="30">
        <v>6</v>
      </c>
      <c r="B11" s="30" t="s">
        <v>11</v>
      </c>
      <c r="C11" s="30">
        <v>4</v>
      </c>
      <c r="D11" s="30">
        <v>5</v>
      </c>
      <c r="E11" s="30">
        <v>0.8</v>
      </c>
      <c r="F11" s="30">
        <v>22</v>
      </c>
      <c r="G11" s="30">
        <v>6</v>
      </c>
      <c r="H11" s="30">
        <v>16</v>
      </c>
      <c r="I11" s="31" t="s">
        <v>93</v>
      </c>
      <c r="J11" s="30" t="s">
        <v>117</v>
      </c>
      <c r="K11" s="30"/>
      <c r="L11" s="30" t="s">
        <v>115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4.3" thickBot="1" x14ac:dyDescent="0.25">
      <c r="A12" s="30">
        <v>7</v>
      </c>
      <c r="B12" s="30" t="s">
        <v>25</v>
      </c>
      <c r="C12" s="30">
        <v>4</v>
      </c>
      <c r="D12" s="30">
        <v>5</v>
      </c>
      <c r="E12" s="30">
        <v>0.8</v>
      </c>
      <c r="F12" s="30">
        <v>22</v>
      </c>
      <c r="G12" s="30">
        <v>14</v>
      </c>
      <c r="H12" s="30">
        <v>8</v>
      </c>
      <c r="I12" s="31" t="s">
        <v>93</v>
      </c>
      <c r="J12" s="30" t="s">
        <v>122</v>
      </c>
      <c r="K12" s="30"/>
      <c r="L12" s="30" t="s">
        <v>115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27.85" thickBot="1" x14ac:dyDescent="0.25">
      <c r="A13" s="30">
        <v>8</v>
      </c>
      <c r="B13" s="30" t="s">
        <v>35</v>
      </c>
      <c r="C13" s="30">
        <v>4</v>
      </c>
      <c r="D13" s="30">
        <v>5</v>
      </c>
      <c r="E13" s="30">
        <v>0.8</v>
      </c>
      <c r="F13" s="30">
        <v>21</v>
      </c>
      <c r="G13" s="30">
        <v>14</v>
      </c>
      <c r="H13" s="30">
        <v>7</v>
      </c>
      <c r="I13" s="31" t="s">
        <v>93</v>
      </c>
      <c r="J13" s="30" t="s">
        <v>122</v>
      </c>
      <c r="K13" s="30"/>
      <c r="L13" s="30" t="s">
        <v>115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27.85" thickBot="1" x14ac:dyDescent="0.25">
      <c r="A14" s="30">
        <v>9</v>
      </c>
      <c r="B14" s="30" t="s">
        <v>12</v>
      </c>
      <c r="C14" s="30">
        <v>3</v>
      </c>
      <c r="D14" s="30">
        <v>4</v>
      </c>
      <c r="E14" s="30">
        <v>0.75</v>
      </c>
      <c r="F14" s="30">
        <v>18</v>
      </c>
      <c r="G14" s="30">
        <v>12</v>
      </c>
      <c r="H14" s="30">
        <v>6</v>
      </c>
      <c r="I14" s="31" t="s">
        <v>93</v>
      </c>
      <c r="J14" s="30" t="s">
        <v>116</v>
      </c>
      <c r="K14" s="30"/>
      <c r="L14" s="30" t="s">
        <v>115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4.3" thickBot="1" x14ac:dyDescent="0.25">
      <c r="A15" s="30">
        <v>10</v>
      </c>
      <c r="B15" s="30" t="s">
        <v>30</v>
      </c>
      <c r="C15" s="30">
        <v>4</v>
      </c>
      <c r="D15" s="30">
        <v>6</v>
      </c>
      <c r="E15" s="30">
        <v>0.67</v>
      </c>
      <c r="F15" s="30">
        <v>23</v>
      </c>
      <c r="G15" s="30">
        <v>20</v>
      </c>
      <c r="H15" s="30">
        <v>3</v>
      </c>
      <c r="I15" s="31" t="s">
        <v>93</v>
      </c>
      <c r="J15" s="30" t="s">
        <v>118</v>
      </c>
      <c r="K15" s="30"/>
      <c r="L15" s="30" t="s">
        <v>115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27.85" thickBot="1" x14ac:dyDescent="0.25">
      <c r="A16" s="30">
        <v>11</v>
      </c>
      <c r="B16" s="30" t="s">
        <v>33</v>
      </c>
      <c r="C16" s="30">
        <v>3</v>
      </c>
      <c r="D16" s="30">
        <v>5</v>
      </c>
      <c r="E16" s="30">
        <v>0.6</v>
      </c>
      <c r="F16" s="30">
        <v>22</v>
      </c>
      <c r="G16" s="30">
        <v>16</v>
      </c>
      <c r="H16" s="30">
        <v>6</v>
      </c>
      <c r="I16" s="31" t="s">
        <v>93</v>
      </c>
      <c r="J16" s="30" t="s">
        <v>118</v>
      </c>
      <c r="K16" s="30"/>
      <c r="L16" s="30" t="s">
        <v>115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27.85" thickBot="1" x14ac:dyDescent="0.25">
      <c r="A17" s="30">
        <v>12</v>
      </c>
      <c r="B17" s="30" t="s">
        <v>46</v>
      </c>
      <c r="C17" s="30">
        <v>3</v>
      </c>
      <c r="D17" s="30">
        <v>5</v>
      </c>
      <c r="E17" s="30">
        <v>0.6</v>
      </c>
      <c r="F17" s="30">
        <v>20</v>
      </c>
      <c r="G17" s="30">
        <v>15</v>
      </c>
      <c r="H17" s="30">
        <v>5</v>
      </c>
      <c r="I17" s="31" t="s">
        <v>93</v>
      </c>
      <c r="J17" s="30" t="s">
        <v>119</v>
      </c>
      <c r="K17" s="30"/>
      <c r="L17" s="30" t="s">
        <v>115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27.85" thickBot="1" x14ac:dyDescent="0.25">
      <c r="A18" s="30">
        <v>13</v>
      </c>
      <c r="B18" s="30" t="s">
        <v>26</v>
      </c>
      <c r="C18" s="30">
        <v>3</v>
      </c>
      <c r="D18" s="30">
        <v>5</v>
      </c>
      <c r="E18" s="30">
        <v>0.6</v>
      </c>
      <c r="F18" s="30">
        <v>21</v>
      </c>
      <c r="G18" s="30">
        <v>20</v>
      </c>
      <c r="H18" s="30">
        <v>1</v>
      </c>
      <c r="I18" s="31" t="s">
        <v>93</v>
      </c>
      <c r="J18" s="30" t="s">
        <v>114</v>
      </c>
      <c r="K18" s="30"/>
      <c r="L18" s="30" t="s">
        <v>115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27.85" thickBot="1" x14ac:dyDescent="0.25">
      <c r="A19" s="30">
        <v>14</v>
      </c>
      <c r="B19" s="30" t="s">
        <v>18</v>
      </c>
      <c r="C19" s="30">
        <v>3</v>
      </c>
      <c r="D19" s="30">
        <v>5</v>
      </c>
      <c r="E19" s="30">
        <v>0.6</v>
      </c>
      <c r="F19" s="30">
        <v>17</v>
      </c>
      <c r="G19" s="30">
        <v>17</v>
      </c>
      <c r="H19" s="30">
        <v>0</v>
      </c>
      <c r="I19" s="31" t="s">
        <v>93</v>
      </c>
      <c r="J19" s="30" t="s">
        <v>116</v>
      </c>
      <c r="K19" s="30"/>
      <c r="L19" s="30" t="s">
        <v>115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27.85" thickBot="1" x14ac:dyDescent="0.25">
      <c r="A20" s="30">
        <v>15</v>
      </c>
      <c r="B20" s="30" t="s">
        <v>29</v>
      </c>
      <c r="C20" s="30">
        <v>3</v>
      </c>
      <c r="D20" s="30">
        <v>5</v>
      </c>
      <c r="E20" s="30">
        <v>0.6</v>
      </c>
      <c r="F20" s="30">
        <v>19</v>
      </c>
      <c r="G20" s="30">
        <v>20</v>
      </c>
      <c r="H20" s="30">
        <v>-1</v>
      </c>
      <c r="I20" s="31" t="s">
        <v>93</v>
      </c>
      <c r="J20" s="30" t="s">
        <v>102</v>
      </c>
      <c r="K20" s="30"/>
      <c r="L20" s="30" t="s">
        <v>115</v>
      </c>
    </row>
    <row r="21" spans="1:27" ht="27.85" thickBot="1" x14ac:dyDescent="0.25">
      <c r="A21" s="30">
        <v>16</v>
      </c>
      <c r="B21" s="30" t="s">
        <v>10</v>
      </c>
      <c r="C21" s="30">
        <v>2</v>
      </c>
      <c r="D21" s="30">
        <v>4</v>
      </c>
      <c r="E21" s="30">
        <v>0.5</v>
      </c>
      <c r="F21" s="30">
        <v>15</v>
      </c>
      <c r="G21" s="30">
        <v>10</v>
      </c>
      <c r="H21" s="30">
        <v>5</v>
      </c>
      <c r="I21" s="31" t="s">
        <v>93</v>
      </c>
      <c r="J21" s="30" t="s">
        <v>114</v>
      </c>
      <c r="K21" s="30"/>
      <c r="L21" s="30" t="s">
        <v>115</v>
      </c>
    </row>
    <row r="22" spans="1:27" ht="14.3" thickBot="1" x14ac:dyDescent="0.25">
      <c r="A22" s="30">
        <v>17</v>
      </c>
      <c r="B22" s="30" t="s">
        <v>47</v>
      </c>
      <c r="C22" s="30">
        <v>3</v>
      </c>
      <c r="D22" s="30">
        <v>6</v>
      </c>
      <c r="E22" s="30">
        <v>0.5</v>
      </c>
      <c r="F22" s="30">
        <v>18</v>
      </c>
      <c r="G22" s="30">
        <v>21</v>
      </c>
      <c r="H22" s="30">
        <v>-3</v>
      </c>
      <c r="I22" s="31" t="s">
        <v>93</v>
      </c>
      <c r="J22" s="30" t="s">
        <v>126</v>
      </c>
      <c r="K22" s="30"/>
      <c r="L22" s="30" t="s">
        <v>115</v>
      </c>
    </row>
    <row r="23" spans="1:27" ht="27.85" thickBot="1" x14ac:dyDescent="0.25">
      <c r="A23" s="30">
        <v>18</v>
      </c>
      <c r="B23" s="30" t="s">
        <v>23</v>
      </c>
      <c r="C23" s="30">
        <v>2</v>
      </c>
      <c r="D23" s="30">
        <v>5</v>
      </c>
      <c r="E23" s="30">
        <v>0.4</v>
      </c>
      <c r="F23" s="30">
        <v>19</v>
      </c>
      <c r="G23" s="30">
        <v>17</v>
      </c>
      <c r="H23" s="30">
        <v>2</v>
      </c>
      <c r="I23" s="31" t="s">
        <v>93</v>
      </c>
      <c r="J23" s="30" t="s">
        <v>119</v>
      </c>
      <c r="K23" s="30"/>
      <c r="L23" s="30" t="s">
        <v>115</v>
      </c>
    </row>
    <row r="24" spans="1:27" ht="27.85" thickBot="1" x14ac:dyDescent="0.25">
      <c r="A24" s="30">
        <v>19</v>
      </c>
      <c r="B24" s="30" t="s">
        <v>51</v>
      </c>
      <c r="C24" s="30">
        <v>2</v>
      </c>
      <c r="D24" s="30">
        <v>5</v>
      </c>
      <c r="E24" s="30">
        <v>0.4</v>
      </c>
      <c r="F24" s="30">
        <v>18</v>
      </c>
      <c r="G24" s="30">
        <v>21</v>
      </c>
      <c r="H24" s="30">
        <v>-3</v>
      </c>
      <c r="I24" s="31" t="s">
        <v>93</v>
      </c>
      <c r="J24" s="30" t="s">
        <v>119</v>
      </c>
      <c r="K24" s="30"/>
      <c r="L24" s="30" t="s">
        <v>115</v>
      </c>
    </row>
    <row r="25" spans="1:27" ht="27.85" thickBot="1" x14ac:dyDescent="0.25">
      <c r="A25" s="30">
        <v>20</v>
      </c>
      <c r="B25" s="30" t="s">
        <v>55</v>
      </c>
      <c r="C25" s="30">
        <v>2</v>
      </c>
      <c r="D25" s="30">
        <v>6</v>
      </c>
      <c r="E25" s="30">
        <v>0.33</v>
      </c>
      <c r="F25" s="30">
        <v>16</v>
      </c>
      <c r="G25" s="30">
        <v>27</v>
      </c>
      <c r="H25" s="30">
        <v>-11</v>
      </c>
      <c r="I25" s="31" t="s">
        <v>93</v>
      </c>
      <c r="J25" s="30" t="s">
        <v>119</v>
      </c>
      <c r="K25" s="30"/>
      <c r="L25" s="30" t="s">
        <v>115</v>
      </c>
    </row>
    <row r="26" spans="1:27" ht="27.85" thickBot="1" x14ac:dyDescent="0.25">
      <c r="A26" s="30">
        <v>21</v>
      </c>
      <c r="B26" s="30" t="s">
        <v>59</v>
      </c>
      <c r="C26" s="30">
        <v>1</v>
      </c>
      <c r="D26" s="30">
        <v>4</v>
      </c>
      <c r="E26" s="30">
        <v>0.25</v>
      </c>
      <c r="F26" s="30">
        <v>6</v>
      </c>
      <c r="G26" s="30">
        <v>19</v>
      </c>
      <c r="H26" s="30">
        <v>-13</v>
      </c>
      <c r="I26" s="31" t="s">
        <v>93</v>
      </c>
      <c r="J26" s="30" t="s">
        <v>119</v>
      </c>
      <c r="K26" s="30"/>
      <c r="L26" s="30" t="s">
        <v>115</v>
      </c>
    </row>
    <row r="27" spans="1:27" ht="27.85" thickBot="1" x14ac:dyDescent="0.25">
      <c r="A27" s="30">
        <v>22</v>
      </c>
      <c r="B27" s="30" t="s">
        <v>40</v>
      </c>
      <c r="C27" s="30">
        <v>1</v>
      </c>
      <c r="D27" s="30">
        <v>5</v>
      </c>
      <c r="E27" s="30">
        <v>0.2</v>
      </c>
      <c r="F27" s="30">
        <v>15</v>
      </c>
      <c r="G27" s="30">
        <v>20</v>
      </c>
      <c r="H27" s="30">
        <v>-5</v>
      </c>
      <c r="I27" s="31" t="s">
        <v>93</v>
      </c>
      <c r="J27" s="30" t="s">
        <v>119</v>
      </c>
      <c r="K27" s="30"/>
      <c r="L27" s="30" t="s">
        <v>115</v>
      </c>
    </row>
    <row r="28" spans="1:27" ht="27.85" thickBot="1" x14ac:dyDescent="0.25">
      <c r="A28" s="30">
        <v>23</v>
      </c>
      <c r="B28" s="30" t="s">
        <v>43</v>
      </c>
      <c r="C28" s="30">
        <v>1</v>
      </c>
      <c r="D28" s="30">
        <v>5</v>
      </c>
      <c r="E28" s="30">
        <v>0.2</v>
      </c>
      <c r="F28" s="30">
        <v>13</v>
      </c>
      <c r="G28" s="30">
        <v>21</v>
      </c>
      <c r="H28" s="30">
        <v>-8</v>
      </c>
      <c r="I28" s="31" t="s">
        <v>93</v>
      </c>
      <c r="J28" s="30" t="s">
        <v>122</v>
      </c>
      <c r="K28" s="30"/>
      <c r="L28" s="30" t="s">
        <v>115</v>
      </c>
    </row>
    <row r="29" spans="1:27" ht="27.85" thickBot="1" x14ac:dyDescent="0.25">
      <c r="A29" s="30">
        <v>24</v>
      </c>
      <c r="B29" s="30" t="s">
        <v>17</v>
      </c>
      <c r="C29" s="30">
        <v>1</v>
      </c>
      <c r="D29" s="30">
        <v>5</v>
      </c>
      <c r="E29" s="30">
        <v>0.2</v>
      </c>
      <c r="F29" s="30">
        <v>14</v>
      </c>
      <c r="G29" s="30">
        <v>23</v>
      </c>
      <c r="H29" s="30">
        <v>-9</v>
      </c>
      <c r="I29" s="31" t="s">
        <v>93</v>
      </c>
      <c r="J29" s="30" t="s">
        <v>114</v>
      </c>
      <c r="K29" s="30"/>
      <c r="L29" s="30" t="s">
        <v>115</v>
      </c>
    </row>
    <row r="30" spans="1:27" ht="27.85" thickBot="1" x14ac:dyDescent="0.25">
      <c r="A30" s="30">
        <v>25</v>
      </c>
      <c r="B30" s="30" t="s">
        <v>61</v>
      </c>
      <c r="C30" s="30">
        <v>1</v>
      </c>
      <c r="D30" s="30">
        <v>5</v>
      </c>
      <c r="E30" s="30">
        <v>0.2</v>
      </c>
      <c r="F30" s="30">
        <v>8</v>
      </c>
      <c r="G30" s="30">
        <v>23</v>
      </c>
      <c r="H30" s="30">
        <v>-15</v>
      </c>
      <c r="I30" s="31" t="s">
        <v>93</v>
      </c>
      <c r="J30" s="30" t="s">
        <v>125</v>
      </c>
      <c r="K30" s="30"/>
      <c r="L30" s="30" t="s">
        <v>115</v>
      </c>
    </row>
    <row r="31" spans="1:27" ht="14.3" thickBot="1" x14ac:dyDescent="0.25">
      <c r="A31" s="30">
        <v>26</v>
      </c>
      <c r="B31" s="30" t="s">
        <v>20</v>
      </c>
      <c r="C31" s="30">
        <v>1</v>
      </c>
      <c r="D31" s="30">
        <v>6</v>
      </c>
      <c r="E31" s="30">
        <v>0.17</v>
      </c>
      <c r="F31" s="30">
        <v>15</v>
      </c>
      <c r="G31" s="30">
        <v>26</v>
      </c>
      <c r="H31" s="30">
        <v>-11</v>
      </c>
      <c r="I31" s="31" t="s">
        <v>93</v>
      </c>
      <c r="J31" s="30" t="s">
        <v>121</v>
      </c>
      <c r="K31" s="30"/>
      <c r="L31" s="30" t="s">
        <v>115</v>
      </c>
    </row>
    <row r="32" spans="1:27" ht="27.85" thickBot="1" x14ac:dyDescent="0.25">
      <c r="A32" s="30">
        <v>27</v>
      </c>
      <c r="B32" s="30" t="s">
        <v>34</v>
      </c>
      <c r="C32" s="30">
        <v>1</v>
      </c>
      <c r="D32" s="30">
        <v>6</v>
      </c>
      <c r="E32" s="30">
        <v>0.17</v>
      </c>
      <c r="F32" s="30">
        <v>11</v>
      </c>
      <c r="G32" s="30">
        <v>27</v>
      </c>
      <c r="H32" s="30">
        <v>-16</v>
      </c>
      <c r="I32" s="31" t="s">
        <v>93</v>
      </c>
      <c r="J32" s="30" t="s">
        <v>128</v>
      </c>
      <c r="K32" s="30"/>
      <c r="L32" s="30" t="s">
        <v>115</v>
      </c>
    </row>
    <row r="33" spans="1:12" ht="27.85" thickBot="1" x14ac:dyDescent="0.25">
      <c r="A33" s="30">
        <v>28</v>
      </c>
      <c r="B33" s="30" t="s">
        <v>37</v>
      </c>
      <c r="C33" s="30">
        <v>0</v>
      </c>
      <c r="D33" s="30">
        <v>4</v>
      </c>
      <c r="E33" s="30">
        <v>0</v>
      </c>
      <c r="F33" s="30">
        <v>7</v>
      </c>
      <c r="G33" s="30">
        <v>20</v>
      </c>
      <c r="H33" s="30">
        <v>-13</v>
      </c>
      <c r="I33" s="31" t="s">
        <v>93</v>
      </c>
      <c r="J33" s="30" t="s">
        <v>128</v>
      </c>
      <c r="K33" s="30"/>
      <c r="L33" s="30" t="s">
        <v>115</v>
      </c>
    </row>
    <row r="34" spans="1:12" ht="27.85" thickBot="1" x14ac:dyDescent="0.25">
      <c r="A34" s="30">
        <v>29</v>
      </c>
      <c r="B34" s="30" t="s">
        <v>66</v>
      </c>
      <c r="C34" s="30">
        <v>0</v>
      </c>
      <c r="D34" s="30">
        <v>5</v>
      </c>
      <c r="E34" s="30">
        <v>0</v>
      </c>
      <c r="F34" s="30">
        <v>7</v>
      </c>
      <c r="G34" s="30">
        <v>25</v>
      </c>
      <c r="H34" s="30">
        <v>-18</v>
      </c>
      <c r="I34" s="31" t="s">
        <v>93</v>
      </c>
      <c r="J34" s="30" t="s">
        <v>119</v>
      </c>
      <c r="K34" s="30"/>
      <c r="L34" s="30" t="s">
        <v>115</v>
      </c>
    </row>
    <row r="35" spans="1:12" ht="14.3" thickBot="1" x14ac:dyDescent="0.25">
      <c r="A35" s="30">
        <v>30</v>
      </c>
      <c r="B35" s="30" t="s">
        <v>32</v>
      </c>
      <c r="C35" s="30">
        <v>0</v>
      </c>
      <c r="D35" s="30">
        <v>5</v>
      </c>
      <c r="E35" s="30">
        <v>0</v>
      </c>
      <c r="F35" s="30">
        <v>6</v>
      </c>
      <c r="G35" s="30">
        <v>25</v>
      </c>
      <c r="H35" s="30">
        <v>-19</v>
      </c>
      <c r="I35" s="31" t="s">
        <v>93</v>
      </c>
      <c r="J35" s="30" t="s">
        <v>123</v>
      </c>
      <c r="K35" s="30"/>
      <c r="L35" s="30" t="s">
        <v>115</v>
      </c>
    </row>
    <row r="36" spans="1:12" x14ac:dyDescent="0.2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5"/>
    </row>
    <row r="43" spans="1:12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5"/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5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5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5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5"/>
    </row>
  </sheetData>
  <autoFilter ref="A5:L38" xr:uid="{00000000-0009-0000-0000-00000A000000}">
    <sortState xmlns:xlrd2="http://schemas.microsoft.com/office/spreadsheetml/2017/richdata2" ref="A6:L38">
      <sortCondition descending="1" ref="E5:E38"/>
    </sortState>
  </autoFilter>
  <mergeCells count="3">
    <mergeCell ref="A2:B2"/>
    <mergeCell ref="C2:L2"/>
    <mergeCell ref="C3:L3"/>
  </mergeCells>
  <hyperlinks>
    <hyperlink ref="C3" r:id="rId1" xr:uid="{CF593B26-4EDD-4C69-95B2-11841A49235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L49"/>
  <sheetViews>
    <sheetView workbookViewId="0">
      <selection activeCell="A2" sqref="A2:L3"/>
    </sheetView>
  </sheetViews>
  <sheetFormatPr defaultRowHeight="12.9" x14ac:dyDescent="0.2"/>
  <cols>
    <col min="1" max="1" width="5.75" style="4" bestFit="1" customWidth="1"/>
    <col min="2" max="2" width="30.2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1" t="s">
        <v>82</v>
      </c>
      <c r="B2" s="51"/>
      <c r="C2" s="52" t="s">
        <v>130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131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4.95" thickBot="1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3</v>
      </c>
      <c r="G5" s="7" t="s">
        <v>88</v>
      </c>
      <c r="H5" s="7" t="s">
        <v>4</v>
      </c>
      <c r="I5" s="7" t="s">
        <v>89</v>
      </c>
      <c r="J5" s="7" t="s">
        <v>90</v>
      </c>
      <c r="K5" s="7" t="s">
        <v>91</v>
      </c>
      <c r="L5" s="7" t="s">
        <v>92</v>
      </c>
    </row>
    <row r="6" spans="1:12" ht="27.85" thickBot="1" x14ac:dyDescent="0.25">
      <c r="A6" s="30">
        <v>1</v>
      </c>
      <c r="B6" s="30" t="s">
        <v>9</v>
      </c>
      <c r="C6" s="30">
        <v>5</v>
      </c>
      <c r="D6" s="30">
        <v>5</v>
      </c>
      <c r="E6" s="30">
        <v>1</v>
      </c>
      <c r="F6" s="30">
        <v>25</v>
      </c>
      <c r="G6" s="30">
        <v>5</v>
      </c>
      <c r="H6" s="30">
        <v>20</v>
      </c>
      <c r="I6" s="31" t="s">
        <v>93</v>
      </c>
      <c r="J6" s="30" t="s">
        <v>94</v>
      </c>
      <c r="K6" s="30" t="s">
        <v>115</v>
      </c>
      <c r="L6" s="32"/>
    </row>
    <row r="7" spans="1:12" ht="27.85" thickBot="1" x14ac:dyDescent="0.25">
      <c r="A7" s="30">
        <v>2</v>
      </c>
      <c r="B7" s="30" t="s">
        <v>10</v>
      </c>
      <c r="C7" s="30">
        <v>5</v>
      </c>
      <c r="D7" s="30">
        <v>5</v>
      </c>
      <c r="E7" s="30">
        <v>1</v>
      </c>
      <c r="F7" s="30">
        <v>25</v>
      </c>
      <c r="G7" s="30">
        <v>8</v>
      </c>
      <c r="H7" s="30">
        <v>17</v>
      </c>
      <c r="I7" s="31" t="s">
        <v>93</v>
      </c>
      <c r="J7" s="30" t="s">
        <v>94</v>
      </c>
      <c r="K7" s="30" t="s">
        <v>115</v>
      </c>
      <c r="L7" s="32"/>
    </row>
    <row r="8" spans="1:12" ht="27.85" thickBot="1" x14ac:dyDescent="0.25">
      <c r="A8" s="30">
        <v>3</v>
      </c>
      <c r="B8" s="30" t="s">
        <v>15</v>
      </c>
      <c r="C8" s="30">
        <v>5</v>
      </c>
      <c r="D8" s="30">
        <v>5</v>
      </c>
      <c r="E8" s="30">
        <v>1</v>
      </c>
      <c r="F8" s="30">
        <v>25</v>
      </c>
      <c r="G8" s="30">
        <v>9</v>
      </c>
      <c r="H8" s="30">
        <v>16</v>
      </c>
      <c r="I8" s="31" t="s">
        <v>93</v>
      </c>
      <c r="J8" s="30" t="s">
        <v>132</v>
      </c>
      <c r="K8" s="30" t="s">
        <v>115</v>
      </c>
      <c r="L8" s="32"/>
    </row>
    <row r="9" spans="1:12" ht="27.85" thickBot="1" x14ac:dyDescent="0.25">
      <c r="A9" s="30">
        <v>4</v>
      </c>
      <c r="B9" s="30" t="s">
        <v>16</v>
      </c>
      <c r="C9" s="30">
        <v>5</v>
      </c>
      <c r="D9" s="30">
        <v>5</v>
      </c>
      <c r="E9" s="30">
        <v>1</v>
      </c>
      <c r="F9" s="30">
        <v>25</v>
      </c>
      <c r="G9" s="30">
        <v>11</v>
      </c>
      <c r="H9" s="30">
        <v>14</v>
      </c>
      <c r="I9" s="31" t="s">
        <v>93</v>
      </c>
      <c r="J9" s="30" t="s">
        <v>99</v>
      </c>
      <c r="K9" s="30" t="s">
        <v>115</v>
      </c>
      <c r="L9" s="32"/>
    </row>
    <row r="10" spans="1:12" ht="27.85" thickBot="1" x14ac:dyDescent="0.25">
      <c r="A10" s="30">
        <v>5</v>
      </c>
      <c r="B10" s="30" t="s">
        <v>41</v>
      </c>
      <c r="C10" s="30">
        <v>5</v>
      </c>
      <c r="D10" s="30">
        <v>6</v>
      </c>
      <c r="E10" s="30">
        <v>0.83</v>
      </c>
      <c r="F10" s="30">
        <v>29</v>
      </c>
      <c r="G10" s="30">
        <v>14</v>
      </c>
      <c r="H10" s="30">
        <v>15</v>
      </c>
      <c r="I10" s="31" t="s">
        <v>93</v>
      </c>
      <c r="J10" s="30" t="s">
        <v>99</v>
      </c>
      <c r="K10" s="30" t="s">
        <v>115</v>
      </c>
      <c r="L10" s="32"/>
    </row>
    <row r="11" spans="1:12" ht="14.3" thickBot="1" x14ac:dyDescent="0.25">
      <c r="A11" s="30">
        <v>6</v>
      </c>
      <c r="B11" s="30" t="s">
        <v>12</v>
      </c>
      <c r="C11" s="30">
        <v>4</v>
      </c>
      <c r="D11" s="30">
        <v>5</v>
      </c>
      <c r="E11" s="30">
        <v>0.8</v>
      </c>
      <c r="F11" s="30">
        <v>24</v>
      </c>
      <c r="G11" s="30">
        <v>6</v>
      </c>
      <c r="H11" s="30">
        <v>18</v>
      </c>
      <c r="I11" s="31" t="s">
        <v>93</v>
      </c>
      <c r="J11" s="30" t="s">
        <v>100</v>
      </c>
      <c r="K11" s="30" t="s">
        <v>115</v>
      </c>
      <c r="L11" s="32"/>
    </row>
    <row r="12" spans="1:12" ht="14.3" thickBot="1" x14ac:dyDescent="0.25">
      <c r="A12" s="30" t="s">
        <v>133</v>
      </c>
      <c r="B12" s="30" t="s">
        <v>44</v>
      </c>
      <c r="C12" s="30">
        <v>4</v>
      </c>
      <c r="D12" s="30">
        <v>5</v>
      </c>
      <c r="E12" s="30">
        <v>0.8</v>
      </c>
      <c r="F12" s="30">
        <v>23</v>
      </c>
      <c r="G12" s="30">
        <v>11</v>
      </c>
      <c r="H12" s="30">
        <v>12</v>
      </c>
      <c r="I12" s="31" t="s">
        <v>93</v>
      </c>
      <c r="J12" s="30" t="s">
        <v>109</v>
      </c>
      <c r="K12" s="30" t="s">
        <v>115</v>
      </c>
      <c r="L12" s="32"/>
    </row>
    <row r="13" spans="1:12" ht="27.85" thickBot="1" x14ac:dyDescent="0.25">
      <c r="A13" s="30" t="s">
        <v>133</v>
      </c>
      <c r="B13" s="30" t="s">
        <v>13</v>
      </c>
      <c r="C13" s="30">
        <v>4</v>
      </c>
      <c r="D13" s="30">
        <v>5</v>
      </c>
      <c r="E13" s="30">
        <v>0.8</v>
      </c>
      <c r="F13" s="30">
        <v>23</v>
      </c>
      <c r="G13" s="30">
        <v>11</v>
      </c>
      <c r="H13" s="30">
        <v>12</v>
      </c>
      <c r="I13" s="31" t="s">
        <v>93</v>
      </c>
      <c r="J13" s="30" t="s">
        <v>94</v>
      </c>
      <c r="K13" s="30" t="s">
        <v>115</v>
      </c>
      <c r="L13" s="32"/>
    </row>
    <row r="14" spans="1:12" ht="27.85" thickBot="1" x14ac:dyDescent="0.25">
      <c r="A14" s="30">
        <v>9</v>
      </c>
      <c r="B14" s="30" t="s">
        <v>19</v>
      </c>
      <c r="C14" s="30">
        <v>4</v>
      </c>
      <c r="D14" s="30">
        <v>5</v>
      </c>
      <c r="E14" s="30">
        <v>0.8</v>
      </c>
      <c r="F14" s="30">
        <v>21</v>
      </c>
      <c r="G14" s="30">
        <v>10</v>
      </c>
      <c r="H14" s="30">
        <v>11</v>
      </c>
      <c r="I14" s="31" t="s">
        <v>93</v>
      </c>
      <c r="J14" s="30" t="s">
        <v>98</v>
      </c>
      <c r="K14" s="30" t="s">
        <v>115</v>
      </c>
      <c r="L14" s="32"/>
    </row>
    <row r="15" spans="1:12" ht="27.85" thickBot="1" x14ac:dyDescent="0.25">
      <c r="A15" s="30">
        <v>10</v>
      </c>
      <c r="B15" s="30" t="s">
        <v>24</v>
      </c>
      <c r="C15" s="30">
        <v>4</v>
      </c>
      <c r="D15" s="30">
        <v>6</v>
      </c>
      <c r="E15" s="30">
        <v>0.67</v>
      </c>
      <c r="F15" s="30">
        <v>28</v>
      </c>
      <c r="G15" s="30">
        <v>16</v>
      </c>
      <c r="H15" s="30">
        <v>12</v>
      </c>
      <c r="I15" s="31" t="s">
        <v>93</v>
      </c>
      <c r="J15" s="30" t="s">
        <v>94</v>
      </c>
      <c r="K15" s="30" t="s">
        <v>115</v>
      </c>
      <c r="L15"/>
    </row>
    <row r="16" spans="1:12" ht="27.85" thickBot="1" x14ac:dyDescent="0.25">
      <c r="A16" s="30">
        <v>11</v>
      </c>
      <c r="B16" s="30" t="s">
        <v>11</v>
      </c>
      <c r="C16" s="30">
        <v>4</v>
      </c>
      <c r="D16" s="30">
        <v>6</v>
      </c>
      <c r="E16" s="30">
        <v>0.67</v>
      </c>
      <c r="F16" s="30">
        <v>25</v>
      </c>
      <c r="G16" s="30">
        <v>17</v>
      </c>
      <c r="H16" s="30">
        <v>8</v>
      </c>
      <c r="I16" s="31" t="s">
        <v>93</v>
      </c>
      <c r="J16" s="30" t="s">
        <v>98</v>
      </c>
      <c r="K16" s="30" t="s">
        <v>115</v>
      </c>
      <c r="L16" s="5"/>
    </row>
    <row r="17" spans="1:12" ht="14.3" thickBot="1" x14ac:dyDescent="0.25">
      <c r="A17" s="30">
        <v>12</v>
      </c>
      <c r="B17" s="30" t="s">
        <v>35</v>
      </c>
      <c r="C17" s="30">
        <v>4</v>
      </c>
      <c r="D17" s="30">
        <v>6</v>
      </c>
      <c r="E17" s="30">
        <v>0.67</v>
      </c>
      <c r="F17" s="30">
        <v>23</v>
      </c>
      <c r="G17" s="30">
        <v>20</v>
      </c>
      <c r="H17" s="30">
        <v>3</v>
      </c>
      <c r="I17" s="31" t="s">
        <v>93</v>
      </c>
      <c r="J17" s="30" t="s">
        <v>134</v>
      </c>
      <c r="K17" s="30" t="s">
        <v>115</v>
      </c>
      <c r="L17" s="5"/>
    </row>
    <row r="18" spans="1:12" ht="27.85" thickBot="1" x14ac:dyDescent="0.25">
      <c r="A18" s="30">
        <v>13</v>
      </c>
      <c r="B18" s="30" t="s">
        <v>21</v>
      </c>
      <c r="C18" s="30">
        <v>3</v>
      </c>
      <c r="D18" s="30">
        <v>5</v>
      </c>
      <c r="E18" s="30">
        <v>0.6</v>
      </c>
      <c r="F18" s="30">
        <v>21</v>
      </c>
      <c r="G18" s="30">
        <v>17</v>
      </c>
      <c r="H18" s="30">
        <v>4</v>
      </c>
      <c r="I18" s="31" t="s">
        <v>93</v>
      </c>
      <c r="J18" s="30" t="s">
        <v>94</v>
      </c>
      <c r="K18" s="30" t="s">
        <v>115</v>
      </c>
      <c r="L18" s="5"/>
    </row>
    <row r="19" spans="1:12" ht="41.45" thickBot="1" x14ac:dyDescent="0.25">
      <c r="A19" s="30">
        <v>14</v>
      </c>
      <c r="B19" s="30" t="s">
        <v>22</v>
      </c>
      <c r="C19" s="30">
        <v>3</v>
      </c>
      <c r="D19" s="30">
        <v>5</v>
      </c>
      <c r="E19" s="30">
        <v>0.6</v>
      </c>
      <c r="F19" s="30">
        <v>17</v>
      </c>
      <c r="G19" s="30">
        <v>15</v>
      </c>
      <c r="H19" s="30">
        <v>2</v>
      </c>
      <c r="I19" s="31" t="s">
        <v>93</v>
      </c>
      <c r="J19" s="30" t="s">
        <v>135</v>
      </c>
      <c r="K19" s="30" t="s">
        <v>115</v>
      </c>
      <c r="L19" s="5"/>
    </row>
    <row r="20" spans="1:12" ht="27.85" thickBot="1" x14ac:dyDescent="0.25">
      <c r="A20" s="30">
        <v>15</v>
      </c>
      <c r="B20" s="30" t="s">
        <v>28</v>
      </c>
      <c r="C20" s="30">
        <v>3</v>
      </c>
      <c r="D20" s="30">
        <v>5</v>
      </c>
      <c r="E20" s="30">
        <v>0.6</v>
      </c>
      <c r="F20" s="30">
        <v>15</v>
      </c>
      <c r="G20" s="30">
        <v>18</v>
      </c>
      <c r="H20" s="30">
        <v>-3</v>
      </c>
      <c r="I20" s="31" t="s">
        <v>93</v>
      </c>
      <c r="J20" s="30" t="s">
        <v>94</v>
      </c>
      <c r="K20" s="30" t="s">
        <v>115</v>
      </c>
      <c r="L20" s="5"/>
    </row>
    <row r="21" spans="1:12" ht="14.3" thickBot="1" x14ac:dyDescent="0.25">
      <c r="A21" s="30">
        <v>16</v>
      </c>
      <c r="B21" s="30" t="s">
        <v>23</v>
      </c>
      <c r="C21" s="30">
        <v>2</v>
      </c>
      <c r="D21" s="30">
        <v>5</v>
      </c>
      <c r="E21" s="30">
        <v>0.4</v>
      </c>
      <c r="F21" s="30">
        <v>18</v>
      </c>
      <c r="G21" s="30">
        <v>19</v>
      </c>
      <c r="H21" s="30">
        <v>-1</v>
      </c>
      <c r="I21" s="31" t="s">
        <v>93</v>
      </c>
      <c r="J21" s="30" t="s">
        <v>136</v>
      </c>
      <c r="K21" s="30" t="s">
        <v>115</v>
      </c>
      <c r="L21" s="5"/>
    </row>
    <row r="22" spans="1:12" ht="27.85" thickBot="1" x14ac:dyDescent="0.25">
      <c r="A22" s="30">
        <v>17</v>
      </c>
      <c r="B22" s="30" t="s">
        <v>54</v>
      </c>
      <c r="C22" s="30">
        <v>2</v>
      </c>
      <c r="D22" s="30">
        <v>5</v>
      </c>
      <c r="E22" s="30">
        <v>0.4</v>
      </c>
      <c r="F22" s="30">
        <v>17</v>
      </c>
      <c r="G22" s="30">
        <v>21</v>
      </c>
      <c r="H22" s="30">
        <v>-4</v>
      </c>
      <c r="I22" s="31" t="s">
        <v>93</v>
      </c>
      <c r="J22" s="30" t="s">
        <v>98</v>
      </c>
      <c r="K22" s="30" t="s">
        <v>115</v>
      </c>
      <c r="L22" s="5"/>
    </row>
    <row r="23" spans="1:12" ht="14.3" thickBot="1" x14ac:dyDescent="0.25">
      <c r="A23" s="30">
        <v>18</v>
      </c>
      <c r="B23" s="30" t="s">
        <v>25</v>
      </c>
      <c r="C23" s="30">
        <v>2</v>
      </c>
      <c r="D23" s="30">
        <v>5</v>
      </c>
      <c r="E23" s="30">
        <v>0.4</v>
      </c>
      <c r="F23" s="30">
        <v>14</v>
      </c>
      <c r="G23" s="30">
        <v>18</v>
      </c>
      <c r="H23" s="30">
        <v>-4</v>
      </c>
      <c r="I23" s="31" t="s">
        <v>93</v>
      </c>
      <c r="J23" s="30" t="s">
        <v>134</v>
      </c>
      <c r="K23" s="30" t="s">
        <v>115</v>
      </c>
      <c r="L23" s="5"/>
    </row>
    <row r="24" spans="1:12" ht="27.85" thickBot="1" x14ac:dyDescent="0.25">
      <c r="A24" s="30">
        <v>19</v>
      </c>
      <c r="B24" s="30" t="s">
        <v>17</v>
      </c>
      <c r="C24" s="30">
        <v>2</v>
      </c>
      <c r="D24" s="30">
        <v>5</v>
      </c>
      <c r="E24" s="30">
        <v>0.4</v>
      </c>
      <c r="F24" s="30">
        <v>14</v>
      </c>
      <c r="G24" s="30">
        <v>19</v>
      </c>
      <c r="H24" s="30">
        <v>-5</v>
      </c>
      <c r="I24" s="31" t="s">
        <v>93</v>
      </c>
      <c r="J24" s="30" t="s">
        <v>94</v>
      </c>
      <c r="K24" s="30" t="s">
        <v>115</v>
      </c>
      <c r="L24" s="5"/>
    </row>
    <row r="25" spans="1:12" ht="14.3" thickBot="1" x14ac:dyDescent="0.25">
      <c r="A25" s="30">
        <v>20</v>
      </c>
      <c r="B25" s="30" t="s">
        <v>43</v>
      </c>
      <c r="C25" s="30">
        <v>2</v>
      </c>
      <c r="D25" s="30">
        <v>5</v>
      </c>
      <c r="E25" s="30">
        <v>0.4</v>
      </c>
      <c r="F25" s="30">
        <v>14</v>
      </c>
      <c r="G25" s="30">
        <v>20</v>
      </c>
      <c r="H25" s="30">
        <v>-6</v>
      </c>
      <c r="I25" s="31" t="s">
        <v>93</v>
      </c>
      <c r="J25" s="30" t="s">
        <v>134</v>
      </c>
      <c r="K25" s="30" t="s">
        <v>115</v>
      </c>
      <c r="L25" s="5"/>
    </row>
    <row r="26" spans="1:12" ht="27.85" thickBot="1" x14ac:dyDescent="0.25">
      <c r="A26" s="30">
        <v>21</v>
      </c>
      <c r="B26" s="30" t="s">
        <v>30</v>
      </c>
      <c r="C26" s="30">
        <v>2</v>
      </c>
      <c r="D26" s="30">
        <v>6</v>
      </c>
      <c r="E26" s="30">
        <v>0.33</v>
      </c>
      <c r="F26" s="30">
        <v>16</v>
      </c>
      <c r="G26" s="30">
        <v>25</v>
      </c>
      <c r="H26" s="30">
        <v>-9</v>
      </c>
      <c r="I26" s="31" t="s">
        <v>93</v>
      </c>
      <c r="J26" s="30" t="s">
        <v>132</v>
      </c>
      <c r="K26" s="30" t="s">
        <v>115</v>
      </c>
      <c r="L26" s="5"/>
    </row>
    <row r="27" spans="1:12" ht="14.3" thickBot="1" x14ac:dyDescent="0.25">
      <c r="A27" s="30">
        <v>22</v>
      </c>
      <c r="B27" s="30" t="s">
        <v>31</v>
      </c>
      <c r="C27" s="30">
        <v>1</v>
      </c>
      <c r="D27" s="30">
        <v>5</v>
      </c>
      <c r="E27" s="30">
        <v>0.2</v>
      </c>
      <c r="F27" s="30">
        <v>15</v>
      </c>
      <c r="G27" s="30">
        <v>23</v>
      </c>
      <c r="H27" s="30">
        <v>-8</v>
      </c>
      <c r="I27" s="31" t="s">
        <v>93</v>
      </c>
      <c r="J27" s="30" t="s">
        <v>134</v>
      </c>
      <c r="K27" s="30" t="s">
        <v>115</v>
      </c>
      <c r="L27" s="5"/>
    </row>
    <row r="28" spans="1:12" ht="14.3" thickBot="1" x14ac:dyDescent="0.25">
      <c r="A28" s="30">
        <v>23</v>
      </c>
      <c r="B28" s="30" t="s">
        <v>32</v>
      </c>
      <c r="C28" s="30">
        <v>1</v>
      </c>
      <c r="D28" s="30">
        <v>5</v>
      </c>
      <c r="E28" s="30">
        <v>0.2</v>
      </c>
      <c r="F28" s="30">
        <v>14</v>
      </c>
      <c r="G28" s="30">
        <v>22</v>
      </c>
      <c r="H28" s="30">
        <v>-8</v>
      </c>
      <c r="I28" s="31" t="s">
        <v>93</v>
      </c>
      <c r="J28" s="30" t="s">
        <v>104</v>
      </c>
      <c r="K28" s="30" t="s">
        <v>115</v>
      </c>
      <c r="L28" s="5"/>
    </row>
    <row r="29" spans="1:12" ht="41.45" thickBot="1" x14ac:dyDescent="0.25">
      <c r="A29" s="30">
        <v>24</v>
      </c>
      <c r="B29" s="30" t="s">
        <v>38</v>
      </c>
      <c r="C29" s="30">
        <v>1</v>
      </c>
      <c r="D29" s="30">
        <v>5</v>
      </c>
      <c r="E29" s="30">
        <v>0.2</v>
      </c>
      <c r="F29" s="30">
        <v>13</v>
      </c>
      <c r="G29" s="30">
        <v>21</v>
      </c>
      <c r="H29" s="30">
        <v>-8</v>
      </c>
      <c r="I29" s="31" t="s">
        <v>93</v>
      </c>
      <c r="J29" s="30" t="s">
        <v>103</v>
      </c>
      <c r="K29" s="30" t="s">
        <v>115</v>
      </c>
      <c r="L29" s="5"/>
    </row>
    <row r="30" spans="1:12" ht="27.85" thickBot="1" x14ac:dyDescent="0.25">
      <c r="A30" s="30">
        <v>25</v>
      </c>
      <c r="B30" s="30" t="s">
        <v>34</v>
      </c>
      <c r="C30" s="30">
        <v>1</v>
      </c>
      <c r="D30" s="30">
        <v>5</v>
      </c>
      <c r="E30" s="30">
        <v>0.2</v>
      </c>
      <c r="F30" s="30">
        <v>13</v>
      </c>
      <c r="G30" s="30">
        <v>22</v>
      </c>
      <c r="H30" s="30">
        <v>-9</v>
      </c>
      <c r="I30" s="31" t="s">
        <v>93</v>
      </c>
      <c r="J30" s="30" t="s">
        <v>107</v>
      </c>
      <c r="K30" s="30" t="s">
        <v>115</v>
      </c>
      <c r="L30" s="5"/>
    </row>
    <row r="31" spans="1:12" ht="27.85" thickBot="1" x14ac:dyDescent="0.25">
      <c r="A31" s="30">
        <v>26</v>
      </c>
      <c r="B31" s="30" t="s">
        <v>37</v>
      </c>
      <c r="C31" s="30">
        <v>1</v>
      </c>
      <c r="D31" s="30">
        <v>5</v>
      </c>
      <c r="E31" s="30">
        <v>0.2</v>
      </c>
      <c r="F31" s="30">
        <v>7</v>
      </c>
      <c r="G31" s="30">
        <v>22</v>
      </c>
      <c r="H31" s="30">
        <v>-15</v>
      </c>
      <c r="I31" s="31" t="s">
        <v>93</v>
      </c>
      <c r="J31" s="30" t="s">
        <v>107</v>
      </c>
      <c r="K31" s="30" t="s">
        <v>115</v>
      </c>
      <c r="L31" s="5"/>
    </row>
    <row r="32" spans="1:12" ht="41.45" thickBot="1" x14ac:dyDescent="0.25">
      <c r="A32" s="30">
        <v>27</v>
      </c>
      <c r="B32" s="30" t="s">
        <v>20</v>
      </c>
      <c r="C32" s="30">
        <v>1</v>
      </c>
      <c r="D32" s="30">
        <v>6</v>
      </c>
      <c r="E32" s="30">
        <v>0.17</v>
      </c>
      <c r="F32" s="30">
        <v>16</v>
      </c>
      <c r="G32" s="30">
        <v>27</v>
      </c>
      <c r="H32" s="30">
        <v>-11</v>
      </c>
      <c r="I32" s="31" t="s">
        <v>93</v>
      </c>
      <c r="J32" s="30" t="s">
        <v>103</v>
      </c>
      <c r="K32" s="30" t="s">
        <v>115</v>
      </c>
      <c r="L32" s="5"/>
    </row>
    <row r="33" spans="1:12" ht="14.3" thickBot="1" x14ac:dyDescent="0.25">
      <c r="A33" s="30">
        <v>28</v>
      </c>
      <c r="B33" s="30" t="s">
        <v>40</v>
      </c>
      <c r="C33" s="30">
        <v>1</v>
      </c>
      <c r="D33" s="30">
        <v>6</v>
      </c>
      <c r="E33" s="30">
        <v>0.17</v>
      </c>
      <c r="F33" s="30">
        <v>10</v>
      </c>
      <c r="G33" s="30">
        <v>28</v>
      </c>
      <c r="H33" s="30">
        <v>-18</v>
      </c>
      <c r="I33" s="31" t="s">
        <v>93</v>
      </c>
      <c r="J33" s="30" t="s">
        <v>136</v>
      </c>
      <c r="K33" s="30" t="s">
        <v>115</v>
      </c>
      <c r="L33" s="5"/>
    </row>
    <row r="34" spans="1:12" ht="41.45" thickBot="1" x14ac:dyDescent="0.25">
      <c r="A34" s="30">
        <v>29</v>
      </c>
      <c r="B34" s="30" t="s">
        <v>62</v>
      </c>
      <c r="C34" s="30">
        <v>0</v>
      </c>
      <c r="D34" s="30">
        <v>5</v>
      </c>
      <c r="E34" s="30">
        <v>0</v>
      </c>
      <c r="F34" s="30">
        <v>9</v>
      </c>
      <c r="G34" s="30">
        <v>25</v>
      </c>
      <c r="H34" s="30">
        <v>-16</v>
      </c>
      <c r="I34" s="31" t="s">
        <v>93</v>
      </c>
      <c r="J34" s="30" t="s">
        <v>103</v>
      </c>
      <c r="K34" s="30" t="s">
        <v>115</v>
      </c>
      <c r="L34" s="5"/>
    </row>
    <row r="35" spans="1:12" ht="41.45" thickBot="1" x14ac:dyDescent="0.25">
      <c r="A35" s="30">
        <v>30</v>
      </c>
      <c r="B35" s="30" t="s">
        <v>73</v>
      </c>
      <c r="C35" s="30">
        <v>0</v>
      </c>
      <c r="D35" s="30">
        <v>5</v>
      </c>
      <c r="E35" s="30">
        <v>0</v>
      </c>
      <c r="F35" s="30">
        <v>7</v>
      </c>
      <c r="G35" s="30">
        <v>25</v>
      </c>
      <c r="H35" s="30">
        <v>-18</v>
      </c>
      <c r="I35" s="31" t="s">
        <v>93</v>
      </c>
      <c r="J35" s="30" t="s">
        <v>103</v>
      </c>
      <c r="K35" s="30" t="s">
        <v>115</v>
      </c>
      <c r="L35" s="5"/>
    </row>
    <row r="36" spans="1:12" ht="41.45" thickBot="1" x14ac:dyDescent="0.25">
      <c r="A36" s="30">
        <v>31</v>
      </c>
      <c r="B36" s="30" t="s">
        <v>63</v>
      </c>
      <c r="C36" s="30">
        <v>0</v>
      </c>
      <c r="D36" s="30">
        <v>5</v>
      </c>
      <c r="E36" s="30">
        <v>0</v>
      </c>
      <c r="F36" s="30">
        <v>4</v>
      </c>
      <c r="G36" s="30">
        <v>25</v>
      </c>
      <c r="H36" s="30">
        <v>-21</v>
      </c>
      <c r="I36" s="31" t="s">
        <v>93</v>
      </c>
      <c r="J36" s="30" t="s">
        <v>103</v>
      </c>
      <c r="K36" s="30" t="s">
        <v>115</v>
      </c>
      <c r="L36" s="5"/>
    </row>
    <row r="37" spans="1:12" x14ac:dyDescent="0.2">
      <c r="A37" s="6"/>
      <c r="B37" s="6"/>
      <c r="C37" s="6"/>
      <c r="E37" s="6"/>
      <c r="F37" s="6"/>
      <c r="G37" s="5"/>
      <c r="H37" s="6"/>
      <c r="I37" s="5"/>
      <c r="J37" s="5"/>
      <c r="K37" s="5"/>
      <c r="L37" s="5"/>
    </row>
    <row r="38" spans="1:12" x14ac:dyDescent="0.2">
      <c r="A38" s="6"/>
      <c r="B38" s="6"/>
      <c r="C38" s="6"/>
      <c r="E38" s="6"/>
      <c r="F38" s="6"/>
      <c r="G38" s="5"/>
      <c r="H38" s="6"/>
      <c r="I38" s="5"/>
      <c r="J38" s="5"/>
      <c r="K38" s="5"/>
      <c r="L38" s="5"/>
    </row>
    <row r="39" spans="1:12" x14ac:dyDescent="0.2">
      <c r="A39" s="6"/>
      <c r="B39" s="6"/>
      <c r="C39" s="6"/>
      <c r="E39" s="6"/>
      <c r="F39" s="6"/>
      <c r="G39" s="5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" r:id="rId1" xr:uid="{AAC786F0-2B73-4AF6-B166-4A676344DDE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2:Y58"/>
  <sheetViews>
    <sheetView topLeftCell="A11" workbookViewId="0">
      <selection activeCell="B31" sqref="B31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3.25" style="4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25" ht="13.75" customHeight="1" x14ac:dyDescent="0.2">
      <c r="A2" s="51" t="s">
        <v>82</v>
      </c>
      <c r="B2" s="51"/>
      <c r="C2" s="52" t="s">
        <v>130</v>
      </c>
      <c r="D2" s="52"/>
      <c r="E2" s="52"/>
      <c r="F2" s="52"/>
      <c r="G2" s="52"/>
      <c r="H2" s="52"/>
      <c r="I2" s="52"/>
      <c r="J2" s="52"/>
      <c r="K2" s="52"/>
      <c r="L2" s="52"/>
    </row>
    <row r="3" spans="1:25" ht="13.1" customHeight="1" x14ac:dyDescent="0.2">
      <c r="C3" s="53" t="s">
        <v>137</v>
      </c>
      <c r="D3" s="53"/>
      <c r="E3" s="53"/>
      <c r="F3" s="53"/>
      <c r="G3" s="53"/>
      <c r="H3" s="53"/>
      <c r="I3" s="53"/>
      <c r="J3" s="53"/>
      <c r="K3" s="53"/>
      <c r="L3" s="53"/>
    </row>
    <row r="4" spans="1:25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25" ht="14.95" thickBot="1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3</v>
      </c>
      <c r="G5" s="7" t="s">
        <v>88</v>
      </c>
      <c r="H5" s="7" t="s">
        <v>4</v>
      </c>
      <c r="I5" s="7" t="s">
        <v>89</v>
      </c>
      <c r="J5" s="7" t="s">
        <v>90</v>
      </c>
      <c r="K5" s="7" t="s">
        <v>91</v>
      </c>
      <c r="L5" s="7" t="s">
        <v>92</v>
      </c>
    </row>
    <row r="6" spans="1:25" ht="27.85" thickBot="1" x14ac:dyDescent="0.25">
      <c r="A6" s="30">
        <v>1</v>
      </c>
      <c r="B6" s="30" t="s">
        <v>41</v>
      </c>
      <c r="C6" s="30">
        <v>5</v>
      </c>
      <c r="D6" s="30">
        <v>5</v>
      </c>
      <c r="E6" s="30">
        <v>1</v>
      </c>
      <c r="F6" s="30">
        <v>25</v>
      </c>
      <c r="G6" s="30">
        <v>4</v>
      </c>
      <c r="H6" s="30">
        <v>21</v>
      </c>
      <c r="I6" s="31" t="s">
        <v>93</v>
      </c>
      <c r="J6" s="30" t="s">
        <v>99</v>
      </c>
      <c r="K6" s="30" t="s">
        <v>115</v>
      </c>
      <c r="L6" s="5"/>
    </row>
    <row r="7" spans="1:25" ht="27.85" thickBot="1" x14ac:dyDescent="0.25">
      <c r="A7" s="30">
        <v>2</v>
      </c>
      <c r="B7" s="30" t="s">
        <v>24</v>
      </c>
      <c r="C7" s="30">
        <v>6</v>
      </c>
      <c r="D7" s="30">
        <v>6</v>
      </c>
      <c r="E7" s="30">
        <v>1</v>
      </c>
      <c r="F7" s="30">
        <v>30</v>
      </c>
      <c r="G7" s="30">
        <v>13</v>
      </c>
      <c r="H7" s="30">
        <v>17</v>
      </c>
      <c r="I7" s="31" t="s">
        <v>93</v>
      </c>
      <c r="J7" s="30" t="s">
        <v>94</v>
      </c>
      <c r="K7" s="30" t="s">
        <v>115</v>
      </c>
      <c r="L7" s="5"/>
    </row>
    <row r="8" spans="1:25" ht="27.85" thickBot="1" x14ac:dyDescent="0.25">
      <c r="A8" s="30">
        <v>3</v>
      </c>
      <c r="B8" s="30" t="s">
        <v>15</v>
      </c>
      <c r="C8" s="30">
        <v>5</v>
      </c>
      <c r="D8" s="30">
        <v>5</v>
      </c>
      <c r="E8" s="30">
        <v>1</v>
      </c>
      <c r="F8" s="30">
        <v>25</v>
      </c>
      <c r="G8" s="30">
        <v>9</v>
      </c>
      <c r="H8" s="30">
        <v>16</v>
      </c>
      <c r="I8" s="31" t="s">
        <v>93</v>
      </c>
      <c r="J8" s="30" t="s">
        <v>132</v>
      </c>
      <c r="K8" s="30" t="s">
        <v>115</v>
      </c>
      <c r="L8" s="5"/>
      <c r="N8" s="24"/>
      <c r="O8" s="24"/>
      <c r="P8" s="24"/>
      <c r="Q8" s="6"/>
      <c r="R8" s="6"/>
      <c r="S8" s="6"/>
      <c r="T8" s="6"/>
      <c r="U8" s="24"/>
      <c r="V8" s="25"/>
      <c r="W8" s="6"/>
      <c r="X8" s="6"/>
      <c r="Y8" s="6"/>
    </row>
    <row r="9" spans="1:25" ht="27.85" thickBot="1" x14ac:dyDescent="0.25">
      <c r="A9" s="30">
        <v>4</v>
      </c>
      <c r="B9" s="30" t="s">
        <v>13</v>
      </c>
      <c r="C9" s="30">
        <v>5</v>
      </c>
      <c r="D9" s="30">
        <v>5</v>
      </c>
      <c r="E9" s="30">
        <v>1</v>
      </c>
      <c r="F9" s="30">
        <v>25</v>
      </c>
      <c r="G9" s="30">
        <v>10</v>
      </c>
      <c r="H9" s="30">
        <v>15</v>
      </c>
      <c r="I9" s="31" t="s">
        <v>93</v>
      </c>
      <c r="J9" s="30" t="s">
        <v>94</v>
      </c>
      <c r="K9" s="30" t="s">
        <v>115</v>
      </c>
      <c r="L9" s="5"/>
      <c r="N9" s="6"/>
      <c r="O9" s="24"/>
      <c r="P9" s="6"/>
      <c r="Q9" s="24"/>
      <c r="R9" s="6"/>
      <c r="S9" s="6"/>
      <c r="T9" s="6"/>
      <c r="U9" s="24"/>
      <c r="V9" s="25"/>
      <c r="W9" s="6"/>
      <c r="X9" s="6"/>
      <c r="Y9" s="6"/>
    </row>
    <row r="10" spans="1:25" ht="27.85" thickBot="1" x14ac:dyDescent="0.25">
      <c r="A10" s="30">
        <v>5</v>
      </c>
      <c r="B10" s="30" t="s">
        <v>11</v>
      </c>
      <c r="C10" s="30">
        <v>5</v>
      </c>
      <c r="D10" s="30">
        <v>6</v>
      </c>
      <c r="E10" s="30">
        <v>0.83</v>
      </c>
      <c r="F10" s="30">
        <v>29</v>
      </c>
      <c r="G10" s="30">
        <v>13</v>
      </c>
      <c r="H10" s="30">
        <v>16</v>
      </c>
      <c r="I10" s="31" t="s">
        <v>93</v>
      </c>
      <c r="J10" s="30" t="s">
        <v>98</v>
      </c>
      <c r="K10" s="30" t="s">
        <v>115</v>
      </c>
      <c r="L10" s="5"/>
      <c r="N10" s="6"/>
      <c r="O10" s="24"/>
      <c r="P10" s="6"/>
      <c r="Q10" s="6"/>
      <c r="R10" s="24"/>
      <c r="S10" s="6"/>
      <c r="T10" s="6"/>
      <c r="U10" s="24"/>
      <c r="V10" s="25"/>
      <c r="W10" s="6"/>
      <c r="X10" s="6"/>
      <c r="Y10" s="6"/>
    </row>
    <row r="11" spans="1:25" ht="27.85" thickBot="1" x14ac:dyDescent="0.25">
      <c r="A11" s="30">
        <v>6</v>
      </c>
      <c r="B11" s="30" t="s">
        <v>19</v>
      </c>
      <c r="C11" s="30">
        <v>4</v>
      </c>
      <c r="D11" s="30">
        <v>5</v>
      </c>
      <c r="E11" s="30">
        <v>0.8</v>
      </c>
      <c r="F11" s="30">
        <v>24</v>
      </c>
      <c r="G11" s="30">
        <v>10</v>
      </c>
      <c r="H11" s="30">
        <v>14</v>
      </c>
      <c r="I11" s="31" t="s">
        <v>93</v>
      </c>
      <c r="J11" s="30" t="s">
        <v>98</v>
      </c>
      <c r="K11" s="30" t="s">
        <v>115</v>
      </c>
      <c r="L11" s="5"/>
      <c r="N11" s="6"/>
      <c r="O11" s="24"/>
      <c r="P11" s="6"/>
      <c r="Q11" s="6"/>
      <c r="R11" s="6"/>
      <c r="S11" s="24"/>
      <c r="T11" s="6"/>
      <c r="U11" s="24"/>
      <c r="V11" s="6"/>
      <c r="W11" s="6"/>
      <c r="X11" s="6"/>
      <c r="Y11" s="6"/>
    </row>
    <row r="12" spans="1:25" ht="27.85" thickBot="1" x14ac:dyDescent="0.25">
      <c r="A12" s="30">
        <v>7</v>
      </c>
      <c r="B12" s="30" t="s">
        <v>12</v>
      </c>
      <c r="C12" s="30">
        <v>4</v>
      </c>
      <c r="D12" s="30">
        <v>5</v>
      </c>
      <c r="E12" s="30">
        <v>0.8</v>
      </c>
      <c r="F12" s="30">
        <v>22</v>
      </c>
      <c r="G12" s="30">
        <v>8</v>
      </c>
      <c r="H12" s="30">
        <v>14</v>
      </c>
      <c r="I12" s="31" t="s">
        <v>93</v>
      </c>
      <c r="J12" s="30" t="s">
        <v>100</v>
      </c>
      <c r="K12" s="30" t="s">
        <v>115</v>
      </c>
      <c r="L12" s="5"/>
      <c r="N12" s="6"/>
      <c r="O12" s="24"/>
      <c r="P12" s="6"/>
      <c r="Q12" s="6"/>
      <c r="R12" s="6"/>
      <c r="S12" s="6"/>
      <c r="T12" s="24"/>
      <c r="U12" s="24"/>
      <c r="V12" s="25"/>
      <c r="W12" s="6"/>
      <c r="X12" s="6"/>
      <c r="Y12" s="6"/>
    </row>
    <row r="13" spans="1:25" ht="27.85" thickBot="1" x14ac:dyDescent="0.25">
      <c r="A13" s="30">
        <v>8</v>
      </c>
      <c r="B13" s="30" t="s">
        <v>44</v>
      </c>
      <c r="C13" s="30">
        <v>4</v>
      </c>
      <c r="D13" s="30">
        <v>5</v>
      </c>
      <c r="E13" s="30">
        <v>0.8</v>
      </c>
      <c r="F13" s="30">
        <v>22</v>
      </c>
      <c r="G13" s="30">
        <v>12</v>
      </c>
      <c r="H13" s="30">
        <v>10</v>
      </c>
      <c r="I13" s="31" t="s">
        <v>93</v>
      </c>
      <c r="J13" s="30" t="s">
        <v>109</v>
      </c>
      <c r="K13" s="30" t="s">
        <v>115</v>
      </c>
      <c r="L13" s="5"/>
    </row>
    <row r="14" spans="1:25" ht="27.85" thickBot="1" x14ac:dyDescent="0.25">
      <c r="A14" s="30">
        <v>9</v>
      </c>
      <c r="B14" s="30" t="s">
        <v>10</v>
      </c>
      <c r="C14" s="30">
        <v>4</v>
      </c>
      <c r="D14" s="30">
        <v>5</v>
      </c>
      <c r="E14" s="30">
        <v>0.8</v>
      </c>
      <c r="F14" s="30">
        <v>22</v>
      </c>
      <c r="G14" s="30">
        <v>16</v>
      </c>
      <c r="H14" s="30">
        <v>6</v>
      </c>
      <c r="I14" s="31" t="s">
        <v>93</v>
      </c>
      <c r="J14" s="30" t="s">
        <v>94</v>
      </c>
      <c r="K14" s="30" t="s">
        <v>115</v>
      </c>
      <c r="L14" s="5"/>
    </row>
    <row r="15" spans="1:25" ht="14.3" thickBot="1" x14ac:dyDescent="0.25">
      <c r="A15" s="30">
        <v>10</v>
      </c>
      <c r="B15" s="30" t="s">
        <v>25</v>
      </c>
      <c r="C15" s="30">
        <v>3</v>
      </c>
      <c r="D15" s="30">
        <v>5</v>
      </c>
      <c r="E15" s="30">
        <v>0.6</v>
      </c>
      <c r="F15" s="30">
        <v>22</v>
      </c>
      <c r="G15" s="30">
        <v>16</v>
      </c>
      <c r="H15" s="30">
        <v>6</v>
      </c>
      <c r="I15" s="31" t="s">
        <v>93</v>
      </c>
      <c r="J15" s="30" t="s">
        <v>134</v>
      </c>
      <c r="K15" s="30" t="s">
        <v>115</v>
      </c>
      <c r="L15" s="5"/>
    </row>
    <row r="16" spans="1:25" ht="27.85" thickBot="1" x14ac:dyDescent="0.25">
      <c r="A16" s="30">
        <v>11</v>
      </c>
      <c r="B16" s="30" t="s">
        <v>17</v>
      </c>
      <c r="C16" s="30">
        <v>3</v>
      </c>
      <c r="D16" s="30">
        <v>5</v>
      </c>
      <c r="E16" s="30">
        <v>0.6</v>
      </c>
      <c r="F16" s="30">
        <v>21</v>
      </c>
      <c r="G16" s="30">
        <v>17</v>
      </c>
      <c r="H16" s="30">
        <v>4</v>
      </c>
      <c r="I16" s="31" t="s">
        <v>93</v>
      </c>
      <c r="J16" s="30" t="s">
        <v>94</v>
      </c>
      <c r="K16" s="30" t="s">
        <v>115</v>
      </c>
      <c r="L16" s="5"/>
    </row>
    <row r="17" spans="1:12" ht="14.3" thickBot="1" x14ac:dyDescent="0.25">
      <c r="A17" s="30">
        <v>12</v>
      </c>
      <c r="B17" s="30" t="s">
        <v>31</v>
      </c>
      <c r="C17" s="30">
        <v>3</v>
      </c>
      <c r="D17" s="30">
        <v>5</v>
      </c>
      <c r="E17" s="30">
        <v>0.6</v>
      </c>
      <c r="F17" s="30">
        <v>21</v>
      </c>
      <c r="G17" s="30">
        <v>18</v>
      </c>
      <c r="H17" s="30">
        <v>3</v>
      </c>
      <c r="I17" s="31" t="s">
        <v>93</v>
      </c>
      <c r="J17" s="30" t="s">
        <v>134</v>
      </c>
      <c r="K17" s="30" t="s">
        <v>115</v>
      </c>
      <c r="L17" s="5"/>
    </row>
    <row r="18" spans="1:12" ht="27.85" thickBot="1" x14ac:dyDescent="0.25">
      <c r="A18" s="30">
        <v>13</v>
      </c>
      <c r="B18" s="30" t="s">
        <v>35</v>
      </c>
      <c r="C18" s="30">
        <v>3</v>
      </c>
      <c r="D18" s="30">
        <v>5</v>
      </c>
      <c r="E18" s="30">
        <v>0.6</v>
      </c>
      <c r="F18" s="30">
        <v>18</v>
      </c>
      <c r="G18" s="30">
        <v>15</v>
      </c>
      <c r="H18" s="30">
        <v>3</v>
      </c>
      <c r="I18" s="31" t="s">
        <v>93</v>
      </c>
      <c r="J18" s="30" t="s">
        <v>134</v>
      </c>
      <c r="K18" s="30" t="s">
        <v>115</v>
      </c>
      <c r="L18" s="5"/>
    </row>
    <row r="19" spans="1:12" ht="41.45" thickBot="1" x14ac:dyDescent="0.25">
      <c r="A19" s="30">
        <v>14</v>
      </c>
      <c r="B19" s="30" t="s">
        <v>22</v>
      </c>
      <c r="C19" s="30">
        <v>3</v>
      </c>
      <c r="D19" s="30">
        <v>5</v>
      </c>
      <c r="E19" s="30">
        <v>0.6</v>
      </c>
      <c r="F19" s="30">
        <v>18</v>
      </c>
      <c r="G19" s="30">
        <v>16</v>
      </c>
      <c r="H19" s="30">
        <v>2</v>
      </c>
      <c r="I19" s="31" t="s">
        <v>93</v>
      </c>
      <c r="J19" s="30" t="s">
        <v>135</v>
      </c>
      <c r="K19" s="30" t="s">
        <v>115</v>
      </c>
      <c r="L19" s="5"/>
    </row>
    <row r="20" spans="1:12" ht="27.85" thickBot="1" x14ac:dyDescent="0.25">
      <c r="A20" s="30">
        <v>15</v>
      </c>
      <c r="B20" s="30" t="s">
        <v>9</v>
      </c>
      <c r="C20" s="30">
        <v>3</v>
      </c>
      <c r="D20" s="30">
        <v>6</v>
      </c>
      <c r="E20" s="30">
        <v>0.5</v>
      </c>
      <c r="F20" s="30">
        <v>24</v>
      </c>
      <c r="G20" s="30">
        <v>19</v>
      </c>
      <c r="H20" s="30">
        <v>5</v>
      </c>
      <c r="I20" s="31" t="s">
        <v>93</v>
      </c>
      <c r="J20" s="30" t="s">
        <v>94</v>
      </c>
      <c r="K20" s="30" t="s">
        <v>115</v>
      </c>
      <c r="L20" s="5"/>
    </row>
    <row r="21" spans="1:12" ht="27.85" thickBot="1" x14ac:dyDescent="0.25">
      <c r="A21" s="30">
        <v>16</v>
      </c>
      <c r="B21" s="30" t="s">
        <v>37</v>
      </c>
      <c r="C21" s="30">
        <v>3</v>
      </c>
      <c r="D21" s="30">
        <v>6</v>
      </c>
      <c r="E21" s="30">
        <v>0.5</v>
      </c>
      <c r="F21" s="30">
        <v>20</v>
      </c>
      <c r="G21" s="30">
        <v>19</v>
      </c>
      <c r="H21" s="30">
        <v>1</v>
      </c>
      <c r="I21" s="31" t="s">
        <v>93</v>
      </c>
      <c r="J21" s="30" t="s">
        <v>107</v>
      </c>
      <c r="K21" s="30" t="s">
        <v>115</v>
      </c>
      <c r="L21" s="5"/>
    </row>
    <row r="22" spans="1:12" ht="13.1" customHeight="1" thickBot="1" x14ac:dyDescent="0.25">
      <c r="A22" s="30">
        <v>17</v>
      </c>
      <c r="B22" s="30" t="s">
        <v>30</v>
      </c>
      <c r="C22" s="30">
        <v>3</v>
      </c>
      <c r="D22" s="30">
        <v>6</v>
      </c>
      <c r="E22" s="30">
        <v>0.5</v>
      </c>
      <c r="F22" s="30">
        <v>19</v>
      </c>
      <c r="G22" s="30">
        <v>20</v>
      </c>
      <c r="H22" s="30">
        <v>-1</v>
      </c>
      <c r="I22" s="31" t="s">
        <v>93</v>
      </c>
      <c r="J22" s="30" t="s">
        <v>132</v>
      </c>
      <c r="K22" s="30" t="s">
        <v>115</v>
      </c>
      <c r="L22" s="5"/>
    </row>
    <row r="23" spans="1:12" ht="13.1" customHeight="1" thickBot="1" x14ac:dyDescent="0.25">
      <c r="A23" s="30">
        <v>18</v>
      </c>
      <c r="B23" s="30" t="s">
        <v>16</v>
      </c>
      <c r="C23" s="30">
        <v>2</v>
      </c>
      <c r="D23" s="30">
        <v>5</v>
      </c>
      <c r="E23" s="30">
        <v>0.4</v>
      </c>
      <c r="F23" s="30">
        <v>21</v>
      </c>
      <c r="G23" s="30">
        <v>19</v>
      </c>
      <c r="H23" s="30">
        <v>2</v>
      </c>
      <c r="I23" s="31" t="s">
        <v>93</v>
      </c>
      <c r="J23" s="30" t="s">
        <v>99</v>
      </c>
      <c r="K23" s="30" t="s">
        <v>115</v>
      </c>
      <c r="L23" s="5"/>
    </row>
    <row r="24" spans="1:12" ht="27.85" thickBot="1" x14ac:dyDescent="0.25">
      <c r="A24" s="30">
        <v>19</v>
      </c>
      <c r="B24" s="30" t="s">
        <v>28</v>
      </c>
      <c r="C24" s="30">
        <v>2</v>
      </c>
      <c r="D24" s="30">
        <v>5</v>
      </c>
      <c r="E24" s="30">
        <v>0.4</v>
      </c>
      <c r="F24" s="30">
        <v>13</v>
      </c>
      <c r="G24" s="30">
        <v>16</v>
      </c>
      <c r="H24" s="30">
        <v>-3</v>
      </c>
      <c r="I24" s="31" t="s">
        <v>93</v>
      </c>
      <c r="J24" s="30" t="s">
        <v>94</v>
      </c>
      <c r="K24" s="30" t="s">
        <v>115</v>
      </c>
      <c r="L24" s="5"/>
    </row>
    <row r="25" spans="1:12" ht="13.1" customHeight="1" thickBot="1" x14ac:dyDescent="0.25">
      <c r="A25" s="30">
        <v>20</v>
      </c>
      <c r="B25" s="30" t="s">
        <v>54</v>
      </c>
      <c r="C25" s="30">
        <v>2</v>
      </c>
      <c r="D25" s="30">
        <v>5</v>
      </c>
      <c r="E25" s="30">
        <v>0.4</v>
      </c>
      <c r="F25" s="30">
        <v>17</v>
      </c>
      <c r="G25" s="30">
        <v>21</v>
      </c>
      <c r="H25" s="30">
        <v>-4</v>
      </c>
      <c r="I25" s="31" t="s">
        <v>93</v>
      </c>
      <c r="J25" s="30" t="s">
        <v>98</v>
      </c>
      <c r="K25" s="30" t="s">
        <v>115</v>
      </c>
      <c r="L25" s="5"/>
    </row>
    <row r="26" spans="1:12" ht="27.85" thickBot="1" x14ac:dyDescent="0.25">
      <c r="A26" s="30">
        <v>21</v>
      </c>
      <c r="B26" s="30" t="s">
        <v>23</v>
      </c>
      <c r="C26" s="30">
        <v>2</v>
      </c>
      <c r="D26" s="30">
        <v>5</v>
      </c>
      <c r="E26" s="30">
        <v>0.4</v>
      </c>
      <c r="F26" s="30">
        <v>12</v>
      </c>
      <c r="G26" s="30">
        <v>18</v>
      </c>
      <c r="H26" s="30">
        <v>-6</v>
      </c>
      <c r="I26" s="31" t="s">
        <v>93</v>
      </c>
      <c r="J26" s="30" t="s">
        <v>136</v>
      </c>
      <c r="K26" s="30" t="s">
        <v>115</v>
      </c>
      <c r="L26" s="5"/>
    </row>
    <row r="27" spans="1:12" ht="41.45" thickBot="1" x14ac:dyDescent="0.25">
      <c r="A27" s="30">
        <v>22</v>
      </c>
      <c r="B27" s="30" t="s">
        <v>38</v>
      </c>
      <c r="C27" s="30">
        <v>2</v>
      </c>
      <c r="D27" s="30">
        <v>5</v>
      </c>
      <c r="E27" s="30">
        <v>0.4</v>
      </c>
      <c r="F27" s="30">
        <v>12</v>
      </c>
      <c r="G27" s="30">
        <v>23</v>
      </c>
      <c r="H27" s="30">
        <v>-11</v>
      </c>
      <c r="I27" s="31" t="s">
        <v>93</v>
      </c>
      <c r="J27" s="30" t="s">
        <v>103</v>
      </c>
      <c r="K27" s="30" t="s">
        <v>115</v>
      </c>
      <c r="L27" s="5"/>
    </row>
    <row r="28" spans="1:12" ht="27.85" thickBot="1" x14ac:dyDescent="0.25">
      <c r="A28" s="30">
        <v>23</v>
      </c>
      <c r="B28" s="30" t="s">
        <v>21</v>
      </c>
      <c r="C28" s="30">
        <v>1</v>
      </c>
      <c r="D28" s="30">
        <v>5</v>
      </c>
      <c r="E28" s="30">
        <v>0.2</v>
      </c>
      <c r="F28" s="30">
        <v>14</v>
      </c>
      <c r="G28" s="30">
        <v>22</v>
      </c>
      <c r="H28" s="30">
        <v>-8</v>
      </c>
      <c r="I28" s="31" t="s">
        <v>93</v>
      </c>
      <c r="J28" s="30" t="s">
        <v>94</v>
      </c>
      <c r="K28" s="30" t="s">
        <v>115</v>
      </c>
      <c r="L28" s="5"/>
    </row>
    <row r="29" spans="1:12" ht="14.3" thickBot="1" x14ac:dyDescent="0.25">
      <c r="A29" s="30">
        <v>24</v>
      </c>
      <c r="B29" s="30" t="s">
        <v>32</v>
      </c>
      <c r="C29" s="30">
        <v>1</v>
      </c>
      <c r="D29" s="30">
        <v>5</v>
      </c>
      <c r="E29" s="30">
        <v>0.2</v>
      </c>
      <c r="F29" s="30">
        <v>13</v>
      </c>
      <c r="G29" s="30">
        <v>24</v>
      </c>
      <c r="H29" s="30">
        <v>-11</v>
      </c>
      <c r="I29" s="31" t="s">
        <v>93</v>
      </c>
      <c r="J29" s="30" t="s">
        <v>104</v>
      </c>
      <c r="K29" s="30" t="s">
        <v>115</v>
      </c>
      <c r="L29" s="5"/>
    </row>
    <row r="30" spans="1:12" ht="41.45" thickBot="1" x14ac:dyDescent="0.25">
      <c r="A30" s="30">
        <v>25</v>
      </c>
      <c r="B30" s="30" t="s">
        <v>20</v>
      </c>
      <c r="C30" s="30">
        <v>1</v>
      </c>
      <c r="D30" s="30">
        <v>5</v>
      </c>
      <c r="E30" s="30">
        <v>0.2</v>
      </c>
      <c r="F30" s="30">
        <v>11</v>
      </c>
      <c r="G30" s="30">
        <v>22</v>
      </c>
      <c r="H30" s="30">
        <v>-11</v>
      </c>
      <c r="I30" s="31" t="s">
        <v>93</v>
      </c>
      <c r="J30" s="30" t="s">
        <v>103</v>
      </c>
      <c r="K30" s="30" t="s">
        <v>115</v>
      </c>
      <c r="L30" s="5"/>
    </row>
    <row r="31" spans="1:12" ht="27.85" thickBot="1" x14ac:dyDescent="0.25">
      <c r="A31" s="30">
        <v>26</v>
      </c>
      <c r="B31" s="30" t="s">
        <v>34</v>
      </c>
      <c r="C31" s="30">
        <v>1</v>
      </c>
      <c r="D31" s="30">
        <v>5</v>
      </c>
      <c r="E31" s="30">
        <v>0.2</v>
      </c>
      <c r="F31" s="30">
        <v>9</v>
      </c>
      <c r="G31" s="30">
        <v>24</v>
      </c>
      <c r="H31" s="30">
        <v>-15</v>
      </c>
      <c r="I31" s="31" t="s">
        <v>93</v>
      </c>
      <c r="J31" s="30" t="s">
        <v>107</v>
      </c>
      <c r="K31" s="30" t="s">
        <v>115</v>
      </c>
      <c r="L31" s="5"/>
    </row>
    <row r="32" spans="1:12" ht="27.85" thickBot="1" x14ac:dyDescent="0.25">
      <c r="A32" s="30">
        <v>27</v>
      </c>
      <c r="B32" s="30" t="s">
        <v>43</v>
      </c>
      <c r="C32" s="30">
        <v>1</v>
      </c>
      <c r="D32" s="30">
        <v>6</v>
      </c>
      <c r="E32" s="30">
        <v>0.17</v>
      </c>
      <c r="F32" s="30">
        <v>12</v>
      </c>
      <c r="G32" s="30">
        <v>26</v>
      </c>
      <c r="H32" s="30">
        <v>-14</v>
      </c>
      <c r="I32" s="31" t="s">
        <v>93</v>
      </c>
      <c r="J32" s="30" t="s">
        <v>134</v>
      </c>
      <c r="K32" s="30" t="s">
        <v>115</v>
      </c>
      <c r="L32" s="5"/>
    </row>
    <row r="33" spans="1:24" ht="14.3" thickBot="1" x14ac:dyDescent="0.25">
      <c r="A33" s="30">
        <v>28</v>
      </c>
      <c r="B33" s="30" t="s">
        <v>40</v>
      </c>
      <c r="C33" s="30">
        <v>0</v>
      </c>
      <c r="D33" s="30">
        <v>5</v>
      </c>
      <c r="E33" s="30">
        <v>0</v>
      </c>
      <c r="F33" s="30">
        <v>12</v>
      </c>
      <c r="G33" s="30">
        <v>25</v>
      </c>
      <c r="H33" s="30">
        <v>-13</v>
      </c>
      <c r="I33" s="31" t="s">
        <v>93</v>
      </c>
      <c r="J33" s="30" t="s">
        <v>136</v>
      </c>
      <c r="K33" s="30" t="s">
        <v>115</v>
      </c>
      <c r="L33" s="5"/>
    </row>
    <row r="34" spans="1:24" ht="41.45" thickBot="1" x14ac:dyDescent="0.25">
      <c r="A34" s="30">
        <v>29</v>
      </c>
      <c r="B34" s="30" t="s">
        <v>62</v>
      </c>
      <c r="C34" s="30">
        <v>0</v>
      </c>
      <c r="D34" s="30">
        <v>5</v>
      </c>
      <c r="E34" s="30">
        <v>0</v>
      </c>
      <c r="F34" s="30">
        <v>9</v>
      </c>
      <c r="G34" s="30">
        <v>25</v>
      </c>
      <c r="H34" s="30">
        <v>-16</v>
      </c>
      <c r="I34" s="31" t="s">
        <v>93</v>
      </c>
      <c r="J34" s="30" t="s">
        <v>103</v>
      </c>
      <c r="K34" s="30" t="s">
        <v>115</v>
      </c>
      <c r="L34" s="5"/>
    </row>
    <row r="35" spans="1:24" ht="41.45" thickBot="1" x14ac:dyDescent="0.25">
      <c r="A35" s="30">
        <v>30</v>
      </c>
      <c r="B35" s="30" t="s">
        <v>63</v>
      </c>
      <c r="C35" s="30">
        <v>0</v>
      </c>
      <c r="D35" s="30">
        <v>5</v>
      </c>
      <c r="E35" s="30">
        <v>0</v>
      </c>
      <c r="F35" s="30">
        <v>7</v>
      </c>
      <c r="G35" s="30">
        <v>25</v>
      </c>
      <c r="H35" s="30">
        <v>-18</v>
      </c>
      <c r="I35" s="31" t="s">
        <v>93</v>
      </c>
      <c r="J35" s="30" t="s">
        <v>103</v>
      </c>
      <c r="K35" s="30" t="s">
        <v>115</v>
      </c>
      <c r="L35" s="5"/>
    </row>
    <row r="36" spans="1:24" ht="41.45" thickBot="1" x14ac:dyDescent="0.25">
      <c r="A36" s="30">
        <v>31</v>
      </c>
      <c r="B36" s="30" t="s">
        <v>73</v>
      </c>
      <c r="C36" s="30">
        <v>0</v>
      </c>
      <c r="D36" s="30">
        <v>6</v>
      </c>
      <c r="E36" s="30">
        <v>0</v>
      </c>
      <c r="F36" s="30">
        <v>6</v>
      </c>
      <c r="G36" s="30">
        <v>30</v>
      </c>
      <c r="H36" s="30">
        <v>-24</v>
      </c>
      <c r="I36" s="31" t="s">
        <v>93</v>
      </c>
      <c r="J36" s="30" t="s">
        <v>103</v>
      </c>
      <c r="K36" s="30" t="s">
        <v>115</v>
      </c>
      <c r="L36" s="5"/>
    </row>
    <row r="37" spans="1:24" x14ac:dyDescent="0.2">
      <c r="A37" s="6"/>
      <c r="B37" s="6"/>
      <c r="C37" s="5"/>
      <c r="D37" s="5"/>
      <c r="E37" s="6"/>
      <c r="F37" s="5"/>
      <c r="G37" s="5"/>
      <c r="H37" s="5"/>
      <c r="I37" s="5"/>
      <c r="J37" s="5"/>
      <c r="K37" s="5"/>
      <c r="L37" s="5"/>
    </row>
    <row r="38" spans="1:24" x14ac:dyDescent="0.2">
      <c r="A38" s="6"/>
      <c r="B38" s="6"/>
      <c r="C38" s="5"/>
      <c r="D38" s="5"/>
      <c r="E38" s="6"/>
      <c r="F38" s="6"/>
      <c r="G38" s="5"/>
      <c r="H38" s="6"/>
      <c r="I38" s="5"/>
      <c r="J38" s="5"/>
      <c r="K38" s="5"/>
      <c r="L38" s="5"/>
    </row>
    <row r="39" spans="1:24" x14ac:dyDescent="0.2">
      <c r="A39" s="6"/>
      <c r="B39" s="6"/>
      <c r="C39" s="5"/>
      <c r="D39" s="5"/>
      <c r="E39" s="6"/>
      <c r="F39" s="6"/>
      <c r="G39" s="5"/>
      <c r="H39" s="6"/>
      <c r="I39" s="5"/>
      <c r="J39" s="5"/>
      <c r="K39" s="5"/>
      <c r="L39" s="5"/>
    </row>
    <row r="40" spans="1:24" x14ac:dyDescent="0.2">
      <c r="A40" s="6"/>
      <c r="B40" s="6"/>
      <c r="C40" s="6"/>
      <c r="D40" s="6"/>
      <c r="E40" s="6"/>
      <c r="F40" s="6"/>
      <c r="G40" s="5"/>
      <c r="H40" s="6"/>
      <c r="I40" s="5"/>
      <c r="J40" s="5"/>
      <c r="K40" s="5"/>
      <c r="L40" s="5"/>
    </row>
    <row r="41" spans="1:24" x14ac:dyDescent="0.2">
      <c r="A41" s="6"/>
      <c r="B41" s="6"/>
      <c r="C41" s="6"/>
      <c r="D41" s="6"/>
      <c r="E41" s="6"/>
      <c r="F41" s="6"/>
      <c r="G41" s="5"/>
      <c r="H41" s="6"/>
      <c r="I41" s="5"/>
      <c r="J41" s="5"/>
      <c r="K41" s="5"/>
      <c r="L41" s="5"/>
    </row>
    <row r="42" spans="1:24" x14ac:dyDescent="0.2">
      <c r="A42" s="6"/>
      <c r="B42" s="6"/>
      <c r="C42" s="6"/>
      <c r="D42" s="6"/>
      <c r="E42" s="6"/>
      <c r="F42" s="6"/>
      <c r="G42" s="5"/>
      <c r="H42" s="6"/>
      <c r="I42" s="5"/>
      <c r="J42" s="5"/>
      <c r="K42" s="5"/>
      <c r="L42" s="5"/>
    </row>
    <row r="43" spans="1:24" x14ac:dyDescent="0.2">
      <c r="A43" s="6"/>
      <c r="B43" s="6"/>
      <c r="C43" s="6"/>
      <c r="D43" s="6"/>
      <c r="E43" s="6"/>
      <c r="F43" s="6"/>
      <c r="G43" s="5"/>
      <c r="H43" s="6"/>
      <c r="I43" s="5"/>
      <c r="J43" s="5"/>
      <c r="K43" s="5"/>
      <c r="L43" s="5"/>
    </row>
    <row r="44" spans="1:24" x14ac:dyDescent="0.2">
      <c r="A44" s="6"/>
      <c r="B44" s="6"/>
      <c r="C44" s="5"/>
      <c r="D44" s="5"/>
      <c r="E44" s="6"/>
      <c r="F44" s="6"/>
      <c r="G44" s="5"/>
      <c r="H44" s="6"/>
      <c r="I44" s="5"/>
      <c r="J44" s="5"/>
      <c r="K44" s="5"/>
      <c r="L44" s="5"/>
    </row>
    <row r="45" spans="1:24" x14ac:dyDescent="0.2">
      <c r="A45" s="5"/>
      <c r="B45" s="5"/>
      <c r="C45" s="5"/>
      <c r="D45" s="5"/>
      <c r="E45" s="5"/>
      <c r="F45" s="5"/>
      <c r="G45" s="5"/>
      <c r="H45" s="5"/>
      <c r="I45" s="5"/>
      <c r="J45"/>
      <c r="K45" s="5"/>
      <c r="L45" s="5"/>
    </row>
    <row r="46" spans="1:24" x14ac:dyDescent="0.2">
      <c r="A46" s="5"/>
      <c r="B46" s="5"/>
      <c r="C46" s="5"/>
      <c r="D46" s="5"/>
      <c r="E46" s="5"/>
      <c r="F46" s="5"/>
      <c r="G46" s="5"/>
      <c r="H46" s="5"/>
      <c r="I46" s="5"/>
      <c r="J46"/>
      <c r="K46" s="5"/>
      <c r="L46" s="5"/>
    </row>
    <row r="47" spans="1:24" ht="13.6" x14ac:dyDescent="0.2">
      <c r="A47" s="5"/>
      <c r="B47" s="5"/>
      <c r="C47" s="5"/>
      <c r="D47" s="5"/>
      <c r="E47" s="5"/>
      <c r="F47" s="5"/>
      <c r="G47" s="5"/>
      <c r="H47" s="5"/>
      <c r="I47" s="5"/>
      <c r="J47" s="6"/>
      <c r="K47" s="25"/>
      <c r="N47" s="6"/>
      <c r="O47" s="6"/>
      <c r="P47" s="6"/>
      <c r="Q47" s="6"/>
      <c r="R47" s="24"/>
    </row>
    <row r="48" spans="1:24" ht="13.6" x14ac:dyDescent="0.2">
      <c r="A48" s="5"/>
      <c r="B48" s="5"/>
      <c r="C48" s="5"/>
      <c r="D48" s="5"/>
      <c r="E48" s="5"/>
      <c r="F48" s="5"/>
      <c r="G48" s="5"/>
      <c r="H48" s="5"/>
      <c r="I48" s="5"/>
      <c r="J48" s="6"/>
      <c r="K48" s="25"/>
      <c r="N48" s="6"/>
      <c r="O48" s="6"/>
      <c r="P48" s="6"/>
      <c r="Q48" s="6"/>
      <c r="R48" s="24"/>
      <c r="W48" s="6"/>
      <c r="X48" s="6"/>
    </row>
    <row r="49" spans="1:24" ht="13.6" x14ac:dyDescent="0.2">
      <c r="A49" s="5"/>
      <c r="B49" s="5"/>
      <c r="C49" s="5"/>
      <c r="D49" s="5"/>
      <c r="E49" s="5"/>
      <c r="F49" s="5"/>
      <c r="G49" s="5"/>
      <c r="H49" s="5"/>
      <c r="I49" s="5"/>
      <c r="J49" s="6"/>
      <c r="K49" s="25"/>
      <c r="N49" s="6"/>
      <c r="O49" s="6"/>
      <c r="P49" s="6"/>
      <c r="Q49" s="6"/>
      <c r="R49" s="24"/>
      <c r="V49" s="6"/>
      <c r="W49" s="6"/>
      <c r="X49" s="6"/>
    </row>
    <row r="50" spans="1:24" ht="13.6" x14ac:dyDescent="0.2">
      <c r="A50" s="5"/>
      <c r="B50" s="5"/>
      <c r="C50" s="5"/>
      <c r="D50" s="5"/>
      <c r="E50" s="5"/>
      <c r="F50" s="5"/>
      <c r="G50" s="5"/>
      <c r="H50" s="5"/>
      <c r="I50" s="5"/>
      <c r="J50" s="6"/>
      <c r="K50" s="25"/>
      <c r="N50" s="6"/>
      <c r="O50" s="6"/>
      <c r="P50" s="6"/>
      <c r="Q50" s="6"/>
      <c r="R50" s="24"/>
      <c r="V50" s="6"/>
      <c r="W50" s="6"/>
      <c r="X50" s="6"/>
    </row>
    <row r="51" spans="1:24" ht="13.6" x14ac:dyDescent="0.2">
      <c r="J51" s="24"/>
      <c r="K51" s="25"/>
      <c r="N51" s="24"/>
      <c r="O51" s="6"/>
      <c r="P51" s="6"/>
      <c r="Q51" s="6"/>
      <c r="R51" s="24"/>
      <c r="V51" s="6"/>
      <c r="W51" s="6"/>
      <c r="X51" s="6"/>
    </row>
    <row r="52" spans="1:24" ht="13.6" x14ac:dyDescent="0.2">
      <c r="J52" s="6"/>
      <c r="K52" s="25"/>
      <c r="N52" s="6"/>
      <c r="O52" s="24"/>
      <c r="P52" s="6"/>
      <c r="Q52" s="6"/>
      <c r="R52" s="24"/>
      <c r="V52" s="6"/>
      <c r="W52" s="6"/>
      <c r="X52" s="6"/>
    </row>
    <row r="53" spans="1:24" ht="13.6" x14ac:dyDescent="0.2">
      <c r="I53" s="24"/>
      <c r="J53" s="6"/>
      <c r="K53" s="25"/>
      <c r="N53" s="6"/>
      <c r="O53" s="6"/>
      <c r="P53" s="24"/>
      <c r="Q53" s="6"/>
      <c r="R53" s="24"/>
      <c r="V53" s="6"/>
    </row>
    <row r="54" spans="1:24" ht="13.6" x14ac:dyDescent="0.2">
      <c r="I54" s="6"/>
      <c r="J54" s="6"/>
      <c r="K54" s="6"/>
      <c r="N54" s="6"/>
      <c r="O54" s="6"/>
      <c r="P54" s="6"/>
      <c r="Q54" s="24"/>
      <c r="R54" s="24"/>
      <c r="V54" s="6"/>
    </row>
    <row r="55" spans="1:24" ht="13.6" x14ac:dyDescent="0.2">
      <c r="I55" s="6"/>
      <c r="J55" s="24"/>
      <c r="K55" s="6"/>
      <c r="L55"/>
      <c r="M55" s="6"/>
      <c r="N55" s="24"/>
      <c r="O55" s="6"/>
      <c r="P55" s="6"/>
      <c r="Q55" s="24"/>
      <c r="R55" s="25"/>
    </row>
    <row r="56" spans="1:24" ht="13.6" x14ac:dyDescent="0.2">
      <c r="I56" s="6"/>
      <c r="J56" s="6"/>
      <c r="K56" s="24"/>
      <c r="L56" s="6"/>
      <c r="M56" s="6"/>
      <c r="N56" s="6"/>
      <c r="O56" s="24"/>
      <c r="P56" s="6"/>
      <c r="Q56" s="24"/>
      <c r="R56" s="25"/>
      <c r="U56" s="6"/>
    </row>
    <row r="57" spans="1:24" ht="13.6" x14ac:dyDescent="0.2">
      <c r="I57" s="6"/>
      <c r="J57" s="6"/>
      <c r="K57" s="24"/>
      <c r="L57" s="6"/>
      <c r="M57" s="6"/>
      <c r="N57" s="6"/>
      <c r="O57" s="6"/>
      <c r="P57" s="24"/>
      <c r="Q57" s="24"/>
      <c r="R57" s="6"/>
      <c r="S57" s="6"/>
      <c r="T57" s="6"/>
      <c r="U57" s="6"/>
    </row>
    <row r="58" spans="1:24" x14ac:dyDescent="0.2">
      <c r="J58"/>
    </row>
  </sheetData>
  <autoFilter ref="A5:L44" xr:uid="{00000000-0009-0000-0000-00000C000000}">
    <sortState xmlns:xlrd2="http://schemas.microsoft.com/office/spreadsheetml/2017/richdata2" ref="A6:L44">
      <sortCondition ref="B5"/>
    </sortState>
  </autoFilter>
  <mergeCells count="3">
    <mergeCell ref="A2:B2"/>
    <mergeCell ref="C2:L2"/>
    <mergeCell ref="C3:L3"/>
  </mergeCells>
  <hyperlinks>
    <hyperlink ref="C3" r:id="rId1" xr:uid="{82250799-ED16-48C1-A52A-00A3263E4C0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B5AB-BADF-494D-B192-FADA8EF0D472}">
  <sheetPr>
    <tabColor rgb="FF92D050"/>
  </sheetPr>
  <dimension ref="A2:L63"/>
  <sheetViews>
    <sheetView topLeftCell="A15" workbookViewId="0">
      <selection activeCell="B19" sqref="B19"/>
    </sheetView>
  </sheetViews>
  <sheetFormatPr defaultRowHeight="12.9" x14ac:dyDescent="0.2"/>
  <cols>
    <col min="1" max="1" width="10.25" style="4" bestFit="1" customWidth="1"/>
    <col min="2" max="2" width="18.875" style="4" customWidth="1"/>
    <col min="3" max="3" width="6.375" style="4" bestFit="1" customWidth="1"/>
    <col min="4" max="4" width="7" style="4" bestFit="1" customWidth="1"/>
    <col min="5" max="5" width="9.625" style="4" bestFit="1" customWidth="1"/>
    <col min="6" max="6" width="7.875" style="4" bestFit="1" customWidth="1"/>
    <col min="7" max="7" width="8" style="4" bestFit="1" customWidth="1"/>
    <col min="8" max="8" width="8.125" style="4" bestFit="1" customWidth="1"/>
    <col min="9" max="9" width="11" style="4" bestFit="1" customWidth="1"/>
    <col min="10" max="10" width="14.625" style="4" bestFit="1" customWidth="1"/>
    <col min="11" max="11" width="12.375" style="4" bestFit="1" customWidth="1"/>
    <col min="12" max="12" width="8.125" style="4" bestFit="1" customWidth="1"/>
  </cols>
  <sheetData>
    <row r="2" spans="1:12" ht="13.75" customHeight="1" x14ac:dyDescent="0.2">
      <c r="A2" s="51" t="s">
        <v>82</v>
      </c>
      <c r="B2" s="51"/>
      <c r="C2" s="52" t="s">
        <v>138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139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3.6" thickBot="1" x14ac:dyDescent="0.25">
      <c r="A5" s="5" t="s">
        <v>83</v>
      </c>
      <c r="B5" s="5" t="s">
        <v>84</v>
      </c>
      <c r="C5" s="5" t="s">
        <v>85</v>
      </c>
      <c r="D5" s="5" t="s">
        <v>86</v>
      </c>
      <c r="E5" s="5" t="s">
        <v>87</v>
      </c>
      <c r="F5" s="5" t="s">
        <v>3</v>
      </c>
      <c r="G5" s="5" t="s">
        <v>88</v>
      </c>
      <c r="H5" s="5" t="s">
        <v>4</v>
      </c>
      <c r="I5" s="5" t="s">
        <v>89</v>
      </c>
      <c r="J5" s="5" t="s">
        <v>90</v>
      </c>
      <c r="K5" s="5" t="s">
        <v>92</v>
      </c>
      <c r="L5" s="5"/>
    </row>
    <row r="6" spans="1:12" ht="27.85" thickBot="1" x14ac:dyDescent="0.25">
      <c r="A6" s="30">
        <v>1</v>
      </c>
      <c r="B6" s="30" t="s">
        <v>140</v>
      </c>
      <c r="C6" s="30">
        <v>6</v>
      </c>
      <c r="D6" s="30">
        <v>6</v>
      </c>
      <c r="E6" s="30">
        <v>1</v>
      </c>
      <c r="F6" s="30">
        <v>30</v>
      </c>
      <c r="G6" s="30">
        <v>5</v>
      </c>
      <c r="H6" s="30">
        <v>25</v>
      </c>
      <c r="I6" s="31" t="s">
        <v>93</v>
      </c>
      <c r="J6" s="30" t="s">
        <v>94</v>
      </c>
      <c r="K6" s="30" t="s">
        <v>115</v>
      </c>
      <c r="L6" s="5"/>
    </row>
    <row r="7" spans="1:12" ht="41.45" thickBot="1" x14ac:dyDescent="0.25">
      <c r="A7" s="30">
        <v>2</v>
      </c>
      <c r="B7" s="30" t="s">
        <v>11</v>
      </c>
      <c r="C7" s="30">
        <v>6</v>
      </c>
      <c r="D7" s="30">
        <v>6</v>
      </c>
      <c r="E7" s="30">
        <v>1</v>
      </c>
      <c r="F7" s="30">
        <v>30</v>
      </c>
      <c r="G7" s="30">
        <v>8</v>
      </c>
      <c r="H7" s="30">
        <v>22</v>
      </c>
      <c r="I7" s="31" t="s">
        <v>93</v>
      </c>
      <c r="J7" s="30" t="s">
        <v>98</v>
      </c>
      <c r="K7" s="30" t="s">
        <v>115</v>
      </c>
      <c r="L7" s="5"/>
    </row>
    <row r="8" spans="1:12" ht="41.45" thickBot="1" x14ac:dyDescent="0.25">
      <c r="A8" s="30" t="s">
        <v>97</v>
      </c>
      <c r="B8" s="30" t="s">
        <v>14</v>
      </c>
      <c r="C8" s="30">
        <v>6</v>
      </c>
      <c r="D8" s="30">
        <v>6</v>
      </c>
      <c r="E8" s="30">
        <v>1</v>
      </c>
      <c r="F8" s="30">
        <v>30</v>
      </c>
      <c r="G8" s="30">
        <v>15</v>
      </c>
      <c r="H8" s="30">
        <v>15</v>
      </c>
      <c r="I8" s="31" t="s">
        <v>93</v>
      </c>
      <c r="J8" s="30" t="s">
        <v>98</v>
      </c>
      <c r="K8" s="30" t="s">
        <v>115</v>
      </c>
      <c r="L8" s="5"/>
    </row>
    <row r="9" spans="1:12" ht="27.85" thickBot="1" x14ac:dyDescent="0.25">
      <c r="A9" s="30" t="s">
        <v>97</v>
      </c>
      <c r="B9" s="30" t="s">
        <v>12</v>
      </c>
      <c r="C9" s="30">
        <v>6</v>
      </c>
      <c r="D9" s="30">
        <v>6</v>
      </c>
      <c r="E9" s="30">
        <v>1</v>
      </c>
      <c r="F9" s="30">
        <v>30</v>
      </c>
      <c r="G9" s="30">
        <v>15</v>
      </c>
      <c r="H9" s="30">
        <v>15</v>
      </c>
      <c r="I9" s="31" t="s">
        <v>93</v>
      </c>
      <c r="J9" s="30" t="s">
        <v>100</v>
      </c>
      <c r="K9" s="30" t="s">
        <v>115</v>
      </c>
      <c r="L9" s="5"/>
    </row>
    <row r="10" spans="1:12" ht="27.85" thickBot="1" x14ac:dyDescent="0.25">
      <c r="A10" s="30">
        <v>5</v>
      </c>
      <c r="B10" s="30" t="s">
        <v>9</v>
      </c>
      <c r="C10" s="30">
        <v>5</v>
      </c>
      <c r="D10" s="30">
        <v>6</v>
      </c>
      <c r="E10" s="30">
        <v>0.83</v>
      </c>
      <c r="F10" s="30">
        <v>28</v>
      </c>
      <c r="G10" s="30">
        <v>10</v>
      </c>
      <c r="H10" s="30">
        <v>18</v>
      </c>
      <c r="I10" s="31" t="s">
        <v>93</v>
      </c>
      <c r="J10" s="30" t="s">
        <v>94</v>
      </c>
      <c r="K10" s="30" t="s">
        <v>115</v>
      </c>
      <c r="L10" s="5"/>
    </row>
    <row r="11" spans="1:12" ht="27.85" thickBot="1" x14ac:dyDescent="0.25">
      <c r="A11" s="30">
        <v>6</v>
      </c>
      <c r="B11" s="30" t="s">
        <v>10</v>
      </c>
      <c r="C11" s="30">
        <v>5</v>
      </c>
      <c r="D11" s="30">
        <v>6</v>
      </c>
      <c r="E11" s="30">
        <v>0.83</v>
      </c>
      <c r="F11" s="30">
        <v>26</v>
      </c>
      <c r="G11" s="30">
        <v>13</v>
      </c>
      <c r="H11" s="30">
        <v>13</v>
      </c>
      <c r="I11" s="31" t="s">
        <v>93</v>
      </c>
      <c r="J11" s="30" t="s">
        <v>94</v>
      </c>
      <c r="K11" s="30" t="s">
        <v>115</v>
      </c>
      <c r="L11" s="5"/>
    </row>
    <row r="12" spans="1:12" ht="27.85" thickBot="1" x14ac:dyDescent="0.25">
      <c r="A12" s="30">
        <v>7</v>
      </c>
      <c r="B12" s="30" t="s">
        <v>13</v>
      </c>
      <c r="C12" s="30">
        <v>4</v>
      </c>
      <c r="D12" s="30">
        <v>6</v>
      </c>
      <c r="E12" s="30">
        <v>0.67</v>
      </c>
      <c r="F12" s="30">
        <v>27</v>
      </c>
      <c r="G12" s="30">
        <v>15</v>
      </c>
      <c r="H12" s="30">
        <v>12</v>
      </c>
      <c r="I12" s="31" t="s">
        <v>93</v>
      </c>
      <c r="J12" s="30" t="s">
        <v>94</v>
      </c>
      <c r="K12" s="30" t="s">
        <v>115</v>
      </c>
      <c r="L12" s="5"/>
    </row>
    <row r="13" spans="1:12" ht="41.45" thickBot="1" x14ac:dyDescent="0.25">
      <c r="A13" s="30">
        <v>8</v>
      </c>
      <c r="B13" s="30" t="s">
        <v>31</v>
      </c>
      <c r="C13" s="30">
        <v>4</v>
      </c>
      <c r="D13" s="30">
        <v>6</v>
      </c>
      <c r="E13" s="30">
        <v>0.67</v>
      </c>
      <c r="F13" s="30">
        <v>28</v>
      </c>
      <c r="G13" s="30">
        <v>18</v>
      </c>
      <c r="H13" s="30">
        <v>10</v>
      </c>
      <c r="I13" s="31" t="s">
        <v>93</v>
      </c>
      <c r="J13" s="30" t="s">
        <v>141</v>
      </c>
      <c r="K13" s="30" t="s">
        <v>115</v>
      </c>
      <c r="L13" s="5"/>
    </row>
    <row r="14" spans="1:12" ht="27.85" thickBot="1" x14ac:dyDescent="0.25">
      <c r="A14" s="30">
        <v>9</v>
      </c>
      <c r="B14" s="30" t="s">
        <v>23</v>
      </c>
      <c r="C14" s="30">
        <v>4</v>
      </c>
      <c r="D14" s="30">
        <v>6</v>
      </c>
      <c r="E14" s="30">
        <v>0.67</v>
      </c>
      <c r="F14" s="30">
        <v>27</v>
      </c>
      <c r="G14" s="30">
        <v>19</v>
      </c>
      <c r="H14" s="30">
        <v>8</v>
      </c>
      <c r="I14" s="31" t="s">
        <v>93</v>
      </c>
      <c r="J14" s="30" t="s">
        <v>136</v>
      </c>
      <c r="K14" s="30" t="s">
        <v>115</v>
      </c>
      <c r="L14" s="5"/>
    </row>
    <row r="15" spans="1:12" ht="27.85" thickBot="1" x14ac:dyDescent="0.25">
      <c r="A15" s="30">
        <v>10</v>
      </c>
      <c r="B15" s="30" t="s">
        <v>21</v>
      </c>
      <c r="C15" s="30">
        <v>4</v>
      </c>
      <c r="D15" s="30">
        <v>6</v>
      </c>
      <c r="E15" s="30">
        <v>0.67</v>
      </c>
      <c r="F15" s="30">
        <v>24</v>
      </c>
      <c r="G15" s="30">
        <v>17</v>
      </c>
      <c r="H15" s="30">
        <v>7</v>
      </c>
      <c r="I15" s="31" t="s">
        <v>93</v>
      </c>
      <c r="J15" s="30" t="s">
        <v>94</v>
      </c>
      <c r="K15" s="30" t="s">
        <v>115</v>
      </c>
      <c r="L15" s="5"/>
    </row>
    <row r="16" spans="1:12" ht="27.85" thickBot="1" x14ac:dyDescent="0.25">
      <c r="A16" s="30">
        <v>11</v>
      </c>
      <c r="B16" s="30" t="s">
        <v>142</v>
      </c>
      <c r="C16" s="30">
        <v>4</v>
      </c>
      <c r="D16" s="30">
        <v>6</v>
      </c>
      <c r="E16" s="30">
        <v>0.67</v>
      </c>
      <c r="F16" s="30">
        <v>24</v>
      </c>
      <c r="G16" s="30">
        <v>18</v>
      </c>
      <c r="H16" s="30">
        <v>6</v>
      </c>
      <c r="I16" s="31" t="s">
        <v>93</v>
      </c>
      <c r="J16" s="30" t="s">
        <v>94</v>
      </c>
      <c r="K16" s="30" t="s">
        <v>115</v>
      </c>
      <c r="L16" s="5"/>
    </row>
    <row r="17" spans="1:12" ht="27.85" thickBot="1" x14ac:dyDescent="0.25">
      <c r="A17" s="30">
        <v>12</v>
      </c>
      <c r="B17" s="30" t="s">
        <v>18</v>
      </c>
      <c r="C17" s="30">
        <v>4</v>
      </c>
      <c r="D17" s="30">
        <v>6</v>
      </c>
      <c r="E17" s="30">
        <v>0.67</v>
      </c>
      <c r="F17" s="30">
        <v>23</v>
      </c>
      <c r="G17" s="30">
        <v>17</v>
      </c>
      <c r="H17" s="30">
        <v>6</v>
      </c>
      <c r="I17" s="31" t="s">
        <v>93</v>
      </c>
      <c r="J17" s="30" t="s">
        <v>100</v>
      </c>
      <c r="K17" s="30" t="s">
        <v>115</v>
      </c>
      <c r="L17" s="5"/>
    </row>
    <row r="18" spans="1:12" ht="40.75" x14ac:dyDescent="0.2">
      <c r="A18" s="30">
        <v>13</v>
      </c>
      <c r="B18" s="30" t="s">
        <v>19</v>
      </c>
      <c r="C18" s="30">
        <v>4</v>
      </c>
      <c r="D18" s="30">
        <v>6</v>
      </c>
      <c r="E18" s="30">
        <v>0.67</v>
      </c>
      <c r="F18" s="30">
        <v>27</v>
      </c>
      <c r="G18" s="30">
        <v>23</v>
      </c>
      <c r="H18" s="30">
        <v>4</v>
      </c>
      <c r="I18" s="31" t="s">
        <v>93</v>
      </c>
      <c r="J18" s="30" t="s">
        <v>98</v>
      </c>
      <c r="K18" s="30" t="s">
        <v>115</v>
      </c>
      <c r="L18" s="5"/>
    </row>
    <row r="19" spans="1:12" ht="40.75" x14ac:dyDescent="0.2">
      <c r="A19" s="30">
        <v>14</v>
      </c>
      <c r="B19" s="3" t="s">
        <v>41</v>
      </c>
      <c r="C19" s="30">
        <v>4</v>
      </c>
      <c r="D19" s="30">
        <v>6</v>
      </c>
      <c r="E19" s="30">
        <v>0.67</v>
      </c>
      <c r="F19" s="30">
        <v>25</v>
      </c>
      <c r="G19" s="30">
        <v>21</v>
      </c>
      <c r="H19" s="30">
        <v>4</v>
      </c>
      <c r="I19" s="31" t="s">
        <v>93</v>
      </c>
      <c r="J19" s="30" t="s">
        <v>99</v>
      </c>
      <c r="K19" s="30" t="s">
        <v>115</v>
      </c>
      <c r="L19" s="5"/>
    </row>
    <row r="20" spans="1:12" ht="27.2" x14ac:dyDescent="0.2">
      <c r="A20" s="30">
        <v>15</v>
      </c>
      <c r="B20" s="30" t="s">
        <v>101</v>
      </c>
      <c r="C20" s="30">
        <v>4</v>
      </c>
      <c r="D20" s="30">
        <v>6</v>
      </c>
      <c r="E20" s="30">
        <v>0.67</v>
      </c>
      <c r="F20" s="30">
        <v>24</v>
      </c>
      <c r="G20" s="30">
        <v>20</v>
      </c>
      <c r="H20" s="30">
        <v>4</v>
      </c>
      <c r="I20" s="31" t="s">
        <v>93</v>
      </c>
      <c r="J20" s="30" t="s">
        <v>94</v>
      </c>
      <c r="K20" s="30" t="s">
        <v>115</v>
      </c>
      <c r="L20" s="5"/>
    </row>
    <row r="21" spans="1:12" ht="41.45" thickBot="1" x14ac:dyDescent="0.25">
      <c r="A21" s="30">
        <v>16</v>
      </c>
      <c r="B21" s="30" t="s">
        <v>143</v>
      </c>
      <c r="C21" s="30">
        <v>3</v>
      </c>
      <c r="D21" s="30">
        <v>6</v>
      </c>
      <c r="E21" s="30">
        <v>0.5</v>
      </c>
      <c r="F21" s="30">
        <v>25</v>
      </c>
      <c r="G21" s="30">
        <v>23</v>
      </c>
      <c r="H21" s="30">
        <v>2</v>
      </c>
      <c r="I21" s="31" t="s">
        <v>93</v>
      </c>
      <c r="J21" s="30" t="s">
        <v>141</v>
      </c>
      <c r="K21" s="30" t="s">
        <v>115</v>
      </c>
      <c r="L21" s="5"/>
    </row>
    <row r="22" spans="1:12" ht="27.85" thickBot="1" x14ac:dyDescent="0.25">
      <c r="A22" s="30">
        <v>17</v>
      </c>
      <c r="B22" s="30" t="s">
        <v>144</v>
      </c>
      <c r="C22" s="30">
        <v>3</v>
      </c>
      <c r="D22" s="30">
        <v>6</v>
      </c>
      <c r="E22" s="30">
        <v>0.5</v>
      </c>
      <c r="F22" s="30">
        <v>23</v>
      </c>
      <c r="G22" s="30">
        <v>23</v>
      </c>
      <c r="H22" s="30">
        <v>0</v>
      </c>
      <c r="I22" s="31" t="s">
        <v>93</v>
      </c>
      <c r="J22" s="30" t="s">
        <v>145</v>
      </c>
      <c r="K22" s="30" t="s">
        <v>115</v>
      </c>
      <c r="L22" s="5"/>
    </row>
    <row r="23" spans="1:12" ht="27.85" thickBot="1" x14ac:dyDescent="0.25">
      <c r="A23" s="30">
        <v>18</v>
      </c>
      <c r="B23" s="30" t="s">
        <v>34</v>
      </c>
      <c r="C23" s="30">
        <v>3</v>
      </c>
      <c r="D23" s="30">
        <v>6</v>
      </c>
      <c r="E23" s="30">
        <v>0.5</v>
      </c>
      <c r="F23" s="30">
        <v>18</v>
      </c>
      <c r="G23" s="30">
        <v>18</v>
      </c>
      <c r="H23" s="30">
        <v>0</v>
      </c>
      <c r="I23" s="31" t="s">
        <v>93</v>
      </c>
      <c r="J23" s="30" t="s">
        <v>107</v>
      </c>
      <c r="K23" s="30" t="s">
        <v>115</v>
      </c>
      <c r="L23" s="5"/>
    </row>
    <row r="24" spans="1:12" ht="27.85" thickBot="1" x14ac:dyDescent="0.25">
      <c r="A24" s="30">
        <v>19</v>
      </c>
      <c r="B24" s="30" t="s">
        <v>28</v>
      </c>
      <c r="C24" s="30">
        <v>3</v>
      </c>
      <c r="D24" s="30">
        <v>6</v>
      </c>
      <c r="E24" s="30">
        <v>0.5</v>
      </c>
      <c r="F24" s="30">
        <v>21</v>
      </c>
      <c r="G24" s="30">
        <v>24</v>
      </c>
      <c r="H24" s="30">
        <v>-3</v>
      </c>
      <c r="I24" s="31" t="s">
        <v>93</v>
      </c>
      <c r="J24" s="30" t="s">
        <v>94</v>
      </c>
      <c r="K24" s="30" t="s">
        <v>115</v>
      </c>
      <c r="L24" s="5"/>
    </row>
    <row r="25" spans="1:12" ht="27.85" thickBot="1" x14ac:dyDescent="0.25">
      <c r="A25" s="30">
        <v>20</v>
      </c>
      <c r="B25" s="30" t="s">
        <v>29</v>
      </c>
      <c r="C25" s="30">
        <v>3</v>
      </c>
      <c r="D25" s="30">
        <v>6</v>
      </c>
      <c r="E25" s="30">
        <v>0.5</v>
      </c>
      <c r="F25" s="30">
        <v>19</v>
      </c>
      <c r="G25" s="30">
        <v>22</v>
      </c>
      <c r="H25" s="30">
        <v>-3</v>
      </c>
      <c r="I25" s="31" t="s">
        <v>93</v>
      </c>
      <c r="J25" s="30" t="s">
        <v>102</v>
      </c>
      <c r="K25" s="30" t="s">
        <v>115</v>
      </c>
      <c r="L25" s="5"/>
    </row>
    <row r="26" spans="1:12" ht="27.85" thickBot="1" x14ac:dyDescent="0.25">
      <c r="A26" s="30">
        <v>21</v>
      </c>
      <c r="B26" s="30" t="s">
        <v>57</v>
      </c>
      <c r="C26" s="30">
        <v>3</v>
      </c>
      <c r="D26" s="30">
        <v>6</v>
      </c>
      <c r="E26" s="30">
        <v>0.5</v>
      </c>
      <c r="F26" s="30">
        <v>20</v>
      </c>
      <c r="G26" s="30">
        <v>25</v>
      </c>
      <c r="H26" s="30">
        <v>-5</v>
      </c>
      <c r="I26" s="31" t="s">
        <v>93</v>
      </c>
      <c r="J26" s="30" t="s">
        <v>146</v>
      </c>
      <c r="K26" s="30" t="s">
        <v>115</v>
      </c>
      <c r="L26" s="5"/>
    </row>
    <row r="27" spans="1:12" ht="41.45" thickBot="1" x14ac:dyDescent="0.25">
      <c r="A27" s="30">
        <v>22</v>
      </c>
      <c r="B27" s="30" t="s">
        <v>16</v>
      </c>
      <c r="C27" s="30">
        <v>2</v>
      </c>
      <c r="D27" s="30">
        <v>6</v>
      </c>
      <c r="E27" s="30">
        <v>0.33</v>
      </c>
      <c r="F27" s="30">
        <v>25</v>
      </c>
      <c r="G27" s="30">
        <v>24</v>
      </c>
      <c r="H27" s="30">
        <v>1</v>
      </c>
      <c r="I27" s="31" t="s">
        <v>93</v>
      </c>
      <c r="J27" s="30" t="s">
        <v>99</v>
      </c>
      <c r="K27" s="30" t="s">
        <v>115</v>
      </c>
      <c r="L27" s="5"/>
    </row>
    <row r="28" spans="1:12" ht="41.45" thickBot="1" x14ac:dyDescent="0.25">
      <c r="A28" s="30">
        <v>23</v>
      </c>
      <c r="B28" s="30" t="s">
        <v>105</v>
      </c>
      <c r="C28" s="30">
        <v>2</v>
      </c>
      <c r="D28" s="30">
        <v>6</v>
      </c>
      <c r="E28" s="30">
        <v>0.33</v>
      </c>
      <c r="F28" s="30">
        <v>20</v>
      </c>
      <c r="G28" s="30">
        <v>22</v>
      </c>
      <c r="H28" s="30">
        <v>-2</v>
      </c>
      <c r="I28" s="31" t="s">
        <v>93</v>
      </c>
      <c r="J28" s="30" t="s">
        <v>106</v>
      </c>
      <c r="K28" s="30" t="s">
        <v>115</v>
      </c>
      <c r="L28" s="5"/>
    </row>
    <row r="29" spans="1:12" ht="55.05" thickBot="1" x14ac:dyDescent="0.25">
      <c r="A29" s="30">
        <v>24</v>
      </c>
      <c r="B29" s="30" t="s">
        <v>20</v>
      </c>
      <c r="C29" s="30">
        <v>2</v>
      </c>
      <c r="D29" s="30">
        <v>6</v>
      </c>
      <c r="E29" s="30">
        <v>0.33</v>
      </c>
      <c r="F29" s="30">
        <v>21</v>
      </c>
      <c r="G29" s="30">
        <v>24</v>
      </c>
      <c r="H29" s="30">
        <v>-3</v>
      </c>
      <c r="I29" s="31" t="s">
        <v>93</v>
      </c>
      <c r="J29" s="30" t="s">
        <v>103</v>
      </c>
      <c r="K29" s="30" t="s">
        <v>115</v>
      </c>
      <c r="L29" s="5"/>
    </row>
    <row r="30" spans="1:12" ht="14.3" thickBot="1" x14ac:dyDescent="0.25">
      <c r="A30" s="30">
        <v>25</v>
      </c>
      <c r="B30" s="30" t="s">
        <v>40</v>
      </c>
      <c r="C30" s="30">
        <v>2</v>
      </c>
      <c r="D30" s="30">
        <v>6</v>
      </c>
      <c r="E30" s="30">
        <v>0.33</v>
      </c>
      <c r="F30" s="30">
        <v>18</v>
      </c>
      <c r="G30" s="30">
        <v>24</v>
      </c>
      <c r="H30" s="30">
        <v>-6</v>
      </c>
      <c r="I30" s="31" t="s">
        <v>93</v>
      </c>
      <c r="J30" s="30" t="s">
        <v>136</v>
      </c>
      <c r="K30" s="30" t="s">
        <v>115</v>
      </c>
      <c r="L30" s="5"/>
    </row>
    <row r="31" spans="1:12" ht="27.85" thickBot="1" x14ac:dyDescent="0.25">
      <c r="A31" s="30">
        <v>26</v>
      </c>
      <c r="B31" s="30" t="s">
        <v>32</v>
      </c>
      <c r="C31" s="30">
        <v>2</v>
      </c>
      <c r="D31" s="30">
        <v>6</v>
      </c>
      <c r="E31" s="30">
        <v>0.33</v>
      </c>
      <c r="F31" s="30">
        <v>17</v>
      </c>
      <c r="G31" s="30">
        <v>24</v>
      </c>
      <c r="H31" s="30">
        <v>-7</v>
      </c>
      <c r="I31" s="31" t="s">
        <v>93</v>
      </c>
      <c r="J31" s="30" t="s">
        <v>104</v>
      </c>
      <c r="K31" s="30" t="s">
        <v>115</v>
      </c>
      <c r="L31" s="5"/>
    </row>
    <row r="32" spans="1:12" ht="41.45" thickBot="1" x14ac:dyDescent="0.25">
      <c r="A32" s="30">
        <v>27</v>
      </c>
      <c r="B32" s="30" t="s">
        <v>52</v>
      </c>
      <c r="C32" s="30">
        <v>2</v>
      </c>
      <c r="D32" s="30">
        <v>6</v>
      </c>
      <c r="E32" s="30">
        <v>0.33</v>
      </c>
      <c r="F32" s="30">
        <v>18</v>
      </c>
      <c r="G32" s="30">
        <v>26</v>
      </c>
      <c r="H32" s="30">
        <v>-8</v>
      </c>
      <c r="I32" s="31" t="s">
        <v>93</v>
      </c>
      <c r="J32" s="30" t="s">
        <v>106</v>
      </c>
      <c r="K32" s="30" t="s">
        <v>115</v>
      </c>
      <c r="L32" s="5"/>
    </row>
    <row r="33" spans="1:12" ht="27.85" thickBot="1" x14ac:dyDescent="0.25">
      <c r="A33" s="30">
        <v>28</v>
      </c>
      <c r="B33" s="30" t="s">
        <v>37</v>
      </c>
      <c r="C33" s="30">
        <v>2</v>
      </c>
      <c r="D33" s="30">
        <v>6</v>
      </c>
      <c r="E33" s="30">
        <v>0.33</v>
      </c>
      <c r="F33" s="30">
        <v>16</v>
      </c>
      <c r="G33" s="30">
        <v>25</v>
      </c>
      <c r="H33" s="30">
        <v>-9</v>
      </c>
      <c r="I33" s="31" t="s">
        <v>93</v>
      </c>
      <c r="J33" s="30" t="s">
        <v>107</v>
      </c>
      <c r="K33" s="30" t="s">
        <v>115</v>
      </c>
      <c r="L33" s="5"/>
    </row>
    <row r="34" spans="1:12" ht="41.45" thickBot="1" x14ac:dyDescent="0.25">
      <c r="A34" s="30">
        <v>29</v>
      </c>
      <c r="B34" s="30" t="s">
        <v>43</v>
      </c>
      <c r="C34" s="30">
        <v>1</v>
      </c>
      <c r="D34" s="30">
        <v>6</v>
      </c>
      <c r="E34" s="30">
        <v>0.17</v>
      </c>
      <c r="F34" s="30">
        <v>17</v>
      </c>
      <c r="G34" s="30">
        <v>25</v>
      </c>
      <c r="H34" s="30">
        <v>-8</v>
      </c>
      <c r="I34" s="31" t="s">
        <v>93</v>
      </c>
      <c r="J34" s="30" t="s">
        <v>141</v>
      </c>
      <c r="K34" s="30" t="s">
        <v>115</v>
      </c>
      <c r="L34" s="5"/>
    </row>
    <row r="35" spans="1:12" ht="55.05" thickBot="1" x14ac:dyDescent="0.25">
      <c r="A35" s="30">
        <v>30</v>
      </c>
      <c r="B35" s="30" t="s">
        <v>147</v>
      </c>
      <c r="C35" s="30">
        <v>1</v>
      </c>
      <c r="D35" s="30">
        <v>6</v>
      </c>
      <c r="E35" s="30">
        <v>0.17</v>
      </c>
      <c r="F35" s="30">
        <v>13</v>
      </c>
      <c r="G35" s="30">
        <v>28</v>
      </c>
      <c r="H35" s="30">
        <v>-15</v>
      </c>
      <c r="I35" s="31" t="s">
        <v>93</v>
      </c>
      <c r="J35" s="30" t="s">
        <v>103</v>
      </c>
      <c r="K35" s="30" t="s">
        <v>115</v>
      </c>
      <c r="L35" s="5"/>
    </row>
    <row r="36" spans="1:12" ht="27.85" thickBot="1" x14ac:dyDescent="0.25">
      <c r="A36" s="30">
        <v>31</v>
      </c>
      <c r="B36" s="30" t="s">
        <v>70</v>
      </c>
      <c r="C36" s="30">
        <v>1</v>
      </c>
      <c r="D36" s="30">
        <v>6</v>
      </c>
      <c r="E36" s="30">
        <v>0.17</v>
      </c>
      <c r="F36" s="30">
        <v>8</v>
      </c>
      <c r="G36" s="30">
        <v>28</v>
      </c>
      <c r="H36" s="30">
        <v>-20</v>
      </c>
      <c r="I36" s="31" t="s">
        <v>93</v>
      </c>
      <c r="J36" s="30" t="s">
        <v>148</v>
      </c>
      <c r="K36" s="30" t="s">
        <v>115</v>
      </c>
      <c r="L36" s="5"/>
    </row>
    <row r="37" spans="1:12" ht="55.05" thickBot="1" x14ac:dyDescent="0.25">
      <c r="A37" s="30">
        <v>32</v>
      </c>
      <c r="B37" s="30" t="s">
        <v>149</v>
      </c>
      <c r="C37" s="30">
        <v>0</v>
      </c>
      <c r="D37" s="30">
        <v>6</v>
      </c>
      <c r="E37" s="30">
        <v>0</v>
      </c>
      <c r="F37" s="30">
        <v>11</v>
      </c>
      <c r="G37" s="30">
        <v>30</v>
      </c>
      <c r="H37" s="30">
        <v>-19</v>
      </c>
      <c r="I37" s="31" t="s">
        <v>93</v>
      </c>
      <c r="J37" s="30" t="s">
        <v>103</v>
      </c>
      <c r="K37" s="30" t="s">
        <v>115</v>
      </c>
      <c r="L37" s="5"/>
    </row>
    <row r="38" spans="1:12" ht="41.45" thickBot="1" x14ac:dyDescent="0.25">
      <c r="A38" s="30">
        <v>33</v>
      </c>
      <c r="B38" s="30" t="s">
        <v>68</v>
      </c>
      <c r="C38" s="30">
        <v>0</v>
      </c>
      <c r="D38" s="30">
        <v>6</v>
      </c>
      <c r="E38" s="30">
        <v>0</v>
      </c>
      <c r="F38" s="30">
        <v>10</v>
      </c>
      <c r="G38" s="30">
        <v>30</v>
      </c>
      <c r="H38" s="30">
        <v>-20</v>
      </c>
      <c r="I38" s="31" t="s">
        <v>93</v>
      </c>
      <c r="J38" s="30" t="s">
        <v>107</v>
      </c>
      <c r="K38" s="30" t="s">
        <v>115</v>
      </c>
      <c r="L38" s="5"/>
    </row>
    <row r="39" spans="1:12" ht="55.05" thickBot="1" x14ac:dyDescent="0.25">
      <c r="A39" s="30">
        <v>34</v>
      </c>
      <c r="B39" s="30" t="s">
        <v>64</v>
      </c>
      <c r="C39" s="30">
        <v>0</v>
      </c>
      <c r="D39" s="30">
        <v>6</v>
      </c>
      <c r="E39" s="30">
        <v>0</v>
      </c>
      <c r="F39" s="30">
        <v>9</v>
      </c>
      <c r="G39" s="30">
        <v>30</v>
      </c>
      <c r="H39" s="30">
        <v>-21</v>
      </c>
      <c r="I39" s="31" t="s">
        <v>93</v>
      </c>
      <c r="J39" s="30" t="s">
        <v>103</v>
      </c>
      <c r="K39" s="30" t="s">
        <v>115</v>
      </c>
      <c r="L39" s="5"/>
    </row>
    <row r="40" spans="1:12" ht="55.05" thickBot="1" x14ac:dyDescent="0.25">
      <c r="A40" s="30">
        <v>35</v>
      </c>
      <c r="B40" s="30" t="s">
        <v>47</v>
      </c>
      <c r="C40" s="30">
        <v>0</v>
      </c>
      <c r="D40" s="30">
        <v>6</v>
      </c>
      <c r="E40" s="30">
        <v>0</v>
      </c>
      <c r="F40" s="30">
        <v>7</v>
      </c>
      <c r="G40" s="30">
        <v>30</v>
      </c>
      <c r="H40" s="30">
        <v>-23</v>
      </c>
      <c r="I40" s="31" t="s">
        <v>93</v>
      </c>
      <c r="J40" s="30" t="s">
        <v>108</v>
      </c>
      <c r="K40" s="30" t="s">
        <v>115</v>
      </c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5"/>
      <c r="H44" s="6"/>
      <c r="I44" s="5"/>
      <c r="J44" s="5"/>
      <c r="K44" s="5"/>
      <c r="L44" s="5"/>
    </row>
    <row r="45" spans="1:12" x14ac:dyDescent="0.2">
      <c r="A45" s="6"/>
      <c r="B45" s="6"/>
      <c r="C45" s="6"/>
      <c r="E45" s="6"/>
      <c r="F45" s="6"/>
      <c r="G45" s="5"/>
      <c r="H45" s="6"/>
      <c r="I45" s="5"/>
      <c r="J45" s="5"/>
      <c r="K45" s="5"/>
      <c r="L45" s="5"/>
    </row>
    <row r="46" spans="1:12" x14ac:dyDescent="0.2">
      <c r="A46" s="6"/>
      <c r="B46" s="6"/>
      <c r="C46" s="6"/>
      <c r="E46" s="6"/>
      <c r="F46" s="6"/>
      <c r="G46" s="5"/>
      <c r="H46" s="6"/>
      <c r="I46" s="5"/>
      <c r="J46" s="5"/>
      <c r="K46" s="5"/>
      <c r="L46" s="5"/>
    </row>
    <row r="47" spans="1:12" x14ac:dyDescent="0.2">
      <c r="A47" s="6"/>
      <c r="B47" s="6"/>
      <c r="C47" s="6"/>
      <c r="E47" s="6"/>
      <c r="F47" s="6"/>
      <c r="G47" s="5"/>
      <c r="H47" s="6"/>
      <c r="I47" s="5"/>
      <c r="J47" s="5"/>
      <c r="K47" s="5"/>
      <c r="L47" s="5"/>
    </row>
    <row r="48" spans="1:12" x14ac:dyDescent="0.2">
      <c r="A48" s="6"/>
      <c r="B48" s="6"/>
      <c r="C48" s="6"/>
      <c r="E48" s="6"/>
      <c r="F48" s="6"/>
      <c r="G48" s="5"/>
      <c r="H48" s="6"/>
      <c r="I48" s="5"/>
      <c r="J48" s="5"/>
      <c r="K48" s="5"/>
      <c r="L48" s="5"/>
    </row>
    <row r="49" spans="1:12" x14ac:dyDescent="0.2">
      <c r="A49" s="6"/>
      <c r="B49" s="6"/>
      <c r="C49" s="6"/>
      <c r="E49" s="6"/>
      <c r="F49" s="6"/>
      <c r="G49" s="5"/>
      <c r="H49" s="6"/>
      <c r="I49" s="5"/>
      <c r="J49" s="5"/>
      <c r="K49" s="5"/>
      <c r="L49" s="5"/>
    </row>
    <row r="50" spans="1:12" x14ac:dyDescent="0.2">
      <c r="A50" s="6"/>
      <c r="B50" s="6"/>
      <c r="C50" s="6"/>
      <c r="E50" s="6"/>
      <c r="F50" s="6"/>
      <c r="G50" s="5"/>
      <c r="H50" s="6"/>
      <c r="I50" s="5"/>
      <c r="J50" s="5"/>
      <c r="K50" s="5"/>
    </row>
    <row r="51" spans="1:12" x14ac:dyDescent="0.2">
      <c r="A51" s="6"/>
      <c r="B51" s="6"/>
      <c r="C51" s="6"/>
      <c r="E51" s="6"/>
      <c r="F51" s="6"/>
      <c r="G51" s="5"/>
      <c r="H51" s="6"/>
      <c r="I51" s="5"/>
      <c r="J51" s="5"/>
      <c r="K51" s="5"/>
    </row>
    <row r="52" spans="1:12" x14ac:dyDescent="0.2">
      <c r="A52" s="6"/>
      <c r="B52" s="6"/>
      <c r="C52" s="6"/>
      <c r="E52" s="6"/>
      <c r="F52" s="6"/>
      <c r="G52" s="5"/>
      <c r="H52" s="6"/>
      <c r="I52" s="5"/>
      <c r="J52" s="5"/>
      <c r="K52" s="5"/>
    </row>
    <row r="53" spans="1:12" x14ac:dyDescent="0.2">
      <c r="A53" s="6"/>
      <c r="B53" s="6"/>
      <c r="C53" s="6"/>
      <c r="E53" s="6"/>
      <c r="F53" s="6"/>
      <c r="G53" s="5"/>
      <c r="H53" s="6"/>
      <c r="I53" s="5"/>
      <c r="J53" s="5"/>
      <c r="K53" s="5"/>
    </row>
    <row r="54" spans="1:12" x14ac:dyDescent="0.2">
      <c r="A54" s="6"/>
      <c r="B54" s="6"/>
      <c r="C54" s="6"/>
      <c r="E54" s="6"/>
      <c r="F54" s="6"/>
      <c r="G54" s="5"/>
      <c r="H54" s="6"/>
      <c r="I54" s="5"/>
      <c r="J54" s="5"/>
      <c r="K54" s="5"/>
    </row>
    <row r="55" spans="1:12" x14ac:dyDescent="0.2">
      <c r="A55" s="6"/>
      <c r="B55" s="6"/>
      <c r="C55" s="6"/>
      <c r="E55" s="6"/>
      <c r="F55" s="6"/>
      <c r="G55" s="5"/>
      <c r="H55" s="6"/>
      <c r="I55" s="5"/>
      <c r="J55" s="5"/>
      <c r="K55" s="5"/>
    </row>
    <row r="56" spans="1:12" x14ac:dyDescent="0.2">
      <c r="A56" s="6"/>
      <c r="B56" s="6"/>
      <c r="C56" s="6"/>
      <c r="E56" s="6"/>
      <c r="F56" s="6"/>
      <c r="G56" s="5"/>
      <c r="H56" s="6"/>
      <c r="I56" s="5"/>
      <c r="J56" s="5"/>
      <c r="K56" s="5"/>
    </row>
    <row r="57" spans="1:12" x14ac:dyDescent="0.2">
      <c r="A57" s="6"/>
      <c r="B57" s="6"/>
      <c r="C57" s="6"/>
      <c r="E57" s="6"/>
      <c r="F57" s="6"/>
      <c r="G57" s="5"/>
      <c r="H57" s="6"/>
      <c r="I57" s="5"/>
      <c r="J57" s="5"/>
      <c r="K57" s="5"/>
    </row>
    <row r="58" spans="1:12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2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2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2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2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2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</sheetData>
  <mergeCells count="3">
    <mergeCell ref="A2:B2"/>
    <mergeCell ref="C2:L2"/>
    <mergeCell ref="C3:L3"/>
  </mergeCells>
  <hyperlinks>
    <hyperlink ref="C3" r:id="rId1" xr:uid="{EE10CE79-3190-4BA1-955E-FCB4910A6F4A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0E99-8D82-44D9-825F-AA7272A76ACA}">
  <sheetPr>
    <tabColor rgb="FF92D050"/>
  </sheetPr>
  <dimension ref="A2:L62"/>
  <sheetViews>
    <sheetView topLeftCell="A13" workbookViewId="0">
      <selection activeCell="B17" sqref="B17"/>
    </sheetView>
  </sheetViews>
  <sheetFormatPr defaultRowHeight="12.9" x14ac:dyDescent="0.2"/>
  <cols>
    <col min="1" max="1" width="10.25" style="4" bestFit="1" customWidth="1"/>
    <col min="2" max="2" width="18.875" style="4" customWidth="1"/>
    <col min="3" max="3" width="6.375" style="4" bestFit="1" customWidth="1"/>
    <col min="4" max="4" width="7" style="4" bestFit="1" customWidth="1"/>
    <col min="5" max="5" width="9.625" style="4" bestFit="1" customWidth="1"/>
    <col min="6" max="6" width="7.875" style="4" bestFit="1" customWidth="1"/>
    <col min="7" max="7" width="8" style="4" bestFit="1" customWidth="1"/>
    <col min="8" max="8" width="8.125" style="4" bestFit="1" customWidth="1"/>
    <col min="9" max="9" width="11" style="4" bestFit="1" customWidth="1"/>
    <col min="10" max="10" width="14.625" style="4" bestFit="1" customWidth="1"/>
    <col min="11" max="11" width="12.375" style="4" bestFit="1" customWidth="1"/>
    <col min="12" max="12" width="8.125" style="4" bestFit="1" customWidth="1"/>
  </cols>
  <sheetData>
    <row r="2" spans="1:12" ht="13.6" x14ac:dyDescent="0.2">
      <c r="A2" s="51" t="s">
        <v>82</v>
      </c>
      <c r="B2" s="51"/>
      <c r="C2" s="52" t="s">
        <v>138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150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3.6" thickBot="1" x14ac:dyDescent="0.25">
      <c r="A5" s="5" t="s">
        <v>83</v>
      </c>
      <c r="B5" s="5" t="s">
        <v>84</v>
      </c>
      <c r="C5" s="5" t="s">
        <v>85</v>
      </c>
      <c r="D5" s="5" t="s">
        <v>86</v>
      </c>
      <c r="E5" s="5" t="s">
        <v>87</v>
      </c>
      <c r="F5" s="5" t="s">
        <v>3</v>
      </c>
      <c r="G5" s="5" t="s">
        <v>88</v>
      </c>
      <c r="H5" s="5" t="s">
        <v>4</v>
      </c>
      <c r="I5" s="5" t="s">
        <v>89</v>
      </c>
      <c r="J5" s="5" t="s">
        <v>90</v>
      </c>
      <c r="K5" s="5" t="s">
        <v>92</v>
      </c>
      <c r="L5" s="5"/>
    </row>
    <row r="6" spans="1:12" ht="27.85" thickBot="1" x14ac:dyDescent="0.25">
      <c r="A6" s="30">
        <v>1</v>
      </c>
      <c r="B6" s="30" t="s">
        <v>12</v>
      </c>
      <c r="C6" s="30">
        <v>6</v>
      </c>
      <c r="D6" s="30">
        <v>6</v>
      </c>
      <c r="E6" s="30">
        <v>1</v>
      </c>
      <c r="F6" s="30">
        <v>30</v>
      </c>
      <c r="G6" s="30">
        <v>6</v>
      </c>
      <c r="H6" s="30">
        <v>24</v>
      </c>
      <c r="I6" s="31" t="s">
        <v>93</v>
      </c>
      <c r="J6" s="30" t="s">
        <v>100</v>
      </c>
      <c r="K6" s="30" t="s">
        <v>115</v>
      </c>
      <c r="L6" s="5"/>
    </row>
    <row r="7" spans="1:12" ht="27.85" thickBot="1" x14ac:dyDescent="0.25">
      <c r="A7" s="30" t="s">
        <v>110</v>
      </c>
      <c r="B7" s="30" t="s">
        <v>140</v>
      </c>
      <c r="C7" s="30">
        <v>6</v>
      </c>
      <c r="D7" s="30">
        <v>6</v>
      </c>
      <c r="E7" s="30">
        <v>1</v>
      </c>
      <c r="F7" s="30">
        <v>30</v>
      </c>
      <c r="G7" s="30">
        <v>9</v>
      </c>
      <c r="H7" s="30">
        <v>21</v>
      </c>
      <c r="I7" s="31" t="s">
        <v>93</v>
      </c>
      <c r="J7" s="30" t="s">
        <v>94</v>
      </c>
      <c r="K7" s="30" t="s">
        <v>115</v>
      </c>
      <c r="L7" s="5"/>
    </row>
    <row r="8" spans="1:12" ht="41.45" thickBot="1" x14ac:dyDescent="0.25">
      <c r="A8" s="30" t="s">
        <v>110</v>
      </c>
      <c r="B8" s="30" t="s">
        <v>151</v>
      </c>
      <c r="C8" s="30">
        <v>6</v>
      </c>
      <c r="D8" s="30">
        <v>6</v>
      </c>
      <c r="E8" s="30">
        <v>1</v>
      </c>
      <c r="F8" s="30">
        <v>30</v>
      </c>
      <c r="G8" s="30">
        <v>9</v>
      </c>
      <c r="H8" s="30">
        <v>21</v>
      </c>
      <c r="I8" s="31" t="s">
        <v>93</v>
      </c>
      <c r="J8" s="30" t="s">
        <v>141</v>
      </c>
      <c r="K8" s="30" t="s">
        <v>115</v>
      </c>
      <c r="L8" s="5"/>
    </row>
    <row r="9" spans="1:12" ht="27.85" thickBot="1" x14ac:dyDescent="0.25">
      <c r="A9" s="30">
        <v>4</v>
      </c>
      <c r="B9" s="30" t="s">
        <v>9</v>
      </c>
      <c r="C9" s="30">
        <v>6</v>
      </c>
      <c r="D9" s="30">
        <v>6</v>
      </c>
      <c r="E9" s="30">
        <v>1</v>
      </c>
      <c r="F9" s="30">
        <v>30</v>
      </c>
      <c r="G9" s="30">
        <v>12</v>
      </c>
      <c r="H9" s="30">
        <v>18</v>
      </c>
      <c r="I9" s="31" t="s">
        <v>93</v>
      </c>
      <c r="J9" s="30" t="s">
        <v>94</v>
      </c>
      <c r="K9" s="30" t="s">
        <v>115</v>
      </c>
      <c r="L9" s="5"/>
    </row>
    <row r="10" spans="1:12" ht="41.45" thickBot="1" x14ac:dyDescent="0.25">
      <c r="A10" s="30">
        <v>5</v>
      </c>
      <c r="B10" s="30" t="s">
        <v>11</v>
      </c>
      <c r="C10" s="30">
        <v>5</v>
      </c>
      <c r="D10" s="30">
        <v>5</v>
      </c>
      <c r="E10" s="30">
        <v>1</v>
      </c>
      <c r="F10" s="30">
        <v>25</v>
      </c>
      <c r="G10" s="30">
        <v>11</v>
      </c>
      <c r="H10" s="30">
        <v>14</v>
      </c>
      <c r="I10" s="31" t="s">
        <v>93</v>
      </c>
      <c r="J10" s="30" t="s">
        <v>98</v>
      </c>
      <c r="K10" s="30" t="s">
        <v>115</v>
      </c>
      <c r="L10" s="5"/>
    </row>
    <row r="11" spans="1:12" ht="27.85" thickBot="1" x14ac:dyDescent="0.25">
      <c r="A11" s="30">
        <v>6</v>
      </c>
      <c r="B11" s="30" t="s">
        <v>10</v>
      </c>
      <c r="C11" s="30">
        <v>5</v>
      </c>
      <c r="D11" s="30">
        <v>6</v>
      </c>
      <c r="E11" s="30">
        <v>0.83</v>
      </c>
      <c r="F11" s="30">
        <v>28</v>
      </c>
      <c r="G11" s="30">
        <v>9</v>
      </c>
      <c r="H11" s="30">
        <v>19</v>
      </c>
      <c r="I11" s="31" t="s">
        <v>93</v>
      </c>
      <c r="J11" s="30" t="s">
        <v>94</v>
      </c>
      <c r="K11" s="30" t="s">
        <v>115</v>
      </c>
      <c r="L11" s="5"/>
    </row>
    <row r="12" spans="1:12" ht="27.85" thickBot="1" x14ac:dyDescent="0.25">
      <c r="A12" s="30">
        <v>7</v>
      </c>
      <c r="B12" s="30" t="s">
        <v>18</v>
      </c>
      <c r="C12" s="30">
        <v>5</v>
      </c>
      <c r="D12" s="30">
        <v>6</v>
      </c>
      <c r="E12" s="30">
        <v>0.83</v>
      </c>
      <c r="F12" s="30">
        <v>28</v>
      </c>
      <c r="G12" s="30">
        <v>10</v>
      </c>
      <c r="H12" s="30">
        <v>18</v>
      </c>
      <c r="I12" s="31" t="s">
        <v>93</v>
      </c>
      <c r="J12" s="30" t="s">
        <v>100</v>
      </c>
      <c r="K12" s="30" t="s">
        <v>115</v>
      </c>
      <c r="L12" s="5"/>
    </row>
    <row r="13" spans="1:12" ht="41.45" thickBot="1" x14ac:dyDescent="0.25">
      <c r="A13" s="30">
        <v>8</v>
      </c>
      <c r="B13" s="30" t="s">
        <v>14</v>
      </c>
      <c r="C13" s="30">
        <v>5</v>
      </c>
      <c r="D13" s="30">
        <v>6</v>
      </c>
      <c r="E13" s="30">
        <v>0.83</v>
      </c>
      <c r="F13" s="30">
        <v>29</v>
      </c>
      <c r="G13" s="30">
        <v>13</v>
      </c>
      <c r="H13" s="30">
        <v>16</v>
      </c>
      <c r="I13" s="31" t="s">
        <v>93</v>
      </c>
      <c r="J13" s="30" t="s">
        <v>98</v>
      </c>
      <c r="K13" s="30" t="s">
        <v>115</v>
      </c>
      <c r="L13" s="5"/>
    </row>
    <row r="14" spans="1:12" ht="41.45" thickBot="1" x14ac:dyDescent="0.25">
      <c r="A14" s="30">
        <v>9</v>
      </c>
      <c r="B14" s="30" t="s">
        <v>16</v>
      </c>
      <c r="C14" s="30">
        <v>4</v>
      </c>
      <c r="D14" s="30">
        <v>5</v>
      </c>
      <c r="E14" s="30">
        <v>0.8</v>
      </c>
      <c r="F14" s="30">
        <v>22</v>
      </c>
      <c r="G14" s="30">
        <v>10</v>
      </c>
      <c r="H14" s="30">
        <v>12</v>
      </c>
      <c r="I14" s="31" t="s">
        <v>93</v>
      </c>
      <c r="J14" s="30" t="s">
        <v>99</v>
      </c>
      <c r="K14" s="30" t="s">
        <v>115</v>
      </c>
      <c r="L14" s="5"/>
    </row>
    <row r="15" spans="1:12" ht="27.85" thickBot="1" x14ac:dyDescent="0.25">
      <c r="A15" s="30">
        <v>10</v>
      </c>
      <c r="B15" s="30" t="s">
        <v>28</v>
      </c>
      <c r="C15" s="30">
        <v>4</v>
      </c>
      <c r="D15" s="30">
        <v>6</v>
      </c>
      <c r="E15" s="30">
        <v>0.67</v>
      </c>
      <c r="F15" s="30">
        <v>24</v>
      </c>
      <c r="G15" s="30">
        <v>14</v>
      </c>
      <c r="H15" s="30">
        <v>10</v>
      </c>
      <c r="I15" s="31" t="s">
        <v>93</v>
      </c>
      <c r="J15" s="30" t="s">
        <v>94</v>
      </c>
      <c r="K15" s="30" t="s">
        <v>115</v>
      </c>
      <c r="L15" s="5"/>
    </row>
    <row r="16" spans="1:12" ht="41.45" thickBot="1" x14ac:dyDescent="0.25">
      <c r="A16" s="30">
        <v>11</v>
      </c>
      <c r="B16" s="30" t="s">
        <v>19</v>
      </c>
      <c r="C16" s="30">
        <v>4</v>
      </c>
      <c r="D16" s="30">
        <v>6</v>
      </c>
      <c r="E16" s="30">
        <v>0.67</v>
      </c>
      <c r="F16" s="30">
        <v>25</v>
      </c>
      <c r="G16" s="30">
        <v>18</v>
      </c>
      <c r="H16" s="30">
        <v>7</v>
      </c>
      <c r="I16" s="31" t="s">
        <v>93</v>
      </c>
      <c r="J16" s="30" t="s">
        <v>98</v>
      </c>
      <c r="K16" s="30" t="s">
        <v>115</v>
      </c>
      <c r="L16" s="5"/>
    </row>
    <row r="17" spans="1:12" ht="27.85" thickBot="1" x14ac:dyDescent="0.25">
      <c r="A17" s="30">
        <v>12</v>
      </c>
      <c r="B17" s="30" t="s">
        <v>21</v>
      </c>
      <c r="C17" s="30">
        <v>4</v>
      </c>
      <c r="D17" s="30">
        <v>6</v>
      </c>
      <c r="E17" s="30">
        <v>0.67</v>
      </c>
      <c r="F17" s="30">
        <v>26</v>
      </c>
      <c r="G17" s="30">
        <v>20</v>
      </c>
      <c r="H17" s="30">
        <v>6</v>
      </c>
      <c r="I17" s="31" t="s">
        <v>93</v>
      </c>
      <c r="J17" s="30" t="s">
        <v>94</v>
      </c>
      <c r="K17" s="30" t="s">
        <v>115</v>
      </c>
      <c r="L17" s="5"/>
    </row>
    <row r="18" spans="1:12" ht="41.45" thickBot="1" x14ac:dyDescent="0.25">
      <c r="A18" s="30">
        <v>13</v>
      </c>
      <c r="B18" s="30" t="s">
        <v>143</v>
      </c>
      <c r="C18" s="30">
        <v>4</v>
      </c>
      <c r="D18" s="30">
        <v>6</v>
      </c>
      <c r="E18" s="30">
        <v>0.67</v>
      </c>
      <c r="F18" s="30">
        <v>23</v>
      </c>
      <c r="G18" s="30">
        <v>17</v>
      </c>
      <c r="H18" s="30">
        <v>6</v>
      </c>
      <c r="I18" s="31" t="s">
        <v>93</v>
      </c>
      <c r="J18" s="30" t="s">
        <v>141</v>
      </c>
      <c r="K18" s="30" t="s">
        <v>115</v>
      </c>
      <c r="L18" s="5"/>
    </row>
    <row r="19" spans="1:12" ht="27.85" thickBot="1" x14ac:dyDescent="0.25">
      <c r="A19" s="30">
        <v>14</v>
      </c>
      <c r="B19" s="30" t="s">
        <v>13</v>
      </c>
      <c r="C19" s="30">
        <v>4</v>
      </c>
      <c r="D19" s="30">
        <v>6</v>
      </c>
      <c r="E19" s="30">
        <v>0.67</v>
      </c>
      <c r="F19" s="30">
        <v>23</v>
      </c>
      <c r="G19" s="30">
        <v>20</v>
      </c>
      <c r="H19" s="30">
        <v>3</v>
      </c>
      <c r="I19" s="31" t="s">
        <v>93</v>
      </c>
      <c r="J19" s="30" t="s">
        <v>94</v>
      </c>
      <c r="K19" s="30" t="s">
        <v>115</v>
      </c>
      <c r="L19" s="5"/>
    </row>
    <row r="20" spans="1:12" ht="27.2" x14ac:dyDescent="0.2">
      <c r="A20" s="30">
        <v>15</v>
      </c>
      <c r="B20" s="30" t="s">
        <v>101</v>
      </c>
      <c r="C20" s="30">
        <v>4</v>
      </c>
      <c r="D20" s="30">
        <v>6</v>
      </c>
      <c r="E20" s="30">
        <v>0.67</v>
      </c>
      <c r="F20" s="30">
        <v>22</v>
      </c>
      <c r="G20" s="30">
        <v>20</v>
      </c>
      <c r="H20" s="30">
        <v>2</v>
      </c>
      <c r="I20" s="31" t="s">
        <v>93</v>
      </c>
      <c r="J20" s="30" t="s">
        <v>94</v>
      </c>
      <c r="K20" s="30" t="s">
        <v>115</v>
      </c>
      <c r="L20" s="5"/>
    </row>
    <row r="21" spans="1:12" ht="40.75" x14ac:dyDescent="0.2">
      <c r="A21" s="30">
        <v>16</v>
      </c>
      <c r="B21" s="3" t="s">
        <v>41</v>
      </c>
      <c r="C21" s="30">
        <v>3</v>
      </c>
      <c r="D21" s="30">
        <v>6</v>
      </c>
      <c r="E21" s="30">
        <v>0.5</v>
      </c>
      <c r="F21" s="30">
        <v>22</v>
      </c>
      <c r="G21" s="30">
        <v>19</v>
      </c>
      <c r="H21" s="30">
        <v>3</v>
      </c>
      <c r="I21" s="31" t="s">
        <v>93</v>
      </c>
      <c r="J21" s="30" t="s">
        <v>99</v>
      </c>
      <c r="K21" s="30" t="s">
        <v>115</v>
      </c>
      <c r="L21" s="5"/>
    </row>
    <row r="22" spans="1:12" ht="40.75" x14ac:dyDescent="0.2">
      <c r="A22" s="30">
        <v>17</v>
      </c>
      <c r="B22" s="30" t="s">
        <v>43</v>
      </c>
      <c r="C22" s="30">
        <v>3</v>
      </c>
      <c r="D22" s="30">
        <v>6</v>
      </c>
      <c r="E22" s="30">
        <v>0.5</v>
      </c>
      <c r="F22" s="30">
        <v>22</v>
      </c>
      <c r="G22" s="30">
        <v>20</v>
      </c>
      <c r="H22" s="30">
        <v>2</v>
      </c>
      <c r="I22" s="31" t="s">
        <v>93</v>
      </c>
      <c r="J22" s="30" t="s">
        <v>141</v>
      </c>
      <c r="K22" s="30" t="s">
        <v>115</v>
      </c>
      <c r="L22" s="5"/>
    </row>
    <row r="23" spans="1:12" ht="14.3" thickBot="1" x14ac:dyDescent="0.25">
      <c r="A23" s="30">
        <v>18</v>
      </c>
      <c r="B23" s="30" t="s">
        <v>40</v>
      </c>
      <c r="C23" s="30">
        <v>3</v>
      </c>
      <c r="D23" s="30">
        <v>6</v>
      </c>
      <c r="E23" s="30">
        <v>0.5</v>
      </c>
      <c r="F23" s="30">
        <v>21</v>
      </c>
      <c r="G23" s="30">
        <v>21</v>
      </c>
      <c r="H23" s="30">
        <v>0</v>
      </c>
      <c r="I23" s="31" t="s">
        <v>93</v>
      </c>
      <c r="J23" s="30" t="s">
        <v>136</v>
      </c>
      <c r="K23" s="30" t="s">
        <v>115</v>
      </c>
      <c r="L23" s="5"/>
    </row>
    <row r="24" spans="1:12" ht="27.85" thickBot="1" x14ac:dyDescent="0.25">
      <c r="A24" s="30">
        <v>19</v>
      </c>
      <c r="B24" s="30" t="s">
        <v>23</v>
      </c>
      <c r="C24" s="30">
        <v>2</v>
      </c>
      <c r="D24" s="30">
        <v>5</v>
      </c>
      <c r="E24" s="30">
        <v>0.4</v>
      </c>
      <c r="F24" s="30">
        <v>17</v>
      </c>
      <c r="G24" s="30">
        <v>19</v>
      </c>
      <c r="H24" s="30">
        <v>-2</v>
      </c>
      <c r="I24" s="31" t="s">
        <v>93</v>
      </c>
      <c r="J24" s="30" t="s">
        <v>136</v>
      </c>
      <c r="K24" s="30" t="s">
        <v>115</v>
      </c>
      <c r="L24" s="5"/>
    </row>
    <row r="25" spans="1:12" ht="27.85" thickBot="1" x14ac:dyDescent="0.25">
      <c r="A25" s="30">
        <v>20</v>
      </c>
      <c r="B25" s="30" t="s">
        <v>37</v>
      </c>
      <c r="C25" s="30">
        <v>2</v>
      </c>
      <c r="D25" s="30">
        <v>5</v>
      </c>
      <c r="E25" s="30">
        <v>0.4</v>
      </c>
      <c r="F25" s="30">
        <v>17</v>
      </c>
      <c r="G25" s="30">
        <v>21</v>
      </c>
      <c r="H25" s="30">
        <v>-4</v>
      </c>
      <c r="I25" s="31" t="s">
        <v>93</v>
      </c>
      <c r="J25" s="30" t="s">
        <v>107</v>
      </c>
      <c r="K25" s="30" t="s">
        <v>115</v>
      </c>
      <c r="L25" s="5"/>
    </row>
    <row r="26" spans="1:12" ht="55.05" thickBot="1" x14ac:dyDescent="0.25">
      <c r="A26" s="30">
        <v>21</v>
      </c>
      <c r="B26" s="30" t="s">
        <v>20</v>
      </c>
      <c r="C26" s="30">
        <v>2</v>
      </c>
      <c r="D26" s="30">
        <v>6</v>
      </c>
      <c r="E26" s="30">
        <v>0.33</v>
      </c>
      <c r="F26" s="30">
        <v>22</v>
      </c>
      <c r="G26" s="30">
        <v>23</v>
      </c>
      <c r="H26" s="30">
        <v>-1</v>
      </c>
      <c r="I26" s="31" t="s">
        <v>93</v>
      </c>
      <c r="J26" s="30" t="s">
        <v>103</v>
      </c>
      <c r="K26" s="30" t="s">
        <v>115</v>
      </c>
      <c r="L26" s="5"/>
    </row>
    <row r="27" spans="1:12" ht="27.85" thickBot="1" x14ac:dyDescent="0.25">
      <c r="A27" s="30">
        <v>22</v>
      </c>
      <c r="B27" s="30" t="s">
        <v>29</v>
      </c>
      <c r="C27" s="30">
        <v>2</v>
      </c>
      <c r="D27" s="30">
        <v>6</v>
      </c>
      <c r="E27" s="30">
        <v>0.33</v>
      </c>
      <c r="F27" s="30">
        <v>18</v>
      </c>
      <c r="G27" s="30">
        <v>24</v>
      </c>
      <c r="H27" s="30">
        <v>-6</v>
      </c>
      <c r="I27" s="31" t="s">
        <v>93</v>
      </c>
      <c r="J27" s="30" t="s">
        <v>102</v>
      </c>
      <c r="K27" s="30" t="s">
        <v>115</v>
      </c>
      <c r="L27" s="5"/>
    </row>
    <row r="28" spans="1:12" ht="55.05" thickBot="1" x14ac:dyDescent="0.25">
      <c r="A28" s="30">
        <v>23</v>
      </c>
      <c r="B28" s="30" t="s">
        <v>47</v>
      </c>
      <c r="C28" s="30">
        <v>2</v>
      </c>
      <c r="D28" s="30">
        <v>6</v>
      </c>
      <c r="E28" s="30">
        <v>0.33</v>
      </c>
      <c r="F28" s="30">
        <v>16</v>
      </c>
      <c r="G28" s="30">
        <v>24</v>
      </c>
      <c r="H28" s="30">
        <v>-8</v>
      </c>
      <c r="I28" s="31" t="s">
        <v>93</v>
      </c>
      <c r="J28" s="30" t="s">
        <v>108</v>
      </c>
      <c r="K28" s="30" t="s">
        <v>115</v>
      </c>
      <c r="L28" s="5"/>
    </row>
    <row r="29" spans="1:12" ht="27.85" thickBot="1" x14ac:dyDescent="0.25">
      <c r="A29" s="30">
        <v>24</v>
      </c>
      <c r="B29" s="30" t="s">
        <v>32</v>
      </c>
      <c r="C29" s="30">
        <v>2</v>
      </c>
      <c r="D29" s="30">
        <v>6</v>
      </c>
      <c r="E29" s="30">
        <v>0.33</v>
      </c>
      <c r="F29" s="30">
        <v>15</v>
      </c>
      <c r="G29" s="30">
        <v>23</v>
      </c>
      <c r="H29" s="30">
        <v>-8</v>
      </c>
      <c r="I29" s="31" t="s">
        <v>93</v>
      </c>
      <c r="J29" s="30" t="s">
        <v>104</v>
      </c>
      <c r="K29" s="30" t="s">
        <v>115</v>
      </c>
      <c r="L29" s="5"/>
    </row>
    <row r="30" spans="1:12" ht="41.45" thickBot="1" x14ac:dyDescent="0.25">
      <c r="A30" s="30">
        <v>25</v>
      </c>
      <c r="B30" s="30" t="s">
        <v>105</v>
      </c>
      <c r="C30" s="30">
        <v>1</v>
      </c>
      <c r="D30" s="30">
        <v>5</v>
      </c>
      <c r="E30" s="30">
        <v>0.2</v>
      </c>
      <c r="F30" s="30">
        <v>14</v>
      </c>
      <c r="G30" s="30">
        <v>22</v>
      </c>
      <c r="H30" s="30">
        <v>-8</v>
      </c>
      <c r="I30" s="31" t="s">
        <v>93</v>
      </c>
      <c r="J30" s="30" t="s">
        <v>106</v>
      </c>
      <c r="K30" s="30" t="s">
        <v>115</v>
      </c>
      <c r="L30" s="5"/>
    </row>
    <row r="31" spans="1:12" ht="55.05" thickBot="1" x14ac:dyDescent="0.25">
      <c r="A31" s="30">
        <v>26</v>
      </c>
      <c r="B31" s="30" t="s">
        <v>149</v>
      </c>
      <c r="C31" s="30">
        <v>1</v>
      </c>
      <c r="D31" s="30">
        <v>5</v>
      </c>
      <c r="E31" s="30">
        <v>0.2</v>
      </c>
      <c r="F31" s="30">
        <v>11</v>
      </c>
      <c r="G31" s="30">
        <v>23</v>
      </c>
      <c r="H31" s="30">
        <v>-12</v>
      </c>
      <c r="I31" s="31" t="s">
        <v>93</v>
      </c>
      <c r="J31" s="30" t="s">
        <v>103</v>
      </c>
      <c r="K31" s="30" t="s">
        <v>115</v>
      </c>
      <c r="L31" s="5"/>
    </row>
    <row r="32" spans="1:12" ht="41.45" thickBot="1" x14ac:dyDescent="0.25">
      <c r="A32" s="30">
        <v>27</v>
      </c>
      <c r="B32" s="30" t="s">
        <v>68</v>
      </c>
      <c r="C32" s="30">
        <v>1</v>
      </c>
      <c r="D32" s="30">
        <v>6</v>
      </c>
      <c r="E32" s="30">
        <v>0.17</v>
      </c>
      <c r="F32" s="30">
        <v>17</v>
      </c>
      <c r="G32" s="30">
        <v>26</v>
      </c>
      <c r="H32" s="30">
        <v>-9</v>
      </c>
      <c r="I32" s="31" t="s">
        <v>93</v>
      </c>
      <c r="J32" s="30" t="s">
        <v>107</v>
      </c>
      <c r="K32" s="30" t="s">
        <v>115</v>
      </c>
      <c r="L32" s="5"/>
    </row>
    <row r="33" spans="1:12" ht="27.85" thickBot="1" x14ac:dyDescent="0.25">
      <c r="A33" s="30">
        <v>28</v>
      </c>
      <c r="B33" s="30" t="s">
        <v>144</v>
      </c>
      <c r="C33" s="30">
        <v>1</v>
      </c>
      <c r="D33" s="30">
        <v>6</v>
      </c>
      <c r="E33" s="30">
        <v>0.17</v>
      </c>
      <c r="F33" s="30">
        <v>17</v>
      </c>
      <c r="G33" s="30">
        <v>27</v>
      </c>
      <c r="H33" s="30">
        <v>-10</v>
      </c>
      <c r="I33" s="31" t="s">
        <v>93</v>
      </c>
      <c r="J33" s="30" t="s">
        <v>145</v>
      </c>
      <c r="K33" s="30" t="s">
        <v>115</v>
      </c>
      <c r="L33" s="5"/>
    </row>
    <row r="34" spans="1:12" ht="27.85" thickBot="1" x14ac:dyDescent="0.25">
      <c r="A34" s="30">
        <v>29</v>
      </c>
      <c r="B34" s="30" t="s">
        <v>57</v>
      </c>
      <c r="C34" s="30">
        <v>1</v>
      </c>
      <c r="D34" s="30">
        <v>6</v>
      </c>
      <c r="E34" s="30">
        <v>0.17</v>
      </c>
      <c r="F34" s="30">
        <v>10</v>
      </c>
      <c r="G34" s="30">
        <v>27</v>
      </c>
      <c r="H34" s="30">
        <v>-17</v>
      </c>
      <c r="I34" s="31" t="s">
        <v>93</v>
      </c>
      <c r="J34" s="30" t="s">
        <v>146</v>
      </c>
      <c r="K34" s="30" t="s">
        <v>115</v>
      </c>
      <c r="L34" s="5"/>
    </row>
    <row r="35" spans="1:12" ht="55.05" thickBot="1" x14ac:dyDescent="0.25">
      <c r="A35" s="30">
        <v>30</v>
      </c>
      <c r="B35" s="30" t="s">
        <v>147</v>
      </c>
      <c r="C35" s="30">
        <v>1</v>
      </c>
      <c r="D35" s="30">
        <v>6</v>
      </c>
      <c r="E35" s="30">
        <v>0.17</v>
      </c>
      <c r="F35" s="30">
        <v>11</v>
      </c>
      <c r="G35" s="30">
        <v>29</v>
      </c>
      <c r="H35" s="30">
        <v>-18</v>
      </c>
      <c r="I35" s="31" t="s">
        <v>93</v>
      </c>
      <c r="J35" s="30" t="s">
        <v>103</v>
      </c>
      <c r="K35" s="30" t="s">
        <v>115</v>
      </c>
      <c r="L35" s="5"/>
    </row>
    <row r="36" spans="1:12" ht="27.85" thickBot="1" x14ac:dyDescent="0.25">
      <c r="A36" s="30" t="s">
        <v>152</v>
      </c>
      <c r="B36" s="30" t="s">
        <v>70</v>
      </c>
      <c r="C36" s="30">
        <v>0</v>
      </c>
      <c r="D36" s="30">
        <v>6</v>
      </c>
      <c r="E36" s="30">
        <v>0</v>
      </c>
      <c r="F36" s="30">
        <v>6</v>
      </c>
      <c r="G36" s="30">
        <v>30</v>
      </c>
      <c r="H36" s="30">
        <v>-24</v>
      </c>
      <c r="I36" s="31" t="s">
        <v>93</v>
      </c>
      <c r="J36" s="30" t="s">
        <v>148</v>
      </c>
      <c r="K36" s="30" t="s">
        <v>115</v>
      </c>
      <c r="L36" s="5"/>
    </row>
    <row r="37" spans="1:12" ht="27.85" thickBot="1" x14ac:dyDescent="0.25">
      <c r="A37" s="30" t="s">
        <v>152</v>
      </c>
      <c r="B37" s="30" t="s">
        <v>34</v>
      </c>
      <c r="C37" s="30">
        <v>0</v>
      </c>
      <c r="D37" s="30">
        <v>6</v>
      </c>
      <c r="E37" s="30">
        <v>0</v>
      </c>
      <c r="F37" s="30">
        <v>6</v>
      </c>
      <c r="G37" s="30">
        <v>30</v>
      </c>
      <c r="H37" s="30">
        <v>-24</v>
      </c>
      <c r="I37" s="31" t="s">
        <v>93</v>
      </c>
      <c r="J37" s="30" t="s">
        <v>107</v>
      </c>
      <c r="K37" s="30" t="s">
        <v>115</v>
      </c>
      <c r="L37" s="5"/>
    </row>
    <row r="38" spans="1:12" ht="55.05" thickBot="1" x14ac:dyDescent="0.25">
      <c r="A38" s="30">
        <v>33</v>
      </c>
      <c r="B38" s="30" t="s">
        <v>64</v>
      </c>
      <c r="C38" s="30">
        <v>0</v>
      </c>
      <c r="D38" s="30">
        <v>6</v>
      </c>
      <c r="E38" s="30">
        <v>0</v>
      </c>
      <c r="F38" s="30">
        <v>5</v>
      </c>
      <c r="G38" s="30">
        <v>30</v>
      </c>
      <c r="H38" s="30">
        <v>-25</v>
      </c>
      <c r="I38" s="31" t="s">
        <v>93</v>
      </c>
      <c r="J38" s="30" t="s">
        <v>103</v>
      </c>
      <c r="K38" s="30" t="s">
        <v>115</v>
      </c>
      <c r="L38" s="5"/>
    </row>
    <row r="39" spans="1:12" ht="41.45" thickBot="1" x14ac:dyDescent="0.25">
      <c r="A39" s="30">
        <v>34</v>
      </c>
      <c r="B39" s="30" t="s">
        <v>52</v>
      </c>
      <c r="C39" s="30">
        <v>0</v>
      </c>
      <c r="D39" s="30">
        <v>6</v>
      </c>
      <c r="E39" s="30">
        <v>0</v>
      </c>
      <c r="F39" s="30">
        <v>4</v>
      </c>
      <c r="G39" s="30">
        <v>30</v>
      </c>
      <c r="H39" s="30">
        <v>-26</v>
      </c>
      <c r="I39" s="31" t="s">
        <v>93</v>
      </c>
      <c r="J39" s="30" t="s">
        <v>106</v>
      </c>
      <c r="K39" s="30" t="s">
        <v>115</v>
      </c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5"/>
      <c r="H44" s="6"/>
      <c r="I44" s="5"/>
      <c r="J44" s="5"/>
      <c r="K44" s="5"/>
      <c r="L44" s="5"/>
    </row>
    <row r="45" spans="1:12" x14ac:dyDescent="0.2">
      <c r="A45" s="6"/>
      <c r="B45" s="6"/>
      <c r="C45" s="6"/>
      <c r="E45" s="6"/>
      <c r="F45" s="6"/>
      <c r="G45" s="5"/>
      <c r="H45" s="6"/>
      <c r="I45" s="5"/>
      <c r="J45" s="5"/>
      <c r="K45" s="5"/>
      <c r="L45" s="5"/>
    </row>
    <row r="46" spans="1:12" x14ac:dyDescent="0.2">
      <c r="A46" s="6"/>
      <c r="B46" s="6"/>
      <c r="C46" s="6"/>
      <c r="E46" s="6"/>
      <c r="F46" s="6"/>
      <c r="G46" s="5"/>
      <c r="H46" s="6"/>
      <c r="I46" s="5"/>
      <c r="J46" s="5"/>
      <c r="K46" s="5"/>
      <c r="L46" s="5"/>
    </row>
    <row r="47" spans="1:12" x14ac:dyDescent="0.2">
      <c r="A47" s="6"/>
      <c r="B47" s="6"/>
      <c r="C47" s="6"/>
      <c r="E47" s="6"/>
      <c r="F47" s="6"/>
      <c r="G47" s="5"/>
      <c r="H47" s="6"/>
      <c r="I47" s="5"/>
      <c r="J47" s="5"/>
      <c r="K47" s="5"/>
      <c r="L47" s="5"/>
    </row>
    <row r="48" spans="1:12" x14ac:dyDescent="0.2">
      <c r="A48" s="6"/>
      <c r="B48" s="6"/>
      <c r="C48" s="6"/>
      <c r="E48" s="6"/>
      <c r="F48" s="6"/>
      <c r="G48" s="5"/>
      <c r="H48" s="6"/>
      <c r="I48" s="5"/>
      <c r="J48" s="5"/>
      <c r="K48" s="5"/>
      <c r="L48" s="5"/>
    </row>
    <row r="49" spans="1:12" x14ac:dyDescent="0.2">
      <c r="A49" s="6"/>
      <c r="B49" s="6"/>
      <c r="C49" s="6"/>
      <c r="E49" s="6"/>
      <c r="F49" s="6"/>
      <c r="G49" s="5"/>
      <c r="H49" s="6"/>
      <c r="I49" s="5"/>
      <c r="J49" s="5"/>
      <c r="K49" s="5"/>
      <c r="L49" s="5"/>
    </row>
    <row r="50" spans="1:12" x14ac:dyDescent="0.2">
      <c r="A50" s="6"/>
      <c r="B50" s="6"/>
      <c r="C50" s="6"/>
      <c r="E50" s="6"/>
      <c r="F50" s="6"/>
      <c r="G50" s="5"/>
      <c r="H50" s="6"/>
      <c r="I50" s="5"/>
      <c r="J50" s="5"/>
      <c r="K50" s="5"/>
    </row>
    <row r="51" spans="1:12" x14ac:dyDescent="0.2">
      <c r="A51" s="6"/>
      <c r="B51" s="6"/>
      <c r="C51" s="6"/>
      <c r="E51" s="6"/>
      <c r="F51" s="6"/>
      <c r="G51" s="5"/>
      <c r="H51" s="6"/>
      <c r="I51" s="5"/>
      <c r="J51" s="5"/>
      <c r="K51" s="5"/>
    </row>
    <row r="52" spans="1:12" x14ac:dyDescent="0.2">
      <c r="A52" s="6"/>
      <c r="B52" s="6"/>
      <c r="C52" s="6"/>
      <c r="E52" s="6"/>
      <c r="F52" s="6"/>
      <c r="G52" s="5"/>
      <c r="H52" s="6"/>
      <c r="I52" s="5"/>
      <c r="J52" s="5"/>
      <c r="K52" s="5"/>
    </row>
    <row r="53" spans="1:12" x14ac:dyDescent="0.2">
      <c r="A53" s="6"/>
      <c r="B53" s="6"/>
      <c r="C53" s="6"/>
      <c r="E53" s="6"/>
      <c r="F53" s="6"/>
      <c r="G53" s="5"/>
      <c r="H53" s="6"/>
      <c r="I53" s="5"/>
      <c r="J53" s="5"/>
      <c r="K53" s="5"/>
    </row>
    <row r="54" spans="1:12" x14ac:dyDescent="0.2">
      <c r="A54" s="6"/>
      <c r="B54" s="6"/>
      <c r="C54" s="6"/>
      <c r="E54" s="6"/>
      <c r="F54" s="6"/>
      <c r="G54" s="5"/>
      <c r="H54" s="6"/>
      <c r="I54" s="5"/>
      <c r="J54" s="5"/>
      <c r="K54" s="5"/>
    </row>
    <row r="55" spans="1:12" x14ac:dyDescent="0.2">
      <c r="A55" s="6"/>
      <c r="B55" s="6"/>
      <c r="C55" s="6"/>
      <c r="E55" s="6"/>
      <c r="F55" s="6"/>
      <c r="G55" s="5"/>
      <c r="H55" s="6"/>
      <c r="I55" s="5"/>
      <c r="J55" s="5"/>
      <c r="K55" s="5"/>
    </row>
    <row r="56" spans="1:12" x14ac:dyDescent="0.2">
      <c r="A56" s="6"/>
      <c r="B56" s="6"/>
      <c r="C56" s="6"/>
      <c r="E56" s="6"/>
      <c r="F56" s="6"/>
      <c r="G56" s="5"/>
      <c r="H56" s="6"/>
      <c r="I56" s="5"/>
      <c r="J56" s="5"/>
      <c r="K56" s="5"/>
    </row>
    <row r="57" spans="1:12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2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2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2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2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2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</sheetData>
  <mergeCells count="3">
    <mergeCell ref="A2:B2"/>
    <mergeCell ref="C2:L2"/>
    <mergeCell ref="C3:L3"/>
  </mergeCells>
  <hyperlinks>
    <hyperlink ref="C3" r:id="rId1" xr:uid="{8908512E-DCCE-4F16-92BF-5B959B5B5E89}"/>
  </hyperlink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7D16-5D3A-4CC0-B5A9-BA1404C5C7B4}">
  <sheetPr>
    <tabColor rgb="FF92D050"/>
  </sheetPr>
  <dimension ref="A2:L50"/>
  <sheetViews>
    <sheetView topLeftCell="A31" workbookViewId="0">
      <selection activeCell="N51" sqref="N51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1" t="s">
        <v>82</v>
      </c>
      <c r="B2" s="51"/>
      <c r="C2" s="52" t="s">
        <v>160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159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4.95" thickBot="1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3</v>
      </c>
      <c r="G5" s="7" t="s">
        <v>88</v>
      </c>
      <c r="H5" s="7" t="s">
        <v>4</v>
      </c>
      <c r="I5" s="7" t="s">
        <v>89</v>
      </c>
      <c r="J5" s="7" t="s">
        <v>90</v>
      </c>
      <c r="K5" s="7" t="s">
        <v>91</v>
      </c>
      <c r="L5" s="7" t="s">
        <v>92</v>
      </c>
    </row>
    <row r="6" spans="1:12" ht="27.85" thickBot="1" x14ac:dyDescent="0.25">
      <c r="A6" s="30">
        <v>1</v>
      </c>
      <c r="B6" s="36" t="s">
        <v>140</v>
      </c>
      <c r="C6" s="30">
        <v>5</v>
      </c>
      <c r="D6" s="30">
        <v>5</v>
      </c>
      <c r="E6" s="30">
        <v>1</v>
      </c>
      <c r="F6" s="30">
        <v>25</v>
      </c>
      <c r="G6" s="30">
        <v>4</v>
      </c>
      <c r="H6" s="30">
        <v>21</v>
      </c>
      <c r="I6" s="31" t="s">
        <v>93</v>
      </c>
      <c r="J6" s="30" t="s">
        <v>94</v>
      </c>
      <c r="K6" s="30" t="s">
        <v>115</v>
      </c>
      <c r="L6" s="5"/>
    </row>
    <row r="7" spans="1:12" ht="27.85" thickBot="1" x14ac:dyDescent="0.25">
      <c r="A7" s="30">
        <v>2</v>
      </c>
      <c r="B7" s="36" t="s">
        <v>15</v>
      </c>
      <c r="C7" s="30">
        <v>5</v>
      </c>
      <c r="D7" s="30">
        <v>5</v>
      </c>
      <c r="E7" s="30">
        <v>1</v>
      </c>
      <c r="F7" s="30">
        <v>25</v>
      </c>
      <c r="G7" s="30">
        <v>9</v>
      </c>
      <c r="H7" s="30">
        <v>16</v>
      </c>
      <c r="I7" s="31" t="s">
        <v>93</v>
      </c>
      <c r="J7" s="30" t="s">
        <v>96</v>
      </c>
      <c r="K7" s="30" t="s">
        <v>115</v>
      </c>
      <c r="L7" s="5"/>
    </row>
    <row r="8" spans="1:12" ht="27.85" thickBot="1" x14ac:dyDescent="0.25">
      <c r="A8" s="30">
        <v>3</v>
      </c>
      <c r="B8" s="36" t="s">
        <v>35</v>
      </c>
      <c r="C8" s="30">
        <v>5</v>
      </c>
      <c r="D8" s="30">
        <v>5</v>
      </c>
      <c r="E8" s="30">
        <v>1</v>
      </c>
      <c r="F8" s="30">
        <v>25</v>
      </c>
      <c r="G8" s="30">
        <v>11</v>
      </c>
      <c r="H8" s="30">
        <v>14</v>
      </c>
      <c r="I8" s="31" t="s">
        <v>93</v>
      </c>
      <c r="J8" s="30" t="s">
        <v>141</v>
      </c>
      <c r="K8" s="30" t="s">
        <v>115</v>
      </c>
      <c r="L8" s="5"/>
    </row>
    <row r="9" spans="1:12" ht="27.85" thickBot="1" x14ac:dyDescent="0.25">
      <c r="A9" s="30">
        <v>4</v>
      </c>
      <c r="B9" s="36" t="s">
        <v>10</v>
      </c>
      <c r="C9" s="30">
        <v>4</v>
      </c>
      <c r="D9" s="30">
        <v>4</v>
      </c>
      <c r="E9" s="30">
        <v>1</v>
      </c>
      <c r="F9" s="30">
        <v>20</v>
      </c>
      <c r="G9" s="30">
        <v>9</v>
      </c>
      <c r="H9" s="30">
        <v>11</v>
      </c>
      <c r="I9" s="31" t="s">
        <v>93</v>
      </c>
      <c r="J9" s="30" t="s">
        <v>94</v>
      </c>
      <c r="K9" s="30" t="s">
        <v>115</v>
      </c>
      <c r="L9" s="5"/>
    </row>
    <row r="10" spans="1:12" ht="27.85" thickBot="1" x14ac:dyDescent="0.25">
      <c r="A10" s="30">
        <v>5</v>
      </c>
      <c r="B10" s="36" t="s">
        <v>9</v>
      </c>
      <c r="C10" s="30">
        <v>4</v>
      </c>
      <c r="D10" s="30">
        <v>5</v>
      </c>
      <c r="E10" s="30">
        <v>0.8</v>
      </c>
      <c r="F10" s="30">
        <v>24</v>
      </c>
      <c r="G10" s="30">
        <v>8</v>
      </c>
      <c r="H10" s="30">
        <v>16</v>
      </c>
      <c r="I10" s="31" t="s">
        <v>93</v>
      </c>
      <c r="J10" s="30" t="s">
        <v>94</v>
      </c>
      <c r="K10" s="30" t="s">
        <v>115</v>
      </c>
      <c r="L10" s="5"/>
    </row>
    <row r="11" spans="1:12" ht="27.85" thickBot="1" x14ac:dyDescent="0.25">
      <c r="A11" s="30">
        <v>6</v>
      </c>
      <c r="B11" s="36" t="s">
        <v>14</v>
      </c>
      <c r="C11" s="30">
        <v>4</v>
      </c>
      <c r="D11" s="30">
        <v>5</v>
      </c>
      <c r="E11" s="30">
        <v>0.8</v>
      </c>
      <c r="F11" s="30">
        <v>24</v>
      </c>
      <c r="G11" s="30">
        <v>11</v>
      </c>
      <c r="H11" s="30">
        <v>13</v>
      </c>
      <c r="I11" s="31" t="s">
        <v>93</v>
      </c>
      <c r="J11" s="30" t="s">
        <v>98</v>
      </c>
      <c r="K11" s="30" t="s">
        <v>115</v>
      </c>
      <c r="L11" s="5"/>
    </row>
    <row r="12" spans="1:12" ht="27.85" thickBot="1" x14ac:dyDescent="0.25">
      <c r="A12" s="30">
        <v>7</v>
      </c>
      <c r="B12" s="36" t="s">
        <v>11</v>
      </c>
      <c r="C12" s="30">
        <v>4</v>
      </c>
      <c r="D12" s="30">
        <v>5</v>
      </c>
      <c r="E12" s="30">
        <v>0.8</v>
      </c>
      <c r="F12" s="30">
        <v>20</v>
      </c>
      <c r="G12" s="30">
        <v>12</v>
      </c>
      <c r="H12" s="30">
        <v>8</v>
      </c>
      <c r="I12" s="31" t="s">
        <v>93</v>
      </c>
      <c r="J12" s="30" t="s">
        <v>98</v>
      </c>
      <c r="K12" s="30" t="s">
        <v>115</v>
      </c>
      <c r="L12" s="5"/>
    </row>
    <row r="13" spans="1:12" ht="27.85" thickBot="1" x14ac:dyDescent="0.25">
      <c r="A13" s="30">
        <v>8</v>
      </c>
      <c r="B13" s="36" t="s">
        <v>31</v>
      </c>
      <c r="C13" s="30">
        <v>4</v>
      </c>
      <c r="D13" s="30">
        <v>5</v>
      </c>
      <c r="E13" s="30">
        <v>0.8</v>
      </c>
      <c r="F13" s="30">
        <v>24</v>
      </c>
      <c r="G13" s="30">
        <v>17</v>
      </c>
      <c r="H13" s="30">
        <v>7</v>
      </c>
      <c r="I13" s="31" t="s">
        <v>93</v>
      </c>
      <c r="J13" s="30" t="s">
        <v>141</v>
      </c>
      <c r="K13" s="30" t="s">
        <v>115</v>
      </c>
      <c r="L13" s="5"/>
    </row>
    <row r="14" spans="1:12" ht="27.85" thickBot="1" x14ac:dyDescent="0.25">
      <c r="A14" s="30">
        <v>9</v>
      </c>
      <c r="B14" s="36" t="s">
        <v>101</v>
      </c>
      <c r="C14" s="30">
        <v>3</v>
      </c>
      <c r="D14" s="30">
        <v>5</v>
      </c>
      <c r="E14" s="30">
        <v>0.6</v>
      </c>
      <c r="F14" s="30">
        <v>23</v>
      </c>
      <c r="G14" s="30">
        <v>15</v>
      </c>
      <c r="H14" s="30">
        <v>8</v>
      </c>
      <c r="I14" s="31" t="s">
        <v>93</v>
      </c>
      <c r="J14" s="30" t="s">
        <v>94</v>
      </c>
      <c r="K14" s="30" t="s">
        <v>115</v>
      </c>
      <c r="L14" s="5"/>
    </row>
    <row r="15" spans="1:12" ht="27.85" thickBot="1" x14ac:dyDescent="0.25">
      <c r="A15" s="30">
        <v>10</v>
      </c>
      <c r="B15" s="36" t="s">
        <v>28</v>
      </c>
      <c r="C15" s="30">
        <v>3</v>
      </c>
      <c r="D15" s="30">
        <v>5</v>
      </c>
      <c r="E15" s="30">
        <v>0.6</v>
      </c>
      <c r="F15" s="30">
        <v>21</v>
      </c>
      <c r="G15" s="30">
        <v>13</v>
      </c>
      <c r="H15" s="30">
        <v>8</v>
      </c>
      <c r="I15" s="31" t="s">
        <v>93</v>
      </c>
      <c r="J15" s="30" t="s">
        <v>94</v>
      </c>
      <c r="K15" s="30" t="s">
        <v>115</v>
      </c>
      <c r="L15" s="5"/>
    </row>
    <row r="16" spans="1:12" ht="27.85" thickBot="1" x14ac:dyDescent="0.25">
      <c r="A16" s="30">
        <v>11</v>
      </c>
      <c r="B16" s="36" t="s">
        <v>165</v>
      </c>
      <c r="C16" s="30">
        <v>3</v>
      </c>
      <c r="D16" s="30">
        <v>5</v>
      </c>
      <c r="E16" s="30">
        <v>0.6</v>
      </c>
      <c r="F16" s="30">
        <v>21</v>
      </c>
      <c r="G16" s="30">
        <v>17</v>
      </c>
      <c r="H16" s="30">
        <v>4</v>
      </c>
      <c r="I16" s="31" t="s">
        <v>93</v>
      </c>
      <c r="J16" s="30" t="s">
        <v>109</v>
      </c>
      <c r="K16" s="30" t="s">
        <v>115</v>
      </c>
      <c r="L16" s="5"/>
    </row>
    <row r="17" spans="1:12" ht="27.85" thickBot="1" x14ac:dyDescent="0.25">
      <c r="A17" s="30">
        <v>12</v>
      </c>
      <c r="B17" s="36" t="s">
        <v>16</v>
      </c>
      <c r="C17" s="30">
        <v>3</v>
      </c>
      <c r="D17" s="30">
        <v>5</v>
      </c>
      <c r="E17" s="30">
        <v>0.6</v>
      </c>
      <c r="F17" s="30">
        <v>20</v>
      </c>
      <c r="G17" s="30">
        <v>16</v>
      </c>
      <c r="H17" s="30">
        <v>4</v>
      </c>
      <c r="I17" s="31" t="s">
        <v>93</v>
      </c>
      <c r="J17" s="30" t="s">
        <v>99</v>
      </c>
      <c r="K17" s="30" t="s">
        <v>115</v>
      </c>
      <c r="L17" s="5"/>
    </row>
    <row r="18" spans="1:12" ht="27.85" thickBot="1" x14ac:dyDescent="0.25">
      <c r="A18" s="30">
        <v>13</v>
      </c>
      <c r="B18" s="36" t="s">
        <v>30</v>
      </c>
      <c r="C18" s="30">
        <v>3</v>
      </c>
      <c r="D18" s="30">
        <v>5</v>
      </c>
      <c r="E18" s="30">
        <v>0.6</v>
      </c>
      <c r="F18" s="30">
        <v>21</v>
      </c>
      <c r="G18" s="30">
        <v>18</v>
      </c>
      <c r="H18" s="30">
        <v>3</v>
      </c>
      <c r="I18" s="31" t="s">
        <v>93</v>
      </c>
      <c r="J18" s="30" t="s">
        <v>96</v>
      </c>
      <c r="K18" s="30" t="s">
        <v>115</v>
      </c>
      <c r="L18" s="5"/>
    </row>
    <row r="19" spans="1:12" ht="27.85" thickBot="1" x14ac:dyDescent="0.25">
      <c r="A19" s="30">
        <v>14</v>
      </c>
      <c r="B19" s="36" t="s">
        <v>23</v>
      </c>
      <c r="C19" s="30">
        <v>3</v>
      </c>
      <c r="D19" s="30">
        <v>5</v>
      </c>
      <c r="E19" s="30">
        <v>0.6</v>
      </c>
      <c r="F19" s="30">
        <v>18</v>
      </c>
      <c r="G19" s="30">
        <v>16</v>
      </c>
      <c r="H19" s="30">
        <v>2</v>
      </c>
      <c r="I19" s="31" t="s">
        <v>93</v>
      </c>
      <c r="J19" s="30" t="s">
        <v>136</v>
      </c>
      <c r="K19" s="30" t="s">
        <v>115</v>
      </c>
      <c r="L19" s="5"/>
    </row>
    <row r="20" spans="1:12" ht="27.85" thickBot="1" x14ac:dyDescent="0.25">
      <c r="A20" s="30" t="s">
        <v>161</v>
      </c>
      <c r="B20" s="36" t="s">
        <v>41</v>
      </c>
      <c r="C20" s="30">
        <v>3</v>
      </c>
      <c r="D20" s="30">
        <v>5</v>
      </c>
      <c r="E20" s="30">
        <v>0.6</v>
      </c>
      <c r="F20" s="30">
        <v>21</v>
      </c>
      <c r="G20" s="30">
        <v>20</v>
      </c>
      <c r="H20" s="30">
        <v>1</v>
      </c>
      <c r="I20" s="31" t="s">
        <v>93</v>
      </c>
      <c r="J20" s="30" t="s">
        <v>99</v>
      </c>
      <c r="K20" s="30" t="s">
        <v>115</v>
      </c>
      <c r="L20" s="5"/>
    </row>
    <row r="21" spans="1:12" ht="41.45" thickBot="1" x14ac:dyDescent="0.25">
      <c r="A21" s="30" t="s">
        <v>161</v>
      </c>
      <c r="B21" s="36" t="s">
        <v>47</v>
      </c>
      <c r="C21" s="30">
        <v>3</v>
      </c>
      <c r="D21" s="30">
        <v>5</v>
      </c>
      <c r="E21" s="30">
        <v>0.6</v>
      </c>
      <c r="F21" s="30">
        <v>21</v>
      </c>
      <c r="G21" s="30">
        <v>20</v>
      </c>
      <c r="H21" s="30">
        <v>1</v>
      </c>
      <c r="I21" s="31" t="s">
        <v>93</v>
      </c>
      <c r="J21" s="30" t="s">
        <v>108</v>
      </c>
      <c r="K21" s="30" t="s">
        <v>115</v>
      </c>
      <c r="L21" s="5"/>
    </row>
    <row r="22" spans="1:12" ht="14.3" thickBot="1" x14ac:dyDescent="0.25">
      <c r="A22" s="30">
        <v>17</v>
      </c>
      <c r="B22" s="36" t="s">
        <v>40</v>
      </c>
      <c r="C22" s="30">
        <v>2</v>
      </c>
      <c r="D22" s="30">
        <v>4</v>
      </c>
      <c r="E22" s="30">
        <v>0.5</v>
      </c>
      <c r="F22" s="30">
        <v>16</v>
      </c>
      <c r="G22" s="30">
        <v>15</v>
      </c>
      <c r="H22" s="30">
        <v>1</v>
      </c>
      <c r="I22" s="31" t="s">
        <v>93</v>
      </c>
      <c r="J22" s="30" t="s">
        <v>136</v>
      </c>
      <c r="K22" s="30" t="s">
        <v>115</v>
      </c>
      <c r="L22" s="5"/>
    </row>
    <row r="23" spans="1:12" ht="27.85" thickBot="1" x14ac:dyDescent="0.25">
      <c r="A23" s="30">
        <v>18</v>
      </c>
      <c r="B23" s="36" t="s">
        <v>21</v>
      </c>
      <c r="C23" s="30">
        <v>2</v>
      </c>
      <c r="D23" s="30">
        <v>4</v>
      </c>
      <c r="E23" s="30">
        <v>0.5</v>
      </c>
      <c r="F23" s="30">
        <v>14</v>
      </c>
      <c r="G23" s="30">
        <v>17</v>
      </c>
      <c r="H23" s="30">
        <v>-3</v>
      </c>
      <c r="I23" s="31" t="s">
        <v>93</v>
      </c>
      <c r="J23" s="30" t="s">
        <v>94</v>
      </c>
      <c r="K23" s="30" t="s">
        <v>115</v>
      </c>
      <c r="L23" s="5"/>
    </row>
    <row r="24" spans="1:12" ht="14.3" thickBot="1" x14ac:dyDescent="0.25">
      <c r="A24" s="30">
        <v>19</v>
      </c>
      <c r="B24" s="36" t="s">
        <v>32</v>
      </c>
      <c r="C24" s="30">
        <v>2</v>
      </c>
      <c r="D24" s="30">
        <v>5</v>
      </c>
      <c r="E24" s="30">
        <v>0.4</v>
      </c>
      <c r="F24" s="30">
        <v>15</v>
      </c>
      <c r="G24" s="30">
        <v>15</v>
      </c>
      <c r="H24" s="30">
        <v>0</v>
      </c>
      <c r="I24" s="31" t="s">
        <v>93</v>
      </c>
      <c r="J24" s="30" t="s">
        <v>104</v>
      </c>
      <c r="K24" s="30" t="s">
        <v>115</v>
      </c>
      <c r="L24" s="5"/>
    </row>
    <row r="25" spans="1:12" ht="41.45" thickBot="1" x14ac:dyDescent="0.25">
      <c r="A25" s="30">
        <v>20</v>
      </c>
      <c r="B25" s="36" t="s">
        <v>42</v>
      </c>
      <c r="C25" s="30">
        <v>2</v>
      </c>
      <c r="D25" s="30">
        <v>5</v>
      </c>
      <c r="E25" s="30">
        <v>0.4</v>
      </c>
      <c r="F25" s="30">
        <v>20</v>
      </c>
      <c r="G25" s="30">
        <v>22</v>
      </c>
      <c r="H25" s="30">
        <v>-2</v>
      </c>
      <c r="I25" s="31" t="s">
        <v>93</v>
      </c>
      <c r="J25" s="30" t="s">
        <v>103</v>
      </c>
      <c r="K25" s="30" t="s">
        <v>115</v>
      </c>
      <c r="L25" s="5"/>
    </row>
    <row r="26" spans="1:12" ht="27.85" thickBot="1" x14ac:dyDescent="0.25">
      <c r="A26" s="30" t="s">
        <v>162</v>
      </c>
      <c r="B26" s="36" t="s">
        <v>34</v>
      </c>
      <c r="C26" s="30">
        <v>2</v>
      </c>
      <c r="D26" s="30">
        <v>5</v>
      </c>
      <c r="E26" s="30">
        <v>0.4</v>
      </c>
      <c r="F26" s="30">
        <v>18</v>
      </c>
      <c r="G26" s="30">
        <v>20</v>
      </c>
      <c r="H26" s="30">
        <v>-2</v>
      </c>
      <c r="I26" s="31" t="s">
        <v>93</v>
      </c>
      <c r="J26" s="30" t="s">
        <v>107</v>
      </c>
      <c r="K26" s="30" t="s">
        <v>115</v>
      </c>
      <c r="L26" s="5"/>
    </row>
    <row r="27" spans="1:12" ht="27.85" thickBot="1" x14ac:dyDescent="0.25">
      <c r="A27" s="30" t="s">
        <v>162</v>
      </c>
      <c r="B27" s="36" t="s">
        <v>13</v>
      </c>
      <c r="C27" s="30">
        <v>2</v>
      </c>
      <c r="D27" s="30">
        <v>5</v>
      </c>
      <c r="E27" s="30">
        <v>0.4</v>
      </c>
      <c r="F27" s="30">
        <v>18</v>
      </c>
      <c r="G27" s="30">
        <v>20</v>
      </c>
      <c r="H27" s="30">
        <v>-2</v>
      </c>
      <c r="I27" s="31" t="s">
        <v>93</v>
      </c>
      <c r="J27" s="30" t="s">
        <v>94</v>
      </c>
      <c r="K27" s="30" t="s">
        <v>115</v>
      </c>
      <c r="L27" s="5"/>
    </row>
    <row r="28" spans="1:12" ht="41.45" thickBot="1" x14ac:dyDescent="0.25">
      <c r="A28" s="30">
        <v>23</v>
      </c>
      <c r="B28" s="36" t="s">
        <v>20</v>
      </c>
      <c r="C28" s="30">
        <v>2</v>
      </c>
      <c r="D28" s="30">
        <v>5</v>
      </c>
      <c r="E28" s="30">
        <v>0.4</v>
      </c>
      <c r="F28" s="30">
        <v>17</v>
      </c>
      <c r="G28" s="30">
        <v>21</v>
      </c>
      <c r="H28" s="30">
        <v>-4</v>
      </c>
      <c r="I28" s="31" t="s">
        <v>93</v>
      </c>
      <c r="J28" s="30" t="s">
        <v>103</v>
      </c>
      <c r="K28" s="30" t="s">
        <v>115</v>
      </c>
      <c r="L28" s="5"/>
    </row>
    <row r="29" spans="1:12" ht="27.85" thickBot="1" x14ac:dyDescent="0.25">
      <c r="A29" s="30">
        <v>24</v>
      </c>
      <c r="B29" s="36" t="s">
        <v>43</v>
      </c>
      <c r="C29" s="30">
        <v>2</v>
      </c>
      <c r="D29" s="30">
        <v>5</v>
      </c>
      <c r="E29" s="30">
        <v>0.4</v>
      </c>
      <c r="F29" s="30">
        <v>15</v>
      </c>
      <c r="G29" s="30">
        <v>20</v>
      </c>
      <c r="H29" s="30">
        <v>-5</v>
      </c>
      <c r="I29" s="31" t="s">
        <v>93</v>
      </c>
      <c r="J29" s="30" t="s">
        <v>141</v>
      </c>
      <c r="K29" s="30" t="s">
        <v>115</v>
      </c>
      <c r="L29" s="5"/>
    </row>
    <row r="30" spans="1:12" ht="41.45" thickBot="1" x14ac:dyDescent="0.25">
      <c r="A30" s="30">
        <v>25</v>
      </c>
      <c r="B30" s="36" t="s">
        <v>65</v>
      </c>
      <c r="C30" s="30">
        <v>2</v>
      </c>
      <c r="D30" s="30">
        <v>5</v>
      </c>
      <c r="E30" s="30">
        <v>0.4</v>
      </c>
      <c r="F30" s="30">
        <v>10</v>
      </c>
      <c r="G30" s="30">
        <v>16</v>
      </c>
      <c r="H30" s="30">
        <v>-6</v>
      </c>
      <c r="I30" s="31" t="s">
        <v>93</v>
      </c>
      <c r="J30" s="30" t="s">
        <v>108</v>
      </c>
      <c r="K30" s="30" t="s">
        <v>115</v>
      </c>
      <c r="L30" s="5"/>
    </row>
    <row r="31" spans="1:12" ht="27.85" thickBot="1" x14ac:dyDescent="0.25">
      <c r="A31" s="30">
        <v>26</v>
      </c>
      <c r="B31" s="36" t="s">
        <v>29</v>
      </c>
      <c r="C31" s="30">
        <v>2</v>
      </c>
      <c r="D31" s="30">
        <v>5</v>
      </c>
      <c r="E31" s="30">
        <v>0.4</v>
      </c>
      <c r="F31" s="30">
        <v>16</v>
      </c>
      <c r="G31" s="30">
        <v>23</v>
      </c>
      <c r="H31" s="30">
        <v>-7</v>
      </c>
      <c r="I31" s="31" t="s">
        <v>93</v>
      </c>
      <c r="J31" s="30" t="s">
        <v>102</v>
      </c>
      <c r="K31" s="30" t="s">
        <v>115</v>
      </c>
      <c r="L31" s="5"/>
    </row>
    <row r="32" spans="1:12" ht="41.45" thickBot="1" x14ac:dyDescent="0.25">
      <c r="A32" s="30">
        <v>27</v>
      </c>
      <c r="B32" s="36" t="s">
        <v>105</v>
      </c>
      <c r="C32" s="30">
        <v>2</v>
      </c>
      <c r="D32" s="30">
        <v>5</v>
      </c>
      <c r="E32" s="30">
        <v>0.4</v>
      </c>
      <c r="F32" s="30">
        <v>11</v>
      </c>
      <c r="G32" s="30">
        <v>21</v>
      </c>
      <c r="H32" s="30">
        <v>-10</v>
      </c>
      <c r="I32" s="31" t="s">
        <v>93</v>
      </c>
      <c r="J32" s="30" t="s">
        <v>106</v>
      </c>
      <c r="K32" s="30" t="s">
        <v>115</v>
      </c>
      <c r="L32" s="5"/>
    </row>
    <row r="33" spans="1:12" ht="27.85" thickBot="1" x14ac:dyDescent="0.25">
      <c r="A33" s="30">
        <v>28</v>
      </c>
      <c r="B33" s="36" t="s">
        <v>143</v>
      </c>
      <c r="C33" s="30">
        <v>1</v>
      </c>
      <c r="D33" s="30">
        <v>4</v>
      </c>
      <c r="E33" s="30">
        <v>0.25</v>
      </c>
      <c r="F33" s="30">
        <v>14</v>
      </c>
      <c r="G33" s="30">
        <v>18</v>
      </c>
      <c r="H33" s="30">
        <v>-4</v>
      </c>
      <c r="I33" s="31" t="s">
        <v>93</v>
      </c>
      <c r="J33" s="30" t="s">
        <v>141</v>
      </c>
      <c r="K33" s="30" t="s">
        <v>115</v>
      </c>
      <c r="L33" s="5"/>
    </row>
    <row r="34" spans="1:12" ht="27.85" thickBot="1" x14ac:dyDescent="0.25">
      <c r="A34" s="30">
        <v>29</v>
      </c>
      <c r="B34" s="36" t="s">
        <v>37</v>
      </c>
      <c r="C34" s="30">
        <v>1</v>
      </c>
      <c r="D34" s="30">
        <v>4</v>
      </c>
      <c r="E34" s="30">
        <v>0.25</v>
      </c>
      <c r="F34" s="30">
        <v>12</v>
      </c>
      <c r="G34" s="30">
        <v>17</v>
      </c>
      <c r="H34" s="30">
        <v>-5</v>
      </c>
      <c r="I34" s="31" t="s">
        <v>93</v>
      </c>
      <c r="J34" s="30" t="s">
        <v>107</v>
      </c>
      <c r="K34" s="30" t="s">
        <v>115</v>
      </c>
      <c r="L34" s="5"/>
    </row>
    <row r="35" spans="1:12" ht="27.85" thickBot="1" x14ac:dyDescent="0.25">
      <c r="A35" s="30">
        <v>30</v>
      </c>
      <c r="B35" s="36" t="s">
        <v>18</v>
      </c>
      <c r="C35" s="30">
        <v>1</v>
      </c>
      <c r="D35" s="30">
        <v>5</v>
      </c>
      <c r="E35" s="30">
        <v>0.2</v>
      </c>
      <c r="F35" s="30">
        <v>16</v>
      </c>
      <c r="G35" s="30">
        <v>24</v>
      </c>
      <c r="H35" s="30">
        <v>-8</v>
      </c>
      <c r="I35" s="31" t="s">
        <v>93</v>
      </c>
      <c r="J35" s="30" t="s">
        <v>100</v>
      </c>
      <c r="K35" s="30" t="s">
        <v>115</v>
      </c>
      <c r="L35" s="5"/>
    </row>
    <row r="36" spans="1:12" ht="27.85" thickBot="1" x14ac:dyDescent="0.25">
      <c r="A36" s="30">
        <v>31</v>
      </c>
      <c r="B36" s="36" t="s">
        <v>166</v>
      </c>
      <c r="C36" s="30">
        <v>1</v>
      </c>
      <c r="D36" s="30">
        <v>5</v>
      </c>
      <c r="E36" s="30">
        <v>0.2</v>
      </c>
      <c r="F36" s="30">
        <v>12</v>
      </c>
      <c r="G36" s="30">
        <v>23</v>
      </c>
      <c r="H36" s="30">
        <v>-11</v>
      </c>
      <c r="I36" s="31" t="s">
        <v>93</v>
      </c>
      <c r="J36" s="30" t="s">
        <v>163</v>
      </c>
      <c r="K36" s="30" t="s">
        <v>115</v>
      </c>
      <c r="L36" s="5"/>
    </row>
    <row r="37" spans="1:12" ht="41.45" thickBot="1" x14ac:dyDescent="0.25">
      <c r="A37" s="30">
        <v>32</v>
      </c>
      <c r="B37" s="36" t="s">
        <v>38</v>
      </c>
      <c r="C37" s="30">
        <v>0</v>
      </c>
      <c r="D37" s="30">
        <v>5</v>
      </c>
      <c r="E37" s="30">
        <v>0</v>
      </c>
      <c r="F37" s="30">
        <v>14</v>
      </c>
      <c r="G37" s="30">
        <v>25</v>
      </c>
      <c r="H37" s="30">
        <v>-11</v>
      </c>
      <c r="I37" s="31" t="s">
        <v>93</v>
      </c>
      <c r="J37" s="30" t="s">
        <v>103</v>
      </c>
      <c r="K37" s="30" t="s">
        <v>115</v>
      </c>
      <c r="L37" s="5"/>
    </row>
    <row r="38" spans="1:12" ht="41.45" thickBot="1" x14ac:dyDescent="0.25">
      <c r="A38" s="30" t="s">
        <v>164</v>
      </c>
      <c r="B38" s="36" t="s">
        <v>149</v>
      </c>
      <c r="C38" s="30">
        <v>0</v>
      </c>
      <c r="D38" s="30">
        <v>5</v>
      </c>
      <c r="E38" s="30">
        <v>0</v>
      </c>
      <c r="F38" s="30">
        <v>7</v>
      </c>
      <c r="G38" s="30">
        <v>25</v>
      </c>
      <c r="H38" s="30">
        <v>-18</v>
      </c>
      <c r="I38" s="31" t="s">
        <v>93</v>
      </c>
      <c r="J38" s="30" t="s">
        <v>103</v>
      </c>
      <c r="K38" s="30" t="s">
        <v>115</v>
      </c>
      <c r="L38" s="5"/>
    </row>
    <row r="39" spans="1:12" ht="27.85" thickBot="1" x14ac:dyDescent="0.25">
      <c r="A39" s="30" t="s">
        <v>164</v>
      </c>
      <c r="B39" s="36" t="s">
        <v>74</v>
      </c>
      <c r="C39" s="30">
        <v>0</v>
      </c>
      <c r="D39" s="30">
        <v>5</v>
      </c>
      <c r="E39" s="30">
        <v>0</v>
      </c>
      <c r="F39" s="30">
        <v>7</v>
      </c>
      <c r="G39" s="30">
        <v>25</v>
      </c>
      <c r="H39" s="30">
        <v>-18</v>
      </c>
      <c r="I39" s="31" t="s">
        <v>93</v>
      </c>
      <c r="J39" s="30" t="s">
        <v>107</v>
      </c>
      <c r="K39" s="30" t="s">
        <v>115</v>
      </c>
      <c r="L39" s="5"/>
    </row>
    <row r="40" spans="1:12" ht="27.85" thickBot="1" x14ac:dyDescent="0.25">
      <c r="A40" s="30">
        <v>35</v>
      </c>
      <c r="B40" s="36" t="s">
        <v>70</v>
      </c>
      <c r="C40" s="30">
        <v>0</v>
      </c>
      <c r="D40" s="30">
        <v>5</v>
      </c>
      <c r="E40" s="30">
        <v>0</v>
      </c>
      <c r="F40" s="30">
        <v>3</v>
      </c>
      <c r="G40" s="30">
        <v>25</v>
      </c>
      <c r="H40" s="30">
        <v>-22</v>
      </c>
      <c r="I40" s="31" t="s">
        <v>93</v>
      </c>
      <c r="J40" s="30" t="s">
        <v>148</v>
      </c>
      <c r="K40" s="30" t="s">
        <v>115</v>
      </c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5"/>
      <c r="H44" s="6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" r:id="rId1" xr:uid="{FD40D6B1-0D04-47F9-9298-242542D1362A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04AF-3C7F-4764-B2B4-46DEF78BBFA8}">
  <sheetPr>
    <tabColor rgb="FF92D050"/>
  </sheetPr>
  <dimension ref="A2:L50"/>
  <sheetViews>
    <sheetView topLeftCell="A10" workbookViewId="0">
      <selection activeCell="N25" sqref="N25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1" t="s">
        <v>82</v>
      </c>
      <c r="B2" s="51"/>
      <c r="C2" s="52" t="s">
        <v>160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168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4.95" thickBot="1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3</v>
      </c>
      <c r="G5" s="7" t="s">
        <v>88</v>
      </c>
      <c r="H5" s="7" t="s">
        <v>4</v>
      </c>
      <c r="I5" s="7" t="s">
        <v>89</v>
      </c>
      <c r="J5" s="7" t="s">
        <v>90</v>
      </c>
      <c r="K5" s="7" t="s">
        <v>91</v>
      </c>
      <c r="L5" s="7" t="s">
        <v>92</v>
      </c>
    </row>
    <row r="6" spans="1:12" ht="27.85" thickBot="1" x14ac:dyDescent="0.25">
      <c r="A6" s="30">
        <v>1</v>
      </c>
      <c r="B6" s="30" t="s">
        <v>35</v>
      </c>
      <c r="C6" s="30">
        <v>5</v>
      </c>
      <c r="D6" s="30">
        <v>5</v>
      </c>
      <c r="E6" s="30">
        <v>1</v>
      </c>
      <c r="F6" s="30">
        <v>25</v>
      </c>
      <c r="G6" s="30">
        <v>4</v>
      </c>
      <c r="H6" s="30">
        <v>21</v>
      </c>
      <c r="I6" s="31" t="s">
        <v>93</v>
      </c>
      <c r="J6" s="30" t="s">
        <v>141</v>
      </c>
      <c r="K6" s="30" t="s">
        <v>115</v>
      </c>
      <c r="L6" s="5"/>
    </row>
    <row r="7" spans="1:12" ht="27.85" thickBot="1" x14ac:dyDescent="0.25">
      <c r="A7" s="30" t="s">
        <v>110</v>
      </c>
      <c r="B7" s="30" t="s">
        <v>140</v>
      </c>
      <c r="C7" s="30">
        <v>5</v>
      </c>
      <c r="D7" s="30">
        <v>5</v>
      </c>
      <c r="E7" s="30">
        <v>1</v>
      </c>
      <c r="F7" s="30">
        <v>25</v>
      </c>
      <c r="G7" s="30">
        <v>5</v>
      </c>
      <c r="H7" s="30">
        <v>20</v>
      </c>
      <c r="I7" s="31" t="s">
        <v>93</v>
      </c>
      <c r="J7" s="30" t="s">
        <v>94</v>
      </c>
      <c r="K7" s="30" t="s">
        <v>115</v>
      </c>
      <c r="L7" s="5"/>
    </row>
    <row r="8" spans="1:12" ht="27.85" thickBot="1" x14ac:dyDescent="0.25">
      <c r="A8" s="30" t="s">
        <v>110</v>
      </c>
      <c r="B8" s="30" t="s">
        <v>15</v>
      </c>
      <c r="C8" s="30">
        <v>5</v>
      </c>
      <c r="D8" s="30">
        <v>5</v>
      </c>
      <c r="E8" s="30">
        <v>1</v>
      </c>
      <c r="F8" s="30">
        <v>25</v>
      </c>
      <c r="G8" s="30">
        <v>5</v>
      </c>
      <c r="H8" s="30">
        <v>20</v>
      </c>
      <c r="I8" s="31" t="s">
        <v>93</v>
      </c>
      <c r="J8" s="30" t="s">
        <v>96</v>
      </c>
      <c r="K8" s="30" t="s">
        <v>115</v>
      </c>
      <c r="L8" s="5"/>
    </row>
    <row r="9" spans="1:12" ht="27.85" thickBot="1" x14ac:dyDescent="0.25">
      <c r="A9" s="30">
        <v>4</v>
      </c>
      <c r="B9" s="30" t="s">
        <v>10</v>
      </c>
      <c r="C9" s="30">
        <v>5</v>
      </c>
      <c r="D9" s="30">
        <v>5</v>
      </c>
      <c r="E9" s="30">
        <v>1</v>
      </c>
      <c r="F9" s="30">
        <v>25</v>
      </c>
      <c r="G9" s="30">
        <v>8</v>
      </c>
      <c r="H9" s="30">
        <v>17</v>
      </c>
      <c r="I9" s="31" t="s">
        <v>93</v>
      </c>
      <c r="J9" s="30" t="s">
        <v>94</v>
      </c>
      <c r="K9" s="30" t="s">
        <v>115</v>
      </c>
      <c r="L9" s="5"/>
    </row>
    <row r="10" spans="1:12" ht="41.45" thickBot="1" x14ac:dyDescent="0.25">
      <c r="A10" s="30">
        <v>5</v>
      </c>
      <c r="B10" s="30" t="s">
        <v>42</v>
      </c>
      <c r="C10" s="30">
        <v>4</v>
      </c>
      <c r="D10" s="30">
        <v>5</v>
      </c>
      <c r="E10" s="30">
        <v>0.8</v>
      </c>
      <c r="F10" s="30">
        <v>23</v>
      </c>
      <c r="G10" s="30">
        <v>9</v>
      </c>
      <c r="H10" s="30">
        <v>14</v>
      </c>
      <c r="I10" s="31" t="s">
        <v>93</v>
      </c>
      <c r="J10" s="30" t="s">
        <v>103</v>
      </c>
      <c r="K10" s="30" t="s">
        <v>115</v>
      </c>
      <c r="L10" s="5"/>
    </row>
    <row r="11" spans="1:12" ht="27.85" thickBot="1" x14ac:dyDescent="0.25">
      <c r="A11" s="30">
        <v>6</v>
      </c>
      <c r="B11" s="30" t="s">
        <v>11</v>
      </c>
      <c r="C11" s="30">
        <v>4</v>
      </c>
      <c r="D11" s="30">
        <v>5</v>
      </c>
      <c r="E11" s="30">
        <v>0.8</v>
      </c>
      <c r="F11" s="30">
        <v>23</v>
      </c>
      <c r="G11" s="30">
        <v>10</v>
      </c>
      <c r="H11" s="30">
        <v>13</v>
      </c>
      <c r="I11" s="31" t="s">
        <v>93</v>
      </c>
      <c r="J11" s="30" t="s">
        <v>98</v>
      </c>
      <c r="K11" s="30" t="s">
        <v>115</v>
      </c>
      <c r="L11" s="5"/>
    </row>
    <row r="12" spans="1:12" ht="27.85" thickBot="1" x14ac:dyDescent="0.25">
      <c r="A12" s="30">
        <v>7</v>
      </c>
      <c r="B12" s="30" t="s">
        <v>9</v>
      </c>
      <c r="C12" s="30">
        <v>4</v>
      </c>
      <c r="D12" s="30">
        <v>5</v>
      </c>
      <c r="E12" s="30">
        <v>0.8</v>
      </c>
      <c r="F12" s="30">
        <v>21</v>
      </c>
      <c r="G12" s="30">
        <v>10</v>
      </c>
      <c r="H12" s="30">
        <v>11</v>
      </c>
      <c r="I12" s="31" t="s">
        <v>93</v>
      </c>
      <c r="J12" s="30" t="s">
        <v>94</v>
      </c>
      <c r="K12" s="30" t="s">
        <v>115</v>
      </c>
      <c r="L12" s="5"/>
    </row>
    <row r="13" spans="1:12" ht="27.85" thickBot="1" x14ac:dyDescent="0.25">
      <c r="A13" s="30">
        <v>8</v>
      </c>
      <c r="B13" s="30" t="s">
        <v>28</v>
      </c>
      <c r="C13" s="30">
        <v>4</v>
      </c>
      <c r="D13" s="30">
        <v>5</v>
      </c>
      <c r="E13" s="30">
        <v>0.8</v>
      </c>
      <c r="F13" s="30">
        <v>21</v>
      </c>
      <c r="G13" s="30">
        <v>11</v>
      </c>
      <c r="H13" s="30">
        <v>10</v>
      </c>
      <c r="I13" s="31" t="s">
        <v>93</v>
      </c>
      <c r="J13" s="30" t="s">
        <v>94</v>
      </c>
      <c r="K13" s="30" t="s">
        <v>115</v>
      </c>
      <c r="L13" s="5"/>
    </row>
    <row r="14" spans="1:12" ht="27.85" thickBot="1" x14ac:dyDescent="0.25">
      <c r="A14" s="30">
        <v>9</v>
      </c>
      <c r="B14" s="30" t="s">
        <v>41</v>
      </c>
      <c r="C14" s="30">
        <v>4</v>
      </c>
      <c r="D14" s="30">
        <v>5</v>
      </c>
      <c r="E14" s="30">
        <v>0.8</v>
      </c>
      <c r="F14" s="30">
        <v>22</v>
      </c>
      <c r="G14" s="30">
        <v>13</v>
      </c>
      <c r="H14" s="30">
        <v>9</v>
      </c>
      <c r="I14" s="31" t="s">
        <v>93</v>
      </c>
      <c r="J14" s="30" t="s">
        <v>99</v>
      </c>
      <c r="K14" s="30" t="s">
        <v>115</v>
      </c>
      <c r="L14" s="5"/>
    </row>
    <row r="15" spans="1:12" ht="27.85" thickBot="1" x14ac:dyDescent="0.25">
      <c r="A15" s="30">
        <v>10</v>
      </c>
      <c r="B15" s="30" t="s">
        <v>30</v>
      </c>
      <c r="C15" s="30">
        <v>4</v>
      </c>
      <c r="D15" s="30">
        <v>5</v>
      </c>
      <c r="E15" s="30">
        <v>0.8</v>
      </c>
      <c r="F15" s="30">
        <v>23</v>
      </c>
      <c r="G15" s="30">
        <v>16</v>
      </c>
      <c r="H15" s="30">
        <v>7</v>
      </c>
      <c r="I15" s="31" t="s">
        <v>93</v>
      </c>
      <c r="J15" s="30" t="s">
        <v>96</v>
      </c>
      <c r="K15" s="30" t="s">
        <v>115</v>
      </c>
      <c r="L15" s="5"/>
    </row>
    <row r="16" spans="1:12" ht="27.85" thickBot="1" x14ac:dyDescent="0.25">
      <c r="A16" s="30">
        <v>11</v>
      </c>
      <c r="B16" s="30" t="s">
        <v>23</v>
      </c>
      <c r="C16" s="30">
        <v>4</v>
      </c>
      <c r="D16" s="30">
        <v>5</v>
      </c>
      <c r="E16" s="30">
        <v>0.8</v>
      </c>
      <c r="F16" s="30">
        <v>20</v>
      </c>
      <c r="G16" s="30">
        <v>17</v>
      </c>
      <c r="H16" s="30">
        <v>3</v>
      </c>
      <c r="I16" s="31" t="s">
        <v>93</v>
      </c>
      <c r="J16" s="30" t="s">
        <v>136</v>
      </c>
      <c r="K16" s="30" t="s">
        <v>115</v>
      </c>
      <c r="L16" s="5"/>
    </row>
    <row r="17" spans="1:12" ht="27.85" thickBot="1" x14ac:dyDescent="0.25">
      <c r="A17" s="30">
        <v>12</v>
      </c>
      <c r="B17" s="30" t="s">
        <v>14</v>
      </c>
      <c r="C17" s="30">
        <v>3</v>
      </c>
      <c r="D17" s="30">
        <v>4</v>
      </c>
      <c r="E17" s="30">
        <v>0.75</v>
      </c>
      <c r="F17" s="30">
        <v>19</v>
      </c>
      <c r="G17" s="30">
        <v>11</v>
      </c>
      <c r="H17" s="30">
        <v>8</v>
      </c>
      <c r="I17" s="31" t="s">
        <v>93</v>
      </c>
      <c r="J17" s="30" t="s">
        <v>98</v>
      </c>
      <c r="K17" s="30" t="s">
        <v>115</v>
      </c>
      <c r="L17" s="5"/>
    </row>
    <row r="18" spans="1:12" ht="27.85" thickBot="1" x14ac:dyDescent="0.25">
      <c r="A18" s="30">
        <v>13</v>
      </c>
      <c r="B18" s="30" t="s">
        <v>31</v>
      </c>
      <c r="C18" s="30">
        <v>3</v>
      </c>
      <c r="D18" s="30">
        <v>4</v>
      </c>
      <c r="E18" s="30">
        <v>0.75</v>
      </c>
      <c r="F18" s="30">
        <v>18</v>
      </c>
      <c r="G18" s="30">
        <v>10</v>
      </c>
      <c r="H18" s="30">
        <v>8</v>
      </c>
      <c r="I18" s="31" t="s">
        <v>93</v>
      </c>
      <c r="J18" s="30" t="s">
        <v>141</v>
      </c>
      <c r="K18" s="30" t="s">
        <v>115</v>
      </c>
      <c r="L18" s="5"/>
    </row>
    <row r="19" spans="1:12" ht="27.85" thickBot="1" x14ac:dyDescent="0.25">
      <c r="A19" s="30">
        <v>14</v>
      </c>
      <c r="B19" s="30" t="s">
        <v>16</v>
      </c>
      <c r="C19" s="30">
        <v>3</v>
      </c>
      <c r="D19" s="30">
        <v>5</v>
      </c>
      <c r="E19" s="30">
        <v>0.6</v>
      </c>
      <c r="F19" s="30">
        <v>20</v>
      </c>
      <c r="G19" s="30">
        <v>13</v>
      </c>
      <c r="H19" s="30">
        <v>7</v>
      </c>
      <c r="I19" s="31" t="s">
        <v>93</v>
      </c>
      <c r="J19" s="30" t="s">
        <v>99</v>
      </c>
      <c r="K19" s="30" t="s">
        <v>115</v>
      </c>
      <c r="L19" s="5"/>
    </row>
    <row r="20" spans="1:12" ht="27.85" thickBot="1" x14ac:dyDescent="0.25">
      <c r="A20" s="30">
        <v>15</v>
      </c>
      <c r="B20" s="30" t="s">
        <v>165</v>
      </c>
      <c r="C20" s="30">
        <v>3</v>
      </c>
      <c r="D20" s="30">
        <v>5</v>
      </c>
      <c r="E20" s="30">
        <v>0.6</v>
      </c>
      <c r="F20" s="30">
        <v>19</v>
      </c>
      <c r="G20" s="30">
        <v>17</v>
      </c>
      <c r="H20" s="30">
        <v>2</v>
      </c>
      <c r="I20" s="31" t="s">
        <v>93</v>
      </c>
      <c r="J20" s="30" t="s">
        <v>109</v>
      </c>
      <c r="K20" s="30" t="s">
        <v>115</v>
      </c>
      <c r="L20" s="5"/>
    </row>
    <row r="21" spans="1:12" ht="27.85" thickBot="1" x14ac:dyDescent="0.25">
      <c r="A21" s="30">
        <v>16</v>
      </c>
      <c r="B21" s="30" t="s">
        <v>101</v>
      </c>
      <c r="C21" s="30">
        <v>3</v>
      </c>
      <c r="D21" s="30">
        <v>5</v>
      </c>
      <c r="E21" s="30">
        <v>0.6</v>
      </c>
      <c r="F21" s="30">
        <v>19</v>
      </c>
      <c r="G21" s="30">
        <v>18</v>
      </c>
      <c r="H21" s="30">
        <v>1</v>
      </c>
      <c r="I21" s="31" t="s">
        <v>93</v>
      </c>
      <c r="J21" s="30" t="s">
        <v>94</v>
      </c>
      <c r="K21" s="30" t="s">
        <v>115</v>
      </c>
      <c r="L21" s="5"/>
    </row>
    <row r="22" spans="1:12" ht="27.85" thickBot="1" x14ac:dyDescent="0.25">
      <c r="A22" s="30">
        <v>17</v>
      </c>
      <c r="B22" s="30" t="s">
        <v>29</v>
      </c>
      <c r="C22" s="30">
        <v>3</v>
      </c>
      <c r="D22" s="30">
        <v>5</v>
      </c>
      <c r="E22" s="30">
        <v>0.6</v>
      </c>
      <c r="F22" s="30">
        <v>17</v>
      </c>
      <c r="G22" s="30">
        <v>16</v>
      </c>
      <c r="H22" s="30">
        <v>1</v>
      </c>
      <c r="I22" s="31" t="s">
        <v>93</v>
      </c>
      <c r="J22" s="30" t="s">
        <v>102</v>
      </c>
      <c r="K22" s="30" t="s">
        <v>115</v>
      </c>
      <c r="L22" s="5"/>
    </row>
    <row r="23" spans="1:12" ht="27.85" thickBot="1" x14ac:dyDescent="0.25">
      <c r="A23" s="30">
        <v>18</v>
      </c>
      <c r="B23" s="30" t="s">
        <v>18</v>
      </c>
      <c r="C23" s="30">
        <v>2</v>
      </c>
      <c r="D23" s="30">
        <v>4</v>
      </c>
      <c r="E23" s="30">
        <v>0.5</v>
      </c>
      <c r="F23" s="30">
        <v>12</v>
      </c>
      <c r="G23" s="30">
        <v>12</v>
      </c>
      <c r="H23" s="30">
        <v>0</v>
      </c>
      <c r="I23" s="31" t="s">
        <v>93</v>
      </c>
      <c r="J23" s="30" t="s">
        <v>100</v>
      </c>
      <c r="K23" s="30" t="s">
        <v>115</v>
      </c>
      <c r="L23" s="5"/>
    </row>
    <row r="24" spans="1:12" ht="27.85" thickBot="1" x14ac:dyDescent="0.25">
      <c r="A24" s="30">
        <v>19</v>
      </c>
      <c r="B24" s="30" t="s">
        <v>21</v>
      </c>
      <c r="C24" s="30">
        <v>2</v>
      </c>
      <c r="D24" s="30">
        <v>4</v>
      </c>
      <c r="E24" s="30">
        <v>0.5</v>
      </c>
      <c r="F24" s="30">
        <v>13</v>
      </c>
      <c r="G24" s="30">
        <v>15</v>
      </c>
      <c r="H24" s="30">
        <v>-2</v>
      </c>
      <c r="I24" s="31" t="s">
        <v>93</v>
      </c>
      <c r="J24" s="30" t="s">
        <v>94</v>
      </c>
      <c r="K24" s="30" t="s">
        <v>115</v>
      </c>
      <c r="L24" s="5"/>
    </row>
    <row r="25" spans="1:12" ht="27.85" thickBot="1" x14ac:dyDescent="0.25">
      <c r="A25" s="30">
        <v>20</v>
      </c>
      <c r="B25" s="30" t="s">
        <v>13</v>
      </c>
      <c r="C25" s="30">
        <v>2</v>
      </c>
      <c r="D25" s="30">
        <v>5</v>
      </c>
      <c r="E25" s="30">
        <v>0.4</v>
      </c>
      <c r="F25" s="30">
        <v>20</v>
      </c>
      <c r="G25" s="30">
        <v>20</v>
      </c>
      <c r="H25" s="30">
        <v>0</v>
      </c>
      <c r="I25" s="31" t="s">
        <v>93</v>
      </c>
      <c r="J25" s="30" t="s">
        <v>94</v>
      </c>
      <c r="K25" s="30" t="s">
        <v>115</v>
      </c>
      <c r="L25" s="5"/>
    </row>
    <row r="26" spans="1:12" ht="27.85" thickBot="1" x14ac:dyDescent="0.25">
      <c r="A26" s="30">
        <v>21</v>
      </c>
      <c r="B26" s="30" t="s">
        <v>143</v>
      </c>
      <c r="C26" s="30">
        <v>2</v>
      </c>
      <c r="D26" s="30">
        <v>5</v>
      </c>
      <c r="E26" s="30">
        <v>0.4</v>
      </c>
      <c r="F26" s="30">
        <v>17</v>
      </c>
      <c r="G26" s="30">
        <v>20</v>
      </c>
      <c r="H26" s="30">
        <v>-3</v>
      </c>
      <c r="I26" s="31" t="s">
        <v>93</v>
      </c>
      <c r="J26" s="30" t="s">
        <v>141</v>
      </c>
      <c r="K26" s="30" t="s">
        <v>115</v>
      </c>
      <c r="L26" s="5"/>
    </row>
    <row r="27" spans="1:12" ht="41.45" thickBot="1" x14ac:dyDescent="0.25">
      <c r="A27" s="30">
        <v>22</v>
      </c>
      <c r="B27" s="30" t="s">
        <v>38</v>
      </c>
      <c r="C27" s="30">
        <v>2</v>
      </c>
      <c r="D27" s="30">
        <v>5</v>
      </c>
      <c r="E27" s="30">
        <v>0.4</v>
      </c>
      <c r="F27" s="30">
        <v>16</v>
      </c>
      <c r="G27" s="30">
        <v>19</v>
      </c>
      <c r="H27" s="30">
        <v>-3</v>
      </c>
      <c r="I27" s="31" t="s">
        <v>93</v>
      </c>
      <c r="J27" s="30" t="s">
        <v>103</v>
      </c>
      <c r="K27" s="30" t="s">
        <v>115</v>
      </c>
      <c r="L27" s="5"/>
    </row>
    <row r="28" spans="1:12" ht="14.3" thickBot="1" x14ac:dyDescent="0.25">
      <c r="A28" s="30">
        <v>23</v>
      </c>
      <c r="B28" s="30" t="s">
        <v>40</v>
      </c>
      <c r="C28" s="30">
        <v>2</v>
      </c>
      <c r="D28" s="30">
        <v>5</v>
      </c>
      <c r="E28" s="30">
        <v>0.4</v>
      </c>
      <c r="F28" s="30">
        <v>14</v>
      </c>
      <c r="G28" s="30">
        <v>17</v>
      </c>
      <c r="H28" s="30">
        <v>-3</v>
      </c>
      <c r="I28" s="31" t="s">
        <v>93</v>
      </c>
      <c r="J28" s="30" t="s">
        <v>136</v>
      </c>
      <c r="K28" s="30" t="s">
        <v>115</v>
      </c>
      <c r="L28" s="5"/>
    </row>
    <row r="29" spans="1:12" ht="27.85" thickBot="1" x14ac:dyDescent="0.25">
      <c r="A29" s="30">
        <v>24</v>
      </c>
      <c r="B29" s="30" t="s">
        <v>166</v>
      </c>
      <c r="C29" s="30">
        <v>2</v>
      </c>
      <c r="D29" s="30">
        <v>5</v>
      </c>
      <c r="E29" s="30">
        <v>0.4</v>
      </c>
      <c r="F29" s="30">
        <v>15</v>
      </c>
      <c r="G29" s="30">
        <v>22</v>
      </c>
      <c r="H29" s="30">
        <v>-7</v>
      </c>
      <c r="I29" s="31" t="s">
        <v>93</v>
      </c>
      <c r="J29" s="30" t="s">
        <v>163</v>
      </c>
      <c r="K29" s="30" t="s">
        <v>115</v>
      </c>
      <c r="L29" s="5"/>
    </row>
    <row r="30" spans="1:12" ht="41.45" thickBot="1" x14ac:dyDescent="0.25">
      <c r="A30" s="30">
        <v>25</v>
      </c>
      <c r="B30" s="30" t="s">
        <v>20</v>
      </c>
      <c r="C30" s="30">
        <v>1</v>
      </c>
      <c r="D30" s="30">
        <v>5</v>
      </c>
      <c r="E30" s="30">
        <v>0.2</v>
      </c>
      <c r="F30" s="30">
        <v>15</v>
      </c>
      <c r="G30" s="30">
        <v>21</v>
      </c>
      <c r="H30" s="30">
        <v>-6</v>
      </c>
      <c r="I30" s="31" t="s">
        <v>93</v>
      </c>
      <c r="J30" s="30" t="s">
        <v>103</v>
      </c>
      <c r="K30" s="30" t="s">
        <v>115</v>
      </c>
      <c r="L30" s="5"/>
    </row>
    <row r="31" spans="1:12" ht="27.85" thickBot="1" x14ac:dyDescent="0.25">
      <c r="A31" s="30">
        <v>26</v>
      </c>
      <c r="B31" s="30" t="s">
        <v>34</v>
      </c>
      <c r="C31" s="30">
        <v>1</v>
      </c>
      <c r="D31" s="30">
        <v>5</v>
      </c>
      <c r="E31" s="30">
        <v>0.2</v>
      </c>
      <c r="F31" s="30">
        <v>14</v>
      </c>
      <c r="G31" s="30">
        <v>22</v>
      </c>
      <c r="H31" s="30">
        <v>-8</v>
      </c>
      <c r="I31" s="31" t="s">
        <v>93</v>
      </c>
      <c r="J31" s="30" t="s">
        <v>107</v>
      </c>
      <c r="K31" s="30" t="s">
        <v>115</v>
      </c>
      <c r="L31" s="5"/>
    </row>
    <row r="32" spans="1:12" ht="27.85" thickBot="1" x14ac:dyDescent="0.25">
      <c r="A32" s="30" t="s">
        <v>169</v>
      </c>
      <c r="B32" s="30" t="s">
        <v>43</v>
      </c>
      <c r="C32" s="30">
        <v>1</v>
      </c>
      <c r="D32" s="30">
        <v>5</v>
      </c>
      <c r="E32" s="30">
        <v>0.2</v>
      </c>
      <c r="F32" s="30">
        <v>13</v>
      </c>
      <c r="G32" s="30">
        <v>23</v>
      </c>
      <c r="H32" s="30">
        <v>-10</v>
      </c>
      <c r="I32" s="31" t="s">
        <v>93</v>
      </c>
      <c r="J32" s="30" t="s">
        <v>141</v>
      </c>
      <c r="K32" s="30" t="s">
        <v>115</v>
      </c>
      <c r="L32" s="5"/>
    </row>
    <row r="33" spans="1:12" ht="41.45" thickBot="1" x14ac:dyDescent="0.25">
      <c r="A33" s="30" t="s">
        <v>169</v>
      </c>
      <c r="B33" s="30" t="s">
        <v>105</v>
      </c>
      <c r="C33" s="30">
        <v>1</v>
      </c>
      <c r="D33" s="30">
        <v>5</v>
      </c>
      <c r="E33" s="30">
        <v>0.2</v>
      </c>
      <c r="F33" s="30">
        <v>13</v>
      </c>
      <c r="G33" s="30">
        <v>23</v>
      </c>
      <c r="H33" s="30">
        <v>-10</v>
      </c>
      <c r="I33" s="31" t="s">
        <v>93</v>
      </c>
      <c r="J33" s="30" t="s">
        <v>106</v>
      </c>
      <c r="K33" s="30" t="s">
        <v>115</v>
      </c>
      <c r="L33" s="5"/>
    </row>
    <row r="34" spans="1:12" ht="27.85" thickBot="1" x14ac:dyDescent="0.25">
      <c r="A34" s="30">
        <v>29</v>
      </c>
      <c r="B34" s="30" t="s">
        <v>37</v>
      </c>
      <c r="C34" s="30">
        <v>1</v>
      </c>
      <c r="D34" s="30">
        <v>5</v>
      </c>
      <c r="E34" s="30">
        <v>0.2</v>
      </c>
      <c r="F34" s="30">
        <v>8</v>
      </c>
      <c r="G34" s="30">
        <v>21</v>
      </c>
      <c r="H34" s="30">
        <v>-13</v>
      </c>
      <c r="I34" s="31" t="s">
        <v>93</v>
      </c>
      <c r="J34" s="30" t="s">
        <v>107</v>
      </c>
      <c r="K34" s="30" t="s">
        <v>115</v>
      </c>
      <c r="L34" s="5"/>
    </row>
    <row r="35" spans="1:12" ht="14.3" thickBot="1" x14ac:dyDescent="0.25">
      <c r="A35" s="30">
        <v>30</v>
      </c>
      <c r="B35" s="30" t="s">
        <v>32</v>
      </c>
      <c r="C35" s="30">
        <v>0</v>
      </c>
      <c r="D35" s="30">
        <v>4</v>
      </c>
      <c r="E35" s="30">
        <v>0</v>
      </c>
      <c r="F35" s="30">
        <v>6</v>
      </c>
      <c r="G35" s="30">
        <v>20</v>
      </c>
      <c r="H35" s="30">
        <v>-14</v>
      </c>
      <c r="I35" s="31" t="s">
        <v>93</v>
      </c>
      <c r="J35" s="30" t="s">
        <v>104</v>
      </c>
      <c r="K35" s="30" t="s">
        <v>115</v>
      </c>
      <c r="L35" s="5"/>
    </row>
    <row r="36" spans="1:12" ht="41.45" thickBot="1" x14ac:dyDescent="0.25">
      <c r="A36" s="30">
        <v>31</v>
      </c>
      <c r="B36" s="30" t="s">
        <v>149</v>
      </c>
      <c r="C36" s="30">
        <v>0</v>
      </c>
      <c r="D36" s="30">
        <v>5</v>
      </c>
      <c r="E36" s="30">
        <v>0</v>
      </c>
      <c r="F36" s="30">
        <v>9</v>
      </c>
      <c r="G36" s="30">
        <v>25</v>
      </c>
      <c r="H36" s="30">
        <v>-16</v>
      </c>
      <c r="I36" s="31" t="s">
        <v>93</v>
      </c>
      <c r="J36" s="30" t="s">
        <v>103</v>
      </c>
      <c r="K36" s="30" t="s">
        <v>115</v>
      </c>
      <c r="L36" s="5"/>
    </row>
    <row r="37" spans="1:12" ht="41.45" thickBot="1" x14ac:dyDescent="0.25">
      <c r="A37" s="30">
        <v>32</v>
      </c>
      <c r="B37" s="30" t="s">
        <v>65</v>
      </c>
      <c r="C37" s="30">
        <v>0</v>
      </c>
      <c r="D37" s="30">
        <v>5</v>
      </c>
      <c r="E37" s="30">
        <v>0</v>
      </c>
      <c r="F37" s="30">
        <v>8</v>
      </c>
      <c r="G37" s="30">
        <v>25</v>
      </c>
      <c r="H37" s="30">
        <v>-17</v>
      </c>
      <c r="I37" s="31" t="s">
        <v>93</v>
      </c>
      <c r="J37" s="30" t="s">
        <v>108</v>
      </c>
      <c r="K37" s="30" t="s">
        <v>115</v>
      </c>
      <c r="L37" s="5"/>
    </row>
    <row r="38" spans="1:12" ht="27.85" thickBot="1" x14ac:dyDescent="0.25">
      <c r="A38" s="30" t="s">
        <v>164</v>
      </c>
      <c r="B38" s="30" t="s">
        <v>74</v>
      </c>
      <c r="C38" s="30">
        <v>0</v>
      </c>
      <c r="D38" s="30">
        <v>5</v>
      </c>
      <c r="E38" s="30">
        <v>0</v>
      </c>
      <c r="F38" s="30">
        <v>6</v>
      </c>
      <c r="G38" s="30">
        <v>25</v>
      </c>
      <c r="H38" s="30">
        <v>-19</v>
      </c>
      <c r="I38" s="31" t="s">
        <v>93</v>
      </c>
      <c r="J38" s="30" t="s">
        <v>107</v>
      </c>
      <c r="K38" s="30" t="s">
        <v>115</v>
      </c>
      <c r="L38" s="5"/>
    </row>
    <row r="39" spans="1:12" ht="41.45" thickBot="1" x14ac:dyDescent="0.25">
      <c r="A39" s="30" t="s">
        <v>164</v>
      </c>
      <c r="B39" s="30" t="s">
        <v>47</v>
      </c>
      <c r="C39" s="30">
        <v>0</v>
      </c>
      <c r="D39" s="30">
        <v>5</v>
      </c>
      <c r="E39" s="30">
        <v>0</v>
      </c>
      <c r="F39" s="30">
        <v>6</v>
      </c>
      <c r="G39" s="30">
        <v>25</v>
      </c>
      <c r="H39" s="30">
        <v>-19</v>
      </c>
      <c r="I39" s="31" t="s">
        <v>93</v>
      </c>
      <c r="J39" s="30" t="s">
        <v>108</v>
      </c>
      <c r="K39" s="30" t="s">
        <v>115</v>
      </c>
      <c r="L39" s="5"/>
    </row>
    <row r="40" spans="1:12" ht="27.85" thickBot="1" x14ac:dyDescent="0.25">
      <c r="A40" s="30">
        <v>35</v>
      </c>
      <c r="B40" s="30" t="s">
        <v>70</v>
      </c>
      <c r="C40" s="30">
        <v>0</v>
      </c>
      <c r="D40" s="30">
        <v>5</v>
      </c>
      <c r="E40" s="30">
        <v>0</v>
      </c>
      <c r="F40" s="30">
        <v>3</v>
      </c>
      <c r="G40" s="30">
        <v>25</v>
      </c>
      <c r="H40" s="30">
        <v>-22</v>
      </c>
      <c r="I40" s="31" t="s">
        <v>93</v>
      </c>
      <c r="J40" s="30" t="s">
        <v>148</v>
      </c>
      <c r="K40" s="30" t="s">
        <v>115</v>
      </c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5"/>
      <c r="H44" s="6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" r:id="rId1" xr:uid="{22E964B9-520B-4DD2-B4EA-58776619DAA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3843-7AFC-464C-AFEC-1F360D824B76}">
  <sheetPr>
    <tabColor rgb="FF92D050"/>
  </sheetPr>
  <dimension ref="A2:L50"/>
  <sheetViews>
    <sheetView workbookViewId="0">
      <selection activeCell="B10" sqref="B10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1" t="s">
        <v>82</v>
      </c>
      <c r="B2" s="51"/>
      <c r="C2" s="52" t="s">
        <v>170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171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4.95" thickBot="1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3</v>
      </c>
      <c r="G5" s="7" t="s">
        <v>88</v>
      </c>
      <c r="H5" s="7" t="s">
        <v>4</v>
      </c>
      <c r="I5" s="7" t="s">
        <v>89</v>
      </c>
      <c r="J5" s="7" t="s">
        <v>90</v>
      </c>
      <c r="K5" s="7" t="s">
        <v>91</v>
      </c>
      <c r="L5" s="7" t="s">
        <v>92</v>
      </c>
    </row>
    <row r="6" spans="1:12" ht="29.25" thickBot="1" x14ac:dyDescent="0.25">
      <c r="A6" s="37">
        <v>1</v>
      </c>
      <c r="B6" s="37" t="s">
        <v>10</v>
      </c>
      <c r="C6" s="37">
        <v>5</v>
      </c>
      <c r="D6" s="37">
        <v>5</v>
      </c>
      <c r="E6" s="37">
        <v>1</v>
      </c>
      <c r="F6" s="37">
        <v>25</v>
      </c>
      <c r="G6" s="37">
        <v>8</v>
      </c>
      <c r="H6" s="37">
        <v>17</v>
      </c>
      <c r="I6" s="38" t="s">
        <v>93</v>
      </c>
      <c r="J6" s="37" t="s">
        <v>94</v>
      </c>
      <c r="K6" s="37"/>
      <c r="L6" s="37" t="s">
        <v>115</v>
      </c>
    </row>
    <row r="7" spans="1:12" ht="29.25" thickBot="1" x14ac:dyDescent="0.25">
      <c r="A7" s="37">
        <v>2</v>
      </c>
      <c r="B7" s="37" t="s">
        <v>11</v>
      </c>
      <c r="C7" s="37">
        <v>5</v>
      </c>
      <c r="D7" s="37">
        <v>5</v>
      </c>
      <c r="E7" s="37">
        <v>1</v>
      </c>
      <c r="F7" s="37">
        <v>25</v>
      </c>
      <c r="G7" s="37">
        <v>12</v>
      </c>
      <c r="H7" s="37">
        <v>13</v>
      </c>
      <c r="I7" s="38" t="s">
        <v>93</v>
      </c>
      <c r="J7" s="37" t="s">
        <v>174</v>
      </c>
      <c r="K7" s="37"/>
      <c r="L7" s="37" t="s">
        <v>115</v>
      </c>
    </row>
    <row r="8" spans="1:12" ht="29.25" thickBot="1" x14ac:dyDescent="0.25">
      <c r="A8" s="37">
        <v>3</v>
      </c>
      <c r="B8" s="37" t="s">
        <v>17</v>
      </c>
      <c r="C8" s="37">
        <v>4</v>
      </c>
      <c r="D8" s="37">
        <v>4</v>
      </c>
      <c r="E8" s="37">
        <v>1</v>
      </c>
      <c r="F8" s="37">
        <v>20</v>
      </c>
      <c r="G8" s="37">
        <v>11</v>
      </c>
      <c r="H8" s="37">
        <v>9</v>
      </c>
      <c r="I8" s="38" t="s">
        <v>93</v>
      </c>
      <c r="J8" s="37" t="s">
        <v>94</v>
      </c>
      <c r="K8" s="37"/>
      <c r="L8" s="37" t="s">
        <v>115</v>
      </c>
    </row>
    <row r="9" spans="1:12" ht="29.25" thickBot="1" x14ac:dyDescent="0.25">
      <c r="A9" s="37">
        <v>4</v>
      </c>
      <c r="B9" s="37" t="s">
        <v>31</v>
      </c>
      <c r="C9" s="37">
        <v>4</v>
      </c>
      <c r="D9" s="37">
        <v>5</v>
      </c>
      <c r="E9" s="37">
        <v>0.8</v>
      </c>
      <c r="F9" s="37">
        <v>24</v>
      </c>
      <c r="G9" s="37">
        <v>11</v>
      </c>
      <c r="H9" s="37">
        <v>13</v>
      </c>
      <c r="I9" s="38" t="s">
        <v>93</v>
      </c>
      <c r="J9" s="37" t="s">
        <v>141</v>
      </c>
      <c r="K9" s="37"/>
      <c r="L9" s="37" t="s">
        <v>115</v>
      </c>
    </row>
    <row r="10" spans="1:12" ht="29.25" thickBot="1" x14ac:dyDescent="0.25">
      <c r="A10" s="37">
        <v>5</v>
      </c>
      <c r="B10" s="37" t="s">
        <v>9</v>
      </c>
      <c r="C10" s="37">
        <v>4</v>
      </c>
      <c r="D10" s="37">
        <v>5</v>
      </c>
      <c r="E10" s="37">
        <v>0.8</v>
      </c>
      <c r="F10" s="37">
        <v>24</v>
      </c>
      <c r="G10" s="37">
        <v>13</v>
      </c>
      <c r="H10" s="37">
        <v>11</v>
      </c>
      <c r="I10" s="38" t="s">
        <v>93</v>
      </c>
      <c r="J10" s="37" t="s">
        <v>94</v>
      </c>
      <c r="K10" s="37"/>
      <c r="L10" s="37" t="s">
        <v>115</v>
      </c>
    </row>
    <row r="11" spans="1:12" ht="29.25" thickBot="1" x14ac:dyDescent="0.25">
      <c r="A11" s="37">
        <v>6</v>
      </c>
      <c r="B11" s="37" t="s">
        <v>35</v>
      </c>
      <c r="C11" s="37">
        <v>4</v>
      </c>
      <c r="D11" s="37">
        <v>5</v>
      </c>
      <c r="E11" s="37">
        <v>0.8</v>
      </c>
      <c r="F11" s="37">
        <v>22</v>
      </c>
      <c r="G11" s="37">
        <v>13</v>
      </c>
      <c r="H11" s="37">
        <v>9</v>
      </c>
      <c r="I11" s="38" t="s">
        <v>93</v>
      </c>
      <c r="J11" s="37" t="s">
        <v>141</v>
      </c>
      <c r="K11" s="37"/>
      <c r="L11" s="37" t="s">
        <v>115</v>
      </c>
    </row>
    <row r="12" spans="1:12" ht="29.25" thickBot="1" x14ac:dyDescent="0.25">
      <c r="A12" s="37">
        <v>7</v>
      </c>
      <c r="B12" s="37" t="s">
        <v>40</v>
      </c>
      <c r="C12" s="37">
        <v>4</v>
      </c>
      <c r="D12" s="37">
        <v>5</v>
      </c>
      <c r="E12" s="37">
        <v>0.8</v>
      </c>
      <c r="F12" s="37">
        <v>23</v>
      </c>
      <c r="G12" s="37">
        <v>16</v>
      </c>
      <c r="H12" s="37">
        <v>7</v>
      </c>
      <c r="I12" s="38" t="s">
        <v>93</v>
      </c>
      <c r="J12" s="37" t="s">
        <v>175</v>
      </c>
      <c r="K12" s="37"/>
      <c r="L12" s="37" t="s">
        <v>115</v>
      </c>
    </row>
    <row r="13" spans="1:12" ht="14.95" thickBot="1" x14ac:dyDescent="0.25">
      <c r="A13" s="37">
        <v>8</v>
      </c>
      <c r="B13" s="37" t="s">
        <v>18</v>
      </c>
      <c r="C13" s="37">
        <v>4</v>
      </c>
      <c r="D13" s="37">
        <v>5</v>
      </c>
      <c r="E13" s="37">
        <v>0.8</v>
      </c>
      <c r="F13" s="37">
        <v>22</v>
      </c>
      <c r="G13" s="37">
        <v>15</v>
      </c>
      <c r="H13" s="37">
        <v>7</v>
      </c>
      <c r="I13" s="38" t="s">
        <v>93</v>
      </c>
      <c r="J13" s="37" t="s">
        <v>176</v>
      </c>
      <c r="K13" s="37"/>
      <c r="L13" s="37" t="s">
        <v>115</v>
      </c>
    </row>
    <row r="14" spans="1:12" ht="29.25" thickBot="1" x14ac:dyDescent="0.25">
      <c r="A14" s="37">
        <v>9</v>
      </c>
      <c r="B14" s="37" t="s">
        <v>13</v>
      </c>
      <c r="C14" s="37">
        <v>3</v>
      </c>
      <c r="D14" s="37">
        <v>4</v>
      </c>
      <c r="E14" s="37">
        <v>0.75</v>
      </c>
      <c r="F14" s="37">
        <v>19</v>
      </c>
      <c r="G14" s="37">
        <v>11</v>
      </c>
      <c r="H14" s="37">
        <v>8</v>
      </c>
      <c r="I14" s="38" t="s">
        <v>93</v>
      </c>
      <c r="J14" s="37" t="s">
        <v>94</v>
      </c>
      <c r="K14" s="37"/>
      <c r="L14" s="37" t="s">
        <v>115</v>
      </c>
    </row>
    <row r="15" spans="1:12" ht="29.25" thickBot="1" x14ac:dyDescent="0.25">
      <c r="A15" s="37">
        <v>10</v>
      </c>
      <c r="B15" s="37" t="s">
        <v>45</v>
      </c>
      <c r="C15" s="37">
        <v>3</v>
      </c>
      <c r="D15" s="37">
        <v>5</v>
      </c>
      <c r="E15" s="37">
        <v>0.6</v>
      </c>
      <c r="F15" s="37">
        <v>21</v>
      </c>
      <c r="G15" s="37">
        <v>13</v>
      </c>
      <c r="H15" s="37">
        <v>8</v>
      </c>
      <c r="I15" s="38" t="s">
        <v>93</v>
      </c>
      <c r="J15" s="37" t="s">
        <v>177</v>
      </c>
      <c r="K15" s="37"/>
      <c r="L15" s="37" t="s">
        <v>178</v>
      </c>
    </row>
    <row r="16" spans="1:12" ht="29.25" thickBot="1" x14ac:dyDescent="0.25">
      <c r="A16" s="37">
        <v>11</v>
      </c>
      <c r="B16" s="37" t="s">
        <v>28</v>
      </c>
      <c r="C16" s="37">
        <v>3</v>
      </c>
      <c r="D16" s="37">
        <v>5</v>
      </c>
      <c r="E16" s="37">
        <v>0.6</v>
      </c>
      <c r="F16" s="37">
        <v>19</v>
      </c>
      <c r="G16" s="37">
        <v>17</v>
      </c>
      <c r="H16" s="37">
        <v>2</v>
      </c>
      <c r="I16" s="38" t="s">
        <v>93</v>
      </c>
      <c r="J16" s="37" t="s">
        <v>94</v>
      </c>
      <c r="K16" s="37"/>
      <c r="L16" s="37" t="s">
        <v>115</v>
      </c>
    </row>
    <row r="17" spans="1:12" ht="43.5" thickBot="1" x14ac:dyDescent="0.25">
      <c r="A17" s="37">
        <v>12</v>
      </c>
      <c r="B17" s="37" t="s">
        <v>22</v>
      </c>
      <c r="C17" s="37">
        <v>2</v>
      </c>
      <c r="D17" s="37">
        <v>4</v>
      </c>
      <c r="E17" s="37">
        <v>0.5</v>
      </c>
      <c r="F17" s="37">
        <v>13</v>
      </c>
      <c r="G17" s="37">
        <v>16</v>
      </c>
      <c r="H17" s="37">
        <v>-3</v>
      </c>
      <c r="I17" s="38" t="s">
        <v>93</v>
      </c>
      <c r="J17" s="37" t="s">
        <v>135</v>
      </c>
      <c r="K17" s="37"/>
      <c r="L17" s="37" t="s">
        <v>115</v>
      </c>
    </row>
    <row r="18" spans="1:12" ht="29.25" thickBot="1" x14ac:dyDescent="0.25">
      <c r="A18" s="37">
        <v>13</v>
      </c>
      <c r="B18" s="37" t="s">
        <v>41</v>
      </c>
      <c r="C18" s="37">
        <v>2</v>
      </c>
      <c r="D18" s="37">
        <v>5</v>
      </c>
      <c r="E18" s="37">
        <v>0.4</v>
      </c>
      <c r="F18" s="37">
        <v>21</v>
      </c>
      <c r="G18" s="37">
        <v>15</v>
      </c>
      <c r="H18" s="37">
        <v>6</v>
      </c>
      <c r="I18" s="38" t="s">
        <v>93</v>
      </c>
      <c r="J18" s="37" t="s">
        <v>179</v>
      </c>
      <c r="K18" s="37"/>
      <c r="L18" s="37" t="s">
        <v>115</v>
      </c>
    </row>
    <row r="19" spans="1:12" ht="29.25" thickBot="1" x14ac:dyDescent="0.25">
      <c r="A19" s="37">
        <v>14</v>
      </c>
      <c r="B19" s="37" t="s">
        <v>21</v>
      </c>
      <c r="C19" s="37">
        <v>2</v>
      </c>
      <c r="D19" s="37">
        <v>5</v>
      </c>
      <c r="E19" s="37">
        <v>0.4</v>
      </c>
      <c r="F19" s="37">
        <v>19</v>
      </c>
      <c r="G19" s="37">
        <v>18</v>
      </c>
      <c r="H19" s="37">
        <v>1</v>
      </c>
      <c r="I19" s="38" t="s">
        <v>93</v>
      </c>
      <c r="J19" s="37" t="s">
        <v>94</v>
      </c>
      <c r="K19" s="37"/>
      <c r="L19" s="37" t="s">
        <v>115</v>
      </c>
    </row>
    <row r="20" spans="1:12" ht="29.25" thickBot="1" x14ac:dyDescent="0.25">
      <c r="A20" s="37">
        <v>15</v>
      </c>
      <c r="B20" s="37" t="s">
        <v>29</v>
      </c>
      <c r="C20" s="37">
        <v>2</v>
      </c>
      <c r="D20" s="37">
        <v>5</v>
      </c>
      <c r="E20" s="37">
        <v>0.4</v>
      </c>
      <c r="F20" s="37">
        <v>16</v>
      </c>
      <c r="G20" s="37">
        <v>20</v>
      </c>
      <c r="H20" s="37">
        <v>-4</v>
      </c>
      <c r="I20" s="38" t="s">
        <v>93</v>
      </c>
      <c r="J20" s="37" t="s">
        <v>102</v>
      </c>
      <c r="K20" s="37"/>
      <c r="L20" s="37" t="s">
        <v>115</v>
      </c>
    </row>
    <row r="21" spans="1:12" ht="29.25" thickBot="1" x14ac:dyDescent="0.25">
      <c r="A21" s="37">
        <v>16</v>
      </c>
      <c r="B21" s="37" t="s">
        <v>25</v>
      </c>
      <c r="C21" s="37">
        <v>1</v>
      </c>
      <c r="D21" s="37">
        <v>4</v>
      </c>
      <c r="E21" s="37">
        <v>0.25</v>
      </c>
      <c r="F21" s="37">
        <v>17</v>
      </c>
      <c r="G21" s="37">
        <v>17</v>
      </c>
      <c r="H21" s="37">
        <v>0</v>
      </c>
      <c r="I21" s="38" t="s">
        <v>93</v>
      </c>
      <c r="J21" s="37" t="s">
        <v>141</v>
      </c>
      <c r="K21" s="37"/>
      <c r="L21" s="37" t="s">
        <v>115</v>
      </c>
    </row>
    <row r="22" spans="1:12" ht="29.25" thickBot="1" x14ac:dyDescent="0.25">
      <c r="A22" s="37">
        <v>17</v>
      </c>
      <c r="B22" s="37" t="s">
        <v>23</v>
      </c>
      <c r="C22" s="37">
        <v>1</v>
      </c>
      <c r="D22" s="37">
        <v>5</v>
      </c>
      <c r="E22" s="37">
        <v>0.2</v>
      </c>
      <c r="F22" s="37">
        <v>17</v>
      </c>
      <c r="G22" s="37">
        <v>20</v>
      </c>
      <c r="H22" s="37">
        <v>-3</v>
      </c>
      <c r="I22" s="38" t="s">
        <v>93</v>
      </c>
      <c r="J22" s="37" t="s">
        <v>175</v>
      </c>
      <c r="K22" s="37"/>
      <c r="L22" s="37" t="s">
        <v>115</v>
      </c>
    </row>
    <row r="23" spans="1:12" ht="14.95" thickBot="1" x14ac:dyDescent="0.25">
      <c r="A23" s="37">
        <v>18</v>
      </c>
      <c r="B23" s="37" t="s">
        <v>32</v>
      </c>
      <c r="C23" s="37">
        <v>1</v>
      </c>
      <c r="D23" s="37">
        <v>5</v>
      </c>
      <c r="E23" s="37">
        <v>0.2</v>
      </c>
      <c r="F23" s="37">
        <v>9</v>
      </c>
      <c r="G23" s="37">
        <v>22</v>
      </c>
      <c r="H23" s="37">
        <v>-13</v>
      </c>
      <c r="I23" s="38" t="s">
        <v>93</v>
      </c>
      <c r="J23" s="37" t="s">
        <v>180</v>
      </c>
      <c r="K23" s="37"/>
      <c r="L23" s="37" t="s">
        <v>115</v>
      </c>
    </row>
    <row r="24" spans="1:12" ht="14.95" thickBot="1" x14ac:dyDescent="0.25">
      <c r="A24" s="37">
        <v>19</v>
      </c>
      <c r="B24" s="37" t="s">
        <v>181</v>
      </c>
      <c r="C24" s="37">
        <v>1</v>
      </c>
      <c r="D24" s="37">
        <v>5</v>
      </c>
      <c r="E24" s="37">
        <v>0.2</v>
      </c>
      <c r="F24" s="37">
        <v>8</v>
      </c>
      <c r="G24" s="37">
        <v>22</v>
      </c>
      <c r="H24" s="37">
        <v>-14</v>
      </c>
      <c r="I24" s="38" t="s">
        <v>93</v>
      </c>
      <c r="J24" s="37"/>
      <c r="K24" s="37"/>
      <c r="L24" s="37" t="s">
        <v>115</v>
      </c>
    </row>
    <row r="25" spans="1:12" ht="29.25" thickBot="1" x14ac:dyDescent="0.25">
      <c r="A25" s="37">
        <v>20</v>
      </c>
      <c r="B25" s="37" t="s">
        <v>70</v>
      </c>
      <c r="C25" s="37">
        <v>0</v>
      </c>
      <c r="D25" s="37">
        <v>4</v>
      </c>
      <c r="E25" s="37">
        <v>0</v>
      </c>
      <c r="F25" s="37">
        <v>6</v>
      </c>
      <c r="G25" s="37">
        <v>20</v>
      </c>
      <c r="H25" s="37">
        <v>-14</v>
      </c>
      <c r="I25" s="38" t="s">
        <v>93</v>
      </c>
      <c r="J25" s="37" t="s">
        <v>182</v>
      </c>
      <c r="K25" s="37"/>
      <c r="L25" s="37" t="s">
        <v>115</v>
      </c>
    </row>
    <row r="26" spans="1:12" ht="14.95" thickBot="1" x14ac:dyDescent="0.25">
      <c r="A26" s="37">
        <v>21</v>
      </c>
      <c r="B26" s="37" t="s">
        <v>47</v>
      </c>
      <c r="C26" s="37">
        <v>0</v>
      </c>
      <c r="D26" s="37">
        <v>5</v>
      </c>
      <c r="E26" s="37">
        <v>0</v>
      </c>
      <c r="F26" s="37">
        <v>6</v>
      </c>
      <c r="G26" s="37">
        <v>25</v>
      </c>
      <c r="H26" s="37">
        <v>-19</v>
      </c>
      <c r="I26" s="38" t="s">
        <v>93</v>
      </c>
      <c r="J26" s="37" t="s">
        <v>183</v>
      </c>
      <c r="K26" s="37"/>
      <c r="L26" s="37" t="s">
        <v>115</v>
      </c>
    </row>
    <row r="27" spans="1:12" ht="29.25" thickBot="1" x14ac:dyDescent="0.25">
      <c r="A27" s="37">
        <v>22</v>
      </c>
      <c r="B27" s="37" t="s">
        <v>184</v>
      </c>
      <c r="C27" s="37">
        <v>0</v>
      </c>
      <c r="D27" s="37">
        <v>5</v>
      </c>
      <c r="E27" s="37">
        <v>0</v>
      </c>
      <c r="F27" s="37">
        <v>5</v>
      </c>
      <c r="G27" s="37">
        <v>25</v>
      </c>
      <c r="H27" s="37">
        <v>-20</v>
      </c>
      <c r="I27" s="38" t="s">
        <v>93</v>
      </c>
      <c r="J27" s="37" t="s">
        <v>175</v>
      </c>
      <c r="K27" s="37"/>
      <c r="L27" s="37" t="s">
        <v>115</v>
      </c>
    </row>
    <row r="28" spans="1:12" ht="29.25" thickBot="1" x14ac:dyDescent="0.25">
      <c r="A28" s="37">
        <v>23</v>
      </c>
      <c r="B28" s="37" t="s">
        <v>65</v>
      </c>
      <c r="C28" s="37">
        <v>0</v>
      </c>
      <c r="D28" s="37">
        <v>5</v>
      </c>
      <c r="E28" s="37">
        <v>0</v>
      </c>
      <c r="F28" s="37">
        <v>4</v>
      </c>
      <c r="G28" s="37">
        <v>25</v>
      </c>
      <c r="H28" s="37">
        <v>-21</v>
      </c>
      <c r="I28" s="38" t="s">
        <v>93</v>
      </c>
      <c r="J28" s="37" t="s">
        <v>126</v>
      </c>
      <c r="K28" s="37"/>
      <c r="L28" s="37" t="s">
        <v>115</v>
      </c>
    </row>
    <row r="29" spans="1:12" x14ac:dyDescent="0.2">
      <c r="A29" s="6"/>
      <c r="B29" s="6"/>
      <c r="C29" s="6"/>
      <c r="E29" s="6"/>
      <c r="F29" s="6"/>
      <c r="G29" s="5"/>
      <c r="H29" s="6"/>
      <c r="I29" s="5"/>
      <c r="J29" s="5"/>
      <c r="K29" s="5"/>
      <c r="L29" s="5"/>
    </row>
    <row r="30" spans="1:12" x14ac:dyDescent="0.2">
      <c r="A30" s="6"/>
      <c r="B30" s="6"/>
      <c r="C30" s="6"/>
      <c r="E30" s="6"/>
      <c r="F30" s="6"/>
      <c r="G30" s="5"/>
      <c r="H30" s="6"/>
      <c r="I30" s="5"/>
      <c r="J30" s="5"/>
      <c r="K30" s="5"/>
      <c r="L30" s="5"/>
    </row>
    <row r="31" spans="1:12" x14ac:dyDescent="0.2">
      <c r="A31" s="6"/>
      <c r="B31" s="6"/>
      <c r="C31" s="6"/>
      <c r="E31" s="6"/>
      <c r="F31" s="6"/>
      <c r="G31" s="5"/>
      <c r="H31" s="6"/>
      <c r="I31" s="5"/>
      <c r="J31" s="5"/>
      <c r="K31" s="5"/>
      <c r="L31" s="5"/>
    </row>
    <row r="32" spans="1:12" x14ac:dyDescent="0.2">
      <c r="A32" s="6"/>
      <c r="B32" s="6"/>
      <c r="C32" s="6"/>
      <c r="E32" s="6"/>
      <c r="F32" s="6"/>
      <c r="G32" s="5"/>
      <c r="H32" s="6"/>
      <c r="I32" s="5"/>
      <c r="J32" s="5"/>
      <c r="K32" s="5"/>
      <c r="L32" s="5"/>
    </row>
    <row r="33" spans="1:12" x14ac:dyDescent="0.2">
      <c r="A33" s="6"/>
      <c r="B33" s="6"/>
      <c r="C33" s="6"/>
      <c r="E33" s="6"/>
      <c r="F33" s="6"/>
      <c r="G33" s="5"/>
      <c r="H33" s="6"/>
      <c r="I33" s="5"/>
      <c r="J33" s="5"/>
      <c r="K33" s="5"/>
      <c r="L33" s="5"/>
    </row>
    <row r="34" spans="1:12" x14ac:dyDescent="0.2">
      <c r="A34" s="6"/>
      <c r="B34" s="6"/>
      <c r="C34" s="6"/>
      <c r="E34" s="6"/>
      <c r="F34" s="6"/>
      <c r="G34" s="5"/>
      <c r="H34" s="6"/>
      <c r="I34" s="5"/>
      <c r="J34" s="5"/>
      <c r="K34" s="5"/>
      <c r="L34" s="5"/>
    </row>
    <row r="35" spans="1:12" x14ac:dyDescent="0.2">
      <c r="A35" s="6"/>
      <c r="B35" s="6"/>
      <c r="C35" s="6"/>
      <c r="E35" s="6"/>
      <c r="F35" s="6"/>
      <c r="G35" s="5"/>
      <c r="H35" s="6"/>
      <c r="I35" s="5"/>
      <c r="J35" s="5"/>
      <c r="K35" s="5"/>
      <c r="L35" s="5"/>
    </row>
    <row r="36" spans="1:12" x14ac:dyDescent="0.2">
      <c r="A36" s="6"/>
      <c r="B36" s="6"/>
      <c r="C36" s="6"/>
      <c r="E36" s="6"/>
      <c r="F36" s="6"/>
      <c r="G36" s="5"/>
      <c r="H36" s="6"/>
      <c r="I36" s="5"/>
      <c r="J36" s="5"/>
      <c r="K36" s="5"/>
      <c r="L36" s="5"/>
    </row>
    <row r="37" spans="1:12" x14ac:dyDescent="0.2">
      <c r="A37" s="6"/>
      <c r="B37" s="6"/>
      <c r="C37" s="6"/>
      <c r="E37" s="6"/>
      <c r="F37" s="6"/>
      <c r="G37" s="5"/>
      <c r="H37" s="6"/>
      <c r="I37" s="5"/>
      <c r="J37" s="5"/>
      <c r="K37" s="5"/>
      <c r="L37" s="5"/>
    </row>
    <row r="38" spans="1:12" x14ac:dyDescent="0.2">
      <c r="A38" s="6"/>
      <c r="B38" s="6"/>
      <c r="C38" s="6"/>
      <c r="E38" s="6"/>
      <c r="F38" s="6"/>
      <c r="G38" s="5"/>
      <c r="H38" s="6"/>
      <c r="I38" s="5"/>
      <c r="J38" s="5"/>
      <c r="K38" s="5"/>
      <c r="L38" s="5"/>
    </row>
    <row r="39" spans="1:12" x14ac:dyDescent="0.2">
      <c r="A39" s="6"/>
      <c r="B39" s="6"/>
      <c r="C39" s="6"/>
      <c r="E39" s="6"/>
      <c r="F39" s="6"/>
      <c r="G39" s="5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5"/>
      <c r="H44" s="6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" r:id="rId1" xr:uid="{2201C636-56AC-4119-A79D-DC72FB047070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4AC9-3F74-4C17-8291-46D769A26AB6}">
  <sheetPr>
    <tabColor rgb="FF92D050"/>
  </sheetPr>
  <dimension ref="A2:L50"/>
  <sheetViews>
    <sheetView workbookViewId="0">
      <selection activeCell="B15" sqref="A15:B15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1" t="s">
        <v>82</v>
      </c>
      <c r="B2" s="51"/>
      <c r="C2" s="52" t="s">
        <v>170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172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4.95" thickBot="1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3</v>
      </c>
      <c r="G5" s="7" t="s">
        <v>88</v>
      </c>
      <c r="H5" s="7" t="s">
        <v>4</v>
      </c>
      <c r="I5" s="7" t="s">
        <v>89</v>
      </c>
      <c r="J5" s="7" t="s">
        <v>90</v>
      </c>
      <c r="K5" s="7" t="s">
        <v>91</v>
      </c>
      <c r="L5" s="7" t="s">
        <v>92</v>
      </c>
    </row>
    <row r="6" spans="1:12" ht="29.25" thickBot="1" x14ac:dyDescent="0.25">
      <c r="A6" s="37">
        <v>1</v>
      </c>
      <c r="B6" s="37" t="s">
        <v>11</v>
      </c>
      <c r="C6" s="37">
        <v>5</v>
      </c>
      <c r="D6" s="37">
        <v>5</v>
      </c>
      <c r="E6" s="37">
        <v>1</v>
      </c>
      <c r="F6" s="37">
        <v>25</v>
      </c>
      <c r="G6" s="37">
        <v>5</v>
      </c>
      <c r="H6" s="37">
        <v>20</v>
      </c>
      <c r="I6" s="38" t="s">
        <v>185</v>
      </c>
      <c r="J6" s="37" t="s">
        <v>174</v>
      </c>
      <c r="K6" s="37"/>
      <c r="L6" s="37" t="s">
        <v>115</v>
      </c>
    </row>
    <row r="7" spans="1:12" ht="29.25" thickBot="1" x14ac:dyDescent="0.25">
      <c r="A7" s="37">
        <v>2</v>
      </c>
      <c r="B7" s="37" t="s">
        <v>35</v>
      </c>
      <c r="C7" s="37">
        <v>5</v>
      </c>
      <c r="D7" s="37">
        <v>5</v>
      </c>
      <c r="E7" s="37">
        <v>1</v>
      </c>
      <c r="F7" s="37">
        <v>25</v>
      </c>
      <c r="G7" s="37">
        <v>7</v>
      </c>
      <c r="H7" s="37">
        <v>18</v>
      </c>
      <c r="I7" s="38" t="s">
        <v>185</v>
      </c>
      <c r="J7" s="37" t="s">
        <v>141</v>
      </c>
      <c r="K7" s="37"/>
      <c r="L7" s="37" t="s">
        <v>115</v>
      </c>
    </row>
    <row r="8" spans="1:12" ht="29.25" thickBot="1" x14ac:dyDescent="0.25">
      <c r="A8" s="37">
        <v>3</v>
      </c>
      <c r="B8" s="37" t="s">
        <v>9</v>
      </c>
      <c r="C8" s="37">
        <v>4</v>
      </c>
      <c r="D8" s="37">
        <v>4</v>
      </c>
      <c r="E8" s="37">
        <v>1</v>
      </c>
      <c r="F8" s="37">
        <v>20</v>
      </c>
      <c r="G8" s="37">
        <v>4</v>
      </c>
      <c r="H8" s="37">
        <v>16</v>
      </c>
      <c r="I8" s="38" t="s">
        <v>185</v>
      </c>
      <c r="J8" s="37" t="s">
        <v>94</v>
      </c>
      <c r="K8" s="37"/>
      <c r="L8" s="37" t="s">
        <v>115</v>
      </c>
    </row>
    <row r="9" spans="1:12" ht="29.25" thickBot="1" x14ac:dyDescent="0.25">
      <c r="A9" s="37">
        <v>4</v>
      </c>
      <c r="B9" s="37" t="s">
        <v>23</v>
      </c>
      <c r="C9" s="37">
        <v>4</v>
      </c>
      <c r="D9" s="37">
        <v>5</v>
      </c>
      <c r="E9" s="37">
        <v>0.8</v>
      </c>
      <c r="F9" s="37">
        <v>22</v>
      </c>
      <c r="G9" s="37">
        <v>9</v>
      </c>
      <c r="H9" s="37">
        <v>13</v>
      </c>
      <c r="I9" s="38" t="s">
        <v>185</v>
      </c>
      <c r="J9" s="37" t="s">
        <v>175</v>
      </c>
      <c r="K9" s="37"/>
      <c r="L9" s="37" t="s">
        <v>115</v>
      </c>
    </row>
    <row r="10" spans="1:12" ht="29.25" thickBot="1" x14ac:dyDescent="0.25">
      <c r="A10" s="37">
        <v>5</v>
      </c>
      <c r="B10" s="37" t="s">
        <v>28</v>
      </c>
      <c r="C10" s="37">
        <v>4</v>
      </c>
      <c r="D10" s="37">
        <v>5</v>
      </c>
      <c r="E10" s="37">
        <v>0.8</v>
      </c>
      <c r="F10" s="37">
        <v>21</v>
      </c>
      <c r="G10" s="37">
        <v>10</v>
      </c>
      <c r="H10" s="37">
        <v>11</v>
      </c>
      <c r="I10" s="38" t="s">
        <v>185</v>
      </c>
      <c r="J10" s="37" t="s">
        <v>94</v>
      </c>
      <c r="K10" s="37"/>
      <c r="L10" s="37" t="s">
        <v>115</v>
      </c>
    </row>
    <row r="11" spans="1:12" ht="29.25" thickBot="1" x14ac:dyDescent="0.25">
      <c r="A11" s="37">
        <v>6</v>
      </c>
      <c r="B11" s="37" t="s">
        <v>18</v>
      </c>
      <c r="C11" s="37">
        <v>4</v>
      </c>
      <c r="D11" s="37">
        <v>5</v>
      </c>
      <c r="E11" s="37">
        <v>0.8</v>
      </c>
      <c r="F11" s="37">
        <v>24</v>
      </c>
      <c r="G11" s="37">
        <v>14</v>
      </c>
      <c r="H11" s="37">
        <v>10</v>
      </c>
      <c r="I11" s="38" t="s">
        <v>185</v>
      </c>
      <c r="J11" s="37" t="s">
        <v>176</v>
      </c>
      <c r="K11" s="37"/>
      <c r="L11" s="37" t="s">
        <v>115</v>
      </c>
    </row>
    <row r="12" spans="1:12" ht="29.25" thickBot="1" x14ac:dyDescent="0.25">
      <c r="A12" s="37">
        <v>7</v>
      </c>
      <c r="B12" s="37" t="s">
        <v>45</v>
      </c>
      <c r="C12" s="37">
        <v>4</v>
      </c>
      <c r="D12" s="37">
        <v>5</v>
      </c>
      <c r="E12" s="37">
        <v>0.8</v>
      </c>
      <c r="F12" s="37">
        <v>21</v>
      </c>
      <c r="G12" s="37">
        <v>14</v>
      </c>
      <c r="H12" s="37">
        <v>7</v>
      </c>
      <c r="I12" s="38" t="s">
        <v>185</v>
      </c>
      <c r="J12" s="37" t="s">
        <v>177</v>
      </c>
      <c r="K12" s="37"/>
      <c r="L12" s="37" t="s">
        <v>178</v>
      </c>
    </row>
    <row r="13" spans="1:12" ht="29.25" thickBot="1" x14ac:dyDescent="0.25">
      <c r="A13" s="37">
        <v>8</v>
      </c>
      <c r="B13" s="37" t="s">
        <v>10</v>
      </c>
      <c r="C13" s="37">
        <v>4</v>
      </c>
      <c r="D13" s="37">
        <v>5</v>
      </c>
      <c r="E13" s="37">
        <v>0.8</v>
      </c>
      <c r="F13" s="37">
        <v>21</v>
      </c>
      <c r="G13" s="37">
        <v>15</v>
      </c>
      <c r="H13" s="37">
        <v>6</v>
      </c>
      <c r="I13" s="38" t="s">
        <v>185</v>
      </c>
      <c r="J13" s="37" t="s">
        <v>94</v>
      </c>
      <c r="K13" s="37"/>
      <c r="L13" s="37" t="s">
        <v>115</v>
      </c>
    </row>
    <row r="14" spans="1:12" ht="29.25" thickBot="1" x14ac:dyDescent="0.25">
      <c r="A14" s="37">
        <v>9</v>
      </c>
      <c r="B14" s="37" t="s">
        <v>31</v>
      </c>
      <c r="C14" s="37">
        <v>3</v>
      </c>
      <c r="D14" s="37">
        <v>4</v>
      </c>
      <c r="E14" s="37">
        <v>0.75</v>
      </c>
      <c r="F14" s="37">
        <v>18</v>
      </c>
      <c r="G14" s="37">
        <v>9</v>
      </c>
      <c r="H14" s="37">
        <v>9</v>
      </c>
      <c r="I14" s="38" t="s">
        <v>185</v>
      </c>
      <c r="J14" s="37" t="s">
        <v>141</v>
      </c>
      <c r="K14" s="37"/>
      <c r="L14" s="37" t="s">
        <v>115</v>
      </c>
    </row>
    <row r="15" spans="1:12" ht="29.25" thickBot="1" x14ac:dyDescent="0.25">
      <c r="A15" s="37">
        <v>10</v>
      </c>
      <c r="B15" s="37" t="s">
        <v>17</v>
      </c>
      <c r="C15" s="37">
        <v>3</v>
      </c>
      <c r="D15" s="37">
        <v>5</v>
      </c>
      <c r="E15" s="37">
        <v>0.6</v>
      </c>
      <c r="F15" s="37">
        <v>21</v>
      </c>
      <c r="G15" s="37">
        <v>17</v>
      </c>
      <c r="H15" s="37">
        <v>4</v>
      </c>
      <c r="I15" s="38" t="s">
        <v>185</v>
      </c>
      <c r="J15" s="37" t="s">
        <v>94</v>
      </c>
      <c r="K15" s="37"/>
      <c r="L15" s="37" t="s">
        <v>115</v>
      </c>
    </row>
    <row r="16" spans="1:12" ht="29.25" thickBot="1" x14ac:dyDescent="0.25">
      <c r="A16" s="37">
        <v>11</v>
      </c>
      <c r="B16" s="37" t="s">
        <v>40</v>
      </c>
      <c r="C16" s="37">
        <v>3</v>
      </c>
      <c r="D16" s="37">
        <v>5</v>
      </c>
      <c r="E16" s="37">
        <v>0.6</v>
      </c>
      <c r="F16" s="37">
        <v>19</v>
      </c>
      <c r="G16" s="37">
        <v>16</v>
      </c>
      <c r="H16" s="37">
        <v>3</v>
      </c>
      <c r="I16" s="38" t="s">
        <v>185</v>
      </c>
      <c r="J16" s="37" t="s">
        <v>175</v>
      </c>
      <c r="K16" s="37"/>
      <c r="L16" s="37" t="s">
        <v>115</v>
      </c>
    </row>
    <row r="17" spans="1:12" ht="29.25" thickBot="1" x14ac:dyDescent="0.25">
      <c r="A17" s="37">
        <v>12</v>
      </c>
      <c r="B17" s="37" t="s">
        <v>41</v>
      </c>
      <c r="C17" s="37">
        <v>2</v>
      </c>
      <c r="D17" s="37">
        <v>4</v>
      </c>
      <c r="E17" s="37">
        <v>0.5</v>
      </c>
      <c r="F17" s="37">
        <v>13</v>
      </c>
      <c r="G17" s="37">
        <v>15</v>
      </c>
      <c r="H17" s="37">
        <v>-2</v>
      </c>
      <c r="I17" s="38" t="s">
        <v>185</v>
      </c>
      <c r="J17" s="37" t="s">
        <v>179</v>
      </c>
      <c r="K17" s="37"/>
      <c r="L17" s="37" t="s">
        <v>115</v>
      </c>
    </row>
    <row r="18" spans="1:12" ht="29.25" thickBot="1" x14ac:dyDescent="0.25">
      <c r="A18" s="37">
        <v>13</v>
      </c>
      <c r="B18" s="37" t="s">
        <v>13</v>
      </c>
      <c r="C18" s="37">
        <v>2</v>
      </c>
      <c r="D18" s="37">
        <v>5</v>
      </c>
      <c r="E18" s="37">
        <v>0.4</v>
      </c>
      <c r="F18" s="37">
        <v>18</v>
      </c>
      <c r="G18" s="37">
        <v>17</v>
      </c>
      <c r="H18" s="37">
        <v>1</v>
      </c>
      <c r="I18" s="38" t="s">
        <v>185</v>
      </c>
      <c r="J18" s="37" t="s">
        <v>94</v>
      </c>
      <c r="K18" s="37"/>
      <c r="L18" s="37" t="s">
        <v>115</v>
      </c>
    </row>
    <row r="19" spans="1:12" ht="29.25" thickBot="1" x14ac:dyDescent="0.25">
      <c r="A19" s="37">
        <v>14</v>
      </c>
      <c r="B19" s="37" t="s">
        <v>21</v>
      </c>
      <c r="C19" s="37">
        <v>2</v>
      </c>
      <c r="D19" s="37">
        <v>5</v>
      </c>
      <c r="E19" s="37">
        <v>0.4</v>
      </c>
      <c r="F19" s="37">
        <v>18</v>
      </c>
      <c r="G19" s="37">
        <v>18</v>
      </c>
      <c r="H19" s="37">
        <v>0</v>
      </c>
      <c r="I19" s="38" t="s">
        <v>185</v>
      </c>
      <c r="J19" s="37" t="s">
        <v>94</v>
      </c>
      <c r="K19" s="37"/>
      <c r="L19" s="37" t="s">
        <v>115</v>
      </c>
    </row>
    <row r="20" spans="1:12" ht="29.25" thickBot="1" x14ac:dyDescent="0.25">
      <c r="A20" s="37">
        <v>15</v>
      </c>
      <c r="B20" s="37" t="s">
        <v>181</v>
      </c>
      <c r="C20" s="37">
        <v>2</v>
      </c>
      <c r="D20" s="37">
        <v>5</v>
      </c>
      <c r="E20" s="37">
        <v>0.4</v>
      </c>
      <c r="F20" s="37">
        <v>14</v>
      </c>
      <c r="G20" s="37">
        <v>20</v>
      </c>
      <c r="H20" s="37">
        <v>-6</v>
      </c>
      <c r="I20" s="38" t="s">
        <v>185</v>
      </c>
      <c r="J20" s="37"/>
      <c r="K20" s="37"/>
      <c r="L20" s="37" t="s">
        <v>115</v>
      </c>
    </row>
    <row r="21" spans="1:12" ht="43.5" thickBot="1" x14ac:dyDescent="0.25">
      <c r="A21" s="37">
        <v>16</v>
      </c>
      <c r="B21" s="37" t="s">
        <v>22</v>
      </c>
      <c r="C21" s="37">
        <v>1</v>
      </c>
      <c r="D21" s="37">
        <v>4</v>
      </c>
      <c r="E21" s="37">
        <v>0.25</v>
      </c>
      <c r="F21" s="37">
        <v>10</v>
      </c>
      <c r="G21" s="37">
        <v>16</v>
      </c>
      <c r="H21" s="37">
        <v>-6</v>
      </c>
      <c r="I21" s="38" t="s">
        <v>185</v>
      </c>
      <c r="J21" s="37" t="s">
        <v>135</v>
      </c>
      <c r="K21" s="37"/>
      <c r="L21" s="37" t="s">
        <v>115</v>
      </c>
    </row>
    <row r="22" spans="1:12" ht="29.25" thickBot="1" x14ac:dyDescent="0.25">
      <c r="A22" s="37">
        <v>17</v>
      </c>
      <c r="B22" s="37" t="s">
        <v>25</v>
      </c>
      <c r="C22" s="37">
        <v>1</v>
      </c>
      <c r="D22" s="37">
        <v>5</v>
      </c>
      <c r="E22" s="37">
        <v>0.2</v>
      </c>
      <c r="F22" s="37">
        <v>10</v>
      </c>
      <c r="G22" s="37">
        <v>21</v>
      </c>
      <c r="H22" s="37">
        <v>-11</v>
      </c>
      <c r="I22" s="38" t="s">
        <v>185</v>
      </c>
      <c r="J22" s="37" t="s">
        <v>141</v>
      </c>
      <c r="K22" s="37"/>
      <c r="L22" s="37" t="s">
        <v>115</v>
      </c>
    </row>
    <row r="23" spans="1:12" ht="29.25" thickBot="1" x14ac:dyDescent="0.25">
      <c r="A23" s="37">
        <v>18</v>
      </c>
      <c r="B23" s="37" t="s">
        <v>29</v>
      </c>
      <c r="C23" s="37">
        <v>1</v>
      </c>
      <c r="D23" s="37">
        <v>5</v>
      </c>
      <c r="E23" s="37">
        <v>0.2</v>
      </c>
      <c r="F23" s="37">
        <v>11</v>
      </c>
      <c r="G23" s="37">
        <v>23</v>
      </c>
      <c r="H23" s="37">
        <v>-12</v>
      </c>
      <c r="I23" s="38" t="s">
        <v>185</v>
      </c>
      <c r="J23" s="37" t="s">
        <v>102</v>
      </c>
      <c r="K23" s="37"/>
      <c r="L23" s="37" t="s">
        <v>115</v>
      </c>
    </row>
    <row r="24" spans="1:12" ht="29.25" thickBot="1" x14ac:dyDescent="0.25">
      <c r="A24" s="37">
        <v>19</v>
      </c>
      <c r="B24" s="37" t="s">
        <v>32</v>
      </c>
      <c r="C24" s="37">
        <v>1</v>
      </c>
      <c r="D24" s="37">
        <v>5</v>
      </c>
      <c r="E24" s="37">
        <v>0.2</v>
      </c>
      <c r="F24" s="37">
        <v>10</v>
      </c>
      <c r="G24" s="37">
        <v>23</v>
      </c>
      <c r="H24" s="37">
        <v>-13</v>
      </c>
      <c r="I24" s="38" t="s">
        <v>185</v>
      </c>
      <c r="J24" s="37" t="s">
        <v>180</v>
      </c>
      <c r="K24" s="37"/>
      <c r="L24" s="37" t="s">
        <v>115</v>
      </c>
    </row>
    <row r="25" spans="1:12" ht="29.25" thickBot="1" x14ac:dyDescent="0.25">
      <c r="A25" s="37">
        <v>20</v>
      </c>
      <c r="B25" s="37" t="s">
        <v>184</v>
      </c>
      <c r="C25" s="37">
        <v>0</v>
      </c>
      <c r="D25" s="37">
        <v>5</v>
      </c>
      <c r="E25" s="37">
        <v>0</v>
      </c>
      <c r="F25" s="37">
        <v>10</v>
      </c>
      <c r="G25" s="37">
        <v>25</v>
      </c>
      <c r="H25" s="37">
        <v>-15</v>
      </c>
      <c r="I25" s="38" t="s">
        <v>185</v>
      </c>
      <c r="J25" s="37" t="s">
        <v>175</v>
      </c>
      <c r="K25" s="37"/>
      <c r="L25" s="37" t="s">
        <v>115</v>
      </c>
    </row>
    <row r="26" spans="1:12" ht="29.25" thickBot="1" x14ac:dyDescent="0.25">
      <c r="A26" s="37">
        <v>21</v>
      </c>
      <c r="B26" s="37" t="s">
        <v>65</v>
      </c>
      <c r="C26" s="37">
        <v>0</v>
      </c>
      <c r="D26" s="37">
        <v>5</v>
      </c>
      <c r="E26" s="37">
        <v>0</v>
      </c>
      <c r="F26" s="37">
        <v>8</v>
      </c>
      <c r="G26" s="37">
        <v>25</v>
      </c>
      <c r="H26" s="37">
        <v>-17</v>
      </c>
      <c r="I26" s="38" t="s">
        <v>185</v>
      </c>
      <c r="J26" s="37" t="s">
        <v>126</v>
      </c>
      <c r="K26" s="37"/>
      <c r="L26" s="37" t="s">
        <v>115</v>
      </c>
    </row>
    <row r="27" spans="1:12" ht="29.25" thickBot="1" x14ac:dyDescent="0.25">
      <c r="A27" s="37">
        <v>22</v>
      </c>
      <c r="B27" s="37" t="s">
        <v>70</v>
      </c>
      <c r="C27" s="37">
        <v>0</v>
      </c>
      <c r="D27" s="37">
        <v>4</v>
      </c>
      <c r="E27" s="37">
        <v>0</v>
      </c>
      <c r="F27" s="37">
        <v>3</v>
      </c>
      <c r="G27" s="37">
        <v>20</v>
      </c>
      <c r="H27" s="37">
        <v>-17</v>
      </c>
      <c r="I27" s="38" t="s">
        <v>185</v>
      </c>
      <c r="J27" s="37" t="s">
        <v>182</v>
      </c>
      <c r="K27" s="37"/>
      <c r="L27" s="37" t="s">
        <v>115</v>
      </c>
    </row>
    <row r="28" spans="1:12" ht="29.25" thickBot="1" x14ac:dyDescent="0.25">
      <c r="A28" s="37">
        <v>23</v>
      </c>
      <c r="B28" s="37" t="s">
        <v>47</v>
      </c>
      <c r="C28" s="37">
        <v>0</v>
      </c>
      <c r="D28" s="37">
        <v>5</v>
      </c>
      <c r="E28" s="37">
        <v>0</v>
      </c>
      <c r="F28" s="37">
        <v>6</v>
      </c>
      <c r="G28" s="37">
        <v>25</v>
      </c>
      <c r="H28" s="37">
        <v>-19</v>
      </c>
      <c r="I28" s="38" t="s">
        <v>185</v>
      </c>
      <c r="J28" s="37" t="s">
        <v>183</v>
      </c>
      <c r="K28" s="37"/>
      <c r="L28" s="37" t="s">
        <v>115</v>
      </c>
    </row>
    <row r="29" spans="1:12" x14ac:dyDescent="0.2">
      <c r="A29" s="6"/>
      <c r="B29" s="6"/>
      <c r="C29" s="6"/>
      <c r="E29" s="6"/>
      <c r="F29" s="6"/>
      <c r="G29" s="5"/>
      <c r="H29" s="6"/>
      <c r="I29" s="5"/>
      <c r="J29" s="5"/>
      <c r="K29" s="5"/>
      <c r="L29" s="5"/>
    </row>
    <row r="30" spans="1:12" x14ac:dyDescent="0.2">
      <c r="A30" s="6"/>
      <c r="B30" s="6"/>
      <c r="C30" s="6"/>
      <c r="E30" s="6"/>
      <c r="F30" s="6"/>
      <c r="G30" s="5"/>
      <c r="H30" s="6"/>
      <c r="I30" s="5"/>
      <c r="J30" s="5"/>
      <c r="K30" s="5"/>
      <c r="L30" s="5"/>
    </row>
    <row r="31" spans="1:12" x14ac:dyDescent="0.2">
      <c r="A31" s="6"/>
      <c r="B31" s="6"/>
      <c r="C31" s="6"/>
      <c r="E31" s="6"/>
      <c r="F31" s="6"/>
      <c r="G31" s="5"/>
      <c r="H31" s="6"/>
      <c r="I31" s="5"/>
      <c r="J31" s="5"/>
      <c r="K31" s="5"/>
      <c r="L31" s="5"/>
    </row>
    <row r="32" spans="1:12" x14ac:dyDescent="0.2">
      <c r="A32" s="6"/>
      <c r="B32" s="6"/>
      <c r="C32" s="6"/>
      <c r="E32" s="6"/>
      <c r="F32" s="6"/>
      <c r="G32" s="5"/>
      <c r="H32" s="6"/>
      <c r="I32" s="5"/>
      <c r="J32" s="5"/>
      <c r="K32" s="5"/>
      <c r="L32" s="5"/>
    </row>
    <row r="33" spans="1:12" x14ac:dyDescent="0.2">
      <c r="A33" s="6"/>
      <c r="B33" s="6"/>
      <c r="C33" s="6"/>
      <c r="E33" s="6"/>
      <c r="F33" s="6"/>
      <c r="G33" s="5"/>
      <c r="H33" s="6"/>
      <c r="I33" s="5"/>
      <c r="J33" s="5"/>
      <c r="K33" s="5"/>
      <c r="L33" s="5"/>
    </row>
    <row r="34" spans="1:12" x14ac:dyDescent="0.2">
      <c r="A34" s="6"/>
      <c r="B34" s="6"/>
      <c r="C34" s="6"/>
      <c r="E34" s="6"/>
      <c r="F34" s="6"/>
      <c r="G34" s="5"/>
      <c r="H34" s="6"/>
      <c r="I34" s="5"/>
      <c r="J34" s="5"/>
      <c r="K34" s="5"/>
      <c r="L34" s="5"/>
    </row>
    <row r="35" spans="1:12" x14ac:dyDescent="0.2">
      <c r="A35" s="6"/>
      <c r="B35" s="6"/>
      <c r="C35" s="6"/>
      <c r="E35" s="6"/>
      <c r="F35" s="6"/>
      <c r="G35" s="5"/>
      <c r="H35" s="6"/>
      <c r="I35" s="5"/>
      <c r="J35" s="5"/>
      <c r="K35" s="5"/>
      <c r="L35" s="5"/>
    </row>
    <row r="36" spans="1:12" x14ac:dyDescent="0.2">
      <c r="A36" s="6"/>
      <c r="B36" s="6"/>
      <c r="C36" s="6"/>
      <c r="E36" s="6"/>
      <c r="F36" s="6"/>
      <c r="G36" s="5"/>
      <c r="H36" s="6"/>
      <c r="I36" s="5"/>
      <c r="J36" s="5"/>
      <c r="K36" s="5"/>
      <c r="L36" s="5"/>
    </row>
    <row r="37" spans="1:12" x14ac:dyDescent="0.2">
      <c r="A37" s="6"/>
      <c r="B37" s="6"/>
      <c r="C37" s="6"/>
      <c r="E37" s="6"/>
      <c r="F37" s="6"/>
      <c r="G37" s="5"/>
      <c r="H37" s="6"/>
      <c r="I37" s="5"/>
      <c r="J37" s="5"/>
      <c r="K37" s="5"/>
      <c r="L37" s="5"/>
    </row>
    <row r="38" spans="1:12" x14ac:dyDescent="0.2">
      <c r="A38" s="6"/>
      <c r="B38" s="6"/>
      <c r="C38" s="6"/>
      <c r="E38" s="6"/>
      <c r="F38" s="6"/>
      <c r="G38" s="5"/>
      <c r="H38" s="6"/>
      <c r="I38" s="5"/>
      <c r="J38" s="5"/>
      <c r="K38" s="5"/>
      <c r="L38" s="5"/>
    </row>
    <row r="39" spans="1:12" x14ac:dyDescent="0.2">
      <c r="A39" s="6"/>
      <c r="B39" s="6"/>
      <c r="C39" s="6"/>
      <c r="E39" s="6"/>
      <c r="F39" s="6"/>
      <c r="G39" s="5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5"/>
      <c r="H44" s="6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" r:id="rId1" xr:uid="{0788D1A7-D218-4072-89F6-5B40B0631CE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0FBC29-CCB3-4293-BE02-AFD607807A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All</vt:lpstr>
      <vt:lpstr>MP (1)</vt:lpstr>
      <vt:lpstr>MP (2)</vt:lpstr>
      <vt:lpstr>PP1 (1)</vt:lpstr>
      <vt:lpstr>PP1 (2)</vt:lpstr>
      <vt:lpstr>PP2 (1)</vt:lpstr>
      <vt:lpstr>PP2 (2)</vt:lpstr>
      <vt:lpstr>PP3 (1)</vt:lpstr>
      <vt:lpstr>PP3 (2)</vt:lpstr>
      <vt:lpstr>PP4 (1)</vt:lpstr>
      <vt:lpstr>PP4 (2)</vt:lpstr>
      <vt:lpstr>PP5 (1)</vt:lpstr>
      <vt:lpstr>PP5(2)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2021-12-21T01:02:02Z</dcterms:created>
  <dcterms:modified xsi:type="dcterms:W3CDTF">2025-06-16T16:15:06Z</dcterms:modified>
  <cp:category/>
  <cp:contentStatus/>
</cp:coreProperties>
</file>