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weteraniszermierki-my.sharepoint.com/personal/malgorzata_czerwinska_weteraniszermierki_pl/Documents/04_Rankingi SPWS/Sezon 2024 - 2025/Szabla 2024-2025/Ranking Mezczyzn - szabla/"/>
    </mc:Choice>
  </mc:AlternateContent>
  <xr:revisionPtr revIDLastSave="1301" documentId="8_{7DCFD9FF-8A32-4034-AFB0-C083BCE09D45}" xr6:coauthVersionLast="47" xr6:coauthVersionMax="47" xr10:uidLastSave="{D4E72C8F-E70E-4483-A96C-37CAE184ED7D}"/>
  <bookViews>
    <workbookView xWindow="-5257" yWindow="-14780" windowWidth="34994" windowHeight="14169" tabRatio="956" xr2:uid="{00000000-000D-0000-FFFF-FFFF00000000}"/>
  </bookViews>
  <sheets>
    <sheet name="Ranking" sheetId="13" r:id="rId1"/>
    <sheet name="PP1" sheetId="17" r:id="rId2"/>
    <sheet name="PP2" sheetId="18" r:id="rId3"/>
    <sheet name="PP3" sheetId="29" r:id="rId4"/>
    <sheet name="PP4" sheetId="30" r:id="rId5"/>
    <sheet name="PP5" sheetId="31" r:id="rId6"/>
    <sheet name="MPW" sheetId="19" r:id="rId7"/>
    <sheet name="Kadra" sheetId="20" r:id="rId8"/>
    <sheet name="PEW1" sheetId="25" r:id="rId9"/>
    <sheet name="PEW2" sheetId="26" r:id="rId10"/>
    <sheet name="PEW3" sheetId="27" r:id="rId11"/>
    <sheet name="PEW4" sheetId="33" r:id="rId12"/>
    <sheet name="PEW5" sheetId="34" r:id="rId13"/>
    <sheet name="PEW6" sheetId="32" r:id="rId14"/>
    <sheet name="PEW7" sheetId="35" r:id="rId15"/>
    <sheet name="PEW8" sheetId="36" r:id="rId16"/>
    <sheet name="PEW9" sheetId="37" r:id="rId17"/>
    <sheet name="PS" sheetId="38" r:id="rId18"/>
    <sheet name="IMEW" sheetId="28" r:id="rId19"/>
  </sheets>
  <definedNames>
    <definedName name="_xlnm._FilterDatabase" localSheetId="7" hidden="1">Kadra!$A$5:$AM$5</definedName>
    <definedName name="_xlnm._FilterDatabase" localSheetId="0" hidden="1">Ranking!$A$5:$P$5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20" l="1"/>
  <c r="D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AJ25" i="20"/>
  <c r="AK25" i="20" s="1"/>
  <c r="AJ24" i="20"/>
  <c r="AK24" i="20" s="1"/>
  <c r="AJ23" i="20"/>
  <c r="AK23" i="20" s="1"/>
  <c r="AK22" i="20"/>
  <c r="AJ22" i="20"/>
  <c r="AJ21" i="20"/>
  <c r="AK21" i="20" s="1"/>
  <c r="AJ20" i="20"/>
  <c r="AK20" i="20" s="1"/>
  <c r="AJ19" i="20"/>
  <c r="AK19" i="20" s="1"/>
  <c r="AK18" i="20"/>
  <c r="AJ18" i="20"/>
  <c r="AJ17" i="20"/>
  <c r="AK17" i="20" s="1"/>
  <c r="AJ16" i="20"/>
  <c r="AK16" i="20" s="1"/>
  <c r="AJ15" i="20"/>
  <c r="AK15" i="20" s="1"/>
  <c r="AK14" i="20"/>
  <c r="AJ14" i="20"/>
  <c r="AJ13" i="20"/>
  <c r="AK13" i="20" s="1"/>
  <c r="AJ12" i="20"/>
  <c r="AK12" i="20" s="1"/>
  <c r="AJ11" i="20"/>
  <c r="AK11" i="20" s="1"/>
  <c r="AK10" i="20"/>
  <c r="AJ10" i="20"/>
  <c r="AJ9" i="20"/>
  <c r="AK9" i="20" s="1"/>
  <c r="AJ8" i="20"/>
  <c r="AK8" i="20" s="1"/>
  <c r="AJ7" i="20"/>
  <c r="AK7" i="20" s="1"/>
  <c r="AK6" i="20"/>
  <c r="AJ6" i="20"/>
  <c r="J305" i="38"/>
  <c r="K305" i="38" s="1"/>
  <c r="I305" i="38"/>
  <c r="M305" i="38" s="1"/>
  <c r="J304" i="38"/>
  <c r="K304" i="38" s="1"/>
  <c r="I304" i="38"/>
  <c r="M304" i="38" s="1"/>
  <c r="J303" i="38"/>
  <c r="K303" i="38" s="1"/>
  <c r="I303" i="38"/>
  <c r="M303" i="38" s="1"/>
  <c r="J302" i="38"/>
  <c r="K302" i="38" s="1"/>
  <c r="I302" i="38"/>
  <c r="M302" i="38" s="1"/>
  <c r="J301" i="38"/>
  <c r="K301" i="38" s="1"/>
  <c r="I301" i="38"/>
  <c r="M301" i="38" s="1"/>
  <c r="J300" i="38"/>
  <c r="K300" i="38" s="1"/>
  <c r="I300" i="38"/>
  <c r="M300" i="38" s="1"/>
  <c r="J299" i="38"/>
  <c r="K299" i="38" s="1"/>
  <c r="I299" i="38"/>
  <c r="M299" i="38" s="1"/>
  <c r="J298" i="38"/>
  <c r="K298" i="38" s="1"/>
  <c r="I298" i="38"/>
  <c r="M298" i="38" s="1"/>
  <c r="J297" i="38"/>
  <c r="K297" i="38" s="1"/>
  <c r="I297" i="38"/>
  <c r="M297" i="38" s="1"/>
  <c r="J296" i="38"/>
  <c r="K296" i="38" s="1"/>
  <c r="I296" i="38"/>
  <c r="M296" i="38" s="1"/>
  <c r="M295" i="38"/>
  <c r="J295" i="38"/>
  <c r="K295" i="38" s="1"/>
  <c r="I295" i="38"/>
  <c r="J294" i="38"/>
  <c r="K294" i="38" s="1"/>
  <c r="I294" i="38"/>
  <c r="M294" i="38" s="1"/>
  <c r="J293" i="38"/>
  <c r="K293" i="38" s="1"/>
  <c r="I293" i="38"/>
  <c r="M293" i="38" s="1"/>
  <c r="J292" i="38"/>
  <c r="K292" i="38" s="1"/>
  <c r="I292" i="38"/>
  <c r="M292" i="38" s="1"/>
  <c r="J291" i="38"/>
  <c r="K291" i="38" s="1"/>
  <c r="I291" i="38"/>
  <c r="M291" i="38" s="1"/>
  <c r="J290" i="38"/>
  <c r="K290" i="38" s="1"/>
  <c r="I290" i="38"/>
  <c r="M290" i="38" s="1"/>
  <c r="M289" i="38"/>
  <c r="J289" i="38"/>
  <c r="K289" i="38" s="1"/>
  <c r="I289" i="38"/>
  <c r="J288" i="38"/>
  <c r="K288" i="38" s="1"/>
  <c r="I288" i="38"/>
  <c r="M288" i="38" s="1"/>
  <c r="J287" i="38"/>
  <c r="K287" i="38" s="1"/>
  <c r="I287" i="38"/>
  <c r="M287" i="38" s="1"/>
  <c r="J286" i="38"/>
  <c r="K286" i="38" s="1"/>
  <c r="I286" i="38"/>
  <c r="M286" i="38" s="1"/>
  <c r="J285" i="38"/>
  <c r="K285" i="38" s="1"/>
  <c r="I285" i="38"/>
  <c r="M285" i="38" s="1"/>
  <c r="J284" i="38"/>
  <c r="K284" i="38" s="1"/>
  <c r="I284" i="38"/>
  <c r="M284" i="38" s="1"/>
  <c r="J283" i="38"/>
  <c r="K283" i="38" s="1"/>
  <c r="I283" i="38"/>
  <c r="M283" i="38" s="1"/>
  <c r="J282" i="38"/>
  <c r="K282" i="38" s="1"/>
  <c r="I282" i="38"/>
  <c r="M282" i="38" s="1"/>
  <c r="M281" i="38"/>
  <c r="J281" i="38"/>
  <c r="K281" i="38" s="1"/>
  <c r="I281" i="38"/>
  <c r="J280" i="38"/>
  <c r="K280" i="38" s="1"/>
  <c r="I280" i="38"/>
  <c r="M280" i="38" s="1"/>
  <c r="J279" i="38"/>
  <c r="K279" i="38" s="1"/>
  <c r="I279" i="38"/>
  <c r="M279" i="38" s="1"/>
  <c r="J278" i="38"/>
  <c r="K278" i="38" s="1"/>
  <c r="I278" i="38"/>
  <c r="M278" i="38" s="1"/>
  <c r="J277" i="38"/>
  <c r="K277" i="38" s="1"/>
  <c r="I277" i="38"/>
  <c r="M277" i="38" s="1"/>
  <c r="J276" i="38"/>
  <c r="K276" i="38" s="1"/>
  <c r="I276" i="38"/>
  <c r="M276" i="38" s="1"/>
  <c r="J275" i="38"/>
  <c r="K275" i="38" s="1"/>
  <c r="I275" i="38"/>
  <c r="M275" i="38" s="1"/>
  <c r="J274" i="38"/>
  <c r="K274" i="38" s="1"/>
  <c r="I274" i="38"/>
  <c r="M274" i="38" s="1"/>
  <c r="J273" i="38"/>
  <c r="K273" i="38" s="1"/>
  <c r="I273" i="38"/>
  <c r="M273" i="38" s="1"/>
  <c r="M272" i="38"/>
  <c r="J272" i="38"/>
  <c r="K272" i="38" s="1"/>
  <c r="I272" i="38"/>
  <c r="J271" i="38"/>
  <c r="K271" i="38" s="1"/>
  <c r="I271" i="38"/>
  <c r="M271" i="38" s="1"/>
  <c r="J270" i="38"/>
  <c r="K270" i="38" s="1"/>
  <c r="I270" i="38"/>
  <c r="M270" i="38" s="1"/>
  <c r="M269" i="38"/>
  <c r="J269" i="38"/>
  <c r="K269" i="38" s="1"/>
  <c r="I269" i="38"/>
  <c r="J268" i="38"/>
  <c r="K268" i="38" s="1"/>
  <c r="I268" i="38"/>
  <c r="M268" i="38" s="1"/>
  <c r="J267" i="38"/>
  <c r="K267" i="38" s="1"/>
  <c r="I267" i="38"/>
  <c r="M267" i="38" s="1"/>
  <c r="J266" i="38"/>
  <c r="K266" i="38" s="1"/>
  <c r="I266" i="38"/>
  <c r="M266" i="38" s="1"/>
  <c r="M265" i="38"/>
  <c r="J265" i="38"/>
  <c r="K265" i="38" s="1"/>
  <c r="I265" i="38"/>
  <c r="J264" i="38"/>
  <c r="K264" i="38" s="1"/>
  <c r="I264" i="38"/>
  <c r="M264" i="38" s="1"/>
  <c r="J263" i="38"/>
  <c r="K263" i="38" s="1"/>
  <c r="I263" i="38"/>
  <c r="M263" i="38" s="1"/>
  <c r="J262" i="38"/>
  <c r="K262" i="38" s="1"/>
  <c r="I262" i="38"/>
  <c r="M262" i="38" s="1"/>
  <c r="J261" i="38"/>
  <c r="K261" i="38" s="1"/>
  <c r="I261" i="38"/>
  <c r="M261" i="38" s="1"/>
  <c r="J260" i="38"/>
  <c r="K260" i="38" s="1"/>
  <c r="I260" i="38"/>
  <c r="M260" i="38" s="1"/>
  <c r="J259" i="38"/>
  <c r="K259" i="38" s="1"/>
  <c r="I259" i="38"/>
  <c r="M259" i="38" s="1"/>
  <c r="J258" i="38"/>
  <c r="K258" i="38" s="1"/>
  <c r="I258" i="38"/>
  <c r="M258" i="38" s="1"/>
  <c r="J257" i="38"/>
  <c r="K257" i="38" s="1"/>
  <c r="I257" i="38"/>
  <c r="M257" i="38" s="1"/>
  <c r="M256" i="38"/>
  <c r="J256" i="38"/>
  <c r="K256" i="38" s="1"/>
  <c r="I256" i="38"/>
  <c r="J255" i="38"/>
  <c r="K255" i="38" s="1"/>
  <c r="I255" i="38"/>
  <c r="M255" i="38" s="1"/>
  <c r="J254" i="38"/>
  <c r="K254" i="38" s="1"/>
  <c r="I254" i="38"/>
  <c r="M254" i="38" s="1"/>
  <c r="M253" i="38"/>
  <c r="J253" i="38"/>
  <c r="K253" i="38" s="1"/>
  <c r="I253" i="38"/>
  <c r="J252" i="38"/>
  <c r="K252" i="38" s="1"/>
  <c r="I252" i="38"/>
  <c r="M252" i="38" s="1"/>
  <c r="J251" i="38"/>
  <c r="K251" i="38" s="1"/>
  <c r="I251" i="38"/>
  <c r="M251" i="38" s="1"/>
  <c r="J250" i="38"/>
  <c r="K250" i="38" s="1"/>
  <c r="I250" i="38"/>
  <c r="M250" i="38" s="1"/>
  <c r="M249" i="38"/>
  <c r="J249" i="38"/>
  <c r="K249" i="38" s="1"/>
  <c r="I249" i="38"/>
  <c r="J248" i="38"/>
  <c r="K248" i="38" s="1"/>
  <c r="I248" i="38"/>
  <c r="M248" i="38" s="1"/>
  <c r="J247" i="38"/>
  <c r="K247" i="38" s="1"/>
  <c r="I247" i="38"/>
  <c r="M247" i="38" s="1"/>
  <c r="J246" i="38"/>
  <c r="K246" i="38" s="1"/>
  <c r="I246" i="38"/>
  <c r="M246" i="38" s="1"/>
  <c r="J245" i="38"/>
  <c r="K245" i="38" s="1"/>
  <c r="I245" i="38"/>
  <c r="M245" i="38" s="1"/>
  <c r="J244" i="38"/>
  <c r="K244" i="38" s="1"/>
  <c r="I244" i="38"/>
  <c r="M244" i="38" s="1"/>
  <c r="J243" i="38"/>
  <c r="K243" i="38" s="1"/>
  <c r="I243" i="38"/>
  <c r="M243" i="38" s="1"/>
  <c r="J242" i="38"/>
  <c r="K242" i="38" s="1"/>
  <c r="I242" i="38"/>
  <c r="M242" i="38" s="1"/>
  <c r="J241" i="38"/>
  <c r="K241" i="38" s="1"/>
  <c r="I241" i="38"/>
  <c r="M241" i="38" s="1"/>
  <c r="M240" i="38"/>
  <c r="J240" i="38"/>
  <c r="K240" i="38" s="1"/>
  <c r="I240" i="38"/>
  <c r="J239" i="38"/>
  <c r="K239" i="38" s="1"/>
  <c r="I239" i="38"/>
  <c r="M239" i="38" s="1"/>
  <c r="J238" i="38"/>
  <c r="K238" i="38" s="1"/>
  <c r="I238" i="38"/>
  <c r="M238" i="38" s="1"/>
  <c r="M237" i="38"/>
  <c r="J237" i="38"/>
  <c r="K237" i="38" s="1"/>
  <c r="I237" i="38"/>
  <c r="J236" i="38"/>
  <c r="K236" i="38" s="1"/>
  <c r="I236" i="38"/>
  <c r="M236" i="38" s="1"/>
  <c r="J235" i="38"/>
  <c r="K235" i="38" s="1"/>
  <c r="I235" i="38"/>
  <c r="M235" i="38" s="1"/>
  <c r="J234" i="38"/>
  <c r="K234" i="38" s="1"/>
  <c r="I234" i="38"/>
  <c r="M234" i="38" s="1"/>
  <c r="M233" i="38"/>
  <c r="J233" i="38"/>
  <c r="K233" i="38" s="1"/>
  <c r="I233" i="38"/>
  <c r="J232" i="38"/>
  <c r="K232" i="38" s="1"/>
  <c r="I232" i="38"/>
  <c r="M232" i="38" s="1"/>
  <c r="J231" i="38"/>
  <c r="K231" i="38" s="1"/>
  <c r="I231" i="38"/>
  <c r="M231" i="38" s="1"/>
  <c r="J230" i="38"/>
  <c r="K230" i="38" s="1"/>
  <c r="I230" i="38"/>
  <c r="M230" i="38" s="1"/>
  <c r="J229" i="38"/>
  <c r="K229" i="38" s="1"/>
  <c r="I229" i="38"/>
  <c r="M229" i="38" s="1"/>
  <c r="J228" i="38"/>
  <c r="K228" i="38" s="1"/>
  <c r="I228" i="38"/>
  <c r="M228" i="38" s="1"/>
  <c r="J227" i="38"/>
  <c r="K227" i="38" s="1"/>
  <c r="I227" i="38"/>
  <c r="M227" i="38" s="1"/>
  <c r="J226" i="38"/>
  <c r="K226" i="38" s="1"/>
  <c r="I226" i="38"/>
  <c r="M226" i="38" s="1"/>
  <c r="M225" i="38"/>
  <c r="J225" i="38"/>
  <c r="K225" i="38" s="1"/>
  <c r="I225" i="38"/>
  <c r="M224" i="38"/>
  <c r="J224" i="38"/>
  <c r="K224" i="38" s="1"/>
  <c r="I224" i="38"/>
  <c r="J223" i="38"/>
  <c r="K223" i="38" s="1"/>
  <c r="I223" i="38"/>
  <c r="M223" i="38" s="1"/>
  <c r="J222" i="38"/>
  <c r="K222" i="38" s="1"/>
  <c r="I222" i="38"/>
  <c r="M222" i="38" s="1"/>
  <c r="M221" i="38"/>
  <c r="J221" i="38"/>
  <c r="K221" i="38" s="1"/>
  <c r="I221" i="38"/>
  <c r="J220" i="38"/>
  <c r="K220" i="38" s="1"/>
  <c r="I220" i="38"/>
  <c r="M220" i="38" s="1"/>
  <c r="J219" i="38"/>
  <c r="K219" i="38" s="1"/>
  <c r="I219" i="38"/>
  <c r="M219" i="38" s="1"/>
  <c r="J218" i="38"/>
  <c r="K218" i="38" s="1"/>
  <c r="I218" i="38"/>
  <c r="M218" i="38" s="1"/>
  <c r="M217" i="38"/>
  <c r="J217" i="38"/>
  <c r="K217" i="38" s="1"/>
  <c r="I217" i="38"/>
  <c r="J216" i="38"/>
  <c r="K216" i="38" s="1"/>
  <c r="I216" i="38"/>
  <c r="M216" i="38" s="1"/>
  <c r="J215" i="38"/>
  <c r="K215" i="38" s="1"/>
  <c r="I215" i="38"/>
  <c r="M215" i="38" s="1"/>
  <c r="J214" i="38"/>
  <c r="K214" i="38" s="1"/>
  <c r="I214" i="38"/>
  <c r="M214" i="38" s="1"/>
  <c r="J213" i="38"/>
  <c r="K213" i="38" s="1"/>
  <c r="I213" i="38"/>
  <c r="M213" i="38" s="1"/>
  <c r="J212" i="38"/>
  <c r="K212" i="38" s="1"/>
  <c r="I212" i="38"/>
  <c r="M212" i="38" s="1"/>
  <c r="J211" i="38"/>
  <c r="K211" i="38" s="1"/>
  <c r="I211" i="38"/>
  <c r="M211" i="38" s="1"/>
  <c r="J210" i="38"/>
  <c r="K210" i="38" s="1"/>
  <c r="I210" i="38"/>
  <c r="M210" i="38" s="1"/>
  <c r="M209" i="38"/>
  <c r="J209" i="38"/>
  <c r="K209" i="38" s="1"/>
  <c r="I209" i="38"/>
  <c r="M208" i="38"/>
  <c r="J208" i="38"/>
  <c r="K208" i="38" s="1"/>
  <c r="I208" i="38"/>
  <c r="J207" i="38"/>
  <c r="K207" i="38" s="1"/>
  <c r="I207" i="38"/>
  <c r="M207" i="38" s="1"/>
  <c r="J206" i="38"/>
  <c r="K206" i="38" s="1"/>
  <c r="I206" i="38"/>
  <c r="M206" i="38" s="1"/>
  <c r="M205" i="38"/>
  <c r="J205" i="38"/>
  <c r="K205" i="38" s="1"/>
  <c r="I205" i="38"/>
  <c r="J204" i="38"/>
  <c r="K204" i="38" s="1"/>
  <c r="I204" i="38"/>
  <c r="M204" i="38" s="1"/>
  <c r="J203" i="38"/>
  <c r="K203" i="38" s="1"/>
  <c r="I203" i="38"/>
  <c r="M203" i="38" s="1"/>
  <c r="J202" i="38"/>
  <c r="K202" i="38" s="1"/>
  <c r="I202" i="38"/>
  <c r="M202" i="38" s="1"/>
  <c r="M201" i="38"/>
  <c r="J201" i="38"/>
  <c r="K201" i="38" s="1"/>
  <c r="I201" i="38"/>
  <c r="J200" i="38"/>
  <c r="K200" i="38" s="1"/>
  <c r="I200" i="38"/>
  <c r="M200" i="38" s="1"/>
  <c r="J199" i="38"/>
  <c r="K199" i="38" s="1"/>
  <c r="I199" i="38"/>
  <c r="M199" i="38" s="1"/>
  <c r="J198" i="38"/>
  <c r="K198" i="38" s="1"/>
  <c r="I198" i="38"/>
  <c r="M198" i="38" s="1"/>
  <c r="J197" i="38"/>
  <c r="K197" i="38" s="1"/>
  <c r="I197" i="38"/>
  <c r="M197" i="38" s="1"/>
  <c r="J196" i="38"/>
  <c r="K196" i="38" s="1"/>
  <c r="I196" i="38"/>
  <c r="M196" i="38" s="1"/>
  <c r="J195" i="38"/>
  <c r="K195" i="38" s="1"/>
  <c r="I195" i="38"/>
  <c r="M195" i="38" s="1"/>
  <c r="J194" i="38"/>
  <c r="K194" i="38" s="1"/>
  <c r="I194" i="38"/>
  <c r="M194" i="38" s="1"/>
  <c r="M193" i="38"/>
  <c r="J193" i="38"/>
  <c r="K193" i="38" s="1"/>
  <c r="I193" i="38"/>
  <c r="M192" i="38"/>
  <c r="J192" i="38"/>
  <c r="K192" i="38" s="1"/>
  <c r="I192" i="38"/>
  <c r="J191" i="38"/>
  <c r="K191" i="38" s="1"/>
  <c r="I191" i="38"/>
  <c r="M191" i="38" s="1"/>
  <c r="J190" i="38"/>
  <c r="K190" i="38" s="1"/>
  <c r="I190" i="38"/>
  <c r="M190" i="38" s="1"/>
  <c r="M189" i="38"/>
  <c r="J189" i="38"/>
  <c r="K189" i="38" s="1"/>
  <c r="I189" i="38"/>
  <c r="J188" i="38"/>
  <c r="K188" i="38" s="1"/>
  <c r="I188" i="38"/>
  <c r="M188" i="38" s="1"/>
  <c r="J187" i="38"/>
  <c r="K187" i="38" s="1"/>
  <c r="I187" i="38"/>
  <c r="M187" i="38" s="1"/>
  <c r="J186" i="38"/>
  <c r="K186" i="38" s="1"/>
  <c r="I186" i="38"/>
  <c r="M186" i="38" s="1"/>
  <c r="M185" i="38"/>
  <c r="J185" i="38"/>
  <c r="K185" i="38" s="1"/>
  <c r="I185" i="38"/>
  <c r="J184" i="38"/>
  <c r="K184" i="38" s="1"/>
  <c r="I184" i="38"/>
  <c r="M184" i="38" s="1"/>
  <c r="J183" i="38"/>
  <c r="K183" i="38" s="1"/>
  <c r="I183" i="38"/>
  <c r="M183" i="38" s="1"/>
  <c r="J182" i="38"/>
  <c r="K182" i="38" s="1"/>
  <c r="I182" i="38"/>
  <c r="M182" i="38" s="1"/>
  <c r="J181" i="38"/>
  <c r="K181" i="38" s="1"/>
  <c r="I181" i="38"/>
  <c r="M181" i="38" s="1"/>
  <c r="J180" i="38"/>
  <c r="K180" i="38" s="1"/>
  <c r="I180" i="38"/>
  <c r="M180" i="38" s="1"/>
  <c r="J179" i="38"/>
  <c r="K179" i="38" s="1"/>
  <c r="I179" i="38"/>
  <c r="M179" i="38" s="1"/>
  <c r="J178" i="38"/>
  <c r="K178" i="38" s="1"/>
  <c r="I178" i="38"/>
  <c r="M178" i="38" s="1"/>
  <c r="M177" i="38"/>
  <c r="J177" i="38"/>
  <c r="K177" i="38" s="1"/>
  <c r="I177" i="38"/>
  <c r="M176" i="38"/>
  <c r="J176" i="38"/>
  <c r="K176" i="38" s="1"/>
  <c r="I176" i="38"/>
  <c r="J175" i="38"/>
  <c r="K175" i="38" s="1"/>
  <c r="I175" i="38"/>
  <c r="M175" i="38" s="1"/>
  <c r="J174" i="38"/>
  <c r="K174" i="38" s="1"/>
  <c r="I174" i="38"/>
  <c r="M174" i="38" s="1"/>
  <c r="M173" i="38"/>
  <c r="J173" i="38"/>
  <c r="K173" i="38" s="1"/>
  <c r="I173" i="38"/>
  <c r="J172" i="38"/>
  <c r="K172" i="38" s="1"/>
  <c r="I172" i="38"/>
  <c r="M172" i="38" s="1"/>
  <c r="J171" i="38"/>
  <c r="K171" i="38" s="1"/>
  <c r="I171" i="38"/>
  <c r="M171" i="38" s="1"/>
  <c r="J170" i="38"/>
  <c r="K170" i="38" s="1"/>
  <c r="I170" i="38"/>
  <c r="M170" i="38" s="1"/>
  <c r="M169" i="38"/>
  <c r="J169" i="38"/>
  <c r="K169" i="38" s="1"/>
  <c r="I169" i="38"/>
  <c r="J168" i="38"/>
  <c r="K168" i="38" s="1"/>
  <c r="I168" i="38"/>
  <c r="M168" i="38" s="1"/>
  <c r="J167" i="38"/>
  <c r="K167" i="38" s="1"/>
  <c r="I167" i="38"/>
  <c r="M167" i="38" s="1"/>
  <c r="J166" i="38"/>
  <c r="K166" i="38" s="1"/>
  <c r="I166" i="38"/>
  <c r="M166" i="38" s="1"/>
  <c r="J165" i="38"/>
  <c r="K165" i="38" s="1"/>
  <c r="I165" i="38"/>
  <c r="M165" i="38" s="1"/>
  <c r="J164" i="38"/>
  <c r="K164" i="38" s="1"/>
  <c r="I164" i="38"/>
  <c r="M164" i="38" s="1"/>
  <c r="J163" i="38"/>
  <c r="K163" i="38" s="1"/>
  <c r="I163" i="38"/>
  <c r="M163" i="38" s="1"/>
  <c r="J162" i="38"/>
  <c r="K162" i="38" s="1"/>
  <c r="I162" i="38"/>
  <c r="M162" i="38" s="1"/>
  <c r="M161" i="38"/>
  <c r="J161" i="38"/>
  <c r="K161" i="38" s="1"/>
  <c r="I161" i="38"/>
  <c r="M160" i="38"/>
  <c r="J160" i="38"/>
  <c r="K160" i="38" s="1"/>
  <c r="I160" i="38"/>
  <c r="J159" i="38"/>
  <c r="K159" i="38" s="1"/>
  <c r="I159" i="38"/>
  <c r="M159" i="38" s="1"/>
  <c r="J158" i="38"/>
  <c r="K158" i="38" s="1"/>
  <c r="I158" i="38"/>
  <c r="M158" i="38" s="1"/>
  <c r="M157" i="38"/>
  <c r="J157" i="38"/>
  <c r="K157" i="38" s="1"/>
  <c r="I157" i="38"/>
  <c r="J156" i="38"/>
  <c r="K156" i="38" s="1"/>
  <c r="I156" i="38"/>
  <c r="M156" i="38" s="1"/>
  <c r="J155" i="38"/>
  <c r="K155" i="38" s="1"/>
  <c r="I155" i="38"/>
  <c r="M155" i="38" s="1"/>
  <c r="J154" i="38"/>
  <c r="K154" i="38" s="1"/>
  <c r="I154" i="38"/>
  <c r="M154" i="38" s="1"/>
  <c r="M153" i="38"/>
  <c r="J153" i="38"/>
  <c r="K153" i="38" s="1"/>
  <c r="I153" i="38"/>
  <c r="J152" i="38"/>
  <c r="K152" i="38" s="1"/>
  <c r="I152" i="38"/>
  <c r="M152" i="38" s="1"/>
  <c r="J151" i="38"/>
  <c r="K151" i="38" s="1"/>
  <c r="I151" i="38"/>
  <c r="M151" i="38" s="1"/>
  <c r="J150" i="38"/>
  <c r="K150" i="38" s="1"/>
  <c r="I150" i="38"/>
  <c r="M150" i="38" s="1"/>
  <c r="J149" i="38"/>
  <c r="K149" i="38" s="1"/>
  <c r="I149" i="38"/>
  <c r="M149" i="38" s="1"/>
  <c r="J148" i="38"/>
  <c r="K148" i="38" s="1"/>
  <c r="I148" i="38"/>
  <c r="M148" i="38" s="1"/>
  <c r="J147" i="38"/>
  <c r="K147" i="38" s="1"/>
  <c r="I147" i="38"/>
  <c r="M147" i="38" s="1"/>
  <c r="J146" i="38"/>
  <c r="K146" i="38" s="1"/>
  <c r="I146" i="38"/>
  <c r="M146" i="38" s="1"/>
  <c r="M145" i="38"/>
  <c r="J145" i="38"/>
  <c r="K145" i="38" s="1"/>
  <c r="I145" i="38"/>
  <c r="M144" i="38"/>
  <c r="J144" i="38"/>
  <c r="K144" i="38" s="1"/>
  <c r="I144" i="38"/>
  <c r="J143" i="38"/>
  <c r="K143" i="38" s="1"/>
  <c r="I143" i="38"/>
  <c r="M143" i="38" s="1"/>
  <c r="J142" i="38"/>
  <c r="K142" i="38" s="1"/>
  <c r="I142" i="38"/>
  <c r="M142" i="38" s="1"/>
  <c r="M141" i="38"/>
  <c r="J141" i="38"/>
  <c r="K141" i="38" s="1"/>
  <c r="I141" i="38"/>
  <c r="J140" i="38"/>
  <c r="K140" i="38" s="1"/>
  <c r="I140" i="38"/>
  <c r="M140" i="38" s="1"/>
  <c r="A140" i="38" s="1"/>
  <c r="B140" i="38"/>
  <c r="M139" i="38"/>
  <c r="A139" i="38" s="1"/>
  <c r="J139" i="38"/>
  <c r="K139" i="38" s="1"/>
  <c r="I139" i="38"/>
  <c r="B139" i="38"/>
  <c r="J138" i="38"/>
  <c r="K138" i="38" s="1"/>
  <c r="I138" i="38"/>
  <c r="M138" i="38" s="1"/>
  <c r="A138" i="38" s="1"/>
  <c r="B138" i="38"/>
  <c r="J137" i="38"/>
  <c r="K137" i="38" s="1"/>
  <c r="I137" i="38"/>
  <c r="M137" i="38" s="1"/>
  <c r="A137" i="38" s="1"/>
  <c r="B137" i="38"/>
  <c r="M136" i="38"/>
  <c r="A136" i="38" s="1"/>
  <c r="J136" i="38"/>
  <c r="K136" i="38" s="1"/>
  <c r="I136" i="38"/>
  <c r="B136" i="38"/>
  <c r="J135" i="38"/>
  <c r="K135" i="38" s="1"/>
  <c r="I135" i="38"/>
  <c r="M135" i="38" s="1"/>
  <c r="A135" i="38" s="1"/>
  <c r="B135" i="38"/>
  <c r="K134" i="38"/>
  <c r="J134" i="38"/>
  <c r="I134" i="38"/>
  <c r="M134" i="38" s="1"/>
  <c r="A134" i="38" s="1"/>
  <c r="B134" i="38"/>
  <c r="J133" i="38"/>
  <c r="K133" i="38" s="1"/>
  <c r="I133" i="38"/>
  <c r="M133" i="38" s="1"/>
  <c r="A133" i="38" s="1"/>
  <c r="B133" i="38"/>
  <c r="J132" i="38"/>
  <c r="K132" i="38" s="1"/>
  <c r="I132" i="38"/>
  <c r="M132" i="38" s="1"/>
  <c r="A132" i="38" s="1"/>
  <c r="B132" i="38"/>
  <c r="J131" i="38"/>
  <c r="K131" i="38" s="1"/>
  <c r="I131" i="38"/>
  <c r="M131" i="38" s="1"/>
  <c r="A131" i="38" s="1"/>
  <c r="B131" i="38"/>
  <c r="K130" i="38"/>
  <c r="J130" i="38"/>
  <c r="I130" i="38"/>
  <c r="M130" i="38" s="1"/>
  <c r="A130" i="38" s="1"/>
  <c r="B130" i="38"/>
  <c r="J129" i="38"/>
  <c r="K129" i="38" s="1"/>
  <c r="I129" i="38"/>
  <c r="M129" i="38" s="1"/>
  <c r="A129" i="38" s="1"/>
  <c r="B129" i="38"/>
  <c r="M128" i="38"/>
  <c r="A128" i="38" s="1"/>
  <c r="J128" i="38"/>
  <c r="K128" i="38" s="1"/>
  <c r="I128" i="38"/>
  <c r="B128" i="38"/>
  <c r="J127" i="38"/>
  <c r="K127" i="38" s="1"/>
  <c r="I127" i="38"/>
  <c r="M127" i="38" s="1"/>
  <c r="A127" i="38" s="1"/>
  <c r="B127" i="38"/>
  <c r="J126" i="38"/>
  <c r="K126" i="38" s="1"/>
  <c r="I126" i="38"/>
  <c r="M126" i="38" s="1"/>
  <c r="A126" i="38" s="1"/>
  <c r="B126" i="38"/>
  <c r="J125" i="38"/>
  <c r="K125" i="38" s="1"/>
  <c r="I125" i="38"/>
  <c r="M125" i="38" s="1"/>
  <c r="A125" i="38" s="1"/>
  <c r="B125" i="38"/>
  <c r="M124" i="38"/>
  <c r="A124" i="38" s="1"/>
  <c r="J124" i="38"/>
  <c r="K124" i="38" s="1"/>
  <c r="I124" i="38"/>
  <c r="B124" i="38"/>
  <c r="J123" i="38"/>
  <c r="K123" i="38" s="1"/>
  <c r="I123" i="38"/>
  <c r="M123" i="38" s="1"/>
  <c r="A123" i="38" s="1"/>
  <c r="B123" i="38"/>
  <c r="J122" i="38"/>
  <c r="K122" i="38" s="1"/>
  <c r="I122" i="38"/>
  <c r="M122" i="38" s="1"/>
  <c r="A122" i="38" s="1"/>
  <c r="B122" i="38"/>
  <c r="J121" i="38"/>
  <c r="K121" i="38" s="1"/>
  <c r="I121" i="38"/>
  <c r="M121" i="38" s="1"/>
  <c r="B121" i="38"/>
  <c r="A121" i="38"/>
  <c r="J120" i="38"/>
  <c r="K120" i="38" s="1"/>
  <c r="I120" i="38"/>
  <c r="M120" i="38" s="1"/>
  <c r="A120" i="38" s="1"/>
  <c r="B120" i="38"/>
  <c r="M119" i="38"/>
  <c r="A119" i="38" s="1"/>
  <c r="J119" i="38"/>
  <c r="K119" i="38" s="1"/>
  <c r="I119" i="38"/>
  <c r="B119" i="38"/>
  <c r="K118" i="38"/>
  <c r="J118" i="38"/>
  <c r="I118" i="38"/>
  <c r="M118" i="38" s="1"/>
  <c r="A118" i="38" s="1"/>
  <c r="B118" i="38"/>
  <c r="J117" i="38"/>
  <c r="K117" i="38" s="1"/>
  <c r="I117" i="38"/>
  <c r="M117" i="38" s="1"/>
  <c r="A117" i="38" s="1"/>
  <c r="B117" i="38"/>
  <c r="M116" i="38"/>
  <c r="A116" i="38" s="1"/>
  <c r="J116" i="38"/>
  <c r="K116" i="38" s="1"/>
  <c r="I116" i="38"/>
  <c r="B116" i="38"/>
  <c r="M115" i="38"/>
  <c r="A115" i="38" s="1"/>
  <c r="J115" i="38"/>
  <c r="K115" i="38" s="1"/>
  <c r="I115" i="38"/>
  <c r="B115" i="38"/>
  <c r="K114" i="38"/>
  <c r="J114" i="38"/>
  <c r="I114" i="38"/>
  <c r="M114" i="38" s="1"/>
  <c r="A114" i="38" s="1"/>
  <c r="B114" i="38"/>
  <c r="J113" i="38"/>
  <c r="K113" i="38" s="1"/>
  <c r="I113" i="38"/>
  <c r="M113" i="38" s="1"/>
  <c r="A113" i="38" s="1"/>
  <c r="B113" i="38"/>
  <c r="M112" i="38"/>
  <c r="A112" i="38" s="1"/>
  <c r="J112" i="38"/>
  <c r="K112" i="38" s="1"/>
  <c r="I112" i="38"/>
  <c r="B112" i="38"/>
  <c r="J111" i="38"/>
  <c r="K111" i="38" s="1"/>
  <c r="I111" i="38"/>
  <c r="M111" i="38" s="1"/>
  <c r="A111" i="38" s="1"/>
  <c r="B111" i="38"/>
  <c r="K110" i="38"/>
  <c r="J110" i="38"/>
  <c r="I110" i="38"/>
  <c r="M110" i="38" s="1"/>
  <c r="A110" i="38" s="1"/>
  <c r="B110" i="38"/>
  <c r="J109" i="38"/>
  <c r="K109" i="38" s="1"/>
  <c r="I109" i="38"/>
  <c r="M109" i="38" s="1"/>
  <c r="A109" i="38" s="1"/>
  <c r="B109" i="38"/>
  <c r="M108" i="38"/>
  <c r="A108" i="38" s="1"/>
  <c r="J108" i="38"/>
  <c r="K108" i="38" s="1"/>
  <c r="I108" i="38"/>
  <c r="B108" i="38"/>
  <c r="M107" i="38"/>
  <c r="A107" i="38" s="1"/>
  <c r="J107" i="38"/>
  <c r="K107" i="38" s="1"/>
  <c r="I107" i="38"/>
  <c r="B107" i="38"/>
  <c r="K106" i="38"/>
  <c r="J106" i="38"/>
  <c r="I106" i="38"/>
  <c r="M106" i="38" s="1"/>
  <c r="A106" i="38" s="1"/>
  <c r="B106" i="38"/>
  <c r="M105" i="38"/>
  <c r="J105" i="38"/>
  <c r="K105" i="38" s="1"/>
  <c r="I105" i="38"/>
  <c r="B105" i="38"/>
  <c r="A105" i="38"/>
  <c r="J104" i="38"/>
  <c r="K104" i="38" s="1"/>
  <c r="I104" i="38"/>
  <c r="M104" i="38" s="1"/>
  <c r="A104" i="38" s="1"/>
  <c r="B104" i="38"/>
  <c r="M103" i="38"/>
  <c r="A103" i="38" s="1"/>
  <c r="J103" i="38"/>
  <c r="K103" i="38" s="1"/>
  <c r="I103" i="38"/>
  <c r="B103" i="38"/>
  <c r="J102" i="38"/>
  <c r="K102" i="38" s="1"/>
  <c r="I102" i="38"/>
  <c r="M102" i="38" s="1"/>
  <c r="A102" i="38" s="1"/>
  <c r="B102" i="38"/>
  <c r="J101" i="38"/>
  <c r="K101" i="38" s="1"/>
  <c r="I101" i="38"/>
  <c r="M101" i="38" s="1"/>
  <c r="A101" i="38" s="1"/>
  <c r="B101" i="38"/>
  <c r="J100" i="38"/>
  <c r="K100" i="38" s="1"/>
  <c r="I100" i="38"/>
  <c r="M100" i="38" s="1"/>
  <c r="A100" i="38" s="1"/>
  <c r="B100" i="38"/>
  <c r="M99" i="38"/>
  <c r="A99" i="38" s="1"/>
  <c r="J99" i="38"/>
  <c r="K99" i="38" s="1"/>
  <c r="I99" i="38"/>
  <c r="B99" i="38"/>
  <c r="K98" i="38"/>
  <c r="J98" i="38"/>
  <c r="I98" i="38"/>
  <c r="M98" i="38" s="1"/>
  <c r="A98" i="38" s="1"/>
  <c r="B98" i="38"/>
  <c r="M97" i="38"/>
  <c r="A97" i="38" s="1"/>
  <c r="J97" i="38"/>
  <c r="K97" i="38" s="1"/>
  <c r="I97" i="38"/>
  <c r="B97" i="38"/>
  <c r="M96" i="38"/>
  <c r="A96" i="38" s="1"/>
  <c r="J96" i="38"/>
  <c r="K96" i="38" s="1"/>
  <c r="I96" i="38"/>
  <c r="B96" i="38"/>
  <c r="M95" i="38"/>
  <c r="A95" i="38" s="1"/>
  <c r="J95" i="38"/>
  <c r="K95" i="38" s="1"/>
  <c r="I95" i="38"/>
  <c r="B95" i="38"/>
  <c r="J94" i="38"/>
  <c r="K94" i="38" s="1"/>
  <c r="I94" i="38"/>
  <c r="M94" i="38" s="1"/>
  <c r="A94" i="38" s="1"/>
  <c r="B94" i="38"/>
  <c r="M93" i="38"/>
  <c r="A93" i="38" s="1"/>
  <c r="J93" i="38"/>
  <c r="K93" i="38" s="1"/>
  <c r="I93" i="38"/>
  <c r="B93" i="38"/>
  <c r="M92" i="38"/>
  <c r="A92" i="38" s="1"/>
  <c r="J92" i="38"/>
  <c r="K92" i="38" s="1"/>
  <c r="I92" i="38"/>
  <c r="B92" i="38"/>
  <c r="J91" i="38"/>
  <c r="K91" i="38" s="1"/>
  <c r="I91" i="38"/>
  <c r="M91" i="38" s="1"/>
  <c r="A91" i="38" s="1"/>
  <c r="B91" i="38"/>
  <c r="K90" i="38"/>
  <c r="J90" i="38"/>
  <c r="I90" i="38"/>
  <c r="M90" i="38" s="1"/>
  <c r="A90" i="38" s="1"/>
  <c r="B90" i="38"/>
  <c r="J89" i="38"/>
  <c r="K89" i="38" s="1"/>
  <c r="I89" i="38"/>
  <c r="M89" i="38" s="1"/>
  <c r="A89" i="38" s="1"/>
  <c r="B89" i="38"/>
  <c r="M88" i="38"/>
  <c r="A88" i="38" s="1"/>
  <c r="J88" i="38"/>
  <c r="K88" i="38" s="1"/>
  <c r="I88" i="38"/>
  <c r="B88" i="38"/>
  <c r="M87" i="38"/>
  <c r="A87" i="38" s="1"/>
  <c r="J87" i="38"/>
  <c r="K87" i="38" s="1"/>
  <c r="I87" i="38"/>
  <c r="B87" i="38"/>
  <c r="K86" i="38"/>
  <c r="J86" i="38"/>
  <c r="I86" i="38"/>
  <c r="M86" i="38" s="1"/>
  <c r="A86" i="38" s="1"/>
  <c r="B86" i="38"/>
  <c r="J85" i="38"/>
  <c r="K85" i="38" s="1"/>
  <c r="I85" i="38"/>
  <c r="M85" i="38" s="1"/>
  <c r="A85" i="38" s="1"/>
  <c r="B85" i="38"/>
  <c r="M84" i="38"/>
  <c r="A84" i="38" s="1"/>
  <c r="J84" i="38"/>
  <c r="K84" i="38" s="1"/>
  <c r="I84" i="38"/>
  <c r="B84" i="38"/>
  <c r="K83" i="38"/>
  <c r="J83" i="38"/>
  <c r="I83" i="38"/>
  <c r="M83" i="38" s="1"/>
  <c r="A83" i="38" s="1"/>
  <c r="B83" i="38"/>
  <c r="J82" i="38"/>
  <c r="K82" i="38" s="1"/>
  <c r="I82" i="38"/>
  <c r="M82" i="38" s="1"/>
  <c r="A82" i="38" s="1"/>
  <c r="B82" i="38"/>
  <c r="J81" i="38"/>
  <c r="K81" i="38" s="1"/>
  <c r="I81" i="38"/>
  <c r="M81" i="38" s="1"/>
  <c r="A81" i="38" s="1"/>
  <c r="B81" i="38"/>
  <c r="J80" i="38"/>
  <c r="K80" i="38" s="1"/>
  <c r="I80" i="38"/>
  <c r="M80" i="38" s="1"/>
  <c r="A80" i="38" s="1"/>
  <c r="B80" i="38"/>
  <c r="M79" i="38"/>
  <c r="A79" i="38" s="1"/>
  <c r="J79" i="38"/>
  <c r="K79" i="38" s="1"/>
  <c r="I79" i="38"/>
  <c r="B79" i="38"/>
  <c r="K78" i="38"/>
  <c r="J78" i="38"/>
  <c r="I78" i="38"/>
  <c r="M78" i="38" s="1"/>
  <c r="A78" i="38" s="1"/>
  <c r="B78" i="38"/>
  <c r="J77" i="38"/>
  <c r="K77" i="38" s="1"/>
  <c r="I77" i="38"/>
  <c r="M77" i="38" s="1"/>
  <c r="A77" i="38" s="1"/>
  <c r="B77" i="38"/>
  <c r="J76" i="38"/>
  <c r="K76" i="38" s="1"/>
  <c r="I76" i="38"/>
  <c r="M76" i="38" s="1"/>
  <c r="A76" i="38" s="1"/>
  <c r="B76" i="38"/>
  <c r="M75" i="38"/>
  <c r="A75" i="38" s="1"/>
  <c r="J75" i="38"/>
  <c r="K75" i="38" s="1"/>
  <c r="I75" i="38"/>
  <c r="B75" i="38"/>
  <c r="K74" i="38"/>
  <c r="J74" i="38"/>
  <c r="I74" i="38"/>
  <c r="M74" i="38" s="1"/>
  <c r="A74" i="38" s="1"/>
  <c r="B74" i="38"/>
  <c r="J73" i="38"/>
  <c r="K73" i="38" s="1"/>
  <c r="I73" i="38"/>
  <c r="M73" i="38" s="1"/>
  <c r="A73" i="38" s="1"/>
  <c r="B73" i="38"/>
  <c r="J72" i="38"/>
  <c r="K72" i="38" s="1"/>
  <c r="I72" i="38"/>
  <c r="M72" i="38" s="1"/>
  <c r="A72" i="38" s="1"/>
  <c r="B72" i="38"/>
  <c r="M71" i="38"/>
  <c r="A71" i="38" s="1"/>
  <c r="J71" i="38"/>
  <c r="K71" i="38" s="1"/>
  <c r="I71" i="38"/>
  <c r="B71" i="38"/>
  <c r="K70" i="38"/>
  <c r="J70" i="38"/>
  <c r="I70" i="38"/>
  <c r="M70" i="38" s="1"/>
  <c r="A70" i="38" s="1"/>
  <c r="B70" i="38"/>
  <c r="M69" i="38"/>
  <c r="A69" i="38" s="1"/>
  <c r="J69" i="38"/>
  <c r="K69" i="38" s="1"/>
  <c r="I69" i="38"/>
  <c r="B69" i="38"/>
  <c r="M68" i="38"/>
  <c r="J68" i="38"/>
  <c r="K68" i="38" s="1"/>
  <c r="I68" i="38"/>
  <c r="B68" i="38"/>
  <c r="A68" i="38"/>
  <c r="J67" i="38"/>
  <c r="K67" i="38" s="1"/>
  <c r="I67" i="38"/>
  <c r="M67" i="38" s="1"/>
  <c r="A67" i="38" s="1"/>
  <c r="B67" i="38"/>
  <c r="K66" i="38"/>
  <c r="J66" i="38"/>
  <c r="I66" i="38"/>
  <c r="M66" i="38" s="1"/>
  <c r="A66" i="38" s="1"/>
  <c r="B66" i="38"/>
  <c r="J65" i="38"/>
  <c r="K65" i="38" s="1"/>
  <c r="I65" i="38"/>
  <c r="M65" i="38" s="1"/>
  <c r="A65" i="38" s="1"/>
  <c r="B65" i="38"/>
  <c r="M64" i="38"/>
  <c r="A64" i="38" s="1"/>
  <c r="J64" i="38"/>
  <c r="K64" i="38" s="1"/>
  <c r="I64" i="38"/>
  <c r="B64" i="38"/>
  <c r="J63" i="38"/>
  <c r="K63" i="38" s="1"/>
  <c r="I63" i="38"/>
  <c r="M63" i="38" s="1"/>
  <c r="A63" i="38" s="1"/>
  <c r="B63" i="38"/>
  <c r="J62" i="38"/>
  <c r="K62" i="38" s="1"/>
  <c r="I62" i="38"/>
  <c r="M62" i="38" s="1"/>
  <c r="A62" i="38" s="1"/>
  <c r="B62" i="38"/>
  <c r="J61" i="38"/>
  <c r="K61" i="38" s="1"/>
  <c r="I61" i="38"/>
  <c r="M61" i="38" s="1"/>
  <c r="A61" i="38" s="1"/>
  <c r="B61" i="38"/>
  <c r="M60" i="38"/>
  <c r="A60" i="38" s="1"/>
  <c r="J60" i="38"/>
  <c r="K60" i="38" s="1"/>
  <c r="I60" i="38"/>
  <c r="B60" i="38"/>
  <c r="M59" i="38"/>
  <c r="A59" i="38" s="1"/>
  <c r="J59" i="38"/>
  <c r="K59" i="38" s="1"/>
  <c r="I59" i="38"/>
  <c r="B59" i="38"/>
  <c r="J58" i="38"/>
  <c r="K58" i="38" s="1"/>
  <c r="I58" i="38"/>
  <c r="M58" i="38" s="1"/>
  <c r="A58" i="38" s="1"/>
  <c r="B58" i="38"/>
  <c r="J57" i="38"/>
  <c r="K57" i="38" s="1"/>
  <c r="I57" i="38"/>
  <c r="M57" i="38" s="1"/>
  <c r="A57" i="38" s="1"/>
  <c r="B57" i="38"/>
  <c r="J56" i="38"/>
  <c r="K56" i="38" s="1"/>
  <c r="I56" i="38"/>
  <c r="M56" i="38" s="1"/>
  <c r="A56" i="38" s="1"/>
  <c r="B56" i="38"/>
  <c r="K55" i="38"/>
  <c r="J55" i="38"/>
  <c r="I55" i="38"/>
  <c r="M55" i="38" s="1"/>
  <c r="A55" i="38" s="1"/>
  <c r="B55" i="38"/>
  <c r="K54" i="38"/>
  <c r="J54" i="38"/>
  <c r="I54" i="38"/>
  <c r="M54" i="38" s="1"/>
  <c r="A54" i="38" s="1"/>
  <c r="B54" i="38"/>
  <c r="J53" i="38"/>
  <c r="K53" i="38" s="1"/>
  <c r="I53" i="38"/>
  <c r="M53" i="38" s="1"/>
  <c r="A53" i="38" s="1"/>
  <c r="B53" i="38"/>
  <c r="M52" i="38"/>
  <c r="A52" i="38" s="1"/>
  <c r="J52" i="38"/>
  <c r="K52" i="38" s="1"/>
  <c r="I52" i="38"/>
  <c r="B52" i="38"/>
  <c r="M51" i="38"/>
  <c r="A51" i="38" s="1"/>
  <c r="J51" i="38"/>
  <c r="K51" i="38" s="1"/>
  <c r="I51" i="38"/>
  <c r="B51" i="38"/>
  <c r="K50" i="38"/>
  <c r="J50" i="38"/>
  <c r="I50" i="38"/>
  <c r="M50" i="38" s="1"/>
  <c r="A50" i="38" s="1"/>
  <c r="B50" i="38"/>
  <c r="J49" i="38"/>
  <c r="K49" i="38" s="1"/>
  <c r="I49" i="38"/>
  <c r="M49" i="38" s="1"/>
  <c r="A49" i="38" s="1"/>
  <c r="B49" i="38"/>
  <c r="M48" i="38"/>
  <c r="A48" i="38" s="1"/>
  <c r="J48" i="38"/>
  <c r="K48" i="38" s="1"/>
  <c r="I48" i="38"/>
  <c r="B48" i="38"/>
  <c r="J47" i="38"/>
  <c r="K47" i="38" s="1"/>
  <c r="I47" i="38"/>
  <c r="M47" i="38" s="1"/>
  <c r="A47" i="38" s="1"/>
  <c r="B47" i="38"/>
  <c r="K46" i="38"/>
  <c r="J46" i="38"/>
  <c r="I46" i="38"/>
  <c r="M46" i="38" s="1"/>
  <c r="A46" i="38" s="1"/>
  <c r="B46" i="38"/>
  <c r="J45" i="38"/>
  <c r="K45" i="38" s="1"/>
  <c r="I45" i="38"/>
  <c r="M45" i="38" s="1"/>
  <c r="A45" i="38" s="1"/>
  <c r="B45" i="38"/>
  <c r="J44" i="38"/>
  <c r="K44" i="38" s="1"/>
  <c r="I44" i="38"/>
  <c r="M44" i="38" s="1"/>
  <c r="A44" i="38" s="1"/>
  <c r="B44" i="38"/>
  <c r="J43" i="38"/>
  <c r="K43" i="38" s="1"/>
  <c r="I43" i="38"/>
  <c r="M43" i="38" s="1"/>
  <c r="A43" i="38" s="1"/>
  <c r="B43" i="38"/>
  <c r="K42" i="38"/>
  <c r="J42" i="38"/>
  <c r="I42" i="38"/>
  <c r="M42" i="38" s="1"/>
  <c r="A42" i="38" s="1"/>
  <c r="B42" i="38"/>
  <c r="J41" i="38"/>
  <c r="K41" i="38" s="1"/>
  <c r="I41" i="38"/>
  <c r="M41" i="38" s="1"/>
  <c r="A41" i="38" s="1"/>
  <c r="B41" i="38"/>
  <c r="J40" i="38"/>
  <c r="K40" i="38" s="1"/>
  <c r="I40" i="38"/>
  <c r="M40" i="38" s="1"/>
  <c r="A40" i="38" s="1"/>
  <c r="B40" i="38"/>
  <c r="J39" i="38"/>
  <c r="K39" i="38" s="1"/>
  <c r="I39" i="38"/>
  <c r="M39" i="38" s="1"/>
  <c r="A39" i="38" s="1"/>
  <c r="B39" i="38"/>
  <c r="K38" i="38"/>
  <c r="J38" i="38"/>
  <c r="I38" i="38"/>
  <c r="M38" i="38" s="1"/>
  <c r="A38" i="38" s="1"/>
  <c r="B38" i="38"/>
  <c r="J37" i="38"/>
  <c r="K37" i="38" s="1"/>
  <c r="I37" i="38"/>
  <c r="M37" i="38" s="1"/>
  <c r="A37" i="38" s="1"/>
  <c r="B37" i="38"/>
  <c r="M36" i="38"/>
  <c r="A36" i="38" s="1"/>
  <c r="J36" i="38"/>
  <c r="K36" i="38" s="1"/>
  <c r="I36" i="38"/>
  <c r="B36" i="38"/>
  <c r="M35" i="38"/>
  <c r="A35" i="38" s="1"/>
  <c r="J35" i="38"/>
  <c r="K35" i="38" s="1"/>
  <c r="I35" i="38"/>
  <c r="B35" i="38"/>
  <c r="K34" i="38"/>
  <c r="J34" i="38"/>
  <c r="I34" i="38"/>
  <c r="M34" i="38" s="1"/>
  <c r="A34" i="38" s="1"/>
  <c r="B34" i="38"/>
  <c r="M33" i="38"/>
  <c r="A33" i="38" s="1"/>
  <c r="J33" i="38"/>
  <c r="K33" i="38" s="1"/>
  <c r="I33" i="38"/>
  <c r="B33" i="38"/>
  <c r="J32" i="38"/>
  <c r="K32" i="38" s="1"/>
  <c r="I32" i="38"/>
  <c r="M32" i="38" s="1"/>
  <c r="A32" i="38" s="1"/>
  <c r="B32" i="38"/>
  <c r="J31" i="38"/>
  <c r="K31" i="38" s="1"/>
  <c r="I31" i="38"/>
  <c r="M31" i="38" s="1"/>
  <c r="A31" i="38" s="1"/>
  <c r="B31" i="38"/>
  <c r="J30" i="38"/>
  <c r="K30" i="38" s="1"/>
  <c r="I30" i="38"/>
  <c r="M30" i="38" s="1"/>
  <c r="A30" i="38" s="1"/>
  <c r="B30" i="38"/>
  <c r="J29" i="38"/>
  <c r="K29" i="38" s="1"/>
  <c r="I29" i="38"/>
  <c r="M29" i="38" s="1"/>
  <c r="A29" i="38" s="1"/>
  <c r="B29" i="38"/>
  <c r="J28" i="38"/>
  <c r="K28" i="38" s="1"/>
  <c r="I28" i="38"/>
  <c r="M28" i="38" s="1"/>
  <c r="A28" i="38" s="1"/>
  <c r="B28" i="38"/>
  <c r="M27" i="38"/>
  <c r="A27" i="38" s="1"/>
  <c r="J27" i="38"/>
  <c r="K27" i="38" s="1"/>
  <c r="I27" i="38"/>
  <c r="B27" i="38"/>
  <c r="J26" i="38"/>
  <c r="K26" i="38" s="1"/>
  <c r="I26" i="38"/>
  <c r="M26" i="38" s="1"/>
  <c r="A26" i="38" s="1"/>
  <c r="B26" i="38"/>
  <c r="J25" i="38"/>
  <c r="K25" i="38" s="1"/>
  <c r="I25" i="38"/>
  <c r="M25" i="38" s="1"/>
  <c r="A25" i="38" s="1"/>
  <c r="B25" i="38"/>
  <c r="J24" i="38"/>
  <c r="K24" i="38" s="1"/>
  <c r="I24" i="38"/>
  <c r="M24" i="38" s="1"/>
  <c r="A24" i="38" s="1"/>
  <c r="B24" i="38"/>
  <c r="K23" i="38"/>
  <c r="J23" i="38"/>
  <c r="I23" i="38"/>
  <c r="M23" i="38" s="1"/>
  <c r="A23" i="38" s="1"/>
  <c r="B23" i="38"/>
  <c r="K22" i="38"/>
  <c r="J22" i="38"/>
  <c r="I22" i="38"/>
  <c r="M22" i="38" s="1"/>
  <c r="A22" i="38" s="1"/>
  <c r="B22" i="38"/>
  <c r="M21" i="38"/>
  <c r="A21" i="38" s="1"/>
  <c r="J21" i="38"/>
  <c r="K21" i="38" s="1"/>
  <c r="I21" i="38"/>
  <c r="B21" i="38"/>
  <c r="J20" i="38"/>
  <c r="K20" i="38" s="1"/>
  <c r="I20" i="38"/>
  <c r="M20" i="38" s="1"/>
  <c r="A20" i="38" s="1"/>
  <c r="B20" i="38"/>
  <c r="M19" i="38"/>
  <c r="A19" i="38" s="1"/>
  <c r="J19" i="38"/>
  <c r="K19" i="38" s="1"/>
  <c r="I19" i="38"/>
  <c r="B19" i="38"/>
  <c r="K18" i="38"/>
  <c r="J18" i="38"/>
  <c r="I18" i="38"/>
  <c r="M18" i="38" s="1"/>
  <c r="A18" i="38" s="1"/>
  <c r="B18" i="38"/>
  <c r="J17" i="38"/>
  <c r="K17" i="38" s="1"/>
  <c r="I17" i="38"/>
  <c r="M17" i="38" s="1"/>
  <c r="A17" i="38" s="1"/>
  <c r="B17" i="38"/>
  <c r="AI16" i="38"/>
  <c r="K16" i="38"/>
  <c r="J16" i="38"/>
  <c r="I16" i="38"/>
  <c r="M16" i="38" s="1"/>
  <c r="A16" i="38" s="1"/>
  <c r="B16" i="38"/>
  <c r="K15" i="38"/>
  <c r="J15" i="38"/>
  <c r="I15" i="38"/>
  <c r="M15" i="38" s="1"/>
  <c r="A15" i="38" s="1"/>
  <c r="B15" i="38"/>
  <c r="AI14" i="38"/>
  <c r="J14" i="38"/>
  <c r="K14" i="38" s="1"/>
  <c r="I14" i="38"/>
  <c r="B14" i="38"/>
  <c r="AI13" i="38"/>
  <c r="M13" i="38"/>
  <c r="A13" i="38" s="1"/>
  <c r="J13" i="38"/>
  <c r="K13" i="38" s="1"/>
  <c r="I13" i="38"/>
  <c r="B13" i="38"/>
  <c r="AI12" i="38"/>
  <c r="K12" i="38"/>
  <c r="J12" i="38"/>
  <c r="I12" i="38"/>
  <c r="M12" i="38" s="1"/>
  <c r="A12" i="38" s="1"/>
  <c r="B12" i="38"/>
  <c r="J11" i="38"/>
  <c r="K11" i="38" s="1"/>
  <c r="I11" i="38"/>
  <c r="M11" i="38" s="1"/>
  <c r="A11" i="38" s="1"/>
  <c r="B11" i="38"/>
  <c r="J10" i="38"/>
  <c r="K10" i="38" s="1"/>
  <c r="I10" i="38"/>
  <c r="B10" i="38"/>
  <c r="K9" i="38"/>
  <c r="J9" i="38"/>
  <c r="I9" i="38"/>
  <c r="B9" i="38"/>
  <c r="J8" i="38"/>
  <c r="K8" i="38" s="1"/>
  <c r="M8" i="38" s="1"/>
  <c r="A8" i="38" s="1"/>
  <c r="I8" i="38"/>
  <c r="B8" i="38"/>
  <c r="J7" i="38"/>
  <c r="K7" i="38" s="1"/>
  <c r="I7" i="38"/>
  <c r="B7" i="38"/>
  <c r="K6" i="38"/>
  <c r="J6" i="38"/>
  <c r="I6" i="38"/>
  <c r="B6" i="38"/>
  <c r="K2" i="38"/>
  <c r="L8" i="38" s="1"/>
  <c r="B11" i="19"/>
  <c r="B10" i="19"/>
  <c r="B9" i="19"/>
  <c r="B8" i="19"/>
  <c r="B7" i="19"/>
  <c r="B6" i="19"/>
  <c r="B12" i="19"/>
  <c r="A10" i="19"/>
  <c r="B19" i="35"/>
  <c r="B18" i="35"/>
  <c r="B17" i="35"/>
  <c r="B16" i="35"/>
  <c r="B15" i="35"/>
  <c r="B14" i="35"/>
  <c r="B13" i="35"/>
  <c r="B12" i="35"/>
  <c r="B11" i="35"/>
  <c r="B10" i="35"/>
  <c r="B8" i="35"/>
  <c r="B7" i="35"/>
  <c r="B6" i="35"/>
  <c r="AH25" i="20"/>
  <c r="AI25" i="20" s="1"/>
  <c r="AH24" i="20"/>
  <c r="AI24" i="20" s="1"/>
  <c r="AH23" i="20"/>
  <c r="AI23" i="20" s="1"/>
  <c r="AH22" i="20"/>
  <c r="AI22" i="20" s="1"/>
  <c r="AH21" i="20"/>
  <c r="AI21" i="20" s="1"/>
  <c r="AH20" i="20"/>
  <c r="AI20" i="20" s="1"/>
  <c r="AH19" i="20"/>
  <c r="AI19" i="20" s="1"/>
  <c r="AH18" i="20"/>
  <c r="AI18" i="20" s="1"/>
  <c r="AH17" i="20"/>
  <c r="AI17" i="20" s="1"/>
  <c r="AH16" i="20"/>
  <c r="AI16" i="20" s="1"/>
  <c r="AH15" i="20"/>
  <c r="AI15" i="20" s="1"/>
  <c r="AH14" i="20"/>
  <c r="AI14" i="20" s="1"/>
  <c r="AH13" i="20"/>
  <c r="AI13" i="20" s="1"/>
  <c r="AH12" i="20"/>
  <c r="AI12" i="20" s="1"/>
  <c r="AH10" i="20"/>
  <c r="AI10" i="20" s="1"/>
  <c r="AH11" i="20"/>
  <c r="AI11" i="20" s="1"/>
  <c r="AH8" i="20"/>
  <c r="AI8" i="20" s="1"/>
  <c r="AH9" i="20"/>
  <c r="AI9" i="20" s="1"/>
  <c r="AH7" i="20"/>
  <c r="AI7" i="20" s="1"/>
  <c r="AH6" i="20"/>
  <c r="AI6" i="20" s="1"/>
  <c r="J305" i="37"/>
  <c r="K305" i="37" s="1"/>
  <c r="I305" i="37"/>
  <c r="M305" i="37" s="1"/>
  <c r="J304" i="37"/>
  <c r="K304" i="37" s="1"/>
  <c r="I304" i="37"/>
  <c r="M304" i="37" s="1"/>
  <c r="K303" i="37"/>
  <c r="J303" i="37"/>
  <c r="I303" i="37"/>
  <c r="M303" i="37" s="1"/>
  <c r="K302" i="37"/>
  <c r="J302" i="37"/>
  <c r="I302" i="37"/>
  <c r="M302" i="37" s="1"/>
  <c r="J301" i="37"/>
  <c r="K301" i="37" s="1"/>
  <c r="I301" i="37"/>
  <c r="M301" i="37" s="1"/>
  <c r="J300" i="37"/>
  <c r="K300" i="37" s="1"/>
  <c r="I300" i="37"/>
  <c r="M300" i="37" s="1"/>
  <c r="K299" i="37"/>
  <c r="J299" i="37"/>
  <c r="I299" i="37"/>
  <c r="M299" i="37" s="1"/>
  <c r="K298" i="37"/>
  <c r="J298" i="37"/>
  <c r="I298" i="37"/>
  <c r="M298" i="37" s="1"/>
  <c r="K297" i="37"/>
  <c r="J297" i="37"/>
  <c r="I297" i="37"/>
  <c r="M297" i="37" s="1"/>
  <c r="M296" i="37"/>
  <c r="J296" i="37"/>
  <c r="K296" i="37" s="1"/>
  <c r="I296" i="37"/>
  <c r="J295" i="37"/>
  <c r="K295" i="37" s="1"/>
  <c r="I295" i="37"/>
  <c r="M295" i="37" s="1"/>
  <c r="M294" i="37"/>
  <c r="K294" i="37"/>
  <c r="J294" i="37"/>
  <c r="I294" i="37"/>
  <c r="J293" i="37"/>
  <c r="K293" i="37" s="1"/>
  <c r="I293" i="37"/>
  <c r="M293" i="37" s="1"/>
  <c r="M292" i="37"/>
  <c r="K292" i="37"/>
  <c r="J292" i="37"/>
  <c r="I292" i="37"/>
  <c r="K291" i="37"/>
  <c r="J291" i="37"/>
  <c r="I291" i="37"/>
  <c r="M291" i="37" s="1"/>
  <c r="M290" i="37"/>
  <c r="J290" i="37"/>
  <c r="K290" i="37" s="1"/>
  <c r="I290" i="37"/>
  <c r="J289" i="37"/>
  <c r="K289" i="37" s="1"/>
  <c r="I289" i="37"/>
  <c r="M289" i="37" s="1"/>
  <c r="J288" i="37"/>
  <c r="K288" i="37" s="1"/>
  <c r="I288" i="37"/>
  <c r="M288" i="37" s="1"/>
  <c r="K287" i="37"/>
  <c r="J287" i="37"/>
  <c r="I287" i="37"/>
  <c r="M287" i="37" s="1"/>
  <c r="J286" i="37"/>
  <c r="K286" i="37" s="1"/>
  <c r="I286" i="37"/>
  <c r="M286" i="37" s="1"/>
  <c r="J285" i="37"/>
  <c r="K285" i="37" s="1"/>
  <c r="I285" i="37"/>
  <c r="M285" i="37" s="1"/>
  <c r="J284" i="37"/>
  <c r="K284" i="37" s="1"/>
  <c r="I284" i="37"/>
  <c r="M284" i="37" s="1"/>
  <c r="J283" i="37"/>
  <c r="K283" i="37" s="1"/>
  <c r="I283" i="37"/>
  <c r="M283" i="37" s="1"/>
  <c r="K282" i="37"/>
  <c r="J282" i="37"/>
  <c r="I282" i="37"/>
  <c r="M282" i="37" s="1"/>
  <c r="J281" i="37"/>
  <c r="K281" i="37" s="1"/>
  <c r="I281" i="37"/>
  <c r="M281" i="37" s="1"/>
  <c r="M280" i="37"/>
  <c r="J280" i="37"/>
  <c r="K280" i="37" s="1"/>
  <c r="I280" i="37"/>
  <c r="J279" i="37"/>
  <c r="K279" i="37" s="1"/>
  <c r="I279" i="37"/>
  <c r="M279" i="37" s="1"/>
  <c r="M278" i="37"/>
  <c r="K278" i="37"/>
  <c r="J278" i="37"/>
  <c r="I278" i="37"/>
  <c r="J277" i="37"/>
  <c r="K277" i="37" s="1"/>
  <c r="I277" i="37"/>
  <c r="M277" i="37" s="1"/>
  <c r="M276" i="37"/>
  <c r="J276" i="37"/>
  <c r="K276" i="37" s="1"/>
  <c r="I276" i="37"/>
  <c r="K275" i="37"/>
  <c r="J275" i="37"/>
  <c r="I275" i="37"/>
  <c r="M275" i="37" s="1"/>
  <c r="M274" i="37"/>
  <c r="K274" i="37"/>
  <c r="J274" i="37"/>
  <c r="I274" i="37"/>
  <c r="J273" i="37"/>
  <c r="K273" i="37" s="1"/>
  <c r="I273" i="37"/>
  <c r="M273" i="37" s="1"/>
  <c r="J272" i="37"/>
  <c r="K272" i="37" s="1"/>
  <c r="I272" i="37"/>
  <c r="M272" i="37" s="1"/>
  <c r="K271" i="37"/>
  <c r="J271" i="37"/>
  <c r="I271" i="37"/>
  <c r="M271" i="37" s="1"/>
  <c r="J270" i="37"/>
  <c r="K270" i="37" s="1"/>
  <c r="I270" i="37"/>
  <c r="M270" i="37" s="1"/>
  <c r="J269" i="37"/>
  <c r="K269" i="37" s="1"/>
  <c r="I269" i="37"/>
  <c r="M269" i="37" s="1"/>
  <c r="J268" i="37"/>
  <c r="K268" i="37" s="1"/>
  <c r="I268" i="37"/>
  <c r="M268" i="37" s="1"/>
  <c r="J267" i="37"/>
  <c r="K267" i="37" s="1"/>
  <c r="I267" i="37"/>
  <c r="M267" i="37" s="1"/>
  <c r="K266" i="37"/>
  <c r="J266" i="37"/>
  <c r="I266" i="37"/>
  <c r="M266" i="37" s="1"/>
  <c r="K265" i="37"/>
  <c r="J265" i="37"/>
  <c r="I265" i="37"/>
  <c r="M265" i="37" s="1"/>
  <c r="M264" i="37"/>
  <c r="J264" i="37"/>
  <c r="K264" i="37" s="1"/>
  <c r="I264" i="37"/>
  <c r="K263" i="37"/>
  <c r="J263" i="37"/>
  <c r="I263" i="37"/>
  <c r="M263" i="37" s="1"/>
  <c r="M262" i="37"/>
  <c r="K262" i="37"/>
  <c r="J262" i="37"/>
  <c r="I262" i="37"/>
  <c r="J261" i="37"/>
  <c r="K261" i="37" s="1"/>
  <c r="I261" i="37"/>
  <c r="M261" i="37" s="1"/>
  <c r="M260" i="37"/>
  <c r="K260" i="37"/>
  <c r="J260" i="37"/>
  <c r="I260" i="37"/>
  <c r="K259" i="37"/>
  <c r="J259" i="37"/>
  <c r="I259" i="37"/>
  <c r="M259" i="37" s="1"/>
  <c r="M258" i="37"/>
  <c r="J258" i="37"/>
  <c r="K258" i="37" s="1"/>
  <c r="I258" i="37"/>
  <c r="J257" i="37"/>
  <c r="K257" i="37" s="1"/>
  <c r="I257" i="37"/>
  <c r="M257" i="37" s="1"/>
  <c r="M256" i="37"/>
  <c r="J256" i="37"/>
  <c r="K256" i="37" s="1"/>
  <c r="I256" i="37"/>
  <c r="K255" i="37"/>
  <c r="J255" i="37"/>
  <c r="I255" i="37"/>
  <c r="M255" i="37" s="1"/>
  <c r="J254" i="37"/>
  <c r="K254" i="37" s="1"/>
  <c r="I254" i="37"/>
  <c r="M254" i="37" s="1"/>
  <c r="K253" i="37"/>
  <c r="J253" i="37"/>
  <c r="I253" i="37"/>
  <c r="M253" i="37" s="1"/>
  <c r="J252" i="37"/>
  <c r="K252" i="37" s="1"/>
  <c r="I252" i="37"/>
  <c r="M252" i="37" s="1"/>
  <c r="J251" i="37"/>
  <c r="K251" i="37" s="1"/>
  <c r="I251" i="37"/>
  <c r="M251" i="37" s="1"/>
  <c r="K250" i="37"/>
  <c r="J250" i="37"/>
  <c r="I250" i="37"/>
  <c r="M250" i="37" s="1"/>
  <c r="J249" i="37"/>
  <c r="K249" i="37" s="1"/>
  <c r="I249" i="37"/>
  <c r="M249" i="37" s="1"/>
  <c r="M248" i="37"/>
  <c r="J248" i="37"/>
  <c r="K248" i="37" s="1"/>
  <c r="I248" i="37"/>
  <c r="J247" i="37"/>
  <c r="K247" i="37" s="1"/>
  <c r="I247" i="37"/>
  <c r="M247" i="37" s="1"/>
  <c r="M246" i="37"/>
  <c r="K246" i="37"/>
  <c r="J246" i="37"/>
  <c r="I246" i="37"/>
  <c r="J245" i="37"/>
  <c r="K245" i="37" s="1"/>
  <c r="I245" i="37"/>
  <c r="M245" i="37" s="1"/>
  <c r="M244" i="37"/>
  <c r="J244" i="37"/>
  <c r="K244" i="37" s="1"/>
  <c r="I244" i="37"/>
  <c r="K243" i="37"/>
  <c r="J243" i="37"/>
  <c r="I243" i="37"/>
  <c r="M243" i="37" s="1"/>
  <c r="K242" i="37"/>
  <c r="J242" i="37"/>
  <c r="I242" i="37"/>
  <c r="M242" i="37" s="1"/>
  <c r="J241" i="37"/>
  <c r="K241" i="37" s="1"/>
  <c r="I241" i="37"/>
  <c r="M241" i="37" s="1"/>
  <c r="M240" i="37"/>
  <c r="K240" i="37"/>
  <c r="J240" i="37"/>
  <c r="I240" i="37"/>
  <c r="K239" i="37"/>
  <c r="J239" i="37"/>
  <c r="I239" i="37"/>
  <c r="M239" i="37" s="1"/>
  <c r="J238" i="37"/>
  <c r="K238" i="37" s="1"/>
  <c r="I238" i="37"/>
  <c r="M238" i="37" s="1"/>
  <c r="J237" i="37"/>
  <c r="K237" i="37" s="1"/>
  <c r="I237" i="37"/>
  <c r="M237" i="37" s="1"/>
  <c r="J236" i="37"/>
  <c r="K236" i="37" s="1"/>
  <c r="I236" i="37"/>
  <c r="M236" i="37" s="1"/>
  <c r="J235" i="37"/>
  <c r="K235" i="37" s="1"/>
  <c r="I235" i="37"/>
  <c r="M235" i="37" s="1"/>
  <c r="K234" i="37"/>
  <c r="J234" i="37"/>
  <c r="I234" i="37"/>
  <c r="M234" i="37" s="1"/>
  <c r="J233" i="37"/>
  <c r="K233" i="37" s="1"/>
  <c r="I233" i="37"/>
  <c r="M233" i="37" s="1"/>
  <c r="M232" i="37"/>
  <c r="J232" i="37"/>
  <c r="K232" i="37" s="1"/>
  <c r="I232" i="37"/>
  <c r="K231" i="37"/>
  <c r="J231" i="37"/>
  <c r="I231" i="37"/>
  <c r="M231" i="37" s="1"/>
  <c r="M230" i="37"/>
  <c r="K230" i="37"/>
  <c r="J230" i="37"/>
  <c r="I230" i="37"/>
  <c r="J229" i="37"/>
  <c r="K229" i="37" s="1"/>
  <c r="I229" i="37"/>
  <c r="M229" i="37" s="1"/>
  <c r="M228" i="37"/>
  <c r="J228" i="37"/>
  <c r="K228" i="37" s="1"/>
  <c r="I228" i="37"/>
  <c r="K227" i="37"/>
  <c r="J227" i="37"/>
  <c r="I227" i="37"/>
  <c r="M227" i="37" s="1"/>
  <c r="J226" i="37"/>
  <c r="K226" i="37" s="1"/>
  <c r="I226" i="37"/>
  <c r="M226" i="37" s="1"/>
  <c r="J225" i="37"/>
  <c r="K225" i="37" s="1"/>
  <c r="I225" i="37"/>
  <c r="M225" i="37" s="1"/>
  <c r="M224" i="37"/>
  <c r="J224" i="37"/>
  <c r="K224" i="37" s="1"/>
  <c r="I224" i="37"/>
  <c r="K223" i="37"/>
  <c r="J223" i="37"/>
  <c r="I223" i="37"/>
  <c r="M223" i="37" s="1"/>
  <c r="J222" i="37"/>
  <c r="K222" i="37" s="1"/>
  <c r="I222" i="37"/>
  <c r="M222" i="37" s="1"/>
  <c r="K221" i="37"/>
  <c r="J221" i="37"/>
  <c r="I221" i="37"/>
  <c r="M221" i="37" s="1"/>
  <c r="J220" i="37"/>
  <c r="K220" i="37" s="1"/>
  <c r="I220" i="37"/>
  <c r="M220" i="37" s="1"/>
  <c r="J219" i="37"/>
  <c r="K219" i="37" s="1"/>
  <c r="I219" i="37"/>
  <c r="M219" i="37" s="1"/>
  <c r="K218" i="37"/>
  <c r="J218" i="37"/>
  <c r="I218" i="37"/>
  <c r="M218" i="37" s="1"/>
  <c r="J217" i="37"/>
  <c r="K217" i="37" s="1"/>
  <c r="I217" i="37"/>
  <c r="M217" i="37" s="1"/>
  <c r="M216" i="37"/>
  <c r="J216" i="37"/>
  <c r="K216" i="37" s="1"/>
  <c r="I216" i="37"/>
  <c r="J215" i="37"/>
  <c r="K215" i="37" s="1"/>
  <c r="I215" i="37"/>
  <c r="M215" i="37" s="1"/>
  <c r="M214" i="37"/>
  <c r="K214" i="37"/>
  <c r="J214" i="37"/>
  <c r="I214" i="37"/>
  <c r="J213" i="37"/>
  <c r="K213" i="37" s="1"/>
  <c r="I213" i="37"/>
  <c r="M213" i="37" s="1"/>
  <c r="M212" i="37"/>
  <c r="J212" i="37"/>
  <c r="K212" i="37" s="1"/>
  <c r="I212" i="37"/>
  <c r="K211" i="37"/>
  <c r="J211" i="37"/>
  <c r="I211" i="37"/>
  <c r="M211" i="37" s="1"/>
  <c r="J210" i="37"/>
  <c r="K210" i="37" s="1"/>
  <c r="I210" i="37"/>
  <c r="M210" i="37" s="1"/>
  <c r="J209" i="37"/>
  <c r="K209" i="37" s="1"/>
  <c r="I209" i="37"/>
  <c r="M209" i="37" s="1"/>
  <c r="K208" i="37"/>
  <c r="J208" i="37"/>
  <c r="I208" i="37"/>
  <c r="M208" i="37" s="1"/>
  <c r="K207" i="37"/>
  <c r="J207" i="37"/>
  <c r="I207" i="37"/>
  <c r="M207" i="37" s="1"/>
  <c r="K206" i="37"/>
  <c r="J206" i="37"/>
  <c r="I206" i="37"/>
  <c r="M206" i="37" s="1"/>
  <c r="J205" i="37"/>
  <c r="K205" i="37" s="1"/>
  <c r="I205" i="37"/>
  <c r="M205" i="37" s="1"/>
  <c r="J204" i="37"/>
  <c r="K204" i="37" s="1"/>
  <c r="I204" i="37"/>
  <c r="M204" i="37" s="1"/>
  <c r="K203" i="37"/>
  <c r="J203" i="37"/>
  <c r="I203" i="37"/>
  <c r="M203" i="37" s="1"/>
  <c r="K202" i="37"/>
  <c r="J202" i="37"/>
  <c r="I202" i="37"/>
  <c r="M202" i="37" s="1"/>
  <c r="J201" i="37"/>
  <c r="K201" i="37" s="1"/>
  <c r="I201" i="37"/>
  <c r="M201" i="37" s="1"/>
  <c r="M200" i="37"/>
  <c r="J200" i="37"/>
  <c r="K200" i="37" s="1"/>
  <c r="I200" i="37"/>
  <c r="J199" i="37"/>
  <c r="K199" i="37" s="1"/>
  <c r="I199" i="37"/>
  <c r="M199" i="37" s="1"/>
  <c r="M198" i="37"/>
  <c r="K198" i="37"/>
  <c r="J198" i="37"/>
  <c r="I198" i="37"/>
  <c r="J197" i="37"/>
  <c r="K197" i="37" s="1"/>
  <c r="I197" i="37"/>
  <c r="M197" i="37" s="1"/>
  <c r="M196" i="37"/>
  <c r="J196" i="37"/>
  <c r="K196" i="37" s="1"/>
  <c r="I196" i="37"/>
  <c r="K195" i="37"/>
  <c r="J195" i="37"/>
  <c r="I195" i="37"/>
  <c r="M195" i="37" s="1"/>
  <c r="J194" i="37"/>
  <c r="K194" i="37" s="1"/>
  <c r="I194" i="37"/>
  <c r="M194" i="37" s="1"/>
  <c r="J193" i="37"/>
  <c r="K193" i="37" s="1"/>
  <c r="I193" i="37"/>
  <c r="M193" i="37" s="1"/>
  <c r="J192" i="37"/>
  <c r="K192" i="37" s="1"/>
  <c r="I192" i="37"/>
  <c r="M192" i="37" s="1"/>
  <c r="K191" i="37"/>
  <c r="J191" i="37"/>
  <c r="I191" i="37"/>
  <c r="M191" i="37" s="1"/>
  <c r="J190" i="37"/>
  <c r="K190" i="37" s="1"/>
  <c r="I190" i="37"/>
  <c r="M190" i="37" s="1"/>
  <c r="J189" i="37"/>
  <c r="K189" i="37" s="1"/>
  <c r="I189" i="37"/>
  <c r="M189" i="37" s="1"/>
  <c r="J188" i="37"/>
  <c r="K188" i="37" s="1"/>
  <c r="I188" i="37"/>
  <c r="M188" i="37" s="1"/>
  <c r="J187" i="37"/>
  <c r="K187" i="37" s="1"/>
  <c r="I187" i="37"/>
  <c r="M187" i="37" s="1"/>
  <c r="K186" i="37"/>
  <c r="J186" i="37"/>
  <c r="I186" i="37"/>
  <c r="M186" i="37" s="1"/>
  <c r="J185" i="37"/>
  <c r="K185" i="37" s="1"/>
  <c r="I185" i="37"/>
  <c r="M185" i="37" s="1"/>
  <c r="M184" i="37"/>
  <c r="J184" i="37"/>
  <c r="K184" i="37" s="1"/>
  <c r="I184" i="37"/>
  <c r="J183" i="37"/>
  <c r="K183" i="37" s="1"/>
  <c r="I183" i="37"/>
  <c r="M183" i="37" s="1"/>
  <c r="M182" i="37"/>
  <c r="K182" i="37"/>
  <c r="J182" i="37"/>
  <c r="I182" i="37"/>
  <c r="J181" i="37"/>
  <c r="K181" i="37" s="1"/>
  <c r="I181" i="37"/>
  <c r="M181" i="37" s="1"/>
  <c r="M180" i="37"/>
  <c r="J180" i="37"/>
  <c r="K180" i="37" s="1"/>
  <c r="I180" i="37"/>
  <c r="K179" i="37"/>
  <c r="J179" i="37"/>
  <c r="I179" i="37"/>
  <c r="M179" i="37" s="1"/>
  <c r="J178" i="37"/>
  <c r="K178" i="37" s="1"/>
  <c r="I178" i="37"/>
  <c r="M178" i="37" s="1"/>
  <c r="J177" i="37"/>
  <c r="K177" i="37" s="1"/>
  <c r="I177" i="37"/>
  <c r="M177" i="37" s="1"/>
  <c r="J176" i="37"/>
  <c r="K176" i="37" s="1"/>
  <c r="I176" i="37"/>
  <c r="M176" i="37" s="1"/>
  <c r="K175" i="37"/>
  <c r="J175" i="37"/>
  <c r="I175" i="37"/>
  <c r="M175" i="37" s="1"/>
  <c r="K174" i="37"/>
  <c r="J174" i="37"/>
  <c r="I174" i="37"/>
  <c r="M174" i="37" s="1"/>
  <c r="J173" i="37"/>
  <c r="K173" i="37" s="1"/>
  <c r="I173" i="37"/>
  <c r="M173" i="37" s="1"/>
  <c r="J172" i="37"/>
  <c r="K172" i="37" s="1"/>
  <c r="I172" i="37"/>
  <c r="M172" i="37" s="1"/>
  <c r="K171" i="37"/>
  <c r="J171" i="37"/>
  <c r="I171" i="37"/>
  <c r="M171" i="37" s="1"/>
  <c r="K170" i="37"/>
  <c r="J170" i="37"/>
  <c r="I170" i="37"/>
  <c r="M170" i="37" s="1"/>
  <c r="K169" i="37"/>
  <c r="J169" i="37"/>
  <c r="I169" i="37"/>
  <c r="M169" i="37" s="1"/>
  <c r="M168" i="37"/>
  <c r="J168" i="37"/>
  <c r="K168" i="37" s="1"/>
  <c r="I168" i="37"/>
  <c r="J167" i="37"/>
  <c r="K167" i="37" s="1"/>
  <c r="I167" i="37"/>
  <c r="M167" i="37" s="1"/>
  <c r="M166" i="37"/>
  <c r="K166" i="37"/>
  <c r="J166" i="37"/>
  <c r="I166" i="37"/>
  <c r="J165" i="37"/>
  <c r="K165" i="37" s="1"/>
  <c r="I165" i="37"/>
  <c r="M165" i="37" s="1"/>
  <c r="M164" i="37"/>
  <c r="K164" i="37"/>
  <c r="J164" i="37"/>
  <c r="I164" i="37"/>
  <c r="K163" i="37"/>
  <c r="J163" i="37"/>
  <c r="I163" i="37"/>
  <c r="M163" i="37" s="1"/>
  <c r="M162" i="37"/>
  <c r="J162" i="37"/>
  <c r="K162" i="37" s="1"/>
  <c r="I162" i="37"/>
  <c r="J161" i="37"/>
  <c r="K161" i="37" s="1"/>
  <c r="I161" i="37"/>
  <c r="M161" i="37" s="1"/>
  <c r="J160" i="37"/>
  <c r="K160" i="37" s="1"/>
  <c r="I160" i="37"/>
  <c r="M160" i="37" s="1"/>
  <c r="K159" i="37"/>
  <c r="J159" i="37"/>
  <c r="I159" i="37"/>
  <c r="M159" i="37" s="1"/>
  <c r="J158" i="37"/>
  <c r="K158" i="37" s="1"/>
  <c r="I158" i="37"/>
  <c r="M158" i="37" s="1"/>
  <c r="J157" i="37"/>
  <c r="K157" i="37" s="1"/>
  <c r="I157" i="37"/>
  <c r="M157" i="37" s="1"/>
  <c r="J156" i="37"/>
  <c r="K156" i="37" s="1"/>
  <c r="I156" i="37"/>
  <c r="M156" i="37" s="1"/>
  <c r="J155" i="37"/>
  <c r="K155" i="37" s="1"/>
  <c r="I155" i="37"/>
  <c r="M155" i="37" s="1"/>
  <c r="K154" i="37"/>
  <c r="J154" i="37"/>
  <c r="I154" i="37"/>
  <c r="M154" i="37" s="1"/>
  <c r="J153" i="37"/>
  <c r="K153" i="37" s="1"/>
  <c r="I153" i="37"/>
  <c r="M153" i="37" s="1"/>
  <c r="M152" i="37"/>
  <c r="J152" i="37"/>
  <c r="K152" i="37" s="1"/>
  <c r="I152" i="37"/>
  <c r="J151" i="37"/>
  <c r="K151" i="37" s="1"/>
  <c r="I151" i="37"/>
  <c r="M151" i="37" s="1"/>
  <c r="M150" i="37"/>
  <c r="K150" i="37"/>
  <c r="J150" i="37"/>
  <c r="I150" i="37"/>
  <c r="J149" i="37"/>
  <c r="K149" i="37" s="1"/>
  <c r="I149" i="37"/>
  <c r="M149" i="37" s="1"/>
  <c r="M148" i="37"/>
  <c r="J148" i="37"/>
  <c r="K148" i="37" s="1"/>
  <c r="I148" i="37"/>
  <c r="K147" i="37"/>
  <c r="J147" i="37"/>
  <c r="I147" i="37"/>
  <c r="M147" i="37" s="1"/>
  <c r="M146" i="37"/>
  <c r="K146" i="37"/>
  <c r="J146" i="37"/>
  <c r="I146" i="37"/>
  <c r="J145" i="37"/>
  <c r="K145" i="37" s="1"/>
  <c r="I145" i="37"/>
  <c r="M145" i="37" s="1"/>
  <c r="J144" i="37"/>
  <c r="K144" i="37" s="1"/>
  <c r="I144" i="37"/>
  <c r="M144" i="37" s="1"/>
  <c r="K143" i="37"/>
  <c r="J143" i="37"/>
  <c r="I143" i="37"/>
  <c r="M143" i="37" s="1"/>
  <c r="J142" i="37"/>
  <c r="K142" i="37" s="1"/>
  <c r="I142" i="37"/>
  <c r="M142" i="37" s="1"/>
  <c r="J141" i="37"/>
  <c r="K141" i="37" s="1"/>
  <c r="I141" i="37"/>
  <c r="M141" i="37" s="1"/>
  <c r="J140" i="37"/>
  <c r="K140" i="37" s="1"/>
  <c r="I140" i="37"/>
  <c r="M140" i="37" s="1"/>
  <c r="B140" i="37"/>
  <c r="A140" i="37"/>
  <c r="M139" i="37"/>
  <c r="A139" i="37" s="1"/>
  <c r="J139" i="37"/>
  <c r="K139" i="37" s="1"/>
  <c r="I139" i="37"/>
  <c r="B139" i="37"/>
  <c r="J138" i="37"/>
  <c r="K138" i="37" s="1"/>
  <c r="I138" i="37"/>
  <c r="M138" i="37" s="1"/>
  <c r="A138" i="37" s="1"/>
  <c r="B138" i="37"/>
  <c r="K137" i="37"/>
  <c r="J137" i="37"/>
  <c r="I137" i="37"/>
  <c r="M137" i="37" s="1"/>
  <c r="B137" i="37"/>
  <c r="A137" i="37"/>
  <c r="J136" i="37"/>
  <c r="K136" i="37" s="1"/>
  <c r="I136" i="37"/>
  <c r="M136" i="37" s="1"/>
  <c r="B136" i="37"/>
  <c r="A136" i="37"/>
  <c r="M135" i="37"/>
  <c r="A135" i="37" s="1"/>
  <c r="K135" i="37"/>
  <c r="J135" i="37"/>
  <c r="I135" i="37"/>
  <c r="B135" i="37"/>
  <c r="J134" i="37"/>
  <c r="K134" i="37" s="1"/>
  <c r="I134" i="37"/>
  <c r="M134" i="37" s="1"/>
  <c r="A134" i="37" s="1"/>
  <c r="B134" i="37"/>
  <c r="J133" i="37"/>
  <c r="K133" i="37" s="1"/>
  <c r="I133" i="37"/>
  <c r="M133" i="37" s="1"/>
  <c r="B133" i="37"/>
  <c r="A133" i="37"/>
  <c r="M132" i="37"/>
  <c r="A132" i="37" s="1"/>
  <c r="J132" i="37"/>
  <c r="K132" i="37" s="1"/>
  <c r="I132" i="37"/>
  <c r="B132" i="37"/>
  <c r="M131" i="37"/>
  <c r="A131" i="37" s="1"/>
  <c r="J131" i="37"/>
  <c r="K131" i="37" s="1"/>
  <c r="I131" i="37"/>
  <c r="B131" i="37"/>
  <c r="M130" i="37"/>
  <c r="A130" i="37" s="1"/>
  <c r="J130" i="37"/>
  <c r="K130" i="37" s="1"/>
  <c r="I130" i="37"/>
  <c r="B130" i="37"/>
  <c r="J129" i="37"/>
  <c r="K129" i="37" s="1"/>
  <c r="I129" i="37"/>
  <c r="M129" i="37" s="1"/>
  <c r="B129" i="37"/>
  <c r="A129" i="37"/>
  <c r="M128" i="37"/>
  <c r="J128" i="37"/>
  <c r="K128" i="37" s="1"/>
  <c r="I128" i="37"/>
  <c r="B128" i="37"/>
  <c r="A128" i="37"/>
  <c r="M127" i="37"/>
  <c r="A127" i="37" s="1"/>
  <c r="J127" i="37"/>
  <c r="K127" i="37" s="1"/>
  <c r="I127" i="37"/>
  <c r="B127" i="37"/>
  <c r="J126" i="37"/>
  <c r="K126" i="37" s="1"/>
  <c r="I126" i="37"/>
  <c r="M126" i="37" s="1"/>
  <c r="A126" i="37" s="1"/>
  <c r="B126" i="37"/>
  <c r="J125" i="37"/>
  <c r="K125" i="37" s="1"/>
  <c r="I125" i="37"/>
  <c r="M125" i="37" s="1"/>
  <c r="B125" i="37"/>
  <c r="A125" i="37"/>
  <c r="M124" i="37"/>
  <c r="J124" i="37"/>
  <c r="K124" i="37" s="1"/>
  <c r="I124" i="37"/>
  <c r="B124" i="37"/>
  <c r="A124" i="37"/>
  <c r="M123" i="37"/>
  <c r="A123" i="37" s="1"/>
  <c r="K123" i="37"/>
  <c r="J123" i="37"/>
  <c r="I123" i="37"/>
  <c r="B123" i="37"/>
  <c r="M122" i="37"/>
  <c r="A122" i="37" s="1"/>
  <c r="J122" i="37"/>
  <c r="K122" i="37" s="1"/>
  <c r="I122" i="37"/>
  <c r="B122" i="37"/>
  <c r="J121" i="37"/>
  <c r="K121" i="37" s="1"/>
  <c r="I121" i="37"/>
  <c r="M121" i="37" s="1"/>
  <c r="B121" i="37"/>
  <c r="A121" i="37"/>
  <c r="M120" i="37"/>
  <c r="A120" i="37" s="1"/>
  <c r="J120" i="37"/>
  <c r="K120" i="37" s="1"/>
  <c r="I120" i="37"/>
  <c r="B120" i="37"/>
  <c r="M119" i="37"/>
  <c r="A119" i="37" s="1"/>
  <c r="J119" i="37"/>
  <c r="K119" i="37" s="1"/>
  <c r="I119" i="37"/>
  <c r="B119" i="37"/>
  <c r="K118" i="37"/>
  <c r="J118" i="37"/>
  <c r="I118" i="37"/>
  <c r="M118" i="37" s="1"/>
  <c r="A118" i="37" s="1"/>
  <c r="B118" i="37"/>
  <c r="J117" i="37"/>
  <c r="K117" i="37" s="1"/>
  <c r="I117" i="37"/>
  <c r="M117" i="37" s="1"/>
  <c r="A117" i="37" s="1"/>
  <c r="B117" i="37"/>
  <c r="M116" i="37"/>
  <c r="J116" i="37"/>
  <c r="K116" i="37" s="1"/>
  <c r="I116" i="37"/>
  <c r="B116" i="37"/>
  <c r="A116" i="37"/>
  <c r="M115" i="37"/>
  <c r="A115" i="37" s="1"/>
  <c r="K115" i="37"/>
  <c r="J115" i="37"/>
  <c r="I115" i="37"/>
  <c r="B115" i="37"/>
  <c r="J114" i="37"/>
  <c r="K114" i="37" s="1"/>
  <c r="I114" i="37"/>
  <c r="M114" i="37" s="1"/>
  <c r="A114" i="37" s="1"/>
  <c r="B114" i="37"/>
  <c r="J113" i="37"/>
  <c r="K113" i="37" s="1"/>
  <c r="I113" i="37"/>
  <c r="M113" i="37" s="1"/>
  <c r="B113" i="37"/>
  <c r="A113" i="37"/>
  <c r="M112" i="37"/>
  <c r="A112" i="37" s="1"/>
  <c r="J112" i="37"/>
  <c r="K112" i="37" s="1"/>
  <c r="I112" i="37"/>
  <c r="B112" i="37"/>
  <c r="M111" i="37"/>
  <c r="A111" i="37" s="1"/>
  <c r="J111" i="37"/>
  <c r="K111" i="37" s="1"/>
  <c r="I111" i="37"/>
  <c r="B111" i="37"/>
  <c r="M110" i="37"/>
  <c r="A110" i="37" s="1"/>
  <c r="K110" i="37"/>
  <c r="J110" i="37"/>
  <c r="I110" i="37"/>
  <c r="B110" i="37"/>
  <c r="J109" i="37"/>
  <c r="K109" i="37" s="1"/>
  <c r="I109" i="37"/>
  <c r="M109" i="37" s="1"/>
  <c r="B109" i="37"/>
  <c r="A109" i="37"/>
  <c r="M108" i="37"/>
  <c r="A108" i="37" s="1"/>
  <c r="J108" i="37"/>
  <c r="K108" i="37" s="1"/>
  <c r="I108" i="37"/>
  <c r="B108" i="37"/>
  <c r="M107" i="37"/>
  <c r="A107" i="37" s="1"/>
  <c r="J107" i="37"/>
  <c r="K107" i="37" s="1"/>
  <c r="I107" i="37"/>
  <c r="B107" i="37"/>
  <c r="J106" i="37"/>
  <c r="K106" i="37" s="1"/>
  <c r="I106" i="37"/>
  <c r="M106" i="37" s="1"/>
  <c r="A106" i="37" s="1"/>
  <c r="B106" i="37"/>
  <c r="J105" i="37"/>
  <c r="K105" i="37" s="1"/>
  <c r="I105" i="37"/>
  <c r="M105" i="37" s="1"/>
  <c r="A105" i="37" s="1"/>
  <c r="B105" i="37"/>
  <c r="M104" i="37"/>
  <c r="J104" i="37"/>
  <c r="K104" i="37" s="1"/>
  <c r="I104" i="37"/>
  <c r="B104" i="37"/>
  <c r="A104" i="37"/>
  <c r="M103" i="37"/>
  <c r="A103" i="37" s="1"/>
  <c r="J103" i="37"/>
  <c r="K103" i="37" s="1"/>
  <c r="I103" i="37"/>
  <c r="B103" i="37"/>
  <c r="J102" i="37"/>
  <c r="K102" i="37" s="1"/>
  <c r="I102" i="37"/>
  <c r="M102" i="37" s="1"/>
  <c r="A102" i="37" s="1"/>
  <c r="B102" i="37"/>
  <c r="J101" i="37"/>
  <c r="K101" i="37" s="1"/>
  <c r="I101" i="37"/>
  <c r="M101" i="37" s="1"/>
  <c r="B101" i="37"/>
  <c r="A101" i="37"/>
  <c r="M100" i="37"/>
  <c r="A100" i="37" s="1"/>
  <c r="J100" i="37"/>
  <c r="K100" i="37" s="1"/>
  <c r="I100" i="37"/>
  <c r="B100" i="37"/>
  <c r="M99" i="37"/>
  <c r="A99" i="37" s="1"/>
  <c r="J99" i="37"/>
  <c r="K99" i="37" s="1"/>
  <c r="I99" i="37"/>
  <c r="B99" i="37"/>
  <c r="M98" i="37"/>
  <c r="A98" i="37" s="1"/>
  <c r="J98" i="37"/>
  <c r="K98" i="37" s="1"/>
  <c r="I98" i="37"/>
  <c r="B98" i="37"/>
  <c r="J97" i="37"/>
  <c r="K97" i="37" s="1"/>
  <c r="I97" i="37"/>
  <c r="M97" i="37" s="1"/>
  <c r="B97" i="37"/>
  <c r="A97" i="37"/>
  <c r="M96" i="37"/>
  <c r="J96" i="37"/>
  <c r="K96" i="37" s="1"/>
  <c r="I96" i="37"/>
  <c r="B96" i="37"/>
  <c r="A96" i="37"/>
  <c r="M95" i="37"/>
  <c r="A95" i="37" s="1"/>
  <c r="J95" i="37"/>
  <c r="K95" i="37" s="1"/>
  <c r="I95" i="37"/>
  <c r="B95" i="37"/>
  <c r="J94" i="37"/>
  <c r="K94" i="37" s="1"/>
  <c r="I94" i="37"/>
  <c r="M94" i="37" s="1"/>
  <c r="A94" i="37" s="1"/>
  <c r="B94" i="37"/>
  <c r="J93" i="37"/>
  <c r="K93" i="37" s="1"/>
  <c r="I93" i="37"/>
  <c r="M93" i="37" s="1"/>
  <c r="B93" i="37"/>
  <c r="A93" i="37"/>
  <c r="M92" i="37"/>
  <c r="J92" i="37"/>
  <c r="K92" i="37" s="1"/>
  <c r="I92" i="37"/>
  <c r="B92" i="37"/>
  <c r="A92" i="37"/>
  <c r="M91" i="37"/>
  <c r="A91" i="37" s="1"/>
  <c r="K91" i="37"/>
  <c r="J91" i="37"/>
  <c r="I91" i="37"/>
  <c r="B91" i="37"/>
  <c r="M90" i="37"/>
  <c r="A90" i="37" s="1"/>
  <c r="J90" i="37"/>
  <c r="K90" i="37" s="1"/>
  <c r="I90" i="37"/>
  <c r="B90" i="37"/>
  <c r="J89" i="37"/>
  <c r="K89" i="37" s="1"/>
  <c r="I89" i="37"/>
  <c r="M89" i="37" s="1"/>
  <c r="B89" i="37"/>
  <c r="A89" i="37"/>
  <c r="M88" i="37"/>
  <c r="A88" i="37" s="1"/>
  <c r="J88" i="37"/>
  <c r="K88" i="37" s="1"/>
  <c r="I88" i="37"/>
  <c r="B88" i="37"/>
  <c r="M87" i="37"/>
  <c r="A87" i="37" s="1"/>
  <c r="J87" i="37"/>
  <c r="K87" i="37" s="1"/>
  <c r="I87" i="37"/>
  <c r="B87" i="37"/>
  <c r="K86" i="37"/>
  <c r="J86" i="37"/>
  <c r="I86" i="37"/>
  <c r="M86" i="37" s="1"/>
  <c r="A86" i="37" s="1"/>
  <c r="B86" i="37"/>
  <c r="J85" i="37"/>
  <c r="K85" i="37" s="1"/>
  <c r="I85" i="37"/>
  <c r="M85" i="37" s="1"/>
  <c r="A85" i="37" s="1"/>
  <c r="B85" i="37"/>
  <c r="M84" i="37"/>
  <c r="J84" i="37"/>
  <c r="K84" i="37" s="1"/>
  <c r="I84" i="37"/>
  <c r="B84" i="37"/>
  <c r="A84" i="37"/>
  <c r="M83" i="37"/>
  <c r="A83" i="37" s="1"/>
  <c r="K83" i="37"/>
  <c r="J83" i="37"/>
  <c r="I83" i="37"/>
  <c r="B83" i="37"/>
  <c r="J82" i="37"/>
  <c r="K82" i="37" s="1"/>
  <c r="I82" i="37"/>
  <c r="M82" i="37" s="1"/>
  <c r="A82" i="37" s="1"/>
  <c r="B82" i="37"/>
  <c r="J81" i="37"/>
  <c r="K81" i="37" s="1"/>
  <c r="I81" i="37"/>
  <c r="M81" i="37" s="1"/>
  <c r="B81" i="37"/>
  <c r="A81" i="37"/>
  <c r="M80" i="37"/>
  <c r="A80" i="37" s="1"/>
  <c r="J80" i="37"/>
  <c r="K80" i="37" s="1"/>
  <c r="I80" i="37"/>
  <c r="B80" i="37"/>
  <c r="M79" i="37"/>
  <c r="A79" i="37" s="1"/>
  <c r="J79" i="37"/>
  <c r="K79" i="37" s="1"/>
  <c r="I79" i="37"/>
  <c r="B79" i="37"/>
  <c r="M78" i="37"/>
  <c r="A78" i="37" s="1"/>
  <c r="K78" i="37"/>
  <c r="J78" i="37"/>
  <c r="I78" i="37"/>
  <c r="B78" i="37"/>
  <c r="J77" i="37"/>
  <c r="K77" i="37" s="1"/>
  <c r="I77" i="37"/>
  <c r="M77" i="37" s="1"/>
  <c r="B77" i="37"/>
  <c r="A77" i="37"/>
  <c r="M76" i="37"/>
  <c r="A76" i="37" s="1"/>
  <c r="J76" i="37"/>
  <c r="K76" i="37" s="1"/>
  <c r="I76" i="37"/>
  <c r="B76" i="37"/>
  <c r="M75" i="37"/>
  <c r="A75" i="37" s="1"/>
  <c r="J75" i="37"/>
  <c r="K75" i="37" s="1"/>
  <c r="I75" i="37"/>
  <c r="B75" i="37"/>
  <c r="J74" i="37"/>
  <c r="K74" i="37" s="1"/>
  <c r="I74" i="37"/>
  <c r="M74" i="37" s="1"/>
  <c r="A74" i="37" s="1"/>
  <c r="B74" i="37"/>
  <c r="J73" i="37"/>
  <c r="K73" i="37" s="1"/>
  <c r="I73" i="37"/>
  <c r="M73" i="37" s="1"/>
  <c r="A73" i="37" s="1"/>
  <c r="B73" i="37"/>
  <c r="M72" i="37"/>
  <c r="J72" i="37"/>
  <c r="K72" i="37" s="1"/>
  <c r="I72" i="37"/>
  <c r="B72" i="37"/>
  <c r="A72" i="37"/>
  <c r="M71" i="37"/>
  <c r="A71" i="37" s="1"/>
  <c r="J71" i="37"/>
  <c r="K71" i="37" s="1"/>
  <c r="I71" i="37"/>
  <c r="B71" i="37"/>
  <c r="J70" i="37"/>
  <c r="K70" i="37" s="1"/>
  <c r="I70" i="37"/>
  <c r="M70" i="37" s="1"/>
  <c r="A70" i="37" s="1"/>
  <c r="B70" i="37"/>
  <c r="J69" i="37"/>
  <c r="K69" i="37" s="1"/>
  <c r="I69" i="37"/>
  <c r="M69" i="37" s="1"/>
  <c r="B69" i="37"/>
  <c r="A69" i="37"/>
  <c r="M68" i="37"/>
  <c r="A68" i="37" s="1"/>
  <c r="J68" i="37"/>
  <c r="K68" i="37" s="1"/>
  <c r="I68" i="37"/>
  <c r="B68" i="37"/>
  <c r="M67" i="37"/>
  <c r="A67" i="37" s="1"/>
  <c r="J67" i="37"/>
  <c r="K67" i="37" s="1"/>
  <c r="I67" i="37"/>
  <c r="B67" i="37"/>
  <c r="M66" i="37"/>
  <c r="A66" i="37" s="1"/>
  <c r="J66" i="37"/>
  <c r="K66" i="37" s="1"/>
  <c r="I66" i="37"/>
  <c r="B66" i="37"/>
  <c r="J65" i="37"/>
  <c r="K65" i="37" s="1"/>
  <c r="I65" i="37"/>
  <c r="M65" i="37" s="1"/>
  <c r="B65" i="37"/>
  <c r="A65" i="37"/>
  <c r="M64" i="37"/>
  <c r="J64" i="37"/>
  <c r="K64" i="37" s="1"/>
  <c r="I64" i="37"/>
  <c r="B64" i="37"/>
  <c r="A64" i="37"/>
  <c r="M63" i="37"/>
  <c r="A63" i="37" s="1"/>
  <c r="J63" i="37"/>
  <c r="K63" i="37" s="1"/>
  <c r="I63" i="37"/>
  <c r="B63" i="37"/>
  <c r="J62" i="37"/>
  <c r="K62" i="37" s="1"/>
  <c r="I62" i="37"/>
  <c r="M62" i="37" s="1"/>
  <c r="A62" i="37" s="1"/>
  <c r="B62" i="37"/>
  <c r="J61" i="37"/>
  <c r="K61" i="37" s="1"/>
  <c r="I61" i="37"/>
  <c r="M61" i="37" s="1"/>
  <c r="B61" i="37"/>
  <c r="A61" i="37"/>
  <c r="M60" i="37"/>
  <c r="J60" i="37"/>
  <c r="K60" i="37" s="1"/>
  <c r="I60" i="37"/>
  <c r="B60" i="37"/>
  <c r="A60" i="37"/>
  <c r="M59" i="37"/>
  <c r="A59" i="37" s="1"/>
  <c r="K59" i="37"/>
  <c r="J59" i="37"/>
  <c r="I59" i="37"/>
  <c r="B59" i="37"/>
  <c r="M58" i="37"/>
  <c r="A58" i="37" s="1"/>
  <c r="J58" i="37"/>
  <c r="K58" i="37" s="1"/>
  <c r="I58" i="37"/>
  <c r="B58" i="37"/>
  <c r="J57" i="37"/>
  <c r="K57" i="37" s="1"/>
  <c r="I57" i="37"/>
  <c r="M57" i="37" s="1"/>
  <c r="A57" i="37" s="1"/>
  <c r="B57" i="37"/>
  <c r="M56" i="37"/>
  <c r="A56" i="37" s="1"/>
  <c r="J56" i="37"/>
  <c r="K56" i="37" s="1"/>
  <c r="I56" i="37"/>
  <c r="B56" i="37"/>
  <c r="M55" i="37"/>
  <c r="A55" i="37" s="1"/>
  <c r="J55" i="37"/>
  <c r="K55" i="37" s="1"/>
  <c r="I55" i="37"/>
  <c r="B55" i="37"/>
  <c r="J54" i="37"/>
  <c r="K54" i="37" s="1"/>
  <c r="I54" i="37"/>
  <c r="M54" i="37" s="1"/>
  <c r="A54" i="37" s="1"/>
  <c r="B54" i="37"/>
  <c r="M53" i="37"/>
  <c r="A53" i="37" s="1"/>
  <c r="J53" i="37"/>
  <c r="K53" i="37" s="1"/>
  <c r="I53" i="37"/>
  <c r="B53" i="37"/>
  <c r="M52" i="37"/>
  <c r="J52" i="37"/>
  <c r="K52" i="37" s="1"/>
  <c r="I52" i="37"/>
  <c r="B52" i="37"/>
  <c r="A52" i="37"/>
  <c r="M51" i="37"/>
  <c r="A51" i="37" s="1"/>
  <c r="K51" i="37"/>
  <c r="J51" i="37"/>
  <c r="I51" i="37"/>
  <c r="B51" i="37"/>
  <c r="M50" i="37"/>
  <c r="A50" i="37" s="1"/>
  <c r="J50" i="37"/>
  <c r="K50" i="37" s="1"/>
  <c r="I50" i="37"/>
  <c r="B50" i="37"/>
  <c r="J49" i="37"/>
  <c r="K49" i="37" s="1"/>
  <c r="I49" i="37"/>
  <c r="M49" i="37" s="1"/>
  <c r="A49" i="37" s="1"/>
  <c r="B49" i="37"/>
  <c r="M48" i="37"/>
  <c r="A48" i="37" s="1"/>
  <c r="J48" i="37"/>
  <c r="K48" i="37" s="1"/>
  <c r="I48" i="37"/>
  <c r="B48" i="37"/>
  <c r="M47" i="37"/>
  <c r="A47" i="37" s="1"/>
  <c r="J47" i="37"/>
  <c r="K47" i="37" s="1"/>
  <c r="I47" i="37"/>
  <c r="B47" i="37"/>
  <c r="J46" i="37"/>
  <c r="K46" i="37" s="1"/>
  <c r="I46" i="37"/>
  <c r="M46" i="37" s="1"/>
  <c r="A46" i="37" s="1"/>
  <c r="B46" i="37"/>
  <c r="M45" i="37"/>
  <c r="A45" i="37" s="1"/>
  <c r="J45" i="37"/>
  <c r="K45" i="37" s="1"/>
  <c r="I45" i="37"/>
  <c r="B45" i="37"/>
  <c r="M44" i="37"/>
  <c r="J44" i="37"/>
  <c r="K44" i="37" s="1"/>
  <c r="I44" i="37"/>
  <c r="B44" i="37"/>
  <c r="A44" i="37"/>
  <c r="M43" i="37"/>
  <c r="A43" i="37" s="1"/>
  <c r="K43" i="37"/>
  <c r="J43" i="37"/>
  <c r="I43" i="37"/>
  <c r="B43" i="37"/>
  <c r="M42" i="37"/>
  <c r="A42" i="37" s="1"/>
  <c r="J42" i="37"/>
  <c r="K42" i="37" s="1"/>
  <c r="I42" i="37"/>
  <c r="B42" i="37"/>
  <c r="J41" i="37"/>
  <c r="K41" i="37" s="1"/>
  <c r="I41" i="37"/>
  <c r="M41" i="37" s="1"/>
  <c r="A41" i="37" s="1"/>
  <c r="B41" i="37"/>
  <c r="M40" i="37"/>
  <c r="A40" i="37" s="1"/>
  <c r="J40" i="37"/>
  <c r="K40" i="37" s="1"/>
  <c r="I40" i="37"/>
  <c r="B40" i="37"/>
  <c r="M39" i="37"/>
  <c r="A39" i="37" s="1"/>
  <c r="J39" i="37"/>
  <c r="K39" i="37" s="1"/>
  <c r="I39" i="37"/>
  <c r="B39" i="37"/>
  <c r="J38" i="37"/>
  <c r="K38" i="37" s="1"/>
  <c r="I38" i="37"/>
  <c r="M38" i="37" s="1"/>
  <c r="A38" i="37" s="1"/>
  <c r="B38" i="37"/>
  <c r="M37" i="37"/>
  <c r="A37" i="37" s="1"/>
  <c r="J37" i="37"/>
  <c r="K37" i="37" s="1"/>
  <c r="I37" i="37"/>
  <c r="B37" i="37"/>
  <c r="M36" i="37"/>
  <c r="J36" i="37"/>
  <c r="K36" i="37" s="1"/>
  <c r="I36" i="37"/>
  <c r="B36" i="37"/>
  <c r="A36" i="37"/>
  <c r="M35" i="37"/>
  <c r="A35" i="37" s="1"/>
  <c r="K35" i="37"/>
  <c r="J35" i="37"/>
  <c r="I35" i="37"/>
  <c r="B35" i="37"/>
  <c r="M34" i="37"/>
  <c r="A34" i="37" s="1"/>
  <c r="J34" i="37"/>
  <c r="K34" i="37" s="1"/>
  <c r="I34" i="37"/>
  <c r="B34" i="37"/>
  <c r="J33" i="37"/>
  <c r="K33" i="37" s="1"/>
  <c r="I33" i="37"/>
  <c r="M33" i="37" s="1"/>
  <c r="A33" i="37" s="1"/>
  <c r="B33" i="37"/>
  <c r="M32" i="37"/>
  <c r="A32" i="37" s="1"/>
  <c r="J32" i="37"/>
  <c r="K32" i="37" s="1"/>
  <c r="I32" i="37"/>
  <c r="B32" i="37"/>
  <c r="M31" i="37"/>
  <c r="A31" i="37" s="1"/>
  <c r="J31" i="37"/>
  <c r="K31" i="37" s="1"/>
  <c r="I31" i="37"/>
  <c r="B31" i="37"/>
  <c r="J30" i="37"/>
  <c r="K30" i="37" s="1"/>
  <c r="I30" i="37"/>
  <c r="M30" i="37" s="1"/>
  <c r="A30" i="37" s="1"/>
  <c r="B30" i="37"/>
  <c r="M29" i="37"/>
  <c r="A29" i="37" s="1"/>
  <c r="K29" i="37"/>
  <c r="J29" i="37"/>
  <c r="I29" i="37"/>
  <c r="B29" i="37"/>
  <c r="J28" i="37"/>
  <c r="K28" i="37" s="1"/>
  <c r="I28" i="37"/>
  <c r="M28" i="37" s="1"/>
  <c r="A28" i="37" s="1"/>
  <c r="B28" i="37"/>
  <c r="M27" i="37"/>
  <c r="J27" i="37"/>
  <c r="K27" i="37" s="1"/>
  <c r="I27" i="37"/>
  <c r="B27" i="37"/>
  <c r="A27" i="37"/>
  <c r="M26" i="37"/>
  <c r="A26" i="37" s="1"/>
  <c r="J26" i="37"/>
  <c r="K26" i="37" s="1"/>
  <c r="I26" i="37"/>
  <c r="B26" i="37"/>
  <c r="J25" i="37"/>
  <c r="K25" i="37" s="1"/>
  <c r="I25" i="37"/>
  <c r="M25" i="37" s="1"/>
  <c r="A25" i="37" s="1"/>
  <c r="B25" i="37"/>
  <c r="J24" i="37"/>
  <c r="K24" i="37" s="1"/>
  <c r="I24" i="37"/>
  <c r="M24" i="37" s="1"/>
  <c r="A24" i="37" s="1"/>
  <c r="B24" i="37"/>
  <c r="M23" i="37"/>
  <c r="A23" i="37" s="1"/>
  <c r="J23" i="37"/>
  <c r="K23" i="37" s="1"/>
  <c r="I23" i="37"/>
  <c r="B23" i="37"/>
  <c r="M22" i="37"/>
  <c r="A22" i="37" s="1"/>
  <c r="J22" i="37"/>
  <c r="K22" i="37" s="1"/>
  <c r="I22" i="37"/>
  <c r="B22" i="37"/>
  <c r="J21" i="37"/>
  <c r="K21" i="37" s="1"/>
  <c r="I21" i="37"/>
  <c r="M21" i="37" s="1"/>
  <c r="A21" i="37" s="1"/>
  <c r="B21" i="37"/>
  <c r="J20" i="37"/>
  <c r="K20" i="37" s="1"/>
  <c r="I20" i="37"/>
  <c r="M20" i="37" s="1"/>
  <c r="A20" i="37" s="1"/>
  <c r="B20" i="37"/>
  <c r="M19" i="37"/>
  <c r="A19" i="37" s="1"/>
  <c r="J19" i="37"/>
  <c r="K19" i="37" s="1"/>
  <c r="I19" i="37"/>
  <c r="B19" i="37"/>
  <c r="J18" i="37"/>
  <c r="K18" i="37" s="1"/>
  <c r="I18" i="37"/>
  <c r="M18" i="37" s="1"/>
  <c r="A18" i="37" s="1"/>
  <c r="B18" i="37"/>
  <c r="K17" i="37"/>
  <c r="J17" i="37"/>
  <c r="I17" i="37"/>
  <c r="M17" i="37" s="1"/>
  <c r="A17" i="37" s="1"/>
  <c r="B17" i="37"/>
  <c r="AI16" i="37"/>
  <c r="K16" i="37"/>
  <c r="J16" i="37"/>
  <c r="I16" i="37"/>
  <c r="M16" i="37" s="1"/>
  <c r="B16" i="37"/>
  <c r="A16" i="37"/>
  <c r="K15" i="37"/>
  <c r="J15" i="37"/>
  <c r="I15" i="37"/>
  <c r="M15" i="37" s="1"/>
  <c r="A15" i="37" s="1"/>
  <c r="B15" i="37"/>
  <c r="AI14" i="37"/>
  <c r="M14" i="37"/>
  <c r="A14" i="37" s="1"/>
  <c r="J14" i="37"/>
  <c r="K14" i="37" s="1"/>
  <c r="I14" i="37"/>
  <c r="B14" i="37"/>
  <c r="AI13" i="37"/>
  <c r="J13" i="37"/>
  <c r="K13" i="37" s="1"/>
  <c r="I13" i="37"/>
  <c r="M13" i="37" s="1"/>
  <c r="A13" i="37" s="1"/>
  <c r="B13" i="37"/>
  <c r="AI12" i="37"/>
  <c r="J12" i="37"/>
  <c r="K12" i="37" s="1"/>
  <c r="I12" i="37"/>
  <c r="M12" i="37" s="1"/>
  <c r="A12" i="37" s="1"/>
  <c r="B12" i="37"/>
  <c r="M11" i="37"/>
  <c r="A11" i="37" s="1"/>
  <c r="K11" i="37"/>
  <c r="J11" i="37"/>
  <c r="I11" i="37"/>
  <c r="B11" i="37"/>
  <c r="J10" i="37"/>
  <c r="K10" i="37" s="1"/>
  <c r="I10" i="37"/>
  <c r="M10" i="37" s="1"/>
  <c r="A10" i="37" s="1"/>
  <c r="B10" i="37"/>
  <c r="K9" i="37"/>
  <c r="J9" i="37"/>
  <c r="I9" i="37"/>
  <c r="M9" i="37" s="1"/>
  <c r="A9" i="37" s="1"/>
  <c r="B9" i="37"/>
  <c r="M8" i="37"/>
  <c r="J8" i="37"/>
  <c r="K8" i="37" s="1"/>
  <c r="I8" i="37"/>
  <c r="B8" i="37"/>
  <c r="A8" i="37"/>
  <c r="M7" i="37"/>
  <c r="A7" i="37" s="1"/>
  <c r="K7" i="37"/>
  <c r="J7" i="37"/>
  <c r="I7" i="37"/>
  <c r="B7" i="37"/>
  <c r="M6" i="37"/>
  <c r="A6" i="37" s="1"/>
  <c r="L6" i="37"/>
  <c r="J6" i="37"/>
  <c r="K6" i="37" s="1"/>
  <c r="I6" i="37"/>
  <c r="B6" i="37"/>
  <c r="K2" i="37"/>
  <c r="L7" i="37" s="1"/>
  <c r="A8" i="31"/>
  <c r="B8" i="31"/>
  <c r="B9" i="30"/>
  <c r="B8" i="30"/>
  <c r="B7" i="30"/>
  <c r="B6" i="30"/>
  <c r="AB10" i="20"/>
  <c r="AB12" i="20"/>
  <c r="AB11" i="20"/>
  <c r="AB8" i="20"/>
  <c r="AB9" i="20"/>
  <c r="AB7" i="20"/>
  <c r="AB6" i="20"/>
  <c r="Z25" i="20"/>
  <c r="AA25" i="20" s="1"/>
  <c r="Z24" i="20"/>
  <c r="AA24" i="20" s="1"/>
  <c r="Z23" i="20"/>
  <c r="AA23" i="20" s="1"/>
  <c r="Z22" i="20"/>
  <c r="AA22" i="20" s="1"/>
  <c r="Z21" i="20"/>
  <c r="AA21" i="20" s="1"/>
  <c r="Z20" i="20"/>
  <c r="AA20" i="20" s="1"/>
  <c r="Z19" i="20"/>
  <c r="AA19" i="20" s="1"/>
  <c r="Z18" i="20"/>
  <c r="AA18" i="20" s="1"/>
  <c r="Z17" i="20"/>
  <c r="AA17" i="20" s="1"/>
  <c r="Z16" i="20"/>
  <c r="AA16" i="20" s="1"/>
  <c r="Z15" i="20"/>
  <c r="AA15" i="20" s="1"/>
  <c r="Z14" i="20"/>
  <c r="AA14" i="20" s="1"/>
  <c r="Z13" i="20"/>
  <c r="AA13" i="20" s="1"/>
  <c r="Z10" i="20"/>
  <c r="AA10" i="20" s="1"/>
  <c r="Z12" i="20"/>
  <c r="AA12" i="20" s="1"/>
  <c r="Z11" i="20"/>
  <c r="AA11" i="20" s="1"/>
  <c r="Z8" i="20"/>
  <c r="AA8" i="20" s="1"/>
  <c r="Z9" i="20"/>
  <c r="AA9" i="20" s="1"/>
  <c r="Z7" i="20"/>
  <c r="AA7" i="20" s="1"/>
  <c r="Z6" i="20"/>
  <c r="AA6" i="20" s="1"/>
  <c r="X25" i="20"/>
  <c r="Y25" i="20" s="1"/>
  <c r="X24" i="20"/>
  <c r="Y24" i="20" s="1"/>
  <c r="X23" i="20"/>
  <c r="Y23" i="20" s="1"/>
  <c r="X22" i="20"/>
  <c r="Y22" i="20" s="1"/>
  <c r="X21" i="20"/>
  <c r="Y21" i="20" s="1"/>
  <c r="X20" i="20"/>
  <c r="Y20" i="20" s="1"/>
  <c r="X19" i="20"/>
  <c r="Y19" i="20" s="1"/>
  <c r="X18" i="20"/>
  <c r="Y18" i="20" s="1"/>
  <c r="X17" i="20"/>
  <c r="Y17" i="20" s="1"/>
  <c r="X16" i="20"/>
  <c r="Y16" i="20" s="1"/>
  <c r="X15" i="20"/>
  <c r="Y15" i="20" s="1"/>
  <c r="X14" i="20"/>
  <c r="Y14" i="20" s="1"/>
  <c r="X13" i="20"/>
  <c r="Y13" i="20" s="1"/>
  <c r="X10" i="20"/>
  <c r="Y10" i="20" s="1"/>
  <c r="X12" i="20"/>
  <c r="Y12" i="20" s="1"/>
  <c r="X11" i="20"/>
  <c r="Y11" i="20" s="1"/>
  <c r="X8" i="20"/>
  <c r="Y8" i="20" s="1"/>
  <c r="X9" i="20"/>
  <c r="Y9" i="20" s="1"/>
  <c r="X7" i="20"/>
  <c r="Y7" i="20" s="1"/>
  <c r="X6" i="20"/>
  <c r="Y6" i="20" s="1"/>
  <c r="B11" i="29"/>
  <c r="B10" i="29"/>
  <c r="B9" i="29"/>
  <c r="B8" i="29"/>
  <c r="B7" i="29"/>
  <c r="B6" i="29"/>
  <c r="B12" i="29"/>
  <c r="B9" i="18"/>
  <c r="B8" i="18"/>
  <c r="B7" i="18"/>
  <c r="B6" i="18"/>
  <c r="J7" i="18"/>
  <c r="B6" i="17"/>
  <c r="B7" i="17"/>
  <c r="B8" i="17"/>
  <c r="B9" i="17"/>
  <c r="B10" i="17"/>
  <c r="B11" i="17"/>
  <c r="M10" i="38" l="1"/>
  <c r="A10" i="38" s="1"/>
  <c r="M14" i="38"/>
  <c r="A14" i="38" s="1"/>
  <c r="L7" i="38"/>
  <c r="L9" i="38"/>
  <c r="M9" i="38" s="1"/>
  <c r="A9" i="38" s="1"/>
  <c r="L6" i="38"/>
  <c r="M6" i="38" s="1"/>
  <c r="A6" i="38" s="1"/>
  <c r="M7" i="38"/>
  <c r="A7" i="38" s="1"/>
  <c r="L9" i="37"/>
  <c r="L8" i="37"/>
  <c r="B17" i="19"/>
  <c r="B16" i="19"/>
  <c r="B15" i="19"/>
  <c r="B14" i="19"/>
  <c r="B13" i="19"/>
  <c r="B13" i="29"/>
  <c r="AF25" i="20"/>
  <c r="AG25" i="20" s="1"/>
  <c r="AF24" i="20"/>
  <c r="AG24" i="20" s="1"/>
  <c r="AF23" i="20"/>
  <c r="AG23" i="20" s="1"/>
  <c r="AF22" i="20"/>
  <c r="AG22" i="20" s="1"/>
  <c r="AF21" i="20"/>
  <c r="AG21" i="20" s="1"/>
  <c r="AF20" i="20"/>
  <c r="AG20" i="20" s="1"/>
  <c r="AF19" i="20"/>
  <c r="AG19" i="20" s="1"/>
  <c r="AF18" i="20"/>
  <c r="AG18" i="20" s="1"/>
  <c r="AF17" i="20"/>
  <c r="AG17" i="20" s="1"/>
  <c r="AF16" i="20"/>
  <c r="AG16" i="20" s="1"/>
  <c r="AF15" i="20"/>
  <c r="AG15" i="20" s="1"/>
  <c r="AF14" i="20"/>
  <c r="AG14" i="20" s="1"/>
  <c r="AF7" i="20"/>
  <c r="AG7" i="20" s="1"/>
  <c r="AF12" i="20"/>
  <c r="AG12" i="20" s="1"/>
  <c r="AF11" i="20"/>
  <c r="AG11" i="20" s="1"/>
  <c r="AF10" i="20"/>
  <c r="AG10" i="20" s="1"/>
  <c r="AF13" i="20"/>
  <c r="AG13" i="20" s="1"/>
  <c r="AF6" i="20"/>
  <c r="AG6" i="20" s="1"/>
  <c r="AF9" i="20"/>
  <c r="AG9" i="20" s="1"/>
  <c r="AF8" i="20"/>
  <c r="AG8" i="20" s="1"/>
  <c r="AD7" i="20"/>
  <c r="AD11" i="20"/>
  <c r="AD10" i="20"/>
  <c r="AD6" i="20"/>
  <c r="AD9" i="20"/>
  <c r="AD8" i="20"/>
  <c r="B147" i="28"/>
  <c r="B146" i="28"/>
  <c r="B145" i="28"/>
  <c r="B144" i="28"/>
  <c r="B143" i="28"/>
  <c r="B142" i="28"/>
  <c r="B141" i="28"/>
  <c r="B140" i="28"/>
  <c r="B139" i="28"/>
  <c r="B138" i="28"/>
  <c r="B137" i="28"/>
  <c r="B136" i="28"/>
  <c r="B135" i="28"/>
  <c r="B134" i="28"/>
  <c r="B133" i="28"/>
  <c r="B132" i="28"/>
  <c r="B131" i="28"/>
  <c r="B130" i="28"/>
  <c r="B129" i="28"/>
  <c r="B128" i="28"/>
  <c r="B127" i="28"/>
  <c r="B126" i="28"/>
  <c r="B125" i="28"/>
  <c r="B124" i="28"/>
  <c r="B123" i="28"/>
  <c r="B122" i="28"/>
  <c r="B121" i="28"/>
  <c r="B120" i="28"/>
  <c r="B119" i="28"/>
  <c r="B118" i="28"/>
  <c r="B117" i="28"/>
  <c r="B116" i="28"/>
  <c r="B115" i="28"/>
  <c r="B114" i="28"/>
  <c r="B113" i="28"/>
  <c r="B112" i="28"/>
  <c r="B111" i="28"/>
  <c r="B110" i="28"/>
  <c r="B109" i="28"/>
  <c r="B108" i="28"/>
  <c r="B107" i="28"/>
  <c r="B106" i="28"/>
  <c r="B105" i="28"/>
  <c r="B104" i="28"/>
  <c r="B103" i="28"/>
  <c r="B102" i="28"/>
  <c r="B101" i="28"/>
  <c r="B100" i="28"/>
  <c r="B99" i="28"/>
  <c r="B98" i="28"/>
  <c r="B97" i="28"/>
  <c r="B96" i="28"/>
  <c r="B95" i="28"/>
  <c r="B94" i="28"/>
  <c r="B93" i="28"/>
  <c r="B92" i="28"/>
  <c r="B91" i="28"/>
  <c r="B90" i="28"/>
  <c r="B89" i="28"/>
  <c r="B88" i="28"/>
  <c r="B87" i="28"/>
  <c r="B86" i="28"/>
  <c r="B85" i="28"/>
  <c r="B84" i="28"/>
  <c r="B83" i="28"/>
  <c r="B82" i="28"/>
  <c r="B81" i="28"/>
  <c r="B80" i="28"/>
  <c r="B79" i="28"/>
  <c r="B78" i="28"/>
  <c r="B77" i="28"/>
  <c r="B76" i="28"/>
  <c r="B75" i="28"/>
  <c r="B74" i="28"/>
  <c r="B73" i="28"/>
  <c r="B72" i="28"/>
  <c r="B71" i="28"/>
  <c r="B70" i="28"/>
  <c r="B69" i="28"/>
  <c r="B68" i="28"/>
  <c r="B67" i="28"/>
  <c r="B66" i="28"/>
  <c r="B65" i="28"/>
  <c r="B64" i="28"/>
  <c r="B63" i="28"/>
  <c r="B62" i="28"/>
  <c r="B61" i="28"/>
  <c r="B60" i="28"/>
  <c r="B59" i="28"/>
  <c r="B58" i="28"/>
  <c r="B57" i="28"/>
  <c r="B56" i="28"/>
  <c r="B55" i="28"/>
  <c r="B53" i="28"/>
  <c r="B51" i="28"/>
  <c r="B50" i="28"/>
  <c r="B49" i="28"/>
  <c r="B48" i="28"/>
  <c r="B47" i="28"/>
  <c r="B46" i="28"/>
  <c r="B45" i="28"/>
  <c r="B44" i="28"/>
  <c r="B43" i="28"/>
  <c r="B42" i="28"/>
  <c r="B41" i="28"/>
  <c r="B40" i="28"/>
  <c r="B39" i="28"/>
  <c r="B38" i="28"/>
  <c r="B37" i="28"/>
  <c r="B36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B52" i="28"/>
  <c r="M305" i="36"/>
  <c r="J305" i="36"/>
  <c r="K305" i="36" s="1"/>
  <c r="I305" i="36"/>
  <c r="J304" i="36"/>
  <c r="K304" i="36" s="1"/>
  <c r="I304" i="36"/>
  <c r="M304" i="36" s="1"/>
  <c r="M303" i="36"/>
  <c r="J303" i="36"/>
  <c r="K303" i="36" s="1"/>
  <c r="I303" i="36"/>
  <c r="J302" i="36"/>
  <c r="K302" i="36" s="1"/>
  <c r="I302" i="36"/>
  <c r="M302" i="36" s="1"/>
  <c r="M301" i="36"/>
  <c r="J301" i="36"/>
  <c r="K301" i="36" s="1"/>
  <c r="I301" i="36"/>
  <c r="J300" i="36"/>
  <c r="K300" i="36" s="1"/>
  <c r="I300" i="36"/>
  <c r="M300" i="36" s="1"/>
  <c r="M299" i="36"/>
  <c r="J299" i="36"/>
  <c r="K299" i="36" s="1"/>
  <c r="I299" i="36"/>
  <c r="J298" i="36"/>
  <c r="K298" i="36" s="1"/>
  <c r="I298" i="36"/>
  <c r="M298" i="36" s="1"/>
  <c r="M297" i="36"/>
  <c r="J297" i="36"/>
  <c r="K297" i="36" s="1"/>
  <c r="I297" i="36"/>
  <c r="J296" i="36"/>
  <c r="K296" i="36" s="1"/>
  <c r="I296" i="36"/>
  <c r="M296" i="36" s="1"/>
  <c r="M295" i="36"/>
  <c r="J295" i="36"/>
  <c r="K295" i="36" s="1"/>
  <c r="I295" i="36"/>
  <c r="J294" i="36"/>
  <c r="K294" i="36" s="1"/>
  <c r="I294" i="36"/>
  <c r="M294" i="36" s="1"/>
  <c r="M293" i="36"/>
  <c r="J293" i="36"/>
  <c r="K293" i="36" s="1"/>
  <c r="I293" i="36"/>
  <c r="J292" i="36"/>
  <c r="K292" i="36" s="1"/>
  <c r="I292" i="36"/>
  <c r="M292" i="36" s="1"/>
  <c r="M291" i="36"/>
  <c r="J291" i="36"/>
  <c r="K291" i="36" s="1"/>
  <c r="I291" i="36"/>
  <c r="J290" i="36"/>
  <c r="K290" i="36" s="1"/>
  <c r="I290" i="36"/>
  <c r="M290" i="36" s="1"/>
  <c r="M289" i="36"/>
  <c r="J289" i="36"/>
  <c r="K289" i="36" s="1"/>
  <c r="I289" i="36"/>
  <c r="J288" i="36"/>
  <c r="K288" i="36" s="1"/>
  <c r="I288" i="36"/>
  <c r="M288" i="36" s="1"/>
  <c r="M287" i="36"/>
  <c r="J287" i="36"/>
  <c r="K287" i="36" s="1"/>
  <c r="I287" i="36"/>
  <c r="J286" i="36"/>
  <c r="K286" i="36" s="1"/>
  <c r="I286" i="36"/>
  <c r="M286" i="36" s="1"/>
  <c r="M285" i="36"/>
  <c r="J285" i="36"/>
  <c r="K285" i="36" s="1"/>
  <c r="I285" i="36"/>
  <c r="J284" i="36"/>
  <c r="K284" i="36" s="1"/>
  <c r="I284" i="36"/>
  <c r="M284" i="36" s="1"/>
  <c r="M283" i="36"/>
  <c r="J283" i="36"/>
  <c r="K283" i="36" s="1"/>
  <c r="I283" i="36"/>
  <c r="J282" i="36"/>
  <c r="K282" i="36" s="1"/>
  <c r="I282" i="36"/>
  <c r="M282" i="36" s="1"/>
  <c r="M281" i="36"/>
  <c r="J281" i="36"/>
  <c r="K281" i="36" s="1"/>
  <c r="I281" i="36"/>
  <c r="J280" i="36"/>
  <c r="K280" i="36" s="1"/>
  <c r="I280" i="36"/>
  <c r="M280" i="36" s="1"/>
  <c r="M279" i="36"/>
  <c r="J279" i="36"/>
  <c r="K279" i="36" s="1"/>
  <c r="I279" i="36"/>
  <c r="J278" i="36"/>
  <c r="K278" i="36" s="1"/>
  <c r="I278" i="36"/>
  <c r="M278" i="36" s="1"/>
  <c r="M277" i="36"/>
  <c r="J277" i="36"/>
  <c r="K277" i="36" s="1"/>
  <c r="I277" i="36"/>
  <c r="J276" i="36"/>
  <c r="K276" i="36" s="1"/>
  <c r="I276" i="36"/>
  <c r="M276" i="36" s="1"/>
  <c r="M275" i="36"/>
  <c r="J275" i="36"/>
  <c r="K275" i="36" s="1"/>
  <c r="I275" i="36"/>
  <c r="J274" i="36"/>
  <c r="K274" i="36" s="1"/>
  <c r="I274" i="36"/>
  <c r="M274" i="36" s="1"/>
  <c r="M273" i="36"/>
  <c r="J273" i="36"/>
  <c r="K273" i="36" s="1"/>
  <c r="I273" i="36"/>
  <c r="J272" i="36"/>
  <c r="K272" i="36" s="1"/>
  <c r="I272" i="36"/>
  <c r="M272" i="36" s="1"/>
  <c r="M271" i="36"/>
  <c r="J271" i="36"/>
  <c r="K271" i="36" s="1"/>
  <c r="I271" i="36"/>
  <c r="J270" i="36"/>
  <c r="K270" i="36" s="1"/>
  <c r="I270" i="36"/>
  <c r="M270" i="36" s="1"/>
  <c r="M269" i="36"/>
  <c r="J269" i="36"/>
  <c r="K269" i="36" s="1"/>
  <c r="I269" i="36"/>
  <c r="J268" i="36"/>
  <c r="K268" i="36" s="1"/>
  <c r="I268" i="36"/>
  <c r="M268" i="36" s="1"/>
  <c r="M267" i="36"/>
  <c r="J267" i="36"/>
  <c r="K267" i="36" s="1"/>
  <c r="I267" i="36"/>
  <c r="J266" i="36"/>
  <c r="K266" i="36" s="1"/>
  <c r="I266" i="36"/>
  <c r="M266" i="36" s="1"/>
  <c r="M265" i="36"/>
  <c r="J265" i="36"/>
  <c r="K265" i="36" s="1"/>
  <c r="I265" i="36"/>
  <c r="J264" i="36"/>
  <c r="K264" i="36" s="1"/>
  <c r="I264" i="36"/>
  <c r="M264" i="36" s="1"/>
  <c r="M263" i="36"/>
  <c r="J263" i="36"/>
  <c r="K263" i="36" s="1"/>
  <c r="I263" i="36"/>
  <c r="J262" i="36"/>
  <c r="K262" i="36" s="1"/>
  <c r="I262" i="36"/>
  <c r="M262" i="36" s="1"/>
  <c r="M261" i="36"/>
  <c r="J261" i="36"/>
  <c r="K261" i="36" s="1"/>
  <c r="I261" i="36"/>
  <c r="J260" i="36"/>
  <c r="K260" i="36" s="1"/>
  <c r="I260" i="36"/>
  <c r="M260" i="36" s="1"/>
  <c r="M259" i="36"/>
  <c r="J259" i="36"/>
  <c r="K259" i="36" s="1"/>
  <c r="I259" i="36"/>
  <c r="J258" i="36"/>
  <c r="K258" i="36" s="1"/>
  <c r="I258" i="36"/>
  <c r="M258" i="36" s="1"/>
  <c r="M257" i="36"/>
  <c r="J257" i="36"/>
  <c r="K257" i="36" s="1"/>
  <c r="I257" i="36"/>
  <c r="J256" i="36"/>
  <c r="K256" i="36" s="1"/>
  <c r="I256" i="36"/>
  <c r="M256" i="36" s="1"/>
  <c r="M255" i="36"/>
  <c r="J255" i="36"/>
  <c r="K255" i="36" s="1"/>
  <c r="I255" i="36"/>
  <c r="J254" i="36"/>
  <c r="K254" i="36" s="1"/>
  <c r="I254" i="36"/>
  <c r="M254" i="36" s="1"/>
  <c r="M253" i="36"/>
  <c r="J253" i="36"/>
  <c r="K253" i="36" s="1"/>
  <c r="I253" i="36"/>
  <c r="J252" i="36"/>
  <c r="K252" i="36" s="1"/>
  <c r="I252" i="36"/>
  <c r="M252" i="36" s="1"/>
  <c r="M251" i="36"/>
  <c r="J251" i="36"/>
  <c r="K251" i="36" s="1"/>
  <c r="I251" i="36"/>
  <c r="J250" i="36"/>
  <c r="K250" i="36" s="1"/>
  <c r="I250" i="36"/>
  <c r="M250" i="36" s="1"/>
  <c r="M249" i="36"/>
  <c r="J249" i="36"/>
  <c r="K249" i="36" s="1"/>
  <c r="I249" i="36"/>
  <c r="J248" i="36"/>
  <c r="K248" i="36" s="1"/>
  <c r="I248" i="36"/>
  <c r="M248" i="36" s="1"/>
  <c r="M247" i="36"/>
  <c r="J247" i="36"/>
  <c r="K247" i="36" s="1"/>
  <c r="I247" i="36"/>
  <c r="J246" i="36"/>
  <c r="K246" i="36" s="1"/>
  <c r="I246" i="36"/>
  <c r="M246" i="36" s="1"/>
  <c r="M245" i="36"/>
  <c r="J245" i="36"/>
  <c r="K245" i="36" s="1"/>
  <c r="I245" i="36"/>
  <c r="J244" i="36"/>
  <c r="K244" i="36" s="1"/>
  <c r="I244" i="36"/>
  <c r="M244" i="36" s="1"/>
  <c r="M243" i="36"/>
  <c r="J243" i="36"/>
  <c r="K243" i="36" s="1"/>
  <c r="I243" i="36"/>
  <c r="J242" i="36"/>
  <c r="K242" i="36" s="1"/>
  <c r="I242" i="36"/>
  <c r="M242" i="36" s="1"/>
  <c r="M241" i="36"/>
  <c r="J241" i="36"/>
  <c r="K241" i="36" s="1"/>
  <c r="I241" i="36"/>
  <c r="J240" i="36"/>
  <c r="K240" i="36" s="1"/>
  <c r="I240" i="36"/>
  <c r="M240" i="36" s="1"/>
  <c r="J239" i="36"/>
  <c r="K239" i="36" s="1"/>
  <c r="I239" i="36"/>
  <c r="M239" i="36" s="1"/>
  <c r="J238" i="36"/>
  <c r="K238" i="36" s="1"/>
  <c r="I238" i="36"/>
  <c r="M238" i="36" s="1"/>
  <c r="M237" i="36"/>
  <c r="J237" i="36"/>
  <c r="K237" i="36" s="1"/>
  <c r="I237" i="36"/>
  <c r="J236" i="36"/>
  <c r="K236" i="36" s="1"/>
  <c r="I236" i="36"/>
  <c r="M236" i="36" s="1"/>
  <c r="M235" i="36"/>
  <c r="J235" i="36"/>
  <c r="K235" i="36" s="1"/>
  <c r="I235" i="36"/>
  <c r="J234" i="36"/>
  <c r="K234" i="36" s="1"/>
  <c r="I234" i="36"/>
  <c r="M234" i="36" s="1"/>
  <c r="J233" i="36"/>
  <c r="K233" i="36" s="1"/>
  <c r="I233" i="36"/>
  <c r="M233" i="36" s="1"/>
  <c r="J232" i="36"/>
  <c r="K232" i="36" s="1"/>
  <c r="I232" i="36"/>
  <c r="M232" i="36" s="1"/>
  <c r="J231" i="36"/>
  <c r="K231" i="36" s="1"/>
  <c r="I231" i="36"/>
  <c r="M231" i="36" s="1"/>
  <c r="J230" i="36"/>
  <c r="K230" i="36" s="1"/>
  <c r="I230" i="36"/>
  <c r="M230" i="36" s="1"/>
  <c r="M229" i="36"/>
  <c r="J229" i="36"/>
  <c r="K229" i="36" s="1"/>
  <c r="I229" i="36"/>
  <c r="J228" i="36"/>
  <c r="K228" i="36" s="1"/>
  <c r="I228" i="36"/>
  <c r="M228" i="36" s="1"/>
  <c r="J227" i="36"/>
  <c r="K227" i="36" s="1"/>
  <c r="I227" i="36"/>
  <c r="M227" i="36" s="1"/>
  <c r="M226" i="36"/>
  <c r="J226" i="36"/>
  <c r="K226" i="36" s="1"/>
  <c r="I226" i="36"/>
  <c r="J225" i="36"/>
  <c r="K225" i="36" s="1"/>
  <c r="I225" i="36"/>
  <c r="M225" i="36" s="1"/>
  <c r="J224" i="36"/>
  <c r="K224" i="36" s="1"/>
  <c r="I224" i="36"/>
  <c r="M224" i="36" s="1"/>
  <c r="M223" i="36"/>
  <c r="J223" i="36"/>
  <c r="K223" i="36" s="1"/>
  <c r="I223" i="36"/>
  <c r="M222" i="36"/>
  <c r="J222" i="36"/>
  <c r="K222" i="36" s="1"/>
  <c r="I222" i="36"/>
  <c r="J221" i="36"/>
  <c r="K221" i="36" s="1"/>
  <c r="I221" i="36"/>
  <c r="M221" i="36" s="1"/>
  <c r="J220" i="36"/>
  <c r="K220" i="36" s="1"/>
  <c r="I220" i="36"/>
  <c r="M220" i="36" s="1"/>
  <c r="J219" i="36"/>
  <c r="K219" i="36" s="1"/>
  <c r="I219" i="36"/>
  <c r="M219" i="36" s="1"/>
  <c r="M218" i="36"/>
  <c r="J218" i="36"/>
  <c r="K218" i="36" s="1"/>
  <c r="I218" i="36"/>
  <c r="J217" i="36"/>
  <c r="K217" i="36" s="1"/>
  <c r="I217" i="36"/>
  <c r="M217" i="36" s="1"/>
  <c r="J216" i="36"/>
  <c r="K216" i="36" s="1"/>
  <c r="I216" i="36"/>
  <c r="M216" i="36" s="1"/>
  <c r="M215" i="36"/>
  <c r="J215" i="36"/>
  <c r="K215" i="36" s="1"/>
  <c r="I215" i="36"/>
  <c r="M214" i="36"/>
  <c r="J214" i="36"/>
  <c r="K214" i="36" s="1"/>
  <c r="I214" i="36"/>
  <c r="J213" i="36"/>
  <c r="K213" i="36" s="1"/>
  <c r="I213" i="36"/>
  <c r="M213" i="36" s="1"/>
  <c r="J212" i="36"/>
  <c r="K212" i="36" s="1"/>
  <c r="I212" i="36"/>
  <c r="M212" i="36" s="1"/>
  <c r="J211" i="36"/>
  <c r="K211" i="36" s="1"/>
  <c r="I211" i="36"/>
  <c r="M211" i="36" s="1"/>
  <c r="M210" i="36"/>
  <c r="J210" i="36"/>
  <c r="K210" i="36" s="1"/>
  <c r="I210" i="36"/>
  <c r="J209" i="36"/>
  <c r="K209" i="36" s="1"/>
  <c r="I209" i="36"/>
  <c r="M209" i="36" s="1"/>
  <c r="J208" i="36"/>
  <c r="K208" i="36" s="1"/>
  <c r="I208" i="36"/>
  <c r="M208" i="36" s="1"/>
  <c r="M207" i="36"/>
  <c r="J207" i="36"/>
  <c r="K207" i="36" s="1"/>
  <c r="I207" i="36"/>
  <c r="M206" i="36"/>
  <c r="J206" i="36"/>
  <c r="K206" i="36" s="1"/>
  <c r="I206" i="36"/>
  <c r="J205" i="36"/>
  <c r="K205" i="36" s="1"/>
  <c r="I205" i="36"/>
  <c r="M205" i="36" s="1"/>
  <c r="J204" i="36"/>
  <c r="K204" i="36" s="1"/>
  <c r="I204" i="36"/>
  <c r="M204" i="36" s="1"/>
  <c r="J203" i="36"/>
  <c r="K203" i="36" s="1"/>
  <c r="I203" i="36"/>
  <c r="M203" i="36" s="1"/>
  <c r="M202" i="36"/>
  <c r="J202" i="36"/>
  <c r="K202" i="36" s="1"/>
  <c r="I202" i="36"/>
  <c r="J201" i="36"/>
  <c r="K201" i="36" s="1"/>
  <c r="I201" i="36"/>
  <c r="M201" i="36" s="1"/>
  <c r="J200" i="36"/>
  <c r="K200" i="36" s="1"/>
  <c r="I200" i="36"/>
  <c r="M200" i="36" s="1"/>
  <c r="M199" i="36"/>
  <c r="J199" i="36"/>
  <c r="K199" i="36" s="1"/>
  <c r="I199" i="36"/>
  <c r="M198" i="36"/>
  <c r="J198" i="36"/>
  <c r="K198" i="36" s="1"/>
  <c r="I198" i="36"/>
  <c r="J197" i="36"/>
  <c r="K197" i="36" s="1"/>
  <c r="I197" i="36"/>
  <c r="M197" i="36" s="1"/>
  <c r="J196" i="36"/>
  <c r="K196" i="36" s="1"/>
  <c r="I196" i="36"/>
  <c r="M196" i="36" s="1"/>
  <c r="J195" i="36"/>
  <c r="K195" i="36" s="1"/>
  <c r="I195" i="36"/>
  <c r="M195" i="36" s="1"/>
  <c r="M194" i="36"/>
  <c r="J194" i="36"/>
  <c r="K194" i="36" s="1"/>
  <c r="I194" i="36"/>
  <c r="J193" i="36"/>
  <c r="K193" i="36" s="1"/>
  <c r="I193" i="36"/>
  <c r="M193" i="36" s="1"/>
  <c r="J192" i="36"/>
  <c r="K192" i="36" s="1"/>
  <c r="I192" i="36"/>
  <c r="M192" i="36" s="1"/>
  <c r="M191" i="36"/>
  <c r="J191" i="36"/>
  <c r="K191" i="36" s="1"/>
  <c r="I191" i="36"/>
  <c r="M190" i="36"/>
  <c r="J190" i="36"/>
  <c r="K190" i="36" s="1"/>
  <c r="I190" i="36"/>
  <c r="J189" i="36"/>
  <c r="K189" i="36" s="1"/>
  <c r="I189" i="36"/>
  <c r="M189" i="36" s="1"/>
  <c r="J188" i="36"/>
  <c r="K188" i="36" s="1"/>
  <c r="I188" i="36"/>
  <c r="M188" i="36" s="1"/>
  <c r="J187" i="36"/>
  <c r="K187" i="36" s="1"/>
  <c r="I187" i="36"/>
  <c r="M187" i="36" s="1"/>
  <c r="M186" i="36"/>
  <c r="J186" i="36"/>
  <c r="K186" i="36" s="1"/>
  <c r="I186" i="36"/>
  <c r="J185" i="36"/>
  <c r="K185" i="36" s="1"/>
  <c r="I185" i="36"/>
  <c r="M185" i="36" s="1"/>
  <c r="J184" i="36"/>
  <c r="K184" i="36" s="1"/>
  <c r="I184" i="36"/>
  <c r="M184" i="36" s="1"/>
  <c r="M183" i="36"/>
  <c r="J183" i="36"/>
  <c r="K183" i="36" s="1"/>
  <c r="I183" i="36"/>
  <c r="M182" i="36"/>
  <c r="J182" i="36"/>
  <c r="K182" i="36" s="1"/>
  <c r="I182" i="36"/>
  <c r="J181" i="36"/>
  <c r="K181" i="36" s="1"/>
  <c r="I181" i="36"/>
  <c r="M181" i="36" s="1"/>
  <c r="J180" i="36"/>
  <c r="K180" i="36" s="1"/>
  <c r="I180" i="36"/>
  <c r="M180" i="36" s="1"/>
  <c r="J179" i="36"/>
  <c r="K179" i="36" s="1"/>
  <c r="I179" i="36"/>
  <c r="M179" i="36" s="1"/>
  <c r="M178" i="36"/>
  <c r="J178" i="36"/>
  <c r="K178" i="36" s="1"/>
  <c r="I178" i="36"/>
  <c r="J177" i="36"/>
  <c r="K177" i="36" s="1"/>
  <c r="I177" i="36"/>
  <c r="M177" i="36" s="1"/>
  <c r="J176" i="36"/>
  <c r="K176" i="36" s="1"/>
  <c r="I176" i="36"/>
  <c r="M176" i="36" s="1"/>
  <c r="M175" i="36"/>
  <c r="J175" i="36"/>
  <c r="K175" i="36" s="1"/>
  <c r="I175" i="36"/>
  <c r="M174" i="36"/>
  <c r="J174" i="36"/>
  <c r="K174" i="36" s="1"/>
  <c r="I174" i="36"/>
  <c r="J173" i="36"/>
  <c r="K173" i="36" s="1"/>
  <c r="I173" i="36"/>
  <c r="M173" i="36" s="1"/>
  <c r="J172" i="36"/>
  <c r="K172" i="36" s="1"/>
  <c r="I172" i="36"/>
  <c r="M172" i="36" s="1"/>
  <c r="J171" i="36"/>
  <c r="K171" i="36" s="1"/>
  <c r="I171" i="36"/>
  <c r="M171" i="36" s="1"/>
  <c r="M170" i="36"/>
  <c r="J170" i="36"/>
  <c r="K170" i="36" s="1"/>
  <c r="I170" i="36"/>
  <c r="J169" i="36"/>
  <c r="K169" i="36" s="1"/>
  <c r="I169" i="36"/>
  <c r="M169" i="36" s="1"/>
  <c r="J168" i="36"/>
  <c r="K168" i="36" s="1"/>
  <c r="I168" i="36"/>
  <c r="M168" i="36" s="1"/>
  <c r="M167" i="36"/>
  <c r="J167" i="36"/>
  <c r="K167" i="36" s="1"/>
  <c r="I167" i="36"/>
  <c r="M166" i="36"/>
  <c r="J166" i="36"/>
  <c r="K166" i="36" s="1"/>
  <c r="I166" i="36"/>
  <c r="J165" i="36"/>
  <c r="K165" i="36" s="1"/>
  <c r="I165" i="36"/>
  <c r="M165" i="36" s="1"/>
  <c r="J164" i="36"/>
  <c r="K164" i="36" s="1"/>
  <c r="I164" i="36"/>
  <c r="M164" i="36" s="1"/>
  <c r="J163" i="36"/>
  <c r="K163" i="36" s="1"/>
  <c r="I163" i="36"/>
  <c r="M163" i="36" s="1"/>
  <c r="M162" i="36"/>
  <c r="J162" i="36"/>
  <c r="K162" i="36" s="1"/>
  <c r="I162" i="36"/>
  <c r="J161" i="36"/>
  <c r="K161" i="36" s="1"/>
  <c r="I161" i="36"/>
  <c r="M161" i="36" s="1"/>
  <c r="J160" i="36"/>
  <c r="K160" i="36" s="1"/>
  <c r="I160" i="36"/>
  <c r="M160" i="36" s="1"/>
  <c r="M159" i="36"/>
  <c r="J159" i="36"/>
  <c r="K159" i="36" s="1"/>
  <c r="I159" i="36"/>
  <c r="M158" i="36"/>
  <c r="J158" i="36"/>
  <c r="K158" i="36" s="1"/>
  <c r="I158" i="36"/>
  <c r="J157" i="36"/>
  <c r="K157" i="36" s="1"/>
  <c r="I157" i="36"/>
  <c r="M157" i="36" s="1"/>
  <c r="J156" i="36"/>
  <c r="K156" i="36" s="1"/>
  <c r="I156" i="36"/>
  <c r="M156" i="36" s="1"/>
  <c r="J155" i="36"/>
  <c r="K155" i="36" s="1"/>
  <c r="I155" i="36"/>
  <c r="M155" i="36" s="1"/>
  <c r="M154" i="36"/>
  <c r="J154" i="36"/>
  <c r="K154" i="36" s="1"/>
  <c r="I154" i="36"/>
  <c r="J153" i="36"/>
  <c r="K153" i="36" s="1"/>
  <c r="I153" i="36"/>
  <c r="M153" i="36" s="1"/>
  <c r="J152" i="36"/>
  <c r="K152" i="36" s="1"/>
  <c r="I152" i="36"/>
  <c r="M152" i="36" s="1"/>
  <c r="M151" i="36"/>
  <c r="J151" i="36"/>
  <c r="K151" i="36" s="1"/>
  <c r="I151" i="36"/>
  <c r="M150" i="36"/>
  <c r="J150" i="36"/>
  <c r="K150" i="36" s="1"/>
  <c r="I150" i="36"/>
  <c r="J149" i="36"/>
  <c r="K149" i="36" s="1"/>
  <c r="I149" i="36"/>
  <c r="M149" i="36" s="1"/>
  <c r="J148" i="36"/>
  <c r="K148" i="36" s="1"/>
  <c r="I148" i="36"/>
  <c r="M148" i="36" s="1"/>
  <c r="J147" i="36"/>
  <c r="K147" i="36" s="1"/>
  <c r="I147" i="36"/>
  <c r="M147" i="36" s="1"/>
  <c r="M146" i="36"/>
  <c r="J146" i="36"/>
  <c r="K146" i="36" s="1"/>
  <c r="I146" i="36"/>
  <c r="J145" i="36"/>
  <c r="K145" i="36" s="1"/>
  <c r="I145" i="36"/>
  <c r="M145" i="36" s="1"/>
  <c r="J144" i="36"/>
  <c r="K144" i="36" s="1"/>
  <c r="I144" i="36"/>
  <c r="M144" i="36" s="1"/>
  <c r="M143" i="36"/>
  <c r="J143" i="36"/>
  <c r="K143" i="36" s="1"/>
  <c r="I143" i="36"/>
  <c r="M142" i="36"/>
  <c r="J142" i="36"/>
  <c r="K142" i="36" s="1"/>
  <c r="I142" i="36"/>
  <c r="J141" i="36"/>
  <c r="K141" i="36" s="1"/>
  <c r="I141" i="36"/>
  <c r="M141" i="36" s="1"/>
  <c r="J140" i="36"/>
  <c r="K140" i="36" s="1"/>
  <c r="I140" i="36"/>
  <c r="M140" i="36" s="1"/>
  <c r="A140" i="36" s="1"/>
  <c r="B140" i="36"/>
  <c r="M139" i="36"/>
  <c r="J139" i="36"/>
  <c r="K139" i="36" s="1"/>
  <c r="I139" i="36"/>
  <c r="B139" i="36"/>
  <c r="A139" i="36"/>
  <c r="M138" i="36"/>
  <c r="J138" i="36"/>
  <c r="K138" i="36" s="1"/>
  <c r="I138" i="36"/>
  <c r="B138" i="36"/>
  <c r="A138" i="36"/>
  <c r="M137" i="36"/>
  <c r="A137" i="36" s="1"/>
  <c r="J137" i="36"/>
  <c r="K137" i="36" s="1"/>
  <c r="I137" i="36"/>
  <c r="B137" i="36"/>
  <c r="M136" i="36"/>
  <c r="A136" i="36" s="1"/>
  <c r="J136" i="36"/>
  <c r="K136" i="36" s="1"/>
  <c r="I136" i="36"/>
  <c r="B136" i="36"/>
  <c r="J135" i="36"/>
  <c r="K135" i="36" s="1"/>
  <c r="I135" i="36"/>
  <c r="M135" i="36" s="1"/>
  <c r="A135" i="36" s="1"/>
  <c r="B135" i="36"/>
  <c r="M134" i="36"/>
  <c r="J134" i="36"/>
  <c r="K134" i="36" s="1"/>
  <c r="I134" i="36"/>
  <c r="B134" i="36"/>
  <c r="A134" i="36"/>
  <c r="M133" i="36"/>
  <c r="A133" i="36" s="1"/>
  <c r="J133" i="36"/>
  <c r="K133" i="36" s="1"/>
  <c r="I133" i="36"/>
  <c r="B133" i="36"/>
  <c r="M132" i="36"/>
  <c r="A132" i="36" s="1"/>
  <c r="J132" i="36"/>
  <c r="K132" i="36" s="1"/>
  <c r="I132" i="36"/>
  <c r="B132" i="36"/>
  <c r="J131" i="36"/>
  <c r="K131" i="36" s="1"/>
  <c r="I131" i="36"/>
  <c r="M131" i="36" s="1"/>
  <c r="A131" i="36" s="1"/>
  <c r="B131" i="36"/>
  <c r="M130" i="36"/>
  <c r="J130" i="36"/>
  <c r="K130" i="36" s="1"/>
  <c r="I130" i="36"/>
  <c r="B130" i="36"/>
  <c r="A130" i="36"/>
  <c r="M129" i="36"/>
  <c r="A129" i="36" s="1"/>
  <c r="J129" i="36"/>
  <c r="K129" i="36" s="1"/>
  <c r="I129" i="36"/>
  <c r="B129" i="36"/>
  <c r="M128" i="36"/>
  <c r="A128" i="36" s="1"/>
  <c r="J128" i="36"/>
  <c r="K128" i="36" s="1"/>
  <c r="I128" i="36"/>
  <c r="B128" i="36"/>
  <c r="J127" i="36"/>
  <c r="K127" i="36" s="1"/>
  <c r="I127" i="36"/>
  <c r="M127" i="36" s="1"/>
  <c r="A127" i="36" s="1"/>
  <c r="B127" i="36"/>
  <c r="M126" i="36"/>
  <c r="J126" i="36"/>
  <c r="K126" i="36" s="1"/>
  <c r="I126" i="36"/>
  <c r="B126" i="36"/>
  <c r="A126" i="36"/>
  <c r="M125" i="36"/>
  <c r="A125" i="36" s="1"/>
  <c r="J125" i="36"/>
  <c r="K125" i="36" s="1"/>
  <c r="I125" i="36"/>
  <c r="B125" i="36"/>
  <c r="M124" i="36"/>
  <c r="A124" i="36" s="1"/>
  <c r="J124" i="36"/>
  <c r="K124" i="36" s="1"/>
  <c r="I124" i="36"/>
  <c r="B124" i="36"/>
  <c r="J123" i="36"/>
  <c r="K123" i="36" s="1"/>
  <c r="I123" i="36"/>
  <c r="M123" i="36" s="1"/>
  <c r="A123" i="36" s="1"/>
  <c r="B123" i="36"/>
  <c r="M122" i="36"/>
  <c r="J122" i="36"/>
  <c r="K122" i="36" s="1"/>
  <c r="I122" i="36"/>
  <c r="B122" i="36"/>
  <c r="A122" i="36"/>
  <c r="M121" i="36"/>
  <c r="A121" i="36" s="1"/>
  <c r="J121" i="36"/>
  <c r="K121" i="36" s="1"/>
  <c r="I121" i="36"/>
  <c r="B121" i="36"/>
  <c r="M120" i="36"/>
  <c r="A120" i="36" s="1"/>
  <c r="J120" i="36"/>
  <c r="K120" i="36" s="1"/>
  <c r="I120" i="36"/>
  <c r="B120" i="36"/>
  <c r="J119" i="36"/>
  <c r="K119" i="36" s="1"/>
  <c r="I119" i="36"/>
  <c r="M119" i="36" s="1"/>
  <c r="A119" i="36" s="1"/>
  <c r="B119" i="36"/>
  <c r="M118" i="36"/>
  <c r="J118" i="36"/>
  <c r="K118" i="36" s="1"/>
  <c r="I118" i="36"/>
  <c r="B118" i="36"/>
  <c r="A118" i="36"/>
  <c r="M117" i="36"/>
  <c r="A117" i="36" s="1"/>
  <c r="J117" i="36"/>
  <c r="K117" i="36" s="1"/>
  <c r="I117" i="36"/>
  <c r="B117" i="36"/>
  <c r="M116" i="36"/>
  <c r="A116" i="36" s="1"/>
  <c r="J116" i="36"/>
  <c r="K116" i="36" s="1"/>
  <c r="I116" i="36"/>
  <c r="B116" i="36"/>
  <c r="J115" i="36"/>
  <c r="K115" i="36" s="1"/>
  <c r="I115" i="36"/>
  <c r="M115" i="36" s="1"/>
  <c r="A115" i="36" s="1"/>
  <c r="B115" i="36"/>
  <c r="M114" i="36"/>
  <c r="J114" i="36"/>
  <c r="K114" i="36" s="1"/>
  <c r="I114" i="36"/>
  <c r="B114" i="36"/>
  <c r="A114" i="36"/>
  <c r="M113" i="36"/>
  <c r="A113" i="36" s="1"/>
  <c r="J113" i="36"/>
  <c r="K113" i="36" s="1"/>
  <c r="I113" i="36"/>
  <c r="B113" i="36"/>
  <c r="M112" i="36"/>
  <c r="A112" i="36" s="1"/>
  <c r="J112" i="36"/>
  <c r="K112" i="36" s="1"/>
  <c r="I112" i="36"/>
  <c r="B112" i="36"/>
  <c r="J111" i="36"/>
  <c r="K111" i="36" s="1"/>
  <c r="I111" i="36"/>
  <c r="M111" i="36" s="1"/>
  <c r="A111" i="36" s="1"/>
  <c r="B111" i="36"/>
  <c r="M110" i="36"/>
  <c r="J110" i="36"/>
  <c r="K110" i="36" s="1"/>
  <c r="I110" i="36"/>
  <c r="B110" i="36"/>
  <c r="A110" i="36"/>
  <c r="M109" i="36"/>
  <c r="A109" i="36" s="1"/>
  <c r="J109" i="36"/>
  <c r="K109" i="36" s="1"/>
  <c r="I109" i="36"/>
  <c r="B109" i="36"/>
  <c r="M108" i="36"/>
  <c r="A108" i="36" s="1"/>
  <c r="J108" i="36"/>
  <c r="K108" i="36" s="1"/>
  <c r="I108" i="36"/>
  <c r="B108" i="36"/>
  <c r="J107" i="36"/>
  <c r="K107" i="36" s="1"/>
  <c r="I107" i="36"/>
  <c r="M107" i="36" s="1"/>
  <c r="A107" i="36" s="1"/>
  <c r="B107" i="36"/>
  <c r="J106" i="36"/>
  <c r="K106" i="36" s="1"/>
  <c r="I106" i="36"/>
  <c r="M106" i="36" s="1"/>
  <c r="A106" i="36" s="1"/>
  <c r="B106" i="36"/>
  <c r="M105" i="36"/>
  <c r="A105" i="36" s="1"/>
  <c r="J105" i="36"/>
  <c r="K105" i="36" s="1"/>
  <c r="I105" i="36"/>
  <c r="B105" i="36"/>
  <c r="M104" i="36"/>
  <c r="A104" i="36" s="1"/>
  <c r="J104" i="36"/>
  <c r="K104" i="36" s="1"/>
  <c r="I104" i="36"/>
  <c r="B104" i="36"/>
  <c r="K103" i="36"/>
  <c r="J103" i="36"/>
  <c r="I103" i="36"/>
  <c r="M103" i="36" s="1"/>
  <c r="A103" i="36" s="1"/>
  <c r="B103" i="36"/>
  <c r="J102" i="36"/>
  <c r="K102" i="36" s="1"/>
  <c r="I102" i="36"/>
  <c r="M102" i="36" s="1"/>
  <c r="A102" i="36" s="1"/>
  <c r="B102" i="36"/>
  <c r="M101" i="36"/>
  <c r="A101" i="36" s="1"/>
  <c r="J101" i="36"/>
  <c r="K101" i="36" s="1"/>
  <c r="I101" i="36"/>
  <c r="B101" i="36"/>
  <c r="M100" i="36"/>
  <c r="A100" i="36" s="1"/>
  <c r="J100" i="36"/>
  <c r="K100" i="36" s="1"/>
  <c r="I100" i="36"/>
  <c r="B100" i="36"/>
  <c r="K99" i="36"/>
  <c r="J99" i="36"/>
  <c r="I99" i="36"/>
  <c r="M99" i="36" s="1"/>
  <c r="A99" i="36" s="1"/>
  <c r="B99" i="36"/>
  <c r="J98" i="36"/>
  <c r="K98" i="36" s="1"/>
  <c r="I98" i="36"/>
  <c r="M98" i="36" s="1"/>
  <c r="A98" i="36" s="1"/>
  <c r="B98" i="36"/>
  <c r="M97" i="36"/>
  <c r="A97" i="36" s="1"/>
  <c r="J97" i="36"/>
  <c r="K97" i="36" s="1"/>
  <c r="I97" i="36"/>
  <c r="B97" i="36"/>
  <c r="M96" i="36"/>
  <c r="A96" i="36" s="1"/>
  <c r="J96" i="36"/>
  <c r="K96" i="36" s="1"/>
  <c r="I96" i="36"/>
  <c r="B96" i="36"/>
  <c r="K95" i="36"/>
  <c r="J95" i="36"/>
  <c r="I95" i="36"/>
  <c r="M95" i="36" s="1"/>
  <c r="A95" i="36" s="1"/>
  <c r="B95" i="36"/>
  <c r="J94" i="36"/>
  <c r="K94" i="36" s="1"/>
  <c r="I94" i="36"/>
  <c r="M94" i="36" s="1"/>
  <c r="A94" i="36" s="1"/>
  <c r="B94" i="36"/>
  <c r="M93" i="36"/>
  <c r="A93" i="36" s="1"/>
  <c r="J93" i="36"/>
  <c r="K93" i="36" s="1"/>
  <c r="I93" i="36"/>
  <c r="B93" i="36"/>
  <c r="M92" i="36"/>
  <c r="A92" i="36" s="1"/>
  <c r="J92" i="36"/>
  <c r="K92" i="36" s="1"/>
  <c r="I92" i="36"/>
  <c r="B92" i="36"/>
  <c r="K91" i="36"/>
  <c r="J91" i="36"/>
  <c r="I91" i="36"/>
  <c r="M91" i="36" s="1"/>
  <c r="A91" i="36" s="1"/>
  <c r="B91" i="36"/>
  <c r="J90" i="36"/>
  <c r="K90" i="36" s="1"/>
  <c r="I90" i="36"/>
  <c r="M90" i="36" s="1"/>
  <c r="A90" i="36" s="1"/>
  <c r="B90" i="36"/>
  <c r="M89" i="36"/>
  <c r="A89" i="36" s="1"/>
  <c r="J89" i="36"/>
  <c r="K89" i="36" s="1"/>
  <c r="I89" i="36"/>
  <c r="B89" i="36"/>
  <c r="M88" i="36"/>
  <c r="A88" i="36" s="1"/>
  <c r="J88" i="36"/>
  <c r="K88" i="36" s="1"/>
  <c r="I88" i="36"/>
  <c r="B88" i="36"/>
  <c r="K87" i="36"/>
  <c r="J87" i="36"/>
  <c r="I87" i="36"/>
  <c r="M87" i="36" s="1"/>
  <c r="A87" i="36" s="1"/>
  <c r="B87" i="36"/>
  <c r="J86" i="36"/>
  <c r="K86" i="36" s="1"/>
  <c r="I86" i="36"/>
  <c r="M86" i="36" s="1"/>
  <c r="A86" i="36" s="1"/>
  <c r="B86" i="36"/>
  <c r="M85" i="36"/>
  <c r="A85" i="36" s="1"/>
  <c r="J85" i="36"/>
  <c r="K85" i="36" s="1"/>
  <c r="I85" i="36"/>
  <c r="B85" i="36"/>
  <c r="M84" i="36"/>
  <c r="A84" i="36" s="1"/>
  <c r="J84" i="36"/>
  <c r="K84" i="36" s="1"/>
  <c r="I84" i="36"/>
  <c r="B84" i="36"/>
  <c r="K83" i="36"/>
  <c r="J83" i="36"/>
  <c r="I83" i="36"/>
  <c r="M83" i="36" s="1"/>
  <c r="A83" i="36" s="1"/>
  <c r="B83" i="36"/>
  <c r="J82" i="36"/>
  <c r="K82" i="36" s="1"/>
  <c r="I82" i="36"/>
  <c r="M82" i="36" s="1"/>
  <c r="A82" i="36" s="1"/>
  <c r="B82" i="36"/>
  <c r="M81" i="36"/>
  <c r="A81" i="36" s="1"/>
  <c r="J81" i="36"/>
  <c r="K81" i="36" s="1"/>
  <c r="I81" i="36"/>
  <c r="B81" i="36"/>
  <c r="M80" i="36"/>
  <c r="A80" i="36" s="1"/>
  <c r="J80" i="36"/>
  <c r="K80" i="36" s="1"/>
  <c r="I80" i="36"/>
  <c r="B80" i="36"/>
  <c r="K79" i="36"/>
  <c r="J79" i="36"/>
  <c r="I79" i="36"/>
  <c r="M79" i="36" s="1"/>
  <c r="A79" i="36" s="1"/>
  <c r="B79" i="36"/>
  <c r="J78" i="36"/>
  <c r="K78" i="36" s="1"/>
  <c r="I78" i="36"/>
  <c r="M78" i="36" s="1"/>
  <c r="A78" i="36" s="1"/>
  <c r="B78" i="36"/>
  <c r="M77" i="36"/>
  <c r="A77" i="36" s="1"/>
  <c r="J77" i="36"/>
  <c r="K77" i="36" s="1"/>
  <c r="I77" i="36"/>
  <c r="B77" i="36"/>
  <c r="M76" i="36"/>
  <c r="A76" i="36" s="1"/>
  <c r="J76" i="36"/>
  <c r="K76" i="36" s="1"/>
  <c r="I76" i="36"/>
  <c r="B76" i="36"/>
  <c r="K75" i="36"/>
  <c r="J75" i="36"/>
  <c r="I75" i="36"/>
  <c r="M75" i="36" s="1"/>
  <c r="A75" i="36" s="1"/>
  <c r="B75" i="36"/>
  <c r="J74" i="36"/>
  <c r="K74" i="36" s="1"/>
  <c r="I74" i="36"/>
  <c r="M74" i="36" s="1"/>
  <c r="A74" i="36" s="1"/>
  <c r="B74" i="36"/>
  <c r="M73" i="36"/>
  <c r="A73" i="36" s="1"/>
  <c r="J73" i="36"/>
  <c r="K73" i="36" s="1"/>
  <c r="I73" i="36"/>
  <c r="B73" i="36"/>
  <c r="M72" i="36"/>
  <c r="A72" i="36" s="1"/>
  <c r="J72" i="36"/>
  <c r="K72" i="36" s="1"/>
  <c r="I72" i="36"/>
  <c r="B72" i="36"/>
  <c r="K71" i="36"/>
  <c r="J71" i="36"/>
  <c r="I71" i="36"/>
  <c r="M71" i="36" s="1"/>
  <c r="A71" i="36" s="1"/>
  <c r="B71" i="36"/>
  <c r="J70" i="36"/>
  <c r="K70" i="36" s="1"/>
  <c r="I70" i="36"/>
  <c r="M70" i="36" s="1"/>
  <c r="A70" i="36" s="1"/>
  <c r="B70" i="36"/>
  <c r="M69" i="36"/>
  <c r="A69" i="36" s="1"/>
  <c r="J69" i="36"/>
  <c r="K69" i="36" s="1"/>
  <c r="I69" i="36"/>
  <c r="B69" i="36"/>
  <c r="M68" i="36"/>
  <c r="A68" i="36" s="1"/>
  <c r="J68" i="36"/>
  <c r="K68" i="36" s="1"/>
  <c r="I68" i="36"/>
  <c r="B68" i="36"/>
  <c r="K67" i="36"/>
  <c r="J67" i="36"/>
  <c r="I67" i="36"/>
  <c r="M67" i="36" s="1"/>
  <c r="A67" i="36" s="1"/>
  <c r="B67" i="36"/>
  <c r="J66" i="36"/>
  <c r="K66" i="36" s="1"/>
  <c r="I66" i="36"/>
  <c r="M66" i="36" s="1"/>
  <c r="A66" i="36" s="1"/>
  <c r="B66" i="36"/>
  <c r="M65" i="36"/>
  <c r="A65" i="36" s="1"/>
  <c r="J65" i="36"/>
  <c r="K65" i="36" s="1"/>
  <c r="I65" i="36"/>
  <c r="B65" i="36"/>
  <c r="M64" i="36"/>
  <c r="A64" i="36" s="1"/>
  <c r="J64" i="36"/>
  <c r="K64" i="36" s="1"/>
  <c r="I64" i="36"/>
  <c r="B64" i="36"/>
  <c r="K63" i="36"/>
  <c r="J63" i="36"/>
  <c r="I63" i="36"/>
  <c r="M63" i="36" s="1"/>
  <c r="A63" i="36" s="1"/>
  <c r="B63" i="36"/>
  <c r="J62" i="36"/>
  <c r="K62" i="36" s="1"/>
  <c r="I62" i="36"/>
  <c r="M62" i="36" s="1"/>
  <c r="A62" i="36" s="1"/>
  <c r="B62" i="36"/>
  <c r="M61" i="36"/>
  <c r="A61" i="36" s="1"/>
  <c r="J61" i="36"/>
  <c r="K61" i="36" s="1"/>
  <c r="I61" i="36"/>
  <c r="B61" i="36"/>
  <c r="M60" i="36"/>
  <c r="A60" i="36" s="1"/>
  <c r="J60" i="36"/>
  <c r="K60" i="36" s="1"/>
  <c r="I60" i="36"/>
  <c r="B60" i="36"/>
  <c r="K59" i="36"/>
  <c r="J59" i="36"/>
  <c r="I59" i="36"/>
  <c r="M59" i="36" s="1"/>
  <c r="A59" i="36" s="1"/>
  <c r="B59" i="36"/>
  <c r="J58" i="36"/>
  <c r="K58" i="36" s="1"/>
  <c r="I58" i="36"/>
  <c r="M58" i="36" s="1"/>
  <c r="A58" i="36" s="1"/>
  <c r="B58" i="36"/>
  <c r="M57" i="36"/>
  <c r="A57" i="36" s="1"/>
  <c r="J57" i="36"/>
  <c r="K57" i="36" s="1"/>
  <c r="I57" i="36"/>
  <c r="B57" i="36"/>
  <c r="M56" i="36"/>
  <c r="A56" i="36" s="1"/>
  <c r="J56" i="36"/>
  <c r="K56" i="36" s="1"/>
  <c r="I56" i="36"/>
  <c r="B56" i="36"/>
  <c r="K55" i="36"/>
  <c r="J55" i="36"/>
  <c r="I55" i="36"/>
  <c r="M55" i="36" s="1"/>
  <c r="A55" i="36" s="1"/>
  <c r="B55" i="36"/>
  <c r="J54" i="36"/>
  <c r="K54" i="36" s="1"/>
  <c r="I54" i="36"/>
  <c r="M54" i="36" s="1"/>
  <c r="A54" i="36" s="1"/>
  <c r="B54" i="36"/>
  <c r="M53" i="36"/>
  <c r="A53" i="36" s="1"/>
  <c r="J53" i="36"/>
  <c r="K53" i="36" s="1"/>
  <c r="I53" i="36"/>
  <c r="B53" i="36"/>
  <c r="M52" i="36"/>
  <c r="A52" i="36" s="1"/>
  <c r="J52" i="36"/>
  <c r="K52" i="36" s="1"/>
  <c r="I52" i="36"/>
  <c r="B52" i="36"/>
  <c r="K51" i="36"/>
  <c r="J51" i="36"/>
  <c r="I51" i="36"/>
  <c r="M51" i="36" s="1"/>
  <c r="A51" i="36" s="1"/>
  <c r="B51" i="36"/>
  <c r="J50" i="36"/>
  <c r="K50" i="36" s="1"/>
  <c r="I50" i="36"/>
  <c r="M50" i="36" s="1"/>
  <c r="A50" i="36" s="1"/>
  <c r="B50" i="36"/>
  <c r="M49" i="36"/>
  <c r="A49" i="36" s="1"/>
  <c r="J49" i="36"/>
  <c r="K49" i="36" s="1"/>
  <c r="I49" i="36"/>
  <c r="B49" i="36"/>
  <c r="M48" i="36"/>
  <c r="A48" i="36" s="1"/>
  <c r="J48" i="36"/>
  <c r="K48" i="36" s="1"/>
  <c r="I48" i="36"/>
  <c r="B48" i="36"/>
  <c r="K47" i="36"/>
  <c r="J47" i="36"/>
  <c r="I47" i="36"/>
  <c r="M47" i="36" s="1"/>
  <c r="A47" i="36" s="1"/>
  <c r="B47" i="36"/>
  <c r="J46" i="36"/>
  <c r="K46" i="36" s="1"/>
  <c r="I46" i="36"/>
  <c r="M46" i="36" s="1"/>
  <c r="A46" i="36" s="1"/>
  <c r="B46" i="36"/>
  <c r="M45" i="36"/>
  <c r="A45" i="36" s="1"/>
  <c r="J45" i="36"/>
  <c r="K45" i="36" s="1"/>
  <c r="I45" i="36"/>
  <c r="B45" i="36"/>
  <c r="M44" i="36"/>
  <c r="A44" i="36" s="1"/>
  <c r="J44" i="36"/>
  <c r="K44" i="36" s="1"/>
  <c r="I44" i="36"/>
  <c r="B44" i="36"/>
  <c r="M43" i="36"/>
  <c r="A43" i="36" s="1"/>
  <c r="K43" i="36"/>
  <c r="J43" i="36"/>
  <c r="I43" i="36"/>
  <c r="B43" i="36"/>
  <c r="J42" i="36"/>
  <c r="K42" i="36" s="1"/>
  <c r="I42" i="36"/>
  <c r="M42" i="36" s="1"/>
  <c r="A42" i="36" s="1"/>
  <c r="B42" i="36"/>
  <c r="M41" i="36"/>
  <c r="A41" i="36" s="1"/>
  <c r="J41" i="36"/>
  <c r="K41" i="36" s="1"/>
  <c r="I41" i="36"/>
  <c r="B41" i="36"/>
  <c r="M40" i="36"/>
  <c r="A40" i="36" s="1"/>
  <c r="J40" i="36"/>
  <c r="K40" i="36" s="1"/>
  <c r="I40" i="36"/>
  <c r="B40" i="36"/>
  <c r="M39" i="36"/>
  <c r="A39" i="36" s="1"/>
  <c r="K39" i="36"/>
  <c r="J39" i="36"/>
  <c r="I39" i="36"/>
  <c r="B39" i="36"/>
  <c r="J38" i="36"/>
  <c r="K38" i="36" s="1"/>
  <c r="I38" i="36"/>
  <c r="M38" i="36" s="1"/>
  <c r="A38" i="36" s="1"/>
  <c r="B38" i="36"/>
  <c r="M37" i="36"/>
  <c r="A37" i="36" s="1"/>
  <c r="J37" i="36"/>
  <c r="K37" i="36" s="1"/>
  <c r="I37" i="36"/>
  <c r="B37" i="36"/>
  <c r="M36" i="36"/>
  <c r="A36" i="36" s="1"/>
  <c r="J36" i="36"/>
  <c r="K36" i="36" s="1"/>
  <c r="I36" i="36"/>
  <c r="B36" i="36"/>
  <c r="M35" i="36"/>
  <c r="A35" i="36" s="1"/>
  <c r="K35" i="36"/>
  <c r="J35" i="36"/>
  <c r="I35" i="36"/>
  <c r="B35" i="36"/>
  <c r="J34" i="36"/>
  <c r="K34" i="36" s="1"/>
  <c r="I34" i="36"/>
  <c r="M34" i="36" s="1"/>
  <c r="A34" i="36" s="1"/>
  <c r="B34" i="36"/>
  <c r="M33" i="36"/>
  <c r="A33" i="36" s="1"/>
  <c r="J33" i="36"/>
  <c r="K33" i="36" s="1"/>
  <c r="I33" i="36"/>
  <c r="B33" i="36"/>
  <c r="M32" i="36"/>
  <c r="A32" i="36" s="1"/>
  <c r="J32" i="36"/>
  <c r="K32" i="36" s="1"/>
  <c r="I32" i="36"/>
  <c r="B32" i="36"/>
  <c r="M31" i="36"/>
  <c r="A31" i="36" s="1"/>
  <c r="K31" i="36"/>
  <c r="J31" i="36"/>
  <c r="I31" i="36"/>
  <c r="B31" i="36"/>
  <c r="J30" i="36"/>
  <c r="K30" i="36" s="1"/>
  <c r="I30" i="36"/>
  <c r="M30" i="36" s="1"/>
  <c r="A30" i="36" s="1"/>
  <c r="B30" i="36"/>
  <c r="M29" i="36"/>
  <c r="A29" i="36" s="1"/>
  <c r="J29" i="36"/>
  <c r="K29" i="36" s="1"/>
  <c r="I29" i="36"/>
  <c r="B29" i="36"/>
  <c r="M28" i="36"/>
  <c r="A28" i="36" s="1"/>
  <c r="J28" i="36"/>
  <c r="K28" i="36" s="1"/>
  <c r="I28" i="36"/>
  <c r="B28" i="36"/>
  <c r="M27" i="36"/>
  <c r="A27" i="36" s="1"/>
  <c r="K27" i="36"/>
  <c r="J27" i="36"/>
  <c r="I27" i="36"/>
  <c r="B27" i="36"/>
  <c r="J26" i="36"/>
  <c r="K26" i="36" s="1"/>
  <c r="I26" i="36"/>
  <c r="M26" i="36" s="1"/>
  <c r="A26" i="36" s="1"/>
  <c r="B26" i="36"/>
  <c r="M25" i="36"/>
  <c r="A25" i="36" s="1"/>
  <c r="J25" i="36"/>
  <c r="K25" i="36" s="1"/>
  <c r="I25" i="36"/>
  <c r="B25" i="36"/>
  <c r="M24" i="36"/>
  <c r="A24" i="36" s="1"/>
  <c r="J24" i="36"/>
  <c r="K24" i="36" s="1"/>
  <c r="I24" i="36"/>
  <c r="B24" i="36"/>
  <c r="M23" i="36"/>
  <c r="A23" i="36" s="1"/>
  <c r="K23" i="36"/>
  <c r="J23" i="36"/>
  <c r="I23" i="36"/>
  <c r="B23" i="36"/>
  <c r="J22" i="36"/>
  <c r="K22" i="36" s="1"/>
  <c r="I22" i="36"/>
  <c r="M22" i="36" s="1"/>
  <c r="A22" i="36" s="1"/>
  <c r="B22" i="36"/>
  <c r="M21" i="36"/>
  <c r="A21" i="36" s="1"/>
  <c r="J21" i="36"/>
  <c r="K21" i="36" s="1"/>
  <c r="I21" i="36"/>
  <c r="B21" i="36"/>
  <c r="M20" i="36"/>
  <c r="A20" i="36" s="1"/>
  <c r="J20" i="36"/>
  <c r="K20" i="36" s="1"/>
  <c r="I20" i="36"/>
  <c r="B20" i="36"/>
  <c r="M19" i="36"/>
  <c r="A19" i="36" s="1"/>
  <c r="K19" i="36"/>
  <c r="J19" i="36"/>
  <c r="I19" i="36"/>
  <c r="B19" i="36"/>
  <c r="J18" i="36"/>
  <c r="K18" i="36" s="1"/>
  <c r="I18" i="36"/>
  <c r="M18" i="36" s="1"/>
  <c r="A18" i="36" s="1"/>
  <c r="B18" i="36"/>
  <c r="M17" i="36"/>
  <c r="A17" i="36" s="1"/>
  <c r="J17" i="36"/>
  <c r="K17" i="36" s="1"/>
  <c r="I17" i="36"/>
  <c r="B17" i="36"/>
  <c r="AI16" i="36"/>
  <c r="M16" i="36"/>
  <c r="K16" i="36"/>
  <c r="J16" i="36"/>
  <c r="I16" i="36"/>
  <c r="B16" i="36"/>
  <c r="A16" i="36"/>
  <c r="K15" i="36"/>
  <c r="J15" i="36"/>
  <c r="I15" i="36"/>
  <c r="M15" i="36" s="1"/>
  <c r="A15" i="36" s="1"/>
  <c r="B15" i="36"/>
  <c r="AI14" i="36"/>
  <c r="M14" i="36"/>
  <c r="A14" i="36" s="1"/>
  <c r="K14" i="36"/>
  <c r="J14" i="36"/>
  <c r="I14" i="36"/>
  <c r="B14" i="36"/>
  <c r="AI13" i="36"/>
  <c r="J13" i="36"/>
  <c r="K13" i="36" s="1"/>
  <c r="I13" i="36"/>
  <c r="M13" i="36" s="1"/>
  <c r="A13" i="36" s="1"/>
  <c r="B13" i="36"/>
  <c r="AI12" i="36"/>
  <c r="J12" i="36"/>
  <c r="K12" i="36" s="1"/>
  <c r="I12" i="36"/>
  <c r="M12" i="36" s="1"/>
  <c r="A12" i="36" s="1"/>
  <c r="B12" i="36"/>
  <c r="M11" i="36"/>
  <c r="A11" i="36" s="1"/>
  <c r="J11" i="36"/>
  <c r="K11" i="36" s="1"/>
  <c r="I11" i="36"/>
  <c r="B11" i="36"/>
  <c r="M10" i="36"/>
  <c r="A10" i="36" s="1"/>
  <c r="J10" i="36"/>
  <c r="K10" i="36" s="1"/>
  <c r="I10" i="36"/>
  <c r="B10" i="36"/>
  <c r="K9" i="36"/>
  <c r="J9" i="36"/>
  <c r="I9" i="36"/>
  <c r="M9" i="36" s="1"/>
  <c r="A9" i="36" s="1"/>
  <c r="B9" i="36"/>
  <c r="K8" i="36"/>
  <c r="J8" i="36"/>
  <c r="I8" i="36"/>
  <c r="M8" i="36" s="1"/>
  <c r="A8" i="36" s="1"/>
  <c r="B8" i="36"/>
  <c r="J7" i="36"/>
  <c r="K7" i="36" s="1"/>
  <c r="I7" i="36"/>
  <c r="M7" i="36" s="1"/>
  <c r="A7" i="36" s="1"/>
  <c r="B7" i="36"/>
  <c r="J6" i="36"/>
  <c r="K6" i="36" s="1"/>
  <c r="I6" i="36"/>
  <c r="M6" i="36" s="1"/>
  <c r="A6" i="36" s="1"/>
  <c r="B6" i="36"/>
  <c r="K2" i="36"/>
  <c r="L6" i="36" s="1"/>
  <c r="J374" i="35"/>
  <c r="J373" i="35"/>
  <c r="J372" i="35"/>
  <c r="J371" i="35"/>
  <c r="J370" i="35"/>
  <c r="J369" i="35"/>
  <c r="J368" i="35"/>
  <c r="J367" i="35"/>
  <c r="J366" i="35"/>
  <c r="J365" i="35"/>
  <c r="J364" i="35"/>
  <c r="J363" i="35"/>
  <c r="J362" i="35"/>
  <c r="J361" i="35"/>
  <c r="J360" i="35"/>
  <c r="J359" i="35"/>
  <c r="J358" i="35"/>
  <c r="J357" i="35"/>
  <c r="J356" i="35"/>
  <c r="J355" i="35"/>
  <c r="J354" i="35"/>
  <c r="J353" i="35"/>
  <c r="J352" i="35"/>
  <c r="J351" i="35"/>
  <c r="J350" i="35"/>
  <c r="J349" i="35"/>
  <c r="J348" i="35"/>
  <c r="J347" i="35"/>
  <c r="J346" i="35"/>
  <c r="J345" i="35"/>
  <c r="J344" i="35"/>
  <c r="J343" i="35"/>
  <c r="J342" i="35"/>
  <c r="J341" i="35"/>
  <c r="J340" i="35"/>
  <c r="J339" i="35"/>
  <c r="J338" i="35"/>
  <c r="J337" i="35"/>
  <c r="J336" i="35"/>
  <c r="J335" i="35"/>
  <c r="J334" i="35"/>
  <c r="J333" i="35"/>
  <c r="J332" i="35"/>
  <c r="J331" i="35"/>
  <c r="J330" i="35"/>
  <c r="J329" i="35"/>
  <c r="J328" i="35"/>
  <c r="J327" i="35"/>
  <c r="J326" i="35"/>
  <c r="J325" i="35"/>
  <c r="J324" i="35"/>
  <c r="J323" i="35"/>
  <c r="J322" i="35"/>
  <c r="J321" i="35"/>
  <c r="J320" i="35"/>
  <c r="J319" i="35"/>
  <c r="J318" i="35"/>
  <c r="J317" i="35"/>
  <c r="J316" i="35"/>
  <c r="J315" i="35"/>
  <c r="J314" i="35"/>
  <c r="J313" i="35"/>
  <c r="J312" i="35"/>
  <c r="J311" i="35"/>
  <c r="J310" i="35"/>
  <c r="J309" i="35"/>
  <c r="J308" i="35"/>
  <c r="J307" i="35"/>
  <c r="J306" i="35"/>
  <c r="M305" i="35"/>
  <c r="J305" i="35"/>
  <c r="K305" i="35" s="1"/>
  <c r="I305" i="35"/>
  <c r="J304" i="35"/>
  <c r="K304" i="35" s="1"/>
  <c r="I304" i="35"/>
  <c r="M304" i="35" s="1"/>
  <c r="M303" i="35"/>
  <c r="K303" i="35"/>
  <c r="J303" i="35"/>
  <c r="I303" i="35"/>
  <c r="J302" i="35"/>
  <c r="K302" i="35" s="1"/>
  <c r="I302" i="35"/>
  <c r="M302" i="35" s="1"/>
  <c r="J301" i="35"/>
  <c r="K301" i="35" s="1"/>
  <c r="I301" i="35"/>
  <c r="M301" i="35" s="1"/>
  <c r="M300" i="35"/>
  <c r="J300" i="35"/>
  <c r="K300" i="35" s="1"/>
  <c r="I300" i="35"/>
  <c r="M299" i="35"/>
  <c r="J299" i="35"/>
  <c r="K299" i="35" s="1"/>
  <c r="I299" i="35"/>
  <c r="M298" i="35"/>
  <c r="J298" i="35"/>
  <c r="K298" i="35" s="1"/>
  <c r="I298" i="35"/>
  <c r="M297" i="35"/>
  <c r="J297" i="35"/>
  <c r="K297" i="35" s="1"/>
  <c r="I297" i="35"/>
  <c r="J296" i="35"/>
  <c r="K296" i="35" s="1"/>
  <c r="I296" i="35"/>
  <c r="M296" i="35" s="1"/>
  <c r="M295" i="35"/>
  <c r="J295" i="35"/>
  <c r="K295" i="35" s="1"/>
  <c r="I295" i="35"/>
  <c r="J294" i="35"/>
  <c r="K294" i="35" s="1"/>
  <c r="I294" i="35"/>
  <c r="M294" i="35" s="1"/>
  <c r="J293" i="35"/>
  <c r="K293" i="35" s="1"/>
  <c r="I293" i="35"/>
  <c r="M293" i="35" s="1"/>
  <c r="M292" i="35"/>
  <c r="J292" i="35"/>
  <c r="K292" i="35" s="1"/>
  <c r="I292" i="35"/>
  <c r="K291" i="35"/>
  <c r="J291" i="35"/>
  <c r="I291" i="35"/>
  <c r="M291" i="35" s="1"/>
  <c r="M290" i="35"/>
  <c r="J290" i="35"/>
  <c r="K290" i="35" s="1"/>
  <c r="I290" i="35"/>
  <c r="J289" i="35"/>
  <c r="K289" i="35" s="1"/>
  <c r="I289" i="35"/>
  <c r="M289" i="35" s="1"/>
  <c r="J288" i="35"/>
  <c r="K288" i="35" s="1"/>
  <c r="I288" i="35"/>
  <c r="M288" i="35" s="1"/>
  <c r="M287" i="35"/>
  <c r="K287" i="35"/>
  <c r="J287" i="35"/>
  <c r="I287" i="35"/>
  <c r="J286" i="35"/>
  <c r="K286" i="35" s="1"/>
  <c r="I286" i="35"/>
  <c r="M286" i="35" s="1"/>
  <c r="M285" i="35"/>
  <c r="J285" i="35"/>
  <c r="K285" i="35" s="1"/>
  <c r="I285" i="35"/>
  <c r="J284" i="35"/>
  <c r="K284" i="35" s="1"/>
  <c r="I284" i="35"/>
  <c r="M284" i="35" s="1"/>
  <c r="J283" i="35"/>
  <c r="K283" i="35" s="1"/>
  <c r="I283" i="35"/>
  <c r="M283" i="35" s="1"/>
  <c r="M282" i="35"/>
  <c r="J282" i="35"/>
  <c r="K282" i="35" s="1"/>
  <c r="I282" i="35"/>
  <c r="K281" i="35"/>
  <c r="J281" i="35"/>
  <c r="I281" i="35"/>
  <c r="M281" i="35" s="1"/>
  <c r="M280" i="35"/>
  <c r="J280" i="35"/>
  <c r="K280" i="35" s="1"/>
  <c r="I280" i="35"/>
  <c r="J279" i="35"/>
  <c r="K279" i="35" s="1"/>
  <c r="I279" i="35"/>
  <c r="M279" i="35" s="1"/>
  <c r="J278" i="35"/>
  <c r="K278" i="35" s="1"/>
  <c r="I278" i="35"/>
  <c r="M278" i="35" s="1"/>
  <c r="M277" i="35"/>
  <c r="J277" i="35"/>
  <c r="K277" i="35" s="1"/>
  <c r="I277" i="35"/>
  <c r="M276" i="35"/>
  <c r="J276" i="35"/>
  <c r="K276" i="35" s="1"/>
  <c r="I276" i="35"/>
  <c r="M275" i="35"/>
  <c r="J275" i="35"/>
  <c r="K275" i="35" s="1"/>
  <c r="I275" i="35"/>
  <c r="J274" i="35"/>
  <c r="K274" i="35" s="1"/>
  <c r="I274" i="35"/>
  <c r="M274" i="35" s="1"/>
  <c r="J273" i="35"/>
  <c r="K273" i="35" s="1"/>
  <c r="I273" i="35"/>
  <c r="M273" i="35" s="1"/>
  <c r="M272" i="35"/>
  <c r="J272" i="35"/>
  <c r="K272" i="35" s="1"/>
  <c r="I272" i="35"/>
  <c r="K271" i="35"/>
  <c r="J271" i="35"/>
  <c r="I271" i="35"/>
  <c r="M271" i="35" s="1"/>
  <c r="J270" i="35"/>
  <c r="K270" i="35" s="1"/>
  <c r="I270" i="35"/>
  <c r="M270" i="35" s="1"/>
  <c r="J269" i="35"/>
  <c r="K269" i="35" s="1"/>
  <c r="I269" i="35"/>
  <c r="M269" i="35" s="1"/>
  <c r="J268" i="35"/>
  <c r="K268" i="35" s="1"/>
  <c r="I268" i="35"/>
  <c r="M268" i="35" s="1"/>
  <c r="M267" i="35"/>
  <c r="J267" i="35"/>
  <c r="K267" i="35" s="1"/>
  <c r="I267" i="35"/>
  <c r="M266" i="35"/>
  <c r="J266" i="35"/>
  <c r="K266" i="35" s="1"/>
  <c r="I266" i="35"/>
  <c r="M265" i="35"/>
  <c r="J265" i="35"/>
  <c r="K265" i="35" s="1"/>
  <c r="I265" i="35"/>
  <c r="J264" i="35"/>
  <c r="K264" i="35" s="1"/>
  <c r="I264" i="35"/>
  <c r="M264" i="35" s="1"/>
  <c r="J263" i="35"/>
  <c r="K263" i="35" s="1"/>
  <c r="I263" i="35"/>
  <c r="M263" i="35" s="1"/>
  <c r="M262" i="35"/>
  <c r="J262" i="35"/>
  <c r="K262" i="35" s="1"/>
  <c r="I262" i="35"/>
  <c r="M261" i="35"/>
  <c r="J261" i="35"/>
  <c r="K261" i="35" s="1"/>
  <c r="I261" i="35"/>
  <c r="M260" i="35"/>
  <c r="J260" i="35"/>
  <c r="K260" i="35" s="1"/>
  <c r="I260" i="35"/>
  <c r="M259" i="35"/>
  <c r="J259" i="35"/>
  <c r="K259" i="35" s="1"/>
  <c r="I259" i="35"/>
  <c r="J258" i="35"/>
  <c r="K258" i="35" s="1"/>
  <c r="I258" i="35"/>
  <c r="M258" i="35" s="1"/>
  <c r="M257" i="35"/>
  <c r="J257" i="35"/>
  <c r="K257" i="35" s="1"/>
  <c r="I257" i="35"/>
  <c r="M256" i="35"/>
  <c r="J256" i="35"/>
  <c r="K256" i="35" s="1"/>
  <c r="I256" i="35"/>
  <c r="M255" i="35"/>
  <c r="J255" i="35"/>
  <c r="K255" i="35" s="1"/>
  <c r="I255" i="35"/>
  <c r="J254" i="35"/>
  <c r="K254" i="35" s="1"/>
  <c r="I254" i="35"/>
  <c r="M254" i="35" s="1"/>
  <c r="J253" i="35"/>
  <c r="K253" i="35" s="1"/>
  <c r="I253" i="35"/>
  <c r="M253" i="35" s="1"/>
  <c r="M252" i="35"/>
  <c r="J252" i="35"/>
  <c r="K252" i="35" s="1"/>
  <c r="I252" i="35"/>
  <c r="M251" i="35"/>
  <c r="J251" i="35"/>
  <c r="K251" i="35" s="1"/>
  <c r="I251" i="35"/>
  <c r="M250" i="35"/>
  <c r="J250" i="35"/>
  <c r="K250" i="35" s="1"/>
  <c r="I250" i="35"/>
  <c r="M249" i="35"/>
  <c r="J249" i="35"/>
  <c r="K249" i="35" s="1"/>
  <c r="I249" i="35"/>
  <c r="J248" i="35"/>
  <c r="K248" i="35" s="1"/>
  <c r="I248" i="35"/>
  <c r="M248" i="35" s="1"/>
  <c r="M247" i="35"/>
  <c r="J247" i="35"/>
  <c r="K247" i="35" s="1"/>
  <c r="I247" i="35"/>
  <c r="M246" i="35"/>
  <c r="J246" i="35"/>
  <c r="K246" i="35" s="1"/>
  <c r="I246" i="35"/>
  <c r="M245" i="35"/>
  <c r="J245" i="35"/>
  <c r="K245" i="35" s="1"/>
  <c r="I245" i="35"/>
  <c r="M244" i="35"/>
  <c r="J244" i="35"/>
  <c r="K244" i="35" s="1"/>
  <c r="I244" i="35"/>
  <c r="M243" i="35"/>
  <c r="J243" i="35"/>
  <c r="K243" i="35" s="1"/>
  <c r="I243" i="35"/>
  <c r="M242" i="35"/>
  <c r="J242" i="35"/>
  <c r="K242" i="35" s="1"/>
  <c r="I242" i="35"/>
  <c r="M241" i="35"/>
  <c r="J241" i="35"/>
  <c r="K241" i="35" s="1"/>
  <c r="I241" i="35"/>
  <c r="M240" i="35"/>
  <c r="J240" i="35"/>
  <c r="K240" i="35" s="1"/>
  <c r="I240" i="35"/>
  <c r="M239" i="35"/>
  <c r="J239" i="35"/>
  <c r="K239" i="35" s="1"/>
  <c r="I239" i="35"/>
  <c r="J238" i="35"/>
  <c r="K238" i="35" s="1"/>
  <c r="I238" i="35"/>
  <c r="M238" i="35" s="1"/>
  <c r="M237" i="35"/>
  <c r="J237" i="35"/>
  <c r="K237" i="35" s="1"/>
  <c r="I237" i="35"/>
  <c r="M236" i="35"/>
  <c r="J236" i="35"/>
  <c r="K236" i="35" s="1"/>
  <c r="I236" i="35"/>
  <c r="M235" i="35"/>
  <c r="J235" i="35"/>
  <c r="K235" i="35" s="1"/>
  <c r="I235" i="35"/>
  <c r="M234" i="35"/>
  <c r="J234" i="35"/>
  <c r="K234" i="35" s="1"/>
  <c r="I234" i="35"/>
  <c r="J233" i="35"/>
  <c r="K233" i="35" s="1"/>
  <c r="I233" i="35"/>
  <c r="M233" i="35" s="1"/>
  <c r="J232" i="35"/>
  <c r="K232" i="35" s="1"/>
  <c r="I232" i="35"/>
  <c r="M232" i="35" s="1"/>
  <c r="M231" i="35"/>
  <c r="J231" i="35"/>
  <c r="K231" i="35" s="1"/>
  <c r="I231" i="35"/>
  <c r="J230" i="35"/>
  <c r="K230" i="35" s="1"/>
  <c r="I230" i="35"/>
  <c r="M230" i="35" s="1"/>
  <c r="M229" i="35"/>
  <c r="J229" i="35"/>
  <c r="K229" i="35" s="1"/>
  <c r="I229" i="35"/>
  <c r="M228" i="35"/>
  <c r="J228" i="35"/>
  <c r="K228" i="35" s="1"/>
  <c r="I228" i="35"/>
  <c r="M227" i="35"/>
  <c r="J227" i="35"/>
  <c r="K227" i="35" s="1"/>
  <c r="I227" i="35"/>
  <c r="J226" i="35"/>
  <c r="K226" i="35" s="1"/>
  <c r="I226" i="35"/>
  <c r="M226" i="35" s="1"/>
  <c r="K225" i="35"/>
  <c r="J225" i="35"/>
  <c r="I225" i="35"/>
  <c r="M225" i="35" s="1"/>
  <c r="J224" i="35"/>
  <c r="K224" i="35" s="1"/>
  <c r="I224" i="35"/>
  <c r="M224" i="35" s="1"/>
  <c r="J223" i="35"/>
  <c r="K223" i="35" s="1"/>
  <c r="I223" i="35"/>
  <c r="M223" i="35" s="1"/>
  <c r="M222" i="35"/>
  <c r="J222" i="35"/>
  <c r="K222" i="35" s="1"/>
  <c r="I222" i="35"/>
  <c r="J221" i="35"/>
  <c r="K221" i="35" s="1"/>
  <c r="I221" i="35"/>
  <c r="M221" i="35" s="1"/>
  <c r="M220" i="35"/>
  <c r="J220" i="35"/>
  <c r="K220" i="35" s="1"/>
  <c r="I220" i="35"/>
  <c r="J219" i="35"/>
  <c r="K219" i="35" s="1"/>
  <c r="I219" i="35"/>
  <c r="M219" i="35" s="1"/>
  <c r="J218" i="35"/>
  <c r="K218" i="35" s="1"/>
  <c r="I218" i="35"/>
  <c r="M218" i="35" s="1"/>
  <c r="J217" i="35"/>
  <c r="K217" i="35" s="1"/>
  <c r="I217" i="35"/>
  <c r="M217" i="35" s="1"/>
  <c r="J216" i="35"/>
  <c r="K216" i="35" s="1"/>
  <c r="I216" i="35"/>
  <c r="M216" i="35" s="1"/>
  <c r="J215" i="35"/>
  <c r="K215" i="35" s="1"/>
  <c r="I215" i="35"/>
  <c r="M215" i="35" s="1"/>
  <c r="J214" i="35"/>
  <c r="K214" i="35" s="1"/>
  <c r="I214" i="35"/>
  <c r="M214" i="35" s="1"/>
  <c r="M213" i="35"/>
  <c r="J213" i="35"/>
  <c r="K213" i="35" s="1"/>
  <c r="I213" i="35"/>
  <c r="J212" i="35"/>
  <c r="K212" i="35" s="1"/>
  <c r="I212" i="35"/>
  <c r="M212" i="35" s="1"/>
  <c r="M211" i="35"/>
  <c r="K211" i="35"/>
  <c r="J211" i="35"/>
  <c r="I211" i="35"/>
  <c r="J210" i="35"/>
  <c r="K210" i="35" s="1"/>
  <c r="I210" i="35"/>
  <c r="M210" i="35" s="1"/>
  <c r="M209" i="35"/>
  <c r="K209" i="35"/>
  <c r="J209" i="35"/>
  <c r="I209" i="35"/>
  <c r="J208" i="35"/>
  <c r="K208" i="35" s="1"/>
  <c r="I208" i="35"/>
  <c r="M208" i="35" s="1"/>
  <c r="J207" i="35"/>
  <c r="K207" i="35" s="1"/>
  <c r="I207" i="35"/>
  <c r="M207" i="35" s="1"/>
  <c r="M206" i="35"/>
  <c r="J206" i="35"/>
  <c r="K206" i="35" s="1"/>
  <c r="I206" i="35"/>
  <c r="J205" i="35"/>
  <c r="K205" i="35" s="1"/>
  <c r="I205" i="35"/>
  <c r="M205" i="35" s="1"/>
  <c r="M204" i="35"/>
  <c r="J204" i="35"/>
  <c r="K204" i="35" s="1"/>
  <c r="I204" i="35"/>
  <c r="J203" i="35"/>
  <c r="K203" i="35" s="1"/>
  <c r="I203" i="35"/>
  <c r="M203" i="35" s="1"/>
  <c r="M202" i="35"/>
  <c r="J202" i="35"/>
  <c r="K202" i="35" s="1"/>
  <c r="I202" i="35"/>
  <c r="J201" i="35"/>
  <c r="K201" i="35" s="1"/>
  <c r="I201" i="35"/>
  <c r="M201" i="35" s="1"/>
  <c r="J200" i="35"/>
  <c r="K200" i="35" s="1"/>
  <c r="I200" i="35"/>
  <c r="M200" i="35" s="1"/>
  <c r="M199" i="35"/>
  <c r="J199" i="35"/>
  <c r="K199" i="35" s="1"/>
  <c r="I199" i="35"/>
  <c r="J198" i="35"/>
  <c r="K198" i="35" s="1"/>
  <c r="I198" i="35"/>
  <c r="M198" i="35" s="1"/>
  <c r="K197" i="35"/>
  <c r="J197" i="35"/>
  <c r="I197" i="35"/>
  <c r="M197" i="35" s="1"/>
  <c r="J196" i="35"/>
  <c r="K196" i="35" s="1"/>
  <c r="I196" i="35"/>
  <c r="M196" i="35" s="1"/>
  <c r="K195" i="35"/>
  <c r="J195" i="35"/>
  <c r="I195" i="35"/>
  <c r="M195" i="35" s="1"/>
  <c r="J194" i="35"/>
  <c r="K194" i="35" s="1"/>
  <c r="I194" i="35"/>
  <c r="M194" i="35" s="1"/>
  <c r="M193" i="35"/>
  <c r="J193" i="35"/>
  <c r="K193" i="35" s="1"/>
  <c r="I193" i="35"/>
  <c r="J192" i="35"/>
  <c r="K192" i="35" s="1"/>
  <c r="I192" i="35"/>
  <c r="M192" i="35" s="1"/>
  <c r="J191" i="35"/>
  <c r="K191" i="35" s="1"/>
  <c r="I191" i="35"/>
  <c r="M191" i="35" s="1"/>
  <c r="M190" i="35"/>
  <c r="J190" i="35"/>
  <c r="K190" i="35" s="1"/>
  <c r="I190" i="35"/>
  <c r="J189" i="35"/>
  <c r="K189" i="35" s="1"/>
  <c r="I189" i="35"/>
  <c r="M189" i="35" s="1"/>
  <c r="M188" i="35"/>
  <c r="J188" i="35"/>
  <c r="K188" i="35" s="1"/>
  <c r="I188" i="35"/>
  <c r="J187" i="35"/>
  <c r="K187" i="35" s="1"/>
  <c r="I187" i="35"/>
  <c r="M187" i="35" s="1"/>
  <c r="M186" i="35"/>
  <c r="J186" i="35"/>
  <c r="K186" i="35" s="1"/>
  <c r="I186" i="35"/>
  <c r="J185" i="35"/>
  <c r="K185" i="35" s="1"/>
  <c r="I185" i="35"/>
  <c r="M185" i="35" s="1"/>
  <c r="M184" i="35"/>
  <c r="J184" i="35"/>
  <c r="K184" i="35" s="1"/>
  <c r="I184" i="35"/>
  <c r="M183" i="35"/>
  <c r="J183" i="35"/>
  <c r="K183" i="35" s="1"/>
  <c r="I183" i="35"/>
  <c r="J182" i="35"/>
  <c r="K182" i="35" s="1"/>
  <c r="I182" i="35"/>
  <c r="M182" i="35" s="1"/>
  <c r="K181" i="35"/>
  <c r="J181" i="35"/>
  <c r="I181" i="35"/>
  <c r="M181" i="35" s="1"/>
  <c r="J180" i="35"/>
  <c r="K180" i="35" s="1"/>
  <c r="I180" i="35"/>
  <c r="M180" i="35" s="1"/>
  <c r="K179" i="35"/>
  <c r="J179" i="35"/>
  <c r="I179" i="35"/>
  <c r="M179" i="35" s="1"/>
  <c r="J178" i="35"/>
  <c r="K178" i="35" s="1"/>
  <c r="I178" i="35"/>
  <c r="M178" i="35" s="1"/>
  <c r="M177" i="35"/>
  <c r="J177" i="35"/>
  <c r="K177" i="35" s="1"/>
  <c r="I177" i="35"/>
  <c r="J176" i="35"/>
  <c r="K176" i="35" s="1"/>
  <c r="I176" i="35"/>
  <c r="M176" i="35" s="1"/>
  <c r="J175" i="35"/>
  <c r="K175" i="35" s="1"/>
  <c r="I175" i="35"/>
  <c r="M175" i="35" s="1"/>
  <c r="J174" i="35"/>
  <c r="K174" i="35" s="1"/>
  <c r="I174" i="35"/>
  <c r="M174" i="35" s="1"/>
  <c r="J173" i="35"/>
  <c r="K173" i="35" s="1"/>
  <c r="I173" i="35"/>
  <c r="M173" i="35" s="1"/>
  <c r="M172" i="35"/>
  <c r="J172" i="35"/>
  <c r="K172" i="35" s="1"/>
  <c r="I172" i="35"/>
  <c r="J171" i="35"/>
  <c r="K171" i="35" s="1"/>
  <c r="I171" i="35"/>
  <c r="M171" i="35" s="1"/>
  <c r="M170" i="35"/>
  <c r="J170" i="35"/>
  <c r="K170" i="35" s="1"/>
  <c r="I170" i="35"/>
  <c r="J169" i="35"/>
  <c r="K169" i="35" s="1"/>
  <c r="I169" i="35"/>
  <c r="M169" i="35" s="1"/>
  <c r="M168" i="35"/>
  <c r="J168" i="35"/>
  <c r="K168" i="35" s="1"/>
  <c r="I168" i="35"/>
  <c r="M167" i="35"/>
  <c r="J167" i="35"/>
  <c r="K167" i="35" s="1"/>
  <c r="I167" i="35"/>
  <c r="J166" i="35"/>
  <c r="K166" i="35" s="1"/>
  <c r="I166" i="35"/>
  <c r="M166" i="35" s="1"/>
  <c r="K165" i="35"/>
  <c r="J165" i="35"/>
  <c r="I165" i="35"/>
  <c r="M165" i="35" s="1"/>
  <c r="J164" i="35"/>
  <c r="K164" i="35" s="1"/>
  <c r="I164" i="35"/>
  <c r="M164" i="35" s="1"/>
  <c r="M163" i="35"/>
  <c r="J163" i="35"/>
  <c r="K163" i="35" s="1"/>
  <c r="I163" i="35"/>
  <c r="J162" i="35"/>
  <c r="K162" i="35" s="1"/>
  <c r="I162" i="35"/>
  <c r="M162" i="35" s="1"/>
  <c r="M161" i="35"/>
  <c r="J161" i="35"/>
  <c r="K161" i="35" s="1"/>
  <c r="I161" i="35"/>
  <c r="J160" i="35"/>
  <c r="K160" i="35" s="1"/>
  <c r="I160" i="35"/>
  <c r="M160" i="35" s="1"/>
  <c r="J159" i="35"/>
  <c r="K159" i="35" s="1"/>
  <c r="I159" i="35"/>
  <c r="M159" i="35" s="1"/>
  <c r="J158" i="35"/>
  <c r="K158" i="35" s="1"/>
  <c r="I158" i="35"/>
  <c r="M158" i="35" s="1"/>
  <c r="J157" i="35"/>
  <c r="K157" i="35" s="1"/>
  <c r="I157" i="35"/>
  <c r="M157" i="35" s="1"/>
  <c r="J156" i="35"/>
  <c r="K156" i="35" s="1"/>
  <c r="I156" i="35"/>
  <c r="M156" i="35" s="1"/>
  <c r="J155" i="35"/>
  <c r="K155" i="35" s="1"/>
  <c r="I155" i="35"/>
  <c r="M155" i="35" s="1"/>
  <c r="M154" i="35"/>
  <c r="J154" i="35"/>
  <c r="K154" i="35" s="1"/>
  <c r="I154" i="35"/>
  <c r="J153" i="35"/>
  <c r="K153" i="35" s="1"/>
  <c r="I153" i="35"/>
  <c r="M153" i="35" s="1"/>
  <c r="M152" i="35"/>
  <c r="J152" i="35"/>
  <c r="K152" i="35" s="1"/>
  <c r="I152" i="35"/>
  <c r="M151" i="35"/>
  <c r="J151" i="35"/>
  <c r="K151" i="35" s="1"/>
  <c r="I151" i="35"/>
  <c r="J150" i="35"/>
  <c r="K150" i="35" s="1"/>
  <c r="I150" i="35"/>
  <c r="M150" i="35" s="1"/>
  <c r="K149" i="35"/>
  <c r="J149" i="35"/>
  <c r="I149" i="35"/>
  <c r="M149" i="35" s="1"/>
  <c r="J148" i="35"/>
  <c r="K148" i="35" s="1"/>
  <c r="I148" i="35"/>
  <c r="M148" i="35" s="1"/>
  <c r="M147" i="35"/>
  <c r="J147" i="35"/>
  <c r="K147" i="35" s="1"/>
  <c r="I147" i="35"/>
  <c r="J146" i="35"/>
  <c r="K146" i="35" s="1"/>
  <c r="I146" i="35"/>
  <c r="M146" i="35" s="1"/>
  <c r="M145" i="35"/>
  <c r="J145" i="35"/>
  <c r="K145" i="35" s="1"/>
  <c r="I145" i="35"/>
  <c r="J144" i="35"/>
  <c r="K144" i="35" s="1"/>
  <c r="I144" i="35"/>
  <c r="M144" i="35" s="1"/>
  <c r="J143" i="35"/>
  <c r="K143" i="35" s="1"/>
  <c r="I143" i="35"/>
  <c r="M143" i="35" s="1"/>
  <c r="J142" i="35"/>
  <c r="K142" i="35" s="1"/>
  <c r="I142" i="35"/>
  <c r="M142" i="35" s="1"/>
  <c r="J141" i="35"/>
  <c r="K141" i="35" s="1"/>
  <c r="I141" i="35"/>
  <c r="M141" i="35" s="1"/>
  <c r="J140" i="35"/>
  <c r="K140" i="35" s="1"/>
  <c r="I140" i="35"/>
  <c r="M140" i="35" s="1"/>
  <c r="J139" i="35"/>
  <c r="K139" i="35" s="1"/>
  <c r="I139" i="35"/>
  <c r="M139" i="35" s="1"/>
  <c r="J138" i="35"/>
  <c r="K138" i="35" s="1"/>
  <c r="I138" i="35"/>
  <c r="M138" i="35" s="1"/>
  <c r="J137" i="35"/>
  <c r="K137" i="35" s="1"/>
  <c r="I137" i="35"/>
  <c r="M137" i="35" s="1"/>
  <c r="M136" i="35"/>
  <c r="J136" i="35"/>
  <c r="K136" i="35" s="1"/>
  <c r="I136" i="35"/>
  <c r="J135" i="35"/>
  <c r="K135" i="35" s="1"/>
  <c r="I135" i="35"/>
  <c r="M135" i="35" s="1"/>
  <c r="J134" i="35"/>
  <c r="K134" i="35" s="1"/>
  <c r="I134" i="35"/>
  <c r="M134" i="35" s="1"/>
  <c r="M133" i="35"/>
  <c r="J133" i="35"/>
  <c r="K133" i="35" s="1"/>
  <c r="I133" i="35"/>
  <c r="J132" i="35"/>
  <c r="K132" i="35" s="1"/>
  <c r="I132" i="35"/>
  <c r="M132" i="35" s="1"/>
  <c r="M131" i="35"/>
  <c r="J131" i="35"/>
  <c r="K131" i="35" s="1"/>
  <c r="I131" i="35"/>
  <c r="J130" i="35"/>
  <c r="K130" i="35" s="1"/>
  <c r="I130" i="35"/>
  <c r="M130" i="35" s="1"/>
  <c r="M129" i="35"/>
  <c r="J129" i="35"/>
  <c r="K129" i="35" s="1"/>
  <c r="I129" i="35"/>
  <c r="J128" i="35"/>
  <c r="K128" i="35" s="1"/>
  <c r="I128" i="35"/>
  <c r="M128" i="35" s="1"/>
  <c r="M127" i="35"/>
  <c r="J127" i="35"/>
  <c r="K127" i="35" s="1"/>
  <c r="I127" i="35"/>
  <c r="J126" i="35"/>
  <c r="K126" i="35" s="1"/>
  <c r="I126" i="35"/>
  <c r="M126" i="35" s="1"/>
  <c r="J125" i="35"/>
  <c r="K125" i="35" s="1"/>
  <c r="I125" i="35"/>
  <c r="M125" i="35" s="1"/>
  <c r="J124" i="35"/>
  <c r="K124" i="35" s="1"/>
  <c r="I124" i="35"/>
  <c r="M124" i="35" s="1"/>
  <c r="J123" i="35"/>
  <c r="K123" i="35" s="1"/>
  <c r="I123" i="35"/>
  <c r="M123" i="35" s="1"/>
  <c r="J122" i="35"/>
  <c r="K122" i="35" s="1"/>
  <c r="I122" i="35"/>
  <c r="M122" i="35" s="1"/>
  <c r="J121" i="35"/>
  <c r="K121" i="35" s="1"/>
  <c r="I121" i="35"/>
  <c r="M121" i="35" s="1"/>
  <c r="J120" i="35"/>
  <c r="K120" i="35" s="1"/>
  <c r="I120" i="35"/>
  <c r="M120" i="35" s="1"/>
  <c r="J119" i="35"/>
  <c r="K119" i="35" s="1"/>
  <c r="I119" i="35"/>
  <c r="M119" i="35" s="1"/>
  <c r="J118" i="35"/>
  <c r="K118" i="35" s="1"/>
  <c r="I118" i="35"/>
  <c r="M118" i="35" s="1"/>
  <c r="J117" i="35"/>
  <c r="K117" i="35" s="1"/>
  <c r="I117" i="35"/>
  <c r="M117" i="35" s="1"/>
  <c r="J116" i="35"/>
  <c r="K116" i="35" s="1"/>
  <c r="I116" i="35"/>
  <c r="M116" i="35" s="1"/>
  <c r="J115" i="35"/>
  <c r="K115" i="35" s="1"/>
  <c r="I115" i="35"/>
  <c r="M115" i="35" s="1"/>
  <c r="J114" i="35"/>
  <c r="K114" i="35" s="1"/>
  <c r="I114" i="35"/>
  <c r="M114" i="35" s="1"/>
  <c r="J113" i="35"/>
  <c r="K113" i="35" s="1"/>
  <c r="I113" i="35"/>
  <c r="M113" i="35" s="1"/>
  <c r="J112" i="35"/>
  <c r="K112" i="35" s="1"/>
  <c r="I112" i="35"/>
  <c r="M112" i="35" s="1"/>
  <c r="M111" i="35"/>
  <c r="J111" i="35"/>
  <c r="K111" i="35" s="1"/>
  <c r="I111" i="35"/>
  <c r="K110" i="35"/>
  <c r="J110" i="35"/>
  <c r="I110" i="35"/>
  <c r="M110" i="35" s="1"/>
  <c r="M109" i="35"/>
  <c r="J109" i="35"/>
  <c r="K109" i="35" s="1"/>
  <c r="I109" i="35"/>
  <c r="J108" i="35"/>
  <c r="K108" i="35" s="1"/>
  <c r="I108" i="35"/>
  <c r="M108" i="35" s="1"/>
  <c r="M107" i="35"/>
  <c r="J107" i="35"/>
  <c r="K107" i="35" s="1"/>
  <c r="I107" i="35"/>
  <c r="K106" i="35"/>
  <c r="J106" i="35"/>
  <c r="I106" i="35"/>
  <c r="M106" i="35" s="1"/>
  <c r="J105" i="35"/>
  <c r="K105" i="35" s="1"/>
  <c r="I105" i="35"/>
  <c r="M105" i="35" s="1"/>
  <c r="K104" i="35"/>
  <c r="J104" i="35"/>
  <c r="I104" i="35"/>
  <c r="M104" i="35" s="1"/>
  <c r="J103" i="35"/>
  <c r="K103" i="35" s="1"/>
  <c r="I103" i="35"/>
  <c r="M103" i="35" s="1"/>
  <c r="J102" i="35"/>
  <c r="K102" i="35" s="1"/>
  <c r="I102" i="35"/>
  <c r="M102" i="35" s="1"/>
  <c r="M101" i="35"/>
  <c r="J101" i="35"/>
  <c r="K101" i="35" s="1"/>
  <c r="I101" i="35"/>
  <c r="J100" i="35"/>
  <c r="K100" i="35" s="1"/>
  <c r="I100" i="35"/>
  <c r="M100" i="35" s="1"/>
  <c r="J99" i="35"/>
  <c r="K99" i="35" s="1"/>
  <c r="I99" i="35"/>
  <c r="M99" i="35" s="1"/>
  <c r="J98" i="35"/>
  <c r="K98" i="35" s="1"/>
  <c r="I98" i="35"/>
  <c r="M98" i="35" s="1"/>
  <c r="M97" i="35"/>
  <c r="J97" i="35"/>
  <c r="K97" i="35" s="1"/>
  <c r="I97" i="35"/>
  <c r="K96" i="35"/>
  <c r="J96" i="35"/>
  <c r="I96" i="35"/>
  <c r="M96" i="35" s="1"/>
  <c r="M95" i="35"/>
  <c r="J95" i="35"/>
  <c r="K95" i="35" s="1"/>
  <c r="I95" i="35"/>
  <c r="K94" i="35"/>
  <c r="J94" i="35"/>
  <c r="I94" i="35"/>
  <c r="M94" i="35" s="1"/>
  <c r="J93" i="35"/>
  <c r="K93" i="35" s="1"/>
  <c r="I93" i="35"/>
  <c r="M93" i="35" s="1"/>
  <c r="J92" i="35"/>
  <c r="K92" i="35" s="1"/>
  <c r="I92" i="35"/>
  <c r="M92" i="35" s="1"/>
  <c r="J91" i="35"/>
  <c r="K91" i="35" s="1"/>
  <c r="I91" i="35"/>
  <c r="M91" i="35" s="1"/>
  <c r="K90" i="35"/>
  <c r="J90" i="35"/>
  <c r="I90" i="35"/>
  <c r="M90" i="35" s="1"/>
  <c r="J89" i="35"/>
  <c r="K89" i="35" s="1"/>
  <c r="I89" i="35"/>
  <c r="M89" i="35" s="1"/>
  <c r="J88" i="35"/>
  <c r="K88" i="35" s="1"/>
  <c r="I88" i="35"/>
  <c r="M88" i="35" s="1"/>
  <c r="M87" i="35"/>
  <c r="J87" i="35"/>
  <c r="K87" i="35" s="1"/>
  <c r="I87" i="35"/>
  <c r="J86" i="35"/>
  <c r="K86" i="35" s="1"/>
  <c r="I86" i="35"/>
  <c r="M86" i="35" s="1"/>
  <c r="M85" i="35"/>
  <c r="J85" i="35"/>
  <c r="K85" i="35" s="1"/>
  <c r="I85" i="35"/>
  <c r="J84" i="35"/>
  <c r="K84" i="35" s="1"/>
  <c r="I84" i="35"/>
  <c r="M84" i="35" s="1"/>
  <c r="M83" i="35"/>
  <c r="J83" i="35"/>
  <c r="K83" i="35" s="1"/>
  <c r="I83" i="35"/>
  <c r="K82" i="35"/>
  <c r="J82" i="35"/>
  <c r="I82" i="35"/>
  <c r="M82" i="35" s="1"/>
  <c r="M81" i="35"/>
  <c r="J81" i="35"/>
  <c r="K81" i="35" s="1"/>
  <c r="I81" i="35"/>
  <c r="K80" i="35"/>
  <c r="J80" i="35"/>
  <c r="I80" i="35"/>
  <c r="M80" i="35" s="1"/>
  <c r="J79" i="35"/>
  <c r="K79" i="35" s="1"/>
  <c r="I79" i="35"/>
  <c r="M79" i="35" s="1"/>
  <c r="J78" i="35"/>
  <c r="K78" i="35" s="1"/>
  <c r="I78" i="35"/>
  <c r="M78" i="35" s="1"/>
  <c r="J77" i="35"/>
  <c r="K77" i="35" s="1"/>
  <c r="I77" i="35"/>
  <c r="M77" i="35" s="1"/>
  <c r="J76" i="35"/>
  <c r="K76" i="35" s="1"/>
  <c r="I76" i="35"/>
  <c r="M76" i="35" s="1"/>
  <c r="J75" i="35"/>
  <c r="K75" i="35" s="1"/>
  <c r="I75" i="35"/>
  <c r="M75" i="35" s="1"/>
  <c r="J74" i="35"/>
  <c r="K74" i="35" s="1"/>
  <c r="I74" i="35"/>
  <c r="M74" i="35" s="1"/>
  <c r="M73" i="35"/>
  <c r="J73" i="35"/>
  <c r="K73" i="35" s="1"/>
  <c r="I73" i="35"/>
  <c r="J72" i="35"/>
  <c r="K72" i="35" s="1"/>
  <c r="I72" i="35"/>
  <c r="M72" i="35" s="1"/>
  <c r="M71" i="35"/>
  <c r="J71" i="35"/>
  <c r="K71" i="35" s="1"/>
  <c r="I71" i="35"/>
  <c r="K70" i="35"/>
  <c r="J70" i="35"/>
  <c r="I70" i="35"/>
  <c r="M70" i="35" s="1"/>
  <c r="J69" i="35"/>
  <c r="K69" i="35" s="1"/>
  <c r="I69" i="35"/>
  <c r="M69" i="35" s="1"/>
  <c r="J68" i="35"/>
  <c r="K68" i="35" s="1"/>
  <c r="I68" i="35"/>
  <c r="M68" i="35" s="1"/>
  <c r="M67" i="35"/>
  <c r="J67" i="35"/>
  <c r="K67" i="35" s="1"/>
  <c r="I67" i="35"/>
  <c r="K66" i="35"/>
  <c r="J66" i="35"/>
  <c r="I66" i="35"/>
  <c r="M66" i="35" s="1"/>
  <c r="J65" i="35"/>
  <c r="K65" i="35" s="1"/>
  <c r="I65" i="35"/>
  <c r="M65" i="35" s="1"/>
  <c r="B65" i="35"/>
  <c r="K64" i="35"/>
  <c r="J64" i="35"/>
  <c r="I64" i="35"/>
  <c r="M64" i="35" s="1"/>
  <c r="B64" i="35"/>
  <c r="J63" i="35"/>
  <c r="K63" i="35" s="1"/>
  <c r="I63" i="35"/>
  <c r="M63" i="35" s="1"/>
  <c r="B63" i="35"/>
  <c r="M62" i="35"/>
  <c r="J62" i="35"/>
  <c r="K62" i="35" s="1"/>
  <c r="I62" i="35"/>
  <c r="B62" i="35"/>
  <c r="J61" i="35"/>
  <c r="K61" i="35" s="1"/>
  <c r="I61" i="35"/>
  <c r="M61" i="35" s="1"/>
  <c r="B61" i="35"/>
  <c r="K60" i="35"/>
  <c r="J60" i="35"/>
  <c r="I60" i="35"/>
  <c r="M60" i="35" s="1"/>
  <c r="B60" i="35"/>
  <c r="M59" i="35"/>
  <c r="K59" i="35"/>
  <c r="J59" i="35"/>
  <c r="I59" i="35"/>
  <c r="B59" i="35"/>
  <c r="J58" i="35"/>
  <c r="K58" i="35" s="1"/>
  <c r="I58" i="35"/>
  <c r="M58" i="35" s="1"/>
  <c r="B58" i="35"/>
  <c r="M57" i="35"/>
  <c r="J57" i="35"/>
  <c r="K57" i="35" s="1"/>
  <c r="I57" i="35"/>
  <c r="B57" i="35"/>
  <c r="M56" i="35"/>
  <c r="J56" i="35"/>
  <c r="K56" i="35" s="1"/>
  <c r="I56" i="35"/>
  <c r="B56" i="35"/>
  <c r="K55" i="35"/>
  <c r="J55" i="35"/>
  <c r="I55" i="35"/>
  <c r="M55" i="35" s="1"/>
  <c r="B55" i="35"/>
  <c r="K54" i="35"/>
  <c r="J54" i="35"/>
  <c r="I54" i="35"/>
  <c r="M54" i="35" s="1"/>
  <c r="B54" i="35"/>
  <c r="J53" i="35"/>
  <c r="K53" i="35" s="1"/>
  <c r="I53" i="35"/>
  <c r="M53" i="35" s="1"/>
  <c r="B53" i="35"/>
  <c r="K52" i="35"/>
  <c r="J52" i="35"/>
  <c r="I52" i="35"/>
  <c r="M52" i="35" s="1"/>
  <c r="B52" i="35"/>
  <c r="M51" i="35"/>
  <c r="J51" i="35"/>
  <c r="K51" i="35" s="1"/>
  <c r="I51" i="35"/>
  <c r="B51" i="35"/>
  <c r="J50" i="35"/>
  <c r="K50" i="35" s="1"/>
  <c r="I50" i="35"/>
  <c r="M50" i="35" s="1"/>
  <c r="B50" i="35"/>
  <c r="J49" i="35"/>
  <c r="K49" i="35" s="1"/>
  <c r="I49" i="35"/>
  <c r="M49" i="35" s="1"/>
  <c r="B49" i="35"/>
  <c r="K48" i="35"/>
  <c r="J48" i="35"/>
  <c r="I48" i="35"/>
  <c r="M48" i="35" s="1"/>
  <c r="B48" i="35"/>
  <c r="J47" i="35"/>
  <c r="K47" i="35" s="1"/>
  <c r="I47" i="35"/>
  <c r="M47" i="35" s="1"/>
  <c r="B47" i="35"/>
  <c r="T46" i="35"/>
  <c r="R46" i="35"/>
  <c r="U46" i="35" s="1"/>
  <c r="J46" i="35"/>
  <c r="K46" i="35" s="1"/>
  <c r="I46" i="35"/>
  <c r="M46" i="35" s="1"/>
  <c r="B46" i="35"/>
  <c r="K45" i="35"/>
  <c r="J45" i="35"/>
  <c r="I45" i="35"/>
  <c r="M45" i="35" s="1"/>
  <c r="B45" i="35"/>
  <c r="J44" i="35"/>
  <c r="K44" i="35" s="1"/>
  <c r="I44" i="35"/>
  <c r="M44" i="35" s="1"/>
  <c r="B44" i="35"/>
  <c r="K43" i="35"/>
  <c r="J43" i="35"/>
  <c r="I43" i="35"/>
  <c r="M43" i="35" s="1"/>
  <c r="B43" i="35"/>
  <c r="K42" i="35"/>
  <c r="J42" i="35"/>
  <c r="I42" i="35"/>
  <c r="M42" i="35" s="1"/>
  <c r="B42" i="35"/>
  <c r="J41" i="35"/>
  <c r="K41" i="35" s="1"/>
  <c r="I41" i="35"/>
  <c r="M41" i="35" s="1"/>
  <c r="B41" i="35"/>
  <c r="M40" i="35"/>
  <c r="J40" i="35"/>
  <c r="K40" i="35" s="1"/>
  <c r="I40" i="35"/>
  <c r="B40" i="35"/>
  <c r="M39" i="35"/>
  <c r="J39" i="35"/>
  <c r="K39" i="35" s="1"/>
  <c r="I39" i="35"/>
  <c r="B39" i="35"/>
  <c r="K38" i="35"/>
  <c r="J38" i="35"/>
  <c r="I38" i="35"/>
  <c r="M38" i="35" s="1"/>
  <c r="B38" i="35"/>
  <c r="M37" i="35"/>
  <c r="A37" i="35" s="1"/>
  <c r="K37" i="35"/>
  <c r="J37" i="35"/>
  <c r="I37" i="35"/>
  <c r="B37" i="35"/>
  <c r="K36" i="35"/>
  <c r="J36" i="35"/>
  <c r="I36" i="35"/>
  <c r="M36" i="35" s="1"/>
  <c r="A36" i="35" s="1"/>
  <c r="B36" i="35"/>
  <c r="J35" i="35"/>
  <c r="K35" i="35" s="1"/>
  <c r="I35" i="35"/>
  <c r="M35" i="35" s="1"/>
  <c r="A35" i="35" s="1"/>
  <c r="B35" i="35"/>
  <c r="J34" i="35"/>
  <c r="K34" i="35" s="1"/>
  <c r="I34" i="35"/>
  <c r="M34" i="35" s="1"/>
  <c r="B34" i="35"/>
  <c r="A34" i="35"/>
  <c r="M33" i="35"/>
  <c r="A33" i="35" s="1"/>
  <c r="J33" i="35"/>
  <c r="K33" i="35" s="1"/>
  <c r="I33" i="35"/>
  <c r="B33" i="35"/>
  <c r="M32" i="35"/>
  <c r="A32" i="35" s="1"/>
  <c r="J32" i="35"/>
  <c r="K32" i="35" s="1"/>
  <c r="I32" i="35"/>
  <c r="B32" i="35"/>
  <c r="J31" i="35"/>
  <c r="K31" i="35" s="1"/>
  <c r="I31" i="35"/>
  <c r="M31" i="35" s="1"/>
  <c r="A31" i="35" s="1"/>
  <c r="B31" i="35"/>
  <c r="K30" i="35"/>
  <c r="J30" i="35"/>
  <c r="I30" i="35"/>
  <c r="M30" i="35" s="1"/>
  <c r="A30" i="35" s="1"/>
  <c r="B30" i="35"/>
  <c r="K29" i="35"/>
  <c r="J29" i="35"/>
  <c r="I29" i="35"/>
  <c r="M29" i="35" s="1"/>
  <c r="A29" i="35" s="1"/>
  <c r="B29" i="35"/>
  <c r="M28" i="35"/>
  <c r="A28" i="35" s="1"/>
  <c r="K28" i="35"/>
  <c r="J28" i="35"/>
  <c r="I28" i="35"/>
  <c r="B28" i="35"/>
  <c r="J27" i="35"/>
  <c r="K27" i="35" s="1"/>
  <c r="I27" i="35"/>
  <c r="M27" i="35" s="1"/>
  <c r="A27" i="35" s="1"/>
  <c r="B27" i="35"/>
  <c r="J26" i="35"/>
  <c r="K26" i="35" s="1"/>
  <c r="I26" i="35"/>
  <c r="M26" i="35" s="1"/>
  <c r="B26" i="35"/>
  <c r="A26" i="35"/>
  <c r="K25" i="35"/>
  <c r="J25" i="35"/>
  <c r="I25" i="35"/>
  <c r="M25" i="35" s="1"/>
  <c r="A25" i="35" s="1"/>
  <c r="B25" i="35"/>
  <c r="J24" i="35"/>
  <c r="K24" i="35" s="1"/>
  <c r="I24" i="35"/>
  <c r="M24" i="35" s="1"/>
  <c r="A24" i="35" s="1"/>
  <c r="B24" i="35"/>
  <c r="J23" i="35"/>
  <c r="K23" i="35" s="1"/>
  <c r="I23" i="35"/>
  <c r="M23" i="35" s="1"/>
  <c r="A23" i="35" s="1"/>
  <c r="B23" i="35"/>
  <c r="J22" i="35"/>
  <c r="K22" i="35" s="1"/>
  <c r="I22" i="35"/>
  <c r="M22" i="35" s="1"/>
  <c r="A22" i="35" s="1"/>
  <c r="B22" i="35"/>
  <c r="M21" i="35"/>
  <c r="A21" i="35" s="1"/>
  <c r="K21" i="35"/>
  <c r="J21" i="35"/>
  <c r="I21" i="35"/>
  <c r="B21" i="35"/>
  <c r="K20" i="35"/>
  <c r="J20" i="35"/>
  <c r="I20" i="35"/>
  <c r="M20" i="35" s="1"/>
  <c r="A20" i="35" s="1"/>
  <c r="B20" i="35"/>
  <c r="AD19" i="20" s="1"/>
  <c r="AE19" i="20" s="1"/>
  <c r="J19" i="35"/>
  <c r="K19" i="35" s="1"/>
  <c r="I19" i="35"/>
  <c r="J18" i="35"/>
  <c r="K18" i="35" s="1"/>
  <c r="M18" i="35" s="1"/>
  <c r="A18" i="35" s="1"/>
  <c r="I18" i="35"/>
  <c r="J17" i="35"/>
  <c r="K17" i="35" s="1"/>
  <c r="I17" i="35"/>
  <c r="AI16" i="35"/>
  <c r="M16" i="35"/>
  <c r="A16" i="35" s="1"/>
  <c r="K16" i="35"/>
  <c r="J16" i="35"/>
  <c r="I16" i="35"/>
  <c r="J15" i="35"/>
  <c r="K15" i="35" s="1"/>
  <c r="I15" i="35"/>
  <c r="AI14" i="35"/>
  <c r="J14" i="35"/>
  <c r="K14" i="35" s="1"/>
  <c r="I14" i="35"/>
  <c r="AI13" i="35"/>
  <c r="K13" i="35"/>
  <c r="J13" i="35"/>
  <c r="I13" i="35"/>
  <c r="AI12" i="35"/>
  <c r="K12" i="35"/>
  <c r="J12" i="35"/>
  <c r="I12" i="35"/>
  <c r="M12" i="35" s="1"/>
  <c r="A12" i="35" s="1"/>
  <c r="J11" i="35"/>
  <c r="K11" i="35" s="1"/>
  <c r="M11" i="35" s="1"/>
  <c r="A11" i="35" s="1"/>
  <c r="I11" i="35"/>
  <c r="M10" i="35"/>
  <c r="A10" i="35" s="1"/>
  <c r="K10" i="35"/>
  <c r="J10" i="35"/>
  <c r="I10" i="35"/>
  <c r="J9" i="35"/>
  <c r="K9" i="35" s="1"/>
  <c r="I9" i="35"/>
  <c r="J8" i="35"/>
  <c r="K8" i="35" s="1"/>
  <c r="I8" i="35"/>
  <c r="K7" i="35"/>
  <c r="J7" i="35"/>
  <c r="I7" i="35"/>
  <c r="J6" i="35"/>
  <c r="K6" i="35" s="1"/>
  <c r="I6" i="35"/>
  <c r="K2" i="35"/>
  <c r="L6" i="35" s="1"/>
  <c r="J374" i="34"/>
  <c r="J373" i="34"/>
  <c r="J372" i="34"/>
  <c r="J371" i="34"/>
  <c r="J370" i="34"/>
  <c r="J369" i="34"/>
  <c r="J368" i="34"/>
  <c r="J367" i="34"/>
  <c r="J366" i="34"/>
  <c r="J365" i="34"/>
  <c r="J364" i="34"/>
  <c r="J363" i="34"/>
  <c r="J362" i="34"/>
  <c r="J361" i="34"/>
  <c r="J360" i="34"/>
  <c r="J359" i="34"/>
  <c r="J358" i="34"/>
  <c r="J357" i="34"/>
  <c r="J356" i="34"/>
  <c r="J355" i="34"/>
  <c r="J354" i="34"/>
  <c r="J353" i="34"/>
  <c r="J352" i="34"/>
  <c r="J351" i="34"/>
  <c r="J350" i="34"/>
  <c r="J349" i="34"/>
  <c r="J348" i="34"/>
  <c r="J347" i="34"/>
  <c r="J346" i="34"/>
  <c r="J345" i="34"/>
  <c r="J344" i="34"/>
  <c r="J343" i="34"/>
  <c r="J342" i="34"/>
  <c r="J341" i="34"/>
  <c r="J340" i="34"/>
  <c r="J339" i="34"/>
  <c r="J338" i="34"/>
  <c r="J337" i="34"/>
  <c r="J336" i="34"/>
  <c r="J335" i="34"/>
  <c r="J334" i="34"/>
  <c r="J333" i="34"/>
  <c r="J332" i="34"/>
  <c r="J331" i="34"/>
  <c r="J330" i="34"/>
  <c r="J329" i="34"/>
  <c r="J328" i="34"/>
  <c r="J327" i="34"/>
  <c r="J326" i="34"/>
  <c r="J325" i="34"/>
  <c r="J324" i="34"/>
  <c r="J323" i="34"/>
  <c r="J322" i="34"/>
  <c r="J321" i="34"/>
  <c r="J320" i="34"/>
  <c r="J319" i="34"/>
  <c r="J318" i="34"/>
  <c r="J317" i="34"/>
  <c r="J316" i="34"/>
  <c r="J315" i="34"/>
  <c r="J314" i="34"/>
  <c r="J313" i="34"/>
  <c r="J312" i="34"/>
  <c r="J311" i="34"/>
  <c r="J310" i="34"/>
  <c r="J309" i="34"/>
  <c r="J308" i="34"/>
  <c r="J307" i="34"/>
  <c r="J306" i="34"/>
  <c r="M305" i="34"/>
  <c r="J305" i="34"/>
  <c r="K305" i="34" s="1"/>
  <c r="I305" i="34"/>
  <c r="J304" i="34"/>
  <c r="K304" i="34" s="1"/>
  <c r="I304" i="34"/>
  <c r="M304" i="34" s="1"/>
  <c r="M303" i="34"/>
  <c r="J303" i="34"/>
  <c r="K303" i="34" s="1"/>
  <c r="I303" i="34"/>
  <c r="J302" i="34"/>
  <c r="K302" i="34" s="1"/>
  <c r="I302" i="34"/>
  <c r="M302" i="34" s="1"/>
  <c r="M301" i="34"/>
  <c r="J301" i="34"/>
  <c r="K301" i="34" s="1"/>
  <c r="I301" i="34"/>
  <c r="J300" i="34"/>
  <c r="K300" i="34" s="1"/>
  <c r="I300" i="34"/>
  <c r="M300" i="34" s="1"/>
  <c r="M299" i="34"/>
  <c r="J299" i="34"/>
  <c r="K299" i="34" s="1"/>
  <c r="I299" i="34"/>
  <c r="J298" i="34"/>
  <c r="K298" i="34" s="1"/>
  <c r="I298" i="34"/>
  <c r="M298" i="34" s="1"/>
  <c r="M297" i="34"/>
  <c r="J297" i="34"/>
  <c r="K297" i="34" s="1"/>
  <c r="I297" i="34"/>
  <c r="J296" i="34"/>
  <c r="K296" i="34" s="1"/>
  <c r="I296" i="34"/>
  <c r="M296" i="34" s="1"/>
  <c r="M295" i="34"/>
  <c r="J295" i="34"/>
  <c r="K295" i="34" s="1"/>
  <c r="I295" i="34"/>
  <c r="J294" i="34"/>
  <c r="K294" i="34" s="1"/>
  <c r="I294" i="34"/>
  <c r="M294" i="34" s="1"/>
  <c r="M293" i="34"/>
  <c r="J293" i="34"/>
  <c r="K293" i="34" s="1"/>
  <c r="I293" i="34"/>
  <c r="J292" i="34"/>
  <c r="K292" i="34" s="1"/>
  <c r="I292" i="34"/>
  <c r="M292" i="34" s="1"/>
  <c r="M291" i="34"/>
  <c r="J291" i="34"/>
  <c r="K291" i="34" s="1"/>
  <c r="I291" i="34"/>
  <c r="J290" i="34"/>
  <c r="K290" i="34" s="1"/>
  <c r="I290" i="34"/>
  <c r="M290" i="34" s="1"/>
  <c r="M289" i="34"/>
  <c r="J289" i="34"/>
  <c r="K289" i="34" s="1"/>
  <c r="I289" i="34"/>
  <c r="J288" i="34"/>
  <c r="K288" i="34" s="1"/>
  <c r="I288" i="34"/>
  <c r="M288" i="34" s="1"/>
  <c r="M287" i="34"/>
  <c r="J287" i="34"/>
  <c r="K287" i="34" s="1"/>
  <c r="I287" i="34"/>
  <c r="J286" i="34"/>
  <c r="K286" i="34" s="1"/>
  <c r="I286" i="34"/>
  <c r="M286" i="34" s="1"/>
  <c r="M285" i="34"/>
  <c r="J285" i="34"/>
  <c r="K285" i="34" s="1"/>
  <c r="I285" i="34"/>
  <c r="J284" i="34"/>
  <c r="K284" i="34" s="1"/>
  <c r="I284" i="34"/>
  <c r="M284" i="34" s="1"/>
  <c r="M283" i="34"/>
  <c r="J283" i="34"/>
  <c r="K283" i="34" s="1"/>
  <c r="I283" i="34"/>
  <c r="J282" i="34"/>
  <c r="K282" i="34" s="1"/>
  <c r="I282" i="34"/>
  <c r="M282" i="34" s="1"/>
  <c r="M281" i="34"/>
  <c r="J281" i="34"/>
  <c r="K281" i="34" s="1"/>
  <c r="I281" i="34"/>
  <c r="J280" i="34"/>
  <c r="K280" i="34" s="1"/>
  <c r="I280" i="34"/>
  <c r="M280" i="34" s="1"/>
  <c r="M279" i="34"/>
  <c r="J279" i="34"/>
  <c r="K279" i="34" s="1"/>
  <c r="I279" i="34"/>
  <c r="J278" i="34"/>
  <c r="K278" i="34" s="1"/>
  <c r="I278" i="34"/>
  <c r="M278" i="34" s="1"/>
  <c r="M277" i="34"/>
  <c r="J277" i="34"/>
  <c r="K277" i="34" s="1"/>
  <c r="I277" i="34"/>
  <c r="J276" i="34"/>
  <c r="K276" i="34" s="1"/>
  <c r="I276" i="34"/>
  <c r="M276" i="34" s="1"/>
  <c r="M275" i="34"/>
  <c r="J275" i="34"/>
  <c r="K275" i="34" s="1"/>
  <c r="I275" i="34"/>
  <c r="J274" i="34"/>
  <c r="K274" i="34" s="1"/>
  <c r="I274" i="34"/>
  <c r="M274" i="34" s="1"/>
  <c r="M273" i="34"/>
  <c r="J273" i="34"/>
  <c r="K273" i="34" s="1"/>
  <c r="I273" i="34"/>
  <c r="J272" i="34"/>
  <c r="K272" i="34" s="1"/>
  <c r="I272" i="34"/>
  <c r="M272" i="34" s="1"/>
  <c r="M271" i="34"/>
  <c r="J271" i="34"/>
  <c r="K271" i="34" s="1"/>
  <c r="I271" i="34"/>
  <c r="J270" i="34"/>
  <c r="K270" i="34" s="1"/>
  <c r="I270" i="34"/>
  <c r="M270" i="34" s="1"/>
  <c r="M269" i="34"/>
  <c r="J269" i="34"/>
  <c r="K269" i="34" s="1"/>
  <c r="I269" i="34"/>
  <c r="J268" i="34"/>
  <c r="K268" i="34" s="1"/>
  <c r="I268" i="34"/>
  <c r="M268" i="34" s="1"/>
  <c r="M267" i="34"/>
  <c r="J267" i="34"/>
  <c r="K267" i="34" s="1"/>
  <c r="I267" i="34"/>
  <c r="J266" i="34"/>
  <c r="K266" i="34" s="1"/>
  <c r="I266" i="34"/>
  <c r="M266" i="34" s="1"/>
  <c r="M265" i="34"/>
  <c r="J265" i="34"/>
  <c r="K265" i="34" s="1"/>
  <c r="I265" i="34"/>
  <c r="J264" i="34"/>
  <c r="K264" i="34" s="1"/>
  <c r="I264" i="34"/>
  <c r="M264" i="34" s="1"/>
  <c r="M263" i="34"/>
  <c r="J263" i="34"/>
  <c r="K263" i="34" s="1"/>
  <c r="I263" i="34"/>
  <c r="J262" i="34"/>
  <c r="K262" i="34" s="1"/>
  <c r="I262" i="34"/>
  <c r="M262" i="34" s="1"/>
  <c r="M261" i="34"/>
  <c r="J261" i="34"/>
  <c r="K261" i="34" s="1"/>
  <c r="I261" i="34"/>
  <c r="J260" i="34"/>
  <c r="K260" i="34" s="1"/>
  <c r="I260" i="34"/>
  <c r="M260" i="34" s="1"/>
  <c r="M259" i="34"/>
  <c r="J259" i="34"/>
  <c r="K259" i="34" s="1"/>
  <c r="I259" i="34"/>
  <c r="J258" i="34"/>
  <c r="K258" i="34" s="1"/>
  <c r="I258" i="34"/>
  <c r="M258" i="34" s="1"/>
  <c r="M257" i="34"/>
  <c r="J257" i="34"/>
  <c r="K257" i="34" s="1"/>
  <c r="I257" i="34"/>
  <c r="J256" i="34"/>
  <c r="K256" i="34" s="1"/>
  <c r="I256" i="34"/>
  <c r="M256" i="34" s="1"/>
  <c r="M255" i="34"/>
  <c r="J255" i="34"/>
  <c r="K255" i="34" s="1"/>
  <c r="I255" i="34"/>
  <c r="J254" i="34"/>
  <c r="K254" i="34" s="1"/>
  <c r="I254" i="34"/>
  <c r="M254" i="34" s="1"/>
  <c r="M253" i="34"/>
  <c r="J253" i="34"/>
  <c r="K253" i="34" s="1"/>
  <c r="I253" i="34"/>
  <c r="J252" i="34"/>
  <c r="K252" i="34" s="1"/>
  <c r="I252" i="34"/>
  <c r="M252" i="34" s="1"/>
  <c r="M251" i="34"/>
  <c r="J251" i="34"/>
  <c r="K251" i="34" s="1"/>
  <c r="I251" i="34"/>
  <c r="J250" i="34"/>
  <c r="K250" i="34" s="1"/>
  <c r="I250" i="34"/>
  <c r="M250" i="34" s="1"/>
  <c r="M249" i="34"/>
  <c r="J249" i="34"/>
  <c r="K249" i="34" s="1"/>
  <c r="I249" i="34"/>
  <c r="J248" i="34"/>
  <c r="K248" i="34" s="1"/>
  <c r="I248" i="34"/>
  <c r="M248" i="34" s="1"/>
  <c r="M247" i="34"/>
  <c r="J247" i="34"/>
  <c r="K247" i="34" s="1"/>
  <c r="I247" i="34"/>
  <c r="J246" i="34"/>
  <c r="K246" i="34" s="1"/>
  <c r="I246" i="34"/>
  <c r="M246" i="34" s="1"/>
  <c r="M245" i="34"/>
  <c r="J245" i="34"/>
  <c r="K245" i="34" s="1"/>
  <c r="I245" i="34"/>
  <c r="J244" i="34"/>
  <c r="K244" i="34" s="1"/>
  <c r="I244" i="34"/>
  <c r="M244" i="34" s="1"/>
  <c r="M243" i="34"/>
  <c r="J243" i="34"/>
  <c r="K243" i="34" s="1"/>
  <c r="I243" i="34"/>
  <c r="J242" i="34"/>
  <c r="K242" i="34" s="1"/>
  <c r="I242" i="34"/>
  <c r="M242" i="34" s="1"/>
  <c r="M241" i="34"/>
  <c r="J241" i="34"/>
  <c r="K241" i="34" s="1"/>
  <c r="I241" i="34"/>
  <c r="J240" i="34"/>
  <c r="K240" i="34" s="1"/>
  <c r="I240" i="34"/>
  <c r="M240" i="34" s="1"/>
  <c r="M239" i="34"/>
  <c r="J239" i="34"/>
  <c r="K239" i="34" s="1"/>
  <c r="I239" i="34"/>
  <c r="J238" i="34"/>
  <c r="K238" i="34" s="1"/>
  <c r="I238" i="34"/>
  <c r="M238" i="34" s="1"/>
  <c r="K237" i="34"/>
  <c r="J237" i="34"/>
  <c r="I237" i="34"/>
  <c r="M237" i="34" s="1"/>
  <c r="J236" i="34"/>
  <c r="K236" i="34" s="1"/>
  <c r="I236" i="34"/>
  <c r="M236" i="34" s="1"/>
  <c r="M235" i="34"/>
  <c r="K235" i="34"/>
  <c r="J235" i="34"/>
  <c r="I235" i="34"/>
  <c r="J234" i="34"/>
  <c r="K234" i="34" s="1"/>
  <c r="I234" i="34"/>
  <c r="M234" i="34" s="1"/>
  <c r="J233" i="34"/>
  <c r="K233" i="34" s="1"/>
  <c r="I233" i="34"/>
  <c r="M233" i="34" s="1"/>
  <c r="J232" i="34"/>
  <c r="K232" i="34" s="1"/>
  <c r="I232" i="34"/>
  <c r="M232" i="34" s="1"/>
  <c r="K231" i="34"/>
  <c r="J231" i="34"/>
  <c r="I231" i="34"/>
  <c r="M231" i="34" s="1"/>
  <c r="J230" i="34"/>
  <c r="K230" i="34" s="1"/>
  <c r="I230" i="34"/>
  <c r="M230" i="34" s="1"/>
  <c r="K229" i="34"/>
  <c r="J229" i="34"/>
  <c r="I229" i="34"/>
  <c r="M229" i="34" s="1"/>
  <c r="J228" i="34"/>
  <c r="K228" i="34" s="1"/>
  <c r="I228" i="34"/>
  <c r="M228" i="34" s="1"/>
  <c r="M227" i="34"/>
  <c r="K227" i="34"/>
  <c r="J227" i="34"/>
  <c r="I227" i="34"/>
  <c r="J226" i="34"/>
  <c r="K226" i="34" s="1"/>
  <c r="I226" i="34"/>
  <c r="M226" i="34" s="1"/>
  <c r="J225" i="34"/>
  <c r="K225" i="34" s="1"/>
  <c r="I225" i="34"/>
  <c r="M225" i="34" s="1"/>
  <c r="J224" i="34"/>
  <c r="K224" i="34" s="1"/>
  <c r="I224" i="34"/>
  <c r="M224" i="34" s="1"/>
  <c r="K223" i="34"/>
  <c r="J223" i="34"/>
  <c r="I223" i="34"/>
  <c r="M223" i="34" s="1"/>
  <c r="J222" i="34"/>
  <c r="K222" i="34" s="1"/>
  <c r="I222" i="34"/>
  <c r="M222" i="34" s="1"/>
  <c r="K221" i="34"/>
  <c r="J221" i="34"/>
  <c r="I221" i="34"/>
  <c r="M221" i="34" s="1"/>
  <c r="J220" i="34"/>
  <c r="K220" i="34" s="1"/>
  <c r="I220" i="34"/>
  <c r="M220" i="34" s="1"/>
  <c r="M219" i="34"/>
  <c r="K219" i="34"/>
  <c r="J219" i="34"/>
  <c r="I219" i="34"/>
  <c r="J218" i="34"/>
  <c r="K218" i="34" s="1"/>
  <c r="I218" i="34"/>
  <c r="M218" i="34" s="1"/>
  <c r="J217" i="34"/>
  <c r="K217" i="34" s="1"/>
  <c r="I217" i="34"/>
  <c r="M217" i="34" s="1"/>
  <c r="J216" i="34"/>
  <c r="K216" i="34" s="1"/>
  <c r="I216" i="34"/>
  <c r="M216" i="34" s="1"/>
  <c r="K215" i="34"/>
  <c r="J215" i="34"/>
  <c r="I215" i="34"/>
  <c r="M215" i="34" s="1"/>
  <c r="J214" i="34"/>
  <c r="K214" i="34" s="1"/>
  <c r="I214" i="34"/>
  <c r="M214" i="34" s="1"/>
  <c r="K213" i="34"/>
  <c r="J213" i="34"/>
  <c r="I213" i="34"/>
  <c r="M213" i="34" s="1"/>
  <c r="J212" i="34"/>
  <c r="K212" i="34" s="1"/>
  <c r="I212" i="34"/>
  <c r="M212" i="34" s="1"/>
  <c r="M211" i="34"/>
  <c r="K211" i="34"/>
  <c r="J211" i="34"/>
  <c r="I211" i="34"/>
  <c r="J210" i="34"/>
  <c r="K210" i="34" s="1"/>
  <c r="I210" i="34"/>
  <c r="M210" i="34" s="1"/>
  <c r="J209" i="34"/>
  <c r="K209" i="34" s="1"/>
  <c r="I209" i="34"/>
  <c r="M209" i="34" s="1"/>
  <c r="J208" i="34"/>
  <c r="K208" i="34" s="1"/>
  <c r="I208" i="34"/>
  <c r="M208" i="34" s="1"/>
  <c r="K207" i="34"/>
  <c r="J207" i="34"/>
  <c r="I207" i="34"/>
  <c r="M207" i="34" s="1"/>
  <c r="J206" i="34"/>
  <c r="K206" i="34" s="1"/>
  <c r="I206" i="34"/>
  <c r="M206" i="34" s="1"/>
  <c r="K205" i="34"/>
  <c r="J205" i="34"/>
  <c r="I205" i="34"/>
  <c r="M205" i="34" s="1"/>
  <c r="J204" i="34"/>
  <c r="K204" i="34" s="1"/>
  <c r="I204" i="34"/>
  <c r="M204" i="34" s="1"/>
  <c r="M203" i="34"/>
  <c r="K203" i="34"/>
  <c r="J203" i="34"/>
  <c r="I203" i="34"/>
  <c r="J202" i="34"/>
  <c r="K202" i="34" s="1"/>
  <c r="I202" i="34"/>
  <c r="M202" i="34" s="1"/>
  <c r="J201" i="34"/>
  <c r="K201" i="34" s="1"/>
  <c r="I201" i="34"/>
  <c r="M201" i="34" s="1"/>
  <c r="J200" i="34"/>
  <c r="K200" i="34" s="1"/>
  <c r="I200" i="34"/>
  <c r="M200" i="34" s="1"/>
  <c r="K199" i="34"/>
  <c r="J199" i="34"/>
  <c r="I199" i="34"/>
  <c r="M199" i="34" s="1"/>
  <c r="J198" i="34"/>
  <c r="K198" i="34" s="1"/>
  <c r="I198" i="34"/>
  <c r="M198" i="34" s="1"/>
  <c r="K197" i="34"/>
  <c r="J197" i="34"/>
  <c r="I197" i="34"/>
  <c r="M197" i="34" s="1"/>
  <c r="J196" i="34"/>
  <c r="K196" i="34" s="1"/>
  <c r="I196" i="34"/>
  <c r="M196" i="34" s="1"/>
  <c r="M195" i="34"/>
  <c r="K195" i="34"/>
  <c r="J195" i="34"/>
  <c r="I195" i="34"/>
  <c r="J194" i="34"/>
  <c r="K194" i="34" s="1"/>
  <c r="I194" i="34"/>
  <c r="M194" i="34" s="1"/>
  <c r="J193" i="34"/>
  <c r="K193" i="34" s="1"/>
  <c r="I193" i="34"/>
  <c r="M193" i="34" s="1"/>
  <c r="J192" i="34"/>
  <c r="K192" i="34" s="1"/>
  <c r="I192" i="34"/>
  <c r="M192" i="34" s="1"/>
  <c r="K191" i="34"/>
  <c r="J191" i="34"/>
  <c r="I191" i="34"/>
  <c r="M191" i="34" s="1"/>
  <c r="J190" i="34"/>
  <c r="K190" i="34" s="1"/>
  <c r="I190" i="34"/>
  <c r="M190" i="34" s="1"/>
  <c r="K189" i="34"/>
  <c r="J189" i="34"/>
  <c r="I189" i="34"/>
  <c r="M189" i="34" s="1"/>
  <c r="J188" i="34"/>
  <c r="K188" i="34" s="1"/>
  <c r="I188" i="34"/>
  <c r="M188" i="34" s="1"/>
  <c r="M187" i="34"/>
  <c r="K187" i="34"/>
  <c r="J187" i="34"/>
  <c r="I187" i="34"/>
  <c r="J186" i="34"/>
  <c r="K186" i="34" s="1"/>
  <c r="I186" i="34"/>
  <c r="M186" i="34" s="1"/>
  <c r="J185" i="34"/>
  <c r="K185" i="34" s="1"/>
  <c r="I185" i="34"/>
  <c r="M185" i="34" s="1"/>
  <c r="J184" i="34"/>
  <c r="K184" i="34" s="1"/>
  <c r="I184" i="34"/>
  <c r="M184" i="34" s="1"/>
  <c r="K183" i="34"/>
  <c r="J183" i="34"/>
  <c r="I183" i="34"/>
  <c r="M183" i="34" s="1"/>
  <c r="J182" i="34"/>
  <c r="K182" i="34" s="1"/>
  <c r="I182" i="34"/>
  <c r="M182" i="34" s="1"/>
  <c r="K181" i="34"/>
  <c r="J181" i="34"/>
  <c r="I181" i="34"/>
  <c r="M181" i="34" s="1"/>
  <c r="J180" i="34"/>
  <c r="K180" i="34" s="1"/>
  <c r="I180" i="34"/>
  <c r="M180" i="34" s="1"/>
  <c r="M179" i="34"/>
  <c r="K179" i="34"/>
  <c r="J179" i="34"/>
  <c r="I179" i="34"/>
  <c r="J178" i="34"/>
  <c r="K178" i="34" s="1"/>
  <c r="I178" i="34"/>
  <c r="M178" i="34" s="1"/>
  <c r="J177" i="34"/>
  <c r="K177" i="34" s="1"/>
  <c r="I177" i="34"/>
  <c r="M177" i="34" s="1"/>
  <c r="J176" i="34"/>
  <c r="K176" i="34" s="1"/>
  <c r="I176" i="34"/>
  <c r="M176" i="34" s="1"/>
  <c r="K175" i="34"/>
  <c r="J175" i="34"/>
  <c r="I175" i="34"/>
  <c r="M175" i="34" s="1"/>
  <c r="J174" i="34"/>
  <c r="K174" i="34" s="1"/>
  <c r="I174" i="34"/>
  <c r="M174" i="34" s="1"/>
  <c r="J173" i="34"/>
  <c r="K173" i="34" s="1"/>
  <c r="I173" i="34"/>
  <c r="M173" i="34" s="1"/>
  <c r="J172" i="34"/>
  <c r="K172" i="34" s="1"/>
  <c r="I172" i="34"/>
  <c r="M172" i="34" s="1"/>
  <c r="M171" i="34"/>
  <c r="K171" i="34"/>
  <c r="J171" i="34"/>
  <c r="I171" i="34"/>
  <c r="J170" i="34"/>
  <c r="K170" i="34" s="1"/>
  <c r="I170" i="34"/>
  <c r="M170" i="34" s="1"/>
  <c r="J169" i="34"/>
  <c r="K169" i="34" s="1"/>
  <c r="I169" i="34"/>
  <c r="M169" i="34" s="1"/>
  <c r="J168" i="34"/>
  <c r="K168" i="34" s="1"/>
  <c r="I168" i="34"/>
  <c r="M168" i="34" s="1"/>
  <c r="K167" i="34"/>
  <c r="J167" i="34"/>
  <c r="I167" i="34"/>
  <c r="M167" i="34" s="1"/>
  <c r="J166" i="34"/>
  <c r="K166" i="34" s="1"/>
  <c r="I166" i="34"/>
  <c r="M166" i="34" s="1"/>
  <c r="J165" i="34"/>
  <c r="K165" i="34" s="1"/>
  <c r="I165" i="34"/>
  <c r="M165" i="34" s="1"/>
  <c r="J164" i="34"/>
  <c r="K164" i="34" s="1"/>
  <c r="I164" i="34"/>
  <c r="M164" i="34" s="1"/>
  <c r="M163" i="34"/>
  <c r="K163" i="34"/>
  <c r="J163" i="34"/>
  <c r="I163" i="34"/>
  <c r="J162" i="34"/>
  <c r="K162" i="34" s="1"/>
  <c r="I162" i="34"/>
  <c r="M162" i="34" s="1"/>
  <c r="J161" i="34"/>
  <c r="K161" i="34" s="1"/>
  <c r="I161" i="34"/>
  <c r="M161" i="34" s="1"/>
  <c r="J160" i="34"/>
  <c r="K160" i="34" s="1"/>
  <c r="I160" i="34"/>
  <c r="M160" i="34" s="1"/>
  <c r="J159" i="34"/>
  <c r="K159" i="34" s="1"/>
  <c r="I159" i="34"/>
  <c r="M159" i="34" s="1"/>
  <c r="J158" i="34"/>
  <c r="K158" i="34" s="1"/>
  <c r="I158" i="34"/>
  <c r="M158" i="34" s="1"/>
  <c r="J157" i="34"/>
  <c r="K157" i="34" s="1"/>
  <c r="I157" i="34"/>
  <c r="M157" i="34" s="1"/>
  <c r="J156" i="34"/>
  <c r="K156" i="34" s="1"/>
  <c r="I156" i="34"/>
  <c r="M156" i="34" s="1"/>
  <c r="M155" i="34"/>
  <c r="K155" i="34"/>
  <c r="J155" i="34"/>
  <c r="I155" i="34"/>
  <c r="J154" i="34"/>
  <c r="K154" i="34" s="1"/>
  <c r="I154" i="34"/>
  <c r="M154" i="34" s="1"/>
  <c r="J153" i="34"/>
  <c r="K153" i="34" s="1"/>
  <c r="I153" i="34"/>
  <c r="M153" i="34" s="1"/>
  <c r="J152" i="34"/>
  <c r="K152" i="34" s="1"/>
  <c r="I152" i="34"/>
  <c r="M152" i="34" s="1"/>
  <c r="J151" i="34"/>
  <c r="K151" i="34" s="1"/>
  <c r="I151" i="34"/>
  <c r="M151" i="34" s="1"/>
  <c r="J150" i="34"/>
  <c r="K150" i="34" s="1"/>
  <c r="I150" i="34"/>
  <c r="M150" i="34" s="1"/>
  <c r="J149" i="34"/>
  <c r="K149" i="34" s="1"/>
  <c r="I149" i="34"/>
  <c r="M149" i="34" s="1"/>
  <c r="J148" i="34"/>
  <c r="K148" i="34" s="1"/>
  <c r="I148" i="34"/>
  <c r="M148" i="34" s="1"/>
  <c r="M147" i="34"/>
  <c r="K147" i="34"/>
  <c r="J147" i="34"/>
  <c r="I147" i="34"/>
  <c r="J146" i="34"/>
  <c r="K146" i="34" s="1"/>
  <c r="I146" i="34"/>
  <c r="M146" i="34" s="1"/>
  <c r="J145" i="34"/>
  <c r="K145" i="34" s="1"/>
  <c r="I145" i="34"/>
  <c r="M145" i="34" s="1"/>
  <c r="J144" i="34"/>
  <c r="K144" i="34" s="1"/>
  <c r="I144" i="34"/>
  <c r="M144" i="34" s="1"/>
  <c r="J143" i="34"/>
  <c r="K143" i="34" s="1"/>
  <c r="I143" i="34"/>
  <c r="M143" i="34" s="1"/>
  <c r="J142" i="34"/>
  <c r="K142" i="34" s="1"/>
  <c r="I142" i="34"/>
  <c r="M142" i="34" s="1"/>
  <c r="J141" i="34"/>
  <c r="K141" i="34" s="1"/>
  <c r="I141" i="34"/>
  <c r="M141" i="34" s="1"/>
  <c r="J140" i="34"/>
  <c r="K140" i="34" s="1"/>
  <c r="I140" i="34"/>
  <c r="M140" i="34" s="1"/>
  <c r="M139" i="34"/>
  <c r="K139" i="34"/>
  <c r="J139" i="34"/>
  <c r="I139" i="34"/>
  <c r="J138" i="34"/>
  <c r="K138" i="34" s="1"/>
  <c r="I138" i="34"/>
  <c r="M138" i="34" s="1"/>
  <c r="J137" i="34"/>
  <c r="K137" i="34" s="1"/>
  <c r="I137" i="34"/>
  <c r="M137" i="34" s="1"/>
  <c r="J136" i="34"/>
  <c r="K136" i="34" s="1"/>
  <c r="I136" i="34"/>
  <c r="M136" i="34" s="1"/>
  <c r="J135" i="34"/>
  <c r="K135" i="34" s="1"/>
  <c r="I135" i="34"/>
  <c r="M135" i="34" s="1"/>
  <c r="M134" i="34"/>
  <c r="K134" i="34"/>
  <c r="J134" i="34"/>
  <c r="I134" i="34"/>
  <c r="J133" i="34"/>
  <c r="K133" i="34" s="1"/>
  <c r="I133" i="34"/>
  <c r="M133" i="34" s="1"/>
  <c r="M132" i="34"/>
  <c r="K132" i="34"/>
  <c r="J132" i="34"/>
  <c r="I132" i="34"/>
  <c r="J131" i="34"/>
  <c r="K131" i="34" s="1"/>
  <c r="I131" i="34"/>
  <c r="M131" i="34" s="1"/>
  <c r="M130" i="34"/>
  <c r="K130" i="34"/>
  <c r="J130" i="34"/>
  <c r="I130" i="34"/>
  <c r="J129" i="34"/>
  <c r="K129" i="34" s="1"/>
  <c r="I129" i="34"/>
  <c r="M129" i="34" s="1"/>
  <c r="M128" i="34"/>
  <c r="K128" i="34"/>
  <c r="J128" i="34"/>
  <c r="I128" i="34"/>
  <c r="J127" i="34"/>
  <c r="K127" i="34" s="1"/>
  <c r="I127" i="34"/>
  <c r="M127" i="34" s="1"/>
  <c r="M126" i="34"/>
  <c r="K126" i="34"/>
  <c r="J126" i="34"/>
  <c r="I126" i="34"/>
  <c r="J125" i="34"/>
  <c r="K125" i="34" s="1"/>
  <c r="I125" i="34"/>
  <c r="M125" i="34" s="1"/>
  <c r="M124" i="34"/>
  <c r="K124" i="34"/>
  <c r="J124" i="34"/>
  <c r="I124" i="34"/>
  <c r="J123" i="34"/>
  <c r="K123" i="34" s="1"/>
  <c r="I123" i="34"/>
  <c r="M123" i="34" s="1"/>
  <c r="M122" i="34"/>
  <c r="K122" i="34"/>
  <c r="J122" i="34"/>
  <c r="I122" i="34"/>
  <c r="J121" i="34"/>
  <c r="K121" i="34" s="1"/>
  <c r="I121" i="34"/>
  <c r="M121" i="34" s="1"/>
  <c r="M120" i="34"/>
  <c r="K120" i="34"/>
  <c r="J120" i="34"/>
  <c r="I120" i="34"/>
  <c r="J119" i="34"/>
  <c r="K119" i="34" s="1"/>
  <c r="I119" i="34"/>
  <c r="M119" i="34" s="1"/>
  <c r="M118" i="34"/>
  <c r="K118" i="34"/>
  <c r="J118" i="34"/>
  <c r="I118" i="34"/>
  <c r="J117" i="34"/>
  <c r="K117" i="34" s="1"/>
  <c r="I117" i="34"/>
  <c r="M117" i="34" s="1"/>
  <c r="M116" i="34"/>
  <c r="K116" i="34"/>
  <c r="J116" i="34"/>
  <c r="I116" i="34"/>
  <c r="J115" i="34"/>
  <c r="K115" i="34" s="1"/>
  <c r="I115" i="34"/>
  <c r="M115" i="34" s="1"/>
  <c r="M114" i="34"/>
  <c r="K114" i="34"/>
  <c r="J114" i="34"/>
  <c r="I114" i="34"/>
  <c r="J113" i="34"/>
  <c r="K113" i="34" s="1"/>
  <c r="I113" i="34"/>
  <c r="M113" i="34" s="1"/>
  <c r="M112" i="34"/>
  <c r="K112" i="34"/>
  <c r="J112" i="34"/>
  <c r="I112" i="34"/>
  <c r="J111" i="34"/>
  <c r="K111" i="34" s="1"/>
  <c r="I111" i="34"/>
  <c r="M111" i="34" s="1"/>
  <c r="M110" i="34"/>
  <c r="K110" i="34"/>
  <c r="J110" i="34"/>
  <c r="I110" i="34"/>
  <c r="J109" i="34"/>
  <c r="K109" i="34" s="1"/>
  <c r="I109" i="34"/>
  <c r="M109" i="34" s="1"/>
  <c r="M108" i="34"/>
  <c r="K108" i="34"/>
  <c r="J108" i="34"/>
  <c r="I108" i="34"/>
  <c r="J107" i="34"/>
  <c r="K107" i="34" s="1"/>
  <c r="I107" i="34"/>
  <c r="M107" i="34" s="1"/>
  <c r="M106" i="34"/>
  <c r="K106" i="34"/>
  <c r="J106" i="34"/>
  <c r="I106" i="34"/>
  <c r="J105" i="34"/>
  <c r="K105" i="34" s="1"/>
  <c r="I105" i="34"/>
  <c r="M105" i="34" s="1"/>
  <c r="M104" i="34"/>
  <c r="K104" i="34"/>
  <c r="J104" i="34"/>
  <c r="I104" i="34"/>
  <c r="J103" i="34"/>
  <c r="K103" i="34" s="1"/>
  <c r="I103" i="34"/>
  <c r="M103" i="34" s="1"/>
  <c r="M102" i="34"/>
  <c r="K102" i="34"/>
  <c r="J102" i="34"/>
  <c r="I102" i="34"/>
  <c r="J101" i="34"/>
  <c r="K101" i="34" s="1"/>
  <c r="I101" i="34"/>
  <c r="M101" i="34" s="1"/>
  <c r="M100" i="34"/>
  <c r="K100" i="34"/>
  <c r="J100" i="34"/>
  <c r="I100" i="34"/>
  <c r="J99" i="34"/>
  <c r="K99" i="34" s="1"/>
  <c r="I99" i="34"/>
  <c r="M99" i="34" s="1"/>
  <c r="M98" i="34"/>
  <c r="K98" i="34"/>
  <c r="J98" i="34"/>
  <c r="I98" i="34"/>
  <c r="J97" i="34"/>
  <c r="K97" i="34" s="1"/>
  <c r="I97" i="34"/>
  <c r="M97" i="34" s="1"/>
  <c r="M96" i="34"/>
  <c r="K96" i="34"/>
  <c r="J96" i="34"/>
  <c r="I96" i="34"/>
  <c r="J95" i="34"/>
  <c r="K95" i="34" s="1"/>
  <c r="I95" i="34"/>
  <c r="M95" i="34" s="1"/>
  <c r="M94" i="34"/>
  <c r="K94" i="34"/>
  <c r="J94" i="34"/>
  <c r="I94" i="34"/>
  <c r="J93" i="34"/>
  <c r="K93" i="34" s="1"/>
  <c r="I93" i="34"/>
  <c r="M93" i="34" s="1"/>
  <c r="M92" i="34"/>
  <c r="K92" i="34"/>
  <c r="J92" i="34"/>
  <c r="I92" i="34"/>
  <c r="J91" i="34"/>
  <c r="K91" i="34" s="1"/>
  <c r="I91" i="34"/>
  <c r="M91" i="34" s="1"/>
  <c r="M90" i="34"/>
  <c r="K90" i="34"/>
  <c r="J90" i="34"/>
  <c r="I90" i="34"/>
  <c r="J89" i="34"/>
  <c r="K89" i="34" s="1"/>
  <c r="I89" i="34"/>
  <c r="M89" i="34" s="1"/>
  <c r="M88" i="34"/>
  <c r="K88" i="34"/>
  <c r="J88" i="34"/>
  <c r="I88" i="34"/>
  <c r="J87" i="34"/>
  <c r="K87" i="34" s="1"/>
  <c r="I87" i="34"/>
  <c r="M87" i="34" s="1"/>
  <c r="M86" i="34"/>
  <c r="K86" i="34"/>
  <c r="J86" i="34"/>
  <c r="I86" i="34"/>
  <c r="J85" i="34"/>
  <c r="K85" i="34" s="1"/>
  <c r="I85" i="34"/>
  <c r="M85" i="34" s="1"/>
  <c r="M84" i="34"/>
  <c r="K84" i="34"/>
  <c r="J84" i="34"/>
  <c r="I84" i="34"/>
  <c r="J83" i="34"/>
  <c r="K83" i="34" s="1"/>
  <c r="I83" i="34"/>
  <c r="M83" i="34" s="1"/>
  <c r="M82" i="34"/>
  <c r="K82" i="34"/>
  <c r="J82" i="34"/>
  <c r="I82" i="34"/>
  <c r="J81" i="34"/>
  <c r="K81" i="34" s="1"/>
  <c r="I81" i="34"/>
  <c r="M81" i="34" s="1"/>
  <c r="M80" i="34"/>
  <c r="K80" i="34"/>
  <c r="J80" i="34"/>
  <c r="I80" i="34"/>
  <c r="J79" i="34"/>
  <c r="K79" i="34" s="1"/>
  <c r="I79" i="34"/>
  <c r="M79" i="34" s="1"/>
  <c r="M78" i="34"/>
  <c r="K78" i="34"/>
  <c r="J78" i="34"/>
  <c r="I78" i="34"/>
  <c r="J77" i="34"/>
  <c r="K77" i="34" s="1"/>
  <c r="I77" i="34"/>
  <c r="M77" i="34" s="1"/>
  <c r="M76" i="34"/>
  <c r="K76" i="34"/>
  <c r="J76" i="34"/>
  <c r="I76" i="34"/>
  <c r="J75" i="34"/>
  <c r="K75" i="34" s="1"/>
  <c r="I75" i="34"/>
  <c r="M75" i="34" s="1"/>
  <c r="M74" i="34"/>
  <c r="K74" i="34"/>
  <c r="J74" i="34"/>
  <c r="I74" i="34"/>
  <c r="J73" i="34"/>
  <c r="K73" i="34" s="1"/>
  <c r="I73" i="34"/>
  <c r="M73" i="34" s="1"/>
  <c r="M72" i="34"/>
  <c r="K72" i="34"/>
  <c r="J72" i="34"/>
  <c r="I72" i="34"/>
  <c r="J71" i="34"/>
  <c r="K71" i="34" s="1"/>
  <c r="I71" i="34"/>
  <c r="M71" i="34" s="1"/>
  <c r="M70" i="34"/>
  <c r="K70" i="34"/>
  <c r="J70" i="34"/>
  <c r="I70" i="34"/>
  <c r="J69" i="34"/>
  <c r="K69" i="34" s="1"/>
  <c r="I69" i="34"/>
  <c r="M69" i="34" s="1"/>
  <c r="M68" i="34"/>
  <c r="K68" i="34"/>
  <c r="J68" i="34"/>
  <c r="I68" i="34"/>
  <c r="J67" i="34"/>
  <c r="K67" i="34" s="1"/>
  <c r="I67" i="34"/>
  <c r="M67" i="34" s="1"/>
  <c r="M66" i="34"/>
  <c r="K66" i="34"/>
  <c r="J66" i="34"/>
  <c r="I66" i="34"/>
  <c r="J65" i="34"/>
  <c r="K65" i="34" s="1"/>
  <c r="I65" i="34"/>
  <c r="M65" i="34" s="1"/>
  <c r="B65" i="34"/>
  <c r="M64" i="34"/>
  <c r="K64" i="34"/>
  <c r="J64" i="34"/>
  <c r="I64" i="34"/>
  <c r="B64" i="34"/>
  <c r="J63" i="34"/>
  <c r="K63" i="34" s="1"/>
  <c r="I63" i="34"/>
  <c r="M63" i="34" s="1"/>
  <c r="B63" i="34"/>
  <c r="K62" i="34"/>
  <c r="J62" i="34"/>
  <c r="I62" i="34"/>
  <c r="M62" i="34" s="1"/>
  <c r="B62" i="34"/>
  <c r="M61" i="34"/>
  <c r="K61" i="34"/>
  <c r="J61" i="34"/>
  <c r="I61" i="34"/>
  <c r="B61" i="34"/>
  <c r="K60" i="34"/>
  <c r="J60" i="34"/>
  <c r="I60" i="34"/>
  <c r="M60" i="34" s="1"/>
  <c r="B60" i="34"/>
  <c r="M59" i="34"/>
  <c r="K59" i="34"/>
  <c r="J59" i="34"/>
  <c r="I59" i="34"/>
  <c r="B59" i="34"/>
  <c r="J58" i="34"/>
  <c r="K58" i="34" s="1"/>
  <c r="I58" i="34"/>
  <c r="M58" i="34" s="1"/>
  <c r="B58" i="34"/>
  <c r="J57" i="34"/>
  <c r="K57" i="34" s="1"/>
  <c r="I57" i="34"/>
  <c r="M57" i="34" s="1"/>
  <c r="B57" i="34"/>
  <c r="M56" i="34"/>
  <c r="K56" i="34"/>
  <c r="J56" i="34"/>
  <c r="I56" i="34"/>
  <c r="B56" i="34"/>
  <c r="J55" i="34"/>
  <c r="K55" i="34" s="1"/>
  <c r="I55" i="34"/>
  <c r="M55" i="34" s="1"/>
  <c r="B55" i="34"/>
  <c r="K54" i="34"/>
  <c r="J54" i="34"/>
  <c r="I54" i="34"/>
  <c r="M54" i="34" s="1"/>
  <c r="B54" i="34"/>
  <c r="M53" i="34"/>
  <c r="K53" i="34"/>
  <c r="J53" i="34"/>
  <c r="I53" i="34"/>
  <c r="B53" i="34"/>
  <c r="K52" i="34"/>
  <c r="J52" i="34"/>
  <c r="I52" i="34"/>
  <c r="M52" i="34" s="1"/>
  <c r="B52" i="34"/>
  <c r="M51" i="34"/>
  <c r="K51" i="34"/>
  <c r="J51" i="34"/>
  <c r="I51" i="34"/>
  <c r="B51" i="34"/>
  <c r="J50" i="34"/>
  <c r="K50" i="34" s="1"/>
  <c r="I50" i="34"/>
  <c r="M50" i="34" s="1"/>
  <c r="B50" i="34"/>
  <c r="J49" i="34"/>
  <c r="K49" i="34" s="1"/>
  <c r="I49" i="34"/>
  <c r="M49" i="34" s="1"/>
  <c r="B49" i="34"/>
  <c r="M48" i="34"/>
  <c r="K48" i="34"/>
  <c r="J48" i="34"/>
  <c r="I48" i="34"/>
  <c r="B48" i="34"/>
  <c r="J47" i="34"/>
  <c r="K47" i="34" s="1"/>
  <c r="I47" i="34"/>
  <c r="M47" i="34" s="1"/>
  <c r="B47" i="34"/>
  <c r="U46" i="34"/>
  <c r="T46" i="34"/>
  <c r="R46" i="34"/>
  <c r="J46" i="34"/>
  <c r="K46" i="34" s="1"/>
  <c r="I46" i="34"/>
  <c r="M46" i="34" s="1"/>
  <c r="B46" i="34"/>
  <c r="K45" i="34"/>
  <c r="J45" i="34"/>
  <c r="I45" i="34"/>
  <c r="M45" i="34" s="1"/>
  <c r="B45" i="34"/>
  <c r="M44" i="34"/>
  <c r="K44" i="34"/>
  <c r="J44" i="34"/>
  <c r="I44" i="34"/>
  <c r="B44" i="34"/>
  <c r="K43" i="34"/>
  <c r="J43" i="34"/>
  <c r="I43" i="34"/>
  <c r="M43" i="34" s="1"/>
  <c r="B43" i="34"/>
  <c r="M42" i="34"/>
  <c r="J42" i="34"/>
  <c r="K42" i="34" s="1"/>
  <c r="I42" i="34"/>
  <c r="B42" i="34"/>
  <c r="J41" i="34"/>
  <c r="K41" i="34" s="1"/>
  <c r="I41" i="34"/>
  <c r="M41" i="34" s="1"/>
  <c r="B41" i="34"/>
  <c r="J40" i="34"/>
  <c r="K40" i="34" s="1"/>
  <c r="I40" i="34"/>
  <c r="M40" i="34" s="1"/>
  <c r="B40" i="34"/>
  <c r="M39" i="34"/>
  <c r="K39" i="34"/>
  <c r="J39" i="34"/>
  <c r="I39" i="34"/>
  <c r="B39" i="34"/>
  <c r="J38" i="34"/>
  <c r="K38" i="34" s="1"/>
  <c r="I38" i="34"/>
  <c r="M38" i="34" s="1"/>
  <c r="B38" i="34"/>
  <c r="K37" i="34"/>
  <c r="J37" i="34"/>
  <c r="I37" i="34"/>
  <c r="M37" i="34" s="1"/>
  <c r="A37" i="34" s="1"/>
  <c r="B37" i="34"/>
  <c r="M36" i="34"/>
  <c r="A36" i="34" s="1"/>
  <c r="K36" i="34"/>
  <c r="J36" i="34"/>
  <c r="I36" i="34"/>
  <c r="B36" i="34"/>
  <c r="J35" i="34"/>
  <c r="K35" i="34" s="1"/>
  <c r="I35" i="34"/>
  <c r="M35" i="34" s="1"/>
  <c r="A35" i="34" s="1"/>
  <c r="B35" i="34"/>
  <c r="K34" i="34"/>
  <c r="J34" i="34"/>
  <c r="I34" i="34"/>
  <c r="M34" i="34" s="1"/>
  <c r="A34" i="34" s="1"/>
  <c r="B34" i="34"/>
  <c r="K33" i="34"/>
  <c r="J33" i="34"/>
  <c r="I33" i="34"/>
  <c r="M33" i="34" s="1"/>
  <c r="A33" i="34" s="1"/>
  <c r="B33" i="34"/>
  <c r="M32" i="34"/>
  <c r="A32" i="34" s="1"/>
  <c r="K32" i="34"/>
  <c r="J32" i="34"/>
  <c r="I32" i="34"/>
  <c r="B32" i="34"/>
  <c r="J31" i="34"/>
  <c r="K31" i="34" s="1"/>
  <c r="I31" i="34"/>
  <c r="M31" i="34" s="1"/>
  <c r="A31" i="34" s="1"/>
  <c r="B31" i="34"/>
  <c r="K30" i="34"/>
  <c r="J30" i="34"/>
  <c r="I30" i="34"/>
  <c r="M30" i="34" s="1"/>
  <c r="A30" i="34" s="1"/>
  <c r="B30" i="34"/>
  <c r="K29" i="34"/>
  <c r="J29" i="34"/>
  <c r="I29" i="34"/>
  <c r="M29" i="34" s="1"/>
  <c r="A29" i="34" s="1"/>
  <c r="B29" i="34"/>
  <c r="M28" i="34"/>
  <c r="A28" i="34" s="1"/>
  <c r="K28" i="34"/>
  <c r="J28" i="34"/>
  <c r="I28" i="34"/>
  <c r="B28" i="34"/>
  <c r="M27" i="34"/>
  <c r="A27" i="34" s="1"/>
  <c r="J27" i="34"/>
  <c r="K27" i="34" s="1"/>
  <c r="I27" i="34"/>
  <c r="B27" i="34"/>
  <c r="K26" i="34"/>
  <c r="J26" i="34"/>
  <c r="I26" i="34"/>
  <c r="M26" i="34" s="1"/>
  <c r="A26" i="34" s="1"/>
  <c r="B26" i="34"/>
  <c r="K25" i="34"/>
  <c r="J25" i="34"/>
  <c r="I25" i="34"/>
  <c r="M25" i="34" s="1"/>
  <c r="A25" i="34" s="1"/>
  <c r="B25" i="34"/>
  <c r="M24" i="34"/>
  <c r="A24" i="34" s="1"/>
  <c r="K24" i="34"/>
  <c r="J24" i="34"/>
  <c r="I24" i="34"/>
  <c r="B24" i="34"/>
  <c r="M23" i="34"/>
  <c r="A23" i="34" s="1"/>
  <c r="J23" i="34"/>
  <c r="K23" i="34" s="1"/>
  <c r="I23" i="34"/>
  <c r="B23" i="34"/>
  <c r="K22" i="34"/>
  <c r="J22" i="34"/>
  <c r="I22" i="34"/>
  <c r="M22" i="34" s="1"/>
  <c r="A22" i="34" s="1"/>
  <c r="B22" i="34"/>
  <c r="J21" i="34"/>
  <c r="K21" i="34" s="1"/>
  <c r="I21" i="34"/>
  <c r="M21" i="34" s="1"/>
  <c r="A21" i="34" s="1"/>
  <c r="B21" i="34"/>
  <c r="M20" i="34"/>
  <c r="A20" i="34" s="1"/>
  <c r="K20" i="34"/>
  <c r="J20" i="34"/>
  <c r="I20" i="34"/>
  <c r="B20" i="34"/>
  <c r="M19" i="34"/>
  <c r="A19" i="34" s="1"/>
  <c r="J19" i="34"/>
  <c r="K19" i="34" s="1"/>
  <c r="I19" i="34"/>
  <c r="B19" i="34"/>
  <c r="K18" i="34"/>
  <c r="J18" i="34"/>
  <c r="I18" i="34"/>
  <c r="M18" i="34" s="1"/>
  <c r="A18" i="34" s="1"/>
  <c r="B18" i="34"/>
  <c r="J17" i="34"/>
  <c r="K17" i="34" s="1"/>
  <c r="I17" i="34"/>
  <c r="M17" i="34" s="1"/>
  <c r="A17" i="34" s="1"/>
  <c r="B17" i="34"/>
  <c r="AI16" i="34"/>
  <c r="M16" i="34"/>
  <c r="K16" i="34"/>
  <c r="J16" i="34"/>
  <c r="I16" i="34"/>
  <c r="B16" i="34"/>
  <c r="A16" i="34"/>
  <c r="M15" i="34"/>
  <c r="A15" i="34" s="1"/>
  <c r="K15" i="34"/>
  <c r="J15" i="34"/>
  <c r="I15" i="34"/>
  <c r="B15" i="34"/>
  <c r="AI14" i="34"/>
  <c r="M14" i="34"/>
  <c r="A14" i="34" s="1"/>
  <c r="J14" i="34"/>
  <c r="K14" i="34" s="1"/>
  <c r="I14" i="34"/>
  <c r="B14" i="34"/>
  <c r="AI13" i="34"/>
  <c r="J13" i="34"/>
  <c r="K13" i="34" s="1"/>
  <c r="I13" i="34"/>
  <c r="M13" i="34" s="1"/>
  <c r="A13" i="34" s="1"/>
  <c r="B13" i="34"/>
  <c r="AI12" i="34"/>
  <c r="K12" i="34"/>
  <c r="J12" i="34"/>
  <c r="I12" i="34"/>
  <c r="M12" i="34" s="1"/>
  <c r="A12" i="34" s="1"/>
  <c r="B12" i="34"/>
  <c r="J11" i="34"/>
  <c r="K11" i="34" s="1"/>
  <c r="I11" i="34"/>
  <c r="M11" i="34" s="1"/>
  <c r="A11" i="34" s="1"/>
  <c r="B11" i="34"/>
  <c r="M10" i="34"/>
  <c r="A10" i="34" s="1"/>
  <c r="K10" i="34"/>
  <c r="J10" i="34"/>
  <c r="I10" i="34"/>
  <c r="B10" i="34"/>
  <c r="M9" i="34"/>
  <c r="A9" i="34" s="1"/>
  <c r="L9" i="34"/>
  <c r="K9" i="34"/>
  <c r="J9" i="34"/>
  <c r="I9" i="34"/>
  <c r="B9" i="34"/>
  <c r="M8" i="34"/>
  <c r="A8" i="34" s="1"/>
  <c r="L8" i="34"/>
  <c r="J8" i="34"/>
  <c r="K8" i="34" s="1"/>
  <c r="I8" i="34"/>
  <c r="B8" i="34"/>
  <c r="L7" i="34"/>
  <c r="J7" i="34"/>
  <c r="K7" i="34" s="1"/>
  <c r="I7" i="34"/>
  <c r="M7" i="34" s="1"/>
  <c r="A7" i="34" s="1"/>
  <c r="B7" i="34"/>
  <c r="J6" i="34"/>
  <c r="K6" i="34" s="1"/>
  <c r="I6" i="34"/>
  <c r="M6" i="34" s="1"/>
  <c r="A6" i="34" s="1"/>
  <c r="B6" i="34"/>
  <c r="K2" i="34"/>
  <c r="L6" i="34" s="1"/>
  <c r="J305" i="33"/>
  <c r="K305" i="33" s="1"/>
  <c r="I305" i="33"/>
  <c r="M305" i="33" s="1"/>
  <c r="J304" i="33"/>
  <c r="K304" i="33" s="1"/>
  <c r="I304" i="33"/>
  <c r="M304" i="33" s="1"/>
  <c r="J303" i="33"/>
  <c r="K303" i="33" s="1"/>
  <c r="I303" i="33"/>
  <c r="M303" i="33" s="1"/>
  <c r="J302" i="33"/>
  <c r="K302" i="33" s="1"/>
  <c r="I302" i="33"/>
  <c r="M302" i="33" s="1"/>
  <c r="J301" i="33"/>
  <c r="K301" i="33" s="1"/>
  <c r="I301" i="33"/>
  <c r="M301" i="33" s="1"/>
  <c r="J300" i="33"/>
  <c r="K300" i="33" s="1"/>
  <c r="I300" i="33"/>
  <c r="M300" i="33" s="1"/>
  <c r="J299" i="33"/>
  <c r="K299" i="33" s="1"/>
  <c r="I299" i="33"/>
  <c r="M299" i="33" s="1"/>
  <c r="J298" i="33"/>
  <c r="K298" i="33" s="1"/>
  <c r="I298" i="33"/>
  <c r="M298" i="33" s="1"/>
  <c r="J297" i="33"/>
  <c r="K297" i="33" s="1"/>
  <c r="I297" i="33"/>
  <c r="M297" i="33" s="1"/>
  <c r="J296" i="33"/>
  <c r="K296" i="33" s="1"/>
  <c r="I296" i="33"/>
  <c r="M296" i="33" s="1"/>
  <c r="J295" i="33"/>
  <c r="K295" i="33" s="1"/>
  <c r="I295" i="33"/>
  <c r="M295" i="33" s="1"/>
  <c r="J294" i="33"/>
  <c r="K294" i="33" s="1"/>
  <c r="I294" i="33"/>
  <c r="M294" i="33" s="1"/>
  <c r="J293" i="33"/>
  <c r="K293" i="33" s="1"/>
  <c r="I293" i="33"/>
  <c r="M293" i="33" s="1"/>
  <c r="J292" i="33"/>
  <c r="K292" i="33" s="1"/>
  <c r="I292" i="33"/>
  <c r="M292" i="33" s="1"/>
  <c r="J291" i="33"/>
  <c r="K291" i="33" s="1"/>
  <c r="I291" i="33"/>
  <c r="M291" i="33" s="1"/>
  <c r="J290" i="33"/>
  <c r="K290" i="33" s="1"/>
  <c r="I290" i="33"/>
  <c r="M290" i="33" s="1"/>
  <c r="J289" i="33"/>
  <c r="K289" i="33" s="1"/>
  <c r="I289" i="33"/>
  <c r="M289" i="33" s="1"/>
  <c r="J288" i="33"/>
  <c r="K288" i="33" s="1"/>
  <c r="I288" i="33"/>
  <c r="M288" i="33" s="1"/>
  <c r="J287" i="33"/>
  <c r="K287" i="33" s="1"/>
  <c r="I287" i="33"/>
  <c r="M287" i="33" s="1"/>
  <c r="J286" i="33"/>
  <c r="K286" i="33" s="1"/>
  <c r="I286" i="33"/>
  <c r="M286" i="33" s="1"/>
  <c r="J285" i="33"/>
  <c r="K285" i="33" s="1"/>
  <c r="I285" i="33"/>
  <c r="M285" i="33" s="1"/>
  <c r="J284" i="33"/>
  <c r="K284" i="33" s="1"/>
  <c r="I284" i="33"/>
  <c r="M284" i="33" s="1"/>
  <c r="J283" i="33"/>
  <c r="K283" i="33" s="1"/>
  <c r="I283" i="33"/>
  <c r="M283" i="33" s="1"/>
  <c r="J282" i="33"/>
  <c r="K282" i="33" s="1"/>
  <c r="I282" i="33"/>
  <c r="M282" i="33" s="1"/>
  <c r="J281" i="33"/>
  <c r="K281" i="33" s="1"/>
  <c r="I281" i="33"/>
  <c r="M281" i="33" s="1"/>
  <c r="J280" i="33"/>
  <c r="K280" i="33" s="1"/>
  <c r="I280" i="33"/>
  <c r="M280" i="33" s="1"/>
  <c r="J279" i="33"/>
  <c r="K279" i="33" s="1"/>
  <c r="I279" i="33"/>
  <c r="M279" i="33" s="1"/>
  <c r="J278" i="33"/>
  <c r="K278" i="33" s="1"/>
  <c r="I278" i="33"/>
  <c r="M278" i="33" s="1"/>
  <c r="J277" i="33"/>
  <c r="K277" i="33" s="1"/>
  <c r="I277" i="33"/>
  <c r="M277" i="33" s="1"/>
  <c r="J276" i="33"/>
  <c r="K276" i="33" s="1"/>
  <c r="I276" i="33"/>
  <c r="M276" i="33" s="1"/>
  <c r="J275" i="33"/>
  <c r="K275" i="33" s="1"/>
  <c r="I275" i="33"/>
  <c r="M275" i="33" s="1"/>
  <c r="J274" i="33"/>
  <c r="K274" i="33" s="1"/>
  <c r="I274" i="33"/>
  <c r="M274" i="33" s="1"/>
  <c r="J273" i="33"/>
  <c r="K273" i="33" s="1"/>
  <c r="I273" i="33"/>
  <c r="M273" i="33" s="1"/>
  <c r="J272" i="33"/>
  <c r="K272" i="33" s="1"/>
  <c r="I272" i="33"/>
  <c r="M272" i="33" s="1"/>
  <c r="J271" i="33"/>
  <c r="K271" i="33" s="1"/>
  <c r="I271" i="33"/>
  <c r="M271" i="33" s="1"/>
  <c r="J270" i="33"/>
  <c r="K270" i="33" s="1"/>
  <c r="I270" i="33"/>
  <c r="M270" i="33" s="1"/>
  <c r="J269" i="33"/>
  <c r="K269" i="33" s="1"/>
  <c r="I269" i="33"/>
  <c r="M269" i="33" s="1"/>
  <c r="J268" i="33"/>
  <c r="K268" i="33" s="1"/>
  <c r="I268" i="33"/>
  <c r="M268" i="33" s="1"/>
  <c r="J267" i="33"/>
  <c r="K267" i="33" s="1"/>
  <c r="I267" i="33"/>
  <c r="M267" i="33" s="1"/>
  <c r="J266" i="33"/>
  <c r="K266" i="33" s="1"/>
  <c r="I266" i="33"/>
  <c r="M266" i="33" s="1"/>
  <c r="J265" i="33"/>
  <c r="K265" i="33" s="1"/>
  <c r="I265" i="33"/>
  <c r="M265" i="33" s="1"/>
  <c r="J264" i="33"/>
  <c r="K264" i="33" s="1"/>
  <c r="I264" i="33"/>
  <c r="M264" i="33" s="1"/>
  <c r="J263" i="33"/>
  <c r="K263" i="33" s="1"/>
  <c r="I263" i="33"/>
  <c r="M263" i="33" s="1"/>
  <c r="J262" i="33"/>
  <c r="K262" i="33" s="1"/>
  <c r="I262" i="33"/>
  <c r="M262" i="33" s="1"/>
  <c r="J261" i="33"/>
  <c r="K261" i="33" s="1"/>
  <c r="I261" i="33"/>
  <c r="M261" i="33" s="1"/>
  <c r="J260" i="33"/>
  <c r="K260" i="33" s="1"/>
  <c r="I260" i="33"/>
  <c r="M260" i="33" s="1"/>
  <c r="J259" i="33"/>
  <c r="K259" i="33" s="1"/>
  <c r="I259" i="33"/>
  <c r="M259" i="33" s="1"/>
  <c r="J258" i="33"/>
  <c r="K258" i="33" s="1"/>
  <c r="I258" i="33"/>
  <c r="M258" i="33" s="1"/>
  <c r="J257" i="33"/>
  <c r="K257" i="33" s="1"/>
  <c r="I257" i="33"/>
  <c r="M257" i="33" s="1"/>
  <c r="J256" i="33"/>
  <c r="K256" i="33" s="1"/>
  <c r="I256" i="33"/>
  <c r="M256" i="33" s="1"/>
  <c r="J255" i="33"/>
  <c r="K255" i="33" s="1"/>
  <c r="I255" i="33"/>
  <c r="M255" i="33" s="1"/>
  <c r="J254" i="33"/>
  <c r="K254" i="33" s="1"/>
  <c r="I254" i="33"/>
  <c r="M254" i="33" s="1"/>
  <c r="J253" i="33"/>
  <c r="K253" i="33" s="1"/>
  <c r="I253" i="33"/>
  <c r="M253" i="33" s="1"/>
  <c r="J252" i="33"/>
  <c r="K252" i="33" s="1"/>
  <c r="I252" i="33"/>
  <c r="M252" i="33" s="1"/>
  <c r="J251" i="33"/>
  <c r="K251" i="33" s="1"/>
  <c r="I251" i="33"/>
  <c r="M251" i="33" s="1"/>
  <c r="J250" i="33"/>
  <c r="K250" i="33" s="1"/>
  <c r="I250" i="33"/>
  <c r="M250" i="33" s="1"/>
  <c r="J249" i="33"/>
  <c r="K249" i="33" s="1"/>
  <c r="I249" i="33"/>
  <c r="M249" i="33" s="1"/>
  <c r="J248" i="33"/>
  <c r="K248" i="33" s="1"/>
  <c r="I248" i="33"/>
  <c r="M248" i="33" s="1"/>
  <c r="J247" i="33"/>
  <c r="K247" i="33" s="1"/>
  <c r="I247" i="33"/>
  <c r="M247" i="33" s="1"/>
  <c r="J246" i="33"/>
  <c r="K246" i="33" s="1"/>
  <c r="I246" i="33"/>
  <c r="M246" i="33" s="1"/>
  <c r="J245" i="33"/>
  <c r="K245" i="33" s="1"/>
  <c r="I245" i="33"/>
  <c r="M245" i="33" s="1"/>
  <c r="J244" i="33"/>
  <c r="K244" i="33" s="1"/>
  <c r="I244" i="33"/>
  <c r="M244" i="33" s="1"/>
  <c r="J243" i="33"/>
  <c r="K243" i="33" s="1"/>
  <c r="I243" i="33"/>
  <c r="M243" i="33" s="1"/>
  <c r="J242" i="33"/>
  <c r="K242" i="33" s="1"/>
  <c r="I242" i="33"/>
  <c r="M242" i="33" s="1"/>
  <c r="J241" i="33"/>
  <c r="K241" i="33" s="1"/>
  <c r="I241" i="33"/>
  <c r="M241" i="33" s="1"/>
  <c r="J240" i="33"/>
  <c r="K240" i="33" s="1"/>
  <c r="I240" i="33"/>
  <c r="M240" i="33" s="1"/>
  <c r="J239" i="33"/>
  <c r="K239" i="33" s="1"/>
  <c r="I239" i="33"/>
  <c r="M239" i="33" s="1"/>
  <c r="J238" i="33"/>
  <c r="K238" i="33" s="1"/>
  <c r="I238" i="33"/>
  <c r="M238" i="33" s="1"/>
  <c r="J237" i="33"/>
  <c r="K237" i="33" s="1"/>
  <c r="I237" i="33"/>
  <c r="M237" i="33" s="1"/>
  <c r="J236" i="33"/>
  <c r="K236" i="33" s="1"/>
  <c r="I236" i="33"/>
  <c r="M236" i="33" s="1"/>
  <c r="J235" i="33"/>
  <c r="K235" i="33" s="1"/>
  <c r="I235" i="33"/>
  <c r="M235" i="33" s="1"/>
  <c r="J234" i="33"/>
  <c r="K234" i="33" s="1"/>
  <c r="I234" i="33"/>
  <c r="M234" i="33" s="1"/>
  <c r="J233" i="33"/>
  <c r="K233" i="33" s="1"/>
  <c r="I233" i="33"/>
  <c r="M233" i="33" s="1"/>
  <c r="J232" i="33"/>
  <c r="K232" i="33" s="1"/>
  <c r="I232" i="33"/>
  <c r="M232" i="33" s="1"/>
  <c r="J231" i="33"/>
  <c r="K231" i="33" s="1"/>
  <c r="I231" i="33"/>
  <c r="M231" i="33" s="1"/>
  <c r="J230" i="33"/>
  <c r="K230" i="33" s="1"/>
  <c r="I230" i="33"/>
  <c r="M230" i="33" s="1"/>
  <c r="J229" i="33"/>
  <c r="K229" i="33" s="1"/>
  <c r="I229" i="33"/>
  <c r="M229" i="33" s="1"/>
  <c r="J228" i="33"/>
  <c r="K228" i="33" s="1"/>
  <c r="I228" i="33"/>
  <c r="M228" i="33" s="1"/>
  <c r="J227" i="33"/>
  <c r="K227" i="33" s="1"/>
  <c r="I227" i="33"/>
  <c r="M227" i="33" s="1"/>
  <c r="J226" i="33"/>
  <c r="K226" i="33" s="1"/>
  <c r="I226" i="33"/>
  <c r="M226" i="33" s="1"/>
  <c r="J225" i="33"/>
  <c r="K225" i="33" s="1"/>
  <c r="I225" i="33"/>
  <c r="M225" i="33" s="1"/>
  <c r="J224" i="33"/>
  <c r="K224" i="33" s="1"/>
  <c r="I224" i="33"/>
  <c r="M224" i="33" s="1"/>
  <c r="J223" i="33"/>
  <c r="K223" i="33" s="1"/>
  <c r="I223" i="33"/>
  <c r="M223" i="33" s="1"/>
  <c r="J222" i="33"/>
  <c r="K222" i="33" s="1"/>
  <c r="I222" i="33"/>
  <c r="M222" i="33" s="1"/>
  <c r="J221" i="33"/>
  <c r="K221" i="33" s="1"/>
  <c r="I221" i="33"/>
  <c r="M221" i="33" s="1"/>
  <c r="J220" i="33"/>
  <c r="K220" i="33" s="1"/>
  <c r="I220" i="33"/>
  <c r="M220" i="33" s="1"/>
  <c r="J219" i="33"/>
  <c r="K219" i="33" s="1"/>
  <c r="I219" i="33"/>
  <c r="M219" i="33" s="1"/>
  <c r="J218" i="33"/>
  <c r="K218" i="33" s="1"/>
  <c r="I218" i="33"/>
  <c r="M218" i="33" s="1"/>
  <c r="J217" i="33"/>
  <c r="K217" i="33" s="1"/>
  <c r="I217" i="33"/>
  <c r="M217" i="33" s="1"/>
  <c r="J216" i="33"/>
  <c r="K216" i="33" s="1"/>
  <c r="I216" i="33"/>
  <c r="M216" i="33" s="1"/>
  <c r="J215" i="33"/>
  <c r="K215" i="33" s="1"/>
  <c r="I215" i="33"/>
  <c r="M215" i="33" s="1"/>
  <c r="K214" i="33"/>
  <c r="J214" i="33"/>
  <c r="I214" i="33"/>
  <c r="M214" i="33" s="1"/>
  <c r="J213" i="33"/>
  <c r="K213" i="33" s="1"/>
  <c r="I213" i="33"/>
  <c r="M213" i="33" s="1"/>
  <c r="J212" i="33"/>
  <c r="K212" i="33" s="1"/>
  <c r="I212" i="33"/>
  <c r="M212" i="33" s="1"/>
  <c r="J211" i="33"/>
  <c r="K211" i="33" s="1"/>
  <c r="I211" i="33"/>
  <c r="M211" i="33" s="1"/>
  <c r="J210" i="33"/>
  <c r="K210" i="33" s="1"/>
  <c r="I210" i="33"/>
  <c r="M210" i="33" s="1"/>
  <c r="J209" i="33"/>
  <c r="K209" i="33" s="1"/>
  <c r="I209" i="33"/>
  <c r="M209" i="33" s="1"/>
  <c r="J208" i="33"/>
  <c r="K208" i="33" s="1"/>
  <c r="I208" i="33"/>
  <c r="M208" i="33" s="1"/>
  <c r="J207" i="33"/>
  <c r="K207" i="33" s="1"/>
  <c r="I207" i="33"/>
  <c r="M207" i="33" s="1"/>
  <c r="J206" i="33"/>
  <c r="K206" i="33" s="1"/>
  <c r="I206" i="33"/>
  <c r="M206" i="33" s="1"/>
  <c r="J205" i="33"/>
  <c r="K205" i="33" s="1"/>
  <c r="I205" i="33"/>
  <c r="M205" i="33" s="1"/>
  <c r="J204" i="33"/>
  <c r="K204" i="33" s="1"/>
  <c r="I204" i="33"/>
  <c r="M204" i="33" s="1"/>
  <c r="J203" i="33"/>
  <c r="K203" i="33" s="1"/>
  <c r="I203" i="33"/>
  <c r="M203" i="33" s="1"/>
  <c r="J202" i="33"/>
  <c r="K202" i="33" s="1"/>
  <c r="I202" i="33"/>
  <c r="M202" i="33" s="1"/>
  <c r="J201" i="33"/>
  <c r="K201" i="33" s="1"/>
  <c r="I201" i="33"/>
  <c r="M201" i="33" s="1"/>
  <c r="J200" i="33"/>
  <c r="K200" i="33" s="1"/>
  <c r="I200" i="33"/>
  <c r="M200" i="33" s="1"/>
  <c r="J199" i="33"/>
  <c r="K199" i="33" s="1"/>
  <c r="I199" i="33"/>
  <c r="M199" i="33" s="1"/>
  <c r="J198" i="33"/>
  <c r="K198" i="33" s="1"/>
  <c r="I198" i="33"/>
  <c r="M198" i="33" s="1"/>
  <c r="J197" i="33"/>
  <c r="K197" i="33" s="1"/>
  <c r="I197" i="33"/>
  <c r="M197" i="33" s="1"/>
  <c r="J196" i="33"/>
  <c r="K196" i="33" s="1"/>
  <c r="I196" i="33"/>
  <c r="M196" i="33" s="1"/>
  <c r="J195" i="33"/>
  <c r="K195" i="33" s="1"/>
  <c r="I195" i="33"/>
  <c r="M195" i="33" s="1"/>
  <c r="J194" i="33"/>
  <c r="K194" i="33" s="1"/>
  <c r="I194" i="33"/>
  <c r="M194" i="33" s="1"/>
  <c r="J193" i="33"/>
  <c r="K193" i="33" s="1"/>
  <c r="I193" i="33"/>
  <c r="M193" i="33" s="1"/>
  <c r="J192" i="33"/>
  <c r="K192" i="33" s="1"/>
  <c r="I192" i="33"/>
  <c r="M192" i="33" s="1"/>
  <c r="J191" i="33"/>
  <c r="K191" i="33" s="1"/>
  <c r="I191" i="33"/>
  <c r="M191" i="33" s="1"/>
  <c r="J190" i="33"/>
  <c r="K190" i="33" s="1"/>
  <c r="I190" i="33"/>
  <c r="M190" i="33" s="1"/>
  <c r="J189" i="33"/>
  <c r="K189" i="33" s="1"/>
  <c r="I189" i="33"/>
  <c r="M189" i="33" s="1"/>
  <c r="J188" i="33"/>
  <c r="K188" i="33" s="1"/>
  <c r="I188" i="33"/>
  <c r="M188" i="33" s="1"/>
  <c r="J187" i="33"/>
  <c r="K187" i="33" s="1"/>
  <c r="I187" i="33"/>
  <c r="M187" i="33" s="1"/>
  <c r="J186" i="33"/>
  <c r="K186" i="33" s="1"/>
  <c r="I186" i="33"/>
  <c r="M186" i="33" s="1"/>
  <c r="J185" i="33"/>
  <c r="K185" i="33" s="1"/>
  <c r="I185" i="33"/>
  <c r="M185" i="33" s="1"/>
  <c r="J184" i="33"/>
  <c r="K184" i="33" s="1"/>
  <c r="I184" i="33"/>
  <c r="M184" i="33" s="1"/>
  <c r="J183" i="33"/>
  <c r="K183" i="33" s="1"/>
  <c r="I183" i="33"/>
  <c r="M183" i="33" s="1"/>
  <c r="J182" i="33"/>
  <c r="K182" i="33" s="1"/>
  <c r="I182" i="33"/>
  <c r="M182" i="33" s="1"/>
  <c r="J181" i="33"/>
  <c r="K181" i="33" s="1"/>
  <c r="I181" i="33"/>
  <c r="M181" i="33" s="1"/>
  <c r="J180" i="33"/>
  <c r="K180" i="33" s="1"/>
  <c r="I180" i="33"/>
  <c r="M180" i="33" s="1"/>
  <c r="J179" i="33"/>
  <c r="K179" i="33" s="1"/>
  <c r="I179" i="33"/>
  <c r="M179" i="33" s="1"/>
  <c r="J178" i="33"/>
  <c r="K178" i="33" s="1"/>
  <c r="I178" i="33"/>
  <c r="M178" i="33" s="1"/>
  <c r="J177" i="33"/>
  <c r="K177" i="33" s="1"/>
  <c r="I177" i="33"/>
  <c r="M177" i="33" s="1"/>
  <c r="J176" i="33"/>
  <c r="K176" i="33" s="1"/>
  <c r="I176" i="33"/>
  <c r="M176" i="33" s="1"/>
  <c r="J175" i="33"/>
  <c r="K175" i="33" s="1"/>
  <c r="I175" i="33"/>
  <c r="M175" i="33" s="1"/>
  <c r="J174" i="33"/>
  <c r="K174" i="33" s="1"/>
  <c r="I174" i="33"/>
  <c r="M174" i="33" s="1"/>
  <c r="J173" i="33"/>
  <c r="K173" i="33" s="1"/>
  <c r="I173" i="33"/>
  <c r="M173" i="33" s="1"/>
  <c r="J172" i="33"/>
  <c r="K172" i="33" s="1"/>
  <c r="I172" i="33"/>
  <c r="M172" i="33" s="1"/>
  <c r="J171" i="33"/>
  <c r="K171" i="33" s="1"/>
  <c r="I171" i="33"/>
  <c r="M171" i="33" s="1"/>
  <c r="J170" i="33"/>
  <c r="K170" i="33" s="1"/>
  <c r="I170" i="33"/>
  <c r="M170" i="33" s="1"/>
  <c r="J169" i="33"/>
  <c r="K169" i="33" s="1"/>
  <c r="I169" i="33"/>
  <c r="M169" i="33" s="1"/>
  <c r="J168" i="33"/>
  <c r="K168" i="33" s="1"/>
  <c r="I168" i="33"/>
  <c r="M168" i="33" s="1"/>
  <c r="J167" i="33"/>
  <c r="K167" i="33" s="1"/>
  <c r="I167" i="33"/>
  <c r="M167" i="33" s="1"/>
  <c r="J166" i="33"/>
  <c r="K166" i="33" s="1"/>
  <c r="I166" i="33"/>
  <c r="M166" i="33" s="1"/>
  <c r="J165" i="33"/>
  <c r="K165" i="33" s="1"/>
  <c r="I165" i="33"/>
  <c r="M165" i="33" s="1"/>
  <c r="J164" i="33"/>
  <c r="K164" i="33" s="1"/>
  <c r="I164" i="33"/>
  <c r="M164" i="33" s="1"/>
  <c r="J163" i="33"/>
  <c r="K163" i="33" s="1"/>
  <c r="I163" i="33"/>
  <c r="M163" i="33" s="1"/>
  <c r="J162" i="33"/>
  <c r="K162" i="33" s="1"/>
  <c r="I162" i="33"/>
  <c r="M162" i="33" s="1"/>
  <c r="J161" i="33"/>
  <c r="K161" i="33" s="1"/>
  <c r="I161" i="33"/>
  <c r="M161" i="33" s="1"/>
  <c r="J160" i="33"/>
  <c r="K160" i="33" s="1"/>
  <c r="I160" i="33"/>
  <c r="M160" i="33" s="1"/>
  <c r="J159" i="33"/>
  <c r="K159" i="33" s="1"/>
  <c r="I159" i="33"/>
  <c r="M159" i="33" s="1"/>
  <c r="J158" i="33"/>
  <c r="K158" i="33" s="1"/>
  <c r="I158" i="33"/>
  <c r="M158" i="33" s="1"/>
  <c r="J157" i="33"/>
  <c r="K157" i="33" s="1"/>
  <c r="I157" i="33"/>
  <c r="M157" i="33" s="1"/>
  <c r="J156" i="33"/>
  <c r="K156" i="33" s="1"/>
  <c r="I156" i="33"/>
  <c r="M156" i="33" s="1"/>
  <c r="J155" i="33"/>
  <c r="K155" i="33" s="1"/>
  <c r="I155" i="33"/>
  <c r="M155" i="33" s="1"/>
  <c r="J154" i="33"/>
  <c r="K154" i="33" s="1"/>
  <c r="I154" i="33"/>
  <c r="M154" i="33" s="1"/>
  <c r="J153" i="33"/>
  <c r="K153" i="33" s="1"/>
  <c r="I153" i="33"/>
  <c r="M153" i="33" s="1"/>
  <c r="J152" i="33"/>
  <c r="K152" i="33" s="1"/>
  <c r="I152" i="33"/>
  <c r="M152" i="33" s="1"/>
  <c r="J151" i="33"/>
  <c r="K151" i="33" s="1"/>
  <c r="I151" i="33"/>
  <c r="M151" i="33" s="1"/>
  <c r="J150" i="33"/>
  <c r="K150" i="33" s="1"/>
  <c r="I150" i="33"/>
  <c r="M150" i="33" s="1"/>
  <c r="J149" i="33"/>
  <c r="K149" i="33" s="1"/>
  <c r="I149" i="33"/>
  <c r="M149" i="33" s="1"/>
  <c r="J148" i="33"/>
  <c r="K148" i="33" s="1"/>
  <c r="I148" i="33"/>
  <c r="M148" i="33" s="1"/>
  <c r="J147" i="33"/>
  <c r="K147" i="33" s="1"/>
  <c r="I147" i="33"/>
  <c r="M147" i="33" s="1"/>
  <c r="J146" i="33"/>
  <c r="K146" i="33" s="1"/>
  <c r="I146" i="33"/>
  <c r="M146" i="33" s="1"/>
  <c r="J145" i="33"/>
  <c r="K145" i="33" s="1"/>
  <c r="I145" i="33"/>
  <c r="M145" i="33" s="1"/>
  <c r="J144" i="33"/>
  <c r="K144" i="33" s="1"/>
  <c r="I144" i="33"/>
  <c r="M144" i="33" s="1"/>
  <c r="J143" i="33"/>
  <c r="K143" i="33" s="1"/>
  <c r="I143" i="33"/>
  <c r="M143" i="33" s="1"/>
  <c r="J142" i="33"/>
  <c r="K142" i="33" s="1"/>
  <c r="I142" i="33"/>
  <c r="M142" i="33" s="1"/>
  <c r="J141" i="33"/>
  <c r="K141" i="33" s="1"/>
  <c r="I141" i="33"/>
  <c r="M141" i="33" s="1"/>
  <c r="J140" i="33"/>
  <c r="K140" i="33" s="1"/>
  <c r="I140" i="33"/>
  <c r="M140" i="33" s="1"/>
  <c r="J139" i="33"/>
  <c r="K139" i="33" s="1"/>
  <c r="I139" i="33"/>
  <c r="M139" i="33" s="1"/>
  <c r="J138" i="33"/>
  <c r="K138" i="33" s="1"/>
  <c r="I138" i="33"/>
  <c r="M138" i="33" s="1"/>
  <c r="J137" i="33"/>
  <c r="K137" i="33" s="1"/>
  <c r="I137" i="33"/>
  <c r="M137" i="33" s="1"/>
  <c r="J136" i="33"/>
  <c r="K136" i="33" s="1"/>
  <c r="I136" i="33"/>
  <c r="M136" i="33" s="1"/>
  <c r="J135" i="33"/>
  <c r="K135" i="33" s="1"/>
  <c r="I135" i="33"/>
  <c r="M135" i="33" s="1"/>
  <c r="J134" i="33"/>
  <c r="K134" i="33" s="1"/>
  <c r="I134" i="33"/>
  <c r="M134" i="33" s="1"/>
  <c r="J133" i="33"/>
  <c r="K133" i="33" s="1"/>
  <c r="I133" i="33"/>
  <c r="M133" i="33" s="1"/>
  <c r="J132" i="33"/>
  <c r="K132" i="33" s="1"/>
  <c r="I132" i="33"/>
  <c r="M132" i="33" s="1"/>
  <c r="J131" i="33"/>
  <c r="K131" i="33" s="1"/>
  <c r="I131" i="33"/>
  <c r="M131" i="33" s="1"/>
  <c r="J130" i="33"/>
  <c r="K130" i="33" s="1"/>
  <c r="I130" i="33"/>
  <c r="M130" i="33" s="1"/>
  <c r="J129" i="33"/>
  <c r="K129" i="33" s="1"/>
  <c r="I129" i="33"/>
  <c r="M129" i="33" s="1"/>
  <c r="J128" i="33"/>
  <c r="K128" i="33" s="1"/>
  <c r="I128" i="33"/>
  <c r="M128" i="33" s="1"/>
  <c r="J127" i="33"/>
  <c r="K127" i="33" s="1"/>
  <c r="I127" i="33"/>
  <c r="M127" i="33" s="1"/>
  <c r="J126" i="33"/>
  <c r="K126" i="33" s="1"/>
  <c r="I126" i="33"/>
  <c r="M126" i="33" s="1"/>
  <c r="J125" i="33"/>
  <c r="K125" i="33" s="1"/>
  <c r="I125" i="33"/>
  <c r="M125" i="33" s="1"/>
  <c r="J124" i="33"/>
  <c r="K124" i="33" s="1"/>
  <c r="I124" i="33"/>
  <c r="M124" i="33" s="1"/>
  <c r="J123" i="33"/>
  <c r="K123" i="33" s="1"/>
  <c r="I123" i="33"/>
  <c r="M123" i="33" s="1"/>
  <c r="J122" i="33"/>
  <c r="K122" i="33" s="1"/>
  <c r="I122" i="33"/>
  <c r="M122" i="33" s="1"/>
  <c r="J121" i="33"/>
  <c r="K121" i="33" s="1"/>
  <c r="I121" i="33"/>
  <c r="M121" i="33" s="1"/>
  <c r="J120" i="33"/>
  <c r="K120" i="33" s="1"/>
  <c r="I120" i="33"/>
  <c r="M120" i="33" s="1"/>
  <c r="J119" i="33"/>
  <c r="K119" i="33" s="1"/>
  <c r="I119" i="33"/>
  <c r="M119" i="33" s="1"/>
  <c r="J118" i="33"/>
  <c r="K118" i="33" s="1"/>
  <c r="I118" i="33"/>
  <c r="M118" i="33" s="1"/>
  <c r="J117" i="33"/>
  <c r="K117" i="33" s="1"/>
  <c r="I117" i="33"/>
  <c r="M117" i="33" s="1"/>
  <c r="J116" i="33"/>
  <c r="K116" i="33" s="1"/>
  <c r="I116" i="33"/>
  <c r="M116" i="33" s="1"/>
  <c r="J115" i="33"/>
  <c r="K115" i="33" s="1"/>
  <c r="I115" i="33"/>
  <c r="M115" i="33" s="1"/>
  <c r="J114" i="33"/>
  <c r="K114" i="33" s="1"/>
  <c r="I114" i="33"/>
  <c r="M114" i="33" s="1"/>
  <c r="J113" i="33"/>
  <c r="K113" i="33" s="1"/>
  <c r="I113" i="33"/>
  <c r="M113" i="33" s="1"/>
  <c r="J112" i="33"/>
  <c r="K112" i="33" s="1"/>
  <c r="I112" i="33"/>
  <c r="M112" i="33" s="1"/>
  <c r="J111" i="33"/>
  <c r="K111" i="33" s="1"/>
  <c r="I111" i="33"/>
  <c r="M111" i="33" s="1"/>
  <c r="J110" i="33"/>
  <c r="K110" i="33" s="1"/>
  <c r="I110" i="33"/>
  <c r="M110" i="33" s="1"/>
  <c r="J109" i="33"/>
  <c r="K109" i="33" s="1"/>
  <c r="I109" i="33"/>
  <c r="M109" i="33" s="1"/>
  <c r="J108" i="33"/>
  <c r="K108" i="33" s="1"/>
  <c r="I108" i="33"/>
  <c r="M108" i="33" s="1"/>
  <c r="J107" i="33"/>
  <c r="K107" i="33" s="1"/>
  <c r="I107" i="33"/>
  <c r="M107" i="33" s="1"/>
  <c r="J106" i="33"/>
  <c r="K106" i="33" s="1"/>
  <c r="I106" i="33"/>
  <c r="M106" i="33" s="1"/>
  <c r="J105" i="33"/>
  <c r="K105" i="33" s="1"/>
  <c r="I105" i="33"/>
  <c r="M105" i="33" s="1"/>
  <c r="J104" i="33"/>
  <c r="K104" i="33" s="1"/>
  <c r="I104" i="33"/>
  <c r="M104" i="33" s="1"/>
  <c r="J103" i="33"/>
  <c r="K103" i="33" s="1"/>
  <c r="I103" i="33"/>
  <c r="M103" i="33" s="1"/>
  <c r="J102" i="33"/>
  <c r="K102" i="33" s="1"/>
  <c r="I102" i="33"/>
  <c r="M102" i="33" s="1"/>
  <c r="J101" i="33"/>
  <c r="K101" i="33" s="1"/>
  <c r="I101" i="33"/>
  <c r="M101" i="33" s="1"/>
  <c r="J100" i="33"/>
  <c r="K100" i="33" s="1"/>
  <c r="I100" i="33"/>
  <c r="M100" i="33" s="1"/>
  <c r="J99" i="33"/>
  <c r="K99" i="33" s="1"/>
  <c r="I99" i="33"/>
  <c r="M99" i="33" s="1"/>
  <c r="J98" i="33"/>
  <c r="K98" i="33" s="1"/>
  <c r="I98" i="33"/>
  <c r="M98" i="33" s="1"/>
  <c r="J97" i="33"/>
  <c r="K97" i="33" s="1"/>
  <c r="I97" i="33"/>
  <c r="M97" i="33" s="1"/>
  <c r="J96" i="33"/>
  <c r="K96" i="33" s="1"/>
  <c r="I96" i="33"/>
  <c r="M96" i="33" s="1"/>
  <c r="J95" i="33"/>
  <c r="K95" i="33" s="1"/>
  <c r="I95" i="33"/>
  <c r="M95" i="33" s="1"/>
  <c r="J94" i="33"/>
  <c r="K94" i="33" s="1"/>
  <c r="I94" i="33"/>
  <c r="M94" i="33" s="1"/>
  <c r="J93" i="33"/>
  <c r="K93" i="33" s="1"/>
  <c r="I93" i="33"/>
  <c r="M93" i="33" s="1"/>
  <c r="J92" i="33"/>
  <c r="K92" i="33" s="1"/>
  <c r="I92" i="33"/>
  <c r="M92" i="33" s="1"/>
  <c r="J91" i="33"/>
  <c r="K91" i="33" s="1"/>
  <c r="I91" i="33"/>
  <c r="M91" i="33" s="1"/>
  <c r="J90" i="33"/>
  <c r="K90" i="33" s="1"/>
  <c r="I90" i="33"/>
  <c r="M90" i="33" s="1"/>
  <c r="J89" i="33"/>
  <c r="K89" i="33" s="1"/>
  <c r="I89" i="33"/>
  <c r="M89" i="33" s="1"/>
  <c r="J88" i="33"/>
  <c r="K88" i="33" s="1"/>
  <c r="I88" i="33"/>
  <c r="M88" i="33" s="1"/>
  <c r="J87" i="33"/>
  <c r="K87" i="33" s="1"/>
  <c r="I87" i="33"/>
  <c r="M87" i="33" s="1"/>
  <c r="J86" i="33"/>
  <c r="K86" i="33" s="1"/>
  <c r="I86" i="33"/>
  <c r="M86" i="33" s="1"/>
  <c r="J85" i="33"/>
  <c r="K85" i="33" s="1"/>
  <c r="I85" i="33"/>
  <c r="M85" i="33" s="1"/>
  <c r="J84" i="33"/>
  <c r="K84" i="33" s="1"/>
  <c r="I84" i="33"/>
  <c r="M84" i="33" s="1"/>
  <c r="J83" i="33"/>
  <c r="K83" i="33" s="1"/>
  <c r="I83" i="33"/>
  <c r="M83" i="33" s="1"/>
  <c r="J82" i="33"/>
  <c r="K82" i="33" s="1"/>
  <c r="I82" i="33"/>
  <c r="M82" i="33" s="1"/>
  <c r="J81" i="33"/>
  <c r="K81" i="33" s="1"/>
  <c r="I81" i="33"/>
  <c r="M81" i="33" s="1"/>
  <c r="J80" i="33"/>
  <c r="K80" i="33" s="1"/>
  <c r="I80" i="33"/>
  <c r="M80" i="33" s="1"/>
  <c r="J79" i="33"/>
  <c r="K79" i="33" s="1"/>
  <c r="I79" i="33"/>
  <c r="M79" i="33" s="1"/>
  <c r="A79" i="33" s="1"/>
  <c r="J78" i="33"/>
  <c r="K78" i="33" s="1"/>
  <c r="I78" i="33"/>
  <c r="M78" i="33" s="1"/>
  <c r="A78" i="33" s="1"/>
  <c r="J77" i="33"/>
  <c r="K77" i="33" s="1"/>
  <c r="I77" i="33"/>
  <c r="M77" i="33" s="1"/>
  <c r="A77" i="33" s="1"/>
  <c r="J76" i="33"/>
  <c r="K76" i="33" s="1"/>
  <c r="I76" i="33"/>
  <c r="M76" i="33" s="1"/>
  <c r="A76" i="33" s="1"/>
  <c r="J75" i="33"/>
  <c r="K75" i="33" s="1"/>
  <c r="I75" i="33"/>
  <c r="M75" i="33" s="1"/>
  <c r="A75" i="33" s="1"/>
  <c r="J74" i="33"/>
  <c r="K74" i="33" s="1"/>
  <c r="I74" i="33"/>
  <c r="M74" i="33" s="1"/>
  <c r="A74" i="33" s="1"/>
  <c r="J73" i="33"/>
  <c r="K73" i="33" s="1"/>
  <c r="I73" i="33"/>
  <c r="M73" i="33" s="1"/>
  <c r="A73" i="33" s="1"/>
  <c r="J72" i="33"/>
  <c r="K72" i="33" s="1"/>
  <c r="I72" i="33"/>
  <c r="M72" i="33" s="1"/>
  <c r="A72" i="33" s="1"/>
  <c r="J71" i="33"/>
  <c r="K71" i="33" s="1"/>
  <c r="I71" i="33"/>
  <c r="M71" i="33" s="1"/>
  <c r="A71" i="33" s="1"/>
  <c r="J70" i="33"/>
  <c r="K70" i="33" s="1"/>
  <c r="I70" i="33"/>
  <c r="M70" i="33" s="1"/>
  <c r="A70" i="33" s="1"/>
  <c r="J69" i="33"/>
  <c r="K69" i="33" s="1"/>
  <c r="I69" i="33"/>
  <c r="M69" i="33" s="1"/>
  <c r="A69" i="33" s="1"/>
  <c r="J68" i="33"/>
  <c r="K68" i="33" s="1"/>
  <c r="I68" i="33"/>
  <c r="M68" i="33" s="1"/>
  <c r="A68" i="33" s="1"/>
  <c r="J67" i="33"/>
  <c r="K67" i="33" s="1"/>
  <c r="I67" i="33"/>
  <c r="M67" i="33" s="1"/>
  <c r="A67" i="33" s="1"/>
  <c r="J66" i="33"/>
  <c r="K66" i="33" s="1"/>
  <c r="I66" i="33"/>
  <c r="M66" i="33" s="1"/>
  <c r="A66" i="33" s="1"/>
  <c r="K65" i="33"/>
  <c r="J65" i="33"/>
  <c r="I65" i="33"/>
  <c r="M65" i="33" s="1"/>
  <c r="A65" i="33" s="1"/>
  <c r="B65" i="33"/>
  <c r="J64" i="33"/>
  <c r="K64" i="33" s="1"/>
  <c r="I64" i="33"/>
  <c r="M64" i="33" s="1"/>
  <c r="A64" i="33" s="1"/>
  <c r="B64" i="33"/>
  <c r="J63" i="33"/>
  <c r="K63" i="33" s="1"/>
  <c r="I63" i="33"/>
  <c r="M63" i="33" s="1"/>
  <c r="A63" i="33" s="1"/>
  <c r="B63" i="33"/>
  <c r="J62" i="33"/>
  <c r="K62" i="33" s="1"/>
  <c r="I62" i="33"/>
  <c r="M62" i="33" s="1"/>
  <c r="A62" i="33" s="1"/>
  <c r="B62" i="33"/>
  <c r="J61" i="33"/>
  <c r="K61" i="33" s="1"/>
  <c r="I61" i="33"/>
  <c r="M61" i="33" s="1"/>
  <c r="A61" i="33" s="1"/>
  <c r="B61" i="33"/>
  <c r="J60" i="33"/>
  <c r="K60" i="33" s="1"/>
  <c r="I60" i="33"/>
  <c r="M60" i="33" s="1"/>
  <c r="A60" i="33" s="1"/>
  <c r="B60" i="33"/>
  <c r="J59" i="33"/>
  <c r="K59" i="33" s="1"/>
  <c r="I59" i="33"/>
  <c r="M59" i="33" s="1"/>
  <c r="A59" i="33" s="1"/>
  <c r="B59" i="33"/>
  <c r="J58" i="33"/>
  <c r="K58" i="33" s="1"/>
  <c r="I58" i="33"/>
  <c r="M58" i="33" s="1"/>
  <c r="A58" i="33" s="1"/>
  <c r="B58" i="33"/>
  <c r="J57" i="33"/>
  <c r="K57" i="33" s="1"/>
  <c r="I57" i="33"/>
  <c r="M57" i="33" s="1"/>
  <c r="A57" i="33" s="1"/>
  <c r="B57" i="33"/>
  <c r="J56" i="33"/>
  <c r="K56" i="33" s="1"/>
  <c r="I56" i="33"/>
  <c r="M56" i="33" s="1"/>
  <c r="A56" i="33" s="1"/>
  <c r="B56" i="33"/>
  <c r="J55" i="33"/>
  <c r="K55" i="33" s="1"/>
  <c r="I55" i="33"/>
  <c r="M55" i="33" s="1"/>
  <c r="A55" i="33" s="1"/>
  <c r="B55" i="33"/>
  <c r="J54" i="33"/>
  <c r="K54" i="33" s="1"/>
  <c r="I54" i="33"/>
  <c r="M54" i="33" s="1"/>
  <c r="A54" i="33" s="1"/>
  <c r="B54" i="33"/>
  <c r="J53" i="33"/>
  <c r="K53" i="33" s="1"/>
  <c r="I53" i="33"/>
  <c r="M53" i="33" s="1"/>
  <c r="A53" i="33" s="1"/>
  <c r="B53" i="33"/>
  <c r="J52" i="33"/>
  <c r="K52" i="33" s="1"/>
  <c r="I52" i="33"/>
  <c r="M52" i="33" s="1"/>
  <c r="A52" i="33" s="1"/>
  <c r="B52" i="33"/>
  <c r="J51" i="33"/>
  <c r="K51" i="33" s="1"/>
  <c r="I51" i="33"/>
  <c r="M51" i="33" s="1"/>
  <c r="A51" i="33" s="1"/>
  <c r="B51" i="33"/>
  <c r="J50" i="33"/>
  <c r="K50" i="33" s="1"/>
  <c r="I50" i="33"/>
  <c r="M50" i="33" s="1"/>
  <c r="A50" i="33" s="1"/>
  <c r="B50" i="33"/>
  <c r="J49" i="33"/>
  <c r="K49" i="33" s="1"/>
  <c r="I49" i="33"/>
  <c r="M49" i="33" s="1"/>
  <c r="A49" i="33" s="1"/>
  <c r="B49" i="33"/>
  <c r="J48" i="33"/>
  <c r="K48" i="33" s="1"/>
  <c r="I48" i="33"/>
  <c r="M48" i="33" s="1"/>
  <c r="A48" i="33" s="1"/>
  <c r="B48" i="33"/>
  <c r="J47" i="33"/>
  <c r="K47" i="33" s="1"/>
  <c r="I47" i="33"/>
  <c r="M47" i="33" s="1"/>
  <c r="A47" i="33" s="1"/>
  <c r="B47" i="33"/>
  <c r="T46" i="33"/>
  <c r="R46" i="33"/>
  <c r="U46" i="33" s="1"/>
  <c r="J46" i="33"/>
  <c r="K46" i="33" s="1"/>
  <c r="I46" i="33"/>
  <c r="M46" i="33" s="1"/>
  <c r="A46" i="33" s="1"/>
  <c r="B46" i="33"/>
  <c r="J45" i="33"/>
  <c r="K45" i="33" s="1"/>
  <c r="I45" i="33"/>
  <c r="M45" i="33" s="1"/>
  <c r="A45" i="33" s="1"/>
  <c r="B45" i="33"/>
  <c r="J44" i="33"/>
  <c r="K44" i="33" s="1"/>
  <c r="I44" i="33"/>
  <c r="M44" i="33" s="1"/>
  <c r="A44" i="33" s="1"/>
  <c r="B44" i="33"/>
  <c r="J43" i="33"/>
  <c r="K43" i="33" s="1"/>
  <c r="I43" i="33"/>
  <c r="M43" i="33" s="1"/>
  <c r="A43" i="33" s="1"/>
  <c r="B43" i="33"/>
  <c r="J42" i="33"/>
  <c r="K42" i="33" s="1"/>
  <c r="I42" i="33"/>
  <c r="M42" i="33" s="1"/>
  <c r="A42" i="33" s="1"/>
  <c r="B42" i="33"/>
  <c r="J41" i="33"/>
  <c r="K41" i="33" s="1"/>
  <c r="I41" i="33"/>
  <c r="M41" i="33" s="1"/>
  <c r="A41" i="33" s="1"/>
  <c r="B41" i="33"/>
  <c r="J40" i="33"/>
  <c r="K40" i="33" s="1"/>
  <c r="I40" i="33"/>
  <c r="M40" i="33" s="1"/>
  <c r="A40" i="33" s="1"/>
  <c r="B40" i="33"/>
  <c r="J39" i="33"/>
  <c r="K39" i="33" s="1"/>
  <c r="I39" i="33"/>
  <c r="M39" i="33" s="1"/>
  <c r="A39" i="33" s="1"/>
  <c r="B39" i="33"/>
  <c r="J38" i="33"/>
  <c r="K38" i="33" s="1"/>
  <c r="I38" i="33"/>
  <c r="M38" i="33" s="1"/>
  <c r="A38" i="33" s="1"/>
  <c r="B38" i="33"/>
  <c r="J37" i="33"/>
  <c r="K37" i="33" s="1"/>
  <c r="I37" i="33"/>
  <c r="M37" i="33" s="1"/>
  <c r="A37" i="33" s="1"/>
  <c r="B37" i="33"/>
  <c r="J36" i="33"/>
  <c r="K36" i="33" s="1"/>
  <c r="I36" i="33"/>
  <c r="M36" i="33" s="1"/>
  <c r="A36" i="33" s="1"/>
  <c r="B36" i="33"/>
  <c r="J35" i="33"/>
  <c r="K35" i="33" s="1"/>
  <c r="I35" i="33"/>
  <c r="M35" i="33" s="1"/>
  <c r="A35" i="33" s="1"/>
  <c r="B35" i="33"/>
  <c r="J34" i="33"/>
  <c r="K34" i="33" s="1"/>
  <c r="I34" i="33"/>
  <c r="M34" i="33" s="1"/>
  <c r="A34" i="33" s="1"/>
  <c r="B34" i="33"/>
  <c r="J33" i="33"/>
  <c r="K33" i="33" s="1"/>
  <c r="I33" i="33"/>
  <c r="M33" i="33" s="1"/>
  <c r="A33" i="33" s="1"/>
  <c r="B33" i="33"/>
  <c r="J32" i="33"/>
  <c r="K32" i="33" s="1"/>
  <c r="I32" i="33"/>
  <c r="M32" i="33" s="1"/>
  <c r="A32" i="33" s="1"/>
  <c r="B32" i="33"/>
  <c r="J31" i="33"/>
  <c r="K31" i="33" s="1"/>
  <c r="I31" i="33"/>
  <c r="M31" i="33" s="1"/>
  <c r="A31" i="33" s="1"/>
  <c r="B31" i="33"/>
  <c r="J30" i="33"/>
  <c r="K30" i="33" s="1"/>
  <c r="I30" i="33"/>
  <c r="M30" i="33" s="1"/>
  <c r="A30" i="33" s="1"/>
  <c r="B30" i="33"/>
  <c r="J29" i="33"/>
  <c r="K29" i="33" s="1"/>
  <c r="I29" i="33"/>
  <c r="M29" i="33" s="1"/>
  <c r="A29" i="33" s="1"/>
  <c r="B29" i="33"/>
  <c r="J28" i="33"/>
  <c r="K28" i="33" s="1"/>
  <c r="I28" i="33"/>
  <c r="M28" i="33" s="1"/>
  <c r="A28" i="33" s="1"/>
  <c r="B28" i="33"/>
  <c r="J27" i="33"/>
  <c r="K27" i="33" s="1"/>
  <c r="I27" i="33"/>
  <c r="M27" i="33" s="1"/>
  <c r="A27" i="33" s="1"/>
  <c r="B27" i="33"/>
  <c r="J26" i="33"/>
  <c r="K26" i="33" s="1"/>
  <c r="I26" i="33"/>
  <c r="M26" i="33" s="1"/>
  <c r="A26" i="33" s="1"/>
  <c r="B26" i="33"/>
  <c r="J25" i="33"/>
  <c r="K25" i="33" s="1"/>
  <c r="I25" i="33"/>
  <c r="M25" i="33" s="1"/>
  <c r="A25" i="33" s="1"/>
  <c r="B25" i="33"/>
  <c r="J24" i="33"/>
  <c r="K24" i="33" s="1"/>
  <c r="I24" i="33"/>
  <c r="B24" i="33"/>
  <c r="J23" i="33"/>
  <c r="K23" i="33" s="1"/>
  <c r="M23" i="33" s="1"/>
  <c r="A23" i="33" s="1"/>
  <c r="I23" i="33"/>
  <c r="B23" i="33"/>
  <c r="J22" i="33"/>
  <c r="K22" i="33" s="1"/>
  <c r="I22" i="33"/>
  <c r="B22" i="33"/>
  <c r="J21" i="33"/>
  <c r="K21" i="33" s="1"/>
  <c r="M21" i="33" s="1"/>
  <c r="A21" i="33" s="1"/>
  <c r="I21" i="33"/>
  <c r="B21" i="33"/>
  <c r="J20" i="33"/>
  <c r="K20" i="33" s="1"/>
  <c r="I20" i="33"/>
  <c r="B20" i="33"/>
  <c r="J19" i="33"/>
  <c r="K19" i="33" s="1"/>
  <c r="I19" i="33"/>
  <c r="M19" i="33" s="1"/>
  <c r="A19" i="33" s="1"/>
  <c r="B19" i="33"/>
  <c r="J18" i="33"/>
  <c r="K18" i="33" s="1"/>
  <c r="I18" i="33"/>
  <c r="B18" i="33"/>
  <c r="J17" i="33"/>
  <c r="K17" i="33" s="1"/>
  <c r="I17" i="33"/>
  <c r="M17" i="33" s="1"/>
  <c r="A17" i="33" s="1"/>
  <c r="B17" i="33"/>
  <c r="J16" i="33"/>
  <c r="K16" i="33" s="1"/>
  <c r="I16" i="33"/>
  <c r="M16" i="33" s="1"/>
  <c r="A16" i="33" s="1"/>
  <c r="B16" i="33"/>
  <c r="J15" i="33"/>
  <c r="K15" i="33" s="1"/>
  <c r="I15" i="33"/>
  <c r="B15" i="33"/>
  <c r="AI14" i="33"/>
  <c r="J14" i="33"/>
  <c r="K14" i="33" s="1"/>
  <c r="M14" i="33" s="1"/>
  <c r="A14" i="33" s="1"/>
  <c r="I14" i="33"/>
  <c r="B14" i="33"/>
  <c r="AI13" i="33"/>
  <c r="J13" i="33"/>
  <c r="K13" i="33" s="1"/>
  <c r="I13" i="33"/>
  <c r="B13" i="33"/>
  <c r="AI12" i="33"/>
  <c r="AI16" i="33" s="1"/>
  <c r="J12" i="33"/>
  <c r="K12" i="33" s="1"/>
  <c r="I12" i="33"/>
  <c r="B12" i="33"/>
  <c r="J11" i="33"/>
  <c r="K11" i="33" s="1"/>
  <c r="I11" i="33"/>
  <c r="B11" i="33"/>
  <c r="J10" i="33"/>
  <c r="K10" i="33" s="1"/>
  <c r="I10" i="33"/>
  <c r="B10" i="33"/>
  <c r="J9" i="33"/>
  <c r="K9" i="33" s="1"/>
  <c r="I9" i="33"/>
  <c r="B9" i="33"/>
  <c r="J8" i="33"/>
  <c r="K8" i="33" s="1"/>
  <c r="I8" i="33"/>
  <c r="B8" i="33"/>
  <c r="J7" i="33"/>
  <c r="K7" i="33" s="1"/>
  <c r="I7" i="33"/>
  <c r="B7" i="33"/>
  <c r="J6" i="33"/>
  <c r="K6" i="33" s="1"/>
  <c r="I6" i="33"/>
  <c r="M6" i="33" s="1"/>
  <c r="A6" i="33" s="1"/>
  <c r="B6" i="33"/>
  <c r="K2" i="33"/>
  <c r="L6" i="33" s="1"/>
  <c r="J305" i="32"/>
  <c r="K305" i="32" s="1"/>
  <c r="I305" i="32"/>
  <c r="M305" i="32" s="1"/>
  <c r="J304" i="32"/>
  <c r="K304" i="32" s="1"/>
  <c r="I304" i="32"/>
  <c r="M304" i="32" s="1"/>
  <c r="J303" i="32"/>
  <c r="K303" i="32" s="1"/>
  <c r="I303" i="32"/>
  <c r="M303" i="32" s="1"/>
  <c r="J302" i="32"/>
  <c r="K302" i="32" s="1"/>
  <c r="I302" i="32"/>
  <c r="M302" i="32" s="1"/>
  <c r="J301" i="32"/>
  <c r="K301" i="32" s="1"/>
  <c r="I301" i="32"/>
  <c r="M301" i="32" s="1"/>
  <c r="J300" i="32"/>
  <c r="K300" i="32" s="1"/>
  <c r="I300" i="32"/>
  <c r="M300" i="32" s="1"/>
  <c r="J299" i="32"/>
  <c r="K299" i="32" s="1"/>
  <c r="I299" i="32"/>
  <c r="M299" i="32" s="1"/>
  <c r="J298" i="32"/>
  <c r="K298" i="32" s="1"/>
  <c r="I298" i="32"/>
  <c r="M298" i="32" s="1"/>
  <c r="J297" i="32"/>
  <c r="K297" i="32" s="1"/>
  <c r="I297" i="32"/>
  <c r="M297" i="32" s="1"/>
  <c r="J296" i="32"/>
  <c r="K296" i="32" s="1"/>
  <c r="I296" i="32"/>
  <c r="M296" i="32" s="1"/>
  <c r="J295" i="32"/>
  <c r="K295" i="32" s="1"/>
  <c r="I295" i="32"/>
  <c r="M295" i="32" s="1"/>
  <c r="J294" i="32"/>
  <c r="K294" i="32" s="1"/>
  <c r="I294" i="32"/>
  <c r="M294" i="32" s="1"/>
  <c r="J293" i="32"/>
  <c r="K293" i="32" s="1"/>
  <c r="I293" i="32"/>
  <c r="M293" i="32" s="1"/>
  <c r="J292" i="32"/>
  <c r="K292" i="32" s="1"/>
  <c r="I292" i="32"/>
  <c r="M292" i="32" s="1"/>
  <c r="J291" i="32"/>
  <c r="K291" i="32" s="1"/>
  <c r="I291" i="32"/>
  <c r="M291" i="32" s="1"/>
  <c r="J290" i="32"/>
  <c r="K290" i="32" s="1"/>
  <c r="I290" i="32"/>
  <c r="M290" i="32" s="1"/>
  <c r="J289" i="32"/>
  <c r="K289" i="32" s="1"/>
  <c r="I289" i="32"/>
  <c r="M289" i="32" s="1"/>
  <c r="J288" i="32"/>
  <c r="K288" i="32" s="1"/>
  <c r="I288" i="32"/>
  <c r="M288" i="32" s="1"/>
  <c r="J287" i="32"/>
  <c r="K287" i="32" s="1"/>
  <c r="I287" i="32"/>
  <c r="M287" i="32" s="1"/>
  <c r="J286" i="32"/>
  <c r="K286" i="32" s="1"/>
  <c r="I286" i="32"/>
  <c r="M286" i="32" s="1"/>
  <c r="J285" i="32"/>
  <c r="K285" i="32" s="1"/>
  <c r="I285" i="32"/>
  <c r="M285" i="32" s="1"/>
  <c r="J284" i="32"/>
  <c r="K284" i="32" s="1"/>
  <c r="I284" i="32"/>
  <c r="M284" i="32" s="1"/>
  <c r="J283" i="32"/>
  <c r="K283" i="32" s="1"/>
  <c r="I283" i="32"/>
  <c r="M283" i="32" s="1"/>
  <c r="J282" i="32"/>
  <c r="K282" i="32" s="1"/>
  <c r="I282" i="32"/>
  <c r="M282" i="32" s="1"/>
  <c r="J281" i="32"/>
  <c r="K281" i="32" s="1"/>
  <c r="I281" i="32"/>
  <c r="M281" i="32" s="1"/>
  <c r="J280" i="32"/>
  <c r="K280" i="32" s="1"/>
  <c r="I280" i="32"/>
  <c r="M280" i="32" s="1"/>
  <c r="K279" i="32"/>
  <c r="J279" i="32"/>
  <c r="I279" i="32"/>
  <c r="M279" i="32" s="1"/>
  <c r="J278" i="32"/>
  <c r="K278" i="32" s="1"/>
  <c r="I278" i="32"/>
  <c r="M278" i="32" s="1"/>
  <c r="J277" i="32"/>
  <c r="K277" i="32" s="1"/>
  <c r="I277" i="32"/>
  <c r="M277" i="32" s="1"/>
  <c r="J276" i="32"/>
  <c r="K276" i="32" s="1"/>
  <c r="I276" i="32"/>
  <c r="M276" i="32" s="1"/>
  <c r="J275" i="32"/>
  <c r="K275" i="32" s="1"/>
  <c r="I275" i="32"/>
  <c r="M275" i="32" s="1"/>
  <c r="J274" i="32"/>
  <c r="K274" i="32" s="1"/>
  <c r="I274" i="32"/>
  <c r="M274" i="32" s="1"/>
  <c r="J273" i="32"/>
  <c r="K273" i="32" s="1"/>
  <c r="I273" i="32"/>
  <c r="M273" i="32" s="1"/>
  <c r="J272" i="32"/>
  <c r="K272" i="32" s="1"/>
  <c r="I272" i="32"/>
  <c r="M272" i="32" s="1"/>
  <c r="J271" i="32"/>
  <c r="K271" i="32" s="1"/>
  <c r="I271" i="32"/>
  <c r="M271" i="32" s="1"/>
  <c r="J270" i="32"/>
  <c r="K270" i="32" s="1"/>
  <c r="I270" i="32"/>
  <c r="M270" i="32" s="1"/>
  <c r="J269" i="32"/>
  <c r="K269" i="32" s="1"/>
  <c r="I269" i="32"/>
  <c r="M269" i="32" s="1"/>
  <c r="J268" i="32"/>
  <c r="K268" i="32" s="1"/>
  <c r="I268" i="32"/>
  <c r="M268" i="32" s="1"/>
  <c r="J267" i="32"/>
  <c r="K267" i="32" s="1"/>
  <c r="I267" i="32"/>
  <c r="M267" i="32" s="1"/>
  <c r="J266" i="32"/>
  <c r="K266" i="32" s="1"/>
  <c r="I266" i="32"/>
  <c r="M266" i="32" s="1"/>
  <c r="J265" i="32"/>
  <c r="K265" i="32" s="1"/>
  <c r="I265" i="32"/>
  <c r="M265" i="32" s="1"/>
  <c r="J264" i="32"/>
  <c r="K264" i="32" s="1"/>
  <c r="I264" i="32"/>
  <c r="M264" i="32" s="1"/>
  <c r="K263" i="32"/>
  <c r="J263" i="32"/>
  <c r="I263" i="32"/>
  <c r="M263" i="32" s="1"/>
  <c r="J262" i="32"/>
  <c r="K262" i="32" s="1"/>
  <c r="I262" i="32"/>
  <c r="M262" i="32" s="1"/>
  <c r="J261" i="32"/>
  <c r="K261" i="32" s="1"/>
  <c r="I261" i="32"/>
  <c r="M261" i="32" s="1"/>
  <c r="J260" i="32"/>
  <c r="K260" i="32" s="1"/>
  <c r="I260" i="32"/>
  <c r="M260" i="32" s="1"/>
  <c r="J259" i="32"/>
  <c r="K259" i="32" s="1"/>
  <c r="I259" i="32"/>
  <c r="M259" i="32" s="1"/>
  <c r="J258" i="32"/>
  <c r="K258" i="32" s="1"/>
  <c r="I258" i="32"/>
  <c r="M258" i="32" s="1"/>
  <c r="J257" i="32"/>
  <c r="K257" i="32" s="1"/>
  <c r="I257" i="32"/>
  <c r="M257" i="32" s="1"/>
  <c r="J256" i="32"/>
  <c r="K256" i="32" s="1"/>
  <c r="I256" i="32"/>
  <c r="M256" i="32" s="1"/>
  <c r="J255" i="32"/>
  <c r="K255" i="32" s="1"/>
  <c r="I255" i="32"/>
  <c r="M255" i="32" s="1"/>
  <c r="J254" i="32"/>
  <c r="K254" i="32" s="1"/>
  <c r="I254" i="32"/>
  <c r="M254" i="32" s="1"/>
  <c r="J253" i="32"/>
  <c r="K253" i="32" s="1"/>
  <c r="I253" i="32"/>
  <c r="M253" i="32" s="1"/>
  <c r="J252" i="32"/>
  <c r="K252" i="32" s="1"/>
  <c r="I252" i="32"/>
  <c r="M252" i="32" s="1"/>
  <c r="J251" i="32"/>
  <c r="K251" i="32" s="1"/>
  <c r="I251" i="32"/>
  <c r="M251" i="32" s="1"/>
  <c r="J250" i="32"/>
  <c r="K250" i="32" s="1"/>
  <c r="I250" i="32"/>
  <c r="M250" i="32" s="1"/>
  <c r="J249" i="32"/>
  <c r="K249" i="32" s="1"/>
  <c r="I249" i="32"/>
  <c r="M249" i="32" s="1"/>
  <c r="J248" i="32"/>
  <c r="K248" i="32" s="1"/>
  <c r="I248" i="32"/>
  <c r="M248" i="32" s="1"/>
  <c r="J247" i="32"/>
  <c r="K247" i="32" s="1"/>
  <c r="I247" i="32"/>
  <c r="M247" i="32" s="1"/>
  <c r="J246" i="32"/>
  <c r="K246" i="32" s="1"/>
  <c r="I246" i="32"/>
  <c r="M246" i="32" s="1"/>
  <c r="J245" i="32"/>
  <c r="K245" i="32" s="1"/>
  <c r="I245" i="32"/>
  <c r="M245" i="32" s="1"/>
  <c r="J244" i="32"/>
  <c r="K244" i="32" s="1"/>
  <c r="I244" i="32"/>
  <c r="M244" i="32" s="1"/>
  <c r="J243" i="32"/>
  <c r="K243" i="32" s="1"/>
  <c r="I243" i="32"/>
  <c r="M243" i="32" s="1"/>
  <c r="J242" i="32"/>
  <c r="K242" i="32" s="1"/>
  <c r="I242" i="32"/>
  <c r="M242" i="32" s="1"/>
  <c r="J241" i="32"/>
  <c r="K241" i="32" s="1"/>
  <c r="I241" i="32"/>
  <c r="M241" i="32" s="1"/>
  <c r="J240" i="32"/>
  <c r="K240" i="32" s="1"/>
  <c r="I240" i="32"/>
  <c r="M240" i="32" s="1"/>
  <c r="J239" i="32"/>
  <c r="K239" i="32" s="1"/>
  <c r="I239" i="32"/>
  <c r="M239" i="32" s="1"/>
  <c r="J238" i="32"/>
  <c r="K238" i="32" s="1"/>
  <c r="I238" i="32"/>
  <c r="M238" i="32" s="1"/>
  <c r="J237" i="32"/>
  <c r="K237" i="32" s="1"/>
  <c r="I237" i="32"/>
  <c r="M237" i="32" s="1"/>
  <c r="J236" i="32"/>
  <c r="K236" i="32" s="1"/>
  <c r="I236" i="32"/>
  <c r="M236" i="32" s="1"/>
  <c r="J235" i="32"/>
  <c r="K235" i="32" s="1"/>
  <c r="I235" i="32"/>
  <c r="M235" i="32" s="1"/>
  <c r="J234" i="32"/>
  <c r="K234" i="32" s="1"/>
  <c r="I234" i="32"/>
  <c r="M234" i="32" s="1"/>
  <c r="J233" i="32"/>
  <c r="K233" i="32" s="1"/>
  <c r="I233" i="32"/>
  <c r="M233" i="32" s="1"/>
  <c r="J232" i="32"/>
  <c r="K232" i="32" s="1"/>
  <c r="I232" i="32"/>
  <c r="M232" i="32" s="1"/>
  <c r="J231" i="32"/>
  <c r="K231" i="32" s="1"/>
  <c r="I231" i="32"/>
  <c r="M231" i="32" s="1"/>
  <c r="J230" i="32"/>
  <c r="K230" i="32" s="1"/>
  <c r="I230" i="32"/>
  <c r="M230" i="32" s="1"/>
  <c r="J229" i="32"/>
  <c r="K229" i="32" s="1"/>
  <c r="I229" i="32"/>
  <c r="M229" i="32" s="1"/>
  <c r="J228" i="32"/>
  <c r="K228" i="32" s="1"/>
  <c r="I228" i="32"/>
  <c r="M228" i="32" s="1"/>
  <c r="K227" i="32"/>
  <c r="J227" i="32"/>
  <c r="I227" i="32"/>
  <c r="M227" i="32" s="1"/>
  <c r="J226" i="32"/>
  <c r="K226" i="32" s="1"/>
  <c r="I226" i="32"/>
  <c r="M226" i="32" s="1"/>
  <c r="J225" i="32"/>
  <c r="K225" i="32" s="1"/>
  <c r="I225" i="32"/>
  <c r="M225" i="32" s="1"/>
  <c r="J224" i="32"/>
  <c r="K224" i="32" s="1"/>
  <c r="I224" i="32"/>
  <c r="M224" i="32" s="1"/>
  <c r="J223" i="32"/>
  <c r="K223" i="32" s="1"/>
  <c r="I223" i="32"/>
  <c r="M223" i="32" s="1"/>
  <c r="J222" i="32"/>
  <c r="K222" i="32" s="1"/>
  <c r="I222" i="32"/>
  <c r="M222" i="32" s="1"/>
  <c r="J221" i="32"/>
  <c r="K221" i="32" s="1"/>
  <c r="I221" i="32"/>
  <c r="M221" i="32" s="1"/>
  <c r="J220" i="32"/>
  <c r="K220" i="32" s="1"/>
  <c r="I220" i="32"/>
  <c r="M220" i="32" s="1"/>
  <c r="K219" i="32"/>
  <c r="J219" i="32"/>
  <c r="I219" i="32"/>
  <c r="M219" i="32" s="1"/>
  <c r="J218" i="32"/>
  <c r="K218" i="32" s="1"/>
  <c r="I218" i="32"/>
  <c r="M218" i="32" s="1"/>
  <c r="K217" i="32"/>
  <c r="J217" i="32"/>
  <c r="I217" i="32"/>
  <c r="M217" i="32" s="1"/>
  <c r="J216" i="32"/>
  <c r="K216" i="32" s="1"/>
  <c r="I216" i="32"/>
  <c r="M216" i="32" s="1"/>
  <c r="J215" i="32"/>
  <c r="K215" i="32" s="1"/>
  <c r="I215" i="32"/>
  <c r="M215" i="32" s="1"/>
  <c r="J214" i="32"/>
  <c r="K214" i="32" s="1"/>
  <c r="I214" i="32"/>
  <c r="M214" i="32" s="1"/>
  <c r="J213" i="32"/>
  <c r="K213" i="32" s="1"/>
  <c r="I213" i="32"/>
  <c r="M213" i="32" s="1"/>
  <c r="J212" i="32"/>
  <c r="K212" i="32" s="1"/>
  <c r="I212" i="32"/>
  <c r="M212" i="32" s="1"/>
  <c r="J211" i="32"/>
  <c r="K211" i="32" s="1"/>
  <c r="I211" i="32"/>
  <c r="M211" i="32" s="1"/>
  <c r="J210" i="32"/>
  <c r="K210" i="32" s="1"/>
  <c r="I210" i="32"/>
  <c r="M210" i="32" s="1"/>
  <c r="K209" i="32"/>
  <c r="J209" i="32"/>
  <c r="I209" i="32"/>
  <c r="M209" i="32" s="1"/>
  <c r="J208" i="32"/>
  <c r="K208" i="32" s="1"/>
  <c r="I208" i="32"/>
  <c r="M208" i="32" s="1"/>
  <c r="K207" i="32"/>
  <c r="J207" i="32"/>
  <c r="I207" i="32"/>
  <c r="M207" i="32" s="1"/>
  <c r="J206" i="32"/>
  <c r="K206" i="32" s="1"/>
  <c r="I206" i="32"/>
  <c r="M206" i="32" s="1"/>
  <c r="J205" i="32"/>
  <c r="K205" i="32" s="1"/>
  <c r="I205" i="32"/>
  <c r="M205" i="32" s="1"/>
  <c r="J204" i="32"/>
  <c r="K204" i="32" s="1"/>
  <c r="I204" i="32"/>
  <c r="M204" i="32" s="1"/>
  <c r="K203" i="32"/>
  <c r="J203" i="32"/>
  <c r="I203" i="32"/>
  <c r="M203" i="32" s="1"/>
  <c r="J202" i="32"/>
  <c r="K202" i="32" s="1"/>
  <c r="I202" i="32"/>
  <c r="M202" i="32" s="1"/>
  <c r="J201" i="32"/>
  <c r="K201" i="32" s="1"/>
  <c r="I201" i="32"/>
  <c r="M201" i="32" s="1"/>
  <c r="J200" i="32"/>
  <c r="K200" i="32" s="1"/>
  <c r="I200" i="32"/>
  <c r="M200" i="32" s="1"/>
  <c r="K199" i="32"/>
  <c r="J199" i="32"/>
  <c r="I199" i="32"/>
  <c r="M199" i="32" s="1"/>
  <c r="J198" i="32"/>
  <c r="K198" i="32" s="1"/>
  <c r="I198" i="32"/>
  <c r="M198" i="32" s="1"/>
  <c r="J197" i="32"/>
  <c r="K197" i="32" s="1"/>
  <c r="I197" i="32"/>
  <c r="M197" i="32" s="1"/>
  <c r="J196" i="32"/>
  <c r="K196" i="32" s="1"/>
  <c r="I196" i="32"/>
  <c r="M196" i="32" s="1"/>
  <c r="J195" i="32"/>
  <c r="K195" i="32" s="1"/>
  <c r="I195" i="32"/>
  <c r="M195" i="32" s="1"/>
  <c r="J194" i="32"/>
  <c r="K194" i="32" s="1"/>
  <c r="I194" i="32"/>
  <c r="M194" i="32" s="1"/>
  <c r="K193" i="32"/>
  <c r="J193" i="32"/>
  <c r="I193" i="32"/>
  <c r="M193" i="32" s="1"/>
  <c r="J192" i="32"/>
  <c r="K192" i="32" s="1"/>
  <c r="I192" i="32"/>
  <c r="M192" i="32" s="1"/>
  <c r="J191" i="32"/>
  <c r="K191" i="32" s="1"/>
  <c r="I191" i="32"/>
  <c r="M191" i="32" s="1"/>
  <c r="J190" i="32"/>
  <c r="K190" i="32" s="1"/>
  <c r="I190" i="32"/>
  <c r="M190" i="32" s="1"/>
  <c r="J189" i="32"/>
  <c r="K189" i="32" s="1"/>
  <c r="I189" i="32"/>
  <c r="M189" i="32" s="1"/>
  <c r="J188" i="32"/>
  <c r="K188" i="32" s="1"/>
  <c r="I188" i="32"/>
  <c r="M188" i="32" s="1"/>
  <c r="J187" i="32"/>
  <c r="K187" i="32" s="1"/>
  <c r="I187" i="32"/>
  <c r="M187" i="32" s="1"/>
  <c r="J186" i="32"/>
  <c r="K186" i="32" s="1"/>
  <c r="I186" i="32"/>
  <c r="M186" i="32" s="1"/>
  <c r="J185" i="32"/>
  <c r="K185" i="32" s="1"/>
  <c r="I185" i="32"/>
  <c r="M185" i="32" s="1"/>
  <c r="J184" i="32"/>
  <c r="K184" i="32" s="1"/>
  <c r="I184" i="32"/>
  <c r="M184" i="32" s="1"/>
  <c r="K183" i="32"/>
  <c r="J183" i="32"/>
  <c r="I183" i="32"/>
  <c r="M183" i="32" s="1"/>
  <c r="J182" i="32"/>
  <c r="K182" i="32" s="1"/>
  <c r="I182" i="32"/>
  <c r="M182" i="32" s="1"/>
  <c r="J181" i="32"/>
  <c r="K181" i="32" s="1"/>
  <c r="I181" i="32"/>
  <c r="M181" i="32" s="1"/>
  <c r="J180" i="32"/>
  <c r="K180" i="32" s="1"/>
  <c r="I180" i="32"/>
  <c r="M180" i="32" s="1"/>
  <c r="J179" i="32"/>
  <c r="K179" i="32" s="1"/>
  <c r="I179" i="32"/>
  <c r="M179" i="32" s="1"/>
  <c r="J178" i="32"/>
  <c r="K178" i="32" s="1"/>
  <c r="I178" i="32"/>
  <c r="M178" i="32" s="1"/>
  <c r="J177" i="32"/>
  <c r="K177" i="32" s="1"/>
  <c r="I177" i="32"/>
  <c r="M177" i="32" s="1"/>
  <c r="J176" i="32"/>
  <c r="K176" i="32" s="1"/>
  <c r="I176" i="32"/>
  <c r="M176" i="32" s="1"/>
  <c r="J175" i="32"/>
  <c r="K175" i="32" s="1"/>
  <c r="I175" i="32"/>
  <c r="M175" i="32" s="1"/>
  <c r="J174" i="32"/>
  <c r="K174" i="32" s="1"/>
  <c r="I174" i="32"/>
  <c r="M174" i="32" s="1"/>
  <c r="J173" i="32"/>
  <c r="K173" i="32" s="1"/>
  <c r="I173" i="32"/>
  <c r="M173" i="32" s="1"/>
  <c r="J172" i="32"/>
  <c r="K172" i="32" s="1"/>
  <c r="I172" i="32"/>
  <c r="M172" i="32" s="1"/>
  <c r="J171" i="32"/>
  <c r="K171" i="32" s="1"/>
  <c r="I171" i="32"/>
  <c r="M171" i="32" s="1"/>
  <c r="J170" i="32"/>
  <c r="K170" i="32" s="1"/>
  <c r="I170" i="32"/>
  <c r="M170" i="32" s="1"/>
  <c r="J169" i="32"/>
  <c r="K169" i="32" s="1"/>
  <c r="I169" i="32"/>
  <c r="M169" i="32" s="1"/>
  <c r="J168" i="32"/>
  <c r="K168" i="32" s="1"/>
  <c r="I168" i="32"/>
  <c r="M168" i="32" s="1"/>
  <c r="J167" i="32"/>
  <c r="K167" i="32" s="1"/>
  <c r="I167" i="32"/>
  <c r="M167" i="32" s="1"/>
  <c r="J166" i="32"/>
  <c r="K166" i="32" s="1"/>
  <c r="I166" i="32"/>
  <c r="M166" i="32" s="1"/>
  <c r="J165" i="32"/>
  <c r="K165" i="32" s="1"/>
  <c r="I165" i="32"/>
  <c r="M165" i="32" s="1"/>
  <c r="J164" i="32"/>
  <c r="K164" i="32" s="1"/>
  <c r="I164" i="32"/>
  <c r="M164" i="32" s="1"/>
  <c r="K163" i="32"/>
  <c r="J163" i="32"/>
  <c r="I163" i="32"/>
  <c r="M163" i="32" s="1"/>
  <c r="J162" i="32"/>
  <c r="K162" i="32" s="1"/>
  <c r="I162" i="32"/>
  <c r="M162" i="32" s="1"/>
  <c r="J161" i="32"/>
  <c r="K161" i="32" s="1"/>
  <c r="I161" i="32"/>
  <c r="M161" i="32" s="1"/>
  <c r="J160" i="32"/>
  <c r="K160" i="32" s="1"/>
  <c r="I160" i="32"/>
  <c r="M160" i="32" s="1"/>
  <c r="J159" i="32"/>
  <c r="K159" i="32" s="1"/>
  <c r="I159" i="32"/>
  <c r="M159" i="32" s="1"/>
  <c r="J158" i="32"/>
  <c r="K158" i="32" s="1"/>
  <c r="I158" i="32"/>
  <c r="M158" i="32" s="1"/>
  <c r="J157" i="32"/>
  <c r="K157" i="32" s="1"/>
  <c r="I157" i="32"/>
  <c r="M157" i="32" s="1"/>
  <c r="J156" i="32"/>
  <c r="K156" i="32" s="1"/>
  <c r="I156" i="32"/>
  <c r="M156" i="32" s="1"/>
  <c r="K155" i="32"/>
  <c r="J155" i="32"/>
  <c r="I155" i="32"/>
  <c r="M155" i="32" s="1"/>
  <c r="J154" i="32"/>
  <c r="K154" i="32" s="1"/>
  <c r="I154" i="32"/>
  <c r="M154" i="32" s="1"/>
  <c r="K153" i="32"/>
  <c r="J153" i="32"/>
  <c r="I153" i="32"/>
  <c r="M153" i="32" s="1"/>
  <c r="J152" i="32"/>
  <c r="K152" i="32" s="1"/>
  <c r="I152" i="32"/>
  <c r="M152" i="32" s="1"/>
  <c r="J151" i="32"/>
  <c r="K151" i="32" s="1"/>
  <c r="I151" i="32"/>
  <c r="M151" i="32" s="1"/>
  <c r="J150" i="32"/>
  <c r="K150" i="32" s="1"/>
  <c r="I150" i="32"/>
  <c r="M150" i="32" s="1"/>
  <c r="J149" i="32"/>
  <c r="K149" i="32" s="1"/>
  <c r="I149" i="32"/>
  <c r="M149" i="32" s="1"/>
  <c r="J148" i="32"/>
  <c r="K148" i="32" s="1"/>
  <c r="I148" i="32"/>
  <c r="M148" i="32" s="1"/>
  <c r="J147" i="32"/>
  <c r="K147" i="32" s="1"/>
  <c r="I147" i="32"/>
  <c r="M147" i="32" s="1"/>
  <c r="J146" i="32"/>
  <c r="K146" i="32" s="1"/>
  <c r="I146" i="32"/>
  <c r="M146" i="32" s="1"/>
  <c r="K145" i="32"/>
  <c r="J145" i="32"/>
  <c r="I145" i="32"/>
  <c r="M145" i="32" s="1"/>
  <c r="J144" i="32"/>
  <c r="K144" i="32" s="1"/>
  <c r="I144" i="32"/>
  <c r="M144" i="32" s="1"/>
  <c r="K143" i="32"/>
  <c r="J143" i="32"/>
  <c r="I143" i="32"/>
  <c r="M143" i="32" s="1"/>
  <c r="J142" i="32"/>
  <c r="K142" i="32" s="1"/>
  <c r="I142" i="32"/>
  <c r="M142" i="32" s="1"/>
  <c r="J141" i="32"/>
  <c r="K141" i="32" s="1"/>
  <c r="I141" i="32"/>
  <c r="M141" i="32" s="1"/>
  <c r="J140" i="32"/>
  <c r="K140" i="32" s="1"/>
  <c r="I140" i="32"/>
  <c r="M140" i="32" s="1"/>
  <c r="K139" i="32"/>
  <c r="J139" i="32"/>
  <c r="I139" i="32"/>
  <c r="M139" i="32" s="1"/>
  <c r="J138" i="32"/>
  <c r="K138" i="32" s="1"/>
  <c r="I138" i="32"/>
  <c r="M138" i="32" s="1"/>
  <c r="J137" i="32"/>
  <c r="K137" i="32" s="1"/>
  <c r="I137" i="32"/>
  <c r="M137" i="32" s="1"/>
  <c r="J136" i="32"/>
  <c r="K136" i="32" s="1"/>
  <c r="I136" i="32"/>
  <c r="M136" i="32" s="1"/>
  <c r="M135" i="32"/>
  <c r="J135" i="32"/>
  <c r="K135" i="32" s="1"/>
  <c r="I135" i="32"/>
  <c r="J134" i="32"/>
  <c r="K134" i="32" s="1"/>
  <c r="I134" i="32"/>
  <c r="M134" i="32" s="1"/>
  <c r="M133" i="32"/>
  <c r="J133" i="32"/>
  <c r="K133" i="32" s="1"/>
  <c r="I133" i="32"/>
  <c r="J132" i="32"/>
  <c r="K132" i="32" s="1"/>
  <c r="I132" i="32"/>
  <c r="M132" i="32" s="1"/>
  <c r="J131" i="32"/>
  <c r="K131" i="32" s="1"/>
  <c r="I131" i="32"/>
  <c r="M131" i="32" s="1"/>
  <c r="J130" i="32"/>
  <c r="K130" i="32" s="1"/>
  <c r="I130" i="32"/>
  <c r="M130" i="32" s="1"/>
  <c r="J129" i="32"/>
  <c r="K129" i="32" s="1"/>
  <c r="I129" i="32"/>
  <c r="M129" i="32" s="1"/>
  <c r="J128" i="32"/>
  <c r="K128" i="32" s="1"/>
  <c r="I128" i="32"/>
  <c r="M128" i="32" s="1"/>
  <c r="M127" i="32"/>
  <c r="J127" i="32"/>
  <c r="K127" i="32" s="1"/>
  <c r="I127" i="32"/>
  <c r="J126" i="32"/>
  <c r="K126" i="32" s="1"/>
  <c r="I126" i="32"/>
  <c r="M126" i="32" s="1"/>
  <c r="J125" i="32"/>
  <c r="K125" i="32" s="1"/>
  <c r="I125" i="32"/>
  <c r="M125" i="32" s="1"/>
  <c r="J124" i="32"/>
  <c r="K124" i="32" s="1"/>
  <c r="I124" i="32"/>
  <c r="M124" i="32" s="1"/>
  <c r="J123" i="32"/>
  <c r="K123" i="32" s="1"/>
  <c r="I123" i="32"/>
  <c r="M123" i="32" s="1"/>
  <c r="J122" i="32"/>
  <c r="K122" i="32" s="1"/>
  <c r="I122" i="32"/>
  <c r="M122" i="32" s="1"/>
  <c r="J121" i="32"/>
  <c r="K121" i="32" s="1"/>
  <c r="I121" i="32"/>
  <c r="M121" i="32" s="1"/>
  <c r="J120" i="32"/>
  <c r="K120" i="32" s="1"/>
  <c r="I120" i="32"/>
  <c r="M120" i="32" s="1"/>
  <c r="M119" i="32"/>
  <c r="J119" i="32"/>
  <c r="K119" i="32" s="1"/>
  <c r="I119" i="32"/>
  <c r="J118" i="32"/>
  <c r="K118" i="32" s="1"/>
  <c r="I118" i="32"/>
  <c r="M118" i="32" s="1"/>
  <c r="M117" i="32"/>
  <c r="J117" i="32"/>
  <c r="K117" i="32" s="1"/>
  <c r="I117" i="32"/>
  <c r="J116" i="32"/>
  <c r="K116" i="32" s="1"/>
  <c r="I116" i="32"/>
  <c r="M116" i="32" s="1"/>
  <c r="J115" i="32"/>
  <c r="K115" i="32" s="1"/>
  <c r="I115" i="32"/>
  <c r="M115" i="32" s="1"/>
  <c r="J114" i="32"/>
  <c r="K114" i="32" s="1"/>
  <c r="I114" i="32"/>
  <c r="M114" i="32" s="1"/>
  <c r="J113" i="32"/>
  <c r="K113" i="32" s="1"/>
  <c r="I113" i="32"/>
  <c r="M113" i="32" s="1"/>
  <c r="J112" i="32"/>
  <c r="K112" i="32" s="1"/>
  <c r="I112" i="32"/>
  <c r="M112" i="32" s="1"/>
  <c r="M111" i="32"/>
  <c r="J111" i="32"/>
  <c r="K111" i="32" s="1"/>
  <c r="I111" i="32"/>
  <c r="J110" i="32"/>
  <c r="K110" i="32" s="1"/>
  <c r="I110" i="32"/>
  <c r="M110" i="32" s="1"/>
  <c r="J109" i="32"/>
  <c r="K109" i="32" s="1"/>
  <c r="I109" i="32"/>
  <c r="M109" i="32" s="1"/>
  <c r="J108" i="32"/>
  <c r="K108" i="32" s="1"/>
  <c r="I108" i="32"/>
  <c r="M108" i="32" s="1"/>
  <c r="J107" i="32"/>
  <c r="K107" i="32" s="1"/>
  <c r="I107" i="32"/>
  <c r="M107" i="32" s="1"/>
  <c r="J106" i="32"/>
  <c r="K106" i="32" s="1"/>
  <c r="I106" i="32"/>
  <c r="M106" i="32" s="1"/>
  <c r="J105" i="32"/>
  <c r="K105" i="32" s="1"/>
  <c r="I105" i="32"/>
  <c r="M105" i="32" s="1"/>
  <c r="J104" i="32"/>
  <c r="K104" i="32" s="1"/>
  <c r="I104" i="32"/>
  <c r="M104" i="32" s="1"/>
  <c r="M103" i="32"/>
  <c r="J103" i="32"/>
  <c r="K103" i="32" s="1"/>
  <c r="I103" i="32"/>
  <c r="J102" i="32"/>
  <c r="K102" i="32" s="1"/>
  <c r="I102" i="32"/>
  <c r="M102" i="32" s="1"/>
  <c r="M101" i="32"/>
  <c r="J101" i="32"/>
  <c r="K101" i="32" s="1"/>
  <c r="I101" i="32"/>
  <c r="J100" i="32"/>
  <c r="K100" i="32" s="1"/>
  <c r="I100" i="32"/>
  <c r="M100" i="32" s="1"/>
  <c r="J99" i="32"/>
  <c r="K99" i="32" s="1"/>
  <c r="I99" i="32"/>
  <c r="M99" i="32" s="1"/>
  <c r="J98" i="32"/>
  <c r="K98" i="32" s="1"/>
  <c r="I98" i="32"/>
  <c r="M98" i="32" s="1"/>
  <c r="J97" i="32"/>
  <c r="K97" i="32" s="1"/>
  <c r="I97" i="32"/>
  <c r="M97" i="32" s="1"/>
  <c r="J96" i="32"/>
  <c r="K96" i="32" s="1"/>
  <c r="I96" i="32"/>
  <c r="M96" i="32" s="1"/>
  <c r="M95" i="32"/>
  <c r="J95" i="32"/>
  <c r="K95" i="32" s="1"/>
  <c r="I95" i="32"/>
  <c r="J94" i="32"/>
  <c r="K94" i="32" s="1"/>
  <c r="I94" i="32"/>
  <c r="M94" i="32" s="1"/>
  <c r="J93" i="32"/>
  <c r="K93" i="32" s="1"/>
  <c r="I93" i="32"/>
  <c r="M93" i="32" s="1"/>
  <c r="J92" i="32"/>
  <c r="K92" i="32" s="1"/>
  <c r="I92" i="32"/>
  <c r="M92" i="32" s="1"/>
  <c r="J91" i="32"/>
  <c r="K91" i="32" s="1"/>
  <c r="I91" i="32"/>
  <c r="M91" i="32" s="1"/>
  <c r="J90" i="32"/>
  <c r="K90" i="32" s="1"/>
  <c r="I90" i="32"/>
  <c r="M90" i="32" s="1"/>
  <c r="J89" i="32"/>
  <c r="K89" i="32" s="1"/>
  <c r="I89" i="32"/>
  <c r="M89" i="32" s="1"/>
  <c r="J88" i="32"/>
  <c r="K88" i="32" s="1"/>
  <c r="I88" i="32"/>
  <c r="M88" i="32" s="1"/>
  <c r="M87" i="32"/>
  <c r="J87" i="32"/>
  <c r="K87" i="32" s="1"/>
  <c r="I87" i="32"/>
  <c r="J86" i="32"/>
  <c r="K86" i="32" s="1"/>
  <c r="I86" i="32"/>
  <c r="M86" i="32" s="1"/>
  <c r="M85" i="32"/>
  <c r="J85" i="32"/>
  <c r="K85" i="32" s="1"/>
  <c r="I85" i="32"/>
  <c r="J84" i="32"/>
  <c r="K84" i="32" s="1"/>
  <c r="I84" i="32"/>
  <c r="M84" i="32" s="1"/>
  <c r="J83" i="32"/>
  <c r="K83" i="32" s="1"/>
  <c r="I83" i="32"/>
  <c r="M83" i="32" s="1"/>
  <c r="J82" i="32"/>
  <c r="K82" i="32" s="1"/>
  <c r="I82" i="32"/>
  <c r="M82" i="32" s="1"/>
  <c r="J81" i="32"/>
  <c r="K81" i="32" s="1"/>
  <c r="I81" i="32"/>
  <c r="M81" i="32" s="1"/>
  <c r="J80" i="32"/>
  <c r="K80" i="32" s="1"/>
  <c r="I80" i="32"/>
  <c r="M80" i="32" s="1"/>
  <c r="M79" i="32"/>
  <c r="A79" i="32" s="1"/>
  <c r="J79" i="32"/>
  <c r="K79" i="32" s="1"/>
  <c r="I79" i="32"/>
  <c r="J78" i="32"/>
  <c r="K78" i="32" s="1"/>
  <c r="I78" i="32"/>
  <c r="M78" i="32" s="1"/>
  <c r="A78" i="32" s="1"/>
  <c r="J77" i="32"/>
  <c r="K77" i="32" s="1"/>
  <c r="I77" i="32"/>
  <c r="M77" i="32" s="1"/>
  <c r="A77" i="32" s="1"/>
  <c r="M76" i="32"/>
  <c r="A76" i="32" s="1"/>
  <c r="K76" i="32"/>
  <c r="J76" i="32"/>
  <c r="I76" i="32"/>
  <c r="J75" i="32"/>
  <c r="K75" i="32" s="1"/>
  <c r="I75" i="32"/>
  <c r="M75" i="32" s="1"/>
  <c r="A75" i="32" s="1"/>
  <c r="J74" i="32"/>
  <c r="K74" i="32" s="1"/>
  <c r="I74" i="32"/>
  <c r="M74" i="32" s="1"/>
  <c r="A74" i="32" s="1"/>
  <c r="J73" i="32"/>
  <c r="K73" i="32" s="1"/>
  <c r="I73" i="32"/>
  <c r="M73" i="32" s="1"/>
  <c r="A73" i="32" s="1"/>
  <c r="J72" i="32"/>
  <c r="K72" i="32" s="1"/>
  <c r="I72" i="32"/>
  <c r="M72" i="32" s="1"/>
  <c r="A72" i="32" s="1"/>
  <c r="M71" i="32"/>
  <c r="A71" i="32" s="1"/>
  <c r="J71" i="32"/>
  <c r="K71" i="32" s="1"/>
  <c r="I71" i="32"/>
  <c r="J70" i="32"/>
  <c r="K70" i="32" s="1"/>
  <c r="I70" i="32"/>
  <c r="M70" i="32" s="1"/>
  <c r="A70" i="32" s="1"/>
  <c r="J69" i="32"/>
  <c r="K69" i="32" s="1"/>
  <c r="I69" i="32"/>
  <c r="M69" i="32" s="1"/>
  <c r="A69" i="32" s="1"/>
  <c r="M68" i="32"/>
  <c r="A68" i="32" s="1"/>
  <c r="K68" i="32"/>
  <c r="J68" i="32"/>
  <c r="I68" i="32"/>
  <c r="J67" i="32"/>
  <c r="K67" i="32" s="1"/>
  <c r="I67" i="32"/>
  <c r="M67" i="32" s="1"/>
  <c r="A67" i="32" s="1"/>
  <c r="J66" i="32"/>
  <c r="K66" i="32" s="1"/>
  <c r="I66" i="32"/>
  <c r="M66" i="32" s="1"/>
  <c r="A66" i="32" s="1"/>
  <c r="J65" i="32"/>
  <c r="K65" i="32" s="1"/>
  <c r="I65" i="32"/>
  <c r="M65" i="32" s="1"/>
  <c r="A65" i="32" s="1"/>
  <c r="B65" i="32"/>
  <c r="J64" i="32"/>
  <c r="K64" i="32" s="1"/>
  <c r="I64" i="32"/>
  <c r="M64" i="32" s="1"/>
  <c r="A64" i="32" s="1"/>
  <c r="B64" i="32"/>
  <c r="M63" i="32"/>
  <c r="A63" i="32" s="1"/>
  <c r="J63" i="32"/>
  <c r="K63" i="32" s="1"/>
  <c r="I63" i="32"/>
  <c r="B63" i="32"/>
  <c r="J62" i="32"/>
  <c r="K62" i="32" s="1"/>
  <c r="I62" i="32"/>
  <c r="M62" i="32" s="1"/>
  <c r="A62" i="32" s="1"/>
  <c r="B62" i="32"/>
  <c r="J61" i="32"/>
  <c r="K61" i="32" s="1"/>
  <c r="I61" i="32"/>
  <c r="M61" i="32" s="1"/>
  <c r="A61" i="32" s="1"/>
  <c r="B61" i="32"/>
  <c r="J60" i="32"/>
  <c r="K60" i="32" s="1"/>
  <c r="I60" i="32"/>
  <c r="M60" i="32" s="1"/>
  <c r="A60" i="32" s="1"/>
  <c r="B60" i="32"/>
  <c r="M59" i="32"/>
  <c r="A59" i="32" s="1"/>
  <c r="J59" i="32"/>
  <c r="K59" i="32" s="1"/>
  <c r="I59" i="32"/>
  <c r="B59" i="32"/>
  <c r="J58" i="32"/>
  <c r="K58" i="32" s="1"/>
  <c r="I58" i="32"/>
  <c r="M58" i="32" s="1"/>
  <c r="A58" i="32" s="1"/>
  <c r="B58" i="32"/>
  <c r="J57" i="32"/>
  <c r="K57" i="32" s="1"/>
  <c r="I57" i="32"/>
  <c r="M57" i="32" s="1"/>
  <c r="A57" i="32" s="1"/>
  <c r="B57" i="32"/>
  <c r="J56" i="32"/>
  <c r="K56" i="32" s="1"/>
  <c r="I56" i="32"/>
  <c r="M56" i="32" s="1"/>
  <c r="A56" i="32" s="1"/>
  <c r="B56" i="32"/>
  <c r="M55" i="32"/>
  <c r="A55" i="32" s="1"/>
  <c r="J55" i="32"/>
  <c r="K55" i="32" s="1"/>
  <c r="I55" i="32"/>
  <c r="B55" i="32"/>
  <c r="J54" i="32"/>
  <c r="K54" i="32" s="1"/>
  <c r="I54" i="32"/>
  <c r="M54" i="32" s="1"/>
  <c r="A54" i="32" s="1"/>
  <c r="B54" i="32"/>
  <c r="J53" i="32"/>
  <c r="K53" i="32" s="1"/>
  <c r="I53" i="32"/>
  <c r="M53" i="32" s="1"/>
  <c r="A53" i="32" s="1"/>
  <c r="B53" i="32"/>
  <c r="J52" i="32"/>
  <c r="K52" i="32" s="1"/>
  <c r="I52" i="32"/>
  <c r="M52" i="32" s="1"/>
  <c r="A52" i="32" s="1"/>
  <c r="B52" i="32"/>
  <c r="M51" i="32"/>
  <c r="A51" i="32" s="1"/>
  <c r="J51" i="32"/>
  <c r="K51" i="32" s="1"/>
  <c r="I51" i="32"/>
  <c r="B51" i="32"/>
  <c r="J50" i="32"/>
  <c r="K50" i="32" s="1"/>
  <c r="I50" i="32"/>
  <c r="M50" i="32" s="1"/>
  <c r="A50" i="32" s="1"/>
  <c r="B50" i="32"/>
  <c r="J49" i="32"/>
  <c r="K49" i="32" s="1"/>
  <c r="I49" i="32"/>
  <c r="M49" i="32" s="1"/>
  <c r="A49" i="32" s="1"/>
  <c r="B49" i="32"/>
  <c r="J48" i="32"/>
  <c r="K48" i="32" s="1"/>
  <c r="I48" i="32"/>
  <c r="M48" i="32" s="1"/>
  <c r="A48" i="32" s="1"/>
  <c r="B48" i="32"/>
  <c r="M47" i="32"/>
  <c r="A47" i="32" s="1"/>
  <c r="J47" i="32"/>
  <c r="K47" i="32" s="1"/>
  <c r="I47" i="32"/>
  <c r="B47" i="32"/>
  <c r="T46" i="32"/>
  <c r="R46" i="32"/>
  <c r="U46" i="32" s="1"/>
  <c r="K46" i="32"/>
  <c r="J46" i="32"/>
  <c r="I46" i="32"/>
  <c r="M46" i="32" s="1"/>
  <c r="A46" i="32" s="1"/>
  <c r="B46" i="32"/>
  <c r="J45" i="32"/>
  <c r="K45" i="32" s="1"/>
  <c r="I45" i="32"/>
  <c r="M45" i="32" s="1"/>
  <c r="A45" i="32" s="1"/>
  <c r="B45" i="32"/>
  <c r="M44" i="32"/>
  <c r="A44" i="32" s="1"/>
  <c r="K44" i="32"/>
  <c r="J44" i="32"/>
  <c r="I44" i="32"/>
  <c r="B44" i="32"/>
  <c r="J43" i="32"/>
  <c r="K43" i="32" s="1"/>
  <c r="I43" i="32"/>
  <c r="M43" i="32" s="1"/>
  <c r="A43" i="32" s="1"/>
  <c r="B43" i="32"/>
  <c r="K42" i="32"/>
  <c r="J42" i="32"/>
  <c r="I42" i="32"/>
  <c r="M42" i="32" s="1"/>
  <c r="A42" i="32" s="1"/>
  <c r="B42" i="32"/>
  <c r="J41" i="32"/>
  <c r="K41" i="32" s="1"/>
  <c r="I41" i="32"/>
  <c r="M41" i="32" s="1"/>
  <c r="A41" i="32" s="1"/>
  <c r="B41" i="32"/>
  <c r="M40" i="32"/>
  <c r="A40" i="32" s="1"/>
  <c r="K40" i="32"/>
  <c r="J40" i="32"/>
  <c r="I40" i="32"/>
  <c r="B40" i="32"/>
  <c r="J39" i="32"/>
  <c r="K39" i="32" s="1"/>
  <c r="I39" i="32"/>
  <c r="M39" i="32" s="1"/>
  <c r="A39" i="32" s="1"/>
  <c r="B39" i="32"/>
  <c r="K38" i="32"/>
  <c r="J38" i="32"/>
  <c r="I38" i="32"/>
  <c r="M38" i="32" s="1"/>
  <c r="A38" i="32" s="1"/>
  <c r="B38" i="32"/>
  <c r="J37" i="32"/>
  <c r="K37" i="32" s="1"/>
  <c r="I37" i="32"/>
  <c r="M37" i="32" s="1"/>
  <c r="A37" i="32" s="1"/>
  <c r="B37" i="32"/>
  <c r="M36" i="32"/>
  <c r="A36" i="32" s="1"/>
  <c r="K36" i="32"/>
  <c r="J36" i="32"/>
  <c r="I36" i="32"/>
  <c r="B36" i="32"/>
  <c r="J35" i="32"/>
  <c r="K35" i="32" s="1"/>
  <c r="I35" i="32"/>
  <c r="M35" i="32" s="1"/>
  <c r="A35" i="32" s="1"/>
  <c r="B35" i="32"/>
  <c r="K34" i="32"/>
  <c r="J34" i="32"/>
  <c r="I34" i="32"/>
  <c r="M34" i="32" s="1"/>
  <c r="A34" i="32" s="1"/>
  <c r="B34" i="32"/>
  <c r="J33" i="32"/>
  <c r="K33" i="32" s="1"/>
  <c r="I33" i="32"/>
  <c r="M33" i="32" s="1"/>
  <c r="A33" i="32" s="1"/>
  <c r="B33" i="32"/>
  <c r="M32" i="32"/>
  <c r="A32" i="32" s="1"/>
  <c r="K32" i="32"/>
  <c r="J32" i="32"/>
  <c r="I32" i="32"/>
  <c r="B32" i="32"/>
  <c r="J31" i="32"/>
  <c r="K31" i="32" s="1"/>
  <c r="I31" i="32"/>
  <c r="M31" i="32" s="1"/>
  <c r="A31" i="32" s="1"/>
  <c r="B31" i="32"/>
  <c r="K30" i="32"/>
  <c r="J30" i="32"/>
  <c r="I30" i="32"/>
  <c r="M30" i="32" s="1"/>
  <c r="A30" i="32" s="1"/>
  <c r="B30" i="32"/>
  <c r="J29" i="32"/>
  <c r="K29" i="32" s="1"/>
  <c r="I29" i="32"/>
  <c r="M29" i="32" s="1"/>
  <c r="A29" i="32" s="1"/>
  <c r="B29" i="32"/>
  <c r="M28" i="32"/>
  <c r="A28" i="32" s="1"/>
  <c r="K28" i="32"/>
  <c r="J28" i="32"/>
  <c r="I28" i="32"/>
  <c r="B28" i="32"/>
  <c r="J27" i="32"/>
  <c r="K27" i="32" s="1"/>
  <c r="I27" i="32"/>
  <c r="M27" i="32" s="1"/>
  <c r="A27" i="32" s="1"/>
  <c r="B27" i="32"/>
  <c r="K26" i="32"/>
  <c r="J26" i="32"/>
  <c r="I26" i="32"/>
  <c r="M26" i="32" s="1"/>
  <c r="A26" i="32" s="1"/>
  <c r="B26" i="32"/>
  <c r="J25" i="32"/>
  <c r="K25" i="32" s="1"/>
  <c r="I25" i="32"/>
  <c r="M25" i="32" s="1"/>
  <c r="A25" i="32" s="1"/>
  <c r="B25" i="32"/>
  <c r="M24" i="32"/>
  <c r="A24" i="32" s="1"/>
  <c r="K24" i="32"/>
  <c r="J24" i="32"/>
  <c r="I24" i="32"/>
  <c r="B24" i="32"/>
  <c r="J23" i="32"/>
  <c r="K23" i="32" s="1"/>
  <c r="I23" i="32"/>
  <c r="M23" i="32" s="1"/>
  <c r="A23" i="32" s="1"/>
  <c r="B23" i="32"/>
  <c r="K22" i="32"/>
  <c r="J22" i="32"/>
  <c r="I22" i="32"/>
  <c r="B22" i="32"/>
  <c r="J21" i="32"/>
  <c r="K21" i="32" s="1"/>
  <c r="I21" i="32"/>
  <c r="B21" i="32"/>
  <c r="M20" i="32"/>
  <c r="A20" i="32" s="1"/>
  <c r="K20" i="32"/>
  <c r="J20" i="32"/>
  <c r="I20" i="32"/>
  <c r="B20" i="32"/>
  <c r="J19" i="32"/>
  <c r="K19" i="32" s="1"/>
  <c r="I19" i="32"/>
  <c r="M19" i="32" s="1"/>
  <c r="A19" i="32" s="1"/>
  <c r="B19" i="32"/>
  <c r="K18" i="32"/>
  <c r="J18" i="32"/>
  <c r="I18" i="32"/>
  <c r="B18" i="32"/>
  <c r="J17" i="32"/>
  <c r="K17" i="32" s="1"/>
  <c r="I17" i="32"/>
  <c r="B17" i="32"/>
  <c r="AI16" i="32"/>
  <c r="J16" i="32"/>
  <c r="K16" i="32" s="1"/>
  <c r="I16" i="32"/>
  <c r="M16" i="32" s="1"/>
  <c r="A16" i="32" s="1"/>
  <c r="B16" i="32"/>
  <c r="J15" i="32"/>
  <c r="K15" i="32" s="1"/>
  <c r="I15" i="32"/>
  <c r="M15" i="32" s="1"/>
  <c r="A15" i="32" s="1"/>
  <c r="B15" i="32"/>
  <c r="AI14" i="32"/>
  <c r="J14" i="32"/>
  <c r="K14" i="32" s="1"/>
  <c r="I14" i="32"/>
  <c r="M14" i="32" s="1"/>
  <c r="A14" i="32" s="1"/>
  <c r="B14" i="32"/>
  <c r="AI13" i="32"/>
  <c r="J13" i="32"/>
  <c r="K13" i="32" s="1"/>
  <c r="I13" i="32"/>
  <c r="M13" i="32" s="1"/>
  <c r="A13" i="32" s="1"/>
  <c r="B13" i="32"/>
  <c r="AC8" i="20" s="1"/>
  <c r="AI12" i="32"/>
  <c r="J12" i="32"/>
  <c r="K12" i="32" s="1"/>
  <c r="I12" i="32"/>
  <c r="B12" i="32"/>
  <c r="J11" i="32"/>
  <c r="K11" i="32" s="1"/>
  <c r="I11" i="32"/>
  <c r="B11" i="32"/>
  <c r="K10" i="32"/>
  <c r="J10" i="32"/>
  <c r="I10" i="32"/>
  <c r="M10" i="32" s="1"/>
  <c r="A10" i="32" s="1"/>
  <c r="B10" i="32"/>
  <c r="J9" i="32"/>
  <c r="K9" i="32" s="1"/>
  <c r="I9" i="32"/>
  <c r="B9" i="32"/>
  <c r="J8" i="32"/>
  <c r="K8" i="32" s="1"/>
  <c r="I8" i="32"/>
  <c r="B8" i="32"/>
  <c r="J7" i="32"/>
  <c r="K7" i="32" s="1"/>
  <c r="I7" i="32"/>
  <c r="B7" i="32"/>
  <c r="K6" i="32"/>
  <c r="J6" i="32"/>
  <c r="I6" i="32"/>
  <c r="B6" i="32"/>
  <c r="K2" i="32"/>
  <c r="L8" i="32" s="1"/>
  <c r="K23" i="20"/>
  <c r="I22" i="20"/>
  <c r="M21" i="20"/>
  <c r="K21" i="20"/>
  <c r="K20" i="20"/>
  <c r="K19" i="20"/>
  <c r="K17" i="20"/>
  <c r="K16" i="20"/>
  <c r="K15" i="20"/>
  <c r="I14" i="20"/>
  <c r="M12" i="20"/>
  <c r="K12" i="20"/>
  <c r="M11" i="20"/>
  <c r="K11" i="20"/>
  <c r="I11" i="20"/>
  <c r="M10" i="20"/>
  <c r="K10" i="20"/>
  <c r="I10" i="20"/>
  <c r="M13" i="20"/>
  <c r="K13" i="20"/>
  <c r="I13" i="20"/>
  <c r="M6" i="20"/>
  <c r="K6" i="20"/>
  <c r="I6" i="20"/>
  <c r="K9" i="20"/>
  <c r="I9" i="20"/>
  <c r="M8" i="20"/>
  <c r="K8" i="20"/>
  <c r="I8" i="20"/>
  <c r="M19" i="13"/>
  <c r="M11" i="13"/>
  <c r="M12" i="13"/>
  <c r="M13" i="13"/>
  <c r="M7" i="13"/>
  <c r="M9" i="13"/>
  <c r="M10" i="13"/>
  <c r="K19" i="13"/>
  <c r="K15" i="13"/>
  <c r="K6" i="13"/>
  <c r="K8" i="13"/>
  <c r="K11" i="13"/>
  <c r="K12" i="13"/>
  <c r="K13" i="13"/>
  <c r="K7" i="13"/>
  <c r="K9" i="13"/>
  <c r="K10" i="13"/>
  <c r="I8" i="13"/>
  <c r="I11" i="13"/>
  <c r="I12" i="13"/>
  <c r="I13" i="13"/>
  <c r="I7" i="13"/>
  <c r="I9" i="13"/>
  <c r="I10" i="13"/>
  <c r="J305" i="31"/>
  <c r="K305" i="31" s="1"/>
  <c r="I305" i="31"/>
  <c r="M305" i="31" s="1"/>
  <c r="J304" i="31"/>
  <c r="K304" i="31" s="1"/>
  <c r="I304" i="31"/>
  <c r="M304" i="31" s="1"/>
  <c r="J303" i="31"/>
  <c r="K303" i="31" s="1"/>
  <c r="I303" i="31"/>
  <c r="M303" i="31" s="1"/>
  <c r="J302" i="31"/>
  <c r="K302" i="31" s="1"/>
  <c r="I302" i="31"/>
  <c r="M302" i="31" s="1"/>
  <c r="J301" i="31"/>
  <c r="K301" i="31" s="1"/>
  <c r="I301" i="31"/>
  <c r="M301" i="31" s="1"/>
  <c r="M300" i="31"/>
  <c r="J300" i="31"/>
  <c r="K300" i="31" s="1"/>
  <c r="I300" i="31"/>
  <c r="J299" i="31"/>
  <c r="K299" i="31" s="1"/>
  <c r="I299" i="31"/>
  <c r="M299" i="31" s="1"/>
  <c r="J298" i="31"/>
  <c r="K298" i="31" s="1"/>
  <c r="I298" i="31"/>
  <c r="M298" i="31" s="1"/>
  <c r="J297" i="31"/>
  <c r="K297" i="31" s="1"/>
  <c r="I297" i="31"/>
  <c r="M297" i="31" s="1"/>
  <c r="J296" i="31"/>
  <c r="K296" i="31" s="1"/>
  <c r="I296" i="31"/>
  <c r="M296" i="31" s="1"/>
  <c r="J295" i="31"/>
  <c r="K295" i="31" s="1"/>
  <c r="I295" i="31"/>
  <c r="M295" i="31" s="1"/>
  <c r="M294" i="31"/>
  <c r="J294" i="31"/>
  <c r="K294" i="31" s="1"/>
  <c r="I294" i="31"/>
  <c r="J293" i="31"/>
  <c r="K293" i="31" s="1"/>
  <c r="I293" i="31"/>
  <c r="M293" i="31" s="1"/>
  <c r="J292" i="31"/>
  <c r="K292" i="31" s="1"/>
  <c r="I292" i="31"/>
  <c r="M292" i="31" s="1"/>
  <c r="J291" i="31"/>
  <c r="K291" i="31" s="1"/>
  <c r="I291" i="31"/>
  <c r="M291" i="31" s="1"/>
  <c r="J290" i="31"/>
  <c r="K290" i="31" s="1"/>
  <c r="I290" i="31"/>
  <c r="M290" i="31" s="1"/>
  <c r="J289" i="31"/>
  <c r="K289" i="31" s="1"/>
  <c r="I289" i="31"/>
  <c r="M289" i="31" s="1"/>
  <c r="J288" i="31"/>
  <c r="K288" i="31" s="1"/>
  <c r="I288" i="31"/>
  <c r="M288" i="31" s="1"/>
  <c r="J287" i="31"/>
  <c r="K287" i="31" s="1"/>
  <c r="I287" i="31"/>
  <c r="M287" i="31" s="1"/>
  <c r="M286" i="31"/>
  <c r="J286" i="31"/>
  <c r="K286" i="31" s="1"/>
  <c r="I286" i="31"/>
  <c r="J285" i="31"/>
  <c r="K285" i="31" s="1"/>
  <c r="I285" i="31"/>
  <c r="M285" i="31" s="1"/>
  <c r="K284" i="31"/>
  <c r="J284" i="31"/>
  <c r="I284" i="31"/>
  <c r="M284" i="31" s="1"/>
  <c r="J283" i="31"/>
  <c r="K283" i="31" s="1"/>
  <c r="I283" i="31"/>
  <c r="M283" i="31" s="1"/>
  <c r="J282" i="31"/>
  <c r="K282" i="31" s="1"/>
  <c r="I282" i="31"/>
  <c r="M282" i="31" s="1"/>
  <c r="J281" i="31"/>
  <c r="K281" i="31" s="1"/>
  <c r="I281" i="31"/>
  <c r="M281" i="31" s="1"/>
  <c r="J280" i="31"/>
  <c r="K280" i="31" s="1"/>
  <c r="I280" i="31"/>
  <c r="M280" i="31" s="1"/>
  <c r="J279" i="31"/>
  <c r="K279" i="31" s="1"/>
  <c r="I279" i="31"/>
  <c r="M279" i="31" s="1"/>
  <c r="M278" i="31"/>
  <c r="J278" i="31"/>
  <c r="K278" i="31" s="1"/>
  <c r="I278" i="31"/>
  <c r="J277" i="31"/>
  <c r="K277" i="31" s="1"/>
  <c r="I277" i="31"/>
  <c r="M277" i="31" s="1"/>
  <c r="K276" i="31"/>
  <c r="J276" i="31"/>
  <c r="I276" i="31"/>
  <c r="M276" i="31" s="1"/>
  <c r="J275" i="31"/>
  <c r="K275" i="31" s="1"/>
  <c r="I275" i="31"/>
  <c r="M275" i="31" s="1"/>
  <c r="J274" i="31"/>
  <c r="K274" i="31" s="1"/>
  <c r="I274" i="31"/>
  <c r="M274" i="31" s="1"/>
  <c r="J273" i="31"/>
  <c r="K273" i="31" s="1"/>
  <c r="I273" i="31"/>
  <c r="M273" i="31" s="1"/>
  <c r="J272" i="31"/>
  <c r="K272" i="31" s="1"/>
  <c r="I272" i="31"/>
  <c r="M272" i="31" s="1"/>
  <c r="J271" i="31"/>
  <c r="K271" i="31" s="1"/>
  <c r="I271" i="31"/>
  <c r="M271" i="31" s="1"/>
  <c r="M270" i="31"/>
  <c r="J270" i="31"/>
  <c r="K270" i="31" s="1"/>
  <c r="I270" i="31"/>
  <c r="J269" i="31"/>
  <c r="K269" i="31" s="1"/>
  <c r="I269" i="31"/>
  <c r="M269" i="31" s="1"/>
  <c r="K268" i="31"/>
  <c r="J268" i="31"/>
  <c r="I268" i="31"/>
  <c r="M268" i="31" s="1"/>
  <c r="J267" i="31"/>
  <c r="K267" i="31" s="1"/>
  <c r="I267" i="31"/>
  <c r="M267" i="31" s="1"/>
  <c r="J266" i="31"/>
  <c r="K266" i="31" s="1"/>
  <c r="I266" i="31"/>
  <c r="M266" i="31" s="1"/>
  <c r="J265" i="31"/>
  <c r="K265" i="31" s="1"/>
  <c r="I265" i="31"/>
  <c r="M265" i="31" s="1"/>
  <c r="J264" i="31"/>
  <c r="K264" i="31" s="1"/>
  <c r="I264" i="31"/>
  <c r="M264" i="31" s="1"/>
  <c r="J263" i="31"/>
  <c r="K263" i="31" s="1"/>
  <c r="I263" i="31"/>
  <c r="M263" i="31" s="1"/>
  <c r="M262" i="31"/>
  <c r="J262" i="31"/>
  <c r="K262" i="31" s="1"/>
  <c r="I262" i="31"/>
  <c r="J261" i="31"/>
  <c r="K261" i="31" s="1"/>
  <c r="I261" i="31"/>
  <c r="M261" i="31" s="1"/>
  <c r="K260" i="31"/>
  <c r="J260" i="31"/>
  <c r="I260" i="31"/>
  <c r="M260" i="31" s="1"/>
  <c r="J259" i="31"/>
  <c r="K259" i="31" s="1"/>
  <c r="I259" i="31"/>
  <c r="M259" i="31" s="1"/>
  <c r="J258" i="31"/>
  <c r="K258" i="31" s="1"/>
  <c r="I258" i="31"/>
  <c r="M258" i="31" s="1"/>
  <c r="J257" i="31"/>
  <c r="K257" i="31" s="1"/>
  <c r="I257" i="31"/>
  <c r="M257" i="31" s="1"/>
  <c r="J256" i="31"/>
  <c r="K256" i="31" s="1"/>
  <c r="I256" i="31"/>
  <c r="M256" i="31" s="1"/>
  <c r="J255" i="31"/>
  <c r="K255" i="31" s="1"/>
  <c r="I255" i="31"/>
  <c r="M255" i="31" s="1"/>
  <c r="M254" i="31"/>
  <c r="J254" i="31"/>
  <c r="K254" i="31" s="1"/>
  <c r="I254" i="31"/>
  <c r="J253" i="31"/>
  <c r="K253" i="31" s="1"/>
  <c r="I253" i="31"/>
  <c r="M253" i="31" s="1"/>
  <c r="M252" i="31"/>
  <c r="K252" i="31"/>
  <c r="J252" i="31"/>
  <c r="I252" i="31"/>
  <c r="J251" i="31"/>
  <c r="K251" i="31" s="1"/>
  <c r="I251" i="31"/>
  <c r="M251" i="31" s="1"/>
  <c r="J250" i="31"/>
  <c r="K250" i="31" s="1"/>
  <c r="I250" i="31"/>
  <c r="M250" i="31" s="1"/>
  <c r="J249" i="31"/>
  <c r="K249" i="31" s="1"/>
  <c r="I249" i="31"/>
  <c r="M249" i="31" s="1"/>
  <c r="J248" i="31"/>
  <c r="K248" i="31" s="1"/>
  <c r="I248" i="31"/>
  <c r="M248" i="31" s="1"/>
  <c r="J247" i="31"/>
  <c r="K247" i="31" s="1"/>
  <c r="I247" i="31"/>
  <c r="M247" i="31" s="1"/>
  <c r="J246" i="31"/>
  <c r="K246" i="31" s="1"/>
  <c r="I246" i="31"/>
  <c r="M246" i="31" s="1"/>
  <c r="J245" i="31"/>
  <c r="K245" i="31" s="1"/>
  <c r="I245" i="31"/>
  <c r="M245" i="31" s="1"/>
  <c r="J244" i="31"/>
  <c r="K244" i="31" s="1"/>
  <c r="I244" i="31"/>
  <c r="M244" i="31" s="1"/>
  <c r="J243" i="31"/>
  <c r="K243" i="31" s="1"/>
  <c r="I243" i="31"/>
  <c r="M243" i="31" s="1"/>
  <c r="J242" i="31"/>
  <c r="K242" i="31" s="1"/>
  <c r="I242" i="31"/>
  <c r="M242" i="31" s="1"/>
  <c r="J241" i="31"/>
  <c r="K241" i="31" s="1"/>
  <c r="I241" i="31"/>
  <c r="M241" i="31" s="1"/>
  <c r="J240" i="31"/>
  <c r="K240" i="31" s="1"/>
  <c r="I240" i="31"/>
  <c r="M240" i="31" s="1"/>
  <c r="J239" i="31"/>
  <c r="K239" i="31" s="1"/>
  <c r="I239" i="31"/>
  <c r="M239" i="31" s="1"/>
  <c r="M238" i="31"/>
  <c r="J238" i="31"/>
  <c r="K238" i="31" s="1"/>
  <c r="I238" i="31"/>
  <c r="J237" i="31"/>
  <c r="K237" i="31" s="1"/>
  <c r="I237" i="31"/>
  <c r="M237" i="31" s="1"/>
  <c r="M236" i="31"/>
  <c r="J236" i="31"/>
  <c r="K236" i="31" s="1"/>
  <c r="I236" i="31"/>
  <c r="J235" i="31"/>
  <c r="K235" i="31" s="1"/>
  <c r="I235" i="31"/>
  <c r="M235" i="31" s="1"/>
  <c r="J234" i="31"/>
  <c r="K234" i="31" s="1"/>
  <c r="I234" i="31"/>
  <c r="M234" i="31" s="1"/>
  <c r="J233" i="31"/>
  <c r="K233" i="31" s="1"/>
  <c r="I233" i="31"/>
  <c r="M233" i="31" s="1"/>
  <c r="J232" i="31"/>
  <c r="K232" i="31" s="1"/>
  <c r="I232" i="31"/>
  <c r="M232" i="31" s="1"/>
  <c r="J231" i="31"/>
  <c r="K231" i="31" s="1"/>
  <c r="I231" i="31"/>
  <c r="M231" i="31" s="1"/>
  <c r="J230" i="31"/>
  <c r="K230" i="31" s="1"/>
  <c r="I230" i="31"/>
  <c r="M230" i="31" s="1"/>
  <c r="J229" i="31"/>
  <c r="K229" i="31" s="1"/>
  <c r="I229" i="31"/>
  <c r="M229" i="31" s="1"/>
  <c r="M228" i="31"/>
  <c r="K228" i="31"/>
  <c r="J228" i="31"/>
  <c r="I228" i="31"/>
  <c r="J227" i="31"/>
  <c r="K227" i="31" s="1"/>
  <c r="I227" i="31"/>
  <c r="M227" i="31" s="1"/>
  <c r="J226" i="31"/>
  <c r="K226" i="31" s="1"/>
  <c r="I226" i="31"/>
  <c r="M226" i="31" s="1"/>
  <c r="J225" i="31"/>
  <c r="K225" i="31" s="1"/>
  <c r="I225" i="31"/>
  <c r="M225" i="31" s="1"/>
  <c r="J224" i="31"/>
  <c r="K224" i="31" s="1"/>
  <c r="I224" i="31"/>
  <c r="M224" i="31" s="1"/>
  <c r="J223" i="31"/>
  <c r="K223" i="31" s="1"/>
  <c r="I223" i="31"/>
  <c r="M223" i="31" s="1"/>
  <c r="J222" i="31"/>
  <c r="K222" i="31" s="1"/>
  <c r="I222" i="31"/>
  <c r="M222" i="31" s="1"/>
  <c r="J221" i="31"/>
  <c r="K221" i="31" s="1"/>
  <c r="I221" i="31"/>
  <c r="M221" i="31" s="1"/>
  <c r="J220" i="31"/>
  <c r="K220" i="31" s="1"/>
  <c r="I220" i="31"/>
  <c r="M220" i="31" s="1"/>
  <c r="J219" i="31"/>
  <c r="K219" i="31" s="1"/>
  <c r="I219" i="31"/>
  <c r="M219" i="31" s="1"/>
  <c r="J218" i="31"/>
  <c r="K218" i="31" s="1"/>
  <c r="I218" i="31"/>
  <c r="M218" i="31" s="1"/>
  <c r="J217" i="31"/>
  <c r="K217" i="31" s="1"/>
  <c r="I217" i="31"/>
  <c r="M217" i="31" s="1"/>
  <c r="J216" i="31"/>
  <c r="K216" i="31" s="1"/>
  <c r="I216" i="31"/>
  <c r="M216" i="31" s="1"/>
  <c r="J215" i="31"/>
  <c r="K215" i="31" s="1"/>
  <c r="I215" i="31"/>
  <c r="M215" i="31" s="1"/>
  <c r="M214" i="31"/>
  <c r="J214" i="31"/>
  <c r="K214" i="31" s="1"/>
  <c r="I214" i="31"/>
  <c r="J213" i="31"/>
  <c r="K213" i="31" s="1"/>
  <c r="I213" i="31"/>
  <c r="M213" i="31" s="1"/>
  <c r="K212" i="31"/>
  <c r="J212" i="31"/>
  <c r="I212" i="31"/>
  <c r="M212" i="31" s="1"/>
  <c r="J211" i="31"/>
  <c r="K211" i="31" s="1"/>
  <c r="I211" i="31"/>
  <c r="M211" i="31" s="1"/>
  <c r="J210" i="31"/>
  <c r="K210" i="31" s="1"/>
  <c r="I210" i="31"/>
  <c r="M210" i="31" s="1"/>
  <c r="J209" i="31"/>
  <c r="K209" i="31" s="1"/>
  <c r="I209" i="31"/>
  <c r="M209" i="31" s="1"/>
  <c r="M208" i="31"/>
  <c r="J208" i="31"/>
  <c r="K208" i="31" s="1"/>
  <c r="I208" i="31"/>
  <c r="J207" i="31"/>
  <c r="K207" i="31" s="1"/>
  <c r="I207" i="31"/>
  <c r="M207" i="31" s="1"/>
  <c r="J206" i="31"/>
  <c r="K206" i="31" s="1"/>
  <c r="I206" i="31"/>
  <c r="M206" i="31" s="1"/>
  <c r="J205" i="31"/>
  <c r="K205" i="31" s="1"/>
  <c r="I205" i="31"/>
  <c r="M205" i="31" s="1"/>
  <c r="J204" i="31"/>
  <c r="K204" i="31" s="1"/>
  <c r="I204" i="31"/>
  <c r="M204" i="31" s="1"/>
  <c r="J203" i="31"/>
  <c r="K203" i="31" s="1"/>
  <c r="I203" i="31"/>
  <c r="M203" i="31" s="1"/>
  <c r="J202" i="31"/>
  <c r="K202" i="31" s="1"/>
  <c r="I202" i="31"/>
  <c r="M202" i="31" s="1"/>
  <c r="J201" i="31"/>
  <c r="K201" i="31" s="1"/>
  <c r="I201" i="31"/>
  <c r="M201" i="31" s="1"/>
  <c r="M200" i="31"/>
  <c r="J200" i="31"/>
  <c r="K200" i="31" s="1"/>
  <c r="I200" i="31"/>
  <c r="J199" i="31"/>
  <c r="K199" i="31" s="1"/>
  <c r="I199" i="31"/>
  <c r="M199" i="31" s="1"/>
  <c r="M198" i="31"/>
  <c r="J198" i="31"/>
  <c r="K198" i="31" s="1"/>
  <c r="I198" i="31"/>
  <c r="J197" i="31"/>
  <c r="K197" i="31" s="1"/>
  <c r="I197" i="31"/>
  <c r="M197" i="31" s="1"/>
  <c r="M196" i="31"/>
  <c r="K196" i="31"/>
  <c r="J196" i="31"/>
  <c r="I196" i="31"/>
  <c r="J195" i="31"/>
  <c r="K195" i="31" s="1"/>
  <c r="I195" i="31"/>
  <c r="M195" i="31" s="1"/>
  <c r="J194" i="31"/>
  <c r="K194" i="31" s="1"/>
  <c r="I194" i="31"/>
  <c r="M194" i="31" s="1"/>
  <c r="J193" i="31"/>
  <c r="K193" i="31" s="1"/>
  <c r="I193" i="31"/>
  <c r="M193" i="31" s="1"/>
  <c r="M192" i="31"/>
  <c r="J192" i="31"/>
  <c r="K192" i="31" s="1"/>
  <c r="I192" i="31"/>
  <c r="J191" i="31"/>
  <c r="K191" i="31" s="1"/>
  <c r="I191" i="31"/>
  <c r="M191" i="31" s="1"/>
  <c r="J190" i="31"/>
  <c r="K190" i="31" s="1"/>
  <c r="I190" i="31"/>
  <c r="M190" i="31" s="1"/>
  <c r="J189" i="31"/>
  <c r="K189" i="31" s="1"/>
  <c r="I189" i="31"/>
  <c r="M189" i="31" s="1"/>
  <c r="J188" i="31"/>
  <c r="K188" i="31" s="1"/>
  <c r="I188" i="31"/>
  <c r="M188" i="31" s="1"/>
  <c r="J187" i="31"/>
  <c r="K187" i="31" s="1"/>
  <c r="I187" i="31"/>
  <c r="M187" i="31" s="1"/>
  <c r="J186" i="31"/>
  <c r="K186" i="31" s="1"/>
  <c r="I186" i="31"/>
  <c r="M186" i="31" s="1"/>
  <c r="J185" i="31"/>
  <c r="K185" i="31" s="1"/>
  <c r="I185" i="31"/>
  <c r="M185" i="31" s="1"/>
  <c r="M184" i="31"/>
  <c r="J184" i="31"/>
  <c r="K184" i="31" s="1"/>
  <c r="I184" i="31"/>
  <c r="J183" i="31"/>
  <c r="K183" i="31" s="1"/>
  <c r="I183" i="31"/>
  <c r="M183" i="31" s="1"/>
  <c r="M182" i="31"/>
  <c r="J182" i="31"/>
  <c r="K182" i="31" s="1"/>
  <c r="I182" i="31"/>
  <c r="J181" i="31"/>
  <c r="K181" i="31" s="1"/>
  <c r="I181" i="31"/>
  <c r="M181" i="31" s="1"/>
  <c r="M180" i="31"/>
  <c r="K180" i="31"/>
  <c r="J180" i="31"/>
  <c r="I180" i="31"/>
  <c r="J179" i="31"/>
  <c r="K179" i="31" s="1"/>
  <c r="I179" i="31"/>
  <c r="M179" i="31" s="1"/>
  <c r="J178" i="31"/>
  <c r="K178" i="31" s="1"/>
  <c r="I178" i="31"/>
  <c r="M178" i="31" s="1"/>
  <c r="J177" i="31"/>
  <c r="K177" i="31" s="1"/>
  <c r="I177" i="31"/>
  <c r="M177" i="31" s="1"/>
  <c r="M176" i="31"/>
  <c r="J176" i="31"/>
  <c r="K176" i="31" s="1"/>
  <c r="I176" i="31"/>
  <c r="J175" i="31"/>
  <c r="K175" i="31" s="1"/>
  <c r="I175" i="31"/>
  <c r="M175" i="31" s="1"/>
  <c r="J174" i="31"/>
  <c r="K174" i="31" s="1"/>
  <c r="I174" i="31"/>
  <c r="M174" i="31" s="1"/>
  <c r="J173" i="31"/>
  <c r="K173" i="31" s="1"/>
  <c r="I173" i="31"/>
  <c r="M173" i="31" s="1"/>
  <c r="J172" i="31"/>
  <c r="K172" i="31" s="1"/>
  <c r="I172" i="31"/>
  <c r="M172" i="31" s="1"/>
  <c r="J171" i="31"/>
  <c r="K171" i="31" s="1"/>
  <c r="I171" i="31"/>
  <c r="M171" i="31" s="1"/>
  <c r="J170" i="31"/>
  <c r="K170" i="31" s="1"/>
  <c r="I170" i="31"/>
  <c r="M170" i="31" s="1"/>
  <c r="J169" i="31"/>
  <c r="K169" i="31" s="1"/>
  <c r="I169" i="31"/>
  <c r="M169" i="31" s="1"/>
  <c r="J168" i="31"/>
  <c r="K168" i="31" s="1"/>
  <c r="I168" i="31"/>
  <c r="M168" i="31" s="1"/>
  <c r="J167" i="31"/>
  <c r="K167" i="31" s="1"/>
  <c r="I167" i="31"/>
  <c r="M167" i="31" s="1"/>
  <c r="M166" i="31"/>
  <c r="J166" i="31"/>
  <c r="K166" i="31" s="1"/>
  <c r="I166" i="31"/>
  <c r="J165" i="31"/>
  <c r="K165" i="31" s="1"/>
  <c r="I165" i="31"/>
  <c r="M165" i="31" s="1"/>
  <c r="M164" i="31"/>
  <c r="K164" i="31"/>
  <c r="J164" i="31"/>
  <c r="I164" i="31"/>
  <c r="J163" i="31"/>
  <c r="K163" i="31" s="1"/>
  <c r="I163" i="31"/>
  <c r="M163" i="31" s="1"/>
  <c r="J162" i="31"/>
  <c r="K162" i="31" s="1"/>
  <c r="I162" i="31"/>
  <c r="M162" i="31" s="1"/>
  <c r="J161" i="31"/>
  <c r="K161" i="31" s="1"/>
  <c r="I161" i="31"/>
  <c r="M161" i="31" s="1"/>
  <c r="M160" i="31"/>
  <c r="J160" i="31"/>
  <c r="K160" i="31" s="1"/>
  <c r="I160" i="31"/>
  <c r="J159" i="31"/>
  <c r="K159" i="31" s="1"/>
  <c r="I159" i="31"/>
  <c r="M159" i="31" s="1"/>
  <c r="J158" i="31"/>
  <c r="K158" i="31" s="1"/>
  <c r="I158" i="31"/>
  <c r="M158" i="31" s="1"/>
  <c r="J157" i="31"/>
  <c r="K157" i="31" s="1"/>
  <c r="I157" i="31"/>
  <c r="M157" i="31" s="1"/>
  <c r="J156" i="31"/>
  <c r="K156" i="31" s="1"/>
  <c r="I156" i="31"/>
  <c r="M156" i="31" s="1"/>
  <c r="J155" i="31"/>
  <c r="K155" i="31" s="1"/>
  <c r="I155" i="31"/>
  <c r="M155" i="31" s="1"/>
  <c r="J154" i="31"/>
  <c r="K154" i="31" s="1"/>
  <c r="I154" i="31"/>
  <c r="M154" i="31" s="1"/>
  <c r="J153" i="31"/>
  <c r="K153" i="31" s="1"/>
  <c r="I153" i="31"/>
  <c r="M153" i="31" s="1"/>
  <c r="J152" i="31"/>
  <c r="K152" i="31" s="1"/>
  <c r="I152" i="31"/>
  <c r="M152" i="31" s="1"/>
  <c r="J151" i="31"/>
  <c r="K151" i="31" s="1"/>
  <c r="I151" i="31"/>
  <c r="M151" i="31" s="1"/>
  <c r="M150" i="31"/>
  <c r="J150" i="31"/>
  <c r="K150" i="31" s="1"/>
  <c r="I150" i="31"/>
  <c r="J149" i="31"/>
  <c r="K149" i="31" s="1"/>
  <c r="I149" i="31"/>
  <c r="M149" i="31" s="1"/>
  <c r="M148" i="31"/>
  <c r="K148" i="31"/>
  <c r="J148" i="31"/>
  <c r="I148" i="31"/>
  <c r="J147" i="31"/>
  <c r="K147" i="31" s="1"/>
  <c r="I147" i="31"/>
  <c r="M147" i="31" s="1"/>
  <c r="J146" i="31"/>
  <c r="K146" i="31" s="1"/>
  <c r="I146" i="31"/>
  <c r="M146" i="31" s="1"/>
  <c r="J145" i="31"/>
  <c r="K145" i="31" s="1"/>
  <c r="I145" i="31"/>
  <c r="M145" i="31" s="1"/>
  <c r="M144" i="31"/>
  <c r="J144" i="31"/>
  <c r="K144" i="31" s="1"/>
  <c r="I144" i="31"/>
  <c r="J143" i="31"/>
  <c r="K143" i="31" s="1"/>
  <c r="I143" i="31"/>
  <c r="M143" i="31" s="1"/>
  <c r="J142" i="31"/>
  <c r="K142" i="31" s="1"/>
  <c r="I142" i="31"/>
  <c r="M142" i="31" s="1"/>
  <c r="J141" i="31"/>
  <c r="K141" i="31" s="1"/>
  <c r="I141" i="31"/>
  <c r="M141" i="31" s="1"/>
  <c r="J140" i="31"/>
  <c r="K140" i="31" s="1"/>
  <c r="I140" i="31"/>
  <c r="M140" i="31" s="1"/>
  <c r="J139" i="31"/>
  <c r="K139" i="31" s="1"/>
  <c r="I139" i="31"/>
  <c r="M139" i="31" s="1"/>
  <c r="J138" i="31"/>
  <c r="K138" i="31" s="1"/>
  <c r="I138" i="31"/>
  <c r="M138" i="31" s="1"/>
  <c r="J137" i="31"/>
  <c r="K137" i="31" s="1"/>
  <c r="I137" i="31"/>
  <c r="M137" i="31" s="1"/>
  <c r="J136" i="31"/>
  <c r="K136" i="31" s="1"/>
  <c r="I136" i="31"/>
  <c r="M136" i="31" s="1"/>
  <c r="M135" i="31"/>
  <c r="K135" i="31"/>
  <c r="J135" i="31"/>
  <c r="I135" i="31"/>
  <c r="J134" i="31"/>
  <c r="K134" i="31" s="1"/>
  <c r="I134" i="31"/>
  <c r="M134" i="31" s="1"/>
  <c r="M133" i="31"/>
  <c r="K133" i="31"/>
  <c r="J133" i="31"/>
  <c r="I133" i="31"/>
  <c r="J132" i="31"/>
  <c r="K132" i="31" s="1"/>
  <c r="I132" i="31"/>
  <c r="M132" i="31" s="1"/>
  <c r="J131" i="31"/>
  <c r="K131" i="31" s="1"/>
  <c r="I131" i="31"/>
  <c r="M131" i="31" s="1"/>
  <c r="M130" i="31"/>
  <c r="J130" i="31"/>
  <c r="K130" i="31" s="1"/>
  <c r="I130" i="31"/>
  <c r="K129" i="31"/>
  <c r="J129" i="31"/>
  <c r="I129" i="31"/>
  <c r="M129" i="31" s="1"/>
  <c r="M128" i="31"/>
  <c r="J128" i="31"/>
  <c r="K128" i="31" s="1"/>
  <c r="I128" i="31"/>
  <c r="J127" i="31"/>
  <c r="K127" i="31" s="1"/>
  <c r="I127" i="31"/>
  <c r="M127" i="31" s="1"/>
  <c r="M126" i="31"/>
  <c r="J126" i="31"/>
  <c r="K126" i="31" s="1"/>
  <c r="I126" i="31"/>
  <c r="J125" i="31"/>
  <c r="K125" i="31" s="1"/>
  <c r="I125" i="31"/>
  <c r="M125" i="31" s="1"/>
  <c r="J124" i="31"/>
  <c r="K124" i="31" s="1"/>
  <c r="I124" i="31"/>
  <c r="M124" i="31" s="1"/>
  <c r="K123" i="31"/>
  <c r="J123" i="31"/>
  <c r="I123" i="31"/>
  <c r="M123" i="31" s="1"/>
  <c r="J122" i="31"/>
  <c r="K122" i="31" s="1"/>
  <c r="I122" i="31"/>
  <c r="M122" i="31" s="1"/>
  <c r="M121" i="31"/>
  <c r="J121" i="31"/>
  <c r="K121" i="31" s="1"/>
  <c r="I121" i="31"/>
  <c r="J120" i="31"/>
  <c r="K120" i="31" s="1"/>
  <c r="I120" i="31"/>
  <c r="M120" i="31" s="1"/>
  <c r="M119" i="31"/>
  <c r="K119" i="31"/>
  <c r="J119" i="31"/>
  <c r="I119" i="31"/>
  <c r="J118" i="31"/>
  <c r="K118" i="31" s="1"/>
  <c r="I118" i="31"/>
  <c r="M118" i="31" s="1"/>
  <c r="M117" i="31"/>
  <c r="K117" i="31"/>
  <c r="J117" i="31"/>
  <c r="I117" i="31"/>
  <c r="J116" i="31"/>
  <c r="K116" i="31" s="1"/>
  <c r="I116" i="31"/>
  <c r="M116" i="31" s="1"/>
  <c r="J115" i="31"/>
  <c r="K115" i="31" s="1"/>
  <c r="I115" i="31"/>
  <c r="M115" i="31" s="1"/>
  <c r="M114" i="31"/>
  <c r="J114" i="31"/>
  <c r="K114" i="31" s="1"/>
  <c r="I114" i="31"/>
  <c r="K113" i="31"/>
  <c r="J113" i="31"/>
  <c r="I113" i="31"/>
  <c r="M113" i="31" s="1"/>
  <c r="M112" i="31"/>
  <c r="J112" i="31"/>
  <c r="K112" i="31" s="1"/>
  <c r="I112" i="31"/>
  <c r="J111" i="31"/>
  <c r="K111" i="31" s="1"/>
  <c r="I111" i="31"/>
  <c r="M111" i="31" s="1"/>
  <c r="M110" i="31"/>
  <c r="J110" i="31"/>
  <c r="K110" i="31" s="1"/>
  <c r="I110" i="31"/>
  <c r="J109" i="31"/>
  <c r="K109" i="31" s="1"/>
  <c r="I109" i="31"/>
  <c r="M109" i="31" s="1"/>
  <c r="J108" i="31"/>
  <c r="K108" i="31" s="1"/>
  <c r="I108" i="31"/>
  <c r="M108" i="31" s="1"/>
  <c r="K107" i="31"/>
  <c r="J107" i="31"/>
  <c r="I107" i="31"/>
  <c r="M107" i="31" s="1"/>
  <c r="J106" i="31"/>
  <c r="K106" i="31" s="1"/>
  <c r="I106" i="31"/>
  <c r="M106" i="31" s="1"/>
  <c r="M105" i="31"/>
  <c r="J105" i="31"/>
  <c r="K105" i="31" s="1"/>
  <c r="I105" i="31"/>
  <c r="J104" i="31"/>
  <c r="K104" i="31" s="1"/>
  <c r="I104" i="31"/>
  <c r="M104" i="31" s="1"/>
  <c r="M103" i="31"/>
  <c r="K103" i="31"/>
  <c r="J103" i="31"/>
  <c r="I103" i="31"/>
  <c r="J102" i="31"/>
  <c r="K102" i="31" s="1"/>
  <c r="I102" i="31"/>
  <c r="M102" i="31" s="1"/>
  <c r="M101" i="31"/>
  <c r="K101" i="31"/>
  <c r="J101" i="31"/>
  <c r="I101" i="31"/>
  <c r="J100" i="31"/>
  <c r="K100" i="31" s="1"/>
  <c r="I100" i="31"/>
  <c r="M100" i="31" s="1"/>
  <c r="J99" i="31"/>
  <c r="K99" i="31" s="1"/>
  <c r="I99" i="31"/>
  <c r="M99" i="31" s="1"/>
  <c r="M98" i="31"/>
  <c r="J98" i="31"/>
  <c r="K98" i="31" s="1"/>
  <c r="I98" i="31"/>
  <c r="K97" i="31"/>
  <c r="J97" i="31"/>
  <c r="I97" i="31"/>
  <c r="M97" i="31" s="1"/>
  <c r="M96" i="31"/>
  <c r="J96" i="31"/>
  <c r="K96" i="31" s="1"/>
  <c r="I96" i="31"/>
  <c r="J95" i="31"/>
  <c r="K95" i="31" s="1"/>
  <c r="I95" i="31"/>
  <c r="M95" i="31" s="1"/>
  <c r="M94" i="31"/>
  <c r="J94" i="31"/>
  <c r="K94" i="31" s="1"/>
  <c r="I94" i="31"/>
  <c r="J93" i="31"/>
  <c r="K93" i="31" s="1"/>
  <c r="I93" i="31"/>
  <c r="M93" i="31" s="1"/>
  <c r="J92" i="31"/>
  <c r="K92" i="31" s="1"/>
  <c r="I92" i="31"/>
  <c r="M92" i="31" s="1"/>
  <c r="K91" i="31"/>
  <c r="J91" i="31"/>
  <c r="I91" i="31"/>
  <c r="M91" i="31" s="1"/>
  <c r="J90" i="31"/>
  <c r="K90" i="31" s="1"/>
  <c r="I90" i="31"/>
  <c r="M90" i="31" s="1"/>
  <c r="M89" i="31"/>
  <c r="J89" i="31"/>
  <c r="K89" i="31" s="1"/>
  <c r="I89" i="31"/>
  <c r="J88" i="31"/>
  <c r="K88" i="31" s="1"/>
  <c r="I88" i="31"/>
  <c r="M88" i="31" s="1"/>
  <c r="M87" i="31"/>
  <c r="K87" i="31"/>
  <c r="J87" i="31"/>
  <c r="I87" i="31"/>
  <c r="J86" i="31"/>
  <c r="K86" i="31" s="1"/>
  <c r="I86" i="31"/>
  <c r="M86" i="31" s="1"/>
  <c r="M85" i="31"/>
  <c r="K85" i="31"/>
  <c r="J85" i="31"/>
  <c r="I85" i="31"/>
  <c r="J84" i="31"/>
  <c r="K84" i="31" s="1"/>
  <c r="I84" i="31"/>
  <c r="M84" i="31" s="1"/>
  <c r="J83" i="31"/>
  <c r="K83" i="31" s="1"/>
  <c r="I83" i="31"/>
  <c r="M83" i="31" s="1"/>
  <c r="M82" i="31"/>
  <c r="J82" i="31"/>
  <c r="K82" i="31" s="1"/>
  <c r="I82" i="31"/>
  <c r="K81" i="31"/>
  <c r="J81" i="31"/>
  <c r="I81" i="31"/>
  <c r="M81" i="31" s="1"/>
  <c r="M80" i="31"/>
  <c r="J80" i="31"/>
  <c r="K80" i="31" s="1"/>
  <c r="I80" i="31"/>
  <c r="J79" i="31"/>
  <c r="K79" i="31" s="1"/>
  <c r="I79" i="31"/>
  <c r="M79" i="31" s="1"/>
  <c r="M78" i="31"/>
  <c r="J78" i="31"/>
  <c r="K78" i="31" s="1"/>
  <c r="I78" i="31"/>
  <c r="J77" i="31"/>
  <c r="K77" i="31" s="1"/>
  <c r="I77" i="31"/>
  <c r="M77" i="31" s="1"/>
  <c r="J76" i="31"/>
  <c r="K76" i="31" s="1"/>
  <c r="I76" i="31"/>
  <c r="M76" i="31" s="1"/>
  <c r="K75" i="31"/>
  <c r="J75" i="31"/>
  <c r="I75" i="31"/>
  <c r="M75" i="31" s="1"/>
  <c r="J74" i="31"/>
  <c r="K74" i="31" s="1"/>
  <c r="I74" i="31"/>
  <c r="M74" i="31" s="1"/>
  <c r="M73" i="31"/>
  <c r="J73" i="31"/>
  <c r="K73" i="31" s="1"/>
  <c r="I73" i="31"/>
  <c r="J72" i="31"/>
  <c r="K72" i="31" s="1"/>
  <c r="I72" i="31"/>
  <c r="M72" i="31" s="1"/>
  <c r="M71" i="31"/>
  <c r="K71" i="31"/>
  <c r="J71" i="31"/>
  <c r="I71" i="31"/>
  <c r="J70" i="31"/>
  <c r="K70" i="31" s="1"/>
  <c r="I70" i="31"/>
  <c r="M70" i="31" s="1"/>
  <c r="M69" i="31"/>
  <c r="K69" i="31"/>
  <c r="J69" i="31"/>
  <c r="I69" i="31"/>
  <c r="J68" i="31"/>
  <c r="K68" i="31" s="1"/>
  <c r="I68" i="31"/>
  <c r="M68" i="31" s="1"/>
  <c r="J67" i="31"/>
  <c r="K67" i="31" s="1"/>
  <c r="I67" i="31"/>
  <c r="M67" i="31" s="1"/>
  <c r="M66" i="31"/>
  <c r="J66" i="31"/>
  <c r="K66" i="31" s="1"/>
  <c r="I66" i="31"/>
  <c r="K65" i="31"/>
  <c r="J65" i="31"/>
  <c r="I65" i="31"/>
  <c r="M65" i="31" s="1"/>
  <c r="B65" i="31"/>
  <c r="J64" i="31"/>
  <c r="K64" i="31" s="1"/>
  <c r="I64" i="31"/>
  <c r="M64" i="31" s="1"/>
  <c r="B64" i="31"/>
  <c r="J63" i="31"/>
  <c r="K63" i="31" s="1"/>
  <c r="I63" i="31"/>
  <c r="M63" i="31" s="1"/>
  <c r="B63" i="31"/>
  <c r="J62" i="31"/>
  <c r="K62" i="31" s="1"/>
  <c r="I62" i="31"/>
  <c r="M62" i="31" s="1"/>
  <c r="B62" i="31"/>
  <c r="J61" i="31"/>
  <c r="K61" i="31" s="1"/>
  <c r="I61" i="31"/>
  <c r="M61" i="31" s="1"/>
  <c r="B61" i="31"/>
  <c r="M60" i="31"/>
  <c r="J60" i="31"/>
  <c r="K60" i="31" s="1"/>
  <c r="I60" i="31"/>
  <c r="B60" i="31"/>
  <c r="J59" i="31"/>
  <c r="K59" i="31" s="1"/>
  <c r="I59" i="31"/>
  <c r="M59" i="31" s="1"/>
  <c r="B59" i="31"/>
  <c r="K58" i="31"/>
  <c r="J58" i="31"/>
  <c r="I58" i="31"/>
  <c r="M58" i="31" s="1"/>
  <c r="B58" i="31"/>
  <c r="K57" i="31"/>
  <c r="J57" i="31"/>
  <c r="I57" i="31"/>
  <c r="M57" i="31" s="1"/>
  <c r="B57" i="31"/>
  <c r="J56" i="31"/>
  <c r="K56" i="31" s="1"/>
  <c r="I56" i="31"/>
  <c r="M56" i="31" s="1"/>
  <c r="B56" i="31"/>
  <c r="J55" i="31"/>
  <c r="K55" i="31" s="1"/>
  <c r="I55" i="31"/>
  <c r="M55" i="31" s="1"/>
  <c r="B55" i="31"/>
  <c r="J54" i="31"/>
  <c r="K54" i="31" s="1"/>
  <c r="I54" i="31"/>
  <c r="M54" i="31" s="1"/>
  <c r="B54" i="31"/>
  <c r="J53" i="31"/>
  <c r="K53" i="31" s="1"/>
  <c r="I53" i="31"/>
  <c r="M53" i="31" s="1"/>
  <c r="B53" i="31"/>
  <c r="M52" i="31"/>
  <c r="J52" i="31"/>
  <c r="K52" i="31" s="1"/>
  <c r="I52" i="31"/>
  <c r="B52" i="31"/>
  <c r="J51" i="31"/>
  <c r="K51" i="31" s="1"/>
  <c r="I51" i="31"/>
  <c r="M51" i="31" s="1"/>
  <c r="B51" i="31"/>
  <c r="K50" i="31"/>
  <c r="J50" i="31"/>
  <c r="I50" i="31"/>
  <c r="M50" i="31" s="1"/>
  <c r="B50" i="31"/>
  <c r="K49" i="31"/>
  <c r="J49" i="31"/>
  <c r="I49" i="31"/>
  <c r="M49" i="31" s="1"/>
  <c r="B49" i="31"/>
  <c r="J48" i="31"/>
  <c r="K48" i="31" s="1"/>
  <c r="I48" i="31"/>
  <c r="M48" i="31" s="1"/>
  <c r="B48" i="31"/>
  <c r="J47" i="31"/>
  <c r="K47" i="31" s="1"/>
  <c r="I47" i="31"/>
  <c r="M47" i="31" s="1"/>
  <c r="B47" i="31"/>
  <c r="T46" i="31"/>
  <c r="R46" i="31"/>
  <c r="U46" i="31" s="1"/>
  <c r="J46" i="31"/>
  <c r="K46" i="31" s="1"/>
  <c r="I46" i="31"/>
  <c r="M46" i="31" s="1"/>
  <c r="B46" i="31"/>
  <c r="J45" i="31"/>
  <c r="K45" i="31" s="1"/>
  <c r="I45" i="31"/>
  <c r="M45" i="31" s="1"/>
  <c r="B45" i="31"/>
  <c r="M44" i="31"/>
  <c r="J44" i="31"/>
  <c r="K44" i="31" s="1"/>
  <c r="I44" i="31"/>
  <c r="B44" i="31"/>
  <c r="M43" i="31"/>
  <c r="K43" i="31"/>
  <c r="J43" i="31"/>
  <c r="I43" i="31"/>
  <c r="B43" i="31"/>
  <c r="J42" i="31"/>
  <c r="K42" i="31" s="1"/>
  <c r="I42" i="31"/>
  <c r="M42" i="31" s="1"/>
  <c r="B42" i="31"/>
  <c r="J41" i="31"/>
  <c r="K41" i="31" s="1"/>
  <c r="I41" i="31"/>
  <c r="M41" i="31" s="1"/>
  <c r="B41" i="31"/>
  <c r="J40" i="31"/>
  <c r="K40" i="31" s="1"/>
  <c r="I40" i="31"/>
  <c r="M40" i="31" s="1"/>
  <c r="B40" i="31"/>
  <c r="K39" i="31"/>
  <c r="J39" i="31"/>
  <c r="I39" i="31"/>
  <c r="M39" i="31" s="1"/>
  <c r="B39" i="31"/>
  <c r="J38" i="31"/>
  <c r="K38" i="31" s="1"/>
  <c r="I38" i="31"/>
  <c r="M38" i="31" s="1"/>
  <c r="B38" i="31"/>
  <c r="J37" i="31"/>
  <c r="K37" i="31" s="1"/>
  <c r="I37" i="31"/>
  <c r="M37" i="31" s="1"/>
  <c r="A37" i="31" s="1"/>
  <c r="B37" i="31"/>
  <c r="K36" i="31"/>
  <c r="J36" i="31"/>
  <c r="I36" i="31"/>
  <c r="M36" i="31" s="1"/>
  <c r="A36" i="31" s="1"/>
  <c r="B36" i="31"/>
  <c r="J35" i="31"/>
  <c r="K35" i="31" s="1"/>
  <c r="I35" i="31"/>
  <c r="M35" i="31" s="1"/>
  <c r="A35" i="31" s="1"/>
  <c r="B35" i="31"/>
  <c r="J34" i="31"/>
  <c r="K34" i="31" s="1"/>
  <c r="I34" i="31"/>
  <c r="M34" i="31" s="1"/>
  <c r="A34" i="31" s="1"/>
  <c r="B34" i="31"/>
  <c r="J33" i="31"/>
  <c r="K33" i="31" s="1"/>
  <c r="I33" i="31"/>
  <c r="M33" i="31" s="1"/>
  <c r="A33" i="31" s="1"/>
  <c r="B33" i="31"/>
  <c r="K32" i="31"/>
  <c r="J32" i="31"/>
  <c r="I32" i="31"/>
  <c r="M32" i="31" s="1"/>
  <c r="A32" i="31" s="1"/>
  <c r="B32" i="31"/>
  <c r="J31" i="31"/>
  <c r="K31" i="31" s="1"/>
  <c r="I31" i="31"/>
  <c r="M31" i="31" s="1"/>
  <c r="A31" i="31" s="1"/>
  <c r="B31" i="31"/>
  <c r="J30" i="31"/>
  <c r="K30" i="31" s="1"/>
  <c r="I30" i="31"/>
  <c r="M30" i="31" s="1"/>
  <c r="A30" i="31" s="1"/>
  <c r="B30" i="31"/>
  <c r="J29" i="31"/>
  <c r="K29" i="31" s="1"/>
  <c r="I29" i="31"/>
  <c r="M29" i="31" s="1"/>
  <c r="A29" i="31" s="1"/>
  <c r="B29" i="31"/>
  <c r="K28" i="31"/>
  <c r="J28" i="31"/>
  <c r="I28" i="31"/>
  <c r="M28" i="31" s="1"/>
  <c r="A28" i="31" s="1"/>
  <c r="B28" i="31"/>
  <c r="J27" i="31"/>
  <c r="K27" i="31" s="1"/>
  <c r="I27" i="31"/>
  <c r="M27" i="31" s="1"/>
  <c r="A27" i="31" s="1"/>
  <c r="B27" i="31"/>
  <c r="J26" i="31"/>
  <c r="K26" i="31" s="1"/>
  <c r="I26" i="31"/>
  <c r="M26" i="31" s="1"/>
  <c r="A26" i="31" s="1"/>
  <c r="B26" i="31"/>
  <c r="J25" i="31"/>
  <c r="K25" i="31" s="1"/>
  <c r="I25" i="31"/>
  <c r="M25" i="31" s="1"/>
  <c r="A25" i="31" s="1"/>
  <c r="B25" i="31"/>
  <c r="K24" i="31"/>
  <c r="J24" i="31"/>
  <c r="I24" i="31"/>
  <c r="M24" i="31" s="1"/>
  <c r="A24" i="31" s="1"/>
  <c r="B24" i="31"/>
  <c r="J23" i="31"/>
  <c r="K23" i="31" s="1"/>
  <c r="I23" i="31"/>
  <c r="M23" i="31" s="1"/>
  <c r="A23" i="31" s="1"/>
  <c r="B23" i="31"/>
  <c r="J22" i="31"/>
  <c r="K22" i="31" s="1"/>
  <c r="I22" i="31"/>
  <c r="M22" i="31" s="1"/>
  <c r="A22" i="31" s="1"/>
  <c r="B22" i="31"/>
  <c r="J21" i="31"/>
  <c r="K21" i="31" s="1"/>
  <c r="I21" i="31"/>
  <c r="M21" i="31" s="1"/>
  <c r="A21" i="31" s="1"/>
  <c r="B21" i="31"/>
  <c r="K20" i="31"/>
  <c r="J20" i="31"/>
  <c r="I20" i="31"/>
  <c r="M20" i="31" s="1"/>
  <c r="A20" i="31" s="1"/>
  <c r="B20" i="31"/>
  <c r="J19" i="31"/>
  <c r="K19" i="31" s="1"/>
  <c r="I19" i="31"/>
  <c r="M19" i="31" s="1"/>
  <c r="A19" i="31" s="1"/>
  <c r="B19" i="31"/>
  <c r="J18" i="31"/>
  <c r="K18" i="31" s="1"/>
  <c r="I18" i="31"/>
  <c r="M18" i="31" s="1"/>
  <c r="A18" i="31" s="1"/>
  <c r="B18" i="31"/>
  <c r="J17" i="31"/>
  <c r="K17" i="31" s="1"/>
  <c r="I17" i="31"/>
  <c r="M17" i="31" s="1"/>
  <c r="A17" i="31" s="1"/>
  <c r="B17" i="31"/>
  <c r="J16" i="31"/>
  <c r="K16" i="31" s="1"/>
  <c r="I16" i="31"/>
  <c r="M16" i="31" s="1"/>
  <c r="A16" i="31" s="1"/>
  <c r="B16" i="31"/>
  <c r="J15" i="31"/>
  <c r="K15" i="31" s="1"/>
  <c r="I15" i="31"/>
  <c r="M15" i="31" s="1"/>
  <c r="A15" i="31" s="1"/>
  <c r="B15" i="31"/>
  <c r="AI14" i="31"/>
  <c r="J14" i="31"/>
  <c r="K14" i="31" s="1"/>
  <c r="I14" i="31"/>
  <c r="M14" i="31" s="1"/>
  <c r="A14" i="31" s="1"/>
  <c r="B14" i="31"/>
  <c r="AI13" i="31"/>
  <c r="M13" i="31"/>
  <c r="A13" i="31" s="1"/>
  <c r="J13" i="31"/>
  <c r="K13" i="31" s="1"/>
  <c r="I13" i="31"/>
  <c r="B13" i="31"/>
  <c r="AI12" i="31"/>
  <c r="AI16" i="31" s="1"/>
  <c r="J12" i="31"/>
  <c r="K12" i="31" s="1"/>
  <c r="I12" i="31"/>
  <c r="M12" i="31" s="1"/>
  <c r="A12" i="31" s="1"/>
  <c r="B12" i="31"/>
  <c r="J11" i="31"/>
  <c r="K11" i="31" s="1"/>
  <c r="I11" i="31"/>
  <c r="M11" i="31" s="1"/>
  <c r="A11" i="31" s="1"/>
  <c r="B11" i="31"/>
  <c r="K10" i="31"/>
  <c r="J10" i="31"/>
  <c r="I10" i="31"/>
  <c r="M10" i="31" s="1"/>
  <c r="A10" i="31" s="1"/>
  <c r="B10" i="31"/>
  <c r="J9" i="31"/>
  <c r="K9" i="31" s="1"/>
  <c r="I9" i="31"/>
  <c r="M9" i="31" s="1"/>
  <c r="A9" i="31" s="1"/>
  <c r="B9" i="31"/>
  <c r="J8" i="31"/>
  <c r="K8" i="31" s="1"/>
  <c r="I8" i="31"/>
  <c r="M8" i="31" s="1"/>
  <c r="M16" i="20"/>
  <c r="N16" i="20" s="1"/>
  <c r="J7" i="31"/>
  <c r="K7" i="31" s="1"/>
  <c r="I7" i="31"/>
  <c r="K6" i="31"/>
  <c r="J6" i="31"/>
  <c r="I6" i="31"/>
  <c r="M9" i="20"/>
  <c r="K2" i="31"/>
  <c r="L6" i="31" s="1"/>
  <c r="M6" i="31" s="1"/>
  <c r="A6" i="31" s="1"/>
  <c r="J305" i="30"/>
  <c r="K305" i="30" s="1"/>
  <c r="I305" i="30"/>
  <c r="M305" i="30" s="1"/>
  <c r="J304" i="30"/>
  <c r="K304" i="30" s="1"/>
  <c r="I304" i="30"/>
  <c r="M304" i="30" s="1"/>
  <c r="J303" i="30"/>
  <c r="K303" i="30" s="1"/>
  <c r="I303" i="30"/>
  <c r="M303" i="30" s="1"/>
  <c r="J302" i="30"/>
  <c r="K302" i="30" s="1"/>
  <c r="I302" i="30"/>
  <c r="M302" i="30" s="1"/>
  <c r="J301" i="30"/>
  <c r="K301" i="30" s="1"/>
  <c r="I301" i="30"/>
  <c r="M301" i="30" s="1"/>
  <c r="J300" i="30"/>
  <c r="K300" i="30" s="1"/>
  <c r="I300" i="30"/>
  <c r="M300" i="30" s="1"/>
  <c r="J299" i="30"/>
  <c r="K299" i="30" s="1"/>
  <c r="I299" i="30"/>
  <c r="M299" i="30" s="1"/>
  <c r="J298" i="30"/>
  <c r="K298" i="30" s="1"/>
  <c r="I298" i="30"/>
  <c r="M298" i="30" s="1"/>
  <c r="J297" i="30"/>
  <c r="K297" i="30" s="1"/>
  <c r="I297" i="30"/>
  <c r="M297" i="30" s="1"/>
  <c r="J296" i="30"/>
  <c r="K296" i="30" s="1"/>
  <c r="I296" i="30"/>
  <c r="M296" i="30" s="1"/>
  <c r="J295" i="30"/>
  <c r="K295" i="30" s="1"/>
  <c r="I295" i="30"/>
  <c r="M295" i="30" s="1"/>
  <c r="J294" i="30"/>
  <c r="K294" i="30" s="1"/>
  <c r="I294" i="30"/>
  <c r="M294" i="30" s="1"/>
  <c r="J293" i="30"/>
  <c r="K293" i="30" s="1"/>
  <c r="I293" i="30"/>
  <c r="M293" i="30" s="1"/>
  <c r="J292" i="30"/>
  <c r="K292" i="30" s="1"/>
  <c r="I292" i="30"/>
  <c r="M292" i="30" s="1"/>
  <c r="J291" i="30"/>
  <c r="K291" i="30" s="1"/>
  <c r="I291" i="30"/>
  <c r="M291" i="30" s="1"/>
  <c r="J290" i="30"/>
  <c r="K290" i="30" s="1"/>
  <c r="I290" i="30"/>
  <c r="M290" i="30" s="1"/>
  <c r="J289" i="30"/>
  <c r="K289" i="30" s="1"/>
  <c r="I289" i="30"/>
  <c r="M289" i="30" s="1"/>
  <c r="J288" i="30"/>
  <c r="K288" i="30" s="1"/>
  <c r="I288" i="30"/>
  <c r="M288" i="30" s="1"/>
  <c r="J287" i="30"/>
  <c r="K287" i="30" s="1"/>
  <c r="I287" i="30"/>
  <c r="M287" i="30" s="1"/>
  <c r="J286" i="30"/>
  <c r="K286" i="30" s="1"/>
  <c r="I286" i="30"/>
  <c r="M286" i="30" s="1"/>
  <c r="J285" i="30"/>
  <c r="K285" i="30" s="1"/>
  <c r="I285" i="30"/>
  <c r="M285" i="30" s="1"/>
  <c r="J284" i="30"/>
  <c r="K284" i="30" s="1"/>
  <c r="I284" i="30"/>
  <c r="M284" i="30" s="1"/>
  <c r="J283" i="30"/>
  <c r="K283" i="30" s="1"/>
  <c r="I283" i="30"/>
  <c r="M283" i="30" s="1"/>
  <c r="J282" i="30"/>
  <c r="K282" i="30" s="1"/>
  <c r="I282" i="30"/>
  <c r="M282" i="30" s="1"/>
  <c r="J281" i="30"/>
  <c r="K281" i="30" s="1"/>
  <c r="I281" i="30"/>
  <c r="M281" i="30" s="1"/>
  <c r="J280" i="30"/>
  <c r="K280" i="30" s="1"/>
  <c r="I280" i="30"/>
  <c r="M280" i="30" s="1"/>
  <c r="J279" i="30"/>
  <c r="K279" i="30" s="1"/>
  <c r="I279" i="30"/>
  <c r="M279" i="30" s="1"/>
  <c r="J278" i="30"/>
  <c r="K278" i="30" s="1"/>
  <c r="I278" i="30"/>
  <c r="M278" i="30" s="1"/>
  <c r="J277" i="30"/>
  <c r="K277" i="30" s="1"/>
  <c r="I277" i="30"/>
  <c r="M277" i="30" s="1"/>
  <c r="M276" i="30"/>
  <c r="J276" i="30"/>
  <c r="K276" i="30" s="1"/>
  <c r="I276" i="30"/>
  <c r="J275" i="30"/>
  <c r="K275" i="30" s="1"/>
  <c r="I275" i="30"/>
  <c r="M275" i="30" s="1"/>
  <c r="J274" i="30"/>
  <c r="K274" i="30" s="1"/>
  <c r="I274" i="30"/>
  <c r="M274" i="30" s="1"/>
  <c r="J273" i="30"/>
  <c r="K273" i="30" s="1"/>
  <c r="I273" i="30"/>
  <c r="M273" i="30" s="1"/>
  <c r="J272" i="30"/>
  <c r="K272" i="30" s="1"/>
  <c r="I272" i="30"/>
  <c r="M272" i="30" s="1"/>
  <c r="J271" i="30"/>
  <c r="K271" i="30" s="1"/>
  <c r="I271" i="30"/>
  <c r="M271" i="30" s="1"/>
  <c r="J270" i="30"/>
  <c r="K270" i="30" s="1"/>
  <c r="I270" i="30"/>
  <c r="M270" i="30" s="1"/>
  <c r="J269" i="30"/>
  <c r="K269" i="30" s="1"/>
  <c r="I269" i="30"/>
  <c r="M269" i="30" s="1"/>
  <c r="J268" i="30"/>
  <c r="K268" i="30" s="1"/>
  <c r="I268" i="30"/>
  <c r="M268" i="30" s="1"/>
  <c r="J267" i="30"/>
  <c r="K267" i="30" s="1"/>
  <c r="I267" i="30"/>
  <c r="M267" i="30" s="1"/>
  <c r="J266" i="30"/>
  <c r="K266" i="30" s="1"/>
  <c r="I266" i="30"/>
  <c r="M266" i="30" s="1"/>
  <c r="J265" i="30"/>
  <c r="K265" i="30" s="1"/>
  <c r="I265" i="30"/>
  <c r="M265" i="30" s="1"/>
  <c r="J264" i="30"/>
  <c r="K264" i="30" s="1"/>
  <c r="I264" i="30"/>
  <c r="M264" i="30" s="1"/>
  <c r="J263" i="30"/>
  <c r="K263" i="30" s="1"/>
  <c r="I263" i="30"/>
  <c r="M263" i="30" s="1"/>
  <c r="M262" i="30"/>
  <c r="J262" i="30"/>
  <c r="K262" i="30" s="1"/>
  <c r="I262" i="30"/>
  <c r="J261" i="30"/>
  <c r="K261" i="30" s="1"/>
  <c r="I261" i="30"/>
  <c r="M261" i="30" s="1"/>
  <c r="J260" i="30"/>
  <c r="K260" i="30" s="1"/>
  <c r="I260" i="30"/>
  <c r="M260" i="30" s="1"/>
  <c r="J259" i="30"/>
  <c r="K259" i="30" s="1"/>
  <c r="I259" i="30"/>
  <c r="M259" i="30" s="1"/>
  <c r="J258" i="30"/>
  <c r="K258" i="30" s="1"/>
  <c r="I258" i="30"/>
  <c r="M258" i="30" s="1"/>
  <c r="J257" i="30"/>
  <c r="K257" i="30" s="1"/>
  <c r="I257" i="30"/>
  <c r="M257" i="30" s="1"/>
  <c r="J256" i="30"/>
  <c r="K256" i="30" s="1"/>
  <c r="I256" i="30"/>
  <c r="M256" i="30" s="1"/>
  <c r="J255" i="30"/>
  <c r="K255" i="30" s="1"/>
  <c r="I255" i="30"/>
  <c r="M255" i="30" s="1"/>
  <c r="J254" i="30"/>
  <c r="K254" i="30" s="1"/>
  <c r="I254" i="30"/>
  <c r="M254" i="30" s="1"/>
  <c r="J253" i="30"/>
  <c r="K253" i="30" s="1"/>
  <c r="I253" i="30"/>
  <c r="M253" i="30" s="1"/>
  <c r="J252" i="30"/>
  <c r="K252" i="30" s="1"/>
  <c r="I252" i="30"/>
  <c r="M252" i="30" s="1"/>
  <c r="J251" i="30"/>
  <c r="K251" i="30" s="1"/>
  <c r="I251" i="30"/>
  <c r="M251" i="30" s="1"/>
  <c r="K250" i="30"/>
  <c r="J250" i="30"/>
  <c r="I250" i="30"/>
  <c r="M250" i="30" s="1"/>
  <c r="J249" i="30"/>
  <c r="K249" i="30" s="1"/>
  <c r="I249" i="30"/>
  <c r="M249" i="30" s="1"/>
  <c r="J248" i="30"/>
  <c r="K248" i="30" s="1"/>
  <c r="I248" i="30"/>
  <c r="M248" i="30" s="1"/>
  <c r="J247" i="30"/>
  <c r="K247" i="30" s="1"/>
  <c r="I247" i="30"/>
  <c r="M247" i="30" s="1"/>
  <c r="M246" i="30"/>
  <c r="J246" i="30"/>
  <c r="K246" i="30" s="1"/>
  <c r="I246" i="30"/>
  <c r="J245" i="30"/>
  <c r="K245" i="30" s="1"/>
  <c r="I245" i="30"/>
  <c r="M245" i="30" s="1"/>
  <c r="M244" i="30"/>
  <c r="J244" i="30"/>
  <c r="K244" i="30" s="1"/>
  <c r="I244" i="30"/>
  <c r="J243" i="30"/>
  <c r="K243" i="30" s="1"/>
  <c r="I243" i="30"/>
  <c r="M243" i="30" s="1"/>
  <c r="J242" i="30"/>
  <c r="K242" i="30" s="1"/>
  <c r="I242" i="30"/>
  <c r="M242" i="30" s="1"/>
  <c r="J241" i="30"/>
  <c r="K241" i="30" s="1"/>
  <c r="I241" i="30"/>
  <c r="M241" i="30" s="1"/>
  <c r="J240" i="30"/>
  <c r="K240" i="30" s="1"/>
  <c r="I240" i="30"/>
  <c r="M240" i="30" s="1"/>
  <c r="J239" i="30"/>
  <c r="K239" i="30" s="1"/>
  <c r="I239" i="30"/>
  <c r="M239" i="30" s="1"/>
  <c r="J238" i="30"/>
  <c r="K238" i="30" s="1"/>
  <c r="I238" i="30"/>
  <c r="M238" i="30" s="1"/>
  <c r="J237" i="30"/>
  <c r="K237" i="30" s="1"/>
  <c r="I237" i="30"/>
  <c r="M237" i="30" s="1"/>
  <c r="J236" i="30"/>
  <c r="K236" i="30" s="1"/>
  <c r="I236" i="30"/>
  <c r="M236" i="30" s="1"/>
  <c r="J235" i="30"/>
  <c r="K235" i="30" s="1"/>
  <c r="I235" i="30"/>
  <c r="M235" i="30" s="1"/>
  <c r="J234" i="30"/>
  <c r="K234" i="30" s="1"/>
  <c r="I234" i="30"/>
  <c r="M234" i="30" s="1"/>
  <c r="J233" i="30"/>
  <c r="K233" i="30" s="1"/>
  <c r="I233" i="30"/>
  <c r="M233" i="30" s="1"/>
  <c r="J232" i="30"/>
  <c r="K232" i="30" s="1"/>
  <c r="I232" i="30"/>
  <c r="M232" i="30" s="1"/>
  <c r="J231" i="30"/>
  <c r="K231" i="30" s="1"/>
  <c r="I231" i="30"/>
  <c r="M231" i="30" s="1"/>
  <c r="M230" i="30"/>
  <c r="J230" i="30"/>
  <c r="K230" i="30" s="1"/>
  <c r="I230" i="30"/>
  <c r="J229" i="30"/>
  <c r="K229" i="30" s="1"/>
  <c r="I229" i="30"/>
  <c r="M229" i="30" s="1"/>
  <c r="J228" i="30"/>
  <c r="K228" i="30" s="1"/>
  <c r="I228" i="30"/>
  <c r="M228" i="30" s="1"/>
  <c r="J227" i="30"/>
  <c r="K227" i="30" s="1"/>
  <c r="I227" i="30"/>
  <c r="M227" i="30" s="1"/>
  <c r="J226" i="30"/>
  <c r="K226" i="30" s="1"/>
  <c r="I226" i="30"/>
  <c r="M226" i="30" s="1"/>
  <c r="J225" i="30"/>
  <c r="K225" i="30" s="1"/>
  <c r="I225" i="30"/>
  <c r="M225" i="30" s="1"/>
  <c r="J224" i="30"/>
  <c r="K224" i="30" s="1"/>
  <c r="I224" i="30"/>
  <c r="M224" i="30" s="1"/>
  <c r="J223" i="30"/>
  <c r="K223" i="30" s="1"/>
  <c r="I223" i="30"/>
  <c r="M223" i="30" s="1"/>
  <c r="J222" i="30"/>
  <c r="K222" i="30" s="1"/>
  <c r="I222" i="30"/>
  <c r="M222" i="30" s="1"/>
  <c r="J221" i="30"/>
  <c r="K221" i="30" s="1"/>
  <c r="I221" i="30"/>
  <c r="M221" i="30" s="1"/>
  <c r="J220" i="30"/>
  <c r="K220" i="30" s="1"/>
  <c r="I220" i="30"/>
  <c r="M220" i="30" s="1"/>
  <c r="J219" i="30"/>
  <c r="K219" i="30" s="1"/>
  <c r="I219" i="30"/>
  <c r="M219" i="30" s="1"/>
  <c r="K218" i="30"/>
  <c r="J218" i="30"/>
  <c r="I218" i="30"/>
  <c r="M218" i="30" s="1"/>
  <c r="J217" i="30"/>
  <c r="K217" i="30" s="1"/>
  <c r="I217" i="30"/>
  <c r="M217" i="30" s="1"/>
  <c r="J216" i="30"/>
  <c r="K216" i="30" s="1"/>
  <c r="I216" i="30"/>
  <c r="M216" i="30" s="1"/>
  <c r="J215" i="30"/>
  <c r="K215" i="30" s="1"/>
  <c r="I215" i="30"/>
  <c r="M215" i="30" s="1"/>
  <c r="J214" i="30"/>
  <c r="K214" i="30" s="1"/>
  <c r="I214" i="30"/>
  <c r="M214" i="30" s="1"/>
  <c r="J213" i="30"/>
  <c r="K213" i="30" s="1"/>
  <c r="I213" i="30"/>
  <c r="M213" i="30" s="1"/>
  <c r="M212" i="30"/>
  <c r="J212" i="30"/>
  <c r="K212" i="30" s="1"/>
  <c r="I212" i="30"/>
  <c r="J211" i="30"/>
  <c r="K211" i="30" s="1"/>
  <c r="I211" i="30"/>
  <c r="M211" i="30" s="1"/>
  <c r="J210" i="30"/>
  <c r="K210" i="30" s="1"/>
  <c r="I210" i="30"/>
  <c r="M210" i="30" s="1"/>
  <c r="J209" i="30"/>
  <c r="K209" i="30" s="1"/>
  <c r="I209" i="30"/>
  <c r="M209" i="30" s="1"/>
  <c r="J208" i="30"/>
  <c r="K208" i="30" s="1"/>
  <c r="I208" i="30"/>
  <c r="M208" i="30" s="1"/>
  <c r="J207" i="30"/>
  <c r="K207" i="30" s="1"/>
  <c r="I207" i="30"/>
  <c r="M207" i="30" s="1"/>
  <c r="J206" i="30"/>
  <c r="K206" i="30" s="1"/>
  <c r="I206" i="30"/>
  <c r="M206" i="30" s="1"/>
  <c r="J205" i="30"/>
  <c r="K205" i="30" s="1"/>
  <c r="I205" i="30"/>
  <c r="M205" i="30" s="1"/>
  <c r="J204" i="30"/>
  <c r="K204" i="30" s="1"/>
  <c r="I204" i="30"/>
  <c r="M204" i="30" s="1"/>
  <c r="J203" i="30"/>
  <c r="K203" i="30" s="1"/>
  <c r="I203" i="30"/>
  <c r="M203" i="30" s="1"/>
  <c r="J202" i="30"/>
  <c r="K202" i="30" s="1"/>
  <c r="I202" i="30"/>
  <c r="M202" i="30" s="1"/>
  <c r="J201" i="30"/>
  <c r="K201" i="30" s="1"/>
  <c r="I201" i="30"/>
  <c r="M201" i="30" s="1"/>
  <c r="J200" i="30"/>
  <c r="K200" i="30" s="1"/>
  <c r="I200" i="30"/>
  <c r="M200" i="30" s="1"/>
  <c r="J199" i="30"/>
  <c r="K199" i="30" s="1"/>
  <c r="I199" i="30"/>
  <c r="M199" i="30" s="1"/>
  <c r="M198" i="30"/>
  <c r="J198" i="30"/>
  <c r="K198" i="30" s="1"/>
  <c r="I198" i="30"/>
  <c r="J197" i="30"/>
  <c r="K197" i="30" s="1"/>
  <c r="I197" i="30"/>
  <c r="M197" i="30" s="1"/>
  <c r="J196" i="30"/>
  <c r="K196" i="30" s="1"/>
  <c r="I196" i="30"/>
  <c r="M196" i="30" s="1"/>
  <c r="J195" i="30"/>
  <c r="K195" i="30" s="1"/>
  <c r="I195" i="30"/>
  <c r="M195" i="30" s="1"/>
  <c r="J194" i="30"/>
  <c r="K194" i="30" s="1"/>
  <c r="I194" i="30"/>
  <c r="M194" i="30" s="1"/>
  <c r="J193" i="30"/>
  <c r="K193" i="30" s="1"/>
  <c r="I193" i="30"/>
  <c r="M193" i="30" s="1"/>
  <c r="J192" i="30"/>
  <c r="K192" i="30" s="1"/>
  <c r="I192" i="30"/>
  <c r="M192" i="30" s="1"/>
  <c r="J191" i="30"/>
  <c r="K191" i="30" s="1"/>
  <c r="I191" i="30"/>
  <c r="M191" i="30" s="1"/>
  <c r="J190" i="30"/>
  <c r="K190" i="30" s="1"/>
  <c r="I190" i="30"/>
  <c r="M190" i="30" s="1"/>
  <c r="J189" i="30"/>
  <c r="K189" i="30" s="1"/>
  <c r="I189" i="30"/>
  <c r="M189" i="30" s="1"/>
  <c r="J188" i="30"/>
  <c r="K188" i="30" s="1"/>
  <c r="I188" i="30"/>
  <c r="M188" i="30" s="1"/>
  <c r="J187" i="30"/>
  <c r="K187" i="30" s="1"/>
  <c r="I187" i="30"/>
  <c r="M187" i="30" s="1"/>
  <c r="K186" i="30"/>
  <c r="J186" i="30"/>
  <c r="I186" i="30"/>
  <c r="M186" i="30" s="1"/>
  <c r="J185" i="30"/>
  <c r="K185" i="30" s="1"/>
  <c r="I185" i="30"/>
  <c r="M185" i="30" s="1"/>
  <c r="J184" i="30"/>
  <c r="K184" i="30" s="1"/>
  <c r="I184" i="30"/>
  <c r="M184" i="30" s="1"/>
  <c r="J183" i="30"/>
  <c r="K183" i="30" s="1"/>
  <c r="I183" i="30"/>
  <c r="M183" i="30" s="1"/>
  <c r="M182" i="30"/>
  <c r="J182" i="30"/>
  <c r="K182" i="30" s="1"/>
  <c r="I182" i="30"/>
  <c r="J181" i="30"/>
  <c r="K181" i="30" s="1"/>
  <c r="I181" i="30"/>
  <c r="M181" i="30" s="1"/>
  <c r="M180" i="30"/>
  <c r="J180" i="30"/>
  <c r="K180" i="30" s="1"/>
  <c r="I180" i="30"/>
  <c r="J179" i="30"/>
  <c r="K179" i="30" s="1"/>
  <c r="I179" i="30"/>
  <c r="M179" i="30" s="1"/>
  <c r="J178" i="30"/>
  <c r="K178" i="30" s="1"/>
  <c r="I178" i="30"/>
  <c r="M178" i="30" s="1"/>
  <c r="J177" i="30"/>
  <c r="K177" i="30" s="1"/>
  <c r="I177" i="30"/>
  <c r="M177" i="30" s="1"/>
  <c r="J176" i="30"/>
  <c r="K176" i="30" s="1"/>
  <c r="I176" i="30"/>
  <c r="M176" i="30" s="1"/>
  <c r="J175" i="30"/>
  <c r="K175" i="30" s="1"/>
  <c r="I175" i="30"/>
  <c r="M175" i="30" s="1"/>
  <c r="J174" i="30"/>
  <c r="K174" i="30" s="1"/>
  <c r="I174" i="30"/>
  <c r="M174" i="30" s="1"/>
  <c r="J173" i="30"/>
  <c r="K173" i="30" s="1"/>
  <c r="I173" i="30"/>
  <c r="M173" i="30" s="1"/>
  <c r="J172" i="30"/>
  <c r="K172" i="30" s="1"/>
  <c r="I172" i="30"/>
  <c r="M172" i="30" s="1"/>
  <c r="J171" i="30"/>
  <c r="K171" i="30" s="1"/>
  <c r="I171" i="30"/>
  <c r="M171" i="30" s="1"/>
  <c r="J170" i="30"/>
  <c r="K170" i="30" s="1"/>
  <c r="I170" i="30"/>
  <c r="M170" i="30" s="1"/>
  <c r="J169" i="30"/>
  <c r="K169" i="30" s="1"/>
  <c r="I169" i="30"/>
  <c r="M169" i="30" s="1"/>
  <c r="J168" i="30"/>
  <c r="K168" i="30" s="1"/>
  <c r="I168" i="30"/>
  <c r="M168" i="30" s="1"/>
  <c r="J167" i="30"/>
  <c r="K167" i="30" s="1"/>
  <c r="I167" i="30"/>
  <c r="M167" i="30" s="1"/>
  <c r="M166" i="30"/>
  <c r="J166" i="30"/>
  <c r="K166" i="30" s="1"/>
  <c r="I166" i="30"/>
  <c r="J165" i="30"/>
  <c r="K165" i="30" s="1"/>
  <c r="I165" i="30"/>
  <c r="M165" i="30" s="1"/>
  <c r="J164" i="30"/>
  <c r="K164" i="30" s="1"/>
  <c r="I164" i="30"/>
  <c r="M164" i="30" s="1"/>
  <c r="J163" i="30"/>
  <c r="K163" i="30" s="1"/>
  <c r="I163" i="30"/>
  <c r="M163" i="30" s="1"/>
  <c r="J162" i="30"/>
  <c r="K162" i="30" s="1"/>
  <c r="I162" i="30"/>
  <c r="M162" i="30" s="1"/>
  <c r="J161" i="30"/>
  <c r="K161" i="30" s="1"/>
  <c r="I161" i="30"/>
  <c r="M161" i="30" s="1"/>
  <c r="J160" i="30"/>
  <c r="K160" i="30" s="1"/>
  <c r="I160" i="30"/>
  <c r="M160" i="30" s="1"/>
  <c r="J159" i="30"/>
  <c r="K159" i="30" s="1"/>
  <c r="I159" i="30"/>
  <c r="M159" i="30" s="1"/>
  <c r="J158" i="30"/>
  <c r="K158" i="30" s="1"/>
  <c r="I158" i="30"/>
  <c r="M158" i="30" s="1"/>
  <c r="J157" i="30"/>
  <c r="K157" i="30" s="1"/>
  <c r="I157" i="30"/>
  <c r="M157" i="30" s="1"/>
  <c r="J156" i="30"/>
  <c r="K156" i="30" s="1"/>
  <c r="I156" i="30"/>
  <c r="M156" i="30" s="1"/>
  <c r="J155" i="30"/>
  <c r="K155" i="30" s="1"/>
  <c r="I155" i="30"/>
  <c r="M155" i="30" s="1"/>
  <c r="K154" i="30"/>
  <c r="J154" i="30"/>
  <c r="I154" i="30"/>
  <c r="M154" i="30" s="1"/>
  <c r="J153" i="30"/>
  <c r="K153" i="30" s="1"/>
  <c r="I153" i="30"/>
  <c r="M153" i="30" s="1"/>
  <c r="J152" i="30"/>
  <c r="K152" i="30" s="1"/>
  <c r="I152" i="30"/>
  <c r="M152" i="30" s="1"/>
  <c r="J151" i="30"/>
  <c r="K151" i="30" s="1"/>
  <c r="I151" i="30"/>
  <c r="M151" i="30" s="1"/>
  <c r="M150" i="30"/>
  <c r="J150" i="30"/>
  <c r="K150" i="30" s="1"/>
  <c r="I150" i="30"/>
  <c r="J149" i="30"/>
  <c r="K149" i="30" s="1"/>
  <c r="I149" i="30"/>
  <c r="M149" i="30" s="1"/>
  <c r="M148" i="30"/>
  <c r="J148" i="30"/>
  <c r="K148" i="30" s="1"/>
  <c r="I148" i="30"/>
  <c r="J147" i="30"/>
  <c r="K147" i="30" s="1"/>
  <c r="I147" i="30"/>
  <c r="M147" i="30" s="1"/>
  <c r="J146" i="30"/>
  <c r="K146" i="30" s="1"/>
  <c r="I146" i="30"/>
  <c r="M146" i="30" s="1"/>
  <c r="J145" i="30"/>
  <c r="K145" i="30" s="1"/>
  <c r="I145" i="30"/>
  <c r="M145" i="30" s="1"/>
  <c r="J144" i="30"/>
  <c r="K144" i="30" s="1"/>
  <c r="I144" i="30"/>
  <c r="M144" i="30" s="1"/>
  <c r="J143" i="30"/>
  <c r="K143" i="30" s="1"/>
  <c r="I143" i="30"/>
  <c r="M143" i="30" s="1"/>
  <c r="J142" i="30"/>
  <c r="K142" i="30" s="1"/>
  <c r="I142" i="30"/>
  <c r="M142" i="30" s="1"/>
  <c r="J141" i="30"/>
  <c r="K141" i="30" s="1"/>
  <c r="I141" i="30"/>
  <c r="M141" i="30" s="1"/>
  <c r="J140" i="30"/>
  <c r="K140" i="30" s="1"/>
  <c r="I140" i="30"/>
  <c r="M140" i="30" s="1"/>
  <c r="J139" i="30"/>
  <c r="K139" i="30" s="1"/>
  <c r="I139" i="30"/>
  <c r="M139" i="30" s="1"/>
  <c r="J138" i="30"/>
  <c r="K138" i="30" s="1"/>
  <c r="I138" i="30"/>
  <c r="M138" i="30" s="1"/>
  <c r="J137" i="30"/>
  <c r="K137" i="30" s="1"/>
  <c r="I137" i="30"/>
  <c r="M137" i="30" s="1"/>
  <c r="J136" i="30"/>
  <c r="K136" i="30" s="1"/>
  <c r="I136" i="30"/>
  <c r="M136" i="30" s="1"/>
  <c r="J135" i="30"/>
  <c r="K135" i="30" s="1"/>
  <c r="I135" i="30"/>
  <c r="M135" i="30" s="1"/>
  <c r="J134" i="30"/>
  <c r="K134" i="30" s="1"/>
  <c r="I134" i="30"/>
  <c r="M134" i="30" s="1"/>
  <c r="J133" i="30"/>
  <c r="K133" i="30" s="1"/>
  <c r="I133" i="30"/>
  <c r="M133" i="30" s="1"/>
  <c r="J132" i="30"/>
  <c r="K132" i="30" s="1"/>
  <c r="I132" i="30"/>
  <c r="M132" i="30" s="1"/>
  <c r="J131" i="30"/>
  <c r="K131" i="30" s="1"/>
  <c r="I131" i="30"/>
  <c r="M131" i="30" s="1"/>
  <c r="J130" i="30"/>
  <c r="K130" i="30" s="1"/>
  <c r="I130" i="30"/>
  <c r="M130" i="30" s="1"/>
  <c r="J129" i="30"/>
  <c r="K129" i="30" s="1"/>
  <c r="I129" i="30"/>
  <c r="M129" i="30" s="1"/>
  <c r="J128" i="30"/>
  <c r="K128" i="30" s="1"/>
  <c r="I128" i="30"/>
  <c r="M128" i="30" s="1"/>
  <c r="M127" i="30"/>
  <c r="J127" i="30"/>
  <c r="K127" i="30" s="1"/>
  <c r="I127" i="30"/>
  <c r="J126" i="30"/>
  <c r="K126" i="30" s="1"/>
  <c r="I126" i="30"/>
  <c r="M126" i="30" s="1"/>
  <c r="J125" i="30"/>
  <c r="K125" i="30" s="1"/>
  <c r="I125" i="30"/>
  <c r="M125" i="30" s="1"/>
  <c r="J124" i="30"/>
  <c r="K124" i="30" s="1"/>
  <c r="I124" i="30"/>
  <c r="M124" i="30" s="1"/>
  <c r="K123" i="30"/>
  <c r="J123" i="30"/>
  <c r="I123" i="30"/>
  <c r="M123" i="30" s="1"/>
  <c r="J122" i="30"/>
  <c r="K122" i="30" s="1"/>
  <c r="I122" i="30"/>
  <c r="M122" i="30" s="1"/>
  <c r="J121" i="30"/>
  <c r="K121" i="30" s="1"/>
  <c r="I121" i="30"/>
  <c r="M121" i="30" s="1"/>
  <c r="J120" i="30"/>
  <c r="K120" i="30" s="1"/>
  <c r="I120" i="30"/>
  <c r="M120" i="30" s="1"/>
  <c r="K119" i="30"/>
  <c r="J119" i="30"/>
  <c r="I119" i="30"/>
  <c r="M119" i="30" s="1"/>
  <c r="J118" i="30"/>
  <c r="K118" i="30" s="1"/>
  <c r="I118" i="30"/>
  <c r="M118" i="30" s="1"/>
  <c r="J117" i="30"/>
  <c r="K117" i="30" s="1"/>
  <c r="I117" i="30"/>
  <c r="M117" i="30" s="1"/>
  <c r="J116" i="30"/>
  <c r="K116" i="30" s="1"/>
  <c r="I116" i="30"/>
  <c r="M116" i="30" s="1"/>
  <c r="J115" i="30"/>
  <c r="K115" i="30" s="1"/>
  <c r="I115" i="30"/>
  <c r="M115" i="30" s="1"/>
  <c r="J114" i="30"/>
  <c r="K114" i="30" s="1"/>
  <c r="I114" i="30"/>
  <c r="M114" i="30" s="1"/>
  <c r="J113" i="30"/>
  <c r="K113" i="30" s="1"/>
  <c r="I113" i="30"/>
  <c r="M113" i="30" s="1"/>
  <c r="J112" i="30"/>
  <c r="K112" i="30" s="1"/>
  <c r="I112" i="30"/>
  <c r="M112" i="30" s="1"/>
  <c r="M111" i="30"/>
  <c r="J111" i="30"/>
  <c r="K111" i="30" s="1"/>
  <c r="I111" i="30"/>
  <c r="J110" i="30"/>
  <c r="K110" i="30" s="1"/>
  <c r="I110" i="30"/>
  <c r="M110" i="30" s="1"/>
  <c r="J109" i="30"/>
  <c r="K109" i="30" s="1"/>
  <c r="I109" i="30"/>
  <c r="M109" i="30" s="1"/>
  <c r="J108" i="30"/>
  <c r="K108" i="30" s="1"/>
  <c r="I108" i="30"/>
  <c r="M108" i="30" s="1"/>
  <c r="K107" i="30"/>
  <c r="J107" i="30"/>
  <c r="I107" i="30"/>
  <c r="M107" i="30" s="1"/>
  <c r="J106" i="30"/>
  <c r="K106" i="30" s="1"/>
  <c r="I106" i="30"/>
  <c r="M106" i="30" s="1"/>
  <c r="J105" i="30"/>
  <c r="K105" i="30" s="1"/>
  <c r="I105" i="30"/>
  <c r="M105" i="30" s="1"/>
  <c r="J104" i="30"/>
  <c r="K104" i="30" s="1"/>
  <c r="I104" i="30"/>
  <c r="M104" i="30" s="1"/>
  <c r="K103" i="30"/>
  <c r="J103" i="30"/>
  <c r="I103" i="30"/>
  <c r="M103" i="30" s="1"/>
  <c r="J102" i="30"/>
  <c r="K102" i="30" s="1"/>
  <c r="I102" i="30"/>
  <c r="M102" i="30" s="1"/>
  <c r="J101" i="30"/>
  <c r="K101" i="30" s="1"/>
  <c r="I101" i="30"/>
  <c r="M101" i="30" s="1"/>
  <c r="J100" i="30"/>
  <c r="K100" i="30" s="1"/>
  <c r="I100" i="30"/>
  <c r="M100" i="30" s="1"/>
  <c r="J99" i="30"/>
  <c r="K99" i="30" s="1"/>
  <c r="I99" i="30"/>
  <c r="M99" i="30" s="1"/>
  <c r="J98" i="30"/>
  <c r="K98" i="30" s="1"/>
  <c r="I98" i="30"/>
  <c r="M98" i="30" s="1"/>
  <c r="J97" i="30"/>
  <c r="K97" i="30" s="1"/>
  <c r="I97" i="30"/>
  <c r="M97" i="30" s="1"/>
  <c r="J96" i="30"/>
  <c r="K96" i="30" s="1"/>
  <c r="I96" i="30"/>
  <c r="M96" i="30" s="1"/>
  <c r="J95" i="30"/>
  <c r="K95" i="30" s="1"/>
  <c r="I95" i="30"/>
  <c r="M95" i="30" s="1"/>
  <c r="J94" i="30"/>
  <c r="K94" i="30" s="1"/>
  <c r="I94" i="30"/>
  <c r="M94" i="30" s="1"/>
  <c r="J93" i="30"/>
  <c r="K93" i="30" s="1"/>
  <c r="I93" i="30"/>
  <c r="M93" i="30" s="1"/>
  <c r="J92" i="30"/>
  <c r="K92" i="30" s="1"/>
  <c r="I92" i="30"/>
  <c r="M92" i="30" s="1"/>
  <c r="J91" i="30"/>
  <c r="K91" i="30" s="1"/>
  <c r="I91" i="30"/>
  <c r="M91" i="30" s="1"/>
  <c r="J90" i="30"/>
  <c r="K90" i="30" s="1"/>
  <c r="I90" i="30"/>
  <c r="M90" i="30" s="1"/>
  <c r="J89" i="30"/>
  <c r="K89" i="30" s="1"/>
  <c r="I89" i="30"/>
  <c r="M89" i="30" s="1"/>
  <c r="J88" i="30"/>
  <c r="K88" i="30" s="1"/>
  <c r="I88" i="30"/>
  <c r="M88" i="30" s="1"/>
  <c r="M87" i="30"/>
  <c r="K87" i="30"/>
  <c r="J87" i="30"/>
  <c r="I87" i="30"/>
  <c r="J86" i="30"/>
  <c r="K86" i="30" s="1"/>
  <c r="I86" i="30"/>
  <c r="M86" i="30" s="1"/>
  <c r="J85" i="30"/>
  <c r="K85" i="30" s="1"/>
  <c r="I85" i="30"/>
  <c r="M85" i="30" s="1"/>
  <c r="J84" i="30"/>
  <c r="K84" i="30" s="1"/>
  <c r="I84" i="30"/>
  <c r="M84" i="30" s="1"/>
  <c r="J83" i="30"/>
  <c r="K83" i="30" s="1"/>
  <c r="I83" i="30"/>
  <c r="M83" i="30" s="1"/>
  <c r="J82" i="30"/>
  <c r="K82" i="30" s="1"/>
  <c r="I82" i="30"/>
  <c r="M82" i="30" s="1"/>
  <c r="J81" i="30"/>
  <c r="K81" i="30" s="1"/>
  <c r="I81" i="30"/>
  <c r="M81" i="30" s="1"/>
  <c r="J80" i="30"/>
  <c r="K80" i="30" s="1"/>
  <c r="I80" i="30"/>
  <c r="M80" i="30" s="1"/>
  <c r="M79" i="30"/>
  <c r="J79" i="30"/>
  <c r="K79" i="30" s="1"/>
  <c r="I79" i="30"/>
  <c r="J78" i="30"/>
  <c r="K78" i="30" s="1"/>
  <c r="I78" i="30"/>
  <c r="M78" i="30" s="1"/>
  <c r="J77" i="30"/>
  <c r="K77" i="30" s="1"/>
  <c r="I77" i="30"/>
  <c r="M77" i="30" s="1"/>
  <c r="J76" i="30"/>
  <c r="K76" i="30" s="1"/>
  <c r="I76" i="30"/>
  <c r="M76" i="30" s="1"/>
  <c r="K75" i="30"/>
  <c r="J75" i="30"/>
  <c r="I75" i="30"/>
  <c r="M75" i="30" s="1"/>
  <c r="J74" i="30"/>
  <c r="K74" i="30" s="1"/>
  <c r="I74" i="30"/>
  <c r="M74" i="30" s="1"/>
  <c r="J73" i="30"/>
  <c r="K73" i="30" s="1"/>
  <c r="I73" i="30"/>
  <c r="M73" i="30" s="1"/>
  <c r="J72" i="30"/>
  <c r="K72" i="30" s="1"/>
  <c r="I72" i="30"/>
  <c r="M72" i="30" s="1"/>
  <c r="J71" i="30"/>
  <c r="K71" i="30" s="1"/>
  <c r="I71" i="30"/>
  <c r="M71" i="30" s="1"/>
  <c r="J70" i="30"/>
  <c r="K70" i="30" s="1"/>
  <c r="I70" i="30"/>
  <c r="M70" i="30" s="1"/>
  <c r="J69" i="30"/>
  <c r="K69" i="30" s="1"/>
  <c r="I69" i="30"/>
  <c r="M69" i="30" s="1"/>
  <c r="J68" i="30"/>
  <c r="K68" i="30" s="1"/>
  <c r="I68" i="30"/>
  <c r="M68" i="30" s="1"/>
  <c r="J67" i="30"/>
  <c r="K67" i="30" s="1"/>
  <c r="I67" i="30"/>
  <c r="M67" i="30" s="1"/>
  <c r="J66" i="30"/>
  <c r="K66" i="30" s="1"/>
  <c r="I66" i="30"/>
  <c r="M66" i="30" s="1"/>
  <c r="J65" i="30"/>
  <c r="K65" i="30" s="1"/>
  <c r="I65" i="30"/>
  <c r="M65" i="30" s="1"/>
  <c r="B65" i="30"/>
  <c r="J64" i="30"/>
  <c r="K64" i="30" s="1"/>
  <c r="I64" i="30"/>
  <c r="M64" i="30" s="1"/>
  <c r="B64" i="30"/>
  <c r="J63" i="30"/>
  <c r="K63" i="30" s="1"/>
  <c r="I63" i="30"/>
  <c r="M63" i="30" s="1"/>
  <c r="B63" i="30"/>
  <c r="J62" i="30"/>
  <c r="K62" i="30" s="1"/>
  <c r="I62" i="30"/>
  <c r="M62" i="30" s="1"/>
  <c r="B62" i="30"/>
  <c r="J61" i="30"/>
  <c r="K61" i="30" s="1"/>
  <c r="I61" i="30"/>
  <c r="M61" i="30" s="1"/>
  <c r="B61" i="30"/>
  <c r="J60" i="30"/>
  <c r="K60" i="30" s="1"/>
  <c r="I60" i="30"/>
  <c r="M60" i="30" s="1"/>
  <c r="B60" i="30"/>
  <c r="J59" i="30"/>
  <c r="K59" i="30" s="1"/>
  <c r="I59" i="30"/>
  <c r="M59" i="30" s="1"/>
  <c r="B59" i="30"/>
  <c r="J58" i="30"/>
  <c r="K58" i="30" s="1"/>
  <c r="I58" i="30"/>
  <c r="M58" i="30" s="1"/>
  <c r="B58" i="30"/>
  <c r="J57" i="30"/>
  <c r="K57" i="30" s="1"/>
  <c r="I57" i="30"/>
  <c r="M57" i="30" s="1"/>
  <c r="B57" i="30"/>
  <c r="J56" i="30"/>
  <c r="K56" i="30" s="1"/>
  <c r="I56" i="30"/>
  <c r="M56" i="30" s="1"/>
  <c r="B56" i="30"/>
  <c r="J55" i="30"/>
  <c r="K55" i="30" s="1"/>
  <c r="I55" i="30"/>
  <c r="M55" i="30" s="1"/>
  <c r="B55" i="30"/>
  <c r="J54" i="30"/>
  <c r="K54" i="30" s="1"/>
  <c r="I54" i="30"/>
  <c r="M54" i="30" s="1"/>
  <c r="B54" i="30"/>
  <c r="J53" i="30"/>
  <c r="K53" i="30" s="1"/>
  <c r="I53" i="30"/>
  <c r="M53" i="30" s="1"/>
  <c r="B53" i="30"/>
  <c r="J52" i="30"/>
  <c r="K52" i="30" s="1"/>
  <c r="I52" i="30"/>
  <c r="M52" i="30" s="1"/>
  <c r="B52" i="30"/>
  <c r="J51" i="30"/>
  <c r="K51" i="30" s="1"/>
  <c r="I51" i="30"/>
  <c r="M51" i="30" s="1"/>
  <c r="B51" i="30"/>
  <c r="J50" i="30"/>
  <c r="K50" i="30" s="1"/>
  <c r="I50" i="30"/>
  <c r="M50" i="30" s="1"/>
  <c r="B50" i="30"/>
  <c r="J49" i="30"/>
  <c r="K49" i="30" s="1"/>
  <c r="I49" i="30"/>
  <c r="M49" i="30" s="1"/>
  <c r="B49" i="30"/>
  <c r="J48" i="30"/>
  <c r="K48" i="30" s="1"/>
  <c r="I48" i="30"/>
  <c r="M48" i="30" s="1"/>
  <c r="B48" i="30"/>
  <c r="J47" i="30"/>
  <c r="K47" i="30" s="1"/>
  <c r="I47" i="30"/>
  <c r="M47" i="30" s="1"/>
  <c r="B47" i="30"/>
  <c r="T46" i="30"/>
  <c r="R46" i="30"/>
  <c r="U46" i="30" s="1"/>
  <c r="J46" i="30"/>
  <c r="K46" i="30" s="1"/>
  <c r="I46" i="30"/>
  <c r="M46" i="30" s="1"/>
  <c r="B46" i="30"/>
  <c r="J45" i="30"/>
  <c r="K45" i="30" s="1"/>
  <c r="I45" i="30"/>
  <c r="M45" i="30" s="1"/>
  <c r="B45" i="30"/>
  <c r="J44" i="30"/>
  <c r="K44" i="30" s="1"/>
  <c r="I44" i="30"/>
  <c r="M44" i="30" s="1"/>
  <c r="B44" i="30"/>
  <c r="J43" i="30"/>
  <c r="K43" i="30" s="1"/>
  <c r="I43" i="30"/>
  <c r="M43" i="30" s="1"/>
  <c r="B43" i="30"/>
  <c r="J42" i="30"/>
  <c r="K42" i="30" s="1"/>
  <c r="I42" i="30"/>
  <c r="M42" i="30" s="1"/>
  <c r="B42" i="30"/>
  <c r="J41" i="30"/>
  <c r="K41" i="30" s="1"/>
  <c r="I41" i="30"/>
  <c r="M41" i="30" s="1"/>
  <c r="B41" i="30"/>
  <c r="M40" i="30"/>
  <c r="K40" i="30"/>
  <c r="J40" i="30"/>
  <c r="I40" i="30"/>
  <c r="B40" i="30"/>
  <c r="J39" i="30"/>
  <c r="K39" i="30" s="1"/>
  <c r="I39" i="30"/>
  <c r="M39" i="30" s="1"/>
  <c r="B39" i="30"/>
  <c r="M38" i="30"/>
  <c r="J38" i="30"/>
  <c r="K38" i="30" s="1"/>
  <c r="I38" i="30"/>
  <c r="B38" i="30"/>
  <c r="J37" i="30"/>
  <c r="K37" i="30" s="1"/>
  <c r="I37" i="30"/>
  <c r="M37" i="30" s="1"/>
  <c r="A37" i="30" s="1"/>
  <c r="B37" i="30"/>
  <c r="J36" i="30"/>
  <c r="K36" i="30" s="1"/>
  <c r="I36" i="30"/>
  <c r="M36" i="30" s="1"/>
  <c r="A36" i="30" s="1"/>
  <c r="B36" i="30"/>
  <c r="J35" i="30"/>
  <c r="K35" i="30" s="1"/>
  <c r="I35" i="30"/>
  <c r="M35" i="30" s="1"/>
  <c r="A35" i="30" s="1"/>
  <c r="B35" i="30"/>
  <c r="J34" i="30"/>
  <c r="K34" i="30" s="1"/>
  <c r="I34" i="30"/>
  <c r="M34" i="30" s="1"/>
  <c r="A34" i="30" s="1"/>
  <c r="B34" i="30"/>
  <c r="J33" i="30"/>
  <c r="K33" i="30" s="1"/>
  <c r="I33" i="30"/>
  <c r="M33" i="30" s="1"/>
  <c r="A33" i="30" s="1"/>
  <c r="B33" i="30"/>
  <c r="J32" i="30"/>
  <c r="K32" i="30" s="1"/>
  <c r="I32" i="30"/>
  <c r="M32" i="30" s="1"/>
  <c r="A32" i="30" s="1"/>
  <c r="B32" i="30"/>
  <c r="J31" i="30"/>
  <c r="K31" i="30" s="1"/>
  <c r="I31" i="30"/>
  <c r="M31" i="30" s="1"/>
  <c r="A31" i="30" s="1"/>
  <c r="B31" i="30"/>
  <c r="J30" i="30"/>
  <c r="K30" i="30" s="1"/>
  <c r="I30" i="30"/>
  <c r="M30" i="30" s="1"/>
  <c r="A30" i="30" s="1"/>
  <c r="B30" i="30"/>
  <c r="J29" i="30"/>
  <c r="K29" i="30" s="1"/>
  <c r="I29" i="30"/>
  <c r="M29" i="30" s="1"/>
  <c r="A29" i="30" s="1"/>
  <c r="B29" i="30"/>
  <c r="J28" i="30"/>
  <c r="K28" i="30" s="1"/>
  <c r="I28" i="30"/>
  <c r="M28" i="30" s="1"/>
  <c r="A28" i="30" s="1"/>
  <c r="B28" i="30"/>
  <c r="J27" i="30"/>
  <c r="K27" i="30" s="1"/>
  <c r="I27" i="30"/>
  <c r="M27" i="30" s="1"/>
  <c r="A27" i="30" s="1"/>
  <c r="B27" i="30"/>
  <c r="J26" i="30"/>
  <c r="K26" i="30" s="1"/>
  <c r="I26" i="30"/>
  <c r="M26" i="30" s="1"/>
  <c r="A26" i="30" s="1"/>
  <c r="B26" i="30"/>
  <c r="J25" i="30"/>
  <c r="K25" i="30" s="1"/>
  <c r="I25" i="30"/>
  <c r="M25" i="30" s="1"/>
  <c r="A25" i="30" s="1"/>
  <c r="B25" i="30"/>
  <c r="J24" i="30"/>
  <c r="K24" i="30" s="1"/>
  <c r="I24" i="30"/>
  <c r="M24" i="30" s="1"/>
  <c r="A24" i="30" s="1"/>
  <c r="B24" i="30"/>
  <c r="J23" i="30"/>
  <c r="K23" i="30" s="1"/>
  <c r="I23" i="30"/>
  <c r="M23" i="30" s="1"/>
  <c r="A23" i="30" s="1"/>
  <c r="B23" i="30"/>
  <c r="M22" i="30"/>
  <c r="A22" i="30" s="1"/>
  <c r="J22" i="30"/>
  <c r="K22" i="30" s="1"/>
  <c r="I22" i="30"/>
  <c r="B22" i="30"/>
  <c r="J21" i="30"/>
  <c r="K21" i="30" s="1"/>
  <c r="I21" i="30"/>
  <c r="M21" i="30" s="1"/>
  <c r="A21" i="30" s="1"/>
  <c r="B21" i="30"/>
  <c r="J20" i="30"/>
  <c r="K20" i="30" s="1"/>
  <c r="I20" i="30"/>
  <c r="M20" i="30" s="1"/>
  <c r="A20" i="30" s="1"/>
  <c r="B20" i="30"/>
  <c r="J19" i="30"/>
  <c r="K19" i="30" s="1"/>
  <c r="I19" i="30"/>
  <c r="M19" i="30" s="1"/>
  <c r="A19" i="30" s="1"/>
  <c r="B19" i="30"/>
  <c r="M18" i="30"/>
  <c r="A18" i="30" s="1"/>
  <c r="J18" i="30"/>
  <c r="K18" i="30" s="1"/>
  <c r="I18" i="30"/>
  <c r="B18" i="30"/>
  <c r="J17" i="30"/>
  <c r="K17" i="30" s="1"/>
  <c r="I17" i="30"/>
  <c r="M17" i="30" s="1"/>
  <c r="A17" i="30" s="1"/>
  <c r="B17" i="30"/>
  <c r="J16" i="30"/>
  <c r="K16" i="30" s="1"/>
  <c r="I16" i="30"/>
  <c r="M16" i="30" s="1"/>
  <c r="A16" i="30" s="1"/>
  <c r="B16" i="30"/>
  <c r="J15" i="30"/>
  <c r="K15" i="30" s="1"/>
  <c r="I15" i="30"/>
  <c r="M15" i="30" s="1"/>
  <c r="A15" i="30" s="1"/>
  <c r="B15" i="30"/>
  <c r="AI14" i="30"/>
  <c r="J14" i="30"/>
  <c r="K14" i="30" s="1"/>
  <c r="I14" i="30"/>
  <c r="M14" i="30" s="1"/>
  <c r="A14" i="30" s="1"/>
  <c r="B14" i="30"/>
  <c r="AI13" i="30"/>
  <c r="J13" i="30"/>
  <c r="K13" i="30" s="1"/>
  <c r="I13" i="30"/>
  <c r="M13" i="30" s="1"/>
  <c r="A13" i="30" s="1"/>
  <c r="B13" i="30"/>
  <c r="AI12" i="30"/>
  <c r="AI16" i="30" s="1"/>
  <c r="J12" i="30"/>
  <c r="K12" i="30" s="1"/>
  <c r="I12" i="30"/>
  <c r="M12" i="30" s="1"/>
  <c r="A12" i="30" s="1"/>
  <c r="B12" i="30"/>
  <c r="J11" i="30"/>
  <c r="K11" i="30" s="1"/>
  <c r="I11" i="30"/>
  <c r="M11" i="30" s="1"/>
  <c r="A11" i="30" s="1"/>
  <c r="B11" i="30"/>
  <c r="J10" i="30"/>
  <c r="K10" i="30" s="1"/>
  <c r="I10" i="30"/>
  <c r="M10" i="30" s="1"/>
  <c r="A10" i="30" s="1"/>
  <c r="B10" i="30"/>
  <c r="J9" i="30"/>
  <c r="K9" i="30" s="1"/>
  <c r="I9" i="30"/>
  <c r="M9" i="30" s="1"/>
  <c r="A9" i="30" s="1"/>
  <c r="J8" i="30"/>
  <c r="K8" i="30" s="1"/>
  <c r="I8" i="30"/>
  <c r="L7" i="30"/>
  <c r="J7" i="30"/>
  <c r="K7" i="30" s="1"/>
  <c r="M7" i="30" s="1"/>
  <c r="A7" i="30" s="1"/>
  <c r="I7" i="30"/>
  <c r="J6" i="30"/>
  <c r="K6" i="30" s="1"/>
  <c r="I6" i="30"/>
  <c r="K22" i="20"/>
  <c r="K2" i="30"/>
  <c r="L8" i="30" s="1"/>
  <c r="J305" i="29"/>
  <c r="K305" i="29" s="1"/>
  <c r="I305" i="29"/>
  <c r="M305" i="29" s="1"/>
  <c r="J304" i="29"/>
  <c r="K304" i="29" s="1"/>
  <c r="I304" i="29"/>
  <c r="M304" i="29" s="1"/>
  <c r="J303" i="29"/>
  <c r="K303" i="29" s="1"/>
  <c r="I303" i="29"/>
  <c r="M303" i="29" s="1"/>
  <c r="J302" i="29"/>
  <c r="K302" i="29" s="1"/>
  <c r="I302" i="29"/>
  <c r="M302" i="29" s="1"/>
  <c r="J301" i="29"/>
  <c r="K301" i="29" s="1"/>
  <c r="I301" i="29"/>
  <c r="M301" i="29" s="1"/>
  <c r="J300" i="29"/>
  <c r="K300" i="29" s="1"/>
  <c r="I300" i="29"/>
  <c r="M300" i="29" s="1"/>
  <c r="K299" i="29"/>
  <c r="J299" i="29"/>
  <c r="I299" i="29"/>
  <c r="M299" i="29" s="1"/>
  <c r="J298" i="29"/>
  <c r="K298" i="29" s="1"/>
  <c r="I298" i="29"/>
  <c r="M298" i="29" s="1"/>
  <c r="J297" i="29"/>
  <c r="K297" i="29" s="1"/>
  <c r="I297" i="29"/>
  <c r="M297" i="29" s="1"/>
  <c r="J296" i="29"/>
  <c r="K296" i="29" s="1"/>
  <c r="I296" i="29"/>
  <c r="M296" i="29" s="1"/>
  <c r="J295" i="29"/>
  <c r="K295" i="29" s="1"/>
  <c r="I295" i="29"/>
  <c r="M295" i="29" s="1"/>
  <c r="J294" i="29"/>
  <c r="K294" i="29" s="1"/>
  <c r="I294" i="29"/>
  <c r="M294" i="29" s="1"/>
  <c r="J293" i="29"/>
  <c r="K293" i="29" s="1"/>
  <c r="I293" i="29"/>
  <c r="M293" i="29" s="1"/>
  <c r="J292" i="29"/>
  <c r="K292" i="29" s="1"/>
  <c r="I292" i="29"/>
  <c r="M292" i="29" s="1"/>
  <c r="J291" i="29"/>
  <c r="K291" i="29" s="1"/>
  <c r="I291" i="29"/>
  <c r="M291" i="29" s="1"/>
  <c r="J290" i="29"/>
  <c r="K290" i="29" s="1"/>
  <c r="I290" i="29"/>
  <c r="M290" i="29" s="1"/>
  <c r="J289" i="29"/>
  <c r="K289" i="29" s="1"/>
  <c r="I289" i="29"/>
  <c r="M289" i="29" s="1"/>
  <c r="J288" i="29"/>
  <c r="K288" i="29" s="1"/>
  <c r="I288" i="29"/>
  <c r="M288" i="29" s="1"/>
  <c r="J287" i="29"/>
  <c r="K287" i="29" s="1"/>
  <c r="I287" i="29"/>
  <c r="M287" i="29" s="1"/>
  <c r="J286" i="29"/>
  <c r="K286" i="29" s="1"/>
  <c r="I286" i="29"/>
  <c r="M286" i="29" s="1"/>
  <c r="J285" i="29"/>
  <c r="K285" i="29" s="1"/>
  <c r="I285" i="29"/>
  <c r="M285" i="29" s="1"/>
  <c r="J284" i="29"/>
  <c r="K284" i="29" s="1"/>
  <c r="I284" i="29"/>
  <c r="M284" i="29" s="1"/>
  <c r="J283" i="29"/>
  <c r="K283" i="29" s="1"/>
  <c r="I283" i="29"/>
  <c r="M283" i="29" s="1"/>
  <c r="J282" i="29"/>
  <c r="K282" i="29" s="1"/>
  <c r="I282" i="29"/>
  <c r="M282" i="29" s="1"/>
  <c r="J281" i="29"/>
  <c r="K281" i="29" s="1"/>
  <c r="I281" i="29"/>
  <c r="M281" i="29" s="1"/>
  <c r="J280" i="29"/>
  <c r="K280" i="29" s="1"/>
  <c r="I280" i="29"/>
  <c r="M280" i="29" s="1"/>
  <c r="J279" i="29"/>
  <c r="K279" i="29" s="1"/>
  <c r="I279" i="29"/>
  <c r="M279" i="29" s="1"/>
  <c r="J278" i="29"/>
  <c r="K278" i="29" s="1"/>
  <c r="I278" i="29"/>
  <c r="M278" i="29" s="1"/>
  <c r="J277" i="29"/>
  <c r="K277" i="29" s="1"/>
  <c r="I277" i="29"/>
  <c r="M277" i="29" s="1"/>
  <c r="J276" i="29"/>
  <c r="K276" i="29" s="1"/>
  <c r="I276" i="29"/>
  <c r="M276" i="29" s="1"/>
  <c r="J275" i="29"/>
  <c r="K275" i="29" s="1"/>
  <c r="I275" i="29"/>
  <c r="M275" i="29" s="1"/>
  <c r="J274" i="29"/>
  <c r="K274" i="29" s="1"/>
  <c r="I274" i="29"/>
  <c r="M274" i="29" s="1"/>
  <c r="J273" i="29"/>
  <c r="K273" i="29" s="1"/>
  <c r="I273" i="29"/>
  <c r="M273" i="29" s="1"/>
  <c r="J272" i="29"/>
  <c r="K272" i="29" s="1"/>
  <c r="I272" i="29"/>
  <c r="M272" i="29" s="1"/>
  <c r="J271" i="29"/>
  <c r="K271" i="29" s="1"/>
  <c r="I271" i="29"/>
  <c r="M271" i="29" s="1"/>
  <c r="J270" i="29"/>
  <c r="K270" i="29" s="1"/>
  <c r="I270" i="29"/>
  <c r="M270" i="29" s="1"/>
  <c r="J269" i="29"/>
  <c r="K269" i="29" s="1"/>
  <c r="I269" i="29"/>
  <c r="M269" i="29" s="1"/>
  <c r="J268" i="29"/>
  <c r="K268" i="29" s="1"/>
  <c r="I268" i="29"/>
  <c r="M268" i="29" s="1"/>
  <c r="J267" i="29"/>
  <c r="K267" i="29" s="1"/>
  <c r="I267" i="29"/>
  <c r="M267" i="29" s="1"/>
  <c r="J266" i="29"/>
  <c r="K266" i="29" s="1"/>
  <c r="I266" i="29"/>
  <c r="M266" i="29" s="1"/>
  <c r="J265" i="29"/>
  <c r="K265" i="29" s="1"/>
  <c r="I265" i="29"/>
  <c r="M265" i="29" s="1"/>
  <c r="J264" i="29"/>
  <c r="K264" i="29" s="1"/>
  <c r="I264" i="29"/>
  <c r="M264" i="29" s="1"/>
  <c r="J263" i="29"/>
  <c r="K263" i="29" s="1"/>
  <c r="I263" i="29"/>
  <c r="M263" i="29" s="1"/>
  <c r="J262" i="29"/>
  <c r="K262" i="29" s="1"/>
  <c r="I262" i="29"/>
  <c r="M262" i="29" s="1"/>
  <c r="J261" i="29"/>
  <c r="K261" i="29" s="1"/>
  <c r="I261" i="29"/>
  <c r="M261" i="29" s="1"/>
  <c r="J260" i="29"/>
  <c r="K260" i="29" s="1"/>
  <c r="I260" i="29"/>
  <c r="M260" i="29" s="1"/>
  <c r="J259" i="29"/>
  <c r="K259" i="29" s="1"/>
  <c r="I259" i="29"/>
  <c r="M259" i="29" s="1"/>
  <c r="J258" i="29"/>
  <c r="K258" i="29" s="1"/>
  <c r="I258" i="29"/>
  <c r="M258" i="29" s="1"/>
  <c r="J257" i="29"/>
  <c r="K257" i="29" s="1"/>
  <c r="I257" i="29"/>
  <c r="M257" i="29" s="1"/>
  <c r="J256" i="29"/>
  <c r="K256" i="29" s="1"/>
  <c r="I256" i="29"/>
  <c r="M256" i="29" s="1"/>
  <c r="J255" i="29"/>
  <c r="K255" i="29" s="1"/>
  <c r="I255" i="29"/>
  <c r="M255" i="29" s="1"/>
  <c r="J254" i="29"/>
  <c r="K254" i="29" s="1"/>
  <c r="I254" i="29"/>
  <c r="M254" i="29" s="1"/>
  <c r="J253" i="29"/>
  <c r="K253" i="29" s="1"/>
  <c r="I253" i="29"/>
  <c r="M253" i="29" s="1"/>
  <c r="J252" i="29"/>
  <c r="K252" i="29" s="1"/>
  <c r="I252" i="29"/>
  <c r="M252" i="29" s="1"/>
  <c r="J251" i="29"/>
  <c r="K251" i="29" s="1"/>
  <c r="I251" i="29"/>
  <c r="M251" i="29" s="1"/>
  <c r="J250" i="29"/>
  <c r="K250" i="29" s="1"/>
  <c r="I250" i="29"/>
  <c r="M250" i="29" s="1"/>
  <c r="J249" i="29"/>
  <c r="K249" i="29" s="1"/>
  <c r="I249" i="29"/>
  <c r="M249" i="29" s="1"/>
  <c r="J248" i="29"/>
  <c r="K248" i="29" s="1"/>
  <c r="I248" i="29"/>
  <c r="M248" i="29" s="1"/>
  <c r="J247" i="29"/>
  <c r="K247" i="29" s="1"/>
  <c r="I247" i="29"/>
  <c r="M247" i="29" s="1"/>
  <c r="J246" i="29"/>
  <c r="K246" i="29" s="1"/>
  <c r="I246" i="29"/>
  <c r="M246" i="29" s="1"/>
  <c r="J245" i="29"/>
  <c r="K245" i="29" s="1"/>
  <c r="I245" i="29"/>
  <c r="M245" i="29" s="1"/>
  <c r="J244" i="29"/>
  <c r="K244" i="29" s="1"/>
  <c r="I244" i="29"/>
  <c r="M244" i="29" s="1"/>
  <c r="K243" i="29"/>
  <c r="J243" i="29"/>
  <c r="I243" i="29"/>
  <c r="M243" i="29" s="1"/>
  <c r="J242" i="29"/>
  <c r="K242" i="29" s="1"/>
  <c r="I242" i="29"/>
  <c r="M242" i="29" s="1"/>
  <c r="J241" i="29"/>
  <c r="K241" i="29" s="1"/>
  <c r="I241" i="29"/>
  <c r="M241" i="29" s="1"/>
  <c r="J240" i="29"/>
  <c r="K240" i="29" s="1"/>
  <c r="I240" i="29"/>
  <c r="M240" i="29" s="1"/>
  <c r="J239" i="29"/>
  <c r="K239" i="29" s="1"/>
  <c r="I239" i="29"/>
  <c r="M239" i="29" s="1"/>
  <c r="J238" i="29"/>
  <c r="K238" i="29" s="1"/>
  <c r="I238" i="29"/>
  <c r="M238" i="29" s="1"/>
  <c r="J237" i="29"/>
  <c r="K237" i="29" s="1"/>
  <c r="I237" i="29"/>
  <c r="M237" i="29" s="1"/>
  <c r="J236" i="29"/>
  <c r="K236" i="29" s="1"/>
  <c r="I236" i="29"/>
  <c r="M236" i="29" s="1"/>
  <c r="J235" i="29"/>
  <c r="K235" i="29" s="1"/>
  <c r="I235" i="29"/>
  <c r="M235" i="29" s="1"/>
  <c r="J234" i="29"/>
  <c r="K234" i="29" s="1"/>
  <c r="I234" i="29"/>
  <c r="M234" i="29" s="1"/>
  <c r="J233" i="29"/>
  <c r="K233" i="29" s="1"/>
  <c r="I233" i="29"/>
  <c r="M233" i="29" s="1"/>
  <c r="J232" i="29"/>
  <c r="K232" i="29" s="1"/>
  <c r="I232" i="29"/>
  <c r="M232" i="29" s="1"/>
  <c r="J231" i="29"/>
  <c r="K231" i="29" s="1"/>
  <c r="I231" i="29"/>
  <c r="M231" i="29" s="1"/>
  <c r="J230" i="29"/>
  <c r="K230" i="29" s="1"/>
  <c r="I230" i="29"/>
  <c r="M230" i="29" s="1"/>
  <c r="J229" i="29"/>
  <c r="K229" i="29" s="1"/>
  <c r="I229" i="29"/>
  <c r="M229" i="29" s="1"/>
  <c r="J228" i="29"/>
  <c r="K228" i="29" s="1"/>
  <c r="I228" i="29"/>
  <c r="M228" i="29" s="1"/>
  <c r="J227" i="29"/>
  <c r="K227" i="29" s="1"/>
  <c r="I227" i="29"/>
  <c r="M227" i="29" s="1"/>
  <c r="J226" i="29"/>
  <c r="K226" i="29" s="1"/>
  <c r="I226" i="29"/>
  <c r="M226" i="29" s="1"/>
  <c r="J225" i="29"/>
  <c r="K225" i="29" s="1"/>
  <c r="I225" i="29"/>
  <c r="M225" i="29" s="1"/>
  <c r="J224" i="29"/>
  <c r="K224" i="29" s="1"/>
  <c r="I224" i="29"/>
  <c r="M224" i="29" s="1"/>
  <c r="J223" i="29"/>
  <c r="K223" i="29" s="1"/>
  <c r="I223" i="29"/>
  <c r="M223" i="29" s="1"/>
  <c r="J222" i="29"/>
  <c r="K222" i="29" s="1"/>
  <c r="I222" i="29"/>
  <c r="M222" i="29" s="1"/>
  <c r="J221" i="29"/>
  <c r="K221" i="29" s="1"/>
  <c r="I221" i="29"/>
  <c r="M221" i="29" s="1"/>
  <c r="J220" i="29"/>
  <c r="K220" i="29" s="1"/>
  <c r="I220" i="29"/>
  <c r="M220" i="29" s="1"/>
  <c r="J219" i="29"/>
  <c r="K219" i="29" s="1"/>
  <c r="I219" i="29"/>
  <c r="M219" i="29" s="1"/>
  <c r="J218" i="29"/>
  <c r="K218" i="29" s="1"/>
  <c r="I218" i="29"/>
  <c r="M218" i="29" s="1"/>
  <c r="J217" i="29"/>
  <c r="K217" i="29" s="1"/>
  <c r="I217" i="29"/>
  <c r="M217" i="29" s="1"/>
  <c r="J216" i="29"/>
  <c r="K216" i="29" s="1"/>
  <c r="I216" i="29"/>
  <c r="M216" i="29" s="1"/>
  <c r="J215" i="29"/>
  <c r="K215" i="29" s="1"/>
  <c r="I215" i="29"/>
  <c r="M215" i="29" s="1"/>
  <c r="J214" i="29"/>
  <c r="K214" i="29" s="1"/>
  <c r="I214" i="29"/>
  <c r="M214" i="29" s="1"/>
  <c r="J213" i="29"/>
  <c r="K213" i="29" s="1"/>
  <c r="I213" i="29"/>
  <c r="M213" i="29" s="1"/>
  <c r="J212" i="29"/>
  <c r="K212" i="29" s="1"/>
  <c r="I212" i="29"/>
  <c r="M212" i="29" s="1"/>
  <c r="J211" i="29"/>
  <c r="K211" i="29" s="1"/>
  <c r="I211" i="29"/>
  <c r="M211" i="29" s="1"/>
  <c r="J210" i="29"/>
  <c r="K210" i="29" s="1"/>
  <c r="I210" i="29"/>
  <c r="M210" i="29" s="1"/>
  <c r="J209" i="29"/>
  <c r="K209" i="29" s="1"/>
  <c r="I209" i="29"/>
  <c r="M209" i="29" s="1"/>
  <c r="J208" i="29"/>
  <c r="K208" i="29" s="1"/>
  <c r="I208" i="29"/>
  <c r="M208" i="29" s="1"/>
  <c r="J207" i="29"/>
  <c r="K207" i="29" s="1"/>
  <c r="I207" i="29"/>
  <c r="M207" i="29" s="1"/>
  <c r="J206" i="29"/>
  <c r="K206" i="29" s="1"/>
  <c r="I206" i="29"/>
  <c r="M206" i="29" s="1"/>
  <c r="J205" i="29"/>
  <c r="K205" i="29" s="1"/>
  <c r="I205" i="29"/>
  <c r="M205" i="29" s="1"/>
  <c r="J204" i="29"/>
  <c r="K204" i="29" s="1"/>
  <c r="I204" i="29"/>
  <c r="M204" i="29" s="1"/>
  <c r="J203" i="29"/>
  <c r="K203" i="29" s="1"/>
  <c r="I203" i="29"/>
  <c r="M203" i="29" s="1"/>
  <c r="J202" i="29"/>
  <c r="K202" i="29" s="1"/>
  <c r="I202" i="29"/>
  <c r="M202" i="29" s="1"/>
  <c r="J201" i="29"/>
  <c r="K201" i="29" s="1"/>
  <c r="I201" i="29"/>
  <c r="M201" i="29" s="1"/>
  <c r="J200" i="29"/>
  <c r="K200" i="29" s="1"/>
  <c r="I200" i="29"/>
  <c r="M200" i="29" s="1"/>
  <c r="J199" i="29"/>
  <c r="K199" i="29" s="1"/>
  <c r="I199" i="29"/>
  <c r="M199" i="29" s="1"/>
  <c r="J198" i="29"/>
  <c r="K198" i="29" s="1"/>
  <c r="I198" i="29"/>
  <c r="M198" i="29" s="1"/>
  <c r="J197" i="29"/>
  <c r="K197" i="29" s="1"/>
  <c r="I197" i="29"/>
  <c r="M197" i="29" s="1"/>
  <c r="J196" i="29"/>
  <c r="K196" i="29" s="1"/>
  <c r="I196" i="29"/>
  <c r="M196" i="29" s="1"/>
  <c r="J195" i="29"/>
  <c r="K195" i="29" s="1"/>
  <c r="I195" i="29"/>
  <c r="M195" i="29" s="1"/>
  <c r="J194" i="29"/>
  <c r="K194" i="29" s="1"/>
  <c r="I194" i="29"/>
  <c r="M194" i="29" s="1"/>
  <c r="J193" i="29"/>
  <c r="K193" i="29" s="1"/>
  <c r="I193" i="29"/>
  <c r="M193" i="29" s="1"/>
  <c r="J192" i="29"/>
  <c r="K192" i="29" s="1"/>
  <c r="I192" i="29"/>
  <c r="M192" i="29" s="1"/>
  <c r="J191" i="29"/>
  <c r="K191" i="29" s="1"/>
  <c r="I191" i="29"/>
  <c r="M191" i="29" s="1"/>
  <c r="J190" i="29"/>
  <c r="K190" i="29" s="1"/>
  <c r="I190" i="29"/>
  <c r="M190" i="29" s="1"/>
  <c r="J189" i="29"/>
  <c r="K189" i="29" s="1"/>
  <c r="I189" i="29"/>
  <c r="M189" i="29" s="1"/>
  <c r="J188" i="29"/>
  <c r="K188" i="29" s="1"/>
  <c r="I188" i="29"/>
  <c r="M188" i="29" s="1"/>
  <c r="J187" i="29"/>
  <c r="K187" i="29" s="1"/>
  <c r="I187" i="29"/>
  <c r="M187" i="29" s="1"/>
  <c r="J186" i="29"/>
  <c r="K186" i="29" s="1"/>
  <c r="I186" i="29"/>
  <c r="M186" i="29" s="1"/>
  <c r="J185" i="29"/>
  <c r="K185" i="29" s="1"/>
  <c r="I185" i="29"/>
  <c r="M185" i="29" s="1"/>
  <c r="J184" i="29"/>
  <c r="K184" i="29" s="1"/>
  <c r="I184" i="29"/>
  <c r="M184" i="29" s="1"/>
  <c r="J183" i="29"/>
  <c r="K183" i="29" s="1"/>
  <c r="I183" i="29"/>
  <c r="M183" i="29" s="1"/>
  <c r="J182" i="29"/>
  <c r="K182" i="29" s="1"/>
  <c r="I182" i="29"/>
  <c r="M182" i="29" s="1"/>
  <c r="J181" i="29"/>
  <c r="K181" i="29" s="1"/>
  <c r="I181" i="29"/>
  <c r="M181" i="29" s="1"/>
  <c r="J180" i="29"/>
  <c r="K180" i="29" s="1"/>
  <c r="I180" i="29"/>
  <c r="M180" i="29" s="1"/>
  <c r="J179" i="29"/>
  <c r="K179" i="29" s="1"/>
  <c r="I179" i="29"/>
  <c r="M179" i="29" s="1"/>
  <c r="J178" i="29"/>
  <c r="K178" i="29" s="1"/>
  <c r="I178" i="29"/>
  <c r="M178" i="29" s="1"/>
  <c r="J177" i="29"/>
  <c r="K177" i="29" s="1"/>
  <c r="I177" i="29"/>
  <c r="M177" i="29" s="1"/>
  <c r="J176" i="29"/>
  <c r="K176" i="29" s="1"/>
  <c r="I176" i="29"/>
  <c r="M176" i="29" s="1"/>
  <c r="J175" i="29"/>
  <c r="K175" i="29" s="1"/>
  <c r="I175" i="29"/>
  <c r="M175" i="29" s="1"/>
  <c r="J174" i="29"/>
  <c r="K174" i="29" s="1"/>
  <c r="I174" i="29"/>
  <c r="M174" i="29" s="1"/>
  <c r="J173" i="29"/>
  <c r="K173" i="29" s="1"/>
  <c r="I173" i="29"/>
  <c r="M173" i="29" s="1"/>
  <c r="J172" i="29"/>
  <c r="K172" i="29" s="1"/>
  <c r="I172" i="29"/>
  <c r="M172" i="29" s="1"/>
  <c r="J171" i="29"/>
  <c r="K171" i="29" s="1"/>
  <c r="I171" i="29"/>
  <c r="M171" i="29" s="1"/>
  <c r="J170" i="29"/>
  <c r="K170" i="29" s="1"/>
  <c r="I170" i="29"/>
  <c r="M170" i="29" s="1"/>
  <c r="J169" i="29"/>
  <c r="K169" i="29" s="1"/>
  <c r="I169" i="29"/>
  <c r="M169" i="29" s="1"/>
  <c r="J168" i="29"/>
  <c r="K168" i="29" s="1"/>
  <c r="I168" i="29"/>
  <c r="M168" i="29" s="1"/>
  <c r="J167" i="29"/>
  <c r="K167" i="29" s="1"/>
  <c r="I167" i="29"/>
  <c r="M167" i="29" s="1"/>
  <c r="J166" i="29"/>
  <c r="K166" i="29" s="1"/>
  <c r="I166" i="29"/>
  <c r="M166" i="29" s="1"/>
  <c r="J165" i="29"/>
  <c r="K165" i="29" s="1"/>
  <c r="I165" i="29"/>
  <c r="M165" i="29" s="1"/>
  <c r="J164" i="29"/>
  <c r="K164" i="29" s="1"/>
  <c r="I164" i="29"/>
  <c r="M164" i="29" s="1"/>
  <c r="J163" i="29"/>
  <c r="K163" i="29" s="1"/>
  <c r="I163" i="29"/>
  <c r="M163" i="29" s="1"/>
  <c r="J162" i="29"/>
  <c r="K162" i="29" s="1"/>
  <c r="I162" i="29"/>
  <c r="M162" i="29" s="1"/>
  <c r="J161" i="29"/>
  <c r="K161" i="29" s="1"/>
  <c r="I161" i="29"/>
  <c r="M161" i="29" s="1"/>
  <c r="J160" i="29"/>
  <c r="K160" i="29" s="1"/>
  <c r="I160" i="29"/>
  <c r="M160" i="29" s="1"/>
  <c r="J159" i="29"/>
  <c r="K159" i="29" s="1"/>
  <c r="I159" i="29"/>
  <c r="M159" i="29" s="1"/>
  <c r="J158" i="29"/>
  <c r="K158" i="29" s="1"/>
  <c r="I158" i="29"/>
  <c r="M158" i="29" s="1"/>
  <c r="J157" i="29"/>
  <c r="K157" i="29" s="1"/>
  <c r="I157" i="29"/>
  <c r="M157" i="29" s="1"/>
  <c r="J156" i="29"/>
  <c r="K156" i="29" s="1"/>
  <c r="I156" i="29"/>
  <c r="M156" i="29" s="1"/>
  <c r="J155" i="29"/>
  <c r="K155" i="29" s="1"/>
  <c r="I155" i="29"/>
  <c r="M155" i="29" s="1"/>
  <c r="J154" i="29"/>
  <c r="K154" i="29" s="1"/>
  <c r="I154" i="29"/>
  <c r="M154" i="29" s="1"/>
  <c r="J153" i="29"/>
  <c r="K153" i="29" s="1"/>
  <c r="I153" i="29"/>
  <c r="M153" i="29" s="1"/>
  <c r="J152" i="29"/>
  <c r="K152" i="29" s="1"/>
  <c r="I152" i="29"/>
  <c r="M152" i="29" s="1"/>
  <c r="J151" i="29"/>
  <c r="K151" i="29" s="1"/>
  <c r="I151" i="29"/>
  <c r="M151" i="29" s="1"/>
  <c r="J150" i="29"/>
  <c r="K150" i="29" s="1"/>
  <c r="I150" i="29"/>
  <c r="M150" i="29" s="1"/>
  <c r="J149" i="29"/>
  <c r="K149" i="29" s="1"/>
  <c r="I149" i="29"/>
  <c r="M149" i="29" s="1"/>
  <c r="J148" i="29"/>
  <c r="K148" i="29" s="1"/>
  <c r="I148" i="29"/>
  <c r="M148" i="29" s="1"/>
  <c r="J147" i="29"/>
  <c r="K147" i="29" s="1"/>
  <c r="I147" i="29"/>
  <c r="M147" i="29" s="1"/>
  <c r="J146" i="29"/>
  <c r="K146" i="29" s="1"/>
  <c r="I146" i="29"/>
  <c r="M146" i="29" s="1"/>
  <c r="J145" i="29"/>
  <c r="K145" i="29" s="1"/>
  <c r="I145" i="29"/>
  <c r="M145" i="29" s="1"/>
  <c r="J144" i="29"/>
  <c r="K144" i="29" s="1"/>
  <c r="I144" i="29"/>
  <c r="M144" i="29" s="1"/>
  <c r="J143" i="29"/>
  <c r="K143" i="29" s="1"/>
  <c r="I143" i="29"/>
  <c r="M143" i="29" s="1"/>
  <c r="J142" i="29"/>
  <c r="K142" i="29" s="1"/>
  <c r="I142" i="29"/>
  <c r="M142" i="29" s="1"/>
  <c r="J141" i="29"/>
  <c r="K141" i="29" s="1"/>
  <c r="I141" i="29"/>
  <c r="M141" i="29" s="1"/>
  <c r="J140" i="29"/>
  <c r="K140" i="29" s="1"/>
  <c r="I140" i="29"/>
  <c r="M140" i="29" s="1"/>
  <c r="J139" i="29"/>
  <c r="K139" i="29" s="1"/>
  <c r="I139" i="29"/>
  <c r="M139" i="29" s="1"/>
  <c r="J138" i="29"/>
  <c r="K138" i="29" s="1"/>
  <c r="I138" i="29"/>
  <c r="M138" i="29" s="1"/>
  <c r="J137" i="29"/>
  <c r="K137" i="29" s="1"/>
  <c r="I137" i="29"/>
  <c r="M137" i="29" s="1"/>
  <c r="J136" i="29"/>
  <c r="K136" i="29" s="1"/>
  <c r="I136" i="29"/>
  <c r="M136" i="29" s="1"/>
  <c r="J135" i="29"/>
  <c r="K135" i="29" s="1"/>
  <c r="I135" i="29"/>
  <c r="M135" i="29" s="1"/>
  <c r="M134" i="29"/>
  <c r="J134" i="29"/>
  <c r="K134" i="29" s="1"/>
  <c r="I134" i="29"/>
  <c r="J133" i="29"/>
  <c r="K133" i="29" s="1"/>
  <c r="I133" i="29"/>
  <c r="M133" i="29" s="1"/>
  <c r="J132" i="29"/>
  <c r="K132" i="29" s="1"/>
  <c r="I132" i="29"/>
  <c r="M132" i="29" s="1"/>
  <c r="J131" i="29"/>
  <c r="K131" i="29" s="1"/>
  <c r="I131" i="29"/>
  <c r="M131" i="29" s="1"/>
  <c r="J130" i="29"/>
  <c r="K130" i="29" s="1"/>
  <c r="I130" i="29"/>
  <c r="M130" i="29" s="1"/>
  <c r="J129" i="29"/>
  <c r="K129" i="29" s="1"/>
  <c r="I129" i="29"/>
  <c r="M129" i="29" s="1"/>
  <c r="J128" i="29"/>
  <c r="K128" i="29" s="1"/>
  <c r="I128" i="29"/>
  <c r="M128" i="29" s="1"/>
  <c r="J127" i="29"/>
  <c r="K127" i="29" s="1"/>
  <c r="I127" i="29"/>
  <c r="M127" i="29" s="1"/>
  <c r="J126" i="29"/>
  <c r="K126" i="29" s="1"/>
  <c r="I126" i="29"/>
  <c r="M126" i="29" s="1"/>
  <c r="J125" i="29"/>
  <c r="K125" i="29" s="1"/>
  <c r="I125" i="29"/>
  <c r="M125" i="29" s="1"/>
  <c r="J124" i="29"/>
  <c r="K124" i="29" s="1"/>
  <c r="I124" i="29"/>
  <c r="M124" i="29" s="1"/>
  <c r="J123" i="29"/>
  <c r="K123" i="29" s="1"/>
  <c r="I123" i="29"/>
  <c r="M123" i="29" s="1"/>
  <c r="J122" i="29"/>
  <c r="K122" i="29" s="1"/>
  <c r="I122" i="29"/>
  <c r="M122" i="29" s="1"/>
  <c r="J121" i="29"/>
  <c r="K121" i="29" s="1"/>
  <c r="I121" i="29"/>
  <c r="M121" i="29" s="1"/>
  <c r="J120" i="29"/>
  <c r="K120" i="29" s="1"/>
  <c r="I120" i="29"/>
  <c r="M120" i="29" s="1"/>
  <c r="J119" i="29"/>
  <c r="K119" i="29" s="1"/>
  <c r="I119" i="29"/>
  <c r="M119" i="29" s="1"/>
  <c r="J118" i="29"/>
  <c r="K118" i="29" s="1"/>
  <c r="I118" i="29"/>
  <c r="M118" i="29" s="1"/>
  <c r="J117" i="29"/>
  <c r="K117" i="29" s="1"/>
  <c r="I117" i="29"/>
  <c r="M117" i="29" s="1"/>
  <c r="J116" i="29"/>
  <c r="K116" i="29" s="1"/>
  <c r="I116" i="29"/>
  <c r="M116" i="29" s="1"/>
  <c r="J115" i="29"/>
  <c r="K115" i="29" s="1"/>
  <c r="I115" i="29"/>
  <c r="M115" i="29" s="1"/>
  <c r="J114" i="29"/>
  <c r="K114" i="29" s="1"/>
  <c r="I114" i="29"/>
  <c r="M114" i="29" s="1"/>
  <c r="J113" i="29"/>
  <c r="K113" i="29" s="1"/>
  <c r="I113" i="29"/>
  <c r="M113" i="29" s="1"/>
  <c r="J112" i="29"/>
  <c r="K112" i="29" s="1"/>
  <c r="I112" i="29"/>
  <c r="M112" i="29" s="1"/>
  <c r="J111" i="29"/>
  <c r="K111" i="29" s="1"/>
  <c r="I111" i="29"/>
  <c r="M111" i="29" s="1"/>
  <c r="J110" i="29"/>
  <c r="K110" i="29" s="1"/>
  <c r="I110" i="29"/>
  <c r="M110" i="29" s="1"/>
  <c r="J109" i="29"/>
  <c r="K109" i="29" s="1"/>
  <c r="I109" i="29"/>
  <c r="M109" i="29" s="1"/>
  <c r="J108" i="29"/>
  <c r="K108" i="29" s="1"/>
  <c r="I108" i="29"/>
  <c r="M108" i="29" s="1"/>
  <c r="J107" i="29"/>
  <c r="K107" i="29" s="1"/>
  <c r="I107" i="29"/>
  <c r="M107" i="29" s="1"/>
  <c r="J106" i="29"/>
  <c r="K106" i="29" s="1"/>
  <c r="I106" i="29"/>
  <c r="M106" i="29" s="1"/>
  <c r="J105" i="29"/>
  <c r="K105" i="29" s="1"/>
  <c r="I105" i="29"/>
  <c r="M105" i="29" s="1"/>
  <c r="J104" i="29"/>
  <c r="K104" i="29" s="1"/>
  <c r="I104" i="29"/>
  <c r="M104" i="29" s="1"/>
  <c r="J103" i="29"/>
  <c r="K103" i="29" s="1"/>
  <c r="I103" i="29"/>
  <c r="M103" i="29" s="1"/>
  <c r="J102" i="29"/>
  <c r="K102" i="29" s="1"/>
  <c r="I102" i="29"/>
  <c r="M102" i="29" s="1"/>
  <c r="J101" i="29"/>
  <c r="K101" i="29" s="1"/>
  <c r="I101" i="29"/>
  <c r="M101" i="29" s="1"/>
  <c r="J100" i="29"/>
  <c r="K100" i="29" s="1"/>
  <c r="I100" i="29"/>
  <c r="M100" i="29" s="1"/>
  <c r="J99" i="29"/>
  <c r="K99" i="29" s="1"/>
  <c r="I99" i="29"/>
  <c r="M99" i="29" s="1"/>
  <c r="J98" i="29"/>
  <c r="K98" i="29" s="1"/>
  <c r="I98" i="29"/>
  <c r="M98" i="29" s="1"/>
  <c r="J97" i="29"/>
  <c r="K97" i="29" s="1"/>
  <c r="I97" i="29"/>
  <c r="M97" i="29" s="1"/>
  <c r="J96" i="29"/>
  <c r="K96" i="29" s="1"/>
  <c r="I96" i="29"/>
  <c r="M96" i="29" s="1"/>
  <c r="J95" i="29"/>
  <c r="K95" i="29" s="1"/>
  <c r="I95" i="29"/>
  <c r="M95" i="29" s="1"/>
  <c r="J94" i="29"/>
  <c r="K94" i="29" s="1"/>
  <c r="I94" i="29"/>
  <c r="M94" i="29" s="1"/>
  <c r="J93" i="29"/>
  <c r="K93" i="29" s="1"/>
  <c r="I93" i="29"/>
  <c r="M93" i="29" s="1"/>
  <c r="J92" i="29"/>
  <c r="K92" i="29" s="1"/>
  <c r="I92" i="29"/>
  <c r="M92" i="29" s="1"/>
  <c r="J91" i="29"/>
  <c r="K91" i="29" s="1"/>
  <c r="I91" i="29"/>
  <c r="M91" i="29" s="1"/>
  <c r="J90" i="29"/>
  <c r="K90" i="29" s="1"/>
  <c r="I90" i="29"/>
  <c r="M90" i="29" s="1"/>
  <c r="J89" i="29"/>
  <c r="K89" i="29" s="1"/>
  <c r="I89" i="29"/>
  <c r="M89" i="29" s="1"/>
  <c r="J88" i="29"/>
  <c r="K88" i="29" s="1"/>
  <c r="I88" i="29"/>
  <c r="M88" i="29" s="1"/>
  <c r="J87" i="29"/>
  <c r="K87" i="29" s="1"/>
  <c r="I87" i="29"/>
  <c r="M87" i="29" s="1"/>
  <c r="J86" i="29"/>
  <c r="K86" i="29" s="1"/>
  <c r="I86" i="29"/>
  <c r="M86" i="29" s="1"/>
  <c r="J85" i="29"/>
  <c r="K85" i="29" s="1"/>
  <c r="I85" i="29"/>
  <c r="M85" i="29" s="1"/>
  <c r="J84" i="29"/>
  <c r="K84" i="29" s="1"/>
  <c r="I84" i="29"/>
  <c r="M84" i="29" s="1"/>
  <c r="J83" i="29"/>
  <c r="K83" i="29" s="1"/>
  <c r="I83" i="29"/>
  <c r="M83" i="29" s="1"/>
  <c r="J82" i="29"/>
  <c r="K82" i="29" s="1"/>
  <c r="I82" i="29"/>
  <c r="M82" i="29" s="1"/>
  <c r="J81" i="29"/>
  <c r="K81" i="29" s="1"/>
  <c r="I81" i="29"/>
  <c r="M81" i="29" s="1"/>
  <c r="J80" i="29"/>
  <c r="K80" i="29" s="1"/>
  <c r="I80" i="29"/>
  <c r="M80" i="29" s="1"/>
  <c r="J79" i="29"/>
  <c r="K79" i="29" s="1"/>
  <c r="I79" i="29"/>
  <c r="M79" i="29" s="1"/>
  <c r="J78" i="29"/>
  <c r="K78" i="29" s="1"/>
  <c r="I78" i="29"/>
  <c r="M78" i="29" s="1"/>
  <c r="J77" i="29"/>
  <c r="K77" i="29" s="1"/>
  <c r="I77" i="29"/>
  <c r="M77" i="29" s="1"/>
  <c r="J76" i="29"/>
  <c r="K76" i="29" s="1"/>
  <c r="I76" i="29"/>
  <c r="M76" i="29" s="1"/>
  <c r="J75" i="29"/>
  <c r="K75" i="29" s="1"/>
  <c r="I75" i="29"/>
  <c r="M75" i="29" s="1"/>
  <c r="J74" i="29"/>
  <c r="K74" i="29" s="1"/>
  <c r="I74" i="29"/>
  <c r="M74" i="29" s="1"/>
  <c r="J73" i="29"/>
  <c r="K73" i="29" s="1"/>
  <c r="I73" i="29"/>
  <c r="M73" i="29" s="1"/>
  <c r="J72" i="29"/>
  <c r="K72" i="29" s="1"/>
  <c r="I72" i="29"/>
  <c r="M72" i="29" s="1"/>
  <c r="J71" i="29"/>
  <c r="K71" i="29" s="1"/>
  <c r="I71" i="29"/>
  <c r="M71" i="29" s="1"/>
  <c r="J70" i="29"/>
  <c r="K70" i="29" s="1"/>
  <c r="I70" i="29"/>
  <c r="M70" i="29" s="1"/>
  <c r="J69" i="29"/>
  <c r="K69" i="29" s="1"/>
  <c r="I69" i="29"/>
  <c r="M69" i="29" s="1"/>
  <c r="J68" i="29"/>
  <c r="K68" i="29" s="1"/>
  <c r="I68" i="29"/>
  <c r="M68" i="29" s="1"/>
  <c r="J67" i="29"/>
  <c r="K67" i="29" s="1"/>
  <c r="I67" i="29"/>
  <c r="M67" i="29" s="1"/>
  <c r="J66" i="29"/>
  <c r="K66" i="29" s="1"/>
  <c r="I66" i="29"/>
  <c r="M66" i="29" s="1"/>
  <c r="J65" i="29"/>
  <c r="K65" i="29" s="1"/>
  <c r="I65" i="29"/>
  <c r="M65" i="29" s="1"/>
  <c r="B65" i="29"/>
  <c r="J64" i="29"/>
  <c r="K64" i="29" s="1"/>
  <c r="I64" i="29"/>
  <c r="M64" i="29" s="1"/>
  <c r="B64" i="29"/>
  <c r="J63" i="29"/>
  <c r="K63" i="29" s="1"/>
  <c r="I63" i="29"/>
  <c r="M63" i="29" s="1"/>
  <c r="B63" i="29"/>
  <c r="J62" i="29"/>
  <c r="K62" i="29" s="1"/>
  <c r="I62" i="29"/>
  <c r="M62" i="29" s="1"/>
  <c r="B62" i="29"/>
  <c r="J61" i="29"/>
  <c r="K61" i="29" s="1"/>
  <c r="I61" i="29"/>
  <c r="M61" i="29" s="1"/>
  <c r="B61" i="29"/>
  <c r="J60" i="29"/>
  <c r="K60" i="29" s="1"/>
  <c r="I60" i="29"/>
  <c r="M60" i="29" s="1"/>
  <c r="B60" i="29"/>
  <c r="J59" i="29"/>
  <c r="K59" i="29" s="1"/>
  <c r="I59" i="29"/>
  <c r="M59" i="29" s="1"/>
  <c r="B59" i="29"/>
  <c r="J58" i="29"/>
  <c r="K58" i="29" s="1"/>
  <c r="I58" i="29"/>
  <c r="M58" i="29" s="1"/>
  <c r="B58" i="29"/>
  <c r="J57" i="29"/>
  <c r="K57" i="29" s="1"/>
  <c r="I57" i="29"/>
  <c r="M57" i="29" s="1"/>
  <c r="B57" i="29"/>
  <c r="J56" i="29"/>
  <c r="K56" i="29" s="1"/>
  <c r="I56" i="29"/>
  <c r="M56" i="29" s="1"/>
  <c r="B56" i="29"/>
  <c r="J55" i="29"/>
  <c r="K55" i="29" s="1"/>
  <c r="I55" i="29"/>
  <c r="M55" i="29" s="1"/>
  <c r="B55" i="29"/>
  <c r="J54" i="29"/>
  <c r="K54" i="29" s="1"/>
  <c r="I54" i="29"/>
  <c r="M54" i="29" s="1"/>
  <c r="B54" i="29"/>
  <c r="J53" i="29"/>
  <c r="K53" i="29" s="1"/>
  <c r="I53" i="29"/>
  <c r="M53" i="29" s="1"/>
  <c r="B53" i="29"/>
  <c r="J52" i="29"/>
  <c r="K52" i="29" s="1"/>
  <c r="I52" i="29"/>
  <c r="M52" i="29" s="1"/>
  <c r="B52" i="29"/>
  <c r="J51" i="29"/>
  <c r="K51" i="29" s="1"/>
  <c r="I51" i="29"/>
  <c r="M51" i="29" s="1"/>
  <c r="B51" i="29"/>
  <c r="J50" i="29"/>
  <c r="K50" i="29" s="1"/>
  <c r="I50" i="29"/>
  <c r="M50" i="29" s="1"/>
  <c r="B50" i="29"/>
  <c r="J49" i="29"/>
  <c r="K49" i="29" s="1"/>
  <c r="I49" i="29"/>
  <c r="M49" i="29" s="1"/>
  <c r="B49" i="29"/>
  <c r="J48" i="29"/>
  <c r="K48" i="29" s="1"/>
  <c r="I48" i="29"/>
  <c r="M48" i="29" s="1"/>
  <c r="B48" i="29"/>
  <c r="J47" i="29"/>
  <c r="K47" i="29" s="1"/>
  <c r="I47" i="29"/>
  <c r="M47" i="29" s="1"/>
  <c r="B47" i="29"/>
  <c r="T46" i="29"/>
  <c r="R46" i="29"/>
  <c r="U46" i="29" s="1"/>
  <c r="J46" i="29"/>
  <c r="K46" i="29" s="1"/>
  <c r="I46" i="29"/>
  <c r="M46" i="29" s="1"/>
  <c r="B46" i="29"/>
  <c r="J45" i="29"/>
  <c r="K45" i="29" s="1"/>
  <c r="I45" i="29"/>
  <c r="M45" i="29" s="1"/>
  <c r="B45" i="29"/>
  <c r="J44" i="29"/>
  <c r="K44" i="29" s="1"/>
  <c r="I44" i="29"/>
  <c r="M44" i="29" s="1"/>
  <c r="B44" i="29"/>
  <c r="J43" i="29"/>
  <c r="K43" i="29" s="1"/>
  <c r="I43" i="29"/>
  <c r="M43" i="29" s="1"/>
  <c r="B43" i="29"/>
  <c r="K42" i="29"/>
  <c r="J42" i="29"/>
  <c r="I42" i="29"/>
  <c r="M42" i="29" s="1"/>
  <c r="B42" i="29"/>
  <c r="J41" i="29"/>
  <c r="K41" i="29" s="1"/>
  <c r="I41" i="29"/>
  <c r="M41" i="29" s="1"/>
  <c r="B41" i="29"/>
  <c r="J40" i="29"/>
  <c r="K40" i="29" s="1"/>
  <c r="I40" i="29"/>
  <c r="M40" i="29" s="1"/>
  <c r="B40" i="29"/>
  <c r="J39" i="29"/>
  <c r="K39" i="29" s="1"/>
  <c r="I39" i="29"/>
  <c r="M39" i="29" s="1"/>
  <c r="B39" i="29"/>
  <c r="J38" i="29"/>
  <c r="K38" i="29" s="1"/>
  <c r="I38" i="29"/>
  <c r="M38" i="29" s="1"/>
  <c r="B38" i="29"/>
  <c r="J37" i="29"/>
  <c r="K37" i="29" s="1"/>
  <c r="I37" i="29"/>
  <c r="M37" i="29" s="1"/>
  <c r="A37" i="29" s="1"/>
  <c r="B37" i="29"/>
  <c r="J36" i="29"/>
  <c r="K36" i="29" s="1"/>
  <c r="I36" i="29"/>
  <c r="M36" i="29" s="1"/>
  <c r="A36" i="29" s="1"/>
  <c r="B36" i="29"/>
  <c r="J35" i="29"/>
  <c r="K35" i="29" s="1"/>
  <c r="I35" i="29"/>
  <c r="M35" i="29" s="1"/>
  <c r="A35" i="29" s="1"/>
  <c r="B35" i="29"/>
  <c r="J34" i="29"/>
  <c r="K34" i="29" s="1"/>
  <c r="I34" i="29"/>
  <c r="M34" i="29" s="1"/>
  <c r="A34" i="29" s="1"/>
  <c r="B34" i="29"/>
  <c r="J33" i="29"/>
  <c r="K33" i="29" s="1"/>
  <c r="I33" i="29"/>
  <c r="M33" i="29" s="1"/>
  <c r="A33" i="29" s="1"/>
  <c r="B33" i="29"/>
  <c r="J32" i="29"/>
  <c r="K32" i="29" s="1"/>
  <c r="I32" i="29"/>
  <c r="M32" i="29" s="1"/>
  <c r="A32" i="29" s="1"/>
  <c r="B32" i="29"/>
  <c r="J31" i="29"/>
  <c r="K31" i="29" s="1"/>
  <c r="I31" i="29"/>
  <c r="M31" i="29" s="1"/>
  <c r="A31" i="29" s="1"/>
  <c r="B31" i="29"/>
  <c r="J30" i="29"/>
  <c r="K30" i="29" s="1"/>
  <c r="I30" i="29"/>
  <c r="M30" i="29" s="1"/>
  <c r="A30" i="29" s="1"/>
  <c r="B30" i="29"/>
  <c r="J29" i="29"/>
  <c r="K29" i="29" s="1"/>
  <c r="I29" i="29"/>
  <c r="M29" i="29" s="1"/>
  <c r="A29" i="29" s="1"/>
  <c r="B29" i="29"/>
  <c r="J28" i="29"/>
  <c r="K28" i="29" s="1"/>
  <c r="I28" i="29"/>
  <c r="M28" i="29" s="1"/>
  <c r="A28" i="29" s="1"/>
  <c r="B28" i="29"/>
  <c r="J27" i="29"/>
  <c r="K27" i="29" s="1"/>
  <c r="I27" i="29"/>
  <c r="M27" i="29" s="1"/>
  <c r="A27" i="29" s="1"/>
  <c r="B27" i="29"/>
  <c r="J26" i="29"/>
  <c r="K26" i="29" s="1"/>
  <c r="I26" i="29"/>
  <c r="M26" i="29" s="1"/>
  <c r="A26" i="29" s="1"/>
  <c r="B26" i="29"/>
  <c r="J25" i="29"/>
  <c r="K25" i="29" s="1"/>
  <c r="I25" i="29"/>
  <c r="M25" i="29" s="1"/>
  <c r="A25" i="29" s="1"/>
  <c r="B25" i="29"/>
  <c r="J24" i="29"/>
  <c r="K24" i="29" s="1"/>
  <c r="I24" i="29"/>
  <c r="M24" i="29" s="1"/>
  <c r="A24" i="29" s="1"/>
  <c r="B24" i="29"/>
  <c r="J23" i="29"/>
  <c r="K23" i="29" s="1"/>
  <c r="I23" i="29"/>
  <c r="M23" i="29" s="1"/>
  <c r="A23" i="29" s="1"/>
  <c r="B23" i="29"/>
  <c r="J22" i="29"/>
  <c r="K22" i="29" s="1"/>
  <c r="I22" i="29"/>
  <c r="M22" i="29" s="1"/>
  <c r="A22" i="29" s="1"/>
  <c r="B22" i="29"/>
  <c r="J21" i="29"/>
  <c r="K21" i="29" s="1"/>
  <c r="I21" i="29"/>
  <c r="M21" i="29" s="1"/>
  <c r="A21" i="29" s="1"/>
  <c r="B21" i="29"/>
  <c r="J20" i="29"/>
  <c r="K20" i="29" s="1"/>
  <c r="I20" i="29"/>
  <c r="M20" i="29" s="1"/>
  <c r="A20" i="29" s="1"/>
  <c r="B20" i="29"/>
  <c r="J19" i="29"/>
  <c r="K19" i="29" s="1"/>
  <c r="I19" i="29"/>
  <c r="M19" i="29" s="1"/>
  <c r="A19" i="29" s="1"/>
  <c r="B19" i="29"/>
  <c r="J18" i="29"/>
  <c r="K18" i="29" s="1"/>
  <c r="I18" i="29"/>
  <c r="M18" i="29" s="1"/>
  <c r="A18" i="29" s="1"/>
  <c r="B18" i="29"/>
  <c r="J17" i="29"/>
  <c r="K17" i="29" s="1"/>
  <c r="I17" i="29"/>
  <c r="M17" i="29" s="1"/>
  <c r="A17" i="29" s="1"/>
  <c r="B17" i="29"/>
  <c r="J16" i="29"/>
  <c r="K16" i="29" s="1"/>
  <c r="I16" i="29"/>
  <c r="M16" i="29" s="1"/>
  <c r="A16" i="29" s="1"/>
  <c r="B16" i="29"/>
  <c r="J15" i="29"/>
  <c r="K15" i="29" s="1"/>
  <c r="I15" i="29"/>
  <c r="M15" i="29" s="1"/>
  <c r="A15" i="29" s="1"/>
  <c r="B15" i="29"/>
  <c r="AI14" i="29"/>
  <c r="AI16" i="29" s="1"/>
  <c r="J14" i="29"/>
  <c r="K14" i="29" s="1"/>
  <c r="I14" i="29"/>
  <c r="M14" i="29" s="1"/>
  <c r="A14" i="29" s="1"/>
  <c r="B14" i="29"/>
  <c r="AI13" i="29"/>
  <c r="J13" i="29"/>
  <c r="K13" i="29" s="1"/>
  <c r="I13" i="29"/>
  <c r="M13" i="29" s="1"/>
  <c r="A13" i="29" s="1"/>
  <c r="AI12" i="29"/>
  <c r="J12" i="29"/>
  <c r="K12" i="29" s="1"/>
  <c r="I12" i="29"/>
  <c r="M12" i="29" s="1"/>
  <c r="A12" i="29" s="1"/>
  <c r="J11" i="29"/>
  <c r="K11" i="29" s="1"/>
  <c r="I11" i="29"/>
  <c r="J10" i="29"/>
  <c r="K10" i="29" s="1"/>
  <c r="I10" i="29"/>
  <c r="J9" i="29"/>
  <c r="K9" i="29" s="1"/>
  <c r="I9" i="29"/>
  <c r="J8" i="29"/>
  <c r="K8" i="29" s="1"/>
  <c r="I8" i="29"/>
  <c r="J7" i="29"/>
  <c r="K7" i="29" s="1"/>
  <c r="I7" i="29"/>
  <c r="J6" i="29"/>
  <c r="K6" i="29" s="1"/>
  <c r="I6" i="29"/>
  <c r="I21" i="20"/>
  <c r="K2" i="29"/>
  <c r="L6" i="29" s="1"/>
  <c r="B15" i="17"/>
  <c r="B14" i="17"/>
  <c r="B13" i="17"/>
  <c r="B12" i="17"/>
  <c r="M6" i="35" l="1"/>
  <c r="A6" i="35" s="1"/>
  <c r="M17" i="35"/>
  <c r="A17" i="35" s="1"/>
  <c r="AD12" i="20"/>
  <c r="AE12" i="20" s="1"/>
  <c r="AD20" i="20"/>
  <c r="AE20" i="20" s="1"/>
  <c r="M14" i="35"/>
  <c r="A14" i="35" s="1"/>
  <c r="AD21" i="20"/>
  <c r="AE21" i="20" s="1"/>
  <c r="AE8" i="20"/>
  <c r="AD14" i="20"/>
  <c r="AE14" i="20" s="1"/>
  <c r="AD22" i="20"/>
  <c r="AE22" i="20" s="1"/>
  <c r="AE9" i="20"/>
  <c r="AD15" i="20"/>
  <c r="AE15" i="20" s="1"/>
  <c r="AD23" i="20"/>
  <c r="AE23" i="20" s="1"/>
  <c r="M15" i="35"/>
  <c r="A15" i="35" s="1"/>
  <c r="AE6" i="20"/>
  <c r="AD16" i="20"/>
  <c r="AE16" i="20" s="1"/>
  <c r="AD24" i="20"/>
  <c r="AE24" i="20" s="1"/>
  <c r="M13" i="35"/>
  <c r="A13" i="35" s="1"/>
  <c r="M19" i="35"/>
  <c r="A19" i="35" s="1"/>
  <c r="AD13" i="20"/>
  <c r="AE13" i="20" s="1"/>
  <c r="AD17" i="20"/>
  <c r="AE17" i="20" s="1"/>
  <c r="AD25" i="20"/>
  <c r="AE25" i="20" s="1"/>
  <c r="AE10" i="20"/>
  <c r="AD18" i="20"/>
  <c r="AE18" i="20" s="1"/>
  <c r="AE11" i="20"/>
  <c r="M8" i="30"/>
  <c r="A8" i="30" s="1"/>
  <c r="AB25" i="20"/>
  <c r="AB17" i="20"/>
  <c r="AB18" i="20"/>
  <c r="AB24" i="20"/>
  <c r="AB16" i="20"/>
  <c r="AB19" i="20"/>
  <c r="AB23" i="20"/>
  <c r="AB15" i="20"/>
  <c r="AB22" i="20"/>
  <c r="AB14" i="20"/>
  <c r="AB21" i="20"/>
  <c r="AB13" i="20"/>
  <c r="AB20" i="20"/>
  <c r="L7" i="32"/>
  <c r="M7" i="32" s="1"/>
  <c r="A7" i="32" s="1"/>
  <c r="M17" i="32"/>
  <c r="A17" i="32" s="1"/>
  <c r="AC7" i="20"/>
  <c r="M21" i="32"/>
  <c r="A21" i="32" s="1"/>
  <c r="AC9" i="20"/>
  <c r="M8" i="32"/>
  <c r="A8" i="32" s="1"/>
  <c r="M12" i="32"/>
  <c r="A12" i="32" s="1"/>
  <c r="AC12" i="20"/>
  <c r="L9" i="32"/>
  <c r="M9" i="32" s="1"/>
  <c r="A9" i="32" s="1"/>
  <c r="M11" i="32"/>
  <c r="A11" i="32" s="1"/>
  <c r="AC6" i="20"/>
  <c r="L6" i="32"/>
  <c r="M6" i="32" s="1"/>
  <c r="A6" i="32" s="1"/>
  <c r="M18" i="32"/>
  <c r="A18" i="32" s="1"/>
  <c r="M22" i="32"/>
  <c r="A22" i="32" s="1"/>
  <c r="AC11" i="20"/>
  <c r="AC10" i="20"/>
  <c r="L8" i="33"/>
  <c r="M11" i="33"/>
  <c r="A11" i="33" s="1"/>
  <c r="N9" i="20"/>
  <c r="N10" i="20"/>
  <c r="L8" i="31"/>
  <c r="N7" i="13"/>
  <c r="M8" i="13"/>
  <c r="N8" i="13" s="1"/>
  <c r="N6" i="20"/>
  <c r="M7" i="20"/>
  <c r="N7" i="20" s="1"/>
  <c r="M17" i="20"/>
  <c r="N17" i="20" s="1"/>
  <c r="M6" i="13"/>
  <c r="N6" i="13" s="1"/>
  <c r="M18" i="20"/>
  <c r="N18" i="20" s="1"/>
  <c r="M22" i="20"/>
  <c r="N22" i="20" s="1"/>
  <c r="N11" i="13"/>
  <c r="M14" i="13"/>
  <c r="N14" i="13" s="1"/>
  <c r="N8" i="20"/>
  <c r="M14" i="20"/>
  <c r="N14" i="20" s="1"/>
  <c r="L7" i="31"/>
  <c r="M7" i="31" s="1"/>
  <c r="A7" i="31" s="1"/>
  <c r="M15" i="13"/>
  <c r="N15" i="13" s="1"/>
  <c r="M19" i="20"/>
  <c r="N19" i="20" s="1"/>
  <c r="M23" i="20"/>
  <c r="N23" i="20" s="1"/>
  <c r="N9" i="13"/>
  <c r="N21" i="20"/>
  <c r="N13" i="13"/>
  <c r="M16" i="13"/>
  <c r="N16" i="13" s="1"/>
  <c r="N13" i="20"/>
  <c r="M15" i="20"/>
  <c r="N15" i="20" s="1"/>
  <c r="M24" i="20"/>
  <c r="N24" i="20" s="1"/>
  <c r="N19" i="13"/>
  <c r="N12" i="13"/>
  <c r="M17" i="13"/>
  <c r="N17" i="13" s="1"/>
  <c r="N11" i="20"/>
  <c r="M20" i="20"/>
  <c r="N20" i="20" s="1"/>
  <c r="M25" i="20"/>
  <c r="N25" i="20" s="1"/>
  <c r="N12" i="20"/>
  <c r="N10" i="13"/>
  <c r="M18" i="13"/>
  <c r="N18" i="13" s="1"/>
  <c r="M10" i="33"/>
  <c r="A10" i="33" s="1"/>
  <c r="M15" i="33"/>
  <c r="A15" i="33" s="1"/>
  <c r="M22" i="33"/>
  <c r="A22" i="33" s="1"/>
  <c r="M24" i="33"/>
  <c r="A24" i="33" s="1"/>
  <c r="M12" i="33"/>
  <c r="A12" i="33" s="1"/>
  <c r="M8" i="33"/>
  <c r="A8" i="33" s="1"/>
  <c r="L9" i="33"/>
  <c r="M9" i="33" s="1"/>
  <c r="A9" i="33" s="1"/>
  <c r="M13" i="33"/>
  <c r="A13" i="33" s="1"/>
  <c r="M18" i="33"/>
  <c r="A18" i="33" s="1"/>
  <c r="M20" i="33"/>
  <c r="A20" i="33" s="1"/>
  <c r="L11" i="13"/>
  <c r="L6" i="20"/>
  <c r="K14" i="13"/>
  <c r="K7" i="20"/>
  <c r="K24" i="20"/>
  <c r="L9" i="13"/>
  <c r="L7" i="13"/>
  <c r="L8" i="20"/>
  <c r="L13" i="13"/>
  <c r="K16" i="13"/>
  <c r="K25" i="20"/>
  <c r="L10" i="20"/>
  <c r="L12" i="13"/>
  <c r="K17" i="13"/>
  <c r="L13" i="20"/>
  <c r="K14" i="20"/>
  <c r="K18" i="20"/>
  <c r="L10" i="13"/>
  <c r="K18" i="13"/>
  <c r="L9" i="20"/>
  <c r="L11" i="20"/>
  <c r="M9" i="29"/>
  <c r="A9" i="29" s="1"/>
  <c r="M10" i="29"/>
  <c r="A10" i="29" s="1"/>
  <c r="I18" i="13"/>
  <c r="I16" i="20"/>
  <c r="J16" i="20" s="1"/>
  <c r="I24" i="20"/>
  <c r="M6" i="29"/>
  <c r="A6" i="29" s="1"/>
  <c r="J11" i="13"/>
  <c r="I19" i="13"/>
  <c r="J19" i="13" s="1"/>
  <c r="J11" i="20"/>
  <c r="I19" i="20"/>
  <c r="I6" i="13"/>
  <c r="I17" i="20"/>
  <c r="J17" i="20" s="1"/>
  <c r="I25" i="20"/>
  <c r="J14" i="20"/>
  <c r="I14" i="13"/>
  <c r="J14" i="13" s="1"/>
  <c r="J6" i="20"/>
  <c r="I12" i="20"/>
  <c r="I20" i="20"/>
  <c r="J20" i="20" s="1"/>
  <c r="J7" i="13"/>
  <c r="M11" i="29"/>
  <c r="A11" i="29" s="1"/>
  <c r="I15" i="13"/>
  <c r="I15" i="20"/>
  <c r="I23" i="20"/>
  <c r="J13" i="13"/>
  <c r="I16" i="13"/>
  <c r="J16" i="13" s="1"/>
  <c r="I18" i="20"/>
  <c r="J12" i="13"/>
  <c r="I17" i="13"/>
  <c r="I7" i="20"/>
  <c r="J7" i="20" s="1"/>
  <c r="L9" i="36"/>
  <c r="L8" i="36"/>
  <c r="L7" i="36"/>
  <c r="L9" i="35"/>
  <c r="M9" i="35" s="1"/>
  <c r="A9" i="35" s="1"/>
  <c r="L8" i="35"/>
  <c r="M8" i="35" s="1"/>
  <c r="A8" i="35" s="1"/>
  <c r="AE7" i="20" s="1"/>
  <c r="L7" i="35"/>
  <c r="M7" i="35" s="1"/>
  <c r="A7" i="35" s="1"/>
  <c r="L7" i="33"/>
  <c r="M7" i="33" s="1"/>
  <c r="A7" i="33" s="1"/>
  <c r="L6" i="30"/>
  <c r="M6" i="30" s="1"/>
  <c r="A6" i="30" s="1"/>
  <c r="L8" i="29"/>
  <c r="M8" i="29" s="1"/>
  <c r="A8" i="29" s="1"/>
  <c r="J9" i="13" s="1"/>
  <c r="L7" i="29"/>
  <c r="M7" i="29" s="1"/>
  <c r="A7" i="29" s="1"/>
  <c r="J10" i="13" s="1"/>
  <c r="AC19" i="20" l="1"/>
  <c r="AC20" i="20"/>
  <c r="AC13" i="20"/>
  <c r="AC24" i="20"/>
  <c r="AC21" i="20"/>
  <c r="AC18" i="20"/>
  <c r="AC23" i="20"/>
  <c r="AC16" i="20"/>
  <c r="AC14" i="20"/>
  <c r="AC22" i="20"/>
  <c r="AC25" i="20"/>
  <c r="AC17" i="20"/>
  <c r="AC15" i="20"/>
  <c r="L8" i="13"/>
  <c r="L12" i="20"/>
  <c r="L19" i="13"/>
  <c r="L23" i="20"/>
  <c r="L6" i="13"/>
  <c r="L21" i="20"/>
  <c r="L15" i="13"/>
  <c r="L17" i="20"/>
  <c r="L22" i="20"/>
  <c r="L16" i="20"/>
  <c r="L20" i="20"/>
  <c r="L15" i="20"/>
  <c r="L19" i="20"/>
  <c r="L7" i="20"/>
  <c r="L18" i="13"/>
  <c r="L16" i="13"/>
  <c r="L24" i="20"/>
  <c r="L14" i="20"/>
  <c r="L14" i="13"/>
  <c r="L25" i="20"/>
  <c r="L18" i="20"/>
  <c r="L17" i="13"/>
  <c r="J8" i="20"/>
  <c r="J25" i="20"/>
  <c r="J9" i="20"/>
  <c r="J13" i="20"/>
  <c r="J10" i="20"/>
  <c r="J12" i="20"/>
  <c r="J23" i="20"/>
  <c r="J17" i="13"/>
  <c r="J15" i="20"/>
  <c r="J21" i="20"/>
  <c r="J8" i="13"/>
  <c r="J22" i="20"/>
  <c r="J18" i="20"/>
  <c r="J15" i="13"/>
  <c r="J24" i="20"/>
  <c r="J18" i="13"/>
  <c r="J6" i="13"/>
  <c r="J19" i="20"/>
  <c r="I6" i="19"/>
  <c r="I6" i="18"/>
  <c r="I6" i="17"/>
  <c r="O25" i="20"/>
  <c r="O24" i="20"/>
  <c r="O23" i="20"/>
  <c r="O22" i="20"/>
  <c r="O21" i="20"/>
  <c r="O20" i="20"/>
  <c r="O19" i="20"/>
  <c r="O18" i="20"/>
  <c r="O17" i="20"/>
  <c r="G17" i="20"/>
  <c r="O16" i="20"/>
  <c r="O15" i="20"/>
  <c r="O14" i="20"/>
  <c r="O7" i="20"/>
  <c r="G7" i="20"/>
  <c r="O12" i="20"/>
  <c r="G12" i="20"/>
  <c r="O11" i="20"/>
  <c r="G11" i="20"/>
  <c r="O6" i="20"/>
  <c r="G6" i="20"/>
  <c r="E6" i="20"/>
  <c r="O13" i="20"/>
  <c r="G13" i="20"/>
  <c r="O10" i="20"/>
  <c r="E10" i="20"/>
  <c r="O9" i="20"/>
  <c r="G9" i="20"/>
  <c r="O8" i="20"/>
  <c r="G8" i="20"/>
  <c r="E8" i="20"/>
  <c r="J305" i="28"/>
  <c r="K305" i="28" s="1"/>
  <c r="I305" i="28"/>
  <c r="N305" i="28" s="1"/>
  <c r="A305" i="28" s="1"/>
  <c r="J304" i="28"/>
  <c r="K304" i="28" s="1"/>
  <c r="I304" i="28"/>
  <c r="J303" i="28"/>
  <c r="K303" i="28" s="1"/>
  <c r="I303" i="28"/>
  <c r="J302" i="28"/>
  <c r="K302" i="28" s="1"/>
  <c r="I302" i="28"/>
  <c r="N302" i="28" s="1"/>
  <c r="A302" i="28" s="1"/>
  <c r="J301" i="28"/>
  <c r="K301" i="28" s="1"/>
  <c r="I301" i="28"/>
  <c r="N301" i="28" s="1"/>
  <c r="A301" i="28" s="1"/>
  <c r="J300" i="28"/>
  <c r="K300" i="28" s="1"/>
  <c r="I300" i="28"/>
  <c r="J299" i="28"/>
  <c r="K299" i="28" s="1"/>
  <c r="I299" i="28"/>
  <c r="J298" i="28"/>
  <c r="K298" i="28" s="1"/>
  <c r="I298" i="28"/>
  <c r="N298" i="28" s="1"/>
  <c r="A298" i="28" s="1"/>
  <c r="J297" i="28"/>
  <c r="K297" i="28" s="1"/>
  <c r="I297" i="28"/>
  <c r="N297" i="28" s="1"/>
  <c r="A297" i="28" s="1"/>
  <c r="J296" i="28"/>
  <c r="K296" i="28" s="1"/>
  <c r="I296" i="28"/>
  <c r="J295" i="28"/>
  <c r="K295" i="28" s="1"/>
  <c r="I295" i="28"/>
  <c r="J294" i="28"/>
  <c r="K294" i="28" s="1"/>
  <c r="I294" i="28"/>
  <c r="N294" i="28" s="1"/>
  <c r="A294" i="28" s="1"/>
  <c r="J293" i="28"/>
  <c r="K293" i="28" s="1"/>
  <c r="I293" i="28"/>
  <c r="N293" i="28" s="1"/>
  <c r="A293" i="28" s="1"/>
  <c r="J292" i="28"/>
  <c r="K292" i="28" s="1"/>
  <c r="I292" i="28"/>
  <c r="J291" i="28"/>
  <c r="K291" i="28" s="1"/>
  <c r="I291" i="28"/>
  <c r="J290" i="28"/>
  <c r="K290" i="28" s="1"/>
  <c r="I290" i="28"/>
  <c r="N290" i="28" s="1"/>
  <c r="A290" i="28" s="1"/>
  <c r="J289" i="28"/>
  <c r="K289" i="28" s="1"/>
  <c r="I289" i="28"/>
  <c r="N289" i="28" s="1"/>
  <c r="A289" i="28" s="1"/>
  <c r="J288" i="28"/>
  <c r="K288" i="28" s="1"/>
  <c r="I288" i="28"/>
  <c r="J287" i="28"/>
  <c r="K287" i="28" s="1"/>
  <c r="I287" i="28"/>
  <c r="J286" i="28"/>
  <c r="K286" i="28" s="1"/>
  <c r="I286" i="28"/>
  <c r="N286" i="28" s="1"/>
  <c r="A286" i="28" s="1"/>
  <c r="J285" i="28"/>
  <c r="K285" i="28" s="1"/>
  <c r="I285" i="28"/>
  <c r="N285" i="28" s="1"/>
  <c r="A285" i="28" s="1"/>
  <c r="J284" i="28"/>
  <c r="K284" i="28" s="1"/>
  <c r="I284" i="28"/>
  <c r="J283" i="28"/>
  <c r="K283" i="28" s="1"/>
  <c r="I283" i="28"/>
  <c r="J282" i="28"/>
  <c r="K282" i="28" s="1"/>
  <c r="I282" i="28"/>
  <c r="N282" i="28" s="1"/>
  <c r="A282" i="28" s="1"/>
  <c r="J281" i="28"/>
  <c r="K281" i="28" s="1"/>
  <c r="I281" i="28"/>
  <c r="N281" i="28" s="1"/>
  <c r="A281" i="28" s="1"/>
  <c r="J280" i="28"/>
  <c r="K280" i="28" s="1"/>
  <c r="I280" i="28"/>
  <c r="J279" i="28"/>
  <c r="K279" i="28" s="1"/>
  <c r="I279" i="28"/>
  <c r="J278" i="28"/>
  <c r="K278" i="28" s="1"/>
  <c r="I278" i="28"/>
  <c r="N278" i="28" s="1"/>
  <c r="A278" i="28" s="1"/>
  <c r="J277" i="28"/>
  <c r="K277" i="28" s="1"/>
  <c r="I277" i="28"/>
  <c r="N277" i="28" s="1"/>
  <c r="A277" i="28" s="1"/>
  <c r="J276" i="28"/>
  <c r="K276" i="28" s="1"/>
  <c r="I276" i="28"/>
  <c r="J275" i="28"/>
  <c r="K275" i="28" s="1"/>
  <c r="I275" i="28"/>
  <c r="J274" i="28"/>
  <c r="K274" i="28" s="1"/>
  <c r="I274" i="28"/>
  <c r="N274" i="28" s="1"/>
  <c r="A274" i="28" s="1"/>
  <c r="J273" i="28"/>
  <c r="K273" i="28" s="1"/>
  <c r="I273" i="28"/>
  <c r="N273" i="28" s="1"/>
  <c r="A273" i="28" s="1"/>
  <c r="J272" i="28"/>
  <c r="K272" i="28" s="1"/>
  <c r="I272" i="28"/>
  <c r="J271" i="28"/>
  <c r="K271" i="28" s="1"/>
  <c r="I271" i="28"/>
  <c r="J270" i="28"/>
  <c r="K270" i="28" s="1"/>
  <c r="I270" i="28"/>
  <c r="N270" i="28" s="1"/>
  <c r="A270" i="28" s="1"/>
  <c r="J269" i="28"/>
  <c r="K269" i="28" s="1"/>
  <c r="I269" i="28"/>
  <c r="N269" i="28" s="1"/>
  <c r="A269" i="28" s="1"/>
  <c r="J268" i="28"/>
  <c r="K268" i="28" s="1"/>
  <c r="I268" i="28"/>
  <c r="J267" i="28"/>
  <c r="K267" i="28" s="1"/>
  <c r="I267" i="28"/>
  <c r="J266" i="28"/>
  <c r="K266" i="28" s="1"/>
  <c r="I266" i="28"/>
  <c r="N266" i="28" s="1"/>
  <c r="A266" i="28" s="1"/>
  <c r="J265" i="28"/>
  <c r="K265" i="28" s="1"/>
  <c r="I265" i="28"/>
  <c r="N265" i="28" s="1"/>
  <c r="A265" i="28" s="1"/>
  <c r="J264" i="28"/>
  <c r="K264" i="28" s="1"/>
  <c r="I264" i="28"/>
  <c r="J263" i="28"/>
  <c r="K263" i="28" s="1"/>
  <c r="I263" i="28"/>
  <c r="J262" i="28"/>
  <c r="K262" i="28" s="1"/>
  <c r="I262" i="28"/>
  <c r="N262" i="28" s="1"/>
  <c r="A262" i="28" s="1"/>
  <c r="J261" i="28"/>
  <c r="K261" i="28" s="1"/>
  <c r="I261" i="28"/>
  <c r="N261" i="28" s="1"/>
  <c r="A261" i="28" s="1"/>
  <c r="J260" i="28"/>
  <c r="K260" i="28" s="1"/>
  <c r="I260" i="28"/>
  <c r="J259" i="28"/>
  <c r="K259" i="28" s="1"/>
  <c r="I259" i="28"/>
  <c r="J258" i="28"/>
  <c r="K258" i="28" s="1"/>
  <c r="I258" i="28"/>
  <c r="N258" i="28" s="1"/>
  <c r="A258" i="28" s="1"/>
  <c r="J257" i="28"/>
  <c r="K257" i="28" s="1"/>
  <c r="I257" i="28"/>
  <c r="M257" i="28" s="1"/>
  <c r="J256" i="28"/>
  <c r="K256" i="28" s="1"/>
  <c r="I256" i="28"/>
  <c r="J255" i="28"/>
  <c r="K255" i="28" s="1"/>
  <c r="I255" i="28"/>
  <c r="J254" i="28"/>
  <c r="K254" i="28" s="1"/>
  <c r="I254" i="28"/>
  <c r="N254" i="28" s="1"/>
  <c r="A254" i="28" s="1"/>
  <c r="J253" i="28"/>
  <c r="K253" i="28" s="1"/>
  <c r="I253" i="28"/>
  <c r="N253" i="28" s="1"/>
  <c r="A253" i="28" s="1"/>
  <c r="J252" i="28"/>
  <c r="K252" i="28" s="1"/>
  <c r="I252" i="28"/>
  <c r="J251" i="28"/>
  <c r="K251" i="28" s="1"/>
  <c r="I251" i="28"/>
  <c r="J250" i="28"/>
  <c r="K250" i="28" s="1"/>
  <c r="I250" i="28"/>
  <c r="N250" i="28" s="1"/>
  <c r="A250" i="28" s="1"/>
  <c r="B250" i="28"/>
  <c r="J249" i="28"/>
  <c r="K249" i="28" s="1"/>
  <c r="I249" i="28"/>
  <c r="N249" i="28" s="1"/>
  <c r="A249" i="28" s="1"/>
  <c r="B249" i="28"/>
  <c r="M248" i="28"/>
  <c r="J248" i="28"/>
  <c r="K248" i="28" s="1"/>
  <c r="I248" i="28"/>
  <c r="N248" i="28" s="1"/>
  <c r="A248" i="28" s="1"/>
  <c r="B248" i="28"/>
  <c r="J247" i="28"/>
  <c r="K247" i="28" s="1"/>
  <c r="I247" i="28"/>
  <c r="N247" i="28" s="1"/>
  <c r="A247" i="28" s="1"/>
  <c r="B247" i="28"/>
  <c r="J246" i="28"/>
  <c r="K246" i="28" s="1"/>
  <c r="I246" i="28"/>
  <c r="B246" i="28"/>
  <c r="J245" i="28"/>
  <c r="K245" i="28" s="1"/>
  <c r="I245" i="28"/>
  <c r="N245" i="28" s="1"/>
  <c r="A245" i="28" s="1"/>
  <c r="B245" i="28"/>
  <c r="J244" i="28"/>
  <c r="K244" i="28" s="1"/>
  <c r="I244" i="28"/>
  <c r="B244" i="28"/>
  <c r="J243" i="28"/>
  <c r="K243" i="28" s="1"/>
  <c r="I243" i="28"/>
  <c r="M243" i="28" s="1"/>
  <c r="B243" i="28"/>
  <c r="J242" i="28"/>
  <c r="K242" i="28" s="1"/>
  <c r="I242" i="28"/>
  <c r="N242" i="28" s="1"/>
  <c r="A242" i="28" s="1"/>
  <c r="B242" i="28"/>
  <c r="J241" i="28"/>
  <c r="K241" i="28" s="1"/>
  <c r="I241" i="28"/>
  <c r="N241" i="28" s="1"/>
  <c r="A241" i="28" s="1"/>
  <c r="B241" i="28"/>
  <c r="J240" i="28"/>
  <c r="K240" i="28" s="1"/>
  <c r="I240" i="28"/>
  <c r="N240" i="28" s="1"/>
  <c r="A240" i="28" s="1"/>
  <c r="B240" i="28"/>
  <c r="J239" i="28"/>
  <c r="K239" i="28" s="1"/>
  <c r="I239" i="28"/>
  <c r="B239" i="28"/>
  <c r="J238" i="28"/>
  <c r="K238" i="28" s="1"/>
  <c r="I238" i="28"/>
  <c r="B238" i="28"/>
  <c r="J237" i="28"/>
  <c r="K237" i="28" s="1"/>
  <c r="I237" i="28"/>
  <c r="N237" i="28" s="1"/>
  <c r="A237" i="28" s="1"/>
  <c r="B237" i="28"/>
  <c r="J236" i="28"/>
  <c r="K236" i="28" s="1"/>
  <c r="I236" i="28"/>
  <c r="B236" i="28"/>
  <c r="J235" i="28"/>
  <c r="K235" i="28" s="1"/>
  <c r="I235" i="28"/>
  <c r="M235" i="28" s="1"/>
  <c r="B235" i="28"/>
  <c r="J234" i="28"/>
  <c r="K234" i="28" s="1"/>
  <c r="I234" i="28"/>
  <c r="N234" i="28" s="1"/>
  <c r="A234" i="28" s="1"/>
  <c r="B234" i="28"/>
  <c r="J233" i="28"/>
  <c r="K233" i="28" s="1"/>
  <c r="I233" i="28"/>
  <c r="N233" i="28" s="1"/>
  <c r="A233" i="28" s="1"/>
  <c r="B233" i="28"/>
  <c r="J232" i="28"/>
  <c r="K232" i="28" s="1"/>
  <c r="I232" i="28"/>
  <c r="N232" i="28" s="1"/>
  <c r="A232" i="28" s="1"/>
  <c r="B232" i="28"/>
  <c r="J231" i="28"/>
  <c r="K231" i="28" s="1"/>
  <c r="I231" i="28"/>
  <c r="N231" i="28" s="1"/>
  <c r="A231" i="28" s="1"/>
  <c r="B231" i="28"/>
  <c r="J230" i="28"/>
  <c r="K230" i="28" s="1"/>
  <c r="I230" i="28"/>
  <c r="B230" i="28"/>
  <c r="J229" i="28"/>
  <c r="K229" i="28" s="1"/>
  <c r="I229" i="28"/>
  <c r="N229" i="28" s="1"/>
  <c r="A229" i="28" s="1"/>
  <c r="B229" i="28"/>
  <c r="J228" i="28"/>
  <c r="K228" i="28" s="1"/>
  <c r="I228" i="28"/>
  <c r="B228" i="28"/>
  <c r="J227" i="28"/>
  <c r="K227" i="28" s="1"/>
  <c r="I227" i="28"/>
  <c r="M227" i="28" s="1"/>
  <c r="B227" i="28"/>
  <c r="J226" i="28"/>
  <c r="K226" i="28" s="1"/>
  <c r="I226" i="28"/>
  <c r="N226" i="28" s="1"/>
  <c r="A226" i="28" s="1"/>
  <c r="B226" i="28"/>
  <c r="J225" i="28"/>
  <c r="K225" i="28" s="1"/>
  <c r="I225" i="28"/>
  <c r="N225" i="28" s="1"/>
  <c r="A225" i="28" s="1"/>
  <c r="B225" i="28"/>
  <c r="J224" i="28"/>
  <c r="K224" i="28" s="1"/>
  <c r="I224" i="28"/>
  <c r="N224" i="28" s="1"/>
  <c r="A224" i="28" s="1"/>
  <c r="B224" i="28"/>
  <c r="J223" i="28"/>
  <c r="K223" i="28" s="1"/>
  <c r="I223" i="28"/>
  <c r="N223" i="28" s="1"/>
  <c r="A223" i="28" s="1"/>
  <c r="B223" i="28"/>
  <c r="J222" i="28"/>
  <c r="K222" i="28" s="1"/>
  <c r="I222" i="28"/>
  <c r="B222" i="28"/>
  <c r="J221" i="28"/>
  <c r="K221" i="28" s="1"/>
  <c r="I221" i="28"/>
  <c r="N221" i="28" s="1"/>
  <c r="A221" i="28" s="1"/>
  <c r="B221" i="28"/>
  <c r="J220" i="28"/>
  <c r="K220" i="28" s="1"/>
  <c r="I220" i="28"/>
  <c r="B220" i="28"/>
  <c r="J219" i="28"/>
  <c r="K219" i="28" s="1"/>
  <c r="I219" i="28"/>
  <c r="N219" i="28" s="1"/>
  <c r="A219" i="28" s="1"/>
  <c r="B219" i="28"/>
  <c r="J218" i="28"/>
  <c r="K218" i="28" s="1"/>
  <c r="I218" i="28"/>
  <c r="N218" i="28" s="1"/>
  <c r="A218" i="28" s="1"/>
  <c r="B218" i="28"/>
  <c r="J217" i="28"/>
  <c r="K217" i="28" s="1"/>
  <c r="I217" i="28"/>
  <c r="N217" i="28" s="1"/>
  <c r="A217" i="28" s="1"/>
  <c r="B217" i="28"/>
  <c r="J216" i="28"/>
  <c r="K216" i="28" s="1"/>
  <c r="I216" i="28"/>
  <c r="N216" i="28" s="1"/>
  <c r="A216" i="28" s="1"/>
  <c r="B216" i="28"/>
  <c r="J215" i="28"/>
  <c r="K215" i="28" s="1"/>
  <c r="I215" i="28"/>
  <c r="N215" i="28" s="1"/>
  <c r="A215" i="28" s="1"/>
  <c r="B215" i="28"/>
  <c r="J214" i="28"/>
  <c r="K214" i="28" s="1"/>
  <c r="I214" i="28"/>
  <c r="B214" i="28"/>
  <c r="J213" i="28"/>
  <c r="K213" i="28" s="1"/>
  <c r="I213" i="28"/>
  <c r="N213" i="28" s="1"/>
  <c r="A213" i="28" s="1"/>
  <c r="B213" i="28"/>
  <c r="J212" i="28"/>
  <c r="K212" i="28" s="1"/>
  <c r="I212" i="28"/>
  <c r="B212" i="28"/>
  <c r="J211" i="28"/>
  <c r="K211" i="28" s="1"/>
  <c r="I211" i="28"/>
  <c r="M211" i="28" s="1"/>
  <c r="B211" i="28"/>
  <c r="J210" i="28"/>
  <c r="K210" i="28" s="1"/>
  <c r="I210" i="28"/>
  <c r="N210" i="28" s="1"/>
  <c r="A210" i="28" s="1"/>
  <c r="B210" i="28"/>
  <c r="J209" i="28"/>
  <c r="K209" i="28" s="1"/>
  <c r="I209" i="28"/>
  <c r="M209" i="28" s="1"/>
  <c r="B209" i="28"/>
  <c r="J208" i="28"/>
  <c r="K208" i="28" s="1"/>
  <c r="I208" i="28"/>
  <c r="N208" i="28" s="1"/>
  <c r="A208" i="28" s="1"/>
  <c r="B208" i="28"/>
  <c r="J207" i="28"/>
  <c r="K207" i="28" s="1"/>
  <c r="I207" i="28"/>
  <c r="B207" i="28"/>
  <c r="J206" i="28"/>
  <c r="K206" i="28" s="1"/>
  <c r="I206" i="28"/>
  <c r="B206" i="28"/>
  <c r="J205" i="28"/>
  <c r="K205" i="28" s="1"/>
  <c r="I205" i="28"/>
  <c r="B205" i="28"/>
  <c r="J204" i="28"/>
  <c r="K204" i="28" s="1"/>
  <c r="I204" i="28"/>
  <c r="B204" i="28"/>
  <c r="J203" i="28"/>
  <c r="K203" i="28" s="1"/>
  <c r="I203" i="28"/>
  <c r="N203" i="28" s="1"/>
  <c r="A203" i="28" s="1"/>
  <c r="B203" i="28"/>
  <c r="N202" i="28"/>
  <c r="A202" i="28" s="1"/>
  <c r="J202" i="28"/>
  <c r="K202" i="28" s="1"/>
  <c r="I202" i="28"/>
  <c r="M202" i="28" s="1"/>
  <c r="B202" i="28"/>
  <c r="J201" i="28"/>
  <c r="K201" i="28" s="1"/>
  <c r="I201" i="28"/>
  <c r="N201" i="28" s="1"/>
  <c r="A201" i="28" s="1"/>
  <c r="B201" i="28"/>
  <c r="J200" i="28"/>
  <c r="K200" i="28" s="1"/>
  <c r="I200" i="28"/>
  <c r="N200" i="28" s="1"/>
  <c r="A200" i="28" s="1"/>
  <c r="B200" i="28"/>
  <c r="J199" i="28"/>
  <c r="K199" i="28" s="1"/>
  <c r="I199" i="28"/>
  <c r="N199" i="28" s="1"/>
  <c r="A199" i="28" s="1"/>
  <c r="B199" i="28"/>
  <c r="J198" i="28"/>
  <c r="K198" i="28" s="1"/>
  <c r="I198" i="28"/>
  <c r="B198" i="28"/>
  <c r="J197" i="28"/>
  <c r="K197" i="28" s="1"/>
  <c r="I197" i="28"/>
  <c r="B197" i="28"/>
  <c r="J196" i="28"/>
  <c r="K196" i="28" s="1"/>
  <c r="I196" i="28"/>
  <c r="B196" i="28"/>
  <c r="J195" i="28"/>
  <c r="K195" i="28" s="1"/>
  <c r="I195" i="28"/>
  <c r="N195" i="28" s="1"/>
  <c r="A195" i="28" s="1"/>
  <c r="B195" i="28"/>
  <c r="J194" i="28"/>
  <c r="K194" i="28" s="1"/>
  <c r="I194" i="28"/>
  <c r="N194" i="28" s="1"/>
  <c r="A194" i="28" s="1"/>
  <c r="B194" i="28"/>
  <c r="J193" i="28"/>
  <c r="K193" i="28" s="1"/>
  <c r="I193" i="28"/>
  <c r="N193" i="28" s="1"/>
  <c r="A193" i="28" s="1"/>
  <c r="B193" i="28"/>
  <c r="J192" i="28"/>
  <c r="K192" i="28" s="1"/>
  <c r="I192" i="28"/>
  <c r="M192" i="28" s="1"/>
  <c r="B192" i="28"/>
  <c r="J191" i="28"/>
  <c r="K191" i="28" s="1"/>
  <c r="I191" i="28"/>
  <c r="N191" i="28" s="1"/>
  <c r="A191" i="28" s="1"/>
  <c r="B191" i="28"/>
  <c r="J190" i="28"/>
  <c r="K190" i="28" s="1"/>
  <c r="I190" i="28"/>
  <c r="B190" i="28"/>
  <c r="J189" i="28"/>
  <c r="K189" i="28" s="1"/>
  <c r="I189" i="28"/>
  <c r="B189" i="28"/>
  <c r="J188" i="28"/>
  <c r="K188" i="28" s="1"/>
  <c r="I188" i="28"/>
  <c r="B188" i="28"/>
  <c r="J187" i="28"/>
  <c r="K187" i="28" s="1"/>
  <c r="I187" i="28"/>
  <c r="M187" i="28" s="1"/>
  <c r="B187" i="28"/>
  <c r="J186" i="28"/>
  <c r="K186" i="28" s="1"/>
  <c r="I186" i="28"/>
  <c r="N186" i="28" s="1"/>
  <c r="A186" i="28" s="1"/>
  <c r="B186" i="28"/>
  <c r="J185" i="28"/>
  <c r="K185" i="28" s="1"/>
  <c r="I185" i="28"/>
  <c r="M185" i="28" s="1"/>
  <c r="B185" i="28"/>
  <c r="J184" i="28"/>
  <c r="K184" i="28" s="1"/>
  <c r="I184" i="28"/>
  <c r="N184" i="28" s="1"/>
  <c r="A184" i="28" s="1"/>
  <c r="B184" i="28"/>
  <c r="J183" i="28"/>
  <c r="K183" i="28" s="1"/>
  <c r="I183" i="28"/>
  <c r="B183" i="28"/>
  <c r="J182" i="28"/>
  <c r="K182" i="28" s="1"/>
  <c r="I182" i="28"/>
  <c r="N182" i="28" s="1"/>
  <c r="A182" i="28" s="1"/>
  <c r="B182" i="28"/>
  <c r="J181" i="28"/>
  <c r="K181" i="28" s="1"/>
  <c r="I181" i="28"/>
  <c r="B181" i="28"/>
  <c r="J180" i="28"/>
  <c r="K180" i="28" s="1"/>
  <c r="I180" i="28"/>
  <c r="B180" i="28"/>
  <c r="J179" i="28"/>
  <c r="K179" i="28" s="1"/>
  <c r="I179" i="28"/>
  <c r="M179" i="28" s="1"/>
  <c r="B179" i="28"/>
  <c r="J178" i="28"/>
  <c r="K178" i="28" s="1"/>
  <c r="I178" i="28"/>
  <c r="M178" i="28" s="1"/>
  <c r="B178" i="28"/>
  <c r="J177" i="28"/>
  <c r="K177" i="28" s="1"/>
  <c r="I177" i="28"/>
  <c r="N177" i="28" s="1"/>
  <c r="A177" i="28" s="1"/>
  <c r="B177" i="28"/>
  <c r="J176" i="28"/>
  <c r="K176" i="28" s="1"/>
  <c r="I176" i="28"/>
  <c r="N176" i="28" s="1"/>
  <c r="A176" i="28" s="1"/>
  <c r="B176" i="28"/>
  <c r="J175" i="28"/>
  <c r="K175" i="28" s="1"/>
  <c r="I175" i="28"/>
  <c r="N175" i="28" s="1"/>
  <c r="A175" i="28" s="1"/>
  <c r="B175" i="28"/>
  <c r="J174" i="28"/>
  <c r="K174" i="28" s="1"/>
  <c r="I174" i="28"/>
  <c r="B174" i="28"/>
  <c r="J173" i="28"/>
  <c r="K173" i="28" s="1"/>
  <c r="I173" i="28"/>
  <c r="N173" i="28" s="1"/>
  <c r="A173" i="28" s="1"/>
  <c r="B173" i="28"/>
  <c r="J172" i="28"/>
  <c r="K172" i="28" s="1"/>
  <c r="I172" i="28"/>
  <c r="M172" i="28" s="1"/>
  <c r="B172" i="28"/>
  <c r="J171" i="28"/>
  <c r="K171" i="28" s="1"/>
  <c r="I171" i="28"/>
  <c r="N171" i="28" s="1"/>
  <c r="A171" i="28" s="1"/>
  <c r="B171" i="28"/>
  <c r="J170" i="28"/>
  <c r="K170" i="28" s="1"/>
  <c r="I170" i="28"/>
  <c r="B170" i="28"/>
  <c r="J169" i="28"/>
  <c r="K169" i="28" s="1"/>
  <c r="I169" i="28"/>
  <c r="N169" i="28" s="1"/>
  <c r="A169" i="28" s="1"/>
  <c r="B169" i="28"/>
  <c r="J168" i="28"/>
  <c r="K168" i="28" s="1"/>
  <c r="I168" i="28"/>
  <c r="M168" i="28" s="1"/>
  <c r="B168" i="28"/>
  <c r="J167" i="28"/>
  <c r="K167" i="28" s="1"/>
  <c r="I167" i="28"/>
  <c r="M167" i="28" s="1"/>
  <c r="B167" i="28"/>
  <c r="J166" i="28"/>
  <c r="K166" i="28" s="1"/>
  <c r="I166" i="28"/>
  <c r="N166" i="28" s="1"/>
  <c r="A166" i="28" s="1"/>
  <c r="B166" i="28"/>
  <c r="J165" i="28"/>
  <c r="K165" i="28" s="1"/>
  <c r="I165" i="28"/>
  <c r="N165" i="28" s="1"/>
  <c r="A165" i="28" s="1"/>
  <c r="B165" i="28"/>
  <c r="J164" i="28"/>
  <c r="K164" i="28" s="1"/>
  <c r="I164" i="28"/>
  <c r="B164" i="28"/>
  <c r="J163" i="28"/>
  <c r="K163" i="28" s="1"/>
  <c r="I163" i="28"/>
  <c r="M163" i="28" s="1"/>
  <c r="B163" i="28"/>
  <c r="J162" i="28"/>
  <c r="K162" i="28" s="1"/>
  <c r="I162" i="28"/>
  <c r="M162" i="28" s="1"/>
  <c r="B162" i="28"/>
  <c r="J161" i="28"/>
  <c r="K161" i="28" s="1"/>
  <c r="I161" i="28"/>
  <c r="N161" i="28" s="1"/>
  <c r="A161" i="28" s="1"/>
  <c r="B161" i="28"/>
  <c r="J160" i="28"/>
  <c r="K160" i="28" s="1"/>
  <c r="I160" i="28"/>
  <c r="N160" i="28" s="1"/>
  <c r="A160" i="28" s="1"/>
  <c r="B160" i="28"/>
  <c r="J159" i="28"/>
  <c r="K159" i="28" s="1"/>
  <c r="I159" i="28"/>
  <c r="N159" i="28" s="1"/>
  <c r="A159" i="28" s="1"/>
  <c r="B159" i="28"/>
  <c r="J158" i="28"/>
  <c r="K158" i="28" s="1"/>
  <c r="I158" i="28"/>
  <c r="B158" i="28"/>
  <c r="J157" i="28"/>
  <c r="K157" i="28" s="1"/>
  <c r="I157" i="28"/>
  <c r="N157" i="28" s="1"/>
  <c r="A157" i="28" s="1"/>
  <c r="B157" i="28"/>
  <c r="J156" i="28"/>
  <c r="K156" i="28" s="1"/>
  <c r="I156" i="28"/>
  <c r="M156" i="28" s="1"/>
  <c r="B156" i="28"/>
  <c r="J155" i="28"/>
  <c r="K155" i="28" s="1"/>
  <c r="I155" i="28"/>
  <c r="N155" i="28" s="1"/>
  <c r="A155" i="28" s="1"/>
  <c r="B155" i="28"/>
  <c r="J154" i="28"/>
  <c r="K154" i="28" s="1"/>
  <c r="I154" i="28"/>
  <c r="B154" i="28"/>
  <c r="J153" i="28"/>
  <c r="K153" i="28" s="1"/>
  <c r="I153" i="28"/>
  <c r="N153" i="28" s="1"/>
  <c r="A153" i="28" s="1"/>
  <c r="B153" i="28"/>
  <c r="J152" i="28"/>
  <c r="K152" i="28" s="1"/>
  <c r="I152" i="28"/>
  <c r="M152" i="28" s="1"/>
  <c r="B152" i="28"/>
  <c r="J151" i="28"/>
  <c r="K151" i="28" s="1"/>
  <c r="I151" i="28"/>
  <c r="N151" i="28" s="1"/>
  <c r="A151" i="28" s="1"/>
  <c r="B151" i="28"/>
  <c r="J150" i="28"/>
  <c r="K150" i="28" s="1"/>
  <c r="I150" i="28"/>
  <c r="N150" i="28" s="1"/>
  <c r="A150" i="28" s="1"/>
  <c r="B150" i="28"/>
  <c r="J149" i="28"/>
  <c r="K149" i="28" s="1"/>
  <c r="I149" i="28"/>
  <c r="N149" i="28" s="1"/>
  <c r="A149" i="28" s="1"/>
  <c r="B149" i="28"/>
  <c r="J148" i="28"/>
  <c r="K148" i="28" s="1"/>
  <c r="I148" i="28"/>
  <c r="B148" i="28"/>
  <c r="J147" i="28"/>
  <c r="K147" i="28" s="1"/>
  <c r="I147" i="28"/>
  <c r="M147" i="28" s="1"/>
  <c r="J146" i="28"/>
  <c r="K146" i="28" s="1"/>
  <c r="I146" i="28"/>
  <c r="M146" i="28" s="1"/>
  <c r="J145" i="28"/>
  <c r="K145" i="28" s="1"/>
  <c r="I145" i="28"/>
  <c r="N145" i="28" s="1"/>
  <c r="A145" i="28" s="1"/>
  <c r="J144" i="28"/>
  <c r="K144" i="28" s="1"/>
  <c r="I144" i="28"/>
  <c r="N144" i="28" s="1"/>
  <c r="A144" i="28" s="1"/>
  <c r="J143" i="28"/>
  <c r="K143" i="28" s="1"/>
  <c r="I143" i="28"/>
  <c r="N143" i="28" s="1"/>
  <c r="A143" i="28" s="1"/>
  <c r="J142" i="28"/>
  <c r="K142" i="28" s="1"/>
  <c r="I142" i="28"/>
  <c r="J141" i="28"/>
  <c r="K141" i="28" s="1"/>
  <c r="I141" i="28"/>
  <c r="N141" i="28" s="1"/>
  <c r="A141" i="28" s="1"/>
  <c r="J140" i="28"/>
  <c r="K140" i="28" s="1"/>
  <c r="I140" i="28"/>
  <c r="M140" i="28" s="1"/>
  <c r="J139" i="28"/>
  <c r="K139" i="28" s="1"/>
  <c r="I139" i="28"/>
  <c r="N139" i="28" s="1"/>
  <c r="A139" i="28" s="1"/>
  <c r="J138" i="28"/>
  <c r="K138" i="28" s="1"/>
  <c r="I138" i="28"/>
  <c r="J137" i="28"/>
  <c r="K137" i="28" s="1"/>
  <c r="I137" i="28"/>
  <c r="N137" i="28" s="1"/>
  <c r="A137" i="28" s="1"/>
  <c r="J136" i="28"/>
  <c r="K136" i="28" s="1"/>
  <c r="I136" i="28"/>
  <c r="M136" i="28" s="1"/>
  <c r="J135" i="28"/>
  <c r="K135" i="28" s="1"/>
  <c r="I135" i="28"/>
  <c r="N135" i="28" s="1"/>
  <c r="A135" i="28" s="1"/>
  <c r="M134" i="28"/>
  <c r="J134" i="28"/>
  <c r="K134" i="28" s="1"/>
  <c r="I134" i="28"/>
  <c r="N134" i="28" s="1"/>
  <c r="A134" i="28" s="1"/>
  <c r="J133" i="28"/>
  <c r="K133" i="28" s="1"/>
  <c r="I133" i="28"/>
  <c r="N133" i="28" s="1"/>
  <c r="A133" i="28" s="1"/>
  <c r="J132" i="28"/>
  <c r="K132" i="28" s="1"/>
  <c r="I132" i="28"/>
  <c r="N132" i="28" s="1"/>
  <c r="A132" i="28" s="1"/>
  <c r="J131" i="28"/>
  <c r="K131" i="28" s="1"/>
  <c r="I131" i="28"/>
  <c r="J130" i="28"/>
  <c r="K130" i="28" s="1"/>
  <c r="I130" i="28"/>
  <c r="J129" i="28"/>
  <c r="K129" i="28" s="1"/>
  <c r="I129" i="28"/>
  <c r="M129" i="28" s="1"/>
  <c r="J128" i="28"/>
  <c r="K128" i="28" s="1"/>
  <c r="I128" i="28"/>
  <c r="M128" i="28" s="1"/>
  <c r="J127" i="28"/>
  <c r="K127" i="28" s="1"/>
  <c r="I127" i="28"/>
  <c r="M127" i="28" s="1"/>
  <c r="J126" i="28"/>
  <c r="K126" i="28" s="1"/>
  <c r="I126" i="28"/>
  <c r="N126" i="28" s="1"/>
  <c r="A126" i="28" s="1"/>
  <c r="J125" i="28"/>
  <c r="K125" i="28" s="1"/>
  <c r="I125" i="28"/>
  <c r="N125" i="28" s="1"/>
  <c r="A125" i="28" s="1"/>
  <c r="J124" i="28"/>
  <c r="K124" i="28" s="1"/>
  <c r="I124" i="28"/>
  <c r="N124" i="28" s="1"/>
  <c r="A124" i="28" s="1"/>
  <c r="J123" i="28"/>
  <c r="K123" i="28" s="1"/>
  <c r="I123" i="28"/>
  <c r="J122" i="28"/>
  <c r="K122" i="28" s="1"/>
  <c r="I122" i="28"/>
  <c r="J121" i="28"/>
  <c r="K121" i="28" s="1"/>
  <c r="I121" i="28"/>
  <c r="M121" i="28" s="1"/>
  <c r="J120" i="28"/>
  <c r="K120" i="28" s="1"/>
  <c r="I120" i="28"/>
  <c r="N120" i="28" s="1"/>
  <c r="A120" i="28" s="1"/>
  <c r="N119" i="28"/>
  <c r="A119" i="28" s="1"/>
  <c r="J119" i="28"/>
  <c r="K119" i="28" s="1"/>
  <c r="I119" i="28"/>
  <c r="M119" i="28" s="1"/>
  <c r="J118" i="28"/>
  <c r="K118" i="28" s="1"/>
  <c r="I118" i="28"/>
  <c r="N118" i="28" s="1"/>
  <c r="A118" i="28" s="1"/>
  <c r="J117" i="28"/>
  <c r="K117" i="28" s="1"/>
  <c r="I117" i="28"/>
  <c r="N117" i="28" s="1"/>
  <c r="A117" i="28" s="1"/>
  <c r="J116" i="28"/>
  <c r="K116" i="28" s="1"/>
  <c r="I116" i="28"/>
  <c r="N116" i="28" s="1"/>
  <c r="A116" i="28" s="1"/>
  <c r="J115" i="28"/>
  <c r="K115" i="28" s="1"/>
  <c r="I115" i="28"/>
  <c r="J114" i="28"/>
  <c r="K114" i="28" s="1"/>
  <c r="I114" i="28"/>
  <c r="J113" i="28"/>
  <c r="K113" i="28" s="1"/>
  <c r="I113" i="28"/>
  <c r="M113" i="28" s="1"/>
  <c r="J112" i="28"/>
  <c r="K112" i="28" s="1"/>
  <c r="I112" i="28"/>
  <c r="N112" i="28" s="1"/>
  <c r="A112" i="28" s="1"/>
  <c r="J111" i="28"/>
  <c r="K111" i="28" s="1"/>
  <c r="I111" i="28"/>
  <c r="M111" i="28" s="1"/>
  <c r="J110" i="28"/>
  <c r="K110" i="28" s="1"/>
  <c r="I110" i="28"/>
  <c r="N110" i="28" s="1"/>
  <c r="A110" i="28" s="1"/>
  <c r="J109" i="28"/>
  <c r="K109" i="28" s="1"/>
  <c r="I109" i="28"/>
  <c r="N109" i="28" s="1"/>
  <c r="A109" i="28" s="1"/>
  <c r="J108" i="28"/>
  <c r="K108" i="28" s="1"/>
  <c r="I108" i="28"/>
  <c r="N108" i="28" s="1"/>
  <c r="A108" i="28" s="1"/>
  <c r="J107" i="28"/>
  <c r="K107" i="28" s="1"/>
  <c r="I107" i="28"/>
  <c r="J106" i="28"/>
  <c r="K106" i="28" s="1"/>
  <c r="I106" i="28"/>
  <c r="J105" i="28"/>
  <c r="K105" i="28" s="1"/>
  <c r="I105" i="28"/>
  <c r="M105" i="28" s="1"/>
  <c r="J104" i="28"/>
  <c r="K104" i="28" s="1"/>
  <c r="I104" i="28"/>
  <c r="N104" i="28" s="1"/>
  <c r="A104" i="28" s="1"/>
  <c r="J103" i="28"/>
  <c r="K103" i="28" s="1"/>
  <c r="I103" i="28"/>
  <c r="M103" i="28" s="1"/>
  <c r="J102" i="28"/>
  <c r="K102" i="28" s="1"/>
  <c r="I102" i="28"/>
  <c r="N102" i="28" s="1"/>
  <c r="A102" i="28" s="1"/>
  <c r="J101" i="28"/>
  <c r="K101" i="28" s="1"/>
  <c r="I101" i="28"/>
  <c r="N101" i="28" s="1"/>
  <c r="A101" i="28" s="1"/>
  <c r="J100" i="28"/>
  <c r="K100" i="28" s="1"/>
  <c r="I100" i="28"/>
  <c r="N100" i="28" s="1"/>
  <c r="A100" i="28" s="1"/>
  <c r="J99" i="28"/>
  <c r="K99" i="28" s="1"/>
  <c r="I99" i="28"/>
  <c r="J98" i="28"/>
  <c r="K98" i="28" s="1"/>
  <c r="I98" i="28"/>
  <c r="J97" i="28"/>
  <c r="K97" i="28" s="1"/>
  <c r="I97" i="28"/>
  <c r="M97" i="28" s="1"/>
  <c r="J96" i="28"/>
  <c r="K96" i="28" s="1"/>
  <c r="I96" i="28"/>
  <c r="N96" i="28" s="1"/>
  <c r="A96" i="28" s="1"/>
  <c r="J95" i="28"/>
  <c r="K95" i="28" s="1"/>
  <c r="I95" i="28"/>
  <c r="J94" i="28"/>
  <c r="K94" i="28" s="1"/>
  <c r="I94" i="28"/>
  <c r="J93" i="28"/>
  <c r="K93" i="28" s="1"/>
  <c r="I93" i="28"/>
  <c r="J92" i="28"/>
  <c r="K92" i="28" s="1"/>
  <c r="I92" i="28"/>
  <c r="J91" i="28"/>
  <c r="K91" i="28" s="1"/>
  <c r="I91" i="28"/>
  <c r="J90" i="28"/>
  <c r="K90" i="28" s="1"/>
  <c r="I90" i="28"/>
  <c r="J89" i="28"/>
  <c r="K89" i="28" s="1"/>
  <c r="I89" i="28"/>
  <c r="J88" i="28"/>
  <c r="K88" i="28" s="1"/>
  <c r="I88" i="28"/>
  <c r="J87" i="28"/>
  <c r="K87" i="28" s="1"/>
  <c r="I87" i="28"/>
  <c r="J86" i="28"/>
  <c r="K86" i="28" s="1"/>
  <c r="I86" i="28"/>
  <c r="J85" i="28"/>
  <c r="K85" i="28" s="1"/>
  <c r="I85" i="28"/>
  <c r="J84" i="28"/>
  <c r="K84" i="28" s="1"/>
  <c r="I84" i="28"/>
  <c r="J83" i="28"/>
  <c r="K83" i="28" s="1"/>
  <c r="I83" i="28"/>
  <c r="J82" i="28"/>
  <c r="K82" i="28" s="1"/>
  <c r="I82" i="28"/>
  <c r="J81" i="28"/>
  <c r="K81" i="28" s="1"/>
  <c r="I81" i="28"/>
  <c r="J80" i="28"/>
  <c r="K80" i="28" s="1"/>
  <c r="I80" i="28"/>
  <c r="J79" i="28"/>
  <c r="K79" i="28" s="1"/>
  <c r="I79" i="28"/>
  <c r="J78" i="28"/>
  <c r="K78" i="28" s="1"/>
  <c r="I78" i="28"/>
  <c r="M78" i="28" s="1"/>
  <c r="N78" i="28" s="1"/>
  <c r="A78" i="28" s="1"/>
  <c r="J77" i="28"/>
  <c r="K77" i="28" s="1"/>
  <c r="I77" i="28"/>
  <c r="J76" i="28"/>
  <c r="K76" i="28" s="1"/>
  <c r="I76" i="28"/>
  <c r="J75" i="28"/>
  <c r="K75" i="28" s="1"/>
  <c r="I75" i="28"/>
  <c r="J74" i="28"/>
  <c r="K74" i="28" s="1"/>
  <c r="I74" i="28"/>
  <c r="J73" i="28"/>
  <c r="K73" i="28" s="1"/>
  <c r="I73" i="28"/>
  <c r="J72" i="28"/>
  <c r="K72" i="28" s="1"/>
  <c r="I72" i="28"/>
  <c r="J71" i="28"/>
  <c r="K71" i="28" s="1"/>
  <c r="I71" i="28"/>
  <c r="J70" i="28"/>
  <c r="K70" i="28" s="1"/>
  <c r="I70" i="28"/>
  <c r="J69" i="28"/>
  <c r="K69" i="28" s="1"/>
  <c r="I69" i="28"/>
  <c r="J68" i="28"/>
  <c r="K68" i="28" s="1"/>
  <c r="I68" i="28"/>
  <c r="J67" i="28"/>
  <c r="K67" i="28" s="1"/>
  <c r="I67" i="28"/>
  <c r="J66" i="28"/>
  <c r="K66" i="28" s="1"/>
  <c r="I66" i="28"/>
  <c r="J65" i="28"/>
  <c r="K65" i="28" s="1"/>
  <c r="I65" i="28"/>
  <c r="J64" i="28"/>
  <c r="K64" i="28" s="1"/>
  <c r="I64" i="28"/>
  <c r="M64" i="28" s="1"/>
  <c r="N64" i="28" s="1"/>
  <c r="A64" i="28" s="1"/>
  <c r="J63" i="28"/>
  <c r="K63" i="28" s="1"/>
  <c r="I63" i="28"/>
  <c r="J62" i="28"/>
  <c r="K62" i="28" s="1"/>
  <c r="I62" i="28"/>
  <c r="J61" i="28"/>
  <c r="K61" i="28" s="1"/>
  <c r="I61" i="28"/>
  <c r="J60" i="28"/>
  <c r="K60" i="28" s="1"/>
  <c r="I60" i="28"/>
  <c r="J59" i="28"/>
  <c r="K59" i="28" s="1"/>
  <c r="I59" i="28"/>
  <c r="J58" i="28"/>
  <c r="K58" i="28" s="1"/>
  <c r="I58" i="28"/>
  <c r="M58" i="28" s="1"/>
  <c r="J57" i="28"/>
  <c r="K57" i="28" s="1"/>
  <c r="I57" i="28"/>
  <c r="J56" i="28"/>
  <c r="K56" i="28" s="1"/>
  <c r="I56" i="28"/>
  <c r="J55" i="28"/>
  <c r="K55" i="28" s="1"/>
  <c r="M55" i="28" s="1"/>
  <c r="I55" i="28"/>
  <c r="J54" i="28"/>
  <c r="K54" i="28" s="1"/>
  <c r="I54" i="28"/>
  <c r="J53" i="28"/>
  <c r="K53" i="28" s="1"/>
  <c r="I53" i="28"/>
  <c r="J52" i="28"/>
  <c r="K52" i="28" s="1"/>
  <c r="I52" i="28"/>
  <c r="J51" i="28"/>
  <c r="K51" i="28" s="1"/>
  <c r="I51" i="28"/>
  <c r="J50" i="28"/>
  <c r="K50" i="28" s="1"/>
  <c r="I50" i="28"/>
  <c r="J49" i="28"/>
  <c r="K49" i="28" s="1"/>
  <c r="I49" i="28"/>
  <c r="J48" i="28"/>
  <c r="K48" i="28" s="1"/>
  <c r="I48" i="28"/>
  <c r="M48" i="28" s="1"/>
  <c r="N48" i="28" s="1"/>
  <c r="A48" i="28" s="1"/>
  <c r="J47" i="28"/>
  <c r="K47" i="28" s="1"/>
  <c r="I47" i="28"/>
  <c r="J46" i="28"/>
  <c r="K46" i="28" s="1"/>
  <c r="I46" i="28"/>
  <c r="J45" i="28"/>
  <c r="K45" i="28" s="1"/>
  <c r="I45" i="28"/>
  <c r="J44" i="28"/>
  <c r="K44" i="28" s="1"/>
  <c r="I44" i="28"/>
  <c r="J43" i="28"/>
  <c r="K43" i="28" s="1"/>
  <c r="I43" i="28"/>
  <c r="J42" i="28"/>
  <c r="K42" i="28" s="1"/>
  <c r="I42" i="28"/>
  <c r="J41" i="28"/>
  <c r="K41" i="28" s="1"/>
  <c r="I41" i="28"/>
  <c r="J40" i="28"/>
  <c r="K40" i="28" s="1"/>
  <c r="I40" i="28"/>
  <c r="J39" i="28"/>
  <c r="K39" i="28" s="1"/>
  <c r="M39" i="28" s="1"/>
  <c r="I39" i="28"/>
  <c r="J38" i="28"/>
  <c r="K38" i="28" s="1"/>
  <c r="I38" i="28"/>
  <c r="J37" i="28"/>
  <c r="K37" i="28" s="1"/>
  <c r="I37" i="28"/>
  <c r="J36" i="28"/>
  <c r="K36" i="28" s="1"/>
  <c r="I36" i="28"/>
  <c r="J35" i="28"/>
  <c r="K35" i="28" s="1"/>
  <c r="I35" i="28"/>
  <c r="J34" i="28"/>
  <c r="K34" i="28" s="1"/>
  <c r="I34" i="28"/>
  <c r="J33" i="28"/>
  <c r="K33" i="28" s="1"/>
  <c r="I33" i="28"/>
  <c r="J32" i="28"/>
  <c r="K32" i="28" s="1"/>
  <c r="I32" i="28"/>
  <c r="J31" i="28"/>
  <c r="K31" i="28" s="1"/>
  <c r="I31" i="28"/>
  <c r="J30" i="28"/>
  <c r="K30" i="28" s="1"/>
  <c r="I30" i="28"/>
  <c r="J29" i="28"/>
  <c r="K29" i="28" s="1"/>
  <c r="I29" i="28"/>
  <c r="J28" i="28"/>
  <c r="K28" i="28" s="1"/>
  <c r="I28" i="28"/>
  <c r="J27" i="28"/>
  <c r="K27" i="28" s="1"/>
  <c r="I27" i="28"/>
  <c r="J26" i="28"/>
  <c r="K26" i="28" s="1"/>
  <c r="I26" i="28"/>
  <c r="M26" i="28" s="1"/>
  <c r="J25" i="28"/>
  <c r="K25" i="28" s="1"/>
  <c r="I25" i="28"/>
  <c r="J24" i="28"/>
  <c r="K24" i="28" s="1"/>
  <c r="I24" i="28"/>
  <c r="J23" i="28"/>
  <c r="K23" i="28" s="1"/>
  <c r="I23" i="28"/>
  <c r="J22" i="28"/>
  <c r="K22" i="28" s="1"/>
  <c r="I22" i="28"/>
  <c r="J21" i="28"/>
  <c r="K21" i="28" s="1"/>
  <c r="I21" i="28"/>
  <c r="J20" i="28"/>
  <c r="K20" i="28" s="1"/>
  <c r="I20" i="28"/>
  <c r="J19" i="28"/>
  <c r="K19" i="28" s="1"/>
  <c r="I19" i="28"/>
  <c r="J18" i="28"/>
  <c r="K18" i="28" s="1"/>
  <c r="I18" i="28"/>
  <c r="J17" i="28"/>
  <c r="K17" i="28" s="1"/>
  <c r="I17" i="28"/>
  <c r="J16" i="28"/>
  <c r="K16" i="28" s="1"/>
  <c r="I16" i="28"/>
  <c r="J15" i="28"/>
  <c r="K15" i="28" s="1"/>
  <c r="I15" i="28"/>
  <c r="AJ14" i="28"/>
  <c r="J14" i="28"/>
  <c r="K14" i="28" s="1"/>
  <c r="I14" i="28"/>
  <c r="M14" i="28" s="1"/>
  <c r="N14" i="28" s="1"/>
  <c r="A14" i="28" s="1"/>
  <c r="AJ13" i="28"/>
  <c r="J13" i="28"/>
  <c r="K13" i="28" s="1"/>
  <c r="I13" i="28"/>
  <c r="AJ12" i="28"/>
  <c r="AJ16" i="28" s="1"/>
  <c r="J12" i="28"/>
  <c r="K12" i="28" s="1"/>
  <c r="I12" i="28"/>
  <c r="J11" i="28"/>
  <c r="K11" i="28" s="1"/>
  <c r="I11" i="28"/>
  <c r="J10" i="28"/>
  <c r="K10" i="28" s="1"/>
  <c r="I10" i="28"/>
  <c r="J9" i="28"/>
  <c r="K9" i="28" s="1"/>
  <c r="I9" i="28"/>
  <c r="J8" i="28"/>
  <c r="K8" i="28" s="1"/>
  <c r="I8" i="28"/>
  <c r="J7" i="28"/>
  <c r="K7" i="28" s="1"/>
  <c r="I7" i="28"/>
  <c r="J6" i="28"/>
  <c r="K6" i="28" s="1"/>
  <c r="I6" i="28"/>
  <c r="K2" i="28"/>
  <c r="L6" i="28" s="1"/>
  <c r="K305" i="27"/>
  <c r="J305" i="27"/>
  <c r="I305" i="27"/>
  <c r="M305" i="27" s="1"/>
  <c r="J304" i="27"/>
  <c r="K304" i="27" s="1"/>
  <c r="I304" i="27"/>
  <c r="M304" i="27" s="1"/>
  <c r="J303" i="27"/>
  <c r="K303" i="27" s="1"/>
  <c r="I303" i="27"/>
  <c r="M303" i="27" s="1"/>
  <c r="J302" i="27"/>
  <c r="K302" i="27" s="1"/>
  <c r="I302" i="27"/>
  <c r="M302" i="27" s="1"/>
  <c r="J301" i="27"/>
  <c r="K301" i="27" s="1"/>
  <c r="I301" i="27"/>
  <c r="M301" i="27" s="1"/>
  <c r="J300" i="27"/>
  <c r="K300" i="27" s="1"/>
  <c r="I300" i="27"/>
  <c r="M300" i="27" s="1"/>
  <c r="J299" i="27"/>
  <c r="K299" i="27" s="1"/>
  <c r="I299" i="27"/>
  <c r="M299" i="27" s="1"/>
  <c r="J298" i="27"/>
  <c r="K298" i="27" s="1"/>
  <c r="I298" i="27"/>
  <c r="M298" i="27" s="1"/>
  <c r="J297" i="27"/>
  <c r="K297" i="27" s="1"/>
  <c r="I297" i="27"/>
  <c r="M297" i="27" s="1"/>
  <c r="J296" i="27"/>
  <c r="K296" i="27" s="1"/>
  <c r="I296" i="27"/>
  <c r="M296" i="27" s="1"/>
  <c r="J295" i="27"/>
  <c r="K295" i="27" s="1"/>
  <c r="I295" i="27"/>
  <c r="M295" i="27" s="1"/>
  <c r="M294" i="27"/>
  <c r="K294" i="27"/>
  <c r="J294" i="27"/>
  <c r="I294" i="27"/>
  <c r="J293" i="27"/>
  <c r="K293" i="27" s="1"/>
  <c r="I293" i="27"/>
  <c r="M293" i="27" s="1"/>
  <c r="J292" i="27"/>
  <c r="K292" i="27" s="1"/>
  <c r="I292" i="27"/>
  <c r="M292" i="27" s="1"/>
  <c r="J291" i="27"/>
  <c r="K291" i="27" s="1"/>
  <c r="I291" i="27"/>
  <c r="M291" i="27" s="1"/>
  <c r="J290" i="27"/>
  <c r="K290" i="27" s="1"/>
  <c r="I290" i="27"/>
  <c r="M290" i="27" s="1"/>
  <c r="J289" i="27"/>
  <c r="K289" i="27" s="1"/>
  <c r="I289" i="27"/>
  <c r="M289" i="27" s="1"/>
  <c r="J288" i="27"/>
  <c r="K288" i="27" s="1"/>
  <c r="I288" i="27"/>
  <c r="M288" i="27" s="1"/>
  <c r="J287" i="27"/>
  <c r="K287" i="27" s="1"/>
  <c r="I287" i="27"/>
  <c r="M287" i="27" s="1"/>
  <c r="J286" i="27"/>
  <c r="K286" i="27" s="1"/>
  <c r="I286" i="27"/>
  <c r="M286" i="27" s="1"/>
  <c r="J285" i="27"/>
  <c r="K285" i="27" s="1"/>
  <c r="I285" i="27"/>
  <c r="M285" i="27" s="1"/>
  <c r="J284" i="27"/>
  <c r="K284" i="27" s="1"/>
  <c r="I284" i="27"/>
  <c r="M284" i="27" s="1"/>
  <c r="J283" i="27"/>
  <c r="K283" i="27" s="1"/>
  <c r="I283" i="27"/>
  <c r="M283" i="27" s="1"/>
  <c r="J282" i="27"/>
  <c r="K282" i="27" s="1"/>
  <c r="I282" i="27"/>
  <c r="M282" i="27" s="1"/>
  <c r="J281" i="27"/>
  <c r="K281" i="27" s="1"/>
  <c r="I281" i="27"/>
  <c r="M281" i="27" s="1"/>
  <c r="J280" i="27"/>
  <c r="K280" i="27" s="1"/>
  <c r="I280" i="27"/>
  <c r="M280" i="27" s="1"/>
  <c r="J279" i="27"/>
  <c r="K279" i="27" s="1"/>
  <c r="I279" i="27"/>
  <c r="M279" i="27" s="1"/>
  <c r="J278" i="27"/>
  <c r="K278" i="27" s="1"/>
  <c r="I278" i="27"/>
  <c r="M278" i="27" s="1"/>
  <c r="J277" i="27"/>
  <c r="K277" i="27" s="1"/>
  <c r="I277" i="27"/>
  <c r="M277" i="27" s="1"/>
  <c r="M276" i="27"/>
  <c r="J276" i="27"/>
  <c r="K276" i="27" s="1"/>
  <c r="I276" i="27"/>
  <c r="J275" i="27"/>
  <c r="K275" i="27" s="1"/>
  <c r="I275" i="27"/>
  <c r="M275" i="27" s="1"/>
  <c r="J274" i="27"/>
  <c r="K274" i="27" s="1"/>
  <c r="I274" i="27"/>
  <c r="M274" i="27" s="1"/>
  <c r="J273" i="27"/>
  <c r="K273" i="27" s="1"/>
  <c r="I273" i="27"/>
  <c r="M273" i="27" s="1"/>
  <c r="J272" i="27"/>
  <c r="K272" i="27" s="1"/>
  <c r="I272" i="27"/>
  <c r="M272" i="27" s="1"/>
  <c r="J271" i="27"/>
  <c r="K271" i="27" s="1"/>
  <c r="I271" i="27"/>
  <c r="M271" i="27" s="1"/>
  <c r="J270" i="27"/>
  <c r="K270" i="27" s="1"/>
  <c r="I270" i="27"/>
  <c r="M270" i="27" s="1"/>
  <c r="J269" i="27"/>
  <c r="K269" i="27" s="1"/>
  <c r="I269" i="27"/>
  <c r="M269" i="27" s="1"/>
  <c r="J268" i="27"/>
  <c r="K268" i="27" s="1"/>
  <c r="I268" i="27"/>
  <c r="M268" i="27" s="1"/>
  <c r="K267" i="27"/>
  <c r="J267" i="27"/>
  <c r="I267" i="27"/>
  <c r="M267" i="27" s="1"/>
  <c r="K266" i="27"/>
  <c r="J266" i="27"/>
  <c r="I266" i="27"/>
  <c r="M266" i="27" s="1"/>
  <c r="J265" i="27"/>
  <c r="K265" i="27" s="1"/>
  <c r="I265" i="27"/>
  <c r="M265" i="27" s="1"/>
  <c r="J264" i="27"/>
  <c r="K264" i="27" s="1"/>
  <c r="I264" i="27"/>
  <c r="M264" i="27" s="1"/>
  <c r="J263" i="27"/>
  <c r="K263" i="27" s="1"/>
  <c r="I263" i="27"/>
  <c r="M263" i="27" s="1"/>
  <c r="J262" i="27"/>
  <c r="K262" i="27" s="1"/>
  <c r="I262" i="27"/>
  <c r="M262" i="27" s="1"/>
  <c r="J261" i="27"/>
  <c r="K261" i="27" s="1"/>
  <c r="I261" i="27"/>
  <c r="M261" i="27" s="1"/>
  <c r="J260" i="27"/>
  <c r="K260" i="27" s="1"/>
  <c r="I260" i="27"/>
  <c r="M260" i="27" s="1"/>
  <c r="J259" i="27"/>
  <c r="K259" i="27" s="1"/>
  <c r="I259" i="27"/>
  <c r="M259" i="27" s="1"/>
  <c r="J258" i="27"/>
  <c r="K258" i="27" s="1"/>
  <c r="I258" i="27"/>
  <c r="M258" i="27" s="1"/>
  <c r="J257" i="27"/>
  <c r="K257" i="27" s="1"/>
  <c r="I257" i="27"/>
  <c r="M257" i="27" s="1"/>
  <c r="J256" i="27"/>
  <c r="K256" i="27" s="1"/>
  <c r="I256" i="27"/>
  <c r="M256" i="27" s="1"/>
  <c r="J255" i="27"/>
  <c r="K255" i="27" s="1"/>
  <c r="I255" i="27"/>
  <c r="M255" i="27" s="1"/>
  <c r="J254" i="27"/>
  <c r="K254" i="27" s="1"/>
  <c r="I254" i="27"/>
  <c r="M254" i="27" s="1"/>
  <c r="J253" i="27"/>
  <c r="K253" i="27" s="1"/>
  <c r="I253" i="27"/>
  <c r="M253" i="27" s="1"/>
  <c r="J252" i="27"/>
  <c r="K252" i="27" s="1"/>
  <c r="I252" i="27"/>
  <c r="M252" i="27" s="1"/>
  <c r="J251" i="27"/>
  <c r="K251" i="27" s="1"/>
  <c r="I251" i="27"/>
  <c r="M251" i="27" s="1"/>
  <c r="K250" i="27"/>
  <c r="J250" i="27"/>
  <c r="I250" i="27"/>
  <c r="M250" i="27" s="1"/>
  <c r="J249" i="27"/>
  <c r="K249" i="27" s="1"/>
  <c r="I249" i="27"/>
  <c r="M249" i="27" s="1"/>
  <c r="J248" i="27"/>
  <c r="K248" i="27" s="1"/>
  <c r="I248" i="27"/>
  <c r="M248" i="27" s="1"/>
  <c r="J247" i="27"/>
  <c r="K247" i="27" s="1"/>
  <c r="I247" i="27"/>
  <c r="M247" i="27" s="1"/>
  <c r="J246" i="27"/>
  <c r="K246" i="27" s="1"/>
  <c r="I246" i="27"/>
  <c r="M246" i="27" s="1"/>
  <c r="J245" i="27"/>
  <c r="K245" i="27" s="1"/>
  <c r="I245" i="27"/>
  <c r="M245" i="27" s="1"/>
  <c r="J244" i="27"/>
  <c r="K244" i="27" s="1"/>
  <c r="I244" i="27"/>
  <c r="M244" i="27" s="1"/>
  <c r="J243" i="27"/>
  <c r="K243" i="27" s="1"/>
  <c r="I243" i="27"/>
  <c r="M243" i="27" s="1"/>
  <c r="J242" i="27"/>
  <c r="K242" i="27" s="1"/>
  <c r="I242" i="27"/>
  <c r="M242" i="27" s="1"/>
  <c r="K241" i="27"/>
  <c r="J241" i="27"/>
  <c r="I241" i="27"/>
  <c r="M241" i="27" s="1"/>
  <c r="M240" i="27"/>
  <c r="J240" i="27"/>
  <c r="K240" i="27" s="1"/>
  <c r="I240" i="27"/>
  <c r="J239" i="27"/>
  <c r="K239" i="27" s="1"/>
  <c r="I239" i="27"/>
  <c r="M239" i="27" s="1"/>
  <c r="J238" i="27"/>
  <c r="K238" i="27" s="1"/>
  <c r="I238" i="27"/>
  <c r="M238" i="27" s="1"/>
  <c r="J237" i="27"/>
  <c r="K237" i="27" s="1"/>
  <c r="I237" i="27"/>
  <c r="M237" i="27" s="1"/>
  <c r="J236" i="27"/>
  <c r="K236" i="27" s="1"/>
  <c r="I236" i="27"/>
  <c r="M236" i="27" s="1"/>
  <c r="J235" i="27"/>
  <c r="K235" i="27" s="1"/>
  <c r="I235" i="27"/>
  <c r="M235" i="27" s="1"/>
  <c r="J234" i="27"/>
  <c r="K234" i="27" s="1"/>
  <c r="I234" i="27"/>
  <c r="M234" i="27" s="1"/>
  <c r="J233" i="27"/>
  <c r="K233" i="27" s="1"/>
  <c r="I233" i="27"/>
  <c r="M233" i="27" s="1"/>
  <c r="M232" i="27"/>
  <c r="J232" i="27"/>
  <c r="K232" i="27" s="1"/>
  <c r="I232" i="27"/>
  <c r="J231" i="27"/>
  <c r="K231" i="27" s="1"/>
  <c r="I231" i="27"/>
  <c r="M231" i="27" s="1"/>
  <c r="J230" i="27"/>
  <c r="K230" i="27" s="1"/>
  <c r="I230" i="27"/>
  <c r="M230" i="27" s="1"/>
  <c r="J229" i="27"/>
  <c r="K229" i="27" s="1"/>
  <c r="I229" i="27"/>
  <c r="M229" i="27" s="1"/>
  <c r="J228" i="27"/>
  <c r="K228" i="27" s="1"/>
  <c r="I228" i="27"/>
  <c r="M228" i="27" s="1"/>
  <c r="K227" i="27"/>
  <c r="J227" i="27"/>
  <c r="I227" i="27"/>
  <c r="M227" i="27" s="1"/>
  <c r="M226" i="27"/>
  <c r="K226" i="27"/>
  <c r="J226" i="27"/>
  <c r="I226" i="27"/>
  <c r="J225" i="27"/>
  <c r="K225" i="27" s="1"/>
  <c r="I225" i="27"/>
  <c r="M225" i="27" s="1"/>
  <c r="J224" i="27"/>
  <c r="K224" i="27" s="1"/>
  <c r="I224" i="27"/>
  <c r="M224" i="27" s="1"/>
  <c r="J223" i="27"/>
  <c r="K223" i="27" s="1"/>
  <c r="I223" i="27"/>
  <c r="M223" i="27" s="1"/>
  <c r="J222" i="27"/>
  <c r="K222" i="27" s="1"/>
  <c r="I222" i="27"/>
  <c r="M222" i="27" s="1"/>
  <c r="J221" i="27"/>
  <c r="K221" i="27" s="1"/>
  <c r="I221" i="27"/>
  <c r="M221" i="27" s="1"/>
  <c r="J220" i="27"/>
  <c r="K220" i="27" s="1"/>
  <c r="I220" i="27"/>
  <c r="M220" i="27" s="1"/>
  <c r="K219" i="27"/>
  <c r="J219" i="27"/>
  <c r="I219" i="27"/>
  <c r="M219" i="27" s="1"/>
  <c r="J218" i="27"/>
  <c r="K218" i="27" s="1"/>
  <c r="I218" i="27"/>
  <c r="M218" i="27" s="1"/>
  <c r="J217" i="27"/>
  <c r="K217" i="27" s="1"/>
  <c r="I217" i="27"/>
  <c r="M217" i="27" s="1"/>
  <c r="J216" i="27"/>
  <c r="K216" i="27" s="1"/>
  <c r="I216" i="27"/>
  <c r="M216" i="27" s="1"/>
  <c r="J215" i="27"/>
  <c r="K215" i="27" s="1"/>
  <c r="I215" i="27"/>
  <c r="M215" i="27" s="1"/>
  <c r="J214" i="27"/>
  <c r="K214" i="27" s="1"/>
  <c r="I214" i="27"/>
  <c r="M214" i="27" s="1"/>
  <c r="J213" i="27"/>
  <c r="K213" i="27" s="1"/>
  <c r="I213" i="27"/>
  <c r="M213" i="27" s="1"/>
  <c r="M212" i="27"/>
  <c r="J212" i="27"/>
  <c r="K212" i="27" s="1"/>
  <c r="I212" i="27"/>
  <c r="J211" i="27"/>
  <c r="K211" i="27" s="1"/>
  <c r="I211" i="27"/>
  <c r="M211" i="27" s="1"/>
  <c r="J210" i="27"/>
  <c r="K210" i="27" s="1"/>
  <c r="I210" i="27"/>
  <c r="M210" i="27" s="1"/>
  <c r="J209" i="27"/>
  <c r="K209" i="27" s="1"/>
  <c r="I209" i="27"/>
  <c r="M209" i="27" s="1"/>
  <c r="J208" i="27"/>
  <c r="K208" i="27" s="1"/>
  <c r="I208" i="27"/>
  <c r="M208" i="27" s="1"/>
  <c r="J207" i="27"/>
  <c r="K207" i="27" s="1"/>
  <c r="I207" i="27"/>
  <c r="M207" i="27" s="1"/>
  <c r="J206" i="27"/>
  <c r="K206" i="27" s="1"/>
  <c r="I206" i="27"/>
  <c r="M206" i="27" s="1"/>
  <c r="J205" i="27"/>
  <c r="K205" i="27" s="1"/>
  <c r="I205" i="27"/>
  <c r="M205" i="27" s="1"/>
  <c r="J204" i="27"/>
  <c r="K204" i="27" s="1"/>
  <c r="I204" i="27"/>
  <c r="M204" i="27" s="1"/>
  <c r="J203" i="27"/>
  <c r="K203" i="27" s="1"/>
  <c r="I203" i="27"/>
  <c r="M203" i="27" s="1"/>
  <c r="M202" i="27"/>
  <c r="K202" i="27"/>
  <c r="J202" i="27"/>
  <c r="I202" i="27"/>
  <c r="J201" i="27"/>
  <c r="K201" i="27" s="1"/>
  <c r="I201" i="27"/>
  <c r="M201" i="27" s="1"/>
  <c r="J200" i="27"/>
  <c r="K200" i="27" s="1"/>
  <c r="I200" i="27"/>
  <c r="M200" i="27" s="1"/>
  <c r="J199" i="27"/>
  <c r="K199" i="27" s="1"/>
  <c r="I199" i="27"/>
  <c r="M199" i="27" s="1"/>
  <c r="J198" i="27"/>
  <c r="K198" i="27" s="1"/>
  <c r="I198" i="27"/>
  <c r="M198" i="27" s="1"/>
  <c r="J197" i="27"/>
  <c r="K197" i="27" s="1"/>
  <c r="I197" i="27"/>
  <c r="M197" i="27" s="1"/>
  <c r="M196" i="27"/>
  <c r="K196" i="27"/>
  <c r="J196" i="27"/>
  <c r="I196" i="27"/>
  <c r="M195" i="27"/>
  <c r="J195" i="27"/>
  <c r="K195" i="27" s="1"/>
  <c r="I195" i="27"/>
  <c r="M194" i="27"/>
  <c r="J194" i="27"/>
  <c r="K194" i="27" s="1"/>
  <c r="I194" i="27"/>
  <c r="J193" i="27"/>
  <c r="K193" i="27" s="1"/>
  <c r="I193" i="27"/>
  <c r="M193" i="27" s="1"/>
  <c r="J192" i="27"/>
  <c r="K192" i="27" s="1"/>
  <c r="I192" i="27"/>
  <c r="M192" i="27" s="1"/>
  <c r="J191" i="27"/>
  <c r="K191" i="27" s="1"/>
  <c r="I191" i="27"/>
  <c r="M191" i="27" s="1"/>
  <c r="K190" i="27"/>
  <c r="J190" i="27"/>
  <c r="I190" i="27"/>
  <c r="M190" i="27" s="1"/>
  <c r="J189" i="27"/>
  <c r="K189" i="27" s="1"/>
  <c r="I189" i="27"/>
  <c r="M189" i="27" s="1"/>
  <c r="J188" i="27"/>
  <c r="K188" i="27" s="1"/>
  <c r="I188" i="27"/>
  <c r="M188" i="27" s="1"/>
  <c r="J187" i="27"/>
  <c r="K187" i="27" s="1"/>
  <c r="I187" i="27"/>
  <c r="M187" i="27" s="1"/>
  <c r="J186" i="27"/>
  <c r="K186" i="27" s="1"/>
  <c r="I186" i="27"/>
  <c r="M186" i="27" s="1"/>
  <c r="J185" i="27"/>
  <c r="K185" i="27" s="1"/>
  <c r="I185" i="27"/>
  <c r="M185" i="27" s="1"/>
  <c r="J184" i="27"/>
  <c r="K184" i="27" s="1"/>
  <c r="I184" i="27"/>
  <c r="M184" i="27" s="1"/>
  <c r="J183" i="27"/>
  <c r="K183" i="27" s="1"/>
  <c r="I183" i="27"/>
  <c r="M183" i="27" s="1"/>
  <c r="J182" i="27"/>
  <c r="K182" i="27" s="1"/>
  <c r="I182" i="27"/>
  <c r="M182" i="27" s="1"/>
  <c r="J181" i="27"/>
  <c r="K181" i="27" s="1"/>
  <c r="I181" i="27"/>
  <c r="M181" i="27" s="1"/>
  <c r="J180" i="27"/>
  <c r="K180" i="27" s="1"/>
  <c r="I180" i="27"/>
  <c r="M180" i="27" s="1"/>
  <c r="J179" i="27"/>
  <c r="K179" i="27" s="1"/>
  <c r="I179" i="27"/>
  <c r="M179" i="27" s="1"/>
  <c r="J178" i="27"/>
  <c r="K178" i="27" s="1"/>
  <c r="I178" i="27"/>
  <c r="M178" i="27" s="1"/>
  <c r="J177" i="27"/>
  <c r="K177" i="27" s="1"/>
  <c r="I177" i="27"/>
  <c r="M177" i="27" s="1"/>
  <c r="J176" i="27"/>
  <c r="K176" i="27" s="1"/>
  <c r="I176" i="27"/>
  <c r="M176" i="27" s="1"/>
  <c r="J175" i="27"/>
  <c r="K175" i="27" s="1"/>
  <c r="I175" i="27"/>
  <c r="M175" i="27" s="1"/>
  <c r="J174" i="27"/>
  <c r="K174" i="27" s="1"/>
  <c r="I174" i="27"/>
  <c r="M174" i="27" s="1"/>
  <c r="J173" i="27"/>
  <c r="K173" i="27" s="1"/>
  <c r="I173" i="27"/>
  <c r="M173" i="27" s="1"/>
  <c r="J172" i="27"/>
  <c r="K172" i="27" s="1"/>
  <c r="I172" i="27"/>
  <c r="M172" i="27" s="1"/>
  <c r="J171" i="27"/>
  <c r="K171" i="27" s="1"/>
  <c r="I171" i="27"/>
  <c r="M171" i="27" s="1"/>
  <c r="J170" i="27"/>
  <c r="K170" i="27" s="1"/>
  <c r="I170" i="27"/>
  <c r="M170" i="27" s="1"/>
  <c r="J169" i="27"/>
  <c r="K169" i="27" s="1"/>
  <c r="I169" i="27"/>
  <c r="M169" i="27" s="1"/>
  <c r="J168" i="27"/>
  <c r="K168" i="27" s="1"/>
  <c r="I168" i="27"/>
  <c r="M168" i="27" s="1"/>
  <c r="J167" i="27"/>
  <c r="K167" i="27" s="1"/>
  <c r="I167" i="27"/>
  <c r="M167" i="27" s="1"/>
  <c r="J166" i="27"/>
  <c r="K166" i="27" s="1"/>
  <c r="I166" i="27"/>
  <c r="M166" i="27" s="1"/>
  <c r="J165" i="27"/>
  <c r="K165" i="27" s="1"/>
  <c r="I165" i="27"/>
  <c r="M165" i="27" s="1"/>
  <c r="J164" i="27"/>
  <c r="K164" i="27" s="1"/>
  <c r="I164" i="27"/>
  <c r="M164" i="27" s="1"/>
  <c r="J163" i="27"/>
  <c r="K163" i="27" s="1"/>
  <c r="I163" i="27"/>
  <c r="M163" i="27" s="1"/>
  <c r="J162" i="27"/>
  <c r="K162" i="27" s="1"/>
  <c r="I162" i="27"/>
  <c r="M162" i="27" s="1"/>
  <c r="J161" i="27"/>
  <c r="K161" i="27" s="1"/>
  <c r="I161" i="27"/>
  <c r="M161" i="27" s="1"/>
  <c r="J160" i="27"/>
  <c r="K160" i="27" s="1"/>
  <c r="I160" i="27"/>
  <c r="M160" i="27" s="1"/>
  <c r="J159" i="27"/>
  <c r="K159" i="27" s="1"/>
  <c r="I159" i="27"/>
  <c r="M159" i="27" s="1"/>
  <c r="J158" i="27"/>
  <c r="K158" i="27" s="1"/>
  <c r="I158" i="27"/>
  <c r="M158" i="27" s="1"/>
  <c r="J157" i="27"/>
  <c r="K157" i="27" s="1"/>
  <c r="I157" i="27"/>
  <c r="M157" i="27" s="1"/>
  <c r="J156" i="27"/>
  <c r="K156" i="27" s="1"/>
  <c r="I156" i="27"/>
  <c r="M156" i="27" s="1"/>
  <c r="J155" i="27"/>
  <c r="K155" i="27" s="1"/>
  <c r="I155" i="27"/>
  <c r="M155" i="27" s="1"/>
  <c r="J154" i="27"/>
  <c r="K154" i="27" s="1"/>
  <c r="I154" i="27"/>
  <c r="M154" i="27" s="1"/>
  <c r="J153" i="27"/>
  <c r="K153" i="27" s="1"/>
  <c r="I153" i="27"/>
  <c r="M153" i="27" s="1"/>
  <c r="J152" i="27"/>
  <c r="K152" i="27" s="1"/>
  <c r="I152" i="27"/>
  <c r="M152" i="27" s="1"/>
  <c r="J151" i="27"/>
  <c r="K151" i="27" s="1"/>
  <c r="I151" i="27"/>
  <c r="M151" i="27" s="1"/>
  <c r="J150" i="27"/>
  <c r="K150" i="27" s="1"/>
  <c r="I150" i="27"/>
  <c r="M150" i="27" s="1"/>
  <c r="J149" i="27"/>
  <c r="K149" i="27" s="1"/>
  <c r="I149" i="27"/>
  <c r="M149" i="27" s="1"/>
  <c r="J148" i="27"/>
  <c r="K148" i="27" s="1"/>
  <c r="I148" i="27"/>
  <c r="M148" i="27" s="1"/>
  <c r="J147" i="27"/>
  <c r="K147" i="27" s="1"/>
  <c r="I147" i="27"/>
  <c r="M147" i="27" s="1"/>
  <c r="J146" i="27"/>
  <c r="K146" i="27" s="1"/>
  <c r="I146" i="27"/>
  <c r="M146" i="27" s="1"/>
  <c r="J145" i="27"/>
  <c r="K145" i="27" s="1"/>
  <c r="I145" i="27"/>
  <c r="M145" i="27" s="1"/>
  <c r="J144" i="27"/>
  <c r="K144" i="27" s="1"/>
  <c r="I144" i="27"/>
  <c r="M144" i="27" s="1"/>
  <c r="J143" i="27"/>
  <c r="K143" i="27" s="1"/>
  <c r="I143" i="27"/>
  <c r="M143" i="27" s="1"/>
  <c r="J142" i="27"/>
  <c r="K142" i="27" s="1"/>
  <c r="I142" i="27"/>
  <c r="M142" i="27" s="1"/>
  <c r="J141" i="27"/>
  <c r="K141" i="27" s="1"/>
  <c r="I141" i="27"/>
  <c r="M141" i="27" s="1"/>
  <c r="J140" i="27"/>
  <c r="K140" i="27" s="1"/>
  <c r="I140" i="27"/>
  <c r="M140" i="27" s="1"/>
  <c r="J139" i="27"/>
  <c r="K139" i="27" s="1"/>
  <c r="I139" i="27"/>
  <c r="M139" i="27" s="1"/>
  <c r="J138" i="27"/>
  <c r="K138" i="27" s="1"/>
  <c r="I138" i="27"/>
  <c r="M138" i="27" s="1"/>
  <c r="J137" i="27"/>
  <c r="K137" i="27" s="1"/>
  <c r="I137" i="27"/>
  <c r="M137" i="27" s="1"/>
  <c r="J136" i="27"/>
  <c r="K136" i="27" s="1"/>
  <c r="I136" i="27"/>
  <c r="M136" i="27" s="1"/>
  <c r="J135" i="27"/>
  <c r="K135" i="27" s="1"/>
  <c r="I135" i="27"/>
  <c r="M135" i="27" s="1"/>
  <c r="J134" i="27"/>
  <c r="K134" i="27" s="1"/>
  <c r="I134" i="27"/>
  <c r="M134" i="27" s="1"/>
  <c r="J133" i="27"/>
  <c r="K133" i="27" s="1"/>
  <c r="I133" i="27"/>
  <c r="M133" i="27" s="1"/>
  <c r="J132" i="27"/>
  <c r="K132" i="27" s="1"/>
  <c r="I132" i="27"/>
  <c r="M132" i="27" s="1"/>
  <c r="J131" i="27"/>
  <c r="K131" i="27" s="1"/>
  <c r="I131" i="27"/>
  <c r="M131" i="27" s="1"/>
  <c r="J130" i="27"/>
  <c r="K130" i="27" s="1"/>
  <c r="I130" i="27"/>
  <c r="M130" i="27" s="1"/>
  <c r="J129" i="27"/>
  <c r="K129" i="27" s="1"/>
  <c r="I129" i="27"/>
  <c r="M129" i="27" s="1"/>
  <c r="J128" i="27"/>
  <c r="K128" i="27" s="1"/>
  <c r="I128" i="27"/>
  <c r="M128" i="27" s="1"/>
  <c r="J127" i="27"/>
  <c r="K127" i="27" s="1"/>
  <c r="I127" i="27"/>
  <c r="M127" i="27" s="1"/>
  <c r="J126" i="27"/>
  <c r="K126" i="27" s="1"/>
  <c r="I126" i="27"/>
  <c r="M126" i="27" s="1"/>
  <c r="J125" i="27"/>
  <c r="K125" i="27" s="1"/>
  <c r="I125" i="27"/>
  <c r="M125" i="27" s="1"/>
  <c r="J124" i="27"/>
  <c r="K124" i="27" s="1"/>
  <c r="I124" i="27"/>
  <c r="M124" i="27" s="1"/>
  <c r="J123" i="27"/>
  <c r="K123" i="27" s="1"/>
  <c r="I123" i="27"/>
  <c r="M123" i="27" s="1"/>
  <c r="J122" i="27"/>
  <c r="K122" i="27" s="1"/>
  <c r="I122" i="27"/>
  <c r="M122" i="27" s="1"/>
  <c r="J121" i="27"/>
  <c r="K121" i="27" s="1"/>
  <c r="I121" i="27"/>
  <c r="M121" i="27" s="1"/>
  <c r="J120" i="27"/>
  <c r="K120" i="27" s="1"/>
  <c r="I120" i="27"/>
  <c r="M120" i="27" s="1"/>
  <c r="J119" i="27"/>
  <c r="K119" i="27" s="1"/>
  <c r="I119" i="27"/>
  <c r="M119" i="27" s="1"/>
  <c r="J118" i="27"/>
  <c r="K118" i="27" s="1"/>
  <c r="I118" i="27"/>
  <c r="M118" i="27" s="1"/>
  <c r="J117" i="27"/>
  <c r="K117" i="27" s="1"/>
  <c r="I117" i="27"/>
  <c r="M117" i="27" s="1"/>
  <c r="J116" i="27"/>
  <c r="K116" i="27" s="1"/>
  <c r="I116" i="27"/>
  <c r="M116" i="27" s="1"/>
  <c r="J115" i="27"/>
  <c r="K115" i="27" s="1"/>
  <c r="I115" i="27"/>
  <c r="M115" i="27" s="1"/>
  <c r="J114" i="27"/>
  <c r="K114" i="27" s="1"/>
  <c r="I114" i="27"/>
  <c r="M114" i="27" s="1"/>
  <c r="J113" i="27"/>
  <c r="K113" i="27" s="1"/>
  <c r="I113" i="27"/>
  <c r="M113" i="27" s="1"/>
  <c r="J112" i="27"/>
  <c r="K112" i="27" s="1"/>
  <c r="I112" i="27"/>
  <c r="M112" i="27" s="1"/>
  <c r="J111" i="27"/>
  <c r="K111" i="27" s="1"/>
  <c r="I111" i="27"/>
  <c r="M111" i="27" s="1"/>
  <c r="J110" i="27"/>
  <c r="K110" i="27" s="1"/>
  <c r="I110" i="27"/>
  <c r="M110" i="27" s="1"/>
  <c r="J109" i="27"/>
  <c r="K109" i="27" s="1"/>
  <c r="I109" i="27"/>
  <c r="M109" i="27" s="1"/>
  <c r="J108" i="27"/>
  <c r="K108" i="27" s="1"/>
  <c r="I108" i="27"/>
  <c r="M108" i="27" s="1"/>
  <c r="J107" i="27"/>
  <c r="K107" i="27" s="1"/>
  <c r="I107" i="27"/>
  <c r="M107" i="27" s="1"/>
  <c r="J106" i="27"/>
  <c r="K106" i="27" s="1"/>
  <c r="I106" i="27"/>
  <c r="M106" i="27" s="1"/>
  <c r="J105" i="27"/>
  <c r="K105" i="27" s="1"/>
  <c r="I105" i="27"/>
  <c r="M105" i="27" s="1"/>
  <c r="J104" i="27"/>
  <c r="K104" i="27" s="1"/>
  <c r="I104" i="27"/>
  <c r="M104" i="27" s="1"/>
  <c r="J103" i="27"/>
  <c r="K103" i="27" s="1"/>
  <c r="I103" i="27"/>
  <c r="M103" i="27" s="1"/>
  <c r="J102" i="27"/>
  <c r="K102" i="27" s="1"/>
  <c r="I102" i="27"/>
  <c r="M102" i="27" s="1"/>
  <c r="J101" i="27"/>
  <c r="K101" i="27" s="1"/>
  <c r="I101" i="27"/>
  <c r="M101" i="27" s="1"/>
  <c r="J100" i="27"/>
  <c r="K100" i="27" s="1"/>
  <c r="I100" i="27"/>
  <c r="M100" i="27" s="1"/>
  <c r="J99" i="27"/>
  <c r="K99" i="27" s="1"/>
  <c r="I99" i="27"/>
  <c r="M99" i="27" s="1"/>
  <c r="J98" i="27"/>
  <c r="K98" i="27" s="1"/>
  <c r="I98" i="27"/>
  <c r="M98" i="27" s="1"/>
  <c r="J97" i="27"/>
  <c r="K97" i="27" s="1"/>
  <c r="I97" i="27"/>
  <c r="M97" i="27" s="1"/>
  <c r="J96" i="27"/>
  <c r="K96" i="27" s="1"/>
  <c r="I96" i="27"/>
  <c r="M96" i="27" s="1"/>
  <c r="J95" i="27"/>
  <c r="K95" i="27" s="1"/>
  <c r="I95" i="27"/>
  <c r="M95" i="27" s="1"/>
  <c r="J94" i="27"/>
  <c r="K94" i="27" s="1"/>
  <c r="I94" i="27"/>
  <c r="M94" i="27" s="1"/>
  <c r="J93" i="27"/>
  <c r="K93" i="27" s="1"/>
  <c r="I93" i="27"/>
  <c r="M93" i="27" s="1"/>
  <c r="J92" i="27"/>
  <c r="K92" i="27" s="1"/>
  <c r="I92" i="27"/>
  <c r="M92" i="27" s="1"/>
  <c r="J91" i="27"/>
  <c r="K91" i="27" s="1"/>
  <c r="I91" i="27"/>
  <c r="M91" i="27" s="1"/>
  <c r="J90" i="27"/>
  <c r="K90" i="27" s="1"/>
  <c r="I90" i="27"/>
  <c r="M90" i="27" s="1"/>
  <c r="J89" i="27"/>
  <c r="K89" i="27" s="1"/>
  <c r="I89" i="27"/>
  <c r="M89" i="27" s="1"/>
  <c r="J88" i="27"/>
  <c r="K88" i="27" s="1"/>
  <c r="I88" i="27"/>
  <c r="M88" i="27" s="1"/>
  <c r="J87" i="27"/>
  <c r="K87" i="27" s="1"/>
  <c r="I87" i="27"/>
  <c r="M87" i="27" s="1"/>
  <c r="J86" i="27"/>
  <c r="K86" i="27" s="1"/>
  <c r="I86" i="27"/>
  <c r="M86" i="27" s="1"/>
  <c r="J85" i="27"/>
  <c r="K85" i="27" s="1"/>
  <c r="I85" i="27"/>
  <c r="M85" i="27" s="1"/>
  <c r="J84" i="27"/>
  <c r="K84" i="27" s="1"/>
  <c r="I84" i="27"/>
  <c r="M84" i="27" s="1"/>
  <c r="J83" i="27"/>
  <c r="K83" i="27" s="1"/>
  <c r="I83" i="27"/>
  <c r="M83" i="27" s="1"/>
  <c r="J82" i="27"/>
  <c r="K82" i="27" s="1"/>
  <c r="I82" i="27"/>
  <c r="M82" i="27" s="1"/>
  <c r="J81" i="27"/>
  <c r="K81" i="27" s="1"/>
  <c r="I81" i="27"/>
  <c r="M81" i="27" s="1"/>
  <c r="J80" i="27"/>
  <c r="K80" i="27" s="1"/>
  <c r="I80" i="27"/>
  <c r="M80" i="27" s="1"/>
  <c r="J79" i="27"/>
  <c r="K79" i="27" s="1"/>
  <c r="I79" i="27"/>
  <c r="M79" i="27" s="1"/>
  <c r="A79" i="27" s="1"/>
  <c r="K78" i="27"/>
  <c r="J78" i="27"/>
  <c r="I78" i="27"/>
  <c r="M78" i="27" s="1"/>
  <c r="A78" i="27" s="1"/>
  <c r="M77" i="27"/>
  <c r="A77" i="27" s="1"/>
  <c r="K77" i="27"/>
  <c r="J77" i="27"/>
  <c r="I77" i="27"/>
  <c r="J76" i="27"/>
  <c r="K76" i="27" s="1"/>
  <c r="I76" i="27"/>
  <c r="M76" i="27" s="1"/>
  <c r="A76" i="27" s="1"/>
  <c r="J75" i="27"/>
  <c r="K75" i="27" s="1"/>
  <c r="I75" i="27"/>
  <c r="M75" i="27" s="1"/>
  <c r="A75" i="27" s="1"/>
  <c r="K74" i="27"/>
  <c r="J74" i="27"/>
  <c r="I74" i="27"/>
  <c r="M74" i="27" s="1"/>
  <c r="A74" i="27" s="1"/>
  <c r="J73" i="27"/>
  <c r="K73" i="27" s="1"/>
  <c r="I73" i="27"/>
  <c r="M73" i="27" s="1"/>
  <c r="A73" i="27" s="1"/>
  <c r="J72" i="27"/>
  <c r="K72" i="27" s="1"/>
  <c r="I72" i="27"/>
  <c r="M72" i="27" s="1"/>
  <c r="A72" i="27" s="1"/>
  <c r="J71" i="27"/>
  <c r="K71" i="27" s="1"/>
  <c r="I71" i="27"/>
  <c r="M71" i="27" s="1"/>
  <c r="A71" i="27" s="1"/>
  <c r="K70" i="27"/>
  <c r="J70" i="27"/>
  <c r="I70" i="27"/>
  <c r="M70" i="27" s="1"/>
  <c r="A70" i="27" s="1"/>
  <c r="K69" i="27"/>
  <c r="J69" i="27"/>
  <c r="I69" i="27"/>
  <c r="M69" i="27" s="1"/>
  <c r="A69" i="27" s="1"/>
  <c r="J68" i="27"/>
  <c r="K68" i="27" s="1"/>
  <c r="I68" i="27"/>
  <c r="M68" i="27" s="1"/>
  <c r="A68" i="27" s="1"/>
  <c r="K67" i="27"/>
  <c r="J67" i="27"/>
  <c r="I67" i="27"/>
  <c r="M67" i="27" s="1"/>
  <c r="A67" i="27" s="1"/>
  <c r="J66" i="27"/>
  <c r="K66" i="27" s="1"/>
  <c r="I66" i="27"/>
  <c r="M66" i="27" s="1"/>
  <c r="A66" i="27" s="1"/>
  <c r="K65" i="27"/>
  <c r="J65" i="27"/>
  <c r="I65" i="27"/>
  <c r="M65" i="27" s="1"/>
  <c r="A65" i="27" s="1"/>
  <c r="B65" i="27"/>
  <c r="J64" i="27"/>
  <c r="K64" i="27" s="1"/>
  <c r="I64" i="27"/>
  <c r="M64" i="27" s="1"/>
  <c r="A64" i="27" s="1"/>
  <c r="B64" i="27"/>
  <c r="J63" i="27"/>
  <c r="K63" i="27" s="1"/>
  <c r="I63" i="27"/>
  <c r="M63" i="27" s="1"/>
  <c r="A63" i="27" s="1"/>
  <c r="B63" i="27"/>
  <c r="J62" i="27"/>
  <c r="K62" i="27" s="1"/>
  <c r="I62" i="27"/>
  <c r="M62" i="27" s="1"/>
  <c r="A62" i="27" s="1"/>
  <c r="B62" i="27"/>
  <c r="J61" i="27"/>
  <c r="K61" i="27" s="1"/>
  <c r="I61" i="27"/>
  <c r="M61" i="27" s="1"/>
  <c r="A61" i="27" s="1"/>
  <c r="B61" i="27"/>
  <c r="J60" i="27"/>
  <c r="K60" i="27" s="1"/>
  <c r="I60" i="27"/>
  <c r="M60" i="27" s="1"/>
  <c r="A60" i="27" s="1"/>
  <c r="B60" i="27"/>
  <c r="J59" i="27"/>
  <c r="K59" i="27" s="1"/>
  <c r="I59" i="27"/>
  <c r="M59" i="27" s="1"/>
  <c r="A59" i="27" s="1"/>
  <c r="B59" i="27"/>
  <c r="J58" i="27"/>
  <c r="K58" i="27" s="1"/>
  <c r="I58" i="27"/>
  <c r="M58" i="27" s="1"/>
  <c r="A58" i="27" s="1"/>
  <c r="B58" i="27"/>
  <c r="K57" i="27"/>
  <c r="J57" i="27"/>
  <c r="I57" i="27"/>
  <c r="M57" i="27" s="1"/>
  <c r="A57" i="27" s="1"/>
  <c r="B57" i="27"/>
  <c r="K56" i="27"/>
  <c r="J56" i="27"/>
  <c r="I56" i="27"/>
  <c r="M56" i="27" s="1"/>
  <c r="A56" i="27" s="1"/>
  <c r="B56" i="27"/>
  <c r="J55" i="27"/>
  <c r="K55" i="27" s="1"/>
  <c r="I55" i="27"/>
  <c r="M55" i="27" s="1"/>
  <c r="A55" i="27" s="1"/>
  <c r="B55" i="27"/>
  <c r="M54" i="27"/>
  <c r="A54" i="27" s="1"/>
  <c r="J54" i="27"/>
  <c r="K54" i="27" s="1"/>
  <c r="I54" i="27"/>
  <c r="B54" i="27"/>
  <c r="K53" i="27"/>
  <c r="J53" i="27"/>
  <c r="I53" i="27"/>
  <c r="M53" i="27" s="1"/>
  <c r="A53" i="27" s="1"/>
  <c r="B53" i="27"/>
  <c r="K52" i="27"/>
  <c r="J52" i="27"/>
  <c r="I52" i="27"/>
  <c r="M52" i="27" s="1"/>
  <c r="A52" i="27" s="1"/>
  <c r="B52" i="27"/>
  <c r="K51" i="27"/>
  <c r="J51" i="27"/>
  <c r="I51" i="27"/>
  <c r="M51" i="27" s="1"/>
  <c r="B51" i="27"/>
  <c r="A51" i="27"/>
  <c r="K50" i="27"/>
  <c r="J50" i="27"/>
  <c r="I50" i="27"/>
  <c r="M50" i="27" s="1"/>
  <c r="A50" i="27" s="1"/>
  <c r="B50" i="27"/>
  <c r="J49" i="27"/>
  <c r="K49" i="27" s="1"/>
  <c r="I49" i="27"/>
  <c r="M49" i="27" s="1"/>
  <c r="A49" i="27" s="1"/>
  <c r="B49" i="27"/>
  <c r="J48" i="27"/>
  <c r="K48" i="27" s="1"/>
  <c r="I48" i="27"/>
  <c r="M48" i="27" s="1"/>
  <c r="A48" i="27" s="1"/>
  <c r="B48" i="27"/>
  <c r="J47" i="27"/>
  <c r="K47" i="27" s="1"/>
  <c r="I47" i="27"/>
  <c r="M47" i="27" s="1"/>
  <c r="A47" i="27" s="1"/>
  <c r="B47" i="27"/>
  <c r="T46" i="27"/>
  <c r="R46" i="27"/>
  <c r="M46" i="27"/>
  <c r="A46" i="27" s="1"/>
  <c r="J46" i="27"/>
  <c r="K46" i="27" s="1"/>
  <c r="I46" i="27"/>
  <c r="B46" i="27"/>
  <c r="J45" i="27"/>
  <c r="K45" i="27" s="1"/>
  <c r="I45" i="27"/>
  <c r="M45" i="27" s="1"/>
  <c r="A45" i="27" s="1"/>
  <c r="B45" i="27"/>
  <c r="M44" i="27"/>
  <c r="A44" i="27" s="1"/>
  <c r="J44" i="27"/>
  <c r="K44" i="27" s="1"/>
  <c r="I44" i="27"/>
  <c r="B44" i="27"/>
  <c r="J43" i="27"/>
  <c r="K43" i="27" s="1"/>
  <c r="I43" i="27"/>
  <c r="M43" i="27" s="1"/>
  <c r="A43" i="27" s="1"/>
  <c r="B43" i="27"/>
  <c r="M42" i="27"/>
  <c r="A42" i="27" s="1"/>
  <c r="J42" i="27"/>
  <c r="K42" i="27" s="1"/>
  <c r="I42" i="27"/>
  <c r="B42" i="27"/>
  <c r="J41" i="27"/>
  <c r="K41" i="27" s="1"/>
  <c r="I41" i="27"/>
  <c r="M41" i="27" s="1"/>
  <c r="A41" i="27" s="1"/>
  <c r="B41" i="27"/>
  <c r="M40" i="27"/>
  <c r="A40" i="27" s="1"/>
  <c r="J40" i="27"/>
  <c r="K40" i="27" s="1"/>
  <c r="I40" i="27"/>
  <c r="B40" i="27"/>
  <c r="J39" i="27"/>
  <c r="K39" i="27" s="1"/>
  <c r="I39" i="27"/>
  <c r="M39" i="27" s="1"/>
  <c r="A39" i="27" s="1"/>
  <c r="B39" i="27"/>
  <c r="M38" i="27"/>
  <c r="A38" i="27" s="1"/>
  <c r="J38" i="27"/>
  <c r="K38" i="27" s="1"/>
  <c r="I38" i="27"/>
  <c r="B38" i="27"/>
  <c r="J37" i="27"/>
  <c r="K37" i="27" s="1"/>
  <c r="I37" i="27"/>
  <c r="M37" i="27" s="1"/>
  <c r="A37" i="27" s="1"/>
  <c r="B37" i="27"/>
  <c r="M36" i="27"/>
  <c r="A36" i="27" s="1"/>
  <c r="J36" i="27"/>
  <c r="K36" i="27" s="1"/>
  <c r="I36" i="27"/>
  <c r="B36" i="27"/>
  <c r="J35" i="27"/>
  <c r="K35" i="27" s="1"/>
  <c r="I35" i="27"/>
  <c r="M35" i="27" s="1"/>
  <c r="A35" i="27" s="1"/>
  <c r="B35" i="27"/>
  <c r="M34" i="27"/>
  <c r="A34" i="27" s="1"/>
  <c r="J34" i="27"/>
  <c r="K34" i="27" s="1"/>
  <c r="I34" i="27"/>
  <c r="B34" i="27"/>
  <c r="J33" i="27"/>
  <c r="K33" i="27" s="1"/>
  <c r="I33" i="27"/>
  <c r="M33" i="27" s="1"/>
  <c r="A33" i="27" s="1"/>
  <c r="B33" i="27"/>
  <c r="M32" i="27"/>
  <c r="A32" i="27" s="1"/>
  <c r="J32" i="27"/>
  <c r="K32" i="27" s="1"/>
  <c r="I32" i="27"/>
  <c r="B32" i="27"/>
  <c r="J31" i="27"/>
  <c r="K31" i="27" s="1"/>
  <c r="I31" i="27"/>
  <c r="M31" i="27" s="1"/>
  <c r="A31" i="27" s="1"/>
  <c r="B31" i="27"/>
  <c r="M30" i="27"/>
  <c r="A30" i="27" s="1"/>
  <c r="J30" i="27"/>
  <c r="K30" i="27" s="1"/>
  <c r="I30" i="27"/>
  <c r="B30" i="27"/>
  <c r="J29" i="27"/>
  <c r="K29" i="27" s="1"/>
  <c r="I29" i="27"/>
  <c r="M29" i="27" s="1"/>
  <c r="A29" i="27" s="1"/>
  <c r="B29" i="27"/>
  <c r="M28" i="27"/>
  <c r="A28" i="27" s="1"/>
  <c r="J28" i="27"/>
  <c r="K28" i="27" s="1"/>
  <c r="I28" i="27"/>
  <c r="B28" i="27"/>
  <c r="J27" i="27"/>
  <c r="K27" i="27" s="1"/>
  <c r="I27" i="27"/>
  <c r="M27" i="27" s="1"/>
  <c r="A27" i="27" s="1"/>
  <c r="B27" i="27"/>
  <c r="J26" i="27"/>
  <c r="K26" i="27" s="1"/>
  <c r="M26" i="27" s="1"/>
  <c r="A26" i="27" s="1"/>
  <c r="I26" i="27"/>
  <c r="B26" i="27"/>
  <c r="J25" i="27"/>
  <c r="K25" i="27" s="1"/>
  <c r="I25" i="27"/>
  <c r="M25" i="27" s="1"/>
  <c r="A25" i="27" s="1"/>
  <c r="B25" i="27"/>
  <c r="V25" i="20" s="1"/>
  <c r="J24" i="27"/>
  <c r="K24" i="27" s="1"/>
  <c r="I24" i="27"/>
  <c r="B24" i="27"/>
  <c r="J23" i="27"/>
  <c r="K23" i="27" s="1"/>
  <c r="I23" i="27"/>
  <c r="B23" i="27"/>
  <c r="J22" i="27"/>
  <c r="K22" i="27" s="1"/>
  <c r="I22" i="27"/>
  <c r="B22" i="27"/>
  <c r="J21" i="27"/>
  <c r="K21" i="27" s="1"/>
  <c r="M21" i="27" s="1"/>
  <c r="A21" i="27" s="1"/>
  <c r="I21" i="27"/>
  <c r="B21" i="27"/>
  <c r="J20" i="27"/>
  <c r="K20" i="27" s="1"/>
  <c r="I20" i="27"/>
  <c r="B20" i="27"/>
  <c r="J19" i="27"/>
  <c r="K19" i="27" s="1"/>
  <c r="I19" i="27"/>
  <c r="B19" i="27"/>
  <c r="J18" i="27"/>
  <c r="K18" i="27" s="1"/>
  <c r="I18" i="27"/>
  <c r="B18" i="27"/>
  <c r="J17" i="27"/>
  <c r="K17" i="27" s="1"/>
  <c r="I17" i="27"/>
  <c r="B17" i="27"/>
  <c r="J16" i="27"/>
  <c r="K16" i="27" s="1"/>
  <c r="I16" i="27"/>
  <c r="B16" i="27"/>
  <c r="J15" i="27"/>
  <c r="K15" i="27" s="1"/>
  <c r="I15" i="27"/>
  <c r="B15" i="27"/>
  <c r="AI14" i="27"/>
  <c r="J14" i="27"/>
  <c r="K14" i="27" s="1"/>
  <c r="M14" i="27" s="1"/>
  <c r="A14" i="27" s="1"/>
  <c r="I14" i="27"/>
  <c r="B14" i="27"/>
  <c r="AI13" i="27"/>
  <c r="AI16" i="27" s="1"/>
  <c r="J13" i="27"/>
  <c r="K13" i="27" s="1"/>
  <c r="I13" i="27"/>
  <c r="B13" i="27"/>
  <c r="AI12" i="27"/>
  <c r="J12" i="27"/>
  <c r="K12" i="27" s="1"/>
  <c r="I12" i="27"/>
  <c r="B12" i="27"/>
  <c r="J11" i="27"/>
  <c r="K11" i="27" s="1"/>
  <c r="I11" i="27"/>
  <c r="B11" i="27"/>
  <c r="J10" i="27"/>
  <c r="K10" i="27" s="1"/>
  <c r="I10" i="27"/>
  <c r="B10" i="27"/>
  <c r="J9" i="27"/>
  <c r="K9" i="27" s="1"/>
  <c r="I9" i="27"/>
  <c r="B9" i="27"/>
  <c r="J8" i="27"/>
  <c r="K8" i="27" s="1"/>
  <c r="I8" i="27"/>
  <c r="B8" i="27"/>
  <c r="J7" i="27"/>
  <c r="K7" i="27" s="1"/>
  <c r="I7" i="27"/>
  <c r="B7" i="27"/>
  <c r="J6" i="27"/>
  <c r="K6" i="27" s="1"/>
  <c r="I6" i="27"/>
  <c r="B6" i="27"/>
  <c r="K2" i="27"/>
  <c r="L8" i="27" s="1"/>
  <c r="J305" i="26"/>
  <c r="K305" i="26" s="1"/>
  <c r="I305" i="26"/>
  <c r="M305" i="26" s="1"/>
  <c r="J304" i="26"/>
  <c r="K304" i="26" s="1"/>
  <c r="I304" i="26"/>
  <c r="M304" i="26" s="1"/>
  <c r="J303" i="26"/>
  <c r="K303" i="26" s="1"/>
  <c r="I303" i="26"/>
  <c r="M303" i="26" s="1"/>
  <c r="J302" i="26"/>
  <c r="K302" i="26" s="1"/>
  <c r="I302" i="26"/>
  <c r="M302" i="26" s="1"/>
  <c r="J301" i="26"/>
  <c r="K301" i="26" s="1"/>
  <c r="I301" i="26"/>
  <c r="M301" i="26" s="1"/>
  <c r="J300" i="26"/>
  <c r="K300" i="26" s="1"/>
  <c r="I300" i="26"/>
  <c r="M300" i="26" s="1"/>
  <c r="J299" i="26"/>
  <c r="K299" i="26" s="1"/>
  <c r="I299" i="26"/>
  <c r="M299" i="26" s="1"/>
  <c r="J298" i="26"/>
  <c r="K298" i="26" s="1"/>
  <c r="I298" i="26"/>
  <c r="M298" i="26" s="1"/>
  <c r="K297" i="26"/>
  <c r="J297" i="26"/>
  <c r="I297" i="26"/>
  <c r="M297" i="26" s="1"/>
  <c r="J296" i="26"/>
  <c r="K296" i="26" s="1"/>
  <c r="I296" i="26"/>
  <c r="M296" i="26" s="1"/>
  <c r="J295" i="26"/>
  <c r="K295" i="26" s="1"/>
  <c r="I295" i="26"/>
  <c r="M295" i="26" s="1"/>
  <c r="J294" i="26"/>
  <c r="K294" i="26" s="1"/>
  <c r="I294" i="26"/>
  <c r="M294" i="26" s="1"/>
  <c r="J293" i="26"/>
  <c r="K293" i="26" s="1"/>
  <c r="I293" i="26"/>
  <c r="M293" i="26" s="1"/>
  <c r="J292" i="26"/>
  <c r="K292" i="26" s="1"/>
  <c r="I292" i="26"/>
  <c r="M292" i="26" s="1"/>
  <c r="J291" i="26"/>
  <c r="K291" i="26" s="1"/>
  <c r="I291" i="26"/>
  <c r="M291" i="26" s="1"/>
  <c r="J290" i="26"/>
  <c r="K290" i="26" s="1"/>
  <c r="I290" i="26"/>
  <c r="M290" i="26" s="1"/>
  <c r="J289" i="26"/>
  <c r="K289" i="26" s="1"/>
  <c r="I289" i="26"/>
  <c r="M289" i="26" s="1"/>
  <c r="J288" i="26"/>
  <c r="K288" i="26" s="1"/>
  <c r="I288" i="26"/>
  <c r="M288" i="26" s="1"/>
  <c r="J287" i="26"/>
  <c r="K287" i="26" s="1"/>
  <c r="I287" i="26"/>
  <c r="M287" i="26" s="1"/>
  <c r="J286" i="26"/>
  <c r="K286" i="26" s="1"/>
  <c r="I286" i="26"/>
  <c r="M286" i="26" s="1"/>
  <c r="J285" i="26"/>
  <c r="K285" i="26" s="1"/>
  <c r="I285" i="26"/>
  <c r="M285" i="26" s="1"/>
  <c r="J284" i="26"/>
  <c r="K284" i="26" s="1"/>
  <c r="I284" i="26"/>
  <c r="M284" i="26" s="1"/>
  <c r="K283" i="26"/>
  <c r="J283" i="26"/>
  <c r="I283" i="26"/>
  <c r="M283" i="26" s="1"/>
  <c r="J282" i="26"/>
  <c r="K282" i="26" s="1"/>
  <c r="I282" i="26"/>
  <c r="M282" i="26" s="1"/>
  <c r="J281" i="26"/>
  <c r="K281" i="26" s="1"/>
  <c r="I281" i="26"/>
  <c r="M281" i="26" s="1"/>
  <c r="J280" i="26"/>
  <c r="K280" i="26" s="1"/>
  <c r="I280" i="26"/>
  <c r="M280" i="26" s="1"/>
  <c r="J279" i="26"/>
  <c r="K279" i="26" s="1"/>
  <c r="I279" i="26"/>
  <c r="M279" i="26" s="1"/>
  <c r="J278" i="26"/>
  <c r="K278" i="26" s="1"/>
  <c r="I278" i="26"/>
  <c r="M278" i="26" s="1"/>
  <c r="J277" i="26"/>
  <c r="K277" i="26" s="1"/>
  <c r="I277" i="26"/>
  <c r="M277" i="26" s="1"/>
  <c r="J276" i="26"/>
  <c r="K276" i="26" s="1"/>
  <c r="I276" i="26"/>
  <c r="M276" i="26" s="1"/>
  <c r="J275" i="26"/>
  <c r="K275" i="26" s="1"/>
  <c r="I275" i="26"/>
  <c r="M275" i="26" s="1"/>
  <c r="J274" i="26"/>
  <c r="K274" i="26" s="1"/>
  <c r="I274" i="26"/>
  <c r="M274" i="26" s="1"/>
  <c r="J273" i="26"/>
  <c r="K273" i="26" s="1"/>
  <c r="I273" i="26"/>
  <c r="M273" i="26" s="1"/>
  <c r="J272" i="26"/>
  <c r="K272" i="26" s="1"/>
  <c r="I272" i="26"/>
  <c r="M272" i="26" s="1"/>
  <c r="J271" i="26"/>
  <c r="K271" i="26" s="1"/>
  <c r="I271" i="26"/>
  <c r="M271" i="26" s="1"/>
  <c r="J270" i="26"/>
  <c r="K270" i="26" s="1"/>
  <c r="I270" i="26"/>
  <c r="M270" i="26" s="1"/>
  <c r="J269" i="26"/>
  <c r="K269" i="26" s="1"/>
  <c r="I269" i="26"/>
  <c r="M269" i="26" s="1"/>
  <c r="J268" i="26"/>
  <c r="K268" i="26" s="1"/>
  <c r="I268" i="26"/>
  <c r="M268" i="26" s="1"/>
  <c r="J267" i="26"/>
  <c r="K267" i="26" s="1"/>
  <c r="I267" i="26"/>
  <c r="M267" i="26" s="1"/>
  <c r="J266" i="26"/>
  <c r="K266" i="26" s="1"/>
  <c r="I266" i="26"/>
  <c r="M266" i="26" s="1"/>
  <c r="J265" i="26"/>
  <c r="K265" i="26" s="1"/>
  <c r="I265" i="26"/>
  <c r="M265" i="26" s="1"/>
  <c r="J264" i="26"/>
  <c r="K264" i="26" s="1"/>
  <c r="I264" i="26"/>
  <c r="M264" i="26" s="1"/>
  <c r="J263" i="26"/>
  <c r="K263" i="26" s="1"/>
  <c r="I263" i="26"/>
  <c r="M263" i="26" s="1"/>
  <c r="J262" i="26"/>
  <c r="K262" i="26" s="1"/>
  <c r="I262" i="26"/>
  <c r="M262" i="26" s="1"/>
  <c r="J261" i="26"/>
  <c r="K261" i="26" s="1"/>
  <c r="I261" i="26"/>
  <c r="M261" i="26" s="1"/>
  <c r="J260" i="26"/>
  <c r="K260" i="26" s="1"/>
  <c r="I260" i="26"/>
  <c r="M260" i="26" s="1"/>
  <c r="J259" i="26"/>
  <c r="K259" i="26" s="1"/>
  <c r="I259" i="26"/>
  <c r="M259" i="26" s="1"/>
  <c r="J258" i="26"/>
  <c r="K258" i="26" s="1"/>
  <c r="I258" i="26"/>
  <c r="M258" i="26" s="1"/>
  <c r="J257" i="26"/>
  <c r="K257" i="26" s="1"/>
  <c r="I257" i="26"/>
  <c r="M257" i="26" s="1"/>
  <c r="J256" i="26"/>
  <c r="K256" i="26" s="1"/>
  <c r="I256" i="26"/>
  <c r="M256" i="26" s="1"/>
  <c r="J255" i="26"/>
  <c r="K255" i="26" s="1"/>
  <c r="I255" i="26"/>
  <c r="M255" i="26" s="1"/>
  <c r="J254" i="26"/>
  <c r="K254" i="26" s="1"/>
  <c r="I254" i="26"/>
  <c r="M254" i="26" s="1"/>
  <c r="J253" i="26"/>
  <c r="K253" i="26" s="1"/>
  <c r="I253" i="26"/>
  <c r="M253" i="26" s="1"/>
  <c r="J252" i="26"/>
  <c r="K252" i="26" s="1"/>
  <c r="I252" i="26"/>
  <c r="M252" i="26" s="1"/>
  <c r="J251" i="26"/>
  <c r="K251" i="26" s="1"/>
  <c r="I251" i="26"/>
  <c r="M251" i="26" s="1"/>
  <c r="J250" i="26"/>
  <c r="K250" i="26" s="1"/>
  <c r="I250" i="26"/>
  <c r="M250" i="26" s="1"/>
  <c r="J249" i="26"/>
  <c r="K249" i="26" s="1"/>
  <c r="I249" i="26"/>
  <c r="M249" i="26" s="1"/>
  <c r="J248" i="26"/>
  <c r="K248" i="26" s="1"/>
  <c r="I248" i="26"/>
  <c r="M248" i="26" s="1"/>
  <c r="J247" i="26"/>
  <c r="K247" i="26" s="1"/>
  <c r="I247" i="26"/>
  <c r="M247" i="26" s="1"/>
  <c r="J246" i="26"/>
  <c r="K246" i="26" s="1"/>
  <c r="I246" i="26"/>
  <c r="M246" i="26" s="1"/>
  <c r="J245" i="26"/>
  <c r="K245" i="26" s="1"/>
  <c r="I245" i="26"/>
  <c r="M245" i="26" s="1"/>
  <c r="J244" i="26"/>
  <c r="K244" i="26" s="1"/>
  <c r="I244" i="26"/>
  <c r="M244" i="26" s="1"/>
  <c r="J243" i="26"/>
  <c r="K243" i="26" s="1"/>
  <c r="I243" i="26"/>
  <c r="M243" i="26" s="1"/>
  <c r="J242" i="26"/>
  <c r="K242" i="26" s="1"/>
  <c r="I242" i="26"/>
  <c r="M242" i="26" s="1"/>
  <c r="J241" i="26"/>
  <c r="K241" i="26" s="1"/>
  <c r="I241" i="26"/>
  <c r="M241" i="26" s="1"/>
  <c r="J240" i="26"/>
  <c r="K240" i="26" s="1"/>
  <c r="I240" i="26"/>
  <c r="M240" i="26" s="1"/>
  <c r="K239" i="26"/>
  <c r="J239" i="26"/>
  <c r="I239" i="26"/>
  <c r="M239" i="26" s="1"/>
  <c r="J238" i="26"/>
  <c r="K238" i="26" s="1"/>
  <c r="I238" i="26"/>
  <c r="M238" i="26" s="1"/>
  <c r="J237" i="26"/>
  <c r="K237" i="26" s="1"/>
  <c r="I237" i="26"/>
  <c r="M237" i="26" s="1"/>
  <c r="J236" i="26"/>
  <c r="K236" i="26" s="1"/>
  <c r="I236" i="26"/>
  <c r="M236" i="26" s="1"/>
  <c r="J235" i="26"/>
  <c r="K235" i="26" s="1"/>
  <c r="I235" i="26"/>
  <c r="M235" i="26" s="1"/>
  <c r="J234" i="26"/>
  <c r="K234" i="26" s="1"/>
  <c r="I234" i="26"/>
  <c r="M234" i="26" s="1"/>
  <c r="J233" i="26"/>
  <c r="K233" i="26" s="1"/>
  <c r="I233" i="26"/>
  <c r="M233" i="26" s="1"/>
  <c r="J232" i="26"/>
  <c r="K232" i="26" s="1"/>
  <c r="I232" i="26"/>
  <c r="M232" i="26" s="1"/>
  <c r="J231" i="26"/>
  <c r="K231" i="26" s="1"/>
  <c r="I231" i="26"/>
  <c r="M231" i="26" s="1"/>
  <c r="J230" i="26"/>
  <c r="K230" i="26" s="1"/>
  <c r="I230" i="26"/>
  <c r="M230" i="26" s="1"/>
  <c r="J229" i="26"/>
  <c r="K229" i="26" s="1"/>
  <c r="I229" i="26"/>
  <c r="M229" i="26" s="1"/>
  <c r="J228" i="26"/>
  <c r="K228" i="26" s="1"/>
  <c r="I228" i="26"/>
  <c r="M228" i="26" s="1"/>
  <c r="J227" i="26"/>
  <c r="K227" i="26" s="1"/>
  <c r="I227" i="26"/>
  <c r="M227" i="26" s="1"/>
  <c r="J226" i="26"/>
  <c r="K226" i="26" s="1"/>
  <c r="I226" i="26"/>
  <c r="M226" i="26" s="1"/>
  <c r="J225" i="26"/>
  <c r="K225" i="26" s="1"/>
  <c r="I225" i="26"/>
  <c r="M225" i="26" s="1"/>
  <c r="J224" i="26"/>
  <c r="K224" i="26" s="1"/>
  <c r="I224" i="26"/>
  <c r="M224" i="26" s="1"/>
  <c r="J223" i="26"/>
  <c r="K223" i="26" s="1"/>
  <c r="I223" i="26"/>
  <c r="M223" i="26" s="1"/>
  <c r="J222" i="26"/>
  <c r="K222" i="26" s="1"/>
  <c r="I222" i="26"/>
  <c r="M222" i="26" s="1"/>
  <c r="J221" i="26"/>
  <c r="K221" i="26" s="1"/>
  <c r="I221" i="26"/>
  <c r="M221" i="26" s="1"/>
  <c r="J220" i="26"/>
  <c r="K220" i="26" s="1"/>
  <c r="I220" i="26"/>
  <c r="M220" i="26" s="1"/>
  <c r="J219" i="26"/>
  <c r="K219" i="26" s="1"/>
  <c r="I219" i="26"/>
  <c r="M219" i="26" s="1"/>
  <c r="J218" i="26"/>
  <c r="K218" i="26" s="1"/>
  <c r="I218" i="26"/>
  <c r="M218" i="26" s="1"/>
  <c r="J217" i="26"/>
  <c r="K217" i="26" s="1"/>
  <c r="I217" i="26"/>
  <c r="M217" i="26" s="1"/>
  <c r="J216" i="26"/>
  <c r="K216" i="26" s="1"/>
  <c r="I216" i="26"/>
  <c r="M216" i="26" s="1"/>
  <c r="J215" i="26"/>
  <c r="K215" i="26" s="1"/>
  <c r="I215" i="26"/>
  <c r="M215" i="26" s="1"/>
  <c r="J214" i="26"/>
  <c r="K214" i="26" s="1"/>
  <c r="I214" i="26"/>
  <c r="M214" i="26" s="1"/>
  <c r="J213" i="26"/>
  <c r="K213" i="26" s="1"/>
  <c r="I213" i="26"/>
  <c r="M213" i="26" s="1"/>
  <c r="J212" i="26"/>
  <c r="K212" i="26" s="1"/>
  <c r="I212" i="26"/>
  <c r="M212" i="26" s="1"/>
  <c r="J211" i="26"/>
  <c r="K211" i="26" s="1"/>
  <c r="I211" i="26"/>
  <c r="M211" i="26" s="1"/>
  <c r="J210" i="26"/>
  <c r="K210" i="26" s="1"/>
  <c r="I210" i="26"/>
  <c r="M210" i="26" s="1"/>
  <c r="J209" i="26"/>
  <c r="K209" i="26" s="1"/>
  <c r="I209" i="26"/>
  <c r="M209" i="26" s="1"/>
  <c r="J208" i="26"/>
  <c r="K208" i="26" s="1"/>
  <c r="I208" i="26"/>
  <c r="M208" i="26" s="1"/>
  <c r="J207" i="26"/>
  <c r="K207" i="26" s="1"/>
  <c r="I207" i="26"/>
  <c r="M207" i="26" s="1"/>
  <c r="J206" i="26"/>
  <c r="K206" i="26" s="1"/>
  <c r="I206" i="26"/>
  <c r="M206" i="26" s="1"/>
  <c r="J205" i="26"/>
  <c r="K205" i="26" s="1"/>
  <c r="I205" i="26"/>
  <c r="M205" i="26" s="1"/>
  <c r="J204" i="26"/>
  <c r="K204" i="26" s="1"/>
  <c r="I204" i="26"/>
  <c r="M204" i="26" s="1"/>
  <c r="J203" i="26"/>
  <c r="K203" i="26" s="1"/>
  <c r="I203" i="26"/>
  <c r="M203" i="26" s="1"/>
  <c r="J202" i="26"/>
  <c r="K202" i="26" s="1"/>
  <c r="I202" i="26"/>
  <c r="M202" i="26" s="1"/>
  <c r="J201" i="26"/>
  <c r="K201" i="26" s="1"/>
  <c r="I201" i="26"/>
  <c r="M201" i="26" s="1"/>
  <c r="J200" i="26"/>
  <c r="K200" i="26" s="1"/>
  <c r="I200" i="26"/>
  <c r="M200" i="26" s="1"/>
  <c r="J199" i="26"/>
  <c r="K199" i="26" s="1"/>
  <c r="I199" i="26"/>
  <c r="M199" i="26" s="1"/>
  <c r="J198" i="26"/>
  <c r="K198" i="26" s="1"/>
  <c r="I198" i="26"/>
  <c r="M198" i="26" s="1"/>
  <c r="J197" i="26"/>
  <c r="K197" i="26" s="1"/>
  <c r="I197" i="26"/>
  <c r="M197" i="26" s="1"/>
  <c r="J196" i="26"/>
  <c r="K196" i="26" s="1"/>
  <c r="I196" i="26"/>
  <c r="M196" i="26" s="1"/>
  <c r="J195" i="26"/>
  <c r="K195" i="26" s="1"/>
  <c r="I195" i="26"/>
  <c r="M195" i="26" s="1"/>
  <c r="J194" i="26"/>
  <c r="K194" i="26" s="1"/>
  <c r="I194" i="26"/>
  <c r="M194" i="26" s="1"/>
  <c r="J193" i="26"/>
  <c r="K193" i="26" s="1"/>
  <c r="I193" i="26"/>
  <c r="M193" i="26" s="1"/>
  <c r="J192" i="26"/>
  <c r="K192" i="26" s="1"/>
  <c r="I192" i="26"/>
  <c r="M192" i="26" s="1"/>
  <c r="J191" i="26"/>
  <c r="K191" i="26" s="1"/>
  <c r="I191" i="26"/>
  <c r="M191" i="26" s="1"/>
  <c r="J190" i="26"/>
  <c r="K190" i="26" s="1"/>
  <c r="I190" i="26"/>
  <c r="M190" i="26" s="1"/>
  <c r="J189" i="26"/>
  <c r="K189" i="26" s="1"/>
  <c r="I189" i="26"/>
  <c r="M189" i="26" s="1"/>
  <c r="J188" i="26"/>
  <c r="K188" i="26" s="1"/>
  <c r="I188" i="26"/>
  <c r="M188" i="26" s="1"/>
  <c r="J187" i="26"/>
  <c r="K187" i="26" s="1"/>
  <c r="I187" i="26"/>
  <c r="M187" i="26" s="1"/>
  <c r="J186" i="26"/>
  <c r="K186" i="26" s="1"/>
  <c r="I186" i="26"/>
  <c r="M186" i="26" s="1"/>
  <c r="J185" i="26"/>
  <c r="K185" i="26" s="1"/>
  <c r="I185" i="26"/>
  <c r="M185" i="26" s="1"/>
  <c r="J184" i="26"/>
  <c r="K184" i="26" s="1"/>
  <c r="I184" i="26"/>
  <c r="M184" i="26" s="1"/>
  <c r="J183" i="26"/>
  <c r="K183" i="26" s="1"/>
  <c r="I183" i="26"/>
  <c r="M183" i="26" s="1"/>
  <c r="J182" i="26"/>
  <c r="K182" i="26" s="1"/>
  <c r="I182" i="26"/>
  <c r="M182" i="26" s="1"/>
  <c r="J181" i="26"/>
  <c r="K181" i="26" s="1"/>
  <c r="I181" i="26"/>
  <c r="M181" i="26" s="1"/>
  <c r="J180" i="26"/>
  <c r="K180" i="26" s="1"/>
  <c r="I180" i="26"/>
  <c r="M180" i="26" s="1"/>
  <c r="J179" i="26"/>
  <c r="K179" i="26" s="1"/>
  <c r="I179" i="26"/>
  <c r="M179" i="26" s="1"/>
  <c r="J178" i="26"/>
  <c r="K178" i="26" s="1"/>
  <c r="I178" i="26"/>
  <c r="M178" i="26" s="1"/>
  <c r="J177" i="26"/>
  <c r="K177" i="26" s="1"/>
  <c r="I177" i="26"/>
  <c r="M177" i="26" s="1"/>
  <c r="J176" i="26"/>
  <c r="K176" i="26" s="1"/>
  <c r="I176" i="26"/>
  <c r="M176" i="26" s="1"/>
  <c r="J175" i="26"/>
  <c r="K175" i="26" s="1"/>
  <c r="I175" i="26"/>
  <c r="M175" i="26" s="1"/>
  <c r="J174" i="26"/>
  <c r="K174" i="26" s="1"/>
  <c r="I174" i="26"/>
  <c r="M174" i="26" s="1"/>
  <c r="J173" i="26"/>
  <c r="K173" i="26" s="1"/>
  <c r="I173" i="26"/>
  <c r="M173" i="26" s="1"/>
  <c r="J172" i="26"/>
  <c r="K172" i="26" s="1"/>
  <c r="I172" i="26"/>
  <c r="M172" i="26" s="1"/>
  <c r="J171" i="26"/>
  <c r="K171" i="26" s="1"/>
  <c r="I171" i="26"/>
  <c r="M171" i="26" s="1"/>
  <c r="J170" i="26"/>
  <c r="K170" i="26" s="1"/>
  <c r="I170" i="26"/>
  <c r="M170" i="26" s="1"/>
  <c r="J169" i="26"/>
  <c r="K169" i="26" s="1"/>
  <c r="I169" i="26"/>
  <c r="M169" i="26" s="1"/>
  <c r="J168" i="26"/>
  <c r="K168" i="26" s="1"/>
  <c r="I168" i="26"/>
  <c r="M168" i="26" s="1"/>
  <c r="J167" i="26"/>
  <c r="K167" i="26" s="1"/>
  <c r="I167" i="26"/>
  <c r="M167" i="26" s="1"/>
  <c r="J166" i="26"/>
  <c r="K166" i="26" s="1"/>
  <c r="I166" i="26"/>
  <c r="M166" i="26" s="1"/>
  <c r="J165" i="26"/>
  <c r="K165" i="26" s="1"/>
  <c r="I165" i="26"/>
  <c r="M165" i="26" s="1"/>
  <c r="J164" i="26"/>
  <c r="K164" i="26" s="1"/>
  <c r="I164" i="26"/>
  <c r="M164" i="26" s="1"/>
  <c r="J163" i="26"/>
  <c r="K163" i="26" s="1"/>
  <c r="I163" i="26"/>
  <c r="M163" i="26" s="1"/>
  <c r="J162" i="26"/>
  <c r="K162" i="26" s="1"/>
  <c r="I162" i="26"/>
  <c r="M162" i="26" s="1"/>
  <c r="J161" i="26"/>
  <c r="K161" i="26" s="1"/>
  <c r="I161" i="26"/>
  <c r="M161" i="26" s="1"/>
  <c r="J160" i="26"/>
  <c r="K160" i="26" s="1"/>
  <c r="I160" i="26"/>
  <c r="M160" i="26" s="1"/>
  <c r="J159" i="26"/>
  <c r="K159" i="26" s="1"/>
  <c r="I159" i="26"/>
  <c r="M159" i="26" s="1"/>
  <c r="J158" i="26"/>
  <c r="K158" i="26" s="1"/>
  <c r="I158" i="26"/>
  <c r="M158" i="26" s="1"/>
  <c r="J157" i="26"/>
  <c r="K157" i="26" s="1"/>
  <c r="I157" i="26"/>
  <c r="M157" i="26" s="1"/>
  <c r="J156" i="26"/>
  <c r="K156" i="26" s="1"/>
  <c r="I156" i="26"/>
  <c r="M156" i="26" s="1"/>
  <c r="J155" i="26"/>
  <c r="K155" i="26" s="1"/>
  <c r="I155" i="26"/>
  <c r="M155" i="26" s="1"/>
  <c r="J154" i="26"/>
  <c r="K154" i="26" s="1"/>
  <c r="I154" i="26"/>
  <c r="M154" i="26" s="1"/>
  <c r="J153" i="26"/>
  <c r="K153" i="26" s="1"/>
  <c r="I153" i="26"/>
  <c r="M153" i="26" s="1"/>
  <c r="J152" i="26"/>
  <c r="K152" i="26" s="1"/>
  <c r="I152" i="26"/>
  <c r="M152" i="26" s="1"/>
  <c r="J151" i="26"/>
  <c r="K151" i="26" s="1"/>
  <c r="I151" i="26"/>
  <c r="M151" i="26" s="1"/>
  <c r="J150" i="26"/>
  <c r="K150" i="26" s="1"/>
  <c r="I150" i="26"/>
  <c r="M150" i="26" s="1"/>
  <c r="M149" i="26"/>
  <c r="J149" i="26"/>
  <c r="K149" i="26" s="1"/>
  <c r="I149" i="26"/>
  <c r="J148" i="26"/>
  <c r="K148" i="26" s="1"/>
  <c r="I148" i="26"/>
  <c r="M148" i="26" s="1"/>
  <c r="J147" i="26"/>
  <c r="K147" i="26" s="1"/>
  <c r="I147" i="26"/>
  <c r="M147" i="26" s="1"/>
  <c r="J146" i="26"/>
  <c r="K146" i="26" s="1"/>
  <c r="I146" i="26"/>
  <c r="M146" i="26" s="1"/>
  <c r="J145" i="26"/>
  <c r="K145" i="26" s="1"/>
  <c r="I145" i="26"/>
  <c r="M145" i="26" s="1"/>
  <c r="J144" i="26"/>
  <c r="K144" i="26" s="1"/>
  <c r="I144" i="26"/>
  <c r="M144" i="26" s="1"/>
  <c r="J143" i="26"/>
  <c r="K143" i="26" s="1"/>
  <c r="I143" i="26"/>
  <c r="M143" i="26" s="1"/>
  <c r="J142" i="26"/>
  <c r="K142" i="26" s="1"/>
  <c r="I142" i="26"/>
  <c r="M142" i="26" s="1"/>
  <c r="J141" i="26"/>
  <c r="K141" i="26" s="1"/>
  <c r="I141" i="26"/>
  <c r="M141" i="26" s="1"/>
  <c r="J140" i="26"/>
  <c r="K140" i="26" s="1"/>
  <c r="I140" i="26"/>
  <c r="M140" i="26" s="1"/>
  <c r="J139" i="26"/>
  <c r="K139" i="26" s="1"/>
  <c r="I139" i="26"/>
  <c r="M139" i="26" s="1"/>
  <c r="J138" i="26"/>
  <c r="K138" i="26" s="1"/>
  <c r="I138" i="26"/>
  <c r="M138" i="26" s="1"/>
  <c r="J137" i="26"/>
  <c r="K137" i="26" s="1"/>
  <c r="I137" i="26"/>
  <c r="M137" i="26" s="1"/>
  <c r="J136" i="26"/>
  <c r="K136" i="26" s="1"/>
  <c r="I136" i="26"/>
  <c r="M136" i="26" s="1"/>
  <c r="J135" i="26"/>
  <c r="K135" i="26" s="1"/>
  <c r="I135" i="26"/>
  <c r="M135" i="26" s="1"/>
  <c r="J134" i="26"/>
  <c r="K134" i="26" s="1"/>
  <c r="I134" i="26"/>
  <c r="M134" i="26" s="1"/>
  <c r="J133" i="26"/>
  <c r="K133" i="26" s="1"/>
  <c r="I133" i="26"/>
  <c r="M133" i="26" s="1"/>
  <c r="J132" i="26"/>
  <c r="K132" i="26" s="1"/>
  <c r="I132" i="26"/>
  <c r="M132" i="26" s="1"/>
  <c r="J131" i="26"/>
  <c r="K131" i="26" s="1"/>
  <c r="I131" i="26"/>
  <c r="M131" i="26" s="1"/>
  <c r="J130" i="26"/>
  <c r="K130" i="26" s="1"/>
  <c r="I130" i="26"/>
  <c r="M130" i="26" s="1"/>
  <c r="J129" i="26"/>
  <c r="K129" i="26" s="1"/>
  <c r="I129" i="26"/>
  <c r="M129" i="26" s="1"/>
  <c r="J128" i="26"/>
  <c r="K128" i="26" s="1"/>
  <c r="I128" i="26"/>
  <c r="M128" i="26" s="1"/>
  <c r="J127" i="26"/>
  <c r="K127" i="26" s="1"/>
  <c r="I127" i="26"/>
  <c r="M127" i="26" s="1"/>
  <c r="J126" i="26"/>
  <c r="K126" i="26" s="1"/>
  <c r="I126" i="26"/>
  <c r="M126" i="26" s="1"/>
  <c r="J125" i="26"/>
  <c r="K125" i="26" s="1"/>
  <c r="I125" i="26"/>
  <c r="M125" i="26" s="1"/>
  <c r="J124" i="26"/>
  <c r="K124" i="26" s="1"/>
  <c r="I124" i="26"/>
  <c r="M124" i="26" s="1"/>
  <c r="J123" i="26"/>
  <c r="K123" i="26" s="1"/>
  <c r="I123" i="26"/>
  <c r="M123" i="26" s="1"/>
  <c r="J122" i="26"/>
  <c r="K122" i="26" s="1"/>
  <c r="I122" i="26"/>
  <c r="M122" i="26" s="1"/>
  <c r="J121" i="26"/>
  <c r="K121" i="26" s="1"/>
  <c r="I121" i="26"/>
  <c r="M121" i="26" s="1"/>
  <c r="K120" i="26"/>
  <c r="J120" i="26"/>
  <c r="I120" i="26"/>
  <c r="M120" i="26" s="1"/>
  <c r="J119" i="26"/>
  <c r="K119" i="26" s="1"/>
  <c r="I119" i="26"/>
  <c r="M119" i="26" s="1"/>
  <c r="K118" i="26"/>
  <c r="J118" i="26"/>
  <c r="I118" i="26"/>
  <c r="M118" i="26" s="1"/>
  <c r="J117" i="26"/>
  <c r="K117" i="26" s="1"/>
  <c r="I117" i="26"/>
  <c r="M117" i="26" s="1"/>
  <c r="J116" i="26"/>
  <c r="K116" i="26" s="1"/>
  <c r="I116" i="26"/>
  <c r="M116" i="26" s="1"/>
  <c r="J115" i="26"/>
  <c r="K115" i="26" s="1"/>
  <c r="I115" i="26"/>
  <c r="M115" i="26" s="1"/>
  <c r="J114" i="26"/>
  <c r="K114" i="26" s="1"/>
  <c r="I114" i="26"/>
  <c r="M114" i="26" s="1"/>
  <c r="J113" i="26"/>
  <c r="K113" i="26" s="1"/>
  <c r="I113" i="26"/>
  <c r="M113" i="26" s="1"/>
  <c r="J112" i="26"/>
  <c r="K112" i="26" s="1"/>
  <c r="I112" i="26"/>
  <c r="M112" i="26" s="1"/>
  <c r="J111" i="26"/>
  <c r="K111" i="26" s="1"/>
  <c r="I111" i="26"/>
  <c r="M111" i="26" s="1"/>
  <c r="K110" i="26"/>
  <c r="J110" i="26"/>
  <c r="I110" i="26"/>
  <c r="M110" i="26" s="1"/>
  <c r="J109" i="26"/>
  <c r="K109" i="26" s="1"/>
  <c r="I109" i="26"/>
  <c r="M109" i="26" s="1"/>
  <c r="J108" i="26"/>
  <c r="K108" i="26" s="1"/>
  <c r="I108" i="26"/>
  <c r="M108" i="26" s="1"/>
  <c r="J107" i="26"/>
  <c r="K107" i="26" s="1"/>
  <c r="I107" i="26"/>
  <c r="M107" i="26" s="1"/>
  <c r="J106" i="26"/>
  <c r="K106" i="26" s="1"/>
  <c r="I106" i="26"/>
  <c r="M106" i="26" s="1"/>
  <c r="J105" i="26"/>
  <c r="K105" i="26" s="1"/>
  <c r="I105" i="26"/>
  <c r="M105" i="26" s="1"/>
  <c r="J104" i="26"/>
  <c r="K104" i="26" s="1"/>
  <c r="I104" i="26"/>
  <c r="M104" i="26" s="1"/>
  <c r="M103" i="26"/>
  <c r="J103" i="26"/>
  <c r="K103" i="26" s="1"/>
  <c r="I103" i="26"/>
  <c r="J102" i="26"/>
  <c r="K102" i="26" s="1"/>
  <c r="I102" i="26"/>
  <c r="M102" i="26" s="1"/>
  <c r="J101" i="26"/>
  <c r="K101" i="26" s="1"/>
  <c r="I101" i="26"/>
  <c r="M101" i="26" s="1"/>
  <c r="J100" i="26"/>
  <c r="K100" i="26" s="1"/>
  <c r="I100" i="26"/>
  <c r="M100" i="26" s="1"/>
  <c r="J99" i="26"/>
  <c r="K99" i="26" s="1"/>
  <c r="I99" i="26"/>
  <c r="M99" i="26" s="1"/>
  <c r="J98" i="26"/>
  <c r="K98" i="26" s="1"/>
  <c r="I98" i="26"/>
  <c r="M98" i="26" s="1"/>
  <c r="J97" i="26"/>
  <c r="K97" i="26" s="1"/>
  <c r="I97" i="26"/>
  <c r="M97" i="26" s="1"/>
  <c r="J96" i="26"/>
  <c r="K96" i="26" s="1"/>
  <c r="I96" i="26"/>
  <c r="M96" i="26" s="1"/>
  <c r="J95" i="26"/>
  <c r="K95" i="26" s="1"/>
  <c r="I95" i="26"/>
  <c r="M95" i="26" s="1"/>
  <c r="J94" i="26"/>
  <c r="K94" i="26" s="1"/>
  <c r="I94" i="26"/>
  <c r="M94" i="26" s="1"/>
  <c r="J93" i="26"/>
  <c r="K93" i="26" s="1"/>
  <c r="I93" i="26"/>
  <c r="M93" i="26" s="1"/>
  <c r="J92" i="26"/>
  <c r="K92" i="26" s="1"/>
  <c r="I92" i="26"/>
  <c r="M92" i="26" s="1"/>
  <c r="J91" i="26"/>
  <c r="K91" i="26" s="1"/>
  <c r="I91" i="26"/>
  <c r="M91" i="26" s="1"/>
  <c r="J90" i="26"/>
  <c r="K90" i="26" s="1"/>
  <c r="I90" i="26"/>
  <c r="M90" i="26" s="1"/>
  <c r="J89" i="26"/>
  <c r="K89" i="26" s="1"/>
  <c r="I89" i="26"/>
  <c r="M89" i="26" s="1"/>
  <c r="J88" i="26"/>
  <c r="K88" i="26" s="1"/>
  <c r="I88" i="26"/>
  <c r="M88" i="26" s="1"/>
  <c r="J87" i="26"/>
  <c r="K87" i="26" s="1"/>
  <c r="I87" i="26"/>
  <c r="M87" i="26" s="1"/>
  <c r="K86" i="26"/>
  <c r="J86" i="26"/>
  <c r="I86" i="26"/>
  <c r="M86" i="26" s="1"/>
  <c r="J85" i="26"/>
  <c r="K85" i="26" s="1"/>
  <c r="I85" i="26"/>
  <c r="M85" i="26" s="1"/>
  <c r="J84" i="26"/>
  <c r="K84" i="26" s="1"/>
  <c r="I84" i="26"/>
  <c r="M84" i="26" s="1"/>
  <c r="J83" i="26"/>
  <c r="K83" i="26" s="1"/>
  <c r="I83" i="26"/>
  <c r="M83" i="26" s="1"/>
  <c r="J82" i="26"/>
  <c r="K82" i="26" s="1"/>
  <c r="I82" i="26"/>
  <c r="M82" i="26" s="1"/>
  <c r="J81" i="26"/>
  <c r="K81" i="26" s="1"/>
  <c r="I81" i="26"/>
  <c r="M81" i="26" s="1"/>
  <c r="J80" i="26"/>
  <c r="K80" i="26" s="1"/>
  <c r="I80" i="26"/>
  <c r="M80" i="26" s="1"/>
  <c r="J79" i="26"/>
  <c r="K79" i="26" s="1"/>
  <c r="I79" i="26"/>
  <c r="M79" i="26" s="1"/>
  <c r="J78" i="26"/>
  <c r="K78" i="26" s="1"/>
  <c r="I78" i="26"/>
  <c r="M78" i="26" s="1"/>
  <c r="J77" i="26"/>
  <c r="K77" i="26" s="1"/>
  <c r="I77" i="26"/>
  <c r="M77" i="26" s="1"/>
  <c r="J76" i="26"/>
  <c r="K76" i="26" s="1"/>
  <c r="I76" i="26"/>
  <c r="M76" i="26" s="1"/>
  <c r="J75" i="26"/>
  <c r="K75" i="26" s="1"/>
  <c r="I75" i="26"/>
  <c r="M75" i="26" s="1"/>
  <c r="J74" i="26"/>
  <c r="K74" i="26" s="1"/>
  <c r="I74" i="26"/>
  <c r="M74" i="26" s="1"/>
  <c r="J73" i="26"/>
  <c r="K73" i="26" s="1"/>
  <c r="I73" i="26"/>
  <c r="M73" i="26" s="1"/>
  <c r="J72" i="26"/>
  <c r="K72" i="26" s="1"/>
  <c r="I72" i="26"/>
  <c r="M72" i="26" s="1"/>
  <c r="J71" i="26"/>
  <c r="K71" i="26" s="1"/>
  <c r="I71" i="26"/>
  <c r="M71" i="26" s="1"/>
  <c r="J70" i="26"/>
  <c r="K70" i="26" s="1"/>
  <c r="I70" i="26"/>
  <c r="M70" i="26" s="1"/>
  <c r="J69" i="26"/>
  <c r="K69" i="26" s="1"/>
  <c r="I69" i="26"/>
  <c r="M69" i="26" s="1"/>
  <c r="J68" i="26"/>
  <c r="K68" i="26" s="1"/>
  <c r="I68" i="26"/>
  <c r="M68" i="26" s="1"/>
  <c r="J67" i="26"/>
  <c r="K67" i="26" s="1"/>
  <c r="I67" i="26"/>
  <c r="M67" i="26" s="1"/>
  <c r="J66" i="26"/>
  <c r="K66" i="26" s="1"/>
  <c r="I66" i="26"/>
  <c r="M66" i="26" s="1"/>
  <c r="J65" i="26"/>
  <c r="K65" i="26" s="1"/>
  <c r="I65" i="26"/>
  <c r="M65" i="26" s="1"/>
  <c r="B65" i="26"/>
  <c r="J64" i="26"/>
  <c r="K64" i="26" s="1"/>
  <c r="I64" i="26"/>
  <c r="M64" i="26" s="1"/>
  <c r="B64" i="26"/>
  <c r="J63" i="26"/>
  <c r="K63" i="26" s="1"/>
  <c r="I63" i="26"/>
  <c r="M63" i="26" s="1"/>
  <c r="B63" i="26"/>
  <c r="J62" i="26"/>
  <c r="K62" i="26" s="1"/>
  <c r="I62" i="26"/>
  <c r="M62" i="26" s="1"/>
  <c r="B62" i="26"/>
  <c r="J61" i="26"/>
  <c r="K61" i="26" s="1"/>
  <c r="I61" i="26"/>
  <c r="M61" i="26" s="1"/>
  <c r="B61" i="26"/>
  <c r="J60" i="26"/>
  <c r="K60" i="26" s="1"/>
  <c r="I60" i="26"/>
  <c r="M60" i="26" s="1"/>
  <c r="B60" i="26"/>
  <c r="J59" i="26"/>
  <c r="K59" i="26" s="1"/>
  <c r="I59" i="26"/>
  <c r="M59" i="26" s="1"/>
  <c r="B59" i="26"/>
  <c r="J58" i="26"/>
  <c r="K58" i="26" s="1"/>
  <c r="I58" i="26"/>
  <c r="M58" i="26" s="1"/>
  <c r="B58" i="26"/>
  <c r="J57" i="26"/>
  <c r="K57" i="26" s="1"/>
  <c r="I57" i="26"/>
  <c r="M57" i="26" s="1"/>
  <c r="B57" i="26"/>
  <c r="J56" i="26"/>
  <c r="K56" i="26" s="1"/>
  <c r="I56" i="26"/>
  <c r="M56" i="26" s="1"/>
  <c r="B56" i="26"/>
  <c r="J55" i="26"/>
  <c r="K55" i="26" s="1"/>
  <c r="I55" i="26"/>
  <c r="M55" i="26" s="1"/>
  <c r="B55" i="26"/>
  <c r="J54" i="26"/>
  <c r="K54" i="26" s="1"/>
  <c r="I54" i="26"/>
  <c r="M54" i="26" s="1"/>
  <c r="B54" i="26"/>
  <c r="K53" i="26"/>
  <c r="J53" i="26"/>
  <c r="I53" i="26"/>
  <c r="M53" i="26" s="1"/>
  <c r="B53" i="26"/>
  <c r="J52" i="26"/>
  <c r="K52" i="26" s="1"/>
  <c r="I52" i="26"/>
  <c r="M52" i="26" s="1"/>
  <c r="B52" i="26"/>
  <c r="J51" i="26"/>
  <c r="K51" i="26" s="1"/>
  <c r="I51" i="26"/>
  <c r="M51" i="26" s="1"/>
  <c r="B51" i="26"/>
  <c r="M50" i="26"/>
  <c r="J50" i="26"/>
  <c r="K50" i="26" s="1"/>
  <c r="I50" i="26"/>
  <c r="B50" i="26"/>
  <c r="J49" i="26"/>
  <c r="K49" i="26" s="1"/>
  <c r="I49" i="26"/>
  <c r="M49" i="26" s="1"/>
  <c r="B49" i="26"/>
  <c r="J48" i="26"/>
  <c r="K48" i="26" s="1"/>
  <c r="I48" i="26"/>
  <c r="M48" i="26" s="1"/>
  <c r="B48" i="26"/>
  <c r="K47" i="26"/>
  <c r="J47" i="26"/>
  <c r="I47" i="26"/>
  <c r="M47" i="26" s="1"/>
  <c r="B47" i="26"/>
  <c r="T46" i="26"/>
  <c r="R46" i="26"/>
  <c r="U46" i="26" s="1"/>
  <c r="J46" i="26"/>
  <c r="K46" i="26" s="1"/>
  <c r="I46" i="26"/>
  <c r="M46" i="26" s="1"/>
  <c r="B46" i="26"/>
  <c r="M45" i="26"/>
  <c r="J45" i="26"/>
  <c r="K45" i="26" s="1"/>
  <c r="I45" i="26"/>
  <c r="B45" i="26"/>
  <c r="J44" i="26"/>
  <c r="K44" i="26" s="1"/>
  <c r="I44" i="26"/>
  <c r="M44" i="26" s="1"/>
  <c r="B44" i="26"/>
  <c r="J43" i="26"/>
  <c r="K43" i="26" s="1"/>
  <c r="I43" i="26"/>
  <c r="M43" i="26" s="1"/>
  <c r="B43" i="26"/>
  <c r="J42" i="26"/>
  <c r="K42" i="26" s="1"/>
  <c r="I42" i="26"/>
  <c r="M42" i="26" s="1"/>
  <c r="B42" i="26"/>
  <c r="J41" i="26"/>
  <c r="K41" i="26" s="1"/>
  <c r="I41" i="26"/>
  <c r="M41" i="26" s="1"/>
  <c r="B41" i="26"/>
  <c r="J40" i="26"/>
  <c r="K40" i="26" s="1"/>
  <c r="I40" i="26"/>
  <c r="M40" i="26" s="1"/>
  <c r="B40" i="26"/>
  <c r="M39" i="26"/>
  <c r="J39" i="26"/>
  <c r="K39" i="26" s="1"/>
  <c r="I39" i="26"/>
  <c r="B39" i="26"/>
  <c r="J38" i="26"/>
  <c r="K38" i="26" s="1"/>
  <c r="I38" i="26"/>
  <c r="M38" i="26" s="1"/>
  <c r="B38" i="26"/>
  <c r="J37" i="26"/>
  <c r="K37" i="26" s="1"/>
  <c r="I37" i="26"/>
  <c r="M37" i="26" s="1"/>
  <c r="A37" i="26" s="1"/>
  <c r="B37" i="26"/>
  <c r="J36" i="26"/>
  <c r="K36" i="26" s="1"/>
  <c r="I36" i="26"/>
  <c r="M36" i="26" s="1"/>
  <c r="A36" i="26" s="1"/>
  <c r="B36" i="26"/>
  <c r="J35" i="26"/>
  <c r="K35" i="26" s="1"/>
  <c r="I35" i="26"/>
  <c r="M35" i="26" s="1"/>
  <c r="A35" i="26" s="1"/>
  <c r="B35" i="26"/>
  <c r="J34" i="26"/>
  <c r="K34" i="26" s="1"/>
  <c r="I34" i="26"/>
  <c r="M34" i="26" s="1"/>
  <c r="A34" i="26" s="1"/>
  <c r="B34" i="26"/>
  <c r="J33" i="26"/>
  <c r="K33" i="26" s="1"/>
  <c r="I33" i="26"/>
  <c r="M33" i="26" s="1"/>
  <c r="A33" i="26" s="1"/>
  <c r="B33" i="26"/>
  <c r="K32" i="26"/>
  <c r="J32" i="26"/>
  <c r="I32" i="26"/>
  <c r="M32" i="26" s="1"/>
  <c r="A32" i="26" s="1"/>
  <c r="B32" i="26"/>
  <c r="J31" i="26"/>
  <c r="K31" i="26" s="1"/>
  <c r="I31" i="26"/>
  <c r="M31" i="26" s="1"/>
  <c r="A31" i="26" s="1"/>
  <c r="B31" i="26"/>
  <c r="J30" i="26"/>
  <c r="K30" i="26" s="1"/>
  <c r="I30" i="26"/>
  <c r="M30" i="26" s="1"/>
  <c r="A30" i="26" s="1"/>
  <c r="B30" i="26"/>
  <c r="J29" i="26"/>
  <c r="K29" i="26" s="1"/>
  <c r="I29" i="26"/>
  <c r="M29" i="26" s="1"/>
  <c r="A29" i="26" s="1"/>
  <c r="B29" i="26"/>
  <c r="J28" i="26"/>
  <c r="K28" i="26" s="1"/>
  <c r="I28" i="26"/>
  <c r="M28" i="26" s="1"/>
  <c r="A28" i="26" s="1"/>
  <c r="B28" i="26"/>
  <c r="J27" i="26"/>
  <c r="K27" i="26" s="1"/>
  <c r="I27" i="26"/>
  <c r="M27" i="26" s="1"/>
  <c r="A27" i="26" s="1"/>
  <c r="B27" i="26"/>
  <c r="M26" i="26"/>
  <c r="A26" i="26" s="1"/>
  <c r="J26" i="26"/>
  <c r="K26" i="26" s="1"/>
  <c r="I26" i="26"/>
  <c r="B26" i="26"/>
  <c r="J25" i="26"/>
  <c r="K25" i="26" s="1"/>
  <c r="I25" i="26"/>
  <c r="M25" i="26" s="1"/>
  <c r="A25" i="26" s="1"/>
  <c r="B25" i="26"/>
  <c r="J24" i="26"/>
  <c r="K24" i="26" s="1"/>
  <c r="I24" i="26"/>
  <c r="M24" i="26" s="1"/>
  <c r="A24" i="26" s="1"/>
  <c r="B24" i="26"/>
  <c r="J23" i="26"/>
  <c r="K23" i="26" s="1"/>
  <c r="I23" i="26"/>
  <c r="M23" i="26" s="1"/>
  <c r="A23" i="26" s="1"/>
  <c r="B23" i="26"/>
  <c r="J22" i="26"/>
  <c r="K22" i="26" s="1"/>
  <c r="I22" i="26"/>
  <c r="M22" i="26" s="1"/>
  <c r="A22" i="26" s="1"/>
  <c r="B22" i="26"/>
  <c r="J21" i="26"/>
  <c r="K21" i="26" s="1"/>
  <c r="I21" i="26"/>
  <c r="M21" i="26" s="1"/>
  <c r="A21" i="26" s="1"/>
  <c r="B21" i="26"/>
  <c r="M20" i="26"/>
  <c r="A20" i="26" s="1"/>
  <c r="J20" i="26"/>
  <c r="K20" i="26" s="1"/>
  <c r="I20" i="26"/>
  <c r="B20" i="26"/>
  <c r="J19" i="26"/>
  <c r="K19" i="26" s="1"/>
  <c r="I19" i="26"/>
  <c r="M19" i="26" s="1"/>
  <c r="A19" i="26" s="1"/>
  <c r="B19" i="26"/>
  <c r="T24" i="20" s="1"/>
  <c r="J18" i="26"/>
  <c r="K18" i="26" s="1"/>
  <c r="I18" i="26"/>
  <c r="B18" i="26"/>
  <c r="J17" i="26"/>
  <c r="K17" i="26" s="1"/>
  <c r="I17" i="26"/>
  <c r="B17" i="26"/>
  <c r="AI16" i="26"/>
  <c r="K16" i="26"/>
  <c r="J16" i="26"/>
  <c r="I16" i="26"/>
  <c r="B16" i="26"/>
  <c r="J15" i="26"/>
  <c r="K15" i="26" s="1"/>
  <c r="I15" i="26"/>
  <c r="B15" i="26"/>
  <c r="AI14" i="26"/>
  <c r="J14" i="26"/>
  <c r="K14" i="26" s="1"/>
  <c r="I14" i="26"/>
  <c r="B14" i="26"/>
  <c r="AI13" i="26"/>
  <c r="J13" i="26"/>
  <c r="K13" i="26" s="1"/>
  <c r="I13" i="26"/>
  <c r="B13" i="26"/>
  <c r="AI12" i="26"/>
  <c r="J12" i="26"/>
  <c r="K12" i="26" s="1"/>
  <c r="I12" i="26"/>
  <c r="B12" i="26"/>
  <c r="J11" i="26"/>
  <c r="K11" i="26" s="1"/>
  <c r="I11" i="26"/>
  <c r="B11" i="26"/>
  <c r="K10" i="26"/>
  <c r="J10" i="26"/>
  <c r="I10" i="26"/>
  <c r="M10" i="26" s="1"/>
  <c r="A10" i="26" s="1"/>
  <c r="B10" i="26"/>
  <c r="J9" i="26"/>
  <c r="K9" i="26" s="1"/>
  <c r="I9" i="26"/>
  <c r="B9" i="26"/>
  <c r="J8" i="26"/>
  <c r="K8" i="26" s="1"/>
  <c r="I8" i="26"/>
  <c r="B8" i="26"/>
  <c r="J7" i="26"/>
  <c r="K7" i="26" s="1"/>
  <c r="M7" i="26" s="1"/>
  <c r="A7" i="26" s="1"/>
  <c r="I7" i="26"/>
  <c r="B7" i="26"/>
  <c r="J6" i="26"/>
  <c r="K6" i="26" s="1"/>
  <c r="I6" i="26"/>
  <c r="B6" i="26"/>
  <c r="K2" i="26"/>
  <c r="L7" i="26" s="1"/>
  <c r="J305" i="25"/>
  <c r="K305" i="25" s="1"/>
  <c r="I305" i="25"/>
  <c r="M305" i="25" s="1"/>
  <c r="J304" i="25"/>
  <c r="K304" i="25" s="1"/>
  <c r="I304" i="25"/>
  <c r="M304" i="25" s="1"/>
  <c r="J303" i="25"/>
  <c r="K303" i="25" s="1"/>
  <c r="I303" i="25"/>
  <c r="M303" i="25" s="1"/>
  <c r="J302" i="25"/>
  <c r="K302" i="25" s="1"/>
  <c r="I302" i="25"/>
  <c r="M302" i="25" s="1"/>
  <c r="J301" i="25"/>
  <c r="K301" i="25" s="1"/>
  <c r="I301" i="25"/>
  <c r="M301" i="25" s="1"/>
  <c r="J300" i="25"/>
  <c r="K300" i="25" s="1"/>
  <c r="I300" i="25"/>
  <c r="M300" i="25" s="1"/>
  <c r="J299" i="25"/>
  <c r="K299" i="25" s="1"/>
  <c r="I299" i="25"/>
  <c r="M299" i="25" s="1"/>
  <c r="J298" i="25"/>
  <c r="K298" i="25" s="1"/>
  <c r="I298" i="25"/>
  <c r="M298" i="25" s="1"/>
  <c r="J297" i="25"/>
  <c r="K297" i="25" s="1"/>
  <c r="I297" i="25"/>
  <c r="M297" i="25" s="1"/>
  <c r="J296" i="25"/>
  <c r="K296" i="25" s="1"/>
  <c r="I296" i="25"/>
  <c r="M296" i="25" s="1"/>
  <c r="J295" i="25"/>
  <c r="K295" i="25" s="1"/>
  <c r="I295" i="25"/>
  <c r="M295" i="25" s="1"/>
  <c r="J294" i="25"/>
  <c r="K294" i="25" s="1"/>
  <c r="I294" i="25"/>
  <c r="M294" i="25" s="1"/>
  <c r="J293" i="25"/>
  <c r="K293" i="25" s="1"/>
  <c r="I293" i="25"/>
  <c r="M293" i="25" s="1"/>
  <c r="J292" i="25"/>
  <c r="K292" i="25" s="1"/>
  <c r="I292" i="25"/>
  <c r="M292" i="25" s="1"/>
  <c r="J291" i="25"/>
  <c r="K291" i="25" s="1"/>
  <c r="I291" i="25"/>
  <c r="M291" i="25" s="1"/>
  <c r="J290" i="25"/>
  <c r="K290" i="25" s="1"/>
  <c r="I290" i="25"/>
  <c r="M290" i="25" s="1"/>
  <c r="J289" i="25"/>
  <c r="K289" i="25" s="1"/>
  <c r="I289" i="25"/>
  <c r="M289" i="25" s="1"/>
  <c r="J288" i="25"/>
  <c r="K288" i="25" s="1"/>
  <c r="I288" i="25"/>
  <c r="M288" i="25" s="1"/>
  <c r="K287" i="25"/>
  <c r="J287" i="25"/>
  <c r="I287" i="25"/>
  <c r="M287" i="25" s="1"/>
  <c r="J286" i="25"/>
  <c r="K286" i="25" s="1"/>
  <c r="I286" i="25"/>
  <c r="M286" i="25" s="1"/>
  <c r="J285" i="25"/>
  <c r="K285" i="25" s="1"/>
  <c r="I285" i="25"/>
  <c r="M285" i="25" s="1"/>
  <c r="J284" i="25"/>
  <c r="K284" i="25" s="1"/>
  <c r="I284" i="25"/>
  <c r="M284" i="25" s="1"/>
  <c r="J283" i="25"/>
  <c r="K283" i="25" s="1"/>
  <c r="I283" i="25"/>
  <c r="M283" i="25" s="1"/>
  <c r="K282" i="25"/>
  <c r="J282" i="25"/>
  <c r="I282" i="25"/>
  <c r="M282" i="25" s="1"/>
  <c r="J281" i="25"/>
  <c r="K281" i="25" s="1"/>
  <c r="I281" i="25"/>
  <c r="M281" i="25" s="1"/>
  <c r="K280" i="25"/>
  <c r="J280" i="25"/>
  <c r="I280" i="25"/>
  <c r="M280" i="25" s="1"/>
  <c r="J279" i="25"/>
  <c r="K279" i="25" s="1"/>
  <c r="I279" i="25"/>
  <c r="M279" i="25" s="1"/>
  <c r="J278" i="25"/>
  <c r="K278" i="25" s="1"/>
  <c r="I278" i="25"/>
  <c r="M278" i="25" s="1"/>
  <c r="J277" i="25"/>
  <c r="K277" i="25" s="1"/>
  <c r="I277" i="25"/>
  <c r="M277" i="25" s="1"/>
  <c r="J276" i="25"/>
  <c r="K276" i="25" s="1"/>
  <c r="I276" i="25"/>
  <c r="M276" i="25" s="1"/>
  <c r="J275" i="25"/>
  <c r="K275" i="25" s="1"/>
  <c r="I275" i="25"/>
  <c r="M275" i="25" s="1"/>
  <c r="J274" i="25"/>
  <c r="K274" i="25" s="1"/>
  <c r="I274" i="25"/>
  <c r="M274" i="25" s="1"/>
  <c r="J273" i="25"/>
  <c r="K273" i="25" s="1"/>
  <c r="I273" i="25"/>
  <c r="M273" i="25" s="1"/>
  <c r="J272" i="25"/>
  <c r="K272" i="25" s="1"/>
  <c r="I272" i="25"/>
  <c r="M272" i="25" s="1"/>
  <c r="J271" i="25"/>
  <c r="K271" i="25" s="1"/>
  <c r="I271" i="25"/>
  <c r="M271" i="25" s="1"/>
  <c r="J270" i="25"/>
  <c r="K270" i="25" s="1"/>
  <c r="I270" i="25"/>
  <c r="M270" i="25" s="1"/>
  <c r="J269" i="25"/>
  <c r="K269" i="25" s="1"/>
  <c r="I269" i="25"/>
  <c r="M269" i="25" s="1"/>
  <c r="J268" i="25"/>
  <c r="K268" i="25" s="1"/>
  <c r="I268" i="25"/>
  <c r="M268" i="25" s="1"/>
  <c r="J267" i="25"/>
  <c r="K267" i="25" s="1"/>
  <c r="I267" i="25"/>
  <c r="M267" i="25" s="1"/>
  <c r="J266" i="25"/>
  <c r="K266" i="25" s="1"/>
  <c r="I266" i="25"/>
  <c r="M266" i="25" s="1"/>
  <c r="J265" i="25"/>
  <c r="K265" i="25" s="1"/>
  <c r="I265" i="25"/>
  <c r="M265" i="25" s="1"/>
  <c r="J264" i="25"/>
  <c r="K264" i="25" s="1"/>
  <c r="I264" i="25"/>
  <c r="M264" i="25" s="1"/>
  <c r="J263" i="25"/>
  <c r="K263" i="25" s="1"/>
  <c r="I263" i="25"/>
  <c r="M263" i="25" s="1"/>
  <c r="J262" i="25"/>
  <c r="K262" i="25" s="1"/>
  <c r="I262" i="25"/>
  <c r="M262" i="25" s="1"/>
  <c r="J261" i="25"/>
  <c r="K261" i="25" s="1"/>
  <c r="I261" i="25"/>
  <c r="M261" i="25" s="1"/>
  <c r="J260" i="25"/>
  <c r="K260" i="25" s="1"/>
  <c r="I260" i="25"/>
  <c r="M260" i="25" s="1"/>
  <c r="J259" i="25"/>
  <c r="K259" i="25" s="1"/>
  <c r="I259" i="25"/>
  <c r="M259" i="25" s="1"/>
  <c r="J258" i="25"/>
  <c r="K258" i="25" s="1"/>
  <c r="I258" i="25"/>
  <c r="M258" i="25" s="1"/>
  <c r="J257" i="25"/>
  <c r="K257" i="25" s="1"/>
  <c r="I257" i="25"/>
  <c r="M257" i="25" s="1"/>
  <c r="J256" i="25"/>
  <c r="K256" i="25" s="1"/>
  <c r="I256" i="25"/>
  <c r="M256" i="25" s="1"/>
  <c r="J255" i="25"/>
  <c r="K255" i="25" s="1"/>
  <c r="I255" i="25"/>
  <c r="M255" i="25" s="1"/>
  <c r="J254" i="25"/>
  <c r="K254" i="25" s="1"/>
  <c r="I254" i="25"/>
  <c r="M254" i="25" s="1"/>
  <c r="J253" i="25"/>
  <c r="K253" i="25" s="1"/>
  <c r="I253" i="25"/>
  <c r="M253" i="25" s="1"/>
  <c r="J252" i="25"/>
  <c r="K252" i="25" s="1"/>
  <c r="I252" i="25"/>
  <c r="M252" i="25" s="1"/>
  <c r="J251" i="25"/>
  <c r="K251" i="25" s="1"/>
  <c r="I251" i="25"/>
  <c r="M251" i="25" s="1"/>
  <c r="K250" i="25"/>
  <c r="J250" i="25"/>
  <c r="I250" i="25"/>
  <c r="M250" i="25" s="1"/>
  <c r="J249" i="25"/>
  <c r="K249" i="25" s="1"/>
  <c r="I249" i="25"/>
  <c r="M249" i="25" s="1"/>
  <c r="J248" i="25"/>
  <c r="K248" i="25" s="1"/>
  <c r="I248" i="25"/>
  <c r="M248" i="25" s="1"/>
  <c r="J247" i="25"/>
  <c r="K247" i="25" s="1"/>
  <c r="I247" i="25"/>
  <c r="M247" i="25" s="1"/>
  <c r="J246" i="25"/>
  <c r="K246" i="25" s="1"/>
  <c r="I246" i="25"/>
  <c r="M246" i="25" s="1"/>
  <c r="J245" i="25"/>
  <c r="K245" i="25" s="1"/>
  <c r="I245" i="25"/>
  <c r="M245" i="25" s="1"/>
  <c r="J244" i="25"/>
  <c r="K244" i="25" s="1"/>
  <c r="I244" i="25"/>
  <c r="M244" i="25" s="1"/>
  <c r="J243" i="25"/>
  <c r="K243" i="25" s="1"/>
  <c r="I243" i="25"/>
  <c r="M243" i="25" s="1"/>
  <c r="J242" i="25"/>
  <c r="K242" i="25" s="1"/>
  <c r="I242" i="25"/>
  <c r="M242" i="25" s="1"/>
  <c r="J241" i="25"/>
  <c r="K241" i="25" s="1"/>
  <c r="I241" i="25"/>
  <c r="M241" i="25" s="1"/>
  <c r="J240" i="25"/>
  <c r="K240" i="25" s="1"/>
  <c r="I240" i="25"/>
  <c r="M240" i="25" s="1"/>
  <c r="J239" i="25"/>
  <c r="K239" i="25" s="1"/>
  <c r="I239" i="25"/>
  <c r="M239" i="25" s="1"/>
  <c r="J238" i="25"/>
  <c r="K238" i="25" s="1"/>
  <c r="I238" i="25"/>
  <c r="M238" i="25" s="1"/>
  <c r="J237" i="25"/>
  <c r="K237" i="25" s="1"/>
  <c r="I237" i="25"/>
  <c r="M237" i="25" s="1"/>
  <c r="J236" i="25"/>
  <c r="K236" i="25" s="1"/>
  <c r="I236" i="25"/>
  <c r="M236" i="25" s="1"/>
  <c r="J235" i="25"/>
  <c r="K235" i="25" s="1"/>
  <c r="I235" i="25"/>
  <c r="M235" i="25" s="1"/>
  <c r="J234" i="25"/>
  <c r="K234" i="25" s="1"/>
  <c r="I234" i="25"/>
  <c r="M234" i="25" s="1"/>
  <c r="J233" i="25"/>
  <c r="K233" i="25" s="1"/>
  <c r="I233" i="25"/>
  <c r="M233" i="25" s="1"/>
  <c r="J232" i="25"/>
  <c r="K232" i="25" s="1"/>
  <c r="I232" i="25"/>
  <c r="M232" i="25" s="1"/>
  <c r="J231" i="25"/>
  <c r="K231" i="25" s="1"/>
  <c r="I231" i="25"/>
  <c r="M231" i="25" s="1"/>
  <c r="J230" i="25"/>
  <c r="K230" i="25" s="1"/>
  <c r="I230" i="25"/>
  <c r="M230" i="25" s="1"/>
  <c r="J229" i="25"/>
  <c r="K229" i="25" s="1"/>
  <c r="I229" i="25"/>
  <c r="M229" i="25" s="1"/>
  <c r="J228" i="25"/>
  <c r="K228" i="25" s="1"/>
  <c r="I228" i="25"/>
  <c r="M228" i="25" s="1"/>
  <c r="J227" i="25"/>
  <c r="K227" i="25" s="1"/>
  <c r="I227" i="25"/>
  <c r="M227" i="25" s="1"/>
  <c r="J226" i="25"/>
  <c r="K226" i="25" s="1"/>
  <c r="I226" i="25"/>
  <c r="M226" i="25" s="1"/>
  <c r="J225" i="25"/>
  <c r="K225" i="25" s="1"/>
  <c r="I225" i="25"/>
  <c r="M225" i="25" s="1"/>
  <c r="J224" i="25"/>
  <c r="K224" i="25" s="1"/>
  <c r="I224" i="25"/>
  <c r="M224" i="25" s="1"/>
  <c r="J223" i="25"/>
  <c r="K223" i="25" s="1"/>
  <c r="I223" i="25"/>
  <c r="M223" i="25" s="1"/>
  <c r="J222" i="25"/>
  <c r="K222" i="25" s="1"/>
  <c r="I222" i="25"/>
  <c r="M222" i="25" s="1"/>
  <c r="J221" i="25"/>
  <c r="K221" i="25" s="1"/>
  <c r="I221" i="25"/>
  <c r="M221" i="25" s="1"/>
  <c r="J220" i="25"/>
  <c r="K220" i="25" s="1"/>
  <c r="I220" i="25"/>
  <c r="M220" i="25" s="1"/>
  <c r="J219" i="25"/>
  <c r="K219" i="25" s="1"/>
  <c r="I219" i="25"/>
  <c r="M219" i="25" s="1"/>
  <c r="J218" i="25"/>
  <c r="K218" i="25" s="1"/>
  <c r="I218" i="25"/>
  <c r="M218" i="25" s="1"/>
  <c r="J217" i="25"/>
  <c r="K217" i="25" s="1"/>
  <c r="I217" i="25"/>
  <c r="M217" i="25" s="1"/>
  <c r="J216" i="25"/>
  <c r="K216" i="25" s="1"/>
  <c r="I216" i="25"/>
  <c r="M216" i="25" s="1"/>
  <c r="J215" i="25"/>
  <c r="K215" i="25" s="1"/>
  <c r="I215" i="25"/>
  <c r="M215" i="25" s="1"/>
  <c r="J214" i="25"/>
  <c r="K214" i="25" s="1"/>
  <c r="I214" i="25"/>
  <c r="M214" i="25" s="1"/>
  <c r="J213" i="25"/>
  <c r="K213" i="25" s="1"/>
  <c r="I213" i="25"/>
  <c r="M213" i="25" s="1"/>
  <c r="J212" i="25"/>
  <c r="K212" i="25" s="1"/>
  <c r="I212" i="25"/>
  <c r="M212" i="25" s="1"/>
  <c r="J211" i="25"/>
  <c r="K211" i="25" s="1"/>
  <c r="I211" i="25"/>
  <c r="M211" i="25" s="1"/>
  <c r="J210" i="25"/>
  <c r="K210" i="25" s="1"/>
  <c r="I210" i="25"/>
  <c r="M210" i="25" s="1"/>
  <c r="J209" i="25"/>
  <c r="K209" i="25" s="1"/>
  <c r="I209" i="25"/>
  <c r="M209" i="25" s="1"/>
  <c r="J208" i="25"/>
  <c r="K208" i="25" s="1"/>
  <c r="I208" i="25"/>
  <c r="M208" i="25" s="1"/>
  <c r="J207" i="25"/>
  <c r="K207" i="25" s="1"/>
  <c r="I207" i="25"/>
  <c r="M207" i="25" s="1"/>
  <c r="J206" i="25"/>
  <c r="K206" i="25" s="1"/>
  <c r="I206" i="25"/>
  <c r="M206" i="25" s="1"/>
  <c r="J205" i="25"/>
  <c r="K205" i="25" s="1"/>
  <c r="I205" i="25"/>
  <c r="M205" i="25" s="1"/>
  <c r="J204" i="25"/>
  <c r="K204" i="25" s="1"/>
  <c r="I204" i="25"/>
  <c r="M204" i="25" s="1"/>
  <c r="J203" i="25"/>
  <c r="K203" i="25" s="1"/>
  <c r="I203" i="25"/>
  <c r="M203" i="25" s="1"/>
  <c r="J202" i="25"/>
  <c r="K202" i="25" s="1"/>
  <c r="I202" i="25"/>
  <c r="M202" i="25" s="1"/>
  <c r="J201" i="25"/>
  <c r="K201" i="25" s="1"/>
  <c r="I201" i="25"/>
  <c r="M201" i="25" s="1"/>
  <c r="J200" i="25"/>
  <c r="K200" i="25" s="1"/>
  <c r="I200" i="25"/>
  <c r="M200" i="25" s="1"/>
  <c r="J199" i="25"/>
  <c r="K199" i="25" s="1"/>
  <c r="I199" i="25"/>
  <c r="M199" i="25" s="1"/>
  <c r="J198" i="25"/>
  <c r="K198" i="25" s="1"/>
  <c r="I198" i="25"/>
  <c r="M198" i="25" s="1"/>
  <c r="J197" i="25"/>
  <c r="K197" i="25" s="1"/>
  <c r="I197" i="25"/>
  <c r="M197" i="25" s="1"/>
  <c r="J196" i="25"/>
  <c r="K196" i="25" s="1"/>
  <c r="I196" i="25"/>
  <c r="M196" i="25" s="1"/>
  <c r="J195" i="25"/>
  <c r="K195" i="25" s="1"/>
  <c r="I195" i="25"/>
  <c r="M195" i="25" s="1"/>
  <c r="J194" i="25"/>
  <c r="K194" i="25" s="1"/>
  <c r="I194" i="25"/>
  <c r="M194" i="25" s="1"/>
  <c r="J193" i="25"/>
  <c r="K193" i="25" s="1"/>
  <c r="I193" i="25"/>
  <c r="M193" i="25" s="1"/>
  <c r="J192" i="25"/>
  <c r="K192" i="25" s="1"/>
  <c r="I192" i="25"/>
  <c r="M192" i="25" s="1"/>
  <c r="J191" i="25"/>
  <c r="K191" i="25" s="1"/>
  <c r="I191" i="25"/>
  <c r="M191" i="25" s="1"/>
  <c r="J190" i="25"/>
  <c r="K190" i="25" s="1"/>
  <c r="I190" i="25"/>
  <c r="M190" i="25" s="1"/>
  <c r="J189" i="25"/>
  <c r="K189" i="25" s="1"/>
  <c r="I189" i="25"/>
  <c r="M189" i="25" s="1"/>
  <c r="J188" i="25"/>
  <c r="K188" i="25" s="1"/>
  <c r="I188" i="25"/>
  <c r="M188" i="25" s="1"/>
  <c r="J187" i="25"/>
  <c r="K187" i="25" s="1"/>
  <c r="I187" i="25"/>
  <c r="M187" i="25" s="1"/>
  <c r="J186" i="25"/>
  <c r="K186" i="25" s="1"/>
  <c r="I186" i="25"/>
  <c r="M186" i="25" s="1"/>
  <c r="J185" i="25"/>
  <c r="K185" i="25" s="1"/>
  <c r="I185" i="25"/>
  <c r="M185" i="25" s="1"/>
  <c r="J184" i="25"/>
  <c r="K184" i="25" s="1"/>
  <c r="I184" i="25"/>
  <c r="M184" i="25" s="1"/>
  <c r="J183" i="25"/>
  <c r="K183" i="25" s="1"/>
  <c r="I183" i="25"/>
  <c r="M183" i="25" s="1"/>
  <c r="J182" i="25"/>
  <c r="K182" i="25" s="1"/>
  <c r="I182" i="25"/>
  <c r="M182" i="25" s="1"/>
  <c r="J181" i="25"/>
  <c r="K181" i="25" s="1"/>
  <c r="I181" i="25"/>
  <c r="M181" i="25" s="1"/>
  <c r="J180" i="25"/>
  <c r="K180" i="25" s="1"/>
  <c r="I180" i="25"/>
  <c r="M180" i="25" s="1"/>
  <c r="J179" i="25"/>
  <c r="K179" i="25" s="1"/>
  <c r="I179" i="25"/>
  <c r="M179" i="25" s="1"/>
  <c r="J178" i="25"/>
  <c r="K178" i="25" s="1"/>
  <c r="I178" i="25"/>
  <c r="M178" i="25" s="1"/>
  <c r="J177" i="25"/>
  <c r="K177" i="25" s="1"/>
  <c r="I177" i="25"/>
  <c r="M177" i="25" s="1"/>
  <c r="J176" i="25"/>
  <c r="K176" i="25" s="1"/>
  <c r="I176" i="25"/>
  <c r="M176" i="25" s="1"/>
  <c r="J175" i="25"/>
  <c r="K175" i="25" s="1"/>
  <c r="I175" i="25"/>
  <c r="M175" i="25" s="1"/>
  <c r="J174" i="25"/>
  <c r="K174" i="25" s="1"/>
  <c r="I174" i="25"/>
  <c r="M174" i="25" s="1"/>
  <c r="J173" i="25"/>
  <c r="K173" i="25" s="1"/>
  <c r="I173" i="25"/>
  <c r="M173" i="25" s="1"/>
  <c r="J172" i="25"/>
  <c r="K172" i="25" s="1"/>
  <c r="I172" i="25"/>
  <c r="M172" i="25" s="1"/>
  <c r="J171" i="25"/>
  <c r="K171" i="25" s="1"/>
  <c r="I171" i="25"/>
  <c r="M171" i="25" s="1"/>
  <c r="J170" i="25"/>
  <c r="K170" i="25" s="1"/>
  <c r="I170" i="25"/>
  <c r="M170" i="25" s="1"/>
  <c r="J169" i="25"/>
  <c r="K169" i="25" s="1"/>
  <c r="I169" i="25"/>
  <c r="M169" i="25" s="1"/>
  <c r="J168" i="25"/>
  <c r="K168" i="25" s="1"/>
  <c r="I168" i="25"/>
  <c r="M168" i="25" s="1"/>
  <c r="J167" i="25"/>
  <c r="K167" i="25" s="1"/>
  <c r="I167" i="25"/>
  <c r="M167" i="25" s="1"/>
  <c r="J166" i="25"/>
  <c r="K166" i="25" s="1"/>
  <c r="I166" i="25"/>
  <c r="M166" i="25" s="1"/>
  <c r="J165" i="25"/>
  <c r="K165" i="25" s="1"/>
  <c r="I165" i="25"/>
  <c r="M165" i="25" s="1"/>
  <c r="J164" i="25"/>
  <c r="K164" i="25" s="1"/>
  <c r="I164" i="25"/>
  <c r="M164" i="25" s="1"/>
  <c r="J163" i="25"/>
  <c r="K163" i="25" s="1"/>
  <c r="I163" i="25"/>
  <c r="M163" i="25" s="1"/>
  <c r="J162" i="25"/>
  <c r="K162" i="25" s="1"/>
  <c r="I162" i="25"/>
  <c r="M162" i="25" s="1"/>
  <c r="J161" i="25"/>
  <c r="K161" i="25" s="1"/>
  <c r="I161" i="25"/>
  <c r="M161" i="25" s="1"/>
  <c r="J160" i="25"/>
  <c r="K160" i="25" s="1"/>
  <c r="I160" i="25"/>
  <c r="M160" i="25" s="1"/>
  <c r="K159" i="25"/>
  <c r="J159" i="25"/>
  <c r="I159" i="25"/>
  <c r="M159" i="25" s="1"/>
  <c r="J158" i="25"/>
  <c r="K158" i="25" s="1"/>
  <c r="I158" i="25"/>
  <c r="M158" i="25" s="1"/>
  <c r="J157" i="25"/>
  <c r="K157" i="25" s="1"/>
  <c r="I157" i="25"/>
  <c r="M157" i="25" s="1"/>
  <c r="J156" i="25"/>
  <c r="K156" i="25" s="1"/>
  <c r="I156" i="25"/>
  <c r="M156" i="25" s="1"/>
  <c r="J155" i="25"/>
  <c r="K155" i="25" s="1"/>
  <c r="I155" i="25"/>
  <c r="M155" i="25" s="1"/>
  <c r="J154" i="25"/>
  <c r="K154" i="25" s="1"/>
  <c r="I154" i="25"/>
  <c r="M154" i="25" s="1"/>
  <c r="J153" i="25"/>
  <c r="K153" i="25" s="1"/>
  <c r="I153" i="25"/>
  <c r="M153" i="25" s="1"/>
  <c r="J152" i="25"/>
  <c r="K152" i="25" s="1"/>
  <c r="I152" i="25"/>
  <c r="M152" i="25" s="1"/>
  <c r="J151" i="25"/>
  <c r="K151" i="25" s="1"/>
  <c r="I151" i="25"/>
  <c r="M151" i="25" s="1"/>
  <c r="J150" i="25"/>
  <c r="K150" i="25" s="1"/>
  <c r="I150" i="25"/>
  <c r="M150" i="25" s="1"/>
  <c r="J149" i="25"/>
  <c r="K149" i="25" s="1"/>
  <c r="I149" i="25"/>
  <c r="M149" i="25" s="1"/>
  <c r="J148" i="25"/>
  <c r="K148" i="25" s="1"/>
  <c r="I148" i="25"/>
  <c r="M148" i="25" s="1"/>
  <c r="J147" i="25"/>
  <c r="K147" i="25" s="1"/>
  <c r="I147" i="25"/>
  <c r="M147" i="25" s="1"/>
  <c r="J146" i="25"/>
  <c r="K146" i="25" s="1"/>
  <c r="I146" i="25"/>
  <c r="M146" i="25" s="1"/>
  <c r="J145" i="25"/>
  <c r="K145" i="25" s="1"/>
  <c r="I145" i="25"/>
  <c r="M145" i="25" s="1"/>
  <c r="J144" i="25"/>
  <c r="K144" i="25" s="1"/>
  <c r="I144" i="25"/>
  <c r="M144" i="25" s="1"/>
  <c r="J143" i="25"/>
  <c r="K143" i="25" s="1"/>
  <c r="I143" i="25"/>
  <c r="M143" i="25" s="1"/>
  <c r="J142" i="25"/>
  <c r="K142" i="25" s="1"/>
  <c r="I142" i="25"/>
  <c r="M142" i="25" s="1"/>
  <c r="J141" i="25"/>
  <c r="K141" i="25" s="1"/>
  <c r="I141" i="25"/>
  <c r="M141" i="25" s="1"/>
  <c r="J140" i="25"/>
  <c r="K140" i="25" s="1"/>
  <c r="I140" i="25"/>
  <c r="M140" i="25" s="1"/>
  <c r="J139" i="25"/>
  <c r="K139" i="25" s="1"/>
  <c r="I139" i="25"/>
  <c r="M139" i="25" s="1"/>
  <c r="K138" i="25"/>
  <c r="J138" i="25"/>
  <c r="I138" i="25"/>
  <c r="M138" i="25" s="1"/>
  <c r="J137" i="25"/>
  <c r="K137" i="25" s="1"/>
  <c r="I137" i="25"/>
  <c r="M137" i="25" s="1"/>
  <c r="K136" i="25"/>
  <c r="J136" i="25"/>
  <c r="I136" i="25"/>
  <c r="M136" i="25" s="1"/>
  <c r="J135" i="25"/>
  <c r="K135" i="25" s="1"/>
  <c r="I135" i="25"/>
  <c r="M135" i="25" s="1"/>
  <c r="J134" i="25"/>
  <c r="K134" i="25" s="1"/>
  <c r="I134" i="25"/>
  <c r="M134" i="25" s="1"/>
  <c r="J133" i="25"/>
  <c r="K133" i="25" s="1"/>
  <c r="I133" i="25"/>
  <c r="M133" i="25" s="1"/>
  <c r="J132" i="25"/>
  <c r="K132" i="25" s="1"/>
  <c r="I132" i="25"/>
  <c r="M132" i="25" s="1"/>
  <c r="J131" i="25"/>
  <c r="K131" i="25" s="1"/>
  <c r="I131" i="25"/>
  <c r="M131" i="25" s="1"/>
  <c r="J130" i="25"/>
  <c r="K130" i="25" s="1"/>
  <c r="I130" i="25"/>
  <c r="M130" i="25" s="1"/>
  <c r="J129" i="25"/>
  <c r="K129" i="25" s="1"/>
  <c r="I129" i="25"/>
  <c r="M129" i="25" s="1"/>
  <c r="J128" i="25"/>
  <c r="K128" i="25" s="1"/>
  <c r="I128" i="25"/>
  <c r="M128" i="25" s="1"/>
  <c r="J127" i="25"/>
  <c r="K127" i="25" s="1"/>
  <c r="I127" i="25"/>
  <c r="M127" i="25" s="1"/>
  <c r="J126" i="25"/>
  <c r="K126" i="25" s="1"/>
  <c r="I126" i="25"/>
  <c r="M126" i="25" s="1"/>
  <c r="J125" i="25"/>
  <c r="K125" i="25" s="1"/>
  <c r="I125" i="25"/>
  <c r="M125" i="25" s="1"/>
  <c r="J124" i="25"/>
  <c r="K124" i="25" s="1"/>
  <c r="I124" i="25"/>
  <c r="M124" i="25" s="1"/>
  <c r="J123" i="25"/>
  <c r="K123" i="25" s="1"/>
  <c r="I123" i="25"/>
  <c r="M123" i="25" s="1"/>
  <c r="J122" i="25"/>
  <c r="K122" i="25" s="1"/>
  <c r="I122" i="25"/>
  <c r="M122" i="25" s="1"/>
  <c r="J121" i="25"/>
  <c r="K121" i="25" s="1"/>
  <c r="I121" i="25"/>
  <c r="M121" i="25" s="1"/>
  <c r="J120" i="25"/>
  <c r="K120" i="25" s="1"/>
  <c r="I120" i="25"/>
  <c r="M120" i="25" s="1"/>
  <c r="J119" i="25"/>
  <c r="K119" i="25" s="1"/>
  <c r="I119" i="25"/>
  <c r="M119" i="25" s="1"/>
  <c r="J118" i="25"/>
  <c r="K118" i="25" s="1"/>
  <c r="I118" i="25"/>
  <c r="M118" i="25" s="1"/>
  <c r="J117" i="25"/>
  <c r="K117" i="25" s="1"/>
  <c r="I117" i="25"/>
  <c r="M117" i="25" s="1"/>
  <c r="J116" i="25"/>
  <c r="K116" i="25" s="1"/>
  <c r="I116" i="25"/>
  <c r="M116" i="25" s="1"/>
  <c r="J115" i="25"/>
  <c r="K115" i="25" s="1"/>
  <c r="I115" i="25"/>
  <c r="M115" i="25" s="1"/>
  <c r="J114" i="25"/>
  <c r="K114" i="25" s="1"/>
  <c r="I114" i="25"/>
  <c r="M114" i="25" s="1"/>
  <c r="J113" i="25"/>
  <c r="K113" i="25" s="1"/>
  <c r="I113" i="25"/>
  <c r="M113" i="25" s="1"/>
  <c r="J112" i="25"/>
  <c r="K112" i="25" s="1"/>
  <c r="I112" i="25"/>
  <c r="M112" i="25" s="1"/>
  <c r="J111" i="25"/>
  <c r="K111" i="25" s="1"/>
  <c r="I111" i="25"/>
  <c r="M111" i="25" s="1"/>
  <c r="J110" i="25"/>
  <c r="K110" i="25" s="1"/>
  <c r="I110" i="25"/>
  <c r="M110" i="25" s="1"/>
  <c r="J109" i="25"/>
  <c r="K109" i="25" s="1"/>
  <c r="I109" i="25"/>
  <c r="M109" i="25" s="1"/>
  <c r="J108" i="25"/>
  <c r="K108" i="25" s="1"/>
  <c r="I108" i="25"/>
  <c r="M108" i="25" s="1"/>
  <c r="J107" i="25"/>
  <c r="K107" i="25" s="1"/>
  <c r="I107" i="25"/>
  <c r="M107" i="25" s="1"/>
  <c r="J106" i="25"/>
  <c r="K106" i="25" s="1"/>
  <c r="I106" i="25"/>
  <c r="M106" i="25" s="1"/>
  <c r="J105" i="25"/>
  <c r="K105" i="25" s="1"/>
  <c r="I105" i="25"/>
  <c r="M105" i="25" s="1"/>
  <c r="J104" i="25"/>
  <c r="K104" i="25" s="1"/>
  <c r="I104" i="25"/>
  <c r="M104" i="25" s="1"/>
  <c r="J103" i="25"/>
  <c r="K103" i="25" s="1"/>
  <c r="I103" i="25"/>
  <c r="M103" i="25" s="1"/>
  <c r="J102" i="25"/>
  <c r="K102" i="25" s="1"/>
  <c r="I102" i="25"/>
  <c r="M102" i="25" s="1"/>
  <c r="J101" i="25"/>
  <c r="K101" i="25" s="1"/>
  <c r="I101" i="25"/>
  <c r="M101" i="25" s="1"/>
  <c r="J100" i="25"/>
  <c r="K100" i="25" s="1"/>
  <c r="I100" i="25"/>
  <c r="M100" i="25" s="1"/>
  <c r="J99" i="25"/>
  <c r="K99" i="25" s="1"/>
  <c r="I99" i="25"/>
  <c r="M99" i="25" s="1"/>
  <c r="J98" i="25"/>
  <c r="K98" i="25" s="1"/>
  <c r="I98" i="25"/>
  <c r="M98" i="25" s="1"/>
  <c r="J97" i="25"/>
  <c r="K97" i="25" s="1"/>
  <c r="I97" i="25"/>
  <c r="M97" i="25" s="1"/>
  <c r="J96" i="25"/>
  <c r="K96" i="25" s="1"/>
  <c r="I96" i="25"/>
  <c r="M96" i="25" s="1"/>
  <c r="J95" i="25"/>
  <c r="K95" i="25" s="1"/>
  <c r="I95" i="25"/>
  <c r="M95" i="25" s="1"/>
  <c r="J94" i="25"/>
  <c r="K94" i="25" s="1"/>
  <c r="I94" i="25"/>
  <c r="M94" i="25" s="1"/>
  <c r="J93" i="25"/>
  <c r="K93" i="25" s="1"/>
  <c r="I93" i="25"/>
  <c r="M93" i="25" s="1"/>
  <c r="J92" i="25"/>
  <c r="K92" i="25" s="1"/>
  <c r="I92" i="25"/>
  <c r="M92" i="25" s="1"/>
  <c r="J91" i="25"/>
  <c r="K91" i="25" s="1"/>
  <c r="I91" i="25"/>
  <c r="M91" i="25" s="1"/>
  <c r="J90" i="25"/>
  <c r="K90" i="25" s="1"/>
  <c r="I90" i="25"/>
  <c r="M90" i="25" s="1"/>
  <c r="J89" i="25"/>
  <c r="K89" i="25" s="1"/>
  <c r="I89" i="25"/>
  <c r="M89" i="25" s="1"/>
  <c r="K88" i="25"/>
  <c r="J88" i="25"/>
  <c r="I88" i="25"/>
  <c r="M88" i="25" s="1"/>
  <c r="J87" i="25"/>
  <c r="K87" i="25" s="1"/>
  <c r="I87" i="25"/>
  <c r="M87" i="25" s="1"/>
  <c r="J86" i="25"/>
  <c r="K86" i="25" s="1"/>
  <c r="I86" i="25"/>
  <c r="M86" i="25" s="1"/>
  <c r="J85" i="25"/>
  <c r="K85" i="25" s="1"/>
  <c r="I85" i="25"/>
  <c r="M85" i="25" s="1"/>
  <c r="J84" i="25"/>
  <c r="K84" i="25" s="1"/>
  <c r="I84" i="25"/>
  <c r="M84" i="25" s="1"/>
  <c r="J83" i="25"/>
  <c r="K83" i="25" s="1"/>
  <c r="I83" i="25"/>
  <c r="M83" i="25" s="1"/>
  <c r="J82" i="25"/>
  <c r="K82" i="25" s="1"/>
  <c r="I82" i="25"/>
  <c r="M82" i="25" s="1"/>
  <c r="J81" i="25"/>
  <c r="K81" i="25" s="1"/>
  <c r="I81" i="25"/>
  <c r="M81" i="25" s="1"/>
  <c r="J80" i="25"/>
  <c r="K80" i="25" s="1"/>
  <c r="I80" i="25"/>
  <c r="M80" i="25" s="1"/>
  <c r="J79" i="25"/>
  <c r="K79" i="25" s="1"/>
  <c r="I79" i="25"/>
  <c r="M79" i="25" s="1"/>
  <c r="J78" i="25"/>
  <c r="K78" i="25" s="1"/>
  <c r="I78" i="25"/>
  <c r="M78" i="25" s="1"/>
  <c r="J77" i="25"/>
  <c r="K77" i="25" s="1"/>
  <c r="I77" i="25"/>
  <c r="M77" i="25" s="1"/>
  <c r="J76" i="25"/>
  <c r="K76" i="25" s="1"/>
  <c r="I76" i="25"/>
  <c r="M76" i="25" s="1"/>
  <c r="J75" i="25"/>
  <c r="K75" i="25" s="1"/>
  <c r="I75" i="25"/>
  <c r="M75" i="25" s="1"/>
  <c r="J74" i="25"/>
  <c r="K74" i="25" s="1"/>
  <c r="I74" i="25"/>
  <c r="M74" i="25" s="1"/>
  <c r="J73" i="25"/>
  <c r="K73" i="25" s="1"/>
  <c r="I73" i="25"/>
  <c r="M73" i="25" s="1"/>
  <c r="J72" i="25"/>
  <c r="K72" i="25" s="1"/>
  <c r="I72" i="25"/>
  <c r="M72" i="25" s="1"/>
  <c r="J71" i="25"/>
  <c r="K71" i="25" s="1"/>
  <c r="I71" i="25"/>
  <c r="M71" i="25" s="1"/>
  <c r="J70" i="25"/>
  <c r="K70" i="25" s="1"/>
  <c r="I70" i="25"/>
  <c r="M70" i="25" s="1"/>
  <c r="J69" i="25"/>
  <c r="K69" i="25" s="1"/>
  <c r="I69" i="25"/>
  <c r="M69" i="25" s="1"/>
  <c r="J68" i="25"/>
  <c r="K68" i="25" s="1"/>
  <c r="I68" i="25"/>
  <c r="M68" i="25" s="1"/>
  <c r="J67" i="25"/>
  <c r="K67" i="25" s="1"/>
  <c r="I67" i="25"/>
  <c r="M67" i="25" s="1"/>
  <c r="J66" i="25"/>
  <c r="K66" i="25" s="1"/>
  <c r="I66" i="25"/>
  <c r="M66" i="25" s="1"/>
  <c r="J65" i="25"/>
  <c r="K65" i="25" s="1"/>
  <c r="I65" i="25"/>
  <c r="M65" i="25" s="1"/>
  <c r="B65" i="25"/>
  <c r="J64" i="25"/>
  <c r="K64" i="25" s="1"/>
  <c r="I64" i="25"/>
  <c r="M64" i="25" s="1"/>
  <c r="B64" i="25"/>
  <c r="K63" i="25"/>
  <c r="J63" i="25"/>
  <c r="I63" i="25"/>
  <c r="M63" i="25" s="1"/>
  <c r="B63" i="25"/>
  <c r="J62" i="25"/>
  <c r="K62" i="25" s="1"/>
  <c r="I62" i="25"/>
  <c r="M62" i="25" s="1"/>
  <c r="B62" i="25"/>
  <c r="J61" i="25"/>
  <c r="K61" i="25" s="1"/>
  <c r="I61" i="25"/>
  <c r="M61" i="25" s="1"/>
  <c r="B61" i="25"/>
  <c r="J60" i="25"/>
  <c r="K60" i="25" s="1"/>
  <c r="I60" i="25"/>
  <c r="M60" i="25" s="1"/>
  <c r="A60" i="25" s="1"/>
  <c r="B60" i="25"/>
  <c r="J59" i="25"/>
  <c r="K59" i="25" s="1"/>
  <c r="I59" i="25"/>
  <c r="M59" i="25" s="1"/>
  <c r="A59" i="25" s="1"/>
  <c r="B59" i="25"/>
  <c r="J58" i="25"/>
  <c r="K58" i="25" s="1"/>
  <c r="I58" i="25"/>
  <c r="M58" i="25" s="1"/>
  <c r="A58" i="25" s="1"/>
  <c r="B58" i="25"/>
  <c r="J57" i="25"/>
  <c r="K57" i="25" s="1"/>
  <c r="I57" i="25"/>
  <c r="M57" i="25" s="1"/>
  <c r="A57" i="25" s="1"/>
  <c r="B57" i="25"/>
  <c r="J56" i="25"/>
  <c r="K56" i="25" s="1"/>
  <c r="I56" i="25"/>
  <c r="M56" i="25" s="1"/>
  <c r="A56" i="25" s="1"/>
  <c r="B56" i="25"/>
  <c r="J55" i="25"/>
  <c r="K55" i="25" s="1"/>
  <c r="I55" i="25"/>
  <c r="M55" i="25" s="1"/>
  <c r="A55" i="25" s="1"/>
  <c r="B55" i="25"/>
  <c r="J54" i="25"/>
  <c r="K54" i="25" s="1"/>
  <c r="I54" i="25"/>
  <c r="M54" i="25" s="1"/>
  <c r="A54" i="25" s="1"/>
  <c r="B54" i="25"/>
  <c r="J53" i="25"/>
  <c r="K53" i="25" s="1"/>
  <c r="I53" i="25"/>
  <c r="M53" i="25" s="1"/>
  <c r="A53" i="25" s="1"/>
  <c r="B53" i="25"/>
  <c r="M52" i="25"/>
  <c r="A52" i="25" s="1"/>
  <c r="J52" i="25"/>
  <c r="K52" i="25" s="1"/>
  <c r="I52" i="25"/>
  <c r="B52" i="25"/>
  <c r="J51" i="25"/>
  <c r="K51" i="25" s="1"/>
  <c r="I51" i="25"/>
  <c r="M51" i="25" s="1"/>
  <c r="A51" i="25" s="1"/>
  <c r="B51" i="25"/>
  <c r="M50" i="25"/>
  <c r="A50" i="25" s="1"/>
  <c r="J50" i="25"/>
  <c r="K50" i="25" s="1"/>
  <c r="I50" i="25"/>
  <c r="B50" i="25"/>
  <c r="J49" i="25"/>
  <c r="K49" i="25" s="1"/>
  <c r="I49" i="25"/>
  <c r="M49" i="25" s="1"/>
  <c r="A49" i="25" s="1"/>
  <c r="B49" i="25"/>
  <c r="M48" i="25"/>
  <c r="A48" i="25" s="1"/>
  <c r="K48" i="25"/>
  <c r="J48" i="25"/>
  <c r="I48" i="25"/>
  <c r="B48" i="25"/>
  <c r="J47" i="25"/>
  <c r="K47" i="25" s="1"/>
  <c r="I47" i="25"/>
  <c r="M47" i="25" s="1"/>
  <c r="A47" i="25" s="1"/>
  <c r="B47" i="25"/>
  <c r="T46" i="25"/>
  <c r="R46" i="25"/>
  <c r="U46" i="25" s="1"/>
  <c r="J46" i="25"/>
  <c r="K46" i="25" s="1"/>
  <c r="I46" i="25"/>
  <c r="M46" i="25" s="1"/>
  <c r="A46" i="25" s="1"/>
  <c r="B46" i="25"/>
  <c r="J45" i="25"/>
  <c r="K45" i="25" s="1"/>
  <c r="I45" i="25"/>
  <c r="M45" i="25" s="1"/>
  <c r="A45" i="25" s="1"/>
  <c r="B45" i="25"/>
  <c r="M44" i="25"/>
  <c r="A44" i="25" s="1"/>
  <c r="J44" i="25"/>
  <c r="K44" i="25" s="1"/>
  <c r="I44" i="25"/>
  <c r="B44" i="25"/>
  <c r="J43" i="25"/>
  <c r="K43" i="25" s="1"/>
  <c r="I43" i="25"/>
  <c r="M43" i="25" s="1"/>
  <c r="A43" i="25" s="1"/>
  <c r="B43" i="25"/>
  <c r="J42" i="25"/>
  <c r="K42" i="25" s="1"/>
  <c r="I42" i="25"/>
  <c r="M42" i="25" s="1"/>
  <c r="A42" i="25" s="1"/>
  <c r="B42" i="25"/>
  <c r="J41" i="25"/>
  <c r="K41" i="25" s="1"/>
  <c r="I41" i="25"/>
  <c r="M41" i="25" s="1"/>
  <c r="A41" i="25" s="1"/>
  <c r="B41" i="25"/>
  <c r="M40" i="25"/>
  <c r="A40" i="25" s="1"/>
  <c r="J40" i="25"/>
  <c r="K40" i="25" s="1"/>
  <c r="I40" i="25"/>
  <c r="B40" i="25"/>
  <c r="J39" i="25"/>
  <c r="K39" i="25" s="1"/>
  <c r="I39" i="25"/>
  <c r="M39" i="25" s="1"/>
  <c r="A39" i="25" s="1"/>
  <c r="B39" i="25"/>
  <c r="J38" i="25"/>
  <c r="K38" i="25" s="1"/>
  <c r="I38" i="25"/>
  <c r="M38" i="25" s="1"/>
  <c r="A38" i="25" s="1"/>
  <c r="B38" i="25"/>
  <c r="J37" i="25"/>
  <c r="K37" i="25" s="1"/>
  <c r="I37" i="25"/>
  <c r="M37" i="25" s="1"/>
  <c r="A37" i="25" s="1"/>
  <c r="B37" i="25"/>
  <c r="J36" i="25"/>
  <c r="K36" i="25" s="1"/>
  <c r="I36" i="25"/>
  <c r="M36" i="25" s="1"/>
  <c r="A36" i="25" s="1"/>
  <c r="B36" i="25"/>
  <c r="J35" i="25"/>
  <c r="K35" i="25" s="1"/>
  <c r="I35" i="25"/>
  <c r="M35" i="25" s="1"/>
  <c r="A35" i="25" s="1"/>
  <c r="B35" i="25"/>
  <c r="J34" i="25"/>
  <c r="K34" i="25" s="1"/>
  <c r="I34" i="25"/>
  <c r="M34" i="25" s="1"/>
  <c r="A34" i="25" s="1"/>
  <c r="B34" i="25"/>
  <c r="J33" i="25"/>
  <c r="K33" i="25" s="1"/>
  <c r="I33" i="25"/>
  <c r="M33" i="25" s="1"/>
  <c r="A33" i="25" s="1"/>
  <c r="B33" i="25"/>
  <c r="J32" i="25"/>
  <c r="K32" i="25" s="1"/>
  <c r="I32" i="25"/>
  <c r="M32" i="25" s="1"/>
  <c r="A32" i="25" s="1"/>
  <c r="B32" i="25"/>
  <c r="J31" i="25"/>
  <c r="K31" i="25" s="1"/>
  <c r="I31" i="25"/>
  <c r="M31" i="25" s="1"/>
  <c r="A31" i="25" s="1"/>
  <c r="B31" i="25"/>
  <c r="J30" i="25"/>
  <c r="K30" i="25" s="1"/>
  <c r="I30" i="25"/>
  <c r="M30" i="25" s="1"/>
  <c r="A30" i="25" s="1"/>
  <c r="B30" i="25"/>
  <c r="J29" i="25"/>
  <c r="K29" i="25" s="1"/>
  <c r="I29" i="25"/>
  <c r="M29" i="25" s="1"/>
  <c r="A29" i="25" s="1"/>
  <c r="B29" i="25"/>
  <c r="M28" i="25"/>
  <c r="A28" i="25" s="1"/>
  <c r="J28" i="25"/>
  <c r="K28" i="25" s="1"/>
  <c r="I28" i="25"/>
  <c r="B28" i="25"/>
  <c r="J27" i="25"/>
  <c r="K27" i="25" s="1"/>
  <c r="I27" i="25"/>
  <c r="M27" i="25" s="1"/>
  <c r="A27" i="25" s="1"/>
  <c r="B27" i="25"/>
  <c r="J26" i="25"/>
  <c r="K26" i="25" s="1"/>
  <c r="I26" i="25"/>
  <c r="B26" i="25"/>
  <c r="J25" i="25"/>
  <c r="K25" i="25" s="1"/>
  <c r="I25" i="25"/>
  <c r="B25" i="25"/>
  <c r="J24" i="25"/>
  <c r="K24" i="25" s="1"/>
  <c r="M24" i="25" s="1"/>
  <c r="A24" i="25" s="1"/>
  <c r="I24" i="25"/>
  <c r="B24" i="25"/>
  <c r="J23" i="25"/>
  <c r="K23" i="25" s="1"/>
  <c r="I23" i="25"/>
  <c r="M23" i="25" s="1"/>
  <c r="A23" i="25" s="1"/>
  <c r="B23" i="25"/>
  <c r="J22" i="25"/>
  <c r="K22" i="25" s="1"/>
  <c r="I22" i="25"/>
  <c r="M22" i="25" s="1"/>
  <c r="A22" i="25" s="1"/>
  <c r="B22" i="25"/>
  <c r="J21" i="25"/>
  <c r="K21" i="25" s="1"/>
  <c r="I21" i="25"/>
  <c r="B21" i="25"/>
  <c r="J20" i="25"/>
  <c r="K20" i="25" s="1"/>
  <c r="I20" i="25"/>
  <c r="B20" i="25"/>
  <c r="J19" i="25"/>
  <c r="K19" i="25" s="1"/>
  <c r="M19" i="25" s="1"/>
  <c r="A19" i="25" s="1"/>
  <c r="I19" i="25"/>
  <c r="B19" i="25"/>
  <c r="M18" i="25"/>
  <c r="A18" i="25" s="1"/>
  <c r="J18" i="25"/>
  <c r="K18" i="25" s="1"/>
  <c r="I18" i="25"/>
  <c r="B18" i="25"/>
  <c r="J17" i="25"/>
  <c r="K17" i="25" s="1"/>
  <c r="I17" i="25"/>
  <c r="B17" i="25"/>
  <c r="AI16" i="25"/>
  <c r="J16" i="25"/>
  <c r="K16" i="25" s="1"/>
  <c r="I16" i="25"/>
  <c r="M16" i="25" s="1"/>
  <c r="A16" i="25" s="1"/>
  <c r="B16" i="25"/>
  <c r="J15" i="25"/>
  <c r="K15" i="25" s="1"/>
  <c r="I15" i="25"/>
  <c r="B15" i="25"/>
  <c r="AI14" i="25"/>
  <c r="J14" i="25"/>
  <c r="K14" i="25" s="1"/>
  <c r="M14" i="25" s="1"/>
  <c r="A14" i="25" s="1"/>
  <c r="I14" i="25"/>
  <c r="B14" i="25"/>
  <c r="AI13" i="25"/>
  <c r="J13" i="25"/>
  <c r="K13" i="25" s="1"/>
  <c r="I13" i="25"/>
  <c r="B13" i="25"/>
  <c r="AI12" i="25"/>
  <c r="J12" i="25"/>
  <c r="K12" i="25" s="1"/>
  <c r="I12" i="25"/>
  <c r="B12" i="25"/>
  <c r="J11" i="25"/>
  <c r="K11" i="25" s="1"/>
  <c r="I11" i="25"/>
  <c r="B11" i="25"/>
  <c r="J10" i="25"/>
  <c r="K10" i="25" s="1"/>
  <c r="I10" i="25"/>
  <c r="B10" i="25"/>
  <c r="J9" i="25"/>
  <c r="K9" i="25" s="1"/>
  <c r="I9" i="25"/>
  <c r="B9" i="25"/>
  <c r="J8" i="25"/>
  <c r="K8" i="25" s="1"/>
  <c r="I8" i="25"/>
  <c r="B8" i="25"/>
  <c r="J7" i="25"/>
  <c r="K7" i="25" s="1"/>
  <c r="I7" i="25"/>
  <c r="B7" i="25"/>
  <c r="J6" i="25"/>
  <c r="K6" i="25" s="1"/>
  <c r="I6" i="25"/>
  <c r="M6" i="25" s="1"/>
  <c r="A6" i="25" s="1"/>
  <c r="B6" i="25"/>
  <c r="K2" i="25"/>
  <c r="L6" i="25" s="1"/>
  <c r="AL25" i="20" a="1"/>
  <c r="AL25" i="20" s="1"/>
  <c r="T25" i="20"/>
  <c r="R25" i="20"/>
  <c r="A25" i="20"/>
  <c r="AL24" i="20" a="1"/>
  <c r="AL24" i="20" s="1"/>
  <c r="V24" i="20"/>
  <c r="R24" i="20"/>
  <c r="A24" i="20"/>
  <c r="AL23" i="20" a="1"/>
  <c r="AL23" i="20" s="1"/>
  <c r="T23" i="20"/>
  <c r="R23" i="20"/>
  <c r="A23" i="20"/>
  <c r="AL22" i="20" a="1"/>
  <c r="AL22" i="20" s="1"/>
  <c r="R22" i="20"/>
  <c r="A22" i="20"/>
  <c r="AL21" i="20" a="1"/>
  <c r="AL21" i="20" s="1"/>
  <c r="T21" i="20"/>
  <c r="R21" i="20"/>
  <c r="A21" i="20"/>
  <c r="AL20" i="20" a="1"/>
  <c r="AL20" i="20" s="1"/>
  <c r="V20" i="20"/>
  <c r="T20" i="20"/>
  <c r="R20" i="20"/>
  <c r="A20" i="20"/>
  <c r="AL19" i="20" a="1"/>
  <c r="AL19" i="20" s="1"/>
  <c r="T19" i="20"/>
  <c r="R19" i="20"/>
  <c r="A19" i="20"/>
  <c r="AL18" i="20" a="1"/>
  <c r="AL18" i="20" s="1"/>
  <c r="T18" i="20"/>
  <c r="R18" i="20"/>
  <c r="A18" i="20"/>
  <c r="AL17" i="20" a="1"/>
  <c r="AL17" i="20" s="1"/>
  <c r="T17" i="20"/>
  <c r="R17" i="20"/>
  <c r="A17" i="20"/>
  <c r="AL16" i="20" a="1"/>
  <c r="AL16" i="20" s="1"/>
  <c r="V16" i="20"/>
  <c r="R16" i="20"/>
  <c r="A16" i="20"/>
  <c r="AL15" i="20" a="1"/>
  <c r="AL15" i="20" s="1"/>
  <c r="T15" i="20"/>
  <c r="R15" i="20"/>
  <c r="A15" i="20"/>
  <c r="AL14" i="20" a="1"/>
  <c r="AL14" i="20" s="1"/>
  <c r="R14" i="20"/>
  <c r="A14" i="20"/>
  <c r="AL7" i="20" a="1"/>
  <c r="AL7" i="20" s="1"/>
  <c r="T7" i="20"/>
  <c r="R7" i="20"/>
  <c r="A7" i="20"/>
  <c r="AL12" i="20" a="1"/>
  <c r="AL12" i="20" s="1"/>
  <c r="V12" i="20"/>
  <c r="T12" i="20"/>
  <c r="R12" i="20"/>
  <c r="A12" i="20"/>
  <c r="AL11" i="20" a="1"/>
  <c r="AL11" i="20" s="1"/>
  <c r="T11" i="20"/>
  <c r="R11" i="20"/>
  <c r="A11" i="20"/>
  <c r="AL6" i="20" a="1"/>
  <c r="AL6" i="20" s="1"/>
  <c r="V6" i="20"/>
  <c r="T6" i="20"/>
  <c r="R6" i="20"/>
  <c r="A6" i="20"/>
  <c r="AL13" i="20" a="1"/>
  <c r="AL13" i="20" s="1"/>
  <c r="V13" i="20"/>
  <c r="T13" i="20"/>
  <c r="R13" i="20"/>
  <c r="A13" i="20"/>
  <c r="AL10" i="20" a="1"/>
  <c r="AL10" i="20" s="1"/>
  <c r="V10" i="20"/>
  <c r="T10" i="20"/>
  <c r="R10" i="20"/>
  <c r="A10" i="20"/>
  <c r="AL9" i="20" a="1"/>
  <c r="AL9" i="20" s="1"/>
  <c r="V9" i="20"/>
  <c r="T9" i="20"/>
  <c r="R9" i="20"/>
  <c r="A9" i="20"/>
  <c r="AL8" i="20" a="1"/>
  <c r="AL8" i="20" s="1"/>
  <c r="V8" i="20"/>
  <c r="T8" i="20"/>
  <c r="R8" i="20"/>
  <c r="A8" i="20"/>
  <c r="B14" i="18"/>
  <c r="B13" i="18"/>
  <c r="B12" i="18"/>
  <c r="B11" i="18"/>
  <c r="B10" i="18"/>
  <c r="G22" i="20" s="1"/>
  <c r="O10" i="13"/>
  <c r="O9" i="13"/>
  <c r="O8" i="13"/>
  <c r="O7" i="13"/>
  <c r="O12" i="13"/>
  <c r="G10" i="13"/>
  <c r="G9" i="13"/>
  <c r="G8" i="13"/>
  <c r="G7" i="13"/>
  <c r="E9" i="20"/>
  <c r="E10" i="13"/>
  <c r="E8" i="13"/>
  <c r="E9" i="13"/>
  <c r="J305" i="19"/>
  <c r="J304" i="19"/>
  <c r="J303" i="19"/>
  <c r="J302" i="19"/>
  <c r="J301" i="19"/>
  <c r="J300" i="19"/>
  <c r="K300" i="19" s="1"/>
  <c r="J299" i="19"/>
  <c r="J298" i="19"/>
  <c r="K298" i="19" s="1"/>
  <c r="J297" i="19"/>
  <c r="J296" i="19"/>
  <c r="J295" i="19"/>
  <c r="J294" i="19"/>
  <c r="J293" i="19"/>
  <c r="K293" i="19" s="1"/>
  <c r="J292" i="19"/>
  <c r="K292" i="19" s="1"/>
  <c r="J291" i="19"/>
  <c r="K291" i="19" s="1"/>
  <c r="J290" i="19"/>
  <c r="K290" i="19" s="1"/>
  <c r="J289" i="19"/>
  <c r="J288" i="19"/>
  <c r="J287" i="19"/>
  <c r="J286" i="19"/>
  <c r="J285" i="19"/>
  <c r="K285" i="19" s="1"/>
  <c r="J284" i="19"/>
  <c r="K284" i="19" s="1"/>
  <c r="J283" i="19"/>
  <c r="K283" i="19" s="1"/>
  <c r="J282" i="19"/>
  <c r="J281" i="19"/>
  <c r="J280" i="19"/>
  <c r="J279" i="19"/>
  <c r="J278" i="19"/>
  <c r="J277" i="19"/>
  <c r="J276" i="19"/>
  <c r="J275" i="19"/>
  <c r="K275" i="19" s="1"/>
  <c r="J274" i="19"/>
  <c r="K274" i="19" s="1"/>
  <c r="J273" i="19"/>
  <c r="J272" i="19"/>
  <c r="J271" i="19"/>
  <c r="J270" i="19"/>
  <c r="J269" i="19"/>
  <c r="J268" i="19"/>
  <c r="K268" i="19" s="1"/>
  <c r="J267" i="19"/>
  <c r="K267" i="19" s="1"/>
  <c r="J266" i="19"/>
  <c r="K266" i="19" s="1"/>
  <c r="J265" i="19"/>
  <c r="J264" i="19"/>
  <c r="J263" i="19"/>
  <c r="J262" i="19"/>
  <c r="J261" i="19"/>
  <c r="J260" i="19"/>
  <c r="K260" i="19" s="1"/>
  <c r="J259" i="19"/>
  <c r="K259" i="19" s="1"/>
  <c r="J258" i="19"/>
  <c r="K258" i="19" s="1"/>
  <c r="J257" i="19"/>
  <c r="J256" i="19"/>
  <c r="J255" i="19"/>
  <c r="J254" i="19"/>
  <c r="J253" i="19"/>
  <c r="K253" i="19" s="1"/>
  <c r="J252" i="19"/>
  <c r="K252" i="19" s="1"/>
  <c r="J251" i="19"/>
  <c r="K251" i="19" s="1"/>
  <c r="J250" i="19"/>
  <c r="K250" i="19" s="1"/>
  <c r="J249" i="19"/>
  <c r="J248" i="19"/>
  <c r="J247" i="19"/>
  <c r="J246" i="19"/>
  <c r="J245" i="19"/>
  <c r="J244" i="19"/>
  <c r="J243" i="19"/>
  <c r="K243" i="19" s="1"/>
  <c r="J242" i="19"/>
  <c r="K242" i="19" s="1"/>
  <c r="J241" i="19"/>
  <c r="J240" i="19"/>
  <c r="J239" i="19"/>
  <c r="J238" i="19"/>
  <c r="J237" i="19"/>
  <c r="K237" i="19" s="1"/>
  <c r="J236" i="19"/>
  <c r="K236" i="19" s="1"/>
  <c r="J235" i="19"/>
  <c r="K235" i="19" s="1"/>
  <c r="J234" i="19"/>
  <c r="K234" i="19" s="1"/>
  <c r="J233" i="19"/>
  <c r="J232" i="19"/>
  <c r="J231" i="19"/>
  <c r="J230" i="19"/>
  <c r="J229" i="19"/>
  <c r="K229" i="19" s="1"/>
  <c r="J228" i="19"/>
  <c r="K228" i="19" s="1"/>
  <c r="J227" i="19"/>
  <c r="K227" i="19" s="1"/>
  <c r="J226" i="19"/>
  <c r="K226" i="19" s="1"/>
  <c r="J225" i="19"/>
  <c r="J224" i="19"/>
  <c r="J223" i="19"/>
  <c r="J222" i="19"/>
  <c r="J221" i="19"/>
  <c r="K221" i="19" s="1"/>
  <c r="J220" i="19"/>
  <c r="J219" i="19"/>
  <c r="K219" i="19" s="1"/>
  <c r="J218" i="19"/>
  <c r="J217" i="19"/>
  <c r="J216" i="19"/>
  <c r="J215" i="19"/>
  <c r="J214" i="19"/>
  <c r="J213" i="19"/>
  <c r="J212" i="19"/>
  <c r="K212" i="19" s="1"/>
  <c r="J211" i="19"/>
  <c r="K211" i="19" s="1"/>
  <c r="J210" i="19"/>
  <c r="K210" i="19" s="1"/>
  <c r="J209" i="19"/>
  <c r="J208" i="19"/>
  <c r="J207" i="19"/>
  <c r="J206" i="19"/>
  <c r="J205" i="19"/>
  <c r="J204" i="19"/>
  <c r="K204" i="19" s="1"/>
  <c r="J203" i="19"/>
  <c r="J202" i="19"/>
  <c r="K202" i="19" s="1"/>
  <c r="J201" i="19"/>
  <c r="J200" i="19"/>
  <c r="J199" i="19"/>
  <c r="J198" i="19"/>
  <c r="J197" i="19"/>
  <c r="J196" i="19"/>
  <c r="K196" i="19" s="1"/>
  <c r="J195" i="19"/>
  <c r="K195" i="19" s="1"/>
  <c r="J194" i="19"/>
  <c r="K194" i="19" s="1"/>
  <c r="J193" i="19"/>
  <c r="J192" i="19"/>
  <c r="J191" i="19"/>
  <c r="J190" i="19"/>
  <c r="J189" i="19"/>
  <c r="J188" i="19"/>
  <c r="J187" i="19"/>
  <c r="K187" i="19" s="1"/>
  <c r="J186" i="19"/>
  <c r="K186" i="19" s="1"/>
  <c r="J185" i="19"/>
  <c r="J184" i="19"/>
  <c r="J183" i="19"/>
  <c r="J182" i="19"/>
  <c r="J181" i="19"/>
  <c r="K181" i="19" s="1"/>
  <c r="J180" i="19"/>
  <c r="K180" i="19" s="1"/>
  <c r="J179" i="19"/>
  <c r="K179" i="19" s="1"/>
  <c r="J178" i="19"/>
  <c r="K178" i="19" s="1"/>
  <c r="J177" i="19"/>
  <c r="J176" i="19"/>
  <c r="J175" i="19"/>
  <c r="J174" i="19"/>
  <c r="J173" i="19"/>
  <c r="K173" i="19" s="1"/>
  <c r="J172" i="19"/>
  <c r="K172" i="19" s="1"/>
  <c r="J171" i="19"/>
  <c r="K171" i="19" s="1"/>
  <c r="J170" i="19"/>
  <c r="K170" i="19" s="1"/>
  <c r="J169" i="19"/>
  <c r="J168" i="19"/>
  <c r="J167" i="19"/>
  <c r="J166" i="19"/>
  <c r="J165" i="19"/>
  <c r="K165" i="19" s="1"/>
  <c r="J164" i="19"/>
  <c r="J163" i="19"/>
  <c r="J162" i="19"/>
  <c r="K162" i="19" s="1"/>
  <c r="J161" i="19"/>
  <c r="J160" i="19"/>
  <c r="J159" i="19"/>
  <c r="J158" i="19"/>
  <c r="J157" i="19"/>
  <c r="J156" i="19"/>
  <c r="K156" i="19" s="1"/>
  <c r="J155" i="19"/>
  <c r="K155" i="19" s="1"/>
  <c r="J154" i="19"/>
  <c r="J153" i="19"/>
  <c r="J152" i="19"/>
  <c r="J151" i="19"/>
  <c r="J150" i="19"/>
  <c r="J149" i="19"/>
  <c r="K149" i="19" s="1"/>
  <c r="J148" i="19"/>
  <c r="K148" i="19" s="1"/>
  <c r="J147" i="19"/>
  <c r="K147" i="19" s="1"/>
  <c r="J146" i="19"/>
  <c r="K146" i="19" s="1"/>
  <c r="J145" i="19"/>
  <c r="J144" i="19"/>
  <c r="J143" i="19"/>
  <c r="J142" i="19"/>
  <c r="J141" i="19"/>
  <c r="J140" i="19"/>
  <c r="K140" i="19" s="1"/>
  <c r="J139" i="19"/>
  <c r="K139" i="19" s="1"/>
  <c r="J138" i="19"/>
  <c r="K138" i="19" s="1"/>
  <c r="J137" i="19"/>
  <c r="J136" i="19"/>
  <c r="J135" i="19"/>
  <c r="J134" i="19"/>
  <c r="J133" i="19"/>
  <c r="J132" i="19"/>
  <c r="J131" i="19"/>
  <c r="K131" i="19" s="1"/>
  <c r="J130" i="19"/>
  <c r="K130" i="19" s="1"/>
  <c r="J129" i="19"/>
  <c r="J128" i="19"/>
  <c r="J127" i="19"/>
  <c r="J126" i="19"/>
  <c r="J125" i="19"/>
  <c r="J124" i="19"/>
  <c r="K124" i="19" s="1"/>
  <c r="J123" i="19"/>
  <c r="J122" i="19"/>
  <c r="K122" i="19" s="1"/>
  <c r="J121" i="19"/>
  <c r="J120" i="19"/>
  <c r="J119" i="19"/>
  <c r="J118" i="19"/>
  <c r="J117" i="19"/>
  <c r="K117" i="19" s="1"/>
  <c r="J116" i="19"/>
  <c r="K116" i="19" s="1"/>
  <c r="J115" i="19"/>
  <c r="K115" i="19" s="1"/>
  <c r="J114" i="19"/>
  <c r="K114" i="19" s="1"/>
  <c r="J113" i="19"/>
  <c r="J112" i="19"/>
  <c r="J111" i="19"/>
  <c r="J110" i="19"/>
  <c r="J109" i="19"/>
  <c r="K109" i="19" s="1"/>
  <c r="J108" i="19"/>
  <c r="J107" i="19"/>
  <c r="K107" i="19" s="1"/>
  <c r="J106" i="19"/>
  <c r="K106" i="19" s="1"/>
  <c r="J105" i="19"/>
  <c r="J104" i="19"/>
  <c r="J103" i="19"/>
  <c r="J102" i="19"/>
  <c r="J101" i="19"/>
  <c r="K101" i="19" s="1"/>
  <c r="J100" i="19"/>
  <c r="K100" i="19" s="1"/>
  <c r="J99" i="19"/>
  <c r="K99" i="19" s="1"/>
  <c r="J98" i="19"/>
  <c r="K98" i="19" s="1"/>
  <c r="J97" i="19"/>
  <c r="J96" i="19"/>
  <c r="J95" i="19"/>
  <c r="J94" i="19"/>
  <c r="J93" i="19"/>
  <c r="J92" i="19"/>
  <c r="K92" i="19" s="1"/>
  <c r="J91" i="19"/>
  <c r="K91" i="19" s="1"/>
  <c r="J90" i="19"/>
  <c r="J89" i="19"/>
  <c r="J88" i="19"/>
  <c r="J87" i="19"/>
  <c r="J86" i="19"/>
  <c r="J85" i="19"/>
  <c r="K85" i="19" s="1"/>
  <c r="J84" i="19"/>
  <c r="K84" i="19" s="1"/>
  <c r="J83" i="19"/>
  <c r="K83" i="19" s="1"/>
  <c r="J82" i="19"/>
  <c r="K82" i="19" s="1"/>
  <c r="J81" i="19"/>
  <c r="J80" i="19"/>
  <c r="J79" i="19"/>
  <c r="J78" i="19"/>
  <c r="J77" i="19"/>
  <c r="K77" i="19" s="1"/>
  <c r="J76" i="19"/>
  <c r="K76" i="19" s="1"/>
  <c r="J75" i="19"/>
  <c r="K75" i="19" s="1"/>
  <c r="J74" i="19"/>
  <c r="K74" i="19" s="1"/>
  <c r="J73" i="19"/>
  <c r="J72" i="19"/>
  <c r="J71" i="19"/>
  <c r="J70" i="19"/>
  <c r="J69" i="19"/>
  <c r="J68" i="19"/>
  <c r="K68" i="19" s="1"/>
  <c r="J67" i="19"/>
  <c r="K67" i="19" s="1"/>
  <c r="J66" i="19"/>
  <c r="K66" i="19" s="1"/>
  <c r="J65" i="19"/>
  <c r="J64" i="19"/>
  <c r="J63" i="19"/>
  <c r="J62" i="19"/>
  <c r="J61" i="19"/>
  <c r="J60" i="19"/>
  <c r="J59" i="19"/>
  <c r="K59" i="19" s="1"/>
  <c r="J58" i="19"/>
  <c r="K58" i="19" s="1"/>
  <c r="J57" i="19"/>
  <c r="J56" i="19"/>
  <c r="J55" i="19"/>
  <c r="J54" i="19"/>
  <c r="J53" i="19"/>
  <c r="K53" i="19" s="1"/>
  <c r="J52" i="19"/>
  <c r="J51" i="19"/>
  <c r="K51" i="19" s="1"/>
  <c r="J50" i="19"/>
  <c r="K50" i="19" s="1"/>
  <c r="J49" i="19"/>
  <c r="J48" i="19"/>
  <c r="J47" i="19"/>
  <c r="J46" i="19"/>
  <c r="J45" i="19"/>
  <c r="K45" i="19" s="1"/>
  <c r="J44" i="19"/>
  <c r="K44" i="19" s="1"/>
  <c r="J43" i="19"/>
  <c r="J42" i="19"/>
  <c r="K42" i="19" s="1"/>
  <c r="J41" i="19"/>
  <c r="J40" i="19"/>
  <c r="J39" i="19"/>
  <c r="J38" i="19"/>
  <c r="J37" i="19"/>
  <c r="J36" i="19"/>
  <c r="K36" i="19" s="1"/>
  <c r="J35" i="19"/>
  <c r="K35" i="19" s="1"/>
  <c r="J34" i="19"/>
  <c r="K34" i="19" s="1"/>
  <c r="J33" i="19"/>
  <c r="J32" i="19"/>
  <c r="J31" i="19"/>
  <c r="J30" i="19"/>
  <c r="J29" i="19"/>
  <c r="K29" i="19" s="1"/>
  <c r="J28" i="19"/>
  <c r="J27" i="19"/>
  <c r="K27" i="19" s="1"/>
  <c r="J26" i="19"/>
  <c r="J25" i="19"/>
  <c r="J24" i="19"/>
  <c r="J23" i="19"/>
  <c r="J22" i="19"/>
  <c r="J21" i="19"/>
  <c r="K21" i="19" s="1"/>
  <c r="J20" i="19"/>
  <c r="K20" i="19" s="1"/>
  <c r="J19" i="19"/>
  <c r="K19" i="19" s="1"/>
  <c r="J18" i="19"/>
  <c r="K18" i="19" s="1"/>
  <c r="J17" i="19"/>
  <c r="J16" i="19"/>
  <c r="J15" i="19"/>
  <c r="J14" i="19"/>
  <c r="J13" i="19"/>
  <c r="K13" i="19" s="1"/>
  <c r="J12" i="19"/>
  <c r="K12" i="19" s="1"/>
  <c r="J11" i="19"/>
  <c r="K11" i="19" s="1"/>
  <c r="J10" i="19"/>
  <c r="K10" i="19" s="1"/>
  <c r="J9" i="19"/>
  <c r="J8" i="19"/>
  <c r="J7" i="19"/>
  <c r="K14" i="19"/>
  <c r="K22" i="19"/>
  <c r="K30" i="19"/>
  <c r="K38" i="19"/>
  <c r="K46" i="19"/>
  <c r="K54" i="19"/>
  <c r="K60" i="19"/>
  <c r="K62" i="19"/>
  <c r="K70" i="19"/>
  <c r="K78" i="19"/>
  <c r="K93" i="19"/>
  <c r="K94" i="19"/>
  <c r="K102" i="19"/>
  <c r="K110" i="19"/>
  <c r="K118" i="19"/>
  <c r="K126" i="19"/>
  <c r="K132" i="19"/>
  <c r="K134" i="19"/>
  <c r="K142" i="19"/>
  <c r="K150" i="19"/>
  <c r="K157" i="19"/>
  <c r="K164" i="19"/>
  <c r="K166" i="19"/>
  <c r="K174" i="19"/>
  <c r="K182" i="19"/>
  <c r="K189" i="19"/>
  <c r="K190" i="19"/>
  <c r="K198" i="19"/>
  <c r="K206" i="19"/>
  <c r="K213" i="19"/>
  <c r="K214" i="19"/>
  <c r="K220" i="19"/>
  <c r="K230" i="19"/>
  <c r="K238" i="19"/>
  <c r="K245" i="19"/>
  <c r="K246" i="19"/>
  <c r="K254" i="19"/>
  <c r="K262" i="19"/>
  <c r="K270" i="19"/>
  <c r="K276" i="19"/>
  <c r="K277" i="19"/>
  <c r="K278" i="19"/>
  <c r="K294" i="19"/>
  <c r="K301" i="19"/>
  <c r="K302" i="19"/>
  <c r="K282" i="19"/>
  <c r="K218" i="19"/>
  <c r="K154" i="19"/>
  <c r="K90" i="19"/>
  <c r="K26" i="19"/>
  <c r="J305" i="18"/>
  <c r="J304" i="18"/>
  <c r="J303" i="18"/>
  <c r="K303" i="18" s="1"/>
  <c r="J302" i="18"/>
  <c r="K302" i="18" s="1"/>
  <c r="J301" i="18"/>
  <c r="J300" i="18"/>
  <c r="K300" i="18" s="1"/>
  <c r="J299" i="18"/>
  <c r="J298" i="18"/>
  <c r="K298" i="18" s="1"/>
  <c r="J297" i="18"/>
  <c r="K297" i="18" s="1"/>
  <c r="J296" i="18"/>
  <c r="K296" i="18" s="1"/>
  <c r="J295" i="18"/>
  <c r="J294" i="18"/>
  <c r="K294" i="18" s="1"/>
  <c r="J293" i="18"/>
  <c r="K293" i="18" s="1"/>
  <c r="J292" i="18"/>
  <c r="K292" i="18" s="1"/>
  <c r="J291" i="18"/>
  <c r="J290" i="18"/>
  <c r="J289" i="18"/>
  <c r="K289" i="18" s="1"/>
  <c r="J288" i="18"/>
  <c r="K288" i="18" s="1"/>
  <c r="J287" i="18"/>
  <c r="K287" i="18" s="1"/>
  <c r="J286" i="18"/>
  <c r="K286" i="18" s="1"/>
  <c r="J285" i="18"/>
  <c r="K285" i="18" s="1"/>
  <c r="J284" i="18"/>
  <c r="K284" i="18" s="1"/>
  <c r="J283" i="18"/>
  <c r="K283" i="18" s="1"/>
  <c r="J282" i="18"/>
  <c r="K282" i="18" s="1"/>
  <c r="J281" i="18"/>
  <c r="J280" i="18"/>
  <c r="K280" i="18" s="1"/>
  <c r="J279" i="18"/>
  <c r="K279" i="18" s="1"/>
  <c r="J278" i="18"/>
  <c r="K278" i="18" s="1"/>
  <c r="J277" i="18"/>
  <c r="K277" i="18" s="1"/>
  <c r="J276" i="18"/>
  <c r="K276" i="18" s="1"/>
  <c r="J275" i="18"/>
  <c r="K275" i="18" s="1"/>
  <c r="J274" i="18"/>
  <c r="K274" i="18" s="1"/>
  <c r="J273" i="18"/>
  <c r="K273" i="18" s="1"/>
  <c r="J272" i="18"/>
  <c r="J271" i="18"/>
  <c r="K271" i="18" s="1"/>
  <c r="J270" i="18"/>
  <c r="K270" i="18" s="1"/>
  <c r="J269" i="18"/>
  <c r="J268" i="18"/>
  <c r="K268" i="18" s="1"/>
  <c r="J267" i="18"/>
  <c r="J266" i="18"/>
  <c r="K266" i="18" s="1"/>
  <c r="J265" i="18"/>
  <c r="K265" i="18" s="1"/>
  <c r="J264" i="18"/>
  <c r="K264" i="18" s="1"/>
  <c r="J263" i="18"/>
  <c r="K263" i="18" s="1"/>
  <c r="J262" i="18"/>
  <c r="K262" i="18" s="1"/>
  <c r="J261" i="18"/>
  <c r="J260" i="18"/>
  <c r="K260" i="18" s="1"/>
  <c r="J259" i="18"/>
  <c r="J258" i="18"/>
  <c r="K258" i="18" s="1"/>
  <c r="J257" i="18"/>
  <c r="J256" i="18"/>
  <c r="K256" i="18" s="1"/>
  <c r="J255" i="18"/>
  <c r="K255" i="18" s="1"/>
  <c r="J254" i="18"/>
  <c r="K254" i="18" s="1"/>
  <c r="J253" i="18"/>
  <c r="K253" i="18" s="1"/>
  <c r="J252" i="18"/>
  <c r="K252" i="18" s="1"/>
  <c r="J251" i="18"/>
  <c r="J250" i="18"/>
  <c r="K250" i="18" s="1"/>
  <c r="J249" i="18"/>
  <c r="J248" i="18"/>
  <c r="J247" i="18"/>
  <c r="K247" i="18" s="1"/>
  <c r="J246" i="18"/>
  <c r="K246" i="18" s="1"/>
  <c r="J245" i="18"/>
  <c r="K245" i="18" s="1"/>
  <c r="J244" i="18"/>
  <c r="K244" i="18" s="1"/>
  <c r="J243" i="18"/>
  <c r="K243" i="18" s="1"/>
  <c r="J242" i="18"/>
  <c r="K242" i="18" s="1"/>
  <c r="J241" i="18"/>
  <c r="J240" i="18"/>
  <c r="J239" i="18"/>
  <c r="K239" i="18" s="1"/>
  <c r="J238" i="18"/>
  <c r="K238" i="18" s="1"/>
  <c r="J237" i="18"/>
  <c r="K237" i="18" s="1"/>
  <c r="J236" i="18"/>
  <c r="K236" i="18" s="1"/>
  <c r="J235" i="18"/>
  <c r="J234" i="18"/>
  <c r="K234" i="18" s="1"/>
  <c r="J233" i="18"/>
  <c r="K233" i="18" s="1"/>
  <c r="J232" i="18"/>
  <c r="K232" i="18" s="1"/>
  <c r="J231" i="18"/>
  <c r="K231" i="18" s="1"/>
  <c r="J230" i="18"/>
  <c r="K230" i="18" s="1"/>
  <c r="J229" i="18"/>
  <c r="K229" i="18" s="1"/>
  <c r="J228" i="18"/>
  <c r="K228" i="18" s="1"/>
  <c r="J227" i="18"/>
  <c r="J226" i="18"/>
  <c r="J225" i="18"/>
  <c r="K225" i="18" s="1"/>
  <c r="J224" i="18"/>
  <c r="K224" i="18" s="1"/>
  <c r="J223" i="18"/>
  <c r="K223" i="18" s="1"/>
  <c r="J222" i="18"/>
  <c r="J221" i="18"/>
  <c r="K221" i="18" s="1"/>
  <c r="J220" i="18"/>
  <c r="K220" i="18" s="1"/>
  <c r="J219" i="18"/>
  <c r="K219" i="18" s="1"/>
  <c r="J218" i="18"/>
  <c r="K218" i="18" s="1"/>
  <c r="J217" i="18"/>
  <c r="J216" i="18"/>
  <c r="K216" i="18" s="1"/>
  <c r="J215" i="18"/>
  <c r="K215" i="18" s="1"/>
  <c r="J214" i="18"/>
  <c r="K214" i="18" s="1"/>
  <c r="J213" i="18"/>
  <c r="K213" i="18" s="1"/>
  <c r="J212" i="18"/>
  <c r="K212" i="18" s="1"/>
  <c r="J211" i="18"/>
  <c r="K211" i="18" s="1"/>
  <c r="J210" i="18"/>
  <c r="K210" i="18" s="1"/>
  <c r="J209" i="18"/>
  <c r="J208" i="18"/>
  <c r="J207" i="18"/>
  <c r="K207" i="18" s="1"/>
  <c r="J206" i="18"/>
  <c r="K206" i="18" s="1"/>
  <c r="J205" i="18"/>
  <c r="K205" i="18" s="1"/>
  <c r="J204" i="18"/>
  <c r="K204" i="18" s="1"/>
  <c r="J203" i="18"/>
  <c r="K203" i="18" s="1"/>
  <c r="J202" i="18"/>
  <c r="K202" i="18" s="1"/>
  <c r="J201" i="18"/>
  <c r="K201" i="18" s="1"/>
  <c r="J200" i="18"/>
  <c r="J199" i="18"/>
  <c r="K199" i="18" s="1"/>
  <c r="J198" i="18"/>
  <c r="K198" i="18" s="1"/>
  <c r="J197" i="18"/>
  <c r="K197" i="18" s="1"/>
  <c r="J196" i="18"/>
  <c r="K196" i="18" s="1"/>
  <c r="J195" i="18"/>
  <c r="J194" i="18"/>
  <c r="K194" i="18" s="1"/>
  <c r="J193" i="18"/>
  <c r="K193" i="18" s="1"/>
  <c r="J192" i="18"/>
  <c r="K192" i="18" s="1"/>
  <c r="J191" i="18"/>
  <c r="K191" i="18" s="1"/>
  <c r="J190" i="18"/>
  <c r="K190" i="18" s="1"/>
  <c r="J189" i="18"/>
  <c r="K189" i="18" s="1"/>
  <c r="J188" i="18"/>
  <c r="J187" i="18"/>
  <c r="J186" i="18"/>
  <c r="K186" i="18" s="1"/>
  <c r="J185" i="18"/>
  <c r="J184" i="18"/>
  <c r="K184" i="18" s="1"/>
  <c r="J183" i="18"/>
  <c r="K183" i="18" s="1"/>
  <c r="J182" i="18"/>
  <c r="K182" i="18" s="1"/>
  <c r="J181" i="18"/>
  <c r="K181" i="18" s="1"/>
  <c r="J180" i="18"/>
  <c r="K180" i="18" s="1"/>
  <c r="J179" i="18"/>
  <c r="J178" i="18"/>
  <c r="K178" i="18" s="1"/>
  <c r="J177" i="18"/>
  <c r="J176" i="18"/>
  <c r="J175" i="18"/>
  <c r="K175" i="18" s="1"/>
  <c r="J174" i="18"/>
  <c r="K174" i="18" s="1"/>
  <c r="J173" i="18"/>
  <c r="K173" i="18" s="1"/>
  <c r="J172" i="18"/>
  <c r="K172" i="18" s="1"/>
  <c r="J171" i="18"/>
  <c r="K171" i="18" s="1"/>
  <c r="J170" i="18"/>
  <c r="K170" i="18" s="1"/>
  <c r="J169" i="18"/>
  <c r="J168" i="18"/>
  <c r="J167" i="18"/>
  <c r="K167" i="18" s="1"/>
  <c r="J166" i="18"/>
  <c r="K166" i="18" s="1"/>
  <c r="J165" i="18"/>
  <c r="K165" i="18" s="1"/>
  <c r="J164" i="18"/>
  <c r="K164" i="18" s="1"/>
  <c r="J163" i="18"/>
  <c r="K163" i="18" s="1"/>
  <c r="J162" i="18"/>
  <c r="J161" i="18"/>
  <c r="K161" i="18" s="1"/>
  <c r="J160" i="18"/>
  <c r="J159" i="18"/>
  <c r="K159" i="18" s="1"/>
  <c r="J158" i="18"/>
  <c r="K158" i="18" s="1"/>
  <c r="J157" i="18"/>
  <c r="K157" i="18" s="1"/>
  <c r="J156" i="18"/>
  <c r="K156" i="18" s="1"/>
  <c r="J155" i="18"/>
  <c r="J154" i="18"/>
  <c r="K154" i="18" s="1"/>
  <c r="J153" i="18"/>
  <c r="K153" i="18" s="1"/>
  <c r="J152" i="18"/>
  <c r="K152" i="18" s="1"/>
  <c r="J151" i="18"/>
  <c r="K151" i="18" s="1"/>
  <c r="J150" i="18"/>
  <c r="K150" i="18" s="1"/>
  <c r="J149" i="18"/>
  <c r="K149" i="18" s="1"/>
  <c r="J148" i="18"/>
  <c r="K148" i="18" s="1"/>
  <c r="J147" i="18"/>
  <c r="J146" i="18"/>
  <c r="K146" i="18" s="1"/>
  <c r="J145" i="18"/>
  <c r="J144" i="18"/>
  <c r="K144" i="18" s="1"/>
  <c r="J143" i="18"/>
  <c r="K143" i="18" s="1"/>
  <c r="J142" i="18"/>
  <c r="K142" i="18" s="1"/>
  <c r="J141" i="18"/>
  <c r="K141" i="18" s="1"/>
  <c r="J140" i="18"/>
  <c r="J139" i="18"/>
  <c r="J138" i="18"/>
  <c r="K138" i="18" s="1"/>
  <c r="J137" i="18"/>
  <c r="J136" i="18"/>
  <c r="J135" i="18"/>
  <c r="K135" i="18" s="1"/>
  <c r="J134" i="18"/>
  <c r="K134" i="18" s="1"/>
  <c r="J133" i="18"/>
  <c r="K133" i="18" s="1"/>
  <c r="J132" i="18"/>
  <c r="K132" i="18" s="1"/>
  <c r="J131" i="18"/>
  <c r="K131" i="18" s="1"/>
  <c r="J130" i="18"/>
  <c r="K130" i="18" s="1"/>
  <c r="J129" i="18"/>
  <c r="J128" i="18"/>
  <c r="J127" i="18"/>
  <c r="K127" i="18" s="1"/>
  <c r="J126" i="18"/>
  <c r="J125" i="18"/>
  <c r="K125" i="18" s="1"/>
  <c r="J124" i="18"/>
  <c r="K124" i="18" s="1"/>
  <c r="J123" i="18"/>
  <c r="J122" i="18"/>
  <c r="K122" i="18" s="1"/>
  <c r="J121" i="18"/>
  <c r="K121" i="18" s="1"/>
  <c r="J120" i="18"/>
  <c r="K120" i="18" s="1"/>
  <c r="J119" i="18"/>
  <c r="K119" i="18" s="1"/>
  <c r="J118" i="18"/>
  <c r="K118" i="18" s="1"/>
  <c r="J117" i="18"/>
  <c r="K117" i="18" s="1"/>
  <c r="J116" i="18"/>
  <c r="K116" i="18" s="1"/>
  <c r="J115" i="18"/>
  <c r="J114" i="18"/>
  <c r="K114" i="18" s="1"/>
  <c r="J113" i="18"/>
  <c r="K113" i="18" s="1"/>
  <c r="J112" i="18"/>
  <c r="K112" i="18" s="1"/>
  <c r="J111" i="18"/>
  <c r="K111" i="18" s="1"/>
  <c r="J110" i="18"/>
  <c r="K110" i="18" s="1"/>
  <c r="J109" i="18"/>
  <c r="K109" i="18" s="1"/>
  <c r="J108" i="18"/>
  <c r="J107" i="18"/>
  <c r="K107" i="18" s="1"/>
  <c r="J106" i="18"/>
  <c r="K106" i="18" s="1"/>
  <c r="J105" i="18"/>
  <c r="J104" i="18"/>
  <c r="K104" i="18" s="1"/>
  <c r="J103" i="18"/>
  <c r="K103" i="18" s="1"/>
  <c r="J102" i="18"/>
  <c r="K102" i="18" s="1"/>
  <c r="J101" i="18"/>
  <c r="K101" i="18" s="1"/>
  <c r="J100" i="18"/>
  <c r="K100" i="18" s="1"/>
  <c r="J99" i="18"/>
  <c r="K99" i="18" s="1"/>
  <c r="J98" i="18"/>
  <c r="J97" i="18"/>
  <c r="J96" i="18"/>
  <c r="J95" i="18"/>
  <c r="K95" i="18" s="1"/>
  <c r="J94" i="18"/>
  <c r="K94" i="18" s="1"/>
  <c r="J93" i="18"/>
  <c r="K93" i="18" s="1"/>
  <c r="J92" i="18"/>
  <c r="K92" i="18" s="1"/>
  <c r="J91" i="18"/>
  <c r="K91" i="18" s="1"/>
  <c r="J90" i="18"/>
  <c r="K90" i="18" s="1"/>
  <c r="J89" i="18"/>
  <c r="K89" i="18" s="1"/>
  <c r="J88" i="18"/>
  <c r="J87" i="18"/>
  <c r="K87" i="18" s="1"/>
  <c r="J86" i="18"/>
  <c r="K86" i="18" s="1"/>
  <c r="J85" i="18"/>
  <c r="K85" i="18" s="1"/>
  <c r="J84" i="18"/>
  <c r="K84" i="18" s="1"/>
  <c r="J83" i="18"/>
  <c r="J82" i="18"/>
  <c r="K82" i="18" s="1"/>
  <c r="J81" i="18"/>
  <c r="K81" i="18" s="1"/>
  <c r="J80" i="18"/>
  <c r="K80" i="18" s="1"/>
  <c r="J79" i="18"/>
  <c r="K79" i="18" s="1"/>
  <c r="J78" i="18"/>
  <c r="K78" i="18" s="1"/>
  <c r="J77" i="18"/>
  <c r="K77" i="18" s="1"/>
  <c r="J76" i="18"/>
  <c r="K76" i="18" s="1"/>
  <c r="J75" i="18"/>
  <c r="J74" i="18"/>
  <c r="K74" i="18" s="1"/>
  <c r="J73" i="18"/>
  <c r="J72" i="18"/>
  <c r="K72" i="18" s="1"/>
  <c r="J71" i="18"/>
  <c r="K71" i="18" s="1"/>
  <c r="J70" i="18"/>
  <c r="K70" i="18" s="1"/>
  <c r="J69" i="18"/>
  <c r="K69" i="18" s="1"/>
  <c r="J68" i="18"/>
  <c r="K68" i="18" s="1"/>
  <c r="J67" i="18"/>
  <c r="K67" i="18" s="1"/>
  <c r="J66" i="18"/>
  <c r="K66" i="18" s="1"/>
  <c r="J65" i="18"/>
  <c r="J64" i="18"/>
  <c r="K64" i="18" s="1"/>
  <c r="J63" i="18"/>
  <c r="K63" i="18" s="1"/>
  <c r="J62" i="18"/>
  <c r="J61" i="18"/>
  <c r="K61" i="18" s="1"/>
  <c r="J60" i="18"/>
  <c r="K60" i="18" s="1"/>
  <c r="J59" i="18"/>
  <c r="K59" i="18" s="1"/>
  <c r="J58" i="18"/>
  <c r="K58" i="18" s="1"/>
  <c r="J57" i="18"/>
  <c r="J56" i="18"/>
  <c r="K56" i="18" s="1"/>
  <c r="J55" i="18"/>
  <c r="K55" i="18" s="1"/>
  <c r="J54" i="18"/>
  <c r="K54" i="18" s="1"/>
  <c r="J53" i="18"/>
  <c r="J52" i="18"/>
  <c r="K52" i="18" s="1"/>
  <c r="J51" i="18"/>
  <c r="J50" i="18"/>
  <c r="K50" i="18" s="1"/>
  <c r="J49" i="18"/>
  <c r="K49" i="18" s="1"/>
  <c r="J48" i="18"/>
  <c r="J47" i="18"/>
  <c r="K47" i="18" s="1"/>
  <c r="J46" i="18"/>
  <c r="K46" i="18" s="1"/>
  <c r="J45" i="18"/>
  <c r="K45" i="18" s="1"/>
  <c r="J44" i="18"/>
  <c r="K44" i="18" s="1"/>
  <c r="J43" i="18"/>
  <c r="J42" i="18"/>
  <c r="K42" i="18" s="1"/>
  <c r="J41" i="18"/>
  <c r="K41" i="18" s="1"/>
  <c r="J40" i="18"/>
  <c r="J39" i="18"/>
  <c r="K39" i="18" s="1"/>
  <c r="J38" i="18"/>
  <c r="K38" i="18" s="1"/>
  <c r="J37" i="18"/>
  <c r="J36" i="18"/>
  <c r="J35" i="18"/>
  <c r="J34" i="18"/>
  <c r="K34" i="18" s="1"/>
  <c r="J33" i="18"/>
  <c r="K33" i="18" s="1"/>
  <c r="J32" i="18"/>
  <c r="J31" i="18"/>
  <c r="K31" i="18" s="1"/>
  <c r="J30" i="18"/>
  <c r="K30" i="18" s="1"/>
  <c r="J29" i="18"/>
  <c r="K29" i="18" s="1"/>
  <c r="J28" i="18"/>
  <c r="K28" i="18" s="1"/>
  <c r="J27" i="18"/>
  <c r="J26" i="18"/>
  <c r="J25" i="18"/>
  <c r="K25" i="18" s="1"/>
  <c r="J24" i="18"/>
  <c r="K24" i="18" s="1"/>
  <c r="J23" i="18"/>
  <c r="K23" i="18" s="1"/>
  <c r="J22" i="18"/>
  <c r="J21" i="18"/>
  <c r="K21" i="18" s="1"/>
  <c r="J20" i="18"/>
  <c r="J19" i="18"/>
  <c r="J18" i="18"/>
  <c r="K18" i="18" s="1"/>
  <c r="J17" i="18"/>
  <c r="K17" i="18" s="1"/>
  <c r="J16" i="18"/>
  <c r="K16" i="18" s="1"/>
  <c r="J15" i="18"/>
  <c r="K15" i="18" s="1"/>
  <c r="J14" i="18"/>
  <c r="K14" i="18" s="1"/>
  <c r="J13" i="18"/>
  <c r="K13" i="18" s="1"/>
  <c r="J12" i="18"/>
  <c r="K12" i="18" s="1"/>
  <c r="J11" i="18"/>
  <c r="K11" i="18" s="1"/>
  <c r="J10" i="18"/>
  <c r="K10" i="18" s="1"/>
  <c r="J9" i="18"/>
  <c r="J8" i="18"/>
  <c r="K7" i="18"/>
  <c r="K22" i="18"/>
  <c r="K126" i="18"/>
  <c r="K222" i="18"/>
  <c r="K290" i="18"/>
  <c r="K226" i="18"/>
  <c r="K162" i="18"/>
  <c r="K98" i="18"/>
  <c r="K26" i="18"/>
  <c r="J305" i="17"/>
  <c r="J304" i="17"/>
  <c r="J303" i="17"/>
  <c r="J302" i="17"/>
  <c r="J301" i="17"/>
  <c r="J300" i="17"/>
  <c r="K300" i="17" s="1"/>
  <c r="J299" i="17"/>
  <c r="J298" i="17"/>
  <c r="K298" i="17" s="1"/>
  <c r="J297" i="17"/>
  <c r="J296" i="17"/>
  <c r="J295" i="17"/>
  <c r="J294" i="17"/>
  <c r="J293" i="17"/>
  <c r="J292" i="17"/>
  <c r="K292" i="17" s="1"/>
  <c r="J291" i="17"/>
  <c r="J290" i="17"/>
  <c r="K290" i="17" s="1"/>
  <c r="J289" i="17"/>
  <c r="J288" i="17"/>
  <c r="J287" i="17"/>
  <c r="J286" i="17"/>
  <c r="J285" i="17"/>
  <c r="J284" i="17"/>
  <c r="K284" i="17" s="1"/>
  <c r="J283" i="17"/>
  <c r="J282" i="17"/>
  <c r="K282" i="17" s="1"/>
  <c r="J281" i="17"/>
  <c r="J280" i="17"/>
  <c r="J279" i="17"/>
  <c r="J278" i="17"/>
  <c r="K278" i="17" s="1"/>
  <c r="J277" i="17"/>
  <c r="J276" i="17"/>
  <c r="K276" i="17" s="1"/>
  <c r="J275" i="17"/>
  <c r="J274" i="17"/>
  <c r="K274" i="17" s="1"/>
  <c r="J273" i="17"/>
  <c r="J272" i="17"/>
  <c r="J271" i="17"/>
  <c r="J270" i="17"/>
  <c r="J269" i="17"/>
  <c r="J268" i="17"/>
  <c r="K268" i="17" s="1"/>
  <c r="J267" i="17"/>
  <c r="J266" i="17"/>
  <c r="K266" i="17" s="1"/>
  <c r="J265" i="17"/>
  <c r="J264" i="17"/>
  <c r="J263" i="17"/>
  <c r="J262" i="17"/>
  <c r="K262" i="17" s="1"/>
  <c r="J261" i="17"/>
  <c r="J260" i="17"/>
  <c r="K260" i="17" s="1"/>
  <c r="J259" i="17"/>
  <c r="J258" i="17"/>
  <c r="K258" i="17" s="1"/>
  <c r="J257" i="17"/>
  <c r="J256" i="17"/>
  <c r="J255" i="17"/>
  <c r="J254" i="17"/>
  <c r="J253" i="17"/>
  <c r="J252" i="17"/>
  <c r="K252" i="17" s="1"/>
  <c r="J251" i="17"/>
  <c r="J250" i="17"/>
  <c r="K250" i="17" s="1"/>
  <c r="J249" i="17"/>
  <c r="J248" i="17"/>
  <c r="J247" i="17"/>
  <c r="J246" i="17"/>
  <c r="J245" i="17"/>
  <c r="J244" i="17"/>
  <c r="K244" i="17" s="1"/>
  <c r="J243" i="17"/>
  <c r="J242" i="17"/>
  <c r="J241" i="17"/>
  <c r="J240" i="17"/>
  <c r="K240" i="17" s="1"/>
  <c r="J239" i="17"/>
  <c r="J238" i="17"/>
  <c r="K238" i="17" s="1"/>
  <c r="J237" i="17"/>
  <c r="J236" i="17"/>
  <c r="K236" i="17" s="1"/>
  <c r="J235" i="17"/>
  <c r="J234" i="17"/>
  <c r="K234" i="17" s="1"/>
  <c r="J233" i="17"/>
  <c r="J232" i="17"/>
  <c r="J231" i="17"/>
  <c r="J230" i="17"/>
  <c r="J229" i="17"/>
  <c r="J228" i="17"/>
  <c r="K228" i="17" s="1"/>
  <c r="J227" i="17"/>
  <c r="J226" i="17"/>
  <c r="K226" i="17" s="1"/>
  <c r="J225" i="17"/>
  <c r="J224" i="17"/>
  <c r="J223" i="17"/>
  <c r="J222" i="17"/>
  <c r="J221" i="17"/>
  <c r="J220" i="17"/>
  <c r="K220" i="17" s="1"/>
  <c r="J219" i="17"/>
  <c r="J218" i="17"/>
  <c r="K218" i="17" s="1"/>
  <c r="J217" i="17"/>
  <c r="J216" i="17"/>
  <c r="K216" i="17" s="1"/>
  <c r="J215" i="17"/>
  <c r="J214" i="17"/>
  <c r="J213" i="17"/>
  <c r="J212" i="17"/>
  <c r="K212" i="17" s="1"/>
  <c r="J211" i="17"/>
  <c r="J210" i="17"/>
  <c r="K210" i="17" s="1"/>
  <c r="J209" i="17"/>
  <c r="J208" i="17"/>
  <c r="K208" i="17" s="1"/>
  <c r="J207" i="17"/>
  <c r="J206" i="17"/>
  <c r="J205" i="17"/>
  <c r="J204" i="17"/>
  <c r="K204" i="17" s="1"/>
  <c r="J203" i="17"/>
  <c r="J202" i="17"/>
  <c r="K202" i="17" s="1"/>
  <c r="J201" i="17"/>
  <c r="J200" i="17"/>
  <c r="K200" i="17" s="1"/>
  <c r="J199" i="17"/>
  <c r="J198" i="17"/>
  <c r="J197" i="17"/>
  <c r="J196" i="17"/>
  <c r="K196" i="17" s="1"/>
  <c r="J195" i="17"/>
  <c r="J194" i="17"/>
  <c r="K194" i="17" s="1"/>
  <c r="J193" i="17"/>
  <c r="J192" i="17"/>
  <c r="K192" i="17" s="1"/>
  <c r="J191" i="17"/>
  <c r="J190" i="17"/>
  <c r="K190" i="17" s="1"/>
  <c r="J189" i="17"/>
  <c r="J188" i="17"/>
  <c r="K188" i="17" s="1"/>
  <c r="J187" i="17"/>
  <c r="J186" i="17"/>
  <c r="K186" i="17" s="1"/>
  <c r="J185" i="17"/>
  <c r="J184" i="17"/>
  <c r="K184" i="17" s="1"/>
  <c r="J183" i="17"/>
  <c r="J182" i="17"/>
  <c r="K182" i="17" s="1"/>
  <c r="J181" i="17"/>
  <c r="J180" i="17"/>
  <c r="J179" i="17"/>
  <c r="J178" i="17"/>
  <c r="J177" i="17"/>
  <c r="K177" i="17" s="1"/>
  <c r="J176" i="17"/>
  <c r="K176" i="17" s="1"/>
  <c r="J175" i="17"/>
  <c r="J174" i="17"/>
  <c r="J173" i="17"/>
  <c r="J172" i="17"/>
  <c r="K172" i="17" s="1"/>
  <c r="J171" i="17"/>
  <c r="J170" i="17"/>
  <c r="K170" i="17" s="1"/>
  <c r="J169" i="17"/>
  <c r="J168" i="17"/>
  <c r="K168" i="17" s="1"/>
  <c r="J167" i="17"/>
  <c r="J166" i="17"/>
  <c r="J165" i="17"/>
  <c r="J164" i="17"/>
  <c r="K164" i="17" s="1"/>
  <c r="J163" i="17"/>
  <c r="J162" i="17"/>
  <c r="K162" i="17" s="1"/>
  <c r="J161" i="17"/>
  <c r="K161" i="17" s="1"/>
  <c r="J160" i="17"/>
  <c r="K160" i="17" s="1"/>
  <c r="J159" i="17"/>
  <c r="J158" i="17"/>
  <c r="J157" i="17"/>
  <c r="J156" i="17"/>
  <c r="K156" i="17" s="1"/>
  <c r="J155" i="17"/>
  <c r="J154" i="17"/>
  <c r="K154" i="17" s="1"/>
  <c r="J153" i="17"/>
  <c r="K153" i="17" s="1"/>
  <c r="J152" i="17"/>
  <c r="K152" i="17" s="1"/>
  <c r="J151" i="17"/>
  <c r="J150" i="17"/>
  <c r="K150" i="17" s="1"/>
  <c r="J149" i="17"/>
  <c r="J148" i="17"/>
  <c r="K148" i="17" s="1"/>
  <c r="J147" i="17"/>
  <c r="J146" i="17"/>
  <c r="K146" i="17" s="1"/>
  <c r="J145" i="17"/>
  <c r="J144" i="17"/>
  <c r="K144" i="17" s="1"/>
  <c r="J143" i="17"/>
  <c r="J142" i="17"/>
  <c r="K142" i="17" s="1"/>
  <c r="J141" i="17"/>
  <c r="J140" i="17"/>
  <c r="K140" i="17" s="1"/>
  <c r="J139" i="17"/>
  <c r="J138" i="17"/>
  <c r="K138" i="17" s="1"/>
  <c r="J137" i="17"/>
  <c r="K137" i="17" s="1"/>
  <c r="J136" i="17"/>
  <c r="K136" i="17" s="1"/>
  <c r="J135" i="17"/>
  <c r="J134" i="17"/>
  <c r="J133" i="17"/>
  <c r="J132" i="17"/>
  <c r="K132" i="17" s="1"/>
  <c r="J131" i="17"/>
  <c r="J130" i="17"/>
  <c r="K130" i="17" s="1"/>
  <c r="J129" i="17"/>
  <c r="K129" i="17" s="1"/>
  <c r="J128" i="17"/>
  <c r="K128" i="17" s="1"/>
  <c r="J127" i="17"/>
  <c r="J126" i="17"/>
  <c r="J125" i="17"/>
  <c r="J124" i="17"/>
  <c r="K124" i="17" s="1"/>
  <c r="J123" i="17"/>
  <c r="J122" i="17"/>
  <c r="K122" i="17" s="1"/>
  <c r="J121" i="17"/>
  <c r="K121" i="17" s="1"/>
  <c r="J120" i="17"/>
  <c r="K120" i="17" s="1"/>
  <c r="J119" i="17"/>
  <c r="J118" i="17"/>
  <c r="J117" i="17"/>
  <c r="J116" i="17"/>
  <c r="K116" i="17" s="1"/>
  <c r="J115" i="17"/>
  <c r="J114" i="17"/>
  <c r="J113" i="17"/>
  <c r="J112" i="17"/>
  <c r="K112" i="17" s="1"/>
  <c r="J111" i="17"/>
  <c r="J110" i="17"/>
  <c r="K110" i="17" s="1"/>
  <c r="J109" i="17"/>
  <c r="J108" i="17"/>
  <c r="K108" i="17" s="1"/>
  <c r="J107" i="17"/>
  <c r="J106" i="17"/>
  <c r="K106" i="17" s="1"/>
  <c r="J105" i="17"/>
  <c r="K105" i="17" s="1"/>
  <c r="J104" i="17"/>
  <c r="J103" i="17"/>
  <c r="J102" i="17"/>
  <c r="K102" i="17" s="1"/>
  <c r="J101" i="17"/>
  <c r="J100" i="17"/>
  <c r="K100" i="17" s="1"/>
  <c r="J99" i="17"/>
  <c r="J98" i="17"/>
  <c r="K98" i="17" s="1"/>
  <c r="J97" i="17"/>
  <c r="J96" i="17"/>
  <c r="K96" i="17" s="1"/>
  <c r="J95" i="17"/>
  <c r="J94" i="17"/>
  <c r="K94" i="17" s="1"/>
  <c r="J93" i="17"/>
  <c r="J92" i="17"/>
  <c r="K92" i="17" s="1"/>
  <c r="J91" i="17"/>
  <c r="J90" i="17"/>
  <c r="K90" i="17" s="1"/>
  <c r="J89" i="17"/>
  <c r="K89" i="17" s="1"/>
  <c r="J88" i="17"/>
  <c r="K88" i="17" s="1"/>
  <c r="J87" i="17"/>
  <c r="J86" i="17"/>
  <c r="K86" i="17" s="1"/>
  <c r="J85" i="17"/>
  <c r="J84" i="17"/>
  <c r="K84" i="17" s="1"/>
  <c r="J83" i="17"/>
  <c r="J82" i="17"/>
  <c r="K82" i="17" s="1"/>
  <c r="J81" i="17"/>
  <c r="J80" i="17"/>
  <c r="K80" i="17" s="1"/>
  <c r="J79" i="17"/>
  <c r="J78" i="17"/>
  <c r="K78" i="17" s="1"/>
  <c r="J77" i="17"/>
  <c r="J76" i="17"/>
  <c r="K76" i="17" s="1"/>
  <c r="J75" i="17"/>
  <c r="J74" i="17"/>
  <c r="K74" i="17" s="1"/>
  <c r="J73" i="17"/>
  <c r="K73" i="17" s="1"/>
  <c r="J72" i="17"/>
  <c r="K72" i="17" s="1"/>
  <c r="J71" i="17"/>
  <c r="J70" i="17"/>
  <c r="J69" i="17"/>
  <c r="J68" i="17"/>
  <c r="K68" i="17" s="1"/>
  <c r="J67" i="17"/>
  <c r="J66" i="17"/>
  <c r="K66" i="17" s="1"/>
  <c r="J65" i="17"/>
  <c r="J64" i="17"/>
  <c r="K64" i="17" s="1"/>
  <c r="J63" i="17"/>
  <c r="J62" i="17"/>
  <c r="K62" i="17" s="1"/>
  <c r="J61" i="17"/>
  <c r="J60" i="17"/>
  <c r="K60" i="17" s="1"/>
  <c r="J59" i="17"/>
  <c r="J58" i="17"/>
  <c r="K58" i="17" s="1"/>
  <c r="J57" i="17"/>
  <c r="K57" i="17" s="1"/>
  <c r="J56" i="17"/>
  <c r="K56" i="17" s="1"/>
  <c r="J55" i="17"/>
  <c r="J54" i="17"/>
  <c r="K54" i="17" s="1"/>
  <c r="J53" i="17"/>
  <c r="J52" i="17"/>
  <c r="K52" i="17" s="1"/>
  <c r="J51" i="17"/>
  <c r="J50" i="17"/>
  <c r="K50" i="17" s="1"/>
  <c r="J49" i="17"/>
  <c r="J48" i="17"/>
  <c r="K48" i="17" s="1"/>
  <c r="J47" i="17"/>
  <c r="J46" i="17"/>
  <c r="K46" i="17" s="1"/>
  <c r="J45" i="17"/>
  <c r="J44" i="17"/>
  <c r="K44" i="17" s="1"/>
  <c r="J43" i="17"/>
  <c r="J42" i="17"/>
  <c r="K42" i="17" s="1"/>
  <c r="J41" i="17"/>
  <c r="J40" i="17"/>
  <c r="K40" i="17" s="1"/>
  <c r="J39" i="17"/>
  <c r="J38" i="17"/>
  <c r="K38" i="17" s="1"/>
  <c r="J37" i="17"/>
  <c r="J36" i="17"/>
  <c r="K36" i="17" s="1"/>
  <c r="J35" i="17"/>
  <c r="J34" i="17"/>
  <c r="K34" i="17" s="1"/>
  <c r="J33" i="17"/>
  <c r="K33" i="17" s="1"/>
  <c r="J32" i="17"/>
  <c r="K32" i="17" s="1"/>
  <c r="J31" i="17"/>
  <c r="J30" i="17"/>
  <c r="K30" i="17" s="1"/>
  <c r="J29" i="17"/>
  <c r="K29" i="17" s="1"/>
  <c r="J28" i="17"/>
  <c r="K28" i="17" s="1"/>
  <c r="J27" i="17"/>
  <c r="J26" i="17"/>
  <c r="K26" i="17" s="1"/>
  <c r="J25" i="17"/>
  <c r="J24" i="17"/>
  <c r="K24" i="17" s="1"/>
  <c r="J23" i="17"/>
  <c r="J22" i="17"/>
  <c r="K22" i="17" s="1"/>
  <c r="J21" i="17"/>
  <c r="K21" i="17" s="1"/>
  <c r="J20" i="17"/>
  <c r="K20" i="17" s="1"/>
  <c r="J19" i="17"/>
  <c r="J18" i="17"/>
  <c r="K18" i="17" s="1"/>
  <c r="J17" i="17"/>
  <c r="K17" i="17" s="1"/>
  <c r="J16" i="17"/>
  <c r="K16" i="17" s="1"/>
  <c r="J15" i="17"/>
  <c r="J14" i="17"/>
  <c r="J13" i="17"/>
  <c r="J12" i="17"/>
  <c r="K12" i="17" s="1"/>
  <c r="J11" i="17"/>
  <c r="J10" i="17"/>
  <c r="K10" i="17" s="1"/>
  <c r="J9" i="17"/>
  <c r="K9" i="17" s="1"/>
  <c r="J8" i="17"/>
  <c r="K8" i="17" s="1"/>
  <c r="J7" i="17"/>
  <c r="K14" i="17"/>
  <c r="K70" i="17"/>
  <c r="K118" i="17"/>
  <c r="K126" i="17"/>
  <c r="K134" i="17"/>
  <c r="K158" i="17"/>
  <c r="K198" i="17"/>
  <c r="K206" i="17"/>
  <c r="K214" i="17"/>
  <c r="K230" i="17"/>
  <c r="K246" i="17"/>
  <c r="K286" i="17"/>
  <c r="K294" i="17"/>
  <c r="K302" i="17"/>
  <c r="K242" i="17"/>
  <c r="K178" i="17"/>
  <c r="J6" i="19"/>
  <c r="A19" i="13"/>
  <c r="A18" i="13"/>
  <c r="A17" i="13"/>
  <c r="A16" i="13"/>
  <c r="A15" i="13"/>
  <c r="A14" i="13"/>
  <c r="A6" i="13"/>
  <c r="A11" i="13"/>
  <c r="A13" i="13"/>
  <c r="A12" i="13"/>
  <c r="A7" i="13"/>
  <c r="A9" i="13"/>
  <c r="A8" i="13"/>
  <c r="A10" i="13"/>
  <c r="K305" i="19"/>
  <c r="I305" i="19"/>
  <c r="K304" i="19"/>
  <c r="I304" i="19"/>
  <c r="K303" i="19"/>
  <c r="I303" i="19"/>
  <c r="I302" i="19"/>
  <c r="I301" i="19"/>
  <c r="I300" i="19"/>
  <c r="K299" i="19"/>
  <c r="I299" i="19"/>
  <c r="I298" i="19"/>
  <c r="K297" i="19"/>
  <c r="I297" i="19"/>
  <c r="K296" i="19"/>
  <c r="I296" i="19"/>
  <c r="K295" i="19"/>
  <c r="I295" i="19"/>
  <c r="I294" i="19"/>
  <c r="I293" i="19"/>
  <c r="I292" i="19"/>
  <c r="I291" i="19"/>
  <c r="I290" i="19"/>
  <c r="K289" i="19"/>
  <c r="I289" i="19"/>
  <c r="K288" i="19"/>
  <c r="I288" i="19"/>
  <c r="K287" i="19"/>
  <c r="I287" i="19"/>
  <c r="K286" i="19"/>
  <c r="I286" i="19"/>
  <c r="I285" i="19"/>
  <c r="I284" i="19"/>
  <c r="I283" i="19"/>
  <c r="I282" i="19"/>
  <c r="K281" i="19"/>
  <c r="I281" i="19"/>
  <c r="K280" i="19"/>
  <c r="I280" i="19"/>
  <c r="K279" i="19"/>
  <c r="I279" i="19"/>
  <c r="I278" i="19"/>
  <c r="I277" i="19"/>
  <c r="I276" i="19"/>
  <c r="I275" i="19"/>
  <c r="I274" i="19"/>
  <c r="K273" i="19"/>
  <c r="I273" i="19"/>
  <c r="K272" i="19"/>
  <c r="I272" i="19"/>
  <c r="K271" i="19"/>
  <c r="I271" i="19"/>
  <c r="I270" i="19"/>
  <c r="K269" i="19"/>
  <c r="I269" i="19"/>
  <c r="I268" i="19"/>
  <c r="I267" i="19"/>
  <c r="I266" i="19"/>
  <c r="K265" i="19"/>
  <c r="I265" i="19"/>
  <c r="K264" i="19"/>
  <c r="I264" i="19"/>
  <c r="K263" i="19"/>
  <c r="I263" i="19"/>
  <c r="I262" i="19"/>
  <c r="K261" i="19"/>
  <c r="I261" i="19"/>
  <c r="I260" i="19"/>
  <c r="I259" i="19"/>
  <c r="I258" i="19"/>
  <c r="K257" i="19"/>
  <c r="I257" i="19"/>
  <c r="K256" i="19"/>
  <c r="I256" i="19"/>
  <c r="K255" i="19"/>
  <c r="I255" i="19"/>
  <c r="I254" i="19"/>
  <c r="I253" i="19"/>
  <c r="I252" i="19"/>
  <c r="I251" i="19"/>
  <c r="I250" i="19"/>
  <c r="K249" i="19"/>
  <c r="I249" i="19"/>
  <c r="K248" i="19"/>
  <c r="I248" i="19"/>
  <c r="K247" i="19"/>
  <c r="I247" i="19"/>
  <c r="I246" i="19"/>
  <c r="I245" i="19"/>
  <c r="K244" i="19"/>
  <c r="I244" i="19"/>
  <c r="I243" i="19"/>
  <c r="I242" i="19"/>
  <c r="K241" i="19"/>
  <c r="I241" i="19"/>
  <c r="K240" i="19"/>
  <c r="I240" i="19"/>
  <c r="K239" i="19"/>
  <c r="I239" i="19"/>
  <c r="I238" i="19"/>
  <c r="I237" i="19"/>
  <c r="I236" i="19"/>
  <c r="I235" i="19"/>
  <c r="I234" i="19"/>
  <c r="K233" i="19"/>
  <c r="I233" i="19"/>
  <c r="K232" i="19"/>
  <c r="I232" i="19"/>
  <c r="K231" i="19"/>
  <c r="I231" i="19"/>
  <c r="I230" i="19"/>
  <c r="I229" i="19"/>
  <c r="I228" i="19"/>
  <c r="I227" i="19"/>
  <c r="I226" i="19"/>
  <c r="K225" i="19"/>
  <c r="I225" i="19"/>
  <c r="K224" i="19"/>
  <c r="I224" i="19"/>
  <c r="K223" i="19"/>
  <c r="I223" i="19"/>
  <c r="K222" i="19"/>
  <c r="I222" i="19"/>
  <c r="I221" i="19"/>
  <c r="I220" i="19"/>
  <c r="I219" i="19"/>
  <c r="I218" i="19"/>
  <c r="K217" i="19"/>
  <c r="I217" i="19"/>
  <c r="K216" i="19"/>
  <c r="I216" i="19"/>
  <c r="K215" i="19"/>
  <c r="I215" i="19"/>
  <c r="I214" i="19"/>
  <c r="I213" i="19"/>
  <c r="I212" i="19"/>
  <c r="I211" i="19"/>
  <c r="I210" i="19"/>
  <c r="K209" i="19"/>
  <c r="I209" i="19"/>
  <c r="K208" i="19"/>
  <c r="I208" i="19"/>
  <c r="K207" i="19"/>
  <c r="I207" i="19"/>
  <c r="I206" i="19"/>
  <c r="K205" i="19"/>
  <c r="I205" i="19"/>
  <c r="I204" i="19"/>
  <c r="K203" i="19"/>
  <c r="I203" i="19"/>
  <c r="I202" i="19"/>
  <c r="K201" i="19"/>
  <c r="I201" i="19"/>
  <c r="K200" i="19"/>
  <c r="I200" i="19"/>
  <c r="K199" i="19"/>
  <c r="I199" i="19"/>
  <c r="I198" i="19"/>
  <c r="K197" i="19"/>
  <c r="I197" i="19"/>
  <c r="I196" i="19"/>
  <c r="I195" i="19"/>
  <c r="I194" i="19"/>
  <c r="K193" i="19"/>
  <c r="I193" i="19"/>
  <c r="K192" i="19"/>
  <c r="I192" i="19"/>
  <c r="K191" i="19"/>
  <c r="I191" i="19"/>
  <c r="I190" i="19"/>
  <c r="I189" i="19"/>
  <c r="K188" i="19"/>
  <c r="I188" i="19"/>
  <c r="I187" i="19"/>
  <c r="I186" i="19"/>
  <c r="K185" i="19"/>
  <c r="I185" i="19"/>
  <c r="K184" i="19"/>
  <c r="I184" i="19"/>
  <c r="K183" i="19"/>
  <c r="I183" i="19"/>
  <c r="I182" i="19"/>
  <c r="I181" i="19"/>
  <c r="I180" i="19"/>
  <c r="I179" i="19"/>
  <c r="I178" i="19"/>
  <c r="K177" i="19"/>
  <c r="I177" i="19"/>
  <c r="K176" i="19"/>
  <c r="I176" i="19"/>
  <c r="K175" i="19"/>
  <c r="I175" i="19"/>
  <c r="I174" i="19"/>
  <c r="I173" i="19"/>
  <c r="I172" i="19"/>
  <c r="I171" i="19"/>
  <c r="I170" i="19"/>
  <c r="K169" i="19"/>
  <c r="I169" i="19"/>
  <c r="K168" i="19"/>
  <c r="I168" i="19"/>
  <c r="K167" i="19"/>
  <c r="I167" i="19"/>
  <c r="I166" i="19"/>
  <c r="I165" i="19"/>
  <c r="I164" i="19"/>
  <c r="K163" i="19"/>
  <c r="I163" i="19"/>
  <c r="I162" i="19"/>
  <c r="K161" i="19"/>
  <c r="I161" i="19"/>
  <c r="K160" i="19"/>
  <c r="I160" i="19"/>
  <c r="K159" i="19"/>
  <c r="I159" i="19"/>
  <c r="K158" i="19"/>
  <c r="I158" i="19"/>
  <c r="I157" i="19"/>
  <c r="I156" i="19"/>
  <c r="I155" i="19"/>
  <c r="I154" i="19"/>
  <c r="K153" i="19"/>
  <c r="I153" i="19"/>
  <c r="K152" i="19"/>
  <c r="I152" i="19"/>
  <c r="K151" i="19"/>
  <c r="I151" i="19"/>
  <c r="I150" i="19"/>
  <c r="I149" i="19"/>
  <c r="I148" i="19"/>
  <c r="I147" i="19"/>
  <c r="I146" i="19"/>
  <c r="K145" i="19"/>
  <c r="I145" i="19"/>
  <c r="K144" i="19"/>
  <c r="I144" i="19"/>
  <c r="K143" i="19"/>
  <c r="I143" i="19"/>
  <c r="I142" i="19"/>
  <c r="K141" i="19"/>
  <c r="I141" i="19"/>
  <c r="I140" i="19"/>
  <c r="I139" i="19"/>
  <c r="I138" i="19"/>
  <c r="K137" i="19"/>
  <c r="I137" i="19"/>
  <c r="K136" i="19"/>
  <c r="I136" i="19"/>
  <c r="K135" i="19"/>
  <c r="I135" i="19"/>
  <c r="I134" i="19"/>
  <c r="K133" i="19"/>
  <c r="I133" i="19"/>
  <c r="I132" i="19"/>
  <c r="I131" i="19"/>
  <c r="I130" i="19"/>
  <c r="K129" i="19"/>
  <c r="I129" i="19"/>
  <c r="K128" i="19"/>
  <c r="I128" i="19"/>
  <c r="K127" i="19"/>
  <c r="I127" i="19"/>
  <c r="I126" i="19"/>
  <c r="K125" i="19"/>
  <c r="I125" i="19"/>
  <c r="I124" i="19"/>
  <c r="K123" i="19"/>
  <c r="I123" i="19"/>
  <c r="I122" i="19"/>
  <c r="K121" i="19"/>
  <c r="I121" i="19"/>
  <c r="K120" i="19"/>
  <c r="I120" i="19"/>
  <c r="K119" i="19"/>
  <c r="I119" i="19"/>
  <c r="I118" i="19"/>
  <c r="I117" i="19"/>
  <c r="I116" i="19"/>
  <c r="I115" i="19"/>
  <c r="I114" i="19"/>
  <c r="K113" i="19"/>
  <c r="I113" i="19"/>
  <c r="K112" i="19"/>
  <c r="I112" i="19"/>
  <c r="K111" i="19"/>
  <c r="I111" i="19"/>
  <c r="I110" i="19"/>
  <c r="I109" i="19"/>
  <c r="K108" i="19"/>
  <c r="I108" i="19"/>
  <c r="I107" i="19"/>
  <c r="I106" i="19"/>
  <c r="K105" i="19"/>
  <c r="I105" i="19"/>
  <c r="K104" i="19"/>
  <c r="I104" i="19"/>
  <c r="K103" i="19"/>
  <c r="I103" i="19"/>
  <c r="I102" i="19"/>
  <c r="I101" i="19"/>
  <c r="I100" i="19"/>
  <c r="I99" i="19"/>
  <c r="I98" i="19"/>
  <c r="K97" i="19"/>
  <c r="I97" i="19"/>
  <c r="K96" i="19"/>
  <c r="I96" i="19"/>
  <c r="K95" i="19"/>
  <c r="I95" i="19"/>
  <c r="I94" i="19"/>
  <c r="I93" i="19"/>
  <c r="I92" i="19"/>
  <c r="I91" i="19"/>
  <c r="I90" i="19"/>
  <c r="K89" i="19"/>
  <c r="I89" i="19"/>
  <c r="K88" i="19"/>
  <c r="I88" i="19"/>
  <c r="K87" i="19"/>
  <c r="I87" i="19"/>
  <c r="K86" i="19"/>
  <c r="I86" i="19"/>
  <c r="I85" i="19"/>
  <c r="I84" i="19"/>
  <c r="I83" i="19"/>
  <c r="I82" i="19"/>
  <c r="K81" i="19"/>
  <c r="I81" i="19"/>
  <c r="K80" i="19"/>
  <c r="I80" i="19"/>
  <c r="K79" i="19"/>
  <c r="I79" i="19"/>
  <c r="I78" i="19"/>
  <c r="I77" i="19"/>
  <c r="I76" i="19"/>
  <c r="I75" i="19"/>
  <c r="I74" i="19"/>
  <c r="K73" i="19"/>
  <c r="I73" i="19"/>
  <c r="K72" i="19"/>
  <c r="I72" i="19"/>
  <c r="K71" i="19"/>
  <c r="I71" i="19"/>
  <c r="I70" i="19"/>
  <c r="K69" i="19"/>
  <c r="I69" i="19"/>
  <c r="I68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K61" i="19"/>
  <c r="I61" i="19"/>
  <c r="B61" i="19"/>
  <c r="I60" i="19"/>
  <c r="B60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I54" i="19"/>
  <c r="B54" i="19"/>
  <c r="I53" i="19"/>
  <c r="B53" i="19"/>
  <c r="K52" i="19"/>
  <c r="I52" i="19"/>
  <c r="B52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I46" i="19"/>
  <c r="B46" i="19"/>
  <c r="I45" i="19"/>
  <c r="B45" i="19"/>
  <c r="I44" i="19"/>
  <c r="B44" i="19"/>
  <c r="K43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I38" i="19"/>
  <c r="B38" i="19"/>
  <c r="K37" i="19"/>
  <c r="I37" i="19"/>
  <c r="B37" i="19"/>
  <c r="I36" i="19"/>
  <c r="B36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I30" i="19"/>
  <c r="B30" i="19"/>
  <c r="I29" i="19"/>
  <c r="B29" i="19"/>
  <c r="K28" i="19"/>
  <c r="I28" i="19"/>
  <c r="B28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I22" i="19"/>
  <c r="B22" i="19"/>
  <c r="I21" i="19"/>
  <c r="B21" i="19"/>
  <c r="I20" i="19"/>
  <c r="B20" i="19"/>
  <c r="I19" i="19"/>
  <c r="B19" i="19"/>
  <c r="I18" i="19"/>
  <c r="B18" i="19"/>
  <c r="K17" i="19"/>
  <c r="I17" i="19"/>
  <c r="K16" i="19"/>
  <c r="I16" i="19"/>
  <c r="K15" i="19"/>
  <c r="I15" i="19"/>
  <c r="AJ14" i="19"/>
  <c r="I14" i="19"/>
  <c r="AJ13" i="19"/>
  <c r="I13" i="19"/>
  <c r="AJ12" i="19"/>
  <c r="AJ16" i="19" s="1"/>
  <c r="I12" i="19"/>
  <c r="I11" i="19"/>
  <c r="I10" i="19"/>
  <c r="K9" i="19"/>
  <c r="I9" i="19"/>
  <c r="K8" i="19"/>
  <c r="I8" i="19"/>
  <c r="K7" i="19"/>
  <c r="I7" i="19"/>
  <c r="K6" i="19"/>
  <c r="L2" i="19"/>
  <c r="K2" i="19"/>
  <c r="K305" i="18"/>
  <c r="I305" i="18"/>
  <c r="M305" i="18" s="1"/>
  <c r="K304" i="18"/>
  <c r="I304" i="18"/>
  <c r="M304" i="18" s="1"/>
  <c r="I303" i="18"/>
  <c r="M303" i="18" s="1"/>
  <c r="I302" i="18"/>
  <c r="M302" i="18" s="1"/>
  <c r="K301" i="18"/>
  <c r="I301" i="18"/>
  <c r="M301" i="18" s="1"/>
  <c r="I300" i="18"/>
  <c r="M300" i="18" s="1"/>
  <c r="K299" i="18"/>
  <c r="I299" i="18"/>
  <c r="M299" i="18" s="1"/>
  <c r="I298" i="18"/>
  <c r="M298" i="18" s="1"/>
  <c r="I297" i="18"/>
  <c r="M297" i="18" s="1"/>
  <c r="I296" i="18"/>
  <c r="M296" i="18" s="1"/>
  <c r="K295" i="18"/>
  <c r="I295" i="18"/>
  <c r="M295" i="18" s="1"/>
  <c r="I294" i="18"/>
  <c r="M294" i="18" s="1"/>
  <c r="I293" i="18"/>
  <c r="M293" i="18" s="1"/>
  <c r="I292" i="18"/>
  <c r="M292" i="18" s="1"/>
  <c r="K291" i="18"/>
  <c r="I291" i="18"/>
  <c r="M291" i="18" s="1"/>
  <c r="I290" i="18"/>
  <c r="M290" i="18" s="1"/>
  <c r="I289" i="18"/>
  <c r="M289" i="18" s="1"/>
  <c r="I288" i="18"/>
  <c r="M288" i="18" s="1"/>
  <c r="I287" i="18"/>
  <c r="M287" i="18" s="1"/>
  <c r="I286" i="18"/>
  <c r="M286" i="18" s="1"/>
  <c r="I285" i="18"/>
  <c r="M285" i="18" s="1"/>
  <c r="I284" i="18"/>
  <c r="M284" i="18" s="1"/>
  <c r="I283" i="18"/>
  <c r="M283" i="18" s="1"/>
  <c r="I282" i="18"/>
  <c r="M282" i="18" s="1"/>
  <c r="K281" i="18"/>
  <c r="I281" i="18"/>
  <c r="M281" i="18" s="1"/>
  <c r="I280" i="18"/>
  <c r="M280" i="18" s="1"/>
  <c r="I279" i="18"/>
  <c r="M279" i="18" s="1"/>
  <c r="I278" i="18"/>
  <c r="M278" i="18" s="1"/>
  <c r="I277" i="18"/>
  <c r="M277" i="18" s="1"/>
  <c r="I276" i="18"/>
  <c r="M276" i="18" s="1"/>
  <c r="I275" i="18"/>
  <c r="M275" i="18" s="1"/>
  <c r="I274" i="18"/>
  <c r="M274" i="18" s="1"/>
  <c r="I273" i="18"/>
  <c r="M273" i="18" s="1"/>
  <c r="K272" i="18"/>
  <c r="I272" i="18"/>
  <c r="M272" i="18" s="1"/>
  <c r="I271" i="18"/>
  <c r="M271" i="18" s="1"/>
  <c r="I270" i="18"/>
  <c r="M270" i="18" s="1"/>
  <c r="K269" i="18"/>
  <c r="I269" i="18"/>
  <c r="M269" i="18" s="1"/>
  <c r="I268" i="18"/>
  <c r="M268" i="18" s="1"/>
  <c r="K267" i="18"/>
  <c r="I267" i="18"/>
  <c r="M267" i="18" s="1"/>
  <c r="I266" i="18"/>
  <c r="M266" i="18" s="1"/>
  <c r="I265" i="18"/>
  <c r="M265" i="18" s="1"/>
  <c r="I264" i="18"/>
  <c r="M264" i="18" s="1"/>
  <c r="I263" i="18"/>
  <c r="M263" i="18" s="1"/>
  <c r="I262" i="18"/>
  <c r="M262" i="18" s="1"/>
  <c r="K261" i="18"/>
  <c r="I261" i="18"/>
  <c r="M261" i="18" s="1"/>
  <c r="I260" i="18"/>
  <c r="M260" i="18" s="1"/>
  <c r="K259" i="18"/>
  <c r="I259" i="18"/>
  <c r="M259" i="18" s="1"/>
  <c r="I258" i="18"/>
  <c r="M258" i="18" s="1"/>
  <c r="K257" i="18"/>
  <c r="I257" i="18"/>
  <c r="M257" i="18" s="1"/>
  <c r="I256" i="18"/>
  <c r="M256" i="18" s="1"/>
  <c r="I255" i="18"/>
  <c r="M255" i="18" s="1"/>
  <c r="I254" i="18"/>
  <c r="M254" i="18" s="1"/>
  <c r="I253" i="18"/>
  <c r="M253" i="18" s="1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I247" i="18"/>
  <c r="M247" i="18" s="1"/>
  <c r="I246" i="18"/>
  <c r="M246" i="18" s="1"/>
  <c r="I245" i="18"/>
  <c r="M245" i="18" s="1"/>
  <c r="I244" i="18"/>
  <c r="M244" i="18" s="1"/>
  <c r="I243" i="18"/>
  <c r="M243" i="18" s="1"/>
  <c r="I242" i="18"/>
  <c r="M242" i="18" s="1"/>
  <c r="K241" i="18"/>
  <c r="I241" i="18"/>
  <c r="M241" i="18" s="1"/>
  <c r="K240" i="18"/>
  <c r="I240" i="18"/>
  <c r="M240" i="18" s="1"/>
  <c r="I239" i="18"/>
  <c r="M239" i="18" s="1"/>
  <c r="I238" i="18"/>
  <c r="M238" i="18" s="1"/>
  <c r="I237" i="18"/>
  <c r="M237" i="18" s="1"/>
  <c r="I236" i="18"/>
  <c r="M236" i="18" s="1"/>
  <c r="K235" i="18"/>
  <c r="I235" i="18"/>
  <c r="M235" i="18" s="1"/>
  <c r="I234" i="18"/>
  <c r="M234" i="18" s="1"/>
  <c r="I233" i="18"/>
  <c r="M233" i="18" s="1"/>
  <c r="I232" i="18"/>
  <c r="M232" i="18" s="1"/>
  <c r="I231" i="18"/>
  <c r="M231" i="18" s="1"/>
  <c r="I230" i="18"/>
  <c r="M230" i="18" s="1"/>
  <c r="I229" i="18"/>
  <c r="M229" i="18" s="1"/>
  <c r="I228" i="18"/>
  <c r="M228" i="18" s="1"/>
  <c r="K227" i="18"/>
  <c r="I227" i="18"/>
  <c r="M227" i="18" s="1"/>
  <c r="I226" i="18"/>
  <c r="M226" i="18" s="1"/>
  <c r="I225" i="18"/>
  <c r="M225" i="18" s="1"/>
  <c r="I224" i="18"/>
  <c r="M224" i="18" s="1"/>
  <c r="I223" i="18"/>
  <c r="M223" i="18" s="1"/>
  <c r="I222" i="18"/>
  <c r="M222" i="18" s="1"/>
  <c r="I221" i="18"/>
  <c r="M221" i="18" s="1"/>
  <c r="I220" i="18"/>
  <c r="M220" i="18" s="1"/>
  <c r="I219" i="18"/>
  <c r="M219" i="18" s="1"/>
  <c r="I218" i="18"/>
  <c r="M218" i="18" s="1"/>
  <c r="K217" i="18"/>
  <c r="I217" i="18"/>
  <c r="M217" i="18" s="1"/>
  <c r="I216" i="18"/>
  <c r="M216" i="18" s="1"/>
  <c r="I215" i="18"/>
  <c r="M215" i="18" s="1"/>
  <c r="I214" i="18"/>
  <c r="M214" i="18" s="1"/>
  <c r="I213" i="18"/>
  <c r="M213" i="18" s="1"/>
  <c r="I212" i="18"/>
  <c r="M212" i="18" s="1"/>
  <c r="I211" i="18"/>
  <c r="M211" i="18" s="1"/>
  <c r="I210" i="18"/>
  <c r="M210" i="18" s="1"/>
  <c r="K209" i="18"/>
  <c r="I209" i="18"/>
  <c r="M209" i="18" s="1"/>
  <c r="K208" i="18"/>
  <c r="I208" i="18"/>
  <c r="M208" i="18" s="1"/>
  <c r="I207" i="18"/>
  <c r="M207" i="18" s="1"/>
  <c r="I206" i="18"/>
  <c r="M206" i="18" s="1"/>
  <c r="I205" i="18"/>
  <c r="M205" i="18" s="1"/>
  <c r="I204" i="18"/>
  <c r="M204" i="18" s="1"/>
  <c r="I203" i="18"/>
  <c r="M203" i="18" s="1"/>
  <c r="I202" i="18"/>
  <c r="M202" i="18" s="1"/>
  <c r="I201" i="18"/>
  <c r="M201" i="18" s="1"/>
  <c r="K200" i="18"/>
  <c r="I200" i="18"/>
  <c r="M200" i="18" s="1"/>
  <c r="I199" i="18"/>
  <c r="M199" i="18" s="1"/>
  <c r="I198" i="18"/>
  <c r="M198" i="18" s="1"/>
  <c r="I197" i="18"/>
  <c r="M197" i="18" s="1"/>
  <c r="I196" i="18"/>
  <c r="M196" i="18" s="1"/>
  <c r="K195" i="18"/>
  <c r="I195" i="18"/>
  <c r="M195" i="18" s="1"/>
  <c r="I194" i="18"/>
  <c r="M194" i="18" s="1"/>
  <c r="I193" i="18"/>
  <c r="M193" i="18" s="1"/>
  <c r="I192" i="18"/>
  <c r="M192" i="18" s="1"/>
  <c r="I191" i="18"/>
  <c r="M191" i="18" s="1"/>
  <c r="I190" i="18"/>
  <c r="M190" i="18" s="1"/>
  <c r="I189" i="18"/>
  <c r="M189" i="18" s="1"/>
  <c r="K188" i="18"/>
  <c r="I188" i="18"/>
  <c r="M188" i="18" s="1"/>
  <c r="K187" i="18"/>
  <c r="I187" i="18"/>
  <c r="M187" i="18" s="1"/>
  <c r="I186" i="18"/>
  <c r="M186" i="18" s="1"/>
  <c r="K185" i="18"/>
  <c r="I185" i="18"/>
  <c r="M185" i="18" s="1"/>
  <c r="I184" i="18"/>
  <c r="M184" i="18" s="1"/>
  <c r="I183" i="18"/>
  <c r="M183" i="18" s="1"/>
  <c r="I182" i="18"/>
  <c r="M182" i="18" s="1"/>
  <c r="I181" i="18"/>
  <c r="M181" i="18" s="1"/>
  <c r="I180" i="18"/>
  <c r="M180" i="18" s="1"/>
  <c r="K179" i="18"/>
  <c r="I179" i="18"/>
  <c r="M179" i="18" s="1"/>
  <c r="I178" i="18"/>
  <c r="M178" i="18" s="1"/>
  <c r="K177" i="18"/>
  <c r="I177" i="18"/>
  <c r="M177" i="18" s="1"/>
  <c r="K176" i="18"/>
  <c r="I176" i="18"/>
  <c r="M176" i="18" s="1"/>
  <c r="I175" i="18"/>
  <c r="M175" i="18" s="1"/>
  <c r="I174" i="18"/>
  <c r="M174" i="18" s="1"/>
  <c r="I173" i="18"/>
  <c r="M173" i="18" s="1"/>
  <c r="I172" i="18"/>
  <c r="M172" i="18" s="1"/>
  <c r="I171" i="18"/>
  <c r="M171" i="18" s="1"/>
  <c r="I170" i="18"/>
  <c r="M170" i="18" s="1"/>
  <c r="K169" i="18"/>
  <c r="I169" i="18"/>
  <c r="M169" i="18" s="1"/>
  <c r="K168" i="18"/>
  <c r="I168" i="18"/>
  <c r="M168" i="18" s="1"/>
  <c r="I167" i="18"/>
  <c r="M167" i="18" s="1"/>
  <c r="I166" i="18"/>
  <c r="M166" i="18" s="1"/>
  <c r="I165" i="18"/>
  <c r="M165" i="18" s="1"/>
  <c r="I164" i="18"/>
  <c r="M164" i="18" s="1"/>
  <c r="I163" i="18"/>
  <c r="M163" i="18" s="1"/>
  <c r="I162" i="18"/>
  <c r="M162" i="18" s="1"/>
  <c r="I161" i="18"/>
  <c r="M161" i="18" s="1"/>
  <c r="K160" i="18"/>
  <c r="I160" i="18"/>
  <c r="M160" i="18" s="1"/>
  <c r="I159" i="18"/>
  <c r="M159" i="18" s="1"/>
  <c r="I158" i="18"/>
  <c r="M158" i="18" s="1"/>
  <c r="I157" i="18"/>
  <c r="M157" i="18" s="1"/>
  <c r="I156" i="18"/>
  <c r="M156" i="18" s="1"/>
  <c r="K155" i="18"/>
  <c r="I155" i="18"/>
  <c r="M155" i="18" s="1"/>
  <c r="I154" i="18"/>
  <c r="M154" i="18" s="1"/>
  <c r="I153" i="18"/>
  <c r="M153" i="18" s="1"/>
  <c r="I152" i="18"/>
  <c r="M152" i="18" s="1"/>
  <c r="I151" i="18"/>
  <c r="M151" i="18" s="1"/>
  <c r="I150" i="18"/>
  <c r="M150" i="18" s="1"/>
  <c r="I149" i="18"/>
  <c r="M149" i="18" s="1"/>
  <c r="I148" i="18"/>
  <c r="M148" i="18" s="1"/>
  <c r="K147" i="18"/>
  <c r="I147" i="18"/>
  <c r="M147" i="18" s="1"/>
  <c r="I146" i="18"/>
  <c r="M146" i="18" s="1"/>
  <c r="K145" i="18"/>
  <c r="I145" i="18"/>
  <c r="M145" i="18" s="1"/>
  <c r="I144" i="18"/>
  <c r="M144" i="18" s="1"/>
  <c r="I143" i="18"/>
  <c r="M143" i="18" s="1"/>
  <c r="I142" i="18"/>
  <c r="M142" i="18" s="1"/>
  <c r="I141" i="18"/>
  <c r="M141" i="18" s="1"/>
  <c r="K140" i="18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I135" i="18"/>
  <c r="M135" i="18" s="1"/>
  <c r="I134" i="18"/>
  <c r="M134" i="18" s="1"/>
  <c r="I133" i="18"/>
  <c r="M133" i="18" s="1"/>
  <c r="I132" i="18"/>
  <c r="M132" i="18" s="1"/>
  <c r="I131" i="18"/>
  <c r="M131" i="18" s="1"/>
  <c r="I130" i="18"/>
  <c r="M130" i="18" s="1"/>
  <c r="K129" i="18"/>
  <c r="I129" i="18"/>
  <c r="M129" i="18" s="1"/>
  <c r="K128" i="18"/>
  <c r="I128" i="18"/>
  <c r="M128" i="18" s="1"/>
  <c r="I127" i="18"/>
  <c r="M127" i="18" s="1"/>
  <c r="I126" i="18"/>
  <c r="M126" i="18" s="1"/>
  <c r="I125" i="18"/>
  <c r="M125" i="18" s="1"/>
  <c r="I124" i="18"/>
  <c r="M124" i="18" s="1"/>
  <c r="K123" i="18"/>
  <c r="I123" i="18"/>
  <c r="M123" i="18" s="1"/>
  <c r="I122" i="18"/>
  <c r="M122" i="18" s="1"/>
  <c r="I121" i="18"/>
  <c r="M121" i="18" s="1"/>
  <c r="I120" i="18"/>
  <c r="M120" i="18" s="1"/>
  <c r="I119" i="18"/>
  <c r="M119" i="18" s="1"/>
  <c r="I118" i="18"/>
  <c r="M118" i="18" s="1"/>
  <c r="I117" i="18"/>
  <c r="M117" i="18" s="1"/>
  <c r="I116" i="18"/>
  <c r="M116" i="18" s="1"/>
  <c r="K115" i="18"/>
  <c r="I115" i="18"/>
  <c r="M115" i="18" s="1"/>
  <c r="I114" i="18"/>
  <c r="M114" i="18" s="1"/>
  <c r="I113" i="18"/>
  <c r="M113" i="18" s="1"/>
  <c r="I112" i="18"/>
  <c r="M112" i="18" s="1"/>
  <c r="I111" i="18"/>
  <c r="M111" i="18" s="1"/>
  <c r="I110" i="18"/>
  <c r="M110" i="18" s="1"/>
  <c r="I109" i="18"/>
  <c r="M109" i="18" s="1"/>
  <c r="K108" i="18"/>
  <c r="I108" i="18"/>
  <c r="M108" i="18" s="1"/>
  <c r="I107" i="18"/>
  <c r="M107" i="18" s="1"/>
  <c r="I106" i="18"/>
  <c r="M106" i="18" s="1"/>
  <c r="K105" i="18"/>
  <c r="I105" i="18"/>
  <c r="M105" i="18" s="1"/>
  <c r="I104" i="18"/>
  <c r="M104" i="18" s="1"/>
  <c r="I103" i="18"/>
  <c r="M103" i="18" s="1"/>
  <c r="I102" i="18"/>
  <c r="M102" i="18" s="1"/>
  <c r="I101" i="18"/>
  <c r="M101" i="18" s="1"/>
  <c r="I100" i="18"/>
  <c r="M100" i="18" s="1"/>
  <c r="I99" i="18"/>
  <c r="M99" i="18" s="1"/>
  <c r="I98" i="18"/>
  <c r="M98" i="18" s="1"/>
  <c r="K97" i="18"/>
  <c r="I97" i="18"/>
  <c r="M97" i="18" s="1"/>
  <c r="K96" i="18"/>
  <c r="I96" i="18"/>
  <c r="M96" i="18" s="1"/>
  <c r="I95" i="18"/>
  <c r="M95" i="18" s="1"/>
  <c r="I94" i="18"/>
  <c r="M94" i="18" s="1"/>
  <c r="I93" i="18"/>
  <c r="M93" i="18" s="1"/>
  <c r="I92" i="18"/>
  <c r="M92" i="18" s="1"/>
  <c r="I91" i="18"/>
  <c r="M91" i="18" s="1"/>
  <c r="I90" i="18"/>
  <c r="M90" i="18" s="1"/>
  <c r="I89" i="18"/>
  <c r="M89" i="18" s="1"/>
  <c r="K88" i="18"/>
  <c r="I88" i="18"/>
  <c r="M88" i="18" s="1"/>
  <c r="I87" i="18"/>
  <c r="M87" i="18" s="1"/>
  <c r="I86" i="18"/>
  <c r="M86" i="18" s="1"/>
  <c r="I85" i="18"/>
  <c r="M85" i="18" s="1"/>
  <c r="I84" i="18"/>
  <c r="M84" i="18" s="1"/>
  <c r="K83" i="18"/>
  <c r="I83" i="18"/>
  <c r="M83" i="18" s="1"/>
  <c r="I82" i="18"/>
  <c r="M82" i="18" s="1"/>
  <c r="I81" i="18"/>
  <c r="M81" i="18" s="1"/>
  <c r="I80" i="18"/>
  <c r="M80" i="18" s="1"/>
  <c r="I79" i="18"/>
  <c r="M79" i="18" s="1"/>
  <c r="I78" i="18"/>
  <c r="M78" i="18" s="1"/>
  <c r="I77" i="18"/>
  <c r="M77" i="18" s="1"/>
  <c r="I76" i="18"/>
  <c r="M76" i="18" s="1"/>
  <c r="K75" i="18"/>
  <c r="I75" i="18"/>
  <c r="M75" i="18" s="1"/>
  <c r="I74" i="18"/>
  <c r="M74" i="18" s="1"/>
  <c r="K73" i="18"/>
  <c r="I73" i="18"/>
  <c r="M73" i="18" s="1"/>
  <c r="I72" i="18"/>
  <c r="M72" i="18" s="1"/>
  <c r="I71" i="18"/>
  <c r="M71" i="18" s="1"/>
  <c r="I70" i="18"/>
  <c r="M70" i="18" s="1"/>
  <c r="I69" i="18"/>
  <c r="M69" i="18" s="1"/>
  <c r="I68" i="18"/>
  <c r="M68" i="18" s="1"/>
  <c r="I67" i="18"/>
  <c r="M67" i="18" s="1"/>
  <c r="I66" i="18"/>
  <c r="M66" i="18" s="1"/>
  <c r="K65" i="18"/>
  <c r="I65" i="18"/>
  <c r="M65" i="18" s="1"/>
  <c r="B65" i="18"/>
  <c r="I64" i="18"/>
  <c r="M64" i="18" s="1"/>
  <c r="B64" i="18"/>
  <c r="I63" i="18"/>
  <c r="M63" i="18" s="1"/>
  <c r="B63" i="18"/>
  <c r="K62" i="18"/>
  <c r="I62" i="18"/>
  <c r="M62" i="18" s="1"/>
  <c r="B62" i="18"/>
  <c r="I61" i="18"/>
  <c r="M61" i="18" s="1"/>
  <c r="B61" i="18"/>
  <c r="I60" i="18"/>
  <c r="M60" i="18" s="1"/>
  <c r="B60" i="18"/>
  <c r="I59" i="18"/>
  <c r="M59" i="18" s="1"/>
  <c r="B59" i="18"/>
  <c r="I58" i="18"/>
  <c r="M58" i="18" s="1"/>
  <c r="B58" i="18"/>
  <c r="K57" i="18"/>
  <c r="I57" i="18"/>
  <c r="M57" i="18" s="1"/>
  <c r="B57" i="18"/>
  <c r="I56" i="18"/>
  <c r="M56" i="18" s="1"/>
  <c r="B56" i="18"/>
  <c r="I55" i="18"/>
  <c r="M55" i="18" s="1"/>
  <c r="B55" i="18"/>
  <c r="I54" i="18"/>
  <c r="M54" i="18" s="1"/>
  <c r="B54" i="18"/>
  <c r="K53" i="18"/>
  <c r="I53" i="18"/>
  <c r="M53" i="18" s="1"/>
  <c r="B53" i="18"/>
  <c r="I52" i="18"/>
  <c r="M52" i="18" s="1"/>
  <c r="B52" i="18"/>
  <c r="K51" i="18"/>
  <c r="I51" i="18"/>
  <c r="M51" i="18" s="1"/>
  <c r="B51" i="18"/>
  <c r="I50" i="18"/>
  <c r="M50" i="18" s="1"/>
  <c r="B50" i="18"/>
  <c r="I49" i="18"/>
  <c r="M49" i="18" s="1"/>
  <c r="B49" i="18"/>
  <c r="K48" i="18"/>
  <c r="I48" i="18"/>
  <c r="M48" i="18" s="1"/>
  <c r="B48" i="18"/>
  <c r="I47" i="18"/>
  <c r="M47" i="18" s="1"/>
  <c r="B47" i="18"/>
  <c r="T46" i="18"/>
  <c r="U46" i="18"/>
  <c r="I46" i="18"/>
  <c r="M46" i="18" s="1"/>
  <c r="B46" i="18"/>
  <c r="I45" i="18"/>
  <c r="M45" i="18" s="1"/>
  <c r="B45" i="18"/>
  <c r="I44" i="18"/>
  <c r="M44" i="18" s="1"/>
  <c r="B44" i="18"/>
  <c r="K43" i="18"/>
  <c r="I43" i="18"/>
  <c r="M43" i="18" s="1"/>
  <c r="B43" i="18"/>
  <c r="I42" i="18"/>
  <c r="M42" i="18" s="1"/>
  <c r="B42" i="18"/>
  <c r="I41" i="18"/>
  <c r="M41" i="18" s="1"/>
  <c r="B41" i="18"/>
  <c r="K40" i="18"/>
  <c r="I40" i="18"/>
  <c r="M40" i="18" s="1"/>
  <c r="B40" i="18"/>
  <c r="I39" i="18"/>
  <c r="M39" i="18" s="1"/>
  <c r="B39" i="18"/>
  <c r="I38" i="18"/>
  <c r="M38" i="18" s="1"/>
  <c r="B38" i="18"/>
  <c r="K37" i="18"/>
  <c r="I37" i="18"/>
  <c r="M37" i="18" s="1"/>
  <c r="A37" i="18" s="1"/>
  <c r="B37" i="18"/>
  <c r="K36" i="18"/>
  <c r="I36" i="18"/>
  <c r="B36" i="18"/>
  <c r="K35" i="18"/>
  <c r="I35" i="18"/>
  <c r="M35" i="18" s="1"/>
  <c r="A35" i="18" s="1"/>
  <c r="B35" i="18"/>
  <c r="I34" i="18"/>
  <c r="M34" i="18" s="1"/>
  <c r="B34" i="18"/>
  <c r="I33" i="18"/>
  <c r="M33" i="18" s="1"/>
  <c r="A33" i="18" s="1"/>
  <c r="B33" i="18"/>
  <c r="K32" i="18"/>
  <c r="I32" i="18"/>
  <c r="B32" i="18"/>
  <c r="I31" i="18"/>
  <c r="M31" i="18" s="1"/>
  <c r="A31" i="18" s="1"/>
  <c r="B31" i="18"/>
  <c r="I30" i="18"/>
  <c r="B30" i="18"/>
  <c r="I29" i="18"/>
  <c r="B29" i="18"/>
  <c r="I28" i="18"/>
  <c r="B28" i="18"/>
  <c r="K27" i="18"/>
  <c r="I27" i="18"/>
  <c r="B27" i="18"/>
  <c r="I26" i="18"/>
  <c r="M26" i="18" s="1"/>
  <c r="A26" i="18" s="1"/>
  <c r="B26" i="18"/>
  <c r="I25" i="18"/>
  <c r="B25" i="18"/>
  <c r="I24" i="18"/>
  <c r="M24" i="18" s="1"/>
  <c r="A24" i="18" s="1"/>
  <c r="B24" i="18"/>
  <c r="I23" i="18"/>
  <c r="M23" i="18" s="1"/>
  <c r="A23" i="18" s="1"/>
  <c r="B23" i="18"/>
  <c r="I22" i="18"/>
  <c r="M22" i="18" s="1"/>
  <c r="A22" i="18" s="1"/>
  <c r="B22" i="18"/>
  <c r="I21" i="18"/>
  <c r="B21" i="18"/>
  <c r="K20" i="18"/>
  <c r="I20" i="18"/>
  <c r="B20" i="18"/>
  <c r="K19" i="18"/>
  <c r="I19" i="18"/>
  <c r="M19" i="18" s="1"/>
  <c r="A19" i="18" s="1"/>
  <c r="B19" i="18"/>
  <c r="I18" i="18"/>
  <c r="M18" i="18" s="1"/>
  <c r="B18" i="18"/>
  <c r="I17" i="18"/>
  <c r="B17" i="18"/>
  <c r="I16" i="18"/>
  <c r="B16" i="18"/>
  <c r="I15" i="18"/>
  <c r="B15" i="18"/>
  <c r="AI14" i="18"/>
  <c r="I14" i="18"/>
  <c r="AI13" i="18"/>
  <c r="I13" i="18"/>
  <c r="AI12" i="18"/>
  <c r="AI16" i="18" s="1"/>
  <c r="I12" i="18"/>
  <c r="M12" i="18" s="1"/>
  <c r="A12" i="18" s="1"/>
  <c r="I11" i="18"/>
  <c r="M11" i="18" s="1"/>
  <c r="A11" i="18" s="1"/>
  <c r="I10" i="18"/>
  <c r="M10" i="18" s="1"/>
  <c r="A10" i="18" s="1"/>
  <c r="K9" i="18"/>
  <c r="I9" i="18"/>
  <c r="K8" i="18"/>
  <c r="I8" i="18"/>
  <c r="I7" i="18"/>
  <c r="K6" i="18"/>
  <c r="K2" i="18"/>
  <c r="K305" i="17"/>
  <c r="I305" i="17"/>
  <c r="M305" i="17" s="1"/>
  <c r="K304" i="17"/>
  <c r="I304" i="17"/>
  <c r="M304" i="17" s="1"/>
  <c r="K303" i="17"/>
  <c r="I303" i="17"/>
  <c r="M303" i="17" s="1"/>
  <c r="I302" i="17"/>
  <c r="M302" i="17" s="1"/>
  <c r="K301" i="17"/>
  <c r="I301" i="17"/>
  <c r="M301" i="17" s="1"/>
  <c r="I300" i="17"/>
  <c r="M300" i="17" s="1"/>
  <c r="K299" i="17"/>
  <c r="I299" i="17"/>
  <c r="M299" i="17" s="1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I294" i="17"/>
  <c r="M294" i="17" s="1"/>
  <c r="K293" i="17"/>
  <c r="I293" i="17"/>
  <c r="M293" i="17" s="1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K285" i="17"/>
  <c r="I285" i="17"/>
  <c r="M285" i="17" s="1"/>
  <c r="I284" i="17"/>
  <c r="M284" i="17" s="1"/>
  <c r="K283" i="17"/>
  <c r="I283" i="17"/>
  <c r="M283" i="17" s="1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I278" i="17"/>
  <c r="M278" i="17" s="1"/>
  <c r="K277" i="17"/>
  <c r="I277" i="17"/>
  <c r="M277" i="17" s="1"/>
  <c r="I276" i="17"/>
  <c r="M276" i="17" s="1"/>
  <c r="K275" i="17"/>
  <c r="I275" i="17"/>
  <c r="M275" i="17" s="1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K270" i="17"/>
  <c r="I270" i="17"/>
  <c r="M270" i="17" s="1"/>
  <c r="K269" i="17"/>
  <c r="I269" i="17"/>
  <c r="M269" i="17" s="1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I262" i="17"/>
  <c r="M262" i="17" s="1"/>
  <c r="K261" i="17"/>
  <c r="I261" i="17"/>
  <c r="M261" i="17" s="1"/>
  <c r="I260" i="17"/>
  <c r="M260" i="17" s="1"/>
  <c r="K259" i="17"/>
  <c r="I259" i="17"/>
  <c r="M259" i="17" s="1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K253" i="17"/>
  <c r="I253" i="17"/>
  <c r="M253" i="17" s="1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I246" i="17"/>
  <c r="M246" i="17" s="1"/>
  <c r="K245" i="17"/>
  <c r="I245" i="17"/>
  <c r="M245" i="17" s="1"/>
  <c r="I244" i="17"/>
  <c r="M244" i="17" s="1"/>
  <c r="K243" i="17"/>
  <c r="I243" i="17"/>
  <c r="M243" i="17" s="1"/>
  <c r="I242" i="17"/>
  <c r="M242" i="17" s="1"/>
  <c r="K241" i="17"/>
  <c r="I241" i="17"/>
  <c r="M241" i="17" s="1"/>
  <c r="I240" i="17"/>
  <c r="M240" i="17" s="1"/>
  <c r="K239" i="17"/>
  <c r="I239" i="17"/>
  <c r="M239" i="17" s="1"/>
  <c r="I238" i="17"/>
  <c r="M238" i="17" s="1"/>
  <c r="K237" i="17"/>
  <c r="I237" i="17"/>
  <c r="M237" i="17" s="1"/>
  <c r="I236" i="17"/>
  <c r="M236" i="17" s="1"/>
  <c r="K235" i="17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I230" i="17"/>
  <c r="M230" i="17" s="1"/>
  <c r="K229" i="17"/>
  <c r="I229" i="17"/>
  <c r="M229" i="17" s="1"/>
  <c r="I228" i="17"/>
  <c r="M228" i="17" s="1"/>
  <c r="K227" i="17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K222" i="17"/>
  <c r="I222" i="17"/>
  <c r="M222" i="17" s="1"/>
  <c r="K221" i="17"/>
  <c r="I221" i="17"/>
  <c r="M221" i="17" s="1"/>
  <c r="I220" i="17"/>
  <c r="M220" i="17" s="1"/>
  <c r="K219" i="17"/>
  <c r="I219" i="17"/>
  <c r="M219" i="17" s="1"/>
  <c r="I218" i="17"/>
  <c r="M218" i="17" s="1"/>
  <c r="K217" i="17"/>
  <c r="I217" i="17"/>
  <c r="M217" i="17" s="1"/>
  <c r="I216" i="17"/>
  <c r="M216" i="17" s="1"/>
  <c r="K215" i="17"/>
  <c r="I215" i="17"/>
  <c r="M215" i="17" s="1"/>
  <c r="I214" i="17"/>
  <c r="M214" i="17" s="1"/>
  <c r="K213" i="17"/>
  <c r="I213" i="17"/>
  <c r="M213" i="17" s="1"/>
  <c r="I212" i="17"/>
  <c r="M212" i="17" s="1"/>
  <c r="K211" i="17"/>
  <c r="I211" i="17"/>
  <c r="M211" i="17" s="1"/>
  <c r="I210" i="17"/>
  <c r="M210" i="17" s="1"/>
  <c r="K209" i="17"/>
  <c r="I209" i="17"/>
  <c r="M209" i="17" s="1"/>
  <c r="I208" i="17"/>
  <c r="M208" i="17" s="1"/>
  <c r="K207" i="17"/>
  <c r="I207" i="17"/>
  <c r="M207" i="17" s="1"/>
  <c r="I206" i="17"/>
  <c r="M206" i="17" s="1"/>
  <c r="K205" i="17"/>
  <c r="I205" i="17"/>
  <c r="M205" i="17" s="1"/>
  <c r="I204" i="17"/>
  <c r="M204" i="17" s="1"/>
  <c r="K203" i="17"/>
  <c r="I203" i="17"/>
  <c r="M203" i="17" s="1"/>
  <c r="I202" i="17"/>
  <c r="M202" i="17" s="1"/>
  <c r="K201" i="17"/>
  <c r="I201" i="17"/>
  <c r="M201" i="17" s="1"/>
  <c r="I200" i="17"/>
  <c r="M200" i="17" s="1"/>
  <c r="K199" i="17"/>
  <c r="I199" i="17"/>
  <c r="M199" i="17" s="1"/>
  <c r="I198" i="17"/>
  <c r="M198" i="17" s="1"/>
  <c r="K197" i="17"/>
  <c r="I197" i="17"/>
  <c r="M197" i="17" s="1"/>
  <c r="I196" i="17"/>
  <c r="M196" i="17" s="1"/>
  <c r="K195" i="17"/>
  <c r="I195" i="17"/>
  <c r="M195" i="17" s="1"/>
  <c r="I194" i="17"/>
  <c r="M194" i="17" s="1"/>
  <c r="K193" i="17"/>
  <c r="I193" i="17"/>
  <c r="M193" i="17" s="1"/>
  <c r="I192" i="17"/>
  <c r="M192" i="17" s="1"/>
  <c r="K191" i="17"/>
  <c r="I191" i="17"/>
  <c r="M191" i="17" s="1"/>
  <c r="I190" i="17"/>
  <c r="M190" i="17" s="1"/>
  <c r="K189" i="17"/>
  <c r="I189" i="17"/>
  <c r="M189" i="17" s="1"/>
  <c r="I188" i="17"/>
  <c r="M188" i="17" s="1"/>
  <c r="K187" i="17"/>
  <c r="I187" i="17"/>
  <c r="M187" i="17" s="1"/>
  <c r="I186" i="17"/>
  <c r="M186" i="17" s="1"/>
  <c r="K185" i="17"/>
  <c r="I185" i="17"/>
  <c r="M185" i="17" s="1"/>
  <c r="I184" i="17"/>
  <c r="M184" i="17" s="1"/>
  <c r="K183" i="17"/>
  <c r="I183" i="17"/>
  <c r="M183" i="17" s="1"/>
  <c r="I182" i="17"/>
  <c r="M182" i="17" s="1"/>
  <c r="K181" i="17"/>
  <c r="I181" i="17"/>
  <c r="M181" i="17" s="1"/>
  <c r="K180" i="17"/>
  <c r="I180" i="17"/>
  <c r="M180" i="17" s="1"/>
  <c r="K179" i="17"/>
  <c r="I179" i="17"/>
  <c r="M179" i="17" s="1"/>
  <c r="I178" i="17"/>
  <c r="M178" i="17" s="1"/>
  <c r="I177" i="17"/>
  <c r="M177" i="17" s="1"/>
  <c r="I176" i="17"/>
  <c r="M176" i="17" s="1"/>
  <c r="K175" i="17"/>
  <c r="I175" i="17"/>
  <c r="M175" i="17" s="1"/>
  <c r="K174" i="17"/>
  <c r="I174" i="17"/>
  <c r="M174" i="17" s="1"/>
  <c r="K173" i="17"/>
  <c r="I173" i="17"/>
  <c r="M173" i="17" s="1"/>
  <c r="I172" i="17"/>
  <c r="M172" i="17" s="1"/>
  <c r="K171" i="17"/>
  <c r="I171" i="17"/>
  <c r="M171" i="17" s="1"/>
  <c r="I170" i="17"/>
  <c r="M170" i="17" s="1"/>
  <c r="K169" i="17"/>
  <c r="I169" i="17"/>
  <c r="M169" i="17" s="1"/>
  <c r="I168" i="17"/>
  <c r="M168" i="17" s="1"/>
  <c r="K167" i="17"/>
  <c r="I167" i="17"/>
  <c r="M167" i="17" s="1"/>
  <c r="K166" i="17"/>
  <c r="I166" i="17"/>
  <c r="M166" i="17" s="1"/>
  <c r="K165" i="17"/>
  <c r="I165" i="17"/>
  <c r="M165" i="17" s="1"/>
  <c r="I164" i="17"/>
  <c r="M164" i="17" s="1"/>
  <c r="K163" i="17"/>
  <c r="I163" i="17"/>
  <c r="M163" i="17" s="1"/>
  <c r="I162" i="17"/>
  <c r="M162" i="17" s="1"/>
  <c r="I161" i="17"/>
  <c r="M161" i="17" s="1"/>
  <c r="I160" i="17"/>
  <c r="M160" i="17" s="1"/>
  <c r="K159" i="17"/>
  <c r="I159" i="17"/>
  <c r="M159" i="17" s="1"/>
  <c r="I158" i="17"/>
  <c r="M158" i="17" s="1"/>
  <c r="K157" i="17"/>
  <c r="I157" i="17"/>
  <c r="M157" i="17" s="1"/>
  <c r="I156" i="17"/>
  <c r="M156" i="17" s="1"/>
  <c r="K155" i="17"/>
  <c r="I155" i="17"/>
  <c r="M155" i="17" s="1"/>
  <c r="I154" i="17"/>
  <c r="M154" i="17" s="1"/>
  <c r="I153" i="17"/>
  <c r="M153" i="17" s="1"/>
  <c r="I152" i="17"/>
  <c r="M152" i="17" s="1"/>
  <c r="K151" i="17"/>
  <c r="I151" i="17"/>
  <c r="M151" i="17" s="1"/>
  <c r="I150" i="17"/>
  <c r="M150" i="17" s="1"/>
  <c r="K149" i="17"/>
  <c r="I149" i="17"/>
  <c r="M149" i="17" s="1"/>
  <c r="I148" i="17"/>
  <c r="M148" i="17" s="1"/>
  <c r="K147" i="17"/>
  <c r="I147" i="17"/>
  <c r="M147" i="17" s="1"/>
  <c r="I146" i="17"/>
  <c r="M146" i="17" s="1"/>
  <c r="K145" i="17"/>
  <c r="I145" i="17"/>
  <c r="M145" i="17" s="1"/>
  <c r="I144" i="17"/>
  <c r="M144" i="17" s="1"/>
  <c r="K143" i="17"/>
  <c r="I143" i="17"/>
  <c r="M143" i="17" s="1"/>
  <c r="I142" i="17"/>
  <c r="M142" i="17" s="1"/>
  <c r="K141" i="17"/>
  <c r="I141" i="17"/>
  <c r="M141" i="17" s="1"/>
  <c r="I140" i="17"/>
  <c r="M140" i="17" s="1"/>
  <c r="K139" i="17"/>
  <c r="I139" i="17"/>
  <c r="M139" i="17" s="1"/>
  <c r="I138" i="17"/>
  <c r="M138" i="17" s="1"/>
  <c r="I137" i="17"/>
  <c r="M137" i="17" s="1"/>
  <c r="I136" i="17"/>
  <c r="M136" i="17" s="1"/>
  <c r="K135" i="17"/>
  <c r="I135" i="17"/>
  <c r="M135" i="17" s="1"/>
  <c r="I134" i="17"/>
  <c r="M134" i="17" s="1"/>
  <c r="K133" i="17"/>
  <c r="I133" i="17"/>
  <c r="M133" i="17" s="1"/>
  <c r="I132" i="17"/>
  <c r="M132" i="17" s="1"/>
  <c r="K131" i="17"/>
  <c r="I131" i="17"/>
  <c r="M131" i="17" s="1"/>
  <c r="I130" i="17"/>
  <c r="M130" i="17" s="1"/>
  <c r="I129" i="17"/>
  <c r="M129" i="17" s="1"/>
  <c r="I128" i="17"/>
  <c r="M128" i="17" s="1"/>
  <c r="K127" i="17"/>
  <c r="I127" i="17"/>
  <c r="M127" i="17" s="1"/>
  <c r="I126" i="17"/>
  <c r="M126" i="17" s="1"/>
  <c r="K125" i="17"/>
  <c r="I125" i="17"/>
  <c r="M125" i="17" s="1"/>
  <c r="I124" i="17"/>
  <c r="M124" i="17" s="1"/>
  <c r="K123" i="17"/>
  <c r="I123" i="17"/>
  <c r="M123" i="17" s="1"/>
  <c r="I122" i="17"/>
  <c r="M122" i="17" s="1"/>
  <c r="I121" i="17"/>
  <c r="M121" i="17" s="1"/>
  <c r="I120" i="17"/>
  <c r="M120" i="17" s="1"/>
  <c r="K119" i="17"/>
  <c r="I119" i="17"/>
  <c r="M119" i="17" s="1"/>
  <c r="I118" i="17"/>
  <c r="M118" i="17" s="1"/>
  <c r="K117" i="17"/>
  <c r="I117" i="17"/>
  <c r="M117" i="17" s="1"/>
  <c r="I116" i="17"/>
  <c r="M116" i="17" s="1"/>
  <c r="K115" i="17"/>
  <c r="I115" i="17"/>
  <c r="M115" i="17" s="1"/>
  <c r="K114" i="17"/>
  <c r="I114" i="17"/>
  <c r="M114" i="17" s="1"/>
  <c r="K113" i="17"/>
  <c r="I113" i="17"/>
  <c r="M113" i="17" s="1"/>
  <c r="I112" i="17"/>
  <c r="M112" i="17" s="1"/>
  <c r="K111" i="17"/>
  <c r="I111" i="17"/>
  <c r="M111" i="17" s="1"/>
  <c r="I110" i="17"/>
  <c r="M110" i="17" s="1"/>
  <c r="K109" i="17"/>
  <c r="I109" i="17"/>
  <c r="M109" i="17" s="1"/>
  <c r="I108" i="17"/>
  <c r="M108" i="17" s="1"/>
  <c r="K107" i="17"/>
  <c r="I107" i="17"/>
  <c r="M107" i="17" s="1"/>
  <c r="I106" i="17"/>
  <c r="M106" i="17" s="1"/>
  <c r="I105" i="17"/>
  <c r="M105" i="17" s="1"/>
  <c r="K104" i="17"/>
  <c r="I104" i="17"/>
  <c r="M104" i="17" s="1"/>
  <c r="K103" i="17"/>
  <c r="I103" i="17"/>
  <c r="M103" i="17" s="1"/>
  <c r="I102" i="17"/>
  <c r="M102" i="17" s="1"/>
  <c r="K101" i="17"/>
  <c r="I101" i="17"/>
  <c r="M101" i="17" s="1"/>
  <c r="I100" i="17"/>
  <c r="M100" i="17" s="1"/>
  <c r="K99" i="17"/>
  <c r="I99" i="17"/>
  <c r="M99" i="17" s="1"/>
  <c r="I98" i="17"/>
  <c r="M98" i="17" s="1"/>
  <c r="K97" i="17"/>
  <c r="I97" i="17"/>
  <c r="M97" i="17" s="1"/>
  <c r="I96" i="17"/>
  <c r="M96" i="17" s="1"/>
  <c r="K95" i="17"/>
  <c r="I95" i="17"/>
  <c r="M95" i="17" s="1"/>
  <c r="I94" i="17"/>
  <c r="M94" i="17" s="1"/>
  <c r="K93" i="17"/>
  <c r="I93" i="17"/>
  <c r="M93" i="17" s="1"/>
  <c r="I92" i="17"/>
  <c r="M92" i="17" s="1"/>
  <c r="K91" i="17"/>
  <c r="I91" i="17"/>
  <c r="M91" i="17" s="1"/>
  <c r="I90" i="17"/>
  <c r="M90" i="17" s="1"/>
  <c r="I89" i="17"/>
  <c r="M89" i="17" s="1"/>
  <c r="I88" i="17"/>
  <c r="M88" i="17" s="1"/>
  <c r="K87" i="17"/>
  <c r="I87" i="17"/>
  <c r="M87" i="17" s="1"/>
  <c r="I86" i="17"/>
  <c r="M86" i="17" s="1"/>
  <c r="K85" i="17"/>
  <c r="I85" i="17"/>
  <c r="M85" i="17" s="1"/>
  <c r="I84" i="17"/>
  <c r="M84" i="17" s="1"/>
  <c r="K83" i="17"/>
  <c r="I83" i="17"/>
  <c r="M83" i="17" s="1"/>
  <c r="I82" i="17"/>
  <c r="M82" i="17" s="1"/>
  <c r="K81" i="17"/>
  <c r="I81" i="17"/>
  <c r="M81" i="17" s="1"/>
  <c r="I80" i="17"/>
  <c r="M80" i="17" s="1"/>
  <c r="K79" i="17"/>
  <c r="I79" i="17"/>
  <c r="M79" i="17" s="1"/>
  <c r="I78" i="17"/>
  <c r="M78" i="17" s="1"/>
  <c r="K77" i="17"/>
  <c r="I77" i="17"/>
  <c r="M77" i="17" s="1"/>
  <c r="I76" i="17"/>
  <c r="M76" i="17" s="1"/>
  <c r="K75" i="17"/>
  <c r="I75" i="17"/>
  <c r="M75" i="17" s="1"/>
  <c r="I74" i="17"/>
  <c r="M74" i="17" s="1"/>
  <c r="I73" i="17"/>
  <c r="M73" i="17" s="1"/>
  <c r="I72" i="17"/>
  <c r="M72" i="17" s="1"/>
  <c r="K71" i="17"/>
  <c r="I71" i="17"/>
  <c r="M71" i="17" s="1"/>
  <c r="I70" i="17"/>
  <c r="M70" i="17" s="1"/>
  <c r="K69" i="17"/>
  <c r="I69" i="17"/>
  <c r="M69" i="17" s="1"/>
  <c r="I68" i="17"/>
  <c r="M68" i="17" s="1"/>
  <c r="K67" i="17"/>
  <c r="I67" i="17"/>
  <c r="M67" i="17" s="1"/>
  <c r="I66" i="17"/>
  <c r="M66" i="17" s="1"/>
  <c r="K65" i="17"/>
  <c r="I65" i="17"/>
  <c r="M65" i="17" s="1"/>
  <c r="B65" i="17"/>
  <c r="I64" i="17"/>
  <c r="M64" i="17" s="1"/>
  <c r="B64" i="17"/>
  <c r="K63" i="17"/>
  <c r="I63" i="17"/>
  <c r="M63" i="17" s="1"/>
  <c r="B63" i="17"/>
  <c r="I62" i="17"/>
  <c r="M62" i="17" s="1"/>
  <c r="B62" i="17"/>
  <c r="K61" i="17"/>
  <c r="I61" i="17"/>
  <c r="M61" i="17" s="1"/>
  <c r="B61" i="17"/>
  <c r="I60" i="17"/>
  <c r="M60" i="17" s="1"/>
  <c r="B60" i="17"/>
  <c r="K59" i="17"/>
  <c r="I59" i="17"/>
  <c r="M59" i="17" s="1"/>
  <c r="B59" i="17"/>
  <c r="I58" i="17"/>
  <c r="M58" i="17" s="1"/>
  <c r="B58" i="17"/>
  <c r="I57" i="17"/>
  <c r="M57" i="17" s="1"/>
  <c r="B57" i="17"/>
  <c r="I56" i="17"/>
  <c r="M56" i="17" s="1"/>
  <c r="B56" i="17"/>
  <c r="K55" i="17"/>
  <c r="I55" i="17"/>
  <c r="M55" i="17" s="1"/>
  <c r="B55" i="17"/>
  <c r="I54" i="17"/>
  <c r="M54" i="17" s="1"/>
  <c r="B54" i="17"/>
  <c r="K53" i="17"/>
  <c r="I53" i="17"/>
  <c r="M53" i="17" s="1"/>
  <c r="B53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I48" i="17"/>
  <c r="M48" i="17" s="1"/>
  <c r="B48" i="17"/>
  <c r="K47" i="17"/>
  <c r="I47" i="17"/>
  <c r="M47" i="17" s="1"/>
  <c r="B47" i="17"/>
  <c r="T46" i="17"/>
  <c r="R46" i="17"/>
  <c r="U46" i="17" s="1"/>
  <c r="I46" i="17"/>
  <c r="M46" i="17" s="1"/>
  <c r="B46" i="17"/>
  <c r="K45" i="17"/>
  <c r="I45" i="17"/>
  <c r="M45" i="17" s="1"/>
  <c r="B45" i="17"/>
  <c r="I44" i="17"/>
  <c r="M44" i="17" s="1"/>
  <c r="B44" i="17"/>
  <c r="K43" i="17"/>
  <c r="I43" i="17"/>
  <c r="M43" i="17" s="1"/>
  <c r="B43" i="17"/>
  <c r="I42" i="17"/>
  <c r="M42" i="17" s="1"/>
  <c r="B42" i="17"/>
  <c r="K41" i="17"/>
  <c r="I41" i="17"/>
  <c r="M41" i="17" s="1"/>
  <c r="B41" i="17"/>
  <c r="I40" i="17"/>
  <c r="M40" i="17" s="1"/>
  <c r="B40" i="17"/>
  <c r="K39" i="17"/>
  <c r="I39" i="17"/>
  <c r="M39" i="17" s="1"/>
  <c r="B39" i="17"/>
  <c r="I38" i="17"/>
  <c r="M38" i="17" s="1"/>
  <c r="B38" i="17"/>
  <c r="K37" i="17"/>
  <c r="I37" i="17"/>
  <c r="M37" i="17" s="1"/>
  <c r="A37" i="17" s="1"/>
  <c r="B37" i="17"/>
  <c r="I36" i="17"/>
  <c r="M36" i="17" s="1"/>
  <c r="B36" i="17"/>
  <c r="K35" i="17"/>
  <c r="I35" i="17"/>
  <c r="M35" i="17" s="1"/>
  <c r="A35" i="17" s="1"/>
  <c r="B35" i="17"/>
  <c r="I34" i="17"/>
  <c r="B34" i="17"/>
  <c r="I33" i="17"/>
  <c r="M33" i="17" s="1"/>
  <c r="A33" i="17" s="1"/>
  <c r="B33" i="17"/>
  <c r="I32" i="17"/>
  <c r="B32" i="17"/>
  <c r="K31" i="17"/>
  <c r="I31" i="17"/>
  <c r="M31" i="17" s="1"/>
  <c r="A31" i="17" s="1"/>
  <c r="B31" i="17"/>
  <c r="I30" i="17"/>
  <c r="B30" i="17"/>
  <c r="I29" i="17"/>
  <c r="M29" i="17" s="1"/>
  <c r="A29" i="17" s="1"/>
  <c r="B29" i="17"/>
  <c r="I28" i="17"/>
  <c r="M28" i="17" s="1"/>
  <c r="B28" i="17"/>
  <c r="K27" i="17"/>
  <c r="I27" i="17"/>
  <c r="M27" i="17" s="1"/>
  <c r="A27" i="17" s="1"/>
  <c r="B27" i="17"/>
  <c r="I26" i="17"/>
  <c r="B26" i="17"/>
  <c r="K25" i="17"/>
  <c r="I25" i="17"/>
  <c r="M25" i="17" s="1"/>
  <c r="A25" i="17" s="1"/>
  <c r="B25" i="17"/>
  <c r="I24" i="17"/>
  <c r="B24" i="17"/>
  <c r="K23" i="17"/>
  <c r="I23" i="17"/>
  <c r="M23" i="17" s="1"/>
  <c r="A23" i="17" s="1"/>
  <c r="B23" i="17"/>
  <c r="I22" i="17"/>
  <c r="B22" i="17"/>
  <c r="I21" i="17"/>
  <c r="M21" i="17" s="1"/>
  <c r="A21" i="17" s="1"/>
  <c r="B21" i="17"/>
  <c r="I20" i="17"/>
  <c r="B20" i="17"/>
  <c r="K19" i="17"/>
  <c r="I19" i="17"/>
  <c r="M19" i="17" s="1"/>
  <c r="A19" i="17" s="1"/>
  <c r="B19" i="17"/>
  <c r="I18" i="17"/>
  <c r="B18" i="17"/>
  <c r="I17" i="17"/>
  <c r="M17" i="17" s="1"/>
  <c r="A17" i="17" s="1"/>
  <c r="B17" i="17"/>
  <c r="I16" i="17"/>
  <c r="M16" i="17" s="1"/>
  <c r="A16" i="17" s="1"/>
  <c r="B16" i="17"/>
  <c r="K15" i="17"/>
  <c r="I15" i="17"/>
  <c r="AI14" i="17"/>
  <c r="I14" i="17"/>
  <c r="M14" i="17" s="1"/>
  <c r="A14" i="17" s="1"/>
  <c r="AI13" i="17"/>
  <c r="K13" i="17"/>
  <c r="I13" i="17"/>
  <c r="AI12" i="17"/>
  <c r="AI16" i="17" s="1"/>
  <c r="I12" i="17"/>
  <c r="M12" i="17" s="1"/>
  <c r="K11" i="17"/>
  <c r="I11" i="17"/>
  <c r="E17" i="20"/>
  <c r="I10" i="17"/>
  <c r="I9" i="17"/>
  <c r="I8" i="17"/>
  <c r="K7" i="17"/>
  <c r="I7" i="17"/>
  <c r="K6" i="17"/>
  <c r="K2" i="17"/>
  <c r="M216" i="28" l="1"/>
  <c r="W6" i="20"/>
  <c r="W16" i="20"/>
  <c r="W24" i="20"/>
  <c r="W9" i="20"/>
  <c r="W20" i="20"/>
  <c r="M10" i="27"/>
  <c r="A10" i="27" s="1"/>
  <c r="M24" i="27"/>
  <c r="A24" i="27" s="1"/>
  <c r="M6" i="27"/>
  <c r="A6" i="27" s="1"/>
  <c r="M19" i="27"/>
  <c r="A19" i="27" s="1"/>
  <c r="W13" i="20"/>
  <c r="W8" i="20"/>
  <c r="M11" i="27"/>
  <c r="A11" i="27" s="1"/>
  <c r="M17" i="27"/>
  <c r="A17" i="27" s="1"/>
  <c r="W10" i="20"/>
  <c r="M23" i="27"/>
  <c r="A23" i="27" s="1"/>
  <c r="W12" i="20"/>
  <c r="W25" i="20"/>
  <c r="M20" i="27"/>
  <c r="A20" i="27" s="1"/>
  <c r="T14" i="20"/>
  <c r="U14" i="20" s="1"/>
  <c r="T16" i="20"/>
  <c r="U16" i="20" s="1"/>
  <c r="T22" i="20"/>
  <c r="U22" i="20" s="1"/>
  <c r="M18" i="26"/>
  <c r="A18" i="26" s="1"/>
  <c r="G23" i="20"/>
  <c r="G24" i="20"/>
  <c r="G19" i="20"/>
  <c r="G15" i="20"/>
  <c r="M9" i="18"/>
  <c r="A9" i="18" s="1"/>
  <c r="G12" i="13"/>
  <c r="G10" i="20"/>
  <c r="M26" i="25"/>
  <c r="A26" i="25" s="1"/>
  <c r="M10" i="25"/>
  <c r="A10" i="25" s="1"/>
  <c r="M20" i="25"/>
  <c r="A20" i="25" s="1"/>
  <c r="M12" i="25"/>
  <c r="A12" i="25" s="1"/>
  <c r="P22" i="20"/>
  <c r="P11" i="20"/>
  <c r="P10" i="20"/>
  <c r="P13" i="20"/>
  <c r="P7" i="20"/>
  <c r="M12" i="26"/>
  <c r="A12" i="26" s="1"/>
  <c r="M15" i="26"/>
  <c r="A15" i="26" s="1"/>
  <c r="M17" i="26"/>
  <c r="A17" i="26" s="1"/>
  <c r="U10" i="20"/>
  <c r="L6" i="26"/>
  <c r="U23" i="20"/>
  <c r="M14" i="26"/>
  <c r="A14" i="26" s="1"/>
  <c r="M16" i="26"/>
  <c r="A16" i="26" s="1"/>
  <c r="M6" i="26"/>
  <c r="A6" i="26" s="1"/>
  <c r="U17" i="20" s="1"/>
  <c r="M9" i="26"/>
  <c r="A9" i="26" s="1"/>
  <c r="M11" i="26"/>
  <c r="A11" i="26" s="1"/>
  <c r="U19" i="20"/>
  <c r="U20" i="20"/>
  <c r="U8" i="20"/>
  <c r="M13" i="26"/>
  <c r="A13" i="26" s="1"/>
  <c r="G18" i="20"/>
  <c r="G20" i="20"/>
  <c r="G16" i="20"/>
  <c r="G25" i="20"/>
  <c r="G14" i="20"/>
  <c r="G21" i="20"/>
  <c r="S21" i="20"/>
  <c r="M11" i="25"/>
  <c r="A11" i="25" s="1"/>
  <c r="S8" i="20"/>
  <c r="S14" i="20"/>
  <c r="S17" i="20"/>
  <c r="S19" i="20"/>
  <c r="S9" i="20"/>
  <c r="S11" i="20"/>
  <c r="S12" i="20"/>
  <c r="S7" i="20"/>
  <c r="M13" i="25"/>
  <c r="A13" i="25" s="1"/>
  <c r="M25" i="25"/>
  <c r="A25" i="25" s="1"/>
  <c r="S18" i="20"/>
  <c r="M21" i="25"/>
  <c r="A21" i="25" s="1"/>
  <c r="S15" i="20"/>
  <c r="S20" i="20"/>
  <c r="S10" i="20"/>
  <c r="L8" i="25"/>
  <c r="M8" i="25" s="1"/>
  <c r="A8" i="25" s="1"/>
  <c r="M15" i="25"/>
  <c r="A15" i="25" s="1"/>
  <c r="S24" i="20"/>
  <c r="S23" i="20"/>
  <c r="S25" i="20"/>
  <c r="M17" i="25"/>
  <c r="A17" i="25" s="1"/>
  <c r="S13" i="20"/>
  <c r="S16" i="20"/>
  <c r="S22" i="20"/>
  <c r="L7" i="25"/>
  <c r="M7" i="25" s="1"/>
  <c r="A7" i="25" s="1"/>
  <c r="S6" i="20" s="1"/>
  <c r="M56" i="28"/>
  <c r="N56" i="28" s="1"/>
  <c r="A56" i="28" s="1"/>
  <c r="N192" i="28"/>
  <c r="A192" i="28" s="1"/>
  <c r="M210" i="28"/>
  <c r="M70" i="28"/>
  <c r="N70" i="28" s="1"/>
  <c r="A70" i="28" s="1"/>
  <c r="M74" i="28"/>
  <c r="M262" i="28"/>
  <c r="N146" i="28"/>
  <c r="A146" i="28" s="1"/>
  <c r="M225" i="28"/>
  <c r="M298" i="28"/>
  <c r="N136" i="28"/>
  <c r="A136" i="28" s="1"/>
  <c r="M278" i="28"/>
  <c r="M281" i="28"/>
  <c r="N127" i="28"/>
  <c r="A127" i="28" s="1"/>
  <c r="N257" i="28"/>
  <c r="A257" i="28" s="1"/>
  <c r="M289" i="28"/>
  <c r="N179" i="28"/>
  <c r="A179" i="28" s="1"/>
  <c r="M21" i="28"/>
  <c r="N21" i="28" s="1"/>
  <c r="A21" i="28" s="1"/>
  <c r="M40" i="28"/>
  <c r="N40" i="28" s="1"/>
  <c r="A40" i="28" s="1"/>
  <c r="M71" i="28"/>
  <c r="M18" i="28"/>
  <c r="N18" i="28" s="1"/>
  <c r="A18" i="28" s="1"/>
  <c r="M72" i="28"/>
  <c r="N72" i="28" s="1"/>
  <c r="A72" i="28" s="1"/>
  <c r="M80" i="28"/>
  <c r="N167" i="28"/>
  <c r="A167" i="28" s="1"/>
  <c r="M186" i="28"/>
  <c r="M42" i="28"/>
  <c r="N42" i="28" s="1"/>
  <c r="A42" i="28" s="1"/>
  <c r="M50" i="28"/>
  <c r="M157" i="28"/>
  <c r="M203" i="28"/>
  <c r="M219" i="28"/>
  <c r="M226" i="28"/>
  <c r="M274" i="28"/>
  <c r="M15" i="28"/>
  <c r="N15" i="28" s="1"/>
  <c r="A15" i="28" s="1"/>
  <c r="M23" i="28"/>
  <c r="N23" i="28" s="1"/>
  <c r="A23" i="28" s="1"/>
  <c r="M62" i="28"/>
  <c r="N62" i="28" s="1"/>
  <c r="A62" i="28" s="1"/>
  <c r="N121" i="28"/>
  <c r="A121" i="28" s="1"/>
  <c r="M242" i="28"/>
  <c r="M120" i="28"/>
  <c r="M176" i="28"/>
  <c r="N185" i="28"/>
  <c r="A185" i="28" s="1"/>
  <c r="N209" i="28"/>
  <c r="A209" i="28" s="1"/>
  <c r="M17" i="28"/>
  <c r="N17" i="28" s="1"/>
  <c r="A17" i="28" s="1"/>
  <c r="M86" i="28"/>
  <c r="N86" i="28" s="1"/>
  <c r="A86" i="28" s="1"/>
  <c r="M145" i="28"/>
  <c r="N172" i="28"/>
  <c r="A172" i="28" s="1"/>
  <c r="N235" i="28"/>
  <c r="A235" i="28" s="1"/>
  <c r="M250" i="28"/>
  <c r="M265" i="28"/>
  <c r="M109" i="28"/>
  <c r="M137" i="28"/>
  <c r="M141" i="28"/>
  <c r="N163" i="28"/>
  <c r="A163" i="28" s="1"/>
  <c r="M102" i="28"/>
  <c r="N128" i="28"/>
  <c r="A128" i="28" s="1"/>
  <c r="M139" i="28"/>
  <c r="M54" i="28"/>
  <c r="N113" i="28"/>
  <c r="A113" i="28" s="1"/>
  <c r="M150" i="28"/>
  <c r="N152" i="28"/>
  <c r="A152" i="28" s="1"/>
  <c r="M193" i="28"/>
  <c r="M195" i="28"/>
  <c r="M247" i="28"/>
  <c r="M254" i="28"/>
  <c r="M208" i="28"/>
  <c r="M232" i="28"/>
  <c r="M241" i="28"/>
  <c r="M266" i="28"/>
  <c r="M282" i="28"/>
  <c r="M285" i="28"/>
  <c r="M16" i="28"/>
  <c r="N16" i="28" s="1"/>
  <c r="A16" i="28" s="1"/>
  <c r="M24" i="28"/>
  <c r="N24" i="28" s="1"/>
  <c r="A24" i="28" s="1"/>
  <c r="M34" i="28"/>
  <c r="N34" i="28" s="1"/>
  <c r="A34" i="28" s="1"/>
  <c r="M85" i="28"/>
  <c r="M110" i="28"/>
  <c r="M112" i="28"/>
  <c r="N187" i="28"/>
  <c r="A187" i="28" s="1"/>
  <c r="N211" i="28"/>
  <c r="A211" i="28" s="1"/>
  <c r="M269" i="28"/>
  <c r="M294" i="28"/>
  <c r="M302" i="28"/>
  <c r="M305" i="28"/>
  <c r="E7" i="13"/>
  <c r="E13" i="20"/>
  <c r="E24" i="20"/>
  <c r="E21" i="20"/>
  <c r="E19" i="20"/>
  <c r="E14" i="20"/>
  <c r="E12" i="20"/>
  <c r="E16" i="20"/>
  <c r="E23" i="20"/>
  <c r="E18" i="20"/>
  <c r="E25" i="20"/>
  <c r="E11" i="20"/>
  <c r="E7" i="20"/>
  <c r="E20" i="20"/>
  <c r="E22" i="20"/>
  <c r="E12" i="13"/>
  <c r="E15" i="20"/>
  <c r="V18" i="20"/>
  <c r="W18" i="20" s="1"/>
  <c r="V11" i="20"/>
  <c r="W11" i="20" s="1"/>
  <c r="V19" i="20"/>
  <c r="W19" i="20" s="1"/>
  <c r="V7" i="20"/>
  <c r="V21" i="20"/>
  <c r="W21" i="20" s="1"/>
  <c r="M12" i="27"/>
  <c r="A12" i="27" s="1"/>
  <c r="M18" i="27"/>
  <c r="A18" i="27" s="1"/>
  <c r="V14" i="20"/>
  <c r="W14" i="20" s="1"/>
  <c r="V22" i="20"/>
  <c r="W22" i="20" s="1"/>
  <c r="V15" i="20"/>
  <c r="W15" i="20" s="1"/>
  <c r="V23" i="20"/>
  <c r="W23" i="20" s="1"/>
  <c r="L6" i="27"/>
  <c r="V17" i="20"/>
  <c r="W17" i="20" s="1"/>
  <c r="M22" i="27"/>
  <c r="A22" i="27" s="1"/>
  <c r="U46" i="27"/>
  <c r="M12" i="28"/>
  <c r="N12" i="28" s="1"/>
  <c r="A12" i="28" s="1"/>
  <c r="M57" i="28"/>
  <c r="N57" i="28" s="1"/>
  <c r="A57" i="28" s="1"/>
  <c r="M79" i="28"/>
  <c r="N79" i="28" s="1"/>
  <c r="A79" i="28" s="1"/>
  <c r="N85" i="28"/>
  <c r="A85" i="28" s="1"/>
  <c r="M118" i="28"/>
  <c r="M151" i="28"/>
  <c r="N156" i="28"/>
  <c r="A156" i="28" s="1"/>
  <c r="M166" i="28"/>
  <c r="M224" i="28"/>
  <c r="M240" i="28"/>
  <c r="M253" i="28"/>
  <c r="L7" i="28"/>
  <c r="M7" i="28" s="1"/>
  <c r="N7" i="28" s="1"/>
  <c r="A7" i="28" s="1"/>
  <c r="L9" i="28"/>
  <c r="M9" i="28" s="1"/>
  <c r="N9" i="28" s="1"/>
  <c r="A9" i="28" s="1"/>
  <c r="M33" i="28"/>
  <c r="N33" i="28" s="1"/>
  <c r="A33" i="28" s="1"/>
  <c r="M81" i="28"/>
  <c r="N103" i="28"/>
  <c r="A103" i="28" s="1"/>
  <c r="M126" i="28"/>
  <c r="M133" i="28"/>
  <c r="N147" i="28"/>
  <c r="A147" i="28" s="1"/>
  <c r="N162" i="28"/>
  <c r="A162" i="28" s="1"/>
  <c r="M169" i="28"/>
  <c r="N178" i="28"/>
  <c r="A178" i="28" s="1"/>
  <c r="M201" i="28"/>
  <c r="M218" i="28"/>
  <c r="N227" i="28"/>
  <c r="A227" i="28" s="1"/>
  <c r="M234" i="28"/>
  <c r="N243" i="28"/>
  <c r="A243" i="28" s="1"/>
  <c r="M249" i="28"/>
  <c r="M258" i="28"/>
  <c r="M270" i="28"/>
  <c r="M277" i="28"/>
  <c r="M290" i="28"/>
  <c r="M301" i="28"/>
  <c r="M32" i="28"/>
  <c r="N32" i="28" s="1"/>
  <c r="A32" i="28" s="1"/>
  <c r="N50" i="28"/>
  <c r="A50" i="28" s="1"/>
  <c r="M20" i="28"/>
  <c r="N20" i="28" s="1"/>
  <c r="A20" i="28" s="1"/>
  <c r="M49" i="28"/>
  <c r="N49" i="28" s="1"/>
  <c r="A49" i="28" s="1"/>
  <c r="M66" i="28"/>
  <c r="M75" i="28"/>
  <c r="N75" i="28" s="1"/>
  <c r="A75" i="28" s="1"/>
  <c r="M87" i="28"/>
  <c r="N87" i="28" s="1"/>
  <c r="A87" i="28" s="1"/>
  <c r="M88" i="28"/>
  <c r="N88" i="28" s="1"/>
  <c r="A88" i="28" s="1"/>
  <c r="M94" i="28"/>
  <c r="N94" i="28" s="1"/>
  <c r="A94" i="28" s="1"/>
  <c r="N97" i="28"/>
  <c r="A97" i="28" s="1"/>
  <c r="N105" i="28"/>
  <c r="A105" i="28" s="1"/>
  <c r="N111" i="28"/>
  <c r="A111" i="28" s="1"/>
  <c r="N129" i="28"/>
  <c r="A129" i="28" s="1"/>
  <c r="M135" i="28"/>
  <c r="N140" i="28"/>
  <c r="A140" i="28" s="1"/>
  <c r="M171" i="28"/>
  <c r="M182" i="28"/>
  <c r="M191" i="28"/>
  <c r="M194" i="28"/>
  <c r="M233" i="28"/>
  <c r="M261" i="28"/>
  <c r="M286" i="28"/>
  <c r="M297" i="28"/>
  <c r="M19" i="28"/>
  <c r="N19" i="28" s="1"/>
  <c r="A19" i="28" s="1"/>
  <c r="L8" i="28"/>
  <c r="M153" i="28"/>
  <c r="M161" i="28"/>
  <c r="M173" i="28"/>
  <c r="M177" i="28"/>
  <c r="M200" i="28"/>
  <c r="M217" i="28"/>
  <c r="M273" i="28"/>
  <c r="M293" i="28"/>
  <c r="M13" i="28"/>
  <c r="N13" i="28" s="1"/>
  <c r="A13" i="28" s="1"/>
  <c r="N54" i="28"/>
  <c r="N81" i="28"/>
  <c r="A81" i="28" s="1"/>
  <c r="M155" i="28"/>
  <c r="N168" i="28"/>
  <c r="A168" i="28" s="1"/>
  <c r="M25" i="28"/>
  <c r="N25" i="28" s="1"/>
  <c r="A25" i="28" s="1"/>
  <c r="M41" i="28"/>
  <c r="N41" i="28" s="1"/>
  <c r="A41" i="28" s="1"/>
  <c r="N80" i="28"/>
  <c r="A80" i="28" s="1"/>
  <c r="M89" i="28"/>
  <c r="N89" i="28" s="1"/>
  <c r="A89" i="28" s="1"/>
  <c r="M95" i="28"/>
  <c r="N95" i="28" s="1"/>
  <c r="A95" i="28" s="1"/>
  <c r="M96" i="28"/>
  <c r="M104" i="28"/>
  <c r="L9" i="25"/>
  <c r="M9" i="25" s="1"/>
  <c r="A9" i="25" s="1"/>
  <c r="L9" i="26"/>
  <c r="L8" i="26"/>
  <c r="M8" i="26" s="1"/>
  <c r="A8" i="26" s="1"/>
  <c r="M7" i="27"/>
  <c r="A7" i="27" s="1"/>
  <c r="N287" i="28"/>
  <c r="A287" i="28" s="1"/>
  <c r="M287" i="28"/>
  <c r="N296" i="28"/>
  <c r="A296" i="28" s="1"/>
  <c r="M296" i="28"/>
  <c r="M8" i="27"/>
  <c r="A8" i="27" s="1"/>
  <c r="M13" i="27"/>
  <c r="A13" i="27" s="1"/>
  <c r="M16" i="27"/>
  <c r="A16" i="27" s="1"/>
  <c r="M15" i="27"/>
  <c r="A15" i="27" s="1"/>
  <c r="L7" i="27"/>
  <c r="L9" i="27"/>
  <c r="M9" i="27" s="1"/>
  <c r="A9" i="27" s="1"/>
  <c r="M6" i="28"/>
  <c r="N6" i="28" s="1"/>
  <c r="A6" i="28" s="1"/>
  <c r="M8" i="28"/>
  <c r="N8" i="28" s="1"/>
  <c r="A8" i="28" s="1"/>
  <c r="M10" i="28"/>
  <c r="N10" i="28" s="1"/>
  <c r="A10" i="28" s="1"/>
  <c r="N99" i="28"/>
  <c r="A99" i="28" s="1"/>
  <c r="M99" i="28"/>
  <c r="N123" i="28"/>
  <c r="A123" i="28" s="1"/>
  <c r="M123" i="28"/>
  <c r="N190" i="28"/>
  <c r="A190" i="28" s="1"/>
  <c r="M190" i="28"/>
  <c r="M22" i="28"/>
  <c r="N22" i="28" s="1"/>
  <c r="A22" i="28" s="1"/>
  <c r="M11" i="28"/>
  <c r="N11" i="28" s="1"/>
  <c r="A11" i="28" s="1"/>
  <c r="M28" i="28"/>
  <c r="N28" i="28" s="1"/>
  <c r="A28" i="28" s="1"/>
  <c r="M35" i="28"/>
  <c r="N35" i="28" s="1"/>
  <c r="A35" i="28" s="1"/>
  <c r="M37" i="28"/>
  <c r="N37" i="28" s="1"/>
  <c r="A37" i="28" s="1"/>
  <c r="M44" i="28"/>
  <c r="N44" i="28" s="1"/>
  <c r="A44" i="28" s="1"/>
  <c r="M51" i="28"/>
  <c r="N51" i="28" s="1"/>
  <c r="A51" i="28" s="1"/>
  <c r="M53" i="28"/>
  <c r="N53" i="28" s="1"/>
  <c r="A53" i="28" s="1"/>
  <c r="M60" i="28"/>
  <c r="N60" i="28" s="1"/>
  <c r="A60" i="28" s="1"/>
  <c r="M67" i="28"/>
  <c r="N67" i="28" s="1"/>
  <c r="A67" i="28" s="1"/>
  <c r="N69" i="28"/>
  <c r="A69" i="28" s="1"/>
  <c r="M69" i="28"/>
  <c r="M83" i="28"/>
  <c r="N83" i="28" s="1"/>
  <c r="A83" i="28" s="1"/>
  <c r="N131" i="28"/>
  <c r="A131" i="28" s="1"/>
  <c r="M131" i="28"/>
  <c r="M160" i="28"/>
  <c r="N174" i="28"/>
  <c r="A174" i="28" s="1"/>
  <c r="M174" i="28"/>
  <c r="N183" i="28"/>
  <c r="A183" i="28" s="1"/>
  <c r="M183" i="28"/>
  <c r="M73" i="28"/>
  <c r="N73" i="28" s="1"/>
  <c r="A73" i="28" s="1"/>
  <c r="N76" i="28"/>
  <c r="A76" i="28" s="1"/>
  <c r="M76" i="28"/>
  <c r="M90" i="28"/>
  <c r="N90" i="28" s="1"/>
  <c r="A90" i="28" s="1"/>
  <c r="N114" i="28"/>
  <c r="A114" i="28" s="1"/>
  <c r="M114" i="28"/>
  <c r="M164" i="28"/>
  <c r="N164" i="28"/>
  <c r="A164" i="28" s="1"/>
  <c r="N207" i="28"/>
  <c r="A207" i="28" s="1"/>
  <c r="M207" i="28"/>
  <c r="N66" i="28"/>
  <c r="A66" i="28" s="1"/>
  <c r="N106" i="28"/>
  <c r="A106" i="28" s="1"/>
  <c r="M106" i="28"/>
  <c r="N138" i="28"/>
  <c r="A138" i="28" s="1"/>
  <c r="M138" i="28"/>
  <c r="N267" i="28"/>
  <c r="A267" i="28" s="1"/>
  <c r="M267" i="28"/>
  <c r="N272" i="28"/>
  <c r="A272" i="28" s="1"/>
  <c r="M272" i="28"/>
  <c r="N283" i="28"/>
  <c r="A283" i="28" s="1"/>
  <c r="M283" i="28"/>
  <c r="N292" i="28"/>
  <c r="A292" i="28" s="1"/>
  <c r="M292" i="28"/>
  <c r="M27" i="28"/>
  <c r="N27" i="28" s="1"/>
  <c r="A27" i="28" s="1"/>
  <c r="M29" i="28"/>
  <c r="N29" i="28" s="1"/>
  <c r="A29" i="28" s="1"/>
  <c r="M36" i="28"/>
  <c r="N36" i="28" s="1"/>
  <c r="A36" i="28" s="1"/>
  <c r="M43" i="28"/>
  <c r="N43" i="28" s="1"/>
  <c r="A43" i="28" s="1"/>
  <c r="M45" i="28"/>
  <c r="N45" i="28" s="1"/>
  <c r="A45" i="28" s="1"/>
  <c r="AM10" i="20" s="1"/>
  <c r="M52" i="28"/>
  <c r="N52" i="28" s="1"/>
  <c r="A52" i="28" s="1"/>
  <c r="M59" i="28"/>
  <c r="N59" i="28" s="1"/>
  <c r="A59" i="28" s="1"/>
  <c r="M61" i="28"/>
  <c r="N61" i="28" s="1"/>
  <c r="A61" i="28" s="1"/>
  <c r="N68" i="28"/>
  <c r="A68" i="28" s="1"/>
  <c r="M68" i="28"/>
  <c r="M82" i="28"/>
  <c r="N82" i="28" s="1"/>
  <c r="A82" i="28" s="1"/>
  <c r="M101" i="28"/>
  <c r="M125" i="28"/>
  <c r="N130" i="28"/>
  <c r="A130" i="28" s="1"/>
  <c r="M130" i="28"/>
  <c r="N142" i="28"/>
  <c r="A142" i="28" s="1"/>
  <c r="M142" i="28"/>
  <c r="M180" i="28"/>
  <c r="N180" i="28"/>
  <c r="A180" i="28" s="1"/>
  <c r="M188" i="28"/>
  <c r="N188" i="28"/>
  <c r="A188" i="28" s="1"/>
  <c r="N197" i="28"/>
  <c r="A197" i="28" s="1"/>
  <c r="M197" i="28"/>
  <c r="N220" i="28"/>
  <c r="A220" i="28" s="1"/>
  <c r="M220" i="28"/>
  <c r="N236" i="28"/>
  <c r="A236" i="28" s="1"/>
  <c r="M236" i="28"/>
  <c r="M65" i="28"/>
  <c r="N65" i="28" s="1"/>
  <c r="A65" i="28" s="1"/>
  <c r="M77" i="28"/>
  <c r="N77" i="28" s="1"/>
  <c r="A77" i="28" s="1"/>
  <c r="N91" i="28"/>
  <c r="A91" i="28" s="1"/>
  <c r="M91" i="28"/>
  <c r="N115" i="28"/>
  <c r="A115" i="28" s="1"/>
  <c r="M115" i="28"/>
  <c r="N154" i="28"/>
  <c r="A154" i="28" s="1"/>
  <c r="M154" i="28"/>
  <c r="N263" i="28"/>
  <c r="A263" i="28" s="1"/>
  <c r="M263" i="28"/>
  <c r="M31" i="28"/>
  <c r="N31" i="28" s="1"/>
  <c r="A31" i="28" s="1"/>
  <c r="M47" i="28"/>
  <c r="N47" i="28" s="1"/>
  <c r="A47" i="28" s="1"/>
  <c r="M63" i="28"/>
  <c r="N63" i="28" s="1"/>
  <c r="A63" i="28" s="1"/>
  <c r="N98" i="28"/>
  <c r="A98" i="28" s="1"/>
  <c r="M98" i="28"/>
  <c r="N122" i="28"/>
  <c r="A122" i="28" s="1"/>
  <c r="M122" i="28"/>
  <c r="M144" i="28"/>
  <c r="N158" i="28"/>
  <c r="A158" i="28" s="1"/>
  <c r="M158" i="28"/>
  <c r="M184" i="28"/>
  <c r="N230" i="28"/>
  <c r="A230" i="28" s="1"/>
  <c r="M230" i="28"/>
  <c r="N26" i="28"/>
  <c r="A26" i="28" s="1"/>
  <c r="N39" i="28"/>
  <c r="A39" i="28" s="1"/>
  <c r="N55" i="28"/>
  <c r="A55" i="28" s="1"/>
  <c r="N58" i="28"/>
  <c r="A58" i="28" s="1"/>
  <c r="N71" i="28"/>
  <c r="A71" i="28" s="1"/>
  <c r="N74" i="28"/>
  <c r="A74" i="28" s="1"/>
  <c r="M93" i="28"/>
  <c r="N93" i="28" s="1"/>
  <c r="A93" i="28" s="1"/>
  <c r="N107" i="28"/>
  <c r="A107" i="28" s="1"/>
  <c r="M107" i="28"/>
  <c r="M117" i="28"/>
  <c r="M148" i="28"/>
  <c r="N148" i="28"/>
  <c r="A148" i="28" s="1"/>
  <c r="N170" i="28"/>
  <c r="A170" i="28" s="1"/>
  <c r="M170" i="28"/>
  <c r="N181" i="28"/>
  <c r="A181" i="28" s="1"/>
  <c r="M181" i="28"/>
  <c r="N204" i="28"/>
  <c r="A204" i="28" s="1"/>
  <c r="M204" i="28"/>
  <c r="N212" i="28"/>
  <c r="A212" i="28" s="1"/>
  <c r="M212" i="28"/>
  <c r="N239" i="28"/>
  <c r="A239" i="28" s="1"/>
  <c r="M239" i="28"/>
  <c r="N256" i="28"/>
  <c r="A256" i="28" s="1"/>
  <c r="M256" i="28"/>
  <c r="N295" i="28"/>
  <c r="A295" i="28" s="1"/>
  <c r="M295" i="28"/>
  <c r="N304" i="28"/>
  <c r="A304" i="28" s="1"/>
  <c r="M304" i="28"/>
  <c r="N214" i="28"/>
  <c r="A214" i="28" s="1"/>
  <c r="M214" i="28"/>
  <c r="N222" i="28"/>
  <c r="A222" i="28" s="1"/>
  <c r="M222" i="28"/>
  <c r="N228" i="28"/>
  <c r="A228" i="28" s="1"/>
  <c r="M228" i="28"/>
  <c r="N252" i="28"/>
  <c r="A252" i="28" s="1"/>
  <c r="M252" i="28"/>
  <c r="N271" i="28"/>
  <c r="A271" i="28" s="1"/>
  <c r="M271" i="28"/>
  <c r="N276" i="28"/>
  <c r="A276" i="28" s="1"/>
  <c r="M276" i="28"/>
  <c r="N291" i="28"/>
  <c r="A291" i="28" s="1"/>
  <c r="M291" i="28"/>
  <c r="N300" i="28"/>
  <c r="A300" i="28" s="1"/>
  <c r="M300" i="28"/>
  <c r="M30" i="28"/>
  <c r="N30" i="28" s="1"/>
  <c r="A30" i="28" s="1"/>
  <c r="M38" i="28"/>
  <c r="N38" i="28" s="1"/>
  <c r="A38" i="28" s="1"/>
  <c r="M46" i="28"/>
  <c r="N46" i="28" s="1"/>
  <c r="A46" i="28" s="1"/>
  <c r="M84" i="28"/>
  <c r="N84" i="28" s="1"/>
  <c r="A84" i="28" s="1"/>
  <c r="M92" i="28"/>
  <c r="N92" i="28" s="1"/>
  <c r="A92" i="28" s="1"/>
  <c r="M100" i="28"/>
  <c r="M108" i="28"/>
  <c r="M116" i="28"/>
  <c r="M124" i="28"/>
  <c r="M132" i="28"/>
  <c r="M143" i="28"/>
  <c r="M149" i="28"/>
  <c r="M159" i="28"/>
  <c r="M165" i="28"/>
  <c r="M175" i="28"/>
  <c r="M199" i="28"/>
  <c r="N205" i="28"/>
  <c r="A205" i="28" s="1"/>
  <c r="M205" i="28"/>
  <c r="N259" i="28"/>
  <c r="A259" i="28" s="1"/>
  <c r="M259" i="28"/>
  <c r="N288" i="28"/>
  <c r="A288" i="28" s="1"/>
  <c r="M288" i="28"/>
  <c r="N198" i="28"/>
  <c r="A198" i="28" s="1"/>
  <c r="M198" i="28"/>
  <c r="N246" i="28"/>
  <c r="A246" i="28" s="1"/>
  <c r="M246" i="28"/>
  <c r="N255" i="28"/>
  <c r="A255" i="28" s="1"/>
  <c r="M255" i="28"/>
  <c r="N268" i="28"/>
  <c r="A268" i="28" s="1"/>
  <c r="M268" i="28"/>
  <c r="N279" i="28"/>
  <c r="A279" i="28" s="1"/>
  <c r="M279" i="28"/>
  <c r="N284" i="28"/>
  <c r="A284" i="28" s="1"/>
  <c r="M284" i="28"/>
  <c r="N196" i="28"/>
  <c r="A196" i="28" s="1"/>
  <c r="M196" i="28"/>
  <c r="M231" i="28"/>
  <c r="N244" i="28"/>
  <c r="A244" i="28" s="1"/>
  <c r="M244" i="28"/>
  <c r="N251" i="28"/>
  <c r="A251" i="28" s="1"/>
  <c r="M251" i="28"/>
  <c r="N264" i="28"/>
  <c r="A264" i="28" s="1"/>
  <c r="M264" i="28"/>
  <c r="N303" i="28"/>
  <c r="A303" i="28" s="1"/>
  <c r="M303" i="28"/>
  <c r="N189" i="28"/>
  <c r="A189" i="28" s="1"/>
  <c r="M189" i="28"/>
  <c r="N206" i="28"/>
  <c r="A206" i="28" s="1"/>
  <c r="M206" i="28"/>
  <c r="M215" i="28"/>
  <c r="M223" i="28"/>
  <c r="N238" i="28"/>
  <c r="A238" i="28" s="1"/>
  <c r="M238" i="28"/>
  <c r="N260" i="28"/>
  <c r="A260" i="28" s="1"/>
  <c r="M260" i="28"/>
  <c r="N275" i="28"/>
  <c r="A275" i="28" s="1"/>
  <c r="M275" i="28"/>
  <c r="N280" i="28"/>
  <c r="A280" i="28" s="1"/>
  <c r="M280" i="28"/>
  <c r="N299" i="28"/>
  <c r="A299" i="28" s="1"/>
  <c r="M299" i="28"/>
  <c r="M213" i="28"/>
  <c r="M221" i="28"/>
  <c r="M229" i="28"/>
  <c r="M237" i="28"/>
  <c r="M245" i="28"/>
  <c r="O13" i="13"/>
  <c r="O11" i="13"/>
  <c r="O6" i="13"/>
  <c r="O14" i="13"/>
  <c r="O15" i="13"/>
  <c r="O16" i="13"/>
  <c r="O17" i="13"/>
  <c r="O18" i="13"/>
  <c r="O19" i="13"/>
  <c r="G13" i="13"/>
  <c r="G11" i="13"/>
  <c r="G6" i="13"/>
  <c r="G14" i="13"/>
  <c r="G15" i="13"/>
  <c r="G16" i="13"/>
  <c r="G17" i="13"/>
  <c r="G18" i="13"/>
  <c r="G19" i="13"/>
  <c r="E13" i="13"/>
  <c r="E11" i="13"/>
  <c r="E6" i="13"/>
  <c r="E14" i="13"/>
  <c r="E15" i="13"/>
  <c r="E16" i="13"/>
  <c r="E17" i="13"/>
  <c r="E18" i="13"/>
  <c r="E19" i="13"/>
  <c r="L6" i="18"/>
  <c r="M6" i="18" s="1"/>
  <c r="A6" i="18" s="1"/>
  <c r="L8" i="18"/>
  <c r="M8" i="18" s="1"/>
  <c r="A8" i="18" s="1"/>
  <c r="L7" i="18"/>
  <c r="M7" i="18" s="1"/>
  <c r="A7" i="18" s="1"/>
  <c r="M13" i="18"/>
  <c r="A13" i="18" s="1"/>
  <c r="M14" i="18"/>
  <c r="A14" i="18" s="1"/>
  <c r="M15" i="18"/>
  <c r="A15" i="18" s="1"/>
  <c r="M16" i="18"/>
  <c r="A16" i="18" s="1"/>
  <c r="M17" i="18"/>
  <c r="A17" i="18" s="1"/>
  <c r="M20" i="18"/>
  <c r="A20" i="18" s="1"/>
  <c r="M21" i="18"/>
  <c r="A21" i="18" s="1"/>
  <c r="M25" i="18"/>
  <c r="A25" i="18" s="1"/>
  <c r="M27" i="18"/>
  <c r="A27" i="18" s="1"/>
  <c r="M28" i="18"/>
  <c r="A28" i="18" s="1"/>
  <c r="M29" i="18"/>
  <c r="A29" i="18" s="1"/>
  <c r="M30" i="18"/>
  <c r="A30" i="18" s="1"/>
  <c r="M32" i="18"/>
  <c r="A32" i="18" s="1"/>
  <c r="M36" i="18"/>
  <c r="A36" i="18" s="1"/>
  <c r="L8" i="19"/>
  <c r="L6" i="19"/>
  <c r="M6" i="19"/>
  <c r="N6" i="19" s="1"/>
  <c r="A6" i="19" s="1"/>
  <c r="M8" i="19"/>
  <c r="N8" i="19" s="1"/>
  <c r="A8" i="19" s="1"/>
  <c r="M9" i="19"/>
  <c r="N9" i="19" s="1"/>
  <c r="A9" i="19" s="1"/>
  <c r="M10" i="19"/>
  <c r="N10" i="19" s="1"/>
  <c r="M11" i="19"/>
  <c r="N11" i="19" s="1"/>
  <c r="A11" i="19" s="1"/>
  <c r="M12" i="19"/>
  <c r="N12" i="19" s="1"/>
  <c r="A12" i="19" s="1"/>
  <c r="M13" i="19"/>
  <c r="N13" i="19" s="1"/>
  <c r="A13" i="19" s="1"/>
  <c r="N14" i="19"/>
  <c r="A14" i="19" s="1"/>
  <c r="M14" i="19"/>
  <c r="N15" i="19"/>
  <c r="A15" i="19" s="1"/>
  <c r="M15" i="19"/>
  <c r="N16" i="19"/>
  <c r="A16" i="19" s="1"/>
  <c r="M16" i="19"/>
  <c r="N17" i="19"/>
  <c r="A17" i="19" s="1"/>
  <c r="M17" i="19"/>
  <c r="N18" i="19"/>
  <c r="A18" i="19" s="1"/>
  <c r="M18" i="19"/>
  <c r="N19" i="19"/>
  <c r="M19" i="19"/>
  <c r="N20" i="19"/>
  <c r="M20" i="19"/>
  <c r="N21" i="19"/>
  <c r="A21" i="19" s="1"/>
  <c r="M21" i="19"/>
  <c r="N22" i="19"/>
  <c r="A22" i="19" s="1"/>
  <c r="M22" i="19"/>
  <c r="N23" i="19"/>
  <c r="A23" i="19" s="1"/>
  <c r="M23" i="19"/>
  <c r="N24" i="19"/>
  <c r="A24" i="19" s="1"/>
  <c r="M24" i="19"/>
  <c r="N25" i="19"/>
  <c r="A25" i="19" s="1"/>
  <c r="M25" i="19"/>
  <c r="N26" i="19"/>
  <c r="M26" i="19"/>
  <c r="N27" i="19"/>
  <c r="M27" i="19"/>
  <c r="N28" i="19"/>
  <c r="A28" i="19" s="1"/>
  <c r="M28" i="19"/>
  <c r="N29" i="19"/>
  <c r="A29" i="19" s="1"/>
  <c r="M29" i="19"/>
  <c r="N30" i="19"/>
  <c r="A30" i="19" s="1"/>
  <c r="M30" i="19"/>
  <c r="N31" i="19"/>
  <c r="M31" i="19"/>
  <c r="N32" i="19"/>
  <c r="M32" i="19"/>
  <c r="N33" i="19"/>
  <c r="A33" i="19" s="1"/>
  <c r="M33" i="19"/>
  <c r="N34" i="19"/>
  <c r="A34" i="19" s="1"/>
  <c r="M34" i="19"/>
  <c r="N35" i="19"/>
  <c r="A35" i="19" s="1"/>
  <c r="M35" i="19"/>
  <c r="N36" i="19"/>
  <c r="A36" i="19" s="1"/>
  <c r="M36" i="19"/>
  <c r="N37" i="19"/>
  <c r="A37" i="19" s="1"/>
  <c r="M37" i="19"/>
  <c r="N38" i="19"/>
  <c r="M38" i="19"/>
  <c r="N39" i="19"/>
  <c r="M39" i="19"/>
  <c r="N40" i="19"/>
  <c r="A40" i="19" s="1"/>
  <c r="M40" i="19"/>
  <c r="N41" i="19"/>
  <c r="A41" i="19" s="1"/>
  <c r="M41" i="19"/>
  <c r="N42" i="19"/>
  <c r="A42" i="19" s="1"/>
  <c r="M42" i="19"/>
  <c r="N43" i="19"/>
  <c r="A43" i="19" s="1"/>
  <c r="M43" i="19"/>
  <c r="N44" i="19"/>
  <c r="M44" i="19"/>
  <c r="N45" i="19"/>
  <c r="A45" i="19" s="1"/>
  <c r="M45" i="19"/>
  <c r="N46" i="19"/>
  <c r="M46" i="19"/>
  <c r="N47" i="19"/>
  <c r="M47" i="19"/>
  <c r="N48" i="19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A53" i="19" s="1"/>
  <c r="M53" i="19"/>
  <c r="N54" i="19"/>
  <c r="M54" i="19"/>
  <c r="N55" i="19"/>
  <c r="A55" i="19" s="1"/>
  <c r="M55" i="19"/>
  <c r="N56" i="19"/>
  <c r="A56" i="19" s="1"/>
  <c r="M56" i="19"/>
  <c r="N57" i="19"/>
  <c r="A57" i="19" s="1"/>
  <c r="M57" i="19"/>
  <c r="N58" i="19"/>
  <c r="A58" i="19" s="1"/>
  <c r="M58" i="19"/>
  <c r="N59" i="19"/>
  <c r="M59" i="19"/>
  <c r="N60" i="19"/>
  <c r="M60" i="19"/>
  <c r="N61" i="19"/>
  <c r="M61" i="19"/>
  <c r="N62" i="19"/>
  <c r="A62" i="19" s="1"/>
  <c r="M62" i="19"/>
  <c r="N63" i="19"/>
  <c r="A63" i="19" s="1"/>
  <c r="M63" i="19"/>
  <c r="N64" i="19"/>
  <c r="A64" i="19" s="1"/>
  <c r="M64" i="19"/>
  <c r="N65" i="19"/>
  <c r="M65" i="19"/>
  <c r="N66" i="19"/>
  <c r="M66" i="19"/>
  <c r="N67" i="19"/>
  <c r="M67" i="19"/>
  <c r="N68" i="19"/>
  <c r="M68" i="19"/>
  <c r="N69" i="19"/>
  <c r="A69" i="19" s="1"/>
  <c r="M69" i="19"/>
  <c r="N70" i="19"/>
  <c r="M70" i="19"/>
  <c r="N71" i="19"/>
  <c r="M71" i="19"/>
  <c r="N72" i="19"/>
  <c r="M72" i="19"/>
  <c r="N73" i="19"/>
  <c r="M73" i="19"/>
  <c r="N74" i="19"/>
  <c r="M74" i="19"/>
  <c r="N75" i="19"/>
  <c r="M75" i="19"/>
  <c r="N76" i="19"/>
  <c r="M76" i="19"/>
  <c r="N77" i="19"/>
  <c r="A77" i="19" s="1"/>
  <c r="M77" i="19"/>
  <c r="N78" i="19"/>
  <c r="M78" i="19"/>
  <c r="N79" i="19"/>
  <c r="M79" i="19"/>
  <c r="N80" i="19"/>
  <c r="M80" i="19"/>
  <c r="N81" i="19"/>
  <c r="A81" i="19" s="1"/>
  <c r="M81" i="19"/>
  <c r="N82" i="19"/>
  <c r="M82" i="19"/>
  <c r="N83" i="19"/>
  <c r="A83" i="19" s="1"/>
  <c r="M83" i="19"/>
  <c r="N84" i="19"/>
  <c r="M84" i="19"/>
  <c r="N85" i="19"/>
  <c r="A85" i="19" s="1"/>
  <c r="M85" i="19"/>
  <c r="N86" i="19"/>
  <c r="M86" i="19"/>
  <c r="N87" i="19"/>
  <c r="A87" i="19" s="1"/>
  <c r="M87" i="19"/>
  <c r="N88" i="19"/>
  <c r="M88" i="19"/>
  <c r="N89" i="19"/>
  <c r="A89" i="19" s="1"/>
  <c r="M89" i="19"/>
  <c r="N90" i="19"/>
  <c r="M90" i="19"/>
  <c r="N91" i="19"/>
  <c r="A91" i="19" s="1"/>
  <c r="M91" i="19"/>
  <c r="N92" i="19"/>
  <c r="M92" i="19"/>
  <c r="N93" i="19"/>
  <c r="A93" i="19" s="1"/>
  <c r="M93" i="19"/>
  <c r="N94" i="19"/>
  <c r="M94" i="19"/>
  <c r="N95" i="19"/>
  <c r="A95" i="19" s="1"/>
  <c r="M95" i="19"/>
  <c r="N96" i="19"/>
  <c r="M96" i="19"/>
  <c r="N97" i="19"/>
  <c r="A97" i="19" s="1"/>
  <c r="M97" i="19"/>
  <c r="N98" i="19"/>
  <c r="M98" i="19"/>
  <c r="N99" i="19"/>
  <c r="A99" i="19" s="1"/>
  <c r="M99" i="19"/>
  <c r="N100" i="19"/>
  <c r="M100" i="19"/>
  <c r="N101" i="19"/>
  <c r="A101" i="19" s="1"/>
  <c r="M101" i="19"/>
  <c r="N102" i="19"/>
  <c r="M102" i="19"/>
  <c r="N103" i="19"/>
  <c r="A103" i="19" s="1"/>
  <c r="M103" i="19"/>
  <c r="N104" i="19"/>
  <c r="M104" i="19"/>
  <c r="N105" i="19"/>
  <c r="A105" i="19" s="1"/>
  <c r="M105" i="19"/>
  <c r="N106" i="19"/>
  <c r="M106" i="19"/>
  <c r="N107" i="19"/>
  <c r="A107" i="19" s="1"/>
  <c r="M107" i="19"/>
  <c r="N108" i="19"/>
  <c r="M108" i="19"/>
  <c r="N109" i="19"/>
  <c r="A109" i="19" s="1"/>
  <c r="M109" i="19"/>
  <c r="N110" i="19"/>
  <c r="M110" i="19"/>
  <c r="N111" i="19"/>
  <c r="A111" i="19" s="1"/>
  <c r="M111" i="19"/>
  <c r="N112" i="19"/>
  <c r="M112" i="19"/>
  <c r="N113" i="19"/>
  <c r="A113" i="19" s="1"/>
  <c r="M113" i="19"/>
  <c r="N114" i="19"/>
  <c r="M114" i="19"/>
  <c r="N115" i="19"/>
  <c r="A115" i="19" s="1"/>
  <c r="M115" i="19"/>
  <c r="N116" i="19"/>
  <c r="M116" i="19"/>
  <c r="N117" i="19"/>
  <c r="A117" i="19" s="1"/>
  <c r="M117" i="19"/>
  <c r="N118" i="19"/>
  <c r="M118" i="19"/>
  <c r="N119" i="19"/>
  <c r="A119" i="19" s="1"/>
  <c r="M119" i="19"/>
  <c r="N120" i="19"/>
  <c r="M120" i="19"/>
  <c r="N121" i="19"/>
  <c r="A121" i="19" s="1"/>
  <c r="M121" i="19"/>
  <c r="N122" i="19"/>
  <c r="M122" i="19"/>
  <c r="N123" i="19"/>
  <c r="A123" i="19" s="1"/>
  <c r="M123" i="19"/>
  <c r="N124" i="19"/>
  <c r="M124" i="19"/>
  <c r="N125" i="19"/>
  <c r="A125" i="19" s="1"/>
  <c r="M125" i="19"/>
  <c r="N126" i="19"/>
  <c r="M126" i="19"/>
  <c r="N127" i="19"/>
  <c r="A127" i="19" s="1"/>
  <c r="M127" i="19"/>
  <c r="N128" i="19"/>
  <c r="M128" i="19"/>
  <c r="N129" i="19"/>
  <c r="A129" i="19" s="1"/>
  <c r="M129" i="19"/>
  <c r="N130" i="19"/>
  <c r="M130" i="19"/>
  <c r="N131" i="19"/>
  <c r="A131" i="19" s="1"/>
  <c r="M131" i="19"/>
  <c r="N132" i="19"/>
  <c r="M132" i="19"/>
  <c r="N133" i="19"/>
  <c r="A133" i="19" s="1"/>
  <c r="M133" i="19"/>
  <c r="N134" i="19"/>
  <c r="M134" i="19"/>
  <c r="N135" i="19"/>
  <c r="A135" i="19" s="1"/>
  <c r="M135" i="19"/>
  <c r="N136" i="19"/>
  <c r="M136" i="19"/>
  <c r="N137" i="19"/>
  <c r="A137" i="19" s="1"/>
  <c r="M137" i="19"/>
  <c r="N138" i="19"/>
  <c r="A138" i="19" s="1"/>
  <c r="M138" i="19"/>
  <c r="N139" i="19"/>
  <c r="M139" i="19"/>
  <c r="N140" i="19"/>
  <c r="M140" i="19"/>
  <c r="N141" i="19"/>
  <c r="A141" i="19" s="1"/>
  <c r="M141" i="19"/>
  <c r="N142" i="19"/>
  <c r="M142" i="19"/>
  <c r="N143" i="19"/>
  <c r="M143" i="19"/>
  <c r="N144" i="19"/>
  <c r="M144" i="19"/>
  <c r="N145" i="19"/>
  <c r="A145" i="19" s="1"/>
  <c r="M145" i="19"/>
  <c r="N146" i="19"/>
  <c r="M146" i="19"/>
  <c r="N147" i="19"/>
  <c r="M147" i="19"/>
  <c r="N148" i="19"/>
  <c r="M148" i="19"/>
  <c r="N149" i="19"/>
  <c r="A149" i="19" s="1"/>
  <c r="M149" i="19"/>
  <c r="N150" i="19"/>
  <c r="M150" i="19"/>
  <c r="N151" i="19"/>
  <c r="M151" i="19"/>
  <c r="N152" i="19"/>
  <c r="M152" i="19"/>
  <c r="N153" i="19"/>
  <c r="A153" i="19" s="1"/>
  <c r="M153" i="19"/>
  <c r="N154" i="19"/>
  <c r="M154" i="19"/>
  <c r="N155" i="19"/>
  <c r="M155" i="19"/>
  <c r="N156" i="19"/>
  <c r="M156" i="19"/>
  <c r="N157" i="19"/>
  <c r="A157" i="19" s="1"/>
  <c r="M157" i="19"/>
  <c r="N158" i="19"/>
  <c r="M158" i="19"/>
  <c r="N159" i="19"/>
  <c r="M159" i="19"/>
  <c r="N160" i="19"/>
  <c r="M160" i="19"/>
  <c r="N161" i="19"/>
  <c r="A161" i="19" s="1"/>
  <c r="M161" i="19"/>
  <c r="N162" i="19"/>
  <c r="M162" i="19"/>
  <c r="N163" i="19"/>
  <c r="M163" i="19"/>
  <c r="N164" i="19"/>
  <c r="M164" i="19"/>
  <c r="N165" i="19"/>
  <c r="A165" i="19" s="1"/>
  <c r="M165" i="19"/>
  <c r="N166" i="19"/>
  <c r="M166" i="19"/>
  <c r="N167" i="19"/>
  <c r="M167" i="19"/>
  <c r="N168" i="19"/>
  <c r="M168" i="19"/>
  <c r="N169" i="19"/>
  <c r="A169" i="19" s="1"/>
  <c r="M169" i="19"/>
  <c r="N170" i="19"/>
  <c r="M170" i="19"/>
  <c r="N171" i="19"/>
  <c r="M171" i="19"/>
  <c r="N172" i="19"/>
  <c r="M172" i="19"/>
  <c r="N173" i="19"/>
  <c r="A173" i="19" s="1"/>
  <c r="M173" i="19"/>
  <c r="N174" i="19"/>
  <c r="M174" i="19"/>
  <c r="N175" i="19"/>
  <c r="M175" i="19"/>
  <c r="N176" i="19"/>
  <c r="M176" i="19"/>
  <c r="N177" i="19"/>
  <c r="M177" i="19"/>
  <c r="N178" i="19"/>
  <c r="M178" i="19"/>
  <c r="N179" i="19"/>
  <c r="M179" i="19"/>
  <c r="N180" i="19"/>
  <c r="M180" i="19"/>
  <c r="N181" i="19"/>
  <c r="A181" i="19" s="1"/>
  <c r="M181" i="19"/>
  <c r="N182" i="19"/>
  <c r="M182" i="19"/>
  <c r="N183" i="19"/>
  <c r="M183" i="19"/>
  <c r="N184" i="19"/>
  <c r="M184" i="19"/>
  <c r="N185" i="19"/>
  <c r="A185" i="19" s="1"/>
  <c r="M185" i="19"/>
  <c r="N186" i="19"/>
  <c r="M186" i="19"/>
  <c r="N187" i="19"/>
  <c r="M187" i="19"/>
  <c r="N188" i="19"/>
  <c r="M188" i="19"/>
  <c r="N189" i="19"/>
  <c r="A189" i="19" s="1"/>
  <c r="M189" i="19"/>
  <c r="N190" i="19"/>
  <c r="M190" i="19"/>
  <c r="N191" i="19"/>
  <c r="M191" i="19"/>
  <c r="N192" i="19"/>
  <c r="M192" i="19"/>
  <c r="N193" i="19"/>
  <c r="A193" i="19" s="1"/>
  <c r="M193" i="19"/>
  <c r="N194" i="19"/>
  <c r="M194" i="19"/>
  <c r="N195" i="19"/>
  <c r="M195" i="19"/>
  <c r="N196" i="19"/>
  <c r="M196" i="19"/>
  <c r="N197" i="19"/>
  <c r="A197" i="19" s="1"/>
  <c r="M197" i="19"/>
  <c r="N198" i="19"/>
  <c r="M198" i="19"/>
  <c r="N199" i="19"/>
  <c r="M199" i="19"/>
  <c r="N200" i="19"/>
  <c r="M200" i="19"/>
  <c r="N201" i="19"/>
  <c r="A201" i="19" s="1"/>
  <c r="M201" i="19"/>
  <c r="N202" i="19"/>
  <c r="M202" i="19"/>
  <c r="N203" i="19"/>
  <c r="M203" i="19"/>
  <c r="N204" i="19"/>
  <c r="M204" i="19"/>
  <c r="N205" i="19"/>
  <c r="M205" i="19"/>
  <c r="N206" i="19"/>
  <c r="M206" i="19"/>
  <c r="N207" i="19"/>
  <c r="M207" i="19"/>
  <c r="N208" i="19"/>
  <c r="M208" i="19"/>
  <c r="N209" i="19"/>
  <c r="M209" i="19"/>
  <c r="N210" i="19"/>
  <c r="M210" i="19"/>
  <c r="N211" i="19"/>
  <c r="M211" i="19"/>
  <c r="N212" i="19"/>
  <c r="M212" i="19"/>
  <c r="N213" i="19"/>
  <c r="A213" i="19" s="1"/>
  <c r="M213" i="19"/>
  <c r="N214" i="19"/>
  <c r="M214" i="19"/>
  <c r="N215" i="19"/>
  <c r="M215" i="19"/>
  <c r="N216" i="19"/>
  <c r="M216" i="19"/>
  <c r="N217" i="19"/>
  <c r="A217" i="19" s="1"/>
  <c r="M217" i="19"/>
  <c r="N218" i="19"/>
  <c r="M218" i="19"/>
  <c r="N219" i="19"/>
  <c r="M219" i="19"/>
  <c r="N220" i="19"/>
  <c r="M220" i="19"/>
  <c r="N221" i="19"/>
  <c r="A221" i="19" s="1"/>
  <c r="M221" i="19"/>
  <c r="N222" i="19"/>
  <c r="M222" i="19"/>
  <c r="N223" i="19"/>
  <c r="M223" i="19"/>
  <c r="N224" i="19"/>
  <c r="M224" i="19"/>
  <c r="N225" i="19"/>
  <c r="A225" i="19" s="1"/>
  <c r="M225" i="19"/>
  <c r="N226" i="19"/>
  <c r="M226" i="19"/>
  <c r="N227" i="19"/>
  <c r="M227" i="19"/>
  <c r="N228" i="19"/>
  <c r="M228" i="19"/>
  <c r="N229" i="19"/>
  <c r="A229" i="19" s="1"/>
  <c r="M229" i="19"/>
  <c r="N230" i="19"/>
  <c r="M230" i="19"/>
  <c r="N231" i="19"/>
  <c r="M231" i="19"/>
  <c r="N232" i="19"/>
  <c r="M232" i="19"/>
  <c r="N233" i="19"/>
  <c r="A233" i="19" s="1"/>
  <c r="M233" i="19"/>
  <c r="N234" i="19"/>
  <c r="M234" i="19"/>
  <c r="N235" i="19"/>
  <c r="M235" i="19"/>
  <c r="N236" i="19"/>
  <c r="M236" i="19"/>
  <c r="N237" i="19"/>
  <c r="A237" i="19" s="1"/>
  <c r="M237" i="19"/>
  <c r="N238" i="19"/>
  <c r="M238" i="19"/>
  <c r="N239" i="19"/>
  <c r="A239" i="19" s="1"/>
  <c r="M239" i="19"/>
  <c r="N240" i="19"/>
  <c r="M240" i="19"/>
  <c r="N241" i="19"/>
  <c r="A241" i="19" s="1"/>
  <c r="M241" i="19"/>
  <c r="N242" i="19"/>
  <c r="M242" i="19"/>
  <c r="N243" i="19"/>
  <c r="A243" i="19" s="1"/>
  <c r="M243" i="19"/>
  <c r="N244" i="19"/>
  <c r="M244" i="19"/>
  <c r="N245" i="19"/>
  <c r="A245" i="19" s="1"/>
  <c r="M245" i="19"/>
  <c r="N246" i="19"/>
  <c r="M246" i="19"/>
  <c r="N247" i="19"/>
  <c r="A247" i="19" s="1"/>
  <c r="M247" i="19"/>
  <c r="N248" i="19"/>
  <c r="M248" i="19"/>
  <c r="N249" i="19"/>
  <c r="A249" i="19" s="1"/>
  <c r="M249" i="19"/>
  <c r="N250" i="19"/>
  <c r="M250" i="19"/>
  <c r="N251" i="19"/>
  <c r="A251" i="19" s="1"/>
  <c r="M251" i="19"/>
  <c r="N252" i="19"/>
  <c r="M252" i="19"/>
  <c r="N253" i="19"/>
  <c r="A253" i="19" s="1"/>
  <c r="M253" i="19"/>
  <c r="N254" i="19"/>
  <c r="M254" i="19"/>
  <c r="N255" i="19"/>
  <c r="A255" i="19" s="1"/>
  <c r="M255" i="19"/>
  <c r="N256" i="19"/>
  <c r="M256" i="19"/>
  <c r="N257" i="19"/>
  <c r="A257" i="19" s="1"/>
  <c r="M257" i="19"/>
  <c r="N258" i="19"/>
  <c r="M258" i="19"/>
  <c r="N259" i="19"/>
  <c r="A259" i="19" s="1"/>
  <c r="M259" i="19"/>
  <c r="N260" i="19"/>
  <c r="M260" i="19"/>
  <c r="N261" i="19"/>
  <c r="A261" i="19" s="1"/>
  <c r="M261" i="19"/>
  <c r="N262" i="19"/>
  <c r="M262" i="19"/>
  <c r="N263" i="19"/>
  <c r="A263" i="19" s="1"/>
  <c r="M263" i="19"/>
  <c r="N264" i="19"/>
  <c r="M264" i="19"/>
  <c r="N265" i="19"/>
  <c r="A265" i="19" s="1"/>
  <c r="M265" i="19"/>
  <c r="N266" i="19"/>
  <c r="M266" i="19"/>
  <c r="N267" i="19"/>
  <c r="A267" i="19" s="1"/>
  <c r="M267" i="19"/>
  <c r="N268" i="19"/>
  <c r="M268" i="19"/>
  <c r="N269" i="19"/>
  <c r="A269" i="19" s="1"/>
  <c r="M269" i="19"/>
  <c r="N270" i="19"/>
  <c r="M270" i="19"/>
  <c r="N271" i="19"/>
  <c r="A271" i="19" s="1"/>
  <c r="M271" i="19"/>
  <c r="N272" i="19"/>
  <c r="M272" i="19"/>
  <c r="N273" i="19"/>
  <c r="A273" i="19" s="1"/>
  <c r="M273" i="19"/>
  <c r="N274" i="19"/>
  <c r="M274" i="19"/>
  <c r="N275" i="19"/>
  <c r="A275" i="19" s="1"/>
  <c r="M275" i="19"/>
  <c r="N276" i="19"/>
  <c r="M276" i="19"/>
  <c r="N277" i="19"/>
  <c r="A277" i="19" s="1"/>
  <c r="M277" i="19"/>
  <c r="N278" i="19"/>
  <c r="M278" i="19"/>
  <c r="N279" i="19"/>
  <c r="A279" i="19" s="1"/>
  <c r="M279" i="19"/>
  <c r="N280" i="19"/>
  <c r="M280" i="19"/>
  <c r="N281" i="19"/>
  <c r="A281" i="19" s="1"/>
  <c r="M281" i="19"/>
  <c r="N282" i="19"/>
  <c r="M282" i="19"/>
  <c r="N283" i="19"/>
  <c r="A283" i="19" s="1"/>
  <c r="M283" i="19"/>
  <c r="N284" i="19"/>
  <c r="M284" i="19"/>
  <c r="N285" i="19"/>
  <c r="A285" i="19" s="1"/>
  <c r="M285" i="19"/>
  <c r="N286" i="19"/>
  <c r="M286" i="19"/>
  <c r="N287" i="19"/>
  <c r="A287" i="19" s="1"/>
  <c r="M287" i="19"/>
  <c r="N288" i="19"/>
  <c r="M288" i="19"/>
  <c r="N289" i="19"/>
  <c r="A289" i="19" s="1"/>
  <c r="M289" i="19"/>
  <c r="N290" i="19"/>
  <c r="M290" i="19"/>
  <c r="N291" i="19"/>
  <c r="A291" i="19" s="1"/>
  <c r="M291" i="19"/>
  <c r="N292" i="19"/>
  <c r="M292" i="19"/>
  <c r="N293" i="19"/>
  <c r="A293" i="19" s="1"/>
  <c r="M293" i="19"/>
  <c r="N294" i="19"/>
  <c r="M294" i="19"/>
  <c r="N295" i="19"/>
  <c r="A295" i="19" s="1"/>
  <c r="M295" i="19"/>
  <c r="N296" i="19"/>
  <c r="M296" i="19"/>
  <c r="N297" i="19"/>
  <c r="A297" i="19" s="1"/>
  <c r="M297" i="19"/>
  <c r="N298" i="19"/>
  <c r="M298" i="19"/>
  <c r="N299" i="19"/>
  <c r="A299" i="19" s="1"/>
  <c r="M299" i="19"/>
  <c r="N300" i="19"/>
  <c r="M300" i="19"/>
  <c r="N301" i="19"/>
  <c r="A301" i="19" s="1"/>
  <c r="M301" i="19"/>
  <c r="N302" i="19"/>
  <c r="M302" i="19"/>
  <c r="N303" i="19"/>
  <c r="A303" i="19" s="1"/>
  <c r="M303" i="19"/>
  <c r="N304" i="19"/>
  <c r="M304" i="19"/>
  <c r="N305" i="19"/>
  <c r="A305" i="19" s="1"/>
  <c r="M305" i="19"/>
  <c r="M9" i="17"/>
  <c r="A9" i="17" s="1"/>
  <c r="M10" i="17"/>
  <c r="M11" i="17"/>
  <c r="A11" i="17" s="1"/>
  <c r="M13" i="17"/>
  <c r="A13" i="17" s="1"/>
  <c r="M15" i="17"/>
  <c r="A15" i="17" s="1"/>
  <c r="M18" i="17"/>
  <c r="A18" i="17" s="1"/>
  <c r="M20" i="17"/>
  <c r="A20" i="17" s="1"/>
  <c r="M22" i="17"/>
  <c r="A22" i="17" s="1"/>
  <c r="M24" i="17"/>
  <c r="A24" i="17" s="1"/>
  <c r="M26" i="17"/>
  <c r="A26" i="17" s="1"/>
  <c r="M30" i="17"/>
  <c r="A30" i="17" s="1"/>
  <c r="M32" i="17"/>
  <c r="A32" i="17" s="1"/>
  <c r="M34" i="17"/>
  <c r="A34" i="17" s="1"/>
  <c r="A18" i="18"/>
  <c r="A34" i="18"/>
  <c r="A28" i="17"/>
  <c r="A12" i="17"/>
  <c r="A36" i="17"/>
  <c r="A94" i="19"/>
  <c r="A118" i="19"/>
  <c r="A196" i="19"/>
  <c r="A292" i="19"/>
  <c r="L8" i="17"/>
  <c r="M8" i="17" s="1"/>
  <c r="A8" i="17" s="1"/>
  <c r="L6" i="17"/>
  <c r="M6" i="17" s="1"/>
  <c r="A6" i="17" s="1"/>
  <c r="L7" i="17"/>
  <c r="M7" i="17" s="1"/>
  <c r="A7" i="17" s="1"/>
  <c r="A46" i="19"/>
  <c r="A39" i="19"/>
  <c r="A65" i="19"/>
  <c r="A70" i="19"/>
  <c r="A32" i="19"/>
  <c r="A79" i="19"/>
  <c r="A84" i="19"/>
  <c r="A108" i="19"/>
  <c r="A132" i="19"/>
  <c r="A163" i="19"/>
  <c r="A75" i="19"/>
  <c r="A80" i="19"/>
  <c r="A104" i="19"/>
  <c r="A128" i="19"/>
  <c r="A148" i="19"/>
  <c r="A19" i="19"/>
  <c r="A66" i="19"/>
  <c r="A90" i="19"/>
  <c r="A114" i="19"/>
  <c r="A191" i="19"/>
  <c r="A240" i="19"/>
  <c r="A288" i="19"/>
  <c r="A26" i="19"/>
  <c r="A54" i="19"/>
  <c r="A71" i="19"/>
  <c r="A76" i="19"/>
  <c r="A100" i="19"/>
  <c r="A124" i="19"/>
  <c r="A143" i="19"/>
  <c r="A235" i="19"/>
  <c r="A44" i="19"/>
  <c r="A61" i="19"/>
  <c r="A86" i="19"/>
  <c r="A110" i="19"/>
  <c r="A134" i="19"/>
  <c r="A187" i="19"/>
  <c r="A192" i="19"/>
  <c r="L7" i="19"/>
  <c r="A67" i="19"/>
  <c r="A72" i="19"/>
  <c r="A96" i="19"/>
  <c r="A120" i="19"/>
  <c r="A144" i="19"/>
  <c r="A220" i="19"/>
  <c r="A268" i="19"/>
  <c r="A20" i="19"/>
  <c r="A47" i="19"/>
  <c r="A59" i="19"/>
  <c r="A82" i="19"/>
  <c r="A106" i="19"/>
  <c r="A130" i="19"/>
  <c r="A139" i="19"/>
  <c r="A172" i="19"/>
  <c r="A31" i="19"/>
  <c r="A68" i="19"/>
  <c r="A92" i="19"/>
  <c r="A116" i="19"/>
  <c r="A215" i="19"/>
  <c r="P8" i="20"/>
  <c r="A38" i="19"/>
  <c r="A73" i="19"/>
  <c r="A78" i="19"/>
  <c r="A102" i="19"/>
  <c r="A126" i="19"/>
  <c r="A167" i="19"/>
  <c r="A264" i="19"/>
  <c r="A27" i="19"/>
  <c r="A88" i="19"/>
  <c r="A112" i="19"/>
  <c r="A136" i="19"/>
  <c r="A216" i="19"/>
  <c r="A48" i="19"/>
  <c r="A60" i="19"/>
  <c r="A74" i="19"/>
  <c r="A98" i="19"/>
  <c r="A122" i="19"/>
  <c r="A168" i="19"/>
  <c r="A211" i="19"/>
  <c r="A244" i="19"/>
  <c r="A162" i="19"/>
  <c r="A186" i="19"/>
  <c r="A205" i="19"/>
  <c r="A210" i="19"/>
  <c r="A234" i="19"/>
  <c r="A258" i="19"/>
  <c r="A282" i="19"/>
  <c r="A158" i="19"/>
  <c r="A177" i="19"/>
  <c r="A182" i="19"/>
  <c r="A206" i="19"/>
  <c r="A230" i="19"/>
  <c r="A254" i="19"/>
  <c r="A278" i="19"/>
  <c r="A302" i="19"/>
  <c r="A154" i="19"/>
  <c r="A178" i="19"/>
  <c r="A202" i="19"/>
  <c r="A226" i="19"/>
  <c r="A250" i="19"/>
  <c r="A274" i="19"/>
  <c r="A298" i="19"/>
  <c r="A140" i="19"/>
  <c r="A159" i="19"/>
  <c r="A164" i="19"/>
  <c r="A183" i="19"/>
  <c r="A188" i="19"/>
  <c r="A207" i="19"/>
  <c r="A212" i="19"/>
  <c r="A231" i="19"/>
  <c r="A236" i="19"/>
  <c r="A260" i="19"/>
  <c r="A284" i="19"/>
  <c r="A150" i="19"/>
  <c r="A174" i="19"/>
  <c r="A198" i="19"/>
  <c r="A222" i="19"/>
  <c r="A246" i="19"/>
  <c r="A270" i="19"/>
  <c r="A294" i="19"/>
  <c r="A155" i="19"/>
  <c r="A160" i="19"/>
  <c r="A179" i="19"/>
  <c r="A184" i="19"/>
  <c r="A203" i="19"/>
  <c r="A208" i="19"/>
  <c r="A227" i="19"/>
  <c r="A232" i="19"/>
  <c r="A256" i="19"/>
  <c r="A280" i="19"/>
  <c r="A304" i="19"/>
  <c r="A146" i="19"/>
  <c r="A170" i="19"/>
  <c r="A194" i="19"/>
  <c r="A218" i="19"/>
  <c r="A242" i="19"/>
  <c r="A266" i="19"/>
  <c r="A290" i="19"/>
  <c r="A151" i="19"/>
  <c r="A156" i="19"/>
  <c r="A175" i="19"/>
  <c r="A180" i="19"/>
  <c r="A199" i="19"/>
  <c r="A204" i="19"/>
  <c r="A223" i="19"/>
  <c r="A228" i="19"/>
  <c r="A252" i="19"/>
  <c r="A276" i="19"/>
  <c r="A300" i="19"/>
  <c r="A142" i="19"/>
  <c r="A166" i="19"/>
  <c r="A190" i="19"/>
  <c r="A209" i="19"/>
  <c r="A214" i="19"/>
  <c r="A238" i="19"/>
  <c r="A262" i="19"/>
  <c r="A286" i="19"/>
  <c r="A147" i="19"/>
  <c r="A152" i="19"/>
  <c r="A171" i="19"/>
  <c r="A176" i="19"/>
  <c r="A195" i="19"/>
  <c r="A200" i="19"/>
  <c r="A219" i="19"/>
  <c r="A224" i="19"/>
  <c r="A248" i="19"/>
  <c r="A272" i="19"/>
  <c r="A296" i="19"/>
  <c r="AM6" i="20" l="1"/>
  <c r="AM8" i="20"/>
  <c r="AM13" i="20"/>
  <c r="W7" i="20"/>
  <c r="U6" i="20"/>
  <c r="U21" i="20"/>
  <c r="U24" i="20"/>
  <c r="U11" i="20"/>
  <c r="U13" i="20"/>
  <c r="U18" i="20"/>
  <c r="U12" i="20"/>
  <c r="U15" i="20"/>
  <c r="U25" i="20"/>
  <c r="U9" i="20"/>
  <c r="F19" i="20"/>
  <c r="F21" i="20"/>
  <c r="F22" i="20"/>
  <c r="P20" i="20"/>
  <c r="P19" i="20"/>
  <c r="P21" i="20"/>
  <c r="P12" i="20"/>
  <c r="P14" i="20"/>
  <c r="P18" i="20"/>
  <c r="P15" i="20"/>
  <c r="P25" i="20"/>
  <c r="P16" i="20"/>
  <c r="P23" i="20"/>
  <c r="P17" i="20"/>
  <c r="P24" i="20"/>
  <c r="P6" i="20"/>
  <c r="U7" i="20"/>
  <c r="H23" i="20"/>
  <c r="H10" i="20"/>
  <c r="H8" i="20"/>
  <c r="H12" i="13"/>
  <c r="H11" i="20"/>
  <c r="H7" i="20"/>
  <c r="H8" i="13"/>
  <c r="H19" i="20"/>
  <c r="H6" i="20"/>
  <c r="H9" i="20"/>
  <c r="H12" i="20"/>
  <c r="H15" i="20"/>
  <c r="H13" i="20"/>
  <c r="H22" i="20"/>
  <c r="H24" i="20"/>
  <c r="H17" i="20"/>
  <c r="H10" i="13"/>
  <c r="H7" i="13"/>
  <c r="H25" i="20"/>
  <c r="H15" i="13"/>
  <c r="H14" i="13"/>
  <c r="H20" i="20"/>
  <c r="H6" i="13"/>
  <c r="H21" i="20"/>
  <c r="H18" i="20"/>
  <c r="H17" i="13"/>
  <c r="H11" i="13"/>
  <c r="H14" i="20"/>
  <c r="H13" i="13"/>
  <c r="H16" i="13"/>
  <c r="H16" i="20"/>
  <c r="H19" i="13"/>
  <c r="H18" i="13"/>
  <c r="F9" i="13"/>
  <c r="F9" i="20"/>
  <c r="F6" i="20"/>
  <c r="F23" i="20"/>
  <c r="F24" i="20"/>
  <c r="F20" i="20"/>
  <c r="F16" i="20"/>
  <c r="F7" i="20"/>
  <c r="F12" i="20"/>
  <c r="F13" i="20"/>
  <c r="F11" i="20"/>
  <c r="F14" i="20"/>
  <c r="F25" i="20"/>
  <c r="F15" i="20"/>
  <c r="F18" i="20"/>
  <c r="F10" i="20"/>
  <c r="F17" i="20"/>
  <c r="F10" i="13"/>
  <c r="F8" i="20"/>
  <c r="AM24" i="20"/>
  <c r="AM17" i="20"/>
  <c r="AM23" i="20"/>
  <c r="AM7" i="20"/>
  <c r="AM20" i="20"/>
  <c r="AM22" i="20"/>
  <c r="AM25" i="20"/>
  <c r="AM12" i="20"/>
  <c r="AM21" i="20"/>
  <c r="AM14" i="20"/>
  <c r="AM15" i="20"/>
  <c r="AM16" i="20"/>
  <c r="AM18" i="20"/>
  <c r="AM19" i="20"/>
  <c r="AM9" i="20"/>
  <c r="AM11" i="20"/>
  <c r="H9" i="13"/>
  <c r="P10" i="13"/>
  <c r="P8" i="13"/>
  <c r="P7" i="13"/>
  <c r="P12" i="13"/>
  <c r="P19" i="13"/>
  <c r="P18" i="13"/>
  <c r="P17" i="13"/>
  <c r="P16" i="13"/>
  <c r="P15" i="13"/>
  <c r="P14" i="13"/>
  <c r="P6" i="13"/>
  <c r="P11" i="13"/>
  <c r="P13" i="13"/>
  <c r="M7" i="19"/>
  <c r="N7" i="19" s="1"/>
  <c r="F8" i="13"/>
  <c r="F7" i="13"/>
  <c r="F12" i="13"/>
  <c r="F19" i="13"/>
  <c r="F18" i="13"/>
  <c r="F17" i="13"/>
  <c r="F16" i="13"/>
  <c r="F15" i="13"/>
  <c r="F14" i="13"/>
  <c r="F6" i="13"/>
  <c r="F11" i="13"/>
  <c r="F13" i="13"/>
  <c r="D18" i="13" l="1"/>
  <c r="D7" i="13"/>
  <c r="D13" i="13"/>
  <c r="D12" i="13"/>
  <c r="D11" i="13"/>
  <c r="D17" i="13"/>
  <c r="D15" i="13"/>
  <c r="D14" i="13"/>
  <c r="D16" i="13"/>
  <c r="D19" i="13"/>
  <c r="D6" i="13"/>
  <c r="D8" i="13"/>
  <c r="D10" i="13"/>
  <c r="A7" i="19"/>
  <c r="P9" i="20" s="1"/>
  <c r="P9" i="13" l="1"/>
  <c r="D9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<sst xmlns="http://schemas.openxmlformats.org/spreadsheetml/2006/main" count="2314" uniqueCount="146">
  <si>
    <t>Dołączył/a do kategorii w tym roku</t>
  </si>
  <si>
    <t>Kat. 3</t>
  </si>
  <si>
    <t>L.P.</t>
  </si>
  <si>
    <t>NAZWISKO Imię</t>
  </si>
  <si>
    <t>KLUB</t>
  </si>
  <si>
    <t>PUNKTY</t>
  </si>
  <si>
    <t>MPW</t>
  </si>
  <si>
    <t>M</t>
  </si>
  <si>
    <t>P</t>
  </si>
  <si>
    <t>ZABŁOCKI Michał</t>
  </si>
  <si>
    <t>GAJDA Leszek</t>
  </si>
  <si>
    <t>CHUDYCKI Artur</t>
  </si>
  <si>
    <t>OSSOWSKI Wojciech</t>
  </si>
  <si>
    <t>Liczba uczestników:</t>
  </si>
  <si>
    <t>GP Punkty</t>
  </si>
  <si>
    <t>Bonus za rundę</t>
  </si>
  <si>
    <t>Mnożnik za podium</t>
  </si>
  <si>
    <t>miejsce: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</si>
  <si>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</si>
  <si>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</si>
  <si>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</si>
  <si>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</si>
  <si>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</si>
  <si>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</si>
  <si>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</si>
  <si>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</si>
  <si>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</si>
  <si>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</si>
  <si>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</si>
  <si>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</si>
  <si>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</si>
  <si>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KS CRACOVIA 1906.</t>
  </si>
  <si>
    <t xml:space="preserve"> POL</t>
  </si>
  <si>
    <t>PAŁAC MŁODZIEŻY TARNÓW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</si>
  <si>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</si>
  <si>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</si>
  <si>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</si>
  <si>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</si>
  <si>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</si>
  <si>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</si>
  <si>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</si>
  <si>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</si>
  <si>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 </t>
  </si>
  <si>
    <t>ZABŁOCKI Michał (3)</t>
  </si>
  <si>
    <t>ZAWROTNIAK Przemysław (2)</t>
  </si>
  <si>
    <t>GANSZCZYK Marcin (2)</t>
  </si>
  <si>
    <t>WIERZBICKI Jacek (2)</t>
  </si>
  <si>
    <t>KRAKÓW</t>
  </si>
  <si>
    <t> POL</t>
  </si>
  <si>
    <t>MKS KUSY SZCZECIN</t>
  </si>
  <si>
    <t>Podium</t>
  </si>
  <si>
    <t>Współczynnik MPW</t>
  </si>
  <si>
    <t>WARSZAWA</t>
  </si>
  <si>
    <t>Punkty MPW</t>
  </si>
  <si>
    <t>Klasyfikacja będą podstawą do rekomendacji dla PZSZERM powołań do kadry na międzynarodowe zawody rangi mistrzowskiej.</t>
  </si>
  <si>
    <t>MĘŻCZYŹNI Kat.3</t>
  </si>
  <si>
    <t>IMEW</t>
  </si>
  <si>
    <t>Bonus za podium</t>
  </si>
  <si>
    <t>Budapest</t>
  </si>
  <si>
    <t>Madrid</t>
  </si>
  <si>
    <t>Munich</t>
  </si>
  <si>
    <t>Terni</t>
  </si>
  <si>
    <t>Guildford</t>
  </si>
  <si>
    <t>Faches-Thumesnil</t>
  </si>
  <si>
    <t>POL</t>
  </si>
  <si>
    <t>Liège</t>
  </si>
  <si>
    <t>38k2</t>
  </si>
  <si>
    <t>I PEW</t>
  </si>
  <si>
    <t>22.09.2024</t>
  </si>
  <si>
    <r>
      <rPr>
        <b/>
        <sz val="10"/>
        <color rgb="FFFFFFFF"/>
        <rFont val="Arial"/>
        <family val="2"/>
      </rPr>
      <t xml:space="preserve">Ranking Pucharu Polski Weteranów (PP) sezon </t>
    </r>
    <r>
      <rPr>
        <b/>
        <sz val="10"/>
        <color rgb="FFFF0000"/>
        <rFont val="Arial"/>
        <family val="2"/>
      </rPr>
      <t>2024-2025</t>
    </r>
  </si>
  <si>
    <t>Na sumę punktów w rankingu skłąda się 4 najlepszych wyników (z 5 możliwych) w turniejach PP Weteranów oraz wynik z Mistrzostw Polski Weteranów.</t>
  </si>
  <si>
    <t>I PP</t>
  </si>
  <si>
    <t>KONIN</t>
  </si>
  <si>
    <t>29.09.2024</t>
  </si>
  <si>
    <t>KACZMAREK Paweł (2)</t>
  </si>
  <si>
    <t>NOWICKI Robert (2)</t>
  </si>
  <si>
    <t>PLUCIŃSKI Paweł (2)</t>
  </si>
  <si>
    <t>KOŃCZYŁO Tomasz (2)</t>
  </si>
  <si>
    <t>MAZIK Aleksander (2)</t>
  </si>
  <si>
    <t>RUDY Andrzej (2)</t>
  </si>
  <si>
    <t>CHUDYCKI Artur (3)</t>
  </si>
  <si>
    <t>BYTOM</t>
  </si>
  <si>
    <t>27.10.2024</t>
  </si>
  <si>
    <t>GAJDA Leszek (3)</t>
  </si>
  <si>
    <t>KOLEJARZ 24 KATOWICE</t>
  </si>
  <si>
    <t>MAINKA Andrzej (4)</t>
  </si>
  <si>
    <t>MLYNEK Janusz (4)</t>
  </si>
  <si>
    <t>PRĘGOWSKI Jerzy (4)</t>
  </si>
  <si>
    <t>II PP</t>
  </si>
  <si>
    <t>17.11.2024</t>
  </si>
  <si>
    <t>II PEW</t>
  </si>
  <si>
    <t>III PP</t>
  </si>
  <si>
    <t>01.12.2024</t>
  </si>
  <si>
    <t>UKS START OPOLE</t>
  </si>
  <si>
    <t>WOJCIECHOWSKI Marek</t>
  </si>
  <si>
    <t>8.12.2024</t>
  </si>
  <si>
    <t>III PEW</t>
  </si>
  <si>
    <t>05.01.2025</t>
  </si>
  <si>
    <t>IV PEW</t>
  </si>
  <si>
    <t>18.01.2025</t>
  </si>
  <si>
    <t>V PEW</t>
  </si>
  <si>
    <t>02.02.2025</t>
  </si>
  <si>
    <t>VI PEW</t>
  </si>
  <si>
    <t>IV PP</t>
  </si>
  <si>
    <t>23.02.2025</t>
  </si>
  <si>
    <t>V PP</t>
  </si>
  <si>
    <t>SZCZECIN</t>
  </si>
  <si>
    <t>26.04.2025</t>
  </si>
  <si>
    <t>VII PEW</t>
  </si>
  <si>
    <t>VIII PEW</t>
  </si>
  <si>
    <t>IX PEW</t>
  </si>
  <si>
    <t>Warszawa</t>
  </si>
  <si>
    <t>29.03.2025</t>
  </si>
  <si>
    <t>FALASCHI Luca</t>
  </si>
  <si>
    <t> ITA</t>
  </si>
  <si>
    <t>GAJDA LESZEK</t>
  </si>
  <si>
    <t>BEM Michel</t>
  </si>
  <si>
    <t> FRA</t>
  </si>
  <si>
    <t>FEIRA CHIOS Alberto</t>
  </si>
  <si>
    <t>KREISCHER Viktor</t>
  </si>
  <si>
    <t> GER</t>
  </si>
  <si>
    <t>DUBROUKIN Oleg</t>
  </si>
  <si>
    <t> ISR</t>
  </si>
  <si>
    <t>MYERS Brent</t>
  </si>
  <si>
    <t> USA</t>
  </si>
  <si>
    <t>BALONUSKOVS Jurijs</t>
  </si>
  <si>
    <t> LAT</t>
  </si>
  <si>
    <t>TAKÁCSY László</t>
  </si>
  <si>
    <t> HUN</t>
  </si>
  <si>
    <t>CIUFFREDA Luigi Salvatore</t>
  </si>
  <si>
    <t>ZIEGLER Udo</t>
  </si>
  <si>
    <t>NAGY András</t>
  </si>
  <si>
    <t>12.04.2025</t>
  </si>
  <si>
    <t>Chania</t>
  </si>
  <si>
    <t>3-4.05.2025</t>
  </si>
  <si>
    <t>PABIANICE</t>
  </si>
  <si>
    <t>8.06.2025</t>
  </si>
  <si>
    <t>Płowdiw</t>
  </si>
  <si>
    <t>29.05.2025</t>
  </si>
  <si>
    <t>MUKS Victor Warszawa</t>
  </si>
  <si>
    <t>Kolejarz 24 Katowice</t>
  </si>
  <si>
    <t>MKS KUSY</t>
  </si>
  <si>
    <t>Paryż</t>
  </si>
  <si>
    <t>05-07.07.2025</t>
  </si>
  <si>
    <t>Na sumę punktów w rankingu skłądają się 4 najlepsze wyniki (z 5 możliwych) w turniejach PP Weteranów, wynik z Mistrzostw Polski Weteranów, 3 najlepsze wyniki z PEW i PS w ciągu roku (krocząco) oraz punkty zdobyte w IMEW.</t>
  </si>
  <si>
    <t>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</si>
</sst>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5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sz val="11"/>
      <color theme="0"/>
      <name val="Calibri"/>
      <family val="2"/>
      <scheme val="minor"/>
    </font>
    <font>
      <sz val="11"/>
      <color rgb="FF212529"/>
      <name val="Arial"/>
      <family val="2"/>
    </font>
    <font>
      <sz val="11"/>
      <color theme="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2F2F2"/>
        <bgColor rgb="FF000000"/>
      </patternFill>
    </fill>
  </fills>
  <borders count="3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000000"/>
      </bottom>
      <diagonal/>
    </border>
    <border>
      <left style="thick">
        <color auto="1"/>
      </left>
      <right/>
      <top/>
      <bottom style="thick">
        <color rgb="FF000000"/>
      </bottom>
      <diagonal/>
    </border>
    <border>
      <left/>
      <right style="thick">
        <color rgb="FF000000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0">
    <xf numFmtId="0" fontId="0" fillId="0" borderId="0"/>
    <xf numFmtId="0" fontId="9" fillId="3" borderId="0" applyNumberFormat="0" applyBorder="0" applyAlignment="0" applyProtection="0"/>
    <xf numFmtId="0" fontId="5" fillId="0" borderId="0"/>
    <xf numFmtId="0" fontId="4" fillId="13" borderId="0" applyNumberFormat="0" applyBorder="0" applyAlignment="0" applyProtection="0"/>
    <xf numFmtId="0" fontId="4" fillId="0" borderId="0"/>
    <xf numFmtId="0" fontId="3" fillId="0" borderId="0"/>
    <xf numFmtId="0" fontId="3" fillId="0" borderId="0"/>
    <xf numFmtId="0" fontId="2" fillId="0" borderId="0"/>
    <xf numFmtId="0" fontId="10" fillId="0" borderId="0" applyNumberFormat="0" applyFill="0" applyBorder="0" applyAlignment="0" applyProtection="0"/>
    <xf numFmtId="0" fontId="1" fillId="0" borderId="0"/>
  </cellStyleXfs>
  <cellXfs count="300">
    <xf numFmtId="0" fontId="0" fillId="0" borderId="0" xfId="0"/>
    <xf numFmtId="0" fontId="9" fillId="3" borderId="0" xfId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5" borderId="0" xfId="0" applyFill="1"/>
    <xf numFmtId="0" fontId="14" fillId="5" borderId="0" xfId="0" applyFont="1" applyFill="1"/>
    <xf numFmtId="0" fontId="13" fillId="5" borderId="0" xfId="0" applyFont="1" applyFill="1"/>
    <xf numFmtId="0" fontId="6" fillId="2" borderId="9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/>
    </xf>
    <xf numFmtId="0" fontId="15" fillId="7" borderId="12" xfId="0" applyFont="1" applyFill="1" applyBorder="1" applyAlignment="1">
      <alignment horizontal="center" vertical="center"/>
    </xf>
    <xf numFmtId="0" fontId="8" fillId="7" borderId="14" xfId="0" applyFont="1" applyFill="1" applyBorder="1" applyAlignment="1">
      <alignment horizontal="center"/>
    </xf>
    <xf numFmtId="0" fontId="0" fillId="7" borderId="0" xfId="0" applyFill="1"/>
    <xf numFmtId="0" fontId="5" fillId="8" borderId="0" xfId="2" applyFill="1"/>
    <xf numFmtId="0" fontId="17" fillId="8" borderId="0" xfId="2" applyFont="1" applyFill="1" applyAlignment="1">
      <alignment horizontal="right" vertical="center"/>
    </xf>
    <xf numFmtId="0" fontId="17" fillId="8" borderId="0" xfId="2" applyFont="1" applyFill="1" applyAlignment="1">
      <alignment horizontal="center" vertical="center"/>
    </xf>
    <xf numFmtId="1" fontId="18" fillId="8" borderId="0" xfId="2" applyNumberFormat="1" applyFont="1" applyFill="1" applyAlignment="1">
      <alignment horizontal="left" vertical="center"/>
    </xf>
    <xf numFmtId="0" fontId="5" fillId="8" borderId="0" xfId="2" applyFill="1" applyAlignment="1">
      <alignment horizontal="center" vertical="center"/>
    </xf>
    <xf numFmtId="0" fontId="5" fillId="7" borderId="0" xfId="2" applyFill="1"/>
    <xf numFmtId="0" fontId="7" fillId="8" borderId="0" xfId="0" applyFont="1" applyFill="1" applyAlignment="1">
      <alignment horizontal="right"/>
    </xf>
    <xf numFmtId="0" fontId="19" fillId="8" borderId="0" xfId="0" applyFont="1" applyFill="1" applyAlignment="1">
      <alignment horizontal="right"/>
    </xf>
    <xf numFmtId="0" fontId="11" fillId="9" borderId="0" xfId="2" applyFont="1" applyFill="1" applyAlignment="1">
      <alignment horizontal="center" vertical="center"/>
    </xf>
    <xf numFmtId="0" fontId="11" fillId="7" borderId="0" xfId="2" applyFont="1" applyFill="1" applyAlignment="1">
      <alignment horizontal="center" vertical="center"/>
    </xf>
    <xf numFmtId="1" fontId="5" fillId="7" borderId="0" xfId="2" applyNumberFormat="1" applyFill="1" applyAlignment="1">
      <alignment horizontal="center" vertical="center"/>
    </xf>
    <xf numFmtId="0" fontId="5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5" fillId="8" borderId="0" xfId="2" applyNumberFormat="1" applyFill="1" applyAlignment="1">
      <alignment horizontal="center" vertical="center"/>
    </xf>
    <xf numFmtId="0" fontId="0" fillId="8" borderId="0" xfId="0" applyFill="1"/>
    <xf numFmtId="0" fontId="9" fillId="3" borderId="15" xfId="1" applyBorder="1" applyAlignment="1">
      <alignment horizontal="center" vertical="center" wrapText="1"/>
    </xf>
    <xf numFmtId="0" fontId="20" fillId="10" borderId="0" xfId="2" applyFont="1" applyFill="1" applyAlignment="1">
      <alignment horizontal="center" vertical="center"/>
    </xf>
    <xf numFmtId="0" fontId="20" fillId="10" borderId="0" xfId="2" applyFont="1" applyFill="1" applyAlignment="1">
      <alignment horizontal="center" vertical="center" wrapText="1"/>
    </xf>
    <xf numFmtId="1" fontId="20" fillId="10" borderId="0" xfId="2" applyNumberFormat="1" applyFont="1" applyFill="1" applyAlignment="1">
      <alignment horizontal="center" vertical="center" wrapText="1"/>
    </xf>
    <xf numFmtId="1" fontId="8" fillId="7" borderId="0" xfId="0" applyNumberFormat="1" applyFont="1" applyFill="1" applyAlignment="1">
      <alignment horizontal="center" vertical="center"/>
    </xf>
    <xf numFmtId="0" fontId="21" fillId="7" borderId="16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2" fillId="8" borderId="0" xfId="2" applyFont="1" applyFill="1" applyAlignment="1">
      <alignment horizontal="center" vertical="center"/>
    </xf>
    <xf numFmtId="2" fontId="22" fillId="8" borderId="0" xfId="2" applyNumberFormat="1" applyFont="1" applyFill="1" applyAlignment="1">
      <alignment horizontal="center" vertical="center"/>
    </xf>
    <xf numFmtId="164" fontId="22" fillId="8" borderId="0" xfId="2" applyNumberFormat="1" applyFont="1" applyFill="1" applyAlignment="1">
      <alignment horizontal="center" vertical="center"/>
    </xf>
    <xf numFmtId="1" fontId="8" fillId="6" borderId="0" xfId="0" applyNumberFormat="1" applyFont="1" applyFill="1" applyAlignment="1">
      <alignment horizontal="center" vertical="center"/>
    </xf>
    <xf numFmtId="0" fontId="21" fillId="6" borderId="16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2" fillId="11" borderId="0" xfId="2" applyFont="1" applyFill="1" applyAlignment="1">
      <alignment horizontal="center" vertical="center"/>
    </xf>
    <xf numFmtId="2" fontId="22" fillId="11" borderId="0" xfId="2" applyNumberFormat="1" applyFont="1" applyFill="1" applyAlignment="1">
      <alignment horizontal="center" vertical="center"/>
    </xf>
    <xf numFmtId="164" fontId="22" fillId="11" borderId="0" xfId="2" applyNumberFormat="1" applyFont="1" applyFill="1" applyAlignment="1">
      <alignment horizontal="center" vertical="center"/>
    </xf>
    <xf numFmtId="0" fontId="12" fillId="7" borderId="0" xfId="2" applyFont="1" applyFill="1"/>
    <xf numFmtId="1" fontId="5" fillId="7" borderId="0" xfId="2" applyNumberFormat="1" applyFill="1"/>
    <xf numFmtId="0" fontId="5" fillId="7" borderId="0" xfId="2" applyFill="1" applyAlignment="1">
      <alignment horizontal="right"/>
    </xf>
    <xf numFmtId="0" fontId="11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3" fillId="7" borderId="0" xfId="2" applyFont="1" applyFill="1"/>
    <xf numFmtId="164" fontId="5" fillId="8" borderId="0" xfId="2" applyNumberFormat="1" applyFill="1"/>
    <xf numFmtId="49" fontId="5" fillId="7" borderId="0" xfId="2" applyNumberFormat="1" applyFill="1"/>
    <xf numFmtId="0" fontId="11" fillId="8" borderId="0" xfId="2" applyFont="1" applyFill="1"/>
    <xf numFmtId="164" fontId="11" fillId="7" borderId="0" xfId="2" applyNumberFormat="1" applyFont="1" applyFill="1"/>
    <xf numFmtId="164" fontId="5" fillId="7" borderId="0" xfId="2" applyNumberFormat="1" applyFill="1"/>
    <xf numFmtId="1" fontId="5" fillId="0" borderId="0" xfId="2" applyNumberFormat="1" applyAlignment="1">
      <alignment horizontal="center"/>
    </xf>
    <xf numFmtId="0" fontId="5" fillId="0" borderId="0" xfId="2"/>
    <xf numFmtId="164" fontId="5" fillId="0" borderId="0" xfId="2" applyNumberFormat="1" applyAlignment="1">
      <alignment horizontal="center"/>
    </xf>
    <xf numFmtId="0" fontId="5" fillId="0" borderId="0" xfId="2" applyAlignment="1">
      <alignment horizontal="center" vertical="center"/>
    </xf>
    <xf numFmtId="1" fontId="5" fillId="0" borderId="0" xfId="2" applyNumberFormat="1" applyAlignment="1">
      <alignment horizontal="center" vertical="center"/>
    </xf>
    <xf numFmtId="164" fontId="5" fillId="0" borderId="0" xfId="2" applyNumberFormat="1" applyAlignment="1">
      <alignment horizontal="center" vertical="center"/>
    </xf>
    <xf numFmtId="0" fontId="12" fillId="8" borderId="0" xfId="2" applyFont="1" applyFill="1" applyAlignment="1">
      <alignment horizontal="left" vertical="center"/>
    </xf>
    <xf numFmtId="0" fontId="5" fillId="8" borderId="0" xfId="2" applyFill="1" applyAlignment="1">
      <alignment horizontal="left" vertical="center"/>
    </xf>
    <xf numFmtId="164" fontId="5" fillId="7" borderId="0" xfId="2" applyNumberFormat="1" applyFill="1" applyAlignment="1">
      <alignment horizontal="center" vertical="center"/>
    </xf>
    <xf numFmtId="0" fontId="25" fillId="5" borderId="0" xfId="0" applyFont="1" applyFill="1"/>
    <xf numFmtId="0" fontId="26" fillId="5" borderId="0" xfId="0" applyFont="1" applyFill="1"/>
    <xf numFmtId="0" fontId="27" fillId="2" borderId="1" xfId="0" applyFont="1" applyFill="1" applyBorder="1" applyAlignment="1">
      <alignment horizontal="center" vertical="center" wrapText="1"/>
    </xf>
    <xf numFmtId="0" fontId="27" fillId="2" borderId="9" xfId="0" applyFont="1" applyFill="1" applyBorder="1" applyAlignment="1">
      <alignment horizontal="center" vertical="center" wrapText="1"/>
    </xf>
    <xf numFmtId="0" fontId="12" fillId="13" borderId="1" xfId="3" applyFont="1" applyBorder="1" applyAlignment="1">
      <alignment horizontal="center" vertical="center" wrapText="1"/>
    </xf>
    <xf numFmtId="0" fontId="12" fillId="13" borderId="9" xfId="3" applyFont="1" applyBorder="1" applyAlignment="1">
      <alignment horizontal="center" vertical="center" wrapText="1"/>
    </xf>
    <xf numFmtId="2" fontId="14" fillId="7" borderId="11" xfId="0" applyNumberFormat="1" applyFont="1" applyFill="1" applyBorder="1" applyAlignment="1">
      <alignment horizontal="center" vertical="center"/>
    </xf>
    <xf numFmtId="2" fontId="16" fillId="7" borderId="11" xfId="0" applyNumberFormat="1" applyFont="1" applyFill="1" applyBorder="1" applyAlignment="1">
      <alignment horizontal="center" vertical="center"/>
    </xf>
    <xf numFmtId="2" fontId="16" fillId="7" borderId="13" xfId="0" applyNumberFormat="1" applyFont="1" applyFill="1" applyBorder="1" applyAlignment="1">
      <alignment horizontal="center" vertical="center"/>
    </xf>
    <xf numFmtId="2" fontId="28" fillId="7" borderId="11" xfId="0" applyNumberFormat="1" applyFont="1" applyFill="1" applyBorder="1" applyAlignment="1">
      <alignment horizontal="center" vertical="center"/>
    </xf>
    <xf numFmtId="2" fontId="28" fillId="7" borderId="27" xfId="0" applyNumberFormat="1" applyFont="1" applyFill="1" applyBorder="1" applyAlignment="1">
      <alignment horizontal="center" vertical="center"/>
    </xf>
    <xf numFmtId="0" fontId="4" fillId="8" borderId="0" xfId="4" applyFill="1"/>
    <xf numFmtId="0" fontId="17" fillId="8" borderId="0" xfId="4" applyFont="1" applyFill="1" applyAlignment="1">
      <alignment horizontal="right" vertical="center"/>
    </xf>
    <xf numFmtId="0" fontId="17" fillId="8" borderId="0" xfId="4" applyFont="1" applyFill="1" applyAlignment="1">
      <alignment horizontal="center" vertical="center"/>
    </xf>
    <xf numFmtId="1" fontId="18" fillId="8" borderId="0" xfId="4" applyNumberFormat="1" applyFont="1" applyFill="1" applyAlignment="1">
      <alignment horizontal="left" vertical="center"/>
    </xf>
    <xf numFmtId="0" fontId="4" fillId="8" borderId="0" xfId="4" applyFill="1" applyAlignment="1">
      <alignment horizontal="center" vertical="center"/>
    </xf>
    <xf numFmtId="0" fontId="4" fillId="7" borderId="0" xfId="4" applyFill="1"/>
    <xf numFmtId="0" fontId="11" fillId="9" borderId="0" xfId="4" applyFont="1" applyFill="1" applyAlignment="1">
      <alignment horizontal="center" vertical="center"/>
    </xf>
    <xf numFmtId="0" fontId="11" fillId="7" borderId="0" xfId="4" applyFont="1" applyFill="1" applyAlignment="1">
      <alignment horizontal="center" vertical="center"/>
    </xf>
    <xf numFmtId="0" fontId="4" fillId="8" borderId="0" xfId="4" applyFill="1" applyAlignment="1">
      <alignment horizontal="right"/>
    </xf>
    <xf numFmtId="1" fontId="4" fillId="8" borderId="0" xfId="4" applyNumberFormat="1" applyFill="1" applyAlignment="1">
      <alignment horizontal="center" vertical="center"/>
    </xf>
    <xf numFmtId="0" fontId="20" fillId="10" borderId="0" xfId="4" applyFont="1" applyFill="1" applyAlignment="1">
      <alignment horizontal="center" vertical="center"/>
    </xf>
    <xf numFmtId="0" fontId="20" fillId="10" borderId="0" xfId="4" applyFont="1" applyFill="1" applyAlignment="1">
      <alignment horizontal="center" vertical="center" wrapText="1"/>
    </xf>
    <xf numFmtId="1" fontId="20" fillId="10" borderId="0" xfId="4" applyNumberFormat="1" applyFont="1" applyFill="1" applyAlignment="1">
      <alignment horizontal="center" vertical="center" wrapText="1"/>
    </xf>
    <xf numFmtId="2" fontId="8" fillId="7" borderId="0" xfId="0" applyNumberFormat="1" applyFont="1" applyFill="1" applyAlignment="1">
      <alignment horizontal="center" vertical="center"/>
    </xf>
    <xf numFmtId="0" fontId="22" fillId="8" borderId="0" xfId="4" applyFont="1" applyFill="1" applyAlignment="1">
      <alignment horizontal="center" vertical="center"/>
    </xf>
    <xf numFmtId="2" fontId="22" fillId="8" borderId="0" xfId="4" applyNumberFormat="1" applyFont="1" applyFill="1" applyAlignment="1">
      <alignment horizontal="center" vertical="center"/>
    </xf>
    <xf numFmtId="164" fontId="22" fillId="8" borderId="0" xfId="4" applyNumberFormat="1" applyFont="1" applyFill="1" applyAlignment="1">
      <alignment horizontal="center" vertical="center"/>
    </xf>
    <xf numFmtId="2" fontId="8" fillId="6" borderId="0" xfId="0" applyNumberFormat="1" applyFont="1" applyFill="1" applyAlignment="1">
      <alignment horizontal="center" vertical="center"/>
    </xf>
    <xf numFmtId="0" fontId="22" fillId="11" borderId="0" xfId="4" applyFont="1" applyFill="1" applyAlignment="1">
      <alignment horizontal="center" vertical="center"/>
    </xf>
    <xf numFmtId="2" fontId="22" fillId="11" borderId="0" xfId="4" applyNumberFormat="1" applyFont="1" applyFill="1" applyAlignment="1">
      <alignment horizontal="center" vertical="center"/>
    </xf>
    <xf numFmtId="164" fontId="22" fillId="11" borderId="0" xfId="4" applyNumberFormat="1" applyFont="1" applyFill="1" applyAlignment="1">
      <alignment horizontal="center" vertical="center"/>
    </xf>
    <xf numFmtId="0" fontId="12" fillId="7" borderId="0" xfId="4" applyFont="1" applyFill="1"/>
    <xf numFmtId="1" fontId="4" fillId="7" borderId="0" xfId="4" applyNumberFormat="1" applyFill="1"/>
    <xf numFmtId="0" fontId="4" fillId="7" borderId="0" xfId="4" applyFill="1" applyAlignment="1">
      <alignment horizontal="right"/>
    </xf>
    <xf numFmtId="0" fontId="11" fillId="7" borderId="0" xfId="4" applyFont="1" applyFill="1"/>
    <xf numFmtId="0" fontId="23" fillId="7" borderId="0" xfId="4" applyFont="1" applyFill="1"/>
    <xf numFmtId="164" fontId="4" fillId="8" borderId="0" xfId="4" applyNumberFormat="1" applyFill="1"/>
    <xf numFmtId="49" fontId="4" fillId="7" borderId="0" xfId="4" applyNumberFormat="1" applyFill="1"/>
    <xf numFmtId="0" fontId="11" fillId="8" borderId="0" xfId="4" applyFont="1" applyFill="1"/>
    <xf numFmtId="164" fontId="11" fillId="7" borderId="0" xfId="4" applyNumberFormat="1" applyFont="1" applyFill="1"/>
    <xf numFmtId="164" fontId="4" fillId="7" borderId="0" xfId="4" applyNumberFormat="1" applyFill="1"/>
    <xf numFmtId="0" fontId="4" fillId="0" borderId="0" xfId="4"/>
    <xf numFmtId="1" fontId="4" fillId="0" borderId="0" xfId="4" applyNumberFormat="1" applyAlignment="1">
      <alignment horizontal="center"/>
    </xf>
    <xf numFmtId="164" fontId="4" fillId="0" borderId="0" xfId="4" applyNumberFormat="1" applyAlignment="1">
      <alignment horizontal="center"/>
    </xf>
    <xf numFmtId="0" fontId="4" fillId="0" borderId="0" xfId="4" applyAlignment="1">
      <alignment horizontal="center" vertical="center"/>
    </xf>
    <xf numFmtId="1" fontId="4" fillId="0" borderId="0" xfId="4" applyNumberFormat="1" applyAlignment="1">
      <alignment horizontal="center" vertical="center"/>
    </xf>
    <xf numFmtId="164" fontId="4" fillId="0" borderId="0" xfId="4" applyNumberFormat="1" applyAlignment="1">
      <alignment horizontal="center" vertical="center"/>
    </xf>
    <xf numFmtId="1" fontId="4" fillId="7" borderId="0" xfId="4" applyNumberFormat="1" applyFill="1" applyAlignment="1">
      <alignment horizontal="center" vertical="center"/>
    </xf>
    <xf numFmtId="0" fontId="12" fillId="8" borderId="0" xfId="4" applyFont="1" applyFill="1" applyAlignment="1">
      <alignment horizontal="left" vertical="center"/>
    </xf>
    <xf numFmtId="0" fontId="4" fillId="8" borderId="0" xfId="4" applyFill="1" applyAlignment="1">
      <alignment horizontal="left" vertical="center"/>
    </xf>
    <xf numFmtId="164" fontId="4" fillId="7" borderId="0" xfId="4" applyNumberFormat="1" applyFill="1" applyAlignment="1">
      <alignment horizontal="center" vertical="center"/>
    </xf>
    <xf numFmtId="0" fontId="8" fillId="0" borderId="14" xfId="0" applyFont="1" applyBorder="1" applyAlignment="1">
      <alignment horizontal="left"/>
    </xf>
    <xf numFmtId="0" fontId="3" fillId="8" borderId="0" xfId="5" applyFill="1"/>
    <xf numFmtId="0" fontId="17" fillId="8" borderId="0" xfId="5" applyFont="1" applyFill="1" applyAlignment="1">
      <alignment horizontal="right" vertical="center"/>
    </xf>
    <xf numFmtId="0" fontId="17" fillId="8" borderId="0" xfId="5" applyFont="1" applyFill="1" applyAlignment="1">
      <alignment horizontal="center" vertical="center"/>
    </xf>
    <xf numFmtId="1" fontId="18" fillId="8" borderId="0" xfId="5" applyNumberFormat="1" applyFont="1" applyFill="1" applyAlignment="1">
      <alignment horizontal="left" vertical="center"/>
    </xf>
    <xf numFmtId="0" fontId="3" fillId="8" borderId="0" xfId="5" applyFill="1" applyAlignment="1">
      <alignment horizontal="center" vertical="center"/>
    </xf>
    <xf numFmtId="0" fontId="3" fillId="7" borderId="0" xfId="5" applyFill="1"/>
    <xf numFmtId="0" fontId="11" fillId="9" borderId="0" xfId="5" applyFont="1" applyFill="1" applyAlignment="1">
      <alignment horizontal="center" vertical="center"/>
    </xf>
    <xf numFmtId="0" fontId="11" fillId="7" borderId="0" xfId="5" applyFont="1" applyFill="1" applyAlignment="1">
      <alignment horizontal="center" vertical="center"/>
    </xf>
    <xf numFmtId="1" fontId="3" fillId="7" borderId="0" xfId="5" applyNumberFormat="1" applyFill="1" applyAlignment="1">
      <alignment horizontal="center" vertical="center"/>
    </xf>
    <xf numFmtId="0" fontId="3" fillId="8" borderId="0" xfId="5" applyFill="1" applyAlignment="1">
      <alignment horizontal="right"/>
    </xf>
    <xf numFmtId="1" fontId="3" fillId="8" borderId="0" xfId="5" applyNumberFormat="1" applyFill="1" applyAlignment="1">
      <alignment horizontal="center" vertical="center"/>
    </xf>
    <xf numFmtId="0" fontId="20" fillId="10" borderId="0" xfId="5" applyFont="1" applyFill="1" applyAlignment="1">
      <alignment horizontal="center" vertical="center"/>
    </xf>
    <xf numFmtId="0" fontId="20" fillId="10" borderId="0" xfId="5" applyFont="1" applyFill="1" applyAlignment="1">
      <alignment horizontal="center" vertical="center" wrapText="1"/>
    </xf>
    <xf numFmtId="1" fontId="20" fillId="10" borderId="0" xfId="5" applyNumberFormat="1" applyFont="1" applyFill="1" applyAlignment="1">
      <alignment horizontal="center" vertical="center" wrapText="1"/>
    </xf>
    <xf numFmtId="0" fontId="22" fillId="8" borderId="0" xfId="5" applyFont="1" applyFill="1" applyAlignment="1">
      <alignment horizontal="center" vertical="center"/>
    </xf>
    <xf numFmtId="2" fontId="22" fillId="8" borderId="0" xfId="5" applyNumberFormat="1" applyFont="1" applyFill="1" applyAlignment="1">
      <alignment horizontal="center" vertical="center"/>
    </xf>
    <xf numFmtId="164" fontId="22" fillId="8" borderId="0" xfId="5" applyNumberFormat="1" applyFont="1" applyFill="1" applyAlignment="1">
      <alignment horizontal="center" vertical="center"/>
    </xf>
    <xf numFmtId="0" fontId="22" fillId="11" borderId="0" xfId="5" applyFont="1" applyFill="1" applyAlignment="1">
      <alignment horizontal="center" vertical="center"/>
    </xf>
    <xf numFmtId="2" fontId="22" fillId="11" borderId="0" xfId="5" applyNumberFormat="1" applyFont="1" applyFill="1" applyAlignment="1">
      <alignment horizontal="center" vertical="center"/>
    </xf>
    <xf numFmtId="164" fontId="22" fillId="11" borderId="0" xfId="5" applyNumberFormat="1" applyFont="1" applyFill="1" applyAlignment="1">
      <alignment horizontal="center" vertical="center"/>
    </xf>
    <xf numFmtId="0" fontId="12" fillId="7" borderId="0" xfId="5" applyFont="1" applyFill="1"/>
    <xf numFmtId="1" fontId="3" fillId="7" borderId="0" xfId="5" applyNumberFormat="1" applyFill="1"/>
    <xf numFmtId="0" fontId="3" fillId="7" borderId="0" xfId="5" applyFill="1" applyAlignment="1">
      <alignment horizontal="right"/>
    </xf>
    <xf numFmtId="0" fontId="11" fillId="7" borderId="0" xfId="5" applyFont="1" applyFill="1"/>
    <xf numFmtId="0" fontId="23" fillId="7" borderId="0" xfId="5" applyFont="1" applyFill="1"/>
    <xf numFmtId="164" fontId="3" fillId="8" borderId="0" xfId="5" applyNumberFormat="1" applyFill="1"/>
    <xf numFmtId="49" fontId="3" fillId="7" borderId="0" xfId="5" applyNumberFormat="1" applyFill="1"/>
    <xf numFmtId="0" fontId="11" fillId="8" borderId="0" xfId="5" applyFont="1" applyFill="1"/>
    <xf numFmtId="164" fontId="11" fillId="7" borderId="0" xfId="5" applyNumberFormat="1" applyFont="1" applyFill="1"/>
    <xf numFmtId="164" fontId="3" fillId="7" borderId="0" xfId="5" applyNumberFormat="1" applyFill="1"/>
    <xf numFmtId="1" fontId="3" fillId="0" borderId="0" xfId="5" applyNumberFormat="1" applyAlignment="1">
      <alignment horizontal="center"/>
    </xf>
    <xf numFmtId="0" fontId="3" fillId="0" borderId="0" xfId="5"/>
    <xf numFmtId="164" fontId="3" fillId="0" borderId="0" xfId="5" applyNumberFormat="1" applyAlignment="1">
      <alignment horizontal="center"/>
    </xf>
    <xf numFmtId="0" fontId="3" fillId="0" borderId="0" xfId="5" applyAlignment="1">
      <alignment horizontal="center" vertical="center"/>
    </xf>
    <xf numFmtId="1" fontId="3" fillId="0" borderId="0" xfId="5" applyNumberFormat="1" applyAlignment="1">
      <alignment horizontal="center" vertical="center"/>
    </xf>
    <xf numFmtId="164" fontId="3" fillId="0" borderId="0" xfId="5" applyNumberFormat="1" applyAlignment="1">
      <alignment horizontal="center" vertical="center"/>
    </xf>
    <xf numFmtId="0" fontId="10" fillId="12" borderId="0" xfId="8" applyFill="1" applyAlignment="1">
      <alignment horizontal="left"/>
    </xf>
    <xf numFmtId="0" fontId="3" fillId="8" borderId="0" xfId="6" applyFill="1"/>
    <xf numFmtId="0" fontId="17" fillId="8" borderId="0" xfId="6" applyFont="1" applyFill="1" applyAlignment="1">
      <alignment horizontal="right" vertical="center"/>
    </xf>
    <xf numFmtId="0" fontId="17" fillId="8" borderId="0" xfId="6" applyFont="1" applyFill="1" applyAlignment="1">
      <alignment horizontal="center" vertical="center"/>
    </xf>
    <xf numFmtId="1" fontId="18" fillId="8" borderId="0" xfId="6" applyNumberFormat="1" applyFont="1" applyFill="1" applyAlignment="1">
      <alignment horizontal="left" vertical="center"/>
    </xf>
    <xf numFmtId="0" fontId="3" fillId="8" borderId="0" xfId="6" applyFill="1" applyAlignment="1">
      <alignment horizontal="center" vertical="center"/>
    </xf>
    <xf numFmtId="0" fontId="3" fillId="7" borderId="0" xfId="6" applyFill="1"/>
    <xf numFmtId="0" fontId="11" fillId="9" borderId="0" xfId="6" applyFont="1" applyFill="1" applyAlignment="1">
      <alignment horizontal="center" vertical="center"/>
    </xf>
    <xf numFmtId="0" fontId="11" fillId="7" borderId="0" xfId="6" applyFont="1" applyFill="1" applyAlignment="1">
      <alignment horizontal="center" vertical="center"/>
    </xf>
    <xf numFmtId="1" fontId="3" fillId="7" borderId="0" xfId="6" applyNumberFormat="1" applyFill="1" applyAlignment="1">
      <alignment horizontal="center" vertical="center"/>
    </xf>
    <xf numFmtId="0" fontId="3" fillId="8" borderId="0" xfId="6" applyFill="1" applyAlignment="1">
      <alignment horizontal="right"/>
    </xf>
    <xf numFmtId="0" fontId="20" fillId="10" borderId="0" xfId="6" applyFont="1" applyFill="1" applyAlignment="1">
      <alignment horizontal="center" vertical="center"/>
    </xf>
    <xf numFmtId="0" fontId="20" fillId="10" borderId="0" xfId="6" applyFont="1" applyFill="1" applyAlignment="1">
      <alignment horizontal="center" vertical="center" wrapText="1"/>
    </xf>
    <xf numFmtId="0" fontId="22" fillId="8" borderId="0" xfId="6" applyFont="1" applyFill="1" applyAlignment="1">
      <alignment horizontal="center" vertical="center"/>
    </xf>
    <xf numFmtId="2" fontId="22" fillId="8" borderId="0" xfId="6" applyNumberFormat="1" applyFont="1" applyFill="1" applyAlignment="1">
      <alignment horizontal="center" vertical="center"/>
    </xf>
    <xf numFmtId="164" fontId="22" fillId="8" borderId="0" xfId="6" applyNumberFormat="1" applyFont="1" applyFill="1" applyAlignment="1">
      <alignment horizontal="center" vertical="center"/>
    </xf>
    <xf numFmtId="0" fontId="22" fillId="11" borderId="0" xfId="6" applyFont="1" applyFill="1" applyAlignment="1">
      <alignment horizontal="center" vertical="center"/>
    </xf>
    <xf numFmtId="2" fontId="22" fillId="11" borderId="0" xfId="6" applyNumberFormat="1" applyFont="1" applyFill="1" applyAlignment="1">
      <alignment horizontal="center" vertical="center"/>
    </xf>
    <xf numFmtId="164" fontId="22" fillId="11" borderId="0" xfId="6" applyNumberFormat="1" applyFont="1" applyFill="1" applyAlignment="1">
      <alignment horizontal="center" vertical="center"/>
    </xf>
    <xf numFmtId="0" fontId="12" fillId="7" borderId="0" xfId="6" applyFont="1" applyFill="1"/>
    <xf numFmtId="1" fontId="3" fillId="7" borderId="0" xfId="6" applyNumberFormat="1" applyFill="1"/>
    <xf numFmtId="0" fontId="3" fillId="7" borderId="0" xfId="6" applyFill="1" applyAlignment="1">
      <alignment horizontal="right"/>
    </xf>
    <xf numFmtId="0" fontId="11" fillId="7" borderId="0" xfId="6" applyFont="1" applyFill="1"/>
    <xf numFmtId="0" fontId="23" fillId="7" borderId="0" xfId="6" applyFont="1" applyFill="1"/>
    <xf numFmtId="164" fontId="3" fillId="8" borderId="0" xfId="6" applyNumberFormat="1" applyFill="1"/>
    <xf numFmtId="49" fontId="3" fillId="7" borderId="0" xfId="6" applyNumberFormat="1" applyFill="1"/>
    <xf numFmtId="0" fontId="11" fillId="8" borderId="0" xfId="6" applyFont="1" applyFill="1"/>
    <xf numFmtId="164" fontId="11" fillId="7" borderId="0" xfId="6" applyNumberFormat="1" applyFont="1" applyFill="1"/>
    <xf numFmtId="164" fontId="3" fillId="7" borderId="0" xfId="6" applyNumberFormat="1" applyFill="1"/>
    <xf numFmtId="0" fontId="3" fillId="0" borderId="0" xfId="6"/>
    <xf numFmtId="1" fontId="3" fillId="0" borderId="0" xfId="6" applyNumberFormat="1" applyAlignment="1">
      <alignment horizontal="center"/>
    </xf>
    <xf numFmtId="164" fontId="3" fillId="0" borderId="0" xfId="6" applyNumberFormat="1" applyAlignment="1">
      <alignment horizontal="center"/>
    </xf>
    <xf numFmtId="0" fontId="3" fillId="0" borderId="0" xfId="6" applyAlignment="1">
      <alignment horizontal="center" vertical="center"/>
    </xf>
    <xf numFmtId="1" fontId="3" fillId="0" borderId="0" xfId="6" applyNumberFormat="1" applyAlignment="1">
      <alignment horizontal="center" vertical="center"/>
    </xf>
    <xf numFmtId="164" fontId="3" fillId="0" borderId="0" xfId="6" applyNumberFormat="1" applyAlignment="1">
      <alignment horizontal="center" vertical="center"/>
    </xf>
    <xf numFmtId="2" fontId="3" fillId="7" borderId="0" xfId="6" applyNumberFormat="1" applyFill="1" applyAlignment="1">
      <alignment horizontal="center" vertical="center"/>
    </xf>
    <xf numFmtId="1" fontId="3" fillId="8" borderId="0" xfId="6" applyNumberFormat="1" applyFill="1" applyAlignment="1">
      <alignment horizontal="center" vertical="center"/>
    </xf>
    <xf numFmtId="1" fontId="20" fillId="10" borderId="0" xfId="6" applyNumberFormat="1" applyFont="1" applyFill="1" applyAlignment="1">
      <alignment horizontal="center" vertical="center" wrapText="1"/>
    </xf>
    <xf numFmtId="2" fontId="3" fillId="0" borderId="0" xfId="6" applyNumberFormat="1" applyAlignment="1">
      <alignment horizontal="center"/>
    </xf>
    <xf numFmtId="0" fontId="29" fillId="12" borderId="0" xfId="0" applyFont="1" applyFill="1"/>
    <xf numFmtId="0" fontId="29" fillId="12" borderId="0" xfId="0" applyFont="1" applyFill="1" applyAlignment="1">
      <alignment horizontal="left" vertical="center"/>
    </xf>
    <xf numFmtId="0" fontId="29" fillId="12" borderId="0" xfId="0" applyFont="1" applyFill="1" applyAlignment="1">
      <alignment horizontal="center" vertical="center"/>
    </xf>
    <xf numFmtId="0" fontId="30" fillId="12" borderId="0" xfId="0" applyFont="1" applyFill="1"/>
    <xf numFmtId="0" fontId="30" fillId="12" borderId="0" xfId="0" applyFont="1" applyFill="1" applyAlignment="1">
      <alignment horizontal="left" vertical="center"/>
    </xf>
    <xf numFmtId="0" fontId="31" fillId="12" borderId="0" xfId="0" applyFont="1" applyFill="1" applyAlignment="1">
      <alignment horizontal="center" vertical="center"/>
    </xf>
    <xf numFmtId="17" fontId="29" fillId="12" borderId="0" xfId="0" applyNumberFormat="1" applyFont="1" applyFill="1" applyAlignment="1">
      <alignment horizontal="center" vertical="center"/>
    </xf>
    <xf numFmtId="0" fontId="8" fillId="7" borderId="11" xfId="0" applyFont="1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164" fontId="3" fillId="8" borderId="0" xfId="5" applyNumberFormat="1" applyFill="1" applyAlignment="1">
      <alignment horizontal="center" vertical="center"/>
    </xf>
    <xf numFmtId="0" fontId="11" fillId="8" borderId="0" xfId="5" applyFont="1" applyFill="1" applyAlignment="1">
      <alignment horizontal="center" vertical="center"/>
    </xf>
    <xf numFmtId="0" fontId="3" fillId="8" borderId="0" xfId="5" applyFill="1" applyAlignment="1">
      <alignment horizontal="left" vertical="center"/>
    </xf>
    <xf numFmtId="0" fontId="32" fillId="8" borderId="0" xfId="5" applyFont="1" applyFill="1" applyAlignment="1">
      <alignment horizontal="left" vertical="center"/>
    </xf>
    <xf numFmtId="164" fontId="3" fillId="8" borderId="0" xfId="5" applyNumberFormat="1" applyFill="1" applyAlignment="1">
      <alignment horizontal="left" vertical="center"/>
    </xf>
    <xf numFmtId="0" fontId="33" fillId="0" borderId="0" xfId="0" applyFont="1"/>
    <xf numFmtId="0" fontId="10" fillId="8" borderId="0" xfId="8" applyFill="1"/>
    <xf numFmtId="0" fontId="8" fillId="4" borderId="0" xfId="0" applyFont="1" applyFill="1"/>
    <xf numFmtId="0" fontId="8" fillId="4" borderId="14" xfId="0" applyFont="1" applyFill="1" applyBorder="1"/>
    <xf numFmtId="0" fontId="10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30" fillId="12" borderId="0" xfId="0" applyFont="1" applyFill="1" applyAlignment="1">
      <alignment horizontal="center" vertical="center"/>
    </xf>
    <xf numFmtId="0" fontId="32" fillId="8" borderId="0" xfId="5" applyFont="1" applyFill="1" applyAlignment="1">
      <alignment horizontal="center" vertical="center"/>
    </xf>
    <xf numFmtId="14" fontId="10" fillId="8" borderId="0" xfId="8" applyNumberFormat="1" applyFill="1" applyAlignment="1">
      <alignment horizontal="left"/>
    </xf>
    <xf numFmtId="0" fontId="32" fillId="8" borderId="0" xfId="2" applyFont="1" applyFill="1"/>
    <xf numFmtId="164" fontId="32" fillId="8" borderId="0" xfId="2" applyNumberFormat="1" applyFont="1" applyFill="1"/>
    <xf numFmtId="0" fontId="30" fillId="12" borderId="0" xfId="0" applyFont="1" applyFill="1" applyAlignment="1">
      <alignment vertical="center"/>
    </xf>
    <xf numFmtId="0" fontId="34" fillId="12" borderId="0" xfId="0" applyFont="1" applyFill="1"/>
    <xf numFmtId="0" fontId="34" fillId="12" borderId="0" xfId="0" applyFont="1" applyFill="1" applyAlignment="1">
      <alignment vertical="center"/>
    </xf>
    <xf numFmtId="0" fontId="34" fillId="12" borderId="0" xfId="0" applyFont="1" applyFill="1" applyAlignment="1">
      <alignment horizontal="left" vertical="center"/>
    </xf>
    <xf numFmtId="0" fontId="11" fillId="8" borderId="0" xfId="2" applyFont="1" applyFill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0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32" fillId="8" borderId="0" xfId="5" applyFont="1" applyFill="1" applyAlignment="1">
      <alignment horizontal="center" vertical="center"/>
    </xf>
    <xf numFmtId="0" fontId="10" fillId="12" borderId="0" xfId="8" applyFill="1" applyBorder="1" applyAlignment="1"/>
    <xf numFmtId="14" fontId="0" fillId="12" borderId="0" xfId="0" applyNumberFormat="1" applyFill="1" applyAlignment="1">
      <alignment horizontal="left"/>
    </xf>
    <xf numFmtId="0" fontId="0" fillId="12" borderId="0" xfId="0" applyFill="1" applyAlignment="1">
      <alignment horizontal="left"/>
    </xf>
    <xf numFmtId="0" fontId="10" fillId="12" borderId="0" xfId="8" applyFill="1" applyAlignment="1">
      <alignment horizontal="left" vertical="center"/>
    </xf>
    <xf numFmtId="0" fontId="24" fillId="5" borderId="0" xfId="0" applyFont="1" applyFill="1" applyAlignment="1">
      <alignment horizontal="center" vertical="center" wrapText="1"/>
    </xf>
    <xf numFmtId="0" fontId="27" fillId="2" borderId="5" xfId="0" applyFont="1" applyFill="1" applyBorder="1" applyAlignment="1">
      <alignment horizontal="center" vertical="center"/>
    </xf>
    <xf numFmtId="0" fontId="27" fillId="2" borderId="6" xfId="0" applyFont="1" applyFill="1" applyBorder="1" applyAlignment="1">
      <alignment horizontal="center" vertical="center"/>
    </xf>
    <xf numFmtId="0" fontId="12" fillId="13" borderId="25" xfId="3" applyFont="1" applyBorder="1" applyAlignment="1">
      <alignment horizontal="center" vertical="center"/>
    </xf>
    <xf numFmtId="0" fontId="12" fillId="13" borderId="26" xfId="3" applyFont="1" applyBorder="1" applyAlignment="1">
      <alignment horizontal="center" vertical="center"/>
    </xf>
    <xf numFmtId="0" fontId="0" fillId="14" borderId="17" xfId="0" applyFill="1" applyBorder="1" applyAlignment="1">
      <alignment horizontal="center" vertical="center" wrapText="1"/>
    </xf>
    <xf numFmtId="0" fontId="0" fillId="14" borderId="18" xfId="0" applyFill="1" applyBorder="1" applyAlignment="1">
      <alignment horizontal="center" vertical="center" wrapText="1"/>
    </xf>
    <xf numFmtId="0" fontId="0" fillId="14" borderId="30" xfId="0" applyFill="1" applyBorder="1" applyAlignment="1">
      <alignment horizontal="center" vertical="center" wrapText="1"/>
    </xf>
    <xf numFmtId="0" fontId="0" fillId="14" borderId="20" xfId="0" applyFill="1" applyBorder="1" applyAlignment="1">
      <alignment horizontal="center" vertical="center" wrapText="1"/>
    </xf>
    <xf numFmtId="0" fontId="0" fillId="14" borderId="0" xfId="0" applyFill="1" applyAlignment="1">
      <alignment horizontal="center" vertical="center" wrapText="1"/>
    </xf>
    <xf numFmtId="0" fontId="0" fillId="14" borderId="31" xfId="0" applyFill="1" applyBorder="1" applyAlignment="1">
      <alignment horizontal="center" vertical="center" wrapText="1"/>
    </xf>
    <xf numFmtId="0" fontId="0" fillId="14" borderId="29" xfId="0" applyFill="1" applyBorder="1" applyAlignment="1">
      <alignment horizontal="center" vertical="center" wrapText="1"/>
    </xf>
    <xf numFmtId="0" fontId="0" fillId="14" borderId="28" xfId="0" applyFill="1" applyBorder="1" applyAlignment="1">
      <alignment horizontal="center" vertical="center" wrapText="1"/>
    </xf>
    <xf numFmtId="0" fontId="0" fillId="14" borderId="32" xfId="0" applyFill="1" applyBorder="1" applyAlignment="1">
      <alignment horizontal="center" vertical="center" wrapText="1"/>
    </xf>
    <xf numFmtId="0" fontId="27" fillId="2" borderId="3" xfId="0" applyFont="1" applyFill="1" applyBorder="1" applyAlignment="1">
      <alignment horizontal="center" vertical="center"/>
    </xf>
    <xf numFmtId="0" fontId="27" fillId="2" borderId="7" xfId="0" applyFont="1" applyFill="1" applyBorder="1" applyAlignment="1">
      <alignment horizontal="center" vertical="center"/>
    </xf>
    <xf numFmtId="0" fontId="27" fillId="2" borderId="4" xfId="0" applyFont="1" applyFill="1" applyBorder="1" applyAlignment="1">
      <alignment horizontal="center" vertical="center"/>
    </xf>
    <xf numFmtId="0" fontId="27" fillId="2" borderId="8" xfId="0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center" vertical="center"/>
    </xf>
    <xf numFmtId="14" fontId="10" fillId="8" borderId="0" xfId="8" applyNumberFormat="1" applyFill="1" applyAlignment="1">
      <alignment horizontal="left"/>
    </xf>
    <xf numFmtId="0" fontId="1" fillId="8" borderId="0" xfId="9" applyFill="1"/>
    <xf numFmtId="0" fontId="17" fillId="8" borderId="0" xfId="9" applyFont="1" applyFill="1" applyAlignment="1">
      <alignment horizontal="right" vertical="center"/>
    </xf>
    <xf numFmtId="0" fontId="17" fillId="8" borderId="0" xfId="9" applyFont="1" applyFill="1" applyAlignment="1">
      <alignment horizontal="center" vertical="center"/>
    </xf>
    <xf numFmtId="1" fontId="18" fillId="8" borderId="0" xfId="9" applyNumberFormat="1" applyFont="1" applyFill="1" applyAlignment="1">
      <alignment horizontal="left" vertical="center"/>
    </xf>
    <xf numFmtId="0" fontId="1" fillId="8" borderId="0" xfId="9" applyFill="1" applyAlignment="1">
      <alignment horizontal="center" vertical="center"/>
    </xf>
    <xf numFmtId="0" fontId="1" fillId="7" borderId="0" xfId="9" applyFill="1"/>
    <xf numFmtId="0" fontId="11" fillId="9" borderId="0" xfId="9" applyFont="1" applyFill="1" applyAlignment="1">
      <alignment horizontal="center" vertical="center"/>
    </xf>
    <xf numFmtId="0" fontId="11" fillId="7" borderId="0" xfId="9" applyFont="1" applyFill="1" applyAlignment="1">
      <alignment horizontal="center" vertical="center"/>
    </xf>
    <xf numFmtId="1" fontId="1" fillId="7" borderId="0" xfId="9" applyNumberFormat="1" applyFill="1" applyAlignment="1">
      <alignment horizontal="center" vertical="center"/>
    </xf>
    <xf numFmtId="0" fontId="1" fillId="8" borderId="0" xfId="9" applyFill="1" applyAlignment="1">
      <alignment horizontal="right"/>
    </xf>
    <xf numFmtId="1" fontId="1" fillId="8" borderId="0" xfId="9" applyNumberFormat="1" applyFill="1" applyAlignment="1">
      <alignment horizontal="center" vertical="center"/>
    </xf>
    <xf numFmtId="0" fontId="20" fillId="10" borderId="0" xfId="9" applyFont="1" applyFill="1" applyAlignment="1">
      <alignment horizontal="center" vertical="center"/>
    </xf>
    <xf numFmtId="0" fontId="20" fillId="10" borderId="0" xfId="9" applyFont="1" applyFill="1" applyAlignment="1">
      <alignment horizontal="center" vertical="center" wrapText="1"/>
    </xf>
    <xf numFmtId="1" fontId="20" fillId="10" borderId="0" xfId="9" applyNumberFormat="1" applyFont="1" applyFill="1" applyAlignment="1">
      <alignment horizontal="center" vertical="center" wrapText="1"/>
    </xf>
    <xf numFmtId="0" fontId="22" fillId="8" borderId="0" xfId="9" applyFont="1" applyFill="1" applyAlignment="1">
      <alignment horizontal="center" vertical="center"/>
    </xf>
    <xf numFmtId="2" fontId="22" fillId="8" borderId="0" xfId="9" applyNumberFormat="1" applyFont="1" applyFill="1" applyAlignment="1">
      <alignment horizontal="center" vertical="center"/>
    </xf>
    <xf numFmtId="164" fontId="22" fillId="8" borderId="0" xfId="9" applyNumberFormat="1" applyFont="1" applyFill="1" applyAlignment="1">
      <alignment horizontal="center" vertical="center"/>
    </xf>
    <xf numFmtId="0" fontId="22" fillId="11" borderId="0" xfId="9" applyFont="1" applyFill="1" applyAlignment="1">
      <alignment horizontal="center" vertical="center"/>
    </xf>
    <xf numFmtId="2" fontId="22" fillId="11" borderId="0" xfId="9" applyNumberFormat="1" applyFont="1" applyFill="1" applyAlignment="1">
      <alignment horizontal="center" vertical="center"/>
    </xf>
    <xf numFmtId="164" fontId="22" fillId="11" borderId="0" xfId="9" applyNumberFormat="1" applyFont="1" applyFill="1" applyAlignment="1">
      <alignment horizontal="center" vertical="center"/>
    </xf>
    <xf numFmtId="0" fontId="12" fillId="7" borderId="0" xfId="9" applyFont="1" applyFill="1"/>
    <xf numFmtId="1" fontId="1" fillId="7" borderId="0" xfId="9" applyNumberFormat="1" applyFill="1"/>
    <xf numFmtId="0" fontId="1" fillId="7" borderId="0" xfId="9" applyFill="1" applyAlignment="1">
      <alignment horizontal="right"/>
    </xf>
    <xf numFmtId="0" fontId="11" fillId="7" borderId="0" xfId="9" applyFont="1" applyFill="1"/>
    <xf numFmtId="0" fontId="23" fillId="7" borderId="0" xfId="9" applyFont="1" applyFill="1"/>
    <xf numFmtId="164" fontId="1" fillId="8" borderId="0" xfId="9" applyNumberFormat="1" applyFill="1"/>
    <xf numFmtId="49" fontId="1" fillId="7" borderId="0" xfId="9" applyNumberFormat="1" applyFill="1"/>
    <xf numFmtId="0" fontId="11" fillId="8" borderId="0" xfId="9" applyFont="1" applyFill="1"/>
    <xf numFmtId="164" fontId="11" fillId="7" borderId="0" xfId="9" applyNumberFormat="1" applyFont="1" applyFill="1"/>
    <xf numFmtId="164" fontId="1" fillId="7" borderId="0" xfId="9" applyNumberFormat="1" applyFill="1"/>
    <xf numFmtId="0" fontId="1" fillId="0" borderId="0" xfId="9"/>
    <xf numFmtId="1" fontId="1" fillId="0" borderId="0" xfId="9" applyNumberFormat="1" applyAlignment="1">
      <alignment horizontal="center"/>
    </xf>
    <xf numFmtId="164" fontId="1" fillId="0" borderId="0" xfId="9" applyNumberFormat="1" applyAlignment="1">
      <alignment horizontal="center"/>
    </xf>
    <xf numFmtId="0" fontId="1" fillId="0" borderId="0" xfId="9" applyAlignment="1">
      <alignment horizontal="center" vertical="center"/>
    </xf>
    <xf numFmtId="1" fontId="1" fillId="0" borderId="0" xfId="9" applyNumberFormat="1" applyAlignment="1">
      <alignment horizontal="center" vertical="center"/>
    </xf>
    <xf numFmtId="164" fontId="1" fillId="0" borderId="0" xfId="9" applyNumberFormat="1" applyAlignment="1">
      <alignment horizontal="center" vertical="center"/>
    </xf>
  </cellXfs>
  <cellStyles count="10">
    <cellStyle name="20% — akcent 1" xfId="3" builtinId="30"/>
    <cellStyle name="Akcent 1" xfId="1" builtinId="29"/>
    <cellStyle name="Hiperłącze" xfId="8" builtinId="8"/>
    <cellStyle name="Normal 2" xfId="2" xr:uid="{D03162E9-A9CE-4874-8231-25794F4C4795}"/>
    <cellStyle name="Normal 2 2" xfId="5" xr:uid="{0DA6710F-CFA8-417E-BA3C-9763782721B7}"/>
    <cellStyle name="Normal 2 2 2" xfId="4" xr:uid="{1DB3230B-D7DC-47AE-BCF6-9D6C378333D3}"/>
    <cellStyle name="Normal 2 2 2 2" xfId="6" xr:uid="{FCFEFF4D-DEAB-4243-A0C6-AFD8111F00EB}"/>
    <cellStyle name="Normal 2 2 2 2 2 2" xfId="9" xr:uid="{A0976757-01C8-4C59-B25C-EC040F8FFA15}"/>
    <cellStyle name="Normal 2 2 2 3" xfId="7" xr:uid="{1497A05A-371C-4E9F-8053-03A20E7469F2}"/>
    <cellStyle name="Normalny" xfId="0" builtinId="0"/>
  </cellStyles>
  <dxfs count="31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DC3A91FCABDA4AA19D494237AD071EB6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02B4F3507D454FC3A0B0A1C170E7C57F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1BB173A3F24A4DCAB6D363BFB851C158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DF16046C29204C769C289F19BB1967D2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www.fencingtimelive.com/events/results/E81CCA279A6C47A09FDC7DA996157EA1" TargetMode="External"/><Relationship Id="rId1" Type="http://schemas.openxmlformats.org/officeDocument/2006/relationships/hyperlink" Target="https://www.fencingtimelive.com/events/results/BE43486F815F4453994A7A2B0EAB1945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www.fencingtimelive.com/events/results/69C728DB58584FFC85FA31A9043DFE65" TargetMode="External"/><Relationship Id="rId1" Type="http://schemas.openxmlformats.org/officeDocument/2006/relationships/hyperlink" Target="https://www.fencingtimelive.com/tournaments/eventSchedule/B2C615704AB84D0F85BBFF395C07BA4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engarde-service.com/app.php?id=4211E3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engarde-service.com/competition/aeve_esgrima/evf_madrid_2024/t-sm-3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www.fencingworldwide.com/en/912307-2024/results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fencingtimelive.com/events/results/BF20F4586021409CA7B68BE9DE858C3E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engarde-service.com/competition/club_des_escrimeurs_de_faches_thumesnil/faches2025/shv3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s://www.4fence.it/FIS/Risultati/2025-02-02-01_Terni_(TR)_-_4_Prova_Naz.le_Master_-_EVF_Circuit/index.php?a=SC&amp;s=M&amp;c=8&amp;f=clafinale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www.fencingtimelive.com/events/results/3EFA46E3EB5B46F6B4BF2A95B5758847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www.fencingtimelive.com/events/results/BB4AD6C8F40940FA8FB69E0C0B68FCBC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www.fencingworldwide.com/en/1000920979-2024/results/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engarde-service.com/competition/fencingaddict/crit25/shv3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hyperlink" Target="https://www.fencingtimelive.com/events/results/9BDF4028E9F6424C990692BA104C6C82" TargetMode="External"/><Relationship Id="rId1" Type="http://schemas.openxmlformats.org/officeDocument/2006/relationships/hyperlink" Target="https://www.fencingtimelive.com/events/results/ABAADCA376B1472397749EEA732DC1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401D9-D758-4840-9D46-5FC1A4F61A99}">
  <dimension ref="A1:U35"/>
  <sheetViews>
    <sheetView tabSelected="1" workbookViewId="0">
      <selection activeCell="B6" sqref="B6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5" max="5" width="3.75" customWidth="1"/>
    <col min="6" max="6" width="6" customWidth="1"/>
    <col min="7" max="7" width="3.75" customWidth="1"/>
    <col min="8" max="14" width="6" customWidth="1"/>
    <col min="15" max="15" width="3.75" customWidth="1"/>
    <col min="16" max="16" width="6" customWidth="1"/>
    <col min="17" max="17" width="4.25" customWidth="1"/>
  </cols>
  <sheetData>
    <row r="1" spans="1:21" ht="14.3" thickBot="1" x14ac:dyDescent="0.3">
      <c r="A1" s="3"/>
      <c r="B1" s="3"/>
      <c r="C1" s="3"/>
      <c r="D1" s="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ht="13.75" customHeight="1" thickTop="1" x14ac:dyDescent="0.25">
      <c r="A2" s="3"/>
      <c r="B2" s="207" t="s">
        <v>0</v>
      </c>
      <c r="C2" s="3"/>
      <c r="D2" s="63" t="s">
        <v>69</v>
      </c>
      <c r="E2" s="4"/>
      <c r="F2" s="4"/>
      <c r="G2" s="4"/>
      <c r="H2" s="3"/>
      <c r="I2" s="3"/>
      <c r="J2" s="3"/>
      <c r="K2" s="3"/>
      <c r="L2" s="3"/>
      <c r="M2" s="3"/>
      <c r="N2" s="3"/>
      <c r="O2" s="3"/>
      <c r="P2" s="3"/>
      <c r="R2" s="226" t="s">
        <v>70</v>
      </c>
      <c r="S2" s="227"/>
      <c r="T2" s="227"/>
      <c r="U2" s="228"/>
    </row>
    <row r="3" spans="1:21" ht="13.6" x14ac:dyDescent="0.25">
      <c r="A3" s="3"/>
      <c r="B3" s="3"/>
      <c r="C3" s="3"/>
      <c r="D3" s="5" t="s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229"/>
      <c r="S3" s="230"/>
      <c r="T3" s="230"/>
      <c r="U3" s="231"/>
    </row>
    <row r="4" spans="1:21" ht="24.8" customHeight="1" thickBot="1" x14ac:dyDescent="0.25">
      <c r="A4" s="221" t="s">
        <v>2</v>
      </c>
      <c r="B4" s="223" t="s">
        <v>3</v>
      </c>
      <c r="C4" s="223" t="s">
        <v>4</v>
      </c>
      <c r="D4" s="223" t="s">
        <v>5</v>
      </c>
      <c r="E4" s="235" t="s">
        <v>71</v>
      </c>
      <c r="F4" s="236"/>
      <c r="G4" s="235" t="s">
        <v>88</v>
      </c>
      <c r="H4" s="236"/>
      <c r="I4" s="235" t="s">
        <v>91</v>
      </c>
      <c r="J4" s="236"/>
      <c r="K4" s="235" t="s">
        <v>103</v>
      </c>
      <c r="L4" s="236"/>
      <c r="M4" s="235" t="s">
        <v>105</v>
      </c>
      <c r="N4" s="236"/>
      <c r="O4" s="235" t="s">
        <v>6</v>
      </c>
      <c r="P4" s="236"/>
      <c r="R4" s="232"/>
      <c r="S4" s="233"/>
      <c r="T4" s="233"/>
      <c r="U4" s="234"/>
    </row>
    <row r="5" spans="1:21" ht="18" customHeight="1" thickTop="1" x14ac:dyDescent="0.2">
      <c r="A5" s="222"/>
      <c r="B5" s="224"/>
      <c r="C5" s="224"/>
      <c r="D5" s="225"/>
      <c r="E5" s="2" t="s">
        <v>7</v>
      </c>
      <c r="F5" s="2" t="s">
        <v>8</v>
      </c>
      <c r="G5" s="2" t="s">
        <v>7</v>
      </c>
      <c r="H5" s="6" t="s">
        <v>8</v>
      </c>
      <c r="I5" s="2" t="s">
        <v>7</v>
      </c>
      <c r="J5" s="6" t="s">
        <v>8</v>
      </c>
      <c r="K5" s="2" t="s">
        <v>7</v>
      </c>
      <c r="L5" s="6" t="s">
        <v>8</v>
      </c>
      <c r="M5" s="2" t="s">
        <v>7</v>
      </c>
      <c r="N5" s="6" t="s">
        <v>8</v>
      </c>
      <c r="O5" s="2" t="s">
        <v>7</v>
      </c>
      <c r="P5" s="6" t="s">
        <v>8</v>
      </c>
    </row>
    <row r="6" spans="1:21" ht="14.8" customHeight="1" x14ac:dyDescent="0.25">
      <c r="A6" s="7">
        <f t="shared" ref="A6:A19" si="0">ROW()-5</f>
        <v>1</v>
      </c>
      <c r="B6" s="208" t="s">
        <v>10</v>
      </c>
      <c r="C6" s="198"/>
      <c r="D6" s="69">
        <f t="shared" ref="D6:D19" si="1">SUM(F6,H6,J6,L6,N6,P6)-MIN(F6,H6,J6,L6,N6)</f>
        <v>287.13092283187711</v>
      </c>
      <c r="E6" s="8" t="str">
        <f>_xlfn.XLOOKUP($B6,'PP1'!$C$6:$C$101,'PP1'!$B$6:$B$101,"")</f>
        <v/>
      </c>
      <c r="F6" s="70">
        <f>_xlfn.XLOOKUP(E6,'PP1'!$B$6:$B$55,'PP1'!$A$6:$A$55,0)</f>
        <v>0</v>
      </c>
      <c r="G6" s="8">
        <f>_xlfn.XLOOKUP($B6,'PP2'!$C$6:$C$101,'PP2'!$B$6:$B$101,"")</f>
        <v>1</v>
      </c>
      <c r="H6" s="71">
        <f>_xlfn.XLOOKUP(G6,'PP2'!$B$6:$B$55,'PP2'!$A$6:$A$55,0)</f>
        <v>79</v>
      </c>
      <c r="I6" s="8">
        <f>_xlfn.XLOOKUP($B6,'PP3'!$C$6:$C$101,'PP3'!$B$6:$B$101,"")</f>
        <v>2</v>
      </c>
      <c r="J6" s="71">
        <f>_xlfn.XLOOKUP(I6,'PP3'!$B$6:$B$55,'PP3'!$A$6:$A$55,0)</f>
        <v>45.024406311809194</v>
      </c>
      <c r="K6" s="8">
        <f>_xlfn.XLOOKUP($B6,'PP4'!$C$6:$C$101,'PP4'!$B$6:$B$101,"")</f>
        <v>2</v>
      </c>
      <c r="L6" s="71">
        <f>_xlfn.XLOOKUP(K6,'PP4'!$B$6:$B$55,'PP4'!$A$6:$A$55,0)</f>
        <v>37.73793949684304</v>
      </c>
      <c r="M6" s="8">
        <f>_xlfn.XLOOKUP($B6,'PP5'!$C$6:$C$101,'PP5'!$B$6:$B$101,"")</f>
        <v>1</v>
      </c>
      <c r="N6" s="71">
        <f>_xlfn.XLOOKUP(M6,'PP5'!$B$6:$B$55,'PP5'!$A$6:$A$55,0)</f>
        <v>71.339289449053865</v>
      </c>
      <c r="O6" s="8">
        <f>_xlfn.XLOOKUP(B6,MPW!C$6:C$101,MPW!B$6:B$101,"")</f>
        <v>2</v>
      </c>
      <c r="P6" s="71">
        <f>_xlfn.XLOOKUP(O6,MPW!B$6:B$55,MPW!A$6:A$55,0)</f>
        <v>54.029287574171029</v>
      </c>
    </row>
    <row r="7" spans="1:21" ht="14.8" customHeight="1" x14ac:dyDescent="0.25">
      <c r="A7" s="7">
        <f t="shared" si="0"/>
        <v>2</v>
      </c>
      <c r="B7" s="115" t="s">
        <v>9</v>
      </c>
      <c r="C7" s="9"/>
      <c r="D7" s="69">
        <f t="shared" si="1"/>
        <v>258.60614504953435</v>
      </c>
      <c r="E7" s="8">
        <f>_xlfn.XLOOKUP($B7,'PP1'!$C$6:$C$101,'PP1'!$B$6:$B$101,"")</f>
        <v>1</v>
      </c>
      <c r="F7" s="70">
        <f>_xlfn.XLOOKUP(E7,'PP1'!$B$6:$B$55,'PP1'!$A$6:$A$55,0)</f>
        <v>91.339289449053865</v>
      </c>
      <c r="G7" s="8" t="str">
        <f>_xlfn.XLOOKUP($B7,'PP2'!$C$6:$C$101,'PP2'!$B$6:$B$101,"")</f>
        <v/>
      </c>
      <c r="H7" s="71">
        <f>_xlfn.XLOOKUP(G7,'PP2'!$B$6:$B$55,'PP2'!$A$6:$A$55,0)</f>
        <v>0</v>
      </c>
      <c r="I7" s="8">
        <f>_xlfn.XLOOKUP($B7,'PP3'!$C$6:$C$101,'PP3'!$B$6:$B$101,"")</f>
        <v>1</v>
      </c>
      <c r="J7" s="71">
        <f>_xlfn.XLOOKUP(I7,'PP3'!$B$6:$B$55,'PP3'!$A$6:$A$55,0)</f>
        <v>84.286609467713788</v>
      </c>
      <c r="K7" s="8">
        <f>_xlfn.XLOOKUP($B7,'PP4'!$C$6:$C$101,'PP4'!$B$6:$B$101,"")</f>
        <v>1</v>
      </c>
      <c r="L7" s="71">
        <f>_xlfn.XLOOKUP(K7,'PP4'!$B$6:$B$55,'PP4'!$A$6:$A$55,0)</f>
        <v>82.980246132766666</v>
      </c>
      <c r="M7" s="8" t="str">
        <f>_xlfn.XLOOKUP($B7,'PP5'!$C$6:$C$101,'PP5'!$B$6:$B$101,"")</f>
        <v/>
      </c>
      <c r="N7" s="71">
        <f>_xlfn.XLOOKUP(M7,'PP5'!$B$6:$B$55,'PP5'!$A$6:$A$55,0)</f>
        <v>0</v>
      </c>
      <c r="O7" s="8" t="str">
        <f>_xlfn.XLOOKUP(B7,MPW!C$6:C$101,MPW!B$6:B$101,"")</f>
        <v/>
      </c>
      <c r="P7" s="71">
        <f>_xlfn.XLOOKUP(O7,MPW!B$6:B$55,MPW!A$6:A$55,0)</f>
        <v>0</v>
      </c>
    </row>
    <row r="8" spans="1:21" ht="15.8" customHeight="1" x14ac:dyDescent="0.25">
      <c r="A8" s="7">
        <f t="shared" si="0"/>
        <v>3</v>
      </c>
      <c r="B8" s="115" t="s">
        <v>12</v>
      </c>
      <c r="C8" s="9"/>
      <c r="D8" s="69">
        <f t="shared" si="1"/>
        <v>101.14393136125655</v>
      </c>
      <c r="E8" s="8" t="str">
        <f>_xlfn.XLOOKUP($B8,'PP1'!$C$6:$C$101,'PP1'!$B$6:$B$101,"")</f>
        <v/>
      </c>
      <c r="F8" s="70">
        <f>_xlfn.XLOOKUP(E8,'PP1'!$B$6:$B$55,'PP1'!$A$6:$A$55,0)</f>
        <v>0</v>
      </c>
      <c r="G8" s="8" t="str">
        <f>_xlfn.XLOOKUP($B8,'PP2'!$C$6:$C$101,'PP2'!$B$6:$B$101,"")</f>
        <v/>
      </c>
      <c r="H8" s="71">
        <f>_xlfn.XLOOKUP(G8,'PP2'!$B$6:$B$55,'PP2'!$A$6:$A$55,0)</f>
        <v>0</v>
      </c>
      <c r="I8" s="8" t="str">
        <f>_xlfn.XLOOKUP($B8,'PP3'!$C$6:$C$101,'PP3'!$B$6:$B$101,"")</f>
        <v/>
      </c>
      <c r="J8" s="71">
        <f>_xlfn.XLOOKUP(I8,'PP3'!$B$6:$B$55,'PP3'!$A$6:$A$55,0)</f>
        <v>0</v>
      </c>
      <c r="K8" s="8" t="str">
        <f>_xlfn.XLOOKUP($B8,'PP4'!$C$6:$C$101,'PP4'!$B$6:$B$101,"")</f>
        <v/>
      </c>
      <c r="L8" s="71">
        <f>_xlfn.XLOOKUP(K8,'PP4'!$B$6:$B$55,'PP4'!$A$6:$A$55,0)</f>
        <v>0</v>
      </c>
      <c r="M8" s="8" t="str">
        <f>_xlfn.XLOOKUP($B8,'PP5'!$C$6:$C$101,'PP5'!$B$6:$B$101,"")</f>
        <v/>
      </c>
      <c r="N8" s="71">
        <f>_xlfn.XLOOKUP(M8,'PP5'!$B$6:$B$55,'PP5'!$A$6:$A$55,0)</f>
        <v>0</v>
      </c>
      <c r="O8" s="8">
        <f>_xlfn.XLOOKUP(B8,MPW!C$6:C$101,MPW!B$6:B$101,"")</f>
        <v>1</v>
      </c>
      <c r="P8" s="71">
        <f>_xlfn.XLOOKUP(O8,MPW!B$6:B$55,MPW!A$6:A$55,0)</f>
        <v>101.14393136125655</v>
      </c>
    </row>
    <row r="9" spans="1:21" ht="14.8" customHeight="1" x14ac:dyDescent="0.25">
      <c r="A9" s="7">
        <f t="shared" si="0"/>
        <v>4</v>
      </c>
      <c r="B9" s="115" t="s">
        <v>11</v>
      </c>
      <c r="C9" s="9"/>
      <c r="D9" s="69">
        <f t="shared" si="1"/>
        <v>57.49316946378049</v>
      </c>
      <c r="E9" s="8">
        <f>_xlfn.XLOOKUP($B9,'PP1'!$C$6:$C$101,'PP1'!$B$6:$B$101,"")</f>
        <v>2</v>
      </c>
      <c r="F9" s="70">
        <f>_xlfn.XLOOKUP(E9,'PP1'!$B$6:$B$55,'PP1'!$A$6:$A$55,0)</f>
        <v>8.5595262993692387</v>
      </c>
      <c r="G9" s="8" t="str">
        <f>_xlfn.XLOOKUP($B9,'PP2'!$C$6:$C$101,'PP2'!$B$6:$B$101,"")</f>
        <v/>
      </c>
      <c r="H9" s="71">
        <f>_xlfn.XLOOKUP(G9,'PP2'!$B$6:$B$55,'PP2'!$A$6:$A$55,0)</f>
        <v>0</v>
      </c>
      <c r="I9" s="8">
        <f>_xlfn.XLOOKUP($B9,'PP3'!$C$6:$C$101,'PP3'!$B$6:$B$101,"")</f>
        <v>3</v>
      </c>
      <c r="J9" s="71">
        <f>_xlfn.XLOOKUP(I9,'PP3'!$B$6:$B$55,'PP3'!$A$6:$A$55,0)</f>
        <v>15.930621888236271</v>
      </c>
      <c r="K9" s="8">
        <f>_xlfn.XLOOKUP($B9,'PP4'!$C$6:$C$101,'PP4'!$B$6:$B$101,"")</f>
        <v>3</v>
      </c>
      <c r="L9" s="71">
        <f>_xlfn.XLOOKUP(K9,'PP4'!$B$6:$B$55,'PP4'!$A$6:$A$55,0)</f>
        <v>5.3267487109222245</v>
      </c>
      <c r="M9" s="8">
        <f>_xlfn.XLOOKUP($B9,'PP5'!$C$6:$C$101,'PP5'!$B$6:$B$101,"")</f>
        <v>2</v>
      </c>
      <c r="N9" s="71">
        <f>_xlfn.XLOOKUP(M9,'PP5'!$B$6:$B$55,'PP5'!$A$6:$A$55,0)</f>
        <v>8.5595262993692387</v>
      </c>
      <c r="O9" s="8">
        <f>_xlfn.XLOOKUP(B9,MPW!C$6:C$101,MPW!B$6:B$101,"")</f>
        <v>3</v>
      </c>
      <c r="P9" s="71">
        <f>_xlfn.XLOOKUP(O9,MPW!B$6:B$55,MPW!A$6:A$55,0)</f>
        <v>19.116746265883524</v>
      </c>
    </row>
    <row r="10" spans="1:21" ht="14.8" customHeight="1" x14ac:dyDescent="0.25">
      <c r="A10" s="7">
        <f t="shared" si="0"/>
        <v>5</v>
      </c>
      <c r="B10" s="115" t="s">
        <v>94</v>
      </c>
      <c r="C10" s="199"/>
      <c r="D10" s="69">
        <f t="shared" si="1"/>
        <v>2.2000000000000002</v>
      </c>
      <c r="E10" s="8" t="str">
        <f>_xlfn.XLOOKUP($B10,'PP1'!$C$6:$C$101,'PP1'!$B$6:$B$101,"")</f>
        <v/>
      </c>
      <c r="F10" s="70">
        <f>_xlfn.XLOOKUP(E10,'PP1'!$B$6:$B$55,'PP1'!$A$6:$A$55,0)</f>
        <v>0</v>
      </c>
      <c r="G10" s="8" t="str">
        <f>_xlfn.XLOOKUP($B10,'PP2'!$C$6:$C$101,'PP2'!$B$6:$B$101,"")</f>
        <v/>
      </c>
      <c r="H10" s="71">
        <f>_xlfn.XLOOKUP(G10,'PP2'!$B$6:$B$55,'PP2'!$A$6:$A$55,0)</f>
        <v>0</v>
      </c>
      <c r="I10" s="8">
        <f>_xlfn.XLOOKUP($B10,'PP3'!$C$6:$C$101,'PP3'!$B$6:$B$101,"")</f>
        <v>4</v>
      </c>
      <c r="J10" s="71">
        <f>_xlfn.XLOOKUP(I10,'PP3'!$B$6:$B$55,'PP3'!$A$6:$A$55,0)</f>
        <v>1</v>
      </c>
      <c r="K10" s="8" t="str">
        <f>_xlfn.XLOOKUP($B10,'PP4'!$C$6:$C$101,'PP4'!$B$6:$B$101,"")</f>
        <v/>
      </c>
      <c r="L10" s="71">
        <f>_xlfn.XLOOKUP(K10,'PP4'!$B$6:$B$55,'PP4'!$A$6:$A$55,0)</f>
        <v>0</v>
      </c>
      <c r="M10" s="8" t="str">
        <f>_xlfn.XLOOKUP($B10,'PP5'!$C$6:$C$101,'PP5'!$B$6:$B$101,"")</f>
        <v/>
      </c>
      <c r="N10" s="71">
        <f>_xlfn.XLOOKUP(M10,'PP5'!$B$6:$B$55,'PP5'!$A$6:$A$55,0)</f>
        <v>0</v>
      </c>
      <c r="O10" s="8">
        <f>_xlfn.XLOOKUP(B10,MPW!C$6:C$101,MPW!B$6:B$101,"")</f>
        <v>4</v>
      </c>
      <c r="P10" s="71">
        <f>_xlfn.XLOOKUP(O10,MPW!B$6:B$55,MPW!A$6:A$55,0)</f>
        <v>1.2</v>
      </c>
    </row>
    <row r="11" spans="1:21" ht="14.8" customHeight="1" x14ac:dyDescent="0.25">
      <c r="A11" s="7">
        <f t="shared" si="0"/>
        <v>6</v>
      </c>
      <c r="B11" s="115"/>
      <c r="C11" s="9"/>
      <c r="D11" s="69">
        <f t="shared" si="1"/>
        <v>0</v>
      </c>
      <c r="E11" s="8" t="str">
        <f>_xlfn.XLOOKUP($B11,'PP1'!$C$6:$C$101,'PP1'!$B$6:$B$101,"")</f>
        <v/>
      </c>
      <c r="F11" s="70">
        <f>_xlfn.XLOOKUP(E11,'PP1'!$B$6:$B$55,'PP1'!$A$6:$A$55,0)</f>
        <v>0</v>
      </c>
      <c r="G11" s="8" t="str">
        <f>_xlfn.XLOOKUP($B11,'PP2'!$C$6:$C$101,'PP2'!$B$6:$B$101,"")</f>
        <v/>
      </c>
      <c r="H11" s="71">
        <f>_xlfn.XLOOKUP(G11,'PP2'!$B$6:$B$55,'PP2'!$A$6:$A$55,0)</f>
        <v>0</v>
      </c>
      <c r="I11" s="8" t="str">
        <f>_xlfn.XLOOKUP($B11,'PP3'!$C$6:$C$101,'PP3'!$B$6:$B$101,"")</f>
        <v/>
      </c>
      <c r="J11" s="71">
        <f>_xlfn.XLOOKUP(I11,'PP3'!$B$6:$B$55,'PP3'!$A$6:$A$55,0)</f>
        <v>0</v>
      </c>
      <c r="K11" s="8" t="str">
        <f>_xlfn.XLOOKUP($B11,'PP4'!$C$6:$C$101,'PP4'!$B$6:$B$101,"")</f>
        <v/>
      </c>
      <c r="L11" s="71">
        <f>_xlfn.XLOOKUP(K11,'PP4'!$B$6:$B$55,'PP4'!$A$6:$A$55,0)</f>
        <v>0</v>
      </c>
      <c r="M11" s="8" t="str">
        <f>_xlfn.XLOOKUP($B11,'PP5'!$C$6:$C$101,'PP5'!$B$6:$B$101,"")</f>
        <v/>
      </c>
      <c r="N11" s="71">
        <f>_xlfn.XLOOKUP(M11,'PP5'!$B$6:$B$55,'PP5'!$A$6:$A$55,0)</f>
        <v>0</v>
      </c>
      <c r="O11" s="8" t="str">
        <f>_xlfn.XLOOKUP(B11,MPW!C$6:C$101,MPW!B$6:B$101,"")</f>
        <v/>
      </c>
      <c r="P11" s="71">
        <f>_xlfn.XLOOKUP(O11,MPW!B$6:B$55,MPW!A$6:A$55,0)</f>
        <v>0</v>
      </c>
    </row>
    <row r="12" spans="1:21" ht="14.8" customHeight="1" x14ac:dyDescent="0.25">
      <c r="A12" s="7">
        <f t="shared" si="0"/>
        <v>7</v>
      </c>
      <c r="B12" s="115"/>
      <c r="C12" s="9"/>
      <c r="D12" s="69">
        <f t="shared" si="1"/>
        <v>0</v>
      </c>
      <c r="E12" s="8" t="str">
        <f>_xlfn.XLOOKUP($B12,'PP1'!$C$6:$C$101,'PP1'!$B$6:$B$101,"")</f>
        <v/>
      </c>
      <c r="F12" s="70">
        <f>_xlfn.XLOOKUP(E12,'PP1'!$B$6:$B$55,'PP1'!$A$6:$A$55,0)</f>
        <v>0</v>
      </c>
      <c r="G12" s="8" t="str">
        <f>_xlfn.XLOOKUP($B12,'PP2'!$C$6:$C$101,'PP2'!$B$6:$B$101,"")</f>
        <v/>
      </c>
      <c r="H12" s="71">
        <f>_xlfn.XLOOKUP(G12,'PP2'!$B$6:$B$55,'PP2'!$A$6:$A$55,0)</f>
        <v>0</v>
      </c>
      <c r="I12" s="8" t="str">
        <f>_xlfn.XLOOKUP($B12,'PP3'!$C$6:$C$101,'PP3'!$B$6:$B$101,"")</f>
        <v/>
      </c>
      <c r="J12" s="71">
        <f>_xlfn.XLOOKUP(I12,'PP3'!$B$6:$B$55,'PP3'!$A$6:$A$55,0)</f>
        <v>0</v>
      </c>
      <c r="K12" s="8" t="str">
        <f>_xlfn.XLOOKUP($B12,'PP4'!$C$6:$C$101,'PP4'!$B$6:$B$101,"")</f>
        <v/>
      </c>
      <c r="L12" s="71">
        <f>_xlfn.XLOOKUP(K12,'PP4'!$B$6:$B$55,'PP4'!$A$6:$A$55,0)</f>
        <v>0</v>
      </c>
      <c r="M12" s="8" t="str">
        <f>_xlfn.XLOOKUP($B12,'PP5'!$C$6:$C$101,'PP5'!$B$6:$B$101,"")</f>
        <v/>
      </c>
      <c r="N12" s="71">
        <f>_xlfn.XLOOKUP(M12,'PP5'!$B$6:$B$55,'PP5'!$A$6:$A$55,0)</f>
        <v>0</v>
      </c>
      <c r="O12" s="8" t="str">
        <f>_xlfn.XLOOKUP(B12,MPW!C$6:C$101,MPW!B$6:B$101,"")</f>
        <v/>
      </c>
      <c r="P12" s="71">
        <f>_xlfn.XLOOKUP(O12,MPW!B$6:B$55,MPW!A$6:A$55,0)</f>
        <v>0</v>
      </c>
    </row>
    <row r="13" spans="1:21" ht="14.8" customHeight="1" x14ac:dyDescent="0.25">
      <c r="A13" s="7">
        <f t="shared" si="0"/>
        <v>8</v>
      </c>
      <c r="B13" s="115"/>
      <c r="C13" s="9"/>
      <c r="D13" s="69">
        <f t="shared" si="1"/>
        <v>0</v>
      </c>
      <c r="E13" s="8" t="str">
        <f>_xlfn.XLOOKUP($B13,'PP1'!$C$6:$C$101,'PP1'!$B$6:$B$101,"")</f>
        <v/>
      </c>
      <c r="F13" s="70">
        <f>_xlfn.XLOOKUP(E13,'PP1'!$B$6:$B$55,'PP1'!$A$6:$A$55,0)</f>
        <v>0</v>
      </c>
      <c r="G13" s="8" t="str">
        <f>_xlfn.XLOOKUP($B13,'PP2'!$C$6:$C$101,'PP2'!$B$6:$B$101,"")</f>
        <v/>
      </c>
      <c r="H13" s="71">
        <f>_xlfn.XLOOKUP(G13,'PP2'!$B$6:$B$55,'PP2'!$A$6:$A$55,0)</f>
        <v>0</v>
      </c>
      <c r="I13" s="8" t="str">
        <f>_xlfn.XLOOKUP($B13,'PP3'!$C$6:$C$101,'PP3'!$B$6:$B$101,"")</f>
        <v/>
      </c>
      <c r="J13" s="71">
        <f>_xlfn.XLOOKUP(I13,'PP3'!$B$6:$B$55,'PP3'!$A$6:$A$55,0)</f>
        <v>0</v>
      </c>
      <c r="K13" s="8" t="str">
        <f>_xlfn.XLOOKUP($B13,'PP4'!$C$6:$C$101,'PP4'!$B$6:$B$101,"")</f>
        <v/>
      </c>
      <c r="L13" s="71">
        <f>_xlfn.XLOOKUP(K13,'PP4'!$B$6:$B$55,'PP4'!$A$6:$A$55,0)</f>
        <v>0</v>
      </c>
      <c r="M13" s="8" t="str">
        <f>_xlfn.XLOOKUP($B13,'PP5'!$C$6:$C$101,'PP5'!$B$6:$B$101,"")</f>
        <v/>
      </c>
      <c r="N13" s="71">
        <f>_xlfn.XLOOKUP(M13,'PP5'!$B$6:$B$55,'PP5'!$A$6:$A$55,0)</f>
        <v>0</v>
      </c>
      <c r="O13" s="8" t="str">
        <f>_xlfn.XLOOKUP(B13,MPW!C$6:C$101,MPW!B$6:B$101,"")</f>
        <v/>
      </c>
      <c r="P13" s="71">
        <f>_xlfn.XLOOKUP(O13,MPW!B$6:B$55,MPW!A$6:A$55,0)</f>
        <v>0</v>
      </c>
    </row>
    <row r="14" spans="1:21" ht="14.8" customHeight="1" x14ac:dyDescent="0.25">
      <c r="A14" s="7">
        <f t="shared" si="0"/>
        <v>9</v>
      </c>
      <c r="B14" s="115"/>
      <c r="C14" s="9"/>
      <c r="D14" s="69">
        <f t="shared" si="1"/>
        <v>0</v>
      </c>
      <c r="E14" s="8" t="str">
        <f>_xlfn.XLOOKUP($B14,'PP1'!$C$6:$C$101,'PP1'!$B$6:$B$101,"")</f>
        <v/>
      </c>
      <c r="F14" s="70">
        <f>_xlfn.XLOOKUP(E14,'PP1'!$B$6:$B$55,'PP1'!$A$6:$A$55,0)</f>
        <v>0</v>
      </c>
      <c r="G14" s="8" t="str">
        <f>_xlfn.XLOOKUP($B14,'PP2'!$C$6:$C$101,'PP2'!$B$6:$B$101,"")</f>
        <v/>
      </c>
      <c r="H14" s="71">
        <f>_xlfn.XLOOKUP(G14,'PP2'!$B$6:$B$55,'PP2'!$A$6:$A$55,0)</f>
        <v>0</v>
      </c>
      <c r="I14" s="8" t="str">
        <f>_xlfn.XLOOKUP($B14,'PP3'!$C$6:$C$101,'PP3'!$B$6:$B$101,"")</f>
        <v/>
      </c>
      <c r="J14" s="71">
        <f>_xlfn.XLOOKUP(I14,'PP3'!$B$6:$B$55,'PP3'!$A$6:$A$55,0)</f>
        <v>0</v>
      </c>
      <c r="K14" s="8" t="str">
        <f>_xlfn.XLOOKUP($B14,'PP4'!$C$6:$C$101,'PP4'!$B$6:$B$101,"")</f>
        <v/>
      </c>
      <c r="L14" s="71">
        <f>_xlfn.XLOOKUP(K14,'PP4'!$B$6:$B$55,'PP4'!$A$6:$A$55,0)</f>
        <v>0</v>
      </c>
      <c r="M14" s="8" t="str">
        <f>_xlfn.XLOOKUP($B14,'PP5'!$C$6:$C$101,'PP5'!$B$6:$B$101,"")</f>
        <v/>
      </c>
      <c r="N14" s="71">
        <f>_xlfn.XLOOKUP(M14,'PP5'!$B$6:$B$55,'PP5'!$A$6:$A$55,0)</f>
        <v>0</v>
      </c>
      <c r="O14" s="8" t="str">
        <f>_xlfn.XLOOKUP(B14,MPW!C$6:C$101,MPW!B$6:B$101,"")</f>
        <v/>
      </c>
      <c r="P14" s="71">
        <f>_xlfn.XLOOKUP(O14,MPW!B$6:B$55,MPW!A$6:A$55,0)</f>
        <v>0</v>
      </c>
    </row>
    <row r="15" spans="1:21" ht="14.8" customHeight="1" x14ac:dyDescent="0.25">
      <c r="A15" s="7">
        <f t="shared" si="0"/>
        <v>10</v>
      </c>
      <c r="B15" s="115"/>
      <c r="C15" s="9"/>
      <c r="D15" s="69">
        <f t="shared" si="1"/>
        <v>0</v>
      </c>
      <c r="E15" s="8" t="str">
        <f>_xlfn.XLOOKUP($B15,'PP1'!$C$6:$C$101,'PP1'!$B$6:$B$101,"")</f>
        <v/>
      </c>
      <c r="F15" s="70">
        <f>_xlfn.XLOOKUP(E15,'PP1'!$B$6:$B$55,'PP1'!$A$6:$A$55,0)</f>
        <v>0</v>
      </c>
      <c r="G15" s="8" t="str">
        <f>_xlfn.XLOOKUP($B15,'PP2'!$C$6:$C$101,'PP2'!$B$6:$B$101,"")</f>
        <v/>
      </c>
      <c r="H15" s="71">
        <f>_xlfn.XLOOKUP(G15,'PP2'!$B$6:$B$55,'PP2'!$A$6:$A$55,0)</f>
        <v>0</v>
      </c>
      <c r="I15" s="8" t="str">
        <f>_xlfn.XLOOKUP($B15,'PP3'!$C$6:$C$101,'PP3'!$B$6:$B$101,"")</f>
        <v/>
      </c>
      <c r="J15" s="71">
        <f>_xlfn.XLOOKUP(I15,'PP3'!$B$6:$B$55,'PP3'!$A$6:$A$55,0)</f>
        <v>0</v>
      </c>
      <c r="K15" s="8" t="str">
        <f>_xlfn.XLOOKUP($B15,'PP4'!$C$6:$C$101,'PP4'!$B$6:$B$101,"")</f>
        <v/>
      </c>
      <c r="L15" s="71">
        <f>_xlfn.XLOOKUP(K15,'PP4'!$B$6:$B$55,'PP4'!$A$6:$A$55,0)</f>
        <v>0</v>
      </c>
      <c r="M15" s="8" t="str">
        <f>_xlfn.XLOOKUP($B15,'PP5'!$C$6:$C$101,'PP5'!$B$6:$B$101,"")</f>
        <v/>
      </c>
      <c r="N15" s="71">
        <f>_xlfn.XLOOKUP(M15,'PP5'!$B$6:$B$55,'PP5'!$A$6:$A$55,0)</f>
        <v>0</v>
      </c>
      <c r="O15" s="8" t="str">
        <f>_xlfn.XLOOKUP(B15,MPW!C$6:C$101,MPW!B$6:B$101,"")</f>
        <v/>
      </c>
      <c r="P15" s="71">
        <f>_xlfn.XLOOKUP(O15,MPW!B$6:B$55,MPW!A$6:A$55,0)</f>
        <v>0</v>
      </c>
    </row>
    <row r="16" spans="1:21" ht="14.8" customHeight="1" x14ac:dyDescent="0.25">
      <c r="A16" s="7">
        <f t="shared" si="0"/>
        <v>11</v>
      </c>
      <c r="B16" s="115"/>
      <c r="C16" s="9"/>
      <c r="D16" s="69">
        <f t="shared" si="1"/>
        <v>0</v>
      </c>
      <c r="E16" s="8" t="str">
        <f>_xlfn.XLOOKUP($B16,'PP1'!$C$6:$C$101,'PP1'!$B$6:$B$101,"")</f>
        <v/>
      </c>
      <c r="F16" s="70">
        <f>_xlfn.XLOOKUP(E16,'PP1'!$B$6:$B$55,'PP1'!$A$6:$A$55,0)</f>
        <v>0</v>
      </c>
      <c r="G16" s="8" t="str">
        <f>_xlfn.XLOOKUP($B16,'PP2'!$C$6:$C$101,'PP2'!$B$6:$B$101,"")</f>
        <v/>
      </c>
      <c r="H16" s="71">
        <f>_xlfn.XLOOKUP(G16,'PP2'!$B$6:$B$55,'PP2'!$A$6:$A$55,0)</f>
        <v>0</v>
      </c>
      <c r="I16" s="8" t="str">
        <f>_xlfn.XLOOKUP($B16,'PP3'!$C$6:$C$101,'PP3'!$B$6:$B$101,"")</f>
        <v/>
      </c>
      <c r="J16" s="71">
        <f>_xlfn.XLOOKUP(I16,'PP3'!$B$6:$B$55,'PP3'!$A$6:$A$55,0)</f>
        <v>0</v>
      </c>
      <c r="K16" s="8" t="str">
        <f>_xlfn.XLOOKUP($B16,'PP4'!$C$6:$C$101,'PP4'!$B$6:$B$101,"")</f>
        <v/>
      </c>
      <c r="L16" s="71">
        <f>_xlfn.XLOOKUP(K16,'PP4'!$B$6:$B$55,'PP4'!$A$6:$A$55,0)</f>
        <v>0</v>
      </c>
      <c r="M16" s="8" t="str">
        <f>_xlfn.XLOOKUP($B16,'PP5'!$C$6:$C$101,'PP5'!$B$6:$B$101,"")</f>
        <v/>
      </c>
      <c r="N16" s="71">
        <f>_xlfn.XLOOKUP(M16,'PP5'!$B$6:$B$55,'PP5'!$A$6:$A$55,0)</f>
        <v>0</v>
      </c>
      <c r="O16" s="8" t="str">
        <f>_xlfn.XLOOKUP(B16,MPW!C$6:C$101,MPW!B$6:B$101,"")</f>
        <v/>
      </c>
      <c r="P16" s="71">
        <f>_xlfn.XLOOKUP(O16,MPW!B$6:B$55,MPW!A$6:A$55,0)</f>
        <v>0</v>
      </c>
    </row>
    <row r="17" spans="1:16" ht="14.8" customHeight="1" x14ac:dyDescent="0.25">
      <c r="A17" s="7">
        <f t="shared" si="0"/>
        <v>12</v>
      </c>
      <c r="B17" s="115"/>
      <c r="C17" s="9"/>
      <c r="D17" s="69">
        <f t="shared" si="1"/>
        <v>0</v>
      </c>
      <c r="E17" s="8" t="str">
        <f>_xlfn.XLOOKUP($B17,'PP1'!$C$6:$C$101,'PP1'!$B$6:$B$101,"")</f>
        <v/>
      </c>
      <c r="F17" s="70">
        <f>_xlfn.XLOOKUP(E17,'PP1'!$B$6:$B$55,'PP1'!$A$6:$A$55,0)</f>
        <v>0</v>
      </c>
      <c r="G17" s="8" t="str">
        <f>_xlfn.XLOOKUP($B17,'PP2'!$C$6:$C$101,'PP2'!$B$6:$B$101,"")</f>
        <v/>
      </c>
      <c r="H17" s="71">
        <f>_xlfn.XLOOKUP(G17,'PP2'!$B$6:$B$55,'PP2'!$A$6:$A$55,0)</f>
        <v>0</v>
      </c>
      <c r="I17" s="8" t="str">
        <f>_xlfn.XLOOKUP($B17,'PP3'!$C$6:$C$101,'PP3'!$B$6:$B$101,"")</f>
        <v/>
      </c>
      <c r="J17" s="71">
        <f>_xlfn.XLOOKUP(I17,'PP3'!$B$6:$B$55,'PP3'!$A$6:$A$55,0)</f>
        <v>0</v>
      </c>
      <c r="K17" s="8" t="str">
        <f>_xlfn.XLOOKUP($B17,'PP4'!$C$6:$C$101,'PP4'!$B$6:$B$101,"")</f>
        <v/>
      </c>
      <c r="L17" s="71">
        <f>_xlfn.XLOOKUP(K17,'PP4'!$B$6:$B$55,'PP4'!$A$6:$A$55,0)</f>
        <v>0</v>
      </c>
      <c r="M17" s="8" t="str">
        <f>_xlfn.XLOOKUP($B17,'PP5'!$C$6:$C$101,'PP5'!$B$6:$B$101,"")</f>
        <v/>
      </c>
      <c r="N17" s="71">
        <f>_xlfn.XLOOKUP(M17,'PP5'!$B$6:$B$55,'PP5'!$A$6:$A$55,0)</f>
        <v>0</v>
      </c>
      <c r="O17" s="8" t="str">
        <f>_xlfn.XLOOKUP(B17,MPW!C$6:C$101,MPW!B$6:B$101,"")</f>
        <v/>
      </c>
      <c r="P17" s="71">
        <f>_xlfn.XLOOKUP(O17,MPW!B$6:B$55,MPW!A$6:A$55,0)</f>
        <v>0</v>
      </c>
    </row>
    <row r="18" spans="1:16" ht="14.8" customHeight="1" x14ac:dyDescent="0.25">
      <c r="A18" s="7">
        <f t="shared" si="0"/>
        <v>13</v>
      </c>
      <c r="B18" s="115"/>
      <c r="C18" s="9"/>
      <c r="D18" s="69">
        <f t="shared" si="1"/>
        <v>0</v>
      </c>
      <c r="E18" s="8" t="str">
        <f>_xlfn.XLOOKUP($B18,'PP1'!$C$6:$C$101,'PP1'!$B$6:$B$101,"")</f>
        <v/>
      </c>
      <c r="F18" s="70">
        <f>_xlfn.XLOOKUP(E18,'PP1'!$B$6:$B$55,'PP1'!$A$6:$A$55,0)</f>
        <v>0</v>
      </c>
      <c r="G18" s="8" t="str">
        <f>_xlfn.XLOOKUP($B18,'PP2'!$C$6:$C$101,'PP2'!$B$6:$B$101,"")</f>
        <v/>
      </c>
      <c r="H18" s="71">
        <f>_xlfn.XLOOKUP(G18,'PP2'!$B$6:$B$55,'PP2'!$A$6:$A$55,0)</f>
        <v>0</v>
      </c>
      <c r="I18" s="8" t="str">
        <f>_xlfn.XLOOKUP($B18,'PP3'!$C$6:$C$101,'PP3'!$B$6:$B$101,"")</f>
        <v/>
      </c>
      <c r="J18" s="71">
        <f>_xlfn.XLOOKUP(I18,'PP3'!$B$6:$B$55,'PP3'!$A$6:$A$55,0)</f>
        <v>0</v>
      </c>
      <c r="K18" s="8" t="str">
        <f>_xlfn.XLOOKUP($B18,'PP4'!$C$6:$C$101,'PP4'!$B$6:$B$101,"")</f>
        <v/>
      </c>
      <c r="L18" s="71">
        <f>_xlfn.XLOOKUP(K18,'PP4'!$B$6:$B$55,'PP4'!$A$6:$A$55,0)</f>
        <v>0</v>
      </c>
      <c r="M18" s="8" t="str">
        <f>_xlfn.XLOOKUP($B18,'PP5'!$C$6:$C$101,'PP5'!$B$6:$B$101,"")</f>
        <v/>
      </c>
      <c r="N18" s="71">
        <f>_xlfn.XLOOKUP(M18,'PP5'!$B$6:$B$55,'PP5'!$A$6:$A$55,0)</f>
        <v>0</v>
      </c>
      <c r="O18" s="8" t="str">
        <f>_xlfn.XLOOKUP(B18,MPW!C$6:C$101,MPW!B$6:B$101,"")</f>
        <v/>
      </c>
      <c r="P18" s="71">
        <f>_xlfn.XLOOKUP(O18,MPW!B$6:B$55,MPW!A$6:A$55,0)</f>
        <v>0</v>
      </c>
    </row>
    <row r="19" spans="1:16" ht="14.8" customHeight="1" x14ac:dyDescent="0.25">
      <c r="A19" s="7">
        <f t="shared" si="0"/>
        <v>14</v>
      </c>
      <c r="B19" s="115"/>
      <c r="C19" s="9"/>
      <c r="D19" s="69">
        <f t="shared" si="1"/>
        <v>0</v>
      </c>
      <c r="E19" s="8" t="str">
        <f>_xlfn.XLOOKUP($B19,'PP1'!$C$6:$C$101,'PP1'!$B$6:$B$101,"")</f>
        <v/>
      </c>
      <c r="F19" s="70">
        <f>_xlfn.XLOOKUP(E19,'PP1'!$B$6:$B$55,'PP1'!$A$6:$A$55,0)</f>
        <v>0</v>
      </c>
      <c r="G19" s="8" t="str">
        <f>_xlfn.XLOOKUP($B19,'PP2'!$C$6:$C$101,'PP2'!$B$6:$B$101,"")</f>
        <v/>
      </c>
      <c r="H19" s="71">
        <f>_xlfn.XLOOKUP(G19,'PP2'!$B$6:$B$55,'PP2'!$A$6:$A$55,0)</f>
        <v>0</v>
      </c>
      <c r="I19" s="8" t="str">
        <f>_xlfn.XLOOKUP($B19,'PP3'!$C$6:$C$101,'PP3'!$B$6:$B$101,"")</f>
        <v/>
      </c>
      <c r="J19" s="71">
        <f>_xlfn.XLOOKUP(I19,'PP3'!$B$6:$B$55,'PP3'!$A$6:$A$55,0)</f>
        <v>0</v>
      </c>
      <c r="K19" s="8" t="str">
        <f>_xlfn.XLOOKUP($B19,'PP4'!$C$6:$C$101,'PP4'!$B$6:$B$101,"")</f>
        <v/>
      </c>
      <c r="L19" s="71">
        <f>_xlfn.XLOOKUP(K19,'PP4'!$B$6:$B$55,'PP4'!$A$6:$A$55,0)</f>
        <v>0</v>
      </c>
      <c r="M19" s="8" t="str">
        <f>_xlfn.XLOOKUP($B19,'PP5'!$C$6:$C$101,'PP5'!$B$6:$B$101,"")</f>
        <v/>
      </c>
      <c r="N19" s="71">
        <f>_xlfn.XLOOKUP(M19,'PP5'!$B$6:$B$55,'PP5'!$A$6:$A$55,0)</f>
        <v>0</v>
      </c>
      <c r="O19" s="8" t="str">
        <f>_xlfn.XLOOKUP(B19,MPW!C$6:C$101,MPW!B$6:B$101,"")</f>
        <v/>
      </c>
      <c r="P19" s="71">
        <f>_xlfn.XLOOKUP(O19,MPW!B$6:B$55,MPW!A$6:A$55,0)</f>
        <v>0</v>
      </c>
    </row>
    <row r="20" spans="1:16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1:16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1:16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spans="1:16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spans="1:16" ht="65.400000000000006" customHeight="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</row>
    <row r="25" spans="1:16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spans="1:16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spans="1:16" x14ac:dyDescent="0.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</row>
    <row r="28" spans="1:16" x14ac:dyDescent="0.2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spans="1:16" x14ac:dyDescent="0.2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1:16" x14ac:dyDescent="0.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</row>
    <row r="31" spans="1:16" x14ac:dyDescent="0.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</row>
    <row r="32" spans="1:16" x14ac:dyDescent="0.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</row>
    <row r="33" spans="1:16" x14ac:dyDescent="0.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</row>
    <row r="34" spans="1:16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</row>
    <row r="35" spans="1:16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</row>
  </sheetData>
  <sheetProtection selectLockedCells="1" selectUnlockedCells="1"/>
  <autoFilter ref="A5:P5" xr:uid="{281401D9-D758-4840-9D46-5FC1A4F61A99}">
    <sortState xmlns:xlrd2="http://schemas.microsoft.com/office/spreadsheetml/2017/richdata2" ref="A7:P19">
      <sortCondition descending="1" ref="D5"/>
    </sortState>
  </autoFilter>
  <mergeCells count="11">
    <mergeCell ref="A4:A5"/>
    <mergeCell ref="B4:B5"/>
    <mergeCell ref="C4:C5"/>
    <mergeCell ref="D4:D5"/>
    <mergeCell ref="R2:U4"/>
    <mergeCell ref="E4:F4"/>
    <mergeCell ref="G4:H4"/>
    <mergeCell ref="O4:P4"/>
    <mergeCell ref="I4:J4"/>
    <mergeCell ref="K4:L4"/>
    <mergeCell ref="M4:N4"/>
  </mergeCells>
  <conditionalFormatting sqref="A6:A19">
    <cfRule type="cellIs" dxfId="30" priority="6" operator="equal">
      <formula>3</formula>
    </cfRule>
    <cfRule type="cellIs" dxfId="29" priority="7" operator="equal">
      <formula>2</formula>
    </cfRule>
    <cfRule type="cellIs" dxfId="28" priority="8" operator="equal">
      <formula>1</formula>
    </cfRule>
  </conditionalFormatting>
  <conditionalFormatting sqref="D6:P19">
    <cfRule type="cellIs" dxfId="27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B1E8-52DB-4F60-A380-42334826113B}">
  <sheetPr>
    <tabColor rgb="FF92D050"/>
  </sheetPr>
  <dimension ref="A1:AL317"/>
  <sheetViews>
    <sheetView workbookViewId="0">
      <selection activeCell="C13" sqref="C13"/>
    </sheetView>
  </sheetViews>
  <sheetFormatPr defaultColWidth="8.875" defaultRowHeight="14.3" x14ac:dyDescent="0.25"/>
  <cols>
    <col min="1" max="1" width="8" style="55" customWidth="1"/>
    <col min="2" max="2" width="8.25" style="55" customWidth="1"/>
    <col min="3" max="3" width="34.75" style="55" customWidth="1"/>
    <col min="4" max="4" width="11.25" style="55" customWidth="1"/>
    <col min="5" max="6" width="8.875" style="55"/>
    <col min="7" max="7" width="0.875" style="55" customWidth="1"/>
    <col min="8" max="8" width="8.875" style="57"/>
    <col min="9" max="9" width="11" style="57" customWidth="1"/>
    <col min="10" max="10" width="15.25" style="57" customWidth="1"/>
    <col min="11" max="11" width="8.75" style="57" customWidth="1"/>
    <col min="12" max="12" width="11" style="57" customWidth="1"/>
    <col min="13" max="13" width="12.25" style="58" customWidth="1"/>
    <col min="14" max="15" width="13.875" style="11" customWidth="1"/>
    <col min="16" max="16" width="25.375" style="11" bestFit="1" customWidth="1"/>
    <col min="17" max="18" width="8.875" style="11"/>
    <col min="19" max="20" width="8.875" style="16"/>
    <col min="21" max="21" width="12.125" style="16" customWidth="1"/>
    <col min="22" max="22" width="27.375" style="16" customWidth="1"/>
    <col min="23" max="38" width="8.875" style="16"/>
    <col min="39" max="16384" width="8.875" style="55"/>
  </cols>
  <sheetData>
    <row r="1" spans="1:36" x14ac:dyDescent="0.25">
      <c r="A1" s="11"/>
      <c r="B1" s="11"/>
      <c r="C1" s="11"/>
      <c r="D1" s="11"/>
      <c r="E1" s="11"/>
      <c r="F1" s="11"/>
      <c r="G1" s="11"/>
      <c r="H1" s="12" t="s">
        <v>13</v>
      </c>
      <c r="I1" s="13" t="s">
        <v>14</v>
      </c>
      <c r="J1" s="13" t="s">
        <v>15</v>
      </c>
      <c r="K1" s="14" t="s">
        <v>16</v>
      </c>
      <c r="L1" s="15"/>
      <c r="M1" s="15"/>
    </row>
    <row r="2" spans="1:36" ht="14.45" customHeight="1" x14ac:dyDescent="0.25">
      <c r="A2" s="11"/>
      <c r="B2" s="17" t="s">
        <v>17</v>
      </c>
      <c r="C2" s="237" t="s">
        <v>72</v>
      </c>
      <c r="D2" s="237"/>
      <c r="E2" s="18"/>
      <c r="F2" s="18"/>
      <c r="G2" s="18"/>
      <c r="H2" s="19">
        <v>2</v>
      </c>
      <c r="I2" s="20">
        <v>50</v>
      </c>
      <c r="J2" s="20">
        <v>10</v>
      </c>
      <c r="K2" s="21">
        <f>3*H2^(1/3)</f>
        <v>3.7797631496846193</v>
      </c>
      <c r="L2" s="15"/>
      <c r="M2" s="15"/>
    </row>
    <row r="3" spans="1:36" ht="14.45" customHeight="1" x14ac:dyDescent="0.25">
      <c r="A3" s="11"/>
      <c r="B3" s="22" t="s">
        <v>18</v>
      </c>
      <c r="C3" s="238" t="s">
        <v>73</v>
      </c>
      <c r="D3" s="238"/>
      <c r="E3" s="23"/>
      <c r="F3" s="23"/>
      <c r="G3" s="23"/>
      <c r="H3" s="15"/>
      <c r="I3" s="15"/>
      <c r="J3" s="24"/>
      <c r="K3" s="15"/>
      <c r="L3" s="15"/>
      <c r="M3" s="15"/>
    </row>
    <row r="4" spans="1:36" ht="10.199999999999999" customHeight="1" x14ac:dyDescent="0.25">
      <c r="A4" s="25"/>
      <c r="B4" s="23"/>
      <c r="C4" s="25"/>
      <c r="D4" s="25"/>
      <c r="E4" s="25"/>
      <c r="F4" s="25"/>
      <c r="G4" s="25"/>
      <c r="H4" s="15"/>
      <c r="I4" s="15"/>
      <c r="J4" s="24"/>
      <c r="K4" s="15"/>
      <c r="L4" s="15"/>
      <c r="M4" s="15"/>
    </row>
    <row r="5" spans="1:36" ht="34.65" x14ac:dyDescent="0.25">
      <c r="A5" s="1" t="s">
        <v>19</v>
      </c>
      <c r="B5" s="26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25"/>
      <c r="H5" s="27" t="s">
        <v>25</v>
      </c>
      <c r="I5" s="28" t="s">
        <v>26</v>
      </c>
      <c r="J5" s="29" t="s">
        <v>27</v>
      </c>
      <c r="K5" s="28" t="s">
        <v>28</v>
      </c>
      <c r="L5" s="28" t="s">
        <v>29</v>
      </c>
      <c r="M5" s="27" t="s">
        <v>30</v>
      </c>
      <c r="O5" s="214" t="s">
        <v>20</v>
      </c>
      <c r="P5" s="214" t="s">
        <v>21</v>
      </c>
      <c r="Q5" s="214" t="s">
        <v>27</v>
      </c>
      <c r="R5" s="214" t="s">
        <v>28</v>
      </c>
    </row>
    <row r="6" spans="1:36" ht="14.45" customHeight="1" x14ac:dyDescent="0.25">
      <c r="A6" s="30">
        <f t="shared" ref="A6:A37" si="0">M6</f>
        <v>91.339289449053865</v>
      </c>
      <c r="B6" s="31">
        <f t="shared" ref="B6:B10" si="1">IF(H6&gt;$H$2,"",(ROW()-5))</f>
        <v>1</v>
      </c>
      <c r="C6" s="32" t="s">
        <v>9</v>
      </c>
      <c r="D6" s="32" t="s">
        <v>31</v>
      </c>
      <c r="E6" s="32"/>
      <c r="F6" s="32" t="s">
        <v>32</v>
      </c>
      <c r="G6" s="25"/>
      <c r="H6" s="33">
        <v>1</v>
      </c>
      <c r="I6" s="34">
        <f>IF(H2=1,50,IF(H6&lt;$H$2+1,($I$2-($I$2-1)*(LOG(H6)/LOG($H$2))),""))</f>
        <v>50</v>
      </c>
      <c r="J6" s="220">
        <v>3</v>
      </c>
      <c r="K6" s="33">
        <f t="shared" ref="K6:K69" si="2">J6*$J$2</f>
        <v>30</v>
      </c>
      <c r="L6" s="35">
        <f>3*K2</f>
        <v>11.339289449053858</v>
      </c>
      <c r="M6" s="35">
        <f t="shared" ref="M6:M69" si="3">IF(I6&lt;&gt;"",K6+I6+L6,0)</f>
        <v>91.339289449053865</v>
      </c>
      <c r="O6" s="214">
        <v>1</v>
      </c>
      <c r="P6" s="214" t="s">
        <v>45</v>
      </c>
      <c r="Q6" s="214">
        <v>4</v>
      </c>
      <c r="R6" s="214">
        <v>40</v>
      </c>
    </row>
    <row r="7" spans="1:36" ht="14.45" customHeight="1" x14ac:dyDescent="0.25">
      <c r="A7" s="36">
        <f t="shared" si="0"/>
        <v>8.5595262993692387</v>
      </c>
      <c r="B7" s="37">
        <f t="shared" si="1"/>
        <v>2</v>
      </c>
      <c r="C7" s="38" t="s">
        <v>11</v>
      </c>
      <c r="D7" s="38" t="s">
        <v>33</v>
      </c>
      <c r="E7" s="38"/>
      <c r="F7" s="38" t="s">
        <v>32</v>
      </c>
      <c r="G7" s="25"/>
      <c r="H7" s="39">
        <v>2</v>
      </c>
      <c r="I7" s="40">
        <f t="shared" ref="I7:I69" si="4">IF(H7&lt;$H$2+1,($I$2-($I$2-1)*(LOG(H7)/LOG($H$2))),"")</f>
        <v>1</v>
      </c>
      <c r="J7" s="39">
        <f t="shared" ref="J7:J70" si="5">INT(LOG($H$2,2))-ROUNDUP(LOG(H7,2),0)+IF(OR($H$2=1,$H$2=2,$H$2=4,$H$2=8,$H$2=16,$H$2=32,$H$2=64,$H$2=128,$H$2=256),0,1)</f>
        <v>0</v>
      </c>
      <c r="K7" s="39">
        <f t="shared" si="2"/>
        <v>0</v>
      </c>
      <c r="L7" s="41">
        <f>2*K2</f>
        <v>7.5595262993692387</v>
      </c>
      <c r="M7" s="41">
        <f t="shared" si="3"/>
        <v>8.5595262993692387</v>
      </c>
      <c r="O7" s="214">
        <v>2</v>
      </c>
      <c r="P7" s="214" t="s">
        <v>43</v>
      </c>
      <c r="Q7" s="214">
        <v>3</v>
      </c>
      <c r="R7" s="214">
        <v>30</v>
      </c>
    </row>
    <row r="8" spans="1:36" ht="14.45" customHeight="1" x14ac:dyDescent="0.25">
      <c r="A8" s="30">
        <f t="shared" si="0"/>
        <v>0</v>
      </c>
      <c r="B8" s="31" t="str">
        <f t="shared" si="1"/>
        <v/>
      </c>
      <c r="C8" s="32"/>
      <c r="D8" s="32"/>
      <c r="E8" s="32"/>
      <c r="F8" s="32"/>
      <c r="G8" s="25"/>
      <c r="H8" s="33">
        <v>3</v>
      </c>
      <c r="I8" s="34" t="str">
        <f t="shared" si="4"/>
        <v/>
      </c>
      <c r="J8" s="33">
        <f t="shared" si="5"/>
        <v>-1</v>
      </c>
      <c r="K8" s="33">
        <f t="shared" si="2"/>
        <v>-10</v>
      </c>
      <c r="L8" s="35">
        <f>K2</f>
        <v>3.7797631496846193</v>
      </c>
      <c r="M8" s="35">
        <f t="shared" si="3"/>
        <v>0</v>
      </c>
      <c r="O8" s="214">
        <v>3</v>
      </c>
      <c r="P8" s="214" t="s">
        <v>44</v>
      </c>
      <c r="Q8" s="214">
        <v>2</v>
      </c>
      <c r="R8" s="214">
        <v>20</v>
      </c>
    </row>
    <row r="9" spans="1:36" ht="14.45" customHeight="1" x14ac:dyDescent="0.25">
      <c r="A9" s="36">
        <f t="shared" si="0"/>
        <v>0</v>
      </c>
      <c r="B9" s="37" t="str">
        <f t="shared" si="1"/>
        <v/>
      </c>
      <c r="C9" s="38"/>
      <c r="D9" s="38"/>
      <c r="E9" s="38"/>
      <c r="F9" s="38"/>
      <c r="G9" s="25"/>
      <c r="H9" s="39">
        <v>4</v>
      </c>
      <c r="I9" s="40" t="str">
        <f t="shared" si="4"/>
        <v/>
      </c>
      <c r="J9" s="39">
        <f t="shared" si="5"/>
        <v>-1</v>
      </c>
      <c r="K9" s="39">
        <f t="shared" si="2"/>
        <v>-10</v>
      </c>
      <c r="L9" s="41"/>
      <c r="M9" s="41">
        <f t="shared" si="3"/>
        <v>0</v>
      </c>
      <c r="O9" s="214">
        <v>4</v>
      </c>
      <c r="P9" s="214" t="s">
        <v>74</v>
      </c>
      <c r="Q9" s="214">
        <v>2</v>
      </c>
      <c r="R9" s="214">
        <v>20</v>
      </c>
      <c r="V9" s="42"/>
      <c r="Z9" s="43"/>
      <c r="AA9" s="43"/>
      <c r="AG9" s="44"/>
      <c r="AH9" s="16" t="s">
        <v>34</v>
      </c>
      <c r="AI9" s="16">
        <v>23</v>
      </c>
    </row>
    <row r="10" spans="1:36" ht="14.45" customHeight="1" x14ac:dyDescent="0.25">
      <c r="A10" s="30">
        <v>28.263412343478148</v>
      </c>
      <c r="B10" s="31" t="str">
        <f t="shared" si="1"/>
        <v/>
      </c>
      <c r="C10" s="32"/>
      <c r="D10" s="32"/>
      <c r="E10" s="32"/>
      <c r="F10" s="32"/>
      <c r="G10" s="25"/>
      <c r="H10" s="33">
        <v>5</v>
      </c>
      <c r="I10" s="34" t="str">
        <f t="shared" si="4"/>
        <v/>
      </c>
      <c r="J10" s="33">
        <f t="shared" si="5"/>
        <v>-2</v>
      </c>
      <c r="K10" s="33">
        <f t="shared" si="2"/>
        <v>-20</v>
      </c>
      <c r="L10" s="33"/>
      <c r="M10" s="35">
        <f t="shared" si="3"/>
        <v>0</v>
      </c>
      <c r="O10" s="214">
        <v>5</v>
      </c>
      <c r="P10" s="214" t="s">
        <v>75</v>
      </c>
      <c r="Q10" s="214">
        <v>1</v>
      </c>
      <c r="R10" s="214">
        <v>10</v>
      </c>
      <c r="V10" s="42"/>
      <c r="Z10" s="43"/>
      <c r="AA10" s="43"/>
      <c r="AG10" s="44"/>
      <c r="AH10" s="16" t="s">
        <v>35</v>
      </c>
      <c r="AI10" s="16">
        <v>45</v>
      </c>
    </row>
    <row r="11" spans="1:36" ht="14.45" customHeight="1" x14ac:dyDescent="0.25">
      <c r="A11" s="36">
        <f t="shared" si="0"/>
        <v>0</v>
      </c>
      <c r="B11" s="37" t="str">
        <f t="shared" ref="B11:B15" si="6">IF(H11&gt;$H$2,"",(ROW()-5))</f>
        <v/>
      </c>
      <c r="C11" s="38"/>
      <c r="D11" s="38"/>
      <c r="E11" s="38"/>
      <c r="F11" s="38"/>
      <c r="G11" s="25"/>
      <c r="H11" s="39">
        <v>6</v>
      </c>
      <c r="I11" s="40" t="str">
        <f t="shared" si="4"/>
        <v/>
      </c>
      <c r="J11" s="39">
        <f t="shared" si="5"/>
        <v>-2</v>
      </c>
      <c r="K11" s="39">
        <f t="shared" si="2"/>
        <v>-20</v>
      </c>
      <c r="L11" s="39"/>
      <c r="M11" s="41">
        <f t="shared" si="3"/>
        <v>0</v>
      </c>
      <c r="O11" s="214">
        <v>6</v>
      </c>
      <c r="P11" s="214" t="s">
        <v>76</v>
      </c>
      <c r="Q11" s="214">
        <v>1</v>
      </c>
      <c r="R11" s="214">
        <v>10</v>
      </c>
      <c r="V11" s="45"/>
      <c r="Z11" s="43"/>
      <c r="AA11" s="43"/>
      <c r="AG11" s="44"/>
      <c r="AH11" s="16" t="s">
        <v>36</v>
      </c>
      <c r="AI11" s="16">
        <v>50</v>
      </c>
    </row>
    <row r="12" spans="1:36" ht="14.45" customHeight="1" x14ac:dyDescent="0.25">
      <c r="A12" s="30">
        <f t="shared" si="0"/>
        <v>0</v>
      </c>
      <c r="B12" s="31" t="str">
        <f t="shared" si="6"/>
        <v/>
      </c>
      <c r="C12" s="32"/>
      <c r="D12" s="32"/>
      <c r="E12" s="32"/>
      <c r="F12" s="32"/>
      <c r="G12" s="25"/>
      <c r="H12" s="33">
        <v>7</v>
      </c>
      <c r="I12" s="34" t="str">
        <f t="shared" si="4"/>
        <v/>
      </c>
      <c r="J12" s="33">
        <f t="shared" si="5"/>
        <v>-2</v>
      </c>
      <c r="K12" s="33">
        <f t="shared" si="2"/>
        <v>-20</v>
      </c>
      <c r="L12" s="33"/>
      <c r="M12" s="35">
        <f t="shared" si="3"/>
        <v>0</v>
      </c>
      <c r="O12" s="214">
        <v>7</v>
      </c>
      <c r="P12" s="214" t="s">
        <v>77</v>
      </c>
      <c r="Q12" s="214">
        <v>1</v>
      </c>
      <c r="R12" s="214">
        <v>10</v>
      </c>
      <c r="Z12" s="43"/>
      <c r="AA12" s="43"/>
      <c r="AG12" s="44"/>
      <c r="AH12" s="16" t="s">
        <v>37</v>
      </c>
      <c r="AI12" s="16">
        <f>AI11-1</f>
        <v>49</v>
      </c>
    </row>
    <row r="13" spans="1:36" ht="14.45" customHeight="1" x14ac:dyDescent="0.25">
      <c r="A13" s="46">
        <f t="shared" si="0"/>
        <v>0</v>
      </c>
      <c r="B13" s="37" t="str">
        <f t="shared" si="6"/>
        <v/>
      </c>
      <c r="C13" s="38"/>
      <c r="D13" s="38"/>
      <c r="E13" s="38"/>
      <c r="F13" s="38"/>
      <c r="G13" s="25"/>
      <c r="H13" s="39">
        <v>8</v>
      </c>
      <c r="I13" s="40" t="str">
        <f t="shared" si="4"/>
        <v/>
      </c>
      <c r="J13" s="39">
        <f t="shared" si="5"/>
        <v>-2</v>
      </c>
      <c r="K13" s="39">
        <f t="shared" si="2"/>
        <v>-20</v>
      </c>
      <c r="L13" s="39"/>
      <c r="M13" s="41">
        <f t="shared" si="3"/>
        <v>0</v>
      </c>
      <c r="O13" s="214">
        <v>8</v>
      </c>
      <c r="P13" s="214" t="s">
        <v>78</v>
      </c>
      <c r="Q13" s="214">
        <v>1</v>
      </c>
      <c r="R13" s="214">
        <v>10</v>
      </c>
      <c r="X13" s="42"/>
      <c r="AG13" s="44"/>
      <c r="AH13" s="16" t="s">
        <v>38</v>
      </c>
      <c r="AI13" s="16">
        <f>LOG(AI9)</f>
        <v>1.3617278360175928</v>
      </c>
    </row>
    <row r="14" spans="1:36" x14ac:dyDescent="0.25">
      <c r="A14" s="47">
        <f t="shared" si="0"/>
        <v>0</v>
      </c>
      <c r="B14" s="31" t="str">
        <f t="shared" si="6"/>
        <v/>
      </c>
      <c r="C14" s="32"/>
      <c r="D14" s="32"/>
      <c r="E14" s="32"/>
      <c r="F14" s="32"/>
      <c r="G14" s="25"/>
      <c r="H14" s="33">
        <v>9</v>
      </c>
      <c r="I14" s="34" t="str">
        <f t="shared" si="4"/>
        <v/>
      </c>
      <c r="J14" s="33">
        <f t="shared" si="5"/>
        <v>-3</v>
      </c>
      <c r="K14" s="33">
        <f t="shared" si="2"/>
        <v>-30</v>
      </c>
      <c r="L14" s="33"/>
      <c r="M14" s="35">
        <f t="shared" si="3"/>
        <v>0</v>
      </c>
      <c r="O14" s="214">
        <v>9</v>
      </c>
      <c r="P14" s="214" t="s">
        <v>79</v>
      </c>
      <c r="Q14" s="214">
        <v>0</v>
      </c>
      <c r="R14" s="214">
        <v>0</v>
      </c>
      <c r="X14" s="48"/>
      <c r="Z14" s="43"/>
      <c r="AA14" s="43"/>
      <c r="AG14" s="44"/>
      <c r="AH14" s="16" t="s">
        <v>39</v>
      </c>
      <c r="AI14" s="16">
        <f>LOG(AI10)</f>
        <v>1.6532125137753437</v>
      </c>
    </row>
    <row r="15" spans="1:36" x14ac:dyDescent="0.25">
      <c r="A15" s="46">
        <f t="shared" si="0"/>
        <v>0</v>
      </c>
      <c r="B15" s="37" t="str">
        <f t="shared" si="6"/>
        <v/>
      </c>
      <c r="C15" s="38"/>
      <c r="D15" s="38"/>
      <c r="E15" s="38"/>
      <c r="F15" s="38"/>
      <c r="G15" s="25"/>
      <c r="H15" s="39">
        <v>10</v>
      </c>
      <c r="I15" s="40" t="str">
        <f t="shared" si="4"/>
        <v/>
      </c>
      <c r="J15" s="39">
        <f t="shared" si="5"/>
        <v>-3</v>
      </c>
      <c r="K15" s="39">
        <f t="shared" si="2"/>
        <v>-30</v>
      </c>
      <c r="L15" s="39"/>
      <c r="M15" s="41">
        <f t="shared" si="3"/>
        <v>0</v>
      </c>
      <c r="O15" s="214">
        <v>10</v>
      </c>
      <c r="P15" s="214" t="s">
        <v>80</v>
      </c>
      <c r="Q15" s="214">
        <v>0</v>
      </c>
      <c r="R15" s="214">
        <v>0</v>
      </c>
      <c r="X15" s="42"/>
      <c r="Z15" s="43"/>
      <c r="AA15" s="43"/>
    </row>
    <row r="16" spans="1:36" x14ac:dyDescent="0.25">
      <c r="A16" s="47">
        <f t="shared" si="0"/>
        <v>0</v>
      </c>
      <c r="B16" s="31" t="str">
        <f t="shared" ref="B16:B65" si="7">IF(H16&gt;$H$2,"",(ROW()-5))</f>
        <v/>
      </c>
      <c r="C16" s="32"/>
      <c r="D16" s="32"/>
      <c r="E16" s="32"/>
      <c r="F16" s="32"/>
      <c r="G16" s="25"/>
      <c r="H16" s="33">
        <v>11</v>
      </c>
      <c r="I16" s="34" t="str">
        <f t="shared" si="4"/>
        <v/>
      </c>
      <c r="J16" s="33">
        <f t="shared" si="5"/>
        <v>-3</v>
      </c>
      <c r="K16" s="33">
        <f t="shared" si="2"/>
        <v>-30</v>
      </c>
      <c r="L16" s="33"/>
      <c r="M16" s="35">
        <f t="shared" si="3"/>
        <v>0</v>
      </c>
      <c r="O16" s="214">
        <v>11</v>
      </c>
      <c r="P16" s="214" t="s">
        <v>46</v>
      </c>
      <c r="Q16" s="214">
        <v>0</v>
      </c>
      <c r="R16" s="215">
        <v>0</v>
      </c>
      <c r="Z16" s="43"/>
      <c r="AA16" s="43"/>
      <c r="AH16" s="50" t="s">
        <v>40</v>
      </c>
      <c r="AI16" s="16">
        <f>AI11-AI12*AI13/AI14</f>
        <v>9.6393909380186855</v>
      </c>
      <c r="AJ16" s="16" t="s">
        <v>41</v>
      </c>
    </row>
    <row r="17" spans="1:19" x14ac:dyDescent="0.25">
      <c r="A17" s="46">
        <f t="shared" si="0"/>
        <v>0</v>
      </c>
      <c r="B17" s="37" t="str">
        <f t="shared" si="7"/>
        <v/>
      </c>
      <c r="C17" s="38"/>
      <c r="D17" s="38"/>
      <c r="E17" s="38"/>
      <c r="F17" s="38"/>
      <c r="G17" s="25"/>
      <c r="H17" s="39">
        <v>12</v>
      </c>
      <c r="I17" s="40" t="str">
        <f t="shared" si="4"/>
        <v/>
      </c>
      <c r="J17" s="39">
        <f t="shared" si="5"/>
        <v>-3</v>
      </c>
      <c r="K17" s="39">
        <f t="shared" si="2"/>
        <v>-30</v>
      </c>
      <c r="L17" s="39"/>
      <c r="M17" s="41">
        <f t="shared" si="3"/>
        <v>0</v>
      </c>
    </row>
    <row r="18" spans="1:19" x14ac:dyDescent="0.25">
      <c r="A18" s="47">
        <f t="shared" si="0"/>
        <v>0</v>
      </c>
      <c r="B18" s="31" t="str">
        <f t="shared" si="7"/>
        <v/>
      </c>
      <c r="C18" s="32"/>
      <c r="D18" s="32"/>
      <c r="E18" s="32"/>
      <c r="F18" s="32"/>
      <c r="G18" s="25"/>
      <c r="H18" s="33">
        <v>13</v>
      </c>
      <c r="I18" s="34" t="str">
        <f t="shared" si="4"/>
        <v/>
      </c>
      <c r="J18" s="33">
        <f t="shared" si="5"/>
        <v>-3</v>
      </c>
      <c r="K18" s="33">
        <f t="shared" si="2"/>
        <v>-30</v>
      </c>
      <c r="L18" s="33"/>
      <c r="M18" s="35">
        <f t="shared" si="3"/>
        <v>0</v>
      </c>
    </row>
    <row r="19" spans="1:19" x14ac:dyDescent="0.25">
      <c r="A19" s="46">
        <f t="shared" si="0"/>
        <v>0</v>
      </c>
      <c r="B19" s="37" t="str">
        <f t="shared" si="7"/>
        <v/>
      </c>
      <c r="C19" s="38"/>
      <c r="D19" s="38"/>
      <c r="E19" s="38"/>
      <c r="F19" s="38"/>
      <c r="G19" s="25"/>
      <c r="H19" s="39">
        <v>14</v>
      </c>
      <c r="I19" s="40" t="str">
        <f t="shared" si="4"/>
        <v/>
      </c>
      <c r="J19" s="39">
        <f t="shared" si="5"/>
        <v>-3</v>
      </c>
      <c r="K19" s="39">
        <f t="shared" si="2"/>
        <v>-30</v>
      </c>
      <c r="L19" s="39"/>
      <c r="M19" s="41">
        <f t="shared" si="3"/>
        <v>0</v>
      </c>
    </row>
    <row r="20" spans="1:19" x14ac:dyDescent="0.25">
      <c r="A20" s="47">
        <f t="shared" si="0"/>
        <v>0</v>
      </c>
      <c r="B20" s="31" t="str">
        <f t="shared" si="7"/>
        <v/>
      </c>
      <c r="C20" s="32"/>
      <c r="D20" s="32"/>
      <c r="E20" s="32"/>
      <c r="F20" s="32"/>
      <c r="G20" s="25"/>
      <c r="H20" s="33">
        <v>15</v>
      </c>
      <c r="I20" s="34" t="str">
        <f t="shared" si="4"/>
        <v/>
      </c>
      <c r="J20" s="33">
        <f t="shared" si="5"/>
        <v>-3</v>
      </c>
      <c r="K20" s="33">
        <f t="shared" si="2"/>
        <v>-30</v>
      </c>
      <c r="L20" s="33"/>
      <c r="M20" s="35">
        <f t="shared" si="3"/>
        <v>0</v>
      </c>
      <c r="R20" s="51"/>
      <c r="S20" s="52"/>
    </row>
    <row r="21" spans="1:19" x14ac:dyDescent="0.25">
      <c r="A21" s="46">
        <f t="shared" si="0"/>
        <v>0</v>
      </c>
      <c r="B21" s="37" t="str">
        <f t="shared" si="7"/>
        <v/>
      </c>
      <c r="C21" s="38"/>
      <c r="D21" s="38"/>
      <c r="E21" s="38"/>
      <c r="F21" s="38"/>
      <c r="G21" s="25"/>
      <c r="H21" s="39">
        <v>16</v>
      </c>
      <c r="I21" s="40" t="str">
        <f t="shared" si="4"/>
        <v/>
      </c>
      <c r="J21" s="39">
        <f t="shared" si="5"/>
        <v>-3</v>
      </c>
      <c r="K21" s="39">
        <f t="shared" si="2"/>
        <v>-30</v>
      </c>
      <c r="L21" s="39"/>
      <c r="M21" s="41">
        <f t="shared" si="3"/>
        <v>0</v>
      </c>
    </row>
    <row r="22" spans="1:19" x14ac:dyDescent="0.25">
      <c r="A22" s="47">
        <f t="shared" si="0"/>
        <v>0</v>
      </c>
      <c r="B22" s="31" t="str">
        <f t="shared" si="7"/>
        <v/>
      </c>
      <c r="C22" s="32"/>
      <c r="D22" s="32"/>
      <c r="E22" s="32"/>
      <c r="F22" s="32"/>
      <c r="G22" s="25"/>
      <c r="H22" s="33">
        <v>17</v>
      </c>
      <c r="I22" s="34" t="str">
        <f t="shared" si="4"/>
        <v/>
      </c>
      <c r="J22" s="33">
        <f t="shared" si="5"/>
        <v>-4</v>
      </c>
      <c r="K22" s="33">
        <f t="shared" si="2"/>
        <v>-40</v>
      </c>
      <c r="L22" s="33"/>
      <c r="M22" s="35">
        <f t="shared" si="3"/>
        <v>0</v>
      </c>
    </row>
    <row r="23" spans="1:19" x14ac:dyDescent="0.25">
      <c r="A23" s="46">
        <f t="shared" si="0"/>
        <v>0</v>
      </c>
      <c r="B23" s="37" t="str">
        <f t="shared" si="7"/>
        <v/>
      </c>
      <c r="C23" s="38"/>
      <c r="D23" s="38"/>
      <c r="E23" s="38"/>
      <c r="F23" s="38"/>
      <c r="G23" s="25"/>
      <c r="H23" s="39">
        <v>18</v>
      </c>
      <c r="I23" s="40" t="str">
        <f t="shared" si="4"/>
        <v/>
      </c>
      <c r="J23" s="39">
        <f t="shared" si="5"/>
        <v>-4</v>
      </c>
      <c r="K23" s="39">
        <f t="shared" si="2"/>
        <v>-40</v>
      </c>
      <c r="L23" s="39"/>
      <c r="M23" s="41">
        <f t="shared" si="3"/>
        <v>0</v>
      </c>
    </row>
    <row r="24" spans="1:19" x14ac:dyDescent="0.25">
      <c r="A24" s="47">
        <f t="shared" si="0"/>
        <v>0</v>
      </c>
      <c r="B24" s="31" t="str">
        <f t="shared" si="7"/>
        <v/>
      </c>
      <c r="C24" s="32"/>
      <c r="D24" s="32"/>
      <c r="E24" s="32"/>
      <c r="F24" s="32"/>
      <c r="G24" s="25"/>
      <c r="H24" s="33">
        <v>19</v>
      </c>
      <c r="I24" s="34" t="str">
        <f t="shared" si="4"/>
        <v/>
      </c>
      <c r="J24" s="33">
        <f t="shared" si="5"/>
        <v>-4</v>
      </c>
      <c r="K24" s="33">
        <f t="shared" si="2"/>
        <v>-40</v>
      </c>
      <c r="L24" s="33"/>
      <c r="M24" s="35">
        <f t="shared" si="3"/>
        <v>0</v>
      </c>
      <c r="R24" s="51"/>
      <c r="S24" s="52"/>
    </row>
    <row r="25" spans="1:19" x14ac:dyDescent="0.25">
      <c r="A25" s="46">
        <f t="shared" si="0"/>
        <v>0</v>
      </c>
      <c r="B25" s="37" t="str">
        <f t="shared" si="7"/>
        <v/>
      </c>
      <c r="C25" s="38"/>
      <c r="D25" s="38"/>
      <c r="E25" s="38"/>
      <c r="F25" s="38"/>
      <c r="G25" s="25"/>
      <c r="H25" s="39">
        <v>20</v>
      </c>
      <c r="I25" s="40" t="str">
        <f t="shared" si="4"/>
        <v/>
      </c>
      <c r="J25" s="39">
        <f t="shared" si="5"/>
        <v>-4</v>
      </c>
      <c r="K25" s="39">
        <f t="shared" si="2"/>
        <v>-40</v>
      </c>
      <c r="L25" s="39"/>
      <c r="M25" s="41">
        <f t="shared" si="3"/>
        <v>0</v>
      </c>
    </row>
    <row r="26" spans="1:19" x14ac:dyDescent="0.25">
      <c r="A26" s="47">
        <f t="shared" si="0"/>
        <v>0</v>
      </c>
      <c r="B26" s="31" t="str">
        <f t="shared" si="7"/>
        <v/>
      </c>
      <c r="C26" s="32"/>
      <c r="D26" s="32"/>
      <c r="E26" s="32"/>
      <c r="F26" s="32"/>
      <c r="G26" s="25"/>
      <c r="H26" s="33">
        <v>21</v>
      </c>
      <c r="I26" s="34" t="str">
        <f t="shared" si="4"/>
        <v/>
      </c>
      <c r="J26" s="33">
        <f t="shared" si="5"/>
        <v>-4</v>
      </c>
      <c r="K26" s="33">
        <f t="shared" si="2"/>
        <v>-40</v>
      </c>
      <c r="L26" s="33"/>
      <c r="M26" s="35">
        <f t="shared" si="3"/>
        <v>0</v>
      </c>
    </row>
    <row r="27" spans="1:19" x14ac:dyDescent="0.25">
      <c r="A27" s="46">
        <f t="shared" si="0"/>
        <v>0</v>
      </c>
      <c r="B27" s="37" t="str">
        <f t="shared" si="7"/>
        <v/>
      </c>
      <c r="C27" s="38"/>
      <c r="D27" s="38"/>
      <c r="E27" s="38"/>
      <c r="F27" s="38"/>
      <c r="G27" s="25"/>
      <c r="H27" s="39">
        <v>22</v>
      </c>
      <c r="I27" s="40" t="str">
        <f t="shared" si="4"/>
        <v/>
      </c>
      <c r="J27" s="39">
        <f t="shared" si="5"/>
        <v>-4</v>
      </c>
      <c r="K27" s="39">
        <f t="shared" si="2"/>
        <v>-40</v>
      </c>
      <c r="L27" s="39"/>
      <c r="M27" s="41">
        <f t="shared" si="3"/>
        <v>0</v>
      </c>
    </row>
    <row r="28" spans="1:19" x14ac:dyDescent="0.25">
      <c r="A28" s="47">
        <f t="shared" si="0"/>
        <v>0</v>
      </c>
      <c r="B28" s="31" t="str">
        <f t="shared" si="7"/>
        <v/>
      </c>
      <c r="C28" s="32"/>
      <c r="D28" s="32"/>
      <c r="E28" s="32"/>
      <c r="F28" s="32"/>
      <c r="G28" s="25"/>
      <c r="H28" s="33">
        <v>23</v>
      </c>
      <c r="I28" s="34" t="str">
        <f t="shared" si="4"/>
        <v/>
      </c>
      <c r="J28" s="33">
        <f t="shared" si="5"/>
        <v>-4</v>
      </c>
      <c r="K28" s="33">
        <f t="shared" si="2"/>
        <v>-40</v>
      </c>
      <c r="L28" s="33"/>
      <c r="M28" s="35">
        <f t="shared" si="3"/>
        <v>0</v>
      </c>
      <c r="R28" s="51"/>
      <c r="S28" s="52"/>
    </row>
    <row r="29" spans="1:19" x14ac:dyDescent="0.25">
      <c r="A29" s="46">
        <f t="shared" si="0"/>
        <v>0</v>
      </c>
      <c r="B29" s="37" t="str">
        <f t="shared" si="7"/>
        <v/>
      </c>
      <c r="C29" s="38"/>
      <c r="D29" s="38"/>
      <c r="E29" s="38"/>
      <c r="F29" s="38"/>
      <c r="G29" s="11"/>
      <c r="H29" s="39">
        <v>24</v>
      </c>
      <c r="I29" s="40" t="str">
        <f t="shared" si="4"/>
        <v/>
      </c>
      <c r="J29" s="39">
        <f t="shared" si="5"/>
        <v>-4</v>
      </c>
      <c r="K29" s="39">
        <f t="shared" si="2"/>
        <v>-40</v>
      </c>
      <c r="L29" s="39"/>
      <c r="M29" s="41">
        <f t="shared" si="3"/>
        <v>0</v>
      </c>
    </row>
    <row r="30" spans="1:19" x14ac:dyDescent="0.25">
      <c r="A30" s="47">
        <f t="shared" si="0"/>
        <v>0</v>
      </c>
      <c r="B30" s="31" t="str">
        <f t="shared" si="7"/>
        <v/>
      </c>
      <c r="C30" s="32"/>
      <c r="D30" s="32"/>
      <c r="E30" s="32"/>
      <c r="F30" s="32"/>
      <c r="G30" s="11"/>
      <c r="H30" s="33">
        <v>25</v>
      </c>
      <c r="I30" s="34" t="str">
        <f t="shared" si="4"/>
        <v/>
      </c>
      <c r="J30" s="33">
        <f t="shared" si="5"/>
        <v>-4</v>
      </c>
      <c r="K30" s="33">
        <f t="shared" si="2"/>
        <v>-40</v>
      </c>
      <c r="L30" s="33"/>
      <c r="M30" s="35">
        <f t="shared" si="3"/>
        <v>0</v>
      </c>
    </row>
    <row r="31" spans="1:19" x14ac:dyDescent="0.25">
      <c r="A31" s="46">
        <f t="shared" si="0"/>
        <v>0</v>
      </c>
      <c r="B31" s="37" t="str">
        <f t="shared" si="7"/>
        <v/>
      </c>
      <c r="C31" s="38"/>
      <c r="D31" s="38"/>
      <c r="E31" s="38"/>
      <c r="F31" s="38"/>
      <c r="G31" s="11"/>
      <c r="H31" s="39">
        <v>26</v>
      </c>
      <c r="I31" s="40" t="str">
        <f t="shared" si="4"/>
        <v/>
      </c>
      <c r="J31" s="39">
        <f t="shared" si="5"/>
        <v>-4</v>
      </c>
      <c r="K31" s="39">
        <f t="shared" si="2"/>
        <v>-40</v>
      </c>
      <c r="L31" s="39"/>
      <c r="M31" s="41">
        <f t="shared" si="3"/>
        <v>0</v>
      </c>
    </row>
    <row r="32" spans="1:19" x14ac:dyDescent="0.25">
      <c r="A32" s="47">
        <f t="shared" si="0"/>
        <v>0</v>
      </c>
      <c r="B32" s="31" t="str">
        <f t="shared" si="7"/>
        <v/>
      </c>
      <c r="C32" s="32"/>
      <c r="D32" s="32"/>
      <c r="E32" s="32"/>
      <c r="F32" s="32"/>
      <c r="G32" s="11"/>
      <c r="H32" s="33">
        <v>27</v>
      </c>
      <c r="I32" s="34" t="str">
        <f t="shared" si="4"/>
        <v/>
      </c>
      <c r="J32" s="33">
        <f t="shared" si="5"/>
        <v>-4</v>
      </c>
      <c r="K32" s="33">
        <f t="shared" si="2"/>
        <v>-40</v>
      </c>
      <c r="L32" s="33"/>
      <c r="M32" s="35">
        <f t="shared" si="3"/>
        <v>0</v>
      </c>
      <c r="R32" s="51"/>
      <c r="S32" s="52"/>
    </row>
    <row r="33" spans="1:21" x14ac:dyDescent="0.25">
      <c r="A33" s="46">
        <f t="shared" si="0"/>
        <v>0</v>
      </c>
      <c r="B33" s="37" t="str">
        <f t="shared" si="7"/>
        <v/>
      </c>
      <c r="C33" s="38"/>
      <c r="D33" s="38"/>
      <c r="E33" s="38"/>
      <c r="F33" s="38"/>
      <c r="G33" s="11"/>
      <c r="H33" s="39">
        <v>28</v>
      </c>
      <c r="I33" s="40" t="str">
        <f t="shared" si="4"/>
        <v/>
      </c>
      <c r="J33" s="39">
        <f t="shared" si="5"/>
        <v>-4</v>
      </c>
      <c r="K33" s="39">
        <f t="shared" si="2"/>
        <v>-40</v>
      </c>
      <c r="L33" s="39"/>
      <c r="M33" s="41">
        <f t="shared" si="3"/>
        <v>0</v>
      </c>
    </row>
    <row r="34" spans="1:21" x14ac:dyDescent="0.25">
      <c r="A34" s="47">
        <f t="shared" si="0"/>
        <v>0</v>
      </c>
      <c r="B34" s="31" t="str">
        <f t="shared" si="7"/>
        <v/>
      </c>
      <c r="C34" s="32"/>
      <c r="D34" s="32"/>
      <c r="E34" s="32"/>
      <c r="F34" s="32"/>
      <c r="G34" s="11"/>
      <c r="H34" s="33">
        <v>29</v>
      </c>
      <c r="I34" s="34" t="str">
        <f t="shared" si="4"/>
        <v/>
      </c>
      <c r="J34" s="33">
        <f t="shared" si="5"/>
        <v>-4</v>
      </c>
      <c r="K34" s="33">
        <f t="shared" si="2"/>
        <v>-40</v>
      </c>
      <c r="L34" s="33"/>
      <c r="M34" s="35">
        <f t="shared" si="3"/>
        <v>0</v>
      </c>
    </row>
    <row r="35" spans="1:21" x14ac:dyDescent="0.25">
      <c r="A35" s="46">
        <f t="shared" si="0"/>
        <v>0</v>
      </c>
      <c r="B35" s="37" t="str">
        <f t="shared" si="7"/>
        <v/>
      </c>
      <c r="C35" s="38"/>
      <c r="D35" s="38"/>
      <c r="E35" s="38"/>
      <c r="F35" s="38"/>
      <c r="G35" s="11"/>
      <c r="H35" s="39">
        <v>30</v>
      </c>
      <c r="I35" s="40" t="str">
        <f t="shared" si="4"/>
        <v/>
      </c>
      <c r="J35" s="39">
        <f t="shared" si="5"/>
        <v>-4</v>
      </c>
      <c r="K35" s="39">
        <f t="shared" si="2"/>
        <v>-40</v>
      </c>
      <c r="L35" s="39"/>
      <c r="M35" s="41">
        <f t="shared" si="3"/>
        <v>0</v>
      </c>
    </row>
    <row r="36" spans="1:21" x14ac:dyDescent="0.25">
      <c r="A36" s="47">
        <f t="shared" si="0"/>
        <v>0</v>
      </c>
      <c r="B36" s="31" t="str">
        <f t="shared" si="7"/>
        <v/>
      </c>
      <c r="C36" s="32"/>
      <c r="D36" s="32"/>
      <c r="E36" s="32"/>
      <c r="F36" s="32"/>
      <c r="G36" s="11"/>
      <c r="H36" s="33">
        <v>31</v>
      </c>
      <c r="I36" s="34" t="str">
        <f t="shared" si="4"/>
        <v/>
      </c>
      <c r="J36" s="33">
        <f t="shared" si="5"/>
        <v>-4</v>
      </c>
      <c r="K36" s="33">
        <f t="shared" si="2"/>
        <v>-40</v>
      </c>
      <c r="L36" s="33"/>
      <c r="M36" s="35">
        <f t="shared" si="3"/>
        <v>0</v>
      </c>
      <c r="R36" s="51"/>
      <c r="S36" s="52"/>
    </row>
    <row r="37" spans="1:21" x14ac:dyDescent="0.25">
      <c r="A37" s="46">
        <f t="shared" si="0"/>
        <v>0</v>
      </c>
      <c r="B37" s="37" t="str">
        <f t="shared" si="7"/>
        <v/>
      </c>
      <c r="C37" s="38"/>
      <c r="D37" s="38"/>
      <c r="E37" s="38"/>
      <c r="F37" s="38"/>
      <c r="G37" s="11"/>
      <c r="H37" s="39">
        <v>32</v>
      </c>
      <c r="I37" s="40" t="str">
        <f t="shared" si="4"/>
        <v/>
      </c>
      <c r="J37" s="39">
        <f t="shared" si="5"/>
        <v>-4</v>
      </c>
      <c r="K37" s="39">
        <f t="shared" si="2"/>
        <v>-40</v>
      </c>
      <c r="L37" s="39"/>
      <c r="M37" s="41">
        <f t="shared" si="3"/>
        <v>0</v>
      </c>
    </row>
    <row r="38" spans="1:21" x14ac:dyDescent="0.25">
      <c r="A38" s="47"/>
      <c r="B38" s="31" t="str">
        <f t="shared" si="7"/>
        <v/>
      </c>
      <c r="C38" s="32"/>
      <c r="D38" s="32"/>
      <c r="E38" s="32"/>
      <c r="F38" s="32"/>
      <c r="G38" s="11"/>
      <c r="H38" s="33">
        <v>33</v>
      </c>
      <c r="I38" s="34" t="str">
        <f t="shared" si="4"/>
        <v/>
      </c>
      <c r="J38" s="33">
        <f t="shared" si="5"/>
        <v>-5</v>
      </c>
      <c r="K38" s="33">
        <f t="shared" si="2"/>
        <v>-50</v>
      </c>
      <c r="L38" s="33"/>
      <c r="M38" s="35">
        <f t="shared" si="3"/>
        <v>0</v>
      </c>
    </row>
    <row r="39" spans="1:21" x14ac:dyDescent="0.25">
      <c r="A39" s="46"/>
      <c r="B39" s="37" t="str">
        <f t="shared" si="7"/>
        <v/>
      </c>
      <c r="C39" s="38"/>
      <c r="D39" s="38"/>
      <c r="E39" s="38"/>
      <c r="F39" s="38"/>
      <c r="G39" s="11"/>
      <c r="H39" s="39">
        <v>34</v>
      </c>
      <c r="I39" s="40" t="str">
        <f t="shared" si="4"/>
        <v/>
      </c>
      <c r="J39" s="39">
        <f t="shared" si="5"/>
        <v>-5</v>
      </c>
      <c r="K39" s="39">
        <f t="shared" si="2"/>
        <v>-50</v>
      </c>
      <c r="L39" s="39"/>
      <c r="M39" s="41">
        <f t="shared" si="3"/>
        <v>0</v>
      </c>
    </row>
    <row r="40" spans="1:21" x14ac:dyDescent="0.25">
      <c r="A40" s="47"/>
      <c r="B40" s="31" t="str">
        <f t="shared" si="7"/>
        <v/>
      </c>
      <c r="C40" s="32"/>
      <c r="D40" s="32"/>
      <c r="E40" s="32"/>
      <c r="F40" s="32"/>
      <c r="G40" s="11"/>
      <c r="H40" s="33">
        <v>35</v>
      </c>
      <c r="I40" s="34" t="str">
        <f t="shared" si="4"/>
        <v/>
      </c>
      <c r="J40" s="33">
        <f t="shared" si="5"/>
        <v>-5</v>
      </c>
      <c r="K40" s="33">
        <f t="shared" si="2"/>
        <v>-50</v>
      </c>
      <c r="L40" s="33"/>
      <c r="M40" s="35">
        <f t="shared" si="3"/>
        <v>0</v>
      </c>
    </row>
    <row r="41" spans="1:21" x14ac:dyDescent="0.25">
      <c r="A41" s="46"/>
      <c r="B41" s="37" t="str">
        <f t="shared" si="7"/>
        <v/>
      </c>
      <c r="C41" s="38"/>
      <c r="D41" s="38"/>
      <c r="E41" s="38"/>
      <c r="F41" s="38"/>
      <c r="G41" s="11"/>
      <c r="H41" s="39">
        <v>36</v>
      </c>
      <c r="I41" s="40" t="str">
        <f t="shared" si="4"/>
        <v/>
      </c>
      <c r="J41" s="39">
        <f t="shared" si="5"/>
        <v>-5</v>
      </c>
      <c r="K41" s="39">
        <f t="shared" si="2"/>
        <v>-50</v>
      </c>
      <c r="L41" s="39"/>
      <c r="M41" s="41">
        <f t="shared" si="3"/>
        <v>0</v>
      </c>
      <c r="S41" s="53"/>
    </row>
    <row r="42" spans="1:21" x14ac:dyDescent="0.25">
      <c r="A42" s="47"/>
      <c r="B42" s="31" t="str">
        <f t="shared" si="7"/>
        <v/>
      </c>
      <c r="C42" s="32"/>
      <c r="D42" s="32"/>
      <c r="E42" s="32"/>
      <c r="F42" s="32"/>
      <c r="G42" s="11"/>
      <c r="H42" s="33">
        <v>37</v>
      </c>
      <c r="I42" s="34" t="str">
        <f t="shared" si="4"/>
        <v/>
      </c>
      <c r="J42" s="33">
        <f t="shared" si="5"/>
        <v>-5</v>
      </c>
      <c r="K42" s="33">
        <f t="shared" si="2"/>
        <v>-50</v>
      </c>
      <c r="L42" s="33"/>
      <c r="M42" s="35">
        <f t="shared" si="3"/>
        <v>0</v>
      </c>
    </row>
    <row r="43" spans="1:21" x14ac:dyDescent="0.25">
      <c r="A43" s="46"/>
      <c r="B43" s="37" t="str">
        <f t="shared" si="7"/>
        <v/>
      </c>
      <c r="C43" s="38"/>
      <c r="D43" s="38"/>
      <c r="E43" s="38"/>
      <c r="F43" s="38"/>
      <c r="G43" s="11"/>
      <c r="H43" s="39">
        <v>38</v>
      </c>
      <c r="I43" s="40" t="str">
        <f t="shared" si="4"/>
        <v/>
      </c>
      <c r="J43" s="39">
        <f t="shared" si="5"/>
        <v>-5</v>
      </c>
      <c r="K43" s="39">
        <f t="shared" si="2"/>
        <v>-50</v>
      </c>
      <c r="L43" s="39"/>
      <c r="M43" s="41">
        <f t="shared" si="3"/>
        <v>0</v>
      </c>
    </row>
    <row r="44" spans="1:21" x14ac:dyDescent="0.25">
      <c r="A44" s="47"/>
      <c r="B44" s="31" t="str">
        <f t="shared" si="7"/>
        <v/>
      </c>
      <c r="C44" s="32"/>
      <c r="D44" s="32"/>
      <c r="E44" s="32"/>
      <c r="F44" s="32"/>
      <c r="G44" s="11"/>
      <c r="H44" s="33">
        <v>39</v>
      </c>
      <c r="I44" s="34" t="str">
        <f t="shared" si="4"/>
        <v/>
      </c>
      <c r="J44" s="33">
        <f t="shared" si="5"/>
        <v>-5</v>
      </c>
      <c r="K44" s="33">
        <f t="shared" si="2"/>
        <v>-50</v>
      </c>
      <c r="L44" s="33"/>
      <c r="M44" s="35">
        <f t="shared" si="3"/>
        <v>0</v>
      </c>
    </row>
    <row r="45" spans="1:21" x14ac:dyDescent="0.25">
      <c r="A45" s="46"/>
      <c r="B45" s="37" t="str">
        <f t="shared" si="7"/>
        <v/>
      </c>
      <c r="C45" s="38"/>
      <c r="D45" s="38"/>
      <c r="E45" s="38"/>
      <c r="F45" s="38"/>
      <c r="G45" s="11"/>
      <c r="H45" s="39">
        <v>40</v>
      </c>
      <c r="I45" s="40" t="str">
        <f t="shared" si="4"/>
        <v/>
      </c>
      <c r="J45" s="39">
        <f t="shared" si="5"/>
        <v>-5</v>
      </c>
      <c r="K45" s="39">
        <f t="shared" si="2"/>
        <v>-50</v>
      </c>
      <c r="L45" s="39"/>
      <c r="M45" s="41">
        <f t="shared" si="3"/>
        <v>0</v>
      </c>
    </row>
    <row r="46" spans="1:21" x14ac:dyDescent="0.25">
      <c r="A46" s="47"/>
      <c r="B46" s="31" t="str">
        <f t="shared" si="7"/>
        <v/>
      </c>
      <c r="C46" s="32"/>
      <c r="D46" s="32"/>
      <c r="E46" s="32"/>
      <c r="F46" s="32"/>
      <c r="G46" s="11"/>
      <c r="H46" s="33">
        <v>41</v>
      </c>
      <c r="I46" s="34" t="str">
        <f t="shared" si="4"/>
        <v/>
      </c>
      <c r="J46" s="33">
        <f t="shared" si="5"/>
        <v>-5</v>
      </c>
      <c r="K46" s="33">
        <f t="shared" si="2"/>
        <v>-50</v>
      </c>
      <c r="L46" s="33"/>
      <c r="M46" s="35">
        <f t="shared" si="3"/>
        <v>0</v>
      </c>
      <c r="R46" s="11">
        <f>LOG($H$2,2)</f>
        <v>1</v>
      </c>
      <c r="T46" s="16">
        <f>LOG(H38,2)</f>
        <v>5.0443941193584534</v>
      </c>
      <c r="U46" s="16">
        <f>R46-T46</f>
        <v>-4.0443941193584534</v>
      </c>
    </row>
    <row r="47" spans="1:21" x14ac:dyDescent="0.25">
      <c r="A47" s="46"/>
      <c r="B47" s="37" t="str">
        <f t="shared" si="7"/>
        <v/>
      </c>
      <c r="C47" s="38"/>
      <c r="D47" s="38"/>
      <c r="E47" s="38"/>
      <c r="F47" s="38"/>
      <c r="G47" s="11"/>
      <c r="H47" s="39">
        <v>42</v>
      </c>
      <c r="I47" s="40" t="str">
        <f t="shared" si="4"/>
        <v/>
      </c>
      <c r="J47" s="39">
        <f t="shared" si="5"/>
        <v>-5</v>
      </c>
      <c r="K47" s="39">
        <f t="shared" si="2"/>
        <v>-50</v>
      </c>
      <c r="L47" s="39"/>
      <c r="M47" s="41">
        <f t="shared" si="3"/>
        <v>0</v>
      </c>
    </row>
    <row r="48" spans="1:21" x14ac:dyDescent="0.25">
      <c r="A48" s="47"/>
      <c r="B48" s="31" t="str">
        <f t="shared" si="7"/>
        <v/>
      </c>
      <c r="C48" s="32"/>
      <c r="D48" s="32"/>
      <c r="E48" s="32"/>
      <c r="F48" s="32"/>
      <c r="G48" s="11"/>
      <c r="H48" s="33">
        <v>43</v>
      </c>
      <c r="I48" s="34" t="str">
        <f t="shared" si="4"/>
        <v/>
      </c>
      <c r="J48" s="33">
        <f t="shared" si="5"/>
        <v>-5</v>
      </c>
      <c r="K48" s="33">
        <f t="shared" si="2"/>
        <v>-50</v>
      </c>
      <c r="L48" s="33"/>
      <c r="M48" s="35">
        <f t="shared" si="3"/>
        <v>0</v>
      </c>
    </row>
    <row r="49" spans="1:13" x14ac:dyDescent="0.25">
      <c r="A49" s="46"/>
      <c r="B49" s="37" t="str">
        <f t="shared" si="7"/>
        <v/>
      </c>
      <c r="C49" s="38"/>
      <c r="D49" s="38"/>
      <c r="E49" s="38"/>
      <c r="F49" s="38"/>
      <c r="G49" s="11"/>
      <c r="H49" s="39">
        <v>44</v>
      </c>
      <c r="I49" s="40" t="str">
        <f t="shared" si="4"/>
        <v/>
      </c>
      <c r="J49" s="39">
        <f t="shared" si="5"/>
        <v>-5</v>
      </c>
      <c r="K49" s="39">
        <f t="shared" si="2"/>
        <v>-50</v>
      </c>
      <c r="L49" s="39"/>
      <c r="M49" s="41">
        <f t="shared" si="3"/>
        <v>0</v>
      </c>
    </row>
    <row r="50" spans="1:13" x14ac:dyDescent="0.25">
      <c r="A50" s="47"/>
      <c r="B50" s="31" t="str">
        <f t="shared" si="7"/>
        <v/>
      </c>
      <c r="C50" s="32"/>
      <c r="D50" s="32"/>
      <c r="E50" s="32"/>
      <c r="F50" s="32"/>
      <c r="G50" s="11"/>
      <c r="H50" s="33">
        <v>45</v>
      </c>
      <c r="I50" s="34" t="str">
        <f t="shared" si="4"/>
        <v/>
      </c>
      <c r="J50" s="33">
        <f t="shared" si="5"/>
        <v>-5</v>
      </c>
      <c r="K50" s="33">
        <f t="shared" si="2"/>
        <v>-50</v>
      </c>
      <c r="L50" s="33"/>
      <c r="M50" s="35">
        <f t="shared" si="3"/>
        <v>0</v>
      </c>
    </row>
    <row r="51" spans="1:13" x14ac:dyDescent="0.25">
      <c r="A51" s="46"/>
      <c r="B51" s="37" t="str">
        <f t="shared" si="7"/>
        <v/>
      </c>
      <c r="C51" s="38"/>
      <c r="D51" s="38"/>
      <c r="E51" s="38"/>
      <c r="F51" s="38"/>
      <c r="G51" s="11"/>
      <c r="H51" s="39">
        <v>46</v>
      </c>
      <c r="I51" s="40" t="str">
        <f t="shared" si="4"/>
        <v/>
      </c>
      <c r="J51" s="39">
        <f t="shared" si="5"/>
        <v>-5</v>
      </c>
      <c r="K51" s="39">
        <f t="shared" si="2"/>
        <v>-50</v>
      </c>
      <c r="L51" s="39"/>
      <c r="M51" s="41">
        <f t="shared" si="3"/>
        <v>0</v>
      </c>
    </row>
    <row r="52" spans="1:13" x14ac:dyDescent="0.25">
      <c r="A52" s="47"/>
      <c r="B52" s="31" t="str">
        <f t="shared" si="7"/>
        <v/>
      </c>
      <c r="C52" s="32"/>
      <c r="D52" s="32"/>
      <c r="E52" s="32"/>
      <c r="F52" s="32"/>
      <c r="G52" s="11"/>
      <c r="H52" s="33">
        <v>47</v>
      </c>
      <c r="I52" s="34" t="str">
        <f t="shared" si="4"/>
        <v/>
      </c>
      <c r="J52" s="33">
        <f t="shared" si="5"/>
        <v>-5</v>
      </c>
      <c r="K52" s="33">
        <f t="shared" si="2"/>
        <v>-50</v>
      </c>
      <c r="L52" s="33"/>
      <c r="M52" s="35">
        <f t="shared" si="3"/>
        <v>0</v>
      </c>
    </row>
    <row r="53" spans="1:13" x14ac:dyDescent="0.25">
      <c r="A53" s="46"/>
      <c r="B53" s="37" t="str">
        <f t="shared" si="7"/>
        <v/>
      </c>
      <c r="C53" s="38"/>
      <c r="D53" s="38"/>
      <c r="E53" s="38"/>
      <c r="F53" s="38"/>
      <c r="G53" s="11"/>
      <c r="H53" s="39">
        <v>48</v>
      </c>
      <c r="I53" s="40" t="str">
        <f t="shared" si="4"/>
        <v/>
      </c>
      <c r="J53" s="39">
        <f t="shared" si="5"/>
        <v>-5</v>
      </c>
      <c r="K53" s="39">
        <f t="shared" si="2"/>
        <v>-50</v>
      </c>
      <c r="L53" s="39"/>
      <c r="M53" s="41">
        <f t="shared" si="3"/>
        <v>0</v>
      </c>
    </row>
    <row r="54" spans="1:13" x14ac:dyDescent="0.25">
      <c r="A54" s="47"/>
      <c r="B54" s="31" t="str">
        <f t="shared" si="7"/>
        <v/>
      </c>
      <c r="C54" s="32"/>
      <c r="D54" s="32"/>
      <c r="E54" s="32"/>
      <c r="F54" s="32"/>
      <c r="G54" s="11"/>
      <c r="H54" s="33">
        <v>49</v>
      </c>
      <c r="I54" s="34" t="str">
        <f t="shared" si="4"/>
        <v/>
      </c>
      <c r="J54" s="33">
        <f t="shared" si="5"/>
        <v>-5</v>
      </c>
      <c r="K54" s="33">
        <f t="shared" si="2"/>
        <v>-50</v>
      </c>
      <c r="L54" s="33"/>
      <c r="M54" s="35">
        <f t="shared" si="3"/>
        <v>0</v>
      </c>
    </row>
    <row r="55" spans="1:13" x14ac:dyDescent="0.25">
      <c r="A55" s="46"/>
      <c r="B55" s="37" t="str">
        <f t="shared" si="7"/>
        <v/>
      </c>
      <c r="C55" s="38"/>
      <c r="D55" s="38"/>
      <c r="E55" s="38"/>
      <c r="F55" s="38"/>
      <c r="G55" s="11"/>
      <c r="H55" s="39">
        <v>50</v>
      </c>
      <c r="I55" s="40" t="str">
        <f t="shared" si="4"/>
        <v/>
      </c>
      <c r="J55" s="39">
        <f t="shared" si="5"/>
        <v>-5</v>
      </c>
      <c r="K55" s="39">
        <f t="shared" si="2"/>
        <v>-50</v>
      </c>
      <c r="L55" s="39"/>
      <c r="M55" s="41">
        <f t="shared" si="3"/>
        <v>0</v>
      </c>
    </row>
    <row r="56" spans="1:13" x14ac:dyDescent="0.25">
      <c r="A56" s="47"/>
      <c r="B56" s="31" t="str">
        <f t="shared" si="7"/>
        <v/>
      </c>
      <c r="C56" s="32"/>
      <c r="D56" s="32"/>
      <c r="E56" s="32"/>
      <c r="F56" s="32"/>
      <c r="G56" s="11"/>
      <c r="H56" s="33">
        <v>51</v>
      </c>
      <c r="I56" s="34" t="str">
        <f t="shared" si="4"/>
        <v/>
      </c>
      <c r="J56" s="33">
        <f t="shared" si="5"/>
        <v>-5</v>
      </c>
      <c r="K56" s="33">
        <f t="shared" si="2"/>
        <v>-50</v>
      </c>
      <c r="L56" s="33"/>
      <c r="M56" s="35">
        <f t="shared" si="3"/>
        <v>0</v>
      </c>
    </row>
    <row r="57" spans="1:13" x14ac:dyDescent="0.25">
      <c r="A57" s="46"/>
      <c r="B57" s="37" t="str">
        <f t="shared" si="7"/>
        <v/>
      </c>
      <c r="C57" s="38"/>
      <c r="D57" s="38"/>
      <c r="E57" s="38"/>
      <c r="F57" s="38"/>
      <c r="G57" s="11"/>
      <c r="H57" s="39">
        <v>52</v>
      </c>
      <c r="I57" s="40" t="str">
        <f t="shared" si="4"/>
        <v/>
      </c>
      <c r="J57" s="39">
        <f t="shared" si="5"/>
        <v>-5</v>
      </c>
      <c r="K57" s="39">
        <f t="shared" si="2"/>
        <v>-50</v>
      </c>
      <c r="L57" s="39"/>
      <c r="M57" s="41">
        <f t="shared" si="3"/>
        <v>0</v>
      </c>
    </row>
    <row r="58" spans="1:13" x14ac:dyDescent="0.25">
      <c r="A58" s="47"/>
      <c r="B58" s="31" t="str">
        <f t="shared" si="7"/>
        <v/>
      </c>
      <c r="C58" s="32"/>
      <c r="D58" s="32"/>
      <c r="E58" s="32"/>
      <c r="F58" s="32"/>
      <c r="G58" s="11"/>
      <c r="H58" s="33">
        <v>53</v>
      </c>
      <c r="I58" s="34" t="str">
        <f t="shared" si="4"/>
        <v/>
      </c>
      <c r="J58" s="33">
        <f t="shared" si="5"/>
        <v>-5</v>
      </c>
      <c r="K58" s="33">
        <f t="shared" si="2"/>
        <v>-50</v>
      </c>
      <c r="L58" s="33"/>
      <c r="M58" s="35">
        <f t="shared" si="3"/>
        <v>0</v>
      </c>
    </row>
    <row r="59" spans="1:13" x14ac:dyDescent="0.25">
      <c r="A59" s="46"/>
      <c r="B59" s="37" t="str">
        <f t="shared" si="7"/>
        <v/>
      </c>
      <c r="C59" s="38"/>
      <c r="D59" s="38"/>
      <c r="E59" s="38"/>
      <c r="F59" s="38"/>
      <c r="G59" s="11"/>
      <c r="H59" s="39">
        <v>54</v>
      </c>
      <c r="I59" s="40" t="str">
        <f t="shared" si="4"/>
        <v/>
      </c>
      <c r="J59" s="39">
        <f t="shared" si="5"/>
        <v>-5</v>
      </c>
      <c r="K59" s="39">
        <f t="shared" si="2"/>
        <v>-50</v>
      </c>
      <c r="L59" s="39"/>
      <c r="M59" s="41">
        <f t="shared" si="3"/>
        <v>0</v>
      </c>
    </row>
    <row r="60" spans="1:13" x14ac:dyDescent="0.25">
      <c r="A60" s="47"/>
      <c r="B60" s="31" t="str">
        <f t="shared" si="7"/>
        <v/>
      </c>
      <c r="C60" s="32"/>
      <c r="D60" s="32"/>
      <c r="E60" s="32"/>
      <c r="F60" s="32"/>
      <c r="G60" s="11"/>
      <c r="H60" s="33">
        <v>55</v>
      </c>
      <c r="I60" s="34" t="str">
        <f t="shared" si="4"/>
        <v/>
      </c>
      <c r="J60" s="33">
        <f t="shared" si="5"/>
        <v>-5</v>
      </c>
      <c r="K60" s="33">
        <f t="shared" si="2"/>
        <v>-50</v>
      </c>
      <c r="L60" s="33"/>
      <c r="M60" s="35">
        <f t="shared" si="3"/>
        <v>0</v>
      </c>
    </row>
    <row r="61" spans="1:13" x14ac:dyDescent="0.25">
      <c r="A61" s="46"/>
      <c r="B61" s="37" t="str">
        <f t="shared" si="7"/>
        <v/>
      </c>
      <c r="C61" s="38"/>
      <c r="D61" s="38"/>
      <c r="E61" s="38"/>
      <c r="F61" s="38"/>
      <c r="G61" s="11"/>
      <c r="H61" s="39">
        <v>56</v>
      </c>
      <c r="I61" s="40" t="str">
        <f t="shared" si="4"/>
        <v/>
      </c>
      <c r="J61" s="39">
        <f t="shared" si="5"/>
        <v>-5</v>
      </c>
      <c r="K61" s="39">
        <f t="shared" si="2"/>
        <v>-50</v>
      </c>
      <c r="L61" s="39"/>
      <c r="M61" s="41">
        <f t="shared" si="3"/>
        <v>0</v>
      </c>
    </row>
    <row r="62" spans="1:13" x14ac:dyDescent="0.25">
      <c r="A62" s="47"/>
      <c r="B62" s="31" t="str">
        <f t="shared" si="7"/>
        <v/>
      </c>
      <c r="C62" s="32"/>
      <c r="D62" s="32"/>
      <c r="E62" s="32"/>
      <c r="F62" s="32"/>
      <c r="G62" s="11"/>
      <c r="H62" s="33">
        <v>57</v>
      </c>
      <c r="I62" s="34" t="str">
        <f t="shared" si="4"/>
        <v/>
      </c>
      <c r="J62" s="33">
        <f t="shared" si="5"/>
        <v>-5</v>
      </c>
      <c r="K62" s="33">
        <f t="shared" si="2"/>
        <v>-50</v>
      </c>
      <c r="L62" s="33"/>
      <c r="M62" s="35">
        <f t="shared" si="3"/>
        <v>0</v>
      </c>
    </row>
    <row r="63" spans="1:13" x14ac:dyDescent="0.25">
      <c r="A63" s="46"/>
      <c r="B63" s="37" t="str">
        <f t="shared" si="7"/>
        <v/>
      </c>
      <c r="C63" s="38"/>
      <c r="D63" s="38"/>
      <c r="E63" s="38"/>
      <c r="F63" s="38"/>
      <c r="G63" s="11"/>
      <c r="H63" s="39">
        <v>58</v>
      </c>
      <c r="I63" s="40" t="str">
        <f t="shared" si="4"/>
        <v/>
      </c>
      <c r="J63" s="39">
        <f t="shared" si="5"/>
        <v>-5</v>
      </c>
      <c r="K63" s="39">
        <f t="shared" si="2"/>
        <v>-50</v>
      </c>
      <c r="L63" s="39"/>
      <c r="M63" s="41">
        <f t="shared" si="3"/>
        <v>0</v>
      </c>
    </row>
    <row r="64" spans="1:13" x14ac:dyDescent="0.25">
      <c r="A64" s="47"/>
      <c r="B64" s="31" t="str">
        <f t="shared" si="7"/>
        <v/>
      </c>
      <c r="C64" s="32"/>
      <c r="D64" s="32"/>
      <c r="E64" s="32"/>
      <c r="F64" s="32"/>
      <c r="G64" s="11"/>
      <c r="H64" s="33">
        <v>59</v>
      </c>
      <c r="I64" s="34" t="str">
        <f t="shared" si="4"/>
        <v/>
      </c>
      <c r="J64" s="33">
        <f t="shared" si="5"/>
        <v>-5</v>
      </c>
      <c r="K64" s="33">
        <f t="shared" si="2"/>
        <v>-50</v>
      </c>
      <c r="L64" s="33"/>
      <c r="M64" s="35">
        <f t="shared" si="3"/>
        <v>0</v>
      </c>
    </row>
    <row r="65" spans="1:13" x14ac:dyDescent="0.25">
      <c r="A65" s="46"/>
      <c r="B65" s="37" t="str">
        <f t="shared" si="7"/>
        <v/>
      </c>
      <c r="C65" s="38"/>
      <c r="D65" s="38"/>
      <c r="E65" s="38"/>
      <c r="F65" s="38"/>
      <c r="G65" s="11"/>
      <c r="H65" s="39">
        <v>60</v>
      </c>
      <c r="I65" s="40" t="str">
        <f t="shared" si="4"/>
        <v/>
      </c>
      <c r="J65" s="39">
        <f t="shared" si="5"/>
        <v>-5</v>
      </c>
      <c r="K65" s="39">
        <f t="shared" si="2"/>
        <v>-50</v>
      </c>
      <c r="L65" s="39"/>
      <c r="M65" s="41">
        <f t="shared" si="3"/>
        <v>0</v>
      </c>
    </row>
    <row r="66" spans="1:13" x14ac:dyDescent="0.25">
      <c r="A66" s="54"/>
      <c r="B66" s="31"/>
      <c r="G66" s="11"/>
      <c r="H66" s="33">
        <v>61</v>
      </c>
      <c r="I66" s="34" t="str">
        <f t="shared" si="4"/>
        <v/>
      </c>
      <c r="J66" s="33">
        <f t="shared" si="5"/>
        <v>-5</v>
      </c>
      <c r="K66" s="33">
        <f t="shared" si="2"/>
        <v>-50</v>
      </c>
      <c r="L66" s="33"/>
      <c r="M66" s="35">
        <f t="shared" si="3"/>
        <v>0</v>
      </c>
    </row>
    <row r="67" spans="1:13" x14ac:dyDescent="0.25">
      <c r="A67" s="54"/>
      <c r="B67" s="37"/>
      <c r="G67" s="11"/>
      <c r="H67" s="33">
        <v>62</v>
      </c>
      <c r="I67" s="34" t="str">
        <f t="shared" si="4"/>
        <v/>
      </c>
      <c r="J67" s="33">
        <f t="shared" si="5"/>
        <v>-5</v>
      </c>
      <c r="K67" s="33">
        <f t="shared" si="2"/>
        <v>-50</v>
      </c>
      <c r="L67" s="33"/>
      <c r="M67" s="35">
        <f t="shared" si="3"/>
        <v>0</v>
      </c>
    </row>
    <row r="68" spans="1:13" x14ac:dyDescent="0.25">
      <c r="A68" s="54"/>
      <c r="B68" s="31"/>
      <c r="G68" s="11"/>
      <c r="H68" s="33">
        <v>63</v>
      </c>
      <c r="I68" s="34" t="str">
        <f t="shared" si="4"/>
        <v/>
      </c>
      <c r="J68" s="33">
        <f t="shared" si="5"/>
        <v>-5</v>
      </c>
      <c r="K68" s="33">
        <f t="shared" si="2"/>
        <v>-50</v>
      </c>
      <c r="L68" s="33"/>
      <c r="M68" s="35">
        <f t="shared" si="3"/>
        <v>0</v>
      </c>
    </row>
    <row r="69" spans="1:13" x14ac:dyDescent="0.25">
      <c r="A69" s="54"/>
      <c r="B69" s="37"/>
      <c r="G69" s="11"/>
      <c r="H69" s="33">
        <v>64</v>
      </c>
      <c r="I69" s="34" t="str">
        <f t="shared" si="4"/>
        <v/>
      </c>
      <c r="J69" s="33">
        <f t="shared" si="5"/>
        <v>-5</v>
      </c>
      <c r="K69" s="33">
        <f t="shared" si="2"/>
        <v>-50</v>
      </c>
      <c r="L69" s="33"/>
      <c r="M69" s="35">
        <f t="shared" si="3"/>
        <v>0</v>
      </c>
    </row>
    <row r="70" spans="1:13" x14ac:dyDescent="0.25">
      <c r="A70" s="54"/>
      <c r="G70" s="11"/>
      <c r="H70" s="33">
        <v>65</v>
      </c>
      <c r="I70" s="34" t="str">
        <f t="shared" ref="I70:I133" si="8">IF(H70&lt;$H$2+1,($I$2-($I$2-1)*(LOG(H70)/LOG($H$2))),"")</f>
        <v/>
      </c>
      <c r="J70" s="33">
        <f t="shared" si="5"/>
        <v>-6</v>
      </c>
      <c r="K70" s="33">
        <f t="shared" ref="K70:K133" si="9">J70*$J$2</f>
        <v>-60</v>
      </c>
      <c r="L70" s="33"/>
      <c r="M70" s="35">
        <f t="shared" ref="M70:M133" si="10">IF(I70&lt;&gt;"",K70+I70+L70,0)</f>
        <v>0</v>
      </c>
    </row>
    <row r="71" spans="1:13" x14ac:dyDescent="0.25">
      <c r="A71" s="54"/>
      <c r="G71" s="11"/>
      <c r="H71" s="33">
        <v>66</v>
      </c>
      <c r="I71" s="34" t="str">
        <f t="shared" si="8"/>
        <v/>
      </c>
      <c r="J71" s="33">
        <f t="shared" ref="J71:J134" si="11">INT(LOG($H$2,2))-ROUNDUP(LOG(H71,2),0)+IF(OR($H$2=1,$H$2=2,$H$2=4,$H$2=8,$H$2=16,$H$2=32,$H$2=64,$H$2=128,$H$2=256),0,1)</f>
        <v>-6</v>
      </c>
      <c r="K71" s="33">
        <f t="shared" si="9"/>
        <v>-60</v>
      </c>
      <c r="L71" s="33"/>
      <c r="M71" s="35">
        <f t="shared" si="10"/>
        <v>0</v>
      </c>
    </row>
    <row r="72" spans="1:13" x14ac:dyDescent="0.25">
      <c r="A72" s="54"/>
      <c r="G72" s="11"/>
      <c r="H72" s="33">
        <v>67</v>
      </c>
      <c r="I72" s="34" t="str">
        <f t="shared" si="8"/>
        <v/>
      </c>
      <c r="J72" s="33">
        <f t="shared" si="11"/>
        <v>-6</v>
      </c>
      <c r="K72" s="33">
        <f t="shared" si="9"/>
        <v>-60</v>
      </c>
      <c r="L72" s="33"/>
      <c r="M72" s="35">
        <f t="shared" si="10"/>
        <v>0</v>
      </c>
    </row>
    <row r="73" spans="1:13" x14ac:dyDescent="0.25">
      <c r="A73" s="54"/>
      <c r="G73" s="11"/>
      <c r="H73" s="33">
        <v>68</v>
      </c>
      <c r="I73" s="34" t="str">
        <f t="shared" si="8"/>
        <v/>
      </c>
      <c r="J73" s="33">
        <f t="shared" si="11"/>
        <v>-6</v>
      </c>
      <c r="K73" s="33">
        <f t="shared" si="9"/>
        <v>-60</v>
      </c>
      <c r="L73" s="33"/>
      <c r="M73" s="35">
        <f t="shared" si="10"/>
        <v>0</v>
      </c>
    </row>
    <row r="74" spans="1:13" x14ac:dyDescent="0.25">
      <c r="A74" s="54"/>
      <c r="G74" s="11"/>
      <c r="H74" s="33">
        <v>69</v>
      </c>
      <c r="I74" s="34" t="str">
        <f t="shared" si="8"/>
        <v/>
      </c>
      <c r="J74" s="33">
        <f t="shared" si="11"/>
        <v>-6</v>
      </c>
      <c r="K74" s="33">
        <f t="shared" si="9"/>
        <v>-60</v>
      </c>
      <c r="L74" s="33"/>
      <c r="M74" s="35">
        <f t="shared" si="10"/>
        <v>0</v>
      </c>
    </row>
    <row r="75" spans="1:13" x14ac:dyDescent="0.25">
      <c r="A75" s="54"/>
      <c r="G75" s="11"/>
      <c r="H75" s="33">
        <v>70</v>
      </c>
      <c r="I75" s="34" t="str">
        <f t="shared" si="8"/>
        <v/>
      </c>
      <c r="J75" s="33">
        <f t="shared" si="11"/>
        <v>-6</v>
      </c>
      <c r="K75" s="33">
        <f t="shared" si="9"/>
        <v>-60</v>
      </c>
      <c r="L75" s="33"/>
      <c r="M75" s="35">
        <f t="shared" si="10"/>
        <v>0</v>
      </c>
    </row>
    <row r="76" spans="1:13" x14ac:dyDescent="0.25">
      <c r="A76" s="54"/>
      <c r="G76" s="11"/>
      <c r="H76" s="33">
        <v>71</v>
      </c>
      <c r="I76" s="34" t="str">
        <f t="shared" si="8"/>
        <v/>
      </c>
      <c r="J76" s="33">
        <f t="shared" si="11"/>
        <v>-6</v>
      </c>
      <c r="K76" s="33">
        <f t="shared" si="9"/>
        <v>-60</v>
      </c>
      <c r="L76" s="33"/>
      <c r="M76" s="35">
        <f t="shared" si="10"/>
        <v>0</v>
      </c>
    </row>
    <row r="77" spans="1:13" x14ac:dyDescent="0.25">
      <c r="A77" s="54"/>
      <c r="G77" s="11"/>
      <c r="H77" s="33">
        <v>72</v>
      </c>
      <c r="I77" s="34" t="str">
        <f t="shared" si="8"/>
        <v/>
      </c>
      <c r="J77" s="33">
        <f t="shared" si="11"/>
        <v>-6</v>
      </c>
      <c r="K77" s="33">
        <f t="shared" si="9"/>
        <v>-60</v>
      </c>
      <c r="L77" s="33"/>
      <c r="M77" s="35">
        <f t="shared" si="10"/>
        <v>0</v>
      </c>
    </row>
    <row r="78" spans="1:13" x14ac:dyDescent="0.25">
      <c r="A78" s="54"/>
      <c r="G78" s="11"/>
      <c r="H78" s="33">
        <v>73</v>
      </c>
      <c r="I78" s="34" t="str">
        <f t="shared" si="8"/>
        <v/>
      </c>
      <c r="J78" s="33">
        <f t="shared" si="11"/>
        <v>-6</v>
      </c>
      <c r="K78" s="33">
        <f t="shared" si="9"/>
        <v>-60</v>
      </c>
      <c r="L78" s="33"/>
      <c r="M78" s="35">
        <f t="shared" si="10"/>
        <v>0</v>
      </c>
    </row>
    <row r="79" spans="1:13" x14ac:dyDescent="0.25">
      <c r="A79" s="54"/>
      <c r="G79" s="11"/>
      <c r="H79" s="33">
        <v>74</v>
      </c>
      <c r="I79" s="34" t="str">
        <f t="shared" si="8"/>
        <v/>
      </c>
      <c r="J79" s="33">
        <f t="shared" si="11"/>
        <v>-6</v>
      </c>
      <c r="K79" s="33">
        <f t="shared" si="9"/>
        <v>-60</v>
      </c>
      <c r="L79" s="33"/>
      <c r="M79" s="35">
        <f t="shared" si="10"/>
        <v>0</v>
      </c>
    </row>
    <row r="80" spans="1:13" x14ac:dyDescent="0.25">
      <c r="A80" s="54"/>
      <c r="G80" s="11"/>
      <c r="H80" s="33">
        <v>75</v>
      </c>
      <c r="I80" s="34" t="str">
        <f t="shared" si="8"/>
        <v/>
      </c>
      <c r="J80" s="33">
        <f t="shared" si="11"/>
        <v>-6</v>
      </c>
      <c r="K80" s="33">
        <f t="shared" si="9"/>
        <v>-60</v>
      </c>
      <c r="L80" s="33"/>
      <c r="M80" s="35">
        <f t="shared" si="10"/>
        <v>0</v>
      </c>
    </row>
    <row r="81" spans="1:13" x14ac:dyDescent="0.25">
      <c r="A81" s="54"/>
      <c r="G81" s="11"/>
      <c r="H81" s="33">
        <v>76</v>
      </c>
      <c r="I81" s="34" t="str">
        <f t="shared" si="8"/>
        <v/>
      </c>
      <c r="J81" s="33">
        <f t="shared" si="11"/>
        <v>-6</v>
      </c>
      <c r="K81" s="33">
        <f t="shared" si="9"/>
        <v>-60</v>
      </c>
      <c r="L81" s="33"/>
      <c r="M81" s="35">
        <f t="shared" si="10"/>
        <v>0</v>
      </c>
    </row>
    <row r="82" spans="1:13" x14ac:dyDescent="0.25">
      <c r="A82" s="54"/>
      <c r="G82" s="11"/>
      <c r="H82" s="33">
        <v>77</v>
      </c>
      <c r="I82" s="34" t="str">
        <f t="shared" si="8"/>
        <v/>
      </c>
      <c r="J82" s="33">
        <f t="shared" si="11"/>
        <v>-6</v>
      </c>
      <c r="K82" s="33">
        <f t="shared" si="9"/>
        <v>-60</v>
      </c>
      <c r="L82" s="33"/>
      <c r="M82" s="35">
        <f t="shared" si="10"/>
        <v>0</v>
      </c>
    </row>
    <row r="83" spans="1:13" x14ac:dyDescent="0.25">
      <c r="A83" s="54"/>
      <c r="G83" s="11"/>
      <c r="H83" s="33">
        <v>78</v>
      </c>
      <c r="I83" s="34" t="str">
        <f t="shared" si="8"/>
        <v/>
      </c>
      <c r="J83" s="33">
        <f t="shared" si="11"/>
        <v>-6</v>
      </c>
      <c r="K83" s="33">
        <f t="shared" si="9"/>
        <v>-60</v>
      </c>
      <c r="L83" s="33"/>
      <c r="M83" s="35">
        <f t="shared" si="10"/>
        <v>0</v>
      </c>
    </row>
    <row r="84" spans="1:13" x14ac:dyDescent="0.25">
      <c r="A84" s="54"/>
      <c r="G84" s="11"/>
      <c r="H84" s="33">
        <v>79</v>
      </c>
      <c r="I84" s="34" t="str">
        <f t="shared" si="8"/>
        <v/>
      </c>
      <c r="J84" s="33">
        <f t="shared" si="11"/>
        <v>-6</v>
      </c>
      <c r="K84" s="33">
        <f t="shared" si="9"/>
        <v>-60</v>
      </c>
      <c r="L84" s="33"/>
      <c r="M84" s="35">
        <f t="shared" si="10"/>
        <v>0</v>
      </c>
    </row>
    <row r="85" spans="1:13" x14ac:dyDescent="0.25">
      <c r="A85" s="54"/>
      <c r="G85" s="11"/>
      <c r="H85" s="33">
        <v>80</v>
      </c>
      <c r="I85" s="34" t="str">
        <f t="shared" si="8"/>
        <v/>
      </c>
      <c r="J85" s="33">
        <f t="shared" si="11"/>
        <v>-6</v>
      </c>
      <c r="K85" s="33">
        <f t="shared" si="9"/>
        <v>-60</v>
      </c>
      <c r="L85" s="33"/>
      <c r="M85" s="35">
        <f t="shared" si="10"/>
        <v>0</v>
      </c>
    </row>
    <row r="86" spans="1:13" x14ac:dyDescent="0.25">
      <c r="A86" s="54"/>
      <c r="G86" s="11"/>
      <c r="H86" s="33">
        <v>81</v>
      </c>
      <c r="I86" s="34" t="str">
        <f t="shared" si="8"/>
        <v/>
      </c>
      <c r="J86" s="33">
        <f t="shared" si="11"/>
        <v>-6</v>
      </c>
      <c r="K86" s="33">
        <f t="shared" si="9"/>
        <v>-60</v>
      </c>
      <c r="L86" s="33"/>
      <c r="M86" s="35">
        <f t="shared" si="10"/>
        <v>0</v>
      </c>
    </row>
    <row r="87" spans="1:13" x14ac:dyDescent="0.25">
      <c r="A87" s="54"/>
      <c r="G87" s="11"/>
      <c r="H87" s="33">
        <v>82</v>
      </c>
      <c r="I87" s="34" t="str">
        <f t="shared" si="8"/>
        <v/>
      </c>
      <c r="J87" s="33">
        <f t="shared" si="11"/>
        <v>-6</v>
      </c>
      <c r="K87" s="33">
        <f t="shared" si="9"/>
        <v>-60</v>
      </c>
      <c r="L87" s="33"/>
      <c r="M87" s="35">
        <f t="shared" si="10"/>
        <v>0</v>
      </c>
    </row>
    <row r="88" spans="1:13" x14ac:dyDescent="0.25">
      <c r="A88" s="54"/>
      <c r="G88" s="11"/>
      <c r="H88" s="33">
        <v>83</v>
      </c>
      <c r="I88" s="34" t="str">
        <f t="shared" si="8"/>
        <v/>
      </c>
      <c r="J88" s="33">
        <f t="shared" si="11"/>
        <v>-6</v>
      </c>
      <c r="K88" s="33">
        <f t="shared" si="9"/>
        <v>-60</v>
      </c>
      <c r="L88" s="33"/>
      <c r="M88" s="35">
        <f t="shared" si="10"/>
        <v>0</v>
      </c>
    </row>
    <row r="89" spans="1:13" x14ac:dyDescent="0.25">
      <c r="A89" s="54"/>
      <c r="G89" s="11"/>
      <c r="H89" s="33">
        <v>84</v>
      </c>
      <c r="I89" s="34" t="str">
        <f t="shared" si="8"/>
        <v/>
      </c>
      <c r="J89" s="33">
        <f t="shared" si="11"/>
        <v>-6</v>
      </c>
      <c r="K89" s="33">
        <f t="shared" si="9"/>
        <v>-60</v>
      </c>
      <c r="L89" s="33"/>
      <c r="M89" s="35">
        <f t="shared" si="10"/>
        <v>0</v>
      </c>
    </row>
    <row r="90" spans="1:13" x14ac:dyDescent="0.25">
      <c r="A90" s="54"/>
      <c r="G90" s="11"/>
      <c r="H90" s="33">
        <v>85</v>
      </c>
      <c r="I90" s="34" t="str">
        <f t="shared" si="8"/>
        <v/>
      </c>
      <c r="J90" s="33">
        <f t="shared" si="11"/>
        <v>-6</v>
      </c>
      <c r="K90" s="33">
        <f t="shared" si="9"/>
        <v>-60</v>
      </c>
      <c r="L90" s="33"/>
      <c r="M90" s="35">
        <f t="shared" si="10"/>
        <v>0</v>
      </c>
    </row>
    <row r="91" spans="1:13" x14ac:dyDescent="0.25">
      <c r="A91" s="54"/>
      <c r="G91" s="11"/>
      <c r="H91" s="33">
        <v>86</v>
      </c>
      <c r="I91" s="34" t="str">
        <f t="shared" si="8"/>
        <v/>
      </c>
      <c r="J91" s="33">
        <f t="shared" si="11"/>
        <v>-6</v>
      </c>
      <c r="K91" s="33">
        <f t="shared" si="9"/>
        <v>-60</v>
      </c>
      <c r="L91" s="33"/>
      <c r="M91" s="35">
        <f t="shared" si="10"/>
        <v>0</v>
      </c>
    </row>
    <row r="92" spans="1:13" x14ac:dyDescent="0.25">
      <c r="A92" s="54"/>
      <c r="G92" s="11"/>
      <c r="H92" s="33">
        <v>87</v>
      </c>
      <c r="I92" s="34" t="str">
        <f t="shared" si="8"/>
        <v/>
      </c>
      <c r="J92" s="33">
        <f t="shared" si="11"/>
        <v>-6</v>
      </c>
      <c r="K92" s="33">
        <f t="shared" si="9"/>
        <v>-60</v>
      </c>
      <c r="L92" s="33"/>
      <c r="M92" s="35">
        <f t="shared" si="10"/>
        <v>0</v>
      </c>
    </row>
    <row r="93" spans="1:13" x14ac:dyDescent="0.25">
      <c r="A93" s="54"/>
      <c r="G93" s="11"/>
      <c r="H93" s="33">
        <v>88</v>
      </c>
      <c r="I93" s="34" t="str">
        <f t="shared" si="8"/>
        <v/>
      </c>
      <c r="J93" s="33">
        <f t="shared" si="11"/>
        <v>-6</v>
      </c>
      <c r="K93" s="33">
        <f t="shared" si="9"/>
        <v>-60</v>
      </c>
      <c r="L93" s="33"/>
      <c r="M93" s="35">
        <f t="shared" si="10"/>
        <v>0</v>
      </c>
    </row>
    <row r="94" spans="1:13" x14ac:dyDescent="0.25">
      <c r="A94" s="54"/>
      <c r="G94" s="11"/>
      <c r="H94" s="33">
        <v>89</v>
      </c>
      <c r="I94" s="34" t="str">
        <f t="shared" si="8"/>
        <v/>
      </c>
      <c r="J94" s="33">
        <f t="shared" si="11"/>
        <v>-6</v>
      </c>
      <c r="K94" s="33">
        <f t="shared" si="9"/>
        <v>-60</v>
      </c>
      <c r="L94" s="33"/>
      <c r="M94" s="35">
        <f t="shared" si="10"/>
        <v>0</v>
      </c>
    </row>
    <row r="95" spans="1:13" x14ac:dyDescent="0.25">
      <c r="A95" s="54"/>
      <c r="G95" s="11"/>
      <c r="H95" s="33">
        <v>90</v>
      </c>
      <c r="I95" s="34" t="str">
        <f t="shared" si="8"/>
        <v/>
      </c>
      <c r="J95" s="33">
        <f t="shared" si="11"/>
        <v>-6</v>
      </c>
      <c r="K95" s="33">
        <f t="shared" si="9"/>
        <v>-60</v>
      </c>
      <c r="L95" s="33"/>
      <c r="M95" s="35">
        <f t="shared" si="10"/>
        <v>0</v>
      </c>
    </row>
    <row r="96" spans="1:13" x14ac:dyDescent="0.25">
      <c r="A96" s="54"/>
      <c r="G96" s="11"/>
      <c r="H96" s="33">
        <v>91</v>
      </c>
      <c r="I96" s="34" t="str">
        <f t="shared" si="8"/>
        <v/>
      </c>
      <c r="J96" s="33">
        <f t="shared" si="11"/>
        <v>-6</v>
      </c>
      <c r="K96" s="33">
        <f t="shared" si="9"/>
        <v>-60</v>
      </c>
      <c r="L96" s="33"/>
      <c r="M96" s="35">
        <f t="shared" si="10"/>
        <v>0</v>
      </c>
    </row>
    <row r="97" spans="1:13" x14ac:dyDescent="0.25">
      <c r="A97" s="54"/>
      <c r="G97" s="11"/>
      <c r="H97" s="33">
        <v>92</v>
      </c>
      <c r="I97" s="34" t="str">
        <f t="shared" si="8"/>
        <v/>
      </c>
      <c r="J97" s="33">
        <f t="shared" si="11"/>
        <v>-6</v>
      </c>
      <c r="K97" s="33">
        <f t="shared" si="9"/>
        <v>-60</v>
      </c>
      <c r="L97" s="33"/>
      <c r="M97" s="35">
        <f t="shared" si="10"/>
        <v>0</v>
      </c>
    </row>
    <row r="98" spans="1:13" x14ac:dyDescent="0.25">
      <c r="A98" s="54"/>
      <c r="G98" s="11"/>
      <c r="H98" s="33">
        <v>93</v>
      </c>
      <c r="I98" s="34" t="str">
        <f t="shared" si="8"/>
        <v/>
      </c>
      <c r="J98" s="33">
        <f t="shared" si="11"/>
        <v>-6</v>
      </c>
      <c r="K98" s="33">
        <f t="shared" si="9"/>
        <v>-60</v>
      </c>
      <c r="L98" s="33"/>
      <c r="M98" s="35">
        <f t="shared" si="10"/>
        <v>0</v>
      </c>
    </row>
    <row r="99" spans="1:13" x14ac:dyDescent="0.25">
      <c r="A99" s="54"/>
      <c r="G99" s="11"/>
      <c r="H99" s="33">
        <v>94</v>
      </c>
      <c r="I99" s="34" t="str">
        <f t="shared" si="8"/>
        <v/>
      </c>
      <c r="J99" s="33">
        <f t="shared" si="11"/>
        <v>-6</v>
      </c>
      <c r="K99" s="33">
        <f t="shared" si="9"/>
        <v>-60</v>
      </c>
      <c r="L99" s="33"/>
      <c r="M99" s="35">
        <f t="shared" si="10"/>
        <v>0</v>
      </c>
    </row>
    <row r="100" spans="1:13" x14ac:dyDescent="0.25">
      <c r="A100" s="54"/>
      <c r="G100" s="11"/>
      <c r="H100" s="33">
        <v>95</v>
      </c>
      <c r="I100" s="34" t="str">
        <f t="shared" si="8"/>
        <v/>
      </c>
      <c r="J100" s="33">
        <f t="shared" si="11"/>
        <v>-6</v>
      </c>
      <c r="K100" s="33">
        <f t="shared" si="9"/>
        <v>-60</v>
      </c>
      <c r="L100" s="33"/>
      <c r="M100" s="35">
        <f t="shared" si="10"/>
        <v>0</v>
      </c>
    </row>
    <row r="101" spans="1:13" x14ac:dyDescent="0.25">
      <c r="A101" s="54"/>
      <c r="G101" s="11"/>
      <c r="H101" s="33">
        <v>96</v>
      </c>
      <c r="I101" s="34" t="str">
        <f t="shared" si="8"/>
        <v/>
      </c>
      <c r="J101" s="33">
        <f t="shared" si="11"/>
        <v>-6</v>
      </c>
      <c r="K101" s="33">
        <f t="shared" si="9"/>
        <v>-60</v>
      </c>
      <c r="L101" s="33"/>
      <c r="M101" s="35">
        <f t="shared" si="10"/>
        <v>0</v>
      </c>
    </row>
    <row r="102" spans="1:13" x14ac:dyDescent="0.25">
      <c r="A102" s="54"/>
      <c r="G102" s="11"/>
      <c r="H102" s="33">
        <v>97</v>
      </c>
      <c r="I102" s="34" t="str">
        <f t="shared" si="8"/>
        <v/>
      </c>
      <c r="J102" s="33">
        <f t="shared" si="11"/>
        <v>-6</v>
      </c>
      <c r="K102" s="33">
        <f t="shared" si="9"/>
        <v>-60</v>
      </c>
      <c r="L102" s="33"/>
      <c r="M102" s="35">
        <f t="shared" si="10"/>
        <v>0</v>
      </c>
    </row>
    <row r="103" spans="1:13" x14ac:dyDescent="0.25">
      <c r="A103" s="54"/>
      <c r="G103" s="11"/>
      <c r="H103" s="33">
        <v>98</v>
      </c>
      <c r="I103" s="34" t="str">
        <f t="shared" si="8"/>
        <v/>
      </c>
      <c r="J103" s="33">
        <f t="shared" si="11"/>
        <v>-6</v>
      </c>
      <c r="K103" s="33">
        <f t="shared" si="9"/>
        <v>-60</v>
      </c>
      <c r="L103" s="33"/>
      <c r="M103" s="35">
        <f t="shared" si="10"/>
        <v>0</v>
      </c>
    </row>
    <row r="104" spans="1:13" x14ac:dyDescent="0.25">
      <c r="A104" s="54"/>
      <c r="G104" s="11"/>
      <c r="H104" s="33">
        <v>99</v>
      </c>
      <c r="I104" s="34" t="str">
        <f t="shared" si="8"/>
        <v/>
      </c>
      <c r="J104" s="33">
        <f t="shared" si="11"/>
        <v>-6</v>
      </c>
      <c r="K104" s="33">
        <f t="shared" si="9"/>
        <v>-60</v>
      </c>
      <c r="L104" s="33"/>
      <c r="M104" s="35">
        <f t="shared" si="10"/>
        <v>0</v>
      </c>
    </row>
    <row r="105" spans="1:13" x14ac:dyDescent="0.25">
      <c r="A105" s="54"/>
      <c r="G105" s="11"/>
      <c r="H105" s="33">
        <v>100</v>
      </c>
      <c r="I105" s="34" t="str">
        <f t="shared" si="8"/>
        <v/>
      </c>
      <c r="J105" s="33">
        <f t="shared" si="11"/>
        <v>-6</v>
      </c>
      <c r="K105" s="33">
        <f t="shared" si="9"/>
        <v>-60</v>
      </c>
      <c r="L105" s="33"/>
      <c r="M105" s="35">
        <f t="shared" si="10"/>
        <v>0</v>
      </c>
    </row>
    <row r="106" spans="1:13" x14ac:dyDescent="0.25">
      <c r="A106" s="54"/>
      <c r="G106" s="11"/>
      <c r="H106" s="33">
        <v>101</v>
      </c>
      <c r="I106" s="34" t="str">
        <f t="shared" si="8"/>
        <v/>
      </c>
      <c r="J106" s="33">
        <f t="shared" si="11"/>
        <v>-6</v>
      </c>
      <c r="K106" s="33">
        <f t="shared" si="9"/>
        <v>-60</v>
      </c>
      <c r="L106" s="33"/>
      <c r="M106" s="35">
        <f t="shared" si="10"/>
        <v>0</v>
      </c>
    </row>
    <row r="107" spans="1:13" x14ac:dyDescent="0.25">
      <c r="A107" s="54"/>
      <c r="G107" s="11"/>
      <c r="H107" s="33">
        <v>102</v>
      </c>
      <c r="I107" s="34" t="str">
        <f t="shared" si="8"/>
        <v/>
      </c>
      <c r="J107" s="33">
        <f t="shared" si="11"/>
        <v>-6</v>
      </c>
      <c r="K107" s="33">
        <f t="shared" si="9"/>
        <v>-60</v>
      </c>
      <c r="L107" s="33"/>
      <c r="M107" s="35">
        <f t="shared" si="10"/>
        <v>0</v>
      </c>
    </row>
    <row r="108" spans="1:13" x14ac:dyDescent="0.25">
      <c r="A108" s="54"/>
      <c r="G108" s="11"/>
      <c r="H108" s="33">
        <v>103</v>
      </c>
      <c r="I108" s="34" t="str">
        <f t="shared" si="8"/>
        <v/>
      </c>
      <c r="J108" s="33">
        <f t="shared" si="11"/>
        <v>-6</v>
      </c>
      <c r="K108" s="33">
        <f t="shared" si="9"/>
        <v>-60</v>
      </c>
      <c r="L108" s="33"/>
      <c r="M108" s="35">
        <f t="shared" si="10"/>
        <v>0</v>
      </c>
    </row>
    <row r="109" spans="1:13" x14ac:dyDescent="0.25">
      <c r="A109" s="54"/>
      <c r="G109" s="11"/>
      <c r="H109" s="33">
        <v>104</v>
      </c>
      <c r="I109" s="34" t="str">
        <f t="shared" si="8"/>
        <v/>
      </c>
      <c r="J109" s="33">
        <f t="shared" si="11"/>
        <v>-6</v>
      </c>
      <c r="K109" s="33">
        <f t="shared" si="9"/>
        <v>-60</v>
      </c>
      <c r="L109" s="33"/>
      <c r="M109" s="35">
        <f t="shared" si="10"/>
        <v>0</v>
      </c>
    </row>
    <row r="110" spans="1:13" x14ac:dyDescent="0.25">
      <c r="A110" s="54"/>
      <c r="G110" s="11"/>
      <c r="H110" s="33">
        <v>105</v>
      </c>
      <c r="I110" s="34" t="str">
        <f t="shared" si="8"/>
        <v/>
      </c>
      <c r="J110" s="33">
        <f t="shared" si="11"/>
        <v>-6</v>
      </c>
      <c r="K110" s="33">
        <f t="shared" si="9"/>
        <v>-60</v>
      </c>
      <c r="L110" s="33"/>
      <c r="M110" s="35">
        <f t="shared" si="10"/>
        <v>0</v>
      </c>
    </row>
    <row r="111" spans="1:13" x14ac:dyDescent="0.25">
      <c r="A111" s="54"/>
      <c r="G111" s="11"/>
      <c r="H111" s="33">
        <v>106</v>
      </c>
      <c r="I111" s="34" t="str">
        <f t="shared" si="8"/>
        <v/>
      </c>
      <c r="J111" s="33">
        <f t="shared" si="11"/>
        <v>-6</v>
      </c>
      <c r="K111" s="33">
        <f t="shared" si="9"/>
        <v>-60</v>
      </c>
      <c r="L111" s="33"/>
      <c r="M111" s="35">
        <f t="shared" si="10"/>
        <v>0</v>
      </c>
    </row>
    <row r="112" spans="1:13" x14ac:dyDescent="0.25">
      <c r="A112" s="54"/>
      <c r="G112" s="11"/>
      <c r="H112" s="33">
        <v>107</v>
      </c>
      <c r="I112" s="34" t="str">
        <f t="shared" si="8"/>
        <v/>
      </c>
      <c r="J112" s="33">
        <f t="shared" si="11"/>
        <v>-6</v>
      </c>
      <c r="K112" s="33">
        <f t="shared" si="9"/>
        <v>-60</v>
      </c>
      <c r="L112" s="33"/>
      <c r="M112" s="35">
        <f t="shared" si="10"/>
        <v>0</v>
      </c>
    </row>
    <row r="113" spans="1:13" x14ac:dyDescent="0.25">
      <c r="A113" s="54"/>
      <c r="G113" s="11"/>
      <c r="H113" s="33">
        <v>108</v>
      </c>
      <c r="I113" s="34" t="str">
        <f t="shared" si="8"/>
        <v/>
      </c>
      <c r="J113" s="33">
        <f t="shared" si="11"/>
        <v>-6</v>
      </c>
      <c r="K113" s="33">
        <f t="shared" si="9"/>
        <v>-60</v>
      </c>
      <c r="L113" s="33"/>
      <c r="M113" s="35">
        <f t="shared" si="10"/>
        <v>0</v>
      </c>
    </row>
    <row r="114" spans="1:13" x14ac:dyDescent="0.25">
      <c r="A114" s="54"/>
      <c r="G114" s="11"/>
      <c r="H114" s="33">
        <v>109</v>
      </c>
      <c r="I114" s="34" t="str">
        <f t="shared" si="8"/>
        <v/>
      </c>
      <c r="J114" s="33">
        <f t="shared" si="11"/>
        <v>-6</v>
      </c>
      <c r="K114" s="33">
        <f t="shared" si="9"/>
        <v>-60</v>
      </c>
      <c r="L114" s="33"/>
      <c r="M114" s="35">
        <f t="shared" si="10"/>
        <v>0</v>
      </c>
    </row>
    <row r="115" spans="1:13" x14ac:dyDescent="0.25">
      <c r="A115" s="54"/>
      <c r="G115" s="11"/>
      <c r="H115" s="33">
        <v>110</v>
      </c>
      <c r="I115" s="34" t="str">
        <f t="shared" si="8"/>
        <v/>
      </c>
      <c r="J115" s="33">
        <f t="shared" si="11"/>
        <v>-6</v>
      </c>
      <c r="K115" s="33">
        <f t="shared" si="9"/>
        <v>-60</v>
      </c>
      <c r="L115" s="33"/>
      <c r="M115" s="35">
        <f t="shared" si="10"/>
        <v>0</v>
      </c>
    </row>
    <row r="116" spans="1:13" x14ac:dyDescent="0.25">
      <c r="A116" s="54"/>
      <c r="G116" s="11"/>
      <c r="H116" s="33">
        <v>111</v>
      </c>
      <c r="I116" s="34" t="str">
        <f t="shared" si="8"/>
        <v/>
      </c>
      <c r="J116" s="33">
        <f t="shared" si="11"/>
        <v>-6</v>
      </c>
      <c r="K116" s="33">
        <f t="shared" si="9"/>
        <v>-60</v>
      </c>
      <c r="L116" s="33"/>
      <c r="M116" s="35">
        <f t="shared" si="10"/>
        <v>0</v>
      </c>
    </row>
    <row r="117" spans="1:13" x14ac:dyDescent="0.25">
      <c r="A117" s="54"/>
      <c r="G117" s="11"/>
      <c r="H117" s="33">
        <v>112</v>
      </c>
      <c r="I117" s="34" t="str">
        <f t="shared" si="8"/>
        <v/>
      </c>
      <c r="J117" s="33">
        <f t="shared" si="11"/>
        <v>-6</v>
      </c>
      <c r="K117" s="33">
        <f t="shared" si="9"/>
        <v>-60</v>
      </c>
      <c r="L117" s="33"/>
      <c r="M117" s="35">
        <f t="shared" si="10"/>
        <v>0</v>
      </c>
    </row>
    <row r="118" spans="1:13" x14ac:dyDescent="0.25">
      <c r="A118" s="54"/>
      <c r="G118" s="11"/>
      <c r="H118" s="33">
        <v>113</v>
      </c>
      <c r="I118" s="34" t="str">
        <f t="shared" si="8"/>
        <v/>
      </c>
      <c r="J118" s="33">
        <f t="shared" si="11"/>
        <v>-6</v>
      </c>
      <c r="K118" s="33">
        <f t="shared" si="9"/>
        <v>-60</v>
      </c>
      <c r="L118" s="33"/>
      <c r="M118" s="35">
        <f t="shared" si="10"/>
        <v>0</v>
      </c>
    </row>
    <row r="119" spans="1:13" x14ac:dyDescent="0.25">
      <c r="A119" s="54"/>
      <c r="G119" s="11"/>
      <c r="H119" s="33">
        <v>114</v>
      </c>
      <c r="I119" s="34" t="str">
        <f t="shared" si="8"/>
        <v/>
      </c>
      <c r="J119" s="33">
        <f t="shared" si="11"/>
        <v>-6</v>
      </c>
      <c r="K119" s="33">
        <f t="shared" si="9"/>
        <v>-60</v>
      </c>
      <c r="L119" s="33"/>
      <c r="M119" s="35">
        <f t="shared" si="10"/>
        <v>0</v>
      </c>
    </row>
    <row r="120" spans="1:13" x14ac:dyDescent="0.25">
      <c r="A120" s="54"/>
      <c r="G120" s="11"/>
      <c r="H120" s="33">
        <v>115</v>
      </c>
      <c r="I120" s="34" t="str">
        <f t="shared" si="8"/>
        <v/>
      </c>
      <c r="J120" s="33">
        <f t="shared" si="11"/>
        <v>-6</v>
      </c>
      <c r="K120" s="33">
        <f t="shared" si="9"/>
        <v>-60</v>
      </c>
      <c r="L120" s="33"/>
      <c r="M120" s="35">
        <f t="shared" si="10"/>
        <v>0</v>
      </c>
    </row>
    <row r="121" spans="1:13" x14ac:dyDescent="0.25">
      <c r="A121" s="54"/>
      <c r="G121" s="11"/>
      <c r="H121" s="33">
        <v>116</v>
      </c>
      <c r="I121" s="34" t="str">
        <f t="shared" si="8"/>
        <v/>
      </c>
      <c r="J121" s="33">
        <f t="shared" si="11"/>
        <v>-6</v>
      </c>
      <c r="K121" s="33">
        <f t="shared" si="9"/>
        <v>-60</v>
      </c>
      <c r="L121" s="33"/>
      <c r="M121" s="35">
        <f t="shared" si="10"/>
        <v>0</v>
      </c>
    </row>
    <row r="122" spans="1:13" x14ac:dyDescent="0.25">
      <c r="A122" s="54"/>
      <c r="G122" s="11"/>
      <c r="H122" s="33">
        <v>117</v>
      </c>
      <c r="I122" s="34" t="str">
        <f t="shared" si="8"/>
        <v/>
      </c>
      <c r="J122" s="33">
        <f t="shared" si="11"/>
        <v>-6</v>
      </c>
      <c r="K122" s="33">
        <f t="shared" si="9"/>
        <v>-60</v>
      </c>
      <c r="L122" s="33"/>
      <c r="M122" s="35">
        <f t="shared" si="10"/>
        <v>0</v>
      </c>
    </row>
    <row r="123" spans="1:13" x14ac:dyDescent="0.25">
      <c r="A123" s="54"/>
      <c r="G123" s="11"/>
      <c r="H123" s="33">
        <v>118</v>
      </c>
      <c r="I123" s="34" t="str">
        <f t="shared" si="8"/>
        <v/>
      </c>
      <c r="J123" s="33">
        <f t="shared" si="11"/>
        <v>-6</v>
      </c>
      <c r="K123" s="33">
        <f t="shared" si="9"/>
        <v>-60</v>
      </c>
      <c r="L123" s="33"/>
      <c r="M123" s="35">
        <f t="shared" si="10"/>
        <v>0</v>
      </c>
    </row>
    <row r="124" spans="1:13" x14ac:dyDescent="0.25">
      <c r="A124" s="54"/>
      <c r="G124" s="11"/>
      <c r="H124" s="33">
        <v>119</v>
      </c>
      <c r="I124" s="34" t="str">
        <f t="shared" si="8"/>
        <v/>
      </c>
      <c r="J124" s="33">
        <f t="shared" si="11"/>
        <v>-6</v>
      </c>
      <c r="K124" s="33">
        <f t="shared" si="9"/>
        <v>-60</v>
      </c>
      <c r="L124" s="33"/>
      <c r="M124" s="35">
        <f t="shared" si="10"/>
        <v>0</v>
      </c>
    </row>
    <row r="125" spans="1:13" x14ac:dyDescent="0.25">
      <c r="A125" s="54"/>
      <c r="G125" s="11"/>
      <c r="H125" s="33">
        <v>120</v>
      </c>
      <c r="I125" s="34" t="str">
        <f t="shared" si="8"/>
        <v/>
      </c>
      <c r="J125" s="33">
        <f t="shared" si="11"/>
        <v>-6</v>
      </c>
      <c r="K125" s="33">
        <f t="shared" si="9"/>
        <v>-60</v>
      </c>
      <c r="L125" s="33"/>
      <c r="M125" s="35">
        <f t="shared" si="10"/>
        <v>0</v>
      </c>
    </row>
    <row r="126" spans="1:13" x14ac:dyDescent="0.25">
      <c r="A126" s="54"/>
      <c r="G126" s="11"/>
      <c r="H126" s="33">
        <v>121</v>
      </c>
      <c r="I126" s="34" t="str">
        <f t="shared" si="8"/>
        <v/>
      </c>
      <c r="J126" s="33">
        <f t="shared" si="11"/>
        <v>-6</v>
      </c>
      <c r="K126" s="33">
        <f t="shared" si="9"/>
        <v>-60</v>
      </c>
      <c r="L126" s="33"/>
      <c r="M126" s="35">
        <f t="shared" si="10"/>
        <v>0</v>
      </c>
    </row>
    <row r="127" spans="1:13" x14ac:dyDescent="0.25">
      <c r="A127" s="54"/>
      <c r="G127" s="11"/>
      <c r="H127" s="33">
        <v>122</v>
      </c>
      <c r="I127" s="34" t="str">
        <f t="shared" si="8"/>
        <v/>
      </c>
      <c r="J127" s="33">
        <f t="shared" si="11"/>
        <v>-6</v>
      </c>
      <c r="K127" s="33">
        <f t="shared" si="9"/>
        <v>-60</v>
      </c>
      <c r="L127" s="33"/>
      <c r="M127" s="35">
        <f t="shared" si="10"/>
        <v>0</v>
      </c>
    </row>
    <row r="128" spans="1:13" x14ac:dyDescent="0.25">
      <c r="A128" s="54"/>
      <c r="G128" s="11"/>
      <c r="H128" s="33">
        <v>123</v>
      </c>
      <c r="I128" s="34" t="str">
        <f t="shared" si="8"/>
        <v/>
      </c>
      <c r="J128" s="33">
        <f t="shared" si="11"/>
        <v>-6</v>
      </c>
      <c r="K128" s="33">
        <f t="shared" si="9"/>
        <v>-60</v>
      </c>
      <c r="L128" s="33"/>
      <c r="M128" s="35">
        <f t="shared" si="10"/>
        <v>0</v>
      </c>
    </row>
    <row r="129" spans="1:13" x14ac:dyDescent="0.25">
      <c r="A129" s="54"/>
      <c r="G129" s="11"/>
      <c r="H129" s="33">
        <v>124</v>
      </c>
      <c r="I129" s="34" t="str">
        <f t="shared" si="8"/>
        <v/>
      </c>
      <c r="J129" s="33">
        <f t="shared" si="11"/>
        <v>-6</v>
      </c>
      <c r="K129" s="33">
        <f t="shared" si="9"/>
        <v>-60</v>
      </c>
      <c r="L129" s="33"/>
      <c r="M129" s="35">
        <f t="shared" si="10"/>
        <v>0</v>
      </c>
    </row>
    <row r="130" spans="1:13" x14ac:dyDescent="0.25">
      <c r="A130" s="54"/>
      <c r="G130" s="11"/>
      <c r="H130" s="33">
        <v>125</v>
      </c>
      <c r="I130" s="34" t="str">
        <f t="shared" si="8"/>
        <v/>
      </c>
      <c r="J130" s="33">
        <f t="shared" si="11"/>
        <v>-6</v>
      </c>
      <c r="K130" s="33">
        <f t="shared" si="9"/>
        <v>-60</v>
      </c>
      <c r="L130" s="33"/>
      <c r="M130" s="35">
        <f t="shared" si="10"/>
        <v>0</v>
      </c>
    </row>
    <row r="131" spans="1:13" x14ac:dyDescent="0.25">
      <c r="A131" s="54"/>
      <c r="G131" s="11"/>
      <c r="H131" s="33">
        <v>126</v>
      </c>
      <c r="I131" s="34" t="str">
        <f t="shared" si="8"/>
        <v/>
      </c>
      <c r="J131" s="33">
        <f t="shared" si="11"/>
        <v>-6</v>
      </c>
      <c r="K131" s="33">
        <f t="shared" si="9"/>
        <v>-60</v>
      </c>
      <c r="L131" s="33"/>
      <c r="M131" s="35">
        <f t="shared" si="10"/>
        <v>0</v>
      </c>
    </row>
    <row r="132" spans="1:13" x14ac:dyDescent="0.25">
      <c r="A132" s="54"/>
      <c r="G132" s="11"/>
      <c r="H132" s="33">
        <v>127</v>
      </c>
      <c r="I132" s="34" t="str">
        <f t="shared" si="8"/>
        <v/>
      </c>
      <c r="J132" s="33">
        <f t="shared" si="11"/>
        <v>-6</v>
      </c>
      <c r="K132" s="33">
        <f t="shared" si="9"/>
        <v>-60</v>
      </c>
      <c r="L132" s="33"/>
      <c r="M132" s="35">
        <f t="shared" si="10"/>
        <v>0</v>
      </c>
    </row>
    <row r="133" spans="1:13" x14ac:dyDescent="0.25">
      <c r="A133" s="54"/>
      <c r="G133" s="11"/>
      <c r="H133" s="33">
        <v>128</v>
      </c>
      <c r="I133" s="34" t="str">
        <f t="shared" si="8"/>
        <v/>
      </c>
      <c r="J133" s="33">
        <f t="shared" si="11"/>
        <v>-6</v>
      </c>
      <c r="K133" s="33">
        <f t="shared" si="9"/>
        <v>-60</v>
      </c>
      <c r="L133" s="33"/>
      <c r="M133" s="35">
        <f t="shared" si="10"/>
        <v>0</v>
      </c>
    </row>
    <row r="134" spans="1:13" x14ac:dyDescent="0.25">
      <c r="A134" s="54"/>
      <c r="G134" s="11"/>
      <c r="H134" s="33">
        <v>129</v>
      </c>
      <c r="I134" s="34" t="str">
        <f t="shared" ref="I134:I197" si="12">IF(H134&lt;$H$2+1,($I$2-($I$2-1)*(LOG(H134)/LOG($H$2))),"")</f>
        <v/>
      </c>
      <c r="J134" s="33">
        <f t="shared" si="11"/>
        <v>-7</v>
      </c>
      <c r="K134" s="33">
        <f t="shared" ref="K134:K197" si="13">J134*$J$2</f>
        <v>-70</v>
      </c>
      <c r="L134" s="33"/>
      <c r="M134" s="35">
        <f t="shared" ref="M134:M197" si="14">IF(I134&lt;&gt;"",K134+I134+L134,0)</f>
        <v>0</v>
      </c>
    </row>
    <row r="135" spans="1:13" x14ac:dyDescent="0.25">
      <c r="A135" s="54"/>
      <c r="G135" s="11"/>
      <c r="H135" s="33">
        <v>130</v>
      </c>
      <c r="I135" s="34" t="str">
        <f t="shared" si="12"/>
        <v/>
      </c>
      <c r="J135" s="33">
        <f t="shared" ref="J135:J198" si="15">INT(LOG($H$2,2))-ROUNDUP(LOG(H135,2),0)+IF(OR($H$2=1,$H$2=2,$H$2=4,$H$2=8,$H$2=16,$H$2=32,$H$2=64,$H$2=128,$H$2=256),0,1)</f>
        <v>-7</v>
      </c>
      <c r="K135" s="33">
        <f t="shared" si="13"/>
        <v>-70</v>
      </c>
      <c r="L135" s="33"/>
      <c r="M135" s="35">
        <f t="shared" si="14"/>
        <v>0</v>
      </c>
    </row>
    <row r="136" spans="1:13" x14ac:dyDescent="0.25">
      <c r="A136" s="54"/>
      <c r="G136" s="11"/>
      <c r="H136" s="33">
        <v>131</v>
      </c>
      <c r="I136" s="34" t="str">
        <f t="shared" si="12"/>
        <v/>
      </c>
      <c r="J136" s="33">
        <f t="shared" si="15"/>
        <v>-7</v>
      </c>
      <c r="K136" s="33">
        <f t="shared" si="13"/>
        <v>-70</v>
      </c>
      <c r="L136" s="33"/>
      <c r="M136" s="35">
        <f t="shared" si="14"/>
        <v>0</v>
      </c>
    </row>
    <row r="137" spans="1:13" x14ac:dyDescent="0.25">
      <c r="A137" s="54"/>
      <c r="G137" s="11"/>
      <c r="H137" s="33">
        <v>132</v>
      </c>
      <c r="I137" s="34" t="str">
        <f t="shared" si="12"/>
        <v/>
      </c>
      <c r="J137" s="33">
        <f t="shared" si="15"/>
        <v>-7</v>
      </c>
      <c r="K137" s="33">
        <f t="shared" si="13"/>
        <v>-70</v>
      </c>
      <c r="L137" s="33"/>
      <c r="M137" s="35">
        <f t="shared" si="14"/>
        <v>0</v>
      </c>
    </row>
    <row r="138" spans="1:13" x14ac:dyDescent="0.25">
      <c r="A138" s="54"/>
      <c r="G138" s="11"/>
      <c r="H138" s="33">
        <v>133</v>
      </c>
      <c r="I138" s="34" t="str">
        <f t="shared" si="12"/>
        <v/>
      </c>
      <c r="J138" s="33">
        <f t="shared" si="15"/>
        <v>-7</v>
      </c>
      <c r="K138" s="33">
        <f t="shared" si="13"/>
        <v>-70</v>
      </c>
      <c r="L138" s="33"/>
      <c r="M138" s="35">
        <f t="shared" si="14"/>
        <v>0</v>
      </c>
    </row>
    <row r="139" spans="1:13" x14ac:dyDescent="0.25">
      <c r="A139" s="54"/>
      <c r="G139" s="11"/>
      <c r="H139" s="33">
        <v>134</v>
      </c>
      <c r="I139" s="34" t="str">
        <f t="shared" si="12"/>
        <v/>
      </c>
      <c r="J139" s="33">
        <f t="shared" si="15"/>
        <v>-7</v>
      </c>
      <c r="K139" s="33">
        <f t="shared" si="13"/>
        <v>-70</v>
      </c>
      <c r="L139" s="33"/>
      <c r="M139" s="35">
        <f t="shared" si="14"/>
        <v>0</v>
      </c>
    </row>
    <row r="140" spans="1:13" x14ac:dyDescent="0.25">
      <c r="A140" s="54"/>
      <c r="G140" s="11"/>
      <c r="H140" s="33">
        <v>135</v>
      </c>
      <c r="I140" s="34" t="str">
        <f t="shared" si="12"/>
        <v/>
      </c>
      <c r="J140" s="33">
        <f t="shared" si="15"/>
        <v>-7</v>
      </c>
      <c r="K140" s="33">
        <f t="shared" si="13"/>
        <v>-70</v>
      </c>
      <c r="L140" s="33"/>
      <c r="M140" s="35">
        <f t="shared" si="14"/>
        <v>0</v>
      </c>
    </row>
    <row r="141" spans="1:13" x14ac:dyDescent="0.25">
      <c r="A141" s="54"/>
      <c r="G141" s="11"/>
      <c r="H141" s="33">
        <v>136</v>
      </c>
      <c r="I141" s="34" t="str">
        <f t="shared" si="12"/>
        <v/>
      </c>
      <c r="J141" s="33">
        <f t="shared" si="15"/>
        <v>-7</v>
      </c>
      <c r="K141" s="33">
        <f t="shared" si="13"/>
        <v>-70</v>
      </c>
      <c r="L141" s="33"/>
      <c r="M141" s="35">
        <f t="shared" si="14"/>
        <v>0</v>
      </c>
    </row>
    <row r="142" spans="1:13" x14ac:dyDescent="0.25">
      <c r="A142" s="54"/>
      <c r="G142" s="11"/>
      <c r="H142" s="33">
        <v>137</v>
      </c>
      <c r="I142" s="34" t="str">
        <f t="shared" si="12"/>
        <v/>
      </c>
      <c r="J142" s="33">
        <f t="shared" si="15"/>
        <v>-7</v>
      </c>
      <c r="K142" s="33">
        <f t="shared" si="13"/>
        <v>-70</v>
      </c>
      <c r="L142" s="33"/>
      <c r="M142" s="35">
        <f t="shared" si="14"/>
        <v>0</v>
      </c>
    </row>
    <row r="143" spans="1:13" x14ac:dyDescent="0.25">
      <c r="A143" s="54"/>
      <c r="G143" s="11"/>
      <c r="H143" s="33">
        <v>138</v>
      </c>
      <c r="I143" s="34" t="str">
        <f t="shared" si="12"/>
        <v/>
      </c>
      <c r="J143" s="33">
        <f t="shared" si="15"/>
        <v>-7</v>
      </c>
      <c r="K143" s="33">
        <f t="shared" si="13"/>
        <v>-70</v>
      </c>
      <c r="L143" s="33"/>
      <c r="M143" s="35">
        <f t="shared" si="14"/>
        <v>0</v>
      </c>
    </row>
    <row r="144" spans="1:13" x14ac:dyDescent="0.25">
      <c r="A144" s="54"/>
      <c r="G144" s="11"/>
      <c r="H144" s="33">
        <v>139</v>
      </c>
      <c r="I144" s="34" t="str">
        <f t="shared" si="12"/>
        <v/>
      </c>
      <c r="J144" s="33">
        <f t="shared" si="15"/>
        <v>-7</v>
      </c>
      <c r="K144" s="33">
        <f t="shared" si="13"/>
        <v>-70</v>
      </c>
      <c r="L144" s="33"/>
      <c r="M144" s="35">
        <f t="shared" si="14"/>
        <v>0</v>
      </c>
    </row>
    <row r="145" spans="1:13" x14ac:dyDescent="0.25">
      <c r="A145" s="54"/>
      <c r="G145" s="11"/>
      <c r="H145" s="33">
        <v>140</v>
      </c>
      <c r="I145" s="34" t="str">
        <f t="shared" si="12"/>
        <v/>
      </c>
      <c r="J145" s="33">
        <f t="shared" si="15"/>
        <v>-7</v>
      </c>
      <c r="K145" s="33">
        <f t="shared" si="13"/>
        <v>-70</v>
      </c>
      <c r="L145" s="33"/>
      <c r="M145" s="35">
        <f t="shared" si="14"/>
        <v>0</v>
      </c>
    </row>
    <row r="146" spans="1:13" x14ac:dyDescent="0.25">
      <c r="A146" s="54"/>
      <c r="G146" s="11"/>
      <c r="H146" s="33">
        <v>141</v>
      </c>
      <c r="I146" s="34" t="str">
        <f t="shared" si="12"/>
        <v/>
      </c>
      <c r="J146" s="33">
        <f t="shared" si="15"/>
        <v>-7</v>
      </c>
      <c r="K146" s="33">
        <f t="shared" si="13"/>
        <v>-70</v>
      </c>
      <c r="L146" s="33"/>
      <c r="M146" s="35">
        <f t="shared" si="14"/>
        <v>0</v>
      </c>
    </row>
    <row r="147" spans="1:13" x14ac:dyDescent="0.25">
      <c r="A147" s="54"/>
      <c r="G147" s="11"/>
      <c r="H147" s="33">
        <v>142</v>
      </c>
      <c r="I147" s="34" t="str">
        <f t="shared" si="12"/>
        <v/>
      </c>
      <c r="J147" s="33">
        <f t="shared" si="15"/>
        <v>-7</v>
      </c>
      <c r="K147" s="33">
        <f t="shared" si="13"/>
        <v>-70</v>
      </c>
      <c r="L147" s="33"/>
      <c r="M147" s="35">
        <f t="shared" si="14"/>
        <v>0</v>
      </c>
    </row>
    <row r="148" spans="1:13" x14ac:dyDescent="0.25">
      <c r="A148" s="54"/>
      <c r="G148" s="11"/>
      <c r="H148" s="33">
        <v>143</v>
      </c>
      <c r="I148" s="34" t="str">
        <f t="shared" si="12"/>
        <v/>
      </c>
      <c r="J148" s="33">
        <f t="shared" si="15"/>
        <v>-7</v>
      </c>
      <c r="K148" s="33">
        <f t="shared" si="13"/>
        <v>-70</v>
      </c>
      <c r="L148" s="33"/>
      <c r="M148" s="35">
        <f t="shared" si="14"/>
        <v>0</v>
      </c>
    </row>
    <row r="149" spans="1:13" x14ac:dyDescent="0.25">
      <c r="A149" s="54"/>
      <c r="G149" s="11"/>
      <c r="H149" s="33">
        <v>144</v>
      </c>
      <c r="I149" s="34" t="str">
        <f t="shared" si="12"/>
        <v/>
      </c>
      <c r="J149" s="33">
        <f t="shared" si="15"/>
        <v>-7</v>
      </c>
      <c r="K149" s="33">
        <f t="shared" si="13"/>
        <v>-70</v>
      </c>
      <c r="L149" s="33"/>
      <c r="M149" s="35">
        <f t="shared" si="14"/>
        <v>0</v>
      </c>
    </row>
    <row r="150" spans="1:13" x14ac:dyDescent="0.25">
      <c r="A150" s="54"/>
      <c r="G150" s="11"/>
      <c r="H150" s="33">
        <v>145</v>
      </c>
      <c r="I150" s="34" t="str">
        <f t="shared" si="12"/>
        <v/>
      </c>
      <c r="J150" s="33">
        <f t="shared" si="15"/>
        <v>-7</v>
      </c>
      <c r="K150" s="33">
        <f t="shared" si="13"/>
        <v>-70</v>
      </c>
      <c r="L150" s="33"/>
      <c r="M150" s="35">
        <f t="shared" si="14"/>
        <v>0</v>
      </c>
    </row>
    <row r="151" spans="1:13" x14ac:dyDescent="0.25">
      <c r="A151" s="54"/>
      <c r="G151" s="11"/>
      <c r="H151" s="33">
        <v>146</v>
      </c>
      <c r="I151" s="34" t="str">
        <f t="shared" si="12"/>
        <v/>
      </c>
      <c r="J151" s="33">
        <f t="shared" si="15"/>
        <v>-7</v>
      </c>
      <c r="K151" s="33">
        <f t="shared" si="13"/>
        <v>-70</v>
      </c>
      <c r="L151" s="33"/>
      <c r="M151" s="35">
        <f t="shared" si="14"/>
        <v>0</v>
      </c>
    </row>
    <row r="152" spans="1:13" x14ac:dyDescent="0.25">
      <c r="A152" s="54"/>
      <c r="G152" s="11"/>
      <c r="H152" s="33">
        <v>147</v>
      </c>
      <c r="I152" s="34" t="str">
        <f t="shared" si="12"/>
        <v/>
      </c>
      <c r="J152" s="33">
        <f t="shared" si="15"/>
        <v>-7</v>
      </c>
      <c r="K152" s="33">
        <f t="shared" si="13"/>
        <v>-70</v>
      </c>
      <c r="L152" s="33"/>
      <c r="M152" s="35">
        <f t="shared" si="14"/>
        <v>0</v>
      </c>
    </row>
    <row r="153" spans="1:13" x14ac:dyDescent="0.25">
      <c r="A153" s="54"/>
      <c r="G153" s="11"/>
      <c r="H153" s="33">
        <v>148</v>
      </c>
      <c r="I153" s="34" t="str">
        <f t="shared" si="12"/>
        <v/>
      </c>
      <c r="J153" s="33">
        <f t="shared" si="15"/>
        <v>-7</v>
      </c>
      <c r="K153" s="33">
        <f t="shared" si="13"/>
        <v>-70</v>
      </c>
      <c r="L153" s="33"/>
      <c r="M153" s="35">
        <f t="shared" si="14"/>
        <v>0</v>
      </c>
    </row>
    <row r="154" spans="1:13" x14ac:dyDescent="0.25">
      <c r="A154" s="54"/>
      <c r="G154" s="11"/>
      <c r="H154" s="33">
        <v>149</v>
      </c>
      <c r="I154" s="34" t="str">
        <f t="shared" si="12"/>
        <v/>
      </c>
      <c r="J154" s="33">
        <f t="shared" si="15"/>
        <v>-7</v>
      </c>
      <c r="K154" s="33">
        <f t="shared" si="13"/>
        <v>-70</v>
      </c>
      <c r="L154" s="33"/>
      <c r="M154" s="35">
        <f t="shared" si="14"/>
        <v>0</v>
      </c>
    </row>
    <row r="155" spans="1:13" x14ac:dyDescent="0.25">
      <c r="A155" s="54"/>
      <c r="G155" s="11"/>
      <c r="H155" s="33">
        <v>150</v>
      </c>
      <c r="I155" s="34" t="str">
        <f t="shared" si="12"/>
        <v/>
      </c>
      <c r="J155" s="33">
        <f t="shared" si="15"/>
        <v>-7</v>
      </c>
      <c r="K155" s="33">
        <f t="shared" si="13"/>
        <v>-70</v>
      </c>
      <c r="L155" s="33"/>
      <c r="M155" s="35">
        <f t="shared" si="14"/>
        <v>0</v>
      </c>
    </row>
    <row r="156" spans="1:13" x14ac:dyDescent="0.25">
      <c r="A156" s="54"/>
      <c r="G156" s="11"/>
      <c r="H156" s="33">
        <v>151</v>
      </c>
      <c r="I156" s="34" t="str">
        <f t="shared" si="12"/>
        <v/>
      </c>
      <c r="J156" s="33">
        <f t="shared" si="15"/>
        <v>-7</v>
      </c>
      <c r="K156" s="33">
        <f t="shared" si="13"/>
        <v>-70</v>
      </c>
      <c r="L156" s="33"/>
      <c r="M156" s="35">
        <f t="shared" si="14"/>
        <v>0</v>
      </c>
    </row>
    <row r="157" spans="1:13" x14ac:dyDescent="0.25">
      <c r="A157" s="54"/>
      <c r="G157" s="11"/>
      <c r="H157" s="33">
        <v>152</v>
      </c>
      <c r="I157" s="34" t="str">
        <f t="shared" si="12"/>
        <v/>
      </c>
      <c r="J157" s="33">
        <f t="shared" si="15"/>
        <v>-7</v>
      </c>
      <c r="K157" s="33">
        <f t="shared" si="13"/>
        <v>-70</v>
      </c>
      <c r="L157" s="33"/>
      <c r="M157" s="35">
        <f t="shared" si="14"/>
        <v>0</v>
      </c>
    </row>
    <row r="158" spans="1:13" x14ac:dyDescent="0.25">
      <c r="A158" s="54"/>
      <c r="G158" s="11"/>
      <c r="H158" s="33">
        <v>153</v>
      </c>
      <c r="I158" s="34" t="str">
        <f t="shared" si="12"/>
        <v/>
      </c>
      <c r="J158" s="33">
        <f t="shared" si="15"/>
        <v>-7</v>
      </c>
      <c r="K158" s="33">
        <f t="shared" si="13"/>
        <v>-70</v>
      </c>
      <c r="L158" s="33"/>
      <c r="M158" s="35">
        <f t="shared" si="14"/>
        <v>0</v>
      </c>
    </row>
    <row r="159" spans="1:13" x14ac:dyDescent="0.25">
      <c r="A159" s="54"/>
      <c r="G159" s="11"/>
      <c r="H159" s="33">
        <v>154</v>
      </c>
      <c r="I159" s="34" t="str">
        <f t="shared" si="12"/>
        <v/>
      </c>
      <c r="J159" s="33">
        <f t="shared" si="15"/>
        <v>-7</v>
      </c>
      <c r="K159" s="33">
        <f t="shared" si="13"/>
        <v>-70</v>
      </c>
      <c r="L159" s="33"/>
      <c r="M159" s="35">
        <f t="shared" si="14"/>
        <v>0</v>
      </c>
    </row>
    <row r="160" spans="1:13" x14ac:dyDescent="0.25">
      <c r="A160" s="54"/>
      <c r="G160" s="11"/>
      <c r="H160" s="33">
        <v>155</v>
      </c>
      <c r="I160" s="34" t="str">
        <f t="shared" si="12"/>
        <v/>
      </c>
      <c r="J160" s="33">
        <f t="shared" si="15"/>
        <v>-7</v>
      </c>
      <c r="K160" s="33">
        <f t="shared" si="13"/>
        <v>-70</v>
      </c>
      <c r="L160" s="33"/>
      <c r="M160" s="35">
        <f t="shared" si="14"/>
        <v>0</v>
      </c>
    </row>
    <row r="161" spans="1:13" x14ac:dyDescent="0.25">
      <c r="A161" s="54"/>
      <c r="G161" s="11"/>
      <c r="H161" s="33">
        <v>156</v>
      </c>
      <c r="I161" s="34" t="str">
        <f t="shared" si="12"/>
        <v/>
      </c>
      <c r="J161" s="33">
        <f t="shared" si="15"/>
        <v>-7</v>
      </c>
      <c r="K161" s="33">
        <f t="shared" si="13"/>
        <v>-70</v>
      </c>
      <c r="L161" s="33"/>
      <c r="M161" s="35">
        <f t="shared" si="14"/>
        <v>0</v>
      </c>
    </row>
    <row r="162" spans="1:13" x14ac:dyDescent="0.25">
      <c r="A162" s="54"/>
      <c r="G162" s="11"/>
      <c r="H162" s="33">
        <v>157</v>
      </c>
      <c r="I162" s="34" t="str">
        <f t="shared" si="12"/>
        <v/>
      </c>
      <c r="J162" s="33">
        <f t="shared" si="15"/>
        <v>-7</v>
      </c>
      <c r="K162" s="33">
        <f t="shared" si="13"/>
        <v>-70</v>
      </c>
      <c r="L162" s="33"/>
      <c r="M162" s="35">
        <f t="shared" si="14"/>
        <v>0</v>
      </c>
    </row>
    <row r="163" spans="1:13" x14ac:dyDescent="0.25">
      <c r="A163" s="54"/>
      <c r="G163" s="11"/>
      <c r="H163" s="33">
        <v>158</v>
      </c>
      <c r="I163" s="34" t="str">
        <f t="shared" si="12"/>
        <v/>
      </c>
      <c r="J163" s="33">
        <f t="shared" si="15"/>
        <v>-7</v>
      </c>
      <c r="K163" s="33">
        <f t="shared" si="13"/>
        <v>-70</v>
      </c>
      <c r="L163" s="33"/>
      <c r="M163" s="35">
        <f t="shared" si="14"/>
        <v>0</v>
      </c>
    </row>
    <row r="164" spans="1:13" x14ac:dyDescent="0.25">
      <c r="A164" s="54"/>
      <c r="G164" s="11"/>
      <c r="H164" s="33">
        <v>159</v>
      </c>
      <c r="I164" s="34" t="str">
        <f t="shared" si="12"/>
        <v/>
      </c>
      <c r="J164" s="33">
        <f t="shared" si="15"/>
        <v>-7</v>
      </c>
      <c r="K164" s="33">
        <f t="shared" si="13"/>
        <v>-70</v>
      </c>
      <c r="L164" s="33"/>
      <c r="M164" s="35">
        <f t="shared" si="14"/>
        <v>0</v>
      </c>
    </row>
    <row r="165" spans="1:13" x14ac:dyDescent="0.25">
      <c r="A165" s="54"/>
      <c r="G165" s="11"/>
      <c r="H165" s="33">
        <v>160</v>
      </c>
      <c r="I165" s="34" t="str">
        <f t="shared" si="12"/>
        <v/>
      </c>
      <c r="J165" s="33">
        <f t="shared" si="15"/>
        <v>-7</v>
      </c>
      <c r="K165" s="33">
        <f t="shared" si="13"/>
        <v>-70</v>
      </c>
      <c r="L165" s="33"/>
      <c r="M165" s="35">
        <f t="shared" si="14"/>
        <v>0</v>
      </c>
    </row>
    <row r="166" spans="1:13" x14ac:dyDescent="0.25">
      <c r="A166" s="54"/>
      <c r="G166" s="11"/>
      <c r="H166" s="33">
        <v>161</v>
      </c>
      <c r="I166" s="34" t="str">
        <f t="shared" si="12"/>
        <v/>
      </c>
      <c r="J166" s="33">
        <f t="shared" si="15"/>
        <v>-7</v>
      </c>
      <c r="K166" s="33">
        <f t="shared" si="13"/>
        <v>-70</v>
      </c>
      <c r="L166" s="33"/>
      <c r="M166" s="35">
        <f t="shared" si="14"/>
        <v>0</v>
      </c>
    </row>
    <row r="167" spans="1:13" x14ac:dyDescent="0.25">
      <c r="A167" s="54"/>
      <c r="G167" s="11"/>
      <c r="H167" s="33">
        <v>162</v>
      </c>
      <c r="I167" s="34" t="str">
        <f t="shared" si="12"/>
        <v/>
      </c>
      <c r="J167" s="33">
        <f t="shared" si="15"/>
        <v>-7</v>
      </c>
      <c r="K167" s="33">
        <f t="shared" si="13"/>
        <v>-70</v>
      </c>
      <c r="L167" s="33"/>
      <c r="M167" s="35">
        <f t="shared" si="14"/>
        <v>0</v>
      </c>
    </row>
    <row r="168" spans="1:13" x14ac:dyDescent="0.25">
      <c r="A168" s="54"/>
      <c r="G168" s="11"/>
      <c r="H168" s="33">
        <v>163</v>
      </c>
      <c r="I168" s="34" t="str">
        <f t="shared" si="12"/>
        <v/>
      </c>
      <c r="J168" s="33">
        <f t="shared" si="15"/>
        <v>-7</v>
      </c>
      <c r="K168" s="33">
        <f t="shared" si="13"/>
        <v>-70</v>
      </c>
      <c r="L168" s="33"/>
      <c r="M168" s="35">
        <f t="shared" si="14"/>
        <v>0</v>
      </c>
    </row>
    <row r="169" spans="1:13" x14ac:dyDescent="0.25">
      <c r="A169" s="54"/>
      <c r="G169" s="11"/>
      <c r="H169" s="33">
        <v>164</v>
      </c>
      <c r="I169" s="34" t="str">
        <f t="shared" si="12"/>
        <v/>
      </c>
      <c r="J169" s="33">
        <f t="shared" si="15"/>
        <v>-7</v>
      </c>
      <c r="K169" s="33">
        <f t="shared" si="13"/>
        <v>-70</v>
      </c>
      <c r="L169" s="33"/>
      <c r="M169" s="35">
        <f t="shared" si="14"/>
        <v>0</v>
      </c>
    </row>
    <row r="170" spans="1:13" x14ac:dyDescent="0.25">
      <c r="A170" s="54"/>
      <c r="G170" s="11"/>
      <c r="H170" s="33">
        <v>165</v>
      </c>
      <c r="I170" s="34" t="str">
        <f t="shared" si="12"/>
        <v/>
      </c>
      <c r="J170" s="33">
        <f t="shared" si="15"/>
        <v>-7</v>
      </c>
      <c r="K170" s="33">
        <f t="shared" si="13"/>
        <v>-70</v>
      </c>
      <c r="L170" s="33"/>
      <c r="M170" s="35">
        <f t="shared" si="14"/>
        <v>0</v>
      </c>
    </row>
    <row r="171" spans="1:13" x14ac:dyDescent="0.25">
      <c r="A171" s="54"/>
      <c r="G171" s="11"/>
      <c r="H171" s="33">
        <v>166</v>
      </c>
      <c r="I171" s="34" t="str">
        <f t="shared" si="12"/>
        <v/>
      </c>
      <c r="J171" s="33">
        <f t="shared" si="15"/>
        <v>-7</v>
      </c>
      <c r="K171" s="33">
        <f t="shared" si="13"/>
        <v>-70</v>
      </c>
      <c r="L171" s="33"/>
      <c r="M171" s="35">
        <f t="shared" si="14"/>
        <v>0</v>
      </c>
    </row>
    <row r="172" spans="1:13" x14ac:dyDescent="0.25">
      <c r="A172" s="54"/>
      <c r="G172" s="11"/>
      <c r="H172" s="33">
        <v>167</v>
      </c>
      <c r="I172" s="34" t="str">
        <f t="shared" si="12"/>
        <v/>
      </c>
      <c r="J172" s="33">
        <f t="shared" si="15"/>
        <v>-7</v>
      </c>
      <c r="K172" s="33">
        <f t="shared" si="13"/>
        <v>-70</v>
      </c>
      <c r="L172" s="33"/>
      <c r="M172" s="35">
        <f t="shared" si="14"/>
        <v>0</v>
      </c>
    </row>
    <row r="173" spans="1:13" x14ac:dyDescent="0.25">
      <c r="A173" s="54"/>
      <c r="G173" s="11"/>
      <c r="H173" s="33">
        <v>168</v>
      </c>
      <c r="I173" s="34" t="str">
        <f t="shared" si="12"/>
        <v/>
      </c>
      <c r="J173" s="33">
        <f t="shared" si="15"/>
        <v>-7</v>
      </c>
      <c r="K173" s="33">
        <f t="shared" si="13"/>
        <v>-70</v>
      </c>
      <c r="L173" s="33"/>
      <c r="M173" s="35">
        <f t="shared" si="14"/>
        <v>0</v>
      </c>
    </row>
    <row r="174" spans="1:13" x14ac:dyDescent="0.25">
      <c r="A174" s="54"/>
      <c r="G174" s="11"/>
      <c r="H174" s="33">
        <v>169</v>
      </c>
      <c r="I174" s="34" t="str">
        <f t="shared" si="12"/>
        <v/>
      </c>
      <c r="J174" s="33">
        <f t="shared" si="15"/>
        <v>-7</v>
      </c>
      <c r="K174" s="33">
        <f t="shared" si="13"/>
        <v>-70</v>
      </c>
      <c r="L174" s="33"/>
      <c r="M174" s="35">
        <f t="shared" si="14"/>
        <v>0</v>
      </c>
    </row>
    <row r="175" spans="1:13" x14ac:dyDescent="0.25">
      <c r="A175" s="54"/>
      <c r="G175" s="11"/>
      <c r="H175" s="33">
        <v>170</v>
      </c>
      <c r="I175" s="34" t="str">
        <f t="shared" si="12"/>
        <v/>
      </c>
      <c r="J175" s="33">
        <f t="shared" si="15"/>
        <v>-7</v>
      </c>
      <c r="K175" s="33">
        <f t="shared" si="13"/>
        <v>-70</v>
      </c>
      <c r="L175" s="33"/>
      <c r="M175" s="35">
        <f t="shared" si="14"/>
        <v>0</v>
      </c>
    </row>
    <row r="176" spans="1:13" x14ac:dyDescent="0.25">
      <c r="A176" s="54"/>
      <c r="G176" s="11"/>
      <c r="H176" s="33">
        <v>171</v>
      </c>
      <c r="I176" s="34" t="str">
        <f t="shared" si="12"/>
        <v/>
      </c>
      <c r="J176" s="33">
        <f t="shared" si="15"/>
        <v>-7</v>
      </c>
      <c r="K176" s="33">
        <f t="shared" si="13"/>
        <v>-70</v>
      </c>
      <c r="L176" s="33"/>
      <c r="M176" s="35">
        <f t="shared" si="14"/>
        <v>0</v>
      </c>
    </row>
    <row r="177" spans="1:13" x14ac:dyDescent="0.25">
      <c r="A177" s="54"/>
      <c r="G177" s="11"/>
      <c r="H177" s="33">
        <v>172</v>
      </c>
      <c r="I177" s="34" t="str">
        <f t="shared" si="12"/>
        <v/>
      </c>
      <c r="J177" s="33">
        <f t="shared" si="15"/>
        <v>-7</v>
      </c>
      <c r="K177" s="33">
        <f t="shared" si="13"/>
        <v>-70</v>
      </c>
      <c r="L177" s="33"/>
      <c r="M177" s="35">
        <f t="shared" si="14"/>
        <v>0</v>
      </c>
    </row>
    <row r="178" spans="1:13" x14ac:dyDescent="0.25">
      <c r="A178" s="54"/>
      <c r="G178" s="11"/>
      <c r="H178" s="33">
        <v>173</v>
      </c>
      <c r="I178" s="34" t="str">
        <f t="shared" si="12"/>
        <v/>
      </c>
      <c r="J178" s="33">
        <f t="shared" si="15"/>
        <v>-7</v>
      </c>
      <c r="K178" s="33">
        <f t="shared" si="13"/>
        <v>-70</v>
      </c>
      <c r="L178" s="33"/>
      <c r="M178" s="35">
        <f t="shared" si="14"/>
        <v>0</v>
      </c>
    </row>
    <row r="179" spans="1:13" x14ac:dyDescent="0.25">
      <c r="A179" s="54"/>
      <c r="G179" s="11"/>
      <c r="H179" s="33">
        <v>174</v>
      </c>
      <c r="I179" s="34" t="str">
        <f t="shared" si="12"/>
        <v/>
      </c>
      <c r="J179" s="33">
        <f t="shared" si="15"/>
        <v>-7</v>
      </c>
      <c r="K179" s="33">
        <f t="shared" si="13"/>
        <v>-70</v>
      </c>
      <c r="L179" s="33"/>
      <c r="M179" s="35">
        <f t="shared" si="14"/>
        <v>0</v>
      </c>
    </row>
    <row r="180" spans="1:13" x14ac:dyDescent="0.25">
      <c r="A180" s="54"/>
      <c r="G180" s="11"/>
      <c r="H180" s="33">
        <v>175</v>
      </c>
      <c r="I180" s="34" t="str">
        <f t="shared" si="12"/>
        <v/>
      </c>
      <c r="J180" s="33">
        <f t="shared" si="15"/>
        <v>-7</v>
      </c>
      <c r="K180" s="33">
        <f t="shared" si="13"/>
        <v>-70</v>
      </c>
      <c r="L180" s="33"/>
      <c r="M180" s="35">
        <f t="shared" si="14"/>
        <v>0</v>
      </c>
    </row>
    <row r="181" spans="1:13" x14ac:dyDescent="0.25">
      <c r="A181" s="54"/>
      <c r="G181" s="11"/>
      <c r="H181" s="33">
        <v>176</v>
      </c>
      <c r="I181" s="34" t="str">
        <f t="shared" si="12"/>
        <v/>
      </c>
      <c r="J181" s="33">
        <f t="shared" si="15"/>
        <v>-7</v>
      </c>
      <c r="K181" s="33">
        <f t="shared" si="13"/>
        <v>-70</v>
      </c>
      <c r="L181" s="33"/>
      <c r="M181" s="35">
        <f t="shared" si="14"/>
        <v>0</v>
      </c>
    </row>
    <row r="182" spans="1:13" x14ac:dyDescent="0.25">
      <c r="A182" s="54"/>
      <c r="G182" s="11"/>
      <c r="H182" s="33">
        <v>177</v>
      </c>
      <c r="I182" s="34" t="str">
        <f t="shared" si="12"/>
        <v/>
      </c>
      <c r="J182" s="33">
        <f t="shared" si="15"/>
        <v>-7</v>
      </c>
      <c r="K182" s="33">
        <f t="shared" si="13"/>
        <v>-70</v>
      </c>
      <c r="L182" s="33"/>
      <c r="M182" s="35">
        <f t="shared" si="14"/>
        <v>0</v>
      </c>
    </row>
    <row r="183" spans="1:13" x14ac:dyDescent="0.25">
      <c r="A183" s="54"/>
      <c r="G183" s="11"/>
      <c r="H183" s="33">
        <v>178</v>
      </c>
      <c r="I183" s="34" t="str">
        <f t="shared" si="12"/>
        <v/>
      </c>
      <c r="J183" s="33">
        <f t="shared" si="15"/>
        <v>-7</v>
      </c>
      <c r="K183" s="33">
        <f t="shared" si="13"/>
        <v>-70</v>
      </c>
      <c r="L183" s="33"/>
      <c r="M183" s="35">
        <f t="shared" si="14"/>
        <v>0</v>
      </c>
    </row>
    <row r="184" spans="1:13" x14ac:dyDescent="0.25">
      <c r="A184" s="54"/>
      <c r="G184" s="11"/>
      <c r="H184" s="33">
        <v>179</v>
      </c>
      <c r="I184" s="34" t="str">
        <f t="shared" si="12"/>
        <v/>
      </c>
      <c r="J184" s="33">
        <f t="shared" si="15"/>
        <v>-7</v>
      </c>
      <c r="K184" s="33">
        <f t="shared" si="13"/>
        <v>-70</v>
      </c>
      <c r="L184" s="33"/>
      <c r="M184" s="35">
        <f t="shared" si="14"/>
        <v>0</v>
      </c>
    </row>
    <row r="185" spans="1:13" x14ac:dyDescent="0.25">
      <c r="A185" s="54"/>
      <c r="G185" s="11"/>
      <c r="H185" s="33">
        <v>180</v>
      </c>
      <c r="I185" s="34" t="str">
        <f t="shared" si="12"/>
        <v/>
      </c>
      <c r="J185" s="33">
        <f t="shared" si="15"/>
        <v>-7</v>
      </c>
      <c r="K185" s="33">
        <f t="shared" si="13"/>
        <v>-70</v>
      </c>
      <c r="L185" s="33"/>
      <c r="M185" s="35">
        <f t="shared" si="14"/>
        <v>0</v>
      </c>
    </row>
    <row r="186" spans="1:13" x14ac:dyDescent="0.25">
      <c r="A186" s="54"/>
      <c r="G186" s="11"/>
      <c r="H186" s="33">
        <v>181</v>
      </c>
      <c r="I186" s="34" t="str">
        <f t="shared" si="12"/>
        <v/>
      </c>
      <c r="J186" s="33">
        <f t="shared" si="15"/>
        <v>-7</v>
      </c>
      <c r="K186" s="33">
        <f t="shared" si="13"/>
        <v>-70</v>
      </c>
      <c r="L186" s="33"/>
      <c r="M186" s="35">
        <f t="shared" si="14"/>
        <v>0</v>
      </c>
    </row>
    <row r="187" spans="1:13" x14ac:dyDescent="0.25">
      <c r="A187" s="54"/>
      <c r="G187" s="11"/>
      <c r="H187" s="33">
        <v>182</v>
      </c>
      <c r="I187" s="34" t="str">
        <f t="shared" si="12"/>
        <v/>
      </c>
      <c r="J187" s="33">
        <f t="shared" si="15"/>
        <v>-7</v>
      </c>
      <c r="K187" s="33">
        <f t="shared" si="13"/>
        <v>-70</v>
      </c>
      <c r="L187" s="33"/>
      <c r="M187" s="35">
        <f t="shared" si="14"/>
        <v>0</v>
      </c>
    </row>
    <row r="188" spans="1:13" x14ac:dyDescent="0.25">
      <c r="A188" s="54"/>
      <c r="G188" s="11"/>
      <c r="H188" s="33">
        <v>183</v>
      </c>
      <c r="I188" s="34" t="str">
        <f t="shared" si="12"/>
        <v/>
      </c>
      <c r="J188" s="33">
        <f t="shared" si="15"/>
        <v>-7</v>
      </c>
      <c r="K188" s="33">
        <f t="shared" si="13"/>
        <v>-70</v>
      </c>
      <c r="L188" s="33"/>
      <c r="M188" s="35">
        <f t="shared" si="14"/>
        <v>0</v>
      </c>
    </row>
    <row r="189" spans="1:13" x14ac:dyDescent="0.25">
      <c r="A189" s="54"/>
      <c r="G189" s="11"/>
      <c r="H189" s="33">
        <v>184</v>
      </c>
      <c r="I189" s="34" t="str">
        <f t="shared" si="12"/>
        <v/>
      </c>
      <c r="J189" s="33">
        <f t="shared" si="15"/>
        <v>-7</v>
      </c>
      <c r="K189" s="33">
        <f t="shared" si="13"/>
        <v>-70</v>
      </c>
      <c r="L189" s="33"/>
      <c r="M189" s="35">
        <f t="shared" si="14"/>
        <v>0</v>
      </c>
    </row>
    <row r="190" spans="1:13" x14ac:dyDescent="0.25">
      <c r="A190" s="54"/>
      <c r="G190" s="11"/>
      <c r="H190" s="33">
        <v>185</v>
      </c>
      <c r="I190" s="34" t="str">
        <f t="shared" si="12"/>
        <v/>
      </c>
      <c r="J190" s="33">
        <f t="shared" si="15"/>
        <v>-7</v>
      </c>
      <c r="K190" s="33">
        <f t="shared" si="13"/>
        <v>-70</v>
      </c>
      <c r="L190" s="33"/>
      <c r="M190" s="35">
        <f t="shared" si="14"/>
        <v>0</v>
      </c>
    </row>
    <row r="191" spans="1:13" x14ac:dyDescent="0.25">
      <c r="A191" s="54"/>
      <c r="G191" s="11"/>
      <c r="H191" s="33">
        <v>186</v>
      </c>
      <c r="I191" s="34" t="str">
        <f t="shared" si="12"/>
        <v/>
      </c>
      <c r="J191" s="33">
        <f t="shared" si="15"/>
        <v>-7</v>
      </c>
      <c r="K191" s="33">
        <f t="shared" si="13"/>
        <v>-70</v>
      </c>
      <c r="L191" s="33"/>
      <c r="M191" s="35">
        <f t="shared" si="14"/>
        <v>0</v>
      </c>
    </row>
    <row r="192" spans="1:13" x14ac:dyDescent="0.25">
      <c r="A192" s="54"/>
      <c r="G192" s="11"/>
      <c r="H192" s="33">
        <v>187</v>
      </c>
      <c r="I192" s="34" t="str">
        <f t="shared" si="12"/>
        <v/>
      </c>
      <c r="J192" s="33">
        <f t="shared" si="15"/>
        <v>-7</v>
      </c>
      <c r="K192" s="33">
        <f t="shared" si="13"/>
        <v>-70</v>
      </c>
      <c r="L192" s="33"/>
      <c r="M192" s="35">
        <f t="shared" si="14"/>
        <v>0</v>
      </c>
    </row>
    <row r="193" spans="1:13" x14ac:dyDescent="0.25">
      <c r="A193" s="54"/>
      <c r="G193" s="11"/>
      <c r="H193" s="33">
        <v>188</v>
      </c>
      <c r="I193" s="34" t="str">
        <f t="shared" si="12"/>
        <v/>
      </c>
      <c r="J193" s="33">
        <f t="shared" si="15"/>
        <v>-7</v>
      </c>
      <c r="K193" s="33">
        <f t="shared" si="13"/>
        <v>-70</v>
      </c>
      <c r="L193" s="33"/>
      <c r="M193" s="35">
        <f t="shared" si="14"/>
        <v>0</v>
      </c>
    </row>
    <row r="194" spans="1:13" x14ac:dyDescent="0.25">
      <c r="A194" s="54"/>
      <c r="G194" s="11"/>
      <c r="H194" s="33">
        <v>189</v>
      </c>
      <c r="I194" s="34" t="str">
        <f t="shared" si="12"/>
        <v/>
      </c>
      <c r="J194" s="33">
        <f t="shared" si="15"/>
        <v>-7</v>
      </c>
      <c r="K194" s="33">
        <f t="shared" si="13"/>
        <v>-70</v>
      </c>
      <c r="L194" s="33"/>
      <c r="M194" s="35">
        <f t="shared" si="14"/>
        <v>0</v>
      </c>
    </row>
    <row r="195" spans="1:13" x14ac:dyDescent="0.25">
      <c r="A195" s="54"/>
      <c r="G195" s="11"/>
      <c r="H195" s="33">
        <v>190</v>
      </c>
      <c r="I195" s="34" t="str">
        <f t="shared" si="12"/>
        <v/>
      </c>
      <c r="J195" s="33">
        <f t="shared" si="15"/>
        <v>-7</v>
      </c>
      <c r="K195" s="33">
        <f t="shared" si="13"/>
        <v>-70</v>
      </c>
      <c r="L195" s="33"/>
      <c r="M195" s="35">
        <f t="shared" si="14"/>
        <v>0</v>
      </c>
    </row>
    <row r="196" spans="1:13" x14ac:dyDescent="0.25">
      <c r="A196" s="54"/>
      <c r="G196" s="11"/>
      <c r="H196" s="33">
        <v>191</v>
      </c>
      <c r="I196" s="34" t="str">
        <f t="shared" si="12"/>
        <v/>
      </c>
      <c r="J196" s="33">
        <f t="shared" si="15"/>
        <v>-7</v>
      </c>
      <c r="K196" s="33">
        <f t="shared" si="13"/>
        <v>-70</v>
      </c>
      <c r="L196" s="33"/>
      <c r="M196" s="35">
        <f t="shared" si="14"/>
        <v>0</v>
      </c>
    </row>
    <row r="197" spans="1:13" x14ac:dyDescent="0.25">
      <c r="A197" s="54"/>
      <c r="G197" s="11"/>
      <c r="H197" s="33">
        <v>192</v>
      </c>
      <c r="I197" s="34" t="str">
        <f t="shared" si="12"/>
        <v/>
      </c>
      <c r="J197" s="33">
        <f t="shared" si="15"/>
        <v>-7</v>
      </c>
      <c r="K197" s="33">
        <f t="shared" si="13"/>
        <v>-70</v>
      </c>
      <c r="L197" s="33"/>
      <c r="M197" s="35">
        <f t="shared" si="14"/>
        <v>0</v>
      </c>
    </row>
    <row r="198" spans="1:13" x14ac:dyDescent="0.25">
      <c r="A198" s="54"/>
      <c r="G198" s="11"/>
      <c r="H198" s="33">
        <v>193</v>
      </c>
      <c r="I198" s="34" t="str">
        <f t="shared" ref="I198:I261" si="16">IF(H198&lt;$H$2+1,($I$2-($I$2-1)*(LOG(H198)/LOG($H$2))),"")</f>
        <v/>
      </c>
      <c r="J198" s="33">
        <f t="shared" si="15"/>
        <v>-7</v>
      </c>
      <c r="K198" s="33">
        <f t="shared" ref="K198:K261" si="17">J198*$J$2</f>
        <v>-70</v>
      </c>
      <c r="L198" s="33"/>
      <c r="M198" s="35">
        <f t="shared" ref="M198:M261" si="18">IF(I198&lt;&gt;"",K198+I198+L198,0)</f>
        <v>0</v>
      </c>
    </row>
    <row r="199" spans="1:13" x14ac:dyDescent="0.25">
      <c r="A199" s="54"/>
      <c r="G199" s="11"/>
      <c r="H199" s="33">
        <v>194</v>
      </c>
      <c r="I199" s="34" t="str">
        <f t="shared" si="16"/>
        <v/>
      </c>
      <c r="J199" s="33">
        <f t="shared" ref="J199:J262" si="19">INT(LOG($H$2,2))-ROUNDUP(LOG(H199,2),0)+IF(OR($H$2=1,$H$2=2,$H$2=4,$H$2=8,$H$2=16,$H$2=32,$H$2=64,$H$2=128,$H$2=256),0,1)</f>
        <v>-7</v>
      </c>
      <c r="K199" s="33">
        <f t="shared" si="17"/>
        <v>-70</v>
      </c>
      <c r="L199" s="33"/>
      <c r="M199" s="35">
        <f t="shared" si="18"/>
        <v>0</v>
      </c>
    </row>
    <row r="200" spans="1:13" x14ac:dyDescent="0.25">
      <c r="A200" s="54"/>
      <c r="G200" s="11"/>
      <c r="H200" s="33">
        <v>195</v>
      </c>
      <c r="I200" s="34" t="str">
        <f t="shared" si="16"/>
        <v/>
      </c>
      <c r="J200" s="33">
        <f t="shared" si="19"/>
        <v>-7</v>
      </c>
      <c r="K200" s="33">
        <f t="shared" si="17"/>
        <v>-70</v>
      </c>
      <c r="L200" s="33"/>
      <c r="M200" s="35">
        <f t="shared" si="18"/>
        <v>0</v>
      </c>
    </row>
    <row r="201" spans="1:13" x14ac:dyDescent="0.25">
      <c r="A201" s="54"/>
      <c r="G201" s="11"/>
      <c r="H201" s="33">
        <v>196</v>
      </c>
      <c r="I201" s="34" t="str">
        <f t="shared" si="16"/>
        <v/>
      </c>
      <c r="J201" s="33">
        <f t="shared" si="19"/>
        <v>-7</v>
      </c>
      <c r="K201" s="33">
        <f t="shared" si="17"/>
        <v>-70</v>
      </c>
      <c r="L201" s="33"/>
      <c r="M201" s="35">
        <f t="shared" si="18"/>
        <v>0</v>
      </c>
    </row>
    <row r="202" spans="1:13" x14ac:dyDescent="0.25">
      <c r="A202" s="54"/>
      <c r="G202" s="11"/>
      <c r="H202" s="33">
        <v>197</v>
      </c>
      <c r="I202" s="34" t="str">
        <f t="shared" si="16"/>
        <v/>
      </c>
      <c r="J202" s="33">
        <f t="shared" si="19"/>
        <v>-7</v>
      </c>
      <c r="K202" s="33">
        <f t="shared" si="17"/>
        <v>-70</v>
      </c>
      <c r="L202" s="33"/>
      <c r="M202" s="35">
        <f t="shared" si="18"/>
        <v>0</v>
      </c>
    </row>
    <row r="203" spans="1:13" x14ac:dyDescent="0.25">
      <c r="A203" s="54"/>
      <c r="G203" s="11"/>
      <c r="H203" s="33">
        <v>198</v>
      </c>
      <c r="I203" s="34" t="str">
        <f t="shared" si="16"/>
        <v/>
      </c>
      <c r="J203" s="33">
        <f t="shared" si="19"/>
        <v>-7</v>
      </c>
      <c r="K203" s="33">
        <f t="shared" si="17"/>
        <v>-70</v>
      </c>
      <c r="L203" s="33"/>
      <c r="M203" s="35">
        <f t="shared" si="18"/>
        <v>0</v>
      </c>
    </row>
    <row r="204" spans="1:13" x14ac:dyDescent="0.25">
      <c r="A204" s="54"/>
      <c r="G204" s="11"/>
      <c r="H204" s="33">
        <v>199</v>
      </c>
      <c r="I204" s="34" t="str">
        <f t="shared" si="16"/>
        <v/>
      </c>
      <c r="J204" s="33">
        <f t="shared" si="19"/>
        <v>-7</v>
      </c>
      <c r="K204" s="33">
        <f t="shared" si="17"/>
        <v>-70</v>
      </c>
      <c r="L204" s="33"/>
      <c r="M204" s="35">
        <f t="shared" si="18"/>
        <v>0</v>
      </c>
    </row>
    <row r="205" spans="1:13" x14ac:dyDescent="0.25">
      <c r="A205" s="54"/>
      <c r="G205" s="11"/>
      <c r="H205" s="33">
        <v>200</v>
      </c>
      <c r="I205" s="34" t="str">
        <f t="shared" si="16"/>
        <v/>
      </c>
      <c r="J205" s="33">
        <f t="shared" si="19"/>
        <v>-7</v>
      </c>
      <c r="K205" s="33">
        <f t="shared" si="17"/>
        <v>-70</v>
      </c>
      <c r="L205" s="33"/>
      <c r="M205" s="35">
        <f t="shared" si="18"/>
        <v>0</v>
      </c>
    </row>
    <row r="206" spans="1:13" x14ac:dyDescent="0.25">
      <c r="A206" s="54"/>
      <c r="G206" s="11"/>
      <c r="H206" s="33">
        <v>201</v>
      </c>
      <c r="I206" s="34" t="str">
        <f t="shared" si="16"/>
        <v/>
      </c>
      <c r="J206" s="33">
        <f t="shared" si="19"/>
        <v>-7</v>
      </c>
      <c r="K206" s="33">
        <f t="shared" si="17"/>
        <v>-70</v>
      </c>
      <c r="L206" s="33"/>
      <c r="M206" s="35">
        <f t="shared" si="18"/>
        <v>0</v>
      </c>
    </row>
    <row r="207" spans="1:13" x14ac:dyDescent="0.25">
      <c r="A207" s="54"/>
      <c r="G207" s="11"/>
      <c r="H207" s="33">
        <v>202</v>
      </c>
      <c r="I207" s="34" t="str">
        <f t="shared" si="16"/>
        <v/>
      </c>
      <c r="J207" s="33">
        <f t="shared" si="19"/>
        <v>-7</v>
      </c>
      <c r="K207" s="33">
        <f t="shared" si="17"/>
        <v>-70</v>
      </c>
      <c r="L207" s="33"/>
      <c r="M207" s="35">
        <f t="shared" si="18"/>
        <v>0</v>
      </c>
    </row>
    <row r="208" spans="1:13" x14ac:dyDescent="0.25">
      <c r="A208" s="54"/>
      <c r="G208" s="11"/>
      <c r="H208" s="33">
        <v>203</v>
      </c>
      <c r="I208" s="34" t="str">
        <f t="shared" si="16"/>
        <v/>
      </c>
      <c r="J208" s="33">
        <f t="shared" si="19"/>
        <v>-7</v>
      </c>
      <c r="K208" s="33">
        <f t="shared" si="17"/>
        <v>-70</v>
      </c>
      <c r="L208" s="33"/>
      <c r="M208" s="35">
        <f t="shared" si="18"/>
        <v>0</v>
      </c>
    </row>
    <row r="209" spans="1:13" x14ac:dyDescent="0.25">
      <c r="A209" s="54"/>
      <c r="G209" s="11"/>
      <c r="H209" s="33">
        <v>204</v>
      </c>
      <c r="I209" s="34" t="str">
        <f t="shared" si="16"/>
        <v/>
      </c>
      <c r="J209" s="33">
        <f t="shared" si="19"/>
        <v>-7</v>
      </c>
      <c r="K209" s="33">
        <f t="shared" si="17"/>
        <v>-70</v>
      </c>
      <c r="L209" s="33"/>
      <c r="M209" s="35">
        <f t="shared" si="18"/>
        <v>0</v>
      </c>
    </row>
    <row r="210" spans="1:13" x14ac:dyDescent="0.25">
      <c r="A210" s="54"/>
      <c r="G210" s="11"/>
      <c r="H210" s="33">
        <v>205</v>
      </c>
      <c r="I210" s="34" t="str">
        <f t="shared" si="16"/>
        <v/>
      </c>
      <c r="J210" s="33">
        <f t="shared" si="19"/>
        <v>-7</v>
      </c>
      <c r="K210" s="33">
        <f t="shared" si="17"/>
        <v>-70</v>
      </c>
      <c r="L210" s="33"/>
      <c r="M210" s="35">
        <f t="shared" si="18"/>
        <v>0</v>
      </c>
    </row>
    <row r="211" spans="1:13" x14ac:dyDescent="0.25">
      <c r="A211" s="54"/>
      <c r="G211" s="11"/>
      <c r="H211" s="33">
        <v>206</v>
      </c>
      <c r="I211" s="34" t="str">
        <f t="shared" si="16"/>
        <v/>
      </c>
      <c r="J211" s="33">
        <f t="shared" si="19"/>
        <v>-7</v>
      </c>
      <c r="K211" s="33">
        <f t="shared" si="17"/>
        <v>-70</v>
      </c>
      <c r="L211" s="33"/>
      <c r="M211" s="35">
        <f t="shared" si="18"/>
        <v>0</v>
      </c>
    </row>
    <row r="212" spans="1:13" x14ac:dyDescent="0.25">
      <c r="A212" s="54"/>
      <c r="G212" s="11"/>
      <c r="H212" s="33">
        <v>207</v>
      </c>
      <c r="I212" s="34" t="str">
        <f t="shared" si="16"/>
        <v/>
      </c>
      <c r="J212" s="33">
        <f t="shared" si="19"/>
        <v>-7</v>
      </c>
      <c r="K212" s="33">
        <f t="shared" si="17"/>
        <v>-70</v>
      </c>
      <c r="L212" s="33"/>
      <c r="M212" s="35">
        <f t="shared" si="18"/>
        <v>0</v>
      </c>
    </row>
    <row r="213" spans="1:13" x14ac:dyDescent="0.25">
      <c r="A213" s="54"/>
      <c r="G213" s="11"/>
      <c r="H213" s="33">
        <v>208</v>
      </c>
      <c r="I213" s="34" t="str">
        <f t="shared" si="16"/>
        <v/>
      </c>
      <c r="J213" s="33">
        <f t="shared" si="19"/>
        <v>-7</v>
      </c>
      <c r="K213" s="33">
        <f t="shared" si="17"/>
        <v>-70</v>
      </c>
      <c r="L213" s="33"/>
      <c r="M213" s="35">
        <f t="shared" si="18"/>
        <v>0</v>
      </c>
    </row>
    <row r="214" spans="1:13" x14ac:dyDescent="0.25">
      <c r="A214" s="54"/>
      <c r="G214" s="11"/>
      <c r="H214" s="33">
        <v>209</v>
      </c>
      <c r="I214" s="34" t="str">
        <f t="shared" si="16"/>
        <v/>
      </c>
      <c r="J214" s="33">
        <f t="shared" si="19"/>
        <v>-7</v>
      </c>
      <c r="K214" s="33">
        <f t="shared" si="17"/>
        <v>-70</v>
      </c>
      <c r="L214" s="33"/>
      <c r="M214" s="35">
        <f t="shared" si="18"/>
        <v>0</v>
      </c>
    </row>
    <row r="215" spans="1:13" x14ac:dyDescent="0.25">
      <c r="A215" s="54"/>
      <c r="G215" s="11"/>
      <c r="H215" s="33">
        <v>210</v>
      </c>
      <c r="I215" s="34" t="str">
        <f t="shared" si="16"/>
        <v/>
      </c>
      <c r="J215" s="33">
        <f t="shared" si="19"/>
        <v>-7</v>
      </c>
      <c r="K215" s="33">
        <f t="shared" si="17"/>
        <v>-70</v>
      </c>
      <c r="L215" s="33"/>
      <c r="M215" s="35">
        <f t="shared" si="18"/>
        <v>0</v>
      </c>
    </row>
    <row r="216" spans="1:13" x14ac:dyDescent="0.25">
      <c r="A216" s="54"/>
      <c r="G216" s="11"/>
      <c r="H216" s="33">
        <v>211</v>
      </c>
      <c r="I216" s="34" t="str">
        <f t="shared" si="16"/>
        <v/>
      </c>
      <c r="J216" s="33">
        <f t="shared" si="19"/>
        <v>-7</v>
      </c>
      <c r="K216" s="33">
        <f t="shared" si="17"/>
        <v>-70</v>
      </c>
      <c r="L216" s="33"/>
      <c r="M216" s="35">
        <f t="shared" si="18"/>
        <v>0</v>
      </c>
    </row>
    <row r="217" spans="1:13" x14ac:dyDescent="0.25">
      <c r="A217" s="54"/>
      <c r="G217" s="11"/>
      <c r="H217" s="33">
        <v>212</v>
      </c>
      <c r="I217" s="34" t="str">
        <f t="shared" si="16"/>
        <v/>
      </c>
      <c r="J217" s="33">
        <f t="shared" si="19"/>
        <v>-7</v>
      </c>
      <c r="K217" s="33">
        <f t="shared" si="17"/>
        <v>-70</v>
      </c>
      <c r="L217" s="33"/>
      <c r="M217" s="35">
        <f t="shared" si="18"/>
        <v>0</v>
      </c>
    </row>
    <row r="218" spans="1:13" x14ac:dyDescent="0.25">
      <c r="A218" s="54"/>
      <c r="G218" s="11"/>
      <c r="H218" s="33">
        <v>213</v>
      </c>
      <c r="I218" s="34" t="str">
        <f t="shared" si="16"/>
        <v/>
      </c>
      <c r="J218" s="33">
        <f t="shared" si="19"/>
        <v>-7</v>
      </c>
      <c r="K218" s="33">
        <f t="shared" si="17"/>
        <v>-70</v>
      </c>
      <c r="L218" s="33"/>
      <c r="M218" s="35">
        <f t="shared" si="18"/>
        <v>0</v>
      </c>
    </row>
    <row r="219" spans="1:13" x14ac:dyDescent="0.25">
      <c r="A219" s="54"/>
      <c r="G219" s="11"/>
      <c r="H219" s="33">
        <v>214</v>
      </c>
      <c r="I219" s="34" t="str">
        <f t="shared" si="16"/>
        <v/>
      </c>
      <c r="J219" s="33">
        <f t="shared" si="19"/>
        <v>-7</v>
      </c>
      <c r="K219" s="33">
        <f t="shared" si="17"/>
        <v>-70</v>
      </c>
      <c r="L219" s="33"/>
      <c r="M219" s="35">
        <f t="shared" si="18"/>
        <v>0</v>
      </c>
    </row>
    <row r="220" spans="1:13" x14ac:dyDescent="0.25">
      <c r="A220" s="54"/>
      <c r="G220" s="11"/>
      <c r="H220" s="33">
        <v>215</v>
      </c>
      <c r="I220" s="34" t="str">
        <f t="shared" si="16"/>
        <v/>
      </c>
      <c r="J220" s="33">
        <f t="shared" si="19"/>
        <v>-7</v>
      </c>
      <c r="K220" s="33">
        <f t="shared" si="17"/>
        <v>-70</v>
      </c>
      <c r="L220" s="33"/>
      <c r="M220" s="35">
        <f t="shared" si="18"/>
        <v>0</v>
      </c>
    </row>
    <row r="221" spans="1:13" x14ac:dyDescent="0.25">
      <c r="A221" s="54"/>
      <c r="G221" s="11"/>
      <c r="H221" s="33">
        <v>216</v>
      </c>
      <c r="I221" s="34" t="str">
        <f t="shared" si="16"/>
        <v/>
      </c>
      <c r="J221" s="33">
        <f t="shared" si="19"/>
        <v>-7</v>
      </c>
      <c r="K221" s="33">
        <f t="shared" si="17"/>
        <v>-70</v>
      </c>
      <c r="L221" s="33"/>
      <c r="M221" s="35">
        <f t="shared" si="18"/>
        <v>0</v>
      </c>
    </row>
    <row r="222" spans="1:13" x14ac:dyDescent="0.25">
      <c r="A222" s="54"/>
      <c r="G222" s="11"/>
      <c r="H222" s="33">
        <v>217</v>
      </c>
      <c r="I222" s="34" t="str">
        <f t="shared" si="16"/>
        <v/>
      </c>
      <c r="J222" s="33">
        <f t="shared" si="19"/>
        <v>-7</v>
      </c>
      <c r="K222" s="33">
        <f t="shared" si="17"/>
        <v>-70</v>
      </c>
      <c r="L222" s="33"/>
      <c r="M222" s="35">
        <f t="shared" si="18"/>
        <v>0</v>
      </c>
    </row>
    <row r="223" spans="1:13" x14ac:dyDescent="0.25">
      <c r="A223" s="54"/>
      <c r="G223" s="11"/>
      <c r="H223" s="33">
        <v>218</v>
      </c>
      <c r="I223" s="34" t="str">
        <f t="shared" si="16"/>
        <v/>
      </c>
      <c r="J223" s="33">
        <f t="shared" si="19"/>
        <v>-7</v>
      </c>
      <c r="K223" s="33">
        <f t="shared" si="17"/>
        <v>-70</v>
      </c>
      <c r="L223" s="33"/>
      <c r="M223" s="35">
        <f t="shared" si="18"/>
        <v>0</v>
      </c>
    </row>
    <row r="224" spans="1:13" x14ac:dyDescent="0.25">
      <c r="A224" s="54"/>
      <c r="G224" s="11"/>
      <c r="H224" s="33">
        <v>219</v>
      </c>
      <c r="I224" s="34" t="str">
        <f t="shared" si="16"/>
        <v/>
      </c>
      <c r="J224" s="33">
        <f t="shared" si="19"/>
        <v>-7</v>
      </c>
      <c r="K224" s="33">
        <f t="shared" si="17"/>
        <v>-70</v>
      </c>
      <c r="L224" s="33"/>
      <c r="M224" s="35">
        <f t="shared" si="18"/>
        <v>0</v>
      </c>
    </row>
    <row r="225" spans="1:13" x14ac:dyDescent="0.25">
      <c r="A225" s="54"/>
      <c r="G225" s="11"/>
      <c r="H225" s="33">
        <v>220</v>
      </c>
      <c r="I225" s="34" t="str">
        <f t="shared" si="16"/>
        <v/>
      </c>
      <c r="J225" s="33">
        <f t="shared" si="19"/>
        <v>-7</v>
      </c>
      <c r="K225" s="33">
        <f t="shared" si="17"/>
        <v>-70</v>
      </c>
      <c r="L225" s="33"/>
      <c r="M225" s="35">
        <f t="shared" si="18"/>
        <v>0</v>
      </c>
    </row>
    <row r="226" spans="1:13" x14ac:dyDescent="0.25">
      <c r="A226" s="54"/>
      <c r="G226" s="11"/>
      <c r="H226" s="33">
        <v>221</v>
      </c>
      <c r="I226" s="34" t="str">
        <f t="shared" si="16"/>
        <v/>
      </c>
      <c r="J226" s="33">
        <f t="shared" si="19"/>
        <v>-7</v>
      </c>
      <c r="K226" s="33">
        <f t="shared" si="17"/>
        <v>-70</v>
      </c>
      <c r="L226" s="33"/>
      <c r="M226" s="35">
        <f t="shared" si="18"/>
        <v>0</v>
      </c>
    </row>
    <row r="227" spans="1:13" x14ac:dyDescent="0.25">
      <c r="A227" s="54"/>
      <c r="G227" s="11"/>
      <c r="H227" s="33">
        <v>222</v>
      </c>
      <c r="I227" s="34" t="str">
        <f t="shared" si="16"/>
        <v/>
      </c>
      <c r="J227" s="33">
        <f t="shared" si="19"/>
        <v>-7</v>
      </c>
      <c r="K227" s="33">
        <f t="shared" si="17"/>
        <v>-70</v>
      </c>
      <c r="L227" s="33"/>
      <c r="M227" s="35">
        <f t="shared" si="18"/>
        <v>0</v>
      </c>
    </row>
    <row r="228" spans="1:13" x14ac:dyDescent="0.25">
      <c r="A228" s="54"/>
      <c r="G228" s="11"/>
      <c r="H228" s="33">
        <v>223</v>
      </c>
      <c r="I228" s="34" t="str">
        <f t="shared" si="16"/>
        <v/>
      </c>
      <c r="J228" s="33">
        <f t="shared" si="19"/>
        <v>-7</v>
      </c>
      <c r="K228" s="33">
        <f t="shared" si="17"/>
        <v>-70</v>
      </c>
      <c r="L228" s="33"/>
      <c r="M228" s="35">
        <f t="shared" si="18"/>
        <v>0</v>
      </c>
    </row>
    <row r="229" spans="1:13" x14ac:dyDescent="0.25">
      <c r="A229" s="54"/>
      <c r="G229" s="11"/>
      <c r="H229" s="33">
        <v>224</v>
      </c>
      <c r="I229" s="34" t="str">
        <f t="shared" si="16"/>
        <v/>
      </c>
      <c r="J229" s="33">
        <f t="shared" si="19"/>
        <v>-7</v>
      </c>
      <c r="K229" s="33">
        <f t="shared" si="17"/>
        <v>-70</v>
      </c>
      <c r="L229" s="33"/>
      <c r="M229" s="35">
        <f t="shared" si="18"/>
        <v>0</v>
      </c>
    </row>
    <row r="230" spans="1:13" x14ac:dyDescent="0.25">
      <c r="A230" s="54"/>
      <c r="G230" s="11"/>
      <c r="H230" s="33">
        <v>225</v>
      </c>
      <c r="I230" s="34" t="str">
        <f t="shared" si="16"/>
        <v/>
      </c>
      <c r="J230" s="33">
        <f t="shared" si="19"/>
        <v>-7</v>
      </c>
      <c r="K230" s="33">
        <f t="shared" si="17"/>
        <v>-70</v>
      </c>
      <c r="L230" s="33"/>
      <c r="M230" s="35">
        <f t="shared" si="18"/>
        <v>0</v>
      </c>
    </row>
    <row r="231" spans="1:13" x14ac:dyDescent="0.25">
      <c r="A231" s="54"/>
      <c r="G231" s="11"/>
      <c r="H231" s="33">
        <v>226</v>
      </c>
      <c r="I231" s="34" t="str">
        <f t="shared" si="16"/>
        <v/>
      </c>
      <c r="J231" s="33">
        <f t="shared" si="19"/>
        <v>-7</v>
      </c>
      <c r="K231" s="33">
        <f t="shared" si="17"/>
        <v>-70</v>
      </c>
      <c r="L231" s="33"/>
      <c r="M231" s="35">
        <f t="shared" si="18"/>
        <v>0</v>
      </c>
    </row>
    <row r="232" spans="1:13" x14ac:dyDescent="0.25">
      <c r="A232" s="54"/>
      <c r="G232" s="11"/>
      <c r="H232" s="33">
        <v>227</v>
      </c>
      <c r="I232" s="34" t="str">
        <f t="shared" si="16"/>
        <v/>
      </c>
      <c r="J232" s="33">
        <f t="shared" si="19"/>
        <v>-7</v>
      </c>
      <c r="K232" s="33">
        <f t="shared" si="17"/>
        <v>-70</v>
      </c>
      <c r="L232" s="33"/>
      <c r="M232" s="35">
        <f t="shared" si="18"/>
        <v>0</v>
      </c>
    </row>
    <row r="233" spans="1:13" x14ac:dyDescent="0.25">
      <c r="A233" s="54"/>
      <c r="G233" s="11"/>
      <c r="H233" s="33">
        <v>228</v>
      </c>
      <c r="I233" s="34" t="str">
        <f t="shared" si="16"/>
        <v/>
      </c>
      <c r="J233" s="33">
        <f t="shared" si="19"/>
        <v>-7</v>
      </c>
      <c r="K233" s="33">
        <f t="shared" si="17"/>
        <v>-70</v>
      </c>
      <c r="L233" s="33"/>
      <c r="M233" s="35">
        <f t="shared" si="18"/>
        <v>0</v>
      </c>
    </row>
    <row r="234" spans="1:13" x14ac:dyDescent="0.25">
      <c r="A234" s="54"/>
      <c r="G234" s="11"/>
      <c r="H234" s="33">
        <v>229</v>
      </c>
      <c r="I234" s="34" t="str">
        <f t="shared" si="16"/>
        <v/>
      </c>
      <c r="J234" s="33">
        <f t="shared" si="19"/>
        <v>-7</v>
      </c>
      <c r="K234" s="33">
        <f t="shared" si="17"/>
        <v>-70</v>
      </c>
      <c r="L234" s="33"/>
      <c r="M234" s="35">
        <f t="shared" si="18"/>
        <v>0</v>
      </c>
    </row>
    <row r="235" spans="1:13" x14ac:dyDescent="0.25">
      <c r="A235" s="54"/>
      <c r="G235" s="11"/>
      <c r="H235" s="33">
        <v>230</v>
      </c>
      <c r="I235" s="34" t="str">
        <f t="shared" si="16"/>
        <v/>
      </c>
      <c r="J235" s="33">
        <f t="shared" si="19"/>
        <v>-7</v>
      </c>
      <c r="K235" s="33">
        <f t="shared" si="17"/>
        <v>-70</v>
      </c>
      <c r="L235" s="33"/>
      <c r="M235" s="35">
        <f t="shared" si="18"/>
        <v>0</v>
      </c>
    </row>
    <row r="236" spans="1:13" x14ac:dyDescent="0.25">
      <c r="A236" s="54"/>
      <c r="G236" s="11"/>
      <c r="H236" s="33">
        <v>231</v>
      </c>
      <c r="I236" s="34" t="str">
        <f t="shared" si="16"/>
        <v/>
      </c>
      <c r="J236" s="33">
        <f t="shared" si="19"/>
        <v>-7</v>
      </c>
      <c r="K236" s="33">
        <f t="shared" si="17"/>
        <v>-70</v>
      </c>
      <c r="L236" s="33"/>
      <c r="M236" s="35">
        <f t="shared" si="18"/>
        <v>0</v>
      </c>
    </row>
    <row r="237" spans="1:13" x14ac:dyDescent="0.25">
      <c r="A237" s="54"/>
      <c r="G237" s="11"/>
      <c r="H237" s="33">
        <v>232</v>
      </c>
      <c r="I237" s="34" t="str">
        <f t="shared" si="16"/>
        <v/>
      </c>
      <c r="J237" s="33">
        <f t="shared" si="19"/>
        <v>-7</v>
      </c>
      <c r="K237" s="33">
        <f t="shared" si="17"/>
        <v>-70</v>
      </c>
      <c r="L237" s="33"/>
      <c r="M237" s="35">
        <f t="shared" si="18"/>
        <v>0</v>
      </c>
    </row>
    <row r="238" spans="1:13" x14ac:dyDescent="0.25">
      <c r="A238" s="54"/>
      <c r="G238" s="11"/>
      <c r="H238" s="33">
        <v>233</v>
      </c>
      <c r="I238" s="34" t="str">
        <f t="shared" si="16"/>
        <v/>
      </c>
      <c r="J238" s="33">
        <f t="shared" si="19"/>
        <v>-7</v>
      </c>
      <c r="K238" s="33">
        <f t="shared" si="17"/>
        <v>-70</v>
      </c>
      <c r="L238" s="33"/>
      <c r="M238" s="35">
        <f t="shared" si="18"/>
        <v>0</v>
      </c>
    </row>
    <row r="239" spans="1:13" x14ac:dyDescent="0.25">
      <c r="A239" s="54"/>
      <c r="G239" s="11"/>
      <c r="H239" s="33">
        <v>234</v>
      </c>
      <c r="I239" s="34" t="str">
        <f t="shared" si="16"/>
        <v/>
      </c>
      <c r="J239" s="33">
        <f t="shared" si="19"/>
        <v>-7</v>
      </c>
      <c r="K239" s="33">
        <f t="shared" si="17"/>
        <v>-70</v>
      </c>
      <c r="L239" s="33"/>
      <c r="M239" s="35">
        <f t="shared" si="18"/>
        <v>0</v>
      </c>
    </row>
    <row r="240" spans="1:13" x14ac:dyDescent="0.25">
      <c r="A240" s="54"/>
      <c r="G240" s="11"/>
      <c r="H240" s="33">
        <v>235</v>
      </c>
      <c r="I240" s="34" t="str">
        <f t="shared" si="16"/>
        <v/>
      </c>
      <c r="J240" s="33">
        <f t="shared" si="19"/>
        <v>-7</v>
      </c>
      <c r="K240" s="33">
        <f t="shared" si="17"/>
        <v>-70</v>
      </c>
      <c r="L240" s="33"/>
      <c r="M240" s="35">
        <f t="shared" si="18"/>
        <v>0</v>
      </c>
    </row>
    <row r="241" spans="1:13" x14ac:dyDescent="0.25">
      <c r="A241" s="54"/>
      <c r="G241" s="11"/>
      <c r="H241" s="33">
        <v>236</v>
      </c>
      <c r="I241" s="34" t="str">
        <f t="shared" si="16"/>
        <v/>
      </c>
      <c r="J241" s="33">
        <f t="shared" si="19"/>
        <v>-7</v>
      </c>
      <c r="K241" s="33">
        <f t="shared" si="17"/>
        <v>-70</v>
      </c>
      <c r="L241" s="33"/>
      <c r="M241" s="35">
        <f t="shared" si="18"/>
        <v>0</v>
      </c>
    </row>
    <row r="242" spans="1:13" x14ac:dyDescent="0.25">
      <c r="A242" s="54"/>
      <c r="G242" s="11"/>
      <c r="H242" s="33">
        <v>237</v>
      </c>
      <c r="I242" s="34" t="str">
        <f t="shared" si="16"/>
        <v/>
      </c>
      <c r="J242" s="33">
        <f t="shared" si="19"/>
        <v>-7</v>
      </c>
      <c r="K242" s="33">
        <f t="shared" si="17"/>
        <v>-70</v>
      </c>
      <c r="L242" s="33"/>
      <c r="M242" s="35">
        <f t="shared" si="18"/>
        <v>0</v>
      </c>
    </row>
    <row r="243" spans="1:13" x14ac:dyDescent="0.25">
      <c r="A243" s="54"/>
      <c r="G243" s="11"/>
      <c r="H243" s="33">
        <v>238</v>
      </c>
      <c r="I243" s="34" t="str">
        <f t="shared" si="16"/>
        <v/>
      </c>
      <c r="J243" s="33">
        <f t="shared" si="19"/>
        <v>-7</v>
      </c>
      <c r="K243" s="33">
        <f t="shared" si="17"/>
        <v>-70</v>
      </c>
      <c r="L243" s="33"/>
      <c r="M243" s="35">
        <f t="shared" si="18"/>
        <v>0</v>
      </c>
    </row>
    <row r="244" spans="1:13" x14ac:dyDescent="0.25">
      <c r="A244" s="54"/>
      <c r="G244" s="11"/>
      <c r="H244" s="33">
        <v>239</v>
      </c>
      <c r="I244" s="34" t="str">
        <f t="shared" si="16"/>
        <v/>
      </c>
      <c r="J244" s="33">
        <f t="shared" si="19"/>
        <v>-7</v>
      </c>
      <c r="K244" s="33">
        <f t="shared" si="17"/>
        <v>-70</v>
      </c>
      <c r="L244" s="33"/>
      <c r="M244" s="35">
        <f t="shared" si="18"/>
        <v>0</v>
      </c>
    </row>
    <row r="245" spans="1:13" x14ac:dyDescent="0.25">
      <c r="A245" s="54"/>
      <c r="G245" s="11"/>
      <c r="H245" s="33">
        <v>240</v>
      </c>
      <c r="I245" s="34" t="str">
        <f t="shared" si="16"/>
        <v/>
      </c>
      <c r="J245" s="33">
        <f t="shared" si="19"/>
        <v>-7</v>
      </c>
      <c r="K245" s="33">
        <f t="shared" si="17"/>
        <v>-70</v>
      </c>
      <c r="L245" s="33"/>
      <c r="M245" s="35">
        <f t="shared" si="18"/>
        <v>0</v>
      </c>
    </row>
    <row r="246" spans="1:13" x14ac:dyDescent="0.25">
      <c r="A246" s="54"/>
      <c r="G246" s="11"/>
      <c r="H246" s="33">
        <v>241</v>
      </c>
      <c r="I246" s="34" t="str">
        <f t="shared" si="16"/>
        <v/>
      </c>
      <c r="J246" s="33">
        <f t="shared" si="19"/>
        <v>-7</v>
      </c>
      <c r="K246" s="33">
        <f t="shared" si="17"/>
        <v>-70</v>
      </c>
      <c r="L246" s="33"/>
      <c r="M246" s="35">
        <f t="shared" si="18"/>
        <v>0</v>
      </c>
    </row>
    <row r="247" spans="1:13" x14ac:dyDescent="0.25">
      <c r="A247" s="54"/>
      <c r="G247" s="11"/>
      <c r="H247" s="33">
        <v>242</v>
      </c>
      <c r="I247" s="34" t="str">
        <f t="shared" si="16"/>
        <v/>
      </c>
      <c r="J247" s="33">
        <f t="shared" si="19"/>
        <v>-7</v>
      </c>
      <c r="K247" s="33">
        <f t="shared" si="17"/>
        <v>-70</v>
      </c>
      <c r="L247" s="33"/>
      <c r="M247" s="35">
        <f t="shared" si="18"/>
        <v>0</v>
      </c>
    </row>
    <row r="248" spans="1:13" x14ac:dyDescent="0.25">
      <c r="A248" s="54"/>
      <c r="G248" s="11"/>
      <c r="H248" s="33">
        <v>243</v>
      </c>
      <c r="I248" s="34" t="str">
        <f t="shared" si="16"/>
        <v/>
      </c>
      <c r="J248" s="33">
        <f t="shared" si="19"/>
        <v>-7</v>
      </c>
      <c r="K248" s="33">
        <f t="shared" si="17"/>
        <v>-70</v>
      </c>
      <c r="L248" s="33"/>
      <c r="M248" s="35">
        <f t="shared" si="18"/>
        <v>0</v>
      </c>
    </row>
    <row r="249" spans="1:13" x14ac:dyDescent="0.25">
      <c r="A249" s="54"/>
      <c r="G249" s="11"/>
      <c r="H249" s="33">
        <v>244</v>
      </c>
      <c r="I249" s="34" t="str">
        <f t="shared" si="16"/>
        <v/>
      </c>
      <c r="J249" s="33">
        <f t="shared" si="19"/>
        <v>-7</v>
      </c>
      <c r="K249" s="33">
        <f t="shared" si="17"/>
        <v>-70</v>
      </c>
      <c r="L249" s="33"/>
      <c r="M249" s="35">
        <f t="shared" si="18"/>
        <v>0</v>
      </c>
    </row>
    <row r="250" spans="1:13" x14ac:dyDescent="0.25">
      <c r="A250" s="54"/>
      <c r="G250" s="11"/>
      <c r="H250" s="33">
        <v>245</v>
      </c>
      <c r="I250" s="34" t="str">
        <f t="shared" si="16"/>
        <v/>
      </c>
      <c r="J250" s="33">
        <f t="shared" si="19"/>
        <v>-7</v>
      </c>
      <c r="K250" s="33">
        <f t="shared" si="17"/>
        <v>-70</v>
      </c>
      <c r="L250" s="33"/>
      <c r="M250" s="35">
        <f t="shared" si="18"/>
        <v>0</v>
      </c>
    </row>
    <row r="251" spans="1:13" x14ac:dyDescent="0.25">
      <c r="A251" s="54"/>
      <c r="G251" s="11"/>
      <c r="H251" s="33">
        <v>246</v>
      </c>
      <c r="I251" s="34" t="str">
        <f t="shared" si="16"/>
        <v/>
      </c>
      <c r="J251" s="33">
        <f t="shared" si="19"/>
        <v>-7</v>
      </c>
      <c r="K251" s="33">
        <f t="shared" si="17"/>
        <v>-70</v>
      </c>
      <c r="L251" s="33"/>
      <c r="M251" s="35">
        <f t="shared" si="18"/>
        <v>0</v>
      </c>
    </row>
    <row r="252" spans="1:13" x14ac:dyDescent="0.25">
      <c r="A252" s="54"/>
      <c r="G252" s="11"/>
      <c r="H252" s="33">
        <v>247</v>
      </c>
      <c r="I252" s="34" t="str">
        <f t="shared" si="16"/>
        <v/>
      </c>
      <c r="J252" s="33">
        <f t="shared" si="19"/>
        <v>-7</v>
      </c>
      <c r="K252" s="33">
        <f t="shared" si="17"/>
        <v>-70</v>
      </c>
      <c r="L252" s="33"/>
      <c r="M252" s="35">
        <f t="shared" si="18"/>
        <v>0</v>
      </c>
    </row>
    <row r="253" spans="1:13" x14ac:dyDescent="0.25">
      <c r="A253" s="54"/>
      <c r="G253" s="11"/>
      <c r="H253" s="33">
        <v>248</v>
      </c>
      <c r="I253" s="34" t="str">
        <f t="shared" si="16"/>
        <v/>
      </c>
      <c r="J253" s="33">
        <f t="shared" si="19"/>
        <v>-7</v>
      </c>
      <c r="K253" s="33">
        <f t="shared" si="17"/>
        <v>-70</v>
      </c>
      <c r="L253" s="33"/>
      <c r="M253" s="35">
        <f t="shared" si="18"/>
        <v>0</v>
      </c>
    </row>
    <row r="254" spans="1:13" x14ac:dyDescent="0.25">
      <c r="A254" s="54"/>
      <c r="G254" s="11"/>
      <c r="H254" s="33">
        <v>249</v>
      </c>
      <c r="I254" s="34" t="str">
        <f t="shared" si="16"/>
        <v/>
      </c>
      <c r="J254" s="33">
        <f t="shared" si="19"/>
        <v>-7</v>
      </c>
      <c r="K254" s="33">
        <f t="shared" si="17"/>
        <v>-70</v>
      </c>
      <c r="L254" s="33"/>
      <c r="M254" s="35">
        <f t="shared" si="18"/>
        <v>0</v>
      </c>
    </row>
    <row r="255" spans="1:13" x14ac:dyDescent="0.25">
      <c r="A255" s="54"/>
      <c r="G255" s="11"/>
      <c r="H255" s="33">
        <v>250</v>
      </c>
      <c r="I255" s="34" t="str">
        <f t="shared" si="16"/>
        <v/>
      </c>
      <c r="J255" s="33">
        <f t="shared" si="19"/>
        <v>-7</v>
      </c>
      <c r="K255" s="33">
        <f t="shared" si="17"/>
        <v>-70</v>
      </c>
      <c r="L255" s="33"/>
      <c r="M255" s="35">
        <f t="shared" si="18"/>
        <v>0</v>
      </c>
    </row>
    <row r="256" spans="1:13" x14ac:dyDescent="0.25">
      <c r="A256" s="54"/>
      <c r="G256" s="11"/>
      <c r="H256" s="33">
        <v>251</v>
      </c>
      <c r="I256" s="34" t="str">
        <f t="shared" si="16"/>
        <v/>
      </c>
      <c r="J256" s="33">
        <f t="shared" si="19"/>
        <v>-7</v>
      </c>
      <c r="K256" s="33">
        <f t="shared" si="17"/>
        <v>-70</v>
      </c>
      <c r="L256" s="33"/>
      <c r="M256" s="35">
        <f t="shared" si="18"/>
        <v>0</v>
      </c>
    </row>
    <row r="257" spans="1:13" x14ac:dyDescent="0.25">
      <c r="A257" s="54"/>
      <c r="G257" s="11"/>
      <c r="H257" s="33">
        <v>252</v>
      </c>
      <c r="I257" s="34" t="str">
        <f t="shared" si="16"/>
        <v/>
      </c>
      <c r="J257" s="33">
        <f t="shared" si="19"/>
        <v>-7</v>
      </c>
      <c r="K257" s="33">
        <f t="shared" si="17"/>
        <v>-70</v>
      </c>
      <c r="L257" s="33"/>
      <c r="M257" s="35">
        <f t="shared" si="18"/>
        <v>0</v>
      </c>
    </row>
    <row r="258" spans="1:13" x14ac:dyDescent="0.25">
      <c r="A258" s="54"/>
      <c r="G258" s="11"/>
      <c r="H258" s="33">
        <v>253</v>
      </c>
      <c r="I258" s="34" t="str">
        <f t="shared" si="16"/>
        <v/>
      </c>
      <c r="J258" s="33">
        <f t="shared" si="19"/>
        <v>-7</v>
      </c>
      <c r="K258" s="33">
        <f t="shared" si="17"/>
        <v>-70</v>
      </c>
      <c r="L258" s="33"/>
      <c r="M258" s="35">
        <f t="shared" si="18"/>
        <v>0</v>
      </c>
    </row>
    <row r="259" spans="1:13" x14ac:dyDescent="0.25">
      <c r="A259" s="54"/>
      <c r="G259" s="11"/>
      <c r="H259" s="33">
        <v>254</v>
      </c>
      <c r="I259" s="34" t="str">
        <f t="shared" si="16"/>
        <v/>
      </c>
      <c r="J259" s="33">
        <f t="shared" si="19"/>
        <v>-7</v>
      </c>
      <c r="K259" s="33">
        <f t="shared" si="17"/>
        <v>-70</v>
      </c>
      <c r="L259" s="33"/>
      <c r="M259" s="35">
        <f t="shared" si="18"/>
        <v>0</v>
      </c>
    </row>
    <row r="260" spans="1:13" x14ac:dyDescent="0.25">
      <c r="A260" s="54"/>
      <c r="G260" s="11"/>
      <c r="H260" s="33">
        <v>255</v>
      </c>
      <c r="I260" s="34" t="str">
        <f t="shared" si="16"/>
        <v/>
      </c>
      <c r="J260" s="33">
        <f t="shared" si="19"/>
        <v>-7</v>
      </c>
      <c r="K260" s="33">
        <f t="shared" si="17"/>
        <v>-70</v>
      </c>
      <c r="L260" s="33"/>
      <c r="M260" s="35">
        <f t="shared" si="18"/>
        <v>0</v>
      </c>
    </row>
    <row r="261" spans="1:13" x14ac:dyDescent="0.25">
      <c r="A261" s="54"/>
      <c r="G261" s="11"/>
      <c r="H261" s="33">
        <v>256</v>
      </c>
      <c r="I261" s="34" t="str">
        <f t="shared" si="16"/>
        <v/>
      </c>
      <c r="J261" s="33">
        <f t="shared" si="19"/>
        <v>-7</v>
      </c>
      <c r="K261" s="33">
        <f t="shared" si="17"/>
        <v>-70</v>
      </c>
      <c r="L261" s="33"/>
      <c r="M261" s="35">
        <f t="shared" si="18"/>
        <v>0</v>
      </c>
    </row>
    <row r="262" spans="1:13" x14ac:dyDescent="0.25">
      <c r="A262" s="54"/>
      <c r="G262" s="11"/>
      <c r="H262" s="33">
        <v>257</v>
      </c>
      <c r="I262" s="34" t="str">
        <f t="shared" ref="I262:I305" si="20">IF(H262&lt;$H$2+1,($I$2-($I$2-1)*(LOG(H262)/LOG($H$2))),"")</f>
        <v/>
      </c>
      <c r="J262" s="33">
        <f t="shared" si="19"/>
        <v>-8</v>
      </c>
      <c r="K262" s="33">
        <f t="shared" ref="K262:K305" si="21">J262*$J$2</f>
        <v>-80</v>
      </c>
      <c r="L262" s="33"/>
      <c r="M262" s="35">
        <f t="shared" ref="M262:M305" si="22">IF(I262&lt;&gt;"",K262+I262+L262,0)</f>
        <v>0</v>
      </c>
    </row>
    <row r="263" spans="1:13" x14ac:dyDescent="0.25">
      <c r="A263" s="54"/>
      <c r="G263" s="11"/>
      <c r="H263" s="33">
        <v>258</v>
      </c>
      <c r="I263" s="34" t="str">
        <f t="shared" si="20"/>
        <v/>
      </c>
      <c r="J263" s="33">
        <f t="shared" ref="J263:J305" si="23">INT(LOG($H$2,2))-ROUNDUP(LOG(H263,2),0)+IF(OR($H$2=1,$H$2=2,$H$2=4,$H$2=8,$H$2=16,$H$2=32,$H$2=64,$H$2=128,$H$2=256),0,1)</f>
        <v>-8</v>
      </c>
      <c r="K263" s="33">
        <f t="shared" si="21"/>
        <v>-80</v>
      </c>
      <c r="L263" s="33"/>
      <c r="M263" s="35">
        <f t="shared" si="22"/>
        <v>0</v>
      </c>
    </row>
    <row r="264" spans="1:13" x14ac:dyDescent="0.25">
      <c r="A264" s="54"/>
      <c r="G264" s="11"/>
      <c r="H264" s="33">
        <v>259</v>
      </c>
      <c r="I264" s="34" t="str">
        <f t="shared" si="20"/>
        <v/>
      </c>
      <c r="J264" s="33">
        <f t="shared" si="23"/>
        <v>-8</v>
      </c>
      <c r="K264" s="33">
        <f t="shared" si="21"/>
        <v>-80</v>
      </c>
      <c r="L264" s="33"/>
      <c r="M264" s="35">
        <f t="shared" si="22"/>
        <v>0</v>
      </c>
    </row>
    <row r="265" spans="1:13" x14ac:dyDescent="0.25">
      <c r="A265" s="54"/>
      <c r="G265" s="11"/>
      <c r="H265" s="33">
        <v>260</v>
      </c>
      <c r="I265" s="34" t="str">
        <f t="shared" si="20"/>
        <v/>
      </c>
      <c r="J265" s="33">
        <f t="shared" si="23"/>
        <v>-8</v>
      </c>
      <c r="K265" s="33">
        <f t="shared" si="21"/>
        <v>-80</v>
      </c>
      <c r="L265" s="33"/>
      <c r="M265" s="35">
        <f t="shared" si="22"/>
        <v>0</v>
      </c>
    </row>
    <row r="266" spans="1:13" x14ac:dyDescent="0.25">
      <c r="A266" s="54"/>
      <c r="G266" s="11"/>
      <c r="H266" s="33">
        <v>261</v>
      </c>
      <c r="I266" s="34" t="str">
        <f t="shared" si="20"/>
        <v/>
      </c>
      <c r="J266" s="33">
        <f t="shared" si="23"/>
        <v>-8</v>
      </c>
      <c r="K266" s="33">
        <f t="shared" si="21"/>
        <v>-80</v>
      </c>
      <c r="L266" s="33"/>
      <c r="M266" s="35">
        <f t="shared" si="22"/>
        <v>0</v>
      </c>
    </row>
    <row r="267" spans="1:13" x14ac:dyDescent="0.25">
      <c r="A267" s="54"/>
      <c r="G267" s="11"/>
      <c r="H267" s="33">
        <v>262</v>
      </c>
      <c r="I267" s="34" t="str">
        <f t="shared" si="20"/>
        <v/>
      </c>
      <c r="J267" s="33">
        <f t="shared" si="23"/>
        <v>-8</v>
      </c>
      <c r="K267" s="33">
        <f t="shared" si="21"/>
        <v>-80</v>
      </c>
      <c r="L267" s="33"/>
      <c r="M267" s="35">
        <f t="shared" si="22"/>
        <v>0</v>
      </c>
    </row>
    <row r="268" spans="1:13" x14ac:dyDescent="0.25">
      <c r="A268" s="54"/>
      <c r="G268" s="11"/>
      <c r="H268" s="33">
        <v>263</v>
      </c>
      <c r="I268" s="34" t="str">
        <f t="shared" si="20"/>
        <v/>
      </c>
      <c r="J268" s="33">
        <f t="shared" si="23"/>
        <v>-8</v>
      </c>
      <c r="K268" s="33">
        <f t="shared" si="21"/>
        <v>-80</v>
      </c>
      <c r="L268" s="33"/>
      <c r="M268" s="35">
        <f t="shared" si="22"/>
        <v>0</v>
      </c>
    </row>
    <row r="269" spans="1:13" x14ac:dyDescent="0.25">
      <c r="A269" s="54"/>
      <c r="G269" s="11"/>
      <c r="H269" s="33">
        <v>264</v>
      </c>
      <c r="I269" s="34" t="str">
        <f t="shared" si="20"/>
        <v/>
      </c>
      <c r="J269" s="33">
        <f t="shared" si="23"/>
        <v>-8</v>
      </c>
      <c r="K269" s="33">
        <f t="shared" si="21"/>
        <v>-80</v>
      </c>
      <c r="L269" s="33"/>
      <c r="M269" s="35">
        <f t="shared" si="22"/>
        <v>0</v>
      </c>
    </row>
    <row r="270" spans="1:13" x14ac:dyDescent="0.25">
      <c r="A270" s="54"/>
      <c r="G270" s="11"/>
      <c r="H270" s="33">
        <v>265</v>
      </c>
      <c r="I270" s="34" t="str">
        <f t="shared" si="20"/>
        <v/>
      </c>
      <c r="J270" s="33">
        <f t="shared" si="23"/>
        <v>-8</v>
      </c>
      <c r="K270" s="33">
        <f t="shared" si="21"/>
        <v>-80</v>
      </c>
      <c r="L270" s="33"/>
      <c r="M270" s="35">
        <f t="shared" si="22"/>
        <v>0</v>
      </c>
    </row>
    <row r="271" spans="1:13" x14ac:dyDescent="0.25">
      <c r="A271" s="54"/>
      <c r="G271" s="11"/>
      <c r="H271" s="33">
        <v>266</v>
      </c>
      <c r="I271" s="34" t="str">
        <f t="shared" si="20"/>
        <v/>
      </c>
      <c r="J271" s="33">
        <f t="shared" si="23"/>
        <v>-8</v>
      </c>
      <c r="K271" s="33">
        <f t="shared" si="21"/>
        <v>-80</v>
      </c>
      <c r="L271" s="33"/>
      <c r="M271" s="35">
        <f t="shared" si="22"/>
        <v>0</v>
      </c>
    </row>
    <row r="272" spans="1:13" x14ac:dyDescent="0.25">
      <c r="A272" s="54"/>
      <c r="G272" s="11"/>
      <c r="H272" s="33">
        <v>267</v>
      </c>
      <c r="I272" s="34" t="str">
        <f t="shared" si="20"/>
        <v/>
      </c>
      <c r="J272" s="33">
        <f t="shared" si="23"/>
        <v>-8</v>
      </c>
      <c r="K272" s="33">
        <f t="shared" si="21"/>
        <v>-80</v>
      </c>
      <c r="L272" s="33"/>
      <c r="M272" s="35">
        <f t="shared" si="22"/>
        <v>0</v>
      </c>
    </row>
    <row r="273" spans="1:13" x14ac:dyDescent="0.25">
      <c r="A273" s="54"/>
      <c r="G273" s="11"/>
      <c r="H273" s="33">
        <v>268</v>
      </c>
      <c r="I273" s="34" t="str">
        <f t="shared" si="20"/>
        <v/>
      </c>
      <c r="J273" s="33">
        <f t="shared" si="23"/>
        <v>-8</v>
      </c>
      <c r="K273" s="33">
        <f t="shared" si="21"/>
        <v>-80</v>
      </c>
      <c r="L273" s="33"/>
      <c r="M273" s="35">
        <f t="shared" si="22"/>
        <v>0</v>
      </c>
    </row>
    <row r="274" spans="1:13" x14ac:dyDescent="0.25">
      <c r="A274" s="54"/>
      <c r="G274" s="11"/>
      <c r="H274" s="33">
        <v>269</v>
      </c>
      <c r="I274" s="34" t="str">
        <f t="shared" si="20"/>
        <v/>
      </c>
      <c r="J274" s="33">
        <f t="shared" si="23"/>
        <v>-8</v>
      </c>
      <c r="K274" s="33">
        <f t="shared" si="21"/>
        <v>-80</v>
      </c>
      <c r="L274" s="33"/>
      <c r="M274" s="35">
        <f t="shared" si="22"/>
        <v>0</v>
      </c>
    </row>
    <row r="275" spans="1:13" x14ac:dyDescent="0.25">
      <c r="A275" s="54"/>
      <c r="G275" s="11"/>
      <c r="H275" s="33">
        <v>270</v>
      </c>
      <c r="I275" s="34" t="str">
        <f t="shared" si="20"/>
        <v/>
      </c>
      <c r="J275" s="33">
        <f t="shared" si="23"/>
        <v>-8</v>
      </c>
      <c r="K275" s="33">
        <f t="shared" si="21"/>
        <v>-80</v>
      </c>
      <c r="L275" s="33"/>
      <c r="M275" s="35">
        <f t="shared" si="22"/>
        <v>0</v>
      </c>
    </row>
    <row r="276" spans="1:13" x14ac:dyDescent="0.25">
      <c r="A276" s="54"/>
      <c r="G276" s="11"/>
      <c r="H276" s="33">
        <v>271</v>
      </c>
      <c r="I276" s="34" t="str">
        <f t="shared" si="20"/>
        <v/>
      </c>
      <c r="J276" s="33">
        <f t="shared" si="23"/>
        <v>-8</v>
      </c>
      <c r="K276" s="33">
        <f t="shared" si="21"/>
        <v>-80</v>
      </c>
      <c r="L276" s="33"/>
      <c r="M276" s="35">
        <f t="shared" si="22"/>
        <v>0</v>
      </c>
    </row>
    <row r="277" spans="1:13" x14ac:dyDescent="0.25">
      <c r="A277" s="54"/>
      <c r="G277" s="11"/>
      <c r="H277" s="33">
        <v>272</v>
      </c>
      <c r="I277" s="34" t="str">
        <f t="shared" si="20"/>
        <v/>
      </c>
      <c r="J277" s="33">
        <f t="shared" si="23"/>
        <v>-8</v>
      </c>
      <c r="K277" s="33">
        <f t="shared" si="21"/>
        <v>-80</v>
      </c>
      <c r="L277" s="33"/>
      <c r="M277" s="35">
        <f t="shared" si="22"/>
        <v>0</v>
      </c>
    </row>
    <row r="278" spans="1:13" x14ac:dyDescent="0.25">
      <c r="A278" s="54"/>
      <c r="G278" s="11"/>
      <c r="H278" s="33">
        <v>273</v>
      </c>
      <c r="I278" s="34" t="str">
        <f t="shared" si="20"/>
        <v/>
      </c>
      <c r="J278" s="33">
        <f t="shared" si="23"/>
        <v>-8</v>
      </c>
      <c r="K278" s="33">
        <f t="shared" si="21"/>
        <v>-80</v>
      </c>
      <c r="L278" s="33"/>
      <c r="M278" s="35">
        <f t="shared" si="22"/>
        <v>0</v>
      </c>
    </row>
    <row r="279" spans="1:13" x14ac:dyDescent="0.25">
      <c r="A279" s="54"/>
      <c r="G279" s="11"/>
      <c r="H279" s="33">
        <v>274</v>
      </c>
      <c r="I279" s="34" t="str">
        <f t="shared" si="20"/>
        <v/>
      </c>
      <c r="J279" s="33">
        <f t="shared" si="23"/>
        <v>-8</v>
      </c>
      <c r="K279" s="33">
        <f t="shared" si="21"/>
        <v>-80</v>
      </c>
      <c r="L279" s="33"/>
      <c r="M279" s="35">
        <f t="shared" si="22"/>
        <v>0</v>
      </c>
    </row>
    <row r="280" spans="1:13" x14ac:dyDescent="0.25">
      <c r="A280" s="54"/>
      <c r="G280" s="11"/>
      <c r="H280" s="33">
        <v>275</v>
      </c>
      <c r="I280" s="34" t="str">
        <f t="shared" si="20"/>
        <v/>
      </c>
      <c r="J280" s="33">
        <f t="shared" si="23"/>
        <v>-8</v>
      </c>
      <c r="K280" s="33">
        <f t="shared" si="21"/>
        <v>-80</v>
      </c>
      <c r="L280" s="33"/>
      <c r="M280" s="35">
        <f t="shared" si="22"/>
        <v>0</v>
      </c>
    </row>
    <row r="281" spans="1:13" x14ac:dyDescent="0.25">
      <c r="A281" s="54"/>
      <c r="G281" s="11"/>
      <c r="H281" s="33">
        <v>276</v>
      </c>
      <c r="I281" s="34" t="str">
        <f t="shared" si="20"/>
        <v/>
      </c>
      <c r="J281" s="33">
        <f t="shared" si="23"/>
        <v>-8</v>
      </c>
      <c r="K281" s="33">
        <f t="shared" si="21"/>
        <v>-80</v>
      </c>
      <c r="L281" s="33"/>
      <c r="M281" s="35">
        <f t="shared" si="22"/>
        <v>0</v>
      </c>
    </row>
    <row r="282" spans="1:13" x14ac:dyDescent="0.25">
      <c r="A282" s="54"/>
      <c r="G282" s="11"/>
      <c r="H282" s="33">
        <v>277</v>
      </c>
      <c r="I282" s="34" t="str">
        <f t="shared" si="20"/>
        <v/>
      </c>
      <c r="J282" s="33">
        <f t="shared" si="23"/>
        <v>-8</v>
      </c>
      <c r="K282" s="33">
        <f t="shared" si="21"/>
        <v>-80</v>
      </c>
      <c r="L282" s="33"/>
      <c r="M282" s="35">
        <f t="shared" si="22"/>
        <v>0</v>
      </c>
    </row>
    <row r="283" spans="1:13" x14ac:dyDescent="0.25">
      <c r="A283" s="54"/>
      <c r="G283" s="11"/>
      <c r="H283" s="33">
        <v>278</v>
      </c>
      <c r="I283" s="34" t="str">
        <f t="shared" si="20"/>
        <v/>
      </c>
      <c r="J283" s="33">
        <f t="shared" si="23"/>
        <v>-8</v>
      </c>
      <c r="K283" s="33">
        <f t="shared" si="21"/>
        <v>-80</v>
      </c>
      <c r="L283" s="33"/>
      <c r="M283" s="35">
        <f t="shared" si="22"/>
        <v>0</v>
      </c>
    </row>
    <row r="284" spans="1:13" x14ac:dyDescent="0.25">
      <c r="A284" s="54"/>
      <c r="G284" s="11"/>
      <c r="H284" s="33">
        <v>279</v>
      </c>
      <c r="I284" s="34" t="str">
        <f t="shared" si="20"/>
        <v/>
      </c>
      <c r="J284" s="33">
        <f t="shared" si="23"/>
        <v>-8</v>
      </c>
      <c r="K284" s="33">
        <f t="shared" si="21"/>
        <v>-80</v>
      </c>
      <c r="L284" s="33"/>
      <c r="M284" s="35">
        <f t="shared" si="22"/>
        <v>0</v>
      </c>
    </row>
    <row r="285" spans="1:13" x14ac:dyDescent="0.25">
      <c r="A285" s="54"/>
      <c r="G285" s="11"/>
      <c r="H285" s="33">
        <v>280</v>
      </c>
      <c r="I285" s="34" t="str">
        <f t="shared" si="20"/>
        <v/>
      </c>
      <c r="J285" s="33">
        <f t="shared" si="23"/>
        <v>-8</v>
      </c>
      <c r="K285" s="33">
        <f t="shared" si="21"/>
        <v>-80</v>
      </c>
      <c r="L285" s="33"/>
      <c r="M285" s="35">
        <f t="shared" si="22"/>
        <v>0</v>
      </c>
    </row>
    <row r="286" spans="1:13" x14ac:dyDescent="0.25">
      <c r="A286" s="54"/>
      <c r="G286" s="11"/>
      <c r="H286" s="33">
        <v>281</v>
      </c>
      <c r="I286" s="34" t="str">
        <f t="shared" si="20"/>
        <v/>
      </c>
      <c r="J286" s="33">
        <f t="shared" si="23"/>
        <v>-8</v>
      </c>
      <c r="K286" s="33">
        <f t="shared" si="21"/>
        <v>-80</v>
      </c>
      <c r="L286" s="33"/>
      <c r="M286" s="35">
        <f t="shared" si="22"/>
        <v>0</v>
      </c>
    </row>
    <row r="287" spans="1:13" x14ac:dyDescent="0.25">
      <c r="A287" s="54"/>
      <c r="G287" s="11"/>
      <c r="H287" s="33">
        <v>282</v>
      </c>
      <c r="I287" s="34" t="str">
        <f t="shared" si="20"/>
        <v/>
      </c>
      <c r="J287" s="33">
        <f t="shared" si="23"/>
        <v>-8</v>
      </c>
      <c r="K287" s="33">
        <f t="shared" si="21"/>
        <v>-80</v>
      </c>
      <c r="L287" s="33"/>
      <c r="M287" s="35">
        <f t="shared" si="22"/>
        <v>0</v>
      </c>
    </row>
    <row r="288" spans="1:13" x14ac:dyDescent="0.25">
      <c r="A288" s="54"/>
      <c r="G288" s="11"/>
      <c r="H288" s="33">
        <v>283</v>
      </c>
      <c r="I288" s="34" t="str">
        <f t="shared" si="20"/>
        <v/>
      </c>
      <c r="J288" s="33">
        <f t="shared" si="23"/>
        <v>-8</v>
      </c>
      <c r="K288" s="33">
        <f t="shared" si="21"/>
        <v>-80</v>
      </c>
      <c r="L288" s="33"/>
      <c r="M288" s="35">
        <f t="shared" si="22"/>
        <v>0</v>
      </c>
    </row>
    <row r="289" spans="1:13" x14ac:dyDescent="0.25">
      <c r="A289" s="54"/>
      <c r="G289" s="11"/>
      <c r="H289" s="33">
        <v>284</v>
      </c>
      <c r="I289" s="34" t="str">
        <f t="shared" si="20"/>
        <v/>
      </c>
      <c r="J289" s="33">
        <f t="shared" si="23"/>
        <v>-8</v>
      </c>
      <c r="K289" s="33">
        <f t="shared" si="21"/>
        <v>-80</v>
      </c>
      <c r="L289" s="33"/>
      <c r="M289" s="35">
        <f t="shared" si="22"/>
        <v>0</v>
      </c>
    </row>
    <row r="290" spans="1:13" x14ac:dyDescent="0.25">
      <c r="A290" s="54"/>
      <c r="G290" s="11"/>
      <c r="H290" s="33">
        <v>285</v>
      </c>
      <c r="I290" s="34" t="str">
        <f t="shared" si="20"/>
        <v/>
      </c>
      <c r="J290" s="33">
        <f t="shared" si="23"/>
        <v>-8</v>
      </c>
      <c r="K290" s="33">
        <f t="shared" si="21"/>
        <v>-80</v>
      </c>
      <c r="L290" s="33"/>
      <c r="M290" s="35">
        <f t="shared" si="22"/>
        <v>0</v>
      </c>
    </row>
    <row r="291" spans="1:13" x14ac:dyDescent="0.25">
      <c r="A291" s="54"/>
      <c r="G291" s="11"/>
      <c r="H291" s="33">
        <v>286</v>
      </c>
      <c r="I291" s="34" t="str">
        <f t="shared" si="20"/>
        <v/>
      </c>
      <c r="J291" s="33">
        <f t="shared" si="23"/>
        <v>-8</v>
      </c>
      <c r="K291" s="33">
        <f t="shared" si="21"/>
        <v>-80</v>
      </c>
      <c r="L291" s="33"/>
      <c r="M291" s="35">
        <f t="shared" si="22"/>
        <v>0</v>
      </c>
    </row>
    <row r="292" spans="1:13" x14ac:dyDescent="0.25">
      <c r="A292" s="54"/>
      <c r="G292" s="11"/>
      <c r="H292" s="33">
        <v>287</v>
      </c>
      <c r="I292" s="34" t="str">
        <f t="shared" si="20"/>
        <v/>
      </c>
      <c r="J292" s="33">
        <f t="shared" si="23"/>
        <v>-8</v>
      </c>
      <c r="K292" s="33">
        <f t="shared" si="21"/>
        <v>-80</v>
      </c>
      <c r="L292" s="33"/>
      <c r="M292" s="35">
        <f t="shared" si="22"/>
        <v>0</v>
      </c>
    </row>
    <row r="293" spans="1:13" x14ac:dyDescent="0.25">
      <c r="A293" s="54"/>
      <c r="G293" s="11"/>
      <c r="H293" s="33">
        <v>288</v>
      </c>
      <c r="I293" s="34" t="str">
        <f t="shared" si="20"/>
        <v/>
      </c>
      <c r="J293" s="33">
        <f t="shared" si="23"/>
        <v>-8</v>
      </c>
      <c r="K293" s="33">
        <f t="shared" si="21"/>
        <v>-80</v>
      </c>
      <c r="L293" s="33"/>
      <c r="M293" s="35">
        <f t="shared" si="22"/>
        <v>0</v>
      </c>
    </row>
    <row r="294" spans="1:13" x14ac:dyDescent="0.25">
      <c r="A294" s="54"/>
      <c r="G294" s="11"/>
      <c r="H294" s="33">
        <v>289</v>
      </c>
      <c r="I294" s="34" t="str">
        <f t="shared" si="20"/>
        <v/>
      </c>
      <c r="J294" s="33">
        <f t="shared" si="23"/>
        <v>-8</v>
      </c>
      <c r="K294" s="33">
        <f t="shared" si="21"/>
        <v>-80</v>
      </c>
      <c r="L294" s="33"/>
      <c r="M294" s="35">
        <f t="shared" si="22"/>
        <v>0</v>
      </c>
    </row>
    <row r="295" spans="1:13" x14ac:dyDescent="0.25">
      <c r="A295" s="54"/>
      <c r="G295" s="11"/>
      <c r="H295" s="33">
        <v>290</v>
      </c>
      <c r="I295" s="34" t="str">
        <f t="shared" si="20"/>
        <v/>
      </c>
      <c r="J295" s="33">
        <f t="shared" si="23"/>
        <v>-8</v>
      </c>
      <c r="K295" s="33">
        <f t="shared" si="21"/>
        <v>-80</v>
      </c>
      <c r="L295" s="33"/>
      <c r="M295" s="35">
        <f t="shared" si="22"/>
        <v>0</v>
      </c>
    </row>
    <row r="296" spans="1:13" x14ac:dyDescent="0.25">
      <c r="A296" s="54"/>
      <c r="G296" s="11"/>
      <c r="H296" s="33">
        <v>291</v>
      </c>
      <c r="I296" s="34" t="str">
        <f t="shared" si="20"/>
        <v/>
      </c>
      <c r="J296" s="33">
        <f t="shared" si="23"/>
        <v>-8</v>
      </c>
      <c r="K296" s="33">
        <f t="shared" si="21"/>
        <v>-80</v>
      </c>
      <c r="L296" s="33"/>
      <c r="M296" s="35">
        <f t="shared" si="22"/>
        <v>0</v>
      </c>
    </row>
    <row r="297" spans="1:13" x14ac:dyDescent="0.25">
      <c r="A297" s="54"/>
      <c r="G297" s="11"/>
      <c r="H297" s="33">
        <v>292</v>
      </c>
      <c r="I297" s="34" t="str">
        <f t="shared" si="20"/>
        <v/>
      </c>
      <c r="J297" s="33">
        <f t="shared" si="23"/>
        <v>-8</v>
      </c>
      <c r="K297" s="33">
        <f t="shared" si="21"/>
        <v>-80</v>
      </c>
      <c r="L297" s="33"/>
      <c r="M297" s="35">
        <f t="shared" si="22"/>
        <v>0</v>
      </c>
    </row>
    <row r="298" spans="1:13" x14ac:dyDescent="0.25">
      <c r="A298" s="54"/>
      <c r="G298" s="11"/>
      <c r="H298" s="33">
        <v>293</v>
      </c>
      <c r="I298" s="34" t="str">
        <f t="shared" si="20"/>
        <v/>
      </c>
      <c r="J298" s="33">
        <f t="shared" si="23"/>
        <v>-8</v>
      </c>
      <c r="K298" s="33">
        <f t="shared" si="21"/>
        <v>-80</v>
      </c>
      <c r="L298" s="33"/>
      <c r="M298" s="35">
        <f t="shared" si="22"/>
        <v>0</v>
      </c>
    </row>
    <row r="299" spans="1:13" x14ac:dyDescent="0.25">
      <c r="A299" s="54"/>
      <c r="G299" s="11"/>
      <c r="H299" s="33">
        <v>294</v>
      </c>
      <c r="I299" s="34" t="str">
        <f t="shared" si="20"/>
        <v/>
      </c>
      <c r="J299" s="33">
        <f t="shared" si="23"/>
        <v>-8</v>
      </c>
      <c r="K299" s="33">
        <f t="shared" si="21"/>
        <v>-80</v>
      </c>
      <c r="L299" s="33"/>
      <c r="M299" s="35">
        <f t="shared" si="22"/>
        <v>0</v>
      </c>
    </row>
    <row r="300" spans="1:13" x14ac:dyDescent="0.25">
      <c r="A300" s="54"/>
      <c r="G300" s="11"/>
      <c r="H300" s="33">
        <v>295</v>
      </c>
      <c r="I300" s="34" t="str">
        <f t="shared" si="20"/>
        <v/>
      </c>
      <c r="J300" s="33">
        <f t="shared" si="23"/>
        <v>-8</v>
      </c>
      <c r="K300" s="33">
        <f t="shared" si="21"/>
        <v>-80</v>
      </c>
      <c r="L300" s="33"/>
      <c r="M300" s="35">
        <f t="shared" si="22"/>
        <v>0</v>
      </c>
    </row>
    <row r="301" spans="1:13" x14ac:dyDescent="0.25">
      <c r="A301" s="54"/>
      <c r="G301" s="11"/>
      <c r="H301" s="33">
        <v>296</v>
      </c>
      <c r="I301" s="34" t="str">
        <f t="shared" si="20"/>
        <v/>
      </c>
      <c r="J301" s="33">
        <f t="shared" si="23"/>
        <v>-8</v>
      </c>
      <c r="K301" s="33">
        <f t="shared" si="21"/>
        <v>-80</v>
      </c>
      <c r="L301" s="33"/>
      <c r="M301" s="35">
        <f t="shared" si="22"/>
        <v>0</v>
      </c>
    </row>
    <row r="302" spans="1:13" x14ac:dyDescent="0.25">
      <c r="A302" s="54"/>
      <c r="G302" s="11"/>
      <c r="H302" s="33">
        <v>297</v>
      </c>
      <c r="I302" s="34" t="str">
        <f t="shared" si="20"/>
        <v/>
      </c>
      <c r="J302" s="33">
        <f t="shared" si="23"/>
        <v>-8</v>
      </c>
      <c r="K302" s="33">
        <f t="shared" si="21"/>
        <v>-80</v>
      </c>
      <c r="L302" s="33"/>
      <c r="M302" s="35">
        <f t="shared" si="22"/>
        <v>0</v>
      </c>
    </row>
    <row r="303" spans="1:13" x14ac:dyDescent="0.25">
      <c r="A303" s="54"/>
      <c r="G303" s="11"/>
      <c r="H303" s="33">
        <v>298</v>
      </c>
      <c r="I303" s="34" t="str">
        <f t="shared" si="20"/>
        <v/>
      </c>
      <c r="J303" s="33">
        <f t="shared" si="23"/>
        <v>-8</v>
      </c>
      <c r="K303" s="33">
        <f t="shared" si="21"/>
        <v>-80</v>
      </c>
      <c r="L303" s="33"/>
      <c r="M303" s="35">
        <f t="shared" si="22"/>
        <v>0</v>
      </c>
    </row>
    <row r="304" spans="1:13" x14ac:dyDescent="0.25">
      <c r="A304" s="54"/>
      <c r="G304" s="11"/>
      <c r="H304" s="33">
        <v>299</v>
      </c>
      <c r="I304" s="34" t="str">
        <f t="shared" si="20"/>
        <v/>
      </c>
      <c r="J304" s="33">
        <f t="shared" si="23"/>
        <v>-8</v>
      </c>
      <c r="K304" s="33">
        <f t="shared" si="21"/>
        <v>-80</v>
      </c>
      <c r="L304" s="33"/>
      <c r="M304" s="35">
        <f t="shared" si="22"/>
        <v>0</v>
      </c>
    </row>
    <row r="305" spans="1:16" x14ac:dyDescent="0.25">
      <c r="A305" s="54"/>
      <c r="G305" s="11"/>
      <c r="H305" s="33">
        <v>300</v>
      </c>
      <c r="I305" s="34" t="str">
        <f t="shared" si="20"/>
        <v/>
      </c>
      <c r="J305" s="33">
        <f t="shared" si="23"/>
        <v>-8</v>
      </c>
      <c r="K305" s="33">
        <f t="shared" si="21"/>
        <v>-80</v>
      </c>
      <c r="L305" s="33"/>
      <c r="M305" s="35">
        <f t="shared" si="22"/>
        <v>0</v>
      </c>
    </row>
    <row r="306" spans="1:16" x14ac:dyDescent="0.25">
      <c r="A306" s="56"/>
    </row>
    <row r="314" spans="1:16" x14ac:dyDescent="0.25">
      <c r="L314" s="59"/>
      <c r="P314" s="49"/>
    </row>
    <row r="315" spans="1:16" x14ac:dyDescent="0.25">
      <c r="L315" s="59"/>
      <c r="P315" s="49"/>
    </row>
    <row r="316" spans="1:16" x14ac:dyDescent="0.25">
      <c r="L316" s="59"/>
      <c r="P316" s="49"/>
    </row>
    <row r="317" spans="1:16" x14ac:dyDescent="0.25">
      <c r="L317" s="59"/>
      <c r="P317" s="49"/>
    </row>
  </sheetData>
  <mergeCells count="2">
    <mergeCell ref="C2:D2"/>
    <mergeCell ref="C3:D3"/>
  </mergeCells>
  <conditionalFormatting sqref="J6:K305">
    <cfRule type="cellIs" dxfId="26" priority="1" operator="lessThanOrEqual">
      <formula>0</formula>
    </cfRule>
  </conditionalFormatting>
  <dataValidations count="1">
    <dataValidation type="list" allowBlank="1" showInputMessage="1" showErrorMessage="1" sqref="C38:C69" xr:uid="{1F230CD2-FF83-418B-8019-F6BBB8225703}">
      <formula1>#REF!</formula1>
    </dataValidation>
  </dataValidations>
  <hyperlinks>
    <hyperlink ref="C2:D2" r:id="rId1" display="KONIN" xr:uid="{A09B6A10-9008-4A42-A6B7-EA1BC4CC8BA0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BB6E3-AF55-43E1-A0FA-B05632D37D7C}">
  <sheetPr>
    <tabColor rgb="FF92D050"/>
  </sheetPr>
  <dimension ref="A1:AL318"/>
  <sheetViews>
    <sheetView workbookViewId="0">
      <selection activeCell="V8" sqref="V8"/>
    </sheetView>
  </sheetViews>
  <sheetFormatPr defaultColWidth="8.875" defaultRowHeight="14.3" x14ac:dyDescent="0.25"/>
  <cols>
    <col min="1" max="1" width="8" style="55" customWidth="1"/>
    <col min="2" max="2" width="8.25" style="55" customWidth="1"/>
    <col min="3" max="3" width="34.75" style="55" customWidth="1"/>
    <col min="4" max="4" width="11.25" style="55" customWidth="1"/>
    <col min="5" max="6" width="8.875" style="55"/>
    <col min="7" max="7" width="0.875" style="55" customWidth="1"/>
    <col min="8" max="8" width="8.875" style="57"/>
    <col min="9" max="9" width="11" style="57" customWidth="1"/>
    <col min="10" max="10" width="15.25" style="57" customWidth="1"/>
    <col min="11" max="11" width="8.75" style="57" customWidth="1"/>
    <col min="12" max="12" width="11" style="57" customWidth="1"/>
    <col min="13" max="13" width="11.75" style="58" customWidth="1"/>
    <col min="14" max="14" width="6.25" style="11" customWidth="1"/>
    <col min="15" max="15" width="1.875" style="11" bestFit="1" customWidth="1"/>
    <col min="16" max="16" width="27.25" style="61" bestFit="1" customWidth="1"/>
    <col min="17" max="17" width="7.375" style="15" customWidth="1"/>
    <col min="18" max="18" width="8.875" style="15"/>
    <col min="19" max="20" width="8.875" style="16"/>
    <col min="21" max="21" width="12.125" style="16" customWidth="1"/>
    <col min="22" max="22" width="27.375" style="16" customWidth="1"/>
    <col min="23" max="38" width="8.875" style="16"/>
    <col min="39" max="16384" width="8.875" style="55"/>
  </cols>
  <sheetData>
    <row r="1" spans="1:36" x14ac:dyDescent="0.25">
      <c r="A1" s="11"/>
      <c r="B1" s="11"/>
      <c r="C1" s="11"/>
      <c r="D1" s="11"/>
      <c r="E1" s="11"/>
      <c r="F1" s="11"/>
      <c r="G1" s="11"/>
      <c r="H1" s="12" t="s">
        <v>13</v>
      </c>
      <c r="I1" s="13" t="s">
        <v>14</v>
      </c>
      <c r="J1" s="13" t="s">
        <v>15</v>
      </c>
      <c r="K1" s="14" t="s">
        <v>16</v>
      </c>
      <c r="L1" s="15"/>
      <c r="M1" s="15"/>
      <c r="N1" s="191" t="s">
        <v>42</v>
      </c>
      <c r="O1" s="191" t="s">
        <v>42</v>
      </c>
      <c r="P1" s="192" t="s">
        <v>42</v>
      </c>
      <c r="Q1" s="193" t="s">
        <v>42</v>
      </c>
      <c r="R1" s="193" t="s">
        <v>42</v>
      </c>
    </row>
    <row r="2" spans="1:36" ht="14.3" customHeight="1" x14ac:dyDescent="0.25">
      <c r="A2" s="11"/>
      <c r="B2" s="17" t="s">
        <v>17</v>
      </c>
      <c r="C2" s="237" t="s">
        <v>81</v>
      </c>
      <c r="D2" s="237"/>
      <c r="E2" s="18"/>
      <c r="F2" s="18"/>
      <c r="G2" s="18"/>
      <c r="H2" s="19">
        <v>1</v>
      </c>
      <c r="I2" s="20">
        <v>50</v>
      </c>
      <c r="J2" s="20">
        <v>10</v>
      </c>
      <c r="K2" s="21">
        <f>3*H2^(1/3)</f>
        <v>3</v>
      </c>
      <c r="L2" s="15"/>
      <c r="M2" s="15"/>
      <c r="N2" s="191" t="s">
        <v>42</v>
      </c>
      <c r="O2" s="191" t="s">
        <v>42</v>
      </c>
      <c r="P2" s="192" t="s">
        <v>42</v>
      </c>
      <c r="Q2" s="193" t="s">
        <v>42</v>
      </c>
      <c r="R2" s="193" t="s">
        <v>42</v>
      </c>
    </row>
    <row r="3" spans="1:36" ht="14.3" customHeight="1" x14ac:dyDescent="0.25">
      <c r="A3" s="11"/>
      <c r="B3" s="22" t="s">
        <v>18</v>
      </c>
      <c r="C3" s="238" t="s">
        <v>82</v>
      </c>
      <c r="D3" s="238"/>
      <c r="E3" s="23"/>
      <c r="F3" s="23"/>
      <c r="G3" s="23"/>
      <c r="H3" s="15"/>
      <c r="I3" s="15"/>
      <c r="J3" s="24"/>
      <c r="K3" s="15"/>
      <c r="L3" s="15"/>
      <c r="M3" s="15"/>
      <c r="N3" s="191" t="s">
        <v>42</v>
      </c>
      <c r="O3" s="191" t="s">
        <v>42</v>
      </c>
      <c r="P3" s="192" t="s">
        <v>42</v>
      </c>
      <c r="Q3" s="193" t="s">
        <v>42</v>
      </c>
      <c r="R3" s="193" t="s">
        <v>42</v>
      </c>
    </row>
    <row r="4" spans="1:36" ht="10.199999999999999" customHeight="1" x14ac:dyDescent="0.25">
      <c r="A4" s="25"/>
      <c r="B4" s="23"/>
      <c r="C4" s="25"/>
      <c r="D4" s="25"/>
      <c r="E4" s="25"/>
      <c r="F4" s="25"/>
      <c r="G4" s="25"/>
      <c r="H4" s="15"/>
      <c r="I4" s="15"/>
      <c r="J4" s="24"/>
      <c r="K4" s="15"/>
      <c r="L4" s="15"/>
      <c r="M4" s="15"/>
      <c r="N4" s="191" t="s">
        <v>42</v>
      </c>
      <c r="O4" s="191" t="s">
        <v>42</v>
      </c>
      <c r="P4" s="192" t="s">
        <v>42</v>
      </c>
      <c r="Q4" s="193" t="s">
        <v>42</v>
      </c>
      <c r="R4" s="193" t="s">
        <v>42</v>
      </c>
    </row>
    <row r="5" spans="1:36" ht="34.65" x14ac:dyDescent="0.25">
      <c r="A5" s="1" t="s">
        <v>19</v>
      </c>
      <c r="B5" s="26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25"/>
      <c r="H5" s="27" t="s">
        <v>25</v>
      </c>
      <c r="I5" s="28" t="s">
        <v>26</v>
      </c>
      <c r="J5" s="29" t="s">
        <v>27</v>
      </c>
      <c r="K5" s="28" t="s">
        <v>28</v>
      </c>
      <c r="L5" s="28" t="s">
        <v>29</v>
      </c>
      <c r="M5" s="27" t="s">
        <v>30</v>
      </c>
      <c r="N5" s="191" t="s">
        <v>42</v>
      </c>
      <c r="O5" s="217" t="s">
        <v>20</v>
      </c>
      <c r="P5" s="218" t="s">
        <v>21</v>
      </c>
      <c r="Q5" s="216" t="s">
        <v>27</v>
      </c>
      <c r="R5" s="216" t="s">
        <v>28</v>
      </c>
    </row>
    <row r="6" spans="1:36" ht="14.45" customHeight="1" x14ac:dyDescent="0.25">
      <c r="A6" s="30">
        <f>M6</f>
        <v>79</v>
      </c>
      <c r="B6" s="31">
        <f t="shared" ref="B6:B14" si="0">IF(H6&gt;$H$2,"",(ROW()-5))</f>
        <v>1</v>
      </c>
      <c r="C6" s="32" t="s">
        <v>10</v>
      </c>
      <c r="D6" s="32" t="s">
        <v>84</v>
      </c>
      <c r="E6" s="32"/>
      <c r="F6" s="32"/>
      <c r="G6" s="25"/>
      <c r="H6" s="33">
        <v>1</v>
      </c>
      <c r="I6" s="34">
        <f>IF(H2=1,50,IF(H6&lt;$H$2+1,($I$2-($I$2-1)*(LOG(H6)/LOG($H$2))),""))</f>
        <v>50</v>
      </c>
      <c r="J6" s="220">
        <v>2</v>
      </c>
      <c r="K6" s="33">
        <f t="shared" ref="K6:K69" si="1">J6*$J$2</f>
        <v>20</v>
      </c>
      <c r="L6" s="35">
        <f>3*K2</f>
        <v>9</v>
      </c>
      <c r="M6" s="35">
        <f t="shared" ref="M6:M69" si="2">IF(I6&lt;&gt;"",K6+I6+L6,0)</f>
        <v>79</v>
      </c>
      <c r="N6" s="191" t="s">
        <v>42</v>
      </c>
      <c r="O6" s="217">
        <v>1</v>
      </c>
      <c r="P6" s="219" t="s">
        <v>83</v>
      </c>
      <c r="Q6" s="211">
        <v>2</v>
      </c>
      <c r="R6" s="211">
        <v>20</v>
      </c>
    </row>
    <row r="7" spans="1:36" ht="14.45" customHeight="1" x14ac:dyDescent="0.25">
      <c r="A7" s="36">
        <f t="shared" ref="A7:A37" si="3">M7</f>
        <v>0</v>
      </c>
      <c r="B7" s="37" t="str">
        <f t="shared" si="0"/>
        <v/>
      </c>
      <c r="C7" s="38"/>
      <c r="D7" s="38"/>
      <c r="E7" s="38"/>
      <c r="F7" s="38"/>
      <c r="G7" s="25"/>
      <c r="H7" s="39">
        <v>2</v>
      </c>
      <c r="I7" s="40" t="str">
        <f t="shared" ref="I7:I69" si="4">IF(H7&lt;$H$2+1,($I$2-($I$2-1)*(LOG(H7)/LOG($H$2))),"")</f>
        <v/>
      </c>
      <c r="J7" s="39">
        <f t="shared" ref="J7:J70" si="5">INT(LOG($H$2,2))-ROUNDUP(LOG(H7,2),0)+IF(OR($H$2=1,$H$2=2,$H$2=4,$H$2=8,$H$2=16,$H$2=32,$H$2=64,$H$2=128,$H$2=256),0,1)</f>
        <v>-1</v>
      </c>
      <c r="K7" s="39">
        <f t="shared" si="1"/>
        <v>-10</v>
      </c>
      <c r="L7" s="41">
        <f>2*K2</f>
        <v>6</v>
      </c>
      <c r="M7" s="41">
        <f t="shared" si="2"/>
        <v>0</v>
      </c>
      <c r="N7" s="191" t="s">
        <v>42</v>
      </c>
      <c r="O7" s="217">
        <v>2</v>
      </c>
      <c r="P7" s="219" t="s">
        <v>85</v>
      </c>
      <c r="Q7" s="211">
        <v>1</v>
      </c>
      <c r="R7" s="211">
        <v>10</v>
      </c>
    </row>
    <row r="8" spans="1:36" ht="14.45" customHeight="1" x14ac:dyDescent="0.25">
      <c r="A8" s="30">
        <f t="shared" si="3"/>
        <v>0</v>
      </c>
      <c r="B8" s="31" t="str">
        <f t="shared" si="0"/>
        <v/>
      </c>
      <c r="C8" s="32"/>
      <c r="D8" s="32"/>
      <c r="E8" s="32"/>
      <c r="F8" s="32"/>
      <c r="G8" s="25"/>
      <c r="H8" s="33">
        <v>3</v>
      </c>
      <c r="I8" s="34" t="str">
        <f t="shared" si="4"/>
        <v/>
      </c>
      <c r="J8" s="33">
        <f t="shared" si="5"/>
        <v>-2</v>
      </c>
      <c r="K8" s="33">
        <f t="shared" si="1"/>
        <v>-20</v>
      </c>
      <c r="L8" s="35">
        <f>K2</f>
        <v>3</v>
      </c>
      <c r="M8" s="35">
        <f t="shared" si="2"/>
        <v>0</v>
      </c>
      <c r="N8" s="191" t="s">
        <v>42</v>
      </c>
      <c r="O8" s="217">
        <v>3</v>
      </c>
      <c r="P8" s="219" t="s">
        <v>86</v>
      </c>
      <c r="Q8" s="211">
        <v>0</v>
      </c>
      <c r="R8" s="211">
        <v>0</v>
      </c>
    </row>
    <row r="9" spans="1:36" ht="14.45" customHeight="1" x14ac:dyDescent="0.25">
      <c r="A9" s="36">
        <f t="shared" si="3"/>
        <v>0</v>
      </c>
      <c r="B9" s="37" t="str">
        <f t="shared" si="0"/>
        <v/>
      </c>
      <c r="C9" s="38"/>
      <c r="D9" s="38"/>
      <c r="E9" s="38"/>
      <c r="F9" s="38"/>
      <c r="G9" s="25"/>
      <c r="H9" s="39">
        <v>4</v>
      </c>
      <c r="I9" s="40" t="str">
        <f t="shared" si="4"/>
        <v/>
      </c>
      <c r="J9" s="39">
        <f t="shared" si="5"/>
        <v>-2</v>
      </c>
      <c r="K9" s="39">
        <f t="shared" si="1"/>
        <v>-20</v>
      </c>
      <c r="L9" s="41"/>
      <c r="M9" s="41">
        <f t="shared" si="2"/>
        <v>0</v>
      </c>
      <c r="N9" s="191" t="s">
        <v>42</v>
      </c>
      <c r="O9" s="217">
        <v>4</v>
      </c>
      <c r="P9" s="219" t="s">
        <v>87</v>
      </c>
      <c r="Q9" s="211">
        <v>0</v>
      </c>
      <c r="R9" s="211">
        <v>0</v>
      </c>
      <c r="V9" s="42"/>
      <c r="Z9" s="43"/>
      <c r="AA9" s="43"/>
      <c r="AG9" s="44"/>
      <c r="AH9" s="16" t="s">
        <v>34</v>
      </c>
      <c r="AI9" s="16">
        <v>23</v>
      </c>
    </row>
    <row r="10" spans="1:36" ht="14.45" customHeight="1" x14ac:dyDescent="0.25">
      <c r="A10" s="30">
        <f t="shared" si="3"/>
        <v>0</v>
      </c>
      <c r="B10" s="31" t="str">
        <f t="shared" si="0"/>
        <v/>
      </c>
      <c r="C10" s="32"/>
      <c r="D10" s="32"/>
      <c r="E10" s="32"/>
      <c r="F10" s="32"/>
      <c r="G10" s="25"/>
      <c r="H10" s="33">
        <v>5</v>
      </c>
      <c r="I10" s="34" t="str">
        <f t="shared" si="4"/>
        <v/>
      </c>
      <c r="J10" s="33">
        <f t="shared" si="5"/>
        <v>-3</v>
      </c>
      <c r="K10" s="33">
        <f t="shared" si="1"/>
        <v>-30</v>
      </c>
      <c r="L10" s="33"/>
      <c r="M10" s="35">
        <f t="shared" si="2"/>
        <v>0</v>
      </c>
      <c r="N10" s="191"/>
      <c r="O10" s="194"/>
      <c r="P10" s="195"/>
      <c r="Q10" s="211"/>
      <c r="R10" s="211"/>
      <c r="V10" s="42"/>
      <c r="Z10" s="43"/>
      <c r="AA10" s="43"/>
      <c r="AG10" s="44"/>
      <c r="AH10" s="16" t="s">
        <v>35</v>
      </c>
      <c r="AI10" s="16">
        <v>45</v>
      </c>
    </row>
    <row r="11" spans="1:36" ht="14.45" customHeight="1" x14ac:dyDescent="0.25">
      <c r="A11" s="36">
        <f t="shared" si="3"/>
        <v>0</v>
      </c>
      <c r="B11" s="37" t="str">
        <f t="shared" si="0"/>
        <v/>
      </c>
      <c r="C11" s="38"/>
      <c r="D11" s="38"/>
      <c r="E11" s="38"/>
      <c r="F11" s="38"/>
      <c r="G11" s="25"/>
      <c r="H11" s="39">
        <v>6</v>
      </c>
      <c r="I11" s="40" t="str">
        <f t="shared" si="4"/>
        <v/>
      </c>
      <c r="J11" s="39">
        <f t="shared" si="5"/>
        <v>-3</v>
      </c>
      <c r="K11" s="39">
        <f t="shared" si="1"/>
        <v>-30</v>
      </c>
      <c r="L11" s="39"/>
      <c r="M11" s="41">
        <f t="shared" si="2"/>
        <v>0</v>
      </c>
      <c r="N11" s="191"/>
      <c r="O11" s="194"/>
      <c r="P11" s="195"/>
      <c r="Q11" s="211"/>
      <c r="R11" s="211"/>
      <c r="V11" s="45"/>
      <c r="Z11" s="43"/>
      <c r="AA11" s="43"/>
      <c r="AG11" s="44"/>
      <c r="AH11" s="16" t="s">
        <v>36</v>
      </c>
      <c r="AI11" s="16">
        <v>50</v>
      </c>
    </row>
    <row r="12" spans="1:36" ht="14.45" customHeight="1" x14ac:dyDescent="0.25">
      <c r="A12" s="30">
        <f t="shared" si="3"/>
        <v>0</v>
      </c>
      <c r="B12" s="31" t="str">
        <f t="shared" si="0"/>
        <v/>
      </c>
      <c r="C12" s="32"/>
      <c r="D12" s="32"/>
      <c r="E12" s="32"/>
      <c r="F12" s="32"/>
      <c r="G12" s="25"/>
      <c r="H12" s="33">
        <v>7</v>
      </c>
      <c r="I12" s="34" t="str">
        <f t="shared" si="4"/>
        <v/>
      </c>
      <c r="J12" s="33">
        <f t="shared" si="5"/>
        <v>-3</v>
      </c>
      <c r="K12" s="33">
        <f t="shared" si="1"/>
        <v>-30</v>
      </c>
      <c r="L12" s="33"/>
      <c r="M12" s="35">
        <f t="shared" si="2"/>
        <v>0</v>
      </c>
      <c r="N12" s="191"/>
      <c r="O12" s="194"/>
      <c r="P12" s="195"/>
      <c r="Q12" s="211"/>
      <c r="R12" s="211"/>
      <c r="Z12" s="43"/>
      <c r="AA12" s="43"/>
      <c r="AG12" s="44"/>
      <c r="AH12" s="16" t="s">
        <v>37</v>
      </c>
      <c r="AI12" s="16">
        <f>AI11-1</f>
        <v>49</v>
      </c>
    </row>
    <row r="13" spans="1:36" ht="14.45" customHeight="1" x14ac:dyDescent="0.25">
      <c r="A13" s="46">
        <f t="shared" si="3"/>
        <v>0</v>
      </c>
      <c r="B13" s="37" t="str">
        <f t="shared" si="0"/>
        <v/>
      </c>
      <c r="C13" s="38"/>
      <c r="D13" s="38"/>
      <c r="E13" s="38"/>
      <c r="F13" s="38"/>
      <c r="G13" s="25"/>
      <c r="H13" s="39">
        <v>8</v>
      </c>
      <c r="I13" s="40" t="str">
        <f t="shared" si="4"/>
        <v/>
      </c>
      <c r="J13" s="39">
        <f t="shared" si="5"/>
        <v>-3</v>
      </c>
      <c r="K13" s="39">
        <f t="shared" si="1"/>
        <v>-30</v>
      </c>
      <c r="L13" s="39"/>
      <c r="M13" s="41">
        <f t="shared" si="2"/>
        <v>0</v>
      </c>
      <c r="N13" s="191"/>
      <c r="O13" s="194"/>
      <c r="P13" s="195"/>
      <c r="Q13" s="211"/>
      <c r="R13" s="211"/>
      <c r="X13" s="42"/>
      <c r="AG13" s="44"/>
      <c r="AH13" s="16" t="s">
        <v>38</v>
      </c>
      <c r="AI13" s="16">
        <f>LOG(AI9)</f>
        <v>1.3617278360175928</v>
      </c>
    </row>
    <row r="14" spans="1:36" x14ac:dyDescent="0.25">
      <c r="A14" s="47">
        <f t="shared" si="3"/>
        <v>0</v>
      </c>
      <c r="B14" s="31" t="str">
        <f t="shared" si="0"/>
        <v/>
      </c>
      <c r="C14" s="32"/>
      <c r="D14" s="32"/>
      <c r="E14" s="32"/>
      <c r="F14" s="32"/>
      <c r="G14" s="25"/>
      <c r="H14" s="33">
        <v>9</v>
      </c>
      <c r="I14" s="34" t="str">
        <f t="shared" si="4"/>
        <v/>
      </c>
      <c r="J14" s="33">
        <f t="shared" si="5"/>
        <v>-4</v>
      </c>
      <c r="K14" s="33">
        <f t="shared" si="1"/>
        <v>-40</v>
      </c>
      <c r="L14" s="33"/>
      <c r="M14" s="35">
        <f t="shared" si="2"/>
        <v>0</v>
      </c>
      <c r="N14" s="191"/>
      <c r="O14" s="194"/>
      <c r="P14" s="195"/>
      <c r="Q14" s="211"/>
      <c r="R14" s="211"/>
      <c r="X14" s="48"/>
      <c r="Z14" s="43"/>
      <c r="AA14" s="43"/>
      <c r="AG14" s="44"/>
      <c r="AH14" s="16" t="s">
        <v>39</v>
      </c>
      <c r="AI14" s="16">
        <f>LOG(AI10)</f>
        <v>1.6532125137753437</v>
      </c>
    </row>
    <row r="15" spans="1:36" x14ac:dyDescent="0.25">
      <c r="A15" s="46">
        <f t="shared" si="3"/>
        <v>0</v>
      </c>
      <c r="B15" s="37" t="str">
        <f t="shared" ref="B15:B65" si="6">IF(H15&gt;$H$2,"",(ROW()-5))</f>
        <v/>
      </c>
      <c r="C15" s="38"/>
      <c r="D15" s="38"/>
      <c r="E15" s="38"/>
      <c r="F15" s="38"/>
      <c r="G15" s="25"/>
      <c r="H15" s="39">
        <v>10</v>
      </c>
      <c r="I15" s="40" t="str">
        <f t="shared" si="4"/>
        <v/>
      </c>
      <c r="J15" s="39">
        <f t="shared" si="5"/>
        <v>-4</v>
      </c>
      <c r="K15" s="39">
        <f t="shared" si="1"/>
        <v>-40</v>
      </c>
      <c r="L15" s="39"/>
      <c r="M15" s="41">
        <f t="shared" si="2"/>
        <v>0</v>
      </c>
      <c r="N15" s="191"/>
      <c r="O15" s="194"/>
      <c r="P15" s="195"/>
      <c r="Q15" s="211"/>
      <c r="R15" s="211"/>
      <c r="X15" s="42"/>
      <c r="Z15" s="43"/>
      <c r="AA15" s="43"/>
    </row>
    <row r="16" spans="1:36" x14ac:dyDescent="0.25">
      <c r="A16" s="47">
        <f t="shared" si="3"/>
        <v>0</v>
      </c>
      <c r="B16" s="31" t="str">
        <f t="shared" si="6"/>
        <v/>
      </c>
      <c r="C16" s="32"/>
      <c r="D16" s="32"/>
      <c r="E16" s="32"/>
      <c r="F16" s="32"/>
      <c r="G16" s="25"/>
      <c r="H16" s="33">
        <v>11</v>
      </c>
      <c r="I16" s="34" t="str">
        <f t="shared" si="4"/>
        <v/>
      </c>
      <c r="J16" s="33">
        <f t="shared" si="5"/>
        <v>-4</v>
      </c>
      <c r="K16" s="33">
        <f t="shared" si="1"/>
        <v>-40</v>
      </c>
      <c r="L16" s="33"/>
      <c r="M16" s="35">
        <f t="shared" si="2"/>
        <v>0</v>
      </c>
      <c r="N16" s="191"/>
      <c r="O16" s="191"/>
      <c r="P16" s="192"/>
      <c r="Q16" s="193"/>
      <c r="R16" s="193"/>
      <c r="Z16" s="43"/>
      <c r="AA16" s="43"/>
      <c r="AH16" s="50" t="s">
        <v>40</v>
      </c>
      <c r="AI16" s="16">
        <f>AI11-AI12*AI13/AI14</f>
        <v>9.6393909380186855</v>
      </c>
      <c r="AJ16" s="16" t="s">
        <v>41</v>
      </c>
    </row>
    <row r="17" spans="1:19" x14ac:dyDescent="0.25">
      <c r="A17" s="46">
        <f t="shared" si="3"/>
        <v>0</v>
      </c>
      <c r="B17" s="37" t="str">
        <f t="shared" si="6"/>
        <v/>
      </c>
      <c r="C17" s="38"/>
      <c r="D17" s="38"/>
      <c r="E17" s="38"/>
      <c r="F17" s="38"/>
      <c r="G17" s="25"/>
      <c r="H17" s="39">
        <v>12</v>
      </c>
      <c r="I17" s="40" t="str">
        <f t="shared" si="4"/>
        <v/>
      </c>
      <c r="J17" s="39">
        <f t="shared" si="5"/>
        <v>-4</v>
      </c>
      <c r="K17" s="39">
        <f t="shared" si="1"/>
        <v>-40</v>
      </c>
      <c r="L17" s="39"/>
      <c r="M17" s="41">
        <f t="shared" si="2"/>
        <v>0</v>
      </c>
      <c r="N17" s="191" t="s">
        <v>42</v>
      </c>
      <c r="O17" s="191" t="s">
        <v>42</v>
      </c>
      <c r="P17" s="192" t="s">
        <v>42</v>
      </c>
      <c r="Q17" s="193" t="s">
        <v>42</v>
      </c>
      <c r="R17" s="193" t="s">
        <v>42</v>
      </c>
    </row>
    <row r="18" spans="1:19" x14ac:dyDescent="0.25">
      <c r="A18" s="47">
        <f t="shared" si="3"/>
        <v>0</v>
      </c>
      <c r="B18" s="31" t="str">
        <f t="shared" si="6"/>
        <v/>
      </c>
      <c r="C18" s="32"/>
      <c r="D18" s="32"/>
      <c r="E18" s="32"/>
      <c r="F18" s="32"/>
      <c r="G18" s="25"/>
      <c r="H18" s="33">
        <v>13</v>
      </c>
      <c r="I18" s="34" t="str">
        <f t="shared" si="4"/>
        <v/>
      </c>
      <c r="J18" s="33">
        <f t="shared" si="5"/>
        <v>-4</v>
      </c>
      <c r="K18" s="33">
        <f t="shared" si="1"/>
        <v>-40</v>
      </c>
      <c r="L18" s="33"/>
      <c r="M18" s="35">
        <f t="shared" si="2"/>
        <v>0</v>
      </c>
      <c r="N18" s="191" t="s">
        <v>42</v>
      </c>
      <c r="O18" s="191" t="s">
        <v>42</v>
      </c>
      <c r="P18" s="192" t="s">
        <v>42</v>
      </c>
      <c r="Q18" s="193" t="s">
        <v>42</v>
      </c>
      <c r="R18" s="193" t="s">
        <v>42</v>
      </c>
    </row>
    <row r="19" spans="1:19" x14ac:dyDescent="0.25">
      <c r="A19" s="46">
        <f t="shared" si="3"/>
        <v>0</v>
      </c>
      <c r="B19" s="37" t="str">
        <f t="shared" si="6"/>
        <v/>
      </c>
      <c r="C19" s="38"/>
      <c r="D19" s="38"/>
      <c r="E19" s="38"/>
      <c r="F19" s="38"/>
      <c r="G19" s="25"/>
      <c r="H19" s="39">
        <v>14</v>
      </c>
      <c r="I19" s="40" t="str">
        <f t="shared" si="4"/>
        <v/>
      </c>
      <c r="J19" s="39">
        <f t="shared" si="5"/>
        <v>-4</v>
      </c>
      <c r="K19" s="39">
        <f t="shared" si="1"/>
        <v>-40</v>
      </c>
      <c r="L19" s="39"/>
      <c r="M19" s="41">
        <f t="shared" si="2"/>
        <v>0</v>
      </c>
      <c r="N19" s="191" t="s">
        <v>42</v>
      </c>
      <c r="O19" s="191" t="s">
        <v>42</v>
      </c>
      <c r="P19" s="192" t="s">
        <v>42</v>
      </c>
      <c r="Q19" s="193" t="s">
        <v>42</v>
      </c>
      <c r="R19" s="193" t="s">
        <v>42</v>
      </c>
    </row>
    <row r="20" spans="1:19" x14ac:dyDescent="0.25">
      <c r="A20" s="47">
        <f t="shared" si="3"/>
        <v>0</v>
      </c>
      <c r="B20" s="31" t="str">
        <f t="shared" si="6"/>
        <v/>
      </c>
      <c r="C20" s="32"/>
      <c r="D20" s="32"/>
      <c r="E20" s="32"/>
      <c r="F20" s="32"/>
      <c r="G20" s="25"/>
      <c r="H20" s="33">
        <v>15</v>
      </c>
      <c r="I20" s="34" t="str">
        <f t="shared" si="4"/>
        <v/>
      </c>
      <c r="J20" s="33">
        <f t="shared" si="5"/>
        <v>-4</v>
      </c>
      <c r="K20" s="33">
        <f t="shared" si="1"/>
        <v>-40</v>
      </c>
      <c r="L20" s="33"/>
      <c r="M20" s="35">
        <f t="shared" si="2"/>
        <v>0</v>
      </c>
      <c r="N20" s="191" t="s">
        <v>42</v>
      </c>
      <c r="O20" s="191" t="s">
        <v>42</v>
      </c>
      <c r="P20" s="192" t="s">
        <v>42</v>
      </c>
      <c r="Q20" s="196" t="s">
        <v>42</v>
      </c>
      <c r="R20" s="193" t="s">
        <v>42</v>
      </c>
      <c r="S20" s="52"/>
    </row>
    <row r="21" spans="1:19" x14ac:dyDescent="0.25">
      <c r="A21" s="46">
        <f t="shared" si="3"/>
        <v>0</v>
      </c>
      <c r="B21" s="37" t="str">
        <f t="shared" si="6"/>
        <v/>
      </c>
      <c r="C21" s="38"/>
      <c r="D21" s="38"/>
      <c r="E21" s="38"/>
      <c r="F21" s="38"/>
      <c r="G21" s="25"/>
      <c r="H21" s="39">
        <v>16</v>
      </c>
      <c r="I21" s="40" t="str">
        <f t="shared" si="4"/>
        <v/>
      </c>
      <c r="J21" s="39">
        <f t="shared" si="5"/>
        <v>-4</v>
      </c>
      <c r="K21" s="39">
        <f t="shared" si="1"/>
        <v>-40</v>
      </c>
      <c r="L21" s="39"/>
      <c r="M21" s="41">
        <f t="shared" si="2"/>
        <v>0</v>
      </c>
      <c r="N21" s="191" t="s">
        <v>42</v>
      </c>
      <c r="O21" s="191" t="s">
        <v>42</v>
      </c>
      <c r="P21" s="192" t="s">
        <v>42</v>
      </c>
      <c r="Q21" s="193" t="s">
        <v>42</v>
      </c>
      <c r="R21" s="193" t="s">
        <v>42</v>
      </c>
    </row>
    <row r="22" spans="1:19" x14ac:dyDescent="0.25">
      <c r="A22" s="47">
        <f t="shared" si="3"/>
        <v>0</v>
      </c>
      <c r="B22" s="31" t="str">
        <f t="shared" si="6"/>
        <v/>
      </c>
      <c r="C22" s="32"/>
      <c r="D22" s="32"/>
      <c r="E22" s="32"/>
      <c r="F22" s="32"/>
      <c r="G22" s="25"/>
      <c r="H22" s="33">
        <v>17</v>
      </c>
      <c r="I22" s="34" t="str">
        <f t="shared" si="4"/>
        <v/>
      </c>
      <c r="J22" s="33">
        <f t="shared" si="5"/>
        <v>-5</v>
      </c>
      <c r="K22" s="33">
        <f t="shared" si="1"/>
        <v>-50</v>
      </c>
      <c r="L22" s="33"/>
      <c r="M22" s="35">
        <f t="shared" si="2"/>
        <v>0</v>
      </c>
      <c r="N22" s="191" t="s">
        <v>42</v>
      </c>
      <c r="O22" s="191" t="s">
        <v>42</v>
      </c>
      <c r="P22" s="192" t="s">
        <v>42</v>
      </c>
      <c r="Q22" s="193" t="s">
        <v>42</v>
      </c>
      <c r="R22" s="193" t="s">
        <v>42</v>
      </c>
    </row>
    <row r="23" spans="1:19" x14ac:dyDescent="0.25">
      <c r="A23" s="46">
        <f t="shared" si="3"/>
        <v>0</v>
      </c>
      <c r="B23" s="37" t="str">
        <f t="shared" si="6"/>
        <v/>
      </c>
      <c r="C23" s="38"/>
      <c r="D23" s="38"/>
      <c r="E23" s="38"/>
      <c r="F23" s="38"/>
      <c r="G23" s="25"/>
      <c r="H23" s="39">
        <v>18</v>
      </c>
      <c r="I23" s="40" t="str">
        <f t="shared" si="4"/>
        <v/>
      </c>
      <c r="J23" s="39">
        <f t="shared" si="5"/>
        <v>-5</v>
      </c>
      <c r="K23" s="39">
        <f t="shared" si="1"/>
        <v>-50</v>
      </c>
      <c r="L23" s="39"/>
      <c r="M23" s="41">
        <f t="shared" si="2"/>
        <v>0</v>
      </c>
      <c r="N23" s="191" t="s">
        <v>42</v>
      </c>
      <c r="O23" s="191" t="s">
        <v>42</v>
      </c>
      <c r="P23" s="192" t="s">
        <v>42</v>
      </c>
      <c r="Q23" s="193" t="s">
        <v>42</v>
      </c>
      <c r="R23" s="193" t="s">
        <v>42</v>
      </c>
    </row>
    <row r="24" spans="1:19" x14ac:dyDescent="0.25">
      <c r="A24" s="47">
        <f t="shared" si="3"/>
        <v>0</v>
      </c>
      <c r="B24" s="31" t="str">
        <f t="shared" si="6"/>
        <v/>
      </c>
      <c r="C24" s="32"/>
      <c r="D24" s="32"/>
      <c r="E24" s="32"/>
      <c r="F24" s="32"/>
      <c r="G24" s="25"/>
      <c r="H24" s="33">
        <v>19</v>
      </c>
      <c r="I24" s="34" t="str">
        <f t="shared" si="4"/>
        <v/>
      </c>
      <c r="J24" s="33">
        <f t="shared" si="5"/>
        <v>-5</v>
      </c>
      <c r="K24" s="33">
        <f t="shared" si="1"/>
        <v>-50</v>
      </c>
      <c r="L24" s="33"/>
      <c r="M24" s="35">
        <f t="shared" si="2"/>
        <v>0</v>
      </c>
      <c r="N24" s="191" t="s">
        <v>42</v>
      </c>
      <c r="O24" s="191" t="s">
        <v>42</v>
      </c>
      <c r="P24" s="192" t="s">
        <v>42</v>
      </c>
      <c r="Q24" s="196" t="s">
        <v>42</v>
      </c>
      <c r="R24" s="193" t="s">
        <v>42</v>
      </c>
      <c r="S24" s="52"/>
    </row>
    <row r="25" spans="1:19" x14ac:dyDescent="0.25">
      <c r="A25" s="46">
        <f t="shared" si="3"/>
        <v>0</v>
      </c>
      <c r="B25" s="37" t="str">
        <f t="shared" si="6"/>
        <v/>
      </c>
      <c r="C25" s="38"/>
      <c r="D25" s="38"/>
      <c r="E25" s="38"/>
      <c r="F25" s="38"/>
      <c r="G25" s="25"/>
      <c r="H25" s="39">
        <v>20</v>
      </c>
      <c r="I25" s="40" t="str">
        <f t="shared" si="4"/>
        <v/>
      </c>
      <c r="J25" s="39">
        <f t="shared" si="5"/>
        <v>-5</v>
      </c>
      <c r="K25" s="39">
        <f t="shared" si="1"/>
        <v>-50</v>
      </c>
      <c r="L25" s="39"/>
      <c r="M25" s="41">
        <f t="shared" si="2"/>
        <v>0</v>
      </c>
      <c r="N25" s="191" t="s">
        <v>42</v>
      </c>
      <c r="O25" s="191" t="s">
        <v>42</v>
      </c>
      <c r="P25" s="192" t="s">
        <v>42</v>
      </c>
      <c r="Q25" s="193" t="s">
        <v>42</v>
      </c>
      <c r="R25" s="193" t="s">
        <v>42</v>
      </c>
    </row>
    <row r="26" spans="1:19" x14ac:dyDescent="0.25">
      <c r="A26" s="47">
        <f t="shared" si="3"/>
        <v>0</v>
      </c>
      <c r="B26" s="31" t="str">
        <f t="shared" si="6"/>
        <v/>
      </c>
      <c r="C26" s="32"/>
      <c r="D26" s="32"/>
      <c r="E26" s="32"/>
      <c r="F26" s="32"/>
      <c r="G26" s="25"/>
      <c r="H26" s="33">
        <v>21</v>
      </c>
      <c r="I26" s="34" t="str">
        <f t="shared" si="4"/>
        <v/>
      </c>
      <c r="J26" s="33">
        <f t="shared" si="5"/>
        <v>-5</v>
      </c>
      <c r="K26" s="33">
        <f t="shared" si="1"/>
        <v>-50</v>
      </c>
      <c r="L26" s="33"/>
      <c r="M26" s="35">
        <f t="shared" si="2"/>
        <v>0</v>
      </c>
      <c r="N26" s="191" t="s">
        <v>42</v>
      </c>
      <c r="O26" s="191" t="s">
        <v>42</v>
      </c>
      <c r="P26" s="192" t="s">
        <v>42</v>
      </c>
      <c r="Q26" s="193" t="s">
        <v>42</v>
      </c>
      <c r="R26" s="193" t="s">
        <v>42</v>
      </c>
    </row>
    <row r="27" spans="1:19" x14ac:dyDescent="0.25">
      <c r="A27" s="46">
        <f t="shared" si="3"/>
        <v>0</v>
      </c>
      <c r="B27" s="37" t="str">
        <f t="shared" si="6"/>
        <v/>
      </c>
      <c r="C27" s="38"/>
      <c r="D27" s="38"/>
      <c r="E27" s="38"/>
      <c r="F27" s="38"/>
      <c r="G27" s="25"/>
      <c r="H27" s="39">
        <v>22</v>
      </c>
      <c r="I27" s="40" t="str">
        <f t="shared" si="4"/>
        <v/>
      </c>
      <c r="J27" s="39">
        <f t="shared" si="5"/>
        <v>-5</v>
      </c>
      <c r="K27" s="39">
        <f t="shared" si="1"/>
        <v>-50</v>
      </c>
      <c r="L27" s="39"/>
      <c r="M27" s="41">
        <f t="shared" si="2"/>
        <v>0</v>
      </c>
      <c r="N27" s="191" t="s">
        <v>42</v>
      </c>
      <c r="O27" s="191" t="s">
        <v>42</v>
      </c>
      <c r="P27" s="192" t="s">
        <v>42</v>
      </c>
      <c r="Q27" s="193" t="s">
        <v>42</v>
      </c>
      <c r="R27" s="193" t="s">
        <v>42</v>
      </c>
    </row>
    <row r="28" spans="1:19" x14ac:dyDescent="0.25">
      <c r="A28" s="47">
        <f t="shared" si="3"/>
        <v>0</v>
      </c>
      <c r="B28" s="31" t="str">
        <f t="shared" si="6"/>
        <v/>
      </c>
      <c r="C28" s="32"/>
      <c r="D28" s="32"/>
      <c r="E28" s="32"/>
      <c r="F28" s="32"/>
      <c r="G28" s="25"/>
      <c r="H28" s="33">
        <v>23</v>
      </c>
      <c r="I28" s="34" t="str">
        <f t="shared" si="4"/>
        <v/>
      </c>
      <c r="J28" s="33">
        <f t="shared" si="5"/>
        <v>-5</v>
      </c>
      <c r="K28" s="33">
        <f t="shared" si="1"/>
        <v>-50</v>
      </c>
      <c r="L28" s="33"/>
      <c r="M28" s="35">
        <f t="shared" si="2"/>
        <v>0</v>
      </c>
      <c r="N28" s="191" t="s">
        <v>42</v>
      </c>
      <c r="O28" s="191" t="s">
        <v>42</v>
      </c>
      <c r="P28" s="192" t="s">
        <v>42</v>
      </c>
      <c r="Q28" s="196" t="s">
        <v>42</v>
      </c>
      <c r="R28" s="193" t="s">
        <v>42</v>
      </c>
      <c r="S28" s="52"/>
    </row>
    <row r="29" spans="1:19" x14ac:dyDescent="0.25">
      <c r="A29" s="46">
        <f t="shared" si="3"/>
        <v>0</v>
      </c>
      <c r="B29" s="37" t="str">
        <f t="shared" si="6"/>
        <v/>
      </c>
      <c r="C29" s="38"/>
      <c r="D29" s="38"/>
      <c r="E29" s="38"/>
      <c r="F29" s="38"/>
      <c r="G29" s="11"/>
      <c r="H29" s="39">
        <v>24</v>
      </c>
      <c r="I29" s="40" t="str">
        <f t="shared" si="4"/>
        <v/>
      </c>
      <c r="J29" s="39">
        <f t="shared" si="5"/>
        <v>-5</v>
      </c>
      <c r="K29" s="39">
        <f t="shared" si="1"/>
        <v>-50</v>
      </c>
      <c r="L29" s="39"/>
      <c r="M29" s="41">
        <f t="shared" si="2"/>
        <v>0</v>
      </c>
      <c r="N29" s="191" t="s">
        <v>42</v>
      </c>
      <c r="O29" s="191" t="s">
        <v>42</v>
      </c>
      <c r="P29" s="192" t="s">
        <v>42</v>
      </c>
      <c r="Q29" s="193" t="s">
        <v>42</v>
      </c>
      <c r="R29" s="193" t="s">
        <v>42</v>
      </c>
    </row>
    <row r="30" spans="1:19" x14ac:dyDescent="0.25">
      <c r="A30" s="47">
        <f t="shared" si="3"/>
        <v>0</v>
      </c>
      <c r="B30" s="31" t="str">
        <f t="shared" si="6"/>
        <v/>
      </c>
      <c r="C30" s="32"/>
      <c r="D30" s="32"/>
      <c r="E30" s="32"/>
      <c r="F30" s="32"/>
      <c r="G30" s="11"/>
      <c r="H30" s="33">
        <v>25</v>
      </c>
      <c r="I30" s="34" t="str">
        <f t="shared" si="4"/>
        <v/>
      </c>
      <c r="J30" s="33">
        <f t="shared" si="5"/>
        <v>-5</v>
      </c>
      <c r="K30" s="33">
        <f t="shared" si="1"/>
        <v>-50</v>
      </c>
      <c r="L30" s="33"/>
      <c r="M30" s="35">
        <f t="shared" si="2"/>
        <v>0</v>
      </c>
      <c r="N30" s="191" t="s">
        <v>42</v>
      </c>
      <c r="O30" s="191" t="s">
        <v>42</v>
      </c>
      <c r="P30" s="192" t="s">
        <v>42</v>
      </c>
      <c r="Q30" s="193" t="s">
        <v>42</v>
      </c>
      <c r="R30" s="193" t="s">
        <v>42</v>
      </c>
    </row>
    <row r="31" spans="1:19" x14ac:dyDescent="0.25">
      <c r="A31" s="46">
        <f t="shared" si="3"/>
        <v>0</v>
      </c>
      <c r="B31" s="37" t="str">
        <f t="shared" si="6"/>
        <v/>
      </c>
      <c r="C31" s="38"/>
      <c r="D31" s="38"/>
      <c r="E31" s="38"/>
      <c r="F31" s="38"/>
      <c r="G31" s="11"/>
      <c r="H31" s="39">
        <v>26</v>
      </c>
      <c r="I31" s="40" t="str">
        <f t="shared" si="4"/>
        <v/>
      </c>
      <c r="J31" s="39">
        <f t="shared" si="5"/>
        <v>-5</v>
      </c>
      <c r="K31" s="39">
        <f t="shared" si="1"/>
        <v>-50</v>
      </c>
      <c r="L31" s="39"/>
      <c r="M31" s="41">
        <f t="shared" si="2"/>
        <v>0</v>
      </c>
      <c r="N31" s="191" t="s">
        <v>42</v>
      </c>
      <c r="O31" s="191" t="s">
        <v>42</v>
      </c>
      <c r="P31" s="192" t="s">
        <v>42</v>
      </c>
      <c r="Q31" s="193" t="s">
        <v>42</v>
      </c>
      <c r="R31" s="193" t="s">
        <v>42</v>
      </c>
    </row>
    <row r="32" spans="1:19" x14ac:dyDescent="0.25">
      <c r="A32" s="47">
        <f t="shared" si="3"/>
        <v>0</v>
      </c>
      <c r="B32" s="31" t="str">
        <f t="shared" si="6"/>
        <v/>
      </c>
      <c r="C32" s="32"/>
      <c r="D32" s="32"/>
      <c r="E32" s="32"/>
      <c r="F32" s="32"/>
      <c r="G32" s="11"/>
      <c r="H32" s="33">
        <v>27</v>
      </c>
      <c r="I32" s="34" t="str">
        <f t="shared" si="4"/>
        <v/>
      </c>
      <c r="J32" s="33">
        <f t="shared" si="5"/>
        <v>-5</v>
      </c>
      <c r="K32" s="33">
        <f t="shared" si="1"/>
        <v>-50</v>
      </c>
      <c r="L32" s="33"/>
      <c r="M32" s="35">
        <f t="shared" si="2"/>
        <v>0</v>
      </c>
      <c r="N32" s="191" t="s">
        <v>42</v>
      </c>
      <c r="O32" s="191" t="s">
        <v>42</v>
      </c>
      <c r="P32" s="192" t="s">
        <v>42</v>
      </c>
      <c r="Q32" s="196" t="s">
        <v>42</v>
      </c>
      <c r="R32" s="193" t="s">
        <v>42</v>
      </c>
      <c r="S32" s="52"/>
    </row>
    <row r="33" spans="1:21" x14ac:dyDescent="0.25">
      <c r="A33" s="46">
        <f t="shared" si="3"/>
        <v>0</v>
      </c>
      <c r="B33" s="37" t="str">
        <f t="shared" si="6"/>
        <v/>
      </c>
      <c r="C33" s="38"/>
      <c r="D33" s="38"/>
      <c r="E33" s="38"/>
      <c r="F33" s="38"/>
      <c r="G33" s="11"/>
      <c r="H33" s="39">
        <v>28</v>
      </c>
      <c r="I33" s="40" t="str">
        <f t="shared" si="4"/>
        <v/>
      </c>
      <c r="J33" s="39">
        <f t="shared" si="5"/>
        <v>-5</v>
      </c>
      <c r="K33" s="39">
        <f t="shared" si="1"/>
        <v>-50</v>
      </c>
      <c r="L33" s="39"/>
      <c r="M33" s="41">
        <f t="shared" si="2"/>
        <v>0</v>
      </c>
      <c r="N33" s="191" t="s">
        <v>42</v>
      </c>
      <c r="O33" s="191" t="s">
        <v>42</v>
      </c>
      <c r="P33" s="192" t="s">
        <v>42</v>
      </c>
      <c r="Q33" s="193" t="s">
        <v>42</v>
      </c>
      <c r="R33" s="193" t="s">
        <v>42</v>
      </c>
    </row>
    <row r="34" spans="1:21" x14ac:dyDescent="0.25">
      <c r="A34" s="47">
        <f t="shared" si="3"/>
        <v>0</v>
      </c>
      <c r="B34" s="31" t="str">
        <f t="shared" si="6"/>
        <v/>
      </c>
      <c r="C34" s="32"/>
      <c r="D34" s="32"/>
      <c r="E34" s="32"/>
      <c r="F34" s="32"/>
      <c r="G34" s="11"/>
      <c r="H34" s="33">
        <v>29</v>
      </c>
      <c r="I34" s="34" t="str">
        <f t="shared" si="4"/>
        <v/>
      </c>
      <c r="J34" s="33">
        <f t="shared" si="5"/>
        <v>-5</v>
      </c>
      <c r="K34" s="33">
        <f t="shared" si="1"/>
        <v>-50</v>
      </c>
      <c r="L34" s="33"/>
      <c r="M34" s="35">
        <f t="shared" si="2"/>
        <v>0</v>
      </c>
      <c r="N34" s="191" t="s">
        <v>42</v>
      </c>
      <c r="O34" s="191" t="s">
        <v>42</v>
      </c>
      <c r="P34" s="192" t="s">
        <v>42</v>
      </c>
      <c r="Q34" s="193" t="s">
        <v>42</v>
      </c>
      <c r="R34" s="193" t="s">
        <v>42</v>
      </c>
    </row>
    <row r="35" spans="1:21" x14ac:dyDescent="0.25">
      <c r="A35" s="46">
        <f t="shared" si="3"/>
        <v>0</v>
      </c>
      <c r="B35" s="37" t="str">
        <f t="shared" si="6"/>
        <v/>
      </c>
      <c r="C35" s="38"/>
      <c r="D35" s="38"/>
      <c r="E35" s="38"/>
      <c r="F35" s="38"/>
      <c r="G35" s="11"/>
      <c r="H35" s="39">
        <v>30</v>
      </c>
      <c r="I35" s="40" t="str">
        <f t="shared" si="4"/>
        <v/>
      </c>
      <c r="J35" s="39">
        <f t="shared" si="5"/>
        <v>-5</v>
      </c>
      <c r="K35" s="39">
        <f t="shared" si="1"/>
        <v>-50</v>
      </c>
      <c r="L35" s="39"/>
      <c r="M35" s="41">
        <f t="shared" si="2"/>
        <v>0</v>
      </c>
      <c r="N35" s="191" t="s">
        <v>42</v>
      </c>
      <c r="O35" s="191" t="s">
        <v>42</v>
      </c>
      <c r="P35" s="192" t="s">
        <v>42</v>
      </c>
      <c r="Q35" s="193" t="s">
        <v>42</v>
      </c>
      <c r="R35" s="193" t="s">
        <v>42</v>
      </c>
    </row>
    <row r="36" spans="1:21" x14ac:dyDescent="0.25">
      <c r="A36" s="47">
        <f t="shared" si="3"/>
        <v>0</v>
      </c>
      <c r="B36" s="31" t="str">
        <f t="shared" si="6"/>
        <v/>
      </c>
      <c r="C36" s="32"/>
      <c r="D36" s="32"/>
      <c r="E36" s="32"/>
      <c r="F36" s="32"/>
      <c r="G36" s="11"/>
      <c r="H36" s="33">
        <v>31</v>
      </c>
      <c r="I36" s="34" t="str">
        <f t="shared" si="4"/>
        <v/>
      </c>
      <c r="J36" s="33">
        <f t="shared" si="5"/>
        <v>-5</v>
      </c>
      <c r="K36" s="33">
        <f t="shared" si="1"/>
        <v>-50</v>
      </c>
      <c r="L36" s="33"/>
      <c r="M36" s="35">
        <f t="shared" si="2"/>
        <v>0</v>
      </c>
      <c r="N36" s="191" t="s">
        <v>42</v>
      </c>
      <c r="O36" s="191" t="s">
        <v>42</v>
      </c>
      <c r="P36" s="192" t="s">
        <v>42</v>
      </c>
      <c r="Q36" s="196" t="s">
        <v>42</v>
      </c>
      <c r="R36" s="193" t="s">
        <v>42</v>
      </c>
      <c r="S36" s="52"/>
    </row>
    <row r="37" spans="1:21" x14ac:dyDescent="0.25">
      <c r="A37" s="46">
        <f t="shared" si="3"/>
        <v>0</v>
      </c>
      <c r="B37" s="37" t="str">
        <f t="shared" si="6"/>
        <v/>
      </c>
      <c r="C37" s="38"/>
      <c r="D37" s="38"/>
      <c r="E37" s="38"/>
      <c r="F37" s="38"/>
      <c r="G37" s="11"/>
      <c r="H37" s="39">
        <v>32</v>
      </c>
      <c r="I37" s="40" t="str">
        <f t="shared" si="4"/>
        <v/>
      </c>
      <c r="J37" s="39">
        <f t="shared" si="5"/>
        <v>-5</v>
      </c>
      <c r="K37" s="39">
        <f t="shared" si="1"/>
        <v>-50</v>
      </c>
      <c r="L37" s="39"/>
      <c r="M37" s="41">
        <f t="shared" si="2"/>
        <v>0</v>
      </c>
      <c r="N37" s="191" t="s">
        <v>42</v>
      </c>
      <c r="O37" s="191" t="s">
        <v>42</v>
      </c>
      <c r="P37" s="192" t="s">
        <v>42</v>
      </c>
      <c r="Q37" s="193" t="s">
        <v>42</v>
      </c>
      <c r="R37" s="193" t="s">
        <v>42</v>
      </c>
    </row>
    <row r="38" spans="1:21" x14ac:dyDescent="0.25">
      <c r="A38" s="47"/>
      <c r="B38" s="31" t="str">
        <f t="shared" si="6"/>
        <v/>
      </c>
      <c r="C38" s="32"/>
      <c r="D38" s="32"/>
      <c r="E38" s="32"/>
      <c r="F38" s="32"/>
      <c r="G38" s="11"/>
      <c r="H38" s="33">
        <v>33</v>
      </c>
      <c r="I38" s="34" t="str">
        <f t="shared" si="4"/>
        <v/>
      </c>
      <c r="J38" s="33">
        <f t="shared" si="5"/>
        <v>-6</v>
      </c>
      <c r="K38" s="33">
        <f t="shared" si="1"/>
        <v>-60</v>
      </c>
      <c r="L38" s="33"/>
      <c r="M38" s="35">
        <f t="shared" si="2"/>
        <v>0</v>
      </c>
      <c r="N38" s="191" t="s">
        <v>42</v>
      </c>
      <c r="O38" s="191" t="s">
        <v>42</v>
      </c>
      <c r="P38" s="192" t="s">
        <v>42</v>
      </c>
      <c r="Q38" s="193" t="s">
        <v>42</v>
      </c>
      <c r="R38" s="193" t="s">
        <v>42</v>
      </c>
    </row>
    <row r="39" spans="1:21" x14ac:dyDescent="0.25">
      <c r="A39" s="46"/>
      <c r="B39" s="37" t="str">
        <f t="shared" si="6"/>
        <v/>
      </c>
      <c r="C39" s="38"/>
      <c r="D39" s="38"/>
      <c r="E39" s="38"/>
      <c r="F39" s="38"/>
      <c r="G39" s="11"/>
      <c r="H39" s="39">
        <v>34</v>
      </c>
      <c r="I39" s="40" t="str">
        <f t="shared" si="4"/>
        <v/>
      </c>
      <c r="J39" s="39">
        <f t="shared" si="5"/>
        <v>-6</v>
      </c>
      <c r="K39" s="39">
        <f t="shared" si="1"/>
        <v>-60</v>
      </c>
      <c r="L39" s="39"/>
      <c r="M39" s="41">
        <f t="shared" si="2"/>
        <v>0</v>
      </c>
      <c r="N39" s="191" t="s">
        <v>42</v>
      </c>
      <c r="O39" s="191" t="s">
        <v>42</v>
      </c>
      <c r="P39" s="192" t="s">
        <v>42</v>
      </c>
      <c r="Q39" s="193" t="s">
        <v>42</v>
      </c>
      <c r="R39" s="193" t="s">
        <v>42</v>
      </c>
    </row>
    <row r="40" spans="1:21" x14ac:dyDescent="0.25">
      <c r="A40" s="47"/>
      <c r="B40" s="31" t="str">
        <f t="shared" si="6"/>
        <v/>
      </c>
      <c r="C40" s="32"/>
      <c r="D40" s="32"/>
      <c r="E40" s="32"/>
      <c r="F40" s="32"/>
      <c r="G40" s="11"/>
      <c r="H40" s="33">
        <v>35</v>
      </c>
      <c r="I40" s="34" t="str">
        <f t="shared" si="4"/>
        <v/>
      </c>
      <c r="J40" s="33">
        <f t="shared" si="5"/>
        <v>-6</v>
      </c>
      <c r="K40" s="33">
        <f t="shared" si="1"/>
        <v>-60</v>
      </c>
      <c r="L40" s="33"/>
      <c r="M40" s="35">
        <f t="shared" si="2"/>
        <v>0</v>
      </c>
      <c r="N40" s="191" t="s">
        <v>42</v>
      </c>
      <c r="O40" s="191" t="s">
        <v>42</v>
      </c>
      <c r="P40" s="192" t="s">
        <v>42</v>
      </c>
      <c r="Q40" s="193" t="s">
        <v>42</v>
      </c>
      <c r="R40" s="193" t="s">
        <v>42</v>
      </c>
    </row>
    <row r="41" spans="1:21" x14ac:dyDescent="0.25">
      <c r="A41" s="46"/>
      <c r="B41" s="37" t="str">
        <f t="shared" si="6"/>
        <v/>
      </c>
      <c r="C41" s="38"/>
      <c r="D41" s="38"/>
      <c r="E41" s="38"/>
      <c r="F41" s="38"/>
      <c r="G41" s="11"/>
      <c r="H41" s="39">
        <v>36</v>
      </c>
      <c r="I41" s="40" t="str">
        <f t="shared" si="4"/>
        <v/>
      </c>
      <c r="J41" s="39">
        <f t="shared" si="5"/>
        <v>-6</v>
      </c>
      <c r="K41" s="39">
        <f t="shared" si="1"/>
        <v>-60</v>
      </c>
      <c r="L41" s="39"/>
      <c r="M41" s="41">
        <f t="shared" si="2"/>
        <v>0</v>
      </c>
      <c r="N41" s="191" t="s">
        <v>42</v>
      </c>
      <c r="O41" s="191" t="s">
        <v>42</v>
      </c>
      <c r="P41" s="192" t="s">
        <v>42</v>
      </c>
      <c r="Q41" s="193" t="s">
        <v>42</v>
      </c>
      <c r="R41" s="193" t="s">
        <v>42</v>
      </c>
      <c r="S41" s="53"/>
    </row>
    <row r="42" spans="1:21" x14ac:dyDescent="0.25">
      <c r="A42" s="47"/>
      <c r="B42" s="31" t="str">
        <f t="shared" si="6"/>
        <v/>
      </c>
      <c r="C42" s="32"/>
      <c r="D42" s="32"/>
      <c r="E42" s="32"/>
      <c r="F42" s="32"/>
      <c r="G42" s="11"/>
      <c r="H42" s="33">
        <v>37</v>
      </c>
      <c r="I42" s="34" t="str">
        <f t="shared" si="4"/>
        <v/>
      </c>
      <c r="J42" s="33">
        <f t="shared" si="5"/>
        <v>-6</v>
      </c>
      <c r="K42" s="33">
        <f t="shared" si="1"/>
        <v>-60</v>
      </c>
      <c r="L42" s="33"/>
      <c r="M42" s="35">
        <f t="shared" si="2"/>
        <v>0</v>
      </c>
      <c r="N42" s="191" t="s">
        <v>42</v>
      </c>
      <c r="O42" s="191" t="s">
        <v>42</v>
      </c>
      <c r="P42" s="192" t="s">
        <v>42</v>
      </c>
      <c r="Q42" s="193" t="s">
        <v>42</v>
      </c>
      <c r="R42" s="193" t="s">
        <v>42</v>
      </c>
    </row>
    <row r="43" spans="1:21" x14ac:dyDescent="0.25">
      <c r="A43" s="46"/>
      <c r="B43" s="37" t="str">
        <f t="shared" si="6"/>
        <v/>
      </c>
      <c r="C43" s="38"/>
      <c r="D43" s="38"/>
      <c r="E43" s="38"/>
      <c r="F43" s="38"/>
      <c r="G43" s="11"/>
      <c r="H43" s="39">
        <v>38</v>
      </c>
      <c r="I43" s="40" t="str">
        <f t="shared" si="4"/>
        <v/>
      </c>
      <c r="J43" s="39">
        <f t="shared" si="5"/>
        <v>-6</v>
      </c>
      <c r="K43" s="39">
        <f t="shared" si="1"/>
        <v>-60</v>
      </c>
      <c r="L43" s="39"/>
      <c r="M43" s="41">
        <f t="shared" si="2"/>
        <v>0</v>
      </c>
      <c r="N43" s="191" t="s">
        <v>42</v>
      </c>
      <c r="O43" s="191" t="s">
        <v>42</v>
      </c>
      <c r="P43" s="192" t="s">
        <v>42</v>
      </c>
      <c r="Q43" s="193" t="s">
        <v>42</v>
      </c>
      <c r="R43" s="193" t="s">
        <v>42</v>
      </c>
    </row>
    <row r="44" spans="1:21" x14ac:dyDescent="0.25">
      <c r="A44" s="47"/>
      <c r="B44" s="31" t="str">
        <f t="shared" si="6"/>
        <v/>
      </c>
      <c r="C44" s="32"/>
      <c r="D44" s="32"/>
      <c r="E44" s="32"/>
      <c r="F44" s="32"/>
      <c r="G44" s="11"/>
      <c r="H44" s="33">
        <v>39</v>
      </c>
      <c r="I44" s="34" t="str">
        <f t="shared" si="4"/>
        <v/>
      </c>
      <c r="J44" s="33">
        <f t="shared" si="5"/>
        <v>-6</v>
      </c>
      <c r="K44" s="33">
        <f t="shared" si="1"/>
        <v>-60</v>
      </c>
      <c r="L44" s="33"/>
      <c r="M44" s="35">
        <f t="shared" si="2"/>
        <v>0</v>
      </c>
      <c r="N44" s="191" t="s">
        <v>42</v>
      </c>
      <c r="O44" s="191" t="s">
        <v>42</v>
      </c>
      <c r="P44" s="192" t="s">
        <v>42</v>
      </c>
      <c r="Q44" s="193" t="s">
        <v>42</v>
      </c>
      <c r="R44" s="193" t="s">
        <v>42</v>
      </c>
    </row>
    <row r="45" spans="1:21" x14ac:dyDescent="0.25">
      <c r="A45" s="46"/>
      <c r="B45" s="37" t="str">
        <f t="shared" si="6"/>
        <v/>
      </c>
      <c r="C45" s="38"/>
      <c r="D45" s="38"/>
      <c r="E45" s="38"/>
      <c r="F45" s="38"/>
      <c r="G45" s="11"/>
      <c r="H45" s="39">
        <v>40</v>
      </c>
      <c r="I45" s="40" t="str">
        <f t="shared" si="4"/>
        <v/>
      </c>
      <c r="J45" s="39">
        <f t="shared" si="5"/>
        <v>-6</v>
      </c>
      <c r="K45" s="39">
        <f t="shared" si="1"/>
        <v>-60</v>
      </c>
      <c r="L45" s="39"/>
      <c r="M45" s="41">
        <f t="shared" si="2"/>
        <v>0</v>
      </c>
      <c r="N45" s="191" t="s">
        <v>42</v>
      </c>
      <c r="O45" s="191" t="s">
        <v>42</v>
      </c>
      <c r="P45" s="192" t="s">
        <v>42</v>
      </c>
      <c r="Q45" s="193" t="s">
        <v>42</v>
      </c>
      <c r="R45" s="193" t="s">
        <v>42</v>
      </c>
    </row>
    <row r="46" spans="1:21" x14ac:dyDescent="0.25">
      <c r="A46" s="47"/>
      <c r="B46" s="31" t="str">
        <f t="shared" si="6"/>
        <v/>
      </c>
      <c r="C46" s="32"/>
      <c r="D46" s="32"/>
      <c r="E46" s="32"/>
      <c r="F46" s="32"/>
      <c r="G46" s="11"/>
      <c r="H46" s="33">
        <v>41</v>
      </c>
      <c r="I46" s="34" t="str">
        <f t="shared" si="4"/>
        <v/>
      </c>
      <c r="J46" s="33">
        <f t="shared" si="5"/>
        <v>-6</v>
      </c>
      <c r="K46" s="33">
        <f t="shared" si="1"/>
        <v>-60</v>
      </c>
      <c r="L46" s="33"/>
      <c r="M46" s="35">
        <f t="shared" si="2"/>
        <v>0</v>
      </c>
      <c r="N46" s="191" t="s">
        <v>42</v>
      </c>
      <c r="O46" s="191" t="s">
        <v>42</v>
      </c>
      <c r="P46" s="192" t="s">
        <v>42</v>
      </c>
      <c r="Q46" s="197">
        <v>21186</v>
      </c>
      <c r="R46" s="193" t="s">
        <v>42</v>
      </c>
      <c r="T46" s="16">
        <f>LOG(H38,2)</f>
        <v>5.0443941193584534</v>
      </c>
      <c r="U46" s="16" t="e">
        <f>R46-T46</f>
        <v>#VALUE!</v>
      </c>
    </row>
    <row r="47" spans="1:21" x14ac:dyDescent="0.25">
      <c r="A47" s="46"/>
      <c r="B47" s="37" t="str">
        <f t="shared" si="6"/>
        <v/>
      </c>
      <c r="C47" s="38"/>
      <c r="D47" s="38"/>
      <c r="E47" s="38"/>
      <c r="F47" s="38"/>
      <c r="G47" s="11"/>
      <c r="H47" s="39">
        <v>42</v>
      </c>
      <c r="I47" s="40" t="str">
        <f t="shared" si="4"/>
        <v/>
      </c>
      <c r="J47" s="39">
        <f t="shared" si="5"/>
        <v>-6</v>
      </c>
      <c r="K47" s="39">
        <f t="shared" si="1"/>
        <v>-60</v>
      </c>
      <c r="L47" s="39"/>
      <c r="M47" s="41">
        <f t="shared" si="2"/>
        <v>0</v>
      </c>
      <c r="N47" s="191" t="s">
        <v>42</v>
      </c>
      <c r="O47" s="191" t="s">
        <v>42</v>
      </c>
      <c r="P47" s="192" t="s">
        <v>42</v>
      </c>
      <c r="Q47" s="193" t="s">
        <v>42</v>
      </c>
      <c r="R47" s="193" t="s">
        <v>42</v>
      </c>
    </row>
    <row r="48" spans="1:21" x14ac:dyDescent="0.25">
      <c r="A48" s="47"/>
      <c r="B48" s="31" t="str">
        <f t="shared" si="6"/>
        <v/>
      </c>
      <c r="C48" s="32"/>
      <c r="D48" s="32"/>
      <c r="E48" s="32"/>
      <c r="F48" s="32"/>
      <c r="G48" s="11"/>
      <c r="H48" s="33">
        <v>43</v>
      </c>
      <c r="I48" s="34" t="str">
        <f t="shared" si="4"/>
        <v/>
      </c>
      <c r="J48" s="33">
        <f t="shared" si="5"/>
        <v>-6</v>
      </c>
      <c r="K48" s="33">
        <f t="shared" si="1"/>
        <v>-60</v>
      </c>
      <c r="L48" s="33"/>
      <c r="M48" s="35">
        <f t="shared" si="2"/>
        <v>0</v>
      </c>
      <c r="N48" s="191" t="s">
        <v>42</v>
      </c>
      <c r="O48" s="191" t="s">
        <v>42</v>
      </c>
      <c r="P48" s="192" t="s">
        <v>42</v>
      </c>
      <c r="Q48" s="193" t="s">
        <v>42</v>
      </c>
      <c r="R48" s="193" t="s">
        <v>42</v>
      </c>
    </row>
    <row r="49" spans="1:18" x14ac:dyDescent="0.25">
      <c r="A49" s="46"/>
      <c r="B49" s="37" t="str">
        <f t="shared" si="6"/>
        <v/>
      </c>
      <c r="C49" s="38"/>
      <c r="D49" s="38"/>
      <c r="E49" s="38"/>
      <c r="F49" s="38"/>
      <c r="G49" s="11"/>
      <c r="H49" s="39">
        <v>44</v>
      </c>
      <c r="I49" s="40" t="str">
        <f t="shared" si="4"/>
        <v/>
      </c>
      <c r="J49" s="39">
        <f t="shared" si="5"/>
        <v>-6</v>
      </c>
      <c r="K49" s="39">
        <f t="shared" si="1"/>
        <v>-60</v>
      </c>
      <c r="L49" s="39"/>
      <c r="M49" s="41">
        <f t="shared" si="2"/>
        <v>0</v>
      </c>
      <c r="N49" s="191" t="s">
        <v>42</v>
      </c>
      <c r="O49" s="191" t="s">
        <v>42</v>
      </c>
      <c r="P49" s="192" t="s">
        <v>42</v>
      </c>
      <c r="Q49" s="193" t="s">
        <v>42</v>
      </c>
      <c r="R49" s="193" t="s">
        <v>42</v>
      </c>
    </row>
    <row r="50" spans="1:18" x14ac:dyDescent="0.25">
      <c r="A50" s="47"/>
      <c r="B50" s="31" t="str">
        <f t="shared" si="6"/>
        <v/>
      </c>
      <c r="C50" s="32"/>
      <c r="D50" s="32"/>
      <c r="E50" s="32"/>
      <c r="F50" s="32"/>
      <c r="G50" s="11"/>
      <c r="H50" s="33">
        <v>45</v>
      </c>
      <c r="I50" s="34" t="str">
        <f t="shared" si="4"/>
        <v/>
      </c>
      <c r="J50" s="33">
        <f t="shared" si="5"/>
        <v>-6</v>
      </c>
      <c r="K50" s="33">
        <f t="shared" si="1"/>
        <v>-60</v>
      </c>
      <c r="L50" s="33"/>
      <c r="M50" s="35">
        <f t="shared" si="2"/>
        <v>0</v>
      </c>
      <c r="N50" s="191" t="s">
        <v>42</v>
      </c>
      <c r="O50" s="191" t="s">
        <v>42</v>
      </c>
      <c r="P50" s="192" t="s">
        <v>42</v>
      </c>
      <c r="Q50" s="193" t="s">
        <v>42</v>
      </c>
      <c r="R50" s="193" t="s">
        <v>42</v>
      </c>
    </row>
    <row r="51" spans="1:18" x14ac:dyDescent="0.25">
      <c r="A51" s="46"/>
      <c r="B51" s="37" t="str">
        <f t="shared" si="6"/>
        <v/>
      </c>
      <c r="C51" s="38"/>
      <c r="D51" s="38"/>
      <c r="E51" s="38"/>
      <c r="F51" s="38"/>
      <c r="G51" s="11"/>
      <c r="H51" s="39">
        <v>46</v>
      </c>
      <c r="I51" s="40" t="str">
        <f t="shared" si="4"/>
        <v/>
      </c>
      <c r="J51" s="39">
        <f t="shared" si="5"/>
        <v>-6</v>
      </c>
      <c r="K51" s="39">
        <f t="shared" si="1"/>
        <v>-60</v>
      </c>
      <c r="L51" s="39"/>
      <c r="M51" s="41">
        <f t="shared" si="2"/>
        <v>0</v>
      </c>
      <c r="N51" s="191" t="s">
        <v>42</v>
      </c>
      <c r="O51" s="191" t="s">
        <v>42</v>
      </c>
      <c r="P51" s="192" t="s">
        <v>42</v>
      </c>
      <c r="Q51" s="193" t="s">
        <v>42</v>
      </c>
      <c r="R51" s="193" t="s">
        <v>42</v>
      </c>
    </row>
    <row r="52" spans="1:18" x14ac:dyDescent="0.25">
      <c r="A52" s="47"/>
      <c r="B52" s="31" t="str">
        <f t="shared" si="6"/>
        <v/>
      </c>
      <c r="C52" s="32"/>
      <c r="D52" s="32"/>
      <c r="E52" s="32"/>
      <c r="F52" s="32"/>
      <c r="G52" s="11"/>
      <c r="H52" s="33">
        <v>47</v>
      </c>
      <c r="I52" s="34" t="str">
        <f t="shared" si="4"/>
        <v/>
      </c>
      <c r="J52" s="33">
        <f t="shared" si="5"/>
        <v>-6</v>
      </c>
      <c r="K52" s="33">
        <f t="shared" si="1"/>
        <v>-60</v>
      </c>
      <c r="L52" s="33"/>
      <c r="M52" s="35">
        <f t="shared" si="2"/>
        <v>0</v>
      </c>
      <c r="N52" s="191" t="s">
        <v>42</v>
      </c>
      <c r="O52" s="191" t="s">
        <v>42</v>
      </c>
      <c r="P52" s="192" t="s">
        <v>42</v>
      </c>
      <c r="Q52" s="193" t="s">
        <v>42</v>
      </c>
      <c r="R52" s="193" t="s">
        <v>42</v>
      </c>
    </row>
    <row r="53" spans="1:18" x14ac:dyDescent="0.25">
      <c r="A53" s="46"/>
      <c r="B53" s="37" t="str">
        <f t="shared" si="6"/>
        <v/>
      </c>
      <c r="C53" s="38"/>
      <c r="D53" s="38"/>
      <c r="E53" s="38"/>
      <c r="F53" s="38"/>
      <c r="G53" s="11"/>
      <c r="H53" s="39">
        <v>48</v>
      </c>
      <c r="I53" s="40" t="str">
        <f t="shared" si="4"/>
        <v/>
      </c>
      <c r="J53" s="39">
        <f t="shared" si="5"/>
        <v>-6</v>
      </c>
      <c r="K53" s="39">
        <f t="shared" si="1"/>
        <v>-60</v>
      </c>
      <c r="L53" s="39"/>
      <c r="M53" s="41">
        <f t="shared" si="2"/>
        <v>0</v>
      </c>
      <c r="N53" s="191" t="s">
        <v>42</v>
      </c>
      <c r="O53" s="191" t="s">
        <v>42</v>
      </c>
      <c r="P53" s="192" t="s">
        <v>42</v>
      </c>
      <c r="Q53" s="193" t="s">
        <v>42</v>
      </c>
      <c r="R53" s="193" t="s">
        <v>42</v>
      </c>
    </row>
    <row r="54" spans="1:18" x14ac:dyDescent="0.25">
      <c r="A54" s="47"/>
      <c r="B54" s="31" t="str">
        <f t="shared" si="6"/>
        <v/>
      </c>
      <c r="C54" s="32"/>
      <c r="D54" s="32"/>
      <c r="E54" s="32"/>
      <c r="F54" s="32"/>
      <c r="G54" s="11"/>
      <c r="H54" s="33">
        <v>49</v>
      </c>
      <c r="I54" s="34" t="str">
        <f t="shared" si="4"/>
        <v/>
      </c>
      <c r="J54" s="33">
        <f t="shared" si="5"/>
        <v>-6</v>
      </c>
      <c r="K54" s="33">
        <f t="shared" si="1"/>
        <v>-60</v>
      </c>
      <c r="L54" s="33"/>
      <c r="M54" s="35">
        <f t="shared" si="2"/>
        <v>0</v>
      </c>
      <c r="N54" s="191" t="s">
        <v>42</v>
      </c>
      <c r="O54" s="191" t="s">
        <v>42</v>
      </c>
      <c r="P54" s="192" t="s">
        <v>42</v>
      </c>
      <c r="Q54" s="193" t="s">
        <v>42</v>
      </c>
      <c r="R54" s="193" t="s">
        <v>42</v>
      </c>
    </row>
    <row r="55" spans="1:18" x14ac:dyDescent="0.25">
      <c r="A55" s="46"/>
      <c r="B55" s="37" t="str">
        <f t="shared" si="6"/>
        <v/>
      </c>
      <c r="C55" s="38"/>
      <c r="D55" s="38"/>
      <c r="E55" s="38"/>
      <c r="F55" s="38"/>
      <c r="G55" s="11"/>
      <c r="H55" s="39">
        <v>50</v>
      </c>
      <c r="I55" s="40" t="str">
        <f t="shared" si="4"/>
        <v/>
      </c>
      <c r="J55" s="39">
        <f t="shared" si="5"/>
        <v>-6</v>
      </c>
      <c r="K55" s="39">
        <f t="shared" si="1"/>
        <v>-60</v>
      </c>
      <c r="L55" s="39"/>
      <c r="M55" s="41">
        <f t="shared" si="2"/>
        <v>0</v>
      </c>
      <c r="N55" s="191" t="s">
        <v>42</v>
      </c>
      <c r="O55" s="191" t="s">
        <v>42</v>
      </c>
      <c r="P55" s="192" t="s">
        <v>42</v>
      </c>
      <c r="Q55" s="193" t="s">
        <v>42</v>
      </c>
      <c r="R55" s="193" t="s">
        <v>42</v>
      </c>
    </row>
    <row r="56" spans="1:18" x14ac:dyDescent="0.25">
      <c r="A56" s="47"/>
      <c r="B56" s="31" t="str">
        <f t="shared" si="6"/>
        <v/>
      </c>
      <c r="C56" s="32"/>
      <c r="D56" s="32"/>
      <c r="E56" s="32"/>
      <c r="F56" s="32"/>
      <c r="G56" s="11"/>
      <c r="H56" s="33">
        <v>51</v>
      </c>
      <c r="I56" s="34" t="str">
        <f t="shared" si="4"/>
        <v/>
      </c>
      <c r="J56" s="33">
        <f t="shared" si="5"/>
        <v>-6</v>
      </c>
      <c r="K56" s="33">
        <f t="shared" si="1"/>
        <v>-60</v>
      </c>
      <c r="L56" s="33"/>
      <c r="M56" s="35">
        <f t="shared" si="2"/>
        <v>0</v>
      </c>
      <c r="N56" s="191" t="s">
        <v>42</v>
      </c>
      <c r="O56" s="191" t="s">
        <v>42</v>
      </c>
      <c r="P56" s="192" t="s">
        <v>42</v>
      </c>
      <c r="Q56" s="193" t="s">
        <v>42</v>
      </c>
      <c r="R56" s="193" t="s">
        <v>42</v>
      </c>
    </row>
    <row r="57" spans="1:18" x14ac:dyDescent="0.25">
      <c r="A57" s="46"/>
      <c r="B57" s="37" t="str">
        <f t="shared" si="6"/>
        <v/>
      </c>
      <c r="C57" s="38"/>
      <c r="D57" s="38"/>
      <c r="E57" s="38"/>
      <c r="F57" s="38"/>
      <c r="G57" s="11"/>
      <c r="H57" s="39">
        <v>52</v>
      </c>
      <c r="I57" s="40" t="str">
        <f t="shared" si="4"/>
        <v/>
      </c>
      <c r="J57" s="39">
        <f t="shared" si="5"/>
        <v>-6</v>
      </c>
      <c r="K57" s="39">
        <f t="shared" si="1"/>
        <v>-60</v>
      </c>
      <c r="L57" s="39"/>
      <c r="M57" s="41">
        <f t="shared" si="2"/>
        <v>0</v>
      </c>
      <c r="N57" s="191" t="s">
        <v>42</v>
      </c>
      <c r="O57" s="191" t="s">
        <v>42</v>
      </c>
      <c r="P57" s="192" t="s">
        <v>42</v>
      </c>
      <c r="Q57" s="193" t="s">
        <v>42</v>
      </c>
      <c r="R57" s="193" t="s">
        <v>42</v>
      </c>
    </row>
    <row r="58" spans="1:18" x14ac:dyDescent="0.25">
      <c r="A58" s="47"/>
      <c r="B58" s="31" t="str">
        <f t="shared" si="6"/>
        <v/>
      </c>
      <c r="C58" s="32"/>
      <c r="D58" s="32"/>
      <c r="E58" s="32"/>
      <c r="F58" s="32"/>
      <c r="G58" s="11"/>
      <c r="H58" s="33">
        <v>53</v>
      </c>
      <c r="I58" s="34" t="str">
        <f t="shared" si="4"/>
        <v/>
      </c>
      <c r="J58" s="33">
        <f t="shared" si="5"/>
        <v>-6</v>
      </c>
      <c r="K58" s="33">
        <f t="shared" si="1"/>
        <v>-60</v>
      </c>
      <c r="L58" s="33"/>
      <c r="M58" s="35">
        <f t="shared" si="2"/>
        <v>0</v>
      </c>
      <c r="N58" s="191" t="s">
        <v>42</v>
      </c>
      <c r="O58" s="191" t="s">
        <v>42</v>
      </c>
      <c r="P58" s="192" t="s">
        <v>42</v>
      </c>
      <c r="Q58" s="193" t="s">
        <v>42</v>
      </c>
      <c r="R58" s="193" t="s">
        <v>42</v>
      </c>
    </row>
    <row r="59" spans="1:18" x14ac:dyDescent="0.25">
      <c r="A59" s="46"/>
      <c r="B59" s="37" t="str">
        <f t="shared" si="6"/>
        <v/>
      </c>
      <c r="C59" s="38"/>
      <c r="D59" s="38"/>
      <c r="E59" s="38"/>
      <c r="F59" s="38"/>
      <c r="G59" s="11"/>
      <c r="H59" s="39">
        <v>54</v>
      </c>
      <c r="I59" s="40" t="str">
        <f t="shared" si="4"/>
        <v/>
      </c>
      <c r="J59" s="39">
        <f t="shared" si="5"/>
        <v>-6</v>
      </c>
      <c r="K59" s="39">
        <f t="shared" si="1"/>
        <v>-60</v>
      </c>
      <c r="L59" s="39"/>
      <c r="M59" s="41">
        <f t="shared" si="2"/>
        <v>0</v>
      </c>
      <c r="N59" s="191" t="s">
        <v>42</v>
      </c>
      <c r="O59" s="191" t="s">
        <v>42</v>
      </c>
      <c r="P59" s="192" t="s">
        <v>42</v>
      </c>
      <c r="Q59" s="193" t="s">
        <v>42</v>
      </c>
      <c r="R59" s="193" t="s">
        <v>42</v>
      </c>
    </row>
    <row r="60" spans="1:18" x14ac:dyDescent="0.25">
      <c r="A60" s="47"/>
      <c r="B60" s="31" t="str">
        <f t="shared" si="6"/>
        <v/>
      </c>
      <c r="C60" s="32"/>
      <c r="D60" s="32"/>
      <c r="E60" s="32"/>
      <c r="F60" s="32"/>
      <c r="G60" s="11"/>
      <c r="H60" s="33">
        <v>55</v>
      </c>
      <c r="I60" s="34" t="str">
        <f t="shared" si="4"/>
        <v/>
      </c>
      <c r="J60" s="33">
        <f t="shared" si="5"/>
        <v>-6</v>
      </c>
      <c r="K60" s="33">
        <f t="shared" si="1"/>
        <v>-60</v>
      </c>
      <c r="L60" s="33"/>
      <c r="M60" s="35">
        <f t="shared" si="2"/>
        <v>0</v>
      </c>
      <c r="N60" s="191" t="s">
        <v>42</v>
      </c>
      <c r="O60" s="191" t="s">
        <v>42</v>
      </c>
      <c r="P60" s="192" t="s">
        <v>42</v>
      </c>
      <c r="Q60" s="193" t="s">
        <v>42</v>
      </c>
      <c r="R60" s="193" t="s">
        <v>42</v>
      </c>
    </row>
    <row r="61" spans="1:18" x14ac:dyDescent="0.25">
      <c r="A61" s="46"/>
      <c r="B61" s="37" t="str">
        <f t="shared" si="6"/>
        <v/>
      </c>
      <c r="C61" s="38"/>
      <c r="D61" s="38"/>
      <c r="E61" s="38"/>
      <c r="F61" s="38"/>
      <c r="G61" s="11"/>
      <c r="H61" s="39">
        <v>56</v>
      </c>
      <c r="I61" s="40" t="str">
        <f t="shared" si="4"/>
        <v/>
      </c>
      <c r="J61" s="39">
        <f t="shared" si="5"/>
        <v>-6</v>
      </c>
      <c r="K61" s="39">
        <f t="shared" si="1"/>
        <v>-60</v>
      </c>
      <c r="L61" s="39"/>
      <c r="M61" s="41">
        <f t="shared" si="2"/>
        <v>0</v>
      </c>
      <c r="N61" s="191" t="s">
        <v>42</v>
      </c>
      <c r="O61" s="191" t="s">
        <v>42</v>
      </c>
      <c r="P61" s="192" t="s">
        <v>42</v>
      </c>
      <c r="Q61" s="193" t="s">
        <v>42</v>
      </c>
      <c r="R61" s="193" t="s">
        <v>42</v>
      </c>
    </row>
    <row r="62" spans="1:18" x14ac:dyDescent="0.25">
      <c r="A62" s="47"/>
      <c r="B62" s="31" t="str">
        <f t="shared" si="6"/>
        <v/>
      </c>
      <c r="C62" s="32"/>
      <c r="D62" s="32"/>
      <c r="E62" s="32"/>
      <c r="F62" s="32"/>
      <c r="G62" s="11"/>
      <c r="H62" s="33">
        <v>57</v>
      </c>
      <c r="I62" s="34" t="str">
        <f t="shared" si="4"/>
        <v/>
      </c>
      <c r="J62" s="33">
        <f t="shared" si="5"/>
        <v>-6</v>
      </c>
      <c r="K62" s="33">
        <f t="shared" si="1"/>
        <v>-60</v>
      </c>
      <c r="L62" s="33"/>
      <c r="M62" s="35">
        <f t="shared" si="2"/>
        <v>0</v>
      </c>
      <c r="N62" s="191" t="s">
        <v>42</v>
      </c>
      <c r="O62" s="191" t="s">
        <v>42</v>
      </c>
      <c r="P62" s="192" t="s">
        <v>42</v>
      </c>
      <c r="Q62" s="193" t="s">
        <v>42</v>
      </c>
      <c r="R62" s="193" t="s">
        <v>42</v>
      </c>
    </row>
    <row r="63" spans="1:18" x14ac:dyDescent="0.25">
      <c r="A63" s="46"/>
      <c r="B63" s="37" t="str">
        <f t="shared" si="6"/>
        <v/>
      </c>
      <c r="C63" s="38"/>
      <c r="D63" s="38"/>
      <c r="E63" s="38"/>
      <c r="F63" s="38"/>
      <c r="G63" s="11"/>
      <c r="H63" s="39">
        <v>58</v>
      </c>
      <c r="I63" s="40" t="str">
        <f t="shared" si="4"/>
        <v/>
      </c>
      <c r="J63" s="39">
        <f t="shared" si="5"/>
        <v>-6</v>
      </c>
      <c r="K63" s="39">
        <f t="shared" si="1"/>
        <v>-60</v>
      </c>
      <c r="L63" s="39"/>
      <c r="M63" s="41">
        <f t="shared" si="2"/>
        <v>0</v>
      </c>
      <c r="N63" s="191" t="s">
        <v>42</v>
      </c>
      <c r="O63" s="191" t="s">
        <v>42</v>
      </c>
      <c r="P63" s="192" t="s">
        <v>42</v>
      </c>
      <c r="Q63" s="193" t="s">
        <v>42</v>
      </c>
      <c r="R63" s="193" t="s">
        <v>42</v>
      </c>
    </row>
    <row r="64" spans="1:18" x14ac:dyDescent="0.25">
      <c r="A64" s="47"/>
      <c r="B64" s="31" t="str">
        <f t="shared" si="6"/>
        <v/>
      </c>
      <c r="C64" s="32"/>
      <c r="D64" s="32"/>
      <c r="E64" s="32"/>
      <c r="F64" s="32"/>
      <c r="G64" s="11"/>
      <c r="H64" s="33">
        <v>59</v>
      </c>
      <c r="I64" s="34" t="str">
        <f t="shared" si="4"/>
        <v/>
      </c>
      <c r="J64" s="33">
        <f t="shared" si="5"/>
        <v>-6</v>
      </c>
      <c r="K64" s="33">
        <f t="shared" si="1"/>
        <v>-60</v>
      </c>
      <c r="L64" s="33"/>
      <c r="M64" s="35">
        <f t="shared" si="2"/>
        <v>0</v>
      </c>
      <c r="N64" s="191" t="s">
        <v>42</v>
      </c>
      <c r="O64" s="191" t="s">
        <v>42</v>
      </c>
      <c r="P64" s="192" t="s">
        <v>42</v>
      </c>
      <c r="Q64" s="193" t="s">
        <v>42</v>
      </c>
      <c r="R64" s="193" t="s">
        <v>42</v>
      </c>
    </row>
    <row r="65" spans="1:18" x14ac:dyDescent="0.25">
      <c r="A65" s="46"/>
      <c r="B65" s="37" t="str">
        <f t="shared" si="6"/>
        <v/>
      </c>
      <c r="C65" s="38"/>
      <c r="D65" s="38"/>
      <c r="E65" s="38"/>
      <c r="F65" s="38"/>
      <c r="G65" s="11"/>
      <c r="H65" s="39">
        <v>60</v>
      </c>
      <c r="I65" s="40" t="str">
        <f t="shared" si="4"/>
        <v/>
      </c>
      <c r="J65" s="39">
        <f t="shared" si="5"/>
        <v>-6</v>
      </c>
      <c r="K65" s="39">
        <f t="shared" si="1"/>
        <v>-60</v>
      </c>
      <c r="L65" s="39"/>
      <c r="M65" s="41">
        <f t="shared" si="2"/>
        <v>0</v>
      </c>
      <c r="N65" s="191" t="s">
        <v>42</v>
      </c>
      <c r="O65" s="191" t="s">
        <v>42</v>
      </c>
      <c r="P65" s="192" t="s">
        <v>42</v>
      </c>
      <c r="Q65" s="193" t="s">
        <v>42</v>
      </c>
      <c r="R65" s="193" t="s">
        <v>42</v>
      </c>
    </row>
    <row r="66" spans="1:18" x14ac:dyDescent="0.25">
      <c r="A66" s="54"/>
      <c r="B66" s="31"/>
      <c r="G66" s="11"/>
      <c r="H66" s="33">
        <v>61</v>
      </c>
      <c r="I66" s="34" t="str">
        <f t="shared" si="4"/>
        <v/>
      </c>
      <c r="J66" s="33">
        <f t="shared" si="5"/>
        <v>-6</v>
      </c>
      <c r="K66" s="33">
        <f t="shared" si="1"/>
        <v>-60</v>
      </c>
      <c r="L66" s="33"/>
      <c r="M66" s="35">
        <f t="shared" si="2"/>
        <v>0</v>
      </c>
      <c r="N66" s="191" t="s">
        <v>42</v>
      </c>
      <c r="O66" s="191" t="s">
        <v>42</v>
      </c>
      <c r="P66" s="192" t="s">
        <v>42</v>
      </c>
      <c r="Q66" s="193" t="s">
        <v>42</v>
      </c>
      <c r="R66" s="193" t="s">
        <v>42</v>
      </c>
    </row>
    <row r="67" spans="1:18" x14ac:dyDescent="0.25">
      <c r="A67" s="54"/>
      <c r="B67" s="37"/>
      <c r="G67" s="11"/>
      <c r="H67" s="33">
        <v>62</v>
      </c>
      <c r="I67" s="34" t="str">
        <f t="shared" si="4"/>
        <v/>
      </c>
      <c r="J67" s="33">
        <f t="shared" si="5"/>
        <v>-6</v>
      </c>
      <c r="K67" s="33">
        <f t="shared" si="1"/>
        <v>-60</v>
      </c>
      <c r="L67" s="33"/>
      <c r="M67" s="35">
        <f t="shared" si="2"/>
        <v>0</v>
      </c>
      <c r="N67" s="191" t="s">
        <v>42</v>
      </c>
      <c r="O67" s="191" t="s">
        <v>42</v>
      </c>
      <c r="P67" s="192" t="s">
        <v>42</v>
      </c>
      <c r="Q67" s="193" t="s">
        <v>42</v>
      </c>
      <c r="R67" s="193" t="s">
        <v>42</v>
      </c>
    </row>
    <row r="68" spans="1:18" x14ac:dyDescent="0.25">
      <c r="A68" s="54"/>
      <c r="B68" s="31"/>
      <c r="G68" s="11"/>
      <c r="H68" s="33">
        <v>63</v>
      </c>
      <c r="I68" s="34" t="str">
        <f t="shared" si="4"/>
        <v/>
      </c>
      <c r="J68" s="33">
        <f t="shared" si="5"/>
        <v>-6</v>
      </c>
      <c r="K68" s="33">
        <f t="shared" si="1"/>
        <v>-60</v>
      </c>
      <c r="L68" s="33"/>
      <c r="M68" s="35">
        <f t="shared" si="2"/>
        <v>0</v>
      </c>
      <c r="N68" s="191" t="s">
        <v>42</v>
      </c>
      <c r="O68" s="191" t="s">
        <v>42</v>
      </c>
      <c r="P68" s="192" t="s">
        <v>42</v>
      </c>
      <c r="Q68" s="193" t="s">
        <v>42</v>
      </c>
      <c r="R68" s="193" t="s">
        <v>42</v>
      </c>
    </row>
    <row r="69" spans="1:18" x14ac:dyDescent="0.25">
      <c r="A69" s="54"/>
      <c r="B69" s="37"/>
      <c r="G69" s="11"/>
      <c r="H69" s="33">
        <v>64</v>
      </c>
      <c r="I69" s="34" t="str">
        <f t="shared" si="4"/>
        <v/>
      </c>
      <c r="J69" s="33">
        <f t="shared" si="5"/>
        <v>-6</v>
      </c>
      <c r="K69" s="33">
        <f t="shared" si="1"/>
        <v>-60</v>
      </c>
      <c r="L69" s="33"/>
      <c r="M69" s="35">
        <f t="shared" si="2"/>
        <v>0</v>
      </c>
      <c r="N69" s="191" t="s">
        <v>42</v>
      </c>
      <c r="O69" s="191" t="s">
        <v>42</v>
      </c>
      <c r="P69" s="192" t="s">
        <v>42</v>
      </c>
      <c r="Q69" s="193" t="s">
        <v>42</v>
      </c>
      <c r="R69" s="193" t="s">
        <v>42</v>
      </c>
    </row>
    <row r="70" spans="1:18" x14ac:dyDescent="0.25">
      <c r="A70" s="54"/>
      <c r="G70" s="11"/>
      <c r="H70" s="33">
        <v>65</v>
      </c>
      <c r="I70" s="34" t="str">
        <f t="shared" ref="I70:I133" si="7">IF(H70&lt;$H$2+1,($I$2-($I$2-1)*(LOG(H70)/LOG($H$2))),"")</f>
        <v/>
      </c>
      <c r="J70" s="33">
        <f t="shared" si="5"/>
        <v>-7</v>
      </c>
      <c r="K70" s="33">
        <f t="shared" ref="K70:K133" si="8">J70*$J$2</f>
        <v>-70</v>
      </c>
      <c r="L70" s="33"/>
      <c r="M70" s="35">
        <f t="shared" ref="M70:M133" si="9">IF(I70&lt;&gt;"",K70+I70+L70,0)</f>
        <v>0</v>
      </c>
      <c r="N70" s="191" t="s">
        <v>42</v>
      </c>
      <c r="O70" s="191" t="s">
        <v>42</v>
      </c>
      <c r="P70" s="192" t="s">
        <v>42</v>
      </c>
      <c r="Q70" s="193" t="s">
        <v>42</v>
      </c>
      <c r="R70" s="193" t="s">
        <v>42</v>
      </c>
    </row>
    <row r="71" spans="1:18" x14ac:dyDescent="0.25">
      <c r="A71" s="54"/>
      <c r="G71" s="11"/>
      <c r="H71" s="33">
        <v>66</v>
      </c>
      <c r="I71" s="34" t="str">
        <f t="shared" si="7"/>
        <v/>
      </c>
      <c r="J71" s="33">
        <f t="shared" ref="J71:J134" si="10">INT(LOG($H$2,2))-ROUNDUP(LOG(H71,2),0)+IF(OR($H$2=1,$H$2=2,$H$2=4,$H$2=8,$H$2=16,$H$2=32,$H$2=64,$H$2=128,$H$2=256),0,1)</f>
        <v>-7</v>
      </c>
      <c r="K71" s="33">
        <f t="shared" si="8"/>
        <v>-70</v>
      </c>
      <c r="L71" s="33"/>
      <c r="M71" s="35">
        <f t="shared" si="9"/>
        <v>0</v>
      </c>
      <c r="N71" s="191" t="s">
        <v>42</v>
      </c>
      <c r="O71" s="191" t="s">
        <v>42</v>
      </c>
      <c r="P71" s="192" t="s">
        <v>42</v>
      </c>
      <c r="Q71" s="193" t="s">
        <v>42</v>
      </c>
      <c r="R71" s="193" t="s">
        <v>42</v>
      </c>
    </row>
    <row r="72" spans="1:18" x14ac:dyDescent="0.25">
      <c r="A72" s="54"/>
      <c r="G72" s="11"/>
      <c r="H72" s="33">
        <v>67</v>
      </c>
      <c r="I72" s="34" t="str">
        <f t="shared" si="7"/>
        <v/>
      </c>
      <c r="J72" s="33">
        <f t="shared" si="10"/>
        <v>-7</v>
      </c>
      <c r="K72" s="33">
        <f t="shared" si="8"/>
        <v>-70</v>
      </c>
      <c r="L72" s="33"/>
      <c r="M72" s="35">
        <f t="shared" si="9"/>
        <v>0</v>
      </c>
      <c r="N72" s="191" t="s">
        <v>42</v>
      </c>
      <c r="O72" s="191" t="s">
        <v>42</v>
      </c>
      <c r="P72" s="192" t="s">
        <v>42</v>
      </c>
      <c r="Q72" s="193" t="s">
        <v>42</v>
      </c>
      <c r="R72" s="193" t="s">
        <v>42</v>
      </c>
    </row>
    <row r="73" spans="1:18" x14ac:dyDescent="0.25">
      <c r="A73" s="54"/>
      <c r="G73" s="11"/>
      <c r="H73" s="33">
        <v>68</v>
      </c>
      <c r="I73" s="34" t="str">
        <f t="shared" si="7"/>
        <v/>
      </c>
      <c r="J73" s="33">
        <f t="shared" si="10"/>
        <v>-7</v>
      </c>
      <c r="K73" s="33">
        <f t="shared" si="8"/>
        <v>-70</v>
      </c>
      <c r="L73" s="33"/>
      <c r="M73" s="35">
        <f t="shared" si="9"/>
        <v>0</v>
      </c>
      <c r="N73" s="191" t="s">
        <v>42</v>
      </c>
      <c r="O73" s="191" t="s">
        <v>42</v>
      </c>
      <c r="P73" s="192" t="s">
        <v>42</v>
      </c>
      <c r="Q73" s="193" t="s">
        <v>42</v>
      </c>
      <c r="R73" s="193" t="s">
        <v>42</v>
      </c>
    </row>
    <row r="74" spans="1:18" x14ac:dyDescent="0.25">
      <c r="A74" s="54"/>
      <c r="G74" s="11"/>
      <c r="H74" s="33">
        <v>69</v>
      </c>
      <c r="I74" s="34" t="str">
        <f t="shared" si="7"/>
        <v/>
      </c>
      <c r="J74" s="33">
        <f t="shared" si="10"/>
        <v>-7</v>
      </c>
      <c r="K74" s="33">
        <f t="shared" si="8"/>
        <v>-70</v>
      </c>
      <c r="L74" s="33"/>
      <c r="M74" s="35">
        <f t="shared" si="9"/>
        <v>0</v>
      </c>
      <c r="N74" s="191" t="s">
        <v>42</v>
      </c>
      <c r="O74" s="191" t="s">
        <v>42</v>
      </c>
      <c r="P74" s="192" t="s">
        <v>42</v>
      </c>
      <c r="Q74" s="193" t="s">
        <v>42</v>
      </c>
      <c r="R74" s="193" t="s">
        <v>42</v>
      </c>
    </row>
    <row r="75" spans="1:18" x14ac:dyDescent="0.25">
      <c r="A75" s="54"/>
      <c r="G75" s="11"/>
      <c r="H75" s="33">
        <v>70</v>
      </c>
      <c r="I75" s="34" t="str">
        <f t="shared" si="7"/>
        <v/>
      </c>
      <c r="J75" s="33">
        <f t="shared" si="10"/>
        <v>-7</v>
      </c>
      <c r="K75" s="33">
        <f t="shared" si="8"/>
        <v>-70</v>
      </c>
      <c r="L75" s="33"/>
      <c r="M75" s="35">
        <f t="shared" si="9"/>
        <v>0</v>
      </c>
      <c r="N75" s="191" t="s">
        <v>42</v>
      </c>
      <c r="O75" s="191" t="s">
        <v>42</v>
      </c>
      <c r="P75" s="192" t="s">
        <v>42</v>
      </c>
      <c r="Q75" s="193" t="s">
        <v>42</v>
      </c>
      <c r="R75" s="193" t="s">
        <v>42</v>
      </c>
    </row>
    <row r="76" spans="1:18" x14ac:dyDescent="0.25">
      <c r="A76" s="54"/>
      <c r="G76" s="11"/>
      <c r="H76" s="33">
        <v>71</v>
      </c>
      <c r="I76" s="34" t="str">
        <f t="shared" si="7"/>
        <v/>
      </c>
      <c r="J76" s="33">
        <f t="shared" si="10"/>
        <v>-7</v>
      </c>
      <c r="K76" s="33">
        <f t="shared" si="8"/>
        <v>-70</v>
      </c>
      <c r="L76" s="33"/>
      <c r="M76" s="35">
        <f t="shared" si="9"/>
        <v>0</v>
      </c>
      <c r="N76" s="191" t="s">
        <v>42</v>
      </c>
      <c r="O76" s="191" t="s">
        <v>42</v>
      </c>
      <c r="P76" s="192" t="s">
        <v>42</v>
      </c>
      <c r="Q76" s="193" t="s">
        <v>42</v>
      </c>
      <c r="R76" s="193" t="s">
        <v>42</v>
      </c>
    </row>
    <row r="77" spans="1:18" x14ac:dyDescent="0.25">
      <c r="A77" s="54"/>
      <c r="G77" s="11"/>
      <c r="H77" s="33">
        <v>72</v>
      </c>
      <c r="I77" s="34" t="str">
        <f t="shared" si="7"/>
        <v/>
      </c>
      <c r="J77" s="33">
        <f t="shared" si="10"/>
        <v>-7</v>
      </c>
      <c r="K77" s="33">
        <f t="shared" si="8"/>
        <v>-70</v>
      </c>
      <c r="L77" s="33"/>
      <c r="M77" s="35">
        <f t="shared" si="9"/>
        <v>0</v>
      </c>
      <c r="N77" s="191" t="s">
        <v>42</v>
      </c>
      <c r="O77" s="191" t="s">
        <v>42</v>
      </c>
      <c r="P77" s="192" t="s">
        <v>42</v>
      </c>
      <c r="Q77" s="193" t="s">
        <v>42</v>
      </c>
      <c r="R77" s="193" t="s">
        <v>42</v>
      </c>
    </row>
    <row r="78" spans="1:18" x14ac:dyDescent="0.25">
      <c r="A78" s="54"/>
      <c r="G78" s="11"/>
      <c r="H78" s="33">
        <v>73</v>
      </c>
      <c r="I78" s="34" t="str">
        <f t="shared" si="7"/>
        <v/>
      </c>
      <c r="J78" s="33">
        <f t="shared" si="10"/>
        <v>-7</v>
      </c>
      <c r="K78" s="33">
        <f t="shared" si="8"/>
        <v>-70</v>
      </c>
      <c r="L78" s="33"/>
      <c r="M78" s="35">
        <f t="shared" si="9"/>
        <v>0</v>
      </c>
      <c r="N78" s="191" t="s">
        <v>42</v>
      </c>
      <c r="O78" s="191" t="s">
        <v>42</v>
      </c>
      <c r="P78" s="192" t="s">
        <v>42</v>
      </c>
      <c r="Q78" s="193" t="s">
        <v>42</v>
      </c>
      <c r="R78" s="193" t="s">
        <v>42</v>
      </c>
    </row>
    <row r="79" spans="1:18" x14ac:dyDescent="0.25">
      <c r="A79" s="54"/>
      <c r="G79" s="11"/>
      <c r="H79" s="33">
        <v>74</v>
      </c>
      <c r="I79" s="34" t="str">
        <f t="shared" si="7"/>
        <v/>
      </c>
      <c r="J79" s="33">
        <f t="shared" si="10"/>
        <v>-7</v>
      </c>
      <c r="K79" s="33">
        <f t="shared" si="8"/>
        <v>-70</v>
      </c>
      <c r="L79" s="33"/>
      <c r="M79" s="35">
        <f t="shared" si="9"/>
        <v>0</v>
      </c>
      <c r="N79" s="191" t="s">
        <v>42</v>
      </c>
      <c r="O79" s="191" t="s">
        <v>42</v>
      </c>
      <c r="P79" s="192" t="s">
        <v>42</v>
      </c>
      <c r="Q79" s="193" t="s">
        <v>42</v>
      </c>
      <c r="R79" s="193" t="s">
        <v>42</v>
      </c>
    </row>
    <row r="80" spans="1:18" x14ac:dyDescent="0.25">
      <c r="A80" s="54"/>
      <c r="G80" s="11"/>
      <c r="H80" s="33">
        <v>75</v>
      </c>
      <c r="I80" s="34" t="str">
        <f t="shared" si="7"/>
        <v/>
      </c>
      <c r="J80" s="33">
        <f t="shared" si="10"/>
        <v>-7</v>
      </c>
      <c r="K80" s="33">
        <f t="shared" si="8"/>
        <v>-70</v>
      </c>
      <c r="L80" s="33"/>
      <c r="M80" s="35">
        <f t="shared" si="9"/>
        <v>0</v>
      </c>
      <c r="N80" s="191" t="s">
        <v>42</v>
      </c>
      <c r="O80" s="191" t="s">
        <v>42</v>
      </c>
      <c r="P80" s="192" t="s">
        <v>42</v>
      </c>
      <c r="Q80" s="193" t="s">
        <v>42</v>
      </c>
      <c r="R80" s="193" t="s">
        <v>42</v>
      </c>
    </row>
    <row r="81" spans="1:18" x14ac:dyDescent="0.25">
      <c r="A81" s="54"/>
      <c r="G81" s="11"/>
      <c r="H81" s="33">
        <v>76</v>
      </c>
      <c r="I81" s="34" t="str">
        <f t="shared" si="7"/>
        <v/>
      </c>
      <c r="J81" s="33">
        <f t="shared" si="10"/>
        <v>-7</v>
      </c>
      <c r="K81" s="33">
        <f t="shared" si="8"/>
        <v>-70</v>
      </c>
      <c r="L81" s="33"/>
      <c r="M81" s="35">
        <f t="shared" si="9"/>
        <v>0</v>
      </c>
      <c r="N81" s="191" t="s">
        <v>42</v>
      </c>
      <c r="O81" s="191" t="s">
        <v>42</v>
      </c>
      <c r="P81" s="192" t="s">
        <v>42</v>
      </c>
      <c r="Q81" s="193" t="s">
        <v>42</v>
      </c>
      <c r="R81" s="193" t="s">
        <v>42</v>
      </c>
    </row>
    <row r="82" spans="1:18" x14ac:dyDescent="0.25">
      <c r="A82" s="54"/>
      <c r="G82" s="11"/>
      <c r="H82" s="33">
        <v>77</v>
      </c>
      <c r="I82" s="34" t="str">
        <f t="shared" si="7"/>
        <v/>
      </c>
      <c r="J82" s="33">
        <f t="shared" si="10"/>
        <v>-7</v>
      </c>
      <c r="K82" s="33">
        <f t="shared" si="8"/>
        <v>-70</v>
      </c>
      <c r="L82" s="33"/>
      <c r="M82" s="35">
        <f t="shared" si="9"/>
        <v>0</v>
      </c>
      <c r="N82" s="191" t="s">
        <v>42</v>
      </c>
      <c r="O82" s="191" t="s">
        <v>42</v>
      </c>
      <c r="P82" s="192" t="s">
        <v>42</v>
      </c>
      <c r="Q82" s="193" t="s">
        <v>42</v>
      </c>
      <c r="R82" s="193" t="s">
        <v>42</v>
      </c>
    </row>
    <row r="83" spans="1:18" x14ac:dyDescent="0.25">
      <c r="A83" s="54"/>
      <c r="G83" s="11"/>
      <c r="H83" s="33">
        <v>78</v>
      </c>
      <c r="I83" s="34" t="str">
        <f t="shared" si="7"/>
        <v/>
      </c>
      <c r="J83" s="33">
        <f t="shared" si="10"/>
        <v>-7</v>
      </c>
      <c r="K83" s="33">
        <f t="shared" si="8"/>
        <v>-70</v>
      </c>
      <c r="L83" s="33"/>
      <c r="M83" s="35">
        <f t="shared" si="9"/>
        <v>0</v>
      </c>
      <c r="N83" s="191" t="s">
        <v>42</v>
      </c>
      <c r="O83" s="191" t="s">
        <v>42</v>
      </c>
      <c r="P83" s="192" t="s">
        <v>42</v>
      </c>
      <c r="Q83" s="193" t="s">
        <v>42</v>
      </c>
      <c r="R83" s="193" t="s">
        <v>42</v>
      </c>
    </row>
    <row r="84" spans="1:18" x14ac:dyDescent="0.25">
      <c r="A84" s="54"/>
      <c r="G84" s="11"/>
      <c r="H84" s="33">
        <v>79</v>
      </c>
      <c r="I84" s="34" t="str">
        <f t="shared" si="7"/>
        <v/>
      </c>
      <c r="J84" s="33">
        <f t="shared" si="10"/>
        <v>-7</v>
      </c>
      <c r="K84" s="33">
        <f t="shared" si="8"/>
        <v>-70</v>
      </c>
      <c r="L84" s="33"/>
      <c r="M84" s="35">
        <f t="shared" si="9"/>
        <v>0</v>
      </c>
      <c r="N84" s="191" t="s">
        <v>42</v>
      </c>
      <c r="O84" s="191" t="s">
        <v>42</v>
      </c>
      <c r="P84" s="192" t="s">
        <v>42</v>
      </c>
      <c r="Q84" s="193" t="s">
        <v>42</v>
      </c>
      <c r="R84" s="193" t="s">
        <v>42</v>
      </c>
    </row>
    <row r="85" spans="1:18" x14ac:dyDescent="0.25">
      <c r="A85" s="54"/>
      <c r="G85" s="11"/>
      <c r="H85" s="33">
        <v>80</v>
      </c>
      <c r="I85" s="34" t="str">
        <f t="shared" si="7"/>
        <v/>
      </c>
      <c r="J85" s="33">
        <f t="shared" si="10"/>
        <v>-7</v>
      </c>
      <c r="K85" s="33">
        <f t="shared" si="8"/>
        <v>-70</v>
      </c>
      <c r="L85" s="33"/>
      <c r="M85" s="35">
        <f t="shared" si="9"/>
        <v>0</v>
      </c>
      <c r="N85" s="191" t="s">
        <v>42</v>
      </c>
      <c r="O85" s="191" t="s">
        <v>42</v>
      </c>
      <c r="P85" s="192" t="s">
        <v>42</v>
      </c>
      <c r="Q85" s="193" t="s">
        <v>42</v>
      </c>
      <c r="R85" s="193" t="s">
        <v>42</v>
      </c>
    </row>
    <row r="86" spans="1:18" x14ac:dyDescent="0.25">
      <c r="A86" s="54"/>
      <c r="G86" s="11"/>
      <c r="H86" s="33">
        <v>81</v>
      </c>
      <c r="I86" s="34" t="str">
        <f t="shared" si="7"/>
        <v/>
      </c>
      <c r="J86" s="33">
        <f t="shared" si="10"/>
        <v>-7</v>
      </c>
      <c r="K86" s="33">
        <f t="shared" si="8"/>
        <v>-70</v>
      </c>
      <c r="L86" s="33"/>
      <c r="M86" s="35">
        <f t="shared" si="9"/>
        <v>0</v>
      </c>
      <c r="N86" s="191" t="s">
        <v>42</v>
      </c>
      <c r="O86" s="191" t="s">
        <v>42</v>
      </c>
      <c r="P86" s="192" t="s">
        <v>42</v>
      </c>
      <c r="Q86" s="193" t="s">
        <v>42</v>
      </c>
      <c r="R86" s="193" t="s">
        <v>42</v>
      </c>
    </row>
    <row r="87" spans="1:18" x14ac:dyDescent="0.25">
      <c r="A87" s="54"/>
      <c r="G87" s="11"/>
      <c r="H87" s="33">
        <v>82</v>
      </c>
      <c r="I87" s="34" t="str">
        <f t="shared" si="7"/>
        <v/>
      </c>
      <c r="J87" s="33">
        <f t="shared" si="10"/>
        <v>-7</v>
      </c>
      <c r="K87" s="33">
        <f t="shared" si="8"/>
        <v>-70</v>
      </c>
      <c r="L87" s="33"/>
      <c r="M87" s="35">
        <f t="shared" si="9"/>
        <v>0</v>
      </c>
      <c r="N87" s="191" t="s">
        <v>42</v>
      </c>
      <c r="O87" s="191" t="s">
        <v>42</v>
      </c>
      <c r="P87" s="192" t="s">
        <v>42</v>
      </c>
      <c r="Q87" s="193" t="s">
        <v>42</v>
      </c>
      <c r="R87" s="193" t="s">
        <v>42</v>
      </c>
    </row>
    <row r="88" spans="1:18" x14ac:dyDescent="0.25">
      <c r="A88" s="54"/>
      <c r="G88" s="11"/>
      <c r="H88" s="33">
        <v>83</v>
      </c>
      <c r="I88" s="34" t="str">
        <f t="shared" si="7"/>
        <v/>
      </c>
      <c r="J88" s="33">
        <f t="shared" si="10"/>
        <v>-7</v>
      </c>
      <c r="K88" s="33">
        <f t="shared" si="8"/>
        <v>-70</v>
      </c>
      <c r="L88" s="33"/>
      <c r="M88" s="35">
        <f t="shared" si="9"/>
        <v>0</v>
      </c>
      <c r="N88" s="191" t="s">
        <v>42</v>
      </c>
      <c r="O88" s="191" t="s">
        <v>42</v>
      </c>
      <c r="P88" s="192" t="s">
        <v>42</v>
      </c>
      <c r="Q88" s="193" t="s">
        <v>42</v>
      </c>
      <c r="R88" s="193" t="s">
        <v>42</v>
      </c>
    </row>
    <row r="89" spans="1:18" x14ac:dyDescent="0.25">
      <c r="A89" s="54"/>
      <c r="G89" s="11"/>
      <c r="H89" s="33">
        <v>84</v>
      </c>
      <c r="I89" s="34" t="str">
        <f t="shared" si="7"/>
        <v/>
      </c>
      <c r="J89" s="33">
        <f t="shared" si="10"/>
        <v>-7</v>
      </c>
      <c r="K89" s="33">
        <f t="shared" si="8"/>
        <v>-70</v>
      </c>
      <c r="L89" s="33"/>
      <c r="M89" s="35">
        <f t="shared" si="9"/>
        <v>0</v>
      </c>
      <c r="N89" s="191" t="s">
        <v>42</v>
      </c>
      <c r="O89" s="191" t="s">
        <v>42</v>
      </c>
      <c r="P89" s="192" t="s">
        <v>42</v>
      </c>
      <c r="Q89" s="193" t="s">
        <v>42</v>
      </c>
      <c r="R89" s="193" t="s">
        <v>42</v>
      </c>
    </row>
    <row r="90" spans="1:18" x14ac:dyDescent="0.25">
      <c r="A90" s="54"/>
      <c r="G90" s="11"/>
      <c r="H90" s="33">
        <v>85</v>
      </c>
      <c r="I90" s="34" t="str">
        <f t="shared" si="7"/>
        <v/>
      </c>
      <c r="J90" s="33">
        <f t="shared" si="10"/>
        <v>-7</v>
      </c>
      <c r="K90" s="33">
        <f t="shared" si="8"/>
        <v>-70</v>
      </c>
      <c r="L90" s="33"/>
      <c r="M90" s="35">
        <f t="shared" si="9"/>
        <v>0</v>
      </c>
      <c r="N90" s="191" t="s">
        <v>42</v>
      </c>
      <c r="O90" s="191" t="s">
        <v>42</v>
      </c>
      <c r="P90" s="192" t="s">
        <v>42</v>
      </c>
      <c r="Q90" s="193" t="s">
        <v>42</v>
      </c>
      <c r="R90" s="193" t="s">
        <v>42</v>
      </c>
    </row>
    <row r="91" spans="1:18" x14ac:dyDescent="0.25">
      <c r="A91" s="54"/>
      <c r="G91" s="11"/>
      <c r="H91" s="33">
        <v>86</v>
      </c>
      <c r="I91" s="34" t="str">
        <f t="shared" si="7"/>
        <v/>
      </c>
      <c r="J91" s="33">
        <f t="shared" si="10"/>
        <v>-7</v>
      </c>
      <c r="K91" s="33">
        <f t="shared" si="8"/>
        <v>-70</v>
      </c>
      <c r="L91" s="33"/>
      <c r="M91" s="35">
        <f t="shared" si="9"/>
        <v>0</v>
      </c>
      <c r="N91" s="191" t="s">
        <v>42</v>
      </c>
      <c r="O91" s="191" t="s">
        <v>42</v>
      </c>
      <c r="P91" s="192" t="s">
        <v>42</v>
      </c>
      <c r="Q91" s="193" t="s">
        <v>42</v>
      </c>
      <c r="R91" s="193" t="s">
        <v>42</v>
      </c>
    </row>
    <row r="92" spans="1:18" x14ac:dyDescent="0.25">
      <c r="A92" s="54"/>
      <c r="G92" s="11"/>
      <c r="H92" s="33">
        <v>87</v>
      </c>
      <c r="I92" s="34" t="str">
        <f t="shared" si="7"/>
        <v/>
      </c>
      <c r="J92" s="33">
        <f t="shared" si="10"/>
        <v>-7</v>
      </c>
      <c r="K92" s="33">
        <f t="shared" si="8"/>
        <v>-70</v>
      </c>
      <c r="L92" s="33"/>
      <c r="M92" s="35">
        <f t="shared" si="9"/>
        <v>0</v>
      </c>
      <c r="N92" s="191" t="s">
        <v>42</v>
      </c>
      <c r="O92" s="191" t="s">
        <v>42</v>
      </c>
      <c r="P92" s="192" t="s">
        <v>42</v>
      </c>
      <c r="Q92" s="193" t="s">
        <v>42</v>
      </c>
      <c r="R92" s="193" t="s">
        <v>42</v>
      </c>
    </row>
    <row r="93" spans="1:18" x14ac:dyDescent="0.25">
      <c r="A93" s="54"/>
      <c r="G93" s="11"/>
      <c r="H93" s="33">
        <v>88</v>
      </c>
      <c r="I93" s="34" t="str">
        <f t="shared" si="7"/>
        <v/>
      </c>
      <c r="J93" s="33">
        <f t="shared" si="10"/>
        <v>-7</v>
      </c>
      <c r="K93" s="33">
        <f t="shared" si="8"/>
        <v>-70</v>
      </c>
      <c r="L93" s="33"/>
      <c r="M93" s="35">
        <f t="shared" si="9"/>
        <v>0</v>
      </c>
      <c r="N93" s="191" t="s">
        <v>42</v>
      </c>
      <c r="O93" s="191" t="s">
        <v>42</v>
      </c>
      <c r="P93" s="192" t="s">
        <v>42</v>
      </c>
      <c r="Q93" s="193" t="s">
        <v>42</v>
      </c>
      <c r="R93" s="193" t="s">
        <v>42</v>
      </c>
    </row>
    <row r="94" spans="1:18" x14ac:dyDescent="0.25">
      <c r="A94" s="54"/>
      <c r="G94" s="11"/>
      <c r="H94" s="33">
        <v>89</v>
      </c>
      <c r="I94" s="34" t="str">
        <f t="shared" si="7"/>
        <v/>
      </c>
      <c r="J94" s="33">
        <f t="shared" si="10"/>
        <v>-7</v>
      </c>
      <c r="K94" s="33">
        <f t="shared" si="8"/>
        <v>-70</v>
      </c>
      <c r="L94" s="33"/>
      <c r="M94" s="35">
        <f t="shared" si="9"/>
        <v>0</v>
      </c>
      <c r="N94" s="191" t="s">
        <v>42</v>
      </c>
      <c r="O94" s="191" t="s">
        <v>42</v>
      </c>
      <c r="P94" s="192" t="s">
        <v>42</v>
      </c>
      <c r="Q94" s="193" t="s">
        <v>42</v>
      </c>
      <c r="R94" s="193" t="s">
        <v>42</v>
      </c>
    </row>
    <row r="95" spans="1:18" x14ac:dyDescent="0.25">
      <c r="A95" s="54"/>
      <c r="G95" s="11"/>
      <c r="H95" s="33">
        <v>90</v>
      </c>
      <c r="I95" s="34" t="str">
        <f t="shared" si="7"/>
        <v/>
      </c>
      <c r="J95" s="33">
        <f t="shared" si="10"/>
        <v>-7</v>
      </c>
      <c r="K95" s="33">
        <f t="shared" si="8"/>
        <v>-70</v>
      </c>
      <c r="L95" s="33"/>
      <c r="M95" s="35">
        <f t="shared" si="9"/>
        <v>0</v>
      </c>
      <c r="N95" s="191" t="s">
        <v>42</v>
      </c>
      <c r="O95" s="191" t="s">
        <v>42</v>
      </c>
      <c r="P95" s="192" t="s">
        <v>42</v>
      </c>
      <c r="Q95" s="193" t="s">
        <v>42</v>
      </c>
      <c r="R95" s="193" t="s">
        <v>42</v>
      </c>
    </row>
    <row r="96" spans="1:18" x14ac:dyDescent="0.25">
      <c r="A96" s="54"/>
      <c r="G96" s="11"/>
      <c r="H96" s="33">
        <v>91</v>
      </c>
      <c r="I96" s="34" t="str">
        <f t="shared" si="7"/>
        <v/>
      </c>
      <c r="J96" s="33">
        <f t="shared" si="10"/>
        <v>-7</v>
      </c>
      <c r="K96" s="33">
        <f t="shared" si="8"/>
        <v>-70</v>
      </c>
      <c r="L96" s="33"/>
      <c r="M96" s="35">
        <f t="shared" si="9"/>
        <v>0</v>
      </c>
      <c r="N96" s="191" t="s">
        <v>42</v>
      </c>
      <c r="O96" s="191" t="s">
        <v>42</v>
      </c>
      <c r="P96" s="192" t="s">
        <v>42</v>
      </c>
      <c r="Q96" s="193" t="s">
        <v>42</v>
      </c>
      <c r="R96" s="193" t="s">
        <v>42</v>
      </c>
    </row>
    <row r="97" spans="1:18" x14ac:dyDescent="0.25">
      <c r="A97" s="54"/>
      <c r="G97" s="11"/>
      <c r="H97" s="33">
        <v>92</v>
      </c>
      <c r="I97" s="34" t="str">
        <f t="shared" si="7"/>
        <v/>
      </c>
      <c r="J97" s="33">
        <f t="shared" si="10"/>
        <v>-7</v>
      </c>
      <c r="K97" s="33">
        <f t="shared" si="8"/>
        <v>-70</v>
      </c>
      <c r="L97" s="33"/>
      <c r="M97" s="35">
        <f t="shared" si="9"/>
        <v>0</v>
      </c>
      <c r="N97" s="191" t="s">
        <v>42</v>
      </c>
      <c r="O97" s="191" t="s">
        <v>42</v>
      </c>
      <c r="P97" s="192" t="s">
        <v>42</v>
      </c>
      <c r="Q97" s="193" t="s">
        <v>42</v>
      </c>
      <c r="R97" s="193" t="s">
        <v>42</v>
      </c>
    </row>
    <row r="98" spans="1:18" x14ac:dyDescent="0.25">
      <c r="A98" s="54"/>
      <c r="G98" s="11"/>
      <c r="H98" s="33">
        <v>93</v>
      </c>
      <c r="I98" s="34" t="str">
        <f t="shared" si="7"/>
        <v/>
      </c>
      <c r="J98" s="33">
        <f t="shared" si="10"/>
        <v>-7</v>
      </c>
      <c r="K98" s="33">
        <f t="shared" si="8"/>
        <v>-70</v>
      </c>
      <c r="L98" s="33"/>
      <c r="M98" s="35">
        <f t="shared" si="9"/>
        <v>0</v>
      </c>
      <c r="N98" s="191" t="s">
        <v>42</v>
      </c>
      <c r="O98" s="191" t="s">
        <v>42</v>
      </c>
      <c r="P98" s="192" t="s">
        <v>42</v>
      </c>
      <c r="Q98" s="193" t="s">
        <v>42</v>
      </c>
      <c r="R98" s="193" t="s">
        <v>42</v>
      </c>
    </row>
    <row r="99" spans="1:18" x14ac:dyDescent="0.25">
      <c r="A99" s="54"/>
      <c r="G99" s="11"/>
      <c r="H99" s="33">
        <v>94</v>
      </c>
      <c r="I99" s="34" t="str">
        <f t="shared" si="7"/>
        <v/>
      </c>
      <c r="J99" s="33">
        <f t="shared" si="10"/>
        <v>-7</v>
      </c>
      <c r="K99" s="33">
        <f t="shared" si="8"/>
        <v>-70</v>
      </c>
      <c r="L99" s="33"/>
      <c r="M99" s="35">
        <f t="shared" si="9"/>
        <v>0</v>
      </c>
      <c r="N99" s="191" t="s">
        <v>42</v>
      </c>
      <c r="O99" s="191" t="s">
        <v>42</v>
      </c>
      <c r="P99" s="192" t="s">
        <v>42</v>
      </c>
      <c r="Q99" s="193" t="s">
        <v>42</v>
      </c>
      <c r="R99" s="193" t="s">
        <v>42</v>
      </c>
    </row>
    <row r="100" spans="1:18" x14ac:dyDescent="0.25">
      <c r="A100" s="54"/>
      <c r="G100" s="11"/>
      <c r="H100" s="33">
        <v>95</v>
      </c>
      <c r="I100" s="34" t="str">
        <f t="shared" si="7"/>
        <v/>
      </c>
      <c r="J100" s="33">
        <f t="shared" si="10"/>
        <v>-7</v>
      </c>
      <c r="K100" s="33">
        <f t="shared" si="8"/>
        <v>-70</v>
      </c>
      <c r="L100" s="33"/>
      <c r="M100" s="35">
        <f t="shared" si="9"/>
        <v>0</v>
      </c>
      <c r="N100" s="191" t="s">
        <v>42</v>
      </c>
      <c r="O100" s="191" t="s">
        <v>42</v>
      </c>
      <c r="P100" s="192" t="s">
        <v>42</v>
      </c>
      <c r="Q100" s="193" t="s">
        <v>42</v>
      </c>
      <c r="R100" s="193" t="s">
        <v>42</v>
      </c>
    </row>
    <row r="101" spans="1:18" x14ac:dyDescent="0.25">
      <c r="A101" s="54"/>
      <c r="G101" s="11"/>
      <c r="H101" s="33">
        <v>96</v>
      </c>
      <c r="I101" s="34" t="str">
        <f t="shared" si="7"/>
        <v/>
      </c>
      <c r="J101" s="33">
        <f t="shared" si="10"/>
        <v>-7</v>
      </c>
      <c r="K101" s="33">
        <f t="shared" si="8"/>
        <v>-70</v>
      </c>
      <c r="L101" s="33"/>
      <c r="M101" s="35">
        <f t="shared" si="9"/>
        <v>0</v>
      </c>
      <c r="N101" s="191" t="s">
        <v>42</v>
      </c>
      <c r="O101" s="191" t="s">
        <v>42</v>
      </c>
      <c r="P101" s="192" t="s">
        <v>42</v>
      </c>
      <c r="Q101" s="193" t="s">
        <v>42</v>
      </c>
      <c r="R101" s="193" t="s">
        <v>42</v>
      </c>
    </row>
    <row r="102" spans="1:18" x14ac:dyDescent="0.25">
      <c r="A102" s="54"/>
      <c r="G102" s="11"/>
      <c r="H102" s="33">
        <v>97</v>
      </c>
      <c r="I102" s="34" t="str">
        <f t="shared" si="7"/>
        <v/>
      </c>
      <c r="J102" s="33">
        <f t="shared" si="10"/>
        <v>-7</v>
      </c>
      <c r="K102" s="33">
        <f t="shared" si="8"/>
        <v>-70</v>
      </c>
      <c r="L102" s="33"/>
      <c r="M102" s="35">
        <f t="shared" si="9"/>
        <v>0</v>
      </c>
      <c r="N102" s="191" t="s">
        <v>42</v>
      </c>
      <c r="O102" s="191" t="s">
        <v>42</v>
      </c>
      <c r="P102" s="192" t="s">
        <v>42</v>
      </c>
      <c r="Q102" s="193" t="s">
        <v>42</v>
      </c>
      <c r="R102" s="193" t="s">
        <v>42</v>
      </c>
    </row>
    <row r="103" spans="1:18" x14ac:dyDescent="0.25">
      <c r="A103" s="54"/>
      <c r="G103" s="11"/>
      <c r="H103" s="33">
        <v>98</v>
      </c>
      <c r="I103" s="34" t="str">
        <f t="shared" si="7"/>
        <v/>
      </c>
      <c r="J103" s="33">
        <f t="shared" si="10"/>
        <v>-7</v>
      </c>
      <c r="K103" s="33">
        <f t="shared" si="8"/>
        <v>-70</v>
      </c>
      <c r="L103" s="33"/>
      <c r="M103" s="35">
        <f t="shared" si="9"/>
        <v>0</v>
      </c>
      <c r="N103" s="191" t="s">
        <v>42</v>
      </c>
      <c r="O103" s="191" t="s">
        <v>42</v>
      </c>
      <c r="P103" s="192" t="s">
        <v>42</v>
      </c>
      <c r="Q103" s="193" t="s">
        <v>42</v>
      </c>
      <c r="R103" s="193" t="s">
        <v>42</v>
      </c>
    </row>
    <row r="104" spans="1:18" x14ac:dyDescent="0.25">
      <c r="A104" s="54"/>
      <c r="G104" s="11"/>
      <c r="H104" s="33">
        <v>99</v>
      </c>
      <c r="I104" s="34" t="str">
        <f t="shared" si="7"/>
        <v/>
      </c>
      <c r="J104" s="33">
        <f t="shared" si="10"/>
        <v>-7</v>
      </c>
      <c r="K104" s="33">
        <f t="shared" si="8"/>
        <v>-70</v>
      </c>
      <c r="L104" s="33"/>
      <c r="M104" s="35">
        <f t="shared" si="9"/>
        <v>0</v>
      </c>
      <c r="N104" s="191" t="s">
        <v>42</v>
      </c>
      <c r="O104" s="191" t="s">
        <v>42</v>
      </c>
      <c r="P104" s="192" t="s">
        <v>42</v>
      </c>
      <c r="Q104" s="193" t="s">
        <v>42</v>
      </c>
      <c r="R104" s="193" t="s">
        <v>42</v>
      </c>
    </row>
    <row r="105" spans="1:18" x14ac:dyDescent="0.25">
      <c r="A105" s="54"/>
      <c r="G105" s="11"/>
      <c r="H105" s="33">
        <v>100</v>
      </c>
      <c r="I105" s="34" t="str">
        <f t="shared" si="7"/>
        <v/>
      </c>
      <c r="J105" s="33">
        <f t="shared" si="10"/>
        <v>-7</v>
      </c>
      <c r="K105" s="33">
        <f t="shared" si="8"/>
        <v>-70</v>
      </c>
      <c r="L105" s="33"/>
      <c r="M105" s="35">
        <f t="shared" si="9"/>
        <v>0</v>
      </c>
      <c r="N105" s="191" t="s">
        <v>42</v>
      </c>
      <c r="O105" s="191" t="s">
        <v>42</v>
      </c>
      <c r="P105" s="192" t="s">
        <v>42</v>
      </c>
      <c r="Q105" s="193" t="s">
        <v>42</v>
      </c>
      <c r="R105" s="193" t="s">
        <v>42</v>
      </c>
    </row>
    <row r="106" spans="1:18" x14ac:dyDescent="0.25">
      <c r="A106" s="54"/>
      <c r="G106" s="11"/>
      <c r="H106" s="33">
        <v>101</v>
      </c>
      <c r="I106" s="34" t="str">
        <f t="shared" si="7"/>
        <v/>
      </c>
      <c r="J106" s="33">
        <f t="shared" si="10"/>
        <v>-7</v>
      </c>
      <c r="K106" s="33">
        <f t="shared" si="8"/>
        <v>-70</v>
      </c>
      <c r="L106" s="33"/>
      <c r="M106" s="35">
        <f t="shared" si="9"/>
        <v>0</v>
      </c>
      <c r="N106" s="191" t="s">
        <v>42</v>
      </c>
      <c r="O106" s="191" t="s">
        <v>42</v>
      </c>
      <c r="P106" s="192" t="s">
        <v>42</v>
      </c>
      <c r="Q106" s="193" t="s">
        <v>42</v>
      </c>
      <c r="R106" s="193" t="s">
        <v>42</v>
      </c>
    </row>
    <row r="107" spans="1:18" x14ac:dyDescent="0.25">
      <c r="A107" s="54"/>
      <c r="G107" s="11"/>
      <c r="H107" s="33">
        <v>102</v>
      </c>
      <c r="I107" s="34" t="str">
        <f t="shared" si="7"/>
        <v/>
      </c>
      <c r="J107" s="33">
        <f t="shared" si="10"/>
        <v>-7</v>
      </c>
      <c r="K107" s="33">
        <f t="shared" si="8"/>
        <v>-70</v>
      </c>
      <c r="L107" s="33"/>
      <c r="M107" s="35">
        <f t="shared" si="9"/>
        <v>0</v>
      </c>
      <c r="N107" s="191" t="s">
        <v>42</v>
      </c>
      <c r="O107" s="191" t="s">
        <v>42</v>
      </c>
      <c r="P107" s="192" t="s">
        <v>42</v>
      </c>
      <c r="Q107" s="193" t="s">
        <v>42</v>
      </c>
      <c r="R107" s="193" t="s">
        <v>42</v>
      </c>
    </row>
    <row r="108" spans="1:18" x14ac:dyDescent="0.25">
      <c r="A108" s="54"/>
      <c r="G108" s="11"/>
      <c r="H108" s="33">
        <v>103</v>
      </c>
      <c r="I108" s="34" t="str">
        <f t="shared" si="7"/>
        <v/>
      </c>
      <c r="J108" s="33">
        <f t="shared" si="10"/>
        <v>-7</v>
      </c>
      <c r="K108" s="33">
        <f t="shared" si="8"/>
        <v>-70</v>
      </c>
      <c r="L108" s="33"/>
      <c r="M108" s="35">
        <f t="shared" si="9"/>
        <v>0</v>
      </c>
      <c r="N108" s="191" t="s">
        <v>42</v>
      </c>
      <c r="O108" s="191" t="s">
        <v>42</v>
      </c>
      <c r="P108" s="192" t="s">
        <v>42</v>
      </c>
      <c r="Q108" s="193" t="s">
        <v>42</v>
      </c>
      <c r="R108" s="193" t="s">
        <v>42</v>
      </c>
    </row>
    <row r="109" spans="1:18" x14ac:dyDescent="0.25">
      <c r="A109" s="54"/>
      <c r="G109" s="11"/>
      <c r="H109" s="33">
        <v>104</v>
      </c>
      <c r="I109" s="34" t="str">
        <f t="shared" si="7"/>
        <v/>
      </c>
      <c r="J109" s="33">
        <f t="shared" si="10"/>
        <v>-7</v>
      </c>
      <c r="K109" s="33">
        <f t="shared" si="8"/>
        <v>-70</v>
      </c>
      <c r="L109" s="33"/>
      <c r="M109" s="35">
        <f t="shared" si="9"/>
        <v>0</v>
      </c>
      <c r="N109" s="191" t="s">
        <v>42</v>
      </c>
      <c r="O109" s="191" t="s">
        <v>42</v>
      </c>
      <c r="P109" s="192" t="s">
        <v>42</v>
      </c>
      <c r="Q109" s="193" t="s">
        <v>42</v>
      </c>
      <c r="R109" s="193" t="s">
        <v>42</v>
      </c>
    </row>
    <row r="110" spans="1:18" x14ac:dyDescent="0.25">
      <c r="A110" s="54"/>
      <c r="G110" s="11"/>
      <c r="H110" s="33">
        <v>105</v>
      </c>
      <c r="I110" s="34" t="str">
        <f t="shared" si="7"/>
        <v/>
      </c>
      <c r="J110" s="33">
        <f t="shared" si="10"/>
        <v>-7</v>
      </c>
      <c r="K110" s="33">
        <f t="shared" si="8"/>
        <v>-70</v>
      </c>
      <c r="L110" s="33"/>
      <c r="M110" s="35">
        <f t="shared" si="9"/>
        <v>0</v>
      </c>
      <c r="N110" s="191" t="s">
        <v>42</v>
      </c>
      <c r="O110" s="191" t="s">
        <v>42</v>
      </c>
      <c r="P110" s="192" t="s">
        <v>42</v>
      </c>
      <c r="Q110" s="193" t="s">
        <v>42</v>
      </c>
      <c r="R110" s="193" t="s">
        <v>42</v>
      </c>
    </row>
    <row r="111" spans="1:18" x14ac:dyDescent="0.25">
      <c r="A111" s="54"/>
      <c r="G111" s="11"/>
      <c r="H111" s="33">
        <v>106</v>
      </c>
      <c r="I111" s="34" t="str">
        <f t="shared" si="7"/>
        <v/>
      </c>
      <c r="J111" s="33">
        <f t="shared" si="10"/>
        <v>-7</v>
      </c>
      <c r="K111" s="33">
        <f t="shared" si="8"/>
        <v>-70</v>
      </c>
      <c r="L111" s="33"/>
      <c r="M111" s="35">
        <f t="shared" si="9"/>
        <v>0</v>
      </c>
      <c r="N111" s="191" t="s">
        <v>42</v>
      </c>
      <c r="O111" s="191" t="s">
        <v>42</v>
      </c>
      <c r="P111" s="192" t="s">
        <v>42</v>
      </c>
      <c r="Q111" s="193" t="s">
        <v>42</v>
      </c>
      <c r="R111" s="193" t="s">
        <v>42</v>
      </c>
    </row>
    <row r="112" spans="1:18" x14ac:dyDescent="0.25">
      <c r="A112" s="54"/>
      <c r="G112" s="11"/>
      <c r="H112" s="33">
        <v>107</v>
      </c>
      <c r="I112" s="34" t="str">
        <f t="shared" si="7"/>
        <v/>
      </c>
      <c r="J112" s="33">
        <f t="shared" si="10"/>
        <v>-7</v>
      </c>
      <c r="K112" s="33">
        <f t="shared" si="8"/>
        <v>-70</v>
      </c>
      <c r="L112" s="33"/>
      <c r="M112" s="35">
        <f t="shared" si="9"/>
        <v>0</v>
      </c>
      <c r="N112" s="191" t="s">
        <v>42</v>
      </c>
      <c r="O112" s="191" t="s">
        <v>42</v>
      </c>
      <c r="P112" s="192" t="s">
        <v>42</v>
      </c>
      <c r="Q112" s="193" t="s">
        <v>42</v>
      </c>
      <c r="R112" s="193" t="s">
        <v>42</v>
      </c>
    </row>
    <row r="113" spans="1:18" x14ac:dyDescent="0.25">
      <c r="A113" s="54"/>
      <c r="G113" s="11"/>
      <c r="H113" s="33">
        <v>108</v>
      </c>
      <c r="I113" s="34" t="str">
        <f t="shared" si="7"/>
        <v/>
      </c>
      <c r="J113" s="33">
        <f t="shared" si="10"/>
        <v>-7</v>
      </c>
      <c r="K113" s="33">
        <f t="shared" si="8"/>
        <v>-70</v>
      </c>
      <c r="L113" s="33"/>
      <c r="M113" s="35">
        <f t="shared" si="9"/>
        <v>0</v>
      </c>
      <c r="N113" s="191" t="s">
        <v>42</v>
      </c>
      <c r="O113" s="191" t="s">
        <v>42</v>
      </c>
      <c r="P113" s="192" t="s">
        <v>42</v>
      </c>
      <c r="Q113" s="193" t="s">
        <v>42</v>
      </c>
      <c r="R113" s="193" t="s">
        <v>42</v>
      </c>
    </row>
    <row r="114" spans="1:18" x14ac:dyDescent="0.25">
      <c r="A114" s="54"/>
      <c r="G114" s="11"/>
      <c r="H114" s="33">
        <v>109</v>
      </c>
      <c r="I114" s="34" t="str">
        <f t="shared" si="7"/>
        <v/>
      </c>
      <c r="J114" s="33">
        <f t="shared" si="10"/>
        <v>-7</v>
      </c>
      <c r="K114" s="33">
        <f t="shared" si="8"/>
        <v>-70</v>
      </c>
      <c r="L114" s="33"/>
      <c r="M114" s="35">
        <f t="shared" si="9"/>
        <v>0</v>
      </c>
      <c r="N114" s="191" t="s">
        <v>42</v>
      </c>
      <c r="O114" s="191" t="s">
        <v>42</v>
      </c>
      <c r="P114" s="192" t="s">
        <v>42</v>
      </c>
      <c r="Q114" s="193" t="s">
        <v>42</v>
      </c>
      <c r="R114" s="193" t="s">
        <v>42</v>
      </c>
    </row>
    <row r="115" spans="1:18" x14ac:dyDescent="0.25">
      <c r="A115" s="54"/>
      <c r="G115" s="11"/>
      <c r="H115" s="33">
        <v>110</v>
      </c>
      <c r="I115" s="34" t="str">
        <f t="shared" si="7"/>
        <v/>
      </c>
      <c r="J115" s="33">
        <f t="shared" si="10"/>
        <v>-7</v>
      </c>
      <c r="K115" s="33">
        <f t="shared" si="8"/>
        <v>-70</v>
      </c>
      <c r="L115" s="33"/>
      <c r="M115" s="35">
        <f t="shared" si="9"/>
        <v>0</v>
      </c>
      <c r="N115" s="191" t="s">
        <v>42</v>
      </c>
      <c r="O115" s="191" t="s">
        <v>42</v>
      </c>
      <c r="P115" s="192" t="s">
        <v>42</v>
      </c>
      <c r="Q115" s="193" t="s">
        <v>42</v>
      </c>
      <c r="R115" s="193" t="s">
        <v>42</v>
      </c>
    </row>
    <row r="116" spans="1:18" x14ac:dyDescent="0.25">
      <c r="A116" s="54"/>
      <c r="G116" s="11"/>
      <c r="H116" s="33">
        <v>111</v>
      </c>
      <c r="I116" s="34" t="str">
        <f t="shared" si="7"/>
        <v/>
      </c>
      <c r="J116" s="33">
        <f t="shared" si="10"/>
        <v>-7</v>
      </c>
      <c r="K116" s="33">
        <f t="shared" si="8"/>
        <v>-70</v>
      </c>
      <c r="L116" s="33"/>
      <c r="M116" s="35">
        <f t="shared" si="9"/>
        <v>0</v>
      </c>
      <c r="N116" s="191" t="s">
        <v>42</v>
      </c>
      <c r="O116" s="191" t="s">
        <v>42</v>
      </c>
      <c r="P116" s="192" t="s">
        <v>42</v>
      </c>
      <c r="Q116" s="193" t="s">
        <v>42</v>
      </c>
      <c r="R116" s="193" t="s">
        <v>42</v>
      </c>
    </row>
    <row r="117" spans="1:18" x14ac:dyDescent="0.25">
      <c r="A117" s="54"/>
      <c r="G117" s="11"/>
      <c r="H117" s="33">
        <v>112</v>
      </c>
      <c r="I117" s="34" t="str">
        <f t="shared" si="7"/>
        <v/>
      </c>
      <c r="J117" s="33">
        <f t="shared" si="10"/>
        <v>-7</v>
      </c>
      <c r="K117" s="33">
        <f t="shared" si="8"/>
        <v>-70</v>
      </c>
      <c r="L117" s="33"/>
      <c r="M117" s="35">
        <f t="shared" si="9"/>
        <v>0</v>
      </c>
      <c r="N117" s="191" t="s">
        <v>42</v>
      </c>
      <c r="O117" s="191" t="s">
        <v>42</v>
      </c>
      <c r="P117" s="192" t="s">
        <v>42</v>
      </c>
      <c r="Q117" s="193" t="s">
        <v>42</v>
      </c>
      <c r="R117" s="193" t="s">
        <v>42</v>
      </c>
    </row>
    <row r="118" spans="1:18" x14ac:dyDescent="0.25">
      <c r="A118" s="54"/>
      <c r="G118" s="11"/>
      <c r="H118" s="33">
        <v>113</v>
      </c>
      <c r="I118" s="34" t="str">
        <f t="shared" si="7"/>
        <v/>
      </c>
      <c r="J118" s="33">
        <f t="shared" si="10"/>
        <v>-7</v>
      </c>
      <c r="K118" s="33">
        <f t="shared" si="8"/>
        <v>-70</v>
      </c>
      <c r="L118" s="33"/>
      <c r="M118" s="35">
        <f t="shared" si="9"/>
        <v>0</v>
      </c>
      <c r="N118" s="191" t="s">
        <v>42</v>
      </c>
      <c r="O118" s="191" t="s">
        <v>42</v>
      </c>
      <c r="P118" s="192" t="s">
        <v>42</v>
      </c>
      <c r="Q118" s="193" t="s">
        <v>42</v>
      </c>
      <c r="R118" s="193" t="s">
        <v>42</v>
      </c>
    </row>
    <row r="119" spans="1:18" x14ac:dyDescent="0.25">
      <c r="A119" s="54"/>
      <c r="G119" s="11"/>
      <c r="H119" s="33">
        <v>114</v>
      </c>
      <c r="I119" s="34" t="str">
        <f t="shared" si="7"/>
        <v/>
      </c>
      <c r="J119" s="33">
        <f t="shared" si="10"/>
        <v>-7</v>
      </c>
      <c r="K119" s="33">
        <f t="shared" si="8"/>
        <v>-70</v>
      </c>
      <c r="L119" s="33"/>
      <c r="M119" s="35">
        <f t="shared" si="9"/>
        <v>0</v>
      </c>
      <c r="N119" s="191" t="s">
        <v>42</v>
      </c>
      <c r="O119" s="191" t="s">
        <v>42</v>
      </c>
      <c r="P119" s="192" t="s">
        <v>42</v>
      </c>
      <c r="Q119" s="193" t="s">
        <v>42</v>
      </c>
      <c r="R119" s="193" t="s">
        <v>42</v>
      </c>
    </row>
    <row r="120" spans="1:18" x14ac:dyDescent="0.25">
      <c r="A120" s="54"/>
      <c r="G120" s="11"/>
      <c r="H120" s="33">
        <v>115</v>
      </c>
      <c r="I120" s="34" t="str">
        <f t="shared" si="7"/>
        <v/>
      </c>
      <c r="J120" s="33">
        <f t="shared" si="10"/>
        <v>-7</v>
      </c>
      <c r="K120" s="33">
        <f t="shared" si="8"/>
        <v>-70</v>
      </c>
      <c r="L120" s="33"/>
      <c r="M120" s="35">
        <f t="shared" si="9"/>
        <v>0</v>
      </c>
      <c r="N120" s="191" t="s">
        <v>42</v>
      </c>
      <c r="O120" s="191" t="s">
        <v>42</v>
      </c>
      <c r="P120" s="192" t="s">
        <v>42</v>
      </c>
      <c r="Q120" s="193" t="s">
        <v>42</v>
      </c>
      <c r="R120" s="193" t="s">
        <v>42</v>
      </c>
    </row>
    <row r="121" spans="1:18" x14ac:dyDescent="0.25">
      <c r="A121" s="54"/>
      <c r="G121" s="11"/>
      <c r="H121" s="33">
        <v>116</v>
      </c>
      <c r="I121" s="34" t="str">
        <f t="shared" si="7"/>
        <v/>
      </c>
      <c r="J121" s="33">
        <f t="shared" si="10"/>
        <v>-7</v>
      </c>
      <c r="K121" s="33">
        <f t="shared" si="8"/>
        <v>-70</v>
      </c>
      <c r="L121" s="33"/>
      <c r="M121" s="35">
        <f t="shared" si="9"/>
        <v>0</v>
      </c>
      <c r="N121" s="191" t="s">
        <v>42</v>
      </c>
      <c r="O121" s="191" t="s">
        <v>42</v>
      </c>
      <c r="P121" s="192" t="s">
        <v>42</v>
      </c>
      <c r="Q121" s="193" t="s">
        <v>42</v>
      </c>
      <c r="R121" s="193" t="s">
        <v>42</v>
      </c>
    </row>
    <row r="122" spans="1:18" x14ac:dyDescent="0.25">
      <c r="A122" s="54"/>
      <c r="G122" s="11"/>
      <c r="H122" s="33">
        <v>117</v>
      </c>
      <c r="I122" s="34" t="str">
        <f t="shared" si="7"/>
        <v/>
      </c>
      <c r="J122" s="33">
        <f t="shared" si="10"/>
        <v>-7</v>
      </c>
      <c r="K122" s="33">
        <f t="shared" si="8"/>
        <v>-70</v>
      </c>
      <c r="L122" s="33"/>
      <c r="M122" s="35">
        <f t="shared" si="9"/>
        <v>0</v>
      </c>
      <c r="N122" s="191" t="s">
        <v>42</v>
      </c>
      <c r="O122" s="191" t="s">
        <v>42</v>
      </c>
      <c r="P122" s="192" t="s">
        <v>42</v>
      </c>
      <c r="Q122" s="193" t="s">
        <v>42</v>
      </c>
      <c r="R122" s="193" t="s">
        <v>42</v>
      </c>
    </row>
    <row r="123" spans="1:18" x14ac:dyDescent="0.25">
      <c r="A123" s="54"/>
      <c r="G123" s="11"/>
      <c r="H123" s="33">
        <v>118</v>
      </c>
      <c r="I123" s="34" t="str">
        <f t="shared" si="7"/>
        <v/>
      </c>
      <c r="J123" s="33">
        <f t="shared" si="10"/>
        <v>-7</v>
      </c>
      <c r="K123" s="33">
        <f t="shared" si="8"/>
        <v>-70</v>
      </c>
      <c r="L123" s="33"/>
      <c r="M123" s="35">
        <f t="shared" si="9"/>
        <v>0</v>
      </c>
      <c r="N123" s="191" t="s">
        <v>42</v>
      </c>
      <c r="O123" s="191" t="s">
        <v>42</v>
      </c>
      <c r="P123" s="192" t="s">
        <v>42</v>
      </c>
      <c r="Q123" s="193" t="s">
        <v>42</v>
      </c>
      <c r="R123" s="193" t="s">
        <v>42</v>
      </c>
    </row>
    <row r="124" spans="1:18" x14ac:dyDescent="0.25">
      <c r="A124" s="54"/>
      <c r="G124" s="11"/>
      <c r="H124" s="33">
        <v>119</v>
      </c>
      <c r="I124" s="34" t="str">
        <f t="shared" si="7"/>
        <v/>
      </c>
      <c r="J124" s="33">
        <f t="shared" si="10"/>
        <v>-7</v>
      </c>
      <c r="K124" s="33">
        <f t="shared" si="8"/>
        <v>-70</v>
      </c>
      <c r="L124" s="33"/>
      <c r="M124" s="35">
        <f t="shared" si="9"/>
        <v>0</v>
      </c>
      <c r="N124" s="191" t="s">
        <v>42</v>
      </c>
      <c r="O124" s="191" t="s">
        <v>42</v>
      </c>
      <c r="P124" s="192" t="s">
        <v>42</v>
      </c>
      <c r="Q124" s="193" t="s">
        <v>42</v>
      </c>
      <c r="R124" s="193" t="s">
        <v>42</v>
      </c>
    </row>
    <row r="125" spans="1:18" x14ac:dyDescent="0.25">
      <c r="A125" s="54"/>
      <c r="G125" s="11"/>
      <c r="H125" s="33">
        <v>120</v>
      </c>
      <c r="I125" s="34" t="str">
        <f t="shared" si="7"/>
        <v/>
      </c>
      <c r="J125" s="33">
        <f t="shared" si="10"/>
        <v>-7</v>
      </c>
      <c r="K125" s="33">
        <f t="shared" si="8"/>
        <v>-70</v>
      </c>
      <c r="L125" s="33"/>
      <c r="M125" s="35">
        <f t="shared" si="9"/>
        <v>0</v>
      </c>
      <c r="N125" s="191" t="s">
        <v>42</v>
      </c>
      <c r="O125" s="191" t="s">
        <v>42</v>
      </c>
      <c r="P125" s="192" t="s">
        <v>42</v>
      </c>
      <c r="Q125" s="193" t="s">
        <v>42</v>
      </c>
      <c r="R125" s="193" t="s">
        <v>42</v>
      </c>
    </row>
    <row r="126" spans="1:18" x14ac:dyDescent="0.25">
      <c r="A126" s="54"/>
      <c r="G126" s="11"/>
      <c r="H126" s="33">
        <v>121</v>
      </c>
      <c r="I126" s="34" t="str">
        <f t="shared" si="7"/>
        <v/>
      </c>
      <c r="J126" s="33">
        <f t="shared" si="10"/>
        <v>-7</v>
      </c>
      <c r="K126" s="33">
        <f t="shared" si="8"/>
        <v>-70</v>
      </c>
      <c r="L126" s="33"/>
      <c r="M126" s="35">
        <f t="shared" si="9"/>
        <v>0</v>
      </c>
      <c r="N126" s="191" t="s">
        <v>42</v>
      </c>
      <c r="O126" s="191" t="s">
        <v>42</v>
      </c>
      <c r="P126" s="192" t="s">
        <v>42</v>
      </c>
      <c r="Q126" s="193" t="s">
        <v>42</v>
      </c>
      <c r="R126" s="193" t="s">
        <v>42</v>
      </c>
    </row>
    <row r="127" spans="1:18" x14ac:dyDescent="0.25">
      <c r="A127" s="54"/>
      <c r="G127" s="11"/>
      <c r="H127" s="33">
        <v>122</v>
      </c>
      <c r="I127" s="34" t="str">
        <f t="shared" si="7"/>
        <v/>
      </c>
      <c r="J127" s="33">
        <f t="shared" si="10"/>
        <v>-7</v>
      </c>
      <c r="K127" s="33">
        <f t="shared" si="8"/>
        <v>-70</v>
      </c>
      <c r="L127" s="33"/>
      <c r="M127" s="35">
        <f t="shared" si="9"/>
        <v>0</v>
      </c>
      <c r="N127" s="191" t="s">
        <v>42</v>
      </c>
      <c r="O127" s="191" t="s">
        <v>42</v>
      </c>
      <c r="P127" s="192" t="s">
        <v>42</v>
      </c>
      <c r="Q127" s="193" t="s">
        <v>42</v>
      </c>
      <c r="R127" s="193" t="s">
        <v>42</v>
      </c>
    </row>
    <row r="128" spans="1:18" x14ac:dyDescent="0.25">
      <c r="A128" s="54"/>
      <c r="G128" s="11"/>
      <c r="H128" s="33">
        <v>123</v>
      </c>
      <c r="I128" s="34" t="str">
        <f t="shared" si="7"/>
        <v/>
      </c>
      <c r="J128" s="33">
        <f t="shared" si="10"/>
        <v>-7</v>
      </c>
      <c r="K128" s="33">
        <f t="shared" si="8"/>
        <v>-70</v>
      </c>
      <c r="L128" s="33"/>
      <c r="M128" s="35">
        <f t="shared" si="9"/>
        <v>0</v>
      </c>
      <c r="N128" s="191" t="s">
        <v>42</v>
      </c>
      <c r="O128" s="191" t="s">
        <v>42</v>
      </c>
      <c r="P128" s="192" t="s">
        <v>42</v>
      </c>
      <c r="Q128" s="193" t="s">
        <v>42</v>
      </c>
      <c r="R128" s="193" t="s">
        <v>42</v>
      </c>
    </row>
    <row r="129" spans="1:18" x14ac:dyDescent="0.25">
      <c r="A129" s="54"/>
      <c r="G129" s="11"/>
      <c r="H129" s="33">
        <v>124</v>
      </c>
      <c r="I129" s="34" t="str">
        <f t="shared" si="7"/>
        <v/>
      </c>
      <c r="J129" s="33">
        <f t="shared" si="10"/>
        <v>-7</v>
      </c>
      <c r="K129" s="33">
        <f t="shared" si="8"/>
        <v>-70</v>
      </c>
      <c r="L129" s="33"/>
      <c r="M129" s="35">
        <f t="shared" si="9"/>
        <v>0</v>
      </c>
      <c r="N129" s="191" t="s">
        <v>42</v>
      </c>
      <c r="O129" s="191" t="s">
        <v>42</v>
      </c>
      <c r="P129" s="192" t="s">
        <v>42</v>
      </c>
      <c r="Q129" s="193" t="s">
        <v>42</v>
      </c>
      <c r="R129" s="193" t="s">
        <v>42</v>
      </c>
    </row>
    <row r="130" spans="1:18" x14ac:dyDescent="0.25">
      <c r="A130" s="54"/>
      <c r="G130" s="11"/>
      <c r="H130" s="33">
        <v>125</v>
      </c>
      <c r="I130" s="34" t="str">
        <f t="shared" si="7"/>
        <v/>
      </c>
      <c r="J130" s="33">
        <f t="shared" si="10"/>
        <v>-7</v>
      </c>
      <c r="K130" s="33">
        <f t="shared" si="8"/>
        <v>-70</v>
      </c>
      <c r="L130" s="33"/>
      <c r="M130" s="35">
        <f t="shared" si="9"/>
        <v>0</v>
      </c>
      <c r="N130" s="191" t="s">
        <v>42</v>
      </c>
      <c r="O130" s="191" t="s">
        <v>42</v>
      </c>
      <c r="P130" s="192" t="s">
        <v>42</v>
      </c>
      <c r="Q130" s="193" t="s">
        <v>42</v>
      </c>
      <c r="R130" s="193" t="s">
        <v>42</v>
      </c>
    </row>
    <row r="131" spans="1:18" x14ac:dyDescent="0.25">
      <c r="A131" s="54"/>
      <c r="G131" s="11"/>
      <c r="H131" s="33">
        <v>126</v>
      </c>
      <c r="I131" s="34" t="str">
        <f t="shared" si="7"/>
        <v/>
      </c>
      <c r="J131" s="33">
        <f t="shared" si="10"/>
        <v>-7</v>
      </c>
      <c r="K131" s="33">
        <f t="shared" si="8"/>
        <v>-70</v>
      </c>
      <c r="L131" s="33"/>
      <c r="M131" s="35">
        <f t="shared" si="9"/>
        <v>0</v>
      </c>
      <c r="N131" s="191" t="s">
        <v>42</v>
      </c>
      <c r="O131" s="191" t="s">
        <v>42</v>
      </c>
      <c r="P131" s="192" t="s">
        <v>42</v>
      </c>
      <c r="Q131" s="193" t="s">
        <v>42</v>
      </c>
      <c r="R131" s="193" t="s">
        <v>42</v>
      </c>
    </row>
    <row r="132" spans="1:18" x14ac:dyDescent="0.25">
      <c r="A132" s="54"/>
      <c r="G132" s="11"/>
      <c r="H132" s="33">
        <v>127</v>
      </c>
      <c r="I132" s="34" t="str">
        <f t="shared" si="7"/>
        <v/>
      </c>
      <c r="J132" s="33">
        <f t="shared" si="10"/>
        <v>-7</v>
      </c>
      <c r="K132" s="33">
        <f t="shared" si="8"/>
        <v>-70</v>
      </c>
      <c r="L132" s="33"/>
      <c r="M132" s="35">
        <f t="shared" si="9"/>
        <v>0</v>
      </c>
      <c r="N132" s="191" t="s">
        <v>42</v>
      </c>
      <c r="O132" s="191" t="s">
        <v>42</v>
      </c>
      <c r="P132" s="192" t="s">
        <v>42</v>
      </c>
      <c r="Q132" s="193" t="s">
        <v>42</v>
      </c>
      <c r="R132" s="193" t="s">
        <v>42</v>
      </c>
    </row>
    <row r="133" spans="1:18" x14ac:dyDescent="0.25">
      <c r="A133" s="54"/>
      <c r="G133" s="11"/>
      <c r="H133" s="33">
        <v>128</v>
      </c>
      <c r="I133" s="34" t="str">
        <f t="shared" si="7"/>
        <v/>
      </c>
      <c r="J133" s="33">
        <f t="shared" si="10"/>
        <v>-7</v>
      </c>
      <c r="K133" s="33">
        <f t="shared" si="8"/>
        <v>-70</v>
      </c>
      <c r="L133" s="33"/>
      <c r="M133" s="35">
        <f t="shared" si="9"/>
        <v>0</v>
      </c>
      <c r="N133" s="191" t="s">
        <v>42</v>
      </c>
      <c r="O133" s="191" t="s">
        <v>42</v>
      </c>
      <c r="P133" s="192" t="s">
        <v>42</v>
      </c>
      <c r="Q133" s="193" t="s">
        <v>42</v>
      </c>
      <c r="R133" s="193" t="s">
        <v>42</v>
      </c>
    </row>
    <row r="134" spans="1:18" x14ac:dyDescent="0.25">
      <c r="A134" s="54"/>
      <c r="G134" s="11"/>
      <c r="H134" s="33">
        <v>129</v>
      </c>
      <c r="I134" s="34" t="str">
        <f t="shared" ref="I134:I197" si="11">IF(H134&lt;$H$2+1,($I$2-($I$2-1)*(LOG(H134)/LOG($H$2))),"")</f>
        <v/>
      </c>
      <c r="J134" s="33">
        <f t="shared" si="10"/>
        <v>-8</v>
      </c>
      <c r="K134" s="33">
        <f t="shared" ref="K134:K197" si="12">J134*$J$2</f>
        <v>-80</v>
      </c>
      <c r="L134" s="33"/>
      <c r="M134" s="35">
        <f t="shared" ref="M134:M197" si="13">IF(I134&lt;&gt;"",K134+I134+L134,0)</f>
        <v>0</v>
      </c>
      <c r="N134" s="191" t="s">
        <v>42</v>
      </c>
      <c r="O134" s="191" t="s">
        <v>42</v>
      </c>
      <c r="P134" s="192" t="s">
        <v>42</v>
      </c>
      <c r="Q134" s="193" t="s">
        <v>42</v>
      </c>
      <c r="R134" s="193" t="s">
        <v>42</v>
      </c>
    </row>
    <row r="135" spans="1:18" x14ac:dyDescent="0.25">
      <c r="A135" s="54"/>
      <c r="G135" s="11"/>
      <c r="H135" s="33">
        <v>130</v>
      </c>
      <c r="I135" s="34" t="str">
        <f t="shared" si="11"/>
        <v/>
      </c>
      <c r="J135" s="33">
        <f t="shared" ref="J135:J198" si="14">INT(LOG($H$2,2))-ROUNDUP(LOG(H135,2),0)+IF(OR($H$2=1,$H$2=2,$H$2=4,$H$2=8,$H$2=16,$H$2=32,$H$2=64,$H$2=128,$H$2=256),0,1)</f>
        <v>-8</v>
      </c>
      <c r="K135" s="33">
        <f t="shared" si="12"/>
        <v>-80</v>
      </c>
      <c r="L135" s="33"/>
      <c r="M135" s="35">
        <f t="shared" si="13"/>
        <v>0</v>
      </c>
      <c r="N135" s="191" t="s">
        <v>42</v>
      </c>
      <c r="O135" s="191" t="s">
        <v>42</v>
      </c>
      <c r="P135" s="192" t="s">
        <v>42</v>
      </c>
      <c r="Q135" s="193" t="s">
        <v>42</v>
      </c>
      <c r="R135" s="193" t="s">
        <v>42</v>
      </c>
    </row>
    <row r="136" spans="1:18" x14ac:dyDescent="0.25">
      <c r="A136" s="54"/>
      <c r="G136" s="11"/>
      <c r="H136" s="33">
        <v>131</v>
      </c>
      <c r="I136" s="34" t="str">
        <f t="shared" si="11"/>
        <v/>
      </c>
      <c r="J136" s="33">
        <f t="shared" si="14"/>
        <v>-8</v>
      </c>
      <c r="K136" s="33">
        <f t="shared" si="12"/>
        <v>-80</v>
      </c>
      <c r="L136" s="33"/>
      <c r="M136" s="35">
        <f t="shared" si="13"/>
        <v>0</v>
      </c>
      <c r="N136" s="191" t="s">
        <v>42</v>
      </c>
      <c r="O136" s="191" t="s">
        <v>42</v>
      </c>
      <c r="P136" s="192" t="s">
        <v>42</v>
      </c>
      <c r="Q136" s="193" t="s">
        <v>42</v>
      </c>
      <c r="R136" s="193" t="s">
        <v>42</v>
      </c>
    </row>
    <row r="137" spans="1:18" x14ac:dyDescent="0.25">
      <c r="A137" s="54"/>
      <c r="G137" s="11"/>
      <c r="H137" s="33">
        <v>132</v>
      </c>
      <c r="I137" s="34" t="str">
        <f t="shared" si="11"/>
        <v/>
      </c>
      <c r="J137" s="33">
        <f t="shared" si="14"/>
        <v>-8</v>
      </c>
      <c r="K137" s="33">
        <f t="shared" si="12"/>
        <v>-80</v>
      </c>
      <c r="L137" s="33"/>
      <c r="M137" s="35">
        <f t="shared" si="13"/>
        <v>0</v>
      </c>
      <c r="N137" s="191" t="s">
        <v>42</v>
      </c>
      <c r="O137" s="191" t="s">
        <v>42</v>
      </c>
      <c r="P137" s="192" t="s">
        <v>42</v>
      </c>
      <c r="Q137" s="193" t="s">
        <v>42</v>
      </c>
      <c r="R137" s="193" t="s">
        <v>42</v>
      </c>
    </row>
    <row r="138" spans="1:18" x14ac:dyDescent="0.25">
      <c r="A138" s="54"/>
      <c r="G138" s="11"/>
      <c r="H138" s="33">
        <v>133</v>
      </c>
      <c r="I138" s="34" t="str">
        <f t="shared" si="11"/>
        <v/>
      </c>
      <c r="J138" s="33">
        <f t="shared" si="14"/>
        <v>-8</v>
      </c>
      <c r="K138" s="33">
        <f t="shared" si="12"/>
        <v>-80</v>
      </c>
      <c r="L138" s="33"/>
      <c r="M138" s="35">
        <f t="shared" si="13"/>
        <v>0</v>
      </c>
      <c r="N138" s="191" t="s">
        <v>42</v>
      </c>
      <c r="O138" s="191" t="s">
        <v>42</v>
      </c>
      <c r="P138" s="192" t="s">
        <v>42</v>
      </c>
      <c r="Q138" s="193" t="s">
        <v>42</v>
      </c>
      <c r="R138" s="193" t="s">
        <v>42</v>
      </c>
    </row>
    <row r="139" spans="1:18" x14ac:dyDescent="0.25">
      <c r="A139" s="54"/>
      <c r="G139" s="11"/>
      <c r="H139" s="33">
        <v>134</v>
      </c>
      <c r="I139" s="34" t="str">
        <f t="shared" si="11"/>
        <v/>
      </c>
      <c r="J139" s="33">
        <f t="shared" si="14"/>
        <v>-8</v>
      </c>
      <c r="K139" s="33">
        <f t="shared" si="12"/>
        <v>-80</v>
      </c>
      <c r="L139" s="33"/>
      <c r="M139" s="35">
        <f t="shared" si="13"/>
        <v>0</v>
      </c>
      <c r="N139" s="191" t="s">
        <v>42</v>
      </c>
      <c r="O139" s="191" t="s">
        <v>42</v>
      </c>
      <c r="P139" s="192" t="s">
        <v>42</v>
      </c>
      <c r="Q139" s="193" t="s">
        <v>42</v>
      </c>
      <c r="R139" s="193" t="s">
        <v>42</v>
      </c>
    </row>
    <row r="140" spans="1:18" x14ac:dyDescent="0.25">
      <c r="A140" s="54"/>
      <c r="G140" s="11"/>
      <c r="H140" s="33">
        <v>135</v>
      </c>
      <c r="I140" s="34" t="str">
        <f t="shared" si="11"/>
        <v/>
      </c>
      <c r="J140" s="33">
        <f t="shared" si="14"/>
        <v>-8</v>
      </c>
      <c r="K140" s="33">
        <f t="shared" si="12"/>
        <v>-80</v>
      </c>
      <c r="L140" s="33"/>
      <c r="M140" s="35">
        <f t="shared" si="13"/>
        <v>0</v>
      </c>
      <c r="N140" s="191" t="s">
        <v>42</v>
      </c>
      <c r="O140" s="191" t="s">
        <v>42</v>
      </c>
      <c r="P140" s="192" t="s">
        <v>42</v>
      </c>
      <c r="Q140" s="193" t="s">
        <v>42</v>
      </c>
      <c r="R140" s="193" t="s">
        <v>42</v>
      </c>
    </row>
    <row r="141" spans="1:18" x14ac:dyDescent="0.25">
      <c r="A141" s="54"/>
      <c r="G141" s="11"/>
      <c r="H141" s="33">
        <v>136</v>
      </c>
      <c r="I141" s="34" t="str">
        <f t="shared" si="11"/>
        <v/>
      </c>
      <c r="J141" s="33">
        <f t="shared" si="14"/>
        <v>-8</v>
      </c>
      <c r="K141" s="33">
        <f t="shared" si="12"/>
        <v>-80</v>
      </c>
      <c r="L141" s="33"/>
      <c r="M141" s="35">
        <f t="shared" si="13"/>
        <v>0</v>
      </c>
      <c r="N141" s="191" t="s">
        <v>42</v>
      </c>
      <c r="O141" s="191" t="s">
        <v>42</v>
      </c>
      <c r="P141" s="192" t="s">
        <v>42</v>
      </c>
      <c r="Q141" s="193" t="s">
        <v>42</v>
      </c>
      <c r="R141" s="193" t="s">
        <v>42</v>
      </c>
    </row>
    <row r="142" spans="1:18" x14ac:dyDescent="0.25">
      <c r="A142" s="54"/>
      <c r="G142" s="11"/>
      <c r="H142" s="33">
        <v>137</v>
      </c>
      <c r="I142" s="34" t="str">
        <f t="shared" si="11"/>
        <v/>
      </c>
      <c r="J142" s="33">
        <f t="shared" si="14"/>
        <v>-8</v>
      </c>
      <c r="K142" s="33">
        <f t="shared" si="12"/>
        <v>-80</v>
      </c>
      <c r="L142" s="33"/>
      <c r="M142" s="35">
        <f t="shared" si="13"/>
        <v>0</v>
      </c>
      <c r="N142" s="191" t="s">
        <v>42</v>
      </c>
      <c r="O142" s="191" t="s">
        <v>42</v>
      </c>
      <c r="P142" s="192" t="s">
        <v>42</v>
      </c>
      <c r="Q142" s="193" t="s">
        <v>42</v>
      </c>
      <c r="R142" s="193" t="s">
        <v>42</v>
      </c>
    </row>
    <row r="143" spans="1:18" x14ac:dyDescent="0.25">
      <c r="A143" s="54"/>
      <c r="G143" s="11"/>
      <c r="H143" s="33">
        <v>138</v>
      </c>
      <c r="I143" s="34" t="str">
        <f t="shared" si="11"/>
        <v/>
      </c>
      <c r="J143" s="33">
        <f t="shared" si="14"/>
        <v>-8</v>
      </c>
      <c r="K143" s="33">
        <f t="shared" si="12"/>
        <v>-80</v>
      </c>
      <c r="L143" s="33"/>
      <c r="M143" s="35">
        <f t="shared" si="13"/>
        <v>0</v>
      </c>
      <c r="N143" s="191" t="s">
        <v>42</v>
      </c>
      <c r="O143" s="191" t="s">
        <v>42</v>
      </c>
      <c r="P143" s="192" t="s">
        <v>42</v>
      </c>
      <c r="Q143" s="193" t="s">
        <v>42</v>
      </c>
      <c r="R143" s="193" t="s">
        <v>42</v>
      </c>
    </row>
    <row r="144" spans="1:18" x14ac:dyDescent="0.25">
      <c r="A144" s="54"/>
      <c r="G144" s="11"/>
      <c r="H144" s="33">
        <v>139</v>
      </c>
      <c r="I144" s="34" t="str">
        <f t="shared" si="11"/>
        <v/>
      </c>
      <c r="J144" s="33">
        <f t="shared" si="14"/>
        <v>-8</v>
      </c>
      <c r="K144" s="33">
        <f t="shared" si="12"/>
        <v>-80</v>
      </c>
      <c r="L144" s="33"/>
      <c r="M144" s="35">
        <f t="shared" si="13"/>
        <v>0</v>
      </c>
      <c r="N144" s="191" t="s">
        <v>42</v>
      </c>
      <c r="O144" s="191" t="s">
        <v>42</v>
      </c>
      <c r="P144" s="192" t="s">
        <v>42</v>
      </c>
      <c r="Q144" s="193" t="s">
        <v>42</v>
      </c>
      <c r="R144" s="193" t="s">
        <v>42</v>
      </c>
    </row>
    <row r="145" spans="1:18" x14ac:dyDescent="0.25">
      <c r="A145" s="54"/>
      <c r="G145" s="11"/>
      <c r="H145" s="33">
        <v>140</v>
      </c>
      <c r="I145" s="34" t="str">
        <f t="shared" si="11"/>
        <v/>
      </c>
      <c r="J145" s="33">
        <f t="shared" si="14"/>
        <v>-8</v>
      </c>
      <c r="K145" s="33">
        <f t="shared" si="12"/>
        <v>-80</v>
      </c>
      <c r="L145" s="33"/>
      <c r="M145" s="35">
        <f t="shared" si="13"/>
        <v>0</v>
      </c>
      <c r="N145" s="191" t="s">
        <v>42</v>
      </c>
      <c r="O145" s="191" t="s">
        <v>42</v>
      </c>
      <c r="P145" s="192" t="s">
        <v>42</v>
      </c>
      <c r="Q145" s="193" t="s">
        <v>42</v>
      </c>
      <c r="R145" s="193" t="s">
        <v>42</v>
      </c>
    </row>
    <row r="146" spans="1:18" x14ac:dyDescent="0.25">
      <c r="A146" s="54"/>
      <c r="G146" s="11"/>
      <c r="H146" s="33">
        <v>141</v>
      </c>
      <c r="I146" s="34" t="str">
        <f t="shared" si="11"/>
        <v/>
      </c>
      <c r="J146" s="33">
        <f t="shared" si="14"/>
        <v>-8</v>
      </c>
      <c r="K146" s="33">
        <f t="shared" si="12"/>
        <v>-80</v>
      </c>
      <c r="L146" s="33"/>
      <c r="M146" s="35">
        <f t="shared" si="13"/>
        <v>0</v>
      </c>
      <c r="N146" s="191" t="s">
        <v>42</v>
      </c>
      <c r="O146" s="191" t="s">
        <v>42</v>
      </c>
      <c r="P146" s="192" t="s">
        <v>42</v>
      </c>
      <c r="Q146" s="193" t="s">
        <v>42</v>
      </c>
      <c r="R146" s="193" t="s">
        <v>42</v>
      </c>
    </row>
    <row r="147" spans="1:18" x14ac:dyDescent="0.25">
      <c r="A147" s="54"/>
      <c r="G147" s="11"/>
      <c r="H147" s="33">
        <v>142</v>
      </c>
      <c r="I147" s="34" t="str">
        <f t="shared" si="11"/>
        <v/>
      </c>
      <c r="J147" s="33">
        <f t="shared" si="14"/>
        <v>-8</v>
      </c>
      <c r="K147" s="33">
        <f t="shared" si="12"/>
        <v>-80</v>
      </c>
      <c r="L147" s="33"/>
      <c r="M147" s="35">
        <f t="shared" si="13"/>
        <v>0</v>
      </c>
      <c r="N147" s="191" t="s">
        <v>42</v>
      </c>
      <c r="O147" s="191" t="s">
        <v>42</v>
      </c>
      <c r="P147" s="192" t="s">
        <v>42</v>
      </c>
      <c r="Q147" s="193" t="s">
        <v>42</v>
      </c>
      <c r="R147" s="193" t="s">
        <v>42</v>
      </c>
    </row>
    <row r="148" spans="1:18" x14ac:dyDescent="0.25">
      <c r="A148" s="54"/>
      <c r="G148" s="11"/>
      <c r="H148" s="33">
        <v>143</v>
      </c>
      <c r="I148" s="34" t="str">
        <f t="shared" si="11"/>
        <v/>
      </c>
      <c r="J148" s="33">
        <f t="shared" si="14"/>
        <v>-8</v>
      </c>
      <c r="K148" s="33">
        <f t="shared" si="12"/>
        <v>-80</v>
      </c>
      <c r="L148" s="33"/>
      <c r="M148" s="35">
        <f t="shared" si="13"/>
        <v>0</v>
      </c>
      <c r="N148" s="191" t="s">
        <v>42</v>
      </c>
      <c r="O148" s="191" t="s">
        <v>42</v>
      </c>
      <c r="P148" s="192" t="s">
        <v>42</v>
      </c>
      <c r="Q148" s="193" t="s">
        <v>42</v>
      </c>
      <c r="R148" s="193" t="s">
        <v>42</v>
      </c>
    </row>
    <row r="149" spans="1:18" x14ac:dyDescent="0.25">
      <c r="A149" s="54"/>
      <c r="G149" s="11"/>
      <c r="H149" s="33">
        <v>144</v>
      </c>
      <c r="I149" s="34" t="str">
        <f t="shared" si="11"/>
        <v/>
      </c>
      <c r="J149" s="33">
        <f t="shared" si="14"/>
        <v>-8</v>
      </c>
      <c r="K149" s="33">
        <f t="shared" si="12"/>
        <v>-80</v>
      </c>
      <c r="L149" s="33"/>
      <c r="M149" s="35">
        <f t="shared" si="13"/>
        <v>0</v>
      </c>
      <c r="N149" s="191" t="s">
        <v>42</v>
      </c>
      <c r="O149" s="191" t="s">
        <v>42</v>
      </c>
      <c r="P149" s="192" t="s">
        <v>42</v>
      </c>
      <c r="Q149" s="193" t="s">
        <v>42</v>
      </c>
      <c r="R149" s="193" t="s">
        <v>42</v>
      </c>
    </row>
    <row r="150" spans="1:18" x14ac:dyDescent="0.25">
      <c r="A150" s="54"/>
      <c r="G150" s="11"/>
      <c r="H150" s="33">
        <v>145</v>
      </c>
      <c r="I150" s="34" t="str">
        <f t="shared" si="11"/>
        <v/>
      </c>
      <c r="J150" s="33">
        <f t="shared" si="14"/>
        <v>-8</v>
      </c>
      <c r="K150" s="33">
        <f t="shared" si="12"/>
        <v>-80</v>
      </c>
      <c r="L150" s="33"/>
      <c r="M150" s="35">
        <f t="shared" si="13"/>
        <v>0</v>
      </c>
      <c r="N150" s="191" t="s">
        <v>42</v>
      </c>
      <c r="O150" s="191" t="s">
        <v>42</v>
      </c>
      <c r="P150" s="192" t="s">
        <v>42</v>
      </c>
      <c r="Q150" s="193" t="s">
        <v>42</v>
      </c>
      <c r="R150" s="193" t="s">
        <v>42</v>
      </c>
    </row>
    <row r="151" spans="1:18" x14ac:dyDescent="0.25">
      <c r="A151" s="54"/>
      <c r="G151" s="11"/>
      <c r="H151" s="33">
        <v>146</v>
      </c>
      <c r="I151" s="34" t="str">
        <f t="shared" si="11"/>
        <v/>
      </c>
      <c r="J151" s="33">
        <f t="shared" si="14"/>
        <v>-8</v>
      </c>
      <c r="K151" s="33">
        <f t="shared" si="12"/>
        <v>-80</v>
      </c>
      <c r="L151" s="33"/>
      <c r="M151" s="35">
        <f t="shared" si="13"/>
        <v>0</v>
      </c>
      <c r="N151" s="191" t="s">
        <v>42</v>
      </c>
      <c r="O151" s="191" t="s">
        <v>42</v>
      </c>
      <c r="P151" s="192" t="s">
        <v>42</v>
      </c>
      <c r="Q151" s="193" t="s">
        <v>42</v>
      </c>
      <c r="R151" s="193" t="s">
        <v>42</v>
      </c>
    </row>
    <row r="152" spans="1:18" x14ac:dyDescent="0.25">
      <c r="A152" s="54"/>
      <c r="G152" s="11"/>
      <c r="H152" s="33">
        <v>147</v>
      </c>
      <c r="I152" s="34" t="str">
        <f t="shared" si="11"/>
        <v/>
      </c>
      <c r="J152" s="33">
        <f t="shared" si="14"/>
        <v>-8</v>
      </c>
      <c r="K152" s="33">
        <f t="shared" si="12"/>
        <v>-80</v>
      </c>
      <c r="L152" s="33"/>
      <c r="M152" s="35">
        <f t="shared" si="13"/>
        <v>0</v>
      </c>
      <c r="N152" s="191" t="s">
        <v>42</v>
      </c>
      <c r="O152" s="191" t="s">
        <v>42</v>
      </c>
      <c r="P152" s="192" t="s">
        <v>42</v>
      </c>
      <c r="Q152" s="193" t="s">
        <v>42</v>
      </c>
      <c r="R152" s="193" t="s">
        <v>42</v>
      </c>
    </row>
    <row r="153" spans="1:18" x14ac:dyDescent="0.25">
      <c r="A153" s="54"/>
      <c r="G153" s="11"/>
      <c r="H153" s="33">
        <v>148</v>
      </c>
      <c r="I153" s="34" t="str">
        <f t="shared" si="11"/>
        <v/>
      </c>
      <c r="J153" s="33">
        <f t="shared" si="14"/>
        <v>-8</v>
      </c>
      <c r="K153" s="33">
        <f t="shared" si="12"/>
        <v>-80</v>
      </c>
      <c r="L153" s="33"/>
      <c r="M153" s="35">
        <f t="shared" si="13"/>
        <v>0</v>
      </c>
      <c r="N153" s="191" t="s">
        <v>42</v>
      </c>
      <c r="O153" s="191" t="s">
        <v>42</v>
      </c>
      <c r="P153" s="192" t="s">
        <v>42</v>
      </c>
      <c r="Q153" s="193" t="s">
        <v>42</v>
      </c>
      <c r="R153" s="193" t="s">
        <v>42</v>
      </c>
    </row>
    <row r="154" spans="1:18" x14ac:dyDescent="0.25">
      <c r="A154" s="54"/>
      <c r="G154" s="11"/>
      <c r="H154" s="33">
        <v>149</v>
      </c>
      <c r="I154" s="34" t="str">
        <f t="shared" si="11"/>
        <v/>
      </c>
      <c r="J154" s="33">
        <f t="shared" si="14"/>
        <v>-8</v>
      </c>
      <c r="K154" s="33">
        <f t="shared" si="12"/>
        <v>-80</v>
      </c>
      <c r="L154" s="33"/>
      <c r="M154" s="35">
        <f t="shared" si="13"/>
        <v>0</v>
      </c>
      <c r="N154" s="191" t="s">
        <v>42</v>
      </c>
      <c r="O154" s="191" t="s">
        <v>42</v>
      </c>
      <c r="P154" s="192" t="s">
        <v>42</v>
      </c>
      <c r="Q154" s="193" t="s">
        <v>42</v>
      </c>
      <c r="R154" s="193" t="s">
        <v>42</v>
      </c>
    </row>
    <row r="155" spans="1:18" x14ac:dyDescent="0.25">
      <c r="A155" s="54"/>
      <c r="G155" s="11"/>
      <c r="H155" s="33">
        <v>150</v>
      </c>
      <c r="I155" s="34" t="str">
        <f t="shared" si="11"/>
        <v/>
      </c>
      <c r="J155" s="33">
        <f t="shared" si="14"/>
        <v>-8</v>
      </c>
      <c r="K155" s="33">
        <f t="shared" si="12"/>
        <v>-80</v>
      </c>
      <c r="L155" s="33"/>
      <c r="M155" s="35">
        <f t="shared" si="13"/>
        <v>0</v>
      </c>
      <c r="N155" s="191" t="s">
        <v>42</v>
      </c>
      <c r="O155" s="191" t="s">
        <v>42</v>
      </c>
      <c r="P155" s="192" t="s">
        <v>42</v>
      </c>
      <c r="Q155" s="193" t="s">
        <v>42</v>
      </c>
      <c r="R155" s="193" t="s">
        <v>42</v>
      </c>
    </row>
    <row r="156" spans="1:18" x14ac:dyDescent="0.25">
      <c r="A156" s="54"/>
      <c r="G156" s="11"/>
      <c r="H156" s="33">
        <v>151</v>
      </c>
      <c r="I156" s="34" t="str">
        <f t="shared" si="11"/>
        <v/>
      </c>
      <c r="J156" s="33">
        <f t="shared" si="14"/>
        <v>-8</v>
      </c>
      <c r="K156" s="33">
        <f t="shared" si="12"/>
        <v>-80</v>
      </c>
      <c r="L156" s="33"/>
      <c r="M156" s="35">
        <f t="shared" si="13"/>
        <v>0</v>
      </c>
      <c r="N156" s="191" t="s">
        <v>42</v>
      </c>
      <c r="O156" s="191" t="s">
        <v>42</v>
      </c>
      <c r="P156" s="192" t="s">
        <v>42</v>
      </c>
      <c r="Q156" s="193" t="s">
        <v>42</v>
      </c>
      <c r="R156" s="193" t="s">
        <v>42</v>
      </c>
    </row>
    <row r="157" spans="1:18" x14ac:dyDescent="0.25">
      <c r="A157" s="54"/>
      <c r="G157" s="11"/>
      <c r="H157" s="33">
        <v>152</v>
      </c>
      <c r="I157" s="34" t="str">
        <f t="shared" si="11"/>
        <v/>
      </c>
      <c r="J157" s="33">
        <f t="shared" si="14"/>
        <v>-8</v>
      </c>
      <c r="K157" s="33">
        <f t="shared" si="12"/>
        <v>-80</v>
      </c>
      <c r="L157" s="33"/>
      <c r="M157" s="35">
        <f t="shared" si="13"/>
        <v>0</v>
      </c>
      <c r="N157" s="191" t="s">
        <v>42</v>
      </c>
      <c r="O157" s="191" t="s">
        <v>42</v>
      </c>
      <c r="P157" s="192" t="s">
        <v>42</v>
      </c>
      <c r="Q157" s="193" t="s">
        <v>42</v>
      </c>
      <c r="R157" s="193" t="s">
        <v>42</v>
      </c>
    </row>
    <row r="158" spans="1:18" x14ac:dyDescent="0.25">
      <c r="A158" s="54"/>
      <c r="G158" s="11"/>
      <c r="H158" s="33">
        <v>153</v>
      </c>
      <c r="I158" s="34" t="str">
        <f t="shared" si="11"/>
        <v/>
      </c>
      <c r="J158" s="33">
        <f t="shared" si="14"/>
        <v>-8</v>
      </c>
      <c r="K158" s="33">
        <f t="shared" si="12"/>
        <v>-80</v>
      </c>
      <c r="L158" s="33"/>
      <c r="M158" s="35">
        <f t="shared" si="13"/>
        <v>0</v>
      </c>
      <c r="N158" s="191" t="s">
        <v>42</v>
      </c>
      <c r="O158" s="191" t="s">
        <v>42</v>
      </c>
      <c r="P158" s="192" t="s">
        <v>42</v>
      </c>
      <c r="Q158" s="193" t="s">
        <v>42</v>
      </c>
      <c r="R158" s="193" t="s">
        <v>42</v>
      </c>
    </row>
    <row r="159" spans="1:18" x14ac:dyDescent="0.25">
      <c r="A159" s="54"/>
      <c r="G159" s="11"/>
      <c r="H159" s="33">
        <v>154</v>
      </c>
      <c r="I159" s="34" t="str">
        <f t="shared" si="11"/>
        <v/>
      </c>
      <c r="J159" s="33">
        <f t="shared" si="14"/>
        <v>-8</v>
      </c>
      <c r="K159" s="33">
        <f t="shared" si="12"/>
        <v>-80</v>
      </c>
      <c r="L159" s="33"/>
      <c r="M159" s="35">
        <f t="shared" si="13"/>
        <v>0</v>
      </c>
      <c r="N159" s="191" t="s">
        <v>42</v>
      </c>
      <c r="O159" s="191" t="s">
        <v>42</v>
      </c>
      <c r="P159" s="192" t="s">
        <v>42</v>
      </c>
      <c r="Q159" s="193" t="s">
        <v>42</v>
      </c>
      <c r="R159" s="193" t="s">
        <v>42</v>
      </c>
    </row>
    <row r="160" spans="1:18" x14ac:dyDescent="0.25">
      <c r="A160" s="54"/>
      <c r="G160" s="11"/>
      <c r="H160" s="33">
        <v>155</v>
      </c>
      <c r="I160" s="34" t="str">
        <f t="shared" si="11"/>
        <v/>
      </c>
      <c r="J160" s="33">
        <f t="shared" si="14"/>
        <v>-8</v>
      </c>
      <c r="K160" s="33">
        <f t="shared" si="12"/>
        <v>-80</v>
      </c>
      <c r="L160" s="33"/>
      <c r="M160" s="35">
        <f t="shared" si="13"/>
        <v>0</v>
      </c>
      <c r="N160" s="191" t="s">
        <v>42</v>
      </c>
      <c r="O160" s="191" t="s">
        <v>42</v>
      </c>
      <c r="P160" s="192" t="s">
        <v>42</v>
      </c>
      <c r="Q160" s="193" t="s">
        <v>42</v>
      </c>
      <c r="R160" s="193" t="s">
        <v>42</v>
      </c>
    </row>
    <row r="161" spans="1:18" x14ac:dyDescent="0.25">
      <c r="A161" s="54"/>
      <c r="G161" s="11"/>
      <c r="H161" s="33">
        <v>156</v>
      </c>
      <c r="I161" s="34" t="str">
        <f t="shared" si="11"/>
        <v/>
      </c>
      <c r="J161" s="33">
        <f t="shared" si="14"/>
        <v>-8</v>
      </c>
      <c r="K161" s="33">
        <f t="shared" si="12"/>
        <v>-80</v>
      </c>
      <c r="L161" s="33"/>
      <c r="M161" s="35">
        <f t="shared" si="13"/>
        <v>0</v>
      </c>
      <c r="N161" s="191" t="s">
        <v>42</v>
      </c>
      <c r="O161" s="191" t="s">
        <v>42</v>
      </c>
      <c r="P161" s="192" t="s">
        <v>42</v>
      </c>
      <c r="Q161" s="193" t="s">
        <v>42</v>
      </c>
      <c r="R161" s="193" t="s">
        <v>42</v>
      </c>
    </row>
    <row r="162" spans="1:18" x14ac:dyDescent="0.25">
      <c r="A162" s="54"/>
      <c r="G162" s="11"/>
      <c r="H162" s="33">
        <v>157</v>
      </c>
      <c r="I162" s="34" t="str">
        <f t="shared" si="11"/>
        <v/>
      </c>
      <c r="J162" s="33">
        <f t="shared" si="14"/>
        <v>-8</v>
      </c>
      <c r="K162" s="33">
        <f t="shared" si="12"/>
        <v>-80</v>
      </c>
      <c r="L162" s="33"/>
      <c r="M162" s="35">
        <f t="shared" si="13"/>
        <v>0</v>
      </c>
      <c r="N162" s="191" t="s">
        <v>42</v>
      </c>
      <c r="O162" s="191" t="s">
        <v>42</v>
      </c>
      <c r="P162" s="192" t="s">
        <v>42</v>
      </c>
      <c r="Q162" s="193" t="s">
        <v>42</v>
      </c>
      <c r="R162" s="193" t="s">
        <v>42</v>
      </c>
    </row>
    <row r="163" spans="1:18" x14ac:dyDescent="0.25">
      <c r="A163" s="54"/>
      <c r="G163" s="11"/>
      <c r="H163" s="33">
        <v>158</v>
      </c>
      <c r="I163" s="34" t="str">
        <f t="shared" si="11"/>
        <v/>
      </c>
      <c r="J163" s="33">
        <f t="shared" si="14"/>
        <v>-8</v>
      </c>
      <c r="K163" s="33">
        <f t="shared" si="12"/>
        <v>-80</v>
      </c>
      <c r="L163" s="33"/>
      <c r="M163" s="35">
        <f t="shared" si="13"/>
        <v>0</v>
      </c>
      <c r="N163" s="191" t="s">
        <v>42</v>
      </c>
      <c r="O163" s="191" t="s">
        <v>42</v>
      </c>
      <c r="P163" s="192" t="s">
        <v>42</v>
      </c>
      <c r="Q163" s="193" t="s">
        <v>42</v>
      </c>
      <c r="R163" s="193" t="s">
        <v>42</v>
      </c>
    </row>
    <row r="164" spans="1:18" x14ac:dyDescent="0.25">
      <c r="A164" s="54"/>
      <c r="G164" s="11"/>
      <c r="H164" s="33">
        <v>159</v>
      </c>
      <c r="I164" s="34" t="str">
        <f t="shared" si="11"/>
        <v/>
      </c>
      <c r="J164" s="33">
        <f t="shared" si="14"/>
        <v>-8</v>
      </c>
      <c r="K164" s="33">
        <f t="shared" si="12"/>
        <v>-80</v>
      </c>
      <c r="L164" s="33"/>
      <c r="M164" s="35">
        <f t="shared" si="13"/>
        <v>0</v>
      </c>
      <c r="N164" s="191" t="s">
        <v>42</v>
      </c>
      <c r="O164" s="191" t="s">
        <v>42</v>
      </c>
      <c r="P164" s="192" t="s">
        <v>42</v>
      </c>
      <c r="Q164" s="193" t="s">
        <v>42</v>
      </c>
      <c r="R164" s="193" t="s">
        <v>42</v>
      </c>
    </row>
    <row r="165" spans="1:18" x14ac:dyDescent="0.25">
      <c r="A165" s="54"/>
      <c r="G165" s="11"/>
      <c r="H165" s="33">
        <v>160</v>
      </c>
      <c r="I165" s="34" t="str">
        <f t="shared" si="11"/>
        <v/>
      </c>
      <c r="J165" s="33">
        <f t="shared" si="14"/>
        <v>-8</v>
      </c>
      <c r="K165" s="33">
        <f t="shared" si="12"/>
        <v>-80</v>
      </c>
      <c r="L165" s="33"/>
      <c r="M165" s="35">
        <f t="shared" si="13"/>
        <v>0</v>
      </c>
      <c r="N165" s="191" t="s">
        <v>42</v>
      </c>
      <c r="O165" s="191" t="s">
        <v>42</v>
      </c>
      <c r="P165" s="192" t="s">
        <v>42</v>
      </c>
      <c r="Q165" s="193" t="s">
        <v>42</v>
      </c>
      <c r="R165" s="193" t="s">
        <v>42</v>
      </c>
    </row>
    <row r="166" spans="1:18" x14ac:dyDescent="0.25">
      <c r="A166" s="54"/>
      <c r="G166" s="11"/>
      <c r="H166" s="33">
        <v>161</v>
      </c>
      <c r="I166" s="34" t="str">
        <f t="shared" si="11"/>
        <v/>
      </c>
      <c r="J166" s="33">
        <f t="shared" si="14"/>
        <v>-8</v>
      </c>
      <c r="K166" s="33">
        <f t="shared" si="12"/>
        <v>-80</v>
      </c>
      <c r="L166" s="33"/>
      <c r="M166" s="35">
        <f t="shared" si="13"/>
        <v>0</v>
      </c>
      <c r="N166" s="191" t="s">
        <v>42</v>
      </c>
      <c r="O166" s="191" t="s">
        <v>42</v>
      </c>
      <c r="P166" s="192" t="s">
        <v>42</v>
      </c>
      <c r="Q166" s="193" t="s">
        <v>42</v>
      </c>
      <c r="R166" s="193" t="s">
        <v>42</v>
      </c>
    </row>
    <row r="167" spans="1:18" x14ac:dyDescent="0.25">
      <c r="A167" s="54"/>
      <c r="G167" s="11"/>
      <c r="H167" s="33">
        <v>162</v>
      </c>
      <c r="I167" s="34" t="str">
        <f t="shared" si="11"/>
        <v/>
      </c>
      <c r="J167" s="33">
        <f t="shared" si="14"/>
        <v>-8</v>
      </c>
      <c r="K167" s="33">
        <f t="shared" si="12"/>
        <v>-80</v>
      </c>
      <c r="L167" s="33"/>
      <c r="M167" s="35">
        <f t="shared" si="13"/>
        <v>0</v>
      </c>
      <c r="N167" s="191" t="s">
        <v>42</v>
      </c>
      <c r="O167" s="191" t="s">
        <v>42</v>
      </c>
      <c r="P167" s="192" t="s">
        <v>42</v>
      </c>
      <c r="Q167" s="193" t="s">
        <v>42</v>
      </c>
      <c r="R167" s="193" t="s">
        <v>42</v>
      </c>
    </row>
    <row r="168" spans="1:18" x14ac:dyDescent="0.25">
      <c r="A168" s="54"/>
      <c r="G168" s="11"/>
      <c r="H168" s="33">
        <v>163</v>
      </c>
      <c r="I168" s="34" t="str">
        <f t="shared" si="11"/>
        <v/>
      </c>
      <c r="J168" s="33">
        <f t="shared" si="14"/>
        <v>-8</v>
      </c>
      <c r="K168" s="33">
        <f t="shared" si="12"/>
        <v>-80</v>
      </c>
      <c r="L168" s="33"/>
      <c r="M168" s="35">
        <f t="shared" si="13"/>
        <v>0</v>
      </c>
      <c r="N168" s="191" t="s">
        <v>42</v>
      </c>
      <c r="O168" s="191" t="s">
        <v>42</v>
      </c>
      <c r="P168" s="192" t="s">
        <v>42</v>
      </c>
      <c r="Q168" s="193" t="s">
        <v>42</v>
      </c>
      <c r="R168" s="193" t="s">
        <v>42</v>
      </c>
    </row>
    <row r="169" spans="1:18" x14ac:dyDescent="0.25">
      <c r="A169" s="54"/>
      <c r="G169" s="11"/>
      <c r="H169" s="33">
        <v>164</v>
      </c>
      <c r="I169" s="34" t="str">
        <f t="shared" si="11"/>
        <v/>
      </c>
      <c r="J169" s="33">
        <f t="shared" si="14"/>
        <v>-8</v>
      </c>
      <c r="K169" s="33">
        <f t="shared" si="12"/>
        <v>-80</v>
      </c>
      <c r="L169" s="33"/>
      <c r="M169" s="35">
        <f t="shared" si="13"/>
        <v>0</v>
      </c>
      <c r="N169" s="191" t="s">
        <v>42</v>
      </c>
      <c r="O169" s="191" t="s">
        <v>42</v>
      </c>
      <c r="P169" s="192" t="s">
        <v>42</v>
      </c>
      <c r="Q169" s="193" t="s">
        <v>42</v>
      </c>
      <c r="R169" s="193" t="s">
        <v>42</v>
      </c>
    </row>
    <row r="170" spans="1:18" x14ac:dyDescent="0.25">
      <c r="A170" s="54"/>
      <c r="G170" s="11"/>
      <c r="H170" s="33">
        <v>165</v>
      </c>
      <c r="I170" s="34" t="str">
        <f t="shared" si="11"/>
        <v/>
      </c>
      <c r="J170" s="33">
        <f t="shared" si="14"/>
        <v>-8</v>
      </c>
      <c r="K170" s="33">
        <f t="shared" si="12"/>
        <v>-80</v>
      </c>
      <c r="L170" s="33"/>
      <c r="M170" s="35">
        <f t="shared" si="13"/>
        <v>0</v>
      </c>
      <c r="N170" s="191" t="s">
        <v>42</v>
      </c>
      <c r="O170" s="191" t="s">
        <v>42</v>
      </c>
      <c r="P170" s="192" t="s">
        <v>42</v>
      </c>
      <c r="Q170" s="193" t="s">
        <v>42</v>
      </c>
      <c r="R170" s="193" t="s">
        <v>42</v>
      </c>
    </row>
    <row r="171" spans="1:18" x14ac:dyDescent="0.25">
      <c r="A171" s="54"/>
      <c r="G171" s="11"/>
      <c r="H171" s="33">
        <v>166</v>
      </c>
      <c r="I171" s="34" t="str">
        <f t="shared" si="11"/>
        <v/>
      </c>
      <c r="J171" s="33">
        <f t="shared" si="14"/>
        <v>-8</v>
      </c>
      <c r="K171" s="33">
        <f t="shared" si="12"/>
        <v>-80</v>
      </c>
      <c r="L171" s="33"/>
      <c r="M171" s="35">
        <f t="shared" si="13"/>
        <v>0</v>
      </c>
      <c r="N171" s="191" t="s">
        <v>42</v>
      </c>
      <c r="O171" s="191" t="s">
        <v>42</v>
      </c>
      <c r="P171" s="192" t="s">
        <v>42</v>
      </c>
      <c r="Q171" s="193" t="s">
        <v>42</v>
      </c>
      <c r="R171" s="193" t="s">
        <v>42</v>
      </c>
    </row>
    <row r="172" spans="1:18" x14ac:dyDescent="0.25">
      <c r="A172" s="54"/>
      <c r="G172" s="11"/>
      <c r="H172" s="33">
        <v>167</v>
      </c>
      <c r="I172" s="34" t="str">
        <f t="shared" si="11"/>
        <v/>
      </c>
      <c r="J172" s="33">
        <f t="shared" si="14"/>
        <v>-8</v>
      </c>
      <c r="K172" s="33">
        <f t="shared" si="12"/>
        <v>-80</v>
      </c>
      <c r="L172" s="33"/>
      <c r="M172" s="35">
        <f t="shared" si="13"/>
        <v>0</v>
      </c>
      <c r="N172" s="191" t="s">
        <v>42</v>
      </c>
      <c r="O172" s="191" t="s">
        <v>42</v>
      </c>
      <c r="P172" s="192" t="s">
        <v>42</v>
      </c>
      <c r="Q172" s="193" t="s">
        <v>42</v>
      </c>
      <c r="R172" s="193" t="s">
        <v>42</v>
      </c>
    </row>
    <row r="173" spans="1:18" x14ac:dyDescent="0.25">
      <c r="A173" s="54"/>
      <c r="G173" s="11"/>
      <c r="H173" s="33">
        <v>168</v>
      </c>
      <c r="I173" s="34" t="str">
        <f t="shared" si="11"/>
        <v/>
      </c>
      <c r="J173" s="33">
        <f t="shared" si="14"/>
        <v>-8</v>
      </c>
      <c r="K173" s="33">
        <f t="shared" si="12"/>
        <v>-80</v>
      </c>
      <c r="L173" s="33"/>
      <c r="M173" s="35">
        <f t="shared" si="13"/>
        <v>0</v>
      </c>
      <c r="N173" s="191" t="s">
        <v>42</v>
      </c>
      <c r="O173" s="191" t="s">
        <v>42</v>
      </c>
      <c r="P173" s="192" t="s">
        <v>42</v>
      </c>
      <c r="Q173" s="193" t="s">
        <v>42</v>
      </c>
      <c r="R173" s="193" t="s">
        <v>42</v>
      </c>
    </row>
    <row r="174" spans="1:18" x14ac:dyDescent="0.25">
      <c r="A174" s="54"/>
      <c r="G174" s="11"/>
      <c r="H174" s="33">
        <v>169</v>
      </c>
      <c r="I174" s="34" t="str">
        <f t="shared" si="11"/>
        <v/>
      </c>
      <c r="J174" s="33">
        <f t="shared" si="14"/>
        <v>-8</v>
      </c>
      <c r="K174" s="33">
        <f t="shared" si="12"/>
        <v>-80</v>
      </c>
      <c r="L174" s="33"/>
      <c r="M174" s="35">
        <f t="shared" si="13"/>
        <v>0</v>
      </c>
      <c r="N174" s="191" t="s">
        <v>42</v>
      </c>
      <c r="O174" s="191" t="s">
        <v>42</v>
      </c>
      <c r="P174" s="192" t="s">
        <v>42</v>
      </c>
      <c r="Q174" s="193" t="s">
        <v>42</v>
      </c>
      <c r="R174" s="193" t="s">
        <v>42</v>
      </c>
    </row>
    <row r="175" spans="1:18" x14ac:dyDescent="0.25">
      <c r="A175" s="54"/>
      <c r="G175" s="11"/>
      <c r="H175" s="33">
        <v>170</v>
      </c>
      <c r="I175" s="34" t="str">
        <f t="shared" si="11"/>
        <v/>
      </c>
      <c r="J175" s="33">
        <f t="shared" si="14"/>
        <v>-8</v>
      </c>
      <c r="K175" s="33">
        <f t="shared" si="12"/>
        <v>-80</v>
      </c>
      <c r="L175" s="33"/>
      <c r="M175" s="35">
        <f t="shared" si="13"/>
        <v>0</v>
      </c>
      <c r="N175" s="191" t="s">
        <v>42</v>
      </c>
      <c r="O175" s="191" t="s">
        <v>42</v>
      </c>
      <c r="P175" s="192" t="s">
        <v>42</v>
      </c>
      <c r="Q175" s="193" t="s">
        <v>42</v>
      </c>
      <c r="R175" s="193" t="s">
        <v>42</v>
      </c>
    </row>
    <row r="176" spans="1:18" x14ac:dyDescent="0.25">
      <c r="A176" s="54"/>
      <c r="G176" s="11"/>
      <c r="H176" s="33">
        <v>171</v>
      </c>
      <c r="I176" s="34" t="str">
        <f t="shared" si="11"/>
        <v/>
      </c>
      <c r="J176" s="33">
        <f t="shared" si="14"/>
        <v>-8</v>
      </c>
      <c r="K176" s="33">
        <f t="shared" si="12"/>
        <v>-80</v>
      </c>
      <c r="L176" s="33"/>
      <c r="M176" s="35">
        <f t="shared" si="13"/>
        <v>0</v>
      </c>
      <c r="N176" s="191" t="s">
        <v>42</v>
      </c>
      <c r="O176" s="191" t="s">
        <v>42</v>
      </c>
      <c r="P176" s="192" t="s">
        <v>42</v>
      </c>
      <c r="Q176" s="193" t="s">
        <v>42</v>
      </c>
      <c r="R176" s="193" t="s">
        <v>42</v>
      </c>
    </row>
    <row r="177" spans="1:18" x14ac:dyDescent="0.25">
      <c r="A177" s="54"/>
      <c r="G177" s="11"/>
      <c r="H177" s="33">
        <v>172</v>
      </c>
      <c r="I177" s="34" t="str">
        <f t="shared" si="11"/>
        <v/>
      </c>
      <c r="J177" s="33">
        <f t="shared" si="14"/>
        <v>-8</v>
      </c>
      <c r="K177" s="33">
        <f t="shared" si="12"/>
        <v>-80</v>
      </c>
      <c r="L177" s="33"/>
      <c r="M177" s="35">
        <f t="shared" si="13"/>
        <v>0</v>
      </c>
      <c r="N177" s="191" t="s">
        <v>42</v>
      </c>
      <c r="O177" s="191" t="s">
        <v>42</v>
      </c>
      <c r="P177" s="192" t="s">
        <v>42</v>
      </c>
      <c r="Q177" s="193" t="s">
        <v>42</v>
      </c>
      <c r="R177" s="193" t="s">
        <v>42</v>
      </c>
    </row>
    <row r="178" spans="1:18" x14ac:dyDescent="0.25">
      <c r="A178" s="54"/>
      <c r="G178" s="11"/>
      <c r="H178" s="33">
        <v>173</v>
      </c>
      <c r="I178" s="34" t="str">
        <f t="shared" si="11"/>
        <v/>
      </c>
      <c r="J178" s="33">
        <f t="shared" si="14"/>
        <v>-8</v>
      </c>
      <c r="K178" s="33">
        <f t="shared" si="12"/>
        <v>-80</v>
      </c>
      <c r="L178" s="33"/>
      <c r="M178" s="35">
        <f t="shared" si="13"/>
        <v>0</v>
      </c>
      <c r="N178" s="191" t="s">
        <v>42</v>
      </c>
      <c r="O178" s="191" t="s">
        <v>42</v>
      </c>
      <c r="P178" s="192" t="s">
        <v>42</v>
      </c>
      <c r="Q178" s="193" t="s">
        <v>42</v>
      </c>
      <c r="R178" s="193" t="s">
        <v>42</v>
      </c>
    </row>
    <row r="179" spans="1:18" x14ac:dyDescent="0.25">
      <c r="A179" s="54"/>
      <c r="G179" s="11"/>
      <c r="H179" s="33">
        <v>174</v>
      </c>
      <c r="I179" s="34" t="str">
        <f t="shared" si="11"/>
        <v/>
      </c>
      <c r="J179" s="33">
        <f t="shared" si="14"/>
        <v>-8</v>
      </c>
      <c r="K179" s="33">
        <f t="shared" si="12"/>
        <v>-80</v>
      </c>
      <c r="L179" s="33"/>
      <c r="M179" s="35">
        <f t="shared" si="13"/>
        <v>0</v>
      </c>
      <c r="N179" s="191" t="s">
        <v>42</v>
      </c>
      <c r="O179" s="191" t="s">
        <v>42</v>
      </c>
      <c r="P179" s="192" t="s">
        <v>42</v>
      </c>
      <c r="Q179" s="193" t="s">
        <v>42</v>
      </c>
      <c r="R179" s="193" t="s">
        <v>42</v>
      </c>
    </row>
    <row r="180" spans="1:18" x14ac:dyDescent="0.25">
      <c r="A180" s="54"/>
      <c r="G180" s="11"/>
      <c r="H180" s="33">
        <v>175</v>
      </c>
      <c r="I180" s="34" t="str">
        <f t="shared" si="11"/>
        <v/>
      </c>
      <c r="J180" s="33">
        <f t="shared" si="14"/>
        <v>-8</v>
      </c>
      <c r="K180" s="33">
        <f t="shared" si="12"/>
        <v>-80</v>
      </c>
      <c r="L180" s="33"/>
      <c r="M180" s="35">
        <f t="shared" si="13"/>
        <v>0</v>
      </c>
      <c r="N180" s="191" t="s">
        <v>42</v>
      </c>
      <c r="O180" s="191" t="s">
        <v>42</v>
      </c>
      <c r="P180" s="192" t="s">
        <v>42</v>
      </c>
      <c r="Q180" s="193" t="s">
        <v>42</v>
      </c>
      <c r="R180" s="193" t="s">
        <v>42</v>
      </c>
    </row>
    <row r="181" spans="1:18" x14ac:dyDescent="0.25">
      <c r="A181" s="54"/>
      <c r="G181" s="11"/>
      <c r="H181" s="33">
        <v>176</v>
      </c>
      <c r="I181" s="34" t="str">
        <f t="shared" si="11"/>
        <v/>
      </c>
      <c r="J181" s="33">
        <f t="shared" si="14"/>
        <v>-8</v>
      </c>
      <c r="K181" s="33">
        <f t="shared" si="12"/>
        <v>-80</v>
      </c>
      <c r="L181" s="33"/>
      <c r="M181" s="35">
        <f t="shared" si="13"/>
        <v>0</v>
      </c>
      <c r="N181" s="191" t="s">
        <v>42</v>
      </c>
      <c r="O181" s="191" t="s">
        <v>42</v>
      </c>
      <c r="P181" s="192" t="s">
        <v>42</v>
      </c>
      <c r="Q181" s="193" t="s">
        <v>42</v>
      </c>
      <c r="R181" s="193" t="s">
        <v>42</v>
      </c>
    </row>
    <row r="182" spans="1:18" x14ac:dyDescent="0.25">
      <c r="A182" s="54"/>
      <c r="G182" s="11"/>
      <c r="H182" s="33">
        <v>177</v>
      </c>
      <c r="I182" s="34" t="str">
        <f t="shared" si="11"/>
        <v/>
      </c>
      <c r="J182" s="33">
        <f t="shared" si="14"/>
        <v>-8</v>
      </c>
      <c r="K182" s="33">
        <f t="shared" si="12"/>
        <v>-80</v>
      </c>
      <c r="L182" s="33"/>
      <c r="M182" s="35">
        <f t="shared" si="13"/>
        <v>0</v>
      </c>
      <c r="N182" s="191" t="s">
        <v>42</v>
      </c>
      <c r="O182" s="191" t="s">
        <v>42</v>
      </c>
      <c r="P182" s="192" t="s">
        <v>42</v>
      </c>
      <c r="Q182" s="193" t="s">
        <v>42</v>
      </c>
      <c r="R182" s="193" t="s">
        <v>42</v>
      </c>
    </row>
    <row r="183" spans="1:18" x14ac:dyDescent="0.25">
      <c r="A183" s="54"/>
      <c r="G183" s="11"/>
      <c r="H183" s="33">
        <v>178</v>
      </c>
      <c r="I183" s="34" t="str">
        <f t="shared" si="11"/>
        <v/>
      </c>
      <c r="J183" s="33">
        <f t="shared" si="14"/>
        <v>-8</v>
      </c>
      <c r="K183" s="33">
        <f t="shared" si="12"/>
        <v>-80</v>
      </c>
      <c r="L183" s="33"/>
      <c r="M183" s="35">
        <f t="shared" si="13"/>
        <v>0</v>
      </c>
      <c r="N183" s="191" t="s">
        <v>42</v>
      </c>
      <c r="O183" s="191" t="s">
        <v>42</v>
      </c>
      <c r="P183" s="192" t="s">
        <v>42</v>
      </c>
      <c r="Q183" s="193" t="s">
        <v>42</v>
      </c>
      <c r="R183" s="193" t="s">
        <v>42</v>
      </c>
    </row>
    <row r="184" spans="1:18" x14ac:dyDescent="0.25">
      <c r="A184" s="54"/>
      <c r="G184" s="11"/>
      <c r="H184" s="33">
        <v>179</v>
      </c>
      <c r="I184" s="34" t="str">
        <f t="shared" si="11"/>
        <v/>
      </c>
      <c r="J184" s="33">
        <f t="shared" si="14"/>
        <v>-8</v>
      </c>
      <c r="K184" s="33">
        <f t="shared" si="12"/>
        <v>-80</v>
      </c>
      <c r="L184" s="33"/>
      <c r="M184" s="35">
        <f t="shared" si="13"/>
        <v>0</v>
      </c>
      <c r="N184" s="191" t="s">
        <v>42</v>
      </c>
      <c r="O184" s="191" t="s">
        <v>42</v>
      </c>
      <c r="P184" s="192" t="s">
        <v>42</v>
      </c>
      <c r="Q184" s="193" t="s">
        <v>42</v>
      </c>
      <c r="R184" s="193" t="s">
        <v>42</v>
      </c>
    </row>
    <row r="185" spans="1:18" x14ac:dyDescent="0.25">
      <c r="A185" s="54"/>
      <c r="G185" s="11"/>
      <c r="H185" s="33">
        <v>180</v>
      </c>
      <c r="I185" s="34" t="str">
        <f t="shared" si="11"/>
        <v/>
      </c>
      <c r="J185" s="33">
        <f t="shared" si="14"/>
        <v>-8</v>
      </c>
      <c r="K185" s="33">
        <f t="shared" si="12"/>
        <v>-80</v>
      </c>
      <c r="L185" s="33"/>
      <c r="M185" s="35">
        <f t="shared" si="13"/>
        <v>0</v>
      </c>
      <c r="N185" s="191" t="s">
        <v>42</v>
      </c>
      <c r="O185" s="191" t="s">
        <v>42</v>
      </c>
      <c r="P185" s="192" t="s">
        <v>42</v>
      </c>
      <c r="Q185" s="193" t="s">
        <v>42</v>
      </c>
      <c r="R185" s="193" t="s">
        <v>42</v>
      </c>
    </row>
    <row r="186" spans="1:18" x14ac:dyDescent="0.25">
      <c r="A186" s="54"/>
      <c r="G186" s="11"/>
      <c r="H186" s="33">
        <v>181</v>
      </c>
      <c r="I186" s="34" t="str">
        <f t="shared" si="11"/>
        <v/>
      </c>
      <c r="J186" s="33">
        <f t="shared" si="14"/>
        <v>-8</v>
      </c>
      <c r="K186" s="33">
        <f t="shared" si="12"/>
        <v>-80</v>
      </c>
      <c r="L186" s="33"/>
      <c r="M186" s="35">
        <f t="shared" si="13"/>
        <v>0</v>
      </c>
      <c r="N186" s="191" t="s">
        <v>42</v>
      </c>
      <c r="O186" s="191" t="s">
        <v>42</v>
      </c>
      <c r="P186" s="192" t="s">
        <v>42</v>
      </c>
      <c r="Q186" s="193" t="s">
        <v>42</v>
      </c>
      <c r="R186" s="193" t="s">
        <v>42</v>
      </c>
    </row>
    <row r="187" spans="1:18" x14ac:dyDescent="0.25">
      <c r="A187" s="54"/>
      <c r="G187" s="11"/>
      <c r="H187" s="33">
        <v>182</v>
      </c>
      <c r="I187" s="34" t="str">
        <f t="shared" si="11"/>
        <v/>
      </c>
      <c r="J187" s="33">
        <f t="shared" si="14"/>
        <v>-8</v>
      </c>
      <c r="K187" s="33">
        <f t="shared" si="12"/>
        <v>-80</v>
      </c>
      <c r="L187" s="33"/>
      <c r="M187" s="35">
        <f t="shared" si="13"/>
        <v>0</v>
      </c>
      <c r="N187" s="191" t="s">
        <v>42</v>
      </c>
      <c r="O187" s="191" t="s">
        <v>42</v>
      </c>
      <c r="P187" s="192" t="s">
        <v>42</v>
      </c>
      <c r="Q187" s="193" t="s">
        <v>42</v>
      </c>
      <c r="R187" s="193" t="s">
        <v>42</v>
      </c>
    </row>
    <row r="188" spans="1:18" x14ac:dyDescent="0.25">
      <c r="A188" s="54"/>
      <c r="G188" s="11"/>
      <c r="H188" s="33">
        <v>183</v>
      </c>
      <c r="I188" s="34" t="str">
        <f t="shared" si="11"/>
        <v/>
      </c>
      <c r="J188" s="33">
        <f t="shared" si="14"/>
        <v>-8</v>
      </c>
      <c r="K188" s="33">
        <f t="shared" si="12"/>
        <v>-80</v>
      </c>
      <c r="L188" s="33"/>
      <c r="M188" s="35">
        <f t="shared" si="13"/>
        <v>0</v>
      </c>
      <c r="N188" s="191" t="s">
        <v>42</v>
      </c>
      <c r="O188" s="191" t="s">
        <v>42</v>
      </c>
      <c r="P188" s="192" t="s">
        <v>42</v>
      </c>
      <c r="Q188" s="193" t="s">
        <v>42</v>
      </c>
      <c r="R188" s="193" t="s">
        <v>42</v>
      </c>
    </row>
    <row r="189" spans="1:18" x14ac:dyDescent="0.25">
      <c r="A189" s="54"/>
      <c r="G189" s="11"/>
      <c r="H189" s="33">
        <v>184</v>
      </c>
      <c r="I189" s="34" t="str">
        <f t="shared" si="11"/>
        <v/>
      </c>
      <c r="J189" s="33">
        <f t="shared" si="14"/>
        <v>-8</v>
      </c>
      <c r="K189" s="33">
        <f t="shared" si="12"/>
        <v>-80</v>
      </c>
      <c r="L189" s="33"/>
      <c r="M189" s="35">
        <f t="shared" si="13"/>
        <v>0</v>
      </c>
      <c r="N189" s="191" t="s">
        <v>42</v>
      </c>
      <c r="O189" s="191" t="s">
        <v>42</v>
      </c>
      <c r="P189" s="192" t="s">
        <v>42</v>
      </c>
      <c r="Q189" s="193" t="s">
        <v>42</v>
      </c>
      <c r="R189" s="193" t="s">
        <v>42</v>
      </c>
    </row>
    <row r="190" spans="1:18" x14ac:dyDescent="0.25">
      <c r="A190" s="54"/>
      <c r="G190" s="11"/>
      <c r="H190" s="33">
        <v>185</v>
      </c>
      <c r="I190" s="34" t="str">
        <f t="shared" si="11"/>
        <v/>
      </c>
      <c r="J190" s="33">
        <f t="shared" si="14"/>
        <v>-8</v>
      </c>
      <c r="K190" s="33">
        <f t="shared" si="12"/>
        <v>-80</v>
      </c>
      <c r="L190" s="33"/>
      <c r="M190" s="35">
        <f t="shared" si="13"/>
        <v>0</v>
      </c>
      <c r="N190" s="191" t="s">
        <v>42</v>
      </c>
      <c r="O190" s="191" t="s">
        <v>42</v>
      </c>
      <c r="P190" s="192" t="s">
        <v>42</v>
      </c>
      <c r="Q190" s="193" t="s">
        <v>42</v>
      </c>
      <c r="R190" s="193" t="s">
        <v>42</v>
      </c>
    </row>
    <row r="191" spans="1:18" x14ac:dyDescent="0.25">
      <c r="A191" s="54"/>
      <c r="G191" s="11"/>
      <c r="H191" s="33">
        <v>186</v>
      </c>
      <c r="I191" s="34" t="str">
        <f t="shared" si="11"/>
        <v/>
      </c>
      <c r="J191" s="33">
        <f t="shared" si="14"/>
        <v>-8</v>
      </c>
      <c r="K191" s="33">
        <f t="shared" si="12"/>
        <v>-80</v>
      </c>
      <c r="L191" s="33"/>
      <c r="M191" s="35">
        <f t="shared" si="13"/>
        <v>0</v>
      </c>
      <c r="N191" s="191" t="s">
        <v>42</v>
      </c>
      <c r="O191" s="191" t="s">
        <v>42</v>
      </c>
      <c r="P191" s="192" t="s">
        <v>42</v>
      </c>
      <c r="Q191" s="193" t="s">
        <v>42</v>
      </c>
      <c r="R191" s="193" t="s">
        <v>42</v>
      </c>
    </row>
    <row r="192" spans="1:18" x14ac:dyDescent="0.25">
      <c r="A192" s="54"/>
      <c r="G192" s="11"/>
      <c r="H192" s="33">
        <v>187</v>
      </c>
      <c r="I192" s="34" t="str">
        <f t="shared" si="11"/>
        <v/>
      </c>
      <c r="J192" s="33">
        <f t="shared" si="14"/>
        <v>-8</v>
      </c>
      <c r="K192" s="33">
        <f t="shared" si="12"/>
        <v>-80</v>
      </c>
      <c r="L192" s="33"/>
      <c r="M192" s="35">
        <f t="shared" si="13"/>
        <v>0</v>
      </c>
      <c r="N192" s="191" t="s">
        <v>42</v>
      </c>
      <c r="O192" s="191" t="s">
        <v>42</v>
      </c>
      <c r="P192" s="192" t="s">
        <v>42</v>
      </c>
      <c r="Q192" s="193" t="s">
        <v>42</v>
      </c>
      <c r="R192" s="193" t="s">
        <v>42</v>
      </c>
    </row>
    <row r="193" spans="1:18" x14ac:dyDescent="0.25">
      <c r="A193" s="54"/>
      <c r="G193" s="11"/>
      <c r="H193" s="33">
        <v>188</v>
      </c>
      <c r="I193" s="34" t="str">
        <f t="shared" si="11"/>
        <v/>
      </c>
      <c r="J193" s="33">
        <f t="shared" si="14"/>
        <v>-8</v>
      </c>
      <c r="K193" s="33">
        <f t="shared" si="12"/>
        <v>-80</v>
      </c>
      <c r="L193" s="33"/>
      <c r="M193" s="35">
        <f t="shared" si="13"/>
        <v>0</v>
      </c>
      <c r="N193" s="191" t="s">
        <v>42</v>
      </c>
      <c r="O193" s="191" t="s">
        <v>42</v>
      </c>
      <c r="P193" s="192" t="s">
        <v>42</v>
      </c>
      <c r="Q193" s="193" t="s">
        <v>42</v>
      </c>
      <c r="R193" s="193" t="s">
        <v>42</v>
      </c>
    </row>
    <row r="194" spans="1:18" x14ac:dyDescent="0.25">
      <c r="A194" s="54"/>
      <c r="G194" s="11"/>
      <c r="H194" s="33">
        <v>189</v>
      </c>
      <c r="I194" s="34" t="str">
        <f t="shared" si="11"/>
        <v/>
      </c>
      <c r="J194" s="33">
        <f t="shared" si="14"/>
        <v>-8</v>
      </c>
      <c r="K194" s="33">
        <f t="shared" si="12"/>
        <v>-80</v>
      </c>
      <c r="L194" s="33"/>
      <c r="M194" s="35">
        <f t="shared" si="13"/>
        <v>0</v>
      </c>
      <c r="N194" s="191" t="s">
        <v>42</v>
      </c>
      <c r="O194" s="191" t="s">
        <v>42</v>
      </c>
      <c r="P194" s="192" t="s">
        <v>42</v>
      </c>
      <c r="Q194" s="193" t="s">
        <v>42</v>
      </c>
      <c r="R194" s="193" t="s">
        <v>42</v>
      </c>
    </row>
    <row r="195" spans="1:18" x14ac:dyDescent="0.25">
      <c r="A195" s="54"/>
      <c r="G195" s="11"/>
      <c r="H195" s="33">
        <v>190</v>
      </c>
      <c r="I195" s="34" t="str">
        <f t="shared" si="11"/>
        <v/>
      </c>
      <c r="J195" s="33">
        <f t="shared" si="14"/>
        <v>-8</v>
      </c>
      <c r="K195" s="33">
        <f t="shared" si="12"/>
        <v>-80</v>
      </c>
      <c r="L195" s="33"/>
      <c r="M195" s="35">
        <f t="shared" si="13"/>
        <v>0</v>
      </c>
      <c r="N195" s="191" t="s">
        <v>42</v>
      </c>
      <c r="O195" s="191" t="s">
        <v>42</v>
      </c>
      <c r="P195" s="192" t="s">
        <v>42</v>
      </c>
      <c r="Q195" s="193" t="s">
        <v>42</v>
      </c>
      <c r="R195" s="193" t="s">
        <v>42</v>
      </c>
    </row>
    <row r="196" spans="1:18" x14ac:dyDescent="0.25">
      <c r="A196" s="54"/>
      <c r="G196" s="11"/>
      <c r="H196" s="33">
        <v>191</v>
      </c>
      <c r="I196" s="34" t="str">
        <f t="shared" si="11"/>
        <v/>
      </c>
      <c r="J196" s="33">
        <f t="shared" si="14"/>
        <v>-8</v>
      </c>
      <c r="K196" s="33">
        <f t="shared" si="12"/>
        <v>-80</v>
      </c>
      <c r="L196" s="33"/>
      <c r="M196" s="35">
        <f t="shared" si="13"/>
        <v>0</v>
      </c>
      <c r="N196" s="191" t="s">
        <v>42</v>
      </c>
      <c r="O196" s="191" t="s">
        <v>42</v>
      </c>
      <c r="P196" s="192" t="s">
        <v>42</v>
      </c>
      <c r="Q196" s="193" t="s">
        <v>42</v>
      </c>
      <c r="R196" s="193" t="s">
        <v>42</v>
      </c>
    </row>
    <row r="197" spans="1:18" x14ac:dyDescent="0.25">
      <c r="A197" s="54"/>
      <c r="G197" s="11"/>
      <c r="H197" s="33">
        <v>192</v>
      </c>
      <c r="I197" s="34" t="str">
        <f t="shared" si="11"/>
        <v/>
      </c>
      <c r="J197" s="33">
        <f t="shared" si="14"/>
        <v>-8</v>
      </c>
      <c r="K197" s="33">
        <f t="shared" si="12"/>
        <v>-80</v>
      </c>
      <c r="L197" s="33"/>
      <c r="M197" s="35">
        <f t="shared" si="13"/>
        <v>0</v>
      </c>
      <c r="N197" s="191" t="s">
        <v>42</v>
      </c>
      <c r="O197" s="191" t="s">
        <v>42</v>
      </c>
      <c r="P197" s="192" t="s">
        <v>42</v>
      </c>
      <c r="Q197" s="193" t="s">
        <v>42</v>
      </c>
      <c r="R197" s="193" t="s">
        <v>42</v>
      </c>
    </row>
    <row r="198" spans="1:18" x14ac:dyDescent="0.25">
      <c r="A198" s="54"/>
      <c r="G198" s="11"/>
      <c r="H198" s="33">
        <v>193</v>
      </c>
      <c r="I198" s="34" t="str">
        <f t="shared" ref="I198:I261" si="15">IF(H198&lt;$H$2+1,($I$2-($I$2-1)*(LOG(H198)/LOG($H$2))),"")</f>
        <v/>
      </c>
      <c r="J198" s="33">
        <f t="shared" si="14"/>
        <v>-8</v>
      </c>
      <c r="K198" s="33">
        <f t="shared" ref="K198:K261" si="16">J198*$J$2</f>
        <v>-80</v>
      </c>
      <c r="L198" s="33"/>
      <c r="M198" s="35">
        <f t="shared" ref="M198:M261" si="17">IF(I198&lt;&gt;"",K198+I198+L198,0)</f>
        <v>0</v>
      </c>
      <c r="N198" s="191" t="s">
        <v>42</v>
      </c>
      <c r="O198" s="191" t="s">
        <v>42</v>
      </c>
      <c r="P198" s="192" t="s">
        <v>42</v>
      </c>
      <c r="Q198" s="193" t="s">
        <v>42</v>
      </c>
      <c r="R198" s="193" t="s">
        <v>42</v>
      </c>
    </row>
    <row r="199" spans="1:18" x14ac:dyDescent="0.25">
      <c r="A199" s="54"/>
      <c r="G199" s="11"/>
      <c r="H199" s="33">
        <v>194</v>
      </c>
      <c r="I199" s="34" t="str">
        <f t="shared" si="15"/>
        <v/>
      </c>
      <c r="J199" s="33">
        <f t="shared" ref="J199:J262" si="18">INT(LOG($H$2,2))-ROUNDUP(LOG(H199,2),0)+IF(OR($H$2=1,$H$2=2,$H$2=4,$H$2=8,$H$2=16,$H$2=32,$H$2=64,$H$2=128,$H$2=256),0,1)</f>
        <v>-8</v>
      </c>
      <c r="K199" s="33">
        <f t="shared" si="16"/>
        <v>-80</v>
      </c>
      <c r="L199" s="33"/>
      <c r="M199" s="35">
        <f t="shared" si="17"/>
        <v>0</v>
      </c>
      <c r="N199" s="191" t="s">
        <v>42</v>
      </c>
      <c r="O199" s="191" t="s">
        <v>42</v>
      </c>
      <c r="P199" s="192" t="s">
        <v>42</v>
      </c>
      <c r="Q199" s="193" t="s">
        <v>42</v>
      </c>
      <c r="R199" s="193" t="s">
        <v>42</v>
      </c>
    </row>
    <row r="200" spans="1:18" x14ac:dyDescent="0.25">
      <c r="A200" s="54"/>
      <c r="G200" s="11"/>
      <c r="H200" s="33">
        <v>195</v>
      </c>
      <c r="I200" s="34" t="str">
        <f t="shared" si="15"/>
        <v/>
      </c>
      <c r="J200" s="33">
        <f t="shared" si="18"/>
        <v>-8</v>
      </c>
      <c r="K200" s="33">
        <f t="shared" si="16"/>
        <v>-80</v>
      </c>
      <c r="L200" s="33"/>
      <c r="M200" s="35">
        <f t="shared" si="17"/>
        <v>0</v>
      </c>
      <c r="N200" s="191" t="s">
        <v>42</v>
      </c>
      <c r="O200" s="191" t="s">
        <v>42</v>
      </c>
      <c r="P200" s="192" t="s">
        <v>42</v>
      </c>
      <c r="Q200" s="193" t="s">
        <v>42</v>
      </c>
      <c r="R200" s="193" t="s">
        <v>42</v>
      </c>
    </row>
    <row r="201" spans="1:18" x14ac:dyDescent="0.25">
      <c r="A201" s="54"/>
      <c r="G201" s="11"/>
      <c r="H201" s="33">
        <v>196</v>
      </c>
      <c r="I201" s="34" t="str">
        <f t="shared" si="15"/>
        <v/>
      </c>
      <c r="J201" s="33">
        <f t="shared" si="18"/>
        <v>-8</v>
      </c>
      <c r="K201" s="33">
        <f t="shared" si="16"/>
        <v>-80</v>
      </c>
      <c r="L201" s="33"/>
      <c r="M201" s="35">
        <f t="shared" si="17"/>
        <v>0</v>
      </c>
      <c r="N201" s="191" t="s">
        <v>42</v>
      </c>
      <c r="O201" s="191" t="s">
        <v>42</v>
      </c>
      <c r="P201" s="192" t="s">
        <v>42</v>
      </c>
      <c r="Q201" s="193" t="s">
        <v>42</v>
      </c>
      <c r="R201" s="193" t="s">
        <v>42</v>
      </c>
    </row>
    <row r="202" spans="1:18" x14ac:dyDescent="0.25">
      <c r="A202" s="54"/>
      <c r="G202" s="11"/>
      <c r="H202" s="33">
        <v>197</v>
      </c>
      <c r="I202" s="34" t="str">
        <f t="shared" si="15"/>
        <v/>
      </c>
      <c r="J202" s="33">
        <f t="shared" si="18"/>
        <v>-8</v>
      </c>
      <c r="K202" s="33">
        <f t="shared" si="16"/>
        <v>-80</v>
      </c>
      <c r="L202" s="33"/>
      <c r="M202" s="35">
        <f t="shared" si="17"/>
        <v>0</v>
      </c>
      <c r="N202" s="191" t="s">
        <v>42</v>
      </c>
      <c r="O202" s="191" t="s">
        <v>42</v>
      </c>
      <c r="P202" s="192" t="s">
        <v>42</v>
      </c>
      <c r="Q202" s="193" t="s">
        <v>42</v>
      </c>
      <c r="R202" s="193" t="s">
        <v>42</v>
      </c>
    </row>
    <row r="203" spans="1:18" x14ac:dyDescent="0.25">
      <c r="A203" s="54"/>
      <c r="G203" s="11"/>
      <c r="H203" s="33">
        <v>198</v>
      </c>
      <c r="I203" s="34" t="str">
        <f t="shared" si="15"/>
        <v/>
      </c>
      <c r="J203" s="33">
        <f t="shared" si="18"/>
        <v>-8</v>
      </c>
      <c r="K203" s="33">
        <f t="shared" si="16"/>
        <v>-80</v>
      </c>
      <c r="L203" s="33"/>
      <c r="M203" s="35">
        <f t="shared" si="17"/>
        <v>0</v>
      </c>
      <c r="N203" s="191" t="s">
        <v>42</v>
      </c>
      <c r="O203" s="191" t="s">
        <v>42</v>
      </c>
      <c r="P203" s="192" t="s">
        <v>42</v>
      </c>
      <c r="Q203" s="193" t="s">
        <v>42</v>
      </c>
      <c r="R203" s="193" t="s">
        <v>42</v>
      </c>
    </row>
    <row r="204" spans="1:18" x14ac:dyDescent="0.25">
      <c r="A204" s="54"/>
      <c r="G204" s="11"/>
      <c r="H204" s="33">
        <v>199</v>
      </c>
      <c r="I204" s="34" t="str">
        <f t="shared" si="15"/>
        <v/>
      </c>
      <c r="J204" s="33">
        <f t="shared" si="18"/>
        <v>-8</v>
      </c>
      <c r="K204" s="33">
        <f t="shared" si="16"/>
        <v>-80</v>
      </c>
      <c r="L204" s="33"/>
      <c r="M204" s="35">
        <f t="shared" si="17"/>
        <v>0</v>
      </c>
      <c r="N204" s="191" t="s">
        <v>42</v>
      </c>
      <c r="O204" s="191" t="s">
        <v>42</v>
      </c>
      <c r="P204" s="192" t="s">
        <v>42</v>
      </c>
      <c r="Q204" s="193" t="s">
        <v>42</v>
      </c>
      <c r="R204" s="193" t="s">
        <v>42</v>
      </c>
    </row>
    <row r="205" spans="1:18" x14ac:dyDescent="0.25">
      <c r="A205" s="54"/>
      <c r="G205" s="11"/>
      <c r="H205" s="33">
        <v>200</v>
      </c>
      <c r="I205" s="34" t="str">
        <f t="shared" si="15"/>
        <v/>
      </c>
      <c r="J205" s="33">
        <f t="shared" si="18"/>
        <v>-8</v>
      </c>
      <c r="K205" s="33">
        <f t="shared" si="16"/>
        <v>-80</v>
      </c>
      <c r="L205" s="33"/>
      <c r="M205" s="35">
        <f t="shared" si="17"/>
        <v>0</v>
      </c>
      <c r="N205" s="191" t="s">
        <v>42</v>
      </c>
      <c r="O205" s="191" t="s">
        <v>42</v>
      </c>
      <c r="P205" s="192" t="s">
        <v>42</v>
      </c>
      <c r="Q205" s="193" t="s">
        <v>42</v>
      </c>
      <c r="R205" s="193" t="s">
        <v>42</v>
      </c>
    </row>
    <row r="206" spans="1:18" x14ac:dyDescent="0.25">
      <c r="A206" s="54"/>
      <c r="G206" s="11"/>
      <c r="H206" s="33">
        <v>201</v>
      </c>
      <c r="I206" s="34" t="str">
        <f t="shared" si="15"/>
        <v/>
      </c>
      <c r="J206" s="33">
        <f t="shared" si="18"/>
        <v>-8</v>
      </c>
      <c r="K206" s="33">
        <f t="shared" si="16"/>
        <v>-80</v>
      </c>
      <c r="L206" s="33"/>
      <c r="M206" s="35">
        <f t="shared" si="17"/>
        <v>0</v>
      </c>
      <c r="N206" s="191" t="s">
        <v>42</v>
      </c>
      <c r="O206" s="191" t="s">
        <v>42</v>
      </c>
      <c r="P206" s="192" t="s">
        <v>42</v>
      </c>
      <c r="Q206" s="193" t="s">
        <v>42</v>
      </c>
      <c r="R206" s="193" t="s">
        <v>42</v>
      </c>
    </row>
    <row r="207" spans="1:18" x14ac:dyDescent="0.25">
      <c r="A207" s="54"/>
      <c r="G207" s="11"/>
      <c r="H207" s="33">
        <v>202</v>
      </c>
      <c r="I207" s="34" t="str">
        <f t="shared" si="15"/>
        <v/>
      </c>
      <c r="J207" s="33">
        <f t="shared" si="18"/>
        <v>-8</v>
      </c>
      <c r="K207" s="33">
        <f t="shared" si="16"/>
        <v>-80</v>
      </c>
      <c r="L207" s="33"/>
      <c r="M207" s="35">
        <f t="shared" si="17"/>
        <v>0</v>
      </c>
      <c r="N207" s="191" t="s">
        <v>42</v>
      </c>
      <c r="O207" s="191" t="s">
        <v>42</v>
      </c>
      <c r="P207" s="192" t="s">
        <v>42</v>
      </c>
      <c r="Q207" s="193" t="s">
        <v>42</v>
      </c>
      <c r="R207" s="193" t="s">
        <v>42</v>
      </c>
    </row>
    <row r="208" spans="1:18" x14ac:dyDescent="0.25">
      <c r="A208" s="54"/>
      <c r="G208" s="11"/>
      <c r="H208" s="33">
        <v>203</v>
      </c>
      <c r="I208" s="34" t="str">
        <f t="shared" si="15"/>
        <v/>
      </c>
      <c r="J208" s="33">
        <f t="shared" si="18"/>
        <v>-8</v>
      </c>
      <c r="K208" s="33">
        <f t="shared" si="16"/>
        <v>-80</v>
      </c>
      <c r="L208" s="33"/>
      <c r="M208" s="35">
        <f t="shared" si="17"/>
        <v>0</v>
      </c>
      <c r="N208" s="191" t="s">
        <v>42</v>
      </c>
      <c r="O208" s="191" t="s">
        <v>42</v>
      </c>
      <c r="P208" s="192" t="s">
        <v>42</v>
      </c>
      <c r="Q208" s="193" t="s">
        <v>42</v>
      </c>
      <c r="R208" s="193" t="s">
        <v>42</v>
      </c>
    </row>
    <row r="209" spans="1:18" x14ac:dyDescent="0.25">
      <c r="A209" s="54"/>
      <c r="G209" s="11"/>
      <c r="H209" s="33">
        <v>204</v>
      </c>
      <c r="I209" s="34" t="str">
        <f t="shared" si="15"/>
        <v/>
      </c>
      <c r="J209" s="33">
        <f t="shared" si="18"/>
        <v>-8</v>
      </c>
      <c r="K209" s="33">
        <f t="shared" si="16"/>
        <v>-80</v>
      </c>
      <c r="L209" s="33"/>
      <c r="M209" s="35">
        <f t="shared" si="17"/>
        <v>0</v>
      </c>
      <c r="N209" s="191" t="s">
        <v>42</v>
      </c>
      <c r="O209" s="191" t="s">
        <v>42</v>
      </c>
      <c r="P209" s="192" t="s">
        <v>42</v>
      </c>
      <c r="Q209" s="193" t="s">
        <v>42</v>
      </c>
      <c r="R209" s="193" t="s">
        <v>42</v>
      </c>
    </row>
    <row r="210" spans="1:18" x14ac:dyDescent="0.25">
      <c r="A210" s="54"/>
      <c r="G210" s="11"/>
      <c r="H210" s="33">
        <v>205</v>
      </c>
      <c r="I210" s="34" t="str">
        <f t="shared" si="15"/>
        <v/>
      </c>
      <c r="J210" s="33">
        <f t="shared" si="18"/>
        <v>-8</v>
      </c>
      <c r="K210" s="33">
        <f t="shared" si="16"/>
        <v>-80</v>
      </c>
      <c r="L210" s="33"/>
      <c r="M210" s="35">
        <f t="shared" si="17"/>
        <v>0</v>
      </c>
      <c r="N210" s="191" t="s">
        <v>42</v>
      </c>
      <c r="O210" s="191" t="s">
        <v>42</v>
      </c>
      <c r="P210" s="192" t="s">
        <v>42</v>
      </c>
      <c r="Q210" s="193" t="s">
        <v>42</v>
      </c>
      <c r="R210" s="193" t="s">
        <v>42</v>
      </c>
    </row>
    <row r="211" spans="1:18" x14ac:dyDescent="0.25">
      <c r="A211" s="54"/>
      <c r="G211" s="11"/>
      <c r="H211" s="33">
        <v>206</v>
      </c>
      <c r="I211" s="34" t="str">
        <f t="shared" si="15"/>
        <v/>
      </c>
      <c r="J211" s="33">
        <f t="shared" si="18"/>
        <v>-8</v>
      </c>
      <c r="K211" s="33">
        <f t="shared" si="16"/>
        <v>-80</v>
      </c>
      <c r="L211" s="33"/>
      <c r="M211" s="35">
        <f t="shared" si="17"/>
        <v>0</v>
      </c>
      <c r="N211" s="191" t="s">
        <v>42</v>
      </c>
      <c r="O211" s="191" t="s">
        <v>42</v>
      </c>
      <c r="P211" s="192" t="s">
        <v>42</v>
      </c>
      <c r="Q211" s="193" t="s">
        <v>42</v>
      </c>
      <c r="R211" s="193" t="s">
        <v>42</v>
      </c>
    </row>
    <row r="212" spans="1:18" x14ac:dyDescent="0.25">
      <c r="A212" s="54"/>
      <c r="G212" s="11"/>
      <c r="H212" s="33">
        <v>207</v>
      </c>
      <c r="I212" s="34" t="str">
        <f t="shared" si="15"/>
        <v/>
      </c>
      <c r="J212" s="33">
        <f t="shared" si="18"/>
        <v>-8</v>
      </c>
      <c r="K212" s="33">
        <f t="shared" si="16"/>
        <v>-80</v>
      </c>
      <c r="L212" s="33"/>
      <c r="M212" s="35">
        <f t="shared" si="17"/>
        <v>0</v>
      </c>
      <c r="N212" s="191" t="s">
        <v>42</v>
      </c>
      <c r="O212" s="191" t="s">
        <v>42</v>
      </c>
      <c r="P212" s="192" t="s">
        <v>42</v>
      </c>
      <c r="Q212" s="193" t="s">
        <v>42</v>
      </c>
      <c r="R212" s="193" t="s">
        <v>42</v>
      </c>
    </row>
    <row r="213" spans="1:18" x14ac:dyDescent="0.25">
      <c r="A213" s="54"/>
      <c r="G213" s="11"/>
      <c r="H213" s="33">
        <v>208</v>
      </c>
      <c r="I213" s="34" t="str">
        <f t="shared" si="15"/>
        <v/>
      </c>
      <c r="J213" s="33">
        <f t="shared" si="18"/>
        <v>-8</v>
      </c>
      <c r="K213" s="33">
        <f t="shared" si="16"/>
        <v>-80</v>
      </c>
      <c r="L213" s="33"/>
      <c r="M213" s="35">
        <f t="shared" si="17"/>
        <v>0</v>
      </c>
      <c r="N213" s="191" t="s">
        <v>42</v>
      </c>
      <c r="O213" s="191" t="s">
        <v>42</v>
      </c>
      <c r="P213" s="192" t="s">
        <v>42</v>
      </c>
      <c r="Q213" s="193" t="s">
        <v>42</v>
      </c>
      <c r="R213" s="193" t="s">
        <v>42</v>
      </c>
    </row>
    <row r="214" spans="1:18" x14ac:dyDescent="0.25">
      <c r="A214" s="54"/>
      <c r="G214" s="11"/>
      <c r="H214" s="33">
        <v>209</v>
      </c>
      <c r="I214" s="34" t="str">
        <f t="shared" si="15"/>
        <v/>
      </c>
      <c r="J214" s="33">
        <f t="shared" si="18"/>
        <v>-8</v>
      </c>
      <c r="K214" s="33">
        <f t="shared" si="16"/>
        <v>-80</v>
      </c>
      <c r="L214" s="33"/>
      <c r="M214" s="35">
        <f t="shared" si="17"/>
        <v>0</v>
      </c>
      <c r="N214" s="191" t="s">
        <v>42</v>
      </c>
      <c r="O214" s="191" t="s">
        <v>42</v>
      </c>
      <c r="P214" s="192" t="s">
        <v>42</v>
      </c>
      <c r="Q214" s="193" t="s">
        <v>42</v>
      </c>
      <c r="R214" s="193" t="s">
        <v>42</v>
      </c>
    </row>
    <row r="215" spans="1:18" x14ac:dyDescent="0.25">
      <c r="A215" s="54"/>
      <c r="G215" s="11"/>
      <c r="H215" s="33">
        <v>210</v>
      </c>
      <c r="I215" s="34" t="str">
        <f t="shared" si="15"/>
        <v/>
      </c>
      <c r="J215" s="33">
        <f t="shared" si="18"/>
        <v>-8</v>
      </c>
      <c r="K215" s="33">
        <f t="shared" si="16"/>
        <v>-80</v>
      </c>
      <c r="L215" s="33"/>
      <c r="M215" s="35">
        <f t="shared" si="17"/>
        <v>0</v>
      </c>
      <c r="N215" s="191" t="s">
        <v>42</v>
      </c>
      <c r="O215" s="191" t="s">
        <v>42</v>
      </c>
      <c r="P215" s="192" t="s">
        <v>42</v>
      </c>
      <c r="Q215" s="193" t="s">
        <v>42</v>
      </c>
      <c r="R215" s="193" t="s">
        <v>42</v>
      </c>
    </row>
    <row r="216" spans="1:18" x14ac:dyDescent="0.25">
      <c r="A216" s="54"/>
      <c r="G216" s="11"/>
      <c r="H216" s="33">
        <v>211</v>
      </c>
      <c r="I216" s="34" t="str">
        <f t="shared" si="15"/>
        <v/>
      </c>
      <c r="J216" s="33">
        <f t="shared" si="18"/>
        <v>-8</v>
      </c>
      <c r="K216" s="33">
        <f t="shared" si="16"/>
        <v>-80</v>
      </c>
      <c r="L216" s="33"/>
      <c r="M216" s="35">
        <f t="shared" si="17"/>
        <v>0</v>
      </c>
      <c r="N216" s="191" t="s">
        <v>42</v>
      </c>
      <c r="O216" s="191" t="s">
        <v>42</v>
      </c>
      <c r="P216" s="192" t="s">
        <v>42</v>
      </c>
      <c r="Q216" s="193" t="s">
        <v>42</v>
      </c>
      <c r="R216" s="193" t="s">
        <v>42</v>
      </c>
    </row>
    <row r="217" spans="1:18" x14ac:dyDescent="0.25">
      <c r="A217" s="54"/>
      <c r="G217" s="11"/>
      <c r="H217" s="33">
        <v>212</v>
      </c>
      <c r="I217" s="34" t="str">
        <f t="shared" si="15"/>
        <v/>
      </c>
      <c r="J217" s="33">
        <f t="shared" si="18"/>
        <v>-8</v>
      </c>
      <c r="K217" s="33">
        <f t="shared" si="16"/>
        <v>-80</v>
      </c>
      <c r="L217" s="33"/>
      <c r="M217" s="35">
        <f t="shared" si="17"/>
        <v>0</v>
      </c>
      <c r="N217" s="191" t="s">
        <v>42</v>
      </c>
      <c r="O217" s="191" t="s">
        <v>42</v>
      </c>
      <c r="P217" s="192" t="s">
        <v>42</v>
      </c>
      <c r="Q217" s="193" t="s">
        <v>42</v>
      </c>
      <c r="R217" s="193" t="s">
        <v>42</v>
      </c>
    </row>
    <row r="218" spans="1:18" x14ac:dyDescent="0.25">
      <c r="A218" s="54"/>
      <c r="G218" s="11"/>
      <c r="H218" s="33">
        <v>213</v>
      </c>
      <c r="I218" s="34" t="str">
        <f t="shared" si="15"/>
        <v/>
      </c>
      <c r="J218" s="33">
        <f t="shared" si="18"/>
        <v>-8</v>
      </c>
      <c r="K218" s="33">
        <f t="shared" si="16"/>
        <v>-80</v>
      </c>
      <c r="L218" s="33"/>
      <c r="M218" s="35">
        <f t="shared" si="17"/>
        <v>0</v>
      </c>
      <c r="N218" s="191" t="s">
        <v>42</v>
      </c>
      <c r="O218" s="191" t="s">
        <v>42</v>
      </c>
      <c r="P218" s="192" t="s">
        <v>42</v>
      </c>
      <c r="Q218" s="193" t="s">
        <v>42</v>
      </c>
      <c r="R218" s="193" t="s">
        <v>42</v>
      </c>
    </row>
    <row r="219" spans="1:18" x14ac:dyDescent="0.25">
      <c r="A219" s="54"/>
      <c r="G219" s="11"/>
      <c r="H219" s="33">
        <v>214</v>
      </c>
      <c r="I219" s="34" t="str">
        <f t="shared" si="15"/>
        <v/>
      </c>
      <c r="J219" s="33">
        <f t="shared" si="18"/>
        <v>-8</v>
      </c>
      <c r="K219" s="33">
        <f t="shared" si="16"/>
        <v>-80</v>
      </c>
      <c r="L219" s="33"/>
      <c r="M219" s="35">
        <f t="shared" si="17"/>
        <v>0</v>
      </c>
      <c r="N219" s="191" t="s">
        <v>42</v>
      </c>
      <c r="O219" s="191" t="s">
        <v>42</v>
      </c>
      <c r="P219" s="192" t="s">
        <v>42</v>
      </c>
      <c r="Q219" s="193" t="s">
        <v>42</v>
      </c>
      <c r="R219" s="193" t="s">
        <v>42</v>
      </c>
    </row>
    <row r="220" spans="1:18" x14ac:dyDescent="0.25">
      <c r="A220" s="54"/>
      <c r="G220" s="11"/>
      <c r="H220" s="33">
        <v>215</v>
      </c>
      <c r="I220" s="34" t="str">
        <f t="shared" si="15"/>
        <v/>
      </c>
      <c r="J220" s="33">
        <f t="shared" si="18"/>
        <v>-8</v>
      </c>
      <c r="K220" s="33">
        <f t="shared" si="16"/>
        <v>-80</v>
      </c>
      <c r="L220" s="33"/>
      <c r="M220" s="35">
        <f t="shared" si="17"/>
        <v>0</v>
      </c>
      <c r="N220" s="191" t="s">
        <v>42</v>
      </c>
      <c r="O220" s="191" t="s">
        <v>42</v>
      </c>
      <c r="P220" s="192" t="s">
        <v>42</v>
      </c>
      <c r="Q220" s="193" t="s">
        <v>42</v>
      </c>
      <c r="R220" s="193" t="s">
        <v>42</v>
      </c>
    </row>
    <row r="221" spans="1:18" x14ac:dyDescent="0.25">
      <c r="A221" s="54"/>
      <c r="G221" s="11"/>
      <c r="H221" s="33">
        <v>216</v>
      </c>
      <c r="I221" s="34" t="str">
        <f t="shared" si="15"/>
        <v/>
      </c>
      <c r="J221" s="33">
        <f t="shared" si="18"/>
        <v>-8</v>
      </c>
      <c r="K221" s="33">
        <f t="shared" si="16"/>
        <v>-80</v>
      </c>
      <c r="L221" s="33"/>
      <c r="M221" s="35">
        <f t="shared" si="17"/>
        <v>0</v>
      </c>
      <c r="N221" s="191" t="s">
        <v>42</v>
      </c>
      <c r="O221" s="191" t="s">
        <v>42</v>
      </c>
      <c r="P221" s="192" t="s">
        <v>42</v>
      </c>
      <c r="Q221" s="193" t="s">
        <v>42</v>
      </c>
      <c r="R221" s="193" t="s">
        <v>42</v>
      </c>
    </row>
    <row r="222" spans="1:18" x14ac:dyDescent="0.25">
      <c r="A222" s="54"/>
      <c r="G222" s="11"/>
      <c r="H222" s="33">
        <v>217</v>
      </c>
      <c r="I222" s="34" t="str">
        <f t="shared" si="15"/>
        <v/>
      </c>
      <c r="J222" s="33">
        <f t="shared" si="18"/>
        <v>-8</v>
      </c>
      <c r="K222" s="33">
        <f t="shared" si="16"/>
        <v>-80</v>
      </c>
      <c r="L222" s="33"/>
      <c r="M222" s="35">
        <f t="shared" si="17"/>
        <v>0</v>
      </c>
      <c r="N222" s="191" t="s">
        <v>42</v>
      </c>
      <c r="O222" s="191" t="s">
        <v>42</v>
      </c>
      <c r="P222" s="192" t="s">
        <v>42</v>
      </c>
      <c r="Q222" s="193" t="s">
        <v>42</v>
      </c>
      <c r="R222" s="193" t="s">
        <v>42</v>
      </c>
    </row>
    <row r="223" spans="1:18" x14ac:dyDescent="0.25">
      <c r="A223" s="54"/>
      <c r="G223" s="11"/>
      <c r="H223" s="33">
        <v>218</v>
      </c>
      <c r="I223" s="34" t="str">
        <f t="shared" si="15"/>
        <v/>
      </c>
      <c r="J223" s="33">
        <f t="shared" si="18"/>
        <v>-8</v>
      </c>
      <c r="K223" s="33">
        <f t="shared" si="16"/>
        <v>-80</v>
      </c>
      <c r="L223" s="33"/>
      <c r="M223" s="35">
        <f t="shared" si="17"/>
        <v>0</v>
      </c>
      <c r="N223" s="191" t="s">
        <v>42</v>
      </c>
      <c r="O223" s="191" t="s">
        <v>42</v>
      </c>
      <c r="P223" s="192" t="s">
        <v>42</v>
      </c>
      <c r="Q223" s="193" t="s">
        <v>42</v>
      </c>
      <c r="R223" s="193" t="s">
        <v>42</v>
      </c>
    </row>
    <row r="224" spans="1:18" x14ac:dyDescent="0.25">
      <c r="A224" s="54"/>
      <c r="G224" s="11"/>
      <c r="H224" s="33">
        <v>219</v>
      </c>
      <c r="I224" s="34" t="str">
        <f t="shared" si="15"/>
        <v/>
      </c>
      <c r="J224" s="33">
        <f t="shared" si="18"/>
        <v>-8</v>
      </c>
      <c r="K224" s="33">
        <f t="shared" si="16"/>
        <v>-80</v>
      </c>
      <c r="L224" s="33"/>
      <c r="M224" s="35">
        <f t="shared" si="17"/>
        <v>0</v>
      </c>
      <c r="N224" s="191" t="s">
        <v>42</v>
      </c>
      <c r="O224" s="191" t="s">
        <v>42</v>
      </c>
      <c r="P224" s="192" t="s">
        <v>42</v>
      </c>
      <c r="Q224" s="193" t="s">
        <v>42</v>
      </c>
      <c r="R224" s="193" t="s">
        <v>42</v>
      </c>
    </row>
    <row r="225" spans="1:18" x14ac:dyDescent="0.25">
      <c r="A225" s="54"/>
      <c r="G225" s="11"/>
      <c r="H225" s="33">
        <v>220</v>
      </c>
      <c r="I225" s="34" t="str">
        <f t="shared" si="15"/>
        <v/>
      </c>
      <c r="J225" s="33">
        <f t="shared" si="18"/>
        <v>-8</v>
      </c>
      <c r="K225" s="33">
        <f t="shared" si="16"/>
        <v>-80</v>
      </c>
      <c r="L225" s="33"/>
      <c r="M225" s="35">
        <f t="shared" si="17"/>
        <v>0</v>
      </c>
      <c r="N225" s="191" t="s">
        <v>42</v>
      </c>
      <c r="O225" s="191" t="s">
        <v>42</v>
      </c>
      <c r="P225" s="192" t="s">
        <v>42</v>
      </c>
      <c r="Q225" s="193" t="s">
        <v>42</v>
      </c>
      <c r="R225" s="193" t="s">
        <v>42</v>
      </c>
    </row>
    <row r="226" spans="1:18" x14ac:dyDescent="0.25">
      <c r="A226" s="54"/>
      <c r="G226" s="11"/>
      <c r="H226" s="33">
        <v>221</v>
      </c>
      <c r="I226" s="34" t="str">
        <f t="shared" si="15"/>
        <v/>
      </c>
      <c r="J226" s="33">
        <f t="shared" si="18"/>
        <v>-8</v>
      </c>
      <c r="K226" s="33">
        <f t="shared" si="16"/>
        <v>-80</v>
      </c>
      <c r="L226" s="33"/>
      <c r="M226" s="35">
        <f t="shared" si="17"/>
        <v>0</v>
      </c>
      <c r="N226" s="191" t="s">
        <v>42</v>
      </c>
      <c r="O226" s="191" t="s">
        <v>42</v>
      </c>
      <c r="P226" s="192" t="s">
        <v>42</v>
      </c>
      <c r="Q226" s="193" t="s">
        <v>42</v>
      </c>
      <c r="R226" s="193" t="s">
        <v>42</v>
      </c>
    </row>
    <row r="227" spans="1:18" x14ac:dyDescent="0.25">
      <c r="A227" s="54"/>
      <c r="G227" s="11"/>
      <c r="H227" s="33">
        <v>222</v>
      </c>
      <c r="I227" s="34" t="str">
        <f t="shared" si="15"/>
        <v/>
      </c>
      <c r="J227" s="33">
        <f t="shared" si="18"/>
        <v>-8</v>
      </c>
      <c r="K227" s="33">
        <f t="shared" si="16"/>
        <v>-80</v>
      </c>
      <c r="L227" s="33"/>
      <c r="M227" s="35">
        <f t="shared" si="17"/>
        <v>0</v>
      </c>
      <c r="N227" s="191" t="s">
        <v>42</v>
      </c>
      <c r="O227" s="191" t="s">
        <v>42</v>
      </c>
      <c r="P227" s="192" t="s">
        <v>42</v>
      </c>
      <c r="Q227" s="193" t="s">
        <v>42</v>
      </c>
      <c r="R227" s="193" t="s">
        <v>42</v>
      </c>
    </row>
    <row r="228" spans="1:18" x14ac:dyDescent="0.25">
      <c r="A228" s="54"/>
      <c r="G228" s="11"/>
      <c r="H228" s="33">
        <v>223</v>
      </c>
      <c r="I228" s="34" t="str">
        <f t="shared" si="15"/>
        <v/>
      </c>
      <c r="J228" s="33">
        <f t="shared" si="18"/>
        <v>-8</v>
      </c>
      <c r="K228" s="33">
        <f t="shared" si="16"/>
        <v>-80</v>
      </c>
      <c r="L228" s="33"/>
      <c r="M228" s="35">
        <f t="shared" si="17"/>
        <v>0</v>
      </c>
      <c r="N228" s="191" t="s">
        <v>42</v>
      </c>
      <c r="O228" s="191" t="s">
        <v>42</v>
      </c>
      <c r="P228" s="192" t="s">
        <v>42</v>
      </c>
      <c r="Q228" s="193" t="s">
        <v>42</v>
      </c>
      <c r="R228" s="193" t="s">
        <v>42</v>
      </c>
    </row>
    <row r="229" spans="1:18" x14ac:dyDescent="0.25">
      <c r="A229" s="54"/>
      <c r="G229" s="11"/>
      <c r="H229" s="33">
        <v>224</v>
      </c>
      <c r="I229" s="34" t="str">
        <f t="shared" si="15"/>
        <v/>
      </c>
      <c r="J229" s="33">
        <f t="shared" si="18"/>
        <v>-8</v>
      </c>
      <c r="K229" s="33">
        <f t="shared" si="16"/>
        <v>-80</v>
      </c>
      <c r="L229" s="33"/>
      <c r="M229" s="35">
        <f t="shared" si="17"/>
        <v>0</v>
      </c>
      <c r="N229" s="191" t="s">
        <v>42</v>
      </c>
      <c r="O229" s="191" t="s">
        <v>42</v>
      </c>
      <c r="P229" s="192" t="s">
        <v>42</v>
      </c>
      <c r="Q229" s="193" t="s">
        <v>42</v>
      </c>
      <c r="R229" s="193" t="s">
        <v>42</v>
      </c>
    </row>
    <row r="230" spans="1:18" x14ac:dyDescent="0.25">
      <c r="A230" s="54"/>
      <c r="G230" s="11"/>
      <c r="H230" s="33">
        <v>225</v>
      </c>
      <c r="I230" s="34" t="str">
        <f t="shared" si="15"/>
        <v/>
      </c>
      <c r="J230" s="33">
        <f t="shared" si="18"/>
        <v>-8</v>
      </c>
      <c r="K230" s="33">
        <f t="shared" si="16"/>
        <v>-80</v>
      </c>
      <c r="L230" s="33"/>
      <c r="M230" s="35">
        <f t="shared" si="17"/>
        <v>0</v>
      </c>
      <c r="N230" s="191" t="s">
        <v>42</v>
      </c>
      <c r="O230" s="191" t="s">
        <v>42</v>
      </c>
      <c r="P230" s="192" t="s">
        <v>42</v>
      </c>
      <c r="Q230" s="193" t="s">
        <v>42</v>
      </c>
      <c r="R230" s="193" t="s">
        <v>42</v>
      </c>
    </row>
    <row r="231" spans="1:18" x14ac:dyDescent="0.25">
      <c r="A231" s="54"/>
      <c r="G231" s="11"/>
      <c r="H231" s="33">
        <v>226</v>
      </c>
      <c r="I231" s="34" t="str">
        <f t="shared" si="15"/>
        <v/>
      </c>
      <c r="J231" s="33">
        <f t="shared" si="18"/>
        <v>-8</v>
      </c>
      <c r="K231" s="33">
        <f t="shared" si="16"/>
        <v>-80</v>
      </c>
      <c r="L231" s="33"/>
      <c r="M231" s="35">
        <f t="shared" si="17"/>
        <v>0</v>
      </c>
      <c r="N231" s="191" t="s">
        <v>42</v>
      </c>
      <c r="O231" s="191" t="s">
        <v>42</v>
      </c>
      <c r="P231" s="192" t="s">
        <v>42</v>
      </c>
      <c r="Q231" s="193" t="s">
        <v>42</v>
      </c>
      <c r="R231" s="193" t="s">
        <v>42</v>
      </c>
    </row>
    <row r="232" spans="1:18" x14ac:dyDescent="0.25">
      <c r="A232" s="54"/>
      <c r="G232" s="11"/>
      <c r="H232" s="33">
        <v>227</v>
      </c>
      <c r="I232" s="34" t="str">
        <f t="shared" si="15"/>
        <v/>
      </c>
      <c r="J232" s="33">
        <f t="shared" si="18"/>
        <v>-8</v>
      </c>
      <c r="K232" s="33">
        <f t="shared" si="16"/>
        <v>-80</v>
      </c>
      <c r="L232" s="33"/>
      <c r="M232" s="35">
        <f t="shared" si="17"/>
        <v>0</v>
      </c>
      <c r="N232" s="191" t="s">
        <v>42</v>
      </c>
      <c r="O232" s="191" t="s">
        <v>42</v>
      </c>
      <c r="P232" s="192" t="s">
        <v>42</v>
      </c>
      <c r="Q232" s="193" t="s">
        <v>42</v>
      </c>
      <c r="R232" s="193" t="s">
        <v>42</v>
      </c>
    </row>
    <row r="233" spans="1:18" x14ac:dyDescent="0.25">
      <c r="A233" s="54"/>
      <c r="G233" s="11"/>
      <c r="H233" s="33">
        <v>228</v>
      </c>
      <c r="I233" s="34" t="str">
        <f t="shared" si="15"/>
        <v/>
      </c>
      <c r="J233" s="33">
        <f t="shared" si="18"/>
        <v>-8</v>
      </c>
      <c r="K233" s="33">
        <f t="shared" si="16"/>
        <v>-80</v>
      </c>
      <c r="L233" s="33"/>
      <c r="M233" s="35">
        <f t="shared" si="17"/>
        <v>0</v>
      </c>
      <c r="N233" s="191" t="s">
        <v>42</v>
      </c>
      <c r="O233" s="191" t="s">
        <v>42</v>
      </c>
      <c r="P233" s="192" t="s">
        <v>42</v>
      </c>
      <c r="Q233" s="193" t="s">
        <v>42</v>
      </c>
      <c r="R233" s="193" t="s">
        <v>42</v>
      </c>
    </row>
    <row r="234" spans="1:18" x14ac:dyDescent="0.25">
      <c r="A234" s="54"/>
      <c r="G234" s="11"/>
      <c r="H234" s="33">
        <v>229</v>
      </c>
      <c r="I234" s="34" t="str">
        <f t="shared" si="15"/>
        <v/>
      </c>
      <c r="J234" s="33">
        <f t="shared" si="18"/>
        <v>-8</v>
      </c>
      <c r="K234" s="33">
        <f t="shared" si="16"/>
        <v>-80</v>
      </c>
      <c r="L234" s="33"/>
      <c r="M234" s="35">
        <f t="shared" si="17"/>
        <v>0</v>
      </c>
      <c r="N234" s="191" t="s">
        <v>42</v>
      </c>
      <c r="O234" s="191" t="s">
        <v>42</v>
      </c>
      <c r="P234" s="192" t="s">
        <v>42</v>
      </c>
      <c r="Q234" s="193" t="s">
        <v>42</v>
      </c>
      <c r="R234" s="193" t="s">
        <v>42</v>
      </c>
    </row>
    <row r="235" spans="1:18" x14ac:dyDescent="0.25">
      <c r="A235" s="54"/>
      <c r="G235" s="11"/>
      <c r="H235" s="33">
        <v>230</v>
      </c>
      <c r="I235" s="34" t="str">
        <f t="shared" si="15"/>
        <v/>
      </c>
      <c r="J235" s="33">
        <f t="shared" si="18"/>
        <v>-8</v>
      </c>
      <c r="K235" s="33">
        <f t="shared" si="16"/>
        <v>-80</v>
      </c>
      <c r="L235" s="33"/>
      <c r="M235" s="35">
        <f t="shared" si="17"/>
        <v>0</v>
      </c>
      <c r="N235" s="191" t="s">
        <v>42</v>
      </c>
      <c r="O235" s="191" t="s">
        <v>42</v>
      </c>
      <c r="P235" s="192" t="s">
        <v>42</v>
      </c>
      <c r="Q235" s="193" t="s">
        <v>42</v>
      </c>
      <c r="R235" s="193" t="s">
        <v>42</v>
      </c>
    </row>
    <row r="236" spans="1:18" x14ac:dyDescent="0.25">
      <c r="A236" s="54"/>
      <c r="G236" s="11"/>
      <c r="H236" s="33">
        <v>231</v>
      </c>
      <c r="I236" s="34" t="str">
        <f t="shared" si="15"/>
        <v/>
      </c>
      <c r="J236" s="33">
        <f t="shared" si="18"/>
        <v>-8</v>
      </c>
      <c r="K236" s="33">
        <f t="shared" si="16"/>
        <v>-80</v>
      </c>
      <c r="L236" s="33"/>
      <c r="M236" s="35">
        <f t="shared" si="17"/>
        <v>0</v>
      </c>
      <c r="N236" s="191" t="s">
        <v>42</v>
      </c>
      <c r="O236" s="191" t="s">
        <v>42</v>
      </c>
      <c r="P236" s="192" t="s">
        <v>42</v>
      </c>
      <c r="Q236" s="193" t="s">
        <v>42</v>
      </c>
      <c r="R236" s="193" t="s">
        <v>42</v>
      </c>
    </row>
    <row r="237" spans="1:18" x14ac:dyDescent="0.25">
      <c r="A237" s="54"/>
      <c r="G237" s="11"/>
      <c r="H237" s="33">
        <v>232</v>
      </c>
      <c r="I237" s="34" t="str">
        <f t="shared" si="15"/>
        <v/>
      </c>
      <c r="J237" s="33">
        <f t="shared" si="18"/>
        <v>-8</v>
      </c>
      <c r="K237" s="33">
        <f t="shared" si="16"/>
        <v>-80</v>
      </c>
      <c r="L237" s="33"/>
      <c r="M237" s="35">
        <f t="shared" si="17"/>
        <v>0</v>
      </c>
      <c r="N237" s="191" t="s">
        <v>42</v>
      </c>
      <c r="O237" s="191" t="s">
        <v>42</v>
      </c>
      <c r="P237" s="192" t="s">
        <v>42</v>
      </c>
      <c r="Q237" s="193" t="s">
        <v>42</v>
      </c>
      <c r="R237" s="193" t="s">
        <v>42</v>
      </c>
    </row>
    <row r="238" spans="1:18" x14ac:dyDescent="0.25">
      <c r="A238" s="54"/>
      <c r="G238" s="11"/>
      <c r="H238" s="33">
        <v>233</v>
      </c>
      <c r="I238" s="34" t="str">
        <f t="shared" si="15"/>
        <v/>
      </c>
      <c r="J238" s="33">
        <f t="shared" si="18"/>
        <v>-8</v>
      </c>
      <c r="K238" s="33">
        <f t="shared" si="16"/>
        <v>-80</v>
      </c>
      <c r="L238" s="33"/>
      <c r="M238" s="35">
        <f t="shared" si="17"/>
        <v>0</v>
      </c>
      <c r="N238" s="191" t="s">
        <v>42</v>
      </c>
      <c r="O238" s="191" t="s">
        <v>42</v>
      </c>
      <c r="P238" s="192" t="s">
        <v>42</v>
      </c>
      <c r="Q238" s="193" t="s">
        <v>42</v>
      </c>
      <c r="R238" s="193" t="s">
        <v>42</v>
      </c>
    </row>
    <row r="239" spans="1:18" x14ac:dyDescent="0.25">
      <c r="A239" s="54"/>
      <c r="G239" s="11"/>
      <c r="H239" s="33">
        <v>234</v>
      </c>
      <c r="I239" s="34" t="str">
        <f t="shared" si="15"/>
        <v/>
      </c>
      <c r="J239" s="33">
        <f t="shared" si="18"/>
        <v>-8</v>
      </c>
      <c r="K239" s="33">
        <f t="shared" si="16"/>
        <v>-80</v>
      </c>
      <c r="L239" s="33"/>
      <c r="M239" s="35">
        <f t="shared" si="17"/>
        <v>0</v>
      </c>
      <c r="N239" s="191" t="s">
        <v>42</v>
      </c>
      <c r="O239" s="191" t="s">
        <v>42</v>
      </c>
      <c r="P239" s="192" t="s">
        <v>42</v>
      </c>
      <c r="Q239" s="193" t="s">
        <v>42</v>
      </c>
      <c r="R239" s="193" t="s">
        <v>42</v>
      </c>
    </row>
    <row r="240" spans="1:18" x14ac:dyDescent="0.25">
      <c r="A240" s="54"/>
      <c r="G240" s="11"/>
      <c r="H240" s="33">
        <v>235</v>
      </c>
      <c r="I240" s="34" t="str">
        <f t="shared" si="15"/>
        <v/>
      </c>
      <c r="J240" s="33">
        <f t="shared" si="18"/>
        <v>-8</v>
      </c>
      <c r="K240" s="33">
        <f t="shared" si="16"/>
        <v>-80</v>
      </c>
      <c r="L240" s="33"/>
      <c r="M240" s="35">
        <f t="shared" si="17"/>
        <v>0</v>
      </c>
      <c r="N240" s="191" t="s">
        <v>42</v>
      </c>
      <c r="O240" s="191" t="s">
        <v>42</v>
      </c>
      <c r="P240" s="192" t="s">
        <v>42</v>
      </c>
      <c r="Q240" s="193" t="s">
        <v>42</v>
      </c>
      <c r="R240" s="193" t="s">
        <v>42</v>
      </c>
    </row>
    <row r="241" spans="1:18" x14ac:dyDescent="0.25">
      <c r="A241" s="54"/>
      <c r="G241" s="11"/>
      <c r="H241" s="33">
        <v>236</v>
      </c>
      <c r="I241" s="34" t="str">
        <f t="shared" si="15"/>
        <v/>
      </c>
      <c r="J241" s="33">
        <f t="shared" si="18"/>
        <v>-8</v>
      </c>
      <c r="K241" s="33">
        <f t="shared" si="16"/>
        <v>-80</v>
      </c>
      <c r="L241" s="33"/>
      <c r="M241" s="35">
        <f t="shared" si="17"/>
        <v>0</v>
      </c>
      <c r="N241" s="191" t="s">
        <v>42</v>
      </c>
      <c r="O241" s="191" t="s">
        <v>42</v>
      </c>
      <c r="P241" s="192" t="s">
        <v>42</v>
      </c>
      <c r="Q241" s="193" t="s">
        <v>42</v>
      </c>
      <c r="R241" s="193" t="s">
        <v>42</v>
      </c>
    </row>
    <row r="242" spans="1:18" x14ac:dyDescent="0.25">
      <c r="A242" s="54"/>
      <c r="G242" s="11"/>
      <c r="H242" s="33">
        <v>237</v>
      </c>
      <c r="I242" s="34" t="str">
        <f t="shared" si="15"/>
        <v/>
      </c>
      <c r="J242" s="33">
        <f t="shared" si="18"/>
        <v>-8</v>
      </c>
      <c r="K242" s="33">
        <f t="shared" si="16"/>
        <v>-80</v>
      </c>
      <c r="L242" s="33"/>
      <c r="M242" s="35">
        <f t="shared" si="17"/>
        <v>0</v>
      </c>
      <c r="N242" s="191" t="s">
        <v>42</v>
      </c>
      <c r="O242" s="191" t="s">
        <v>42</v>
      </c>
      <c r="P242" s="192" t="s">
        <v>42</v>
      </c>
      <c r="Q242" s="193" t="s">
        <v>42</v>
      </c>
      <c r="R242" s="193" t="s">
        <v>42</v>
      </c>
    </row>
    <row r="243" spans="1:18" x14ac:dyDescent="0.25">
      <c r="A243" s="54"/>
      <c r="G243" s="11"/>
      <c r="H243" s="33">
        <v>238</v>
      </c>
      <c r="I243" s="34" t="str">
        <f t="shared" si="15"/>
        <v/>
      </c>
      <c r="J243" s="33">
        <f t="shared" si="18"/>
        <v>-8</v>
      </c>
      <c r="K243" s="33">
        <f t="shared" si="16"/>
        <v>-80</v>
      </c>
      <c r="L243" s="33"/>
      <c r="M243" s="35">
        <f t="shared" si="17"/>
        <v>0</v>
      </c>
      <c r="N243" s="191" t="s">
        <v>42</v>
      </c>
      <c r="O243" s="191" t="s">
        <v>42</v>
      </c>
      <c r="P243" s="192" t="s">
        <v>42</v>
      </c>
      <c r="Q243" s="193" t="s">
        <v>42</v>
      </c>
      <c r="R243" s="193" t="s">
        <v>42</v>
      </c>
    </row>
    <row r="244" spans="1:18" x14ac:dyDescent="0.25">
      <c r="A244" s="54"/>
      <c r="G244" s="11"/>
      <c r="H244" s="33">
        <v>239</v>
      </c>
      <c r="I244" s="34" t="str">
        <f t="shared" si="15"/>
        <v/>
      </c>
      <c r="J244" s="33">
        <f t="shared" si="18"/>
        <v>-8</v>
      </c>
      <c r="K244" s="33">
        <f t="shared" si="16"/>
        <v>-80</v>
      </c>
      <c r="L244" s="33"/>
      <c r="M244" s="35">
        <f t="shared" si="17"/>
        <v>0</v>
      </c>
      <c r="N244" s="191" t="s">
        <v>42</v>
      </c>
      <c r="O244" s="191" t="s">
        <v>42</v>
      </c>
      <c r="P244" s="192" t="s">
        <v>42</v>
      </c>
      <c r="Q244" s="193" t="s">
        <v>42</v>
      </c>
      <c r="R244" s="193" t="s">
        <v>42</v>
      </c>
    </row>
    <row r="245" spans="1:18" x14ac:dyDescent="0.25">
      <c r="A245" s="54"/>
      <c r="G245" s="11"/>
      <c r="H245" s="33">
        <v>240</v>
      </c>
      <c r="I245" s="34" t="str">
        <f t="shared" si="15"/>
        <v/>
      </c>
      <c r="J245" s="33">
        <f t="shared" si="18"/>
        <v>-8</v>
      </c>
      <c r="K245" s="33">
        <f t="shared" si="16"/>
        <v>-80</v>
      </c>
      <c r="L245" s="33"/>
      <c r="M245" s="35">
        <f t="shared" si="17"/>
        <v>0</v>
      </c>
      <c r="N245" s="191" t="s">
        <v>42</v>
      </c>
      <c r="O245" s="191" t="s">
        <v>42</v>
      </c>
      <c r="P245" s="192" t="s">
        <v>42</v>
      </c>
      <c r="Q245" s="193" t="s">
        <v>42</v>
      </c>
      <c r="R245" s="193" t="s">
        <v>42</v>
      </c>
    </row>
    <row r="246" spans="1:18" x14ac:dyDescent="0.25">
      <c r="A246" s="54"/>
      <c r="G246" s="11"/>
      <c r="H246" s="33">
        <v>241</v>
      </c>
      <c r="I246" s="34" t="str">
        <f t="shared" si="15"/>
        <v/>
      </c>
      <c r="J246" s="33">
        <f t="shared" si="18"/>
        <v>-8</v>
      </c>
      <c r="K246" s="33">
        <f t="shared" si="16"/>
        <v>-80</v>
      </c>
      <c r="L246" s="33"/>
      <c r="M246" s="35">
        <f t="shared" si="17"/>
        <v>0</v>
      </c>
      <c r="N246" s="191" t="s">
        <v>42</v>
      </c>
      <c r="O246" s="191" t="s">
        <v>42</v>
      </c>
      <c r="P246" s="192" t="s">
        <v>42</v>
      </c>
      <c r="Q246" s="193" t="s">
        <v>42</v>
      </c>
      <c r="R246" s="193" t="s">
        <v>42</v>
      </c>
    </row>
    <row r="247" spans="1:18" x14ac:dyDescent="0.25">
      <c r="A247" s="54"/>
      <c r="G247" s="11"/>
      <c r="H247" s="33">
        <v>242</v>
      </c>
      <c r="I247" s="34" t="str">
        <f t="shared" si="15"/>
        <v/>
      </c>
      <c r="J247" s="33">
        <f t="shared" si="18"/>
        <v>-8</v>
      </c>
      <c r="K247" s="33">
        <f t="shared" si="16"/>
        <v>-80</v>
      </c>
      <c r="L247" s="33"/>
      <c r="M247" s="35">
        <f t="shared" si="17"/>
        <v>0</v>
      </c>
      <c r="N247" s="191" t="s">
        <v>42</v>
      </c>
      <c r="O247" s="191" t="s">
        <v>42</v>
      </c>
      <c r="P247" s="192" t="s">
        <v>42</v>
      </c>
      <c r="Q247" s="193" t="s">
        <v>42</v>
      </c>
      <c r="R247" s="193" t="s">
        <v>42</v>
      </c>
    </row>
    <row r="248" spans="1:18" x14ac:dyDescent="0.25">
      <c r="A248" s="54"/>
      <c r="G248" s="11"/>
      <c r="H248" s="33">
        <v>243</v>
      </c>
      <c r="I248" s="34" t="str">
        <f t="shared" si="15"/>
        <v/>
      </c>
      <c r="J248" s="33">
        <f t="shared" si="18"/>
        <v>-8</v>
      </c>
      <c r="K248" s="33">
        <f t="shared" si="16"/>
        <v>-80</v>
      </c>
      <c r="L248" s="33"/>
      <c r="M248" s="35">
        <f t="shared" si="17"/>
        <v>0</v>
      </c>
      <c r="N248" s="191" t="s">
        <v>42</v>
      </c>
      <c r="O248" s="191" t="s">
        <v>42</v>
      </c>
      <c r="P248" s="192" t="s">
        <v>42</v>
      </c>
      <c r="Q248" s="193" t="s">
        <v>42</v>
      </c>
      <c r="R248" s="193" t="s">
        <v>42</v>
      </c>
    </row>
    <row r="249" spans="1:18" x14ac:dyDescent="0.25">
      <c r="A249" s="54"/>
      <c r="G249" s="11"/>
      <c r="H249" s="33">
        <v>244</v>
      </c>
      <c r="I249" s="34" t="str">
        <f t="shared" si="15"/>
        <v/>
      </c>
      <c r="J249" s="33">
        <f t="shared" si="18"/>
        <v>-8</v>
      </c>
      <c r="K249" s="33">
        <f t="shared" si="16"/>
        <v>-80</v>
      </c>
      <c r="L249" s="33"/>
      <c r="M249" s="35">
        <f t="shared" si="17"/>
        <v>0</v>
      </c>
      <c r="N249" s="191" t="s">
        <v>42</v>
      </c>
      <c r="O249" s="191" t="s">
        <v>42</v>
      </c>
      <c r="P249" s="192" t="s">
        <v>42</v>
      </c>
      <c r="Q249" s="193" t="s">
        <v>42</v>
      </c>
      <c r="R249" s="193" t="s">
        <v>42</v>
      </c>
    </row>
    <row r="250" spans="1:18" x14ac:dyDescent="0.25">
      <c r="A250" s="54"/>
      <c r="G250" s="11"/>
      <c r="H250" s="33">
        <v>245</v>
      </c>
      <c r="I250" s="34" t="str">
        <f t="shared" si="15"/>
        <v/>
      </c>
      <c r="J250" s="33">
        <f t="shared" si="18"/>
        <v>-8</v>
      </c>
      <c r="K250" s="33">
        <f t="shared" si="16"/>
        <v>-80</v>
      </c>
      <c r="L250" s="33"/>
      <c r="M250" s="35">
        <f t="shared" si="17"/>
        <v>0</v>
      </c>
      <c r="N250" s="191" t="s">
        <v>42</v>
      </c>
      <c r="O250" s="191" t="s">
        <v>42</v>
      </c>
      <c r="P250" s="192" t="s">
        <v>42</v>
      </c>
      <c r="Q250" s="193" t="s">
        <v>42</v>
      </c>
      <c r="R250" s="193" t="s">
        <v>42</v>
      </c>
    </row>
    <row r="251" spans="1:18" x14ac:dyDescent="0.25">
      <c r="A251" s="54"/>
      <c r="G251" s="11"/>
      <c r="H251" s="33">
        <v>246</v>
      </c>
      <c r="I251" s="34" t="str">
        <f t="shared" si="15"/>
        <v/>
      </c>
      <c r="J251" s="33">
        <f t="shared" si="18"/>
        <v>-8</v>
      </c>
      <c r="K251" s="33">
        <f t="shared" si="16"/>
        <v>-80</v>
      </c>
      <c r="L251" s="33"/>
      <c r="M251" s="35">
        <f t="shared" si="17"/>
        <v>0</v>
      </c>
      <c r="N251" s="191" t="s">
        <v>42</v>
      </c>
      <c r="O251" s="191" t="s">
        <v>42</v>
      </c>
      <c r="P251" s="192" t="s">
        <v>42</v>
      </c>
      <c r="Q251" s="193" t="s">
        <v>42</v>
      </c>
      <c r="R251" s="193" t="s">
        <v>42</v>
      </c>
    </row>
    <row r="252" spans="1:18" x14ac:dyDescent="0.25">
      <c r="A252" s="54"/>
      <c r="G252" s="11"/>
      <c r="H252" s="33">
        <v>247</v>
      </c>
      <c r="I252" s="34" t="str">
        <f t="shared" si="15"/>
        <v/>
      </c>
      <c r="J252" s="33">
        <f t="shared" si="18"/>
        <v>-8</v>
      </c>
      <c r="K252" s="33">
        <f t="shared" si="16"/>
        <v>-80</v>
      </c>
      <c r="L252" s="33"/>
      <c r="M252" s="35">
        <f t="shared" si="17"/>
        <v>0</v>
      </c>
      <c r="N252" s="191" t="s">
        <v>42</v>
      </c>
      <c r="O252" s="191" t="s">
        <v>42</v>
      </c>
      <c r="P252" s="192" t="s">
        <v>42</v>
      </c>
      <c r="Q252" s="193" t="s">
        <v>42</v>
      </c>
      <c r="R252" s="193" t="s">
        <v>42</v>
      </c>
    </row>
    <row r="253" spans="1:18" x14ac:dyDescent="0.25">
      <c r="A253" s="54"/>
      <c r="G253" s="11"/>
      <c r="H253" s="33">
        <v>248</v>
      </c>
      <c r="I253" s="34" t="str">
        <f t="shared" si="15"/>
        <v/>
      </c>
      <c r="J253" s="33">
        <f t="shared" si="18"/>
        <v>-8</v>
      </c>
      <c r="K253" s="33">
        <f t="shared" si="16"/>
        <v>-80</v>
      </c>
      <c r="L253" s="33"/>
      <c r="M253" s="35">
        <f t="shared" si="17"/>
        <v>0</v>
      </c>
      <c r="N253" s="191" t="s">
        <v>42</v>
      </c>
      <c r="O253" s="191" t="s">
        <v>42</v>
      </c>
      <c r="P253" s="192" t="s">
        <v>42</v>
      </c>
      <c r="Q253" s="193" t="s">
        <v>42</v>
      </c>
      <c r="R253" s="193" t="s">
        <v>42</v>
      </c>
    </row>
    <row r="254" spans="1:18" x14ac:dyDescent="0.25">
      <c r="A254" s="54"/>
      <c r="G254" s="11"/>
      <c r="H254" s="33">
        <v>249</v>
      </c>
      <c r="I254" s="34" t="str">
        <f t="shared" si="15"/>
        <v/>
      </c>
      <c r="J254" s="33">
        <f t="shared" si="18"/>
        <v>-8</v>
      </c>
      <c r="K254" s="33">
        <f t="shared" si="16"/>
        <v>-80</v>
      </c>
      <c r="L254" s="33"/>
      <c r="M254" s="35">
        <f t="shared" si="17"/>
        <v>0</v>
      </c>
      <c r="N254" s="191" t="s">
        <v>42</v>
      </c>
      <c r="O254" s="191" t="s">
        <v>42</v>
      </c>
      <c r="P254" s="192" t="s">
        <v>42</v>
      </c>
      <c r="Q254" s="193" t="s">
        <v>42</v>
      </c>
      <c r="R254" s="193" t="s">
        <v>42</v>
      </c>
    </row>
    <row r="255" spans="1:18" x14ac:dyDescent="0.25">
      <c r="A255" s="54"/>
      <c r="G255" s="11"/>
      <c r="H255" s="33">
        <v>250</v>
      </c>
      <c r="I255" s="34" t="str">
        <f t="shared" si="15"/>
        <v/>
      </c>
      <c r="J255" s="33">
        <f t="shared" si="18"/>
        <v>-8</v>
      </c>
      <c r="K255" s="33">
        <f t="shared" si="16"/>
        <v>-80</v>
      </c>
      <c r="L255" s="33"/>
      <c r="M255" s="35">
        <f t="shared" si="17"/>
        <v>0</v>
      </c>
      <c r="N255" s="191" t="s">
        <v>42</v>
      </c>
      <c r="O255" s="191" t="s">
        <v>42</v>
      </c>
      <c r="P255" s="192" t="s">
        <v>42</v>
      </c>
      <c r="Q255" s="193" t="s">
        <v>42</v>
      </c>
      <c r="R255" s="193" t="s">
        <v>42</v>
      </c>
    </row>
    <row r="256" spans="1:18" x14ac:dyDescent="0.25">
      <c r="A256" s="54"/>
      <c r="G256" s="11"/>
      <c r="H256" s="33">
        <v>251</v>
      </c>
      <c r="I256" s="34" t="str">
        <f t="shared" si="15"/>
        <v/>
      </c>
      <c r="J256" s="33">
        <f t="shared" si="18"/>
        <v>-8</v>
      </c>
      <c r="K256" s="33">
        <f t="shared" si="16"/>
        <v>-80</v>
      </c>
      <c r="L256" s="33"/>
      <c r="M256" s="35">
        <f t="shared" si="17"/>
        <v>0</v>
      </c>
      <c r="N256" s="191" t="s">
        <v>42</v>
      </c>
      <c r="O256" s="191" t="s">
        <v>42</v>
      </c>
      <c r="P256" s="192" t="s">
        <v>42</v>
      </c>
      <c r="Q256" s="193" t="s">
        <v>42</v>
      </c>
      <c r="R256" s="193" t="s">
        <v>42</v>
      </c>
    </row>
    <row r="257" spans="1:18" x14ac:dyDescent="0.25">
      <c r="A257" s="54"/>
      <c r="G257" s="11"/>
      <c r="H257" s="33">
        <v>252</v>
      </c>
      <c r="I257" s="34" t="str">
        <f t="shared" si="15"/>
        <v/>
      </c>
      <c r="J257" s="33">
        <f t="shared" si="18"/>
        <v>-8</v>
      </c>
      <c r="K257" s="33">
        <f t="shared" si="16"/>
        <v>-80</v>
      </c>
      <c r="L257" s="33"/>
      <c r="M257" s="35">
        <f t="shared" si="17"/>
        <v>0</v>
      </c>
      <c r="N257" s="191" t="s">
        <v>42</v>
      </c>
      <c r="O257" s="191" t="s">
        <v>42</v>
      </c>
      <c r="P257" s="192" t="s">
        <v>42</v>
      </c>
      <c r="Q257" s="193" t="s">
        <v>42</v>
      </c>
      <c r="R257" s="193" t="s">
        <v>42</v>
      </c>
    </row>
    <row r="258" spans="1:18" x14ac:dyDescent="0.25">
      <c r="A258" s="54"/>
      <c r="G258" s="11"/>
      <c r="H258" s="33">
        <v>253</v>
      </c>
      <c r="I258" s="34" t="str">
        <f t="shared" si="15"/>
        <v/>
      </c>
      <c r="J258" s="33">
        <f t="shared" si="18"/>
        <v>-8</v>
      </c>
      <c r="K258" s="33">
        <f t="shared" si="16"/>
        <v>-80</v>
      </c>
      <c r="L258" s="33"/>
      <c r="M258" s="35">
        <f t="shared" si="17"/>
        <v>0</v>
      </c>
      <c r="N258" s="191" t="s">
        <v>42</v>
      </c>
      <c r="O258" s="191" t="s">
        <v>42</v>
      </c>
      <c r="P258" s="192" t="s">
        <v>42</v>
      </c>
      <c r="Q258" s="193" t="s">
        <v>42</v>
      </c>
      <c r="R258" s="193" t="s">
        <v>42</v>
      </c>
    </row>
    <row r="259" spans="1:18" x14ac:dyDescent="0.25">
      <c r="A259" s="54"/>
      <c r="G259" s="11"/>
      <c r="H259" s="33">
        <v>254</v>
      </c>
      <c r="I259" s="34" t="str">
        <f t="shared" si="15"/>
        <v/>
      </c>
      <c r="J259" s="33">
        <f t="shared" si="18"/>
        <v>-8</v>
      </c>
      <c r="K259" s="33">
        <f t="shared" si="16"/>
        <v>-80</v>
      </c>
      <c r="L259" s="33"/>
      <c r="M259" s="35">
        <f t="shared" si="17"/>
        <v>0</v>
      </c>
      <c r="N259" s="191" t="s">
        <v>42</v>
      </c>
      <c r="O259" s="191" t="s">
        <v>42</v>
      </c>
      <c r="P259" s="192" t="s">
        <v>42</v>
      </c>
      <c r="Q259" s="193" t="s">
        <v>42</v>
      </c>
      <c r="R259" s="193" t="s">
        <v>42</v>
      </c>
    </row>
    <row r="260" spans="1:18" x14ac:dyDescent="0.25">
      <c r="A260" s="54"/>
      <c r="G260" s="11"/>
      <c r="H260" s="33">
        <v>255</v>
      </c>
      <c r="I260" s="34" t="str">
        <f t="shared" si="15"/>
        <v/>
      </c>
      <c r="J260" s="33">
        <f t="shared" si="18"/>
        <v>-8</v>
      </c>
      <c r="K260" s="33">
        <f t="shared" si="16"/>
        <v>-80</v>
      </c>
      <c r="L260" s="33"/>
      <c r="M260" s="35">
        <f t="shared" si="17"/>
        <v>0</v>
      </c>
      <c r="N260" s="191" t="s">
        <v>42</v>
      </c>
      <c r="O260" s="191" t="s">
        <v>42</v>
      </c>
      <c r="P260" s="192" t="s">
        <v>42</v>
      </c>
      <c r="Q260" s="193" t="s">
        <v>42</v>
      </c>
      <c r="R260" s="193" t="s">
        <v>42</v>
      </c>
    </row>
    <row r="261" spans="1:18" x14ac:dyDescent="0.25">
      <c r="A261" s="54"/>
      <c r="G261" s="11"/>
      <c r="H261" s="33">
        <v>256</v>
      </c>
      <c r="I261" s="34" t="str">
        <f t="shared" si="15"/>
        <v/>
      </c>
      <c r="J261" s="33">
        <f t="shared" si="18"/>
        <v>-8</v>
      </c>
      <c r="K261" s="33">
        <f t="shared" si="16"/>
        <v>-80</v>
      </c>
      <c r="L261" s="33"/>
      <c r="M261" s="35">
        <f t="shared" si="17"/>
        <v>0</v>
      </c>
      <c r="N261" s="191" t="s">
        <v>42</v>
      </c>
      <c r="O261" s="191" t="s">
        <v>42</v>
      </c>
      <c r="P261" s="192" t="s">
        <v>42</v>
      </c>
      <c r="Q261" s="193" t="s">
        <v>42</v>
      </c>
      <c r="R261" s="193" t="s">
        <v>42</v>
      </c>
    </row>
    <row r="262" spans="1:18" x14ac:dyDescent="0.25">
      <c r="A262" s="54"/>
      <c r="G262" s="11"/>
      <c r="H262" s="33">
        <v>257</v>
      </c>
      <c r="I262" s="34" t="str">
        <f t="shared" ref="I262:I305" si="19">IF(H262&lt;$H$2+1,($I$2-($I$2-1)*(LOG(H262)/LOG($H$2))),"")</f>
        <v/>
      </c>
      <c r="J262" s="33">
        <f t="shared" si="18"/>
        <v>-9</v>
      </c>
      <c r="K262" s="33">
        <f t="shared" ref="K262:K305" si="20">J262*$J$2</f>
        <v>-90</v>
      </c>
      <c r="L262" s="33"/>
      <c r="M262" s="35">
        <f t="shared" ref="M262:M305" si="21">IF(I262&lt;&gt;"",K262+I262+L262,0)</f>
        <v>0</v>
      </c>
      <c r="N262" s="191" t="s">
        <v>42</v>
      </c>
      <c r="O262" s="191" t="s">
        <v>42</v>
      </c>
      <c r="P262" s="192" t="s">
        <v>42</v>
      </c>
      <c r="Q262" s="193" t="s">
        <v>42</v>
      </c>
      <c r="R262" s="193" t="s">
        <v>42</v>
      </c>
    </row>
    <row r="263" spans="1:18" x14ac:dyDescent="0.25">
      <c r="A263" s="54"/>
      <c r="G263" s="11"/>
      <c r="H263" s="33">
        <v>258</v>
      </c>
      <c r="I263" s="34" t="str">
        <f t="shared" si="19"/>
        <v/>
      </c>
      <c r="J263" s="33">
        <f t="shared" ref="J263:J305" si="22">INT(LOG($H$2,2))-ROUNDUP(LOG(H263,2),0)+IF(OR($H$2=1,$H$2=2,$H$2=4,$H$2=8,$H$2=16,$H$2=32,$H$2=64,$H$2=128,$H$2=256),0,1)</f>
        <v>-9</v>
      </c>
      <c r="K263" s="33">
        <f t="shared" si="20"/>
        <v>-90</v>
      </c>
      <c r="L263" s="33"/>
      <c r="M263" s="35">
        <f t="shared" si="21"/>
        <v>0</v>
      </c>
      <c r="N263" s="191" t="s">
        <v>42</v>
      </c>
      <c r="O263" s="191" t="s">
        <v>42</v>
      </c>
      <c r="P263" s="192" t="s">
        <v>42</v>
      </c>
      <c r="Q263" s="193" t="s">
        <v>42</v>
      </c>
      <c r="R263" s="193" t="s">
        <v>42</v>
      </c>
    </row>
    <row r="264" spans="1:18" x14ac:dyDescent="0.25">
      <c r="A264" s="54"/>
      <c r="G264" s="11"/>
      <c r="H264" s="33">
        <v>259</v>
      </c>
      <c r="I264" s="34" t="str">
        <f t="shared" si="19"/>
        <v/>
      </c>
      <c r="J264" s="33">
        <f t="shared" si="22"/>
        <v>-9</v>
      </c>
      <c r="K264" s="33">
        <f t="shared" si="20"/>
        <v>-90</v>
      </c>
      <c r="L264" s="33"/>
      <c r="M264" s="35">
        <f t="shared" si="21"/>
        <v>0</v>
      </c>
      <c r="N264" s="191" t="s">
        <v>42</v>
      </c>
      <c r="O264" s="191" t="s">
        <v>42</v>
      </c>
      <c r="P264" s="192" t="s">
        <v>42</v>
      </c>
      <c r="Q264" s="193" t="s">
        <v>42</v>
      </c>
      <c r="R264" s="193" t="s">
        <v>42</v>
      </c>
    </row>
    <row r="265" spans="1:18" x14ac:dyDescent="0.25">
      <c r="A265" s="54"/>
      <c r="G265" s="11"/>
      <c r="H265" s="33">
        <v>260</v>
      </c>
      <c r="I265" s="34" t="str">
        <f t="shared" si="19"/>
        <v/>
      </c>
      <c r="J265" s="33">
        <f t="shared" si="22"/>
        <v>-9</v>
      </c>
      <c r="K265" s="33">
        <f t="shared" si="20"/>
        <v>-90</v>
      </c>
      <c r="L265" s="33"/>
      <c r="M265" s="35">
        <f t="shared" si="21"/>
        <v>0</v>
      </c>
      <c r="N265" s="191" t="s">
        <v>42</v>
      </c>
      <c r="O265" s="191" t="s">
        <v>42</v>
      </c>
      <c r="P265" s="192" t="s">
        <v>42</v>
      </c>
      <c r="Q265" s="193" t="s">
        <v>42</v>
      </c>
      <c r="R265" s="193" t="s">
        <v>42</v>
      </c>
    </row>
    <row r="266" spans="1:18" x14ac:dyDescent="0.25">
      <c r="A266" s="54"/>
      <c r="G266" s="11"/>
      <c r="H266" s="33">
        <v>261</v>
      </c>
      <c r="I266" s="34" t="str">
        <f t="shared" si="19"/>
        <v/>
      </c>
      <c r="J266" s="33">
        <f t="shared" si="22"/>
        <v>-9</v>
      </c>
      <c r="K266" s="33">
        <f t="shared" si="20"/>
        <v>-90</v>
      </c>
      <c r="L266" s="33"/>
      <c r="M266" s="35">
        <f t="shared" si="21"/>
        <v>0</v>
      </c>
      <c r="N266" s="191" t="s">
        <v>42</v>
      </c>
      <c r="O266" s="191" t="s">
        <v>42</v>
      </c>
      <c r="P266" s="192" t="s">
        <v>42</v>
      </c>
      <c r="Q266" s="193" t="s">
        <v>42</v>
      </c>
      <c r="R266" s="193" t="s">
        <v>42</v>
      </c>
    </row>
    <row r="267" spans="1:18" x14ac:dyDescent="0.25">
      <c r="A267" s="54"/>
      <c r="G267" s="11"/>
      <c r="H267" s="33">
        <v>262</v>
      </c>
      <c r="I267" s="34" t="str">
        <f t="shared" si="19"/>
        <v/>
      </c>
      <c r="J267" s="33">
        <f t="shared" si="22"/>
        <v>-9</v>
      </c>
      <c r="K267" s="33">
        <f t="shared" si="20"/>
        <v>-90</v>
      </c>
      <c r="L267" s="33"/>
      <c r="M267" s="35">
        <f t="shared" si="21"/>
        <v>0</v>
      </c>
      <c r="N267" s="191" t="s">
        <v>42</v>
      </c>
      <c r="O267" s="191" t="s">
        <v>42</v>
      </c>
      <c r="P267" s="192" t="s">
        <v>42</v>
      </c>
      <c r="Q267" s="193" t="s">
        <v>42</v>
      </c>
      <c r="R267" s="193" t="s">
        <v>42</v>
      </c>
    </row>
    <row r="268" spans="1:18" x14ac:dyDescent="0.25">
      <c r="A268" s="54"/>
      <c r="G268" s="11"/>
      <c r="H268" s="33">
        <v>263</v>
      </c>
      <c r="I268" s="34" t="str">
        <f t="shared" si="19"/>
        <v/>
      </c>
      <c r="J268" s="33">
        <f t="shared" si="22"/>
        <v>-9</v>
      </c>
      <c r="K268" s="33">
        <f t="shared" si="20"/>
        <v>-90</v>
      </c>
      <c r="L268" s="33"/>
      <c r="M268" s="35">
        <f t="shared" si="21"/>
        <v>0</v>
      </c>
      <c r="N268" s="191" t="s">
        <v>42</v>
      </c>
      <c r="O268" s="191" t="s">
        <v>42</v>
      </c>
      <c r="P268" s="192" t="s">
        <v>42</v>
      </c>
      <c r="Q268" s="193" t="s">
        <v>42</v>
      </c>
      <c r="R268" s="193" t="s">
        <v>42</v>
      </c>
    </row>
    <row r="269" spans="1:18" x14ac:dyDescent="0.25">
      <c r="A269" s="54"/>
      <c r="G269" s="11"/>
      <c r="H269" s="33">
        <v>264</v>
      </c>
      <c r="I269" s="34" t="str">
        <f t="shared" si="19"/>
        <v/>
      </c>
      <c r="J269" s="33">
        <f t="shared" si="22"/>
        <v>-9</v>
      </c>
      <c r="K269" s="33">
        <f t="shared" si="20"/>
        <v>-90</v>
      </c>
      <c r="L269" s="33"/>
      <c r="M269" s="35">
        <f t="shared" si="21"/>
        <v>0</v>
      </c>
      <c r="N269" s="191" t="s">
        <v>42</v>
      </c>
      <c r="O269" s="191" t="s">
        <v>42</v>
      </c>
      <c r="P269" s="192" t="s">
        <v>42</v>
      </c>
      <c r="Q269" s="193" t="s">
        <v>42</v>
      </c>
      <c r="R269" s="193" t="s">
        <v>42</v>
      </c>
    </row>
    <row r="270" spans="1:18" x14ac:dyDescent="0.25">
      <c r="A270" s="54"/>
      <c r="G270" s="11"/>
      <c r="H270" s="33">
        <v>265</v>
      </c>
      <c r="I270" s="34" t="str">
        <f t="shared" si="19"/>
        <v/>
      </c>
      <c r="J270" s="33">
        <f t="shared" si="22"/>
        <v>-9</v>
      </c>
      <c r="K270" s="33">
        <f t="shared" si="20"/>
        <v>-90</v>
      </c>
      <c r="L270" s="33"/>
      <c r="M270" s="35">
        <f t="shared" si="21"/>
        <v>0</v>
      </c>
      <c r="N270" s="191" t="s">
        <v>42</v>
      </c>
      <c r="O270" s="191" t="s">
        <v>42</v>
      </c>
      <c r="P270" s="192" t="s">
        <v>42</v>
      </c>
      <c r="Q270" s="193" t="s">
        <v>42</v>
      </c>
      <c r="R270" s="193" t="s">
        <v>42</v>
      </c>
    </row>
    <row r="271" spans="1:18" x14ac:dyDescent="0.25">
      <c r="A271" s="54"/>
      <c r="G271" s="11"/>
      <c r="H271" s="33">
        <v>266</v>
      </c>
      <c r="I271" s="34" t="str">
        <f t="shared" si="19"/>
        <v/>
      </c>
      <c r="J271" s="33">
        <f t="shared" si="22"/>
        <v>-9</v>
      </c>
      <c r="K271" s="33">
        <f t="shared" si="20"/>
        <v>-90</v>
      </c>
      <c r="L271" s="33"/>
      <c r="M271" s="35">
        <f t="shared" si="21"/>
        <v>0</v>
      </c>
      <c r="N271" s="191" t="s">
        <v>42</v>
      </c>
      <c r="O271" s="191" t="s">
        <v>42</v>
      </c>
      <c r="P271" s="192" t="s">
        <v>42</v>
      </c>
      <c r="Q271" s="193" t="s">
        <v>42</v>
      </c>
      <c r="R271" s="193" t="s">
        <v>42</v>
      </c>
    </row>
    <row r="272" spans="1:18" x14ac:dyDescent="0.25">
      <c r="A272" s="54"/>
      <c r="G272" s="11"/>
      <c r="H272" s="33">
        <v>267</v>
      </c>
      <c r="I272" s="34" t="str">
        <f t="shared" si="19"/>
        <v/>
      </c>
      <c r="J272" s="33">
        <f t="shared" si="22"/>
        <v>-9</v>
      </c>
      <c r="K272" s="33">
        <f t="shared" si="20"/>
        <v>-90</v>
      </c>
      <c r="L272" s="33"/>
      <c r="M272" s="35">
        <f t="shared" si="21"/>
        <v>0</v>
      </c>
      <c r="N272" s="191" t="s">
        <v>42</v>
      </c>
      <c r="O272" s="191" t="s">
        <v>42</v>
      </c>
      <c r="P272" s="192" t="s">
        <v>42</v>
      </c>
      <c r="Q272" s="193" t="s">
        <v>42</v>
      </c>
      <c r="R272" s="193" t="s">
        <v>42</v>
      </c>
    </row>
    <row r="273" spans="1:18" x14ac:dyDescent="0.25">
      <c r="A273" s="54"/>
      <c r="G273" s="11"/>
      <c r="H273" s="33">
        <v>268</v>
      </c>
      <c r="I273" s="34" t="str">
        <f t="shared" si="19"/>
        <v/>
      </c>
      <c r="J273" s="33">
        <f t="shared" si="22"/>
        <v>-9</v>
      </c>
      <c r="K273" s="33">
        <f t="shared" si="20"/>
        <v>-90</v>
      </c>
      <c r="L273" s="33"/>
      <c r="M273" s="35">
        <f t="shared" si="21"/>
        <v>0</v>
      </c>
      <c r="N273" s="191" t="s">
        <v>42</v>
      </c>
      <c r="O273" s="191" t="s">
        <v>42</v>
      </c>
      <c r="P273" s="192" t="s">
        <v>42</v>
      </c>
      <c r="Q273" s="193" t="s">
        <v>42</v>
      </c>
      <c r="R273" s="193" t="s">
        <v>42</v>
      </c>
    </row>
    <row r="274" spans="1:18" x14ac:dyDescent="0.25">
      <c r="A274" s="54"/>
      <c r="G274" s="11"/>
      <c r="H274" s="33">
        <v>269</v>
      </c>
      <c r="I274" s="34" t="str">
        <f t="shared" si="19"/>
        <v/>
      </c>
      <c r="J274" s="33">
        <f t="shared" si="22"/>
        <v>-9</v>
      </c>
      <c r="K274" s="33">
        <f t="shared" si="20"/>
        <v>-90</v>
      </c>
      <c r="L274" s="33"/>
      <c r="M274" s="35">
        <f t="shared" si="21"/>
        <v>0</v>
      </c>
      <c r="N274" s="191" t="s">
        <v>42</v>
      </c>
      <c r="O274" s="191" t="s">
        <v>42</v>
      </c>
      <c r="P274" s="192" t="s">
        <v>42</v>
      </c>
      <c r="Q274" s="193" t="s">
        <v>42</v>
      </c>
      <c r="R274" s="193" t="s">
        <v>42</v>
      </c>
    </row>
    <row r="275" spans="1:18" x14ac:dyDescent="0.25">
      <c r="A275" s="54"/>
      <c r="G275" s="11"/>
      <c r="H275" s="33">
        <v>270</v>
      </c>
      <c r="I275" s="34" t="str">
        <f t="shared" si="19"/>
        <v/>
      </c>
      <c r="J275" s="33">
        <f t="shared" si="22"/>
        <v>-9</v>
      </c>
      <c r="K275" s="33">
        <f t="shared" si="20"/>
        <v>-90</v>
      </c>
      <c r="L275" s="33"/>
      <c r="M275" s="35">
        <f t="shared" si="21"/>
        <v>0</v>
      </c>
      <c r="N275" s="191" t="s">
        <v>42</v>
      </c>
      <c r="O275" s="191" t="s">
        <v>42</v>
      </c>
      <c r="P275" s="192" t="s">
        <v>42</v>
      </c>
      <c r="Q275" s="193" t="s">
        <v>42</v>
      </c>
      <c r="R275" s="193" t="s">
        <v>42</v>
      </c>
    </row>
    <row r="276" spans="1:18" x14ac:dyDescent="0.25">
      <c r="A276" s="54"/>
      <c r="G276" s="11"/>
      <c r="H276" s="33">
        <v>271</v>
      </c>
      <c r="I276" s="34" t="str">
        <f t="shared" si="19"/>
        <v/>
      </c>
      <c r="J276" s="33">
        <f t="shared" si="22"/>
        <v>-9</v>
      </c>
      <c r="K276" s="33">
        <f t="shared" si="20"/>
        <v>-90</v>
      </c>
      <c r="L276" s="33"/>
      <c r="M276" s="35">
        <f t="shared" si="21"/>
        <v>0</v>
      </c>
      <c r="N276" s="191" t="s">
        <v>42</v>
      </c>
      <c r="O276" s="191" t="s">
        <v>42</v>
      </c>
      <c r="P276" s="192" t="s">
        <v>42</v>
      </c>
      <c r="Q276" s="193" t="s">
        <v>42</v>
      </c>
      <c r="R276" s="193" t="s">
        <v>42</v>
      </c>
    </row>
    <row r="277" spans="1:18" x14ac:dyDescent="0.25">
      <c r="A277" s="54"/>
      <c r="G277" s="11"/>
      <c r="H277" s="33">
        <v>272</v>
      </c>
      <c r="I277" s="34" t="str">
        <f t="shared" si="19"/>
        <v/>
      </c>
      <c r="J277" s="33">
        <f t="shared" si="22"/>
        <v>-9</v>
      </c>
      <c r="K277" s="33">
        <f t="shared" si="20"/>
        <v>-90</v>
      </c>
      <c r="L277" s="33"/>
      <c r="M277" s="35">
        <f t="shared" si="21"/>
        <v>0</v>
      </c>
      <c r="N277" s="191" t="s">
        <v>42</v>
      </c>
      <c r="O277" s="191" t="s">
        <v>42</v>
      </c>
      <c r="P277" s="192" t="s">
        <v>42</v>
      </c>
      <c r="Q277" s="193" t="s">
        <v>42</v>
      </c>
      <c r="R277" s="193" t="s">
        <v>42</v>
      </c>
    </row>
    <row r="278" spans="1:18" x14ac:dyDescent="0.25">
      <c r="A278" s="54"/>
      <c r="G278" s="11"/>
      <c r="H278" s="33">
        <v>273</v>
      </c>
      <c r="I278" s="34" t="str">
        <f t="shared" si="19"/>
        <v/>
      </c>
      <c r="J278" s="33">
        <f t="shared" si="22"/>
        <v>-9</v>
      </c>
      <c r="K278" s="33">
        <f t="shared" si="20"/>
        <v>-90</v>
      </c>
      <c r="L278" s="33"/>
      <c r="M278" s="35">
        <f t="shared" si="21"/>
        <v>0</v>
      </c>
      <c r="N278" s="191" t="s">
        <v>42</v>
      </c>
      <c r="O278" s="191" t="s">
        <v>42</v>
      </c>
      <c r="P278" s="192" t="s">
        <v>42</v>
      </c>
      <c r="Q278" s="193" t="s">
        <v>42</v>
      </c>
      <c r="R278" s="193" t="s">
        <v>42</v>
      </c>
    </row>
    <row r="279" spans="1:18" x14ac:dyDescent="0.25">
      <c r="A279" s="54"/>
      <c r="G279" s="11"/>
      <c r="H279" s="33">
        <v>274</v>
      </c>
      <c r="I279" s="34" t="str">
        <f t="shared" si="19"/>
        <v/>
      </c>
      <c r="J279" s="33">
        <f t="shared" si="22"/>
        <v>-9</v>
      </c>
      <c r="K279" s="33">
        <f t="shared" si="20"/>
        <v>-90</v>
      </c>
      <c r="L279" s="33"/>
      <c r="M279" s="35">
        <f t="shared" si="21"/>
        <v>0</v>
      </c>
      <c r="N279" s="191" t="s">
        <v>42</v>
      </c>
      <c r="O279" s="191" t="s">
        <v>42</v>
      </c>
      <c r="P279" s="192" t="s">
        <v>42</v>
      </c>
      <c r="Q279" s="193" t="s">
        <v>42</v>
      </c>
      <c r="R279" s="193" t="s">
        <v>42</v>
      </c>
    </row>
    <row r="280" spans="1:18" x14ac:dyDescent="0.25">
      <c r="A280" s="54"/>
      <c r="G280" s="11"/>
      <c r="H280" s="33">
        <v>275</v>
      </c>
      <c r="I280" s="34" t="str">
        <f t="shared" si="19"/>
        <v/>
      </c>
      <c r="J280" s="33">
        <f t="shared" si="22"/>
        <v>-9</v>
      </c>
      <c r="K280" s="33">
        <f t="shared" si="20"/>
        <v>-90</v>
      </c>
      <c r="L280" s="33"/>
      <c r="M280" s="35">
        <f t="shared" si="21"/>
        <v>0</v>
      </c>
      <c r="N280" s="191" t="s">
        <v>42</v>
      </c>
      <c r="O280" s="191" t="s">
        <v>42</v>
      </c>
      <c r="P280" s="192" t="s">
        <v>42</v>
      </c>
      <c r="Q280" s="193" t="s">
        <v>42</v>
      </c>
      <c r="R280" s="193" t="s">
        <v>42</v>
      </c>
    </row>
    <row r="281" spans="1:18" x14ac:dyDescent="0.25">
      <c r="A281" s="54"/>
      <c r="G281" s="11"/>
      <c r="H281" s="33">
        <v>276</v>
      </c>
      <c r="I281" s="34" t="str">
        <f t="shared" si="19"/>
        <v/>
      </c>
      <c r="J281" s="33">
        <f t="shared" si="22"/>
        <v>-9</v>
      </c>
      <c r="K281" s="33">
        <f t="shared" si="20"/>
        <v>-90</v>
      </c>
      <c r="L281" s="33"/>
      <c r="M281" s="35">
        <f t="shared" si="21"/>
        <v>0</v>
      </c>
      <c r="N281" s="191" t="s">
        <v>42</v>
      </c>
      <c r="O281" s="191" t="s">
        <v>42</v>
      </c>
      <c r="P281" s="192" t="s">
        <v>42</v>
      </c>
      <c r="Q281" s="193" t="s">
        <v>42</v>
      </c>
      <c r="R281" s="193" t="s">
        <v>42</v>
      </c>
    </row>
    <row r="282" spans="1:18" x14ac:dyDescent="0.25">
      <c r="A282" s="54"/>
      <c r="G282" s="11"/>
      <c r="H282" s="33">
        <v>277</v>
      </c>
      <c r="I282" s="34" t="str">
        <f t="shared" si="19"/>
        <v/>
      </c>
      <c r="J282" s="33">
        <f t="shared" si="22"/>
        <v>-9</v>
      </c>
      <c r="K282" s="33">
        <f t="shared" si="20"/>
        <v>-90</v>
      </c>
      <c r="L282" s="33"/>
      <c r="M282" s="35">
        <f t="shared" si="21"/>
        <v>0</v>
      </c>
      <c r="N282" s="191" t="s">
        <v>42</v>
      </c>
      <c r="O282" s="191" t="s">
        <v>42</v>
      </c>
      <c r="P282" s="192" t="s">
        <v>42</v>
      </c>
      <c r="Q282" s="193" t="s">
        <v>42</v>
      </c>
      <c r="R282" s="193" t="s">
        <v>42</v>
      </c>
    </row>
    <row r="283" spans="1:18" x14ac:dyDescent="0.25">
      <c r="A283" s="54"/>
      <c r="G283" s="11"/>
      <c r="H283" s="33">
        <v>278</v>
      </c>
      <c r="I283" s="34" t="str">
        <f t="shared" si="19"/>
        <v/>
      </c>
      <c r="J283" s="33">
        <f t="shared" si="22"/>
        <v>-9</v>
      </c>
      <c r="K283" s="33">
        <f t="shared" si="20"/>
        <v>-90</v>
      </c>
      <c r="L283" s="33"/>
      <c r="M283" s="35">
        <f t="shared" si="21"/>
        <v>0</v>
      </c>
      <c r="N283" s="191" t="s">
        <v>42</v>
      </c>
      <c r="O283" s="191" t="s">
        <v>42</v>
      </c>
      <c r="P283" s="192" t="s">
        <v>42</v>
      </c>
      <c r="Q283" s="193" t="s">
        <v>42</v>
      </c>
      <c r="R283" s="193" t="s">
        <v>42</v>
      </c>
    </row>
    <row r="284" spans="1:18" x14ac:dyDescent="0.25">
      <c r="A284" s="54"/>
      <c r="G284" s="11"/>
      <c r="H284" s="33">
        <v>279</v>
      </c>
      <c r="I284" s="34" t="str">
        <f t="shared" si="19"/>
        <v/>
      </c>
      <c r="J284" s="33">
        <f t="shared" si="22"/>
        <v>-9</v>
      </c>
      <c r="K284" s="33">
        <f t="shared" si="20"/>
        <v>-90</v>
      </c>
      <c r="L284" s="33"/>
      <c r="M284" s="35">
        <f t="shared" si="21"/>
        <v>0</v>
      </c>
      <c r="N284" s="191" t="s">
        <v>42</v>
      </c>
      <c r="O284" s="191" t="s">
        <v>42</v>
      </c>
      <c r="P284" s="192" t="s">
        <v>42</v>
      </c>
      <c r="Q284" s="193" t="s">
        <v>42</v>
      </c>
      <c r="R284" s="193" t="s">
        <v>42</v>
      </c>
    </row>
    <row r="285" spans="1:18" x14ac:dyDescent="0.25">
      <c r="A285" s="54"/>
      <c r="G285" s="11"/>
      <c r="H285" s="33">
        <v>280</v>
      </c>
      <c r="I285" s="34" t="str">
        <f t="shared" si="19"/>
        <v/>
      </c>
      <c r="J285" s="33">
        <f t="shared" si="22"/>
        <v>-9</v>
      </c>
      <c r="K285" s="33">
        <f t="shared" si="20"/>
        <v>-90</v>
      </c>
      <c r="L285" s="33"/>
      <c r="M285" s="35">
        <f t="shared" si="21"/>
        <v>0</v>
      </c>
      <c r="N285" s="191" t="s">
        <v>42</v>
      </c>
      <c r="O285" s="191" t="s">
        <v>42</v>
      </c>
      <c r="P285" s="192" t="s">
        <v>42</v>
      </c>
      <c r="Q285" s="193" t="s">
        <v>42</v>
      </c>
      <c r="R285" s="193" t="s">
        <v>42</v>
      </c>
    </row>
    <row r="286" spans="1:18" x14ac:dyDescent="0.25">
      <c r="A286" s="54"/>
      <c r="G286" s="11"/>
      <c r="H286" s="33">
        <v>281</v>
      </c>
      <c r="I286" s="34" t="str">
        <f t="shared" si="19"/>
        <v/>
      </c>
      <c r="J286" s="33">
        <f t="shared" si="22"/>
        <v>-9</v>
      </c>
      <c r="K286" s="33">
        <f t="shared" si="20"/>
        <v>-90</v>
      </c>
      <c r="L286" s="33"/>
      <c r="M286" s="35">
        <f t="shared" si="21"/>
        <v>0</v>
      </c>
      <c r="N286" s="191" t="s">
        <v>42</v>
      </c>
      <c r="O286" s="191" t="s">
        <v>42</v>
      </c>
      <c r="P286" s="192" t="s">
        <v>42</v>
      </c>
      <c r="Q286" s="193" t="s">
        <v>42</v>
      </c>
      <c r="R286" s="193" t="s">
        <v>42</v>
      </c>
    </row>
    <row r="287" spans="1:18" x14ac:dyDescent="0.25">
      <c r="A287" s="54"/>
      <c r="G287" s="11"/>
      <c r="H287" s="33">
        <v>282</v>
      </c>
      <c r="I287" s="34" t="str">
        <f t="shared" si="19"/>
        <v/>
      </c>
      <c r="J287" s="33">
        <f t="shared" si="22"/>
        <v>-9</v>
      </c>
      <c r="K287" s="33">
        <f t="shared" si="20"/>
        <v>-90</v>
      </c>
      <c r="L287" s="33"/>
      <c r="M287" s="35">
        <f t="shared" si="21"/>
        <v>0</v>
      </c>
      <c r="N287" s="191" t="s">
        <v>42</v>
      </c>
      <c r="O287" s="191" t="s">
        <v>42</v>
      </c>
      <c r="P287" s="192" t="s">
        <v>42</v>
      </c>
      <c r="Q287" s="193" t="s">
        <v>42</v>
      </c>
      <c r="R287" s="193" t="s">
        <v>42</v>
      </c>
    </row>
    <row r="288" spans="1:18" x14ac:dyDescent="0.25">
      <c r="A288" s="54"/>
      <c r="G288" s="11"/>
      <c r="H288" s="33">
        <v>283</v>
      </c>
      <c r="I288" s="34" t="str">
        <f t="shared" si="19"/>
        <v/>
      </c>
      <c r="J288" s="33">
        <f t="shared" si="22"/>
        <v>-9</v>
      </c>
      <c r="K288" s="33">
        <f t="shared" si="20"/>
        <v>-90</v>
      </c>
      <c r="L288" s="33"/>
      <c r="M288" s="35">
        <f t="shared" si="21"/>
        <v>0</v>
      </c>
      <c r="N288" s="191" t="s">
        <v>42</v>
      </c>
      <c r="O288" s="191" t="s">
        <v>42</v>
      </c>
      <c r="P288" s="192" t="s">
        <v>42</v>
      </c>
      <c r="Q288" s="193" t="s">
        <v>42</v>
      </c>
      <c r="R288" s="193" t="s">
        <v>42</v>
      </c>
    </row>
    <row r="289" spans="1:18" x14ac:dyDescent="0.25">
      <c r="A289" s="54"/>
      <c r="G289" s="11"/>
      <c r="H289" s="33">
        <v>284</v>
      </c>
      <c r="I289" s="34" t="str">
        <f t="shared" si="19"/>
        <v/>
      </c>
      <c r="J289" s="33">
        <f t="shared" si="22"/>
        <v>-9</v>
      </c>
      <c r="K289" s="33">
        <f t="shared" si="20"/>
        <v>-90</v>
      </c>
      <c r="L289" s="33"/>
      <c r="M289" s="35">
        <f t="shared" si="21"/>
        <v>0</v>
      </c>
      <c r="N289" s="191" t="s">
        <v>42</v>
      </c>
      <c r="O289" s="191" t="s">
        <v>42</v>
      </c>
      <c r="P289" s="192" t="s">
        <v>42</v>
      </c>
      <c r="Q289" s="193" t="s">
        <v>42</v>
      </c>
      <c r="R289" s="193" t="s">
        <v>42</v>
      </c>
    </row>
    <row r="290" spans="1:18" x14ac:dyDescent="0.25">
      <c r="A290" s="54"/>
      <c r="G290" s="11"/>
      <c r="H290" s="33">
        <v>285</v>
      </c>
      <c r="I290" s="34" t="str">
        <f t="shared" si="19"/>
        <v/>
      </c>
      <c r="J290" s="33">
        <f t="shared" si="22"/>
        <v>-9</v>
      </c>
      <c r="K290" s="33">
        <f t="shared" si="20"/>
        <v>-90</v>
      </c>
      <c r="L290" s="33"/>
      <c r="M290" s="35">
        <f t="shared" si="21"/>
        <v>0</v>
      </c>
      <c r="N290" s="191" t="s">
        <v>42</v>
      </c>
      <c r="O290" s="191" t="s">
        <v>42</v>
      </c>
      <c r="P290" s="192" t="s">
        <v>42</v>
      </c>
      <c r="Q290" s="193" t="s">
        <v>42</v>
      </c>
      <c r="R290" s="193" t="s">
        <v>42</v>
      </c>
    </row>
    <row r="291" spans="1:18" x14ac:dyDescent="0.25">
      <c r="A291" s="54"/>
      <c r="G291" s="11"/>
      <c r="H291" s="33">
        <v>286</v>
      </c>
      <c r="I291" s="34" t="str">
        <f t="shared" si="19"/>
        <v/>
      </c>
      <c r="J291" s="33">
        <f t="shared" si="22"/>
        <v>-9</v>
      </c>
      <c r="K291" s="33">
        <f t="shared" si="20"/>
        <v>-90</v>
      </c>
      <c r="L291" s="33"/>
      <c r="M291" s="35">
        <f t="shared" si="21"/>
        <v>0</v>
      </c>
      <c r="N291" s="191" t="s">
        <v>42</v>
      </c>
      <c r="O291" s="191" t="s">
        <v>42</v>
      </c>
      <c r="P291" s="192" t="s">
        <v>42</v>
      </c>
      <c r="Q291" s="193" t="s">
        <v>42</v>
      </c>
      <c r="R291" s="193" t="s">
        <v>42</v>
      </c>
    </row>
    <row r="292" spans="1:18" x14ac:dyDescent="0.25">
      <c r="A292" s="54"/>
      <c r="G292" s="11"/>
      <c r="H292" s="33">
        <v>287</v>
      </c>
      <c r="I292" s="34" t="str">
        <f t="shared" si="19"/>
        <v/>
      </c>
      <c r="J292" s="33">
        <f t="shared" si="22"/>
        <v>-9</v>
      </c>
      <c r="K292" s="33">
        <f t="shared" si="20"/>
        <v>-90</v>
      </c>
      <c r="L292" s="33"/>
      <c r="M292" s="35">
        <f t="shared" si="21"/>
        <v>0</v>
      </c>
      <c r="N292" s="191" t="s">
        <v>42</v>
      </c>
      <c r="O292" s="191" t="s">
        <v>42</v>
      </c>
      <c r="P292" s="192" t="s">
        <v>42</v>
      </c>
      <c r="Q292" s="193" t="s">
        <v>42</v>
      </c>
      <c r="R292" s="193" t="s">
        <v>42</v>
      </c>
    </row>
    <row r="293" spans="1:18" x14ac:dyDescent="0.25">
      <c r="A293" s="54"/>
      <c r="G293" s="11"/>
      <c r="H293" s="33">
        <v>288</v>
      </c>
      <c r="I293" s="34" t="str">
        <f t="shared" si="19"/>
        <v/>
      </c>
      <c r="J293" s="33">
        <f t="shared" si="22"/>
        <v>-9</v>
      </c>
      <c r="K293" s="33">
        <f t="shared" si="20"/>
        <v>-90</v>
      </c>
      <c r="L293" s="33"/>
      <c r="M293" s="35">
        <f t="shared" si="21"/>
        <v>0</v>
      </c>
      <c r="N293" s="191" t="s">
        <v>42</v>
      </c>
      <c r="O293" s="191" t="s">
        <v>42</v>
      </c>
      <c r="P293" s="192" t="s">
        <v>42</v>
      </c>
      <c r="Q293" s="193" t="s">
        <v>42</v>
      </c>
      <c r="R293" s="193" t="s">
        <v>42</v>
      </c>
    </row>
    <row r="294" spans="1:18" x14ac:dyDescent="0.25">
      <c r="A294" s="54"/>
      <c r="G294" s="11"/>
      <c r="H294" s="33">
        <v>289</v>
      </c>
      <c r="I294" s="34" t="str">
        <f t="shared" si="19"/>
        <v/>
      </c>
      <c r="J294" s="33">
        <f t="shared" si="22"/>
        <v>-9</v>
      </c>
      <c r="K294" s="33">
        <f t="shared" si="20"/>
        <v>-90</v>
      </c>
      <c r="L294" s="33"/>
      <c r="M294" s="35">
        <f t="shared" si="21"/>
        <v>0</v>
      </c>
      <c r="N294" s="191" t="s">
        <v>42</v>
      </c>
      <c r="O294" s="191" t="s">
        <v>42</v>
      </c>
      <c r="P294" s="192" t="s">
        <v>42</v>
      </c>
      <c r="Q294" s="193" t="s">
        <v>42</v>
      </c>
      <c r="R294" s="193" t="s">
        <v>42</v>
      </c>
    </row>
    <row r="295" spans="1:18" x14ac:dyDescent="0.25">
      <c r="A295" s="54"/>
      <c r="G295" s="11"/>
      <c r="H295" s="33">
        <v>290</v>
      </c>
      <c r="I295" s="34" t="str">
        <f t="shared" si="19"/>
        <v/>
      </c>
      <c r="J295" s="33">
        <f t="shared" si="22"/>
        <v>-9</v>
      </c>
      <c r="K295" s="33">
        <f t="shared" si="20"/>
        <v>-90</v>
      </c>
      <c r="L295" s="33"/>
      <c r="M295" s="35">
        <f t="shared" si="21"/>
        <v>0</v>
      </c>
      <c r="N295" s="191" t="s">
        <v>42</v>
      </c>
      <c r="O295" s="191" t="s">
        <v>42</v>
      </c>
      <c r="P295" s="192" t="s">
        <v>42</v>
      </c>
      <c r="Q295" s="193" t="s">
        <v>42</v>
      </c>
      <c r="R295" s="193" t="s">
        <v>42</v>
      </c>
    </row>
    <row r="296" spans="1:18" x14ac:dyDescent="0.25">
      <c r="A296" s="54"/>
      <c r="G296" s="11"/>
      <c r="H296" s="33">
        <v>291</v>
      </c>
      <c r="I296" s="34" t="str">
        <f t="shared" si="19"/>
        <v/>
      </c>
      <c r="J296" s="33">
        <f t="shared" si="22"/>
        <v>-9</v>
      </c>
      <c r="K296" s="33">
        <f t="shared" si="20"/>
        <v>-90</v>
      </c>
      <c r="L296" s="33"/>
      <c r="M296" s="35">
        <f t="shared" si="21"/>
        <v>0</v>
      </c>
      <c r="N296" s="191" t="s">
        <v>42</v>
      </c>
      <c r="O296" s="191" t="s">
        <v>42</v>
      </c>
      <c r="P296" s="192" t="s">
        <v>42</v>
      </c>
      <c r="Q296" s="193" t="s">
        <v>42</v>
      </c>
      <c r="R296" s="193" t="s">
        <v>42</v>
      </c>
    </row>
    <row r="297" spans="1:18" x14ac:dyDescent="0.25">
      <c r="A297" s="54"/>
      <c r="G297" s="11"/>
      <c r="H297" s="33">
        <v>292</v>
      </c>
      <c r="I297" s="34" t="str">
        <f t="shared" si="19"/>
        <v/>
      </c>
      <c r="J297" s="33">
        <f t="shared" si="22"/>
        <v>-9</v>
      </c>
      <c r="K297" s="33">
        <f t="shared" si="20"/>
        <v>-90</v>
      </c>
      <c r="L297" s="33"/>
      <c r="M297" s="35">
        <f t="shared" si="21"/>
        <v>0</v>
      </c>
      <c r="N297" s="191" t="s">
        <v>42</v>
      </c>
      <c r="O297" s="191" t="s">
        <v>42</v>
      </c>
      <c r="P297" s="192" t="s">
        <v>42</v>
      </c>
      <c r="Q297" s="193" t="s">
        <v>42</v>
      </c>
      <c r="R297" s="193" t="s">
        <v>42</v>
      </c>
    </row>
    <row r="298" spans="1:18" x14ac:dyDescent="0.25">
      <c r="A298" s="54"/>
      <c r="G298" s="11"/>
      <c r="H298" s="33">
        <v>293</v>
      </c>
      <c r="I298" s="34" t="str">
        <f t="shared" si="19"/>
        <v/>
      </c>
      <c r="J298" s="33">
        <f t="shared" si="22"/>
        <v>-9</v>
      </c>
      <c r="K298" s="33">
        <f t="shared" si="20"/>
        <v>-90</v>
      </c>
      <c r="L298" s="33"/>
      <c r="M298" s="35">
        <f t="shared" si="21"/>
        <v>0</v>
      </c>
      <c r="N298" s="191" t="s">
        <v>42</v>
      </c>
      <c r="O298" s="191" t="s">
        <v>42</v>
      </c>
      <c r="P298" s="192" t="s">
        <v>42</v>
      </c>
      <c r="Q298" s="193" t="s">
        <v>42</v>
      </c>
      <c r="R298" s="193" t="s">
        <v>42</v>
      </c>
    </row>
    <row r="299" spans="1:18" x14ac:dyDescent="0.25">
      <c r="A299" s="54"/>
      <c r="G299" s="11"/>
      <c r="H299" s="33">
        <v>294</v>
      </c>
      <c r="I299" s="34" t="str">
        <f t="shared" si="19"/>
        <v/>
      </c>
      <c r="J299" s="33">
        <f t="shared" si="22"/>
        <v>-9</v>
      </c>
      <c r="K299" s="33">
        <f t="shared" si="20"/>
        <v>-90</v>
      </c>
      <c r="L299" s="33"/>
      <c r="M299" s="35">
        <f t="shared" si="21"/>
        <v>0</v>
      </c>
      <c r="N299" s="191" t="s">
        <v>42</v>
      </c>
      <c r="O299" s="191" t="s">
        <v>42</v>
      </c>
      <c r="P299" s="192" t="s">
        <v>42</v>
      </c>
      <c r="Q299" s="193" t="s">
        <v>42</v>
      </c>
      <c r="R299" s="193" t="s">
        <v>42</v>
      </c>
    </row>
    <row r="300" spans="1:18" x14ac:dyDescent="0.25">
      <c r="A300" s="54"/>
      <c r="G300" s="11"/>
      <c r="H300" s="33">
        <v>295</v>
      </c>
      <c r="I300" s="34" t="str">
        <f t="shared" si="19"/>
        <v/>
      </c>
      <c r="J300" s="33">
        <f t="shared" si="22"/>
        <v>-9</v>
      </c>
      <c r="K300" s="33">
        <f t="shared" si="20"/>
        <v>-90</v>
      </c>
      <c r="L300" s="33"/>
      <c r="M300" s="35">
        <f t="shared" si="21"/>
        <v>0</v>
      </c>
      <c r="N300" s="191" t="s">
        <v>42</v>
      </c>
      <c r="O300" s="191" t="s">
        <v>42</v>
      </c>
      <c r="P300" s="192" t="s">
        <v>42</v>
      </c>
      <c r="Q300" s="193" t="s">
        <v>42</v>
      </c>
      <c r="R300" s="193" t="s">
        <v>42</v>
      </c>
    </row>
    <row r="301" spans="1:18" x14ac:dyDescent="0.25">
      <c r="A301" s="54"/>
      <c r="G301" s="11"/>
      <c r="H301" s="33">
        <v>296</v>
      </c>
      <c r="I301" s="34" t="str">
        <f t="shared" si="19"/>
        <v/>
      </c>
      <c r="J301" s="33">
        <f t="shared" si="22"/>
        <v>-9</v>
      </c>
      <c r="K301" s="33">
        <f t="shared" si="20"/>
        <v>-90</v>
      </c>
      <c r="L301" s="33"/>
      <c r="M301" s="35">
        <f t="shared" si="21"/>
        <v>0</v>
      </c>
      <c r="N301" s="191" t="s">
        <v>42</v>
      </c>
      <c r="O301" s="191" t="s">
        <v>42</v>
      </c>
      <c r="P301" s="192" t="s">
        <v>42</v>
      </c>
      <c r="Q301" s="193" t="s">
        <v>42</v>
      </c>
      <c r="R301" s="193" t="s">
        <v>42</v>
      </c>
    </row>
    <row r="302" spans="1:18" x14ac:dyDescent="0.25">
      <c r="A302" s="54"/>
      <c r="G302" s="11"/>
      <c r="H302" s="33">
        <v>297</v>
      </c>
      <c r="I302" s="34" t="str">
        <f t="shared" si="19"/>
        <v/>
      </c>
      <c r="J302" s="33">
        <f t="shared" si="22"/>
        <v>-9</v>
      </c>
      <c r="K302" s="33">
        <f t="shared" si="20"/>
        <v>-90</v>
      </c>
      <c r="L302" s="33"/>
      <c r="M302" s="35">
        <f t="shared" si="21"/>
        <v>0</v>
      </c>
      <c r="N302" s="191" t="s">
        <v>42</v>
      </c>
      <c r="O302" s="191" t="s">
        <v>42</v>
      </c>
      <c r="P302" s="192" t="s">
        <v>42</v>
      </c>
      <c r="Q302" s="193" t="s">
        <v>42</v>
      </c>
      <c r="R302" s="193" t="s">
        <v>42</v>
      </c>
    </row>
    <row r="303" spans="1:18" x14ac:dyDescent="0.25">
      <c r="A303" s="54"/>
      <c r="G303" s="11"/>
      <c r="H303" s="33">
        <v>298</v>
      </c>
      <c r="I303" s="34" t="str">
        <f t="shared" si="19"/>
        <v/>
      </c>
      <c r="J303" s="33">
        <f t="shared" si="22"/>
        <v>-9</v>
      </c>
      <c r="K303" s="33">
        <f t="shared" si="20"/>
        <v>-90</v>
      </c>
      <c r="L303" s="33"/>
      <c r="M303" s="35">
        <f t="shared" si="21"/>
        <v>0</v>
      </c>
      <c r="N303" s="191" t="s">
        <v>42</v>
      </c>
      <c r="O303" s="191" t="s">
        <v>42</v>
      </c>
      <c r="P303" s="192" t="s">
        <v>42</v>
      </c>
      <c r="Q303" s="193" t="s">
        <v>42</v>
      </c>
      <c r="R303" s="193" t="s">
        <v>42</v>
      </c>
    </row>
    <row r="304" spans="1:18" x14ac:dyDescent="0.25">
      <c r="A304" s="54"/>
      <c r="G304" s="11"/>
      <c r="H304" s="33">
        <v>299</v>
      </c>
      <c r="I304" s="34" t="str">
        <f t="shared" si="19"/>
        <v/>
      </c>
      <c r="J304" s="33">
        <f t="shared" si="22"/>
        <v>-9</v>
      </c>
      <c r="K304" s="33">
        <f t="shared" si="20"/>
        <v>-90</v>
      </c>
      <c r="L304" s="33"/>
      <c r="M304" s="35">
        <f t="shared" si="21"/>
        <v>0</v>
      </c>
      <c r="N304" s="191" t="s">
        <v>42</v>
      </c>
      <c r="O304" s="191" t="s">
        <v>42</v>
      </c>
      <c r="P304" s="192" t="s">
        <v>42</v>
      </c>
      <c r="Q304" s="193" t="s">
        <v>42</v>
      </c>
      <c r="R304" s="193" t="s">
        <v>42</v>
      </c>
    </row>
    <row r="305" spans="1:18" x14ac:dyDescent="0.25">
      <c r="A305" s="54"/>
      <c r="G305" s="11"/>
      <c r="H305" s="33">
        <v>300</v>
      </c>
      <c r="I305" s="34" t="str">
        <f t="shared" si="19"/>
        <v/>
      </c>
      <c r="J305" s="33">
        <f t="shared" si="22"/>
        <v>-9</v>
      </c>
      <c r="K305" s="33">
        <f t="shared" si="20"/>
        <v>-90</v>
      </c>
      <c r="L305" s="33"/>
      <c r="M305" s="35">
        <f t="shared" si="21"/>
        <v>0</v>
      </c>
      <c r="N305" s="191" t="s">
        <v>42</v>
      </c>
      <c r="O305" s="191" t="s">
        <v>42</v>
      </c>
      <c r="P305" s="192" t="s">
        <v>42</v>
      </c>
      <c r="Q305" s="193" t="s">
        <v>42</v>
      </c>
      <c r="R305" s="193" t="s">
        <v>42</v>
      </c>
    </row>
    <row r="306" spans="1:18" x14ac:dyDescent="0.25">
      <c r="A306" s="56"/>
      <c r="N306" s="191" t="s">
        <v>42</v>
      </c>
      <c r="O306" s="191" t="s">
        <v>42</v>
      </c>
      <c r="P306" s="192" t="s">
        <v>42</v>
      </c>
      <c r="Q306" s="193" t="s">
        <v>42</v>
      </c>
      <c r="R306" s="193" t="s">
        <v>42</v>
      </c>
    </row>
    <row r="307" spans="1:18" x14ac:dyDescent="0.25">
      <c r="N307" s="191" t="s">
        <v>42</v>
      </c>
      <c r="O307" s="191" t="s">
        <v>42</v>
      </c>
      <c r="P307" s="192" t="s">
        <v>42</v>
      </c>
      <c r="Q307" s="193" t="s">
        <v>42</v>
      </c>
      <c r="R307" s="193" t="s">
        <v>42</v>
      </c>
    </row>
    <row r="308" spans="1:18" x14ac:dyDescent="0.25">
      <c r="N308" s="191" t="s">
        <v>42</v>
      </c>
      <c r="O308" s="191" t="s">
        <v>42</v>
      </c>
      <c r="P308" s="192" t="s">
        <v>42</v>
      </c>
      <c r="Q308" s="193" t="s">
        <v>42</v>
      </c>
      <c r="R308" s="193" t="s">
        <v>42</v>
      </c>
    </row>
    <row r="309" spans="1:18" x14ac:dyDescent="0.25">
      <c r="N309" s="191" t="s">
        <v>42</v>
      </c>
      <c r="O309" s="191" t="s">
        <v>42</v>
      </c>
      <c r="P309" s="192" t="s">
        <v>42</v>
      </c>
      <c r="Q309" s="193" t="s">
        <v>42</v>
      </c>
      <c r="R309" s="193" t="s">
        <v>42</v>
      </c>
    </row>
    <row r="310" spans="1:18" x14ac:dyDescent="0.25">
      <c r="N310" s="191" t="s">
        <v>42</v>
      </c>
      <c r="O310" s="191" t="s">
        <v>42</v>
      </c>
      <c r="P310" s="192" t="s">
        <v>42</v>
      </c>
      <c r="Q310" s="193" t="s">
        <v>42</v>
      </c>
      <c r="R310" s="193" t="s">
        <v>42</v>
      </c>
    </row>
    <row r="311" spans="1:18" x14ac:dyDescent="0.25">
      <c r="N311" s="191" t="s">
        <v>42</v>
      </c>
      <c r="O311" s="191" t="s">
        <v>42</v>
      </c>
      <c r="P311" s="192" t="s">
        <v>42</v>
      </c>
      <c r="Q311" s="193" t="s">
        <v>42</v>
      </c>
      <c r="R311" s="193" t="s">
        <v>42</v>
      </c>
    </row>
    <row r="312" spans="1:18" x14ac:dyDescent="0.25">
      <c r="N312" s="191" t="s">
        <v>42</v>
      </c>
      <c r="O312" s="191" t="s">
        <v>42</v>
      </c>
      <c r="P312" s="192" t="s">
        <v>42</v>
      </c>
      <c r="Q312" s="193" t="s">
        <v>42</v>
      </c>
      <c r="R312" s="193" t="s">
        <v>42</v>
      </c>
    </row>
    <row r="313" spans="1:18" x14ac:dyDescent="0.25">
      <c r="N313" s="191" t="s">
        <v>42</v>
      </c>
      <c r="O313" s="191" t="s">
        <v>42</v>
      </c>
      <c r="P313" s="192" t="s">
        <v>42</v>
      </c>
      <c r="Q313" s="193" t="s">
        <v>42</v>
      </c>
      <c r="R313" s="193" t="s">
        <v>42</v>
      </c>
    </row>
    <row r="314" spans="1:18" x14ac:dyDescent="0.25">
      <c r="L314" s="59"/>
      <c r="N314" s="191" t="s">
        <v>42</v>
      </c>
      <c r="O314" s="191" t="s">
        <v>42</v>
      </c>
      <c r="P314" s="192" t="s">
        <v>42</v>
      </c>
      <c r="Q314" s="193" t="s">
        <v>42</v>
      </c>
      <c r="R314" s="193" t="s">
        <v>42</v>
      </c>
    </row>
    <row r="315" spans="1:18" x14ac:dyDescent="0.25">
      <c r="L315" s="59"/>
      <c r="N315" s="191" t="s">
        <v>42</v>
      </c>
      <c r="O315" s="191" t="s">
        <v>42</v>
      </c>
      <c r="P315" s="192" t="s">
        <v>42</v>
      </c>
      <c r="Q315" s="193" t="s">
        <v>42</v>
      </c>
      <c r="R315" s="193" t="s">
        <v>42</v>
      </c>
    </row>
    <row r="316" spans="1:18" x14ac:dyDescent="0.25">
      <c r="L316" s="59"/>
      <c r="N316" s="191" t="s">
        <v>42</v>
      </c>
      <c r="O316" s="191" t="s">
        <v>42</v>
      </c>
      <c r="P316" s="192" t="s">
        <v>42</v>
      </c>
      <c r="Q316" s="193" t="s">
        <v>42</v>
      </c>
      <c r="R316" s="193" t="s">
        <v>42</v>
      </c>
    </row>
    <row r="317" spans="1:18" x14ac:dyDescent="0.25">
      <c r="L317" s="59"/>
      <c r="N317" s="191" t="s">
        <v>42</v>
      </c>
      <c r="O317" s="191" t="s">
        <v>42</v>
      </c>
      <c r="P317" s="192" t="s">
        <v>42</v>
      </c>
      <c r="Q317" s="193" t="s">
        <v>42</v>
      </c>
      <c r="R317" s="193" t="s">
        <v>42</v>
      </c>
    </row>
    <row r="318" spans="1:18" x14ac:dyDescent="0.25">
      <c r="N318" s="191" t="s">
        <v>42</v>
      </c>
      <c r="O318" s="191" t="s">
        <v>42</v>
      </c>
      <c r="P318" s="192" t="s">
        <v>42</v>
      </c>
      <c r="Q318" s="193" t="s">
        <v>42</v>
      </c>
      <c r="R318" s="193" t="s">
        <v>42</v>
      </c>
    </row>
  </sheetData>
  <mergeCells count="2">
    <mergeCell ref="C2:D2"/>
    <mergeCell ref="C3:D3"/>
  </mergeCells>
  <conditionalFormatting sqref="J6:K305">
    <cfRule type="cellIs" dxfId="25" priority="1" operator="lessThanOrEqual">
      <formula>0</formula>
    </cfRule>
  </conditionalFormatting>
  <dataValidations count="1">
    <dataValidation type="list" allowBlank="1" showInputMessage="1" showErrorMessage="1" sqref="C38:C69" xr:uid="{3FA57019-94D5-4403-8DC1-1A3FBFEB2877}">
      <formula1>#REF!</formula1>
    </dataValidation>
  </dataValidations>
  <hyperlinks>
    <hyperlink ref="C2:D2" r:id="rId1" display="BYTOM" xr:uid="{F58D7C94-8B62-4670-8F13-A93B17313AD6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3F33A-52DE-44DF-8874-24CB63EAE114}">
  <sheetPr>
    <tabColor rgb="FF92D050"/>
  </sheetPr>
  <dimension ref="A1:AL317"/>
  <sheetViews>
    <sheetView workbookViewId="0">
      <selection activeCell="C9" sqref="C9"/>
    </sheetView>
  </sheetViews>
  <sheetFormatPr defaultColWidth="8.875" defaultRowHeight="14.3" x14ac:dyDescent="0.25"/>
  <cols>
    <col min="1" max="1" width="8" style="147" customWidth="1"/>
    <col min="2" max="2" width="8.25" style="147" customWidth="1"/>
    <col min="3" max="3" width="34.75" style="147" customWidth="1"/>
    <col min="4" max="4" width="11.25" style="147" customWidth="1"/>
    <col min="5" max="6" width="8.875" style="147"/>
    <col min="7" max="7" width="0.875" style="147" customWidth="1"/>
    <col min="8" max="8" width="8.875" style="149"/>
    <col min="9" max="9" width="11" style="149" customWidth="1"/>
    <col min="10" max="10" width="15.25" style="149" customWidth="1"/>
    <col min="11" max="11" width="8.75" style="149" customWidth="1"/>
    <col min="12" max="12" width="11" style="149" customWidth="1"/>
    <col min="13" max="13" width="11.75" style="150" customWidth="1"/>
    <col min="14" max="14" width="13.875" style="120" customWidth="1"/>
    <col min="15" max="15" width="3.875" style="120" customWidth="1"/>
    <col min="16" max="16" width="17.75" style="202" bestFit="1" customWidth="1"/>
    <col min="17" max="17" width="1.875" style="120" bestFit="1" customWidth="1"/>
    <col min="18" max="18" width="11.875" style="120" bestFit="1" customWidth="1"/>
    <col min="19" max="20" width="8.875" style="121"/>
    <col min="21" max="21" width="12.125" style="121" customWidth="1"/>
    <col min="22" max="22" width="27.375" style="121" customWidth="1"/>
    <col min="23" max="38" width="8.875" style="121"/>
    <col min="39" max="16384" width="8.875" style="147"/>
  </cols>
  <sheetData>
    <row r="1" spans="1:36" x14ac:dyDescent="0.25">
      <c r="A1" s="116"/>
      <c r="B1" s="116"/>
      <c r="C1" s="116"/>
      <c r="D1" s="116"/>
      <c r="E1" s="116"/>
      <c r="F1" s="116"/>
      <c r="G1" s="116"/>
      <c r="H1" s="117" t="s">
        <v>13</v>
      </c>
      <c r="I1" s="118" t="s">
        <v>14</v>
      </c>
      <c r="J1" s="118" t="s">
        <v>15</v>
      </c>
      <c r="K1" s="119" t="s">
        <v>16</v>
      </c>
      <c r="L1" s="120"/>
      <c r="M1" s="120"/>
    </row>
    <row r="2" spans="1:36" ht="14.45" customHeight="1" x14ac:dyDescent="0.25">
      <c r="A2" s="116"/>
      <c r="B2" s="17" t="s">
        <v>17</v>
      </c>
      <c r="C2" s="237" t="s">
        <v>47</v>
      </c>
      <c r="D2" s="237"/>
      <c r="E2" s="18"/>
      <c r="F2" s="18"/>
      <c r="G2" s="18"/>
      <c r="H2" s="122">
        <v>4</v>
      </c>
      <c r="I2" s="123">
        <v>50</v>
      </c>
      <c r="J2" s="123">
        <v>10</v>
      </c>
      <c r="K2" s="124">
        <f>3*H2^(1/3)</f>
        <v>4.7622031559045981</v>
      </c>
      <c r="L2" s="120"/>
      <c r="M2" s="120"/>
    </row>
    <row r="3" spans="1:36" ht="14.45" customHeight="1" x14ac:dyDescent="0.25">
      <c r="A3" s="116"/>
      <c r="B3" s="125" t="s">
        <v>18</v>
      </c>
      <c r="C3" s="238" t="s">
        <v>92</v>
      </c>
      <c r="D3" s="238"/>
      <c r="E3" s="23"/>
      <c r="F3" s="23"/>
      <c r="G3" s="23"/>
      <c r="H3" s="120"/>
      <c r="I3" s="120"/>
      <c r="J3" s="126"/>
      <c r="K3" s="120"/>
      <c r="L3" s="120"/>
      <c r="M3" s="120"/>
    </row>
    <row r="4" spans="1:36" ht="10.199999999999999" customHeight="1" x14ac:dyDescent="0.25">
      <c r="A4" s="25"/>
      <c r="B4" s="23"/>
      <c r="C4" s="25"/>
      <c r="D4" s="25"/>
      <c r="E4" s="25"/>
      <c r="F4" s="25"/>
      <c r="G4" s="25"/>
      <c r="H4" s="120"/>
      <c r="I4" s="120"/>
      <c r="J4" s="126"/>
      <c r="K4" s="120"/>
      <c r="L4" s="120"/>
      <c r="M4" s="120"/>
    </row>
    <row r="5" spans="1:36" ht="34.65" x14ac:dyDescent="0.25">
      <c r="A5" s="1" t="s">
        <v>19</v>
      </c>
      <c r="B5" s="26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25"/>
      <c r="H5" s="127" t="s">
        <v>25</v>
      </c>
      <c r="I5" s="128" t="s">
        <v>26</v>
      </c>
      <c r="J5" s="129" t="s">
        <v>27</v>
      </c>
      <c r="K5" s="128" t="s">
        <v>28</v>
      </c>
      <c r="L5" s="128" t="s">
        <v>29</v>
      </c>
      <c r="M5" s="127" t="s">
        <v>30</v>
      </c>
      <c r="P5" s="239"/>
      <c r="Q5" s="239"/>
      <c r="R5" s="239"/>
    </row>
    <row r="6" spans="1:36" ht="14.45" customHeight="1" x14ac:dyDescent="0.25">
      <c r="A6" s="30">
        <f>M6</f>
        <v>84.286609467713788</v>
      </c>
      <c r="B6" s="31">
        <f t="shared" ref="B6:B11" si="0">IF(H6&gt;$H$2,"",(ROW()-5))</f>
        <v>1</v>
      </c>
      <c r="C6" s="32" t="s">
        <v>9</v>
      </c>
      <c r="D6" s="32" t="s">
        <v>31</v>
      </c>
      <c r="E6" s="32" t="s">
        <v>48</v>
      </c>
      <c r="F6" s="32"/>
      <c r="G6" s="25"/>
      <c r="H6" s="130">
        <v>1</v>
      </c>
      <c r="I6" s="131">
        <f>IF(H2=1,50,IF(H6&lt;$H$2+1,($I$2-($I$2-1)*(LOG(H6)/LOG($H$2))),""))</f>
        <v>50</v>
      </c>
      <c r="J6" s="130">
        <f>INT(LOG($H$2,2))-ROUNDUP(LOG(H6,2),0)+IF(OR($H$2=1,$H$2=2,$H$2=4,$H$2=8,$H$2=16,$H$2=32,$H$2=64,$H$2=128,$H$2=256),0,1)</f>
        <v>2</v>
      </c>
      <c r="K6" s="130">
        <f t="shared" ref="K6:K69" si="1">J6*$J$2</f>
        <v>20</v>
      </c>
      <c r="L6" s="132">
        <f>3*K2</f>
        <v>14.286609467713795</v>
      </c>
      <c r="M6" s="132">
        <f t="shared" ref="M6:M69" si="2">IF(I6&lt;&gt;"",K6+I6+L6,0)</f>
        <v>84.286609467713788</v>
      </c>
    </row>
    <row r="7" spans="1:36" ht="14.45" customHeight="1" x14ac:dyDescent="0.25">
      <c r="A7" s="36">
        <f t="shared" ref="A7:A37" si="3">M7</f>
        <v>45.024406311809194</v>
      </c>
      <c r="B7" s="37">
        <f t="shared" si="0"/>
        <v>2</v>
      </c>
      <c r="C7" s="38" t="s">
        <v>10</v>
      </c>
      <c r="D7" s="38" t="s">
        <v>84</v>
      </c>
      <c r="E7" s="38" t="s">
        <v>48</v>
      </c>
      <c r="F7" s="38"/>
      <c r="G7" s="25"/>
      <c r="H7" s="133">
        <v>2</v>
      </c>
      <c r="I7" s="134">
        <f t="shared" ref="I7:I70" si="4">IF(H7&lt;$H$2+1,($I$2-($I$2-1)*(LOG(H7)/LOG($H$2))),"")</f>
        <v>25.5</v>
      </c>
      <c r="J7" s="133">
        <f t="shared" ref="J7:J70" si="5">INT(LOG($H$2,2))-ROUNDUP(LOG(H7,2),0)+IF(OR($H$2=1,$H$2=2,$H$2=4,$H$2=8,$H$2=16,$H$2=32,$H$2=64,$H$2=128,$H$2=256),0,1)</f>
        <v>1</v>
      </c>
      <c r="K7" s="133">
        <f t="shared" si="1"/>
        <v>10</v>
      </c>
      <c r="L7" s="135">
        <f>2*K2</f>
        <v>9.5244063118091962</v>
      </c>
      <c r="M7" s="135">
        <f t="shared" si="2"/>
        <v>45.024406311809194</v>
      </c>
      <c r="O7" s="212"/>
      <c r="P7" s="203"/>
      <c r="Q7" s="212"/>
      <c r="R7" s="212"/>
    </row>
    <row r="8" spans="1:36" ht="14.45" customHeight="1" x14ac:dyDescent="0.25">
      <c r="A8" s="30">
        <f t="shared" si="3"/>
        <v>15.930621888236271</v>
      </c>
      <c r="B8" s="31">
        <f t="shared" si="0"/>
        <v>3</v>
      </c>
      <c r="C8" s="32" t="s">
        <v>11</v>
      </c>
      <c r="D8" s="32" t="s">
        <v>49</v>
      </c>
      <c r="E8" s="32" t="s">
        <v>48</v>
      </c>
      <c r="F8" s="32"/>
      <c r="G8" s="25"/>
      <c r="H8" s="130">
        <v>3</v>
      </c>
      <c r="I8" s="131">
        <f t="shared" si="4"/>
        <v>11.168418732331673</v>
      </c>
      <c r="J8" s="130">
        <f t="shared" si="5"/>
        <v>0</v>
      </c>
      <c r="K8" s="130">
        <f t="shared" si="1"/>
        <v>0</v>
      </c>
      <c r="L8" s="132">
        <f>K2</f>
        <v>4.7622031559045981</v>
      </c>
      <c r="M8" s="132">
        <f t="shared" si="2"/>
        <v>15.930621888236271</v>
      </c>
      <c r="O8" s="212"/>
      <c r="P8" s="203"/>
      <c r="Q8" s="212"/>
      <c r="R8" s="212"/>
    </row>
    <row r="9" spans="1:36" ht="14.45" customHeight="1" x14ac:dyDescent="0.25">
      <c r="A9" s="36">
        <f t="shared" si="3"/>
        <v>1</v>
      </c>
      <c r="B9" s="37">
        <f t="shared" si="0"/>
        <v>4</v>
      </c>
      <c r="C9" s="38" t="s">
        <v>94</v>
      </c>
      <c r="D9" s="38" t="s">
        <v>93</v>
      </c>
      <c r="E9" s="38" t="s">
        <v>48</v>
      </c>
      <c r="F9" s="38"/>
      <c r="G9" s="25"/>
      <c r="H9" s="133">
        <v>4</v>
      </c>
      <c r="I9" s="134">
        <f t="shared" si="4"/>
        <v>1</v>
      </c>
      <c r="J9" s="133">
        <f t="shared" si="5"/>
        <v>0</v>
      </c>
      <c r="K9" s="133">
        <f t="shared" si="1"/>
        <v>0</v>
      </c>
      <c r="L9" s="135"/>
      <c r="M9" s="135">
        <f t="shared" si="2"/>
        <v>1</v>
      </c>
      <c r="O9" s="212"/>
      <c r="P9" s="203"/>
      <c r="Q9" s="212"/>
      <c r="R9" s="212"/>
      <c r="V9" s="136"/>
      <c r="Z9" s="137"/>
      <c r="AA9" s="137"/>
      <c r="AG9" s="138"/>
      <c r="AH9" s="121" t="s">
        <v>34</v>
      </c>
      <c r="AI9" s="121">
        <v>23</v>
      </c>
    </row>
    <row r="10" spans="1:36" ht="14.45" customHeight="1" x14ac:dyDescent="0.25">
      <c r="A10" s="30">
        <f t="shared" si="3"/>
        <v>0</v>
      </c>
      <c r="B10" s="31" t="str">
        <f t="shared" si="0"/>
        <v/>
      </c>
      <c r="C10" s="32"/>
      <c r="D10" s="32"/>
      <c r="E10" s="32"/>
      <c r="F10" s="32"/>
      <c r="G10" s="25"/>
      <c r="H10" s="130">
        <v>5</v>
      </c>
      <c r="I10" s="131" t="str">
        <f t="shared" si="4"/>
        <v/>
      </c>
      <c r="J10" s="130">
        <f t="shared" si="5"/>
        <v>-1</v>
      </c>
      <c r="K10" s="130">
        <f t="shared" si="1"/>
        <v>-10</v>
      </c>
      <c r="L10" s="130"/>
      <c r="M10" s="132">
        <f t="shared" si="2"/>
        <v>0</v>
      </c>
      <c r="O10" s="212"/>
      <c r="P10" s="203"/>
      <c r="Q10" s="212"/>
      <c r="R10" s="212"/>
      <c r="V10" s="136"/>
      <c r="Z10" s="137"/>
      <c r="AA10" s="137"/>
      <c r="AG10" s="138"/>
      <c r="AH10" s="121" t="s">
        <v>35</v>
      </c>
      <c r="AI10" s="121">
        <v>45</v>
      </c>
    </row>
    <row r="11" spans="1:36" ht="14.45" customHeight="1" x14ac:dyDescent="0.25">
      <c r="A11" s="36">
        <f t="shared" si="3"/>
        <v>0</v>
      </c>
      <c r="B11" s="37" t="str">
        <f t="shared" si="0"/>
        <v/>
      </c>
      <c r="C11" s="38"/>
      <c r="D11" s="38"/>
      <c r="E11" s="38"/>
      <c r="F11" s="38"/>
      <c r="G11" s="25"/>
      <c r="H11" s="133">
        <v>6</v>
      </c>
      <c r="I11" s="134" t="str">
        <f t="shared" si="4"/>
        <v/>
      </c>
      <c r="J11" s="133">
        <f t="shared" si="5"/>
        <v>-1</v>
      </c>
      <c r="K11" s="133">
        <f t="shared" si="1"/>
        <v>-10</v>
      </c>
      <c r="L11" s="133"/>
      <c r="M11" s="135">
        <f t="shared" si="2"/>
        <v>0</v>
      </c>
      <c r="O11" s="212"/>
      <c r="P11" s="203"/>
      <c r="Q11" s="212"/>
      <c r="R11" s="212"/>
      <c r="V11" s="139"/>
      <c r="Z11" s="137"/>
      <c r="AA11" s="137"/>
      <c r="AG11" s="138"/>
      <c r="AH11" s="121" t="s">
        <v>36</v>
      </c>
      <c r="AI11" s="121">
        <v>50</v>
      </c>
    </row>
    <row r="12" spans="1:36" ht="14.45" customHeight="1" x14ac:dyDescent="0.25">
      <c r="A12" s="47">
        <f t="shared" si="3"/>
        <v>0</v>
      </c>
      <c r="B12" s="31" t="str">
        <f>IF(H12&gt;$H$2,"",(ROW()-5))</f>
        <v/>
      </c>
      <c r="C12" s="32"/>
      <c r="D12" s="32"/>
      <c r="E12" s="32"/>
      <c r="F12" s="32"/>
      <c r="G12" s="25"/>
      <c r="H12" s="130">
        <v>7</v>
      </c>
      <c r="I12" s="131" t="str">
        <f t="shared" si="4"/>
        <v/>
      </c>
      <c r="J12" s="130">
        <f t="shared" si="5"/>
        <v>-1</v>
      </c>
      <c r="K12" s="130">
        <f t="shared" si="1"/>
        <v>-10</v>
      </c>
      <c r="L12" s="130"/>
      <c r="M12" s="132">
        <f t="shared" si="2"/>
        <v>0</v>
      </c>
      <c r="O12" s="212"/>
      <c r="P12" s="203"/>
      <c r="Q12" s="212"/>
      <c r="R12" s="212"/>
      <c r="Z12" s="137"/>
      <c r="AA12" s="137"/>
      <c r="AG12" s="138"/>
      <c r="AH12" s="121" t="s">
        <v>37</v>
      </c>
      <c r="AI12" s="121">
        <f>AI11-1</f>
        <v>49</v>
      </c>
    </row>
    <row r="13" spans="1:36" ht="14.45" customHeight="1" x14ac:dyDescent="0.25">
      <c r="A13" s="46">
        <f t="shared" si="3"/>
        <v>0</v>
      </c>
      <c r="B13" s="37" t="str">
        <f t="shared" ref="B13" si="6">IF(H13&gt;$H$2,"",(ROW()-5))</f>
        <v/>
      </c>
      <c r="C13" s="38"/>
      <c r="D13" s="38"/>
      <c r="E13" s="38"/>
      <c r="F13" s="38"/>
      <c r="G13" s="25"/>
      <c r="H13" s="133">
        <v>8</v>
      </c>
      <c r="I13" s="134" t="str">
        <f t="shared" si="4"/>
        <v/>
      </c>
      <c r="J13" s="133">
        <f t="shared" si="5"/>
        <v>-1</v>
      </c>
      <c r="K13" s="133">
        <f t="shared" si="1"/>
        <v>-10</v>
      </c>
      <c r="L13" s="133"/>
      <c r="M13" s="135">
        <f t="shared" si="2"/>
        <v>0</v>
      </c>
      <c r="X13" s="136"/>
      <c r="AG13" s="138"/>
      <c r="AH13" s="121" t="s">
        <v>38</v>
      </c>
      <c r="AI13" s="121">
        <f>LOG(AI9)</f>
        <v>1.3617278360175928</v>
      </c>
    </row>
    <row r="14" spans="1:36" x14ac:dyDescent="0.25">
      <c r="A14" s="47">
        <f t="shared" si="3"/>
        <v>0</v>
      </c>
      <c r="B14" s="31" t="str">
        <f>IF(H14&gt;$H$2,"",(ROW()-5))</f>
        <v/>
      </c>
      <c r="C14" s="32"/>
      <c r="D14" s="32"/>
      <c r="E14" s="32"/>
      <c r="F14" s="32"/>
      <c r="G14" s="25"/>
      <c r="H14" s="130">
        <v>9</v>
      </c>
      <c r="I14" s="131" t="str">
        <f t="shared" si="4"/>
        <v/>
      </c>
      <c r="J14" s="130">
        <f t="shared" si="5"/>
        <v>-2</v>
      </c>
      <c r="K14" s="130">
        <f t="shared" si="1"/>
        <v>-20</v>
      </c>
      <c r="L14" s="130"/>
      <c r="M14" s="132">
        <f t="shared" si="2"/>
        <v>0</v>
      </c>
      <c r="X14" s="140"/>
      <c r="Z14" s="137"/>
      <c r="AA14" s="137"/>
      <c r="AG14" s="138"/>
      <c r="AH14" s="121" t="s">
        <v>39</v>
      </c>
      <c r="AI14" s="121">
        <f>LOG(AI10)</f>
        <v>1.6532125137753437</v>
      </c>
    </row>
    <row r="15" spans="1:36" x14ac:dyDescent="0.25">
      <c r="A15" s="46">
        <f t="shared" si="3"/>
        <v>0</v>
      </c>
      <c r="B15" s="37" t="str">
        <f t="shared" ref="B15:B65" si="7">IF(H15&gt;$H$2,"",(ROW()-5))</f>
        <v/>
      </c>
      <c r="C15" s="38"/>
      <c r="D15" s="38"/>
      <c r="E15" s="38"/>
      <c r="F15" s="38"/>
      <c r="G15" s="25"/>
      <c r="H15" s="133">
        <v>10</v>
      </c>
      <c r="I15" s="134" t="str">
        <f t="shared" si="4"/>
        <v/>
      </c>
      <c r="J15" s="133">
        <f t="shared" si="5"/>
        <v>-2</v>
      </c>
      <c r="K15" s="133">
        <f t="shared" si="1"/>
        <v>-20</v>
      </c>
      <c r="L15" s="133"/>
      <c r="M15" s="135">
        <f t="shared" si="2"/>
        <v>0</v>
      </c>
      <c r="X15" s="136"/>
      <c r="Z15" s="137"/>
      <c r="AA15" s="137"/>
    </row>
    <row r="16" spans="1:36" x14ac:dyDescent="0.25">
      <c r="A16" s="47">
        <f t="shared" si="3"/>
        <v>0</v>
      </c>
      <c r="B16" s="31" t="str">
        <f t="shared" si="7"/>
        <v/>
      </c>
      <c r="C16" s="32"/>
      <c r="D16" s="32"/>
      <c r="E16" s="32"/>
      <c r="F16" s="32"/>
      <c r="G16" s="25"/>
      <c r="H16" s="130">
        <v>11</v>
      </c>
      <c r="I16" s="131" t="str">
        <f t="shared" si="4"/>
        <v/>
      </c>
      <c r="J16" s="130">
        <f t="shared" si="5"/>
        <v>-2</v>
      </c>
      <c r="K16" s="130">
        <f t="shared" si="1"/>
        <v>-20</v>
      </c>
      <c r="L16" s="130"/>
      <c r="M16" s="132">
        <f t="shared" si="2"/>
        <v>0</v>
      </c>
      <c r="R16" s="200"/>
      <c r="Z16" s="137"/>
      <c r="AA16" s="137"/>
      <c r="AH16" s="142" t="s">
        <v>40</v>
      </c>
      <c r="AI16" s="121">
        <f>AI11-AI12*AI13/AI14</f>
        <v>9.6393909380186855</v>
      </c>
      <c r="AJ16" s="121" t="s">
        <v>41</v>
      </c>
    </row>
    <row r="17" spans="1:19" x14ac:dyDescent="0.25">
      <c r="A17" s="46">
        <f t="shared" si="3"/>
        <v>0</v>
      </c>
      <c r="B17" s="37" t="str">
        <f t="shared" si="7"/>
        <v/>
      </c>
      <c r="C17" s="38"/>
      <c r="D17" s="38"/>
      <c r="E17" s="38"/>
      <c r="F17" s="38"/>
      <c r="G17" s="25"/>
      <c r="H17" s="133">
        <v>12</v>
      </c>
      <c r="I17" s="134" t="str">
        <f t="shared" si="4"/>
        <v/>
      </c>
      <c r="J17" s="133">
        <f t="shared" si="5"/>
        <v>-2</v>
      </c>
      <c r="K17" s="133">
        <f t="shared" si="1"/>
        <v>-20</v>
      </c>
      <c r="L17" s="133"/>
      <c r="M17" s="135">
        <f t="shared" si="2"/>
        <v>0</v>
      </c>
    </row>
    <row r="18" spans="1:19" x14ac:dyDescent="0.25">
      <c r="A18" s="47">
        <f t="shared" si="3"/>
        <v>0</v>
      </c>
      <c r="B18" s="31" t="str">
        <f t="shared" si="7"/>
        <v/>
      </c>
      <c r="C18" s="32"/>
      <c r="D18" s="32"/>
      <c r="E18" s="32"/>
      <c r="F18" s="32"/>
      <c r="G18" s="25"/>
      <c r="H18" s="130">
        <v>13</v>
      </c>
      <c r="I18" s="131" t="str">
        <f t="shared" si="4"/>
        <v/>
      </c>
      <c r="J18" s="130">
        <f t="shared" si="5"/>
        <v>-2</v>
      </c>
      <c r="K18" s="130">
        <f t="shared" si="1"/>
        <v>-20</v>
      </c>
      <c r="L18" s="130"/>
      <c r="M18" s="132">
        <f t="shared" si="2"/>
        <v>0</v>
      </c>
    </row>
    <row r="19" spans="1:19" x14ac:dyDescent="0.25">
      <c r="A19" s="46">
        <f t="shared" si="3"/>
        <v>0</v>
      </c>
      <c r="B19" s="37" t="str">
        <f t="shared" si="7"/>
        <v/>
      </c>
      <c r="C19" s="38"/>
      <c r="D19" s="38"/>
      <c r="E19" s="38"/>
      <c r="F19" s="38"/>
      <c r="G19" s="25"/>
      <c r="H19" s="133">
        <v>14</v>
      </c>
      <c r="I19" s="134" t="str">
        <f t="shared" si="4"/>
        <v/>
      </c>
      <c r="J19" s="133">
        <f t="shared" si="5"/>
        <v>-2</v>
      </c>
      <c r="K19" s="133">
        <f t="shared" si="1"/>
        <v>-20</v>
      </c>
      <c r="L19" s="133"/>
      <c r="M19" s="135">
        <f t="shared" si="2"/>
        <v>0</v>
      </c>
    </row>
    <row r="20" spans="1:19" x14ac:dyDescent="0.25">
      <c r="A20" s="47">
        <f t="shared" si="3"/>
        <v>0</v>
      </c>
      <c r="B20" s="31" t="str">
        <f t="shared" si="7"/>
        <v/>
      </c>
      <c r="C20" s="32"/>
      <c r="D20" s="32"/>
      <c r="E20" s="32"/>
      <c r="F20" s="32"/>
      <c r="G20" s="25"/>
      <c r="H20" s="130">
        <v>15</v>
      </c>
      <c r="I20" s="131" t="str">
        <f t="shared" si="4"/>
        <v/>
      </c>
      <c r="J20" s="130">
        <f t="shared" si="5"/>
        <v>-2</v>
      </c>
      <c r="K20" s="130">
        <f t="shared" si="1"/>
        <v>-20</v>
      </c>
      <c r="L20" s="130"/>
      <c r="M20" s="132">
        <f t="shared" si="2"/>
        <v>0</v>
      </c>
      <c r="R20" s="201"/>
      <c r="S20" s="144"/>
    </row>
    <row r="21" spans="1:19" x14ac:dyDescent="0.25">
      <c r="A21" s="46">
        <f t="shared" si="3"/>
        <v>0</v>
      </c>
      <c r="B21" s="37" t="str">
        <f t="shared" si="7"/>
        <v/>
      </c>
      <c r="C21" s="38"/>
      <c r="D21" s="38"/>
      <c r="E21" s="38"/>
      <c r="F21" s="38"/>
      <c r="G21" s="25"/>
      <c r="H21" s="133">
        <v>16</v>
      </c>
      <c r="I21" s="134" t="str">
        <f t="shared" si="4"/>
        <v/>
      </c>
      <c r="J21" s="133">
        <f t="shared" si="5"/>
        <v>-2</v>
      </c>
      <c r="K21" s="133">
        <f t="shared" si="1"/>
        <v>-20</v>
      </c>
      <c r="L21" s="133"/>
      <c r="M21" s="135">
        <f t="shared" si="2"/>
        <v>0</v>
      </c>
    </row>
    <row r="22" spans="1:19" x14ac:dyDescent="0.25">
      <c r="A22" s="47">
        <f t="shared" si="3"/>
        <v>0</v>
      </c>
      <c r="B22" s="31" t="str">
        <f t="shared" si="7"/>
        <v/>
      </c>
      <c r="C22" s="32"/>
      <c r="D22" s="32"/>
      <c r="E22" s="32"/>
      <c r="F22" s="32"/>
      <c r="G22" s="25"/>
      <c r="H22" s="130">
        <v>17</v>
      </c>
      <c r="I22" s="131" t="str">
        <f t="shared" si="4"/>
        <v/>
      </c>
      <c r="J22" s="130">
        <f t="shared" si="5"/>
        <v>-3</v>
      </c>
      <c r="K22" s="130">
        <f t="shared" si="1"/>
        <v>-30</v>
      </c>
      <c r="L22" s="130"/>
      <c r="M22" s="132">
        <f t="shared" si="2"/>
        <v>0</v>
      </c>
    </row>
    <row r="23" spans="1:19" x14ac:dyDescent="0.25">
      <c r="A23" s="46">
        <f t="shared" si="3"/>
        <v>0</v>
      </c>
      <c r="B23" s="37" t="str">
        <f t="shared" si="7"/>
        <v/>
      </c>
      <c r="C23" s="38"/>
      <c r="D23" s="38"/>
      <c r="E23" s="38"/>
      <c r="F23" s="38"/>
      <c r="G23" s="25"/>
      <c r="H23" s="133">
        <v>18</v>
      </c>
      <c r="I23" s="134" t="str">
        <f t="shared" si="4"/>
        <v/>
      </c>
      <c r="J23" s="133">
        <f t="shared" si="5"/>
        <v>-3</v>
      </c>
      <c r="K23" s="133">
        <f t="shared" si="1"/>
        <v>-30</v>
      </c>
      <c r="L23" s="133"/>
      <c r="M23" s="135">
        <f t="shared" si="2"/>
        <v>0</v>
      </c>
    </row>
    <row r="24" spans="1:19" x14ac:dyDescent="0.25">
      <c r="A24" s="47">
        <f t="shared" si="3"/>
        <v>0</v>
      </c>
      <c r="B24" s="31" t="str">
        <f t="shared" si="7"/>
        <v/>
      </c>
      <c r="C24" s="32"/>
      <c r="D24" s="32"/>
      <c r="E24" s="32"/>
      <c r="F24" s="32"/>
      <c r="G24" s="25"/>
      <c r="H24" s="130">
        <v>19</v>
      </c>
      <c r="I24" s="131" t="str">
        <f t="shared" si="4"/>
        <v/>
      </c>
      <c r="J24" s="130">
        <f t="shared" si="5"/>
        <v>-3</v>
      </c>
      <c r="K24" s="130">
        <f t="shared" si="1"/>
        <v>-30</v>
      </c>
      <c r="L24" s="130"/>
      <c r="M24" s="132">
        <f t="shared" si="2"/>
        <v>0</v>
      </c>
      <c r="R24" s="201"/>
      <c r="S24" s="144"/>
    </row>
    <row r="25" spans="1:19" x14ac:dyDescent="0.25">
      <c r="A25" s="46">
        <f t="shared" si="3"/>
        <v>0</v>
      </c>
      <c r="B25" s="37" t="str">
        <f t="shared" si="7"/>
        <v/>
      </c>
      <c r="C25" s="38"/>
      <c r="D25" s="38"/>
      <c r="E25" s="38"/>
      <c r="F25" s="38"/>
      <c r="G25" s="25"/>
      <c r="H25" s="133">
        <v>20</v>
      </c>
      <c r="I25" s="134" t="str">
        <f t="shared" si="4"/>
        <v/>
      </c>
      <c r="J25" s="133">
        <f t="shared" si="5"/>
        <v>-3</v>
      </c>
      <c r="K25" s="133">
        <f t="shared" si="1"/>
        <v>-30</v>
      </c>
      <c r="L25" s="133"/>
      <c r="M25" s="135">
        <f t="shared" si="2"/>
        <v>0</v>
      </c>
    </row>
    <row r="26" spans="1:19" x14ac:dyDescent="0.25">
      <c r="A26" s="47">
        <f t="shared" si="3"/>
        <v>0</v>
      </c>
      <c r="B26" s="31" t="str">
        <f t="shared" si="7"/>
        <v/>
      </c>
      <c r="C26" s="32"/>
      <c r="D26" s="32"/>
      <c r="E26" s="32"/>
      <c r="F26" s="32"/>
      <c r="G26" s="25"/>
      <c r="H26" s="130">
        <v>21</v>
      </c>
      <c r="I26" s="131" t="str">
        <f t="shared" si="4"/>
        <v/>
      </c>
      <c r="J26" s="130">
        <f t="shared" si="5"/>
        <v>-3</v>
      </c>
      <c r="K26" s="130">
        <f t="shared" si="1"/>
        <v>-30</v>
      </c>
      <c r="L26" s="130"/>
      <c r="M26" s="132">
        <f t="shared" si="2"/>
        <v>0</v>
      </c>
    </row>
    <row r="27" spans="1:19" x14ac:dyDescent="0.25">
      <c r="A27" s="46">
        <f t="shared" si="3"/>
        <v>0</v>
      </c>
      <c r="B27" s="37" t="str">
        <f t="shared" si="7"/>
        <v/>
      </c>
      <c r="C27" s="38"/>
      <c r="D27" s="38"/>
      <c r="E27" s="38"/>
      <c r="F27" s="38"/>
      <c r="G27" s="25"/>
      <c r="H27" s="133">
        <v>22</v>
      </c>
      <c r="I27" s="134" t="str">
        <f t="shared" si="4"/>
        <v/>
      </c>
      <c r="J27" s="133">
        <f t="shared" si="5"/>
        <v>-3</v>
      </c>
      <c r="K27" s="133">
        <f t="shared" si="1"/>
        <v>-30</v>
      </c>
      <c r="L27" s="133"/>
      <c r="M27" s="135">
        <f t="shared" si="2"/>
        <v>0</v>
      </c>
    </row>
    <row r="28" spans="1:19" x14ac:dyDescent="0.25">
      <c r="A28" s="47">
        <f t="shared" si="3"/>
        <v>0</v>
      </c>
      <c r="B28" s="31" t="str">
        <f t="shared" si="7"/>
        <v/>
      </c>
      <c r="C28" s="32"/>
      <c r="D28" s="32"/>
      <c r="E28" s="32"/>
      <c r="F28" s="32"/>
      <c r="G28" s="25"/>
      <c r="H28" s="130">
        <v>23</v>
      </c>
      <c r="I28" s="131" t="str">
        <f t="shared" si="4"/>
        <v/>
      </c>
      <c r="J28" s="130">
        <f t="shared" si="5"/>
        <v>-3</v>
      </c>
      <c r="K28" s="130">
        <f t="shared" si="1"/>
        <v>-30</v>
      </c>
      <c r="L28" s="130"/>
      <c r="M28" s="132">
        <f t="shared" si="2"/>
        <v>0</v>
      </c>
      <c r="R28" s="201"/>
      <c r="S28" s="144"/>
    </row>
    <row r="29" spans="1:19" x14ac:dyDescent="0.25">
      <c r="A29" s="46">
        <f t="shared" si="3"/>
        <v>0</v>
      </c>
      <c r="B29" s="37" t="str">
        <f t="shared" si="7"/>
        <v/>
      </c>
      <c r="C29" s="38"/>
      <c r="D29" s="38"/>
      <c r="E29" s="38"/>
      <c r="F29" s="38"/>
      <c r="G29" s="116"/>
      <c r="H29" s="133">
        <v>24</v>
      </c>
      <c r="I29" s="134" t="str">
        <f t="shared" si="4"/>
        <v/>
      </c>
      <c r="J29" s="133">
        <f t="shared" si="5"/>
        <v>-3</v>
      </c>
      <c r="K29" s="133">
        <f t="shared" si="1"/>
        <v>-30</v>
      </c>
      <c r="L29" s="133"/>
      <c r="M29" s="135">
        <f t="shared" si="2"/>
        <v>0</v>
      </c>
    </row>
    <row r="30" spans="1:19" x14ac:dyDescent="0.25">
      <c r="A30" s="47">
        <f t="shared" si="3"/>
        <v>0</v>
      </c>
      <c r="B30" s="31" t="str">
        <f t="shared" si="7"/>
        <v/>
      </c>
      <c r="C30" s="32"/>
      <c r="D30" s="32"/>
      <c r="E30" s="32"/>
      <c r="F30" s="32"/>
      <c r="G30" s="116"/>
      <c r="H30" s="130">
        <v>25</v>
      </c>
      <c r="I30" s="131" t="str">
        <f t="shared" si="4"/>
        <v/>
      </c>
      <c r="J30" s="130">
        <f t="shared" si="5"/>
        <v>-3</v>
      </c>
      <c r="K30" s="130">
        <f t="shared" si="1"/>
        <v>-30</v>
      </c>
      <c r="L30" s="130"/>
      <c r="M30" s="132">
        <f t="shared" si="2"/>
        <v>0</v>
      </c>
    </row>
    <row r="31" spans="1:19" x14ac:dyDescent="0.25">
      <c r="A31" s="46">
        <f t="shared" si="3"/>
        <v>0</v>
      </c>
      <c r="B31" s="37" t="str">
        <f t="shared" si="7"/>
        <v/>
      </c>
      <c r="C31" s="38"/>
      <c r="D31" s="38"/>
      <c r="E31" s="38"/>
      <c r="F31" s="38"/>
      <c r="G31" s="116"/>
      <c r="H31" s="133">
        <v>26</v>
      </c>
      <c r="I31" s="134" t="str">
        <f t="shared" si="4"/>
        <v/>
      </c>
      <c r="J31" s="133">
        <f t="shared" si="5"/>
        <v>-3</v>
      </c>
      <c r="K31" s="133">
        <f t="shared" si="1"/>
        <v>-30</v>
      </c>
      <c r="L31" s="133"/>
      <c r="M31" s="135">
        <f t="shared" si="2"/>
        <v>0</v>
      </c>
    </row>
    <row r="32" spans="1:19" x14ac:dyDescent="0.25">
      <c r="A32" s="47">
        <f t="shared" si="3"/>
        <v>0</v>
      </c>
      <c r="B32" s="31" t="str">
        <f t="shared" si="7"/>
        <v/>
      </c>
      <c r="C32" s="32"/>
      <c r="D32" s="32"/>
      <c r="E32" s="32"/>
      <c r="F32" s="32"/>
      <c r="G32" s="116"/>
      <c r="H32" s="130">
        <v>27</v>
      </c>
      <c r="I32" s="131" t="str">
        <f t="shared" si="4"/>
        <v/>
      </c>
      <c r="J32" s="130">
        <f t="shared" si="5"/>
        <v>-3</v>
      </c>
      <c r="K32" s="130">
        <f t="shared" si="1"/>
        <v>-30</v>
      </c>
      <c r="L32" s="130"/>
      <c r="M32" s="132">
        <f t="shared" si="2"/>
        <v>0</v>
      </c>
      <c r="R32" s="201"/>
      <c r="S32" s="144"/>
    </row>
    <row r="33" spans="1:21" x14ac:dyDescent="0.25">
      <c r="A33" s="46">
        <f t="shared" si="3"/>
        <v>0</v>
      </c>
      <c r="B33" s="37" t="str">
        <f t="shared" si="7"/>
        <v/>
      </c>
      <c r="C33" s="38"/>
      <c r="D33" s="38"/>
      <c r="E33" s="38"/>
      <c r="F33" s="38"/>
      <c r="G33" s="116"/>
      <c r="H33" s="133">
        <v>28</v>
      </c>
      <c r="I33" s="134" t="str">
        <f t="shared" si="4"/>
        <v/>
      </c>
      <c r="J33" s="133">
        <f t="shared" si="5"/>
        <v>-3</v>
      </c>
      <c r="K33" s="133">
        <f t="shared" si="1"/>
        <v>-30</v>
      </c>
      <c r="L33" s="133"/>
      <c r="M33" s="135">
        <f t="shared" si="2"/>
        <v>0</v>
      </c>
    </row>
    <row r="34" spans="1:21" x14ac:dyDescent="0.25">
      <c r="A34" s="47">
        <f t="shared" si="3"/>
        <v>0</v>
      </c>
      <c r="B34" s="31" t="str">
        <f t="shared" si="7"/>
        <v/>
      </c>
      <c r="C34" s="32"/>
      <c r="D34" s="32"/>
      <c r="E34" s="32"/>
      <c r="F34" s="32"/>
      <c r="G34" s="116"/>
      <c r="H34" s="130">
        <v>29</v>
      </c>
      <c r="I34" s="131" t="str">
        <f t="shared" si="4"/>
        <v/>
      </c>
      <c r="J34" s="130">
        <f t="shared" si="5"/>
        <v>-3</v>
      </c>
      <c r="K34" s="130">
        <f t="shared" si="1"/>
        <v>-30</v>
      </c>
      <c r="L34" s="130"/>
      <c r="M34" s="132">
        <f t="shared" si="2"/>
        <v>0</v>
      </c>
    </row>
    <row r="35" spans="1:21" x14ac:dyDescent="0.25">
      <c r="A35" s="46">
        <f t="shared" si="3"/>
        <v>0</v>
      </c>
      <c r="B35" s="37" t="str">
        <f t="shared" si="7"/>
        <v/>
      </c>
      <c r="C35" s="38"/>
      <c r="D35" s="38"/>
      <c r="E35" s="38"/>
      <c r="F35" s="38"/>
      <c r="G35" s="116"/>
      <c r="H35" s="133">
        <v>30</v>
      </c>
      <c r="I35" s="134" t="str">
        <f t="shared" si="4"/>
        <v/>
      </c>
      <c r="J35" s="133">
        <f t="shared" si="5"/>
        <v>-3</v>
      </c>
      <c r="K35" s="133">
        <f t="shared" si="1"/>
        <v>-30</v>
      </c>
      <c r="L35" s="133"/>
      <c r="M35" s="135">
        <f t="shared" si="2"/>
        <v>0</v>
      </c>
    </row>
    <row r="36" spans="1:21" x14ac:dyDescent="0.25">
      <c r="A36" s="47">
        <f t="shared" si="3"/>
        <v>0</v>
      </c>
      <c r="B36" s="31" t="str">
        <f t="shared" si="7"/>
        <v/>
      </c>
      <c r="C36" s="32"/>
      <c r="D36" s="32"/>
      <c r="E36" s="32"/>
      <c r="F36" s="32"/>
      <c r="G36" s="116"/>
      <c r="H36" s="130">
        <v>31</v>
      </c>
      <c r="I36" s="131" t="str">
        <f t="shared" si="4"/>
        <v/>
      </c>
      <c r="J36" s="130">
        <f t="shared" si="5"/>
        <v>-3</v>
      </c>
      <c r="K36" s="130">
        <f t="shared" si="1"/>
        <v>-30</v>
      </c>
      <c r="L36" s="130"/>
      <c r="M36" s="132">
        <f t="shared" si="2"/>
        <v>0</v>
      </c>
      <c r="R36" s="201"/>
      <c r="S36" s="144"/>
    </row>
    <row r="37" spans="1:21" x14ac:dyDescent="0.25">
      <c r="A37" s="46">
        <f t="shared" si="3"/>
        <v>0</v>
      </c>
      <c r="B37" s="37" t="str">
        <f t="shared" si="7"/>
        <v/>
      </c>
      <c r="C37" s="38"/>
      <c r="D37" s="38"/>
      <c r="E37" s="38"/>
      <c r="F37" s="38"/>
      <c r="G37" s="116"/>
      <c r="H37" s="133">
        <v>32</v>
      </c>
      <c r="I37" s="134" t="str">
        <f t="shared" si="4"/>
        <v/>
      </c>
      <c r="J37" s="133">
        <f t="shared" si="5"/>
        <v>-3</v>
      </c>
      <c r="K37" s="133">
        <f t="shared" si="1"/>
        <v>-30</v>
      </c>
      <c r="L37" s="133"/>
      <c r="M37" s="135">
        <f t="shared" si="2"/>
        <v>0</v>
      </c>
    </row>
    <row r="38" spans="1:21" x14ac:dyDescent="0.25">
      <c r="A38" s="47"/>
      <c r="B38" s="31" t="str">
        <f t="shared" si="7"/>
        <v/>
      </c>
      <c r="C38" s="32"/>
      <c r="D38" s="32"/>
      <c r="E38" s="32"/>
      <c r="F38" s="32"/>
      <c r="G38" s="116"/>
      <c r="H38" s="130">
        <v>33</v>
      </c>
      <c r="I38" s="131" t="str">
        <f t="shared" si="4"/>
        <v/>
      </c>
      <c r="J38" s="130">
        <f t="shared" si="5"/>
        <v>-4</v>
      </c>
      <c r="K38" s="130">
        <f t="shared" si="1"/>
        <v>-40</v>
      </c>
      <c r="L38" s="130"/>
      <c r="M38" s="132">
        <f t="shared" si="2"/>
        <v>0</v>
      </c>
    </row>
    <row r="39" spans="1:21" x14ac:dyDescent="0.25">
      <c r="A39" s="46"/>
      <c r="B39" s="37" t="str">
        <f t="shared" si="7"/>
        <v/>
      </c>
      <c r="C39" s="38"/>
      <c r="D39" s="38"/>
      <c r="E39" s="38"/>
      <c r="F39" s="38"/>
      <c r="G39" s="116"/>
      <c r="H39" s="133">
        <v>34</v>
      </c>
      <c r="I39" s="134" t="str">
        <f t="shared" si="4"/>
        <v/>
      </c>
      <c r="J39" s="133">
        <f t="shared" si="5"/>
        <v>-4</v>
      </c>
      <c r="K39" s="133">
        <f t="shared" si="1"/>
        <v>-40</v>
      </c>
      <c r="L39" s="133"/>
      <c r="M39" s="135">
        <f t="shared" si="2"/>
        <v>0</v>
      </c>
    </row>
    <row r="40" spans="1:21" x14ac:dyDescent="0.25">
      <c r="A40" s="47"/>
      <c r="B40" s="31" t="str">
        <f t="shared" si="7"/>
        <v/>
      </c>
      <c r="C40" s="32"/>
      <c r="D40" s="32"/>
      <c r="E40" s="32"/>
      <c r="F40" s="32"/>
      <c r="G40" s="116"/>
      <c r="H40" s="130">
        <v>35</v>
      </c>
      <c r="I40" s="131" t="str">
        <f t="shared" si="4"/>
        <v/>
      </c>
      <c r="J40" s="130">
        <f t="shared" si="5"/>
        <v>-4</v>
      </c>
      <c r="K40" s="130">
        <f t="shared" si="1"/>
        <v>-40</v>
      </c>
      <c r="L40" s="130"/>
      <c r="M40" s="132">
        <f t="shared" si="2"/>
        <v>0</v>
      </c>
    </row>
    <row r="41" spans="1:21" x14ac:dyDescent="0.25">
      <c r="A41" s="46"/>
      <c r="B41" s="37" t="str">
        <f t="shared" si="7"/>
        <v/>
      </c>
      <c r="C41" s="38"/>
      <c r="D41" s="38"/>
      <c r="E41" s="38"/>
      <c r="F41" s="38"/>
      <c r="G41" s="116"/>
      <c r="H41" s="133">
        <v>36</v>
      </c>
      <c r="I41" s="134" t="str">
        <f t="shared" si="4"/>
        <v/>
      </c>
      <c r="J41" s="133">
        <f t="shared" si="5"/>
        <v>-4</v>
      </c>
      <c r="K41" s="133">
        <f t="shared" si="1"/>
        <v>-40</v>
      </c>
      <c r="L41" s="133"/>
      <c r="M41" s="135">
        <f t="shared" si="2"/>
        <v>0</v>
      </c>
      <c r="S41" s="145"/>
    </row>
    <row r="42" spans="1:21" x14ac:dyDescent="0.25">
      <c r="A42" s="47"/>
      <c r="B42" s="31" t="str">
        <f t="shared" si="7"/>
        <v/>
      </c>
      <c r="C42" s="32"/>
      <c r="D42" s="32"/>
      <c r="E42" s="32"/>
      <c r="F42" s="32"/>
      <c r="G42" s="116"/>
      <c r="H42" s="130">
        <v>37</v>
      </c>
      <c r="I42" s="131" t="str">
        <f t="shared" si="4"/>
        <v/>
      </c>
      <c r="J42" s="130">
        <f t="shared" si="5"/>
        <v>-4</v>
      </c>
      <c r="K42" s="130">
        <f t="shared" si="1"/>
        <v>-40</v>
      </c>
      <c r="L42" s="130"/>
      <c r="M42" s="132">
        <f t="shared" si="2"/>
        <v>0</v>
      </c>
    </row>
    <row r="43" spans="1:21" x14ac:dyDescent="0.25">
      <c r="A43" s="46"/>
      <c r="B43" s="37" t="str">
        <f t="shared" si="7"/>
        <v/>
      </c>
      <c r="C43" s="38"/>
      <c r="D43" s="38"/>
      <c r="E43" s="38"/>
      <c r="F43" s="38"/>
      <c r="G43" s="116"/>
      <c r="H43" s="133">
        <v>38</v>
      </c>
      <c r="I43" s="134" t="str">
        <f t="shared" si="4"/>
        <v/>
      </c>
      <c r="J43" s="133">
        <f t="shared" si="5"/>
        <v>-4</v>
      </c>
      <c r="K43" s="133">
        <f t="shared" si="1"/>
        <v>-40</v>
      </c>
      <c r="L43" s="133"/>
      <c r="M43" s="135">
        <f t="shared" si="2"/>
        <v>0</v>
      </c>
    </row>
    <row r="44" spans="1:21" x14ac:dyDescent="0.25">
      <c r="A44" s="47"/>
      <c r="B44" s="31" t="str">
        <f t="shared" si="7"/>
        <v/>
      </c>
      <c r="C44" s="32"/>
      <c r="D44" s="32"/>
      <c r="E44" s="32"/>
      <c r="F44" s="32"/>
      <c r="G44" s="116"/>
      <c r="H44" s="130">
        <v>39</v>
      </c>
      <c r="I44" s="131" t="str">
        <f t="shared" si="4"/>
        <v/>
      </c>
      <c r="J44" s="130">
        <f t="shared" si="5"/>
        <v>-4</v>
      </c>
      <c r="K44" s="130">
        <f t="shared" si="1"/>
        <v>-40</v>
      </c>
      <c r="L44" s="130"/>
      <c r="M44" s="132">
        <f t="shared" si="2"/>
        <v>0</v>
      </c>
    </row>
    <row r="45" spans="1:21" x14ac:dyDescent="0.25">
      <c r="A45" s="46"/>
      <c r="B45" s="37" t="str">
        <f t="shared" si="7"/>
        <v/>
      </c>
      <c r="C45" s="38"/>
      <c r="D45" s="38"/>
      <c r="E45" s="38"/>
      <c r="F45" s="38"/>
      <c r="G45" s="116"/>
      <c r="H45" s="133">
        <v>40</v>
      </c>
      <c r="I45" s="134" t="str">
        <f t="shared" si="4"/>
        <v/>
      </c>
      <c r="J45" s="133">
        <f t="shared" si="5"/>
        <v>-4</v>
      </c>
      <c r="K45" s="133">
        <f t="shared" si="1"/>
        <v>-40</v>
      </c>
      <c r="L45" s="133"/>
      <c r="M45" s="135">
        <f t="shared" si="2"/>
        <v>0</v>
      </c>
    </row>
    <row r="46" spans="1:21" x14ac:dyDescent="0.25">
      <c r="A46" s="47"/>
      <c r="B46" s="31" t="str">
        <f t="shared" si="7"/>
        <v/>
      </c>
      <c r="C46" s="32"/>
      <c r="D46" s="32"/>
      <c r="E46" s="32"/>
      <c r="F46" s="32"/>
      <c r="G46" s="116"/>
      <c r="H46" s="130">
        <v>41</v>
      </c>
      <c r="I46" s="131" t="str">
        <f t="shared" si="4"/>
        <v/>
      </c>
      <c r="J46" s="130">
        <f t="shared" si="5"/>
        <v>-4</v>
      </c>
      <c r="K46" s="130">
        <f t="shared" si="1"/>
        <v>-40</v>
      </c>
      <c r="L46" s="130"/>
      <c r="M46" s="132">
        <f t="shared" si="2"/>
        <v>0</v>
      </c>
      <c r="R46" s="120">
        <f>LOG($H$2,2)</f>
        <v>2</v>
      </c>
      <c r="T46" s="121">
        <f>LOG(H38,2)</f>
        <v>5.0443941193584534</v>
      </c>
      <c r="U46" s="121">
        <f>R46-T46</f>
        <v>-3.0443941193584534</v>
      </c>
    </row>
    <row r="47" spans="1:21" x14ac:dyDescent="0.25">
      <c r="A47" s="46"/>
      <c r="B47" s="37" t="str">
        <f t="shared" si="7"/>
        <v/>
      </c>
      <c r="C47" s="38"/>
      <c r="D47" s="38"/>
      <c r="E47" s="38"/>
      <c r="F47" s="38"/>
      <c r="G47" s="116"/>
      <c r="H47" s="133">
        <v>42</v>
      </c>
      <c r="I47" s="134" t="str">
        <f t="shared" si="4"/>
        <v/>
      </c>
      <c r="J47" s="133">
        <f t="shared" si="5"/>
        <v>-4</v>
      </c>
      <c r="K47" s="133">
        <f t="shared" si="1"/>
        <v>-40</v>
      </c>
      <c r="L47" s="133"/>
      <c r="M47" s="135">
        <f t="shared" si="2"/>
        <v>0</v>
      </c>
    </row>
    <row r="48" spans="1:21" x14ac:dyDescent="0.25">
      <c r="A48" s="47"/>
      <c r="B48" s="31" t="str">
        <f t="shared" si="7"/>
        <v/>
      </c>
      <c r="C48" s="32"/>
      <c r="D48" s="32"/>
      <c r="E48" s="32"/>
      <c r="F48" s="32"/>
      <c r="G48" s="116"/>
      <c r="H48" s="130">
        <v>43</v>
      </c>
      <c r="I48" s="131" t="str">
        <f t="shared" si="4"/>
        <v/>
      </c>
      <c r="J48" s="130">
        <f t="shared" si="5"/>
        <v>-4</v>
      </c>
      <c r="K48" s="130">
        <f t="shared" si="1"/>
        <v>-40</v>
      </c>
      <c r="L48" s="130"/>
      <c r="M48" s="132">
        <f t="shared" si="2"/>
        <v>0</v>
      </c>
    </row>
    <row r="49" spans="1:13" x14ac:dyDescent="0.25">
      <c r="A49" s="46"/>
      <c r="B49" s="37" t="str">
        <f t="shared" si="7"/>
        <v/>
      </c>
      <c r="C49" s="38"/>
      <c r="D49" s="38"/>
      <c r="E49" s="38"/>
      <c r="F49" s="38"/>
      <c r="G49" s="116"/>
      <c r="H49" s="133">
        <v>44</v>
      </c>
      <c r="I49" s="134" t="str">
        <f t="shared" si="4"/>
        <v/>
      </c>
      <c r="J49" s="133">
        <f t="shared" si="5"/>
        <v>-4</v>
      </c>
      <c r="K49" s="133">
        <f t="shared" si="1"/>
        <v>-40</v>
      </c>
      <c r="L49" s="133"/>
      <c r="M49" s="135">
        <f t="shared" si="2"/>
        <v>0</v>
      </c>
    </row>
    <row r="50" spans="1:13" x14ac:dyDescent="0.25">
      <c r="A50" s="47"/>
      <c r="B50" s="31" t="str">
        <f t="shared" si="7"/>
        <v/>
      </c>
      <c r="C50" s="32"/>
      <c r="D50" s="32"/>
      <c r="E50" s="32"/>
      <c r="F50" s="32"/>
      <c r="G50" s="116"/>
      <c r="H50" s="130">
        <v>45</v>
      </c>
      <c r="I50" s="131" t="str">
        <f t="shared" si="4"/>
        <v/>
      </c>
      <c r="J50" s="130">
        <f t="shared" si="5"/>
        <v>-4</v>
      </c>
      <c r="K50" s="130">
        <f t="shared" si="1"/>
        <v>-40</v>
      </c>
      <c r="L50" s="130"/>
      <c r="M50" s="132">
        <f t="shared" si="2"/>
        <v>0</v>
      </c>
    </row>
    <row r="51" spans="1:13" x14ac:dyDescent="0.25">
      <c r="A51" s="46"/>
      <c r="B51" s="37" t="str">
        <f t="shared" si="7"/>
        <v/>
      </c>
      <c r="C51" s="38"/>
      <c r="D51" s="38"/>
      <c r="E51" s="38"/>
      <c r="F51" s="38"/>
      <c r="G51" s="116"/>
      <c r="H51" s="133">
        <v>46</v>
      </c>
      <c r="I51" s="134" t="str">
        <f t="shared" si="4"/>
        <v/>
      </c>
      <c r="J51" s="133">
        <f t="shared" si="5"/>
        <v>-4</v>
      </c>
      <c r="K51" s="133">
        <f t="shared" si="1"/>
        <v>-40</v>
      </c>
      <c r="L51" s="133"/>
      <c r="M51" s="135">
        <f t="shared" si="2"/>
        <v>0</v>
      </c>
    </row>
    <row r="52" spans="1:13" x14ac:dyDescent="0.25">
      <c r="A52" s="47"/>
      <c r="B52" s="31" t="str">
        <f t="shared" si="7"/>
        <v/>
      </c>
      <c r="C52" s="32"/>
      <c r="D52" s="32"/>
      <c r="E52" s="32"/>
      <c r="F52" s="32"/>
      <c r="G52" s="116"/>
      <c r="H52" s="130">
        <v>47</v>
      </c>
      <c r="I52" s="131" t="str">
        <f t="shared" si="4"/>
        <v/>
      </c>
      <c r="J52" s="130">
        <f t="shared" si="5"/>
        <v>-4</v>
      </c>
      <c r="K52" s="130">
        <f t="shared" si="1"/>
        <v>-40</v>
      </c>
      <c r="L52" s="130"/>
      <c r="M52" s="132">
        <f t="shared" si="2"/>
        <v>0</v>
      </c>
    </row>
    <row r="53" spans="1:13" x14ac:dyDescent="0.25">
      <c r="A53" s="46"/>
      <c r="B53" s="37" t="str">
        <f t="shared" si="7"/>
        <v/>
      </c>
      <c r="C53" s="38"/>
      <c r="D53" s="38"/>
      <c r="E53" s="38"/>
      <c r="F53" s="38"/>
      <c r="G53" s="116"/>
      <c r="H53" s="133">
        <v>48</v>
      </c>
      <c r="I53" s="134" t="str">
        <f t="shared" si="4"/>
        <v/>
      </c>
      <c r="J53" s="133">
        <f t="shared" si="5"/>
        <v>-4</v>
      </c>
      <c r="K53" s="133">
        <f t="shared" si="1"/>
        <v>-40</v>
      </c>
      <c r="L53" s="133"/>
      <c r="M53" s="135">
        <f t="shared" si="2"/>
        <v>0</v>
      </c>
    </row>
    <row r="54" spans="1:13" x14ac:dyDescent="0.25">
      <c r="A54" s="47"/>
      <c r="B54" s="31" t="str">
        <f t="shared" si="7"/>
        <v/>
      </c>
      <c r="C54" s="32"/>
      <c r="D54" s="32"/>
      <c r="E54" s="32"/>
      <c r="F54" s="32"/>
      <c r="G54" s="116"/>
      <c r="H54" s="130">
        <v>49</v>
      </c>
      <c r="I54" s="131" t="str">
        <f t="shared" si="4"/>
        <v/>
      </c>
      <c r="J54" s="130">
        <f t="shared" si="5"/>
        <v>-4</v>
      </c>
      <c r="K54" s="130">
        <f t="shared" si="1"/>
        <v>-40</v>
      </c>
      <c r="L54" s="130"/>
      <c r="M54" s="132">
        <f t="shared" si="2"/>
        <v>0</v>
      </c>
    </row>
    <row r="55" spans="1:13" x14ac:dyDescent="0.25">
      <c r="A55" s="46"/>
      <c r="B55" s="37" t="str">
        <f t="shared" si="7"/>
        <v/>
      </c>
      <c r="C55" s="38"/>
      <c r="D55" s="38"/>
      <c r="E55" s="38"/>
      <c r="F55" s="38"/>
      <c r="G55" s="116"/>
      <c r="H55" s="133">
        <v>50</v>
      </c>
      <c r="I55" s="134" t="str">
        <f t="shared" si="4"/>
        <v/>
      </c>
      <c r="J55" s="133">
        <f t="shared" si="5"/>
        <v>-4</v>
      </c>
      <c r="K55" s="133">
        <f t="shared" si="1"/>
        <v>-40</v>
      </c>
      <c r="L55" s="133"/>
      <c r="M55" s="135">
        <f t="shared" si="2"/>
        <v>0</v>
      </c>
    </row>
    <row r="56" spans="1:13" x14ac:dyDescent="0.25">
      <c r="A56" s="47"/>
      <c r="B56" s="31" t="str">
        <f t="shared" si="7"/>
        <v/>
      </c>
      <c r="C56" s="32"/>
      <c r="D56" s="32"/>
      <c r="E56" s="32"/>
      <c r="F56" s="32"/>
      <c r="G56" s="116"/>
      <c r="H56" s="130">
        <v>51</v>
      </c>
      <c r="I56" s="131" t="str">
        <f t="shared" si="4"/>
        <v/>
      </c>
      <c r="J56" s="130">
        <f t="shared" si="5"/>
        <v>-4</v>
      </c>
      <c r="K56" s="130">
        <f t="shared" si="1"/>
        <v>-40</v>
      </c>
      <c r="L56" s="130"/>
      <c r="M56" s="132">
        <f t="shared" si="2"/>
        <v>0</v>
      </c>
    </row>
    <row r="57" spans="1:13" x14ac:dyDescent="0.25">
      <c r="A57" s="46"/>
      <c r="B57" s="37" t="str">
        <f t="shared" si="7"/>
        <v/>
      </c>
      <c r="C57" s="38"/>
      <c r="D57" s="38"/>
      <c r="E57" s="38"/>
      <c r="F57" s="38"/>
      <c r="G57" s="116"/>
      <c r="H57" s="133">
        <v>52</v>
      </c>
      <c r="I57" s="134" t="str">
        <f t="shared" si="4"/>
        <v/>
      </c>
      <c r="J57" s="133">
        <f t="shared" si="5"/>
        <v>-4</v>
      </c>
      <c r="K57" s="133">
        <f t="shared" si="1"/>
        <v>-40</v>
      </c>
      <c r="L57" s="133"/>
      <c r="M57" s="135">
        <f t="shared" si="2"/>
        <v>0</v>
      </c>
    </row>
    <row r="58" spans="1:13" x14ac:dyDescent="0.25">
      <c r="A58" s="47"/>
      <c r="B58" s="31" t="str">
        <f t="shared" si="7"/>
        <v/>
      </c>
      <c r="C58" s="32"/>
      <c r="D58" s="32"/>
      <c r="E58" s="32"/>
      <c r="F58" s="32"/>
      <c r="G58" s="116"/>
      <c r="H58" s="130">
        <v>53</v>
      </c>
      <c r="I58" s="131" t="str">
        <f t="shared" si="4"/>
        <v/>
      </c>
      <c r="J58" s="130">
        <f t="shared" si="5"/>
        <v>-4</v>
      </c>
      <c r="K58" s="130">
        <f t="shared" si="1"/>
        <v>-40</v>
      </c>
      <c r="L58" s="130"/>
      <c r="M58" s="132">
        <f t="shared" si="2"/>
        <v>0</v>
      </c>
    </row>
    <row r="59" spans="1:13" x14ac:dyDescent="0.25">
      <c r="A59" s="46"/>
      <c r="B59" s="37" t="str">
        <f t="shared" si="7"/>
        <v/>
      </c>
      <c r="C59" s="38"/>
      <c r="D59" s="38"/>
      <c r="E59" s="38"/>
      <c r="F59" s="38"/>
      <c r="G59" s="116"/>
      <c r="H59" s="133">
        <v>54</v>
      </c>
      <c r="I59" s="134" t="str">
        <f t="shared" si="4"/>
        <v/>
      </c>
      <c r="J59" s="133">
        <f t="shared" si="5"/>
        <v>-4</v>
      </c>
      <c r="K59" s="133">
        <f t="shared" si="1"/>
        <v>-40</v>
      </c>
      <c r="L59" s="133"/>
      <c r="M59" s="135">
        <f t="shared" si="2"/>
        <v>0</v>
      </c>
    </row>
    <row r="60" spans="1:13" x14ac:dyDescent="0.25">
      <c r="A60" s="47"/>
      <c r="B60" s="31" t="str">
        <f t="shared" si="7"/>
        <v/>
      </c>
      <c r="C60" s="32"/>
      <c r="D60" s="32"/>
      <c r="E60" s="32"/>
      <c r="F60" s="32"/>
      <c r="G60" s="116"/>
      <c r="H60" s="130">
        <v>55</v>
      </c>
      <c r="I60" s="131" t="str">
        <f t="shared" si="4"/>
        <v/>
      </c>
      <c r="J60" s="130">
        <f t="shared" si="5"/>
        <v>-4</v>
      </c>
      <c r="K60" s="130">
        <f t="shared" si="1"/>
        <v>-40</v>
      </c>
      <c r="L60" s="130"/>
      <c r="M60" s="132">
        <f t="shared" si="2"/>
        <v>0</v>
      </c>
    </row>
    <row r="61" spans="1:13" x14ac:dyDescent="0.25">
      <c r="A61" s="46"/>
      <c r="B61" s="37" t="str">
        <f t="shared" si="7"/>
        <v/>
      </c>
      <c r="C61" s="38"/>
      <c r="D61" s="38"/>
      <c r="E61" s="38"/>
      <c r="F61" s="38"/>
      <c r="G61" s="116"/>
      <c r="H61" s="133">
        <v>56</v>
      </c>
      <c r="I61" s="134" t="str">
        <f t="shared" si="4"/>
        <v/>
      </c>
      <c r="J61" s="133">
        <f t="shared" si="5"/>
        <v>-4</v>
      </c>
      <c r="K61" s="133">
        <f t="shared" si="1"/>
        <v>-40</v>
      </c>
      <c r="L61" s="133"/>
      <c r="M61" s="135">
        <f t="shared" si="2"/>
        <v>0</v>
      </c>
    </row>
    <row r="62" spans="1:13" x14ac:dyDescent="0.25">
      <c r="A62" s="47"/>
      <c r="B62" s="31" t="str">
        <f t="shared" si="7"/>
        <v/>
      </c>
      <c r="C62" s="32"/>
      <c r="D62" s="32"/>
      <c r="E62" s="32"/>
      <c r="F62" s="32"/>
      <c r="G62" s="116"/>
      <c r="H62" s="130">
        <v>57</v>
      </c>
      <c r="I62" s="131" t="str">
        <f t="shared" si="4"/>
        <v/>
      </c>
      <c r="J62" s="130">
        <f t="shared" si="5"/>
        <v>-4</v>
      </c>
      <c r="K62" s="130">
        <f t="shared" si="1"/>
        <v>-40</v>
      </c>
      <c r="L62" s="130"/>
      <c r="M62" s="132">
        <f t="shared" si="2"/>
        <v>0</v>
      </c>
    </row>
    <row r="63" spans="1:13" x14ac:dyDescent="0.25">
      <c r="A63" s="46"/>
      <c r="B63" s="37" t="str">
        <f t="shared" si="7"/>
        <v/>
      </c>
      <c r="C63" s="38"/>
      <c r="D63" s="38"/>
      <c r="E63" s="38"/>
      <c r="F63" s="38"/>
      <c r="G63" s="116"/>
      <c r="H63" s="133">
        <v>58</v>
      </c>
      <c r="I63" s="134" t="str">
        <f t="shared" si="4"/>
        <v/>
      </c>
      <c r="J63" s="133">
        <f t="shared" si="5"/>
        <v>-4</v>
      </c>
      <c r="K63" s="133">
        <f t="shared" si="1"/>
        <v>-40</v>
      </c>
      <c r="L63" s="133"/>
      <c r="M63" s="135">
        <f t="shared" si="2"/>
        <v>0</v>
      </c>
    </row>
    <row r="64" spans="1:13" x14ac:dyDescent="0.25">
      <c r="A64" s="47"/>
      <c r="B64" s="31" t="str">
        <f t="shared" si="7"/>
        <v/>
      </c>
      <c r="C64" s="32"/>
      <c r="D64" s="32"/>
      <c r="E64" s="32"/>
      <c r="F64" s="32"/>
      <c r="G64" s="116"/>
      <c r="H64" s="130">
        <v>59</v>
      </c>
      <c r="I64" s="131" t="str">
        <f t="shared" si="4"/>
        <v/>
      </c>
      <c r="J64" s="130">
        <f t="shared" si="5"/>
        <v>-4</v>
      </c>
      <c r="K64" s="130">
        <f t="shared" si="1"/>
        <v>-40</v>
      </c>
      <c r="L64" s="130"/>
      <c r="M64" s="132">
        <f t="shared" si="2"/>
        <v>0</v>
      </c>
    </row>
    <row r="65" spans="1:13" x14ac:dyDescent="0.25">
      <c r="A65" s="46"/>
      <c r="B65" s="37" t="str">
        <f t="shared" si="7"/>
        <v/>
      </c>
      <c r="C65" s="38"/>
      <c r="D65" s="38"/>
      <c r="E65" s="38"/>
      <c r="F65" s="38"/>
      <c r="G65" s="116"/>
      <c r="H65" s="133">
        <v>60</v>
      </c>
      <c r="I65" s="134" t="str">
        <f t="shared" si="4"/>
        <v/>
      </c>
      <c r="J65" s="133">
        <f t="shared" si="5"/>
        <v>-4</v>
      </c>
      <c r="K65" s="133">
        <f t="shared" si="1"/>
        <v>-40</v>
      </c>
      <c r="L65" s="133"/>
      <c r="M65" s="135">
        <f t="shared" si="2"/>
        <v>0</v>
      </c>
    </row>
    <row r="66" spans="1:13" x14ac:dyDescent="0.25">
      <c r="A66" s="146"/>
      <c r="B66" s="31"/>
      <c r="G66" s="116"/>
      <c r="H66" s="130">
        <v>61</v>
      </c>
      <c r="I66" s="131" t="str">
        <f t="shared" si="4"/>
        <v/>
      </c>
      <c r="J66" s="130">
        <f t="shared" si="5"/>
        <v>-4</v>
      </c>
      <c r="K66" s="130">
        <f t="shared" si="1"/>
        <v>-40</v>
      </c>
      <c r="L66" s="130"/>
      <c r="M66" s="132">
        <f t="shared" si="2"/>
        <v>0</v>
      </c>
    </row>
    <row r="67" spans="1:13" x14ac:dyDescent="0.25">
      <c r="A67" s="146"/>
      <c r="B67" s="37"/>
      <c r="G67" s="116"/>
      <c r="H67" s="130">
        <v>62</v>
      </c>
      <c r="I67" s="131" t="str">
        <f t="shared" si="4"/>
        <v/>
      </c>
      <c r="J67" s="130">
        <f t="shared" si="5"/>
        <v>-4</v>
      </c>
      <c r="K67" s="130">
        <f t="shared" si="1"/>
        <v>-40</v>
      </c>
      <c r="L67" s="130"/>
      <c r="M67" s="132">
        <f t="shared" si="2"/>
        <v>0</v>
      </c>
    </row>
    <row r="68" spans="1:13" x14ac:dyDescent="0.25">
      <c r="A68" s="146"/>
      <c r="B68" s="31"/>
      <c r="G68" s="116"/>
      <c r="H68" s="130">
        <v>63</v>
      </c>
      <c r="I68" s="131" t="str">
        <f t="shared" si="4"/>
        <v/>
      </c>
      <c r="J68" s="130">
        <f t="shared" si="5"/>
        <v>-4</v>
      </c>
      <c r="K68" s="130">
        <f t="shared" si="1"/>
        <v>-40</v>
      </c>
      <c r="L68" s="130"/>
      <c r="M68" s="132">
        <f t="shared" si="2"/>
        <v>0</v>
      </c>
    </row>
    <row r="69" spans="1:13" x14ac:dyDescent="0.25">
      <c r="A69" s="146"/>
      <c r="B69" s="37"/>
      <c r="G69" s="116"/>
      <c r="H69" s="130">
        <v>64</v>
      </c>
      <c r="I69" s="131" t="str">
        <f t="shared" si="4"/>
        <v/>
      </c>
      <c r="J69" s="130">
        <f t="shared" si="5"/>
        <v>-4</v>
      </c>
      <c r="K69" s="130">
        <f t="shared" si="1"/>
        <v>-40</v>
      </c>
      <c r="L69" s="130"/>
      <c r="M69" s="132">
        <f t="shared" si="2"/>
        <v>0</v>
      </c>
    </row>
    <row r="70" spans="1:13" x14ac:dyDescent="0.25">
      <c r="A70" s="146"/>
      <c r="G70" s="116"/>
      <c r="H70" s="130">
        <v>65</v>
      </c>
      <c r="I70" s="131" t="str">
        <f t="shared" si="4"/>
        <v/>
      </c>
      <c r="J70" s="130">
        <f t="shared" si="5"/>
        <v>-5</v>
      </c>
      <c r="K70" s="130">
        <f t="shared" ref="K70:K133" si="8">J70*$J$2</f>
        <v>-50</v>
      </c>
      <c r="L70" s="130"/>
      <c r="M70" s="132">
        <f t="shared" ref="M70:M133" si="9">IF(I70&lt;&gt;"",K70+I70+L70,0)</f>
        <v>0</v>
      </c>
    </row>
    <row r="71" spans="1:13" x14ac:dyDescent="0.25">
      <c r="A71" s="146"/>
      <c r="G71" s="116"/>
      <c r="H71" s="130">
        <v>66</v>
      </c>
      <c r="I71" s="131" t="str">
        <f t="shared" ref="I71:I134" si="10">IF(H71&lt;$H$2+1,($I$2-($I$2-1)*(LOG(H71)/LOG($H$2))),"")</f>
        <v/>
      </c>
      <c r="J71" s="130">
        <f t="shared" ref="J71:J134" si="11">INT(LOG($H$2,2))-ROUNDUP(LOG(H71,2),0)+IF(OR($H$2=1,$H$2=2,$H$2=4,$H$2=8,$H$2=16,$H$2=32,$H$2=64,$H$2=128,$H$2=256),0,1)</f>
        <v>-5</v>
      </c>
      <c r="K71" s="130">
        <f t="shared" si="8"/>
        <v>-50</v>
      </c>
      <c r="L71" s="130"/>
      <c r="M71" s="132">
        <f t="shared" si="9"/>
        <v>0</v>
      </c>
    </row>
    <row r="72" spans="1:13" x14ac:dyDescent="0.25">
      <c r="A72" s="146"/>
      <c r="G72" s="116"/>
      <c r="H72" s="130">
        <v>67</v>
      </c>
      <c r="I72" s="131" t="str">
        <f t="shared" si="10"/>
        <v/>
      </c>
      <c r="J72" s="130">
        <f t="shared" si="11"/>
        <v>-5</v>
      </c>
      <c r="K72" s="130">
        <f t="shared" si="8"/>
        <v>-50</v>
      </c>
      <c r="L72" s="130"/>
      <c r="M72" s="132">
        <f t="shared" si="9"/>
        <v>0</v>
      </c>
    </row>
    <row r="73" spans="1:13" x14ac:dyDescent="0.25">
      <c r="A73" s="146"/>
      <c r="G73" s="116"/>
      <c r="H73" s="130">
        <v>68</v>
      </c>
      <c r="I73" s="131" t="str">
        <f t="shared" si="10"/>
        <v/>
      </c>
      <c r="J73" s="130">
        <f t="shared" si="11"/>
        <v>-5</v>
      </c>
      <c r="K73" s="130">
        <f t="shared" si="8"/>
        <v>-50</v>
      </c>
      <c r="L73" s="130"/>
      <c r="M73" s="132">
        <f t="shared" si="9"/>
        <v>0</v>
      </c>
    </row>
    <row r="74" spans="1:13" x14ac:dyDescent="0.25">
      <c r="A74" s="146"/>
      <c r="G74" s="116"/>
      <c r="H74" s="130">
        <v>69</v>
      </c>
      <c r="I74" s="131" t="str">
        <f t="shared" si="10"/>
        <v/>
      </c>
      <c r="J74" s="130">
        <f t="shared" si="11"/>
        <v>-5</v>
      </c>
      <c r="K74" s="130">
        <f t="shared" si="8"/>
        <v>-50</v>
      </c>
      <c r="L74" s="130"/>
      <c r="M74" s="132">
        <f t="shared" si="9"/>
        <v>0</v>
      </c>
    </row>
    <row r="75" spans="1:13" x14ac:dyDescent="0.25">
      <c r="A75" s="146"/>
      <c r="G75" s="116"/>
      <c r="H75" s="130">
        <v>70</v>
      </c>
      <c r="I75" s="131" t="str">
        <f t="shared" si="10"/>
        <v/>
      </c>
      <c r="J75" s="130">
        <f t="shared" si="11"/>
        <v>-5</v>
      </c>
      <c r="K75" s="130">
        <f t="shared" si="8"/>
        <v>-50</v>
      </c>
      <c r="L75" s="130"/>
      <c r="M75" s="132">
        <f t="shared" si="9"/>
        <v>0</v>
      </c>
    </row>
    <row r="76" spans="1:13" x14ac:dyDescent="0.25">
      <c r="A76" s="146"/>
      <c r="G76" s="116"/>
      <c r="H76" s="130">
        <v>71</v>
      </c>
      <c r="I76" s="131" t="str">
        <f t="shared" si="10"/>
        <v/>
      </c>
      <c r="J76" s="130">
        <f t="shared" si="11"/>
        <v>-5</v>
      </c>
      <c r="K76" s="130">
        <f t="shared" si="8"/>
        <v>-50</v>
      </c>
      <c r="L76" s="130"/>
      <c r="M76" s="132">
        <f t="shared" si="9"/>
        <v>0</v>
      </c>
    </row>
    <row r="77" spans="1:13" x14ac:dyDescent="0.25">
      <c r="A77" s="146"/>
      <c r="G77" s="116"/>
      <c r="H77" s="130">
        <v>72</v>
      </c>
      <c r="I77" s="131" t="str">
        <f t="shared" si="10"/>
        <v/>
      </c>
      <c r="J77" s="130">
        <f t="shared" si="11"/>
        <v>-5</v>
      </c>
      <c r="K77" s="130">
        <f t="shared" si="8"/>
        <v>-50</v>
      </c>
      <c r="L77" s="130"/>
      <c r="M77" s="132">
        <f t="shared" si="9"/>
        <v>0</v>
      </c>
    </row>
    <row r="78" spans="1:13" x14ac:dyDescent="0.25">
      <c r="A78" s="146"/>
      <c r="G78" s="116"/>
      <c r="H78" s="130">
        <v>73</v>
      </c>
      <c r="I78" s="131" t="str">
        <f t="shared" si="10"/>
        <v/>
      </c>
      <c r="J78" s="130">
        <f t="shared" si="11"/>
        <v>-5</v>
      </c>
      <c r="K78" s="130">
        <f t="shared" si="8"/>
        <v>-50</v>
      </c>
      <c r="L78" s="130"/>
      <c r="M78" s="132">
        <f t="shared" si="9"/>
        <v>0</v>
      </c>
    </row>
    <row r="79" spans="1:13" x14ac:dyDescent="0.25">
      <c r="A79" s="146"/>
      <c r="G79" s="116"/>
      <c r="H79" s="130">
        <v>74</v>
      </c>
      <c r="I79" s="131" t="str">
        <f t="shared" si="10"/>
        <v/>
      </c>
      <c r="J79" s="130">
        <f t="shared" si="11"/>
        <v>-5</v>
      </c>
      <c r="K79" s="130">
        <f t="shared" si="8"/>
        <v>-50</v>
      </c>
      <c r="L79" s="130"/>
      <c r="M79" s="132">
        <f t="shared" si="9"/>
        <v>0</v>
      </c>
    </row>
    <row r="80" spans="1:13" x14ac:dyDescent="0.25">
      <c r="A80" s="146"/>
      <c r="G80" s="116"/>
      <c r="H80" s="130">
        <v>75</v>
      </c>
      <c r="I80" s="131" t="str">
        <f t="shared" si="10"/>
        <v/>
      </c>
      <c r="J80" s="130">
        <f t="shared" si="11"/>
        <v>-5</v>
      </c>
      <c r="K80" s="130">
        <f t="shared" si="8"/>
        <v>-50</v>
      </c>
      <c r="L80" s="130"/>
      <c r="M80" s="132">
        <f t="shared" si="9"/>
        <v>0</v>
      </c>
    </row>
    <row r="81" spans="1:13" x14ac:dyDescent="0.25">
      <c r="A81" s="146"/>
      <c r="G81" s="116"/>
      <c r="H81" s="130">
        <v>76</v>
      </c>
      <c r="I81" s="131" t="str">
        <f t="shared" si="10"/>
        <v/>
      </c>
      <c r="J81" s="130">
        <f t="shared" si="11"/>
        <v>-5</v>
      </c>
      <c r="K81" s="130">
        <f t="shared" si="8"/>
        <v>-50</v>
      </c>
      <c r="L81" s="130"/>
      <c r="M81" s="132">
        <f t="shared" si="9"/>
        <v>0</v>
      </c>
    </row>
    <row r="82" spans="1:13" x14ac:dyDescent="0.25">
      <c r="A82" s="146"/>
      <c r="G82" s="116"/>
      <c r="H82" s="130">
        <v>77</v>
      </c>
      <c r="I82" s="131" t="str">
        <f t="shared" si="10"/>
        <v/>
      </c>
      <c r="J82" s="130">
        <f t="shared" si="11"/>
        <v>-5</v>
      </c>
      <c r="K82" s="130">
        <f t="shared" si="8"/>
        <v>-50</v>
      </c>
      <c r="L82" s="130"/>
      <c r="M82" s="132">
        <f t="shared" si="9"/>
        <v>0</v>
      </c>
    </row>
    <row r="83" spans="1:13" x14ac:dyDescent="0.25">
      <c r="A83" s="146"/>
      <c r="G83" s="116"/>
      <c r="H83" s="130">
        <v>78</v>
      </c>
      <c r="I83" s="131" t="str">
        <f t="shared" si="10"/>
        <v/>
      </c>
      <c r="J83" s="130">
        <f t="shared" si="11"/>
        <v>-5</v>
      </c>
      <c r="K83" s="130">
        <f t="shared" si="8"/>
        <v>-50</v>
      </c>
      <c r="L83" s="130"/>
      <c r="M83" s="132">
        <f t="shared" si="9"/>
        <v>0</v>
      </c>
    </row>
    <row r="84" spans="1:13" x14ac:dyDescent="0.25">
      <c r="A84" s="146"/>
      <c r="G84" s="116"/>
      <c r="H84" s="130">
        <v>79</v>
      </c>
      <c r="I84" s="131" t="str">
        <f t="shared" si="10"/>
        <v/>
      </c>
      <c r="J84" s="130">
        <f t="shared" si="11"/>
        <v>-5</v>
      </c>
      <c r="K84" s="130">
        <f t="shared" si="8"/>
        <v>-50</v>
      </c>
      <c r="L84" s="130"/>
      <c r="M84" s="132">
        <f t="shared" si="9"/>
        <v>0</v>
      </c>
    </row>
    <row r="85" spans="1:13" x14ac:dyDescent="0.25">
      <c r="A85" s="146"/>
      <c r="G85" s="116"/>
      <c r="H85" s="130">
        <v>80</v>
      </c>
      <c r="I85" s="131" t="str">
        <f t="shared" si="10"/>
        <v/>
      </c>
      <c r="J85" s="130">
        <f t="shared" si="11"/>
        <v>-5</v>
      </c>
      <c r="K85" s="130">
        <f t="shared" si="8"/>
        <v>-50</v>
      </c>
      <c r="L85" s="130"/>
      <c r="M85" s="132">
        <f t="shared" si="9"/>
        <v>0</v>
      </c>
    </row>
    <row r="86" spans="1:13" x14ac:dyDescent="0.25">
      <c r="A86" s="146"/>
      <c r="G86" s="116"/>
      <c r="H86" s="130">
        <v>81</v>
      </c>
      <c r="I86" s="131" t="str">
        <f t="shared" si="10"/>
        <v/>
      </c>
      <c r="J86" s="130">
        <f t="shared" si="11"/>
        <v>-5</v>
      </c>
      <c r="K86" s="130">
        <f t="shared" si="8"/>
        <v>-50</v>
      </c>
      <c r="L86" s="130"/>
      <c r="M86" s="132">
        <f t="shared" si="9"/>
        <v>0</v>
      </c>
    </row>
    <row r="87" spans="1:13" x14ac:dyDescent="0.25">
      <c r="A87" s="146"/>
      <c r="G87" s="116"/>
      <c r="H87" s="130">
        <v>82</v>
      </c>
      <c r="I87" s="131" t="str">
        <f t="shared" si="10"/>
        <v/>
      </c>
      <c r="J87" s="130">
        <f t="shared" si="11"/>
        <v>-5</v>
      </c>
      <c r="K87" s="130">
        <f t="shared" si="8"/>
        <v>-50</v>
      </c>
      <c r="L87" s="130"/>
      <c r="M87" s="132">
        <f t="shared" si="9"/>
        <v>0</v>
      </c>
    </row>
    <row r="88" spans="1:13" x14ac:dyDescent="0.25">
      <c r="A88" s="146"/>
      <c r="G88" s="116"/>
      <c r="H88" s="130">
        <v>83</v>
      </c>
      <c r="I88" s="131" t="str">
        <f t="shared" si="10"/>
        <v/>
      </c>
      <c r="J88" s="130">
        <f t="shared" si="11"/>
        <v>-5</v>
      </c>
      <c r="K88" s="130">
        <f t="shared" si="8"/>
        <v>-50</v>
      </c>
      <c r="L88" s="130"/>
      <c r="M88" s="132">
        <f t="shared" si="9"/>
        <v>0</v>
      </c>
    </row>
    <row r="89" spans="1:13" x14ac:dyDescent="0.25">
      <c r="A89" s="146"/>
      <c r="G89" s="116"/>
      <c r="H89" s="130">
        <v>84</v>
      </c>
      <c r="I89" s="131" t="str">
        <f t="shared" si="10"/>
        <v/>
      </c>
      <c r="J89" s="130">
        <f t="shared" si="11"/>
        <v>-5</v>
      </c>
      <c r="K89" s="130">
        <f t="shared" si="8"/>
        <v>-50</v>
      </c>
      <c r="L89" s="130"/>
      <c r="M89" s="132">
        <f t="shared" si="9"/>
        <v>0</v>
      </c>
    </row>
    <row r="90" spans="1:13" x14ac:dyDescent="0.25">
      <c r="A90" s="146"/>
      <c r="G90" s="116"/>
      <c r="H90" s="130">
        <v>85</v>
      </c>
      <c r="I90" s="131" t="str">
        <f t="shared" si="10"/>
        <v/>
      </c>
      <c r="J90" s="130">
        <f t="shared" si="11"/>
        <v>-5</v>
      </c>
      <c r="K90" s="130">
        <f t="shared" si="8"/>
        <v>-50</v>
      </c>
      <c r="L90" s="130"/>
      <c r="M90" s="132">
        <f t="shared" si="9"/>
        <v>0</v>
      </c>
    </row>
    <row r="91" spans="1:13" x14ac:dyDescent="0.25">
      <c r="A91" s="146"/>
      <c r="G91" s="116"/>
      <c r="H91" s="130">
        <v>86</v>
      </c>
      <c r="I91" s="131" t="str">
        <f t="shared" si="10"/>
        <v/>
      </c>
      <c r="J91" s="130">
        <f t="shared" si="11"/>
        <v>-5</v>
      </c>
      <c r="K91" s="130">
        <f t="shared" si="8"/>
        <v>-50</v>
      </c>
      <c r="L91" s="130"/>
      <c r="M91" s="132">
        <f t="shared" si="9"/>
        <v>0</v>
      </c>
    </row>
    <row r="92" spans="1:13" x14ac:dyDescent="0.25">
      <c r="A92" s="146"/>
      <c r="G92" s="116"/>
      <c r="H92" s="130">
        <v>87</v>
      </c>
      <c r="I92" s="131" t="str">
        <f t="shared" si="10"/>
        <v/>
      </c>
      <c r="J92" s="130">
        <f t="shared" si="11"/>
        <v>-5</v>
      </c>
      <c r="K92" s="130">
        <f t="shared" si="8"/>
        <v>-50</v>
      </c>
      <c r="L92" s="130"/>
      <c r="M92" s="132">
        <f t="shared" si="9"/>
        <v>0</v>
      </c>
    </row>
    <row r="93" spans="1:13" x14ac:dyDescent="0.25">
      <c r="A93" s="146"/>
      <c r="G93" s="116"/>
      <c r="H93" s="130">
        <v>88</v>
      </c>
      <c r="I93" s="131" t="str">
        <f t="shared" si="10"/>
        <v/>
      </c>
      <c r="J93" s="130">
        <f t="shared" si="11"/>
        <v>-5</v>
      </c>
      <c r="K93" s="130">
        <f t="shared" si="8"/>
        <v>-50</v>
      </c>
      <c r="L93" s="130"/>
      <c r="M93" s="132">
        <f t="shared" si="9"/>
        <v>0</v>
      </c>
    </row>
    <row r="94" spans="1:13" x14ac:dyDescent="0.25">
      <c r="A94" s="146"/>
      <c r="G94" s="116"/>
      <c r="H94" s="130">
        <v>89</v>
      </c>
      <c r="I94" s="131" t="str">
        <f t="shared" si="10"/>
        <v/>
      </c>
      <c r="J94" s="130">
        <f t="shared" si="11"/>
        <v>-5</v>
      </c>
      <c r="K94" s="130">
        <f t="shared" si="8"/>
        <v>-50</v>
      </c>
      <c r="L94" s="130"/>
      <c r="M94" s="132">
        <f t="shared" si="9"/>
        <v>0</v>
      </c>
    </row>
    <row r="95" spans="1:13" x14ac:dyDescent="0.25">
      <c r="A95" s="146"/>
      <c r="G95" s="116"/>
      <c r="H95" s="130">
        <v>90</v>
      </c>
      <c r="I95" s="131" t="str">
        <f t="shared" si="10"/>
        <v/>
      </c>
      <c r="J95" s="130">
        <f t="shared" si="11"/>
        <v>-5</v>
      </c>
      <c r="K95" s="130">
        <f t="shared" si="8"/>
        <v>-50</v>
      </c>
      <c r="L95" s="130"/>
      <c r="M95" s="132">
        <f t="shared" si="9"/>
        <v>0</v>
      </c>
    </row>
    <row r="96" spans="1:13" x14ac:dyDescent="0.25">
      <c r="A96" s="146"/>
      <c r="G96" s="116"/>
      <c r="H96" s="130">
        <v>91</v>
      </c>
      <c r="I96" s="131" t="str">
        <f t="shared" si="10"/>
        <v/>
      </c>
      <c r="J96" s="130">
        <f t="shared" si="11"/>
        <v>-5</v>
      </c>
      <c r="K96" s="130">
        <f t="shared" si="8"/>
        <v>-50</v>
      </c>
      <c r="L96" s="130"/>
      <c r="M96" s="132">
        <f t="shared" si="9"/>
        <v>0</v>
      </c>
    </row>
    <row r="97" spans="1:13" x14ac:dyDescent="0.25">
      <c r="A97" s="146"/>
      <c r="G97" s="116"/>
      <c r="H97" s="130">
        <v>92</v>
      </c>
      <c r="I97" s="131" t="str">
        <f t="shared" si="10"/>
        <v/>
      </c>
      <c r="J97" s="130">
        <f t="shared" si="11"/>
        <v>-5</v>
      </c>
      <c r="K97" s="130">
        <f t="shared" si="8"/>
        <v>-50</v>
      </c>
      <c r="L97" s="130"/>
      <c r="M97" s="132">
        <f t="shared" si="9"/>
        <v>0</v>
      </c>
    </row>
    <row r="98" spans="1:13" x14ac:dyDescent="0.25">
      <c r="A98" s="146"/>
      <c r="G98" s="116"/>
      <c r="H98" s="130">
        <v>93</v>
      </c>
      <c r="I98" s="131" t="str">
        <f t="shared" si="10"/>
        <v/>
      </c>
      <c r="J98" s="130">
        <f t="shared" si="11"/>
        <v>-5</v>
      </c>
      <c r="K98" s="130">
        <f t="shared" si="8"/>
        <v>-50</v>
      </c>
      <c r="L98" s="130"/>
      <c r="M98" s="132">
        <f t="shared" si="9"/>
        <v>0</v>
      </c>
    </row>
    <row r="99" spans="1:13" x14ac:dyDescent="0.25">
      <c r="A99" s="146"/>
      <c r="G99" s="116"/>
      <c r="H99" s="130">
        <v>94</v>
      </c>
      <c r="I99" s="131" t="str">
        <f t="shared" si="10"/>
        <v/>
      </c>
      <c r="J99" s="130">
        <f t="shared" si="11"/>
        <v>-5</v>
      </c>
      <c r="K99" s="130">
        <f t="shared" si="8"/>
        <v>-50</v>
      </c>
      <c r="L99" s="130"/>
      <c r="M99" s="132">
        <f t="shared" si="9"/>
        <v>0</v>
      </c>
    </row>
    <row r="100" spans="1:13" x14ac:dyDescent="0.25">
      <c r="A100" s="146"/>
      <c r="G100" s="116"/>
      <c r="H100" s="130">
        <v>95</v>
      </c>
      <c r="I100" s="131" t="str">
        <f t="shared" si="10"/>
        <v/>
      </c>
      <c r="J100" s="130">
        <f t="shared" si="11"/>
        <v>-5</v>
      </c>
      <c r="K100" s="130">
        <f t="shared" si="8"/>
        <v>-50</v>
      </c>
      <c r="L100" s="130"/>
      <c r="M100" s="132">
        <f t="shared" si="9"/>
        <v>0</v>
      </c>
    </row>
    <row r="101" spans="1:13" x14ac:dyDescent="0.25">
      <c r="A101" s="146"/>
      <c r="G101" s="116"/>
      <c r="H101" s="130">
        <v>96</v>
      </c>
      <c r="I101" s="131" t="str">
        <f t="shared" si="10"/>
        <v/>
      </c>
      <c r="J101" s="130">
        <f t="shared" si="11"/>
        <v>-5</v>
      </c>
      <c r="K101" s="130">
        <f t="shared" si="8"/>
        <v>-50</v>
      </c>
      <c r="L101" s="130"/>
      <c r="M101" s="132">
        <f t="shared" si="9"/>
        <v>0</v>
      </c>
    </row>
    <row r="102" spans="1:13" x14ac:dyDescent="0.25">
      <c r="A102" s="146"/>
      <c r="G102" s="116"/>
      <c r="H102" s="130">
        <v>97</v>
      </c>
      <c r="I102" s="131" t="str">
        <f t="shared" si="10"/>
        <v/>
      </c>
      <c r="J102" s="130">
        <f t="shared" si="11"/>
        <v>-5</v>
      </c>
      <c r="K102" s="130">
        <f t="shared" si="8"/>
        <v>-50</v>
      </c>
      <c r="L102" s="130"/>
      <c r="M102" s="132">
        <f t="shared" si="9"/>
        <v>0</v>
      </c>
    </row>
    <row r="103" spans="1:13" x14ac:dyDescent="0.25">
      <c r="A103" s="146"/>
      <c r="G103" s="116"/>
      <c r="H103" s="130">
        <v>98</v>
      </c>
      <c r="I103" s="131" t="str">
        <f t="shared" si="10"/>
        <v/>
      </c>
      <c r="J103" s="130">
        <f t="shared" si="11"/>
        <v>-5</v>
      </c>
      <c r="K103" s="130">
        <f t="shared" si="8"/>
        <v>-50</v>
      </c>
      <c r="L103" s="130"/>
      <c r="M103" s="132">
        <f t="shared" si="9"/>
        <v>0</v>
      </c>
    </row>
    <row r="104" spans="1:13" x14ac:dyDescent="0.25">
      <c r="A104" s="146"/>
      <c r="G104" s="116"/>
      <c r="H104" s="130">
        <v>99</v>
      </c>
      <c r="I104" s="131" t="str">
        <f t="shared" si="10"/>
        <v/>
      </c>
      <c r="J104" s="130">
        <f t="shared" si="11"/>
        <v>-5</v>
      </c>
      <c r="K104" s="130">
        <f t="shared" si="8"/>
        <v>-50</v>
      </c>
      <c r="L104" s="130"/>
      <c r="M104" s="132">
        <f t="shared" si="9"/>
        <v>0</v>
      </c>
    </row>
    <row r="105" spans="1:13" x14ac:dyDescent="0.25">
      <c r="A105" s="146"/>
      <c r="G105" s="116"/>
      <c r="H105" s="130">
        <v>100</v>
      </c>
      <c r="I105" s="131" t="str">
        <f t="shared" si="10"/>
        <v/>
      </c>
      <c r="J105" s="130">
        <f t="shared" si="11"/>
        <v>-5</v>
      </c>
      <c r="K105" s="130">
        <f t="shared" si="8"/>
        <v>-50</v>
      </c>
      <c r="L105" s="130"/>
      <c r="M105" s="132">
        <f t="shared" si="9"/>
        <v>0</v>
      </c>
    </row>
    <row r="106" spans="1:13" x14ac:dyDescent="0.25">
      <c r="A106" s="146"/>
      <c r="G106" s="116"/>
      <c r="H106" s="130">
        <v>101</v>
      </c>
      <c r="I106" s="131" t="str">
        <f t="shared" si="10"/>
        <v/>
      </c>
      <c r="J106" s="130">
        <f t="shared" si="11"/>
        <v>-5</v>
      </c>
      <c r="K106" s="130">
        <f t="shared" si="8"/>
        <v>-50</v>
      </c>
      <c r="L106" s="130"/>
      <c r="M106" s="132">
        <f t="shared" si="9"/>
        <v>0</v>
      </c>
    </row>
    <row r="107" spans="1:13" x14ac:dyDescent="0.25">
      <c r="A107" s="146"/>
      <c r="G107" s="116"/>
      <c r="H107" s="130">
        <v>102</v>
      </c>
      <c r="I107" s="131" t="str">
        <f t="shared" si="10"/>
        <v/>
      </c>
      <c r="J107" s="130">
        <f t="shared" si="11"/>
        <v>-5</v>
      </c>
      <c r="K107" s="130">
        <f t="shared" si="8"/>
        <v>-50</v>
      </c>
      <c r="L107" s="130"/>
      <c r="M107" s="132">
        <f t="shared" si="9"/>
        <v>0</v>
      </c>
    </row>
    <row r="108" spans="1:13" x14ac:dyDescent="0.25">
      <c r="A108" s="146"/>
      <c r="G108" s="116"/>
      <c r="H108" s="130">
        <v>103</v>
      </c>
      <c r="I108" s="131" t="str">
        <f t="shared" si="10"/>
        <v/>
      </c>
      <c r="J108" s="130">
        <f t="shared" si="11"/>
        <v>-5</v>
      </c>
      <c r="K108" s="130">
        <f t="shared" si="8"/>
        <v>-50</v>
      </c>
      <c r="L108" s="130"/>
      <c r="M108" s="132">
        <f t="shared" si="9"/>
        <v>0</v>
      </c>
    </row>
    <row r="109" spans="1:13" x14ac:dyDescent="0.25">
      <c r="A109" s="146"/>
      <c r="G109" s="116"/>
      <c r="H109" s="130">
        <v>104</v>
      </c>
      <c r="I109" s="131" t="str">
        <f t="shared" si="10"/>
        <v/>
      </c>
      <c r="J109" s="130">
        <f t="shared" si="11"/>
        <v>-5</v>
      </c>
      <c r="K109" s="130">
        <f t="shared" si="8"/>
        <v>-50</v>
      </c>
      <c r="L109" s="130"/>
      <c r="M109" s="132">
        <f t="shared" si="9"/>
        <v>0</v>
      </c>
    </row>
    <row r="110" spans="1:13" x14ac:dyDescent="0.25">
      <c r="A110" s="146"/>
      <c r="G110" s="116"/>
      <c r="H110" s="130">
        <v>105</v>
      </c>
      <c r="I110" s="131" t="str">
        <f t="shared" si="10"/>
        <v/>
      </c>
      <c r="J110" s="130">
        <f t="shared" si="11"/>
        <v>-5</v>
      </c>
      <c r="K110" s="130">
        <f t="shared" si="8"/>
        <v>-50</v>
      </c>
      <c r="L110" s="130"/>
      <c r="M110" s="132">
        <f t="shared" si="9"/>
        <v>0</v>
      </c>
    </row>
    <row r="111" spans="1:13" x14ac:dyDescent="0.25">
      <c r="A111" s="146"/>
      <c r="G111" s="116"/>
      <c r="H111" s="130">
        <v>106</v>
      </c>
      <c r="I111" s="131" t="str">
        <f t="shared" si="10"/>
        <v/>
      </c>
      <c r="J111" s="130">
        <f t="shared" si="11"/>
        <v>-5</v>
      </c>
      <c r="K111" s="130">
        <f t="shared" si="8"/>
        <v>-50</v>
      </c>
      <c r="L111" s="130"/>
      <c r="M111" s="132">
        <f t="shared" si="9"/>
        <v>0</v>
      </c>
    </row>
    <row r="112" spans="1:13" x14ac:dyDescent="0.25">
      <c r="A112" s="146"/>
      <c r="G112" s="116"/>
      <c r="H112" s="130">
        <v>107</v>
      </c>
      <c r="I112" s="131" t="str">
        <f t="shared" si="10"/>
        <v/>
      </c>
      <c r="J112" s="130">
        <f t="shared" si="11"/>
        <v>-5</v>
      </c>
      <c r="K112" s="130">
        <f t="shared" si="8"/>
        <v>-50</v>
      </c>
      <c r="L112" s="130"/>
      <c r="M112" s="132">
        <f t="shared" si="9"/>
        <v>0</v>
      </c>
    </row>
    <row r="113" spans="1:13" x14ac:dyDescent="0.25">
      <c r="A113" s="146"/>
      <c r="G113" s="116"/>
      <c r="H113" s="130">
        <v>108</v>
      </c>
      <c r="I113" s="131" t="str">
        <f t="shared" si="10"/>
        <v/>
      </c>
      <c r="J113" s="130">
        <f t="shared" si="11"/>
        <v>-5</v>
      </c>
      <c r="K113" s="130">
        <f t="shared" si="8"/>
        <v>-50</v>
      </c>
      <c r="L113" s="130"/>
      <c r="M113" s="132">
        <f t="shared" si="9"/>
        <v>0</v>
      </c>
    </row>
    <row r="114" spans="1:13" x14ac:dyDescent="0.25">
      <c r="A114" s="146"/>
      <c r="G114" s="116"/>
      <c r="H114" s="130">
        <v>109</v>
      </c>
      <c r="I114" s="131" t="str">
        <f t="shared" si="10"/>
        <v/>
      </c>
      <c r="J114" s="130">
        <f t="shared" si="11"/>
        <v>-5</v>
      </c>
      <c r="K114" s="130">
        <f t="shared" si="8"/>
        <v>-50</v>
      </c>
      <c r="L114" s="130"/>
      <c r="M114" s="132">
        <f t="shared" si="9"/>
        <v>0</v>
      </c>
    </row>
    <row r="115" spans="1:13" x14ac:dyDescent="0.25">
      <c r="A115" s="146"/>
      <c r="G115" s="116"/>
      <c r="H115" s="130">
        <v>110</v>
      </c>
      <c r="I115" s="131" t="str">
        <f t="shared" si="10"/>
        <v/>
      </c>
      <c r="J115" s="130">
        <f t="shared" si="11"/>
        <v>-5</v>
      </c>
      <c r="K115" s="130">
        <f t="shared" si="8"/>
        <v>-50</v>
      </c>
      <c r="L115" s="130"/>
      <c r="M115" s="132">
        <f t="shared" si="9"/>
        <v>0</v>
      </c>
    </row>
    <row r="116" spans="1:13" x14ac:dyDescent="0.25">
      <c r="A116" s="146"/>
      <c r="G116" s="116"/>
      <c r="H116" s="130">
        <v>111</v>
      </c>
      <c r="I116" s="131" t="str">
        <f t="shared" si="10"/>
        <v/>
      </c>
      <c r="J116" s="130">
        <f t="shared" si="11"/>
        <v>-5</v>
      </c>
      <c r="K116" s="130">
        <f t="shared" si="8"/>
        <v>-50</v>
      </c>
      <c r="L116" s="130"/>
      <c r="M116" s="132">
        <f t="shared" si="9"/>
        <v>0</v>
      </c>
    </row>
    <row r="117" spans="1:13" x14ac:dyDescent="0.25">
      <c r="A117" s="146"/>
      <c r="G117" s="116"/>
      <c r="H117" s="130">
        <v>112</v>
      </c>
      <c r="I117" s="131" t="str">
        <f t="shared" si="10"/>
        <v/>
      </c>
      <c r="J117" s="130">
        <f t="shared" si="11"/>
        <v>-5</v>
      </c>
      <c r="K117" s="130">
        <f t="shared" si="8"/>
        <v>-50</v>
      </c>
      <c r="L117" s="130"/>
      <c r="M117" s="132">
        <f t="shared" si="9"/>
        <v>0</v>
      </c>
    </row>
    <row r="118" spans="1:13" x14ac:dyDescent="0.25">
      <c r="A118" s="146"/>
      <c r="G118" s="116"/>
      <c r="H118" s="130">
        <v>113</v>
      </c>
      <c r="I118" s="131" t="str">
        <f t="shared" si="10"/>
        <v/>
      </c>
      <c r="J118" s="130">
        <f t="shared" si="11"/>
        <v>-5</v>
      </c>
      <c r="K118" s="130">
        <f t="shared" si="8"/>
        <v>-50</v>
      </c>
      <c r="L118" s="130"/>
      <c r="M118" s="132">
        <f t="shared" si="9"/>
        <v>0</v>
      </c>
    </row>
    <row r="119" spans="1:13" x14ac:dyDescent="0.25">
      <c r="A119" s="146"/>
      <c r="G119" s="116"/>
      <c r="H119" s="130">
        <v>114</v>
      </c>
      <c r="I119" s="131" t="str">
        <f t="shared" si="10"/>
        <v/>
      </c>
      <c r="J119" s="130">
        <f t="shared" si="11"/>
        <v>-5</v>
      </c>
      <c r="K119" s="130">
        <f t="shared" si="8"/>
        <v>-50</v>
      </c>
      <c r="L119" s="130"/>
      <c r="M119" s="132">
        <f t="shared" si="9"/>
        <v>0</v>
      </c>
    </row>
    <row r="120" spans="1:13" x14ac:dyDescent="0.25">
      <c r="A120" s="146"/>
      <c r="G120" s="116"/>
      <c r="H120" s="130">
        <v>115</v>
      </c>
      <c r="I120" s="131" t="str">
        <f t="shared" si="10"/>
        <v/>
      </c>
      <c r="J120" s="130">
        <f t="shared" si="11"/>
        <v>-5</v>
      </c>
      <c r="K120" s="130">
        <f t="shared" si="8"/>
        <v>-50</v>
      </c>
      <c r="L120" s="130"/>
      <c r="M120" s="132">
        <f t="shared" si="9"/>
        <v>0</v>
      </c>
    </row>
    <row r="121" spans="1:13" x14ac:dyDescent="0.25">
      <c r="A121" s="146"/>
      <c r="G121" s="116"/>
      <c r="H121" s="130">
        <v>116</v>
      </c>
      <c r="I121" s="131" t="str">
        <f t="shared" si="10"/>
        <v/>
      </c>
      <c r="J121" s="130">
        <f t="shared" si="11"/>
        <v>-5</v>
      </c>
      <c r="K121" s="130">
        <f t="shared" si="8"/>
        <v>-50</v>
      </c>
      <c r="L121" s="130"/>
      <c r="M121" s="132">
        <f t="shared" si="9"/>
        <v>0</v>
      </c>
    </row>
    <row r="122" spans="1:13" x14ac:dyDescent="0.25">
      <c r="A122" s="146"/>
      <c r="G122" s="116"/>
      <c r="H122" s="130">
        <v>117</v>
      </c>
      <c r="I122" s="131" t="str">
        <f t="shared" si="10"/>
        <v/>
      </c>
      <c r="J122" s="130">
        <f t="shared" si="11"/>
        <v>-5</v>
      </c>
      <c r="K122" s="130">
        <f t="shared" si="8"/>
        <v>-50</v>
      </c>
      <c r="L122" s="130"/>
      <c r="M122" s="132">
        <f t="shared" si="9"/>
        <v>0</v>
      </c>
    </row>
    <row r="123" spans="1:13" x14ac:dyDescent="0.25">
      <c r="A123" s="146"/>
      <c r="G123" s="116"/>
      <c r="H123" s="130">
        <v>118</v>
      </c>
      <c r="I123" s="131" t="str">
        <f t="shared" si="10"/>
        <v/>
      </c>
      <c r="J123" s="130">
        <f t="shared" si="11"/>
        <v>-5</v>
      </c>
      <c r="K123" s="130">
        <f t="shared" si="8"/>
        <v>-50</v>
      </c>
      <c r="L123" s="130"/>
      <c r="M123" s="132">
        <f t="shared" si="9"/>
        <v>0</v>
      </c>
    </row>
    <row r="124" spans="1:13" x14ac:dyDescent="0.25">
      <c r="A124" s="146"/>
      <c r="G124" s="116"/>
      <c r="H124" s="130">
        <v>119</v>
      </c>
      <c r="I124" s="131" t="str">
        <f t="shared" si="10"/>
        <v/>
      </c>
      <c r="J124" s="130">
        <f t="shared" si="11"/>
        <v>-5</v>
      </c>
      <c r="K124" s="130">
        <f t="shared" si="8"/>
        <v>-50</v>
      </c>
      <c r="L124" s="130"/>
      <c r="M124" s="132">
        <f t="shared" si="9"/>
        <v>0</v>
      </c>
    </row>
    <row r="125" spans="1:13" x14ac:dyDescent="0.25">
      <c r="A125" s="146"/>
      <c r="G125" s="116"/>
      <c r="H125" s="130">
        <v>120</v>
      </c>
      <c r="I125" s="131" t="str">
        <f t="shared" si="10"/>
        <v/>
      </c>
      <c r="J125" s="130">
        <f t="shared" si="11"/>
        <v>-5</v>
      </c>
      <c r="K125" s="130">
        <f t="shared" si="8"/>
        <v>-50</v>
      </c>
      <c r="L125" s="130"/>
      <c r="M125" s="132">
        <f t="shared" si="9"/>
        <v>0</v>
      </c>
    </row>
    <row r="126" spans="1:13" x14ac:dyDescent="0.25">
      <c r="A126" s="146"/>
      <c r="G126" s="116"/>
      <c r="H126" s="130">
        <v>121</v>
      </c>
      <c r="I126" s="131" t="str">
        <f t="shared" si="10"/>
        <v/>
      </c>
      <c r="J126" s="130">
        <f t="shared" si="11"/>
        <v>-5</v>
      </c>
      <c r="K126" s="130">
        <f t="shared" si="8"/>
        <v>-50</v>
      </c>
      <c r="L126" s="130"/>
      <c r="M126" s="132">
        <f t="shared" si="9"/>
        <v>0</v>
      </c>
    </row>
    <row r="127" spans="1:13" x14ac:dyDescent="0.25">
      <c r="A127" s="146"/>
      <c r="G127" s="116"/>
      <c r="H127" s="130">
        <v>122</v>
      </c>
      <c r="I127" s="131" t="str">
        <f t="shared" si="10"/>
        <v/>
      </c>
      <c r="J127" s="130">
        <f t="shared" si="11"/>
        <v>-5</v>
      </c>
      <c r="K127" s="130">
        <f t="shared" si="8"/>
        <v>-50</v>
      </c>
      <c r="L127" s="130"/>
      <c r="M127" s="132">
        <f t="shared" si="9"/>
        <v>0</v>
      </c>
    </row>
    <row r="128" spans="1:13" x14ac:dyDescent="0.25">
      <c r="A128" s="146"/>
      <c r="G128" s="116"/>
      <c r="H128" s="130">
        <v>123</v>
      </c>
      <c r="I128" s="131" t="str">
        <f t="shared" si="10"/>
        <v/>
      </c>
      <c r="J128" s="130">
        <f t="shared" si="11"/>
        <v>-5</v>
      </c>
      <c r="K128" s="130">
        <f t="shared" si="8"/>
        <v>-50</v>
      </c>
      <c r="L128" s="130"/>
      <c r="M128" s="132">
        <f t="shared" si="9"/>
        <v>0</v>
      </c>
    </row>
    <row r="129" spans="1:13" x14ac:dyDescent="0.25">
      <c r="A129" s="146"/>
      <c r="G129" s="116"/>
      <c r="H129" s="130">
        <v>124</v>
      </c>
      <c r="I129" s="131" t="str">
        <f t="shared" si="10"/>
        <v/>
      </c>
      <c r="J129" s="130">
        <f t="shared" si="11"/>
        <v>-5</v>
      </c>
      <c r="K129" s="130">
        <f t="shared" si="8"/>
        <v>-50</v>
      </c>
      <c r="L129" s="130"/>
      <c r="M129" s="132">
        <f t="shared" si="9"/>
        <v>0</v>
      </c>
    </row>
    <row r="130" spans="1:13" x14ac:dyDescent="0.25">
      <c r="A130" s="146"/>
      <c r="G130" s="116"/>
      <c r="H130" s="130">
        <v>125</v>
      </c>
      <c r="I130" s="131" t="str">
        <f t="shared" si="10"/>
        <v/>
      </c>
      <c r="J130" s="130">
        <f t="shared" si="11"/>
        <v>-5</v>
      </c>
      <c r="K130" s="130">
        <f t="shared" si="8"/>
        <v>-50</v>
      </c>
      <c r="L130" s="130"/>
      <c r="M130" s="132">
        <f t="shared" si="9"/>
        <v>0</v>
      </c>
    </row>
    <row r="131" spans="1:13" x14ac:dyDescent="0.25">
      <c r="A131" s="146"/>
      <c r="G131" s="116"/>
      <c r="H131" s="130">
        <v>126</v>
      </c>
      <c r="I131" s="131" t="str">
        <f t="shared" si="10"/>
        <v/>
      </c>
      <c r="J131" s="130">
        <f t="shared" si="11"/>
        <v>-5</v>
      </c>
      <c r="K131" s="130">
        <f t="shared" si="8"/>
        <v>-50</v>
      </c>
      <c r="L131" s="130"/>
      <c r="M131" s="132">
        <f t="shared" si="9"/>
        <v>0</v>
      </c>
    </row>
    <row r="132" spans="1:13" x14ac:dyDescent="0.25">
      <c r="A132" s="146"/>
      <c r="G132" s="116"/>
      <c r="H132" s="130">
        <v>127</v>
      </c>
      <c r="I132" s="131" t="str">
        <f t="shared" si="10"/>
        <v/>
      </c>
      <c r="J132" s="130">
        <f t="shared" si="11"/>
        <v>-5</v>
      </c>
      <c r="K132" s="130">
        <f t="shared" si="8"/>
        <v>-50</v>
      </c>
      <c r="L132" s="130"/>
      <c r="M132" s="132">
        <f t="shared" si="9"/>
        <v>0</v>
      </c>
    </row>
    <row r="133" spans="1:13" x14ac:dyDescent="0.25">
      <c r="A133" s="146"/>
      <c r="G133" s="116"/>
      <c r="H133" s="130">
        <v>128</v>
      </c>
      <c r="I133" s="131" t="str">
        <f t="shared" si="10"/>
        <v/>
      </c>
      <c r="J133" s="130">
        <f t="shared" si="11"/>
        <v>-5</v>
      </c>
      <c r="K133" s="130">
        <f t="shared" si="8"/>
        <v>-50</v>
      </c>
      <c r="L133" s="130"/>
      <c r="M133" s="132">
        <f t="shared" si="9"/>
        <v>0</v>
      </c>
    </row>
    <row r="134" spans="1:13" x14ac:dyDescent="0.25">
      <c r="A134" s="146"/>
      <c r="G134" s="116"/>
      <c r="H134" s="130">
        <v>129</v>
      </c>
      <c r="I134" s="131" t="str">
        <f t="shared" si="10"/>
        <v/>
      </c>
      <c r="J134" s="130">
        <f t="shared" si="11"/>
        <v>-6</v>
      </c>
      <c r="K134" s="130">
        <f t="shared" ref="K134:K197" si="12">J134*$J$2</f>
        <v>-60</v>
      </c>
      <c r="L134" s="130"/>
      <c r="M134" s="132">
        <f t="shared" ref="M134:M197" si="13">IF(I134&lt;&gt;"",K134+I134+L134,0)</f>
        <v>0</v>
      </c>
    </row>
    <row r="135" spans="1:13" x14ac:dyDescent="0.25">
      <c r="A135" s="146"/>
      <c r="G135" s="116"/>
      <c r="H135" s="130">
        <v>130</v>
      </c>
      <c r="I135" s="131" t="str">
        <f t="shared" ref="I135:I198" si="14">IF(H135&lt;$H$2+1,($I$2-($I$2-1)*(LOG(H135)/LOG($H$2))),"")</f>
        <v/>
      </c>
      <c r="J135" s="130">
        <f t="shared" ref="J135:J198" si="15">INT(LOG($H$2,2))-ROUNDUP(LOG(H135,2),0)+IF(OR($H$2=1,$H$2=2,$H$2=4,$H$2=8,$H$2=16,$H$2=32,$H$2=64,$H$2=128,$H$2=256),0,1)</f>
        <v>-6</v>
      </c>
      <c r="K135" s="130">
        <f t="shared" si="12"/>
        <v>-60</v>
      </c>
      <c r="L135" s="130"/>
      <c r="M135" s="132">
        <f t="shared" si="13"/>
        <v>0</v>
      </c>
    </row>
    <row r="136" spans="1:13" x14ac:dyDescent="0.25">
      <c r="A136" s="146"/>
      <c r="G136" s="116"/>
      <c r="H136" s="130">
        <v>131</v>
      </c>
      <c r="I136" s="131" t="str">
        <f t="shared" si="14"/>
        <v/>
      </c>
      <c r="J136" s="130">
        <f t="shared" si="15"/>
        <v>-6</v>
      </c>
      <c r="K136" s="130">
        <f t="shared" si="12"/>
        <v>-60</v>
      </c>
      <c r="L136" s="130"/>
      <c r="M136" s="132">
        <f t="shared" si="13"/>
        <v>0</v>
      </c>
    </row>
    <row r="137" spans="1:13" x14ac:dyDescent="0.25">
      <c r="A137" s="146"/>
      <c r="G137" s="116"/>
      <c r="H137" s="130">
        <v>132</v>
      </c>
      <c r="I137" s="131" t="str">
        <f t="shared" si="14"/>
        <v/>
      </c>
      <c r="J137" s="130">
        <f t="shared" si="15"/>
        <v>-6</v>
      </c>
      <c r="K137" s="130">
        <f t="shared" si="12"/>
        <v>-60</v>
      </c>
      <c r="L137" s="130"/>
      <c r="M137" s="132">
        <f t="shared" si="13"/>
        <v>0</v>
      </c>
    </row>
    <row r="138" spans="1:13" x14ac:dyDescent="0.25">
      <c r="A138" s="146"/>
      <c r="G138" s="116"/>
      <c r="H138" s="130">
        <v>133</v>
      </c>
      <c r="I138" s="131" t="str">
        <f t="shared" si="14"/>
        <v/>
      </c>
      <c r="J138" s="130">
        <f t="shared" si="15"/>
        <v>-6</v>
      </c>
      <c r="K138" s="130">
        <f t="shared" si="12"/>
        <v>-60</v>
      </c>
      <c r="L138" s="130"/>
      <c r="M138" s="132">
        <f t="shared" si="13"/>
        <v>0</v>
      </c>
    </row>
    <row r="139" spans="1:13" x14ac:dyDescent="0.25">
      <c r="A139" s="146"/>
      <c r="G139" s="116"/>
      <c r="H139" s="130">
        <v>134</v>
      </c>
      <c r="I139" s="131" t="str">
        <f t="shared" si="14"/>
        <v/>
      </c>
      <c r="J139" s="130">
        <f t="shared" si="15"/>
        <v>-6</v>
      </c>
      <c r="K139" s="130">
        <f t="shared" si="12"/>
        <v>-60</v>
      </c>
      <c r="L139" s="130"/>
      <c r="M139" s="132">
        <f t="shared" si="13"/>
        <v>0</v>
      </c>
    </row>
    <row r="140" spans="1:13" x14ac:dyDescent="0.25">
      <c r="A140" s="146"/>
      <c r="G140" s="116"/>
      <c r="H140" s="130">
        <v>135</v>
      </c>
      <c r="I140" s="131" t="str">
        <f t="shared" si="14"/>
        <v/>
      </c>
      <c r="J140" s="130">
        <f t="shared" si="15"/>
        <v>-6</v>
      </c>
      <c r="K140" s="130">
        <f t="shared" si="12"/>
        <v>-60</v>
      </c>
      <c r="L140" s="130"/>
      <c r="M140" s="132">
        <f t="shared" si="13"/>
        <v>0</v>
      </c>
    </row>
    <row r="141" spans="1:13" x14ac:dyDescent="0.25">
      <c r="A141" s="146"/>
      <c r="G141" s="116"/>
      <c r="H141" s="130">
        <v>136</v>
      </c>
      <c r="I141" s="131" t="str">
        <f t="shared" si="14"/>
        <v/>
      </c>
      <c r="J141" s="130">
        <f t="shared" si="15"/>
        <v>-6</v>
      </c>
      <c r="K141" s="130">
        <f t="shared" si="12"/>
        <v>-60</v>
      </c>
      <c r="L141" s="130"/>
      <c r="M141" s="132">
        <f t="shared" si="13"/>
        <v>0</v>
      </c>
    </row>
    <row r="142" spans="1:13" x14ac:dyDescent="0.25">
      <c r="A142" s="146"/>
      <c r="G142" s="116"/>
      <c r="H142" s="130">
        <v>137</v>
      </c>
      <c r="I142" s="131" t="str">
        <f t="shared" si="14"/>
        <v/>
      </c>
      <c r="J142" s="130">
        <f t="shared" si="15"/>
        <v>-6</v>
      </c>
      <c r="K142" s="130">
        <f t="shared" si="12"/>
        <v>-60</v>
      </c>
      <c r="L142" s="130"/>
      <c r="M142" s="132">
        <f t="shared" si="13"/>
        <v>0</v>
      </c>
    </row>
    <row r="143" spans="1:13" x14ac:dyDescent="0.25">
      <c r="A143" s="146"/>
      <c r="G143" s="116"/>
      <c r="H143" s="130">
        <v>138</v>
      </c>
      <c r="I143" s="131" t="str">
        <f t="shared" si="14"/>
        <v/>
      </c>
      <c r="J143" s="130">
        <f t="shared" si="15"/>
        <v>-6</v>
      </c>
      <c r="K143" s="130">
        <f t="shared" si="12"/>
        <v>-60</v>
      </c>
      <c r="L143" s="130"/>
      <c r="M143" s="132">
        <f t="shared" si="13"/>
        <v>0</v>
      </c>
    </row>
    <row r="144" spans="1:13" x14ac:dyDescent="0.25">
      <c r="A144" s="146"/>
      <c r="G144" s="116"/>
      <c r="H144" s="130">
        <v>139</v>
      </c>
      <c r="I144" s="131" t="str">
        <f t="shared" si="14"/>
        <v/>
      </c>
      <c r="J144" s="130">
        <f t="shared" si="15"/>
        <v>-6</v>
      </c>
      <c r="K144" s="130">
        <f t="shared" si="12"/>
        <v>-60</v>
      </c>
      <c r="L144" s="130"/>
      <c r="M144" s="132">
        <f t="shared" si="13"/>
        <v>0</v>
      </c>
    </row>
    <row r="145" spans="1:13" x14ac:dyDescent="0.25">
      <c r="A145" s="146"/>
      <c r="G145" s="116"/>
      <c r="H145" s="130">
        <v>140</v>
      </c>
      <c r="I145" s="131" t="str">
        <f t="shared" si="14"/>
        <v/>
      </c>
      <c r="J145" s="130">
        <f t="shared" si="15"/>
        <v>-6</v>
      </c>
      <c r="K145" s="130">
        <f t="shared" si="12"/>
        <v>-60</v>
      </c>
      <c r="L145" s="130"/>
      <c r="M145" s="132">
        <f t="shared" si="13"/>
        <v>0</v>
      </c>
    </row>
    <row r="146" spans="1:13" x14ac:dyDescent="0.25">
      <c r="A146" s="146"/>
      <c r="G146" s="116"/>
      <c r="H146" s="130">
        <v>141</v>
      </c>
      <c r="I146" s="131" t="str">
        <f t="shared" si="14"/>
        <v/>
      </c>
      <c r="J146" s="130">
        <f t="shared" si="15"/>
        <v>-6</v>
      </c>
      <c r="K146" s="130">
        <f t="shared" si="12"/>
        <v>-60</v>
      </c>
      <c r="L146" s="130"/>
      <c r="M146" s="132">
        <f t="shared" si="13"/>
        <v>0</v>
      </c>
    </row>
    <row r="147" spans="1:13" x14ac:dyDescent="0.25">
      <c r="A147" s="146"/>
      <c r="G147" s="116"/>
      <c r="H147" s="130">
        <v>142</v>
      </c>
      <c r="I147" s="131" t="str">
        <f t="shared" si="14"/>
        <v/>
      </c>
      <c r="J147" s="130">
        <f t="shared" si="15"/>
        <v>-6</v>
      </c>
      <c r="K147" s="130">
        <f t="shared" si="12"/>
        <v>-60</v>
      </c>
      <c r="L147" s="130"/>
      <c r="M147" s="132">
        <f t="shared" si="13"/>
        <v>0</v>
      </c>
    </row>
    <row r="148" spans="1:13" x14ac:dyDescent="0.25">
      <c r="A148" s="146"/>
      <c r="G148" s="116"/>
      <c r="H148" s="130">
        <v>143</v>
      </c>
      <c r="I148" s="131" t="str">
        <f t="shared" si="14"/>
        <v/>
      </c>
      <c r="J148" s="130">
        <f t="shared" si="15"/>
        <v>-6</v>
      </c>
      <c r="K148" s="130">
        <f t="shared" si="12"/>
        <v>-60</v>
      </c>
      <c r="L148" s="130"/>
      <c r="M148" s="132">
        <f t="shared" si="13"/>
        <v>0</v>
      </c>
    </row>
    <row r="149" spans="1:13" x14ac:dyDescent="0.25">
      <c r="A149" s="146"/>
      <c r="G149" s="116"/>
      <c r="H149" s="130">
        <v>144</v>
      </c>
      <c r="I149" s="131" t="str">
        <f t="shared" si="14"/>
        <v/>
      </c>
      <c r="J149" s="130">
        <f t="shared" si="15"/>
        <v>-6</v>
      </c>
      <c r="K149" s="130">
        <f t="shared" si="12"/>
        <v>-60</v>
      </c>
      <c r="L149" s="130"/>
      <c r="M149" s="132">
        <f t="shared" si="13"/>
        <v>0</v>
      </c>
    </row>
    <row r="150" spans="1:13" x14ac:dyDescent="0.25">
      <c r="A150" s="146"/>
      <c r="G150" s="116"/>
      <c r="H150" s="130">
        <v>145</v>
      </c>
      <c r="I150" s="131" t="str">
        <f t="shared" si="14"/>
        <v/>
      </c>
      <c r="J150" s="130">
        <f t="shared" si="15"/>
        <v>-6</v>
      </c>
      <c r="K150" s="130">
        <f t="shared" si="12"/>
        <v>-60</v>
      </c>
      <c r="L150" s="130"/>
      <c r="M150" s="132">
        <f t="shared" si="13"/>
        <v>0</v>
      </c>
    </row>
    <row r="151" spans="1:13" x14ac:dyDescent="0.25">
      <c r="A151" s="146"/>
      <c r="G151" s="116"/>
      <c r="H151" s="130">
        <v>146</v>
      </c>
      <c r="I151" s="131" t="str">
        <f t="shared" si="14"/>
        <v/>
      </c>
      <c r="J151" s="130">
        <f t="shared" si="15"/>
        <v>-6</v>
      </c>
      <c r="K151" s="130">
        <f t="shared" si="12"/>
        <v>-60</v>
      </c>
      <c r="L151" s="130"/>
      <c r="M151" s="132">
        <f t="shared" si="13"/>
        <v>0</v>
      </c>
    </row>
    <row r="152" spans="1:13" x14ac:dyDescent="0.25">
      <c r="A152" s="146"/>
      <c r="G152" s="116"/>
      <c r="H152" s="130">
        <v>147</v>
      </c>
      <c r="I152" s="131" t="str">
        <f t="shared" si="14"/>
        <v/>
      </c>
      <c r="J152" s="130">
        <f t="shared" si="15"/>
        <v>-6</v>
      </c>
      <c r="K152" s="130">
        <f t="shared" si="12"/>
        <v>-60</v>
      </c>
      <c r="L152" s="130"/>
      <c r="M152" s="132">
        <f t="shared" si="13"/>
        <v>0</v>
      </c>
    </row>
    <row r="153" spans="1:13" x14ac:dyDescent="0.25">
      <c r="A153" s="146"/>
      <c r="G153" s="116"/>
      <c r="H153" s="130">
        <v>148</v>
      </c>
      <c r="I153" s="131" t="str">
        <f t="shared" si="14"/>
        <v/>
      </c>
      <c r="J153" s="130">
        <f t="shared" si="15"/>
        <v>-6</v>
      </c>
      <c r="K153" s="130">
        <f t="shared" si="12"/>
        <v>-60</v>
      </c>
      <c r="L153" s="130"/>
      <c r="M153" s="132">
        <f t="shared" si="13"/>
        <v>0</v>
      </c>
    </row>
    <row r="154" spans="1:13" x14ac:dyDescent="0.25">
      <c r="A154" s="146"/>
      <c r="G154" s="116"/>
      <c r="H154" s="130">
        <v>149</v>
      </c>
      <c r="I154" s="131" t="str">
        <f t="shared" si="14"/>
        <v/>
      </c>
      <c r="J154" s="130">
        <f t="shared" si="15"/>
        <v>-6</v>
      </c>
      <c r="K154" s="130">
        <f t="shared" si="12"/>
        <v>-60</v>
      </c>
      <c r="L154" s="130"/>
      <c r="M154" s="132">
        <f t="shared" si="13"/>
        <v>0</v>
      </c>
    </row>
    <row r="155" spans="1:13" x14ac:dyDescent="0.25">
      <c r="A155" s="146"/>
      <c r="G155" s="116"/>
      <c r="H155" s="130">
        <v>150</v>
      </c>
      <c r="I155" s="131" t="str">
        <f t="shared" si="14"/>
        <v/>
      </c>
      <c r="J155" s="130">
        <f t="shared" si="15"/>
        <v>-6</v>
      </c>
      <c r="K155" s="130">
        <f t="shared" si="12"/>
        <v>-60</v>
      </c>
      <c r="L155" s="130"/>
      <c r="M155" s="132">
        <f t="shared" si="13"/>
        <v>0</v>
      </c>
    </row>
    <row r="156" spans="1:13" x14ac:dyDescent="0.25">
      <c r="A156" s="146"/>
      <c r="G156" s="116"/>
      <c r="H156" s="130">
        <v>151</v>
      </c>
      <c r="I156" s="131" t="str">
        <f t="shared" si="14"/>
        <v/>
      </c>
      <c r="J156" s="130">
        <f t="shared" si="15"/>
        <v>-6</v>
      </c>
      <c r="K156" s="130">
        <f t="shared" si="12"/>
        <v>-60</v>
      </c>
      <c r="L156" s="130"/>
      <c r="M156" s="132">
        <f t="shared" si="13"/>
        <v>0</v>
      </c>
    </row>
    <row r="157" spans="1:13" x14ac:dyDescent="0.25">
      <c r="A157" s="146"/>
      <c r="G157" s="116"/>
      <c r="H157" s="130">
        <v>152</v>
      </c>
      <c r="I157" s="131" t="str">
        <f t="shared" si="14"/>
        <v/>
      </c>
      <c r="J157" s="130">
        <f t="shared" si="15"/>
        <v>-6</v>
      </c>
      <c r="K157" s="130">
        <f t="shared" si="12"/>
        <v>-60</v>
      </c>
      <c r="L157" s="130"/>
      <c r="M157" s="132">
        <f t="shared" si="13"/>
        <v>0</v>
      </c>
    </row>
    <row r="158" spans="1:13" x14ac:dyDescent="0.25">
      <c r="A158" s="146"/>
      <c r="G158" s="116"/>
      <c r="H158" s="130">
        <v>153</v>
      </c>
      <c r="I158" s="131" t="str">
        <f t="shared" si="14"/>
        <v/>
      </c>
      <c r="J158" s="130">
        <f t="shared" si="15"/>
        <v>-6</v>
      </c>
      <c r="K158" s="130">
        <f t="shared" si="12"/>
        <v>-60</v>
      </c>
      <c r="L158" s="130"/>
      <c r="M158" s="132">
        <f t="shared" si="13"/>
        <v>0</v>
      </c>
    </row>
    <row r="159" spans="1:13" x14ac:dyDescent="0.25">
      <c r="A159" s="146"/>
      <c r="G159" s="116"/>
      <c r="H159" s="130">
        <v>154</v>
      </c>
      <c r="I159" s="131" t="str">
        <f t="shared" si="14"/>
        <v/>
      </c>
      <c r="J159" s="130">
        <f t="shared" si="15"/>
        <v>-6</v>
      </c>
      <c r="K159" s="130">
        <f t="shared" si="12"/>
        <v>-60</v>
      </c>
      <c r="L159" s="130"/>
      <c r="M159" s="132">
        <f t="shared" si="13"/>
        <v>0</v>
      </c>
    </row>
    <row r="160" spans="1:13" x14ac:dyDescent="0.25">
      <c r="A160" s="146"/>
      <c r="G160" s="116"/>
      <c r="H160" s="130">
        <v>155</v>
      </c>
      <c r="I160" s="131" t="str">
        <f t="shared" si="14"/>
        <v/>
      </c>
      <c r="J160" s="130">
        <f t="shared" si="15"/>
        <v>-6</v>
      </c>
      <c r="K160" s="130">
        <f t="shared" si="12"/>
        <v>-60</v>
      </c>
      <c r="L160" s="130"/>
      <c r="M160" s="132">
        <f t="shared" si="13"/>
        <v>0</v>
      </c>
    </row>
    <row r="161" spans="1:13" x14ac:dyDescent="0.25">
      <c r="A161" s="146"/>
      <c r="G161" s="116"/>
      <c r="H161" s="130">
        <v>156</v>
      </c>
      <c r="I161" s="131" t="str">
        <f t="shared" si="14"/>
        <v/>
      </c>
      <c r="J161" s="130">
        <f t="shared" si="15"/>
        <v>-6</v>
      </c>
      <c r="K161" s="130">
        <f t="shared" si="12"/>
        <v>-60</v>
      </c>
      <c r="L161" s="130"/>
      <c r="M161" s="132">
        <f t="shared" si="13"/>
        <v>0</v>
      </c>
    </row>
    <row r="162" spans="1:13" x14ac:dyDescent="0.25">
      <c r="A162" s="146"/>
      <c r="G162" s="116"/>
      <c r="H162" s="130">
        <v>157</v>
      </c>
      <c r="I162" s="131" t="str">
        <f t="shared" si="14"/>
        <v/>
      </c>
      <c r="J162" s="130">
        <f t="shared" si="15"/>
        <v>-6</v>
      </c>
      <c r="K162" s="130">
        <f t="shared" si="12"/>
        <v>-60</v>
      </c>
      <c r="L162" s="130"/>
      <c r="M162" s="132">
        <f t="shared" si="13"/>
        <v>0</v>
      </c>
    </row>
    <row r="163" spans="1:13" x14ac:dyDescent="0.25">
      <c r="A163" s="146"/>
      <c r="G163" s="116"/>
      <c r="H163" s="130">
        <v>158</v>
      </c>
      <c r="I163" s="131" t="str">
        <f t="shared" si="14"/>
        <v/>
      </c>
      <c r="J163" s="130">
        <f t="shared" si="15"/>
        <v>-6</v>
      </c>
      <c r="K163" s="130">
        <f t="shared" si="12"/>
        <v>-60</v>
      </c>
      <c r="L163" s="130"/>
      <c r="M163" s="132">
        <f t="shared" si="13"/>
        <v>0</v>
      </c>
    </row>
    <row r="164" spans="1:13" x14ac:dyDescent="0.25">
      <c r="A164" s="146"/>
      <c r="G164" s="116"/>
      <c r="H164" s="130">
        <v>159</v>
      </c>
      <c r="I164" s="131" t="str">
        <f t="shared" si="14"/>
        <v/>
      </c>
      <c r="J164" s="130">
        <f t="shared" si="15"/>
        <v>-6</v>
      </c>
      <c r="K164" s="130">
        <f t="shared" si="12"/>
        <v>-60</v>
      </c>
      <c r="L164" s="130"/>
      <c r="M164" s="132">
        <f t="shared" si="13"/>
        <v>0</v>
      </c>
    </row>
    <row r="165" spans="1:13" x14ac:dyDescent="0.25">
      <c r="A165" s="146"/>
      <c r="G165" s="116"/>
      <c r="H165" s="130">
        <v>160</v>
      </c>
      <c r="I165" s="131" t="str">
        <f t="shared" si="14"/>
        <v/>
      </c>
      <c r="J165" s="130">
        <f t="shared" si="15"/>
        <v>-6</v>
      </c>
      <c r="K165" s="130">
        <f t="shared" si="12"/>
        <v>-60</v>
      </c>
      <c r="L165" s="130"/>
      <c r="M165" s="132">
        <f t="shared" si="13"/>
        <v>0</v>
      </c>
    </row>
    <row r="166" spans="1:13" x14ac:dyDescent="0.25">
      <c r="A166" s="146"/>
      <c r="G166" s="116"/>
      <c r="H166" s="130">
        <v>161</v>
      </c>
      <c r="I166" s="131" t="str">
        <f t="shared" si="14"/>
        <v/>
      </c>
      <c r="J166" s="130">
        <f t="shared" si="15"/>
        <v>-6</v>
      </c>
      <c r="K166" s="130">
        <f t="shared" si="12"/>
        <v>-60</v>
      </c>
      <c r="L166" s="130"/>
      <c r="M166" s="132">
        <f t="shared" si="13"/>
        <v>0</v>
      </c>
    </row>
    <row r="167" spans="1:13" x14ac:dyDescent="0.25">
      <c r="A167" s="146"/>
      <c r="G167" s="116"/>
      <c r="H167" s="130">
        <v>162</v>
      </c>
      <c r="I167" s="131" t="str">
        <f t="shared" si="14"/>
        <v/>
      </c>
      <c r="J167" s="130">
        <f t="shared" si="15"/>
        <v>-6</v>
      </c>
      <c r="K167" s="130">
        <f t="shared" si="12"/>
        <v>-60</v>
      </c>
      <c r="L167" s="130"/>
      <c r="M167" s="132">
        <f t="shared" si="13"/>
        <v>0</v>
      </c>
    </row>
    <row r="168" spans="1:13" x14ac:dyDescent="0.25">
      <c r="A168" s="146"/>
      <c r="G168" s="116"/>
      <c r="H168" s="130">
        <v>163</v>
      </c>
      <c r="I168" s="131" t="str">
        <f t="shared" si="14"/>
        <v/>
      </c>
      <c r="J168" s="130">
        <f t="shared" si="15"/>
        <v>-6</v>
      </c>
      <c r="K168" s="130">
        <f t="shared" si="12"/>
        <v>-60</v>
      </c>
      <c r="L168" s="130"/>
      <c r="M168" s="132">
        <f t="shared" si="13"/>
        <v>0</v>
      </c>
    </row>
    <row r="169" spans="1:13" x14ac:dyDescent="0.25">
      <c r="A169" s="146"/>
      <c r="G169" s="116"/>
      <c r="H169" s="130">
        <v>164</v>
      </c>
      <c r="I169" s="131" t="str">
        <f t="shared" si="14"/>
        <v/>
      </c>
      <c r="J169" s="130">
        <f t="shared" si="15"/>
        <v>-6</v>
      </c>
      <c r="K169" s="130">
        <f t="shared" si="12"/>
        <v>-60</v>
      </c>
      <c r="L169" s="130"/>
      <c r="M169" s="132">
        <f t="shared" si="13"/>
        <v>0</v>
      </c>
    </row>
    <row r="170" spans="1:13" x14ac:dyDescent="0.25">
      <c r="A170" s="146"/>
      <c r="G170" s="116"/>
      <c r="H170" s="130">
        <v>165</v>
      </c>
      <c r="I170" s="131" t="str">
        <f t="shared" si="14"/>
        <v/>
      </c>
      <c r="J170" s="130">
        <f t="shared" si="15"/>
        <v>-6</v>
      </c>
      <c r="K170" s="130">
        <f t="shared" si="12"/>
        <v>-60</v>
      </c>
      <c r="L170" s="130"/>
      <c r="M170" s="132">
        <f t="shared" si="13"/>
        <v>0</v>
      </c>
    </row>
    <row r="171" spans="1:13" x14ac:dyDescent="0.25">
      <c r="A171" s="146"/>
      <c r="G171" s="116"/>
      <c r="H171" s="130">
        <v>166</v>
      </c>
      <c r="I171" s="131" t="str">
        <f t="shared" si="14"/>
        <v/>
      </c>
      <c r="J171" s="130">
        <f t="shared" si="15"/>
        <v>-6</v>
      </c>
      <c r="K171" s="130">
        <f t="shared" si="12"/>
        <v>-60</v>
      </c>
      <c r="L171" s="130"/>
      <c r="M171" s="132">
        <f t="shared" si="13"/>
        <v>0</v>
      </c>
    </row>
    <row r="172" spans="1:13" x14ac:dyDescent="0.25">
      <c r="A172" s="146"/>
      <c r="G172" s="116"/>
      <c r="H172" s="130">
        <v>167</v>
      </c>
      <c r="I172" s="131" t="str">
        <f t="shared" si="14"/>
        <v/>
      </c>
      <c r="J172" s="130">
        <f t="shared" si="15"/>
        <v>-6</v>
      </c>
      <c r="K172" s="130">
        <f t="shared" si="12"/>
        <v>-60</v>
      </c>
      <c r="L172" s="130"/>
      <c r="M172" s="132">
        <f t="shared" si="13"/>
        <v>0</v>
      </c>
    </row>
    <row r="173" spans="1:13" x14ac:dyDescent="0.25">
      <c r="A173" s="146"/>
      <c r="G173" s="116"/>
      <c r="H173" s="130">
        <v>168</v>
      </c>
      <c r="I173" s="131" t="str">
        <f t="shared" si="14"/>
        <v/>
      </c>
      <c r="J173" s="130">
        <f t="shared" si="15"/>
        <v>-6</v>
      </c>
      <c r="K173" s="130">
        <f t="shared" si="12"/>
        <v>-60</v>
      </c>
      <c r="L173" s="130"/>
      <c r="M173" s="132">
        <f t="shared" si="13"/>
        <v>0</v>
      </c>
    </row>
    <row r="174" spans="1:13" x14ac:dyDescent="0.25">
      <c r="A174" s="146"/>
      <c r="G174" s="116"/>
      <c r="H174" s="130">
        <v>169</v>
      </c>
      <c r="I174" s="131" t="str">
        <f t="shared" si="14"/>
        <v/>
      </c>
      <c r="J174" s="130">
        <f t="shared" si="15"/>
        <v>-6</v>
      </c>
      <c r="K174" s="130">
        <f t="shared" si="12"/>
        <v>-60</v>
      </c>
      <c r="L174" s="130"/>
      <c r="M174" s="132">
        <f t="shared" si="13"/>
        <v>0</v>
      </c>
    </row>
    <row r="175" spans="1:13" x14ac:dyDescent="0.25">
      <c r="A175" s="146"/>
      <c r="G175" s="116"/>
      <c r="H175" s="130">
        <v>170</v>
      </c>
      <c r="I175" s="131" t="str">
        <f t="shared" si="14"/>
        <v/>
      </c>
      <c r="J175" s="130">
        <f t="shared" si="15"/>
        <v>-6</v>
      </c>
      <c r="K175" s="130">
        <f t="shared" si="12"/>
        <v>-60</v>
      </c>
      <c r="L175" s="130"/>
      <c r="M175" s="132">
        <f t="shared" si="13"/>
        <v>0</v>
      </c>
    </row>
    <row r="176" spans="1:13" x14ac:dyDescent="0.25">
      <c r="A176" s="146"/>
      <c r="G176" s="116"/>
      <c r="H176" s="130">
        <v>171</v>
      </c>
      <c r="I176" s="131" t="str">
        <f t="shared" si="14"/>
        <v/>
      </c>
      <c r="J176" s="130">
        <f t="shared" si="15"/>
        <v>-6</v>
      </c>
      <c r="K176" s="130">
        <f t="shared" si="12"/>
        <v>-60</v>
      </c>
      <c r="L176" s="130"/>
      <c r="M176" s="132">
        <f t="shared" si="13"/>
        <v>0</v>
      </c>
    </row>
    <row r="177" spans="1:13" x14ac:dyDescent="0.25">
      <c r="A177" s="146"/>
      <c r="G177" s="116"/>
      <c r="H177" s="130">
        <v>172</v>
      </c>
      <c r="I177" s="131" t="str">
        <f t="shared" si="14"/>
        <v/>
      </c>
      <c r="J177" s="130">
        <f t="shared" si="15"/>
        <v>-6</v>
      </c>
      <c r="K177" s="130">
        <f t="shared" si="12"/>
        <v>-60</v>
      </c>
      <c r="L177" s="130"/>
      <c r="M177" s="132">
        <f t="shared" si="13"/>
        <v>0</v>
      </c>
    </row>
    <row r="178" spans="1:13" x14ac:dyDescent="0.25">
      <c r="A178" s="146"/>
      <c r="G178" s="116"/>
      <c r="H178" s="130">
        <v>173</v>
      </c>
      <c r="I178" s="131" t="str">
        <f t="shared" si="14"/>
        <v/>
      </c>
      <c r="J178" s="130">
        <f t="shared" si="15"/>
        <v>-6</v>
      </c>
      <c r="K178" s="130">
        <f t="shared" si="12"/>
        <v>-60</v>
      </c>
      <c r="L178" s="130"/>
      <c r="M178" s="132">
        <f t="shared" si="13"/>
        <v>0</v>
      </c>
    </row>
    <row r="179" spans="1:13" x14ac:dyDescent="0.25">
      <c r="A179" s="146"/>
      <c r="G179" s="116"/>
      <c r="H179" s="130">
        <v>174</v>
      </c>
      <c r="I179" s="131" t="str">
        <f t="shared" si="14"/>
        <v/>
      </c>
      <c r="J179" s="130">
        <f t="shared" si="15"/>
        <v>-6</v>
      </c>
      <c r="K179" s="130">
        <f t="shared" si="12"/>
        <v>-60</v>
      </c>
      <c r="L179" s="130"/>
      <c r="M179" s="132">
        <f t="shared" si="13"/>
        <v>0</v>
      </c>
    </row>
    <row r="180" spans="1:13" x14ac:dyDescent="0.25">
      <c r="A180" s="146"/>
      <c r="G180" s="116"/>
      <c r="H180" s="130">
        <v>175</v>
      </c>
      <c r="I180" s="131" t="str">
        <f t="shared" si="14"/>
        <v/>
      </c>
      <c r="J180" s="130">
        <f t="shared" si="15"/>
        <v>-6</v>
      </c>
      <c r="K180" s="130">
        <f t="shared" si="12"/>
        <v>-60</v>
      </c>
      <c r="L180" s="130"/>
      <c r="M180" s="132">
        <f t="shared" si="13"/>
        <v>0</v>
      </c>
    </row>
    <row r="181" spans="1:13" x14ac:dyDescent="0.25">
      <c r="A181" s="146"/>
      <c r="G181" s="116"/>
      <c r="H181" s="130">
        <v>176</v>
      </c>
      <c r="I181" s="131" t="str">
        <f t="shared" si="14"/>
        <v/>
      </c>
      <c r="J181" s="130">
        <f t="shared" si="15"/>
        <v>-6</v>
      </c>
      <c r="K181" s="130">
        <f t="shared" si="12"/>
        <v>-60</v>
      </c>
      <c r="L181" s="130"/>
      <c r="M181" s="132">
        <f t="shared" si="13"/>
        <v>0</v>
      </c>
    </row>
    <row r="182" spans="1:13" x14ac:dyDescent="0.25">
      <c r="A182" s="146"/>
      <c r="G182" s="116"/>
      <c r="H182" s="130">
        <v>177</v>
      </c>
      <c r="I182" s="131" t="str">
        <f t="shared" si="14"/>
        <v/>
      </c>
      <c r="J182" s="130">
        <f t="shared" si="15"/>
        <v>-6</v>
      </c>
      <c r="K182" s="130">
        <f t="shared" si="12"/>
        <v>-60</v>
      </c>
      <c r="L182" s="130"/>
      <c r="M182" s="132">
        <f t="shared" si="13"/>
        <v>0</v>
      </c>
    </row>
    <row r="183" spans="1:13" x14ac:dyDescent="0.25">
      <c r="A183" s="146"/>
      <c r="G183" s="116"/>
      <c r="H183" s="130">
        <v>178</v>
      </c>
      <c r="I183" s="131" t="str">
        <f t="shared" si="14"/>
        <v/>
      </c>
      <c r="J183" s="130">
        <f t="shared" si="15"/>
        <v>-6</v>
      </c>
      <c r="K183" s="130">
        <f t="shared" si="12"/>
        <v>-60</v>
      </c>
      <c r="L183" s="130"/>
      <c r="M183" s="132">
        <f t="shared" si="13"/>
        <v>0</v>
      </c>
    </row>
    <row r="184" spans="1:13" x14ac:dyDescent="0.25">
      <c r="A184" s="146"/>
      <c r="G184" s="116"/>
      <c r="H184" s="130">
        <v>179</v>
      </c>
      <c r="I184" s="131" t="str">
        <f t="shared" si="14"/>
        <v/>
      </c>
      <c r="J184" s="130">
        <f t="shared" si="15"/>
        <v>-6</v>
      </c>
      <c r="K184" s="130">
        <f t="shared" si="12"/>
        <v>-60</v>
      </c>
      <c r="L184" s="130"/>
      <c r="M184" s="132">
        <f t="shared" si="13"/>
        <v>0</v>
      </c>
    </row>
    <row r="185" spans="1:13" x14ac:dyDescent="0.25">
      <c r="A185" s="146"/>
      <c r="G185" s="116"/>
      <c r="H185" s="130">
        <v>180</v>
      </c>
      <c r="I185" s="131" t="str">
        <f t="shared" si="14"/>
        <v/>
      </c>
      <c r="J185" s="130">
        <f t="shared" si="15"/>
        <v>-6</v>
      </c>
      <c r="K185" s="130">
        <f t="shared" si="12"/>
        <v>-60</v>
      </c>
      <c r="L185" s="130"/>
      <c r="M185" s="132">
        <f t="shared" si="13"/>
        <v>0</v>
      </c>
    </row>
    <row r="186" spans="1:13" x14ac:dyDescent="0.25">
      <c r="A186" s="146"/>
      <c r="G186" s="116"/>
      <c r="H186" s="130">
        <v>181</v>
      </c>
      <c r="I186" s="131" t="str">
        <f t="shared" si="14"/>
        <v/>
      </c>
      <c r="J186" s="130">
        <f t="shared" si="15"/>
        <v>-6</v>
      </c>
      <c r="K186" s="130">
        <f t="shared" si="12"/>
        <v>-60</v>
      </c>
      <c r="L186" s="130"/>
      <c r="M186" s="132">
        <f t="shared" si="13"/>
        <v>0</v>
      </c>
    </row>
    <row r="187" spans="1:13" x14ac:dyDescent="0.25">
      <c r="A187" s="146"/>
      <c r="G187" s="116"/>
      <c r="H187" s="130">
        <v>182</v>
      </c>
      <c r="I187" s="131" t="str">
        <f t="shared" si="14"/>
        <v/>
      </c>
      <c r="J187" s="130">
        <f t="shared" si="15"/>
        <v>-6</v>
      </c>
      <c r="K187" s="130">
        <f t="shared" si="12"/>
        <v>-60</v>
      </c>
      <c r="L187" s="130"/>
      <c r="M187" s="132">
        <f t="shared" si="13"/>
        <v>0</v>
      </c>
    </row>
    <row r="188" spans="1:13" x14ac:dyDescent="0.25">
      <c r="A188" s="146"/>
      <c r="G188" s="116"/>
      <c r="H188" s="130">
        <v>183</v>
      </c>
      <c r="I188" s="131" t="str">
        <f t="shared" si="14"/>
        <v/>
      </c>
      <c r="J188" s="130">
        <f t="shared" si="15"/>
        <v>-6</v>
      </c>
      <c r="K188" s="130">
        <f t="shared" si="12"/>
        <v>-60</v>
      </c>
      <c r="L188" s="130"/>
      <c r="M188" s="132">
        <f t="shared" si="13"/>
        <v>0</v>
      </c>
    </row>
    <row r="189" spans="1:13" x14ac:dyDescent="0.25">
      <c r="A189" s="146"/>
      <c r="G189" s="116"/>
      <c r="H189" s="130">
        <v>184</v>
      </c>
      <c r="I189" s="131" t="str">
        <f t="shared" si="14"/>
        <v/>
      </c>
      <c r="J189" s="130">
        <f t="shared" si="15"/>
        <v>-6</v>
      </c>
      <c r="K189" s="130">
        <f t="shared" si="12"/>
        <v>-60</v>
      </c>
      <c r="L189" s="130"/>
      <c r="M189" s="132">
        <f t="shared" si="13"/>
        <v>0</v>
      </c>
    </row>
    <row r="190" spans="1:13" x14ac:dyDescent="0.25">
      <c r="A190" s="146"/>
      <c r="G190" s="116"/>
      <c r="H190" s="130">
        <v>185</v>
      </c>
      <c r="I190" s="131" t="str">
        <f t="shared" si="14"/>
        <v/>
      </c>
      <c r="J190" s="130">
        <f t="shared" si="15"/>
        <v>-6</v>
      </c>
      <c r="K190" s="130">
        <f t="shared" si="12"/>
        <v>-60</v>
      </c>
      <c r="L190" s="130"/>
      <c r="M190" s="132">
        <f t="shared" si="13"/>
        <v>0</v>
      </c>
    </row>
    <row r="191" spans="1:13" x14ac:dyDescent="0.25">
      <c r="A191" s="146"/>
      <c r="G191" s="116"/>
      <c r="H191" s="130">
        <v>186</v>
      </c>
      <c r="I191" s="131" t="str">
        <f t="shared" si="14"/>
        <v/>
      </c>
      <c r="J191" s="130">
        <f t="shared" si="15"/>
        <v>-6</v>
      </c>
      <c r="K191" s="130">
        <f t="shared" si="12"/>
        <v>-60</v>
      </c>
      <c r="L191" s="130"/>
      <c r="M191" s="132">
        <f t="shared" si="13"/>
        <v>0</v>
      </c>
    </row>
    <row r="192" spans="1:13" x14ac:dyDescent="0.25">
      <c r="A192" s="146"/>
      <c r="G192" s="116"/>
      <c r="H192" s="130">
        <v>187</v>
      </c>
      <c r="I192" s="131" t="str">
        <f t="shared" si="14"/>
        <v/>
      </c>
      <c r="J192" s="130">
        <f t="shared" si="15"/>
        <v>-6</v>
      </c>
      <c r="K192" s="130">
        <f t="shared" si="12"/>
        <v>-60</v>
      </c>
      <c r="L192" s="130"/>
      <c r="M192" s="132">
        <f t="shared" si="13"/>
        <v>0</v>
      </c>
    </row>
    <row r="193" spans="1:13" x14ac:dyDescent="0.25">
      <c r="A193" s="146"/>
      <c r="G193" s="116"/>
      <c r="H193" s="130">
        <v>188</v>
      </c>
      <c r="I193" s="131" t="str">
        <f t="shared" si="14"/>
        <v/>
      </c>
      <c r="J193" s="130">
        <f t="shared" si="15"/>
        <v>-6</v>
      </c>
      <c r="K193" s="130">
        <f t="shared" si="12"/>
        <v>-60</v>
      </c>
      <c r="L193" s="130"/>
      <c r="M193" s="132">
        <f t="shared" si="13"/>
        <v>0</v>
      </c>
    </row>
    <row r="194" spans="1:13" x14ac:dyDescent="0.25">
      <c r="A194" s="146"/>
      <c r="G194" s="116"/>
      <c r="H194" s="130">
        <v>189</v>
      </c>
      <c r="I194" s="131" t="str">
        <f t="shared" si="14"/>
        <v/>
      </c>
      <c r="J194" s="130">
        <f t="shared" si="15"/>
        <v>-6</v>
      </c>
      <c r="K194" s="130">
        <f t="shared" si="12"/>
        <v>-60</v>
      </c>
      <c r="L194" s="130"/>
      <c r="M194" s="132">
        <f t="shared" si="13"/>
        <v>0</v>
      </c>
    </row>
    <row r="195" spans="1:13" x14ac:dyDescent="0.25">
      <c r="A195" s="146"/>
      <c r="G195" s="116"/>
      <c r="H195" s="130">
        <v>190</v>
      </c>
      <c r="I195" s="131" t="str">
        <f t="shared" si="14"/>
        <v/>
      </c>
      <c r="J195" s="130">
        <f t="shared" si="15"/>
        <v>-6</v>
      </c>
      <c r="K195" s="130">
        <f t="shared" si="12"/>
        <v>-60</v>
      </c>
      <c r="L195" s="130"/>
      <c r="M195" s="132">
        <f t="shared" si="13"/>
        <v>0</v>
      </c>
    </row>
    <row r="196" spans="1:13" x14ac:dyDescent="0.25">
      <c r="A196" s="146"/>
      <c r="G196" s="116"/>
      <c r="H196" s="130">
        <v>191</v>
      </c>
      <c r="I196" s="131" t="str">
        <f t="shared" si="14"/>
        <v/>
      </c>
      <c r="J196" s="130">
        <f t="shared" si="15"/>
        <v>-6</v>
      </c>
      <c r="K196" s="130">
        <f t="shared" si="12"/>
        <v>-60</v>
      </c>
      <c r="L196" s="130"/>
      <c r="M196" s="132">
        <f t="shared" si="13"/>
        <v>0</v>
      </c>
    </row>
    <row r="197" spans="1:13" x14ac:dyDescent="0.25">
      <c r="A197" s="146"/>
      <c r="G197" s="116"/>
      <c r="H197" s="130">
        <v>192</v>
      </c>
      <c r="I197" s="131" t="str">
        <f t="shared" si="14"/>
        <v/>
      </c>
      <c r="J197" s="130">
        <f t="shared" si="15"/>
        <v>-6</v>
      </c>
      <c r="K197" s="130">
        <f t="shared" si="12"/>
        <v>-60</v>
      </c>
      <c r="L197" s="130"/>
      <c r="M197" s="132">
        <f t="shared" si="13"/>
        <v>0</v>
      </c>
    </row>
    <row r="198" spans="1:13" x14ac:dyDescent="0.25">
      <c r="A198" s="146"/>
      <c r="G198" s="116"/>
      <c r="H198" s="130">
        <v>193</v>
      </c>
      <c r="I198" s="131" t="str">
        <f t="shared" si="14"/>
        <v/>
      </c>
      <c r="J198" s="130">
        <f t="shared" si="15"/>
        <v>-6</v>
      </c>
      <c r="K198" s="130">
        <f t="shared" ref="K198:K261" si="16">J198*$J$2</f>
        <v>-60</v>
      </c>
      <c r="L198" s="130"/>
      <c r="M198" s="132">
        <f t="shared" ref="M198:M261" si="17">IF(I198&lt;&gt;"",K198+I198+L198,0)</f>
        <v>0</v>
      </c>
    </row>
    <row r="199" spans="1:13" x14ac:dyDescent="0.25">
      <c r="A199" s="146"/>
      <c r="G199" s="116"/>
      <c r="H199" s="130">
        <v>194</v>
      </c>
      <c r="I199" s="131" t="str">
        <f t="shared" ref="I199:I262" si="18">IF(H199&lt;$H$2+1,($I$2-($I$2-1)*(LOG(H199)/LOG($H$2))),"")</f>
        <v/>
      </c>
      <c r="J199" s="130">
        <f t="shared" ref="J199:J262" si="19">INT(LOG($H$2,2))-ROUNDUP(LOG(H199,2),0)+IF(OR($H$2=1,$H$2=2,$H$2=4,$H$2=8,$H$2=16,$H$2=32,$H$2=64,$H$2=128,$H$2=256),0,1)</f>
        <v>-6</v>
      </c>
      <c r="K199" s="130">
        <f t="shared" si="16"/>
        <v>-60</v>
      </c>
      <c r="L199" s="130"/>
      <c r="M199" s="132">
        <f t="shared" si="17"/>
        <v>0</v>
      </c>
    </row>
    <row r="200" spans="1:13" x14ac:dyDescent="0.25">
      <c r="A200" s="146"/>
      <c r="G200" s="116"/>
      <c r="H200" s="130">
        <v>195</v>
      </c>
      <c r="I200" s="131" t="str">
        <f t="shared" si="18"/>
        <v/>
      </c>
      <c r="J200" s="130">
        <f t="shared" si="19"/>
        <v>-6</v>
      </c>
      <c r="K200" s="130">
        <f t="shared" si="16"/>
        <v>-60</v>
      </c>
      <c r="L200" s="130"/>
      <c r="M200" s="132">
        <f t="shared" si="17"/>
        <v>0</v>
      </c>
    </row>
    <row r="201" spans="1:13" x14ac:dyDescent="0.25">
      <c r="A201" s="146"/>
      <c r="G201" s="116"/>
      <c r="H201" s="130">
        <v>196</v>
      </c>
      <c r="I201" s="131" t="str">
        <f t="shared" si="18"/>
        <v/>
      </c>
      <c r="J201" s="130">
        <f t="shared" si="19"/>
        <v>-6</v>
      </c>
      <c r="K201" s="130">
        <f t="shared" si="16"/>
        <v>-60</v>
      </c>
      <c r="L201" s="130"/>
      <c r="M201" s="132">
        <f t="shared" si="17"/>
        <v>0</v>
      </c>
    </row>
    <row r="202" spans="1:13" x14ac:dyDescent="0.25">
      <c r="A202" s="146"/>
      <c r="G202" s="116"/>
      <c r="H202" s="130">
        <v>197</v>
      </c>
      <c r="I202" s="131" t="str">
        <f t="shared" si="18"/>
        <v/>
      </c>
      <c r="J202" s="130">
        <f t="shared" si="19"/>
        <v>-6</v>
      </c>
      <c r="K202" s="130">
        <f t="shared" si="16"/>
        <v>-60</v>
      </c>
      <c r="L202" s="130"/>
      <c r="M202" s="132">
        <f t="shared" si="17"/>
        <v>0</v>
      </c>
    </row>
    <row r="203" spans="1:13" x14ac:dyDescent="0.25">
      <c r="A203" s="146"/>
      <c r="G203" s="116"/>
      <c r="H203" s="130">
        <v>198</v>
      </c>
      <c r="I203" s="131" t="str">
        <f t="shared" si="18"/>
        <v/>
      </c>
      <c r="J203" s="130">
        <f t="shared" si="19"/>
        <v>-6</v>
      </c>
      <c r="K203" s="130">
        <f t="shared" si="16"/>
        <v>-60</v>
      </c>
      <c r="L203" s="130"/>
      <c r="M203" s="132">
        <f t="shared" si="17"/>
        <v>0</v>
      </c>
    </row>
    <row r="204" spans="1:13" x14ac:dyDescent="0.25">
      <c r="A204" s="146"/>
      <c r="G204" s="116"/>
      <c r="H204" s="130">
        <v>199</v>
      </c>
      <c r="I204" s="131" t="str">
        <f t="shared" si="18"/>
        <v/>
      </c>
      <c r="J204" s="130">
        <f t="shared" si="19"/>
        <v>-6</v>
      </c>
      <c r="K204" s="130">
        <f t="shared" si="16"/>
        <v>-60</v>
      </c>
      <c r="L204" s="130"/>
      <c r="M204" s="132">
        <f t="shared" si="17"/>
        <v>0</v>
      </c>
    </row>
    <row r="205" spans="1:13" x14ac:dyDescent="0.25">
      <c r="A205" s="146"/>
      <c r="G205" s="116"/>
      <c r="H205" s="130">
        <v>200</v>
      </c>
      <c r="I205" s="131" t="str">
        <f t="shared" si="18"/>
        <v/>
      </c>
      <c r="J205" s="130">
        <f t="shared" si="19"/>
        <v>-6</v>
      </c>
      <c r="K205" s="130">
        <f t="shared" si="16"/>
        <v>-60</v>
      </c>
      <c r="L205" s="130"/>
      <c r="M205" s="132">
        <f t="shared" si="17"/>
        <v>0</v>
      </c>
    </row>
    <row r="206" spans="1:13" x14ac:dyDescent="0.25">
      <c r="A206" s="146"/>
      <c r="G206" s="116"/>
      <c r="H206" s="130">
        <v>201</v>
      </c>
      <c r="I206" s="131" t="str">
        <f t="shared" si="18"/>
        <v/>
      </c>
      <c r="J206" s="130">
        <f t="shared" si="19"/>
        <v>-6</v>
      </c>
      <c r="K206" s="130">
        <f t="shared" si="16"/>
        <v>-60</v>
      </c>
      <c r="L206" s="130"/>
      <c r="M206" s="132">
        <f t="shared" si="17"/>
        <v>0</v>
      </c>
    </row>
    <row r="207" spans="1:13" x14ac:dyDescent="0.25">
      <c r="A207" s="146"/>
      <c r="G207" s="116"/>
      <c r="H207" s="130">
        <v>202</v>
      </c>
      <c r="I207" s="131" t="str">
        <f t="shared" si="18"/>
        <v/>
      </c>
      <c r="J207" s="130">
        <f t="shared" si="19"/>
        <v>-6</v>
      </c>
      <c r="K207" s="130">
        <f t="shared" si="16"/>
        <v>-60</v>
      </c>
      <c r="L207" s="130"/>
      <c r="M207" s="132">
        <f t="shared" si="17"/>
        <v>0</v>
      </c>
    </row>
    <row r="208" spans="1:13" x14ac:dyDescent="0.25">
      <c r="A208" s="146"/>
      <c r="G208" s="116"/>
      <c r="H208" s="130">
        <v>203</v>
      </c>
      <c r="I208" s="131" t="str">
        <f t="shared" si="18"/>
        <v/>
      </c>
      <c r="J208" s="130">
        <f t="shared" si="19"/>
        <v>-6</v>
      </c>
      <c r="K208" s="130">
        <f t="shared" si="16"/>
        <v>-60</v>
      </c>
      <c r="L208" s="130"/>
      <c r="M208" s="132">
        <f t="shared" si="17"/>
        <v>0</v>
      </c>
    </row>
    <row r="209" spans="1:13" x14ac:dyDescent="0.25">
      <c r="A209" s="146"/>
      <c r="G209" s="116"/>
      <c r="H209" s="130">
        <v>204</v>
      </c>
      <c r="I209" s="131" t="str">
        <f t="shared" si="18"/>
        <v/>
      </c>
      <c r="J209" s="130">
        <f t="shared" si="19"/>
        <v>-6</v>
      </c>
      <c r="K209" s="130">
        <f t="shared" si="16"/>
        <v>-60</v>
      </c>
      <c r="L209" s="130"/>
      <c r="M209" s="132">
        <f t="shared" si="17"/>
        <v>0</v>
      </c>
    </row>
    <row r="210" spans="1:13" x14ac:dyDescent="0.25">
      <c r="A210" s="146"/>
      <c r="G210" s="116"/>
      <c r="H210" s="130">
        <v>205</v>
      </c>
      <c r="I210" s="131" t="str">
        <f t="shared" si="18"/>
        <v/>
      </c>
      <c r="J210" s="130">
        <f t="shared" si="19"/>
        <v>-6</v>
      </c>
      <c r="K210" s="130">
        <f t="shared" si="16"/>
        <v>-60</v>
      </c>
      <c r="L210" s="130"/>
      <c r="M210" s="132">
        <f t="shared" si="17"/>
        <v>0</v>
      </c>
    </row>
    <row r="211" spans="1:13" x14ac:dyDescent="0.25">
      <c r="A211" s="146"/>
      <c r="G211" s="116"/>
      <c r="H211" s="130">
        <v>206</v>
      </c>
      <c r="I211" s="131" t="str">
        <f t="shared" si="18"/>
        <v/>
      </c>
      <c r="J211" s="130">
        <f t="shared" si="19"/>
        <v>-6</v>
      </c>
      <c r="K211" s="130">
        <f t="shared" si="16"/>
        <v>-60</v>
      </c>
      <c r="L211" s="130"/>
      <c r="M211" s="132">
        <f t="shared" si="17"/>
        <v>0</v>
      </c>
    </row>
    <row r="212" spans="1:13" x14ac:dyDescent="0.25">
      <c r="A212" s="146"/>
      <c r="G212" s="116"/>
      <c r="H212" s="130">
        <v>207</v>
      </c>
      <c r="I212" s="131" t="str">
        <f t="shared" si="18"/>
        <v/>
      </c>
      <c r="J212" s="130">
        <f t="shared" si="19"/>
        <v>-6</v>
      </c>
      <c r="K212" s="130">
        <f t="shared" si="16"/>
        <v>-60</v>
      </c>
      <c r="L212" s="130"/>
      <c r="M212" s="132">
        <f t="shared" si="17"/>
        <v>0</v>
      </c>
    </row>
    <row r="213" spans="1:13" x14ac:dyDescent="0.25">
      <c r="A213" s="146"/>
      <c r="G213" s="116"/>
      <c r="H213" s="130">
        <v>208</v>
      </c>
      <c r="I213" s="131" t="str">
        <f t="shared" si="18"/>
        <v/>
      </c>
      <c r="J213" s="130">
        <f t="shared" si="19"/>
        <v>-6</v>
      </c>
      <c r="K213" s="130">
        <f t="shared" si="16"/>
        <v>-60</v>
      </c>
      <c r="L213" s="130"/>
      <c r="M213" s="132">
        <f t="shared" si="17"/>
        <v>0</v>
      </c>
    </row>
    <row r="214" spans="1:13" x14ac:dyDescent="0.25">
      <c r="A214" s="146"/>
      <c r="G214" s="116"/>
      <c r="H214" s="130">
        <v>209</v>
      </c>
      <c r="I214" s="131" t="str">
        <f t="shared" si="18"/>
        <v/>
      </c>
      <c r="J214" s="130">
        <f t="shared" si="19"/>
        <v>-6</v>
      </c>
      <c r="K214" s="130">
        <f t="shared" si="16"/>
        <v>-60</v>
      </c>
      <c r="L214" s="130"/>
      <c r="M214" s="132">
        <f t="shared" si="17"/>
        <v>0</v>
      </c>
    </row>
    <row r="215" spans="1:13" x14ac:dyDescent="0.25">
      <c r="A215" s="146"/>
      <c r="G215" s="116"/>
      <c r="H215" s="130">
        <v>210</v>
      </c>
      <c r="I215" s="131" t="str">
        <f t="shared" si="18"/>
        <v/>
      </c>
      <c r="J215" s="130">
        <f t="shared" si="19"/>
        <v>-6</v>
      </c>
      <c r="K215" s="130">
        <f t="shared" si="16"/>
        <v>-60</v>
      </c>
      <c r="L215" s="130"/>
      <c r="M215" s="132">
        <f t="shared" si="17"/>
        <v>0</v>
      </c>
    </row>
    <row r="216" spans="1:13" x14ac:dyDescent="0.25">
      <c r="A216" s="146"/>
      <c r="G216" s="116"/>
      <c r="H216" s="130">
        <v>211</v>
      </c>
      <c r="I216" s="131" t="str">
        <f t="shared" si="18"/>
        <v/>
      </c>
      <c r="J216" s="130">
        <f t="shared" si="19"/>
        <v>-6</v>
      </c>
      <c r="K216" s="130">
        <f t="shared" si="16"/>
        <v>-60</v>
      </c>
      <c r="L216" s="130"/>
      <c r="M216" s="132">
        <f t="shared" si="17"/>
        <v>0</v>
      </c>
    </row>
    <row r="217" spans="1:13" x14ac:dyDescent="0.25">
      <c r="A217" s="146"/>
      <c r="G217" s="116"/>
      <c r="H217" s="130">
        <v>212</v>
      </c>
      <c r="I217" s="131" t="str">
        <f t="shared" si="18"/>
        <v/>
      </c>
      <c r="J217" s="130">
        <f t="shared" si="19"/>
        <v>-6</v>
      </c>
      <c r="K217" s="130">
        <f t="shared" si="16"/>
        <v>-60</v>
      </c>
      <c r="L217" s="130"/>
      <c r="M217" s="132">
        <f t="shared" si="17"/>
        <v>0</v>
      </c>
    </row>
    <row r="218" spans="1:13" x14ac:dyDescent="0.25">
      <c r="A218" s="146"/>
      <c r="G218" s="116"/>
      <c r="H218" s="130">
        <v>213</v>
      </c>
      <c r="I218" s="131" t="str">
        <f t="shared" si="18"/>
        <v/>
      </c>
      <c r="J218" s="130">
        <f t="shared" si="19"/>
        <v>-6</v>
      </c>
      <c r="K218" s="130">
        <f t="shared" si="16"/>
        <v>-60</v>
      </c>
      <c r="L218" s="130"/>
      <c r="M218" s="132">
        <f t="shared" si="17"/>
        <v>0</v>
      </c>
    </row>
    <row r="219" spans="1:13" x14ac:dyDescent="0.25">
      <c r="A219" s="146"/>
      <c r="G219" s="116"/>
      <c r="H219" s="130">
        <v>214</v>
      </c>
      <c r="I219" s="131" t="str">
        <f t="shared" si="18"/>
        <v/>
      </c>
      <c r="J219" s="130">
        <f t="shared" si="19"/>
        <v>-6</v>
      </c>
      <c r="K219" s="130">
        <f t="shared" si="16"/>
        <v>-60</v>
      </c>
      <c r="L219" s="130"/>
      <c r="M219" s="132">
        <f t="shared" si="17"/>
        <v>0</v>
      </c>
    </row>
    <row r="220" spans="1:13" x14ac:dyDescent="0.25">
      <c r="A220" s="146"/>
      <c r="G220" s="116"/>
      <c r="H220" s="130">
        <v>215</v>
      </c>
      <c r="I220" s="131" t="str">
        <f t="shared" si="18"/>
        <v/>
      </c>
      <c r="J220" s="130">
        <f t="shared" si="19"/>
        <v>-6</v>
      </c>
      <c r="K220" s="130">
        <f t="shared" si="16"/>
        <v>-60</v>
      </c>
      <c r="L220" s="130"/>
      <c r="M220" s="132">
        <f t="shared" si="17"/>
        <v>0</v>
      </c>
    </row>
    <row r="221" spans="1:13" x14ac:dyDescent="0.25">
      <c r="A221" s="146"/>
      <c r="G221" s="116"/>
      <c r="H221" s="130">
        <v>216</v>
      </c>
      <c r="I221" s="131" t="str">
        <f t="shared" si="18"/>
        <v/>
      </c>
      <c r="J221" s="130">
        <f t="shared" si="19"/>
        <v>-6</v>
      </c>
      <c r="K221" s="130">
        <f t="shared" si="16"/>
        <v>-60</v>
      </c>
      <c r="L221" s="130"/>
      <c r="M221" s="132">
        <f t="shared" si="17"/>
        <v>0</v>
      </c>
    </row>
    <row r="222" spans="1:13" x14ac:dyDescent="0.25">
      <c r="A222" s="146"/>
      <c r="G222" s="116"/>
      <c r="H222" s="130">
        <v>217</v>
      </c>
      <c r="I222" s="131" t="str">
        <f t="shared" si="18"/>
        <v/>
      </c>
      <c r="J222" s="130">
        <f t="shared" si="19"/>
        <v>-6</v>
      </c>
      <c r="K222" s="130">
        <f t="shared" si="16"/>
        <v>-60</v>
      </c>
      <c r="L222" s="130"/>
      <c r="M222" s="132">
        <f t="shared" si="17"/>
        <v>0</v>
      </c>
    </row>
    <row r="223" spans="1:13" x14ac:dyDescent="0.25">
      <c r="A223" s="146"/>
      <c r="G223" s="116"/>
      <c r="H223" s="130">
        <v>218</v>
      </c>
      <c r="I223" s="131" t="str">
        <f t="shared" si="18"/>
        <v/>
      </c>
      <c r="J223" s="130">
        <f t="shared" si="19"/>
        <v>-6</v>
      </c>
      <c r="K223" s="130">
        <f t="shared" si="16"/>
        <v>-60</v>
      </c>
      <c r="L223" s="130"/>
      <c r="M223" s="132">
        <f t="shared" si="17"/>
        <v>0</v>
      </c>
    </row>
    <row r="224" spans="1:13" x14ac:dyDescent="0.25">
      <c r="A224" s="146"/>
      <c r="G224" s="116"/>
      <c r="H224" s="130">
        <v>219</v>
      </c>
      <c r="I224" s="131" t="str">
        <f t="shared" si="18"/>
        <v/>
      </c>
      <c r="J224" s="130">
        <f t="shared" si="19"/>
        <v>-6</v>
      </c>
      <c r="K224" s="130">
        <f t="shared" si="16"/>
        <v>-60</v>
      </c>
      <c r="L224" s="130"/>
      <c r="M224" s="132">
        <f t="shared" si="17"/>
        <v>0</v>
      </c>
    </row>
    <row r="225" spans="1:13" x14ac:dyDescent="0.25">
      <c r="A225" s="146"/>
      <c r="G225" s="116"/>
      <c r="H225" s="130">
        <v>220</v>
      </c>
      <c r="I225" s="131" t="str">
        <f t="shared" si="18"/>
        <v/>
      </c>
      <c r="J225" s="130">
        <f t="shared" si="19"/>
        <v>-6</v>
      </c>
      <c r="K225" s="130">
        <f t="shared" si="16"/>
        <v>-60</v>
      </c>
      <c r="L225" s="130"/>
      <c r="M225" s="132">
        <f t="shared" si="17"/>
        <v>0</v>
      </c>
    </row>
    <row r="226" spans="1:13" x14ac:dyDescent="0.25">
      <c r="A226" s="146"/>
      <c r="G226" s="116"/>
      <c r="H226" s="130">
        <v>221</v>
      </c>
      <c r="I226" s="131" t="str">
        <f t="shared" si="18"/>
        <v/>
      </c>
      <c r="J226" s="130">
        <f t="shared" si="19"/>
        <v>-6</v>
      </c>
      <c r="K226" s="130">
        <f t="shared" si="16"/>
        <v>-60</v>
      </c>
      <c r="L226" s="130"/>
      <c r="M226" s="132">
        <f t="shared" si="17"/>
        <v>0</v>
      </c>
    </row>
    <row r="227" spans="1:13" x14ac:dyDescent="0.25">
      <c r="A227" s="146"/>
      <c r="G227" s="116"/>
      <c r="H227" s="130">
        <v>222</v>
      </c>
      <c r="I227" s="131" t="str">
        <f t="shared" si="18"/>
        <v/>
      </c>
      <c r="J227" s="130">
        <f t="shared" si="19"/>
        <v>-6</v>
      </c>
      <c r="K227" s="130">
        <f t="shared" si="16"/>
        <v>-60</v>
      </c>
      <c r="L227" s="130"/>
      <c r="M227" s="132">
        <f t="shared" si="17"/>
        <v>0</v>
      </c>
    </row>
    <row r="228" spans="1:13" x14ac:dyDescent="0.25">
      <c r="A228" s="146"/>
      <c r="G228" s="116"/>
      <c r="H228" s="130">
        <v>223</v>
      </c>
      <c r="I228" s="131" t="str">
        <f t="shared" si="18"/>
        <v/>
      </c>
      <c r="J228" s="130">
        <f t="shared" si="19"/>
        <v>-6</v>
      </c>
      <c r="K228" s="130">
        <f t="shared" si="16"/>
        <v>-60</v>
      </c>
      <c r="L228" s="130"/>
      <c r="M228" s="132">
        <f t="shared" si="17"/>
        <v>0</v>
      </c>
    </row>
    <row r="229" spans="1:13" x14ac:dyDescent="0.25">
      <c r="A229" s="146"/>
      <c r="G229" s="116"/>
      <c r="H229" s="130">
        <v>224</v>
      </c>
      <c r="I229" s="131" t="str">
        <f t="shared" si="18"/>
        <v/>
      </c>
      <c r="J229" s="130">
        <f t="shared" si="19"/>
        <v>-6</v>
      </c>
      <c r="K229" s="130">
        <f t="shared" si="16"/>
        <v>-60</v>
      </c>
      <c r="L229" s="130"/>
      <c r="M229" s="132">
        <f t="shared" si="17"/>
        <v>0</v>
      </c>
    </row>
    <row r="230" spans="1:13" x14ac:dyDescent="0.25">
      <c r="A230" s="146"/>
      <c r="G230" s="116"/>
      <c r="H230" s="130">
        <v>225</v>
      </c>
      <c r="I230" s="131" t="str">
        <f t="shared" si="18"/>
        <v/>
      </c>
      <c r="J230" s="130">
        <f t="shared" si="19"/>
        <v>-6</v>
      </c>
      <c r="K230" s="130">
        <f t="shared" si="16"/>
        <v>-60</v>
      </c>
      <c r="L230" s="130"/>
      <c r="M230" s="132">
        <f t="shared" si="17"/>
        <v>0</v>
      </c>
    </row>
    <row r="231" spans="1:13" x14ac:dyDescent="0.25">
      <c r="A231" s="146"/>
      <c r="G231" s="116"/>
      <c r="H231" s="130">
        <v>226</v>
      </c>
      <c r="I231" s="131" t="str">
        <f t="shared" si="18"/>
        <v/>
      </c>
      <c r="J231" s="130">
        <f t="shared" si="19"/>
        <v>-6</v>
      </c>
      <c r="K231" s="130">
        <f t="shared" si="16"/>
        <v>-60</v>
      </c>
      <c r="L231" s="130"/>
      <c r="M231" s="132">
        <f t="shared" si="17"/>
        <v>0</v>
      </c>
    </row>
    <row r="232" spans="1:13" x14ac:dyDescent="0.25">
      <c r="A232" s="146"/>
      <c r="G232" s="116"/>
      <c r="H232" s="130">
        <v>227</v>
      </c>
      <c r="I232" s="131" t="str">
        <f t="shared" si="18"/>
        <v/>
      </c>
      <c r="J232" s="130">
        <f t="shared" si="19"/>
        <v>-6</v>
      </c>
      <c r="K232" s="130">
        <f t="shared" si="16"/>
        <v>-60</v>
      </c>
      <c r="L232" s="130"/>
      <c r="M232" s="132">
        <f t="shared" si="17"/>
        <v>0</v>
      </c>
    </row>
    <row r="233" spans="1:13" x14ac:dyDescent="0.25">
      <c r="A233" s="146"/>
      <c r="G233" s="116"/>
      <c r="H233" s="130">
        <v>228</v>
      </c>
      <c r="I233" s="131" t="str">
        <f t="shared" si="18"/>
        <v/>
      </c>
      <c r="J233" s="130">
        <f t="shared" si="19"/>
        <v>-6</v>
      </c>
      <c r="K233" s="130">
        <f t="shared" si="16"/>
        <v>-60</v>
      </c>
      <c r="L233" s="130"/>
      <c r="M233" s="132">
        <f t="shared" si="17"/>
        <v>0</v>
      </c>
    </row>
    <row r="234" spans="1:13" x14ac:dyDescent="0.25">
      <c r="A234" s="146"/>
      <c r="G234" s="116"/>
      <c r="H234" s="130">
        <v>229</v>
      </c>
      <c r="I234" s="131" t="str">
        <f t="shared" si="18"/>
        <v/>
      </c>
      <c r="J234" s="130">
        <f t="shared" si="19"/>
        <v>-6</v>
      </c>
      <c r="K234" s="130">
        <f t="shared" si="16"/>
        <v>-60</v>
      </c>
      <c r="L234" s="130"/>
      <c r="M234" s="132">
        <f t="shared" si="17"/>
        <v>0</v>
      </c>
    </row>
    <row r="235" spans="1:13" x14ac:dyDescent="0.25">
      <c r="A235" s="146"/>
      <c r="G235" s="116"/>
      <c r="H235" s="130">
        <v>230</v>
      </c>
      <c r="I235" s="131" t="str">
        <f t="shared" si="18"/>
        <v/>
      </c>
      <c r="J235" s="130">
        <f t="shared" si="19"/>
        <v>-6</v>
      </c>
      <c r="K235" s="130">
        <f t="shared" si="16"/>
        <v>-60</v>
      </c>
      <c r="L235" s="130"/>
      <c r="M235" s="132">
        <f t="shared" si="17"/>
        <v>0</v>
      </c>
    </row>
    <row r="236" spans="1:13" x14ac:dyDescent="0.25">
      <c r="A236" s="146"/>
      <c r="G236" s="116"/>
      <c r="H236" s="130">
        <v>231</v>
      </c>
      <c r="I236" s="131" t="str">
        <f t="shared" si="18"/>
        <v/>
      </c>
      <c r="J236" s="130">
        <f t="shared" si="19"/>
        <v>-6</v>
      </c>
      <c r="K236" s="130">
        <f t="shared" si="16"/>
        <v>-60</v>
      </c>
      <c r="L236" s="130"/>
      <c r="M236" s="132">
        <f t="shared" si="17"/>
        <v>0</v>
      </c>
    </row>
    <row r="237" spans="1:13" x14ac:dyDescent="0.25">
      <c r="A237" s="146"/>
      <c r="G237" s="116"/>
      <c r="H237" s="130">
        <v>232</v>
      </c>
      <c r="I237" s="131" t="str">
        <f t="shared" si="18"/>
        <v/>
      </c>
      <c r="J237" s="130">
        <f t="shared" si="19"/>
        <v>-6</v>
      </c>
      <c r="K237" s="130">
        <f t="shared" si="16"/>
        <v>-60</v>
      </c>
      <c r="L237" s="130"/>
      <c r="M237" s="132">
        <f t="shared" si="17"/>
        <v>0</v>
      </c>
    </row>
    <row r="238" spans="1:13" x14ac:dyDescent="0.25">
      <c r="A238" s="146"/>
      <c r="G238" s="116"/>
      <c r="H238" s="130">
        <v>233</v>
      </c>
      <c r="I238" s="131" t="str">
        <f t="shared" si="18"/>
        <v/>
      </c>
      <c r="J238" s="130">
        <f t="shared" si="19"/>
        <v>-6</v>
      </c>
      <c r="K238" s="130">
        <f t="shared" si="16"/>
        <v>-60</v>
      </c>
      <c r="L238" s="130"/>
      <c r="M238" s="132">
        <f t="shared" si="17"/>
        <v>0</v>
      </c>
    </row>
    <row r="239" spans="1:13" x14ac:dyDescent="0.25">
      <c r="A239" s="146"/>
      <c r="G239" s="116"/>
      <c r="H239" s="130">
        <v>234</v>
      </c>
      <c r="I239" s="131" t="str">
        <f t="shared" si="18"/>
        <v/>
      </c>
      <c r="J239" s="130">
        <f t="shared" si="19"/>
        <v>-6</v>
      </c>
      <c r="K239" s="130">
        <f t="shared" si="16"/>
        <v>-60</v>
      </c>
      <c r="L239" s="130"/>
      <c r="M239" s="132">
        <f t="shared" si="17"/>
        <v>0</v>
      </c>
    </row>
    <row r="240" spans="1:13" x14ac:dyDescent="0.25">
      <c r="A240" s="146"/>
      <c r="G240" s="116"/>
      <c r="H240" s="130">
        <v>235</v>
      </c>
      <c r="I240" s="131" t="str">
        <f t="shared" si="18"/>
        <v/>
      </c>
      <c r="J240" s="130">
        <f t="shared" si="19"/>
        <v>-6</v>
      </c>
      <c r="K240" s="130">
        <f t="shared" si="16"/>
        <v>-60</v>
      </c>
      <c r="L240" s="130"/>
      <c r="M240" s="132">
        <f t="shared" si="17"/>
        <v>0</v>
      </c>
    </row>
    <row r="241" spans="1:13" x14ac:dyDescent="0.25">
      <c r="A241" s="146"/>
      <c r="G241" s="116"/>
      <c r="H241" s="130">
        <v>236</v>
      </c>
      <c r="I241" s="131" t="str">
        <f t="shared" si="18"/>
        <v/>
      </c>
      <c r="J241" s="130">
        <f t="shared" si="19"/>
        <v>-6</v>
      </c>
      <c r="K241" s="130">
        <f t="shared" si="16"/>
        <v>-60</v>
      </c>
      <c r="L241" s="130"/>
      <c r="M241" s="132">
        <f t="shared" si="17"/>
        <v>0</v>
      </c>
    </row>
    <row r="242" spans="1:13" x14ac:dyDescent="0.25">
      <c r="A242" s="146"/>
      <c r="G242" s="116"/>
      <c r="H242" s="130">
        <v>237</v>
      </c>
      <c r="I242" s="131" t="str">
        <f t="shared" si="18"/>
        <v/>
      </c>
      <c r="J242" s="130">
        <f t="shared" si="19"/>
        <v>-6</v>
      </c>
      <c r="K242" s="130">
        <f t="shared" si="16"/>
        <v>-60</v>
      </c>
      <c r="L242" s="130"/>
      <c r="M242" s="132">
        <f t="shared" si="17"/>
        <v>0</v>
      </c>
    </row>
    <row r="243" spans="1:13" x14ac:dyDescent="0.25">
      <c r="A243" s="146"/>
      <c r="G243" s="116"/>
      <c r="H243" s="130">
        <v>238</v>
      </c>
      <c r="I243" s="131" t="str">
        <f t="shared" si="18"/>
        <v/>
      </c>
      <c r="J243" s="130">
        <f t="shared" si="19"/>
        <v>-6</v>
      </c>
      <c r="K243" s="130">
        <f t="shared" si="16"/>
        <v>-60</v>
      </c>
      <c r="L243" s="130"/>
      <c r="M243" s="132">
        <f t="shared" si="17"/>
        <v>0</v>
      </c>
    </row>
    <row r="244" spans="1:13" x14ac:dyDescent="0.25">
      <c r="A244" s="146"/>
      <c r="G244" s="116"/>
      <c r="H244" s="130">
        <v>239</v>
      </c>
      <c r="I244" s="131" t="str">
        <f t="shared" si="18"/>
        <v/>
      </c>
      <c r="J244" s="130">
        <f t="shared" si="19"/>
        <v>-6</v>
      </c>
      <c r="K244" s="130">
        <f t="shared" si="16"/>
        <v>-60</v>
      </c>
      <c r="L244" s="130"/>
      <c r="M244" s="132">
        <f t="shared" si="17"/>
        <v>0</v>
      </c>
    </row>
    <row r="245" spans="1:13" x14ac:dyDescent="0.25">
      <c r="A245" s="146"/>
      <c r="G245" s="116"/>
      <c r="H245" s="130">
        <v>240</v>
      </c>
      <c r="I245" s="131" t="str">
        <f t="shared" si="18"/>
        <v/>
      </c>
      <c r="J245" s="130">
        <f t="shared" si="19"/>
        <v>-6</v>
      </c>
      <c r="K245" s="130">
        <f t="shared" si="16"/>
        <v>-60</v>
      </c>
      <c r="L245" s="130"/>
      <c r="M245" s="132">
        <f t="shared" si="17"/>
        <v>0</v>
      </c>
    </row>
    <row r="246" spans="1:13" x14ac:dyDescent="0.25">
      <c r="A246" s="146"/>
      <c r="G246" s="116"/>
      <c r="H246" s="130">
        <v>241</v>
      </c>
      <c r="I246" s="131" t="str">
        <f t="shared" si="18"/>
        <v/>
      </c>
      <c r="J246" s="130">
        <f t="shared" si="19"/>
        <v>-6</v>
      </c>
      <c r="K246" s="130">
        <f t="shared" si="16"/>
        <v>-60</v>
      </c>
      <c r="L246" s="130"/>
      <c r="M246" s="132">
        <f t="shared" si="17"/>
        <v>0</v>
      </c>
    </row>
    <row r="247" spans="1:13" x14ac:dyDescent="0.25">
      <c r="A247" s="146"/>
      <c r="G247" s="116"/>
      <c r="H247" s="130">
        <v>242</v>
      </c>
      <c r="I247" s="131" t="str">
        <f t="shared" si="18"/>
        <v/>
      </c>
      <c r="J247" s="130">
        <f t="shared" si="19"/>
        <v>-6</v>
      </c>
      <c r="K247" s="130">
        <f t="shared" si="16"/>
        <v>-60</v>
      </c>
      <c r="L247" s="130"/>
      <c r="M247" s="132">
        <f t="shared" si="17"/>
        <v>0</v>
      </c>
    </row>
    <row r="248" spans="1:13" x14ac:dyDescent="0.25">
      <c r="A248" s="146"/>
      <c r="G248" s="116"/>
      <c r="H248" s="130">
        <v>243</v>
      </c>
      <c r="I248" s="131" t="str">
        <f t="shared" si="18"/>
        <v/>
      </c>
      <c r="J248" s="130">
        <f t="shared" si="19"/>
        <v>-6</v>
      </c>
      <c r="K248" s="130">
        <f t="shared" si="16"/>
        <v>-60</v>
      </c>
      <c r="L248" s="130"/>
      <c r="M248" s="132">
        <f t="shared" si="17"/>
        <v>0</v>
      </c>
    </row>
    <row r="249" spans="1:13" x14ac:dyDescent="0.25">
      <c r="A249" s="146"/>
      <c r="G249" s="116"/>
      <c r="H249" s="130">
        <v>244</v>
      </c>
      <c r="I249" s="131" t="str">
        <f t="shared" si="18"/>
        <v/>
      </c>
      <c r="J249" s="130">
        <f t="shared" si="19"/>
        <v>-6</v>
      </c>
      <c r="K249" s="130">
        <f t="shared" si="16"/>
        <v>-60</v>
      </c>
      <c r="L249" s="130"/>
      <c r="M249" s="132">
        <f t="shared" si="17"/>
        <v>0</v>
      </c>
    </row>
    <row r="250" spans="1:13" x14ac:dyDescent="0.25">
      <c r="A250" s="146"/>
      <c r="G250" s="116"/>
      <c r="H250" s="130">
        <v>245</v>
      </c>
      <c r="I250" s="131" t="str">
        <f t="shared" si="18"/>
        <v/>
      </c>
      <c r="J250" s="130">
        <f t="shared" si="19"/>
        <v>-6</v>
      </c>
      <c r="K250" s="130">
        <f t="shared" si="16"/>
        <v>-60</v>
      </c>
      <c r="L250" s="130"/>
      <c r="M250" s="132">
        <f t="shared" si="17"/>
        <v>0</v>
      </c>
    </row>
    <row r="251" spans="1:13" x14ac:dyDescent="0.25">
      <c r="A251" s="146"/>
      <c r="G251" s="116"/>
      <c r="H251" s="130">
        <v>246</v>
      </c>
      <c r="I251" s="131" t="str">
        <f t="shared" si="18"/>
        <v/>
      </c>
      <c r="J251" s="130">
        <f t="shared" si="19"/>
        <v>-6</v>
      </c>
      <c r="K251" s="130">
        <f t="shared" si="16"/>
        <v>-60</v>
      </c>
      <c r="L251" s="130"/>
      <c r="M251" s="132">
        <f t="shared" si="17"/>
        <v>0</v>
      </c>
    </row>
    <row r="252" spans="1:13" x14ac:dyDescent="0.25">
      <c r="A252" s="146"/>
      <c r="G252" s="116"/>
      <c r="H252" s="130">
        <v>247</v>
      </c>
      <c r="I252" s="131" t="str">
        <f t="shared" si="18"/>
        <v/>
      </c>
      <c r="J252" s="130">
        <f t="shared" si="19"/>
        <v>-6</v>
      </c>
      <c r="K252" s="130">
        <f t="shared" si="16"/>
        <v>-60</v>
      </c>
      <c r="L252" s="130"/>
      <c r="M252" s="132">
        <f t="shared" si="17"/>
        <v>0</v>
      </c>
    </row>
    <row r="253" spans="1:13" x14ac:dyDescent="0.25">
      <c r="A253" s="146"/>
      <c r="G253" s="116"/>
      <c r="H253" s="130">
        <v>248</v>
      </c>
      <c r="I253" s="131" t="str">
        <f t="shared" si="18"/>
        <v/>
      </c>
      <c r="J253" s="130">
        <f t="shared" si="19"/>
        <v>-6</v>
      </c>
      <c r="K253" s="130">
        <f t="shared" si="16"/>
        <v>-60</v>
      </c>
      <c r="L253" s="130"/>
      <c r="M253" s="132">
        <f t="shared" si="17"/>
        <v>0</v>
      </c>
    </row>
    <row r="254" spans="1:13" x14ac:dyDescent="0.25">
      <c r="A254" s="146"/>
      <c r="G254" s="116"/>
      <c r="H254" s="130">
        <v>249</v>
      </c>
      <c r="I254" s="131" t="str">
        <f t="shared" si="18"/>
        <v/>
      </c>
      <c r="J254" s="130">
        <f t="shared" si="19"/>
        <v>-6</v>
      </c>
      <c r="K254" s="130">
        <f t="shared" si="16"/>
        <v>-60</v>
      </c>
      <c r="L254" s="130"/>
      <c r="M254" s="132">
        <f t="shared" si="17"/>
        <v>0</v>
      </c>
    </row>
    <row r="255" spans="1:13" x14ac:dyDescent="0.25">
      <c r="A255" s="146"/>
      <c r="G255" s="116"/>
      <c r="H255" s="130">
        <v>250</v>
      </c>
      <c r="I255" s="131" t="str">
        <f t="shared" si="18"/>
        <v/>
      </c>
      <c r="J255" s="130">
        <f t="shared" si="19"/>
        <v>-6</v>
      </c>
      <c r="K255" s="130">
        <f t="shared" si="16"/>
        <v>-60</v>
      </c>
      <c r="L255" s="130"/>
      <c r="M255" s="132">
        <f t="shared" si="17"/>
        <v>0</v>
      </c>
    </row>
    <row r="256" spans="1:13" x14ac:dyDescent="0.25">
      <c r="A256" s="146"/>
      <c r="G256" s="116"/>
      <c r="H256" s="130">
        <v>251</v>
      </c>
      <c r="I256" s="131" t="str">
        <f t="shared" si="18"/>
        <v/>
      </c>
      <c r="J256" s="130">
        <f t="shared" si="19"/>
        <v>-6</v>
      </c>
      <c r="K256" s="130">
        <f t="shared" si="16"/>
        <v>-60</v>
      </c>
      <c r="L256" s="130"/>
      <c r="M256" s="132">
        <f t="shared" si="17"/>
        <v>0</v>
      </c>
    </row>
    <row r="257" spans="1:13" x14ac:dyDescent="0.25">
      <c r="A257" s="146"/>
      <c r="G257" s="116"/>
      <c r="H257" s="130">
        <v>252</v>
      </c>
      <c r="I257" s="131" t="str">
        <f t="shared" si="18"/>
        <v/>
      </c>
      <c r="J257" s="130">
        <f t="shared" si="19"/>
        <v>-6</v>
      </c>
      <c r="K257" s="130">
        <f t="shared" si="16"/>
        <v>-60</v>
      </c>
      <c r="L257" s="130"/>
      <c r="M257" s="132">
        <f t="shared" si="17"/>
        <v>0</v>
      </c>
    </row>
    <row r="258" spans="1:13" x14ac:dyDescent="0.25">
      <c r="A258" s="146"/>
      <c r="G258" s="116"/>
      <c r="H258" s="130">
        <v>253</v>
      </c>
      <c r="I258" s="131" t="str">
        <f t="shared" si="18"/>
        <v/>
      </c>
      <c r="J258" s="130">
        <f t="shared" si="19"/>
        <v>-6</v>
      </c>
      <c r="K258" s="130">
        <f t="shared" si="16"/>
        <v>-60</v>
      </c>
      <c r="L258" s="130"/>
      <c r="M258" s="132">
        <f t="shared" si="17"/>
        <v>0</v>
      </c>
    </row>
    <row r="259" spans="1:13" x14ac:dyDescent="0.25">
      <c r="A259" s="146"/>
      <c r="G259" s="116"/>
      <c r="H259" s="130">
        <v>254</v>
      </c>
      <c r="I259" s="131" t="str">
        <f t="shared" si="18"/>
        <v/>
      </c>
      <c r="J259" s="130">
        <f t="shared" si="19"/>
        <v>-6</v>
      </c>
      <c r="K259" s="130">
        <f t="shared" si="16"/>
        <v>-60</v>
      </c>
      <c r="L259" s="130"/>
      <c r="M259" s="132">
        <f t="shared" si="17"/>
        <v>0</v>
      </c>
    </row>
    <row r="260" spans="1:13" x14ac:dyDescent="0.25">
      <c r="A260" s="146"/>
      <c r="G260" s="116"/>
      <c r="H260" s="130">
        <v>255</v>
      </c>
      <c r="I260" s="131" t="str">
        <f t="shared" si="18"/>
        <v/>
      </c>
      <c r="J260" s="130">
        <f t="shared" si="19"/>
        <v>-6</v>
      </c>
      <c r="K260" s="130">
        <f t="shared" si="16"/>
        <v>-60</v>
      </c>
      <c r="L260" s="130"/>
      <c r="M260" s="132">
        <f t="shared" si="17"/>
        <v>0</v>
      </c>
    </row>
    <row r="261" spans="1:13" x14ac:dyDescent="0.25">
      <c r="A261" s="146"/>
      <c r="G261" s="116"/>
      <c r="H261" s="130">
        <v>256</v>
      </c>
      <c r="I261" s="131" t="str">
        <f t="shared" si="18"/>
        <v/>
      </c>
      <c r="J261" s="130">
        <f t="shared" si="19"/>
        <v>-6</v>
      </c>
      <c r="K261" s="130">
        <f t="shared" si="16"/>
        <v>-60</v>
      </c>
      <c r="L261" s="130"/>
      <c r="M261" s="132">
        <f t="shared" si="17"/>
        <v>0</v>
      </c>
    </row>
    <row r="262" spans="1:13" x14ac:dyDescent="0.25">
      <c r="A262" s="146"/>
      <c r="G262" s="116"/>
      <c r="H262" s="130">
        <v>257</v>
      </c>
      <c r="I262" s="131" t="str">
        <f t="shared" si="18"/>
        <v/>
      </c>
      <c r="J262" s="130">
        <f t="shared" si="19"/>
        <v>-7</v>
      </c>
      <c r="K262" s="130">
        <f t="shared" ref="K262:K305" si="20">J262*$J$2</f>
        <v>-70</v>
      </c>
      <c r="L262" s="130"/>
      <c r="M262" s="132">
        <f t="shared" ref="M262:M305" si="21">IF(I262&lt;&gt;"",K262+I262+L262,0)</f>
        <v>0</v>
      </c>
    </row>
    <row r="263" spans="1:13" x14ac:dyDescent="0.25">
      <c r="A263" s="146"/>
      <c r="G263" s="116"/>
      <c r="H263" s="130">
        <v>258</v>
      </c>
      <c r="I263" s="131" t="str">
        <f t="shared" ref="I263:I305" si="22">IF(H263&lt;$H$2+1,($I$2-($I$2-1)*(LOG(H263)/LOG($H$2))),"")</f>
        <v/>
      </c>
      <c r="J263" s="130">
        <f t="shared" ref="J263:J305" si="23">INT(LOG($H$2,2))-ROUNDUP(LOG(H263,2),0)+IF(OR($H$2=1,$H$2=2,$H$2=4,$H$2=8,$H$2=16,$H$2=32,$H$2=64,$H$2=128,$H$2=256),0,1)</f>
        <v>-7</v>
      </c>
      <c r="K263" s="130">
        <f t="shared" si="20"/>
        <v>-70</v>
      </c>
      <c r="L263" s="130"/>
      <c r="M263" s="132">
        <f t="shared" si="21"/>
        <v>0</v>
      </c>
    </row>
    <row r="264" spans="1:13" x14ac:dyDescent="0.25">
      <c r="A264" s="146"/>
      <c r="G264" s="116"/>
      <c r="H264" s="130">
        <v>259</v>
      </c>
      <c r="I264" s="131" t="str">
        <f t="shared" si="22"/>
        <v/>
      </c>
      <c r="J264" s="130">
        <f t="shared" si="23"/>
        <v>-7</v>
      </c>
      <c r="K264" s="130">
        <f t="shared" si="20"/>
        <v>-70</v>
      </c>
      <c r="L264" s="130"/>
      <c r="M264" s="132">
        <f t="shared" si="21"/>
        <v>0</v>
      </c>
    </row>
    <row r="265" spans="1:13" x14ac:dyDescent="0.25">
      <c r="A265" s="146"/>
      <c r="G265" s="116"/>
      <c r="H265" s="130">
        <v>260</v>
      </c>
      <c r="I265" s="131" t="str">
        <f t="shared" si="22"/>
        <v/>
      </c>
      <c r="J265" s="130">
        <f t="shared" si="23"/>
        <v>-7</v>
      </c>
      <c r="K265" s="130">
        <f t="shared" si="20"/>
        <v>-70</v>
      </c>
      <c r="L265" s="130"/>
      <c r="M265" s="132">
        <f t="shared" si="21"/>
        <v>0</v>
      </c>
    </row>
    <row r="266" spans="1:13" x14ac:dyDescent="0.25">
      <c r="A266" s="146"/>
      <c r="G266" s="116"/>
      <c r="H266" s="130">
        <v>261</v>
      </c>
      <c r="I266" s="131" t="str">
        <f t="shared" si="22"/>
        <v/>
      </c>
      <c r="J266" s="130">
        <f t="shared" si="23"/>
        <v>-7</v>
      </c>
      <c r="K266" s="130">
        <f t="shared" si="20"/>
        <v>-70</v>
      </c>
      <c r="L266" s="130"/>
      <c r="M266" s="132">
        <f t="shared" si="21"/>
        <v>0</v>
      </c>
    </row>
    <row r="267" spans="1:13" x14ac:dyDescent="0.25">
      <c r="A267" s="146"/>
      <c r="G267" s="116"/>
      <c r="H267" s="130">
        <v>262</v>
      </c>
      <c r="I267" s="131" t="str">
        <f t="shared" si="22"/>
        <v/>
      </c>
      <c r="J267" s="130">
        <f t="shared" si="23"/>
        <v>-7</v>
      </c>
      <c r="K267" s="130">
        <f t="shared" si="20"/>
        <v>-70</v>
      </c>
      <c r="L267" s="130"/>
      <c r="M267" s="132">
        <f t="shared" si="21"/>
        <v>0</v>
      </c>
    </row>
    <row r="268" spans="1:13" x14ac:dyDescent="0.25">
      <c r="A268" s="146"/>
      <c r="G268" s="116"/>
      <c r="H268" s="130">
        <v>263</v>
      </c>
      <c r="I268" s="131" t="str">
        <f t="shared" si="22"/>
        <v/>
      </c>
      <c r="J268" s="130">
        <f t="shared" si="23"/>
        <v>-7</v>
      </c>
      <c r="K268" s="130">
        <f t="shared" si="20"/>
        <v>-70</v>
      </c>
      <c r="L268" s="130"/>
      <c r="M268" s="132">
        <f t="shared" si="21"/>
        <v>0</v>
      </c>
    </row>
    <row r="269" spans="1:13" x14ac:dyDescent="0.25">
      <c r="A269" s="146"/>
      <c r="G269" s="116"/>
      <c r="H269" s="130">
        <v>264</v>
      </c>
      <c r="I269" s="131" t="str">
        <f t="shared" si="22"/>
        <v/>
      </c>
      <c r="J269" s="130">
        <f t="shared" si="23"/>
        <v>-7</v>
      </c>
      <c r="K269" s="130">
        <f t="shared" si="20"/>
        <v>-70</v>
      </c>
      <c r="L269" s="130"/>
      <c r="M269" s="132">
        <f t="shared" si="21"/>
        <v>0</v>
      </c>
    </row>
    <row r="270" spans="1:13" x14ac:dyDescent="0.25">
      <c r="A270" s="146"/>
      <c r="G270" s="116"/>
      <c r="H270" s="130">
        <v>265</v>
      </c>
      <c r="I270" s="131" t="str">
        <f t="shared" si="22"/>
        <v/>
      </c>
      <c r="J270" s="130">
        <f t="shared" si="23"/>
        <v>-7</v>
      </c>
      <c r="K270" s="130">
        <f t="shared" si="20"/>
        <v>-70</v>
      </c>
      <c r="L270" s="130"/>
      <c r="M270" s="132">
        <f t="shared" si="21"/>
        <v>0</v>
      </c>
    </row>
    <row r="271" spans="1:13" x14ac:dyDescent="0.25">
      <c r="A271" s="146"/>
      <c r="G271" s="116"/>
      <c r="H271" s="130">
        <v>266</v>
      </c>
      <c r="I271" s="131" t="str">
        <f t="shared" si="22"/>
        <v/>
      </c>
      <c r="J271" s="130">
        <f t="shared" si="23"/>
        <v>-7</v>
      </c>
      <c r="K271" s="130">
        <f t="shared" si="20"/>
        <v>-70</v>
      </c>
      <c r="L271" s="130"/>
      <c r="M271" s="132">
        <f t="shared" si="21"/>
        <v>0</v>
      </c>
    </row>
    <row r="272" spans="1:13" x14ac:dyDescent="0.25">
      <c r="A272" s="146"/>
      <c r="G272" s="116"/>
      <c r="H272" s="130">
        <v>267</v>
      </c>
      <c r="I272" s="131" t="str">
        <f t="shared" si="22"/>
        <v/>
      </c>
      <c r="J272" s="130">
        <f t="shared" si="23"/>
        <v>-7</v>
      </c>
      <c r="K272" s="130">
        <f t="shared" si="20"/>
        <v>-70</v>
      </c>
      <c r="L272" s="130"/>
      <c r="M272" s="132">
        <f t="shared" si="21"/>
        <v>0</v>
      </c>
    </row>
    <row r="273" spans="1:13" x14ac:dyDescent="0.25">
      <c r="A273" s="146"/>
      <c r="G273" s="116"/>
      <c r="H273" s="130">
        <v>268</v>
      </c>
      <c r="I273" s="131" t="str">
        <f t="shared" si="22"/>
        <v/>
      </c>
      <c r="J273" s="130">
        <f t="shared" si="23"/>
        <v>-7</v>
      </c>
      <c r="K273" s="130">
        <f t="shared" si="20"/>
        <v>-70</v>
      </c>
      <c r="L273" s="130"/>
      <c r="M273" s="132">
        <f t="shared" si="21"/>
        <v>0</v>
      </c>
    </row>
    <row r="274" spans="1:13" x14ac:dyDescent="0.25">
      <c r="A274" s="146"/>
      <c r="G274" s="116"/>
      <c r="H274" s="130">
        <v>269</v>
      </c>
      <c r="I274" s="131" t="str">
        <f t="shared" si="22"/>
        <v/>
      </c>
      <c r="J274" s="130">
        <f t="shared" si="23"/>
        <v>-7</v>
      </c>
      <c r="K274" s="130">
        <f t="shared" si="20"/>
        <v>-70</v>
      </c>
      <c r="L274" s="130"/>
      <c r="M274" s="132">
        <f t="shared" si="21"/>
        <v>0</v>
      </c>
    </row>
    <row r="275" spans="1:13" x14ac:dyDescent="0.25">
      <c r="A275" s="146"/>
      <c r="G275" s="116"/>
      <c r="H275" s="130">
        <v>270</v>
      </c>
      <c r="I275" s="131" t="str">
        <f t="shared" si="22"/>
        <v/>
      </c>
      <c r="J275" s="130">
        <f t="shared" si="23"/>
        <v>-7</v>
      </c>
      <c r="K275" s="130">
        <f t="shared" si="20"/>
        <v>-70</v>
      </c>
      <c r="L275" s="130"/>
      <c r="M275" s="132">
        <f t="shared" si="21"/>
        <v>0</v>
      </c>
    </row>
    <row r="276" spans="1:13" x14ac:dyDescent="0.25">
      <c r="A276" s="146"/>
      <c r="G276" s="116"/>
      <c r="H276" s="130">
        <v>271</v>
      </c>
      <c r="I276" s="131" t="str">
        <f t="shared" si="22"/>
        <v/>
      </c>
      <c r="J276" s="130">
        <f t="shared" si="23"/>
        <v>-7</v>
      </c>
      <c r="K276" s="130">
        <f t="shared" si="20"/>
        <v>-70</v>
      </c>
      <c r="L276" s="130"/>
      <c r="M276" s="132">
        <f t="shared" si="21"/>
        <v>0</v>
      </c>
    </row>
    <row r="277" spans="1:13" x14ac:dyDescent="0.25">
      <c r="A277" s="146"/>
      <c r="G277" s="116"/>
      <c r="H277" s="130">
        <v>272</v>
      </c>
      <c r="I277" s="131" t="str">
        <f t="shared" si="22"/>
        <v/>
      </c>
      <c r="J277" s="130">
        <f t="shared" si="23"/>
        <v>-7</v>
      </c>
      <c r="K277" s="130">
        <f t="shared" si="20"/>
        <v>-70</v>
      </c>
      <c r="L277" s="130"/>
      <c r="M277" s="132">
        <f t="shared" si="21"/>
        <v>0</v>
      </c>
    </row>
    <row r="278" spans="1:13" x14ac:dyDescent="0.25">
      <c r="A278" s="146"/>
      <c r="G278" s="116"/>
      <c r="H278" s="130">
        <v>273</v>
      </c>
      <c r="I278" s="131" t="str">
        <f t="shared" si="22"/>
        <v/>
      </c>
      <c r="J278" s="130">
        <f t="shared" si="23"/>
        <v>-7</v>
      </c>
      <c r="K278" s="130">
        <f t="shared" si="20"/>
        <v>-70</v>
      </c>
      <c r="L278" s="130"/>
      <c r="M278" s="132">
        <f t="shared" si="21"/>
        <v>0</v>
      </c>
    </row>
    <row r="279" spans="1:13" x14ac:dyDescent="0.25">
      <c r="A279" s="146"/>
      <c r="G279" s="116"/>
      <c r="H279" s="130">
        <v>274</v>
      </c>
      <c r="I279" s="131" t="str">
        <f t="shared" si="22"/>
        <v/>
      </c>
      <c r="J279" s="130">
        <f t="shared" si="23"/>
        <v>-7</v>
      </c>
      <c r="K279" s="130">
        <f t="shared" si="20"/>
        <v>-70</v>
      </c>
      <c r="L279" s="130"/>
      <c r="M279" s="132">
        <f t="shared" si="21"/>
        <v>0</v>
      </c>
    </row>
    <row r="280" spans="1:13" x14ac:dyDescent="0.25">
      <c r="A280" s="146"/>
      <c r="G280" s="116"/>
      <c r="H280" s="130">
        <v>275</v>
      </c>
      <c r="I280" s="131" t="str">
        <f t="shared" si="22"/>
        <v/>
      </c>
      <c r="J280" s="130">
        <f t="shared" si="23"/>
        <v>-7</v>
      </c>
      <c r="K280" s="130">
        <f t="shared" si="20"/>
        <v>-70</v>
      </c>
      <c r="L280" s="130"/>
      <c r="M280" s="132">
        <f t="shared" si="21"/>
        <v>0</v>
      </c>
    </row>
    <row r="281" spans="1:13" x14ac:dyDescent="0.25">
      <c r="A281" s="146"/>
      <c r="G281" s="116"/>
      <c r="H281" s="130">
        <v>276</v>
      </c>
      <c r="I281" s="131" t="str">
        <f t="shared" si="22"/>
        <v/>
      </c>
      <c r="J281" s="130">
        <f t="shared" si="23"/>
        <v>-7</v>
      </c>
      <c r="K281" s="130">
        <f t="shared" si="20"/>
        <v>-70</v>
      </c>
      <c r="L281" s="130"/>
      <c r="M281" s="132">
        <f t="shared" si="21"/>
        <v>0</v>
      </c>
    </row>
    <row r="282" spans="1:13" x14ac:dyDescent="0.25">
      <c r="A282" s="146"/>
      <c r="G282" s="116"/>
      <c r="H282" s="130">
        <v>277</v>
      </c>
      <c r="I282" s="131" t="str">
        <f t="shared" si="22"/>
        <v/>
      </c>
      <c r="J282" s="130">
        <f t="shared" si="23"/>
        <v>-7</v>
      </c>
      <c r="K282" s="130">
        <f t="shared" si="20"/>
        <v>-70</v>
      </c>
      <c r="L282" s="130"/>
      <c r="M282" s="132">
        <f t="shared" si="21"/>
        <v>0</v>
      </c>
    </row>
    <row r="283" spans="1:13" x14ac:dyDescent="0.25">
      <c r="A283" s="146"/>
      <c r="G283" s="116"/>
      <c r="H283" s="130">
        <v>278</v>
      </c>
      <c r="I283" s="131" t="str">
        <f t="shared" si="22"/>
        <v/>
      </c>
      <c r="J283" s="130">
        <f t="shared" si="23"/>
        <v>-7</v>
      </c>
      <c r="K283" s="130">
        <f t="shared" si="20"/>
        <v>-70</v>
      </c>
      <c r="L283" s="130"/>
      <c r="M283" s="132">
        <f t="shared" si="21"/>
        <v>0</v>
      </c>
    </row>
    <row r="284" spans="1:13" x14ac:dyDescent="0.25">
      <c r="A284" s="146"/>
      <c r="G284" s="116"/>
      <c r="H284" s="130">
        <v>279</v>
      </c>
      <c r="I284" s="131" t="str">
        <f t="shared" si="22"/>
        <v/>
      </c>
      <c r="J284" s="130">
        <f t="shared" si="23"/>
        <v>-7</v>
      </c>
      <c r="K284" s="130">
        <f t="shared" si="20"/>
        <v>-70</v>
      </c>
      <c r="L284" s="130"/>
      <c r="M284" s="132">
        <f t="shared" si="21"/>
        <v>0</v>
      </c>
    </row>
    <row r="285" spans="1:13" x14ac:dyDescent="0.25">
      <c r="A285" s="146"/>
      <c r="G285" s="116"/>
      <c r="H285" s="130">
        <v>280</v>
      </c>
      <c r="I285" s="131" t="str">
        <f t="shared" si="22"/>
        <v/>
      </c>
      <c r="J285" s="130">
        <f t="shared" si="23"/>
        <v>-7</v>
      </c>
      <c r="K285" s="130">
        <f t="shared" si="20"/>
        <v>-70</v>
      </c>
      <c r="L285" s="130"/>
      <c r="M285" s="132">
        <f t="shared" si="21"/>
        <v>0</v>
      </c>
    </row>
    <row r="286" spans="1:13" x14ac:dyDescent="0.25">
      <c r="A286" s="146"/>
      <c r="G286" s="116"/>
      <c r="H286" s="130">
        <v>281</v>
      </c>
      <c r="I286" s="131" t="str">
        <f t="shared" si="22"/>
        <v/>
      </c>
      <c r="J286" s="130">
        <f t="shared" si="23"/>
        <v>-7</v>
      </c>
      <c r="K286" s="130">
        <f t="shared" si="20"/>
        <v>-70</v>
      </c>
      <c r="L286" s="130"/>
      <c r="M286" s="132">
        <f t="shared" si="21"/>
        <v>0</v>
      </c>
    </row>
    <row r="287" spans="1:13" x14ac:dyDescent="0.25">
      <c r="A287" s="146"/>
      <c r="G287" s="116"/>
      <c r="H287" s="130">
        <v>282</v>
      </c>
      <c r="I287" s="131" t="str">
        <f t="shared" si="22"/>
        <v/>
      </c>
      <c r="J287" s="130">
        <f t="shared" si="23"/>
        <v>-7</v>
      </c>
      <c r="K287" s="130">
        <f t="shared" si="20"/>
        <v>-70</v>
      </c>
      <c r="L287" s="130"/>
      <c r="M287" s="132">
        <f t="shared" si="21"/>
        <v>0</v>
      </c>
    </row>
    <row r="288" spans="1:13" x14ac:dyDescent="0.25">
      <c r="A288" s="146"/>
      <c r="G288" s="116"/>
      <c r="H288" s="130">
        <v>283</v>
      </c>
      <c r="I288" s="131" t="str">
        <f t="shared" si="22"/>
        <v/>
      </c>
      <c r="J288" s="130">
        <f t="shared" si="23"/>
        <v>-7</v>
      </c>
      <c r="K288" s="130">
        <f t="shared" si="20"/>
        <v>-70</v>
      </c>
      <c r="L288" s="130"/>
      <c r="M288" s="132">
        <f t="shared" si="21"/>
        <v>0</v>
      </c>
    </row>
    <row r="289" spans="1:13" x14ac:dyDescent="0.25">
      <c r="A289" s="146"/>
      <c r="G289" s="116"/>
      <c r="H289" s="130">
        <v>284</v>
      </c>
      <c r="I289" s="131" t="str">
        <f t="shared" si="22"/>
        <v/>
      </c>
      <c r="J289" s="130">
        <f t="shared" si="23"/>
        <v>-7</v>
      </c>
      <c r="K289" s="130">
        <f t="shared" si="20"/>
        <v>-70</v>
      </c>
      <c r="L289" s="130"/>
      <c r="M289" s="132">
        <f t="shared" si="21"/>
        <v>0</v>
      </c>
    </row>
    <row r="290" spans="1:13" x14ac:dyDescent="0.25">
      <c r="A290" s="146"/>
      <c r="G290" s="116"/>
      <c r="H290" s="130">
        <v>285</v>
      </c>
      <c r="I290" s="131" t="str">
        <f t="shared" si="22"/>
        <v/>
      </c>
      <c r="J290" s="130">
        <f t="shared" si="23"/>
        <v>-7</v>
      </c>
      <c r="K290" s="130">
        <f t="shared" si="20"/>
        <v>-70</v>
      </c>
      <c r="L290" s="130"/>
      <c r="M290" s="132">
        <f t="shared" si="21"/>
        <v>0</v>
      </c>
    </row>
    <row r="291" spans="1:13" x14ac:dyDescent="0.25">
      <c r="A291" s="146"/>
      <c r="G291" s="116"/>
      <c r="H291" s="130">
        <v>286</v>
      </c>
      <c r="I291" s="131" t="str">
        <f t="shared" si="22"/>
        <v/>
      </c>
      <c r="J291" s="130">
        <f t="shared" si="23"/>
        <v>-7</v>
      </c>
      <c r="K291" s="130">
        <f t="shared" si="20"/>
        <v>-70</v>
      </c>
      <c r="L291" s="130"/>
      <c r="M291" s="132">
        <f t="shared" si="21"/>
        <v>0</v>
      </c>
    </row>
    <row r="292" spans="1:13" x14ac:dyDescent="0.25">
      <c r="A292" s="146"/>
      <c r="G292" s="116"/>
      <c r="H292" s="130">
        <v>287</v>
      </c>
      <c r="I292" s="131" t="str">
        <f t="shared" si="22"/>
        <v/>
      </c>
      <c r="J292" s="130">
        <f t="shared" si="23"/>
        <v>-7</v>
      </c>
      <c r="K292" s="130">
        <f t="shared" si="20"/>
        <v>-70</v>
      </c>
      <c r="L292" s="130"/>
      <c r="M292" s="132">
        <f t="shared" si="21"/>
        <v>0</v>
      </c>
    </row>
    <row r="293" spans="1:13" x14ac:dyDescent="0.25">
      <c r="A293" s="146"/>
      <c r="G293" s="116"/>
      <c r="H293" s="130">
        <v>288</v>
      </c>
      <c r="I293" s="131" t="str">
        <f t="shared" si="22"/>
        <v/>
      </c>
      <c r="J293" s="130">
        <f t="shared" si="23"/>
        <v>-7</v>
      </c>
      <c r="K293" s="130">
        <f t="shared" si="20"/>
        <v>-70</v>
      </c>
      <c r="L293" s="130"/>
      <c r="M293" s="132">
        <f t="shared" si="21"/>
        <v>0</v>
      </c>
    </row>
    <row r="294" spans="1:13" x14ac:dyDescent="0.25">
      <c r="A294" s="146"/>
      <c r="G294" s="116"/>
      <c r="H294" s="130">
        <v>289</v>
      </c>
      <c r="I294" s="131" t="str">
        <f t="shared" si="22"/>
        <v/>
      </c>
      <c r="J294" s="130">
        <f t="shared" si="23"/>
        <v>-7</v>
      </c>
      <c r="K294" s="130">
        <f t="shared" si="20"/>
        <v>-70</v>
      </c>
      <c r="L294" s="130"/>
      <c r="M294" s="132">
        <f t="shared" si="21"/>
        <v>0</v>
      </c>
    </row>
    <row r="295" spans="1:13" x14ac:dyDescent="0.25">
      <c r="A295" s="146"/>
      <c r="G295" s="116"/>
      <c r="H295" s="130">
        <v>290</v>
      </c>
      <c r="I295" s="131" t="str">
        <f t="shared" si="22"/>
        <v/>
      </c>
      <c r="J295" s="130">
        <f t="shared" si="23"/>
        <v>-7</v>
      </c>
      <c r="K295" s="130">
        <f t="shared" si="20"/>
        <v>-70</v>
      </c>
      <c r="L295" s="130"/>
      <c r="M295" s="132">
        <f t="shared" si="21"/>
        <v>0</v>
      </c>
    </row>
    <row r="296" spans="1:13" x14ac:dyDescent="0.25">
      <c r="A296" s="146"/>
      <c r="G296" s="116"/>
      <c r="H296" s="130">
        <v>291</v>
      </c>
      <c r="I296" s="131" t="str">
        <f t="shared" si="22"/>
        <v/>
      </c>
      <c r="J296" s="130">
        <f t="shared" si="23"/>
        <v>-7</v>
      </c>
      <c r="K296" s="130">
        <f t="shared" si="20"/>
        <v>-70</v>
      </c>
      <c r="L296" s="130"/>
      <c r="M296" s="132">
        <f t="shared" si="21"/>
        <v>0</v>
      </c>
    </row>
    <row r="297" spans="1:13" x14ac:dyDescent="0.25">
      <c r="A297" s="146"/>
      <c r="G297" s="116"/>
      <c r="H297" s="130">
        <v>292</v>
      </c>
      <c r="I297" s="131" t="str">
        <f t="shared" si="22"/>
        <v/>
      </c>
      <c r="J297" s="130">
        <f t="shared" si="23"/>
        <v>-7</v>
      </c>
      <c r="K297" s="130">
        <f t="shared" si="20"/>
        <v>-70</v>
      </c>
      <c r="L297" s="130"/>
      <c r="M297" s="132">
        <f t="shared" si="21"/>
        <v>0</v>
      </c>
    </row>
    <row r="298" spans="1:13" x14ac:dyDescent="0.25">
      <c r="A298" s="146"/>
      <c r="G298" s="116"/>
      <c r="H298" s="130">
        <v>293</v>
      </c>
      <c r="I298" s="131" t="str">
        <f t="shared" si="22"/>
        <v/>
      </c>
      <c r="J298" s="130">
        <f t="shared" si="23"/>
        <v>-7</v>
      </c>
      <c r="K298" s="130">
        <f t="shared" si="20"/>
        <v>-70</v>
      </c>
      <c r="L298" s="130"/>
      <c r="M298" s="132">
        <f t="shared" si="21"/>
        <v>0</v>
      </c>
    </row>
    <row r="299" spans="1:13" x14ac:dyDescent="0.25">
      <c r="A299" s="146"/>
      <c r="G299" s="116"/>
      <c r="H299" s="130">
        <v>294</v>
      </c>
      <c r="I299" s="131" t="str">
        <f t="shared" si="22"/>
        <v/>
      </c>
      <c r="J299" s="130">
        <f t="shared" si="23"/>
        <v>-7</v>
      </c>
      <c r="K299" s="130">
        <f t="shared" si="20"/>
        <v>-70</v>
      </c>
      <c r="L299" s="130"/>
      <c r="M299" s="132">
        <f t="shared" si="21"/>
        <v>0</v>
      </c>
    </row>
    <row r="300" spans="1:13" x14ac:dyDescent="0.25">
      <c r="A300" s="146"/>
      <c r="G300" s="116"/>
      <c r="H300" s="130">
        <v>295</v>
      </c>
      <c r="I300" s="131" t="str">
        <f t="shared" si="22"/>
        <v/>
      </c>
      <c r="J300" s="130">
        <f t="shared" si="23"/>
        <v>-7</v>
      </c>
      <c r="K300" s="130">
        <f t="shared" si="20"/>
        <v>-70</v>
      </c>
      <c r="L300" s="130"/>
      <c r="M300" s="132">
        <f t="shared" si="21"/>
        <v>0</v>
      </c>
    </row>
    <row r="301" spans="1:13" x14ac:dyDescent="0.25">
      <c r="A301" s="146"/>
      <c r="G301" s="116"/>
      <c r="H301" s="130">
        <v>296</v>
      </c>
      <c r="I301" s="131" t="str">
        <f t="shared" si="22"/>
        <v/>
      </c>
      <c r="J301" s="130">
        <f t="shared" si="23"/>
        <v>-7</v>
      </c>
      <c r="K301" s="130">
        <f t="shared" si="20"/>
        <v>-70</v>
      </c>
      <c r="L301" s="130"/>
      <c r="M301" s="132">
        <f t="shared" si="21"/>
        <v>0</v>
      </c>
    </row>
    <row r="302" spans="1:13" x14ac:dyDescent="0.25">
      <c r="A302" s="146"/>
      <c r="G302" s="116"/>
      <c r="H302" s="130">
        <v>297</v>
      </c>
      <c r="I302" s="131" t="str">
        <f t="shared" si="22"/>
        <v/>
      </c>
      <c r="J302" s="130">
        <f t="shared" si="23"/>
        <v>-7</v>
      </c>
      <c r="K302" s="130">
        <f t="shared" si="20"/>
        <v>-70</v>
      </c>
      <c r="L302" s="130"/>
      <c r="M302" s="132">
        <f t="shared" si="21"/>
        <v>0</v>
      </c>
    </row>
    <row r="303" spans="1:13" x14ac:dyDescent="0.25">
      <c r="A303" s="146"/>
      <c r="G303" s="116"/>
      <c r="H303" s="130">
        <v>298</v>
      </c>
      <c r="I303" s="131" t="str">
        <f t="shared" si="22"/>
        <v/>
      </c>
      <c r="J303" s="130">
        <f t="shared" si="23"/>
        <v>-7</v>
      </c>
      <c r="K303" s="130">
        <f t="shared" si="20"/>
        <v>-70</v>
      </c>
      <c r="L303" s="130"/>
      <c r="M303" s="132">
        <f t="shared" si="21"/>
        <v>0</v>
      </c>
    </row>
    <row r="304" spans="1:13" x14ac:dyDescent="0.25">
      <c r="A304" s="146"/>
      <c r="G304" s="116"/>
      <c r="H304" s="130">
        <v>299</v>
      </c>
      <c r="I304" s="131" t="str">
        <f t="shared" si="22"/>
        <v/>
      </c>
      <c r="J304" s="130">
        <f t="shared" si="23"/>
        <v>-7</v>
      </c>
      <c r="K304" s="130">
        <f t="shared" si="20"/>
        <v>-70</v>
      </c>
      <c r="L304" s="130"/>
      <c r="M304" s="132">
        <f t="shared" si="21"/>
        <v>0</v>
      </c>
    </row>
    <row r="305" spans="1:16" x14ac:dyDescent="0.25">
      <c r="A305" s="146"/>
      <c r="G305" s="116"/>
      <c r="H305" s="130">
        <v>300</v>
      </c>
      <c r="I305" s="131" t="str">
        <f t="shared" si="22"/>
        <v/>
      </c>
      <c r="J305" s="130">
        <f t="shared" si="23"/>
        <v>-7</v>
      </c>
      <c r="K305" s="130">
        <f t="shared" si="20"/>
        <v>-70</v>
      </c>
      <c r="L305" s="130"/>
      <c r="M305" s="132">
        <f t="shared" si="21"/>
        <v>0</v>
      </c>
    </row>
    <row r="306" spans="1:16" x14ac:dyDescent="0.25">
      <c r="A306" s="148"/>
    </row>
    <row r="314" spans="1:16" x14ac:dyDescent="0.25">
      <c r="L314" s="151"/>
      <c r="P314" s="204"/>
    </row>
    <row r="315" spans="1:16" x14ac:dyDescent="0.25">
      <c r="L315" s="151"/>
      <c r="P315" s="204"/>
    </row>
    <row r="316" spans="1:16" x14ac:dyDescent="0.25">
      <c r="L316" s="151"/>
      <c r="P316" s="204"/>
    </row>
    <row r="317" spans="1:16" x14ac:dyDescent="0.25">
      <c r="L317" s="151"/>
      <c r="P317" s="204"/>
    </row>
  </sheetData>
  <mergeCells count="3">
    <mergeCell ref="C2:D2"/>
    <mergeCell ref="C3:D3"/>
    <mergeCell ref="P5:R5"/>
  </mergeCells>
  <conditionalFormatting sqref="J6:K305">
    <cfRule type="cellIs" dxfId="24" priority="1" operator="lessThanOrEqual">
      <formula>0</formula>
    </cfRule>
  </conditionalFormatting>
  <dataValidations disablePrompts="1" count="1">
    <dataValidation type="list" allowBlank="1" showInputMessage="1" showErrorMessage="1" sqref="C38:C69" xr:uid="{7A77066D-AA80-4958-8DBE-C944A9B5704C}">
      <formula1>#REF!</formula1>
    </dataValidation>
  </dataValidations>
  <hyperlinks>
    <hyperlink ref="C2:D2" r:id="rId1" display="KRAKÓW" xr:uid="{C5FB9F16-4BCB-4D05-8647-A3C3E427B295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6C8A9-6AAD-4241-8F95-FE86B3B5449D}">
  <sheetPr>
    <tabColor rgb="FF92D050"/>
  </sheetPr>
  <dimension ref="A1:AL317"/>
  <sheetViews>
    <sheetView workbookViewId="0">
      <selection activeCell="C6" sqref="C6"/>
    </sheetView>
  </sheetViews>
  <sheetFormatPr defaultColWidth="8.875" defaultRowHeight="14.3" x14ac:dyDescent="0.25"/>
  <cols>
    <col min="1" max="1" width="8" style="147" customWidth="1"/>
    <col min="2" max="2" width="8.25" style="147" customWidth="1"/>
    <col min="3" max="3" width="34.75" style="147" customWidth="1"/>
    <col min="4" max="4" width="11.25" style="147" customWidth="1"/>
    <col min="5" max="6" width="8.875" style="147"/>
    <col min="7" max="7" width="0.875" style="147" customWidth="1"/>
    <col min="8" max="8" width="8.875" style="149"/>
    <col min="9" max="9" width="11" style="149" customWidth="1"/>
    <col min="10" max="10" width="15.25" style="149" customWidth="1"/>
    <col min="11" max="11" width="8.75" style="149" customWidth="1"/>
    <col min="12" max="12" width="11" style="149" customWidth="1"/>
    <col min="13" max="13" width="11.75" style="150" customWidth="1"/>
    <col min="14" max="15" width="13.875" style="116" customWidth="1"/>
    <col min="16" max="18" width="8.875" style="116"/>
    <col min="19" max="20" width="8.875" style="121"/>
    <col min="21" max="21" width="12.125" style="121" customWidth="1"/>
    <col min="22" max="22" width="27.375" style="121" customWidth="1"/>
    <col min="23" max="38" width="8.875" style="121"/>
    <col min="39" max="16384" width="8.875" style="147"/>
  </cols>
  <sheetData>
    <row r="1" spans="1:36" x14ac:dyDescent="0.25">
      <c r="A1" s="116"/>
      <c r="B1" s="116"/>
      <c r="C1" s="116"/>
      <c r="D1" s="116"/>
      <c r="E1" s="116"/>
      <c r="F1" s="116"/>
      <c r="G1" s="116"/>
      <c r="H1" s="117" t="s">
        <v>13</v>
      </c>
      <c r="I1" s="118" t="s">
        <v>14</v>
      </c>
      <c r="J1" s="118" t="s">
        <v>15</v>
      </c>
      <c r="K1" s="119" t="s">
        <v>16</v>
      </c>
      <c r="L1" s="120"/>
      <c r="M1" s="120"/>
    </row>
    <row r="2" spans="1:36" ht="14.45" customHeight="1" x14ac:dyDescent="0.25">
      <c r="A2" s="116"/>
      <c r="B2" s="17" t="s">
        <v>17</v>
      </c>
      <c r="C2" s="237" t="s">
        <v>52</v>
      </c>
      <c r="D2" s="237"/>
      <c r="E2" s="18"/>
      <c r="F2" s="18"/>
      <c r="G2" s="18"/>
      <c r="H2" s="122">
        <v>3</v>
      </c>
      <c r="I2" s="123">
        <v>50</v>
      </c>
      <c r="J2" s="123">
        <v>10</v>
      </c>
      <c r="K2" s="124">
        <f>3*H2^(1/3)</f>
        <v>4.3267487109222245</v>
      </c>
      <c r="L2" s="120"/>
      <c r="M2" s="120"/>
    </row>
    <row r="3" spans="1:36" ht="14.45" customHeight="1" x14ac:dyDescent="0.25">
      <c r="A3" s="116"/>
      <c r="B3" s="125" t="s">
        <v>18</v>
      </c>
      <c r="C3" s="238" t="s">
        <v>104</v>
      </c>
      <c r="D3" s="238"/>
      <c r="E3" s="23"/>
      <c r="F3" s="23"/>
      <c r="G3" s="23"/>
      <c r="H3" s="120"/>
      <c r="I3" s="120"/>
      <c r="J3" s="126"/>
      <c r="K3" s="120"/>
      <c r="L3" s="120"/>
      <c r="M3" s="120"/>
    </row>
    <row r="4" spans="1:36" ht="10.199999999999999" customHeight="1" x14ac:dyDescent="0.25">
      <c r="A4" s="25"/>
      <c r="B4" s="23"/>
      <c r="C4" s="25"/>
      <c r="D4" s="25"/>
      <c r="E4" s="25"/>
      <c r="F4" s="25"/>
      <c r="G4" s="25"/>
      <c r="H4" s="120"/>
      <c r="I4" s="120"/>
      <c r="J4" s="126"/>
      <c r="K4" s="120"/>
      <c r="L4" s="120"/>
      <c r="M4" s="120"/>
    </row>
    <row r="5" spans="1:36" ht="34.65" x14ac:dyDescent="0.25">
      <c r="A5" s="1" t="s">
        <v>19</v>
      </c>
      <c r="B5" s="26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25"/>
      <c r="H5" s="127" t="s">
        <v>25</v>
      </c>
      <c r="I5" s="128" t="s">
        <v>26</v>
      </c>
      <c r="J5" s="129" t="s">
        <v>27</v>
      </c>
      <c r="K5" s="128" t="s">
        <v>28</v>
      </c>
      <c r="L5" s="128" t="s">
        <v>29</v>
      </c>
      <c r="M5" s="127" t="s">
        <v>30</v>
      </c>
    </row>
    <row r="6" spans="1:36" ht="14.45" customHeight="1" x14ac:dyDescent="0.25">
      <c r="A6" s="30">
        <f t="shared" ref="A6:A9" si="0">M6</f>
        <v>82.980246132766666</v>
      </c>
      <c r="B6" s="31">
        <f t="shared" ref="B6:B9" si="1">IF(H6&gt;$H$2,"",(ROW()-5))</f>
        <v>1</v>
      </c>
      <c r="C6" s="32" t="s">
        <v>9</v>
      </c>
      <c r="D6" s="32" t="s">
        <v>31</v>
      </c>
      <c r="E6" s="32" t="s">
        <v>48</v>
      </c>
      <c r="F6" s="32"/>
      <c r="G6" s="25"/>
      <c r="H6" s="130">
        <v>1</v>
      </c>
      <c r="I6" s="131">
        <f>IF(H2=1,50,IF(H6&lt;$H$2+1,($I$2-($I$2-1)*(LOG(H6)/LOG($H$2))),""))</f>
        <v>50</v>
      </c>
      <c r="J6" s="130">
        <f>INT(LOG($H$2,2))-ROUNDUP(LOG(H6,2),0)+IF(OR($H$2=1,$H$2=2,$H$2=4,$H$2=8,$H$2=16,$H$2=32,$H$2=64,$H$2=128,$H$2=256),0,1)</f>
        <v>2</v>
      </c>
      <c r="K6" s="130">
        <f t="shared" ref="K6:K69" si="2">J6*$J$2</f>
        <v>20</v>
      </c>
      <c r="L6" s="132">
        <f>3*K2</f>
        <v>12.980246132766673</v>
      </c>
      <c r="M6" s="132">
        <f t="shared" ref="M6:M69" si="3">IF(I6&lt;&gt;"",K6+I6+L6,0)</f>
        <v>82.980246132766666</v>
      </c>
    </row>
    <row r="7" spans="1:36" ht="14.45" customHeight="1" x14ac:dyDescent="0.25">
      <c r="A7" s="36">
        <f t="shared" si="0"/>
        <v>37.73793949684304</v>
      </c>
      <c r="B7" s="37">
        <f t="shared" si="1"/>
        <v>2</v>
      </c>
      <c r="C7" s="38" t="s">
        <v>10</v>
      </c>
      <c r="D7" s="38" t="s">
        <v>84</v>
      </c>
      <c r="E7" s="38" t="s">
        <v>48</v>
      </c>
      <c r="F7" s="38"/>
      <c r="G7" s="25"/>
      <c r="H7" s="133">
        <v>2</v>
      </c>
      <c r="I7" s="134">
        <f t="shared" ref="I7:I70" si="4">IF(H7&lt;$H$2+1,($I$2-($I$2-1)*(LOG(H7)/LOG($H$2))),"")</f>
        <v>19.084442074998588</v>
      </c>
      <c r="J7" s="133">
        <f t="shared" ref="J7:J70" si="5">INT(LOG($H$2,2))-ROUNDUP(LOG(H7,2),0)+IF(OR($H$2=1,$H$2=2,$H$2=4,$H$2=8,$H$2=16,$H$2=32,$H$2=64,$H$2=128,$H$2=256),0,1)</f>
        <v>1</v>
      </c>
      <c r="K7" s="133">
        <f t="shared" si="2"/>
        <v>10</v>
      </c>
      <c r="L7" s="135">
        <f>2*K2</f>
        <v>8.6534974218444489</v>
      </c>
      <c r="M7" s="135">
        <f t="shared" si="3"/>
        <v>37.73793949684304</v>
      </c>
    </row>
    <row r="8" spans="1:36" ht="14.45" customHeight="1" x14ac:dyDescent="0.25">
      <c r="A8" s="30">
        <f t="shared" si="0"/>
        <v>5.3267487109222245</v>
      </c>
      <c r="B8" s="31">
        <f t="shared" si="1"/>
        <v>3</v>
      </c>
      <c r="C8" s="32" t="s">
        <v>11</v>
      </c>
      <c r="D8" s="32" t="s">
        <v>49</v>
      </c>
      <c r="E8" s="32" t="s">
        <v>48</v>
      </c>
      <c r="F8" s="32"/>
      <c r="G8" s="25"/>
      <c r="H8" s="130">
        <v>3</v>
      </c>
      <c r="I8" s="131">
        <f t="shared" si="4"/>
        <v>1</v>
      </c>
      <c r="J8" s="130">
        <f t="shared" si="5"/>
        <v>0</v>
      </c>
      <c r="K8" s="130">
        <f t="shared" si="2"/>
        <v>0</v>
      </c>
      <c r="L8" s="132">
        <f>K2</f>
        <v>4.3267487109222245</v>
      </c>
      <c r="M8" s="132">
        <f t="shared" si="3"/>
        <v>5.3267487109222245</v>
      </c>
    </row>
    <row r="9" spans="1:36" ht="14.45" customHeight="1" x14ac:dyDescent="0.25">
      <c r="A9" s="36">
        <f t="shared" si="0"/>
        <v>0</v>
      </c>
      <c r="B9" s="37" t="str">
        <f t="shared" si="1"/>
        <v/>
      </c>
      <c r="C9" s="38"/>
      <c r="D9" s="38"/>
      <c r="E9" s="38"/>
      <c r="F9" s="38"/>
      <c r="G9" s="25"/>
      <c r="H9" s="133">
        <v>4</v>
      </c>
      <c r="I9" s="134" t="str">
        <f t="shared" si="4"/>
        <v/>
      </c>
      <c r="J9" s="133">
        <f t="shared" si="5"/>
        <v>0</v>
      </c>
      <c r="K9" s="133">
        <f t="shared" si="2"/>
        <v>0</v>
      </c>
      <c r="L9" s="135"/>
      <c r="M9" s="135">
        <f t="shared" si="3"/>
        <v>0</v>
      </c>
      <c r="V9" s="136"/>
      <c r="Z9" s="137"/>
      <c r="AA9" s="137"/>
      <c r="AG9" s="138"/>
      <c r="AH9" s="121" t="s">
        <v>34</v>
      </c>
      <c r="AI9" s="121">
        <v>23</v>
      </c>
    </row>
    <row r="10" spans="1:36" ht="14.45" customHeight="1" x14ac:dyDescent="0.25">
      <c r="A10" s="30">
        <f t="shared" ref="A10:A37" si="6">M10</f>
        <v>0</v>
      </c>
      <c r="B10" s="31" t="str">
        <f t="shared" ref="B10:B13" si="7">IF(H10&gt;$H$2,"",(ROW()-5))</f>
        <v/>
      </c>
      <c r="C10" s="32"/>
      <c r="D10" s="32"/>
      <c r="E10" s="32"/>
      <c r="F10" s="32"/>
      <c r="G10" s="25"/>
      <c r="H10" s="130">
        <v>5</v>
      </c>
      <c r="I10" s="131" t="str">
        <f t="shared" si="4"/>
        <v/>
      </c>
      <c r="J10" s="130">
        <f t="shared" si="5"/>
        <v>-1</v>
      </c>
      <c r="K10" s="130">
        <f t="shared" si="2"/>
        <v>-10</v>
      </c>
      <c r="L10" s="130"/>
      <c r="M10" s="132">
        <f t="shared" si="3"/>
        <v>0</v>
      </c>
      <c r="V10" s="136"/>
      <c r="Z10" s="137"/>
      <c r="AA10" s="137"/>
      <c r="AG10" s="138"/>
      <c r="AH10" s="121" t="s">
        <v>35</v>
      </c>
      <c r="AI10" s="121">
        <v>45</v>
      </c>
    </row>
    <row r="11" spans="1:36" ht="14.45" customHeight="1" x14ac:dyDescent="0.25">
      <c r="A11" s="36">
        <f t="shared" si="6"/>
        <v>0</v>
      </c>
      <c r="B11" s="37" t="str">
        <f t="shared" si="7"/>
        <v/>
      </c>
      <c r="C11" s="38"/>
      <c r="D11" s="38"/>
      <c r="E11" s="38"/>
      <c r="F11" s="38"/>
      <c r="G11" s="25"/>
      <c r="H11" s="133">
        <v>6</v>
      </c>
      <c r="I11" s="134" t="str">
        <f t="shared" si="4"/>
        <v/>
      </c>
      <c r="J11" s="133">
        <f t="shared" si="5"/>
        <v>-1</v>
      </c>
      <c r="K11" s="133">
        <f t="shared" si="2"/>
        <v>-10</v>
      </c>
      <c r="L11" s="133"/>
      <c r="M11" s="135">
        <f t="shared" si="3"/>
        <v>0</v>
      </c>
      <c r="V11" s="139"/>
      <c r="Z11" s="137"/>
      <c r="AA11" s="137"/>
      <c r="AG11" s="138"/>
      <c r="AH11" s="121" t="s">
        <v>36</v>
      </c>
      <c r="AI11" s="121">
        <v>50</v>
      </c>
    </row>
    <row r="12" spans="1:36" ht="14.45" customHeight="1" x14ac:dyDescent="0.25">
      <c r="A12" s="30">
        <f t="shared" si="6"/>
        <v>0</v>
      </c>
      <c r="B12" s="31" t="str">
        <f t="shared" si="7"/>
        <v/>
      </c>
      <c r="C12" s="32"/>
      <c r="D12" s="32"/>
      <c r="E12" s="32"/>
      <c r="F12" s="32"/>
      <c r="G12" s="25"/>
      <c r="H12" s="130">
        <v>7</v>
      </c>
      <c r="I12" s="131" t="str">
        <f t="shared" si="4"/>
        <v/>
      </c>
      <c r="J12" s="130">
        <f t="shared" si="5"/>
        <v>-1</v>
      </c>
      <c r="K12" s="130">
        <f t="shared" si="2"/>
        <v>-10</v>
      </c>
      <c r="L12" s="130"/>
      <c r="M12" s="132">
        <f t="shared" si="3"/>
        <v>0</v>
      </c>
      <c r="Z12" s="137"/>
      <c r="AA12" s="137"/>
      <c r="AG12" s="138"/>
      <c r="AH12" s="121" t="s">
        <v>37</v>
      </c>
      <c r="AI12" s="121">
        <f>AI11-1</f>
        <v>49</v>
      </c>
    </row>
    <row r="13" spans="1:36" ht="14.45" customHeight="1" x14ac:dyDescent="0.25">
      <c r="A13" s="46">
        <f t="shared" si="6"/>
        <v>0</v>
      </c>
      <c r="B13" s="37" t="str">
        <f t="shared" si="7"/>
        <v/>
      </c>
      <c r="C13" s="38"/>
      <c r="D13" s="38"/>
      <c r="E13" s="38"/>
      <c r="F13" s="38"/>
      <c r="G13" s="25"/>
      <c r="H13" s="133">
        <v>8</v>
      </c>
      <c r="I13" s="134" t="str">
        <f t="shared" si="4"/>
        <v/>
      </c>
      <c r="J13" s="133">
        <f t="shared" si="5"/>
        <v>-1</v>
      </c>
      <c r="K13" s="133">
        <f t="shared" si="2"/>
        <v>-10</v>
      </c>
      <c r="L13" s="133"/>
      <c r="M13" s="135">
        <f t="shared" si="3"/>
        <v>0</v>
      </c>
      <c r="X13" s="136"/>
      <c r="AG13" s="138"/>
      <c r="AH13" s="121" t="s">
        <v>38</v>
      </c>
      <c r="AI13" s="121">
        <f>LOG(AI9)</f>
        <v>1.3617278360175928</v>
      </c>
    </row>
    <row r="14" spans="1:36" x14ac:dyDescent="0.25">
      <c r="A14" s="47">
        <f t="shared" si="6"/>
        <v>0</v>
      </c>
      <c r="B14" s="31" t="str">
        <f>IF(H14&gt;$H$2,"",(ROW()-5))</f>
        <v/>
      </c>
      <c r="C14" s="32"/>
      <c r="D14" s="32"/>
      <c r="E14" s="32"/>
      <c r="F14" s="32"/>
      <c r="G14" s="25"/>
      <c r="H14" s="130">
        <v>9</v>
      </c>
      <c r="I14" s="131" t="str">
        <f t="shared" si="4"/>
        <v/>
      </c>
      <c r="J14" s="130">
        <f t="shared" si="5"/>
        <v>-2</v>
      </c>
      <c r="K14" s="130">
        <f t="shared" si="2"/>
        <v>-20</v>
      </c>
      <c r="L14" s="130"/>
      <c r="M14" s="132">
        <f t="shared" si="3"/>
        <v>0</v>
      </c>
      <c r="X14" s="140"/>
      <c r="Z14" s="137"/>
      <c r="AA14" s="137"/>
      <c r="AG14" s="138"/>
      <c r="AH14" s="121" t="s">
        <v>39</v>
      </c>
      <c r="AI14" s="121">
        <f>LOG(AI10)</f>
        <v>1.6532125137753437</v>
      </c>
    </row>
    <row r="15" spans="1:36" x14ac:dyDescent="0.25">
      <c r="A15" s="46">
        <f t="shared" si="6"/>
        <v>0</v>
      </c>
      <c r="B15" s="37" t="str">
        <f t="shared" ref="B15:B65" si="8">IF(H15&gt;$H$2,"",(ROW()-5))</f>
        <v/>
      </c>
      <c r="C15" s="38"/>
      <c r="D15" s="38"/>
      <c r="E15" s="38"/>
      <c r="F15" s="38"/>
      <c r="G15" s="25"/>
      <c r="H15" s="133">
        <v>10</v>
      </c>
      <c r="I15" s="134" t="str">
        <f t="shared" si="4"/>
        <v/>
      </c>
      <c r="J15" s="133">
        <f t="shared" si="5"/>
        <v>-2</v>
      </c>
      <c r="K15" s="133">
        <f t="shared" si="2"/>
        <v>-20</v>
      </c>
      <c r="L15" s="133"/>
      <c r="M15" s="135">
        <f t="shared" si="3"/>
        <v>0</v>
      </c>
      <c r="X15" s="136"/>
      <c r="Z15" s="137"/>
      <c r="AA15" s="137"/>
    </row>
    <row r="16" spans="1:36" x14ac:dyDescent="0.25">
      <c r="A16" s="47">
        <f t="shared" si="6"/>
        <v>0</v>
      </c>
      <c r="B16" s="31" t="str">
        <f t="shared" si="8"/>
        <v/>
      </c>
      <c r="C16" s="32"/>
      <c r="D16" s="32"/>
      <c r="E16" s="32"/>
      <c r="F16" s="32"/>
      <c r="G16" s="25"/>
      <c r="H16" s="130">
        <v>11</v>
      </c>
      <c r="I16" s="131" t="str">
        <f t="shared" si="4"/>
        <v/>
      </c>
      <c r="J16" s="130">
        <f t="shared" si="5"/>
        <v>-2</v>
      </c>
      <c r="K16" s="130">
        <f t="shared" si="2"/>
        <v>-20</v>
      </c>
      <c r="L16" s="130"/>
      <c r="M16" s="132">
        <f t="shared" si="3"/>
        <v>0</v>
      </c>
      <c r="R16" s="141"/>
      <c r="Z16" s="137"/>
      <c r="AA16" s="137"/>
      <c r="AH16" s="142" t="s">
        <v>40</v>
      </c>
      <c r="AI16" s="121">
        <f>AI11-AI12*AI13/AI14</f>
        <v>9.6393909380186855</v>
      </c>
      <c r="AJ16" s="121" t="s">
        <v>41</v>
      </c>
    </row>
    <row r="17" spans="1:19" x14ac:dyDescent="0.25">
      <c r="A17" s="46">
        <f t="shared" si="6"/>
        <v>0</v>
      </c>
      <c r="B17" s="37" t="str">
        <f t="shared" si="8"/>
        <v/>
      </c>
      <c r="C17" s="38"/>
      <c r="D17" s="38"/>
      <c r="E17" s="38"/>
      <c r="F17" s="38"/>
      <c r="G17" s="25"/>
      <c r="H17" s="133">
        <v>12</v>
      </c>
      <c r="I17" s="134" t="str">
        <f t="shared" si="4"/>
        <v/>
      </c>
      <c r="J17" s="133">
        <f t="shared" si="5"/>
        <v>-2</v>
      </c>
      <c r="K17" s="133">
        <f t="shared" si="2"/>
        <v>-20</v>
      </c>
      <c r="L17" s="133"/>
      <c r="M17" s="135">
        <f t="shared" si="3"/>
        <v>0</v>
      </c>
    </row>
    <row r="18" spans="1:19" x14ac:dyDescent="0.25">
      <c r="A18" s="47">
        <f t="shared" si="6"/>
        <v>0</v>
      </c>
      <c r="B18" s="31" t="str">
        <f t="shared" si="8"/>
        <v/>
      </c>
      <c r="C18" s="32"/>
      <c r="D18" s="32"/>
      <c r="E18" s="32"/>
      <c r="F18" s="32"/>
      <c r="G18" s="25"/>
      <c r="H18" s="130">
        <v>13</v>
      </c>
      <c r="I18" s="131" t="str">
        <f t="shared" si="4"/>
        <v/>
      </c>
      <c r="J18" s="130">
        <f t="shared" si="5"/>
        <v>-2</v>
      </c>
      <c r="K18" s="130">
        <f t="shared" si="2"/>
        <v>-20</v>
      </c>
      <c r="L18" s="130"/>
      <c r="M18" s="132">
        <f t="shared" si="3"/>
        <v>0</v>
      </c>
    </row>
    <row r="19" spans="1:19" x14ac:dyDescent="0.25">
      <c r="A19" s="46">
        <f t="shared" si="6"/>
        <v>0</v>
      </c>
      <c r="B19" s="37" t="str">
        <f t="shared" si="8"/>
        <v/>
      </c>
      <c r="C19" s="38"/>
      <c r="D19" s="38"/>
      <c r="E19" s="38"/>
      <c r="F19" s="38"/>
      <c r="G19" s="25"/>
      <c r="H19" s="133">
        <v>14</v>
      </c>
      <c r="I19" s="134" t="str">
        <f t="shared" si="4"/>
        <v/>
      </c>
      <c r="J19" s="133">
        <f t="shared" si="5"/>
        <v>-2</v>
      </c>
      <c r="K19" s="133">
        <f t="shared" si="2"/>
        <v>-20</v>
      </c>
      <c r="L19" s="133"/>
      <c r="M19" s="135">
        <f t="shared" si="3"/>
        <v>0</v>
      </c>
    </row>
    <row r="20" spans="1:19" x14ac:dyDescent="0.25">
      <c r="A20" s="47">
        <f t="shared" si="6"/>
        <v>0</v>
      </c>
      <c r="B20" s="31" t="str">
        <f t="shared" si="8"/>
        <v/>
      </c>
      <c r="C20" s="32"/>
      <c r="D20" s="32"/>
      <c r="E20" s="32"/>
      <c r="F20" s="32"/>
      <c r="G20" s="25"/>
      <c r="H20" s="130">
        <v>15</v>
      </c>
      <c r="I20" s="131" t="str">
        <f t="shared" si="4"/>
        <v/>
      </c>
      <c r="J20" s="130">
        <f t="shared" si="5"/>
        <v>-2</v>
      </c>
      <c r="K20" s="130">
        <f t="shared" si="2"/>
        <v>-20</v>
      </c>
      <c r="L20" s="130"/>
      <c r="M20" s="132">
        <f t="shared" si="3"/>
        <v>0</v>
      </c>
      <c r="R20" s="143"/>
      <c r="S20" s="144"/>
    </row>
    <row r="21" spans="1:19" x14ac:dyDescent="0.25">
      <c r="A21" s="46">
        <f t="shared" si="6"/>
        <v>0</v>
      </c>
      <c r="B21" s="37" t="str">
        <f t="shared" si="8"/>
        <v/>
      </c>
      <c r="C21" s="38"/>
      <c r="D21" s="38"/>
      <c r="E21" s="38"/>
      <c r="F21" s="38"/>
      <c r="G21" s="25"/>
      <c r="H21" s="133">
        <v>16</v>
      </c>
      <c r="I21" s="134" t="str">
        <f t="shared" si="4"/>
        <v/>
      </c>
      <c r="J21" s="133">
        <f t="shared" si="5"/>
        <v>-2</v>
      </c>
      <c r="K21" s="133">
        <f t="shared" si="2"/>
        <v>-20</v>
      </c>
      <c r="L21" s="133"/>
      <c r="M21" s="135">
        <f t="shared" si="3"/>
        <v>0</v>
      </c>
    </row>
    <row r="22" spans="1:19" x14ac:dyDescent="0.25">
      <c r="A22" s="47">
        <f t="shared" si="6"/>
        <v>0</v>
      </c>
      <c r="B22" s="31" t="str">
        <f t="shared" si="8"/>
        <v/>
      </c>
      <c r="C22" s="32"/>
      <c r="D22" s="32"/>
      <c r="E22" s="32"/>
      <c r="F22" s="32"/>
      <c r="G22" s="25"/>
      <c r="H22" s="130">
        <v>17</v>
      </c>
      <c r="I22" s="131" t="str">
        <f t="shared" si="4"/>
        <v/>
      </c>
      <c r="J22" s="130">
        <f t="shared" si="5"/>
        <v>-3</v>
      </c>
      <c r="K22" s="130">
        <f t="shared" si="2"/>
        <v>-30</v>
      </c>
      <c r="L22" s="130"/>
      <c r="M22" s="132">
        <f t="shared" si="3"/>
        <v>0</v>
      </c>
    </row>
    <row r="23" spans="1:19" x14ac:dyDescent="0.25">
      <c r="A23" s="46">
        <f t="shared" si="6"/>
        <v>0</v>
      </c>
      <c r="B23" s="37" t="str">
        <f t="shared" si="8"/>
        <v/>
      </c>
      <c r="C23" s="38"/>
      <c r="D23" s="38"/>
      <c r="E23" s="38"/>
      <c r="F23" s="38"/>
      <c r="G23" s="25"/>
      <c r="H23" s="133">
        <v>18</v>
      </c>
      <c r="I23" s="134" t="str">
        <f t="shared" si="4"/>
        <v/>
      </c>
      <c r="J23" s="133">
        <f t="shared" si="5"/>
        <v>-3</v>
      </c>
      <c r="K23" s="133">
        <f t="shared" si="2"/>
        <v>-30</v>
      </c>
      <c r="L23" s="133"/>
      <c r="M23" s="135">
        <f t="shared" si="3"/>
        <v>0</v>
      </c>
    </row>
    <row r="24" spans="1:19" x14ac:dyDescent="0.25">
      <c r="A24" s="47">
        <f t="shared" si="6"/>
        <v>0</v>
      </c>
      <c r="B24" s="31" t="str">
        <f t="shared" si="8"/>
        <v/>
      </c>
      <c r="C24" s="32"/>
      <c r="D24" s="32"/>
      <c r="E24" s="32"/>
      <c r="F24" s="32"/>
      <c r="G24" s="25"/>
      <c r="H24" s="130">
        <v>19</v>
      </c>
      <c r="I24" s="131" t="str">
        <f t="shared" si="4"/>
        <v/>
      </c>
      <c r="J24" s="130">
        <f t="shared" si="5"/>
        <v>-3</v>
      </c>
      <c r="K24" s="130">
        <f t="shared" si="2"/>
        <v>-30</v>
      </c>
      <c r="L24" s="130"/>
      <c r="M24" s="132">
        <f t="shared" si="3"/>
        <v>0</v>
      </c>
      <c r="R24" s="143"/>
      <c r="S24" s="144"/>
    </row>
    <row r="25" spans="1:19" x14ac:dyDescent="0.25">
      <c r="A25" s="46">
        <f t="shared" si="6"/>
        <v>0</v>
      </c>
      <c r="B25" s="37" t="str">
        <f t="shared" si="8"/>
        <v/>
      </c>
      <c r="C25" s="38"/>
      <c r="D25" s="38"/>
      <c r="E25" s="38"/>
      <c r="F25" s="38"/>
      <c r="G25" s="25"/>
      <c r="H25" s="133">
        <v>20</v>
      </c>
      <c r="I25" s="134" t="str">
        <f t="shared" si="4"/>
        <v/>
      </c>
      <c r="J25" s="133">
        <f t="shared" si="5"/>
        <v>-3</v>
      </c>
      <c r="K25" s="133">
        <f t="shared" si="2"/>
        <v>-30</v>
      </c>
      <c r="L25" s="133"/>
      <c r="M25" s="135">
        <f t="shared" si="3"/>
        <v>0</v>
      </c>
    </row>
    <row r="26" spans="1:19" x14ac:dyDescent="0.25">
      <c r="A26" s="47">
        <f t="shared" si="6"/>
        <v>0</v>
      </c>
      <c r="B26" s="31" t="str">
        <f t="shared" si="8"/>
        <v/>
      </c>
      <c r="C26" s="32"/>
      <c r="D26" s="32"/>
      <c r="E26" s="32"/>
      <c r="F26" s="32"/>
      <c r="G26" s="25"/>
      <c r="H26" s="130">
        <v>21</v>
      </c>
      <c r="I26" s="131" t="str">
        <f t="shared" si="4"/>
        <v/>
      </c>
      <c r="J26" s="130">
        <f t="shared" si="5"/>
        <v>-3</v>
      </c>
      <c r="K26" s="130">
        <f t="shared" si="2"/>
        <v>-30</v>
      </c>
      <c r="L26" s="130"/>
      <c r="M26" s="132">
        <f t="shared" si="3"/>
        <v>0</v>
      </c>
    </row>
    <row r="27" spans="1:19" x14ac:dyDescent="0.25">
      <c r="A27" s="46">
        <f t="shared" si="6"/>
        <v>0</v>
      </c>
      <c r="B27" s="37" t="str">
        <f t="shared" si="8"/>
        <v/>
      </c>
      <c r="C27" s="38"/>
      <c r="D27" s="38"/>
      <c r="E27" s="38"/>
      <c r="F27" s="38"/>
      <c r="G27" s="25"/>
      <c r="H27" s="133">
        <v>22</v>
      </c>
      <c r="I27" s="134" t="str">
        <f t="shared" si="4"/>
        <v/>
      </c>
      <c r="J27" s="133">
        <f t="shared" si="5"/>
        <v>-3</v>
      </c>
      <c r="K27" s="133">
        <f t="shared" si="2"/>
        <v>-30</v>
      </c>
      <c r="L27" s="133"/>
      <c r="M27" s="135">
        <f t="shared" si="3"/>
        <v>0</v>
      </c>
    </row>
    <row r="28" spans="1:19" x14ac:dyDescent="0.25">
      <c r="A28" s="47">
        <f t="shared" si="6"/>
        <v>0</v>
      </c>
      <c r="B28" s="31" t="str">
        <f t="shared" si="8"/>
        <v/>
      </c>
      <c r="C28" s="32"/>
      <c r="D28" s="32"/>
      <c r="E28" s="32"/>
      <c r="F28" s="32"/>
      <c r="G28" s="25"/>
      <c r="H28" s="130">
        <v>23</v>
      </c>
      <c r="I28" s="131" t="str">
        <f t="shared" si="4"/>
        <v/>
      </c>
      <c r="J28" s="130">
        <f t="shared" si="5"/>
        <v>-3</v>
      </c>
      <c r="K28" s="130">
        <f t="shared" si="2"/>
        <v>-30</v>
      </c>
      <c r="L28" s="130"/>
      <c r="M28" s="132">
        <f t="shared" si="3"/>
        <v>0</v>
      </c>
      <c r="R28" s="143"/>
      <c r="S28" s="144"/>
    </row>
    <row r="29" spans="1:19" x14ac:dyDescent="0.25">
      <c r="A29" s="46">
        <f t="shared" si="6"/>
        <v>0</v>
      </c>
      <c r="B29" s="37" t="str">
        <f t="shared" si="8"/>
        <v/>
      </c>
      <c r="C29" s="38"/>
      <c r="D29" s="38"/>
      <c r="E29" s="38"/>
      <c r="F29" s="38"/>
      <c r="G29" s="116"/>
      <c r="H29" s="133">
        <v>24</v>
      </c>
      <c r="I29" s="134" t="str">
        <f t="shared" si="4"/>
        <v/>
      </c>
      <c r="J29" s="133">
        <f t="shared" si="5"/>
        <v>-3</v>
      </c>
      <c r="K29" s="133">
        <f t="shared" si="2"/>
        <v>-30</v>
      </c>
      <c r="L29" s="133"/>
      <c r="M29" s="135">
        <f t="shared" si="3"/>
        <v>0</v>
      </c>
    </row>
    <row r="30" spans="1:19" x14ac:dyDescent="0.25">
      <c r="A30" s="47">
        <f t="shared" si="6"/>
        <v>0</v>
      </c>
      <c r="B30" s="31" t="str">
        <f t="shared" si="8"/>
        <v/>
      </c>
      <c r="C30" s="32"/>
      <c r="D30" s="32"/>
      <c r="E30" s="32"/>
      <c r="F30" s="32"/>
      <c r="G30" s="116"/>
      <c r="H30" s="130">
        <v>25</v>
      </c>
      <c r="I30" s="131" t="str">
        <f t="shared" si="4"/>
        <v/>
      </c>
      <c r="J30" s="130">
        <f t="shared" si="5"/>
        <v>-3</v>
      </c>
      <c r="K30" s="130">
        <f t="shared" si="2"/>
        <v>-30</v>
      </c>
      <c r="L30" s="130"/>
      <c r="M30" s="132">
        <f t="shared" si="3"/>
        <v>0</v>
      </c>
    </row>
    <row r="31" spans="1:19" x14ac:dyDescent="0.25">
      <c r="A31" s="46">
        <f t="shared" si="6"/>
        <v>0</v>
      </c>
      <c r="B31" s="37" t="str">
        <f t="shared" si="8"/>
        <v/>
      </c>
      <c r="C31" s="38"/>
      <c r="D31" s="38"/>
      <c r="E31" s="38"/>
      <c r="F31" s="38"/>
      <c r="G31" s="116"/>
      <c r="H31" s="133">
        <v>26</v>
      </c>
      <c r="I31" s="134" t="str">
        <f t="shared" si="4"/>
        <v/>
      </c>
      <c r="J31" s="133">
        <f t="shared" si="5"/>
        <v>-3</v>
      </c>
      <c r="K31" s="133">
        <f t="shared" si="2"/>
        <v>-30</v>
      </c>
      <c r="L31" s="133"/>
      <c r="M31" s="135">
        <f t="shared" si="3"/>
        <v>0</v>
      </c>
    </row>
    <row r="32" spans="1:19" x14ac:dyDescent="0.25">
      <c r="A32" s="47">
        <f t="shared" si="6"/>
        <v>0</v>
      </c>
      <c r="B32" s="31" t="str">
        <f t="shared" si="8"/>
        <v/>
      </c>
      <c r="C32" s="32"/>
      <c r="D32" s="32"/>
      <c r="E32" s="32"/>
      <c r="F32" s="32"/>
      <c r="G32" s="116"/>
      <c r="H32" s="130">
        <v>27</v>
      </c>
      <c r="I32" s="131" t="str">
        <f t="shared" si="4"/>
        <v/>
      </c>
      <c r="J32" s="130">
        <f t="shared" si="5"/>
        <v>-3</v>
      </c>
      <c r="K32" s="130">
        <f t="shared" si="2"/>
        <v>-30</v>
      </c>
      <c r="L32" s="130"/>
      <c r="M32" s="132">
        <f t="shared" si="3"/>
        <v>0</v>
      </c>
      <c r="R32" s="143"/>
      <c r="S32" s="144"/>
    </row>
    <row r="33" spans="1:21" x14ac:dyDescent="0.25">
      <c r="A33" s="46">
        <f t="shared" si="6"/>
        <v>0</v>
      </c>
      <c r="B33" s="37" t="str">
        <f t="shared" si="8"/>
        <v/>
      </c>
      <c r="C33" s="38"/>
      <c r="D33" s="38"/>
      <c r="E33" s="38"/>
      <c r="F33" s="38"/>
      <c r="G33" s="116"/>
      <c r="H33" s="133">
        <v>28</v>
      </c>
      <c r="I33" s="134" t="str">
        <f t="shared" si="4"/>
        <v/>
      </c>
      <c r="J33" s="133">
        <f t="shared" si="5"/>
        <v>-3</v>
      </c>
      <c r="K33" s="133">
        <f t="shared" si="2"/>
        <v>-30</v>
      </c>
      <c r="L33" s="133"/>
      <c r="M33" s="135">
        <f t="shared" si="3"/>
        <v>0</v>
      </c>
    </row>
    <row r="34" spans="1:21" x14ac:dyDescent="0.25">
      <c r="A34" s="47">
        <f t="shared" si="6"/>
        <v>0</v>
      </c>
      <c r="B34" s="31" t="str">
        <f t="shared" si="8"/>
        <v/>
      </c>
      <c r="C34" s="32"/>
      <c r="D34" s="32"/>
      <c r="E34" s="32"/>
      <c r="F34" s="32"/>
      <c r="G34" s="116"/>
      <c r="H34" s="130">
        <v>29</v>
      </c>
      <c r="I34" s="131" t="str">
        <f t="shared" si="4"/>
        <v/>
      </c>
      <c r="J34" s="130">
        <f t="shared" si="5"/>
        <v>-3</v>
      </c>
      <c r="K34" s="130">
        <f t="shared" si="2"/>
        <v>-30</v>
      </c>
      <c r="L34" s="130"/>
      <c r="M34" s="132">
        <f t="shared" si="3"/>
        <v>0</v>
      </c>
    </row>
    <row r="35" spans="1:21" x14ac:dyDescent="0.25">
      <c r="A35" s="46">
        <f t="shared" si="6"/>
        <v>0</v>
      </c>
      <c r="B35" s="37" t="str">
        <f t="shared" si="8"/>
        <v/>
      </c>
      <c r="C35" s="38"/>
      <c r="D35" s="38"/>
      <c r="E35" s="38"/>
      <c r="F35" s="38"/>
      <c r="G35" s="116"/>
      <c r="H35" s="133">
        <v>30</v>
      </c>
      <c r="I35" s="134" t="str">
        <f t="shared" si="4"/>
        <v/>
      </c>
      <c r="J35" s="133">
        <f t="shared" si="5"/>
        <v>-3</v>
      </c>
      <c r="K35" s="133">
        <f t="shared" si="2"/>
        <v>-30</v>
      </c>
      <c r="L35" s="133"/>
      <c r="M35" s="135">
        <f t="shared" si="3"/>
        <v>0</v>
      </c>
    </row>
    <row r="36" spans="1:21" x14ac:dyDescent="0.25">
      <c r="A36" s="47">
        <f t="shared" si="6"/>
        <v>0</v>
      </c>
      <c r="B36" s="31" t="str">
        <f t="shared" si="8"/>
        <v/>
      </c>
      <c r="C36" s="32"/>
      <c r="D36" s="32"/>
      <c r="E36" s="32"/>
      <c r="F36" s="32"/>
      <c r="G36" s="116"/>
      <c r="H36" s="130">
        <v>31</v>
      </c>
      <c r="I36" s="131" t="str">
        <f t="shared" si="4"/>
        <v/>
      </c>
      <c r="J36" s="130">
        <f t="shared" si="5"/>
        <v>-3</v>
      </c>
      <c r="K36" s="130">
        <f t="shared" si="2"/>
        <v>-30</v>
      </c>
      <c r="L36" s="130"/>
      <c r="M36" s="132">
        <f t="shared" si="3"/>
        <v>0</v>
      </c>
      <c r="R36" s="143"/>
      <c r="S36" s="144"/>
    </row>
    <row r="37" spans="1:21" x14ac:dyDescent="0.25">
      <c r="A37" s="46">
        <f t="shared" si="6"/>
        <v>0</v>
      </c>
      <c r="B37" s="37" t="str">
        <f t="shared" si="8"/>
        <v/>
      </c>
      <c r="C37" s="38"/>
      <c r="D37" s="38"/>
      <c r="E37" s="38"/>
      <c r="F37" s="38"/>
      <c r="G37" s="116"/>
      <c r="H37" s="133">
        <v>32</v>
      </c>
      <c r="I37" s="134" t="str">
        <f t="shared" si="4"/>
        <v/>
      </c>
      <c r="J37" s="133">
        <f t="shared" si="5"/>
        <v>-3</v>
      </c>
      <c r="K37" s="133">
        <f t="shared" si="2"/>
        <v>-30</v>
      </c>
      <c r="L37" s="133"/>
      <c r="M37" s="135">
        <f t="shared" si="3"/>
        <v>0</v>
      </c>
    </row>
    <row r="38" spans="1:21" x14ac:dyDescent="0.25">
      <c r="A38" s="47"/>
      <c r="B38" s="31" t="str">
        <f t="shared" si="8"/>
        <v/>
      </c>
      <c r="C38" s="32"/>
      <c r="D38" s="32"/>
      <c r="E38" s="32"/>
      <c r="F38" s="32"/>
      <c r="G38" s="116"/>
      <c r="H38" s="130">
        <v>33</v>
      </c>
      <c r="I38" s="131" t="str">
        <f t="shared" si="4"/>
        <v/>
      </c>
      <c r="J38" s="130">
        <f t="shared" si="5"/>
        <v>-4</v>
      </c>
      <c r="K38" s="130">
        <f t="shared" si="2"/>
        <v>-40</v>
      </c>
      <c r="L38" s="130"/>
      <c r="M38" s="132">
        <f t="shared" si="3"/>
        <v>0</v>
      </c>
    </row>
    <row r="39" spans="1:21" x14ac:dyDescent="0.25">
      <c r="A39" s="46"/>
      <c r="B39" s="37" t="str">
        <f t="shared" si="8"/>
        <v/>
      </c>
      <c r="C39" s="38"/>
      <c r="D39" s="38"/>
      <c r="E39" s="38"/>
      <c r="F39" s="38"/>
      <c r="G39" s="116"/>
      <c r="H39" s="133">
        <v>34</v>
      </c>
      <c r="I39" s="134" t="str">
        <f t="shared" si="4"/>
        <v/>
      </c>
      <c r="J39" s="133">
        <f t="shared" si="5"/>
        <v>-4</v>
      </c>
      <c r="K39" s="133">
        <f t="shared" si="2"/>
        <v>-40</v>
      </c>
      <c r="L39" s="133"/>
      <c r="M39" s="135">
        <f t="shared" si="3"/>
        <v>0</v>
      </c>
    </row>
    <row r="40" spans="1:21" x14ac:dyDescent="0.25">
      <c r="A40" s="47"/>
      <c r="B40" s="31" t="str">
        <f t="shared" si="8"/>
        <v/>
      </c>
      <c r="C40" s="32"/>
      <c r="D40" s="32"/>
      <c r="E40" s="32"/>
      <c r="F40" s="32"/>
      <c r="G40" s="116"/>
      <c r="H40" s="130">
        <v>35</v>
      </c>
      <c r="I40" s="131" t="str">
        <f t="shared" si="4"/>
        <v/>
      </c>
      <c r="J40" s="130">
        <f t="shared" si="5"/>
        <v>-4</v>
      </c>
      <c r="K40" s="130">
        <f t="shared" si="2"/>
        <v>-40</v>
      </c>
      <c r="L40" s="130"/>
      <c r="M40" s="132">
        <f t="shared" si="3"/>
        <v>0</v>
      </c>
    </row>
    <row r="41" spans="1:21" x14ac:dyDescent="0.25">
      <c r="A41" s="46"/>
      <c r="B41" s="37" t="str">
        <f t="shared" si="8"/>
        <v/>
      </c>
      <c r="C41" s="38"/>
      <c r="D41" s="38"/>
      <c r="E41" s="38"/>
      <c r="F41" s="38"/>
      <c r="G41" s="116"/>
      <c r="H41" s="133">
        <v>36</v>
      </c>
      <c r="I41" s="134" t="str">
        <f t="shared" si="4"/>
        <v/>
      </c>
      <c r="J41" s="133">
        <f t="shared" si="5"/>
        <v>-4</v>
      </c>
      <c r="K41" s="133">
        <f t="shared" si="2"/>
        <v>-40</v>
      </c>
      <c r="L41" s="133"/>
      <c r="M41" s="135">
        <f t="shared" si="3"/>
        <v>0</v>
      </c>
      <c r="S41" s="145"/>
    </row>
    <row r="42" spans="1:21" x14ac:dyDescent="0.25">
      <c r="A42" s="47"/>
      <c r="B42" s="31" t="str">
        <f t="shared" si="8"/>
        <v/>
      </c>
      <c r="C42" s="32"/>
      <c r="D42" s="32"/>
      <c r="E42" s="32"/>
      <c r="F42" s="32"/>
      <c r="G42" s="116"/>
      <c r="H42" s="130">
        <v>37</v>
      </c>
      <c r="I42" s="131" t="str">
        <f t="shared" si="4"/>
        <v/>
      </c>
      <c r="J42" s="130">
        <f t="shared" si="5"/>
        <v>-4</v>
      </c>
      <c r="K42" s="130">
        <f t="shared" si="2"/>
        <v>-40</v>
      </c>
      <c r="L42" s="130"/>
      <c r="M42" s="132">
        <f t="shared" si="3"/>
        <v>0</v>
      </c>
    </row>
    <row r="43" spans="1:21" x14ac:dyDescent="0.25">
      <c r="A43" s="46"/>
      <c r="B43" s="37" t="str">
        <f t="shared" si="8"/>
        <v/>
      </c>
      <c r="C43" s="38"/>
      <c r="D43" s="38"/>
      <c r="E43" s="38"/>
      <c r="F43" s="38"/>
      <c r="G43" s="116"/>
      <c r="H43" s="133">
        <v>38</v>
      </c>
      <c r="I43" s="134" t="str">
        <f t="shared" si="4"/>
        <v/>
      </c>
      <c r="J43" s="133">
        <f t="shared" si="5"/>
        <v>-4</v>
      </c>
      <c r="K43" s="133">
        <f t="shared" si="2"/>
        <v>-40</v>
      </c>
      <c r="L43" s="133"/>
      <c r="M43" s="135">
        <f t="shared" si="3"/>
        <v>0</v>
      </c>
    </row>
    <row r="44" spans="1:21" x14ac:dyDescent="0.25">
      <c r="A44" s="47"/>
      <c r="B44" s="31" t="str">
        <f t="shared" si="8"/>
        <v/>
      </c>
      <c r="C44" s="32"/>
      <c r="D44" s="32"/>
      <c r="E44" s="32"/>
      <c r="F44" s="32"/>
      <c r="G44" s="116"/>
      <c r="H44" s="130">
        <v>39</v>
      </c>
      <c r="I44" s="131" t="str">
        <f t="shared" si="4"/>
        <v/>
      </c>
      <c r="J44" s="130">
        <f t="shared" si="5"/>
        <v>-4</v>
      </c>
      <c r="K44" s="130">
        <f t="shared" si="2"/>
        <v>-40</v>
      </c>
      <c r="L44" s="130"/>
      <c r="M44" s="132">
        <f t="shared" si="3"/>
        <v>0</v>
      </c>
    </row>
    <row r="45" spans="1:21" x14ac:dyDescent="0.25">
      <c r="A45" s="46"/>
      <c r="B45" s="37" t="str">
        <f t="shared" si="8"/>
        <v/>
      </c>
      <c r="C45" s="38"/>
      <c r="D45" s="38"/>
      <c r="E45" s="38"/>
      <c r="F45" s="38"/>
      <c r="G45" s="116"/>
      <c r="H45" s="133">
        <v>40</v>
      </c>
      <c r="I45" s="134" t="str">
        <f t="shared" si="4"/>
        <v/>
      </c>
      <c r="J45" s="133">
        <f t="shared" si="5"/>
        <v>-4</v>
      </c>
      <c r="K45" s="133">
        <f t="shared" si="2"/>
        <v>-40</v>
      </c>
      <c r="L45" s="133"/>
      <c r="M45" s="135">
        <f t="shared" si="3"/>
        <v>0</v>
      </c>
    </row>
    <row r="46" spans="1:21" x14ac:dyDescent="0.25">
      <c r="A46" s="47"/>
      <c r="B46" s="31" t="str">
        <f t="shared" si="8"/>
        <v/>
      </c>
      <c r="C46" s="32"/>
      <c r="D46" s="32"/>
      <c r="E46" s="32"/>
      <c r="F46" s="32"/>
      <c r="G46" s="116"/>
      <c r="H46" s="130">
        <v>41</v>
      </c>
      <c r="I46" s="131" t="str">
        <f t="shared" si="4"/>
        <v/>
      </c>
      <c r="J46" s="130">
        <f t="shared" si="5"/>
        <v>-4</v>
      </c>
      <c r="K46" s="130">
        <f t="shared" si="2"/>
        <v>-40</v>
      </c>
      <c r="L46" s="130"/>
      <c r="M46" s="132">
        <f t="shared" si="3"/>
        <v>0</v>
      </c>
      <c r="R46" s="116">
        <f>LOG($H$2,2)</f>
        <v>1.5849625007211563</v>
      </c>
      <c r="T46" s="121">
        <f>LOG(H38,2)</f>
        <v>5.0443941193584534</v>
      </c>
      <c r="U46" s="121">
        <f>R46-T46</f>
        <v>-3.4594316186372973</v>
      </c>
    </row>
    <row r="47" spans="1:21" x14ac:dyDescent="0.25">
      <c r="A47" s="46"/>
      <c r="B47" s="37" t="str">
        <f t="shared" si="8"/>
        <v/>
      </c>
      <c r="C47" s="38"/>
      <c r="D47" s="38"/>
      <c r="E47" s="38"/>
      <c r="F47" s="38"/>
      <c r="G47" s="116"/>
      <c r="H47" s="133">
        <v>42</v>
      </c>
      <c r="I47" s="134" t="str">
        <f t="shared" si="4"/>
        <v/>
      </c>
      <c r="J47" s="133">
        <f t="shared" si="5"/>
        <v>-4</v>
      </c>
      <c r="K47" s="133">
        <f t="shared" si="2"/>
        <v>-40</v>
      </c>
      <c r="L47" s="133"/>
      <c r="M47" s="135">
        <f t="shared" si="3"/>
        <v>0</v>
      </c>
    </row>
    <row r="48" spans="1:21" x14ac:dyDescent="0.25">
      <c r="A48" s="47"/>
      <c r="B48" s="31" t="str">
        <f t="shared" si="8"/>
        <v/>
      </c>
      <c r="C48" s="32"/>
      <c r="D48" s="32"/>
      <c r="E48" s="32"/>
      <c r="F48" s="32"/>
      <c r="G48" s="116"/>
      <c r="H48" s="130">
        <v>43</v>
      </c>
      <c r="I48" s="131" t="str">
        <f t="shared" si="4"/>
        <v/>
      </c>
      <c r="J48" s="130">
        <f t="shared" si="5"/>
        <v>-4</v>
      </c>
      <c r="K48" s="130">
        <f t="shared" si="2"/>
        <v>-40</v>
      </c>
      <c r="L48" s="130"/>
      <c r="M48" s="132">
        <f t="shared" si="3"/>
        <v>0</v>
      </c>
    </row>
    <row r="49" spans="1:13" x14ac:dyDescent="0.25">
      <c r="A49" s="46"/>
      <c r="B49" s="37" t="str">
        <f t="shared" si="8"/>
        <v/>
      </c>
      <c r="C49" s="38"/>
      <c r="D49" s="38"/>
      <c r="E49" s="38"/>
      <c r="F49" s="38"/>
      <c r="G49" s="116"/>
      <c r="H49" s="133">
        <v>44</v>
      </c>
      <c r="I49" s="134" t="str">
        <f t="shared" si="4"/>
        <v/>
      </c>
      <c r="J49" s="133">
        <f t="shared" si="5"/>
        <v>-4</v>
      </c>
      <c r="K49" s="133">
        <f t="shared" si="2"/>
        <v>-40</v>
      </c>
      <c r="L49" s="133"/>
      <c r="M49" s="135">
        <f t="shared" si="3"/>
        <v>0</v>
      </c>
    </row>
    <row r="50" spans="1:13" x14ac:dyDescent="0.25">
      <c r="A50" s="47"/>
      <c r="B50" s="31" t="str">
        <f t="shared" si="8"/>
        <v/>
      </c>
      <c r="C50" s="32"/>
      <c r="D50" s="32"/>
      <c r="E50" s="32"/>
      <c r="F50" s="32"/>
      <c r="G50" s="116"/>
      <c r="H50" s="130">
        <v>45</v>
      </c>
      <c r="I50" s="131" t="str">
        <f t="shared" si="4"/>
        <v/>
      </c>
      <c r="J50" s="130">
        <f t="shared" si="5"/>
        <v>-4</v>
      </c>
      <c r="K50" s="130">
        <f t="shared" si="2"/>
        <v>-40</v>
      </c>
      <c r="L50" s="130"/>
      <c r="M50" s="132">
        <f t="shared" si="3"/>
        <v>0</v>
      </c>
    </row>
    <row r="51" spans="1:13" x14ac:dyDescent="0.25">
      <c r="A51" s="46"/>
      <c r="B51" s="37" t="str">
        <f t="shared" si="8"/>
        <v/>
      </c>
      <c r="C51" s="38"/>
      <c r="D51" s="38"/>
      <c r="E51" s="38"/>
      <c r="F51" s="38"/>
      <c r="G51" s="116"/>
      <c r="H51" s="133">
        <v>46</v>
      </c>
      <c r="I51" s="134" t="str">
        <f t="shared" si="4"/>
        <v/>
      </c>
      <c r="J51" s="133">
        <f t="shared" si="5"/>
        <v>-4</v>
      </c>
      <c r="K51" s="133">
        <f t="shared" si="2"/>
        <v>-40</v>
      </c>
      <c r="L51" s="133"/>
      <c r="M51" s="135">
        <f t="shared" si="3"/>
        <v>0</v>
      </c>
    </row>
    <row r="52" spans="1:13" x14ac:dyDescent="0.25">
      <c r="A52" s="47"/>
      <c r="B52" s="31" t="str">
        <f t="shared" si="8"/>
        <v/>
      </c>
      <c r="C52" s="32"/>
      <c r="D52" s="32"/>
      <c r="E52" s="32"/>
      <c r="F52" s="32"/>
      <c r="G52" s="116"/>
      <c r="H52" s="130">
        <v>47</v>
      </c>
      <c r="I52" s="131" t="str">
        <f t="shared" si="4"/>
        <v/>
      </c>
      <c r="J52" s="130">
        <f t="shared" si="5"/>
        <v>-4</v>
      </c>
      <c r="K52" s="130">
        <f t="shared" si="2"/>
        <v>-40</v>
      </c>
      <c r="L52" s="130"/>
      <c r="M52" s="132">
        <f t="shared" si="3"/>
        <v>0</v>
      </c>
    </row>
    <row r="53" spans="1:13" x14ac:dyDescent="0.25">
      <c r="A53" s="46"/>
      <c r="B53" s="37" t="str">
        <f t="shared" si="8"/>
        <v/>
      </c>
      <c r="C53" s="38"/>
      <c r="D53" s="38"/>
      <c r="E53" s="38"/>
      <c r="F53" s="38"/>
      <c r="G53" s="116"/>
      <c r="H53" s="133">
        <v>48</v>
      </c>
      <c r="I53" s="134" t="str">
        <f t="shared" si="4"/>
        <v/>
      </c>
      <c r="J53" s="133">
        <f t="shared" si="5"/>
        <v>-4</v>
      </c>
      <c r="K53" s="133">
        <f t="shared" si="2"/>
        <v>-40</v>
      </c>
      <c r="L53" s="133"/>
      <c r="M53" s="135">
        <f t="shared" si="3"/>
        <v>0</v>
      </c>
    </row>
    <row r="54" spans="1:13" x14ac:dyDescent="0.25">
      <c r="A54" s="47"/>
      <c r="B54" s="31" t="str">
        <f t="shared" si="8"/>
        <v/>
      </c>
      <c r="C54" s="32"/>
      <c r="D54" s="32"/>
      <c r="E54" s="32"/>
      <c r="F54" s="32"/>
      <c r="G54" s="116"/>
      <c r="H54" s="130">
        <v>49</v>
      </c>
      <c r="I54" s="131" t="str">
        <f t="shared" si="4"/>
        <v/>
      </c>
      <c r="J54" s="130">
        <f t="shared" si="5"/>
        <v>-4</v>
      </c>
      <c r="K54" s="130">
        <f t="shared" si="2"/>
        <v>-40</v>
      </c>
      <c r="L54" s="130"/>
      <c r="M54" s="132">
        <f t="shared" si="3"/>
        <v>0</v>
      </c>
    </row>
    <row r="55" spans="1:13" x14ac:dyDescent="0.25">
      <c r="A55" s="46"/>
      <c r="B55" s="37" t="str">
        <f t="shared" si="8"/>
        <v/>
      </c>
      <c r="C55" s="38"/>
      <c r="D55" s="38"/>
      <c r="E55" s="38"/>
      <c r="F55" s="38"/>
      <c r="G55" s="116"/>
      <c r="H55" s="133">
        <v>50</v>
      </c>
      <c r="I55" s="134" t="str">
        <f t="shared" si="4"/>
        <v/>
      </c>
      <c r="J55" s="133">
        <f t="shared" si="5"/>
        <v>-4</v>
      </c>
      <c r="K55" s="133">
        <f t="shared" si="2"/>
        <v>-40</v>
      </c>
      <c r="L55" s="133"/>
      <c r="M55" s="135">
        <f t="shared" si="3"/>
        <v>0</v>
      </c>
    </row>
    <row r="56" spans="1:13" x14ac:dyDescent="0.25">
      <c r="A56" s="47"/>
      <c r="B56" s="31" t="str">
        <f t="shared" si="8"/>
        <v/>
      </c>
      <c r="C56" s="32"/>
      <c r="D56" s="32"/>
      <c r="E56" s="32"/>
      <c r="F56" s="32"/>
      <c r="G56" s="116"/>
      <c r="H56" s="130">
        <v>51</v>
      </c>
      <c r="I56" s="131" t="str">
        <f t="shared" si="4"/>
        <v/>
      </c>
      <c r="J56" s="130">
        <f t="shared" si="5"/>
        <v>-4</v>
      </c>
      <c r="K56" s="130">
        <f t="shared" si="2"/>
        <v>-40</v>
      </c>
      <c r="L56" s="130"/>
      <c r="M56" s="132">
        <f t="shared" si="3"/>
        <v>0</v>
      </c>
    </row>
    <row r="57" spans="1:13" x14ac:dyDescent="0.25">
      <c r="A57" s="46"/>
      <c r="B57" s="37" t="str">
        <f t="shared" si="8"/>
        <v/>
      </c>
      <c r="C57" s="38"/>
      <c r="D57" s="38"/>
      <c r="E57" s="38"/>
      <c r="F57" s="38"/>
      <c r="G57" s="116"/>
      <c r="H57" s="133">
        <v>52</v>
      </c>
      <c r="I57" s="134" t="str">
        <f t="shared" si="4"/>
        <v/>
      </c>
      <c r="J57" s="133">
        <f t="shared" si="5"/>
        <v>-4</v>
      </c>
      <c r="K57" s="133">
        <f t="shared" si="2"/>
        <v>-40</v>
      </c>
      <c r="L57" s="133"/>
      <c r="M57" s="135">
        <f t="shared" si="3"/>
        <v>0</v>
      </c>
    </row>
    <row r="58" spans="1:13" x14ac:dyDescent="0.25">
      <c r="A58" s="47"/>
      <c r="B58" s="31" t="str">
        <f t="shared" si="8"/>
        <v/>
      </c>
      <c r="C58" s="32"/>
      <c r="D58" s="32"/>
      <c r="E58" s="32"/>
      <c r="F58" s="32"/>
      <c r="G58" s="116"/>
      <c r="H58" s="130">
        <v>53</v>
      </c>
      <c r="I58" s="131" t="str">
        <f t="shared" si="4"/>
        <v/>
      </c>
      <c r="J58" s="130">
        <f t="shared" si="5"/>
        <v>-4</v>
      </c>
      <c r="K58" s="130">
        <f t="shared" si="2"/>
        <v>-40</v>
      </c>
      <c r="L58" s="130"/>
      <c r="M58" s="132">
        <f t="shared" si="3"/>
        <v>0</v>
      </c>
    </row>
    <row r="59" spans="1:13" x14ac:dyDescent="0.25">
      <c r="A59" s="46"/>
      <c r="B59" s="37" t="str">
        <f t="shared" si="8"/>
        <v/>
      </c>
      <c r="C59" s="38"/>
      <c r="D59" s="38"/>
      <c r="E59" s="38"/>
      <c r="F59" s="38"/>
      <c r="G59" s="116"/>
      <c r="H59" s="133">
        <v>54</v>
      </c>
      <c r="I59" s="134" t="str">
        <f t="shared" si="4"/>
        <v/>
      </c>
      <c r="J59" s="133">
        <f t="shared" si="5"/>
        <v>-4</v>
      </c>
      <c r="K59" s="133">
        <f t="shared" si="2"/>
        <v>-40</v>
      </c>
      <c r="L59" s="133"/>
      <c r="M59" s="135">
        <f t="shared" si="3"/>
        <v>0</v>
      </c>
    </row>
    <row r="60" spans="1:13" x14ac:dyDescent="0.25">
      <c r="A60" s="47"/>
      <c r="B60" s="31" t="str">
        <f t="shared" si="8"/>
        <v/>
      </c>
      <c r="C60" s="32"/>
      <c r="D60" s="32"/>
      <c r="E60" s="32"/>
      <c r="F60" s="32"/>
      <c r="G60" s="116"/>
      <c r="H60" s="130">
        <v>55</v>
      </c>
      <c r="I60" s="131" t="str">
        <f t="shared" si="4"/>
        <v/>
      </c>
      <c r="J60" s="130">
        <f t="shared" si="5"/>
        <v>-4</v>
      </c>
      <c r="K60" s="130">
        <f t="shared" si="2"/>
        <v>-40</v>
      </c>
      <c r="L60" s="130"/>
      <c r="M60" s="132">
        <f t="shared" si="3"/>
        <v>0</v>
      </c>
    </row>
    <row r="61" spans="1:13" x14ac:dyDescent="0.25">
      <c r="A61" s="46"/>
      <c r="B61" s="37" t="str">
        <f t="shared" si="8"/>
        <v/>
      </c>
      <c r="C61" s="38"/>
      <c r="D61" s="38"/>
      <c r="E61" s="38"/>
      <c r="F61" s="38"/>
      <c r="G61" s="116"/>
      <c r="H61" s="133">
        <v>56</v>
      </c>
      <c r="I61" s="134" t="str">
        <f t="shared" si="4"/>
        <v/>
      </c>
      <c r="J61" s="133">
        <f t="shared" si="5"/>
        <v>-4</v>
      </c>
      <c r="K61" s="133">
        <f t="shared" si="2"/>
        <v>-40</v>
      </c>
      <c r="L61" s="133"/>
      <c r="M61" s="135">
        <f t="shared" si="3"/>
        <v>0</v>
      </c>
    </row>
    <row r="62" spans="1:13" x14ac:dyDescent="0.25">
      <c r="A62" s="47"/>
      <c r="B62" s="31" t="str">
        <f t="shared" si="8"/>
        <v/>
      </c>
      <c r="C62" s="32"/>
      <c r="D62" s="32"/>
      <c r="E62" s="32"/>
      <c r="F62" s="32"/>
      <c r="G62" s="116"/>
      <c r="H62" s="130">
        <v>57</v>
      </c>
      <c r="I62" s="131" t="str">
        <f t="shared" si="4"/>
        <v/>
      </c>
      <c r="J62" s="130">
        <f t="shared" si="5"/>
        <v>-4</v>
      </c>
      <c r="K62" s="130">
        <f t="shared" si="2"/>
        <v>-40</v>
      </c>
      <c r="L62" s="130"/>
      <c r="M62" s="132">
        <f t="shared" si="3"/>
        <v>0</v>
      </c>
    </row>
    <row r="63" spans="1:13" x14ac:dyDescent="0.25">
      <c r="A63" s="46"/>
      <c r="B63" s="37" t="str">
        <f t="shared" si="8"/>
        <v/>
      </c>
      <c r="C63" s="38"/>
      <c r="D63" s="38"/>
      <c r="E63" s="38"/>
      <c r="F63" s="38"/>
      <c r="G63" s="116"/>
      <c r="H63" s="133">
        <v>58</v>
      </c>
      <c r="I63" s="134" t="str">
        <f t="shared" si="4"/>
        <v/>
      </c>
      <c r="J63" s="133">
        <f t="shared" si="5"/>
        <v>-4</v>
      </c>
      <c r="K63" s="133">
        <f t="shared" si="2"/>
        <v>-40</v>
      </c>
      <c r="L63" s="133"/>
      <c r="M63" s="135">
        <f t="shared" si="3"/>
        <v>0</v>
      </c>
    </row>
    <row r="64" spans="1:13" x14ac:dyDescent="0.25">
      <c r="A64" s="47"/>
      <c r="B64" s="31" t="str">
        <f t="shared" si="8"/>
        <v/>
      </c>
      <c r="C64" s="32"/>
      <c r="D64" s="32"/>
      <c r="E64" s="32"/>
      <c r="F64" s="32"/>
      <c r="G64" s="116"/>
      <c r="H64" s="130">
        <v>59</v>
      </c>
      <c r="I64" s="131" t="str">
        <f t="shared" si="4"/>
        <v/>
      </c>
      <c r="J64" s="130">
        <f t="shared" si="5"/>
        <v>-4</v>
      </c>
      <c r="K64" s="130">
        <f t="shared" si="2"/>
        <v>-40</v>
      </c>
      <c r="L64" s="130"/>
      <c r="M64" s="132">
        <f t="shared" si="3"/>
        <v>0</v>
      </c>
    </row>
    <row r="65" spans="1:13" x14ac:dyDescent="0.25">
      <c r="A65" s="46"/>
      <c r="B65" s="37" t="str">
        <f t="shared" si="8"/>
        <v/>
      </c>
      <c r="C65" s="38"/>
      <c r="D65" s="38"/>
      <c r="E65" s="38"/>
      <c r="F65" s="38"/>
      <c r="G65" s="116"/>
      <c r="H65" s="133">
        <v>60</v>
      </c>
      <c r="I65" s="134" t="str">
        <f t="shared" si="4"/>
        <v/>
      </c>
      <c r="J65" s="133">
        <f t="shared" si="5"/>
        <v>-4</v>
      </c>
      <c r="K65" s="133">
        <f t="shared" si="2"/>
        <v>-40</v>
      </c>
      <c r="L65" s="133"/>
      <c r="M65" s="135">
        <f t="shared" si="3"/>
        <v>0</v>
      </c>
    </row>
    <row r="66" spans="1:13" x14ac:dyDescent="0.25">
      <c r="A66" s="146"/>
      <c r="B66" s="31"/>
      <c r="G66" s="116"/>
      <c r="H66" s="130">
        <v>61</v>
      </c>
      <c r="I66" s="131" t="str">
        <f t="shared" si="4"/>
        <v/>
      </c>
      <c r="J66" s="130">
        <f t="shared" si="5"/>
        <v>-4</v>
      </c>
      <c r="K66" s="130">
        <f t="shared" si="2"/>
        <v>-40</v>
      </c>
      <c r="L66" s="130"/>
      <c r="M66" s="132">
        <f t="shared" si="3"/>
        <v>0</v>
      </c>
    </row>
    <row r="67" spans="1:13" x14ac:dyDescent="0.25">
      <c r="A67" s="146"/>
      <c r="B67" s="37"/>
      <c r="G67" s="116"/>
      <c r="H67" s="130">
        <v>62</v>
      </c>
      <c r="I67" s="131" t="str">
        <f t="shared" si="4"/>
        <v/>
      </c>
      <c r="J67" s="130">
        <f t="shared" si="5"/>
        <v>-4</v>
      </c>
      <c r="K67" s="130">
        <f t="shared" si="2"/>
        <v>-40</v>
      </c>
      <c r="L67" s="130"/>
      <c r="M67" s="132">
        <f t="shared" si="3"/>
        <v>0</v>
      </c>
    </row>
    <row r="68" spans="1:13" x14ac:dyDescent="0.25">
      <c r="A68" s="146"/>
      <c r="B68" s="31"/>
      <c r="G68" s="116"/>
      <c r="H68" s="130">
        <v>63</v>
      </c>
      <c r="I68" s="131" t="str">
        <f t="shared" si="4"/>
        <v/>
      </c>
      <c r="J68" s="130">
        <f t="shared" si="5"/>
        <v>-4</v>
      </c>
      <c r="K68" s="130">
        <f t="shared" si="2"/>
        <v>-40</v>
      </c>
      <c r="L68" s="130"/>
      <c r="M68" s="132">
        <f t="shared" si="3"/>
        <v>0</v>
      </c>
    </row>
    <row r="69" spans="1:13" x14ac:dyDescent="0.25">
      <c r="A69" s="146"/>
      <c r="B69" s="37"/>
      <c r="G69" s="116"/>
      <c r="H69" s="130">
        <v>64</v>
      </c>
      <c r="I69" s="131" t="str">
        <f t="shared" si="4"/>
        <v/>
      </c>
      <c r="J69" s="130">
        <f t="shared" si="5"/>
        <v>-4</v>
      </c>
      <c r="K69" s="130">
        <f t="shared" si="2"/>
        <v>-40</v>
      </c>
      <c r="L69" s="130"/>
      <c r="M69" s="132">
        <f t="shared" si="3"/>
        <v>0</v>
      </c>
    </row>
    <row r="70" spans="1:13" x14ac:dyDescent="0.25">
      <c r="A70" s="146"/>
      <c r="G70" s="116"/>
      <c r="H70" s="130">
        <v>65</v>
      </c>
      <c r="I70" s="131" t="str">
        <f t="shared" si="4"/>
        <v/>
      </c>
      <c r="J70" s="130">
        <f t="shared" si="5"/>
        <v>-5</v>
      </c>
      <c r="K70" s="130">
        <f t="shared" ref="K70:K133" si="9">J70*$J$2</f>
        <v>-50</v>
      </c>
      <c r="L70" s="130"/>
      <c r="M70" s="132">
        <f t="shared" ref="M70:M133" si="10">IF(I70&lt;&gt;"",K70+I70+L70,0)</f>
        <v>0</v>
      </c>
    </row>
    <row r="71" spans="1:13" x14ac:dyDescent="0.25">
      <c r="A71" s="146"/>
      <c r="G71" s="116"/>
      <c r="H71" s="130">
        <v>66</v>
      </c>
      <c r="I71" s="131" t="str">
        <f t="shared" ref="I71:I134" si="11">IF(H71&lt;$H$2+1,($I$2-($I$2-1)*(LOG(H71)/LOG($H$2))),"")</f>
        <v/>
      </c>
      <c r="J71" s="130">
        <f t="shared" ref="J71:J134" si="12">INT(LOG($H$2,2))-ROUNDUP(LOG(H71,2),0)+IF(OR($H$2=1,$H$2=2,$H$2=4,$H$2=8,$H$2=16,$H$2=32,$H$2=64,$H$2=128,$H$2=256),0,1)</f>
        <v>-5</v>
      </c>
      <c r="K71" s="130">
        <f t="shared" si="9"/>
        <v>-50</v>
      </c>
      <c r="L71" s="130"/>
      <c r="M71" s="132">
        <f t="shared" si="10"/>
        <v>0</v>
      </c>
    </row>
    <row r="72" spans="1:13" x14ac:dyDescent="0.25">
      <c r="A72" s="146"/>
      <c r="G72" s="116"/>
      <c r="H72" s="130">
        <v>67</v>
      </c>
      <c r="I72" s="131" t="str">
        <f t="shared" si="11"/>
        <v/>
      </c>
      <c r="J72" s="130">
        <f t="shared" si="12"/>
        <v>-5</v>
      </c>
      <c r="K72" s="130">
        <f t="shared" si="9"/>
        <v>-50</v>
      </c>
      <c r="L72" s="130"/>
      <c r="M72" s="132">
        <f t="shared" si="10"/>
        <v>0</v>
      </c>
    </row>
    <row r="73" spans="1:13" x14ac:dyDescent="0.25">
      <c r="A73" s="146"/>
      <c r="G73" s="116"/>
      <c r="H73" s="130">
        <v>68</v>
      </c>
      <c r="I73" s="131" t="str">
        <f t="shared" si="11"/>
        <v/>
      </c>
      <c r="J73" s="130">
        <f t="shared" si="12"/>
        <v>-5</v>
      </c>
      <c r="K73" s="130">
        <f t="shared" si="9"/>
        <v>-50</v>
      </c>
      <c r="L73" s="130"/>
      <c r="M73" s="132">
        <f t="shared" si="10"/>
        <v>0</v>
      </c>
    </row>
    <row r="74" spans="1:13" x14ac:dyDescent="0.25">
      <c r="A74" s="146"/>
      <c r="G74" s="116"/>
      <c r="H74" s="130">
        <v>69</v>
      </c>
      <c r="I74" s="131" t="str">
        <f t="shared" si="11"/>
        <v/>
      </c>
      <c r="J74" s="130">
        <f t="shared" si="12"/>
        <v>-5</v>
      </c>
      <c r="K74" s="130">
        <f t="shared" si="9"/>
        <v>-50</v>
      </c>
      <c r="L74" s="130"/>
      <c r="M74" s="132">
        <f t="shared" si="10"/>
        <v>0</v>
      </c>
    </row>
    <row r="75" spans="1:13" x14ac:dyDescent="0.25">
      <c r="A75" s="146"/>
      <c r="G75" s="116"/>
      <c r="H75" s="130">
        <v>70</v>
      </c>
      <c r="I75" s="131" t="str">
        <f t="shared" si="11"/>
        <v/>
      </c>
      <c r="J75" s="130">
        <f t="shared" si="12"/>
        <v>-5</v>
      </c>
      <c r="K75" s="130">
        <f t="shared" si="9"/>
        <v>-50</v>
      </c>
      <c r="L75" s="130"/>
      <c r="M75" s="132">
        <f t="shared" si="10"/>
        <v>0</v>
      </c>
    </row>
    <row r="76" spans="1:13" x14ac:dyDescent="0.25">
      <c r="A76" s="146"/>
      <c r="G76" s="116"/>
      <c r="H76" s="130">
        <v>71</v>
      </c>
      <c r="I76" s="131" t="str">
        <f t="shared" si="11"/>
        <v/>
      </c>
      <c r="J76" s="130">
        <f t="shared" si="12"/>
        <v>-5</v>
      </c>
      <c r="K76" s="130">
        <f t="shared" si="9"/>
        <v>-50</v>
      </c>
      <c r="L76" s="130"/>
      <c r="M76" s="132">
        <f t="shared" si="10"/>
        <v>0</v>
      </c>
    </row>
    <row r="77" spans="1:13" x14ac:dyDescent="0.25">
      <c r="A77" s="146"/>
      <c r="G77" s="116"/>
      <c r="H77" s="130">
        <v>72</v>
      </c>
      <c r="I77" s="131" t="str">
        <f t="shared" si="11"/>
        <v/>
      </c>
      <c r="J77" s="130">
        <f t="shared" si="12"/>
        <v>-5</v>
      </c>
      <c r="K77" s="130">
        <f t="shared" si="9"/>
        <v>-50</v>
      </c>
      <c r="L77" s="130"/>
      <c r="M77" s="132">
        <f t="shared" si="10"/>
        <v>0</v>
      </c>
    </row>
    <row r="78" spans="1:13" x14ac:dyDescent="0.25">
      <c r="A78" s="146"/>
      <c r="G78" s="116"/>
      <c r="H78" s="130">
        <v>73</v>
      </c>
      <c r="I78" s="131" t="str">
        <f t="shared" si="11"/>
        <v/>
      </c>
      <c r="J78" s="130">
        <f t="shared" si="12"/>
        <v>-5</v>
      </c>
      <c r="K78" s="130">
        <f t="shared" si="9"/>
        <v>-50</v>
      </c>
      <c r="L78" s="130"/>
      <c r="M78" s="132">
        <f t="shared" si="10"/>
        <v>0</v>
      </c>
    </row>
    <row r="79" spans="1:13" x14ac:dyDescent="0.25">
      <c r="A79" s="146"/>
      <c r="G79" s="116"/>
      <c r="H79" s="130">
        <v>74</v>
      </c>
      <c r="I79" s="131" t="str">
        <f t="shared" si="11"/>
        <v/>
      </c>
      <c r="J79" s="130">
        <f t="shared" si="12"/>
        <v>-5</v>
      </c>
      <c r="K79" s="130">
        <f t="shared" si="9"/>
        <v>-50</v>
      </c>
      <c r="L79" s="130"/>
      <c r="M79" s="132">
        <f t="shared" si="10"/>
        <v>0</v>
      </c>
    </row>
    <row r="80" spans="1:13" x14ac:dyDescent="0.25">
      <c r="A80" s="146"/>
      <c r="G80" s="116"/>
      <c r="H80" s="130">
        <v>75</v>
      </c>
      <c r="I80" s="131" t="str">
        <f t="shared" si="11"/>
        <v/>
      </c>
      <c r="J80" s="130">
        <f t="shared" si="12"/>
        <v>-5</v>
      </c>
      <c r="K80" s="130">
        <f t="shared" si="9"/>
        <v>-50</v>
      </c>
      <c r="L80" s="130"/>
      <c r="M80" s="132">
        <f t="shared" si="10"/>
        <v>0</v>
      </c>
    </row>
    <row r="81" spans="1:13" x14ac:dyDescent="0.25">
      <c r="A81" s="146"/>
      <c r="G81" s="116"/>
      <c r="H81" s="130">
        <v>76</v>
      </c>
      <c r="I81" s="131" t="str">
        <f t="shared" si="11"/>
        <v/>
      </c>
      <c r="J81" s="130">
        <f t="shared" si="12"/>
        <v>-5</v>
      </c>
      <c r="K81" s="130">
        <f t="shared" si="9"/>
        <v>-50</v>
      </c>
      <c r="L81" s="130"/>
      <c r="M81" s="132">
        <f t="shared" si="10"/>
        <v>0</v>
      </c>
    </row>
    <row r="82" spans="1:13" x14ac:dyDescent="0.25">
      <c r="A82" s="146"/>
      <c r="G82" s="116"/>
      <c r="H82" s="130">
        <v>77</v>
      </c>
      <c r="I82" s="131" t="str">
        <f t="shared" si="11"/>
        <v/>
      </c>
      <c r="J82" s="130">
        <f t="shared" si="12"/>
        <v>-5</v>
      </c>
      <c r="K82" s="130">
        <f t="shared" si="9"/>
        <v>-50</v>
      </c>
      <c r="L82" s="130"/>
      <c r="M82" s="132">
        <f t="shared" si="10"/>
        <v>0</v>
      </c>
    </row>
    <row r="83" spans="1:13" x14ac:dyDescent="0.25">
      <c r="A83" s="146"/>
      <c r="G83" s="116"/>
      <c r="H83" s="130">
        <v>78</v>
      </c>
      <c r="I83" s="131" t="str">
        <f t="shared" si="11"/>
        <v/>
      </c>
      <c r="J83" s="130">
        <f t="shared" si="12"/>
        <v>-5</v>
      </c>
      <c r="K83" s="130">
        <f t="shared" si="9"/>
        <v>-50</v>
      </c>
      <c r="L83" s="130"/>
      <c r="M83" s="132">
        <f t="shared" si="10"/>
        <v>0</v>
      </c>
    </row>
    <row r="84" spans="1:13" x14ac:dyDescent="0.25">
      <c r="A84" s="146"/>
      <c r="G84" s="116"/>
      <c r="H84" s="130">
        <v>79</v>
      </c>
      <c r="I84" s="131" t="str">
        <f t="shared" si="11"/>
        <v/>
      </c>
      <c r="J84" s="130">
        <f t="shared" si="12"/>
        <v>-5</v>
      </c>
      <c r="K84" s="130">
        <f t="shared" si="9"/>
        <v>-50</v>
      </c>
      <c r="L84" s="130"/>
      <c r="M84" s="132">
        <f t="shared" si="10"/>
        <v>0</v>
      </c>
    </row>
    <row r="85" spans="1:13" x14ac:dyDescent="0.25">
      <c r="A85" s="146"/>
      <c r="G85" s="116"/>
      <c r="H85" s="130">
        <v>80</v>
      </c>
      <c r="I85" s="131" t="str">
        <f t="shared" si="11"/>
        <v/>
      </c>
      <c r="J85" s="130">
        <f t="shared" si="12"/>
        <v>-5</v>
      </c>
      <c r="K85" s="130">
        <f t="shared" si="9"/>
        <v>-50</v>
      </c>
      <c r="L85" s="130"/>
      <c r="M85" s="132">
        <f t="shared" si="10"/>
        <v>0</v>
      </c>
    </row>
    <row r="86" spans="1:13" x14ac:dyDescent="0.25">
      <c r="A86" s="146"/>
      <c r="G86" s="116"/>
      <c r="H86" s="130">
        <v>81</v>
      </c>
      <c r="I86" s="131" t="str">
        <f t="shared" si="11"/>
        <v/>
      </c>
      <c r="J86" s="130">
        <f t="shared" si="12"/>
        <v>-5</v>
      </c>
      <c r="K86" s="130">
        <f t="shared" si="9"/>
        <v>-50</v>
      </c>
      <c r="L86" s="130"/>
      <c r="M86" s="132">
        <f t="shared" si="10"/>
        <v>0</v>
      </c>
    </row>
    <row r="87" spans="1:13" x14ac:dyDescent="0.25">
      <c r="A87" s="146"/>
      <c r="G87" s="116"/>
      <c r="H87" s="130">
        <v>82</v>
      </c>
      <c r="I87" s="131" t="str">
        <f t="shared" si="11"/>
        <v/>
      </c>
      <c r="J87" s="130">
        <f t="shared" si="12"/>
        <v>-5</v>
      </c>
      <c r="K87" s="130">
        <f t="shared" si="9"/>
        <v>-50</v>
      </c>
      <c r="L87" s="130"/>
      <c r="M87" s="132">
        <f t="shared" si="10"/>
        <v>0</v>
      </c>
    </row>
    <row r="88" spans="1:13" x14ac:dyDescent="0.25">
      <c r="A88" s="146"/>
      <c r="G88" s="116"/>
      <c r="H88" s="130">
        <v>83</v>
      </c>
      <c r="I88" s="131" t="str">
        <f t="shared" si="11"/>
        <v/>
      </c>
      <c r="J88" s="130">
        <f t="shared" si="12"/>
        <v>-5</v>
      </c>
      <c r="K88" s="130">
        <f t="shared" si="9"/>
        <v>-50</v>
      </c>
      <c r="L88" s="130"/>
      <c r="M88" s="132">
        <f t="shared" si="10"/>
        <v>0</v>
      </c>
    </row>
    <row r="89" spans="1:13" x14ac:dyDescent="0.25">
      <c r="A89" s="146"/>
      <c r="G89" s="116"/>
      <c r="H89" s="130">
        <v>84</v>
      </c>
      <c r="I89" s="131" t="str">
        <f t="shared" si="11"/>
        <v/>
      </c>
      <c r="J89" s="130">
        <f t="shared" si="12"/>
        <v>-5</v>
      </c>
      <c r="K89" s="130">
        <f t="shared" si="9"/>
        <v>-50</v>
      </c>
      <c r="L89" s="130"/>
      <c r="M89" s="132">
        <f t="shared" si="10"/>
        <v>0</v>
      </c>
    </row>
    <row r="90" spans="1:13" x14ac:dyDescent="0.25">
      <c r="A90" s="146"/>
      <c r="G90" s="116"/>
      <c r="H90" s="130">
        <v>85</v>
      </c>
      <c r="I90" s="131" t="str">
        <f t="shared" si="11"/>
        <v/>
      </c>
      <c r="J90" s="130">
        <f t="shared" si="12"/>
        <v>-5</v>
      </c>
      <c r="K90" s="130">
        <f t="shared" si="9"/>
        <v>-50</v>
      </c>
      <c r="L90" s="130"/>
      <c r="M90" s="132">
        <f t="shared" si="10"/>
        <v>0</v>
      </c>
    </row>
    <row r="91" spans="1:13" x14ac:dyDescent="0.25">
      <c r="A91" s="146"/>
      <c r="G91" s="116"/>
      <c r="H91" s="130">
        <v>86</v>
      </c>
      <c r="I91" s="131" t="str">
        <f t="shared" si="11"/>
        <v/>
      </c>
      <c r="J91" s="130">
        <f t="shared" si="12"/>
        <v>-5</v>
      </c>
      <c r="K91" s="130">
        <f t="shared" si="9"/>
        <v>-50</v>
      </c>
      <c r="L91" s="130"/>
      <c r="M91" s="132">
        <f t="shared" si="10"/>
        <v>0</v>
      </c>
    </row>
    <row r="92" spans="1:13" x14ac:dyDescent="0.25">
      <c r="A92" s="146"/>
      <c r="G92" s="116"/>
      <c r="H92" s="130">
        <v>87</v>
      </c>
      <c r="I92" s="131" t="str">
        <f t="shared" si="11"/>
        <v/>
      </c>
      <c r="J92" s="130">
        <f t="shared" si="12"/>
        <v>-5</v>
      </c>
      <c r="K92" s="130">
        <f t="shared" si="9"/>
        <v>-50</v>
      </c>
      <c r="L92" s="130"/>
      <c r="M92" s="132">
        <f t="shared" si="10"/>
        <v>0</v>
      </c>
    </row>
    <row r="93" spans="1:13" x14ac:dyDescent="0.25">
      <c r="A93" s="146"/>
      <c r="G93" s="116"/>
      <c r="H93" s="130">
        <v>88</v>
      </c>
      <c r="I93" s="131" t="str">
        <f t="shared" si="11"/>
        <v/>
      </c>
      <c r="J93" s="130">
        <f t="shared" si="12"/>
        <v>-5</v>
      </c>
      <c r="K93" s="130">
        <f t="shared" si="9"/>
        <v>-50</v>
      </c>
      <c r="L93" s="130"/>
      <c r="M93" s="132">
        <f t="shared" si="10"/>
        <v>0</v>
      </c>
    </row>
    <row r="94" spans="1:13" x14ac:dyDescent="0.25">
      <c r="A94" s="146"/>
      <c r="G94" s="116"/>
      <c r="H94" s="130">
        <v>89</v>
      </c>
      <c r="I94" s="131" t="str">
        <f t="shared" si="11"/>
        <v/>
      </c>
      <c r="J94" s="130">
        <f t="shared" si="12"/>
        <v>-5</v>
      </c>
      <c r="K94" s="130">
        <f t="shared" si="9"/>
        <v>-50</v>
      </c>
      <c r="L94" s="130"/>
      <c r="M94" s="132">
        <f t="shared" si="10"/>
        <v>0</v>
      </c>
    </row>
    <row r="95" spans="1:13" x14ac:dyDescent="0.25">
      <c r="A95" s="146"/>
      <c r="G95" s="116"/>
      <c r="H95" s="130">
        <v>90</v>
      </c>
      <c r="I95" s="131" t="str">
        <f t="shared" si="11"/>
        <v/>
      </c>
      <c r="J95" s="130">
        <f t="shared" si="12"/>
        <v>-5</v>
      </c>
      <c r="K95" s="130">
        <f t="shared" si="9"/>
        <v>-50</v>
      </c>
      <c r="L95" s="130"/>
      <c r="M95" s="132">
        <f t="shared" si="10"/>
        <v>0</v>
      </c>
    </row>
    <row r="96" spans="1:13" x14ac:dyDescent="0.25">
      <c r="A96" s="146"/>
      <c r="G96" s="116"/>
      <c r="H96" s="130">
        <v>91</v>
      </c>
      <c r="I96" s="131" t="str">
        <f t="shared" si="11"/>
        <v/>
      </c>
      <c r="J96" s="130">
        <f t="shared" si="12"/>
        <v>-5</v>
      </c>
      <c r="K96" s="130">
        <f t="shared" si="9"/>
        <v>-50</v>
      </c>
      <c r="L96" s="130"/>
      <c r="M96" s="132">
        <f t="shared" si="10"/>
        <v>0</v>
      </c>
    </row>
    <row r="97" spans="1:13" x14ac:dyDescent="0.25">
      <c r="A97" s="146"/>
      <c r="G97" s="116"/>
      <c r="H97" s="130">
        <v>92</v>
      </c>
      <c r="I97" s="131" t="str">
        <f t="shared" si="11"/>
        <v/>
      </c>
      <c r="J97" s="130">
        <f t="shared" si="12"/>
        <v>-5</v>
      </c>
      <c r="K97" s="130">
        <f t="shared" si="9"/>
        <v>-50</v>
      </c>
      <c r="L97" s="130"/>
      <c r="M97" s="132">
        <f t="shared" si="10"/>
        <v>0</v>
      </c>
    </row>
    <row r="98" spans="1:13" x14ac:dyDescent="0.25">
      <c r="A98" s="146"/>
      <c r="G98" s="116"/>
      <c r="H98" s="130">
        <v>93</v>
      </c>
      <c r="I98" s="131" t="str">
        <f t="shared" si="11"/>
        <v/>
      </c>
      <c r="J98" s="130">
        <f t="shared" si="12"/>
        <v>-5</v>
      </c>
      <c r="K98" s="130">
        <f t="shared" si="9"/>
        <v>-50</v>
      </c>
      <c r="L98" s="130"/>
      <c r="M98" s="132">
        <f t="shared" si="10"/>
        <v>0</v>
      </c>
    </row>
    <row r="99" spans="1:13" x14ac:dyDescent="0.25">
      <c r="A99" s="146"/>
      <c r="G99" s="116"/>
      <c r="H99" s="130">
        <v>94</v>
      </c>
      <c r="I99" s="131" t="str">
        <f t="shared" si="11"/>
        <v/>
      </c>
      <c r="J99" s="130">
        <f t="shared" si="12"/>
        <v>-5</v>
      </c>
      <c r="K99" s="130">
        <f t="shared" si="9"/>
        <v>-50</v>
      </c>
      <c r="L99" s="130"/>
      <c r="M99" s="132">
        <f t="shared" si="10"/>
        <v>0</v>
      </c>
    </row>
    <row r="100" spans="1:13" x14ac:dyDescent="0.25">
      <c r="A100" s="146"/>
      <c r="G100" s="116"/>
      <c r="H100" s="130">
        <v>95</v>
      </c>
      <c r="I100" s="131" t="str">
        <f t="shared" si="11"/>
        <v/>
      </c>
      <c r="J100" s="130">
        <f t="shared" si="12"/>
        <v>-5</v>
      </c>
      <c r="K100" s="130">
        <f t="shared" si="9"/>
        <v>-50</v>
      </c>
      <c r="L100" s="130"/>
      <c r="M100" s="132">
        <f t="shared" si="10"/>
        <v>0</v>
      </c>
    </row>
    <row r="101" spans="1:13" x14ac:dyDescent="0.25">
      <c r="A101" s="146"/>
      <c r="G101" s="116"/>
      <c r="H101" s="130">
        <v>96</v>
      </c>
      <c r="I101" s="131" t="str">
        <f t="shared" si="11"/>
        <v/>
      </c>
      <c r="J101" s="130">
        <f t="shared" si="12"/>
        <v>-5</v>
      </c>
      <c r="K101" s="130">
        <f t="shared" si="9"/>
        <v>-50</v>
      </c>
      <c r="L101" s="130"/>
      <c r="M101" s="132">
        <f t="shared" si="10"/>
        <v>0</v>
      </c>
    </row>
    <row r="102" spans="1:13" x14ac:dyDescent="0.25">
      <c r="A102" s="146"/>
      <c r="G102" s="116"/>
      <c r="H102" s="130">
        <v>97</v>
      </c>
      <c r="I102" s="131" t="str">
        <f t="shared" si="11"/>
        <v/>
      </c>
      <c r="J102" s="130">
        <f t="shared" si="12"/>
        <v>-5</v>
      </c>
      <c r="K102" s="130">
        <f t="shared" si="9"/>
        <v>-50</v>
      </c>
      <c r="L102" s="130"/>
      <c r="M102" s="132">
        <f t="shared" si="10"/>
        <v>0</v>
      </c>
    </row>
    <row r="103" spans="1:13" x14ac:dyDescent="0.25">
      <c r="A103" s="146"/>
      <c r="G103" s="116"/>
      <c r="H103" s="130">
        <v>98</v>
      </c>
      <c r="I103" s="131" t="str">
        <f t="shared" si="11"/>
        <v/>
      </c>
      <c r="J103" s="130">
        <f t="shared" si="12"/>
        <v>-5</v>
      </c>
      <c r="K103" s="130">
        <f t="shared" si="9"/>
        <v>-50</v>
      </c>
      <c r="L103" s="130"/>
      <c r="M103" s="132">
        <f t="shared" si="10"/>
        <v>0</v>
      </c>
    </row>
    <row r="104" spans="1:13" x14ac:dyDescent="0.25">
      <c r="A104" s="146"/>
      <c r="G104" s="116"/>
      <c r="H104" s="130">
        <v>99</v>
      </c>
      <c r="I104" s="131" t="str">
        <f t="shared" si="11"/>
        <v/>
      </c>
      <c r="J104" s="130">
        <f t="shared" si="12"/>
        <v>-5</v>
      </c>
      <c r="K104" s="130">
        <f t="shared" si="9"/>
        <v>-50</v>
      </c>
      <c r="L104" s="130"/>
      <c r="M104" s="132">
        <f t="shared" si="10"/>
        <v>0</v>
      </c>
    </row>
    <row r="105" spans="1:13" x14ac:dyDescent="0.25">
      <c r="A105" s="146"/>
      <c r="G105" s="116"/>
      <c r="H105" s="130">
        <v>100</v>
      </c>
      <c r="I105" s="131" t="str">
        <f t="shared" si="11"/>
        <v/>
      </c>
      <c r="J105" s="130">
        <f t="shared" si="12"/>
        <v>-5</v>
      </c>
      <c r="K105" s="130">
        <f t="shared" si="9"/>
        <v>-50</v>
      </c>
      <c r="L105" s="130"/>
      <c r="M105" s="132">
        <f t="shared" si="10"/>
        <v>0</v>
      </c>
    </row>
    <row r="106" spans="1:13" x14ac:dyDescent="0.25">
      <c r="A106" s="146"/>
      <c r="G106" s="116"/>
      <c r="H106" s="130">
        <v>101</v>
      </c>
      <c r="I106" s="131" t="str">
        <f t="shared" si="11"/>
        <v/>
      </c>
      <c r="J106" s="130">
        <f t="shared" si="12"/>
        <v>-5</v>
      </c>
      <c r="K106" s="130">
        <f t="shared" si="9"/>
        <v>-50</v>
      </c>
      <c r="L106" s="130"/>
      <c r="M106" s="132">
        <f t="shared" si="10"/>
        <v>0</v>
      </c>
    </row>
    <row r="107" spans="1:13" x14ac:dyDescent="0.25">
      <c r="A107" s="146"/>
      <c r="G107" s="116"/>
      <c r="H107" s="130">
        <v>102</v>
      </c>
      <c r="I107" s="131" t="str">
        <f t="shared" si="11"/>
        <v/>
      </c>
      <c r="J107" s="130">
        <f t="shared" si="12"/>
        <v>-5</v>
      </c>
      <c r="K107" s="130">
        <f t="shared" si="9"/>
        <v>-50</v>
      </c>
      <c r="L107" s="130"/>
      <c r="M107" s="132">
        <f t="shared" si="10"/>
        <v>0</v>
      </c>
    </row>
    <row r="108" spans="1:13" x14ac:dyDescent="0.25">
      <c r="A108" s="146"/>
      <c r="G108" s="116"/>
      <c r="H108" s="130">
        <v>103</v>
      </c>
      <c r="I108" s="131" t="str">
        <f t="shared" si="11"/>
        <v/>
      </c>
      <c r="J108" s="130">
        <f t="shared" si="12"/>
        <v>-5</v>
      </c>
      <c r="K108" s="130">
        <f t="shared" si="9"/>
        <v>-50</v>
      </c>
      <c r="L108" s="130"/>
      <c r="M108" s="132">
        <f t="shared" si="10"/>
        <v>0</v>
      </c>
    </row>
    <row r="109" spans="1:13" x14ac:dyDescent="0.25">
      <c r="A109" s="146"/>
      <c r="G109" s="116"/>
      <c r="H109" s="130">
        <v>104</v>
      </c>
      <c r="I109" s="131" t="str">
        <f t="shared" si="11"/>
        <v/>
      </c>
      <c r="J109" s="130">
        <f t="shared" si="12"/>
        <v>-5</v>
      </c>
      <c r="K109" s="130">
        <f t="shared" si="9"/>
        <v>-50</v>
      </c>
      <c r="L109" s="130"/>
      <c r="M109" s="132">
        <f t="shared" si="10"/>
        <v>0</v>
      </c>
    </row>
    <row r="110" spans="1:13" x14ac:dyDescent="0.25">
      <c r="A110" s="146"/>
      <c r="G110" s="116"/>
      <c r="H110" s="130">
        <v>105</v>
      </c>
      <c r="I110" s="131" t="str">
        <f t="shared" si="11"/>
        <v/>
      </c>
      <c r="J110" s="130">
        <f t="shared" si="12"/>
        <v>-5</v>
      </c>
      <c r="K110" s="130">
        <f t="shared" si="9"/>
        <v>-50</v>
      </c>
      <c r="L110" s="130"/>
      <c r="M110" s="132">
        <f t="shared" si="10"/>
        <v>0</v>
      </c>
    </row>
    <row r="111" spans="1:13" x14ac:dyDescent="0.25">
      <c r="A111" s="146"/>
      <c r="G111" s="116"/>
      <c r="H111" s="130">
        <v>106</v>
      </c>
      <c r="I111" s="131" t="str">
        <f t="shared" si="11"/>
        <v/>
      </c>
      <c r="J111" s="130">
        <f t="shared" si="12"/>
        <v>-5</v>
      </c>
      <c r="K111" s="130">
        <f t="shared" si="9"/>
        <v>-50</v>
      </c>
      <c r="L111" s="130"/>
      <c r="M111" s="132">
        <f t="shared" si="10"/>
        <v>0</v>
      </c>
    </row>
    <row r="112" spans="1:13" x14ac:dyDescent="0.25">
      <c r="A112" s="146"/>
      <c r="G112" s="116"/>
      <c r="H112" s="130">
        <v>107</v>
      </c>
      <c r="I112" s="131" t="str">
        <f t="shared" si="11"/>
        <v/>
      </c>
      <c r="J112" s="130">
        <f t="shared" si="12"/>
        <v>-5</v>
      </c>
      <c r="K112" s="130">
        <f t="shared" si="9"/>
        <v>-50</v>
      </c>
      <c r="L112" s="130"/>
      <c r="M112" s="132">
        <f t="shared" si="10"/>
        <v>0</v>
      </c>
    </row>
    <row r="113" spans="1:13" x14ac:dyDescent="0.25">
      <c r="A113" s="146"/>
      <c r="G113" s="116"/>
      <c r="H113" s="130">
        <v>108</v>
      </c>
      <c r="I113" s="131" t="str">
        <f t="shared" si="11"/>
        <v/>
      </c>
      <c r="J113" s="130">
        <f t="shared" si="12"/>
        <v>-5</v>
      </c>
      <c r="K113" s="130">
        <f t="shared" si="9"/>
        <v>-50</v>
      </c>
      <c r="L113" s="130"/>
      <c r="M113" s="132">
        <f t="shared" si="10"/>
        <v>0</v>
      </c>
    </row>
    <row r="114" spans="1:13" x14ac:dyDescent="0.25">
      <c r="A114" s="146"/>
      <c r="G114" s="116"/>
      <c r="H114" s="130">
        <v>109</v>
      </c>
      <c r="I114" s="131" t="str">
        <f t="shared" si="11"/>
        <v/>
      </c>
      <c r="J114" s="130">
        <f t="shared" si="12"/>
        <v>-5</v>
      </c>
      <c r="K114" s="130">
        <f t="shared" si="9"/>
        <v>-50</v>
      </c>
      <c r="L114" s="130"/>
      <c r="M114" s="132">
        <f t="shared" si="10"/>
        <v>0</v>
      </c>
    </row>
    <row r="115" spans="1:13" x14ac:dyDescent="0.25">
      <c r="A115" s="146"/>
      <c r="G115" s="116"/>
      <c r="H115" s="130">
        <v>110</v>
      </c>
      <c r="I115" s="131" t="str">
        <f t="shared" si="11"/>
        <v/>
      </c>
      <c r="J115" s="130">
        <f t="shared" si="12"/>
        <v>-5</v>
      </c>
      <c r="K115" s="130">
        <f t="shared" si="9"/>
        <v>-50</v>
      </c>
      <c r="L115" s="130"/>
      <c r="M115" s="132">
        <f t="shared" si="10"/>
        <v>0</v>
      </c>
    </row>
    <row r="116" spans="1:13" x14ac:dyDescent="0.25">
      <c r="A116" s="146"/>
      <c r="G116" s="116"/>
      <c r="H116" s="130">
        <v>111</v>
      </c>
      <c r="I116" s="131" t="str">
        <f t="shared" si="11"/>
        <v/>
      </c>
      <c r="J116" s="130">
        <f t="shared" si="12"/>
        <v>-5</v>
      </c>
      <c r="K116" s="130">
        <f t="shared" si="9"/>
        <v>-50</v>
      </c>
      <c r="L116" s="130"/>
      <c r="M116" s="132">
        <f t="shared" si="10"/>
        <v>0</v>
      </c>
    </row>
    <row r="117" spans="1:13" x14ac:dyDescent="0.25">
      <c r="A117" s="146"/>
      <c r="G117" s="116"/>
      <c r="H117" s="130">
        <v>112</v>
      </c>
      <c r="I117" s="131" t="str">
        <f t="shared" si="11"/>
        <v/>
      </c>
      <c r="J117" s="130">
        <f t="shared" si="12"/>
        <v>-5</v>
      </c>
      <c r="K117" s="130">
        <f t="shared" si="9"/>
        <v>-50</v>
      </c>
      <c r="L117" s="130"/>
      <c r="M117" s="132">
        <f t="shared" si="10"/>
        <v>0</v>
      </c>
    </row>
    <row r="118" spans="1:13" x14ac:dyDescent="0.25">
      <c r="A118" s="146"/>
      <c r="G118" s="116"/>
      <c r="H118" s="130">
        <v>113</v>
      </c>
      <c r="I118" s="131" t="str">
        <f t="shared" si="11"/>
        <v/>
      </c>
      <c r="J118" s="130">
        <f t="shared" si="12"/>
        <v>-5</v>
      </c>
      <c r="K118" s="130">
        <f t="shared" si="9"/>
        <v>-50</v>
      </c>
      <c r="L118" s="130"/>
      <c r="M118" s="132">
        <f t="shared" si="10"/>
        <v>0</v>
      </c>
    </row>
    <row r="119" spans="1:13" x14ac:dyDescent="0.25">
      <c r="A119" s="146"/>
      <c r="G119" s="116"/>
      <c r="H119" s="130">
        <v>114</v>
      </c>
      <c r="I119" s="131" t="str">
        <f t="shared" si="11"/>
        <v/>
      </c>
      <c r="J119" s="130">
        <f t="shared" si="12"/>
        <v>-5</v>
      </c>
      <c r="K119" s="130">
        <f t="shared" si="9"/>
        <v>-50</v>
      </c>
      <c r="L119" s="130"/>
      <c r="M119" s="132">
        <f t="shared" si="10"/>
        <v>0</v>
      </c>
    </row>
    <row r="120" spans="1:13" x14ac:dyDescent="0.25">
      <c r="A120" s="146"/>
      <c r="G120" s="116"/>
      <c r="H120" s="130">
        <v>115</v>
      </c>
      <c r="I120" s="131" t="str">
        <f t="shared" si="11"/>
        <v/>
      </c>
      <c r="J120" s="130">
        <f t="shared" si="12"/>
        <v>-5</v>
      </c>
      <c r="K120" s="130">
        <f t="shared" si="9"/>
        <v>-50</v>
      </c>
      <c r="L120" s="130"/>
      <c r="M120" s="132">
        <f t="shared" si="10"/>
        <v>0</v>
      </c>
    </row>
    <row r="121" spans="1:13" x14ac:dyDescent="0.25">
      <c r="A121" s="146"/>
      <c r="G121" s="116"/>
      <c r="H121" s="130">
        <v>116</v>
      </c>
      <c r="I121" s="131" t="str">
        <f t="shared" si="11"/>
        <v/>
      </c>
      <c r="J121" s="130">
        <f t="shared" si="12"/>
        <v>-5</v>
      </c>
      <c r="K121" s="130">
        <f t="shared" si="9"/>
        <v>-50</v>
      </c>
      <c r="L121" s="130"/>
      <c r="M121" s="132">
        <f t="shared" si="10"/>
        <v>0</v>
      </c>
    </row>
    <row r="122" spans="1:13" x14ac:dyDescent="0.25">
      <c r="A122" s="146"/>
      <c r="G122" s="116"/>
      <c r="H122" s="130">
        <v>117</v>
      </c>
      <c r="I122" s="131" t="str">
        <f t="shared" si="11"/>
        <v/>
      </c>
      <c r="J122" s="130">
        <f t="shared" si="12"/>
        <v>-5</v>
      </c>
      <c r="K122" s="130">
        <f t="shared" si="9"/>
        <v>-50</v>
      </c>
      <c r="L122" s="130"/>
      <c r="M122" s="132">
        <f t="shared" si="10"/>
        <v>0</v>
      </c>
    </row>
    <row r="123" spans="1:13" x14ac:dyDescent="0.25">
      <c r="A123" s="146"/>
      <c r="G123" s="116"/>
      <c r="H123" s="130">
        <v>118</v>
      </c>
      <c r="I123" s="131" t="str">
        <f t="shared" si="11"/>
        <v/>
      </c>
      <c r="J123" s="130">
        <f t="shared" si="12"/>
        <v>-5</v>
      </c>
      <c r="K123" s="130">
        <f t="shared" si="9"/>
        <v>-50</v>
      </c>
      <c r="L123" s="130"/>
      <c r="M123" s="132">
        <f t="shared" si="10"/>
        <v>0</v>
      </c>
    </row>
    <row r="124" spans="1:13" x14ac:dyDescent="0.25">
      <c r="A124" s="146"/>
      <c r="G124" s="116"/>
      <c r="H124" s="130">
        <v>119</v>
      </c>
      <c r="I124" s="131" t="str">
        <f t="shared" si="11"/>
        <v/>
      </c>
      <c r="J124" s="130">
        <f t="shared" si="12"/>
        <v>-5</v>
      </c>
      <c r="K124" s="130">
        <f t="shared" si="9"/>
        <v>-50</v>
      </c>
      <c r="L124" s="130"/>
      <c r="M124" s="132">
        <f t="shared" si="10"/>
        <v>0</v>
      </c>
    </row>
    <row r="125" spans="1:13" x14ac:dyDescent="0.25">
      <c r="A125" s="146"/>
      <c r="G125" s="116"/>
      <c r="H125" s="130">
        <v>120</v>
      </c>
      <c r="I125" s="131" t="str">
        <f t="shared" si="11"/>
        <v/>
      </c>
      <c r="J125" s="130">
        <f t="shared" si="12"/>
        <v>-5</v>
      </c>
      <c r="K125" s="130">
        <f t="shared" si="9"/>
        <v>-50</v>
      </c>
      <c r="L125" s="130"/>
      <c r="M125" s="132">
        <f t="shared" si="10"/>
        <v>0</v>
      </c>
    </row>
    <row r="126" spans="1:13" x14ac:dyDescent="0.25">
      <c r="A126" s="146"/>
      <c r="G126" s="116"/>
      <c r="H126" s="130">
        <v>121</v>
      </c>
      <c r="I126" s="131" t="str">
        <f t="shared" si="11"/>
        <v/>
      </c>
      <c r="J126" s="130">
        <f t="shared" si="12"/>
        <v>-5</v>
      </c>
      <c r="K126" s="130">
        <f t="shared" si="9"/>
        <v>-50</v>
      </c>
      <c r="L126" s="130"/>
      <c r="M126" s="132">
        <f t="shared" si="10"/>
        <v>0</v>
      </c>
    </row>
    <row r="127" spans="1:13" x14ac:dyDescent="0.25">
      <c r="A127" s="146"/>
      <c r="G127" s="116"/>
      <c r="H127" s="130">
        <v>122</v>
      </c>
      <c r="I127" s="131" t="str">
        <f t="shared" si="11"/>
        <v/>
      </c>
      <c r="J127" s="130">
        <f t="shared" si="12"/>
        <v>-5</v>
      </c>
      <c r="K127" s="130">
        <f t="shared" si="9"/>
        <v>-50</v>
      </c>
      <c r="L127" s="130"/>
      <c r="M127" s="132">
        <f t="shared" si="10"/>
        <v>0</v>
      </c>
    </row>
    <row r="128" spans="1:13" x14ac:dyDescent="0.25">
      <c r="A128" s="146"/>
      <c r="G128" s="116"/>
      <c r="H128" s="130">
        <v>123</v>
      </c>
      <c r="I128" s="131" t="str">
        <f t="shared" si="11"/>
        <v/>
      </c>
      <c r="J128" s="130">
        <f t="shared" si="12"/>
        <v>-5</v>
      </c>
      <c r="K128" s="130">
        <f t="shared" si="9"/>
        <v>-50</v>
      </c>
      <c r="L128" s="130"/>
      <c r="M128" s="132">
        <f t="shared" si="10"/>
        <v>0</v>
      </c>
    </row>
    <row r="129" spans="1:13" x14ac:dyDescent="0.25">
      <c r="A129" s="146"/>
      <c r="G129" s="116"/>
      <c r="H129" s="130">
        <v>124</v>
      </c>
      <c r="I129" s="131" t="str">
        <f t="shared" si="11"/>
        <v/>
      </c>
      <c r="J129" s="130">
        <f t="shared" si="12"/>
        <v>-5</v>
      </c>
      <c r="K129" s="130">
        <f t="shared" si="9"/>
        <v>-50</v>
      </c>
      <c r="L129" s="130"/>
      <c r="M129" s="132">
        <f t="shared" si="10"/>
        <v>0</v>
      </c>
    </row>
    <row r="130" spans="1:13" x14ac:dyDescent="0.25">
      <c r="A130" s="146"/>
      <c r="G130" s="116"/>
      <c r="H130" s="130">
        <v>125</v>
      </c>
      <c r="I130" s="131" t="str">
        <f t="shared" si="11"/>
        <v/>
      </c>
      <c r="J130" s="130">
        <f t="shared" si="12"/>
        <v>-5</v>
      </c>
      <c r="K130" s="130">
        <f t="shared" si="9"/>
        <v>-50</v>
      </c>
      <c r="L130" s="130"/>
      <c r="M130" s="132">
        <f t="shared" si="10"/>
        <v>0</v>
      </c>
    </row>
    <row r="131" spans="1:13" x14ac:dyDescent="0.25">
      <c r="A131" s="146"/>
      <c r="G131" s="116"/>
      <c r="H131" s="130">
        <v>126</v>
      </c>
      <c r="I131" s="131" t="str">
        <f t="shared" si="11"/>
        <v/>
      </c>
      <c r="J131" s="130">
        <f t="shared" si="12"/>
        <v>-5</v>
      </c>
      <c r="K131" s="130">
        <f t="shared" si="9"/>
        <v>-50</v>
      </c>
      <c r="L131" s="130"/>
      <c r="M131" s="132">
        <f t="shared" si="10"/>
        <v>0</v>
      </c>
    </row>
    <row r="132" spans="1:13" x14ac:dyDescent="0.25">
      <c r="A132" s="146"/>
      <c r="G132" s="116"/>
      <c r="H132" s="130">
        <v>127</v>
      </c>
      <c r="I132" s="131" t="str">
        <f t="shared" si="11"/>
        <v/>
      </c>
      <c r="J132" s="130">
        <f t="shared" si="12"/>
        <v>-5</v>
      </c>
      <c r="K132" s="130">
        <f t="shared" si="9"/>
        <v>-50</v>
      </c>
      <c r="L132" s="130"/>
      <c r="M132" s="132">
        <f t="shared" si="10"/>
        <v>0</v>
      </c>
    </row>
    <row r="133" spans="1:13" x14ac:dyDescent="0.25">
      <c r="A133" s="146"/>
      <c r="G133" s="116"/>
      <c r="H133" s="130">
        <v>128</v>
      </c>
      <c r="I133" s="131" t="str">
        <f t="shared" si="11"/>
        <v/>
      </c>
      <c r="J133" s="130">
        <f t="shared" si="12"/>
        <v>-5</v>
      </c>
      <c r="K133" s="130">
        <f t="shared" si="9"/>
        <v>-50</v>
      </c>
      <c r="L133" s="130"/>
      <c r="M133" s="132">
        <f t="shared" si="10"/>
        <v>0</v>
      </c>
    </row>
    <row r="134" spans="1:13" x14ac:dyDescent="0.25">
      <c r="A134" s="146"/>
      <c r="G134" s="116"/>
      <c r="H134" s="130">
        <v>129</v>
      </c>
      <c r="I134" s="131" t="str">
        <f t="shared" si="11"/>
        <v/>
      </c>
      <c r="J134" s="130">
        <f t="shared" si="12"/>
        <v>-6</v>
      </c>
      <c r="K134" s="130">
        <f t="shared" ref="K134:K197" si="13">J134*$J$2</f>
        <v>-60</v>
      </c>
      <c r="L134" s="130"/>
      <c r="M134" s="132">
        <f t="shared" ref="M134:M197" si="14">IF(I134&lt;&gt;"",K134+I134+L134,0)</f>
        <v>0</v>
      </c>
    </row>
    <row r="135" spans="1:13" x14ac:dyDescent="0.25">
      <c r="A135" s="146"/>
      <c r="G135" s="116"/>
      <c r="H135" s="130">
        <v>130</v>
      </c>
      <c r="I135" s="131" t="str">
        <f t="shared" ref="I135:I198" si="15">IF(H135&lt;$H$2+1,($I$2-($I$2-1)*(LOG(H135)/LOG($H$2))),"")</f>
        <v/>
      </c>
      <c r="J135" s="130">
        <f t="shared" ref="J135:J198" si="16">INT(LOG($H$2,2))-ROUNDUP(LOG(H135,2),0)+IF(OR($H$2=1,$H$2=2,$H$2=4,$H$2=8,$H$2=16,$H$2=32,$H$2=64,$H$2=128,$H$2=256),0,1)</f>
        <v>-6</v>
      </c>
      <c r="K135" s="130">
        <f t="shared" si="13"/>
        <v>-60</v>
      </c>
      <c r="L135" s="130"/>
      <c r="M135" s="132">
        <f t="shared" si="14"/>
        <v>0</v>
      </c>
    </row>
    <row r="136" spans="1:13" x14ac:dyDescent="0.25">
      <c r="A136" s="146"/>
      <c r="G136" s="116"/>
      <c r="H136" s="130">
        <v>131</v>
      </c>
      <c r="I136" s="131" t="str">
        <f t="shared" si="15"/>
        <v/>
      </c>
      <c r="J136" s="130">
        <f t="shared" si="16"/>
        <v>-6</v>
      </c>
      <c r="K136" s="130">
        <f t="shared" si="13"/>
        <v>-60</v>
      </c>
      <c r="L136" s="130"/>
      <c r="M136" s="132">
        <f t="shared" si="14"/>
        <v>0</v>
      </c>
    </row>
    <row r="137" spans="1:13" x14ac:dyDescent="0.25">
      <c r="A137" s="146"/>
      <c r="G137" s="116"/>
      <c r="H137" s="130">
        <v>132</v>
      </c>
      <c r="I137" s="131" t="str">
        <f t="shared" si="15"/>
        <v/>
      </c>
      <c r="J137" s="130">
        <f t="shared" si="16"/>
        <v>-6</v>
      </c>
      <c r="K137" s="130">
        <f t="shared" si="13"/>
        <v>-60</v>
      </c>
      <c r="L137" s="130"/>
      <c r="M137" s="132">
        <f t="shared" si="14"/>
        <v>0</v>
      </c>
    </row>
    <row r="138" spans="1:13" x14ac:dyDescent="0.25">
      <c r="A138" s="146"/>
      <c r="G138" s="116"/>
      <c r="H138" s="130">
        <v>133</v>
      </c>
      <c r="I138" s="131" t="str">
        <f t="shared" si="15"/>
        <v/>
      </c>
      <c r="J138" s="130">
        <f t="shared" si="16"/>
        <v>-6</v>
      </c>
      <c r="K138" s="130">
        <f t="shared" si="13"/>
        <v>-60</v>
      </c>
      <c r="L138" s="130"/>
      <c r="M138" s="132">
        <f t="shared" si="14"/>
        <v>0</v>
      </c>
    </row>
    <row r="139" spans="1:13" x14ac:dyDescent="0.25">
      <c r="A139" s="146"/>
      <c r="G139" s="116"/>
      <c r="H139" s="130">
        <v>134</v>
      </c>
      <c r="I139" s="131" t="str">
        <f t="shared" si="15"/>
        <v/>
      </c>
      <c r="J139" s="130">
        <f t="shared" si="16"/>
        <v>-6</v>
      </c>
      <c r="K139" s="130">
        <f t="shared" si="13"/>
        <v>-60</v>
      </c>
      <c r="L139" s="130"/>
      <c r="M139" s="132">
        <f t="shared" si="14"/>
        <v>0</v>
      </c>
    </row>
    <row r="140" spans="1:13" x14ac:dyDescent="0.25">
      <c r="A140" s="146"/>
      <c r="G140" s="116"/>
      <c r="H140" s="130">
        <v>135</v>
      </c>
      <c r="I140" s="131" t="str">
        <f t="shared" si="15"/>
        <v/>
      </c>
      <c r="J140" s="130">
        <f t="shared" si="16"/>
        <v>-6</v>
      </c>
      <c r="K140" s="130">
        <f t="shared" si="13"/>
        <v>-60</v>
      </c>
      <c r="L140" s="130"/>
      <c r="M140" s="132">
        <f t="shared" si="14"/>
        <v>0</v>
      </c>
    </row>
    <row r="141" spans="1:13" x14ac:dyDescent="0.25">
      <c r="A141" s="146"/>
      <c r="G141" s="116"/>
      <c r="H141" s="130">
        <v>136</v>
      </c>
      <c r="I141" s="131" t="str">
        <f t="shared" si="15"/>
        <v/>
      </c>
      <c r="J141" s="130">
        <f t="shared" si="16"/>
        <v>-6</v>
      </c>
      <c r="K141" s="130">
        <f t="shared" si="13"/>
        <v>-60</v>
      </c>
      <c r="L141" s="130"/>
      <c r="M141" s="132">
        <f t="shared" si="14"/>
        <v>0</v>
      </c>
    </row>
    <row r="142" spans="1:13" x14ac:dyDescent="0.25">
      <c r="A142" s="146"/>
      <c r="G142" s="116"/>
      <c r="H142" s="130">
        <v>137</v>
      </c>
      <c r="I142" s="131" t="str">
        <f t="shared" si="15"/>
        <v/>
      </c>
      <c r="J142" s="130">
        <f t="shared" si="16"/>
        <v>-6</v>
      </c>
      <c r="K142" s="130">
        <f t="shared" si="13"/>
        <v>-60</v>
      </c>
      <c r="L142" s="130"/>
      <c r="M142" s="132">
        <f t="shared" si="14"/>
        <v>0</v>
      </c>
    </row>
    <row r="143" spans="1:13" x14ac:dyDescent="0.25">
      <c r="A143" s="146"/>
      <c r="G143" s="116"/>
      <c r="H143" s="130">
        <v>138</v>
      </c>
      <c r="I143" s="131" t="str">
        <f t="shared" si="15"/>
        <v/>
      </c>
      <c r="J143" s="130">
        <f t="shared" si="16"/>
        <v>-6</v>
      </c>
      <c r="K143" s="130">
        <f t="shared" si="13"/>
        <v>-60</v>
      </c>
      <c r="L143" s="130"/>
      <c r="M143" s="132">
        <f t="shared" si="14"/>
        <v>0</v>
      </c>
    </row>
    <row r="144" spans="1:13" x14ac:dyDescent="0.25">
      <c r="A144" s="146"/>
      <c r="G144" s="116"/>
      <c r="H144" s="130">
        <v>139</v>
      </c>
      <c r="I144" s="131" t="str">
        <f t="shared" si="15"/>
        <v/>
      </c>
      <c r="J144" s="130">
        <f t="shared" si="16"/>
        <v>-6</v>
      </c>
      <c r="K144" s="130">
        <f t="shared" si="13"/>
        <v>-60</v>
      </c>
      <c r="L144" s="130"/>
      <c r="M144" s="132">
        <f t="shared" si="14"/>
        <v>0</v>
      </c>
    </row>
    <row r="145" spans="1:13" x14ac:dyDescent="0.25">
      <c r="A145" s="146"/>
      <c r="G145" s="116"/>
      <c r="H145" s="130">
        <v>140</v>
      </c>
      <c r="I145" s="131" t="str">
        <f t="shared" si="15"/>
        <v/>
      </c>
      <c r="J145" s="130">
        <f t="shared" si="16"/>
        <v>-6</v>
      </c>
      <c r="K145" s="130">
        <f t="shared" si="13"/>
        <v>-60</v>
      </c>
      <c r="L145" s="130"/>
      <c r="M145" s="132">
        <f t="shared" si="14"/>
        <v>0</v>
      </c>
    </row>
    <row r="146" spans="1:13" x14ac:dyDescent="0.25">
      <c r="A146" s="146"/>
      <c r="G146" s="116"/>
      <c r="H146" s="130">
        <v>141</v>
      </c>
      <c r="I146" s="131" t="str">
        <f t="shared" si="15"/>
        <v/>
      </c>
      <c r="J146" s="130">
        <f t="shared" si="16"/>
        <v>-6</v>
      </c>
      <c r="K146" s="130">
        <f t="shared" si="13"/>
        <v>-60</v>
      </c>
      <c r="L146" s="130"/>
      <c r="M146" s="132">
        <f t="shared" si="14"/>
        <v>0</v>
      </c>
    </row>
    <row r="147" spans="1:13" x14ac:dyDescent="0.25">
      <c r="A147" s="146"/>
      <c r="G147" s="116"/>
      <c r="H147" s="130">
        <v>142</v>
      </c>
      <c r="I147" s="131" t="str">
        <f t="shared" si="15"/>
        <v/>
      </c>
      <c r="J147" s="130">
        <f t="shared" si="16"/>
        <v>-6</v>
      </c>
      <c r="K147" s="130">
        <f t="shared" si="13"/>
        <v>-60</v>
      </c>
      <c r="L147" s="130"/>
      <c r="M147" s="132">
        <f t="shared" si="14"/>
        <v>0</v>
      </c>
    </row>
    <row r="148" spans="1:13" x14ac:dyDescent="0.25">
      <c r="A148" s="146"/>
      <c r="G148" s="116"/>
      <c r="H148" s="130">
        <v>143</v>
      </c>
      <c r="I148" s="131" t="str">
        <f t="shared" si="15"/>
        <v/>
      </c>
      <c r="J148" s="130">
        <f t="shared" si="16"/>
        <v>-6</v>
      </c>
      <c r="K148" s="130">
        <f t="shared" si="13"/>
        <v>-60</v>
      </c>
      <c r="L148" s="130"/>
      <c r="M148" s="132">
        <f t="shared" si="14"/>
        <v>0</v>
      </c>
    </row>
    <row r="149" spans="1:13" x14ac:dyDescent="0.25">
      <c r="A149" s="146"/>
      <c r="G149" s="116"/>
      <c r="H149" s="130">
        <v>144</v>
      </c>
      <c r="I149" s="131" t="str">
        <f t="shared" si="15"/>
        <v/>
      </c>
      <c r="J149" s="130">
        <f t="shared" si="16"/>
        <v>-6</v>
      </c>
      <c r="K149" s="130">
        <f t="shared" si="13"/>
        <v>-60</v>
      </c>
      <c r="L149" s="130"/>
      <c r="M149" s="132">
        <f t="shared" si="14"/>
        <v>0</v>
      </c>
    </row>
    <row r="150" spans="1:13" x14ac:dyDescent="0.25">
      <c r="A150" s="146"/>
      <c r="G150" s="116"/>
      <c r="H150" s="130">
        <v>145</v>
      </c>
      <c r="I150" s="131" t="str">
        <f t="shared" si="15"/>
        <v/>
      </c>
      <c r="J150" s="130">
        <f t="shared" si="16"/>
        <v>-6</v>
      </c>
      <c r="K150" s="130">
        <f t="shared" si="13"/>
        <v>-60</v>
      </c>
      <c r="L150" s="130"/>
      <c r="M150" s="132">
        <f t="shared" si="14"/>
        <v>0</v>
      </c>
    </row>
    <row r="151" spans="1:13" x14ac:dyDescent="0.25">
      <c r="A151" s="146"/>
      <c r="G151" s="116"/>
      <c r="H151" s="130">
        <v>146</v>
      </c>
      <c r="I151" s="131" t="str">
        <f t="shared" si="15"/>
        <v/>
      </c>
      <c r="J151" s="130">
        <f t="shared" si="16"/>
        <v>-6</v>
      </c>
      <c r="K151" s="130">
        <f t="shared" si="13"/>
        <v>-60</v>
      </c>
      <c r="L151" s="130"/>
      <c r="M151" s="132">
        <f t="shared" si="14"/>
        <v>0</v>
      </c>
    </row>
    <row r="152" spans="1:13" x14ac:dyDescent="0.25">
      <c r="A152" s="146"/>
      <c r="G152" s="116"/>
      <c r="H152" s="130">
        <v>147</v>
      </c>
      <c r="I152" s="131" t="str">
        <f t="shared" si="15"/>
        <v/>
      </c>
      <c r="J152" s="130">
        <f t="shared" si="16"/>
        <v>-6</v>
      </c>
      <c r="K152" s="130">
        <f t="shared" si="13"/>
        <v>-60</v>
      </c>
      <c r="L152" s="130"/>
      <c r="M152" s="132">
        <f t="shared" si="14"/>
        <v>0</v>
      </c>
    </row>
    <row r="153" spans="1:13" x14ac:dyDescent="0.25">
      <c r="A153" s="146"/>
      <c r="G153" s="116"/>
      <c r="H153" s="130">
        <v>148</v>
      </c>
      <c r="I153" s="131" t="str">
        <f t="shared" si="15"/>
        <v/>
      </c>
      <c r="J153" s="130">
        <f t="shared" si="16"/>
        <v>-6</v>
      </c>
      <c r="K153" s="130">
        <f t="shared" si="13"/>
        <v>-60</v>
      </c>
      <c r="L153" s="130"/>
      <c r="M153" s="132">
        <f t="shared" si="14"/>
        <v>0</v>
      </c>
    </row>
    <row r="154" spans="1:13" x14ac:dyDescent="0.25">
      <c r="A154" s="146"/>
      <c r="G154" s="116"/>
      <c r="H154" s="130">
        <v>149</v>
      </c>
      <c r="I154" s="131" t="str">
        <f t="shared" si="15"/>
        <v/>
      </c>
      <c r="J154" s="130">
        <f t="shared" si="16"/>
        <v>-6</v>
      </c>
      <c r="K154" s="130">
        <f t="shared" si="13"/>
        <v>-60</v>
      </c>
      <c r="L154" s="130"/>
      <c r="M154" s="132">
        <f t="shared" si="14"/>
        <v>0</v>
      </c>
    </row>
    <row r="155" spans="1:13" x14ac:dyDescent="0.25">
      <c r="A155" s="146"/>
      <c r="G155" s="116"/>
      <c r="H155" s="130">
        <v>150</v>
      </c>
      <c r="I155" s="131" t="str">
        <f t="shared" si="15"/>
        <v/>
      </c>
      <c r="J155" s="130">
        <f t="shared" si="16"/>
        <v>-6</v>
      </c>
      <c r="K155" s="130">
        <f t="shared" si="13"/>
        <v>-60</v>
      </c>
      <c r="L155" s="130"/>
      <c r="M155" s="132">
        <f t="shared" si="14"/>
        <v>0</v>
      </c>
    </row>
    <row r="156" spans="1:13" x14ac:dyDescent="0.25">
      <c r="A156" s="146"/>
      <c r="G156" s="116"/>
      <c r="H156" s="130">
        <v>151</v>
      </c>
      <c r="I156" s="131" t="str">
        <f t="shared" si="15"/>
        <v/>
      </c>
      <c r="J156" s="130">
        <f t="shared" si="16"/>
        <v>-6</v>
      </c>
      <c r="K156" s="130">
        <f t="shared" si="13"/>
        <v>-60</v>
      </c>
      <c r="L156" s="130"/>
      <c r="M156" s="132">
        <f t="shared" si="14"/>
        <v>0</v>
      </c>
    </row>
    <row r="157" spans="1:13" x14ac:dyDescent="0.25">
      <c r="A157" s="146"/>
      <c r="G157" s="116"/>
      <c r="H157" s="130">
        <v>152</v>
      </c>
      <c r="I157" s="131" t="str">
        <f t="shared" si="15"/>
        <v/>
      </c>
      <c r="J157" s="130">
        <f t="shared" si="16"/>
        <v>-6</v>
      </c>
      <c r="K157" s="130">
        <f t="shared" si="13"/>
        <v>-60</v>
      </c>
      <c r="L157" s="130"/>
      <c r="M157" s="132">
        <f t="shared" si="14"/>
        <v>0</v>
      </c>
    </row>
    <row r="158" spans="1:13" x14ac:dyDescent="0.25">
      <c r="A158" s="146"/>
      <c r="G158" s="116"/>
      <c r="H158" s="130">
        <v>153</v>
      </c>
      <c r="I158" s="131" t="str">
        <f t="shared" si="15"/>
        <v/>
      </c>
      <c r="J158" s="130">
        <f t="shared" si="16"/>
        <v>-6</v>
      </c>
      <c r="K158" s="130">
        <f t="shared" si="13"/>
        <v>-60</v>
      </c>
      <c r="L158" s="130"/>
      <c r="M158" s="132">
        <f t="shared" si="14"/>
        <v>0</v>
      </c>
    </row>
    <row r="159" spans="1:13" x14ac:dyDescent="0.25">
      <c r="A159" s="146"/>
      <c r="G159" s="116"/>
      <c r="H159" s="130">
        <v>154</v>
      </c>
      <c r="I159" s="131" t="str">
        <f t="shared" si="15"/>
        <v/>
      </c>
      <c r="J159" s="130">
        <f t="shared" si="16"/>
        <v>-6</v>
      </c>
      <c r="K159" s="130">
        <f t="shared" si="13"/>
        <v>-60</v>
      </c>
      <c r="L159" s="130"/>
      <c r="M159" s="132">
        <f t="shared" si="14"/>
        <v>0</v>
      </c>
    </row>
    <row r="160" spans="1:13" x14ac:dyDescent="0.25">
      <c r="A160" s="146"/>
      <c r="G160" s="116"/>
      <c r="H160" s="130">
        <v>155</v>
      </c>
      <c r="I160" s="131" t="str">
        <f t="shared" si="15"/>
        <v/>
      </c>
      <c r="J160" s="130">
        <f t="shared" si="16"/>
        <v>-6</v>
      </c>
      <c r="K160" s="130">
        <f t="shared" si="13"/>
        <v>-60</v>
      </c>
      <c r="L160" s="130"/>
      <c r="M160" s="132">
        <f t="shared" si="14"/>
        <v>0</v>
      </c>
    </row>
    <row r="161" spans="1:13" x14ac:dyDescent="0.25">
      <c r="A161" s="146"/>
      <c r="G161" s="116"/>
      <c r="H161" s="130">
        <v>156</v>
      </c>
      <c r="I161" s="131" t="str">
        <f t="shared" si="15"/>
        <v/>
      </c>
      <c r="J161" s="130">
        <f t="shared" si="16"/>
        <v>-6</v>
      </c>
      <c r="K161" s="130">
        <f t="shared" si="13"/>
        <v>-60</v>
      </c>
      <c r="L161" s="130"/>
      <c r="M161" s="132">
        <f t="shared" si="14"/>
        <v>0</v>
      </c>
    </row>
    <row r="162" spans="1:13" x14ac:dyDescent="0.25">
      <c r="A162" s="146"/>
      <c r="G162" s="116"/>
      <c r="H162" s="130">
        <v>157</v>
      </c>
      <c r="I162" s="131" t="str">
        <f t="shared" si="15"/>
        <v/>
      </c>
      <c r="J162" s="130">
        <f t="shared" si="16"/>
        <v>-6</v>
      </c>
      <c r="K162" s="130">
        <f t="shared" si="13"/>
        <v>-60</v>
      </c>
      <c r="L162" s="130"/>
      <c r="M162" s="132">
        <f t="shared" si="14"/>
        <v>0</v>
      </c>
    </row>
    <row r="163" spans="1:13" x14ac:dyDescent="0.25">
      <c r="A163" s="146"/>
      <c r="G163" s="116"/>
      <c r="H163" s="130">
        <v>158</v>
      </c>
      <c r="I163" s="131" t="str">
        <f t="shared" si="15"/>
        <v/>
      </c>
      <c r="J163" s="130">
        <f t="shared" si="16"/>
        <v>-6</v>
      </c>
      <c r="K163" s="130">
        <f t="shared" si="13"/>
        <v>-60</v>
      </c>
      <c r="L163" s="130"/>
      <c r="M163" s="132">
        <f t="shared" si="14"/>
        <v>0</v>
      </c>
    </row>
    <row r="164" spans="1:13" x14ac:dyDescent="0.25">
      <c r="A164" s="146"/>
      <c r="G164" s="116"/>
      <c r="H164" s="130">
        <v>159</v>
      </c>
      <c r="I164" s="131" t="str">
        <f t="shared" si="15"/>
        <v/>
      </c>
      <c r="J164" s="130">
        <f t="shared" si="16"/>
        <v>-6</v>
      </c>
      <c r="K164" s="130">
        <f t="shared" si="13"/>
        <v>-60</v>
      </c>
      <c r="L164" s="130"/>
      <c r="M164" s="132">
        <f t="shared" si="14"/>
        <v>0</v>
      </c>
    </row>
    <row r="165" spans="1:13" x14ac:dyDescent="0.25">
      <c r="A165" s="146"/>
      <c r="G165" s="116"/>
      <c r="H165" s="130">
        <v>160</v>
      </c>
      <c r="I165" s="131" t="str">
        <f t="shared" si="15"/>
        <v/>
      </c>
      <c r="J165" s="130">
        <f t="shared" si="16"/>
        <v>-6</v>
      </c>
      <c r="K165" s="130">
        <f t="shared" si="13"/>
        <v>-60</v>
      </c>
      <c r="L165" s="130"/>
      <c r="M165" s="132">
        <f t="shared" si="14"/>
        <v>0</v>
      </c>
    </row>
    <row r="166" spans="1:13" x14ac:dyDescent="0.25">
      <c r="A166" s="146"/>
      <c r="G166" s="116"/>
      <c r="H166" s="130">
        <v>161</v>
      </c>
      <c r="I166" s="131" t="str">
        <f t="shared" si="15"/>
        <v/>
      </c>
      <c r="J166" s="130">
        <f t="shared" si="16"/>
        <v>-6</v>
      </c>
      <c r="K166" s="130">
        <f t="shared" si="13"/>
        <v>-60</v>
      </c>
      <c r="L166" s="130"/>
      <c r="M166" s="132">
        <f t="shared" si="14"/>
        <v>0</v>
      </c>
    </row>
    <row r="167" spans="1:13" x14ac:dyDescent="0.25">
      <c r="A167" s="146"/>
      <c r="G167" s="116"/>
      <c r="H167" s="130">
        <v>162</v>
      </c>
      <c r="I167" s="131" t="str">
        <f t="shared" si="15"/>
        <v/>
      </c>
      <c r="J167" s="130">
        <f t="shared" si="16"/>
        <v>-6</v>
      </c>
      <c r="K167" s="130">
        <f t="shared" si="13"/>
        <v>-60</v>
      </c>
      <c r="L167" s="130"/>
      <c r="M167" s="132">
        <f t="shared" si="14"/>
        <v>0</v>
      </c>
    </row>
    <row r="168" spans="1:13" x14ac:dyDescent="0.25">
      <c r="A168" s="146"/>
      <c r="G168" s="116"/>
      <c r="H168" s="130">
        <v>163</v>
      </c>
      <c r="I168" s="131" t="str">
        <f t="shared" si="15"/>
        <v/>
      </c>
      <c r="J168" s="130">
        <f t="shared" si="16"/>
        <v>-6</v>
      </c>
      <c r="K168" s="130">
        <f t="shared" si="13"/>
        <v>-60</v>
      </c>
      <c r="L168" s="130"/>
      <c r="M168" s="132">
        <f t="shared" si="14"/>
        <v>0</v>
      </c>
    </row>
    <row r="169" spans="1:13" x14ac:dyDescent="0.25">
      <c r="A169" s="146"/>
      <c r="G169" s="116"/>
      <c r="H169" s="130">
        <v>164</v>
      </c>
      <c r="I169" s="131" t="str">
        <f t="shared" si="15"/>
        <v/>
      </c>
      <c r="J169" s="130">
        <f t="shared" si="16"/>
        <v>-6</v>
      </c>
      <c r="K169" s="130">
        <f t="shared" si="13"/>
        <v>-60</v>
      </c>
      <c r="L169" s="130"/>
      <c r="M169" s="132">
        <f t="shared" si="14"/>
        <v>0</v>
      </c>
    </row>
    <row r="170" spans="1:13" x14ac:dyDescent="0.25">
      <c r="A170" s="146"/>
      <c r="G170" s="116"/>
      <c r="H170" s="130">
        <v>165</v>
      </c>
      <c r="I170" s="131" t="str">
        <f t="shared" si="15"/>
        <v/>
      </c>
      <c r="J170" s="130">
        <f t="shared" si="16"/>
        <v>-6</v>
      </c>
      <c r="K170" s="130">
        <f t="shared" si="13"/>
        <v>-60</v>
      </c>
      <c r="L170" s="130"/>
      <c r="M170" s="132">
        <f t="shared" si="14"/>
        <v>0</v>
      </c>
    </row>
    <row r="171" spans="1:13" x14ac:dyDescent="0.25">
      <c r="A171" s="146"/>
      <c r="G171" s="116"/>
      <c r="H171" s="130">
        <v>166</v>
      </c>
      <c r="I171" s="131" t="str">
        <f t="shared" si="15"/>
        <v/>
      </c>
      <c r="J171" s="130">
        <f t="shared" si="16"/>
        <v>-6</v>
      </c>
      <c r="K171" s="130">
        <f t="shared" si="13"/>
        <v>-60</v>
      </c>
      <c r="L171" s="130"/>
      <c r="M171" s="132">
        <f t="shared" si="14"/>
        <v>0</v>
      </c>
    </row>
    <row r="172" spans="1:13" x14ac:dyDescent="0.25">
      <c r="A172" s="146"/>
      <c r="G172" s="116"/>
      <c r="H172" s="130">
        <v>167</v>
      </c>
      <c r="I172" s="131" t="str">
        <f t="shared" si="15"/>
        <v/>
      </c>
      <c r="J172" s="130">
        <f t="shared" si="16"/>
        <v>-6</v>
      </c>
      <c r="K172" s="130">
        <f t="shared" si="13"/>
        <v>-60</v>
      </c>
      <c r="L172" s="130"/>
      <c r="M172" s="132">
        <f t="shared" si="14"/>
        <v>0</v>
      </c>
    </row>
    <row r="173" spans="1:13" x14ac:dyDescent="0.25">
      <c r="A173" s="146"/>
      <c r="G173" s="116"/>
      <c r="H173" s="130">
        <v>168</v>
      </c>
      <c r="I173" s="131" t="str">
        <f t="shared" si="15"/>
        <v/>
      </c>
      <c r="J173" s="130">
        <f t="shared" si="16"/>
        <v>-6</v>
      </c>
      <c r="K173" s="130">
        <f t="shared" si="13"/>
        <v>-60</v>
      </c>
      <c r="L173" s="130"/>
      <c r="M173" s="132">
        <f t="shared" si="14"/>
        <v>0</v>
      </c>
    </row>
    <row r="174" spans="1:13" x14ac:dyDescent="0.25">
      <c r="A174" s="146"/>
      <c r="G174" s="116"/>
      <c r="H174" s="130">
        <v>169</v>
      </c>
      <c r="I174" s="131" t="str">
        <f t="shared" si="15"/>
        <v/>
      </c>
      <c r="J174" s="130">
        <f t="shared" si="16"/>
        <v>-6</v>
      </c>
      <c r="K174" s="130">
        <f t="shared" si="13"/>
        <v>-60</v>
      </c>
      <c r="L174" s="130"/>
      <c r="M174" s="132">
        <f t="shared" si="14"/>
        <v>0</v>
      </c>
    </row>
    <row r="175" spans="1:13" x14ac:dyDescent="0.25">
      <c r="A175" s="146"/>
      <c r="G175" s="116"/>
      <c r="H175" s="130">
        <v>170</v>
      </c>
      <c r="I175" s="131" t="str">
        <f t="shared" si="15"/>
        <v/>
      </c>
      <c r="J175" s="130">
        <f t="shared" si="16"/>
        <v>-6</v>
      </c>
      <c r="K175" s="130">
        <f t="shared" si="13"/>
        <v>-60</v>
      </c>
      <c r="L175" s="130"/>
      <c r="M175" s="132">
        <f t="shared" si="14"/>
        <v>0</v>
      </c>
    </row>
    <row r="176" spans="1:13" x14ac:dyDescent="0.25">
      <c r="A176" s="146"/>
      <c r="G176" s="116"/>
      <c r="H176" s="130">
        <v>171</v>
      </c>
      <c r="I176" s="131" t="str">
        <f t="shared" si="15"/>
        <v/>
      </c>
      <c r="J176" s="130">
        <f t="shared" si="16"/>
        <v>-6</v>
      </c>
      <c r="K176" s="130">
        <f t="shared" si="13"/>
        <v>-60</v>
      </c>
      <c r="L176" s="130"/>
      <c r="M176" s="132">
        <f t="shared" si="14"/>
        <v>0</v>
      </c>
    </row>
    <row r="177" spans="1:13" x14ac:dyDescent="0.25">
      <c r="A177" s="146"/>
      <c r="G177" s="116"/>
      <c r="H177" s="130">
        <v>172</v>
      </c>
      <c r="I177" s="131" t="str">
        <f t="shared" si="15"/>
        <v/>
      </c>
      <c r="J177" s="130">
        <f t="shared" si="16"/>
        <v>-6</v>
      </c>
      <c r="K177" s="130">
        <f t="shared" si="13"/>
        <v>-60</v>
      </c>
      <c r="L177" s="130"/>
      <c r="M177" s="132">
        <f t="shared" si="14"/>
        <v>0</v>
      </c>
    </row>
    <row r="178" spans="1:13" x14ac:dyDescent="0.25">
      <c r="A178" s="146"/>
      <c r="G178" s="116"/>
      <c r="H178" s="130">
        <v>173</v>
      </c>
      <c r="I178" s="131" t="str">
        <f t="shared" si="15"/>
        <v/>
      </c>
      <c r="J178" s="130">
        <f t="shared" si="16"/>
        <v>-6</v>
      </c>
      <c r="K178" s="130">
        <f t="shared" si="13"/>
        <v>-60</v>
      </c>
      <c r="L178" s="130"/>
      <c r="M178" s="132">
        <f t="shared" si="14"/>
        <v>0</v>
      </c>
    </row>
    <row r="179" spans="1:13" x14ac:dyDescent="0.25">
      <c r="A179" s="146"/>
      <c r="G179" s="116"/>
      <c r="H179" s="130">
        <v>174</v>
      </c>
      <c r="I179" s="131" t="str">
        <f t="shared" si="15"/>
        <v/>
      </c>
      <c r="J179" s="130">
        <f t="shared" si="16"/>
        <v>-6</v>
      </c>
      <c r="K179" s="130">
        <f t="shared" si="13"/>
        <v>-60</v>
      </c>
      <c r="L179" s="130"/>
      <c r="M179" s="132">
        <f t="shared" si="14"/>
        <v>0</v>
      </c>
    </row>
    <row r="180" spans="1:13" x14ac:dyDescent="0.25">
      <c r="A180" s="146"/>
      <c r="G180" s="116"/>
      <c r="H180" s="130">
        <v>175</v>
      </c>
      <c r="I180" s="131" t="str">
        <f t="shared" si="15"/>
        <v/>
      </c>
      <c r="J180" s="130">
        <f t="shared" si="16"/>
        <v>-6</v>
      </c>
      <c r="K180" s="130">
        <f t="shared" si="13"/>
        <v>-60</v>
      </c>
      <c r="L180" s="130"/>
      <c r="M180" s="132">
        <f t="shared" si="14"/>
        <v>0</v>
      </c>
    </row>
    <row r="181" spans="1:13" x14ac:dyDescent="0.25">
      <c r="A181" s="146"/>
      <c r="G181" s="116"/>
      <c r="H181" s="130">
        <v>176</v>
      </c>
      <c r="I181" s="131" t="str">
        <f t="shared" si="15"/>
        <v/>
      </c>
      <c r="J181" s="130">
        <f t="shared" si="16"/>
        <v>-6</v>
      </c>
      <c r="K181" s="130">
        <f t="shared" si="13"/>
        <v>-60</v>
      </c>
      <c r="L181" s="130"/>
      <c r="M181" s="132">
        <f t="shared" si="14"/>
        <v>0</v>
      </c>
    </row>
    <row r="182" spans="1:13" x14ac:dyDescent="0.25">
      <c r="A182" s="146"/>
      <c r="G182" s="116"/>
      <c r="H182" s="130">
        <v>177</v>
      </c>
      <c r="I182" s="131" t="str">
        <f t="shared" si="15"/>
        <v/>
      </c>
      <c r="J182" s="130">
        <f t="shared" si="16"/>
        <v>-6</v>
      </c>
      <c r="K182" s="130">
        <f t="shared" si="13"/>
        <v>-60</v>
      </c>
      <c r="L182" s="130"/>
      <c r="M182" s="132">
        <f t="shared" si="14"/>
        <v>0</v>
      </c>
    </row>
    <row r="183" spans="1:13" x14ac:dyDescent="0.25">
      <c r="A183" s="146"/>
      <c r="G183" s="116"/>
      <c r="H183" s="130">
        <v>178</v>
      </c>
      <c r="I183" s="131" t="str">
        <f t="shared" si="15"/>
        <v/>
      </c>
      <c r="J183" s="130">
        <f t="shared" si="16"/>
        <v>-6</v>
      </c>
      <c r="K183" s="130">
        <f t="shared" si="13"/>
        <v>-60</v>
      </c>
      <c r="L183" s="130"/>
      <c r="M183" s="132">
        <f t="shared" si="14"/>
        <v>0</v>
      </c>
    </row>
    <row r="184" spans="1:13" x14ac:dyDescent="0.25">
      <c r="A184" s="146"/>
      <c r="G184" s="116"/>
      <c r="H184" s="130">
        <v>179</v>
      </c>
      <c r="I184" s="131" t="str">
        <f t="shared" si="15"/>
        <v/>
      </c>
      <c r="J184" s="130">
        <f t="shared" si="16"/>
        <v>-6</v>
      </c>
      <c r="K184" s="130">
        <f t="shared" si="13"/>
        <v>-60</v>
      </c>
      <c r="L184" s="130"/>
      <c r="M184" s="132">
        <f t="shared" si="14"/>
        <v>0</v>
      </c>
    </row>
    <row r="185" spans="1:13" x14ac:dyDescent="0.25">
      <c r="A185" s="146"/>
      <c r="G185" s="116"/>
      <c r="H185" s="130">
        <v>180</v>
      </c>
      <c r="I185" s="131" t="str">
        <f t="shared" si="15"/>
        <v/>
      </c>
      <c r="J185" s="130">
        <f t="shared" si="16"/>
        <v>-6</v>
      </c>
      <c r="K185" s="130">
        <f t="shared" si="13"/>
        <v>-60</v>
      </c>
      <c r="L185" s="130"/>
      <c r="M185" s="132">
        <f t="shared" si="14"/>
        <v>0</v>
      </c>
    </row>
    <row r="186" spans="1:13" x14ac:dyDescent="0.25">
      <c r="A186" s="146"/>
      <c r="G186" s="116"/>
      <c r="H186" s="130">
        <v>181</v>
      </c>
      <c r="I186" s="131" t="str">
        <f t="shared" si="15"/>
        <v/>
      </c>
      <c r="J186" s="130">
        <f t="shared" si="16"/>
        <v>-6</v>
      </c>
      <c r="K186" s="130">
        <f t="shared" si="13"/>
        <v>-60</v>
      </c>
      <c r="L186" s="130"/>
      <c r="M186" s="132">
        <f t="shared" si="14"/>
        <v>0</v>
      </c>
    </row>
    <row r="187" spans="1:13" x14ac:dyDescent="0.25">
      <c r="A187" s="146"/>
      <c r="G187" s="116"/>
      <c r="H187" s="130">
        <v>182</v>
      </c>
      <c r="I187" s="131" t="str">
        <f t="shared" si="15"/>
        <v/>
      </c>
      <c r="J187" s="130">
        <f t="shared" si="16"/>
        <v>-6</v>
      </c>
      <c r="K187" s="130">
        <f t="shared" si="13"/>
        <v>-60</v>
      </c>
      <c r="L187" s="130"/>
      <c r="M187" s="132">
        <f t="shared" si="14"/>
        <v>0</v>
      </c>
    </row>
    <row r="188" spans="1:13" x14ac:dyDescent="0.25">
      <c r="A188" s="146"/>
      <c r="G188" s="116"/>
      <c r="H188" s="130">
        <v>183</v>
      </c>
      <c r="I188" s="131" t="str">
        <f t="shared" si="15"/>
        <v/>
      </c>
      <c r="J188" s="130">
        <f t="shared" si="16"/>
        <v>-6</v>
      </c>
      <c r="K188" s="130">
        <f t="shared" si="13"/>
        <v>-60</v>
      </c>
      <c r="L188" s="130"/>
      <c r="M188" s="132">
        <f t="shared" si="14"/>
        <v>0</v>
      </c>
    </row>
    <row r="189" spans="1:13" x14ac:dyDescent="0.25">
      <c r="A189" s="146"/>
      <c r="G189" s="116"/>
      <c r="H189" s="130">
        <v>184</v>
      </c>
      <c r="I189" s="131" t="str">
        <f t="shared" si="15"/>
        <v/>
      </c>
      <c r="J189" s="130">
        <f t="shared" si="16"/>
        <v>-6</v>
      </c>
      <c r="K189" s="130">
        <f t="shared" si="13"/>
        <v>-60</v>
      </c>
      <c r="L189" s="130"/>
      <c r="M189" s="132">
        <f t="shared" si="14"/>
        <v>0</v>
      </c>
    </row>
    <row r="190" spans="1:13" x14ac:dyDescent="0.25">
      <c r="A190" s="146"/>
      <c r="G190" s="116"/>
      <c r="H190" s="130">
        <v>185</v>
      </c>
      <c r="I190" s="131" t="str">
        <f t="shared" si="15"/>
        <v/>
      </c>
      <c r="J190" s="130">
        <f t="shared" si="16"/>
        <v>-6</v>
      </c>
      <c r="K190" s="130">
        <f t="shared" si="13"/>
        <v>-60</v>
      </c>
      <c r="L190" s="130"/>
      <c r="M190" s="132">
        <f t="shared" si="14"/>
        <v>0</v>
      </c>
    </row>
    <row r="191" spans="1:13" x14ac:dyDescent="0.25">
      <c r="A191" s="146"/>
      <c r="G191" s="116"/>
      <c r="H191" s="130">
        <v>186</v>
      </c>
      <c r="I191" s="131" t="str">
        <f t="shared" si="15"/>
        <v/>
      </c>
      <c r="J191" s="130">
        <f t="shared" si="16"/>
        <v>-6</v>
      </c>
      <c r="K191" s="130">
        <f t="shared" si="13"/>
        <v>-60</v>
      </c>
      <c r="L191" s="130"/>
      <c r="M191" s="132">
        <f t="shared" si="14"/>
        <v>0</v>
      </c>
    </row>
    <row r="192" spans="1:13" x14ac:dyDescent="0.25">
      <c r="A192" s="146"/>
      <c r="G192" s="116"/>
      <c r="H192" s="130">
        <v>187</v>
      </c>
      <c r="I192" s="131" t="str">
        <f t="shared" si="15"/>
        <v/>
      </c>
      <c r="J192" s="130">
        <f t="shared" si="16"/>
        <v>-6</v>
      </c>
      <c r="K192" s="130">
        <f t="shared" si="13"/>
        <v>-60</v>
      </c>
      <c r="L192" s="130"/>
      <c r="M192" s="132">
        <f t="shared" si="14"/>
        <v>0</v>
      </c>
    </row>
    <row r="193" spans="1:13" x14ac:dyDescent="0.25">
      <c r="A193" s="146"/>
      <c r="G193" s="116"/>
      <c r="H193" s="130">
        <v>188</v>
      </c>
      <c r="I193" s="131" t="str">
        <f t="shared" si="15"/>
        <v/>
      </c>
      <c r="J193" s="130">
        <f t="shared" si="16"/>
        <v>-6</v>
      </c>
      <c r="K193" s="130">
        <f t="shared" si="13"/>
        <v>-60</v>
      </c>
      <c r="L193" s="130"/>
      <c r="M193" s="132">
        <f t="shared" si="14"/>
        <v>0</v>
      </c>
    </row>
    <row r="194" spans="1:13" x14ac:dyDescent="0.25">
      <c r="A194" s="146"/>
      <c r="G194" s="116"/>
      <c r="H194" s="130">
        <v>189</v>
      </c>
      <c r="I194" s="131" t="str">
        <f t="shared" si="15"/>
        <v/>
      </c>
      <c r="J194" s="130">
        <f t="shared" si="16"/>
        <v>-6</v>
      </c>
      <c r="K194" s="130">
        <f t="shared" si="13"/>
        <v>-60</v>
      </c>
      <c r="L194" s="130"/>
      <c r="M194" s="132">
        <f t="shared" si="14"/>
        <v>0</v>
      </c>
    </row>
    <row r="195" spans="1:13" x14ac:dyDescent="0.25">
      <c r="A195" s="146"/>
      <c r="G195" s="116"/>
      <c r="H195" s="130">
        <v>190</v>
      </c>
      <c r="I195" s="131" t="str">
        <f t="shared" si="15"/>
        <v/>
      </c>
      <c r="J195" s="130">
        <f t="shared" si="16"/>
        <v>-6</v>
      </c>
      <c r="K195" s="130">
        <f t="shared" si="13"/>
        <v>-60</v>
      </c>
      <c r="L195" s="130"/>
      <c r="M195" s="132">
        <f t="shared" si="14"/>
        <v>0</v>
      </c>
    </row>
    <row r="196" spans="1:13" x14ac:dyDescent="0.25">
      <c r="A196" s="146"/>
      <c r="G196" s="116"/>
      <c r="H196" s="130">
        <v>191</v>
      </c>
      <c r="I196" s="131" t="str">
        <f t="shared" si="15"/>
        <v/>
      </c>
      <c r="J196" s="130">
        <f t="shared" si="16"/>
        <v>-6</v>
      </c>
      <c r="K196" s="130">
        <f t="shared" si="13"/>
        <v>-60</v>
      </c>
      <c r="L196" s="130"/>
      <c r="M196" s="132">
        <f t="shared" si="14"/>
        <v>0</v>
      </c>
    </row>
    <row r="197" spans="1:13" x14ac:dyDescent="0.25">
      <c r="A197" s="146"/>
      <c r="G197" s="116"/>
      <c r="H197" s="130">
        <v>192</v>
      </c>
      <c r="I197" s="131" t="str">
        <f t="shared" si="15"/>
        <v/>
      </c>
      <c r="J197" s="130">
        <f t="shared" si="16"/>
        <v>-6</v>
      </c>
      <c r="K197" s="130">
        <f t="shared" si="13"/>
        <v>-60</v>
      </c>
      <c r="L197" s="130"/>
      <c r="M197" s="132">
        <f t="shared" si="14"/>
        <v>0</v>
      </c>
    </row>
    <row r="198" spans="1:13" x14ac:dyDescent="0.25">
      <c r="A198" s="146"/>
      <c r="G198" s="116"/>
      <c r="H198" s="130">
        <v>193</v>
      </c>
      <c r="I198" s="131" t="str">
        <f t="shared" si="15"/>
        <v/>
      </c>
      <c r="J198" s="130">
        <f t="shared" si="16"/>
        <v>-6</v>
      </c>
      <c r="K198" s="130">
        <f t="shared" ref="K198:K261" si="17">J198*$J$2</f>
        <v>-60</v>
      </c>
      <c r="L198" s="130"/>
      <c r="M198" s="132">
        <f t="shared" ref="M198:M261" si="18">IF(I198&lt;&gt;"",K198+I198+L198,0)</f>
        <v>0</v>
      </c>
    </row>
    <row r="199" spans="1:13" x14ac:dyDescent="0.25">
      <c r="A199" s="146"/>
      <c r="G199" s="116"/>
      <c r="H199" s="130">
        <v>194</v>
      </c>
      <c r="I199" s="131" t="str">
        <f t="shared" ref="I199:I262" si="19">IF(H199&lt;$H$2+1,($I$2-($I$2-1)*(LOG(H199)/LOG($H$2))),"")</f>
        <v/>
      </c>
      <c r="J199" s="130">
        <f t="shared" ref="J199:J262" si="20">INT(LOG($H$2,2))-ROUNDUP(LOG(H199,2),0)+IF(OR($H$2=1,$H$2=2,$H$2=4,$H$2=8,$H$2=16,$H$2=32,$H$2=64,$H$2=128,$H$2=256),0,1)</f>
        <v>-6</v>
      </c>
      <c r="K199" s="130">
        <f t="shared" si="17"/>
        <v>-60</v>
      </c>
      <c r="L199" s="130"/>
      <c r="M199" s="132">
        <f t="shared" si="18"/>
        <v>0</v>
      </c>
    </row>
    <row r="200" spans="1:13" x14ac:dyDescent="0.25">
      <c r="A200" s="146"/>
      <c r="G200" s="116"/>
      <c r="H200" s="130">
        <v>195</v>
      </c>
      <c r="I200" s="131" t="str">
        <f t="shared" si="19"/>
        <v/>
      </c>
      <c r="J200" s="130">
        <f t="shared" si="20"/>
        <v>-6</v>
      </c>
      <c r="K200" s="130">
        <f t="shared" si="17"/>
        <v>-60</v>
      </c>
      <c r="L200" s="130"/>
      <c r="M200" s="132">
        <f t="shared" si="18"/>
        <v>0</v>
      </c>
    </row>
    <row r="201" spans="1:13" x14ac:dyDescent="0.25">
      <c r="A201" s="146"/>
      <c r="G201" s="116"/>
      <c r="H201" s="130">
        <v>196</v>
      </c>
      <c r="I201" s="131" t="str">
        <f t="shared" si="19"/>
        <v/>
      </c>
      <c r="J201" s="130">
        <f t="shared" si="20"/>
        <v>-6</v>
      </c>
      <c r="K201" s="130">
        <f t="shared" si="17"/>
        <v>-60</v>
      </c>
      <c r="L201" s="130"/>
      <c r="M201" s="132">
        <f t="shared" si="18"/>
        <v>0</v>
      </c>
    </row>
    <row r="202" spans="1:13" x14ac:dyDescent="0.25">
      <c r="A202" s="146"/>
      <c r="G202" s="116"/>
      <c r="H202" s="130">
        <v>197</v>
      </c>
      <c r="I202" s="131" t="str">
        <f t="shared" si="19"/>
        <v/>
      </c>
      <c r="J202" s="130">
        <f t="shared" si="20"/>
        <v>-6</v>
      </c>
      <c r="K202" s="130">
        <f t="shared" si="17"/>
        <v>-60</v>
      </c>
      <c r="L202" s="130"/>
      <c r="M202" s="132">
        <f t="shared" si="18"/>
        <v>0</v>
      </c>
    </row>
    <row r="203" spans="1:13" x14ac:dyDescent="0.25">
      <c r="A203" s="146"/>
      <c r="G203" s="116"/>
      <c r="H203" s="130">
        <v>198</v>
      </c>
      <c r="I203" s="131" t="str">
        <f t="shared" si="19"/>
        <v/>
      </c>
      <c r="J203" s="130">
        <f t="shared" si="20"/>
        <v>-6</v>
      </c>
      <c r="K203" s="130">
        <f t="shared" si="17"/>
        <v>-60</v>
      </c>
      <c r="L203" s="130"/>
      <c r="M203" s="132">
        <f t="shared" si="18"/>
        <v>0</v>
      </c>
    </row>
    <row r="204" spans="1:13" x14ac:dyDescent="0.25">
      <c r="A204" s="146"/>
      <c r="G204" s="116"/>
      <c r="H204" s="130">
        <v>199</v>
      </c>
      <c r="I204" s="131" t="str">
        <f t="shared" si="19"/>
        <v/>
      </c>
      <c r="J204" s="130">
        <f t="shared" si="20"/>
        <v>-6</v>
      </c>
      <c r="K204" s="130">
        <f t="shared" si="17"/>
        <v>-60</v>
      </c>
      <c r="L204" s="130"/>
      <c r="M204" s="132">
        <f t="shared" si="18"/>
        <v>0</v>
      </c>
    </row>
    <row r="205" spans="1:13" x14ac:dyDescent="0.25">
      <c r="A205" s="146"/>
      <c r="G205" s="116"/>
      <c r="H205" s="130">
        <v>200</v>
      </c>
      <c r="I205" s="131" t="str">
        <f t="shared" si="19"/>
        <v/>
      </c>
      <c r="J205" s="130">
        <f t="shared" si="20"/>
        <v>-6</v>
      </c>
      <c r="K205" s="130">
        <f t="shared" si="17"/>
        <v>-60</v>
      </c>
      <c r="L205" s="130"/>
      <c r="M205" s="132">
        <f t="shared" si="18"/>
        <v>0</v>
      </c>
    </row>
    <row r="206" spans="1:13" x14ac:dyDescent="0.25">
      <c r="A206" s="146"/>
      <c r="G206" s="116"/>
      <c r="H206" s="130">
        <v>201</v>
      </c>
      <c r="I206" s="131" t="str">
        <f t="shared" si="19"/>
        <v/>
      </c>
      <c r="J206" s="130">
        <f t="shared" si="20"/>
        <v>-6</v>
      </c>
      <c r="K206" s="130">
        <f t="shared" si="17"/>
        <v>-60</v>
      </c>
      <c r="L206" s="130"/>
      <c r="M206" s="132">
        <f t="shared" si="18"/>
        <v>0</v>
      </c>
    </row>
    <row r="207" spans="1:13" x14ac:dyDescent="0.25">
      <c r="A207" s="146"/>
      <c r="G207" s="116"/>
      <c r="H207" s="130">
        <v>202</v>
      </c>
      <c r="I207" s="131" t="str">
        <f t="shared" si="19"/>
        <v/>
      </c>
      <c r="J207" s="130">
        <f t="shared" si="20"/>
        <v>-6</v>
      </c>
      <c r="K207" s="130">
        <f t="shared" si="17"/>
        <v>-60</v>
      </c>
      <c r="L207" s="130"/>
      <c r="M207" s="132">
        <f t="shared" si="18"/>
        <v>0</v>
      </c>
    </row>
    <row r="208" spans="1:13" x14ac:dyDescent="0.25">
      <c r="A208" s="146"/>
      <c r="G208" s="116"/>
      <c r="H208" s="130">
        <v>203</v>
      </c>
      <c r="I208" s="131" t="str">
        <f t="shared" si="19"/>
        <v/>
      </c>
      <c r="J208" s="130">
        <f t="shared" si="20"/>
        <v>-6</v>
      </c>
      <c r="K208" s="130">
        <f t="shared" si="17"/>
        <v>-60</v>
      </c>
      <c r="L208" s="130"/>
      <c r="M208" s="132">
        <f t="shared" si="18"/>
        <v>0</v>
      </c>
    </row>
    <row r="209" spans="1:13" x14ac:dyDescent="0.25">
      <c r="A209" s="146"/>
      <c r="G209" s="116"/>
      <c r="H209" s="130">
        <v>204</v>
      </c>
      <c r="I209" s="131" t="str">
        <f t="shared" si="19"/>
        <v/>
      </c>
      <c r="J209" s="130">
        <f t="shared" si="20"/>
        <v>-6</v>
      </c>
      <c r="K209" s="130">
        <f t="shared" si="17"/>
        <v>-60</v>
      </c>
      <c r="L209" s="130"/>
      <c r="M209" s="132">
        <f t="shared" si="18"/>
        <v>0</v>
      </c>
    </row>
    <row r="210" spans="1:13" x14ac:dyDescent="0.25">
      <c r="A210" s="146"/>
      <c r="G210" s="116"/>
      <c r="H210" s="130">
        <v>205</v>
      </c>
      <c r="I210" s="131" t="str">
        <f t="shared" si="19"/>
        <v/>
      </c>
      <c r="J210" s="130">
        <f t="shared" si="20"/>
        <v>-6</v>
      </c>
      <c r="K210" s="130">
        <f t="shared" si="17"/>
        <v>-60</v>
      </c>
      <c r="L210" s="130"/>
      <c r="M210" s="132">
        <f t="shared" si="18"/>
        <v>0</v>
      </c>
    </row>
    <row r="211" spans="1:13" x14ac:dyDescent="0.25">
      <c r="A211" s="146"/>
      <c r="G211" s="116"/>
      <c r="H211" s="130">
        <v>206</v>
      </c>
      <c r="I211" s="131" t="str">
        <f t="shared" si="19"/>
        <v/>
      </c>
      <c r="J211" s="130">
        <f t="shared" si="20"/>
        <v>-6</v>
      </c>
      <c r="K211" s="130">
        <f t="shared" si="17"/>
        <v>-60</v>
      </c>
      <c r="L211" s="130"/>
      <c r="M211" s="132">
        <f t="shared" si="18"/>
        <v>0</v>
      </c>
    </row>
    <row r="212" spans="1:13" x14ac:dyDescent="0.25">
      <c r="A212" s="146"/>
      <c r="G212" s="116"/>
      <c r="H212" s="130">
        <v>207</v>
      </c>
      <c r="I212" s="131" t="str">
        <f t="shared" si="19"/>
        <v/>
      </c>
      <c r="J212" s="130">
        <f t="shared" si="20"/>
        <v>-6</v>
      </c>
      <c r="K212" s="130">
        <f t="shared" si="17"/>
        <v>-60</v>
      </c>
      <c r="L212" s="130"/>
      <c r="M212" s="132">
        <f t="shared" si="18"/>
        <v>0</v>
      </c>
    </row>
    <row r="213" spans="1:13" x14ac:dyDescent="0.25">
      <c r="A213" s="146"/>
      <c r="G213" s="116"/>
      <c r="H213" s="130">
        <v>208</v>
      </c>
      <c r="I213" s="131" t="str">
        <f t="shared" si="19"/>
        <v/>
      </c>
      <c r="J213" s="130">
        <f t="shared" si="20"/>
        <v>-6</v>
      </c>
      <c r="K213" s="130">
        <f t="shared" si="17"/>
        <v>-60</v>
      </c>
      <c r="L213" s="130"/>
      <c r="M213" s="132">
        <f t="shared" si="18"/>
        <v>0</v>
      </c>
    </row>
    <row r="214" spans="1:13" x14ac:dyDescent="0.25">
      <c r="A214" s="146"/>
      <c r="G214" s="116"/>
      <c r="H214" s="130">
        <v>209</v>
      </c>
      <c r="I214" s="131" t="str">
        <f t="shared" si="19"/>
        <v/>
      </c>
      <c r="J214" s="130">
        <f t="shared" si="20"/>
        <v>-6</v>
      </c>
      <c r="K214" s="130">
        <f t="shared" si="17"/>
        <v>-60</v>
      </c>
      <c r="L214" s="130"/>
      <c r="M214" s="132">
        <f t="shared" si="18"/>
        <v>0</v>
      </c>
    </row>
    <row r="215" spans="1:13" x14ac:dyDescent="0.25">
      <c r="A215" s="146"/>
      <c r="G215" s="116"/>
      <c r="H215" s="130">
        <v>210</v>
      </c>
      <c r="I215" s="131" t="str">
        <f t="shared" si="19"/>
        <v/>
      </c>
      <c r="J215" s="130">
        <f t="shared" si="20"/>
        <v>-6</v>
      </c>
      <c r="K215" s="130">
        <f t="shared" si="17"/>
        <v>-60</v>
      </c>
      <c r="L215" s="130"/>
      <c r="M215" s="132">
        <f t="shared" si="18"/>
        <v>0</v>
      </c>
    </row>
    <row r="216" spans="1:13" x14ac:dyDescent="0.25">
      <c r="A216" s="146"/>
      <c r="G216" s="116"/>
      <c r="H216" s="130">
        <v>211</v>
      </c>
      <c r="I216" s="131" t="str">
        <f t="shared" si="19"/>
        <v/>
      </c>
      <c r="J216" s="130">
        <f t="shared" si="20"/>
        <v>-6</v>
      </c>
      <c r="K216" s="130">
        <f t="shared" si="17"/>
        <v>-60</v>
      </c>
      <c r="L216" s="130"/>
      <c r="M216" s="132">
        <f t="shared" si="18"/>
        <v>0</v>
      </c>
    </row>
    <row r="217" spans="1:13" x14ac:dyDescent="0.25">
      <c r="A217" s="146"/>
      <c r="G217" s="116"/>
      <c r="H217" s="130">
        <v>212</v>
      </c>
      <c r="I217" s="131" t="str">
        <f t="shared" si="19"/>
        <v/>
      </c>
      <c r="J217" s="130">
        <f t="shared" si="20"/>
        <v>-6</v>
      </c>
      <c r="K217" s="130">
        <f t="shared" si="17"/>
        <v>-60</v>
      </c>
      <c r="L217" s="130"/>
      <c r="M217" s="132">
        <f t="shared" si="18"/>
        <v>0</v>
      </c>
    </row>
    <row r="218" spans="1:13" x14ac:dyDescent="0.25">
      <c r="A218" s="146"/>
      <c r="G218" s="116"/>
      <c r="H218" s="130">
        <v>213</v>
      </c>
      <c r="I218" s="131" t="str">
        <f t="shared" si="19"/>
        <v/>
      </c>
      <c r="J218" s="130">
        <f t="shared" si="20"/>
        <v>-6</v>
      </c>
      <c r="K218" s="130">
        <f t="shared" si="17"/>
        <v>-60</v>
      </c>
      <c r="L218" s="130"/>
      <c r="M218" s="132">
        <f t="shared" si="18"/>
        <v>0</v>
      </c>
    </row>
    <row r="219" spans="1:13" x14ac:dyDescent="0.25">
      <c r="A219" s="146"/>
      <c r="G219" s="116"/>
      <c r="H219" s="130">
        <v>214</v>
      </c>
      <c r="I219" s="131" t="str">
        <f t="shared" si="19"/>
        <v/>
      </c>
      <c r="J219" s="130">
        <f t="shared" si="20"/>
        <v>-6</v>
      </c>
      <c r="K219" s="130">
        <f t="shared" si="17"/>
        <v>-60</v>
      </c>
      <c r="L219" s="130"/>
      <c r="M219" s="132">
        <f t="shared" si="18"/>
        <v>0</v>
      </c>
    </row>
    <row r="220" spans="1:13" x14ac:dyDescent="0.25">
      <c r="A220" s="146"/>
      <c r="G220" s="116"/>
      <c r="H220" s="130">
        <v>215</v>
      </c>
      <c r="I220" s="131" t="str">
        <f t="shared" si="19"/>
        <v/>
      </c>
      <c r="J220" s="130">
        <f t="shared" si="20"/>
        <v>-6</v>
      </c>
      <c r="K220" s="130">
        <f t="shared" si="17"/>
        <v>-60</v>
      </c>
      <c r="L220" s="130"/>
      <c r="M220" s="132">
        <f t="shared" si="18"/>
        <v>0</v>
      </c>
    </row>
    <row r="221" spans="1:13" x14ac:dyDescent="0.25">
      <c r="A221" s="146"/>
      <c r="G221" s="116"/>
      <c r="H221" s="130">
        <v>216</v>
      </c>
      <c r="I221" s="131" t="str">
        <f t="shared" si="19"/>
        <v/>
      </c>
      <c r="J221" s="130">
        <f t="shared" si="20"/>
        <v>-6</v>
      </c>
      <c r="K221" s="130">
        <f t="shared" si="17"/>
        <v>-60</v>
      </c>
      <c r="L221" s="130"/>
      <c r="M221" s="132">
        <f t="shared" si="18"/>
        <v>0</v>
      </c>
    </row>
    <row r="222" spans="1:13" x14ac:dyDescent="0.25">
      <c r="A222" s="146"/>
      <c r="G222" s="116"/>
      <c r="H222" s="130">
        <v>217</v>
      </c>
      <c r="I222" s="131" t="str">
        <f t="shared" si="19"/>
        <v/>
      </c>
      <c r="J222" s="130">
        <f t="shared" si="20"/>
        <v>-6</v>
      </c>
      <c r="K222" s="130">
        <f t="shared" si="17"/>
        <v>-60</v>
      </c>
      <c r="L222" s="130"/>
      <c r="M222" s="132">
        <f t="shared" si="18"/>
        <v>0</v>
      </c>
    </row>
    <row r="223" spans="1:13" x14ac:dyDescent="0.25">
      <c r="A223" s="146"/>
      <c r="G223" s="116"/>
      <c r="H223" s="130">
        <v>218</v>
      </c>
      <c r="I223" s="131" t="str">
        <f t="shared" si="19"/>
        <v/>
      </c>
      <c r="J223" s="130">
        <f t="shared" si="20"/>
        <v>-6</v>
      </c>
      <c r="K223" s="130">
        <f t="shared" si="17"/>
        <v>-60</v>
      </c>
      <c r="L223" s="130"/>
      <c r="M223" s="132">
        <f t="shared" si="18"/>
        <v>0</v>
      </c>
    </row>
    <row r="224" spans="1:13" x14ac:dyDescent="0.25">
      <c r="A224" s="146"/>
      <c r="G224" s="116"/>
      <c r="H224" s="130">
        <v>219</v>
      </c>
      <c r="I224" s="131" t="str">
        <f t="shared" si="19"/>
        <v/>
      </c>
      <c r="J224" s="130">
        <f t="shared" si="20"/>
        <v>-6</v>
      </c>
      <c r="K224" s="130">
        <f t="shared" si="17"/>
        <v>-60</v>
      </c>
      <c r="L224" s="130"/>
      <c r="M224" s="132">
        <f t="shared" si="18"/>
        <v>0</v>
      </c>
    </row>
    <row r="225" spans="1:13" x14ac:dyDescent="0.25">
      <c r="A225" s="146"/>
      <c r="G225" s="116"/>
      <c r="H225" s="130">
        <v>220</v>
      </c>
      <c r="I225" s="131" t="str">
        <f t="shared" si="19"/>
        <v/>
      </c>
      <c r="J225" s="130">
        <f t="shared" si="20"/>
        <v>-6</v>
      </c>
      <c r="K225" s="130">
        <f t="shared" si="17"/>
        <v>-60</v>
      </c>
      <c r="L225" s="130"/>
      <c r="M225" s="132">
        <f t="shared" si="18"/>
        <v>0</v>
      </c>
    </row>
    <row r="226" spans="1:13" x14ac:dyDescent="0.25">
      <c r="A226" s="146"/>
      <c r="G226" s="116"/>
      <c r="H226" s="130">
        <v>221</v>
      </c>
      <c r="I226" s="131" t="str">
        <f t="shared" si="19"/>
        <v/>
      </c>
      <c r="J226" s="130">
        <f t="shared" si="20"/>
        <v>-6</v>
      </c>
      <c r="K226" s="130">
        <f t="shared" si="17"/>
        <v>-60</v>
      </c>
      <c r="L226" s="130"/>
      <c r="M226" s="132">
        <f t="shared" si="18"/>
        <v>0</v>
      </c>
    </row>
    <row r="227" spans="1:13" x14ac:dyDescent="0.25">
      <c r="A227" s="146"/>
      <c r="G227" s="116"/>
      <c r="H227" s="130">
        <v>222</v>
      </c>
      <c r="I227" s="131" t="str">
        <f t="shared" si="19"/>
        <v/>
      </c>
      <c r="J227" s="130">
        <f t="shared" si="20"/>
        <v>-6</v>
      </c>
      <c r="K227" s="130">
        <f t="shared" si="17"/>
        <v>-60</v>
      </c>
      <c r="L227" s="130"/>
      <c r="M227" s="132">
        <f t="shared" si="18"/>
        <v>0</v>
      </c>
    </row>
    <row r="228" spans="1:13" x14ac:dyDescent="0.25">
      <c r="A228" s="146"/>
      <c r="G228" s="116"/>
      <c r="H228" s="130">
        <v>223</v>
      </c>
      <c r="I228" s="131" t="str">
        <f t="shared" si="19"/>
        <v/>
      </c>
      <c r="J228" s="130">
        <f t="shared" si="20"/>
        <v>-6</v>
      </c>
      <c r="K228" s="130">
        <f t="shared" si="17"/>
        <v>-60</v>
      </c>
      <c r="L228" s="130"/>
      <c r="M228" s="132">
        <f t="shared" si="18"/>
        <v>0</v>
      </c>
    </row>
    <row r="229" spans="1:13" x14ac:dyDescent="0.25">
      <c r="A229" s="146"/>
      <c r="G229" s="116"/>
      <c r="H229" s="130">
        <v>224</v>
      </c>
      <c r="I229" s="131" t="str">
        <f t="shared" si="19"/>
        <v/>
      </c>
      <c r="J229" s="130">
        <f t="shared" si="20"/>
        <v>-6</v>
      </c>
      <c r="K229" s="130">
        <f t="shared" si="17"/>
        <v>-60</v>
      </c>
      <c r="L229" s="130"/>
      <c r="M229" s="132">
        <f t="shared" si="18"/>
        <v>0</v>
      </c>
    </row>
    <row r="230" spans="1:13" x14ac:dyDescent="0.25">
      <c r="A230" s="146"/>
      <c r="G230" s="116"/>
      <c r="H230" s="130">
        <v>225</v>
      </c>
      <c r="I230" s="131" t="str">
        <f t="shared" si="19"/>
        <v/>
      </c>
      <c r="J230" s="130">
        <f t="shared" si="20"/>
        <v>-6</v>
      </c>
      <c r="K230" s="130">
        <f t="shared" si="17"/>
        <v>-60</v>
      </c>
      <c r="L230" s="130"/>
      <c r="M230" s="132">
        <f t="shared" si="18"/>
        <v>0</v>
      </c>
    </row>
    <row r="231" spans="1:13" x14ac:dyDescent="0.25">
      <c r="A231" s="146"/>
      <c r="G231" s="116"/>
      <c r="H231" s="130">
        <v>226</v>
      </c>
      <c r="I231" s="131" t="str">
        <f t="shared" si="19"/>
        <v/>
      </c>
      <c r="J231" s="130">
        <f t="shared" si="20"/>
        <v>-6</v>
      </c>
      <c r="K231" s="130">
        <f t="shared" si="17"/>
        <v>-60</v>
      </c>
      <c r="L231" s="130"/>
      <c r="M231" s="132">
        <f t="shared" si="18"/>
        <v>0</v>
      </c>
    </row>
    <row r="232" spans="1:13" x14ac:dyDescent="0.25">
      <c r="A232" s="146"/>
      <c r="G232" s="116"/>
      <c r="H232" s="130">
        <v>227</v>
      </c>
      <c r="I232" s="131" t="str">
        <f t="shared" si="19"/>
        <v/>
      </c>
      <c r="J232" s="130">
        <f t="shared" si="20"/>
        <v>-6</v>
      </c>
      <c r="K232" s="130">
        <f t="shared" si="17"/>
        <v>-60</v>
      </c>
      <c r="L232" s="130"/>
      <c r="M232" s="132">
        <f t="shared" si="18"/>
        <v>0</v>
      </c>
    </row>
    <row r="233" spans="1:13" x14ac:dyDescent="0.25">
      <c r="A233" s="146"/>
      <c r="G233" s="116"/>
      <c r="H233" s="130">
        <v>228</v>
      </c>
      <c r="I233" s="131" t="str">
        <f t="shared" si="19"/>
        <v/>
      </c>
      <c r="J233" s="130">
        <f t="shared" si="20"/>
        <v>-6</v>
      </c>
      <c r="K233" s="130">
        <f t="shared" si="17"/>
        <v>-60</v>
      </c>
      <c r="L233" s="130"/>
      <c r="M233" s="132">
        <f t="shared" si="18"/>
        <v>0</v>
      </c>
    </row>
    <row r="234" spans="1:13" x14ac:dyDescent="0.25">
      <c r="A234" s="146"/>
      <c r="G234" s="116"/>
      <c r="H234" s="130">
        <v>229</v>
      </c>
      <c r="I234" s="131" t="str">
        <f t="shared" si="19"/>
        <v/>
      </c>
      <c r="J234" s="130">
        <f t="shared" si="20"/>
        <v>-6</v>
      </c>
      <c r="K234" s="130">
        <f t="shared" si="17"/>
        <v>-60</v>
      </c>
      <c r="L234" s="130"/>
      <c r="M234" s="132">
        <f t="shared" si="18"/>
        <v>0</v>
      </c>
    </row>
    <row r="235" spans="1:13" x14ac:dyDescent="0.25">
      <c r="A235" s="146"/>
      <c r="G235" s="116"/>
      <c r="H235" s="130">
        <v>230</v>
      </c>
      <c r="I235" s="131" t="str">
        <f t="shared" si="19"/>
        <v/>
      </c>
      <c r="J235" s="130">
        <f t="shared" si="20"/>
        <v>-6</v>
      </c>
      <c r="K235" s="130">
        <f t="shared" si="17"/>
        <v>-60</v>
      </c>
      <c r="L235" s="130"/>
      <c r="M235" s="132">
        <f t="shared" si="18"/>
        <v>0</v>
      </c>
    </row>
    <row r="236" spans="1:13" x14ac:dyDescent="0.25">
      <c r="A236" s="146"/>
      <c r="G236" s="116"/>
      <c r="H236" s="130">
        <v>231</v>
      </c>
      <c r="I236" s="131" t="str">
        <f t="shared" si="19"/>
        <v/>
      </c>
      <c r="J236" s="130">
        <f t="shared" si="20"/>
        <v>-6</v>
      </c>
      <c r="K236" s="130">
        <f t="shared" si="17"/>
        <v>-60</v>
      </c>
      <c r="L236" s="130"/>
      <c r="M236" s="132">
        <f t="shared" si="18"/>
        <v>0</v>
      </c>
    </row>
    <row r="237" spans="1:13" x14ac:dyDescent="0.25">
      <c r="A237" s="146"/>
      <c r="G237" s="116"/>
      <c r="H237" s="130">
        <v>232</v>
      </c>
      <c r="I237" s="131" t="str">
        <f t="shared" si="19"/>
        <v/>
      </c>
      <c r="J237" s="130">
        <f t="shared" si="20"/>
        <v>-6</v>
      </c>
      <c r="K237" s="130">
        <f t="shared" si="17"/>
        <v>-60</v>
      </c>
      <c r="L237" s="130"/>
      <c r="M237" s="132">
        <f t="shared" si="18"/>
        <v>0</v>
      </c>
    </row>
    <row r="238" spans="1:13" x14ac:dyDescent="0.25">
      <c r="A238" s="146"/>
      <c r="G238" s="116"/>
      <c r="H238" s="130">
        <v>233</v>
      </c>
      <c r="I238" s="131" t="str">
        <f t="shared" si="19"/>
        <v/>
      </c>
      <c r="J238" s="130">
        <f t="shared" si="20"/>
        <v>-6</v>
      </c>
      <c r="K238" s="130">
        <f t="shared" si="17"/>
        <v>-60</v>
      </c>
      <c r="L238" s="130"/>
      <c r="M238" s="132">
        <f t="shared" si="18"/>
        <v>0</v>
      </c>
    </row>
    <row r="239" spans="1:13" x14ac:dyDescent="0.25">
      <c r="A239" s="146"/>
      <c r="G239" s="116"/>
      <c r="H239" s="130">
        <v>234</v>
      </c>
      <c r="I239" s="131" t="str">
        <f t="shared" si="19"/>
        <v/>
      </c>
      <c r="J239" s="130">
        <f t="shared" si="20"/>
        <v>-6</v>
      </c>
      <c r="K239" s="130">
        <f t="shared" si="17"/>
        <v>-60</v>
      </c>
      <c r="L239" s="130"/>
      <c r="M239" s="132">
        <f t="shared" si="18"/>
        <v>0</v>
      </c>
    </row>
    <row r="240" spans="1:13" x14ac:dyDescent="0.25">
      <c r="A240" s="146"/>
      <c r="G240" s="116"/>
      <c r="H240" s="130">
        <v>235</v>
      </c>
      <c r="I240" s="131" t="str">
        <f t="shared" si="19"/>
        <v/>
      </c>
      <c r="J240" s="130">
        <f t="shared" si="20"/>
        <v>-6</v>
      </c>
      <c r="K240" s="130">
        <f t="shared" si="17"/>
        <v>-60</v>
      </c>
      <c r="L240" s="130"/>
      <c r="M240" s="132">
        <f t="shared" si="18"/>
        <v>0</v>
      </c>
    </row>
    <row r="241" spans="1:13" x14ac:dyDescent="0.25">
      <c r="A241" s="146"/>
      <c r="G241" s="116"/>
      <c r="H241" s="130">
        <v>236</v>
      </c>
      <c r="I241" s="131" t="str">
        <f t="shared" si="19"/>
        <v/>
      </c>
      <c r="J241" s="130">
        <f t="shared" si="20"/>
        <v>-6</v>
      </c>
      <c r="K241" s="130">
        <f t="shared" si="17"/>
        <v>-60</v>
      </c>
      <c r="L241" s="130"/>
      <c r="M241" s="132">
        <f t="shared" si="18"/>
        <v>0</v>
      </c>
    </row>
    <row r="242" spans="1:13" x14ac:dyDescent="0.25">
      <c r="A242" s="146"/>
      <c r="G242" s="116"/>
      <c r="H242" s="130">
        <v>237</v>
      </c>
      <c r="I242" s="131" t="str">
        <f t="shared" si="19"/>
        <v/>
      </c>
      <c r="J242" s="130">
        <f t="shared" si="20"/>
        <v>-6</v>
      </c>
      <c r="K242" s="130">
        <f t="shared" si="17"/>
        <v>-60</v>
      </c>
      <c r="L242" s="130"/>
      <c r="M242" s="132">
        <f t="shared" si="18"/>
        <v>0</v>
      </c>
    </row>
    <row r="243" spans="1:13" x14ac:dyDescent="0.25">
      <c r="A243" s="146"/>
      <c r="G243" s="116"/>
      <c r="H243" s="130">
        <v>238</v>
      </c>
      <c r="I243" s="131" t="str">
        <f t="shared" si="19"/>
        <v/>
      </c>
      <c r="J243" s="130">
        <f t="shared" si="20"/>
        <v>-6</v>
      </c>
      <c r="K243" s="130">
        <f t="shared" si="17"/>
        <v>-60</v>
      </c>
      <c r="L243" s="130"/>
      <c r="M243" s="132">
        <f t="shared" si="18"/>
        <v>0</v>
      </c>
    </row>
    <row r="244" spans="1:13" x14ac:dyDescent="0.25">
      <c r="A244" s="146"/>
      <c r="G244" s="116"/>
      <c r="H244" s="130">
        <v>239</v>
      </c>
      <c r="I244" s="131" t="str">
        <f t="shared" si="19"/>
        <v/>
      </c>
      <c r="J244" s="130">
        <f t="shared" si="20"/>
        <v>-6</v>
      </c>
      <c r="K244" s="130">
        <f t="shared" si="17"/>
        <v>-60</v>
      </c>
      <c r="L244" s="130"/>
      <c r="M244" s="132">
        <f t="shared" si="18"/>
        <v>0</v>
      </c>
    </row>
    <row r="245" spans="1:13" x14ac:dyDescent="0.25">
      <c r="A245" s="146"/>
      <c r="G245" s="116"/>
      <c r="H245" s="130">
        <v>240</v>
      </c>
      <c r="I245" s="131" t="str">
        <f t="shared" si="19"/>
        <v/>
      </c>
      <c r="J245" s="130">
        <f t="shared" si="20"/>
        <v>-6</v>
      </c>
      <c r="K245" s="130">
        <f t="shared" si="17"/>
        <v>-60</v>
      </c>
      <c r="L245" s="130"/>
      <c r="M245" s="132">
        <f t="shared" si="18"/>
        <v>0</v>
      </c>
    </row>
    <row r="246" spans="1:13" x14ac:dyDescent="0.25">
      <c r="A246" s="146"/>
      <c r="G246" s="116"/>
      <c r="H246" s="130">
        <v>241</v>
      </c>
      <c r="I246" s="131" t="str">
        <f t="shared" si="19"/>
        <v/>
      </c>
      <c r="J246" s="130">
        <f t="shared" si="20"/>
        <v>-6</v>
      </c>
      <c r="K246" s="130">
        <f t="shared" si="17"/>
        <v>-60</v>
      </c>
      <c r="L246" s="130"/>
      <c r="M246" s="132">
        <f t="shared" si="18"/>
        <v>0</v>
      </c>
    </row>
    <row r="247" spans="1:13" x14ac:dyDescent="0.25">
      <c r="A247" s="146"/>
      <c r="G247" s="116"/>
      <c r="H247" s="130">
        <v>242</v>
      </c>
      <c r="I247" s="131" t="str">
        <f t="shared" si="19"/>
        <v/>
      </c>
      <c r="J247" s="130">
        <f t="shared" si="20"/>
        <v>-6</v>
      </c>
      <c r="K247" s="130">
        <f t="shared" si="17"/>
        <v>-60</v>
      </c>
      <c r="L247" s="130"/>
      <c r="M247" s="132">
        <f t="shared" si="18"/>
        <v>0</v>
      </c>
    </row>
    <row r="248" spans="1:13" x14ac:dyDescent="0.25">
      <c r="A248" s="146"/>
      <c r="G248" s="116"/>
      <c r="H248" s="130">
        <v>243</v>
      </c>
      <c r="I248" s="131" t="str">
        <f t="shared" si="19"/>
        <v/>
      </c>
      <c r="J248" s="130">
        <f t="shared" si="20"/>
        <v>-6</v>
      </c>
      <c r="K248" s="130">
        <f t="shared" si="17"/>
        <v>-60</v>
      </c>
      <c r="L248" s="130"/>
      <c r="M248" s="132">
        <f t="shared" si="18"/>
        <v>0</v>
      </c>
    </row>
    <row r="249" spans="1:13" x14ac:dyDescent="0.25">
      <c r="A249" s="146"/>
      <c r="G249" s="116"/>
      <c r="H249" s="130">
        <v>244</v>
      </c>
      <c r="I249" s="131" t="str">
        <f t="shared" si="19"/>
        <v/>
      </c>
      <c r="J249" s="130">
        <f t="shared" si="20"/>
        <v>-6</v>
      </c>
      <c r="K249" s="130">
        <f t="shared" si="17"/>
        <v>-60</v>
      </c>
      <c r="L249" s="130"/>
      <c r="M249" s="132">
        <f t="shared" si="18"/>
        <v>0</v>
      </c>
    </row>
    <row r="250" spans="1:13" x14ac:dyDescent="0.25">
      <c r="A250" s="146"/>
      <c r="G250" s="116"/>
      <c r="H250" s="130">
        <v>245</v>
      </c>
      <c r="I250" s="131" t="str">
        <f t="shared" si="19"/>
        <v/>
      </c>
      <c r="J250" s="130">
        <f t="shared" si="20"/>
        <v>-6</v>
      </c>
      <c r="K250" s="130">
        <f t="shared" si="17"/>
        <v>-60</v>
      </c>
      <c r="L250" s="130"/>
      <c r="M250" s="132">
        <f t="shared" si="18"/>
        <v>0</v>
      </c>
    </row>
    <row r="251" spans="1:13" x14ac:dyDescent="0.25">
      <c r="A251" s="146"/>
      <c r="G251" s="116"/>
      <c r="H251" s="130">
        <v>246</v>
      </c>
      <c r="I251" s="131" t="str">
        <f t="shared" si="19"/>
        <v/>
      </c>
      <c r="J251" s="130">
        <f t="shared" si="20"/>
        <v>-6</v>
      </c>
      <c r="K251" s="130">
        <f t="shared" si="17"/>
        <v>-60</v>
      </c>
      <c r="L251" s="130"/>
      <c r="M251" s="132">
        <f t="shared" si="18"/>
        <v>0</v>
      </c>
    </row>
    <row r="252" spans="1:13" x14ac:dyDescent="0.25">
      <c r="A252" s="146"/>
      <c r="G252" s="116"/>
      <c r="H252" s="130">
        <v>247</v>
      </c>
      <c r="I252" s="131" t="str">
        <f t="shared" si="19"/>
        <v/>
      </c>
      <c r="J252" s="130">
        <f t="shared" si="20"/>
        <v>-6</v>
      </c>
      <c r="K252" s="130">
        <f t="shared" si="17"/>
        <v>-60</v>
      </c>
      <c r="L252" s="130"/>
      <c r="M252" s="132">
        <f t="shared" si="18"/>
        <v>0</v>
      </c>
    </row>
    <row r="253" spans="1:13" x14ac:dyDescent="0.25">
      <c r="A253" s="146"/>
      <c r="G253" s="116"/>
      <c r="H253" s="130">
        <v>248</v>
      </c>
      <c r="I253" s="131" t="str">
        <f t="shared" si="19"/>
        <v/>
      </c>
      <c r="J253" s="130">
        <f t="shared" si="20"/>
        <v>-6</v>
      </c>
      <c r="K253" s="130">
        <f t="shared" si="17"/>
        <v>-60</v>
      </c>
      <c r="L253" s="130"/>
      <c r="M253" s="132">
        <f t="shared" si="18"/>
        <v>0</v>
      </c>
    </row>
    <row r="254" spans="1:13" x14ac:dyDescent="0.25">
      <c r="A254" s="146"/>
      <c r="G254" s="116"/>
      <c r="H254" s="130">
        <v>249</v>
      </c>
      <c r="I254" s="131" t="str">
        <f t="shared" si="19"/>
        <v/>
      </c>
      <c r="J254" s="130">
        <f t="shared" si="20"/>
        <v>-6</v>
      </c>
      <c r="K254" s="130">
        <f t="shared" si="17"/>
        <v>-60</v>
      </c>
      <c r="L254" s="130"/>
      <c r="M254" s="132">
        <f t="shared" si="18"/>
        <v>0</v>
      </c>
    </row>
    <row r="255" spans="1:13" x14ac:dyDescent="0.25">
      <c r="A255" s="146"/>
      <c r="G255" s="116"/>
      <c r="H255" s="130">
        <v>250</v>
      </c>
      <c r="I255" s="131" t="str">
        <f t="shared" si="19"/>
        <v/>
      </c>
      <c r="J255" s="130">
        <f t="shared" si="20"/>
        <v>-6</v>
      </c>
      <c r="K255" s="130">
        <f t="shared" si="17"/>
        <v>-60</v>
      </c>
      <c r="L255" s="130"/>
      <c r="M255" s="132">
        <f t="shared" si="18"/>
        <v>0</v>
      </c>
    </row>
    <row r="256" spans="1:13" x14ac:dyDescent="0.25">
      <c r="A256" s="146"/>
      <c r="G256" s="116"/>
      <c r="H256" s="130">
        <v>251</v>
      </c>
      <c r="I256" s="131" t="str">
        <f t="shared" si="19"/>
        <v/>
      </c>
      <c r="J256" s="130">
        <f t="shared" si="20"/>
        <v>-6</v>
      </c>
      <c r="K256" s="130">
        <f t="shared" si="17"/>
        <v>-60</v>
      </c>
      <c r="L256" s="130"/>
      <c r="M256" s="132">
        <f t="shared" si="18"/>
        <v>0</v>
      </c>
    </row>
    <row r="257" spans="1:13" x14ac:dyDescent="0.25">
      <c r="A257" s="146"/>
      <c r="G257" s="116"/>
      <c r="H257" s="130">
        <v>252</v>
      </c>
      <c r="I257" s="131" t="str">
        <f t="shared" si="19"/>
        <v/>
      </c>
      <c r="J257" s="130">
        <f t="shared" si="20"/>
        <v>-6</v>
      </c>
      <c r="K257" s="130">
        <f t="shared" si="17"/>
        <v>-60</v>
      </c>
      <c r="L257" s="130"/>
      <c r="M257" s="132">
        <f t="shared" si="18"/>
        <v>0</v>
      </c>
    </row>
    <row r="258" spans="1:13" x14ac:dyDescent="0.25">
      <c r="A258" s="146"/>
      <c r="G258" s="116"/>
      <c r="H258" s="130">
        <v>253</v>
      </c>
      <c r="I258" s="131" t="str">
        <f t="shared" si="19"/>
        <v/>
      </c>
      <c r="J258" s="130">
        <f t="shared" si="20"/>
        <v>-6</v>
      </c>
      <c r="K258" s="130">
        <f t="shared" si="17"/>
        <v>-60</v>
      </c>
      <c r="L258" s="130"/>
      <c r="M258" s="132">
        <f t="shared" si="18"/>
        <v>0</v>
      </c>
    </row>
    <row r="259" spans="1:13" x14ac:dyDescent="0.25">
      <c r="A259" s="146"/>
      <c r="G259" s="116"/>
      <c r="H259" s="130">
        <v>254</v>
      </c>
      <c r="I259" s="131" t="str">
        <f t="shared" si="19"/>
        <v/>
      </c>
      <c r="J259" s="130">
        <f t="shared" si="20"/>
        <v>-6</v>
      </c>
      <c r="K259" s="130">
        <f t="shared" si="17"/>
        <v>-60</v>
      </c>
      <c r="L259" s="130"/>
      <c r="M259" s="132">
        <f t="shared" si="18"/>
        <v>0</v>
      </c>
    </row>
    <row r="260" spans="1:13" x14ac:dyDescent="0.25">
      <c r="A260" s="146"/>
      <c r="G260" s="116"/>
      <c r="H260" s="130">
        <v>255</v>
      </c>
      <c r="I260" s="131" t="str">
        <f t="shared" si="19"/>
        <v/>
      </c>
      <c r="J260" s="130">
        <f t="shared" si="20"/>
        <v>-6</v>
      </c>
      <c r="K260" s="130">
        <f t="shared" si="17"/>
        <v>-60</v>
      </c>
      <c r="L260" s="130"/>
      <c r="M260" s="132">
        <f t="shared" si="18"/>
        <v>0</v>
      </c>
    </row>
    <row r="261" spans="1:13" x14ac:dyDescent="0.25">
      <c r="A261" s="146"/>
      <c r="G261" s="116"/>
      <c r="H261" s="130">
        <v>256</v>
      </c>
      <c r="I261" s="131" t="str">
        <f t="shared" si="19"/>
        <v/>
      </c>
      <c r="J261" s="130">
        <f t="shared" si="20"/>
        <v>-6</v>
      </c>
      <c r="K261" s="130">
        <f t="shared" si="17"/>
        <v>-60</v>
      </c>
      <c r="L261" s="130"/>
      <c r="M261" s="132">
        <f t="shared" si="18"/>
        <v>0</v>
      </c>
    </row>
    <row r="262" spans="1:13" x14ac:dyDescent="0.25">
      <c r="A262" s="146"/>
      <c r="G262" s="116"/>
      <c r="H262" s="130">
        <v>257</v>
      </c>
      <c r="I262" s="131" t="str">
        <f t="shared" si="19"/>
        <v/>
      </c>
      <c r="J262" s="130">
        <f t="shared" si="20"/>
        <v>-7</v>
      </c>
      <c r="K262" s="130">
        <f t="shared" ref="K262:K305" si="21">J262*$J$2</f>
        <v>-70</v>
      </c>
      <c r="L262" s="130"/>
      <c r="M262" s="132">
        <f t="shared" ref="M262:M305" si="22">IF(I262&lt;&gt;"",K262+I262+L262,0)</f>
        <v>0</v>
      </c>
    </row>
    <row r="263" spans="1:13" x14ac:dyDescent="0.25">
      <c r="A263" s="146"/>
      <c r="G263" s="116"/>
      <c r="H263" s="130">
        <v>258</v>
      </c>
      <c r="I263" s="131" t="str">
        <f t="shared" ref="I263:I305" si="23">IF(H263&lt;$H$2+1,($I$2-($I$2-1)*(LOG(H263)/LOG($H$2))),"")</f>
        <v/>
      </c>
      <c r="J263" s="130">
        <f t="shared" ref="J263:J305" si="24">INT(LOG($H$2,2))-ROUNDUP(LOG(H263,2),0)+IF(OR($H$2=1,$H$2=2,$H$2=4,$H$2=8,$H$2=16,$H$2=32,$H$2=64,$H$2=128,$H$2=256),0,1)</f>
        <v>-7</v>
      </c>
      <c r="K263" s="130">
        <f t="shared" si="21"/>
        <v>-70</v>
      </c>
      <c r="L263" s="130"/>
      <c r="M263" s="132">
        <f t="shared" si="22"/>
        <v>0</v>
      </c>
    </row>
    <row r="264" spans="1:13" x14ac:dyDescent="0.25">
      <c r="A264" s="146"/>
      <c r="G264" s="116"/>
      <c r="H264" s="130">
        <v>259</v>
      </c>
      <c r="I264" s="131" t="str">
        <f t="shared" si="23"/>
        <v/>
      </c>
      <c r="J264" s="130">
        <f t="shared" si="24"/>
        <v>-7</v>
      </c>
      <c r="K264" s="130">
        <f t="shared" si="21"/>
        <v>-70</v>
      </c>
      <c r="L264" s="130"/>
      <c r="M264" s="132">
        <f t="shared" si="22"/>
        <v>0</v>
      </c>
    </row>
    <row r="265" spans="1:13" x14ac:dyDescent="0.25">
      <c r="A265" s="146"/>
      <c r="G265" s="116"/>
      <c r="H265" s="130">
        <v>260</v>
      </c>
      <c r="I265" s="131" t="str">
        <f t="shared" si="23"/>
        <v/>
      </c>
      <c r="J265" s="130">
        <f t="shared" si="24"/>
        <v>-7</v>
      </c>
      <c r="K265" s="130">
        <f t="shared" si="21"/>
        <v>-70</v>
      </c>
      <c r="L265" s="130"/>
      <c r="M265" s="132">
        <f t="shared" si="22"/>
        <v>0</v>
      </c>
    </row>
    <row r="266" spans="1:13" x14ac:dyDescent="0.25">
      <c r="A266" s="146"/>
      <c r="G266" s="116"/>
      <c r="H266" s="130">
        <v>261</v>
      </c>
      <c r="I266" s="131" t="str">
        <f t="shared" si="23"/>
        <v/>
      </c>
      <c r="J266" s="130">
        <f t="shared" si="24"/>
        <v>-7</v>
      </c>
      <c r="K266" s="130">
        <f t="shared" si="21"/>
        <v>-70</v>
      </c>
      <c r="L266" s="130"/>
      <c r="M266" s="132">
        <f t="shared" si="22"/>
        <v>0</v>
      </c>
    </row>
    <row r="267" spans="1:13" x14ac:dyDescent="0.25">
      <c r="A267" s="146"/>
      <c r="G267" s="116"/>
      <c r="H267" s="130">
        <v>262</v>
      </c>
      <c r="I267" s="131" t="str">
        <f t="shared" si="23"/>
        <v/>
      </c>
      <c r="J267" s="130">
        <f t="shared" si="24"/>
        <v>-7</v>
      </c>
      <c r="K267" s="130">
        <f t="shared" si="21"/>
        <v>-70</v>
      </c>
      <c r="L267" s="130"/>
      <c r="M267" s="132">
        <f t="shared" si="22"/>
        <v>0</v>
      </c>
    </row>
    <row r="268" spans="1:13" x14ac:dyDescent="0.25">
      <c r="A268" s="146"/>
      <c r="G268" s="116"/>
      <c r="H268" s="130">
        <v>263</v>
      </c>
      <c r="I268" s="131" t="str">
        <f t="shared" si="23"/>
        <v/>
      </c>
      <c r="J268" s="130">
        <f t="shared" si="24"/>
        <v>-7</v>
      </c>
      <c r="K268" s="130">
        <f t="shared" si="21"/>
        <v>-70</v>
      </c>
      <c r="L268" s="130"/>
      <c r="M268" s="132">
        <f t="shared" si="22"/>
        <v>0</v>
      </c>
    </row>
    <row r="269" spans="1:13" x14ac:dyDescent="0.25">
      <c r="A269" s="146"/>
      <c r="G269" s="116"/>
      <c r="H269" s="130">
        <v>264</v>
      </c>
      <c r="I269" s="131" t="str">
        <f t="shared" si="23"/>
        <v/>
      </c>
      <c r="J269" s="130">
        <f t="shared" si="24"/>
        <v>-7</v>
      </c>
      <c r="K269" s="130">
        <f t="shared" si="21"/>
        <v>-70</v>
      </c>
      <c r="L269" s="130"/>
      <c r="M269" s="132">
        <f t="shared" si="22"/>
        <v>0</v>
      </c>
    </row>
    <row r="270" spans="1:13" x14ac:dyDescent="0.25">
      <c r="A270" s="146"/>
      <c r="G270" s="116"/>
      <c r="H270" s="130">
        <v>265</v>
      </c>
      <c r="I270" s="131" t="str">
        <f t="shared" si="23"/>
        <v/>
      </c>
      <c r="J270" s="130">
        <f t="shared" si="24"/>
        <v>-7</v>
      </c>
      <c r="K270" s="130">
        <f t="shared" si="21"/>
        <v>-70</v>
      </c>
      <c r="L270" s="130"/>
      <c r="M270" s="132">
        <f t="shared" si="22"/>
        <v>0</v>
      </c>
    </row>
    <row r="271" spans="1:13" x14ac:dyDescent="0.25">
      <c r="A271" s="146"/>
      <c r="G271" s="116"/>
      <c r="H271" s="130">
        <v>266</v>
      </c>
      <c r="I271" s="131" t="str">
        <f t="shared" si="23"/>
        <v/>
      </c>
      <c r="J271" s="130">
        <f t="shared" si="24"/>
        <v>-7</v>
      </c>
      <c r="K271" s="130">
        <f t="shared" si="21"/>
        <v>-70</v>
      </c>
      <c r="L271" s="130"/>
      <c r="M271" s="132">
        <f t="shared" si="22"/>
        <v>0</v>
      </c>
    </row>
    <row r="272" spans="1:13" x14ac:dyDescent="0.25">
      <c r="A272" s="146"/>
      <c r="G272" s="116"/>
      <c r="H272" s="130">
        <v>267</v>
      </c>
      <c r="I272" s="131" t="str">
        <f t="shared" si="23"/>
        <v/>
      </c>
      <c r="J272" s="130">
        <f t="shared" si="24"/>
        <v>-7</v>
      </c>
      <c r="K272" s="130">
        <f t="shared" si="21"/>
        <v>-70</v>
      </c>
      <c r="L272" s="130"/>
      <c r="M272" s="132">
        <f t="shared" si="22"/>
        <v>0</v>
      </c>
    </row>
    <row r="273" spans="1:13" x14ac:dyDescent="0.25">
      <c r="A273" s="146"/>
      <c r="G273" s="116"/>
      <c r="H273" s="130">
        <v>268</v>
      </c>
      <c r="I273" s="131" t="str">
        <f t="shared" si="23"/>
        <v/>
      </c>
      <c r="J273" s="130">
        <f t="shared" si="24"/>
        <v>-7</v>
      </c>
      <c r="K273" s="130">
        <f t="shared" si="21"/>
        <v>-70</v>
      </c>
      <c r="L273" s="130"/>
      <c r="M273" s="132">
        <f t="shared" si="22"/>
        <v>0</v>
      </c>
    </row>
    <row r="274" spans="1:13" x14ac:dyDescent="0.25">
      <c r="A274" s="146"/>
      <c r="G274" s="116"/>
      <c r="H274" s="130">
        <v>269</v>
      </c>
      <c r="I274" s="131" t="str">
        <f t="shared" si="23"/>
        <v/>
      </c>
      <c r="J274" s="130">
        <f t="shared" si="24"/>
        <v>-7</v>
      </c>
      <c r="K274" s="130">
        <f t="shared" si="21"/>
        <v>-70</v>
      </c>
      <c r="L274" s="130"/>
      <c r="M274" s="132">
        <f t="shared" si="22"/>
        <v>0</v>
      </c>
    </row>
    <row r="275" spans="1:13" x14ac:dyDescent="0.25">
      <c r="A275" s="146"/>
      <c r="G275" s="116"/>
      <c r="H275" s="130">
        <v>270</v>
      </c>
      <c r="I275" s="131" t="str">
        <f t="shared" si="23"/>
        <v/>
      </c>
      <c r="J275" s="130">
        <f t="shared" si="24"/>
        <v>-7</v>
      </c>
      <c r="K275" s="130">
        <f t="shared" si="21"/>
        <v>-70</v>
      </c>
      <c r="L275" s="130"/>
      <c r="M275" s="132">
        <f t="shared" si="22"/>
        <v>0</v>
      </c>
    </row>
    <row r="276" spans="1:13" x14ac:dyDescent="0.25">
      <c r="A276" s="146"/>
      <c r="G276" s="116"/>
      <c r="H276" s="130">
        <v>271</v>
      </c>
      <c r="I276" s="131" t="str">
        <f t="shared" si="23"/>
        <v/>
      </c>
      <c r="J276" s="130">
        <f t="shared" si="24"/>
        <v>-7</v>
      </c>
      <c r="K276" s="130">
        <f t="shared" si="21"/>
        <v>-70</v>
      </c>
      <c r="L276" s="130"/>
      <c r="M276" s="132">
        <f t="shared" si="22"/>
        <v>0</v>
      </c>
    </row>
    <row r="277" spans="1:13" x14ac:dyDescent="0.25">
      <c r="A277" s="146"/>
      <c r="G277" s="116"/>
      <c r="H277" s="130">
        <v>272</v>
      </c>
      <c r="I277" s="131" t="str">
        <f t="shared" si="23"/>
        <v/>
      </c>
      <c r="J277" s="130">
        <f t="shared" si="24"/>
        <v>-7</v>
      </c>
      <c r="K277" s="130">
        <f t="shared" si="21"/>
        <v>-70</v>
      </c>
      <c r="L277" s="130"/>
      <c r="M277" s="132">
        <f t="shared" si="22"/>
        <v>0</v>
      </c>
    </row>
    <row r="278" spans="1:13" x14ac:dyDescent="0.25">
      <c r="A278" s="146"/>
      <c r="G278" s="116"/>
      <c r="H278" s="130">
        <v>273</v>
      </c>
      <c r="I278" s="131" t="str">
        <f t="shared" si="23"/>
        <v/>
      </c>
      <c r="J278" s="130">
        <f t="shared" si="24"/>
        <v>-7</v>
      </c>
      <c r="K278" s="130">
        <f t="shared" si="21"/>
        <v>-70</v>
      </c>
      <c r="L278" s="130"/>
      <c r="M278" s="132">
        <f t="shared" si="22"/>
        <v>0</v>
      </c>
    </row>
    <row r="279" spans="1:13" x14ac:dyDescent="0.25">
      <c r="A279" s="146"/>
      <c r="G279" s="116"/>
      <c r="H279" s="130">
        <v>274</v>
      </c>
      <c r="I279" s="131" t="str">
        <f t="shared" si="23"/>
        <v/>
      </c>
      <c r="J279" s="130">
        <f t="shared" si="24"/>
        <v>-7</v>
      </c>
      <c r="K279" s="130">
        <f t="shared" si="21"/>
        <v>-70</v>
      </c>
      <c r="L279" s="130"/>
      <c r="M279" s="132">
        <f t="shared" si="22"/>
        <v>0</v>
      </c>
    </row>
    <row r="280" spans="1:13" x14ac:dyDescent="0.25">
      <c r="A280" s="146"/>
      <c r="G280" s="116"/>
      <c r="H280" s="130">
        <v>275</v>
      </c>
      <c r="I280" s="131" t="str">
        <f t="shared" si="23"/>
        <v/>
      </c>
      <c r="J280" s="130">
        <f t="shared" si="24"/>
        <v>-7</v>
      </c>
      <c r="K280" s="130">
        <f t="shared" si="21"/>
        <v>-70</v>
      </c>
      <c r="L280" s="130"/>
      <c r="M280" s="132">
        <f t="shared" si="22"/>
        <v>0</v>
      </c>
    </row>
    <row r="281" spans="1:13" x14ac:dyDescent="0.25">
      <c r="A281" s="146"/>
      <c r="G281" s="116"/>
      <c r="H281" s="130">
        <v>276</v>
      </c>
      <c r="I281" s="131" t="str">
        <f t="shared" si="23"/>
        <v/>
      </c>
      <c r="J281" s="130">
        <f t="shared" si="24"/>
        <v>-7</v>
      </c>
      <c r="K281" s="130">
        <f t="shared" si="21"/>
        <v>-70</v>
      </c>
      <c r="L281" s="130"/>
      <c r="M281" s="132">
        <f t="shared" si="22"/>
        <v>0</v>
      </c>
    </row>
    <row r="282" spans="1:13" x14ac:dyDescent="0.25">
      <c r="A282" s="146"/>
      <c r="G282" s="116"/>
      <c r="H282" s="130">
        <v>277</v>
      </c>
      <c r="I282" s="131" t="str">
        <f t="shared" si="23"/>
        <v/>
      </c>
      <c r="J282" s="130">
        <f t="shared" si="24"/>
        <v>-7</v>
      </c>
      <c r="K282" s="130">
        <f t="shared" si="21"/>
        <v>-70</v>
      </c>
      <c r="L282" s="130"/>
      <c r="M282" s="132">
        <f t="shared" si="22"/>
        <v>0</v>
      </c>
    </row>
    <row r="283" spans="1:13" x14ac:dyDescent="0.25">
      <c r="A283" s="146"/>
      <c r="G283" s="116"/>
      <c r="H283" s="130">
        <v>278</v>
      </c>
      <c r="I283" s="131" t="str">
        <f t="shared" si="23"/>
        <v/>
      </c>
      <c r="J283" s="130">
        <f t="shared" si="24"/>
        <v>-7</v>
      </c>
      <c r="K283" s="130">
        <f t="shared" si="21"/>
        <v>-70</v>
      </c>
      <c r="L283" s="130"/>
      <c r="M283" s="132">
        <f t="shared" si="22"/>
        <v>0</v>
      </c>
    </row>
    <row r="284" spans="1:13" x14ac:dyDescent="0.25">
      <c r="A284" s="146"/>
      <c r="G284" s="116"/>
      <c r="H284" s="130">
        <v>279</v>
      </c>
      <c r="I284" s="131" t="str">
        <f t="shared" si="23"/>
        <v/>
      </c>
      <c r="J284" s="130">
        <f t="shared" si="24"/>
        <v>-7</v>
      </c>
      <c r="K284" s="130">
        <f t="shared" si="21"/>
        <v>-70</v>
      </c>
      <c r="L284" s="130"/>
      <c r="M284" s="132">
        <f t="shared" si="22"/>
        <v>0</v>
      </c>
    </row>
    <row r="285" spans="1:13" x14ac:dyDescent="0.25">
      <c r="A285" s="146"/>
      <c r="G285" s="116"/>
      <c r="H285" s="130">
        <v>280</v>
      </c>
      <c r="I285" s="131" t="str">
        <f t="shared" si="23"/>
        <v/>
      </c>
      <c r="J285" s="130">
        <f t="shared" si="24"/>
        <v>-7</v>
      </c>
      <c r="K285" s="130">
        <f t="shared" si="21"/>
        <v>-70</v>
      </c>
      <c r="L285" s="130"/>
      <c r="M285" s="132">
        <f t="shared" si="22"/>
        <v>0</v>
      </c>
    </row>
    <row r="286" spans="1:13" x14ac:dyDescent="0.25">
      <c r="A286" s="146"/>
      <c r="G286" s="116"/>
      <c r="H286" s="130">
        <v>281</v>
      </c>
      <c r="I286" s="131" t="str">
        <f t="shared" si="23"/>
        <v/>
      </c>
      <c r="J286" s="130">
        <f t="shared" si="24"/>
        <v>-7</v>
      </c>
      <c r="K286" s="130">
        <f t="shared" si="21"/>
        <v>-70</v>
      </c>
      <c r="L286" s="130"/>
      <c r="M286" s="132">
        <f t="shared" si="22"/>
        <v>0</v>
      </c>
    </row>
    <row r="287" spans="1:13" x14ac:dyDescent="0.25">
      <c r="A287" s="146"/>
      <c r="G287" s="116"/>
      <c r="H287" s="130">
        <v>282</v>
      </c>
      <c r="I287" s="131" t="str">
        <f t="shared" si="23"/>
        <v/>
      </c>
      <c r="J287" s="130">
        <f t="shared" si="24"/>
        <v>-7</v>
      </c>
      <c r="K287" s="130">
        <f t="shared" si="21"/>
        <v>-70</v>
      </c>
      <c r="L287" s="130"/>
      <c r="M287" s="132">
        <f t="shared" si="22"/>
        <v>0</v>
      </c>
    </row>
    <row r="288" spans="1:13" x14ac:dyDescent="0.25">
      <c r="A288" s="146"/>
      <c r="G288" s="116"/>
      <c r="H288" s="130">
        <v>283</v>
      </c>
      <c r="I288" s="131" t="str">
        <f t="shared" si="23"/>
        <v/>
      </c>
      <c r="J288" s="130">
        <f t="shared" si="24"/>
        <v>-7</v>
      </c>
      <c r="K288" s="130">
        <f t="shared" si="21"/>
        <v>-70</v>
      </c>
      <c r="L288" s="130"/>
      <c r="M288" s="132">
        <f t="shared" si="22"/>
        <v>0</v>
      </c>
    </row>
    <row r="289" spans="1:13" x14ac:dyDescent="0.25">
      <c r="A289" s="146"/>
      <c r="G289" s="116"/>
      <c r="H289" s="130">
        <v>284</v>
      </c>
      <c r="I289" s="131" t="str">
        <f t="shared" si="23"/>
        <v/>
      </c>
      <c r="J289" s="130">
        <f t="shared" si="24"/>
        <v>-7</v>
      </c>
      <c r="K289" s="130">
        <f t="shared" si="21"/>
        <v>-70</v>
      </c>
      <c r="L289" s="130"/>
      <c r="M289" s="132">
        <f t="shared" si="22"/>
        <v>0</v>
      </c>
    </row>
    <row r="290" spans="1:13" x14ac:dyDescent="0.25">
      <c r="A290" s="146"/>
      <c r="G290" s="116"/>
      <c r="H290" s="130">
        <v>285</v>
      </c>
      <c r="I290" s="131" t="str">
        <f t="shared" si="23"/>
        <v/>
      </c>
      <c r="J290" s="130">
        <f t="shared" si="24"/>
        <v>-7</v>
      </c>
      <c r="K290" s="130">
        <f t="shared" si="21"/>
        <v>-70</v>
      </c>
      <c r="L290" s="130"/>
      <c r="M290" s="132">
        <f t="shared" si="22"/>
        <v>0</v>
      </c>
    </row>
    <row r="291" spans="1:13" x14ac:dyDescent="0.25">
      <c r="A291" s="146"/>
      <c r="G291" s="116"/>
      <c r="H291" s="130">
        <v>286</v>
      </c>
      <c r="I291" s="131" t="str">
        <f t="shared" si="23"/>
        <v/>
      </c>
      <c r="J291" s="130">
        <f t="shared" si="24"/>
        <v>-7</v>
      </c>
      <c r="K291" s="130">
        <f t="shared" si="21"/>
        <v>-70</v>
      </c>
      <c r="L291" s="130"/>
      <c r="M291" s="132">
        <f t="shared" si="22"/>
        <v>0</v>
      </c>
    </row>
    <row r="292" spans="1:13" x14ac:dyDescent="0.25">
      <c r="A292" s="146"/>
      <c r="G292" s="116"/>
      <c r="H292" s="130">
        <v>287</v>
      </c>
      <c r="I292" s="131" t="str">
        <f t="shared" si="23"/>
        <v/>
      </c>
      <c r="J292" s="130">
        <f t="shared" si="24"/>
        <v>-7</v>
      </c>
      <c r="K292" s="130">
        <f t="shared" si="21"/>
        <v>-70</v>
      </c>
      <c r="L292" s="130"/>
      <c r="M292" s="132">
        <f t="shared" si="22"/>
        <v>0</v>
      </c>
    </row>
    <row r="293" spans="1:13" x14ac:dyDescent="0.25">
      <c r="A293" s="146"/>
      <c r="G293" s="116"/>
      <c r="H293" s="130">
        <v>288</v>
      </c>
      <c r="I293" s="131" t="str">
        <f t="shared" si="23"/>
        <v/>
      </c>
      <c r="J293" s="130">
        <f t="shared" si="24"/>
        <v>-7</v>
      </c>
      <c r="K293" s="130">
        <f t="shared" si="21"/>
        <v>-70</v>
      </c>
      <c r="L293" s="130"/>
      <c r="M293" s="132">
        <f t="shared" si="22"/>
        <v>0</v>
      </c>
    </row>
    <row r="294" spans="1:13" x14ac:dyDescent="0.25">
      <c r="A294" s="146"/>
      <c r="G294" s="116"/>
      <c r="H294" s="130">
        <v>289</v>
      </c>
      <c r="I294" s="131" t="str">
        <f t="shared" si="23"/>
        <v/>
      </c>
      <c r="J294" s="130">
        <f t="shared" si="24"/>
        <v>-7</v>
      </c>
      <c r="K294" s="130">
        <f t="shared" si="21"/>
        <v>-70</v>
      </c>
      <c r="L294" s="130"/>
      <c r="M294" s="132">
        <f t="shared" si="22"/>
        <v>0</v>
      </c>
    </row>
    <row r="295" spans="1:13" x14ac:dyDescent="0.25">
      <c r="A295" s="146"/>
      <c r="G295" s="116"/>
      <c r="H295" s="130">
        <v>290</v>
      </c>
      <c r="I295" s="131" t="str">
        <f t="shared" si="23"/>
        <v/>
      </c>
      <c r="J295" s="130">
        <f t="shared" si="24"/>
        <v>-7</v>
      </c>
      <c r="K295" s="130">
        <f t="shared" si="21"/>
        <v>-70</v>
      </c>
      <c r="L295" s="130"/>
      <c r="M295" s="132">
        <f t="shared" si="22"/>
        <v>0</v>
      </c>
    </row>
    <row r="296" spans="1:13" x14ac:dyDescent="0.25">
      <c r="A296" s="146"/>
      <c r="G296" s="116"/>
      <c r="H296" s="130">
        <v>291</v>
      </c>
      <c r="I296" s="131" t="str">
        <f t="shared" si="23"/>
        <v/>
      </c>
      <c r="J296" s="130">
        <f t="shared" si="24"/>
        <v>-7</v>
      </c>
      <c r="K296" s="130">
        <f t="shared" si="21"/>
        <v>-70</v>
      </c>
      <c r="L296" s="130"/>
      <c r="M296" s="132">
        <f t="shared" si="22"/>
        <v>0</v>
      </c>
    </row>
    <row r="297" spans="1:13" x14ac:dyDescent="0.25">
      <c r="A297" s="146"/>
      <c r="G297" s="116"/>
      <c r="H297" s="130">
        <v>292</v>
      </c>
      <c r="I297" s="131" t="str">
        <f t="shared" si="23"/>
        <v/>
      </c>
      <c r="J297" s="130">
        <f t="shared" si="24"/>
        <v>-7</v>
      </c>
      <c r="K297" s="130">
        <f t="shared" si="21"/>
        <v>-70</v>
      </c>
      <c r="L297" s="130"/>
      <c r="M297" s="132">
        <f t="shared" si="22"/>
        <v>0</v>
      </c>
    </row>
    <row r="298" spans="1:13" x14ac:dyDescent="0.25">
      <c r="A298" s="146"/>
      <c r="G298" s="116"/>
      <c r="H298" s="130">
        <v>293</v>
      </c>
      <c r="I298" s="131" t="str">
        <f t="shared" si="23"/>
        <v/>
      </c>
      <c r="J298" s="130">
        <f t="shared" si="24"/>
        <v>-7</v>
      </c>
      <c r="K298" s="130">
        <f t="shared" si="21"/>
        <v>-70</v>
      </c>
      <c r="L298" s="130"/>
      <c r="M298" s="132">
        <f t="shared" si="22"/>
        <v>0</v>
      </c>
    </row>
    <row r="299" spans="1:13" x14ac:dyDescent="0.25">
      <c r="A299" s="146"/>
      <c r="G299" s="116"/>
      <c r="H299" s="130">
        <v>294</v>
      </c>
      <c r="I299" s="131" t="str">
        <f t="shared" si="23"/>
        <v/>
      </c>
      <c r="J299" s="130">
        <f t="shared" si="24"/>
        <v>-7</v>
      </c>
      <c r="K299" s="130">
        <f t="shared" si="21"/>
        <v>-70</v>
      </c>
      <c r="L299" s="130"/>
      <c r="M299" s="132">
        <f t="shared" si="22"/>
        <v>0</v>
      </c>
    </row>
    <row r="300" spans="1:13" x14ac:dyDescent="0.25">
      <c r="A300" s="146"/>
      <c r="G300" s="116"/>
      <c r="H300" s="130">
        <v>295</v>
      </c>
      <c r="I300" s="131" t="str">
        <f t="shared" si="23"/>
        <v/>
      </c>
      <c r="J300" s="130">
        <f t="shared" si="24"/>
        <v>-7</v>
      </c>
      <c r="K300" s="130">
        <f t="shared" si="21"/>
        <v>-70</v>
      </c>
      <c r="L300" s="130"/>
      <c r="M300" s="132">
        <f t="shared" si="22"/>
        <v>0</v>
      </c>
    </row>
    <row r="301" spans="1:13" x14ac:dyDescent="0.25">
      <c r="A301" s="146"/>
      <c r="G301" s="116"/>
      <c r="H301" s="130">
        <v>296</v>
      </c>
      <c r="I301" s="131" t="str">
        <f t="shared" si="23"/>
        <v/>
      </c>
      <c r="J301" s="130">
        <f t="shared" si="24"/>
        <v>-7</v>
      </c>
      <c r="K301" s="130">
        <f t="shared" si="21"/>
        <v>-70</v>
      </c>
      <c r="L301" s="130"/>
      <c r="M301" s="132">
        <f t="shared" si="22"/>
        <v>0</v>
      </c>
    </row>
    <row r="302" spans="1:13" x14ac:dyDescent="0.25">
      <c r="A302" s="146"/>
      <c r="G302" s="116"/>
      <c r="H302" s="130">
        <v>297</v>
      </c>
      <c r="I302" s="131" t="str">
        <f t="shared" si="23"/>
        <v/>
      </c>
      <c r="J302" s="130">
        <f t="shared" si="24"/>
        <v>-7</v>
      </c>
      <c r="K302" s="130">
        <f t="shared" si="21"/>
        <v>-70</v>
      </c>
      <c r="L302" s="130"/>
      <c r="M302" s="132">
        <f t="shared" si="22"/>
        <v>0</v>
      </c>
    </row>
    <row r="303" spans="1:13" x14ac:dyDescent="0.25">
      <c r="A303" s="146"/>
      <c r="G303" s="116"/>
      <c r="H303" s="130">
        <v>298</v>
      </c>
      <c r="I303" s="131" t="str">
        <f t="shared" si="23"/>
        <v/>
      </c>
      <c r="J303" s="130">
        <f t="shared" si="24"/>
        <v>-7</v>
      </c>
      <c r="K303" s="130">
        <f t="shared" si="21"/>
        <v>-70</v>
      </c>
      <c r="L303" s="130"/>
      <c r="M303" s="132">
        <f t="shared" si="22"/>
        <v>0</v>
      </c>
    </row>
    <row r="304" spans="1:13" x14ac:dyDescent="0.25">
      <c r="A304" s="146"/>
      <c r="G304" s="116"/>
      <c r="H304" s="130">
        <v>299</v>
      </c>
      <c r="I304" s="131" t="str">
        <f t="shared" si="23"/>
        <v/>
      </c>
      <c r="J304" s="130">
        <f t="shared" si="24"/>
        <v>-7</v>
      </c>
      <c r="K304" s="130">
        <f t="shared" si="21"/>
        <v>-70</v>
      </c>
      <c r="L304" s="130"/>
      <c r="M304" s="132">
        <f t="shared" si="22"/>
        <v>0</v>
      </c>
    </row>
    <row r="305" spans="1:16" x14ac:dyDescent="0.25">
      <c r="A305" s="146"/>
      <c r="G305" s="116"/>
      <c r="H305" s="130">
        <v>300</v>
      </c>
      <c r="I305" s="131" t="str">
        <f t="shared" si="23"/>
        <v/>
      </c>
      <c r="J305" s="130">
        <f t="shared" si="24"/>
        <v>-7</v>
      </c>
      <c r="K305" s="130">
        <f t="shared" si="21"/>
        <v>-70</v>
      </c>
      <c r="L305" s="130"/>
      <c r="M305" s="132">
        <f t="shared" si="22"/>
        <v>0</v>
      </c>
    </row>
    <row r="306" spans="1:16" x14ac:dyDescent="0.25">
      <c r="A306" s="148"/>
    </row>
    <row r="314" spans="1:16" x14ac:dyDescent="0.25">
      <c r="L314" s="151"/>
      <c r="P314" s="141"/>
    </row>
    <row r="315" spans="1:16" x14ac:dyDescent="0.25">
      <c r="L315" s="151"/>
      <c r="P315" s="141"/>
    </row>
    <row r="316" spans="1:16" x14ac:dyDescent="0.25">
      <c r="L316" s="151"/>
      <c r="P316" s="141"/>
    </row>
    <row r="317" spans="1:16" x14ac:dyDescent="0.25">
      <c r="L317" s="151"/>
      <c r="P317" s="141"/>
    </row>
  </sheetData>
  <mergeCells count="2">
    <mergeCell ref="C2:D2"/>
    <mergeCell ref="C3:D3"/>
  </mergeCells>
  <conditionalFormatting sqref="J6:K305">
    <cfRule type="cellIs" dxfId="23" priority="1" operator="lessThanOrEqual">
      <formula>0</formula>
    </cfRule>
  </conditionalFormatting>
  <dataValidations count="1">
    <dataValidation type="list" allowBlank="1" showInputMessage="1" showErrorMessage="1" sqref="C38:C69" xr:uid="{1FEB66C8-5637-45ED-9D34-92B006FCF6FD}">
      <formula1>#REF!</formula1>
    </dataValidation>
  </dataValidations>
  <hyperlinks>
    <hyperlink ref="C2:D2" r:id="rId1" display="WARSZAWA" xr:uid="{DDDD794D-5BEA-4EFC-B9B7-C0706E326813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802AB-9CE6-4B04-9A55-8A6074E4E8A9}">
  <sheetPr>
    <tabColor rgb="FF92D050"/>
  </sheetPr>
  <dimension ref="A1:AL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147" customWidth="1"/>
    <col min="2" max="2" width="8.25" style="147" customWidth="1"/>
    <col min="3" max="3" width="34.75" style="147" customWidth="1"/>
    <col min="4" max="4" width="11.25" style="147" customWidth="1"/>
    <col min="5" max="6" width="8.875" style="147"/>
    <col min="7" max="7" width="0.875" style="147" customWidth="1"/>
    <col min="8" max="8" width="8.875" style="149"/>
    <col min="9" max="9" width="11" style="149" customWidth="1"/>
    <col min="10" max="10" width="15.25" style="149" customWidth="1"/>
    <col min="11" max="11" width="8.75" style="149" customWidth="1"/>
    <col min="12" max="12" width="11" style="149" customWidth="1"/>
    <col min="13" max="13" width="11.75" style="150" customWidth="1"/>
    <col min="14" max="15" width="13.875" style="116" customWidth="1"/>
    <col min="16" max="18" width="8.875" style="116"/>
    <col min="19" max="20" width="8.875" style="121"/>
    <col min="21" max="21" width="12.125" style="121" customWidth="1"/>
    <col min="22" max="22" width="27.375" style="121" customWidth="1"/>
    <col min="23" max="38" width="8.875" style="121"/>
    <col min="39" max="16384" width="8.875" style="147"/>
  </cols>
  <sheetData>
    <row r="1" spans="1:36" x14ac:dyDescent="0.25">
      <c r="A1" s="116"/>
      <c r="B1" s="116"/>
      <c r="C1" s="116"/>
      <c r="D1" s="116"/>
      <c r="E1" s="116"/>
      <c r="F1" s="116"/>
      <c r="G1" s="116"/>
      <c r="H1" s="117" t="s">
        <v>13</v>
      </c>
      <c r="I1" s="118" t="s">
        <v>14</v>
      </c>
      <c r="J1" s="118" t="s">
        <v>15</v>
      </c>
      <c r="K1" s="119" t="s">
        <v>16</v>
      </c>
      <c r="L1" s="120"/>
      <c r="M1" s="120"/>
    </row>
    <row r="2" spans="1:36" ht="14.45" customHeight="1" x14ac:dyDescent="0.25">
      <c r="A2" s="116"/>
      <c r="B2" s="17" t="s">
        <v>17</v>
      </c>
      <c r="C2" s="240" t="s">
        <v>106</v>
      </c>
      <c r="D2" s="240"/>
      <c r="E2" s="18"/>
      <c r="F2" s="18"/>
      <c r="G2" s="18"/>
      <c r="H2" s="122">
        <v>2</v>
      </c>
      <c r="I2" s="123">
        <v>50</v>
      </c>
      <c r="J2" s="123">
        <v>10</v>
      </c>
      <c r="K2" s="124">
        <f>3*H2^(1/3)</f>
        <v>3.7797631496846193</v>
      </c>
      <c r="L2" s="120"/>
      <c r="M2" s="120"/>
    </row>
    <row r="3" spans="1:36" ht="14.45" customHeight="1" x14ac:dyDescent="0.25">
      <c r="A3" s="116"/>
      <c r="B3" s="125" t="s">
        <v>18</v>
      </c>
      <c r="C3" s="241" t="s">
        <v>107</v>
      </c>
      <c r="D3" s="242"/>
      <c r="E3" s="23"/>
      <c r="F3" s="23"/>
      <c r="G3" s="23"/>
      <c r="H3" s="120"/>
      <c r="I3" s="120"/>
      <c r="J3" s="126"/>
      <c r="K3" s="120"/>
      <c r="L3" s="120"/>
      <c r="M3" s="120"/>
    </row>
    <row r="4" spans="1:36" ht="10.199999999999999" customHeight="1" x14ac:dyDescent="0.25">
      <c r="A4" s="25"/>
      <c r="B4" s="23"/>
      <c r="C4" s="25"/>
      <c r="D4" s="25"/>
      <c r="E4" s="25"/>
      <c r="F4" s="25"/>
      <c r="G4" s="25"/>
      <c r="H4" s="120"/>
      <c r="I4" s="120"/>
      <c r="J4" s="126"/>
      <c r="K4" s="120"/>
      <c r="L4" s="120"/>
      <c r="M4" s="120"/>
    </row>
    <row r="5" spans="1:36" ht="34.65" x14ac:dyDescent="0.25">
      <c r="A5" s="1" t="s">
        <v>19</v>
      </c>
      <c r="B5" s="26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25"/>
      <c r="H5" s="127" t="s">
        <v>25</v>
      </c>
      <c r="I5" s="128" t="s">
        <v>26</v>
      </c>
      <c r="J5" s="129" t="s">
        <v>27</v>
      </c>
      <c r="K5" s="128" t="s">
        <v>28</v>
      </c>
      <c r="L5" s="128" t="s">
        <v>29</v>
      </c>
      <c r="M5" s="127" t="s">
        <v>30</v>
      </c>
    </row>
    <row r="6" spans="1:36" ht="14.45" customHeight="1" x14ac:dyDescent="0.25">
      <c r="A6" s="30">
        <f>M6</f>
        <v>71.339289449053865</v>
      </c>
      <c r="B6" s="31">
        <v>1</v>
      </c>
      <c r="C6" s="32" t="s">
        <v>10</v>
      </c>
      <c r="D6" s="32" t="s">
        <v>84</v>
      </c>
      <c r="E6" s="32"/>
      <c r="F6" s="32" t="s">
        <v>48</v>
      </c>
      <c r="G6" s="25"/>
      <c r="H6" s="130">
        <v>1</v>
      </c>
      <c r="I6" s="131">
        <f>IF(H2=1,50,IF(H6&lt;$H$2+1,($I$2-($I$2-1)*(LOG(H6)/LOG($H$2))),""))</f>
        <v>50</v>
      </c>
      <c r="J6" s="130">
        <f>INT(LOG($H$2,2))-ROUNDUP(LOG(H6,2),0)+IF(OR($H$2=1,$H$2=2,$H$2=4,$H$2=8,$H$2=16,$H$2=32,$H$2=64,$H$2=128,$H$2=256),0,1)</f>
        <v>1</v>
      </c>
      <c r="K6" s="130">
        <f t="shared" ref="K6:K69" si="0">J6*$J$2</f>
        <v>10</v>
      </c>
      <c r="L6" s="132">
        <f>3*K2</f>
        <v>11.339289449053858</v>
      </c>
      <c r="M6" s="132">
        <f t="shared" ref="M6:M69" si="1">IF(I6&lt;&gt;"",K6+I6+L6,0)</f>
        <v>71.339289449053865</v>
      </c>
    </row>
    <row r="7" spans="1:36" ht="14.45" customHeight="1" x14ac:dyDescent="0.25">
      <c r="A7" s="36">
        <f t="shared" ref="A7:A37" si="2">M7</f>
        <v>8.5595262993692387</v>
      </c>
      <c r="B7" s="37">
        <v>2</v>
      </c>
      <c r="C7" s="38" t="s">
        <v>11</v>
      </c>
      <c r="D7" s="38" t="s">
        <v>49</v>
      </c>
      <c r="E7" s="38"/>
      <c r="F7" s="38" t="s">
        <v>48</v>
      </c>
      <c r="G7" s="25"/>
      <c r="H7" s="133">
        <v>2</v>
      </c>
      <c r="I7" s="134">
        <f t="shared" ref="I7:I70" si="3">IF(H7&lt;$H$2+1,($I$2-($I$2-1)*(LOG(H7)/LOG($H$2))),"")</f>
        <v>1</v>
      </c>
      <c r="J7" s="133">
        <f t="shared" ref="J7:J70" si="4">INT(LOG($H$2,2))-ROUNDUP(LOG(H7,2),0)+IF(OR($H$2=1,$H$2=2,$H$2=4,$H$2=8,$H$2=16,$H$2=32,$H$2=64,$H$2=128,$H$2=256),0,1)</f>
        <v>0</v>
      </c>
      <c r="K7" s="133">
        <f t="shared" si="0"/>
        <v>0</v>
      </c>
      <c r="L7" s="135">
        <f>2*K2</f>
        <v>7.5595262993692387</v>
      </c>
      <c r="M7" s="135">
        <f t="shared" si="1"/>
        <v>8.5595262993692387</v>
      </c>
    </row>
    <row r="8" spans="1:36" ht="14.45" customHeight="1" x14ac:dyDescent="0.25">
      <c r="A8" s="30">
        <f t="shared" si="2"/>
        <v>0</v>
      </c>
      <c r="B8" s="31" t="str">
        <f t="shared" ref="B8:B13" si="5">IF(H8&gt;$H$2,"",(ROW()-5))</f>
        <v/>
      </c>
      <c r="C8" s="32"/>
      <c r="D8" s="32"/>
      <c r="E8" s="32"/>
      <c r="F8" s="32"/>
      <c r="G8" s="25"/>
      <c r="H8" s="130">
        <v>3</v>
      </c>
      <c r="I8" s="131" t="str">
        <f t="shared" si="3"/>
        <v/>
      </c>
      <c r="J8" s="130">
        <f t="shared" si="4"/>
        <v>-1</v>
      </c>
      <c r="K8" s="130">
        <f t="shared" si="0"/>
        <v>-10</v>
      </c>
      <c r="L8" s="132">
        <f>K2</f>
        <v>3.7797631496846193</v>
      </c>
      <c r="M8" s="132">
        <f t="shared" si="1"/>
        <v>0</v>
      </c>
    </row>
    <row r="9" spans="1:36" ht="14.45" customHeight="1" x14ac:dyDescent="0.25">
      <c r="A9" s="36">
        <f t="shared" si="2"/>
        <v>0</v>
      </c>
      <c r="B9" s="37" t="str">
        <f t="shared" si="5"/>
        <v/>
      </c>
      <c r="C9" s="38"/>
      <c r="D9" s="38"/>
      <c r="E9" s="38"/>
      <c r="F9" s="38"/>
      <c r="G9" s="25"/>
      <c r="H9" s="133">
        <v>4</v>
      </c>
      <c r="I9" s="134" t="str">
        <f t="shared" si="3"/>
        <v/>
      </c>
      <c r="J9" s="133">
        <f t="shared" si="4"/>
        <v>-1</v>
      </c>
      <c r="K9" s="133">
        <f t="shared" si="0"/>
        <v>-10</v>
      </c>
      <c r="L9" s="135"/>
      <c r="M9" s="135">
        <f t="shared" si="1"/>
        <v>0</v>
      </c>
      <c r="V9" s="136"/>
      <c r="Z9" s="137"/>
      <c r="AA9" s="137"/>
      <c r="AG9" s="138"/>
      <c r="AH9" s="121" t="s">
        <v>34</v>
      </c>
      <c r="AI9" s="121">
        <v>23</v>
      </c>
    </row>
    <row r="10" spans="1:36" ht="14.45" customHeight="1" x14ac:dyDescent="0.25">
      <c r="A10" s="30">
        <f t="shared" si="2"/>
        <v>0</v>
      </c>
      <c r="B10" s="31" t="str">
        <f t="shared" si="5"/>
        <v/>
      </c>
      <c r="C10" s="32"/>
      <c r="D10" s="32"/>
      <c r="E10" s="32"/>
      <c r="F10" s="32"/>
      <c r="G10" s="25"/>
      <c r="H10" s="130">
        <v>5</v>
      </c>
      <c r="I10" s="131" t="str">
        <f t="shared" si="3"/>
        <v/>
      </c>
      <c r="J10" s="130">
        <f t="shared" si="4"/>
        <v>-2</v>
      </c>
      <c r="K10" s="130">
        <f t="shared" si="0"/>
        <v>-20</v>
      </c>
      <c r="L10" s="130"/>
      <c r="M10" s="132">
        <f t="shared" si="1"/>
        <v>0</v>
      </c>
      <c r="V10" s="136"/>
      <c r="Z10" s="137"/>
      <c r="AA10" s="137"/>
      <c r="AG10" s="138"/>
      <c r="AH10" s="121" t="s">
        <v>35</v>
      </c>
      <c r="AI10" s="121">
        <v>45</v>
      </c>
    </row>
    <row r="11" spans="1:36" ht="14.45" customHeight="1" x14ac:dyDescent="0.25">
      <c r="A11" s="36">
        <f t="shared" si="2"/>
        <v>0</v>
      </c>
      <c r="B11" s="37" t="str">
        <f t="shared" si="5"/>
        <v/>
      </c>
      <c r="C11" s="38"/>
      <c r="D11" s="38"/>
      <c r="E11" s="38"/>
      <c r="F11" s="38"/>
      <c r="G11" s="25"/>
      <c r="H11" s="133">
        <v>6</v>
      </c>
      <c r="I11" s="134" t="str">
        <f t="shared" si="3"/>
        <v/>
      </c>
      <c r="J11" s="133">
        <f t="shared" si="4"/>
        <v>-2</v>
      </c>
      <c r="K11" s="133">
        <f t="shared" si="0"/>
        <v>-20</v>
      </c>
      <c r="L11" s="133"/>
      <c r="M11" s="135">
        <f t="shared" si="1"/>
        <v>0</v>
      </c>
      <c r="V11" s="139"/>
      <c r="Z11" s="137"/>
      <c r="AA11" s="137"/>
      <c r="AG11" s="138"/>
      <c r="AH11" s="121" t="s">
        <v>36</v>
      </c>
      <c r="AI11" s="121">
        <v>50</v>
      </c>
    </row>
    <row r="12" spans="1:36" ht="14.45" customHeight="1" x14ac:dyDescent="0.25">
      <c r="A12" s="30">
        <f t="shared" si="2"/>
        <v>0</v>
      </c>
      <c r="B12" s="31" t="str">
        <f t="shared" si="5"/>
        <v/>
      </c>
      <c r="C12" s="32"/>
      <c r="D12" s="32"/>
      <c r="E12" s="32"/>
      <c r="F12" s="32"/>
      <c r="G12" s="25"/>
      <c r="H12" s="130">
        <v>7</v>
      </c>
      <c r="I12" s="131" t="str">
        <f t="shared" si="3"/>
        <v/>
      </c>
      <c r="J12" s="130">
        <f t="shared" si="4"/>
        <v>-2</v>
      </c>
      <c r="K12" s="130">
        <f t="shared" si="0"/>
        <v>-20</v>
      </c>
      <c r="L12" s="130"/>
      <c r="M12" s="132">
        <f t="shared" si="1"/>
        <v>0</v>
      </c>
      <c r="Z12" s="137"/>
      <c r="AA12" s="137"/>
      <c r="AG12" s="138"/>
      <c r="AH12" s="121" t="s">
        <v>37</v>
      </c>
      <c r="AI12" s="121">
        <f>AI11-1</f>
        <v>49</v>
      </c>
    </row>
    <row r="13" spans="1:36" ht="14.45" customHeight="1" x14ac:dyDescent="0.25">
      <c r="A13" s="46">
        <f t="shared" si="2"/>
        <v>0</v>
      </c>
      <c r="B13" s="37" t="str">
        <f t="shared" si="5"/>
        <v/>
      </c>
      <c r="C13" s="38"/>
      <c r="D13" s="38"/>
      <c r="E13" s="38"/>
      <c r="F13" s="38"/>
      <c r="G13" s="25"/>
      <c r="H13" s="133">
        <v>8</v>
      </c>
      <c r="I13" s="134" t="str">
        <f t="shared" si="3"/>
        <v/>
      </c>
      <c r="J13" s="133">
        <f t="shared" si="4"/>
        <v>-2</v>
      </c>
      <c r="K13" s="133">
        <f t="shared" si="0"/>
        <v>-20</v>
      </c>
      <c r="L13" s="133"/>
      <c r="M13" s="135">
        <f t="shared" si="1"/>
        <v>0</v>
      </c>
      <c r="X13" s="136"/>
      <c r="AG13" s="138"/>
      <c r="AH13" s="121" t="s">
        <v>38</v>
      </c>
      <c r="AI13" s="121">
        <f>LOG(AI9)</f>
        <v>1.3617278360175928</v>
      </c>
    </row>
    <row r="14" spans="1:36" x14ac:dyDescent="0.25">
      <c r="A14" s="47">
        <f t="shared" si="2"/>
        <v>0</v>
      </c>
      <c r="B14" s="31" t="str">
        <f>IF(H14&gt;$H$2,"",(ROW()-5))</f>
        <v/>
      </c>
      <c r="C14" s="32"/>
      <c r="D14" s="32"/>
      <c r="E14" s="32"/>
      <c r="F14" s="32"/>
      <c r="G14" s="25"/>
      <c r="H14" s="130">
        <v>9</v>
      </c>
      <c r="I14" s="131" t="str">
        <f t="shared" si="3"/>
        <v/>
      </c>
      <c r="J14" s="130">
        <f t="shared" si="4"/>
        <v>-3</v>
      </c>
      <c r="K14" s="130">
        <f t="shared" si="0"/>
        <v>-30</v>
      </c>
      <c r="L14" s="130"/>
      <c r="M14" s="132">
        <f t="shared" si="1"/>
        <v>0</v>
      </c>
      <c r="X14" s="140"/>
      <c r="Z14" s="137"/>
      <c r="AA14" s="137"/>
      <c r="AG14" s="138"/>
      <c r="AH14" s="121" t="s">
        <v>39</v>
      </c>
      <c r="AI14" s="121">
        <f>LOG(AI10)</f>
        <v>1.6532125137753437</v>
      </c>
    </row>
    <row r="15" spans="1:36" x14ac:dyDescent="0.25">
      <c r="A15" s="46">
        <f t="shared" si="2"/>
        <v>0</v>
      </c>
      <c r="B15" s="37" t="str">
        <f t="shared" ref="B15:B65" si="6">IF(H15&gt;$H$2,"",(ROW()-5))</f>
        <v/>
      </c>
      <c r="C15" s="38"/>
      <c r="D15" s="38"/>
      <c r="E15" s="38"/>
      <c r="F15" s="38"/>
      <c r="G15" s="25"/>
      <c r="H15" s="133">
        <v>10</v>
      </c>
      <c r="I15" s="134" t="str">
        <f t="shared" si="3"/>
        <v/>
      </c>
      <c r="J15" s="133">
        <f t="shared" si="4"/>
        <v>-3</v>
      </c>
      <c r="K15" s="133">
        <f t="shared" si="0"/>
        <v>-30</v>
      </c>
      <c r="L15" s="133"/>
      <c r="M15" s="135">
        <f t="shared" si="1"/>
        <v>0</v>
      </c>
      <c r="X15" s="136"/>
      <c r="Z15" s="137"/>
      <c r="AA15" s="137"/>
    </row>
    <row r="16" spans="1:36" x14ac:dyDescent="0.25">
      <c r="A16" s="47">
        <f t="shared" si="2"/>
        <v>0</v>
      </c>
      <c r="B16" s="31" t="str">
        <f t="shared" si="6"/>
        <v/>
      </c>
      <c r="C16" s="32"/>
      <c r="D16" s="32"/>
      <c r="E16" s="32"/>
      <c r="F16" s="32"/>
      <c r="G16" s="25"/>
      <c r="H16" s="130">
        <v>11</v>
      </c>
      <c r="I16" s="131" t="str">
        <f t="shared" si="3"/>
        <v/>
      </c>
      <c r="J16" s="130">
        <f t="shared" si="4"/>
        <v>-3</v>
      </c>
      <c r="K16" s="130">
        <f t="shared" si="0"/>
        <v>-30</v>
      </c>
      <c r="L16" s="130"/>
      <c r="M16" s="132">
        <f t="shared" si="1"/>
        <v>0</v>
      </c>
      <c r="R16" s="141"/>
      <c r="Z16" s="137"/>
      <c r="AA16" s="137"/>
      <c r="AH16" s="142" t="s">
        <v>40</v>
      </c>
      <c r="AI16" s="121">
        <f>AI11-AI12*AI13/AI14</f>
        <v>9.6393909380186855</v>
      </c>
      <c r="AJ16" s="121" t="s">
        <v>41</v>
      </c>
    </row>
    <row r="17" spans="1:19" x14ac:dyDescent="0.25">
      <c r="A17" s="46">
        <f t="shared" si="2"/>
        <v>0</v>
      </c>
      <c r="B17" s="37" t="str">
        <f t="shared" si="6"/>
        <v/>
      </c>
      <c r="C17" s="38"/>
      <c r="D17" s="38"/>
      <c r="E17" s="38"/>
      <c r="F17" s="38"/>
      <c r="G17" s="25"/>
      <c r="H17" s="133">
        <v>12</v>
      </c>
      <c r="I17" s="134" t="str">
        <f t="shared" si="3"/>
        <v/>
      </c>
      <c r="J17" s="133">
        <f t="shared" si="4"/>
        <v>-3</v>
      </c>
      <c r="K17" s="133">
        <f t="shared" si="0"/>
        <v>-30</v>
      </c>
      <c r="L17" s="133"/>
      <c r="M17" s="135">
        <f t="shared" si="1"/>
        <v>0</v>
      </c>
    </row>
    <row r="18" spans="1:19" x14ac:dyDescent="0.25">
      <c r="A18" s="47">
        <f t="shared" si="2"/>
        <v>0</v>
      </c>
      <c r="B18" s="31" t="str">
        <f t="shared" si="6"/>
        <v/>
      </c>
      <c r="C18" s="32"/>
      <c r="D18" s="32"/>
      <c r="E18" s="32"/>
      <c r="F18" s="32"/>
      <c r="G18" s="25"/>
      <c r="H18" s="130">
        <v>13</v>
      </c>
      <c r="I18" s="131" t="str">
        <f t="shared" si="3"/>
        <v/>
      </c>
      <c r="J18" s="130">
        <f t="shared" si="4"/>
        <v>-3</v>
      </c>
      <c r="K18" s="130">
        <f t="shared" si="0"/>
        <v>-30</v>
      </c>
      <c r="L18" s="130"/>
      <c r="M18" s="132">
        <f t="shared" si="1"/>
        <v>0</v>
      </c>
    </row>
    <row r="19" spans="1:19" x14ac:dyDescent="0.25">
      <c r="A19" s="46">
        <f t="shared" si="2"/>
        <v>0</v>
      </c>
      <c r="B19" s="37" t="str">
        <f t="shared" si="6"/>
        <v/>
      </c>
      <c r="C19" s="38"/>
      <c r="D19" s="38"/>
      <c r="E19" s="38"/>
      <c r="F19" s="38"/>
      <c r="G19" s="25"/>
      <c r="H19" s="133">
        <v>14</v>
      </c>
      <c r="I19" s="134" t="str">
        <f t="shared" si="3"/>
        <v/>
      </c>
      <c r="J19" s="133">
        <f t="shared" si="4"/>
        <v>-3</v>
      </c>
      <c r="K19" s="133">
        <f t="shared" si="0"/>
        <v>-30</v>
      </c>
      <c r="L19" s="133"/>
      <c r="M19" s="135">
        <f t="shared" si="1"/>
        <v>0</v>
      </c>
    </row>
    <row r="20" spans="1:19" x14ac:dyDescent="0.25">
      <c r="A20" s="47">
        <f t="shared" si="2"/>
        <v>0</v>
      </c>
      <c r="B20" s="31" t="str">
        <f t="shared" si="6"/>
        <v/>
      </c>
      <c r="C20" s="32"/>
      <c r="D20" s="32"/>
      <c r="E20" s="32"/>
      <c r="F20" s="32"/>
      <c r="G20" s="25"/>
      <c r="H20" s="130">
        <v>15</v>
      </c>
      <c r="I20" s="131" t="str">
        <f t="shared" si="3"/>
        <v/>
      </c>
      <c r="J20" s="130">
        <f t="shared" si="4"/>
        <v>-3</v>
      </c>
      <c r="K20" s="130">
        <f t="shared" si="0"/>
        <v>-30</v>
      </c>
      <c r="L20" s="130"/>
      <c r="M20" s="132">
        <f t="shared" si="1"/>
        <v>0</v>
      </c>
      <c r="R20" s="143"/>
      <c r="S20" s="144"/>
    </row>
    <row r="21" spans="1:19" x14ac:dyDescent="0.25">
      <c r="A21" s="46">
        <f t="shared" si="2"/>
        <v>0</v>
      </c>
      <c r="B21" s="37" t="str">
        <f t="shared" si="6"/>
        <v/>
      </c>
      <c r="C21" s="38"/>
      <c r="D21" s="38"/>
      <c r="E21" s="38"/>
      <c r="F21" s="38"/>
      <c r="G21" s="25"/>
      <c r="H21" s="133">
        <v>16</v>
      </c>
      <c r="I21" s="134" t="str">
        <f t="shared" si="3"/>
        <v/>
      </c>
      <c r="J21" s="133">
        <f t="shared" si="4"/>
        <v>-3</v>
      </c>
      <c r="K21" s="133">
        <f t="shared" si="0"/>
        <v>-30</v>
      </c>
      <c r="L21" s="133"/>
      <c r="M21" s="135">
        <f t="shared" si="1"/>
        <v>0</v>
      </c>
    </row>
    <row r="22" spans="1:19" x14ac:dyDescent="0.25">
      <c r="A22" s="47">
        <f t="shared" si="2"/>
        <v>0</v>
      </c>
      <c r="B22" s="31" t="str">
        <f t="shared" si="6"/>
        <v/>
      </c>
      <c r="C22" s="32"/>
      <c r="D22" s="32"/>
      <c r="E22" s="32"/>
      <c r="F22" s="32"/>
      <c r="G22" s="25"/>
      <c r="H22" s="130">
        <v>17</v>
      </c>
      <c r="I22" s="131" t="str">
        <f t="shared" si="3"/>
        <v/>
      </c>
      <c r="J22" s="130">
        <f t="shared" si="4"/>
        <v>-4</v>
      </c>
      <c r="K22" s="130">
        <f t="shared" si="0"/>
        <v>-40</v>
      </c>
      <c r="L22" s="130"/>
      <c r="M22" s="132">
        <f t="shared" si="1"/>
        <v>0</v>
      </c>
    </row>
    <row r="23" spans="1:19" x14ac:dyDescent="0.25">
      <c r="A23" s="46">
        <f t="shared" si="2"/>
        <v>0</v>
      </c>
      <c r="B23" s="37" t="str">
        <f t="shared" si="6"/>
        <v/>
      </c>
      <c r="C23" s="38"/>
      <c r="D23" s="38"/>
      <c r="E23" s="38"/>
      <c r="F23" s="38"/>
      <c r="G23" s="25"/>
      <c r="H23" s="133">
        <v>18</v>
      </c>
      <c r="I23" s="134" t="str">
        <f t="shared" si="3"/>
        <v/>
      </c>
      <c r="J23" s="133">
        <f t="shared" si="4"/>
        <v>-4</v>
      </c>
      <c r="K23" s="133">
        <f t="shared" si="0"/>
        <v>-40</v>
      </c>
      <c r="L23" s="133"/>
      <c r="M23" s="135">
        <f t="shared" si="1"/>
        <v>0</v>
      </c>
    </row>
    <row r="24" spans="1:19" x14ac:dyDescent="0.25">
      <c r="A24" s="47">
        <f t="shared" si="2"/>
        <v>0</v>
      </c>
      <c r="B24" s="31" t="str">
        <f t="shared" si="6"/>
        <v/>
      </c>
      <c r="C24" s="32"/>
      <c r="D24" s="32"/>
      <c r="E24" s="32"/>
      <c r="F24" s="32"/>
      <c r="G24" s="25"/>
      <c r="H24" s="130">
        <v>19</v>
      </c>
      <c r="I24" s="131" t="str">
        <f t="shared" si="3"/>
        <v/>
      </c>
      <c r="J24" s="130">
        <f t="shared" si="4"/>
        <v>-4</v>
      </c>
      <c r="K24" s="130">
        <f t="shared" si="0"/>
        <v>-40</v>
      </c>
      <c r="L24" s="130"/>
      <c r="M24" s="132">
        <f t="shared" si="1"/>
        <v>0</v>
      </c>
      <c r="R24" s="143"/>
      <c r="S24" s="144"/>
    </row>
    <row r="25" spans="1:19" x14ac:dyDescent="0.25">
      <c r="A25" s="46">
        <f t="shared" si="2"/>
        <v>0</v>
      </c>
      <c r="B25" s="37" t="str">
        <f t="shared" si="6"/>
        <v/>
      </c>
      <c r="C25" s="38"/>
      <c r="D25" s="38"/>
      <c r="E25" s="38"/>
      <c r="F25" s="38"/>
      <c r="G25" s="25"/>
      <c r="H25" s="133">
        <v>20</v>
      </c>
      <c r="I25" s="134" t="str">
        <f t="shared" si="3"/>
        <v/>
      </c>
      <c r="J25" s="133">
        <f t="shared" si="4"/>
        <v>-4</v>
      </c>
      <c r="K25" s="133">
        <f t="shared" si="0"/>
        <v>-40</v>
      </c>
      <c r="L25" s="133"/>
      <c r="M25" s="135">
        <f t="shared" si="1"/>
        <v>0</v>
      </c>
    </row>
    <row r="26" spans="1:19" x14ac:dyDescent="0.25">
      <c r="A26" s="47">
        <f t="shared" si="2"/>
        <v>0</v>
      </c>
      <c r="B26" s="31" t="str">
        <f t="shared" si="6"/>
        <v/>
      </c>
      <c r="C26" s="32"/>
      <c r="D26" s="32"/>
      <c r="E26" s="32"/>
      <c r="F26" s="32"/>
      <c r="G26" s="25"/>
      <c r="H26" s="130">
        <v>21</v>
      </c>
      <c r="I26" s="131" t="str">
        <f t="shared" si="3"/>
        <v/>
      </c>
      <c r="J26" s="130">
        <f t="shared" si="4"/>
        <v>-4</v>
      </c>
      <c r="K26" s="130">
        <f t="shared" si="0"/>
        <v>-40</v>
      </c>
      <c r="L26" s="130"/>
      <c r="M26" s="132">
        <f t="shared" si="1"/>
        <v>0</v>
      </c>
    </row>
    <row r="27" spans="1:19" x14ac:dyDescent="0.25">
      <c r="A27" s="46">
        <f t="shared" si="2"/>
        <v>0</v>
      </c>
      <c r="B27" s="37" t="str">
        <f t="shared" si="6"/>
        <v/>
      </c>
      <c r="C27" s="38"/>
      <c r="D27" s="38"/>
      <c r="E27" s="38"/>
      <c r="F27" s="38"/>
      <c r="G27" s="25"/>
      <c r="H27" s="133">
        <v>22</v>
      </c>
      <c r="I27" s="134" t="str">
        <f t="shared" si="3"/>
        <v/>
      </c>
      <c r="J27" s="133">
        <f t="shared" si="4"/>
        <v>-4</v>
      </c>
      <c r="K27" s="133">
        <f t="shared" si="0"/>
        <v>-40</v>
      </c>
      <c r="L27" s="133"/>
      <c r="M27" s="135">
        <f t="shared" si="1"/>
        <v>0</v>
      </c>
    </row>
    <row r="28" spans="1:19" x14ac:dyDescent="0.25">
      <c r="A28" s="47">
        <f t="shared" si="2"/>
        <v>0</v>
      </c>
      <c r="B28" s="31" t="str">
        <f t="shared" si="6"/>
        <v/>
      </c>
      <c r="C28" s="32"/>
      <c r="D28" s="32"/>
      <c r="E28" s="32"/>
      <c r="F28" s="32"/>
      <c r="G28" s="25"/>
      <c r="H28" s="130">
        <v>23</v>
      </c>
      <c r="I28" s="131" t="str">
        <f t="shared" si="3"/>
        <v/>
      </c>
      <c r="J28" s="130">
        <f t="shared" si="4"/>
        <v>-4</v>
      </c>
      <c r="K28" s="130">
        <f t="shared" si="0"/>
        <v>-40</v>
      </c>
      <c r="L28" s="130"/>
      <c r="M28" s="132">
        <f t="shared" si="1"/>
        <v>0</v>
      </c>
      <c r="R28" s="143"/>
      <c r="S28" s="144"/>
    </row>
    <row r="29" spans="1:19" x14ac:dyDescent="0.25">
      <c r="A29" s="46">
        <f t="shared" si="2"/>
        <v>0</v>
      </c>
      <c r="B29" s="37" t="str">
        <f t="shared" si="6"/>
        <v/>
      </c>
      <c r="C29" s="38"/>
      <c r="D29" s="38"/>
      <c r="E29" s="38"/>
      <c r="F29" s="38"/>
      <c r="G29" s="116"/>
      <c r="H29" s="133">
        <v>24</v>
      </c>
      <c r="I29" s="134" t="str">
        <f t="shared" si="3"/>
        <v/>
      </c>
      <c r="J29" s="133">
        <f t="shared" si="4"/>
        <v>-4</v>
      </c>
      <c r="K29" s="133">
        <f t="shared" si="0"/>
        <v>-40</v>
      </c>
      <c r="L29" s="133"/>
      <c r="M29" s="135">
        <f t="shared" si="1"/>
        <v>0</v>
      </c>
    </row>
    <row r="30" spans="1:19" x14ac:dyDescent="0.25">
      <c r="A30" s="47">
        <f t="shared" si="2"/>
        <v>0</v>
      </c>
      <c r="B30" s="31" t="str">
        <f t="shared" si="6"/>
        <v/>
      </c>
      <c r="C30" s="32"/>
      <c r="D30" s="32"/>
      <c r="E30" s="32"/>
      <c r="F30" s="32"/>
      <c r="G30" s="116"/>
      <c r="H30" s="130">
        <v>25</v>
      </c>
      <c r="I30" s="131" t="str">
        <f t="shared" si="3"/>
        <v/>
      </c>
      <c r="J30" s="130">
        <f t="shared" si="4"/>
        <v>-4</v>
      </c>
      <c r="K30" s="130">
        <f t="shared" si="0"/>
        <v>-40</v>
      </c>
      <c r="L30" s="130"/>
      <c r="M30" s="132">
        <f t="shared" si="1"/>
        <v>0</v>
      </c>
    </row>
    <row r="31" spans="1:19" x14ac:dyDescent="0.25">
      <c r="A31" s="46">
        <f t="shared" si="2"/>
        <v>0</v>
      </c>
      <c r="B31" s="37" t="str">
        <f t="shared" si="6"/>
        <v/>
      </c>
      <c r="C31" s="38"/>
      <c r="D31" s="38"/>
      <c r="E31" s="38"/>
      <c r="F31" s="38"/>
      <c r="G31" s="116"/>
      <c r="H31" s="133">
        <v>26</v>
      </c>
      <c r="I31" s="134" t="str">
        <f t="shared" si="3"/>
        <v/>
      </c>
      <c r="J31" s="133">
        <f t="shared" si="4"/>
        <v>-4</v>
      </c>
      <c r="K31" s="133">
        <f t="shared" si="0"/>
        <v>-40</v>
      </c>
      <c r="L31" s="133"/>
      <c r="M31" s="135">
        <f t="shared" si="1"/>
        <v>0</v>
      </c>
    </row>
    <row r="32" spans="1:19" x14ac:dyDescent="0.25">
      <c r="A32" s="47">
        <f t="shared" si="2"/>
        <v>0</v>
      </c>
      <c r="B32" s="31" t="str">
        <f t="shared" si="6"/>
        <v/>
      </c>
      <c r="C32" s="32"/>
      <c r="D32" s="32"/>
      <c r="E32" s="32"/>
      <c r="F32" s="32"/>
      <c r="G32" s="116"/>
      <c r="H32" s="130">
        <v>27</v>
      </c>
      <c r="I32" s="131" t="str">
        <f t="shared" si="3"/>
        <v/>
      </c>
      <c r="J32" s="130">
        <f t="shared" si="4"/>
        <v>-4</v>
      </c>
      <c r="K32" s="130">
        <f t="shared" si="0"/>
        <v>-40</v>
      </c>
      <c r="L32" s="130"/>
      <c r="M32" s="132">
        <f t="shared" si="1"/>
        <v>0</v>
      </c>
      <c r="R32" s="143"/>
      <c r="S32" s="144"/>
    </row>
    <row r="33" spans="1:21" x14ac:dyDescent="0.25">
      <c r="A33" s="46">
        <f t="shared" si="2"/>
        <v>0</v>
      </c>
      <c r="B33" s="37" t="str">
        <f t="shared" si="6"/>
        <v/>
      </c>
      <c r="C33" s="38"/>
      <c r="D33" s="38"/>
      <c r="E33" s="38"/>
      <c r="F33" s="38"/>
      <c r="G33" s="116"/>
      <c r="H33" s="133">
        <v>28</v>
      </c>
      <c r="I33" s="134" t="str">
        <f t="shared" si="3"/>
        <v/>
      </c>
      <c r="J33" s="133">
        <f t="shared" si="4"/>
        <v>-4</v>
      </c>
      <c r="K33" s="133">
        <f t="shared" si="0"/>
        <v>-40</v>
      </c>
      <c r="L33" s="133"/>
      <c r="M33" s="135">
        <f t="shared" si="1"/>
        <v>0</v>
      </c>
    </row>
    <row r="34" spans="1:21" x14ac:dyDescent="0.25">
      <c r="A34" s="47">
        <f t="shared" si="2"/>
        <v>0</v>
      </c>
      <c r="B34" s="31" t="str">
        <f t="shared" si="6"/>
        <v/>
      </c>
      <c r="C34" s="32"/>
      <c r="D34" s="32"/>
      <c r="E34" s="32"/>
      <c r="F34" s="32"/>
      <c r="G34" s="116"/>
      <c r="H34" s="130">
        <v>29</v>
      </c>
      <c r="I34" s="131" t="str">
        <f t="shared" si="3"/>
        <v/>
      </c>
      <c r="J34" s="130">
        <f t="shared" si="4"/>
        <v>-4</v>
      </c>
      <c r="K34" s="130">
        <f t="shared" si="0"/>
        <v>-40</v>
      </c>
      <c r="L34" s="130"/>
      <c r="M34" s="132">
        <f t="shared" si="1"/>
        <v>0</v>
      </c>
    </row>
    <row r="35" spans="1:21" x14ac:dyDescent="0.25">
      <c r="A35" s="46">
        <f t="shared" si="2"/>
        <v>0</v>
      </c>
      <c r="B35" s="37" t="str">
        <f t="shared" si="6"/>
        <v/>
      </c>
      <c r="C35" s="38"/>
      <c r="D35" s="38"/>
      <c r="E35" s="38"/>
      <c r="F35" s="38"/>
      <c r="G35" s="116"/>
      <c r="H35" s="133">
        <v>30</v>
      </c>
      <c r="I35" s="134" t="str">
        <f t="shared" si="3"/>
        <v/>
      </c>
      <c r="J35" s="133">
        <f t="shared" si="4"/>
        <v>-4</v>
      </c>
      <c r="K35" s="133">
        <f t="shared" si="0"/>
        <v>-40</v>
      </c>
      <c r="L35" s="133"/>
      <c r="M35" s="135">
        <f t="shared" si="1"/>
        <v>0</v>
      </c>
    </row>
    <row r="36" spans="1:21" x14ac:dyDescent="0.25">
      <c r="A36" s="47">
        <f t="shared" si="2"/>
        <v>0</v>
      </c>
      <c r="B36" s="31" t="str">
        <f t="shared" si="6"/>
        <v/>
      </c>
      <c r="C36" s="32"/>
      <c r="D36" s="32"/>
      <c r="E36" s="32"/>
      <c r="F36" s="32"/>
      <c r="G36" s="116"/>
      <c r="H36" s="130">
        <v>31</v>
      </c>
      <c r="I36" s="131" t="str">
        <f t="shared" si="3"/>
        <v/>
      </c>
      <c r="J36" s="130">
        <f t="shared" si="4"/>
        <v>-4</v>
      </c>
      <c r="K36" s="130">
        <f t="shared" si="0"/>
        <v>-40</v>
      </c>
      <c r="L36" s="130"/>
      <c r="M36" s="132">
        <f t="shared" si="1"/>
        <v>0</v>
      </c>
      <c r="R36" s="143"/>
      <c r="S36" s="144"/>
    </row>
    <row r="37" spans="1:21" x14ac:dyDescent="0.25">
      <c r="A37" s="46">
        <f t="shared" si="2"/>
        <v>0</v>
      </c>
      <c r="B37" s="37" t="str">
        <f t="shared" si="6"/>
        <v/>
      </c>
      <c r="C37" s="38"/>
      <c r="D37" s="38"/>
      <c r="E37" s="38"/>
      <c r="F37" s="38"/>
      <c r="G37" s="116"/>
      <c r="H37" s="133">
        <v>32</v>
      </c>
      <c r="I37" s="134" t="str">
        <f t="shared" si="3"/>
        <v/>
      </c>
      <c r="J37" s="133">
        <f t="shared" si="4"/>
        <v>-4</v>
      </c>
      <c r="K37" s="133">
        <f t="shared" si="0"/>
        <v>-40</v>
      </c>
      <c r="L37" s="133"/>
      <c r="M37" s="135">
        <f t="shared" si="1"/>
        <v>0</v>
      </c>
    </row>
    <row r="38" spans="1:21" x14ac:dyDescent="0.25">
      <c r="A38" s="47"/>
      <c r="B38" s="31" t="str">
        <f t="shared" si="6"/>
        <v/>
      </c>
      <c r="C38" s="32"/>
      <c r="D38" s="32"/>
      <c r="E38" s="32"/>
      <c r="F38" s="32"/>
      <c r="G38" s="116"/>
      <c r="H38" s="130">
        <v>33</v>
      </c>
      <c r="I38" s="131" t="str">
        <f t="shared" si="3"/>
        <v/>
      </c>
      <c r="J38" s="130">
        <f t="shared" si="4"/>
        <v>-5</v>
      </c>
      <c r="K38" s="130">
        <f t="shared" si="0"/>
        <v>-50</v>
      </c>
      <c r="L38" s="130"/>
      <c r="M38" s="132">
        <f t="shared" si="1"/>
        <v>0</v>
      </c>
    </row>
    <row r="39" spans="1:21" x14ac:dyDescent="0.25">
      <c r="A39" s="46"/>
      <c r="B39" s="37" t="str">
        <f t="shared" si="6"/>
        <v/>
      </c>
      <c r="C39" s="38"/>
      <c r="D39" s="38"/>
      <c r="E39" s="38"/>
      <c r="F39" s="38"/>
      <c r="G39" s="116"/>
      <c r="H39" s="133">
        <v>34</v>
      </c>
      <c r="I39" s="134" t="str">
        <f t="shared" si="3"/>
        <v/>
      </c>
      <c r="J39" s="133">
        <f t="shared" si="4"/>
        <v>-5</v>
      </c>
      <c r="K39" s="133">
        <f t="shared" si="0"/>
        <v>-50</v>
      </c>
      <c r="L39" s="133"/>
      <c r="M39" s="135">
        <f t="shared" si="1"/>
        <v>0</v>
      </c>
    </row>
    <row r="40" spans="1:21" x14ac:dyDescent="0.25">
      <c r="A40" s="47"/>
      <c r="B40" s="31" t="str">
        <f t="shared" si="6"/>
        <v/>
      </c>
      <c r="C40" s="32"/>
      <c r="D40" s="32"/>
      <c r="E40" s="32"/>
      <c r="F40" s="32"/>
      <c r="G40" s="116"/>
      <c r="H40" s="130">
        <v>35</v>
      </c>
      <c r="I40" s="131" t="str">
        <f t="shared" si="3"/>
        <v/>
      </c>
      <c r="J40" s="130">
        <f t="shared" si="4"/>
        <v>-5</v>
      </c>
      <c r="K40" s="130">
        <f t="shared" si="0"/>
        <v>-50</v>
      </c>
      <c r="L40" s="130"/>
      <c r="M40" s="132">
        <f t="shared" si="1"/>
        <v>0</v>
      </c>
    </row>
    <row r="41" spans="1:21" x14ac:dyDescent="0.25">
      <c r="A41" s="46"/>
      <c r="B41" s="37" t="str">
        <f t="shared" si="6"/>
        <v/>
      </c>
      <c r="C41" s="38"/>
      <c r="D41" s="38"/>
      <c r="E41" s="38"/>
      <c r="F41" s="38"/>
      <c r="G41" s="116"/>
      <c r="H41" s="133">
        <v>36</v>
      </c>
      <c r="I41" s="134" t="str">
        <f t="shared" si="3"/>
        <v/>
      </c>
      <c r="J41" s="133">
        <f t="shared" si="4"/>
        <v>-5</v>
      </c>
      <c r="K41" s="133">
        <f t="shared" si="0"/>
        <v>-50</v>
      </c>
      <c r="L41" s="133"/>
      <c r="M41" s="135">
        <f t="shared" si="1"/>
        <v>0</v>
      </c>
      <c r="S41" s="145"/>
    </row>
    <row r="42" spans="1:21" x14ac:dyDescent="0.25">
      <c r="A42" s="47"/>
      <c r="B42" s="31" t="str">
        <f t="shared" si="6"/>
        <v/>
      </c>
      <c r="C42" s="32"/>
      <c r="D42" s="32"/>
      <c r="E42" s="32"/>
      <c r="F42" s="32"/>
      <c r="G42" s="116"/>
      <c r="H42" s="130">
        <v>37</v>
      </c>
      <c r="I42" s="131" t="str">
        <f t="shared" si="3"/>
        <v/>
      </c>
      <c r="J42" s="130">
        <f t="shared" si="4"/>
        <v>-5</v>
      </c>
      <c r="K42" s="130">
        <f t="shared" si="0"/>
        <v>-50</v>
      </c>
      <c r="L42" s="130"/>
      <c r="M42" s="132">
        <f t="shared" si="1"/>
        <v>0</v>
      </c>
    </row>
    <row r="43" spans="1:21" x14ac:dyDescent="0.25">
      <c r="A43" s="46"/>
      <c r="B43" s="37" t="str">
        <f t="shared" si="6"/>
        <v/>
      </c>
      <c r="C43" s="38"/>
      <c r="D43" s="38"/>
      <c r="E43" s="38"/>
      <c r="F43" s="38"/>
      <c r="G43" s="116"/>
      <c r="H43" s="133">
        <v>38</v>
      </c>
      <c r="I43" s="134" t="str">
        <f t="shared" si="3"/>
        <v/>
      </c>
      <c r="J43" s="133">
        <f t="shared" si="4"/>
        <v>-5</v>
      </c>
      <c r="K43" s="133">
        <f t="shared" si="0"/>
        <v>-50</v>
      </c>
      <c r="L43" s="133"/>
      <c r="M43" s="135">
        <f t="shared" si="1"/>
        <v>0</v>
      </c>
    </row>
    <row r="44" spans="1:21" x14ac:dyDescent="0.25">
      <c r="A44" s="47"/>
      <c r="B44" s="31" t="str">
        <f t="shared" si="6"/>
        <v/>
      </c>
      <c r="C44" s="32"/>
      <c r="D44" s="32"/>
      <c r="E44" s="32"/>
      <c r="F44" s="32"/>
      <c r="G44" s="116"/>
      <c r="H44" s="130">
        <v>39</v>
      </c>
      <c r="I44" s="131" t="str">
        <f t="shared" si="3"/>
        <v/>
      </c>
      <c r="J44" s="130">
        <f t="shared" si="4"/>
        <v>-5</v>
      </c>
      <c r="K44" s="130">
        <f t="shared" si="0"/>
        <v>-50</v>
      </c>
      <c r="L44" s="130"/>
      <c r="M44" s="132">
        <f t="shared" si="1"/>
        <v>0</v>
      </c>
    </row>
    <row r="45" spans="1:21" x14ac:dyDescent="0.25">
      <c r="A45" s="46"/>
      <c r="B45" s="37" t="str">
        <f t="shared" si="6"/>
        <v/>
      </c>
      <c r="C45" s="38"/>
      <c r="D45" s="38"/>
      <c r="E45" s="38"/>
      <c r="F45" s="38"/>
      <c r="G45" s="116"/>
      <c r="H45" s="133">
        <v>40</v>
      </c>
      <c r="I45" s="134" t="str">
        <f t="shared" si="3"/>
        <v/>
      </c>
      <c r="J45" s="133">
        <f t="shared" si="4"/>
        <v>-5</v>
      </c>
      <c r="K45" s="133">
        <f t="shared" si="0"/>
        <v>-50</v>
      </c>
      <c r="L45" s="133"/>
      <c r="M45" s="135">
        <f t="shared" si="1"/>
        <v>0</v>
      </c>
    </row>
    <row r="46" spans="1:21" x14ac:dyDescent="0.25">
      <c r="A46" s="47"/>
      <c r="B46" s="31" t="str">
        <f t="shared" si="6"/>
        <v/>
      </c>
      <c r="C46" s="32"/>
      <c r="D46" s="32"/>
      <c r="E46" s="32"/>
      <c r="F46" s="32"/>
      <c r="G46" s="116"/>
      <c r="H46" s="130">
        <v>41</v>
      </c>
      <c r="I46" s="131" t="str">
        <f t="shared" si="3"/>
        <v/>
      </c>
      <c r="J46" s="130">
        <f t="shared" si="4"/>
        <v>-5</v>
      </c>
      <c r="K46" s="130">
        <f t="shared" si="0"/>
        <v>-50</v>
      </c>
      <c r="L46" s="130"/>
      <c r="M46" s="132">
        <f t="shared" si="1"/>
        <v>0</v>
      </c>
      <c r="R46" s="116">
        <f>LOG($H$2,2)</f>
        <v>1</v>
      </c>
      <c r="T46" s="121">
        <f>LOG(H38,2)</f>
        <v>5.0443941193584534</v>
      </c>
      <c r="U46" s="121">
        <f>R46-T46</f>
        <v>-4.0443941193584534</v>
      </c>
    </row>
    <row r="47" spans="1:21" x14ac:dyDescent="0.25">
      <c r="A47" s="46"/>
      <c r="B47" s="37" t="str">
        <f t="shared" si="6"/>
        <v/>
      </c>
      <c r="C47" s="38"/>
      <c r="D47" s="38"/>
      <c r="E47" s="38"/>
      <c r="F47" s="38"/>
      <c r="G47" s="116"/>
      <c r="H47" s="133">
        <v>42</v>
      </c>
      <c r="I47" s="134" t="str">
        <f t="shared" si="3"/>
        <v/>
      </c>
      <c r="J47" s="133">
        <f t="shared" si="4"/>
        <v>-5</v>
      </c>
      <c r="K47" s="133">
        <f t="shared" si="0"/>
        <v>-50</v>
      </c>
      <c r="L47" s="133"/>
      <c r="M47" s="135">
        <f t="shared" si="1"/>
        <v>0</v>
      </c>
    </row>
    <row r="48" spans="1:21" x14ac:dyDescent="0.25">
      <c r="A48" s="47"/>
      <c r="B48" s="31" t="str">
        <f t="shared" si="6"/>
        <v/>
      </c>
      <c r="C48" s="32"/>
      <c r="D48" s="32"/>
      <c r="E48" s="32"/>
      <c r="F48" s="32"/>
      <c r="G48" s="116"/>
      <c r="H48" s="130">
        <v>43</v>
      </c>
      <c r="I48" s="131" t="str">
        <f t="shared" si="3"/>
        <v/>
      </c>
      <c r="J48" s="130">
        <f t="shared" si="4"/>
        <v>-5</v>
      </c>
      <c r="K48" s="130">
        <f t="shared" si="0"/>
        <v>-50</v>
      </c>
      <c r="L48" s="130"/>
      <c r="M48" s="132">
        <f t="shared" si="1"/>
        <v>0</v>
      </c>
    </row>
    <row r="49" spans="1:13" x14ac:dyDescent="0.25">
      <c r="A49" s="46"/>
      <c r="B49" s="37" t="str">
        <f t="shared" si="6"/>
        <v/>
      </c>
      <c r="C49" s="38"/>
      <c r="D49" s="38"/>
      <c r="E49" s="38"/>
      <c r="F49" s="38"/>
      <c r="G49" s="116"/>
      <c r="H49" s="133">
        <v>44</v>
      </c>
      <c r="I49" s="134" t="str">
        <f t="shared" si="3"/>
        <v/>
      </c>
      <c r="J49" s="133">
        <f t="shared" si="4"/>
        <v>-5</v>
      </c>
      <c r="K49" s="133">
        <f t="shared" si="0"/>
        <v>-50</v>
      </c>
      <c r="L49" s="133"/>
      <c r="M49" s="135">
        <f t="shared" si="1"/>
        <v>0</v>
      </c>
    </row>
    <row r="50" spans="1:13" x14ac:dyDescent="0.25">
      <c r="A50" s="47"/>
      <c r="B50" s="31" t="str">
        <f t="shared" si="6"/>
        <v/>
      </c>
      <c r="C50" s="32"/>
      <c r="D50" s="32"/>
      <c r="E50" s="32"/>
      <c r="F50" s="32"/>
      <c r="G50" s="116"/>
      <c r="H50" s="130">
        <v>45</v>
      </c>
      <c r="I50" s="131" t="str">
        <f t="shared" si="3"/>
        <v/>
      </c>
      <c r="J50" s="130">
        <f t="shared" si="4"/>
        <v>-5</v>
      </c>
      <c r="K50" s="130">
        <f t="shared" si="0"/>
        <v>-50</v>
      </c>
      <c r="L50" s="130"/>
      <c r="M50" s="132">
        <f t="shared" si="1"/>
        <v>0</v>
      </c>
    </row>
    <row r="51" spans="1:13" x14ac:dyDescent="0.25">
      <c r="A51" s="46"/>
      <c r="B51" s="37" t="str">
        <f t="shared" si="6"/>
        <v/>
      </c>
      <c r="C51" s="38"/>
      <c r="D51" s="38"/>
      <c r="E51" s="38"/>
      <c r="F51" s="38"/>
      <c r="G51" s="116"/>
      <c r="H51" s="133">
        <v>46</v>
      </c>
      <c r="I51" s="134" t="str">
        <f t="shared" si="3"/>
        <v/>
      </c>
      <c r="J51" s="133">
        <f t="shared" si="4"/>
        <v>-5</v>
      </c>
      <c r="K51" s="133">
        <f t="shared" si="0"/>
        <v>-50</v>
      </c>
      <c r="L51" s="133"/>
      <c r="M51" s="135">
        <f t="shared" si="1"/>
        <v>0</v>
      </c>
    </row>
    <row r="52" spans="1:13" x14ac:dyDescent="0.25">
      <c r="A52" s="47"/>
      <c r="B52" s="31" t="str">
        <f t="shared" si="6"/>
        <v/>
      </c>
      <c r="C52" s="32"/>
      <c r="D52" s="32"/>
      <c r="E52" s="32"/>
      <c r="F52" s="32"/>
      <c r="G52" s="116"/>
      <c r="H52" s="130">
        <v>47</v>
      </c>
      <c r="I52" s="131" t="str">
        <f t="shared" si="3"/>
        <v/>
      </c>
      <c r="J52" s="130">
        <f t="shared" si="4"/>
        <v>-5</v>
      </c>
      <c r="K52" s="130">
        <f t="shared" si="0"/>
        <v>-50</v>
      </c>
      <c r="L52" s="130"/>
      <c r="M52" s="132">
        <f t="shared" si="1"/>
        <v>0</v>
      </c>
    </row>
    <row r="53" spans="1:13" x14ac:dyDescent="0.25">
      <c r="A53" s="46"/>
      <c r="B53" s="37" t="str">
        <f t="shared" si="6"/>
        <v/>
      </c>
      <c r="C53" s="38"/>
      <c r="D53" s="38"/>
      <c r="E53" s="38"/>
      <c r="F53" s="38"/>
      <c r="G53" s="116"/>
      <c r="H53" s="133">
        <v>48</v>
      </c>
      <c r="I53" s="134" t="str">
        <f t="shared" si="3"/>
        <v/>
      </c>
      <c r="J53" s="133">
        <f t="shared" si="4"/>
        <v>-5</v>
      </c>
      <c r="K53" s="133">
        <f t="shared" si="0"/>
        <v>-50</v>
      </c>
      <c r="L53" s="133"/>
      <c r="M53" s="135">
        <f t="shared" si="1"/>
        <v>0</v>
      </c>
    </row>
    <row r="54" spans="1:13" x14ac:dyDescent="0.25">
      <c r="A54" s="47"/>
      <c r="B54" s="31" t="str">
        <f t="shared" si="6"/>
        <v/>
      </c>
      <c r="C54" s="32"/>
      <c r="D54" s="32"/>
      <c r="E54" s="32"/>
      <c r="F54" s="32"/>
      <c r="G54" s="116"/>
      <c r="H54" s="130">
        <v>49</v>
      </c>
      <c r="I54" s="131" t="str">
        <f t="shared" si="3"/>
        <v/>
      </c>
      <c r="J54" s="130">
        <f t="shared" si="4"/>
        <v>-5</v>
      </c>
      <c r="K54" s="130">
        <f t="shared" si="0"/>
        <v>-50</v>
      </c>
      <c r="L54" s="130"/>
      <c r="M54" s="132">
        <f t="shared" si="1"/>
        <v>0</v>
      </c>
    </row>
    <row r="55" spans="1:13" x14ac:dyDescent="0.25">
      <c r="A55" s="46"/>
      <c r="B55" s="37" t="str">
        <f t="shared" si="6"/>
        <v/>
      </c>
      <c r="C55" s="38"/>
      <c r="D55" s="38"/>
      <c r="E55" s="38"/>
      <c r="F55" s="38"/>
      <c r="G55" s="116"/>
      <c r="H55" s="133">
        <v>50</v>
      </c>
      <c r="I55" s="134" t="str">
        <f t="shared" si="3"/>
        <v/>
      </c>
      <c r="J55" s="133">
        <f t="shared" si="4"/>
        <v>-5</v>
      </c>
      <c r="K55" s="133">
        <f t="shared" si="0"/>
        <v>-50</v>
      </c>
      <c r="L55" s="133"/>
      <c r="M55" s="135">
        <f t="shared" si="1"/>
        <v>0</v>
      </c>
    </row>
    <row r="56" spans="1:13" x14ac:dyDescent="0.25">
      <c r="A56" s="47"/>
      <c r="B56" s="31" t="str">
        <f t="shared" si="6"/>
        <v/>
      </c>
      <c r="C56" s="32"/>
      <c r="D56" s="32"/>
      <c r="E56" s="32"/>
      <c r="F56" s="32"/>
      <c r="G56" s="116"/>
      <c r="H56" s="130">
        <v>51</v>
      </c>
      <c r="I56" s="131" t="str">
        <f t="shared" si="3"/>
        <v/>
      </c>
      <c r="J56" s="130">
        <f t="shared" si="4"/>
        <v>-5</v>
      </c>
      <c r="K56" s="130">
        <f t="shared" si="0"/>
        <v>-50</v>
      </c>
      <c r="L56" s="130"/>
      <c r="M56" s="132">
        <f t="shared" si="1"/>
        <v>0</v>
      </c>
    </row>
    <row r="57" spans="1:13" x14ac:dyDescent="0.25">
      <c r="A57" s="46"/>
      <c r="B57" s="37" t="str">
        <f t="shared" si="6"/>
        <v/>
      </c>
      <c r="C57" s="38"/>
      <c r="D57" s="38"/>
      <c r="E57" s="38"/>
      <c r="F57" s="38"/>
      <c r="G57" s="116"/>
      <c r="H57" s="133">
        <v>52</v>
      </c>
      <c r="I57" s="134" t="str">
        <f t="shared" si="3"/>
        <v/>
      </c>
      <c r="J57" s="133">
        <f t="shared" si="4"/>
        <v>-5</v>
      </c>
      <c r="K57" s="133">
        <f t="shared" si="0"/>
        <v>-50</v>
      </c>
      <c r="L57" s="133"/>
      <c r="M57" s="135">
        <f t="shared" si="1"/>
        <v>0</v>
      </c>
    </row>
    <row r="58" spans="1:13" x14ac:dyDescent="0.25">
      <c r="A58" s="47"/>
      <c r="B58" s="31" t="str">
        <f t="shared" si="6"/>
        <v/>
      </c>
      <c r="C58" s="32"/>
      <c r="D58" s="32"/>
      <c r="E58" s="32"/>
      <c r="F58" s="32"/>
      <c r="G58" s="116"/>
      <c r="H58" s="130">
        <v>53</v>
      </c>
      <c r="I58" s="131" t="str">
        <f t="shared" si="3"/>
        <v/>
      </c>
      <c r="J58" s="130">
        <f t="shared" si="4"/>
        <v>-5</v>
      </c>
      <c r="K58" s="130">
        <f t="shared" si="0"/>
        <v>-50</v>
      </c>
      <c r="L58" s="130"/>
      <c r="M58" s="132">
        <f t="shared" si="1"/>
        <v>0</v>
      </c>
    </row>
    <row r="59" spans="1:13" x14ac:dyDescent="0.25">
      <c r="A59" s="46"/>
      <c r="B59" s="37" t="str">
        <f t="shared" si="6"/>
        <v/>
      </c>
      <c r="C59" s="38"/>
      <c r="D59" s="38"/>
      <c r="E59" s="38"/>
      <c r="F59" s="38"/>
      <c r="G59" s="116"/>
      <c r="H59" s="133">
        <v>54</v>
      </c>
      <c r="I59" s="134" t="str">
        <f t="shared" si="3"/>
        <v/>
      </c>
      <c r="J59" s="133">
        <f t="shared" si="4"/>
        <v>-5</v>
      </c>
      <c r="K59" s="133">
        <f t="shared" si="0"/>
        <v>-50</v>
      </c>
      <c r="L59" s="133"/>
      <c r="M59" s="135">
        <f t="shared" si="1"/>
        <v>0</v>
      </c>
    </row>
    <row r="60" spans="1:13" x14ac:dyDescent="0.25">
      <c r="A60" s="47"/>
      <c r="B60" s="31" t="str">
        <f t="shared" si="6"/>
        <v/>
      </c>
      <c r="C60" s="32"/>
      <c r="D60" s="32"/>
      <c r="E60" s="32"/>
      <c r="F60" s="32"/>
      <c r="G60" s="116"/>
      <c r="H60" s="130">
        <v>55</v>
      </c>
      <c r="I60" s="131" t="str">
        <f t="shared" si="3"/>
        <v/>
      </c>
      <c r="J60" s="130">
        <f t="shared" si="4"/>
        <v>-5</v>
      </c>
      <c r="K60" s="130">
        <f t="shared" si="0"/>
        <v>-50</v>
      </c>
      <c r="L60" s="130"/>
      <c r="M60" s="132">
        <f t="shared" si="1"/>
        <v>0</v>
      </c>
    </row>
    <row r="61" spans="1:13" x14ac:dyDescent="0.25">
      <c r="A61" s="46"/>
      <c r="B61" s="37" t="str">
        <f t="shared" si="6"/>
        <v/>
      </c>
      <c r="C61" s="38"/>
      <c r="D61" s="38"/>
      <c r="E61" s="38"/>
      <c r="F61" s="38"/>
      <c r="G61" s="116"/>
      <c r="H61" s="133">
        <v>56</v>
      </c>
      <c r="I61" s="134" t="str">
        <f t="shared" si="3"/>
        <v/>
      </c>
      <c r="J61" s="133">
        <f t="shared" si="4"/>
        <v>-5</v>
      </c>
      <c r="K61" s="133">
        <f t="shared" si="0"/>
        <v>-50</v>
      </c>
      <c r="L61" s="133"/>
      <c r="M61" s="135">
        <f t="shared" si="1"/>
        <v>0</v>
      </c>
    </row>
    <row r="62" spans="1:13" x14ac:dyDescent="0.25">
      <c r="A62" s="47"/>
      <c r="B62" s="31" t="str">
        <f t="shared" si="6"/>
        <v/>
      </c>
      <c r="C62" s="32"/>
      <c r="D62" s="32"/>
      <c r="E62" s="32"/>
      <c r="F62" s="32"/>
      <c r="G62" s="116"/>
      <c r="H62" s="130">
        <v>57</v>
      </c>
      <c r="I62" s="131" t="str">
        <f t="shared" si="3"/>
        <v/>
      </c>
      <c r="J62" s="130">
        <f t="shared" si="4"/>
        <v>-5</v>
      </c>
      <c r="K62" s="130">
        <f t="shared" si="0"/>
        <v>-50</v>
      </c>
      <c r="L62" s="130"/>
      <c r="M62" s="132">
        <f t="shared" si="1"/>
        <v>0</v>
      </c>
    </row>
    <row r="63" spans="1:13" x14ac:dyDescent="0.25">
      <c r="A63" s="46"/>
      <c r="B63" s="37" t="str">
        <f t="shared" si="6"/>
        <v/>
      </c>
      <c r="C63" s="38"/>
      <c r="D63" s="38"/>
      <c r="E63" s="38"/>
      <c r="F63" s="38"/>
      <c r="G63" s="116"/>
      <c r="H63" s="133">
        <v>58</v>
      </c>
      <c r="I63" s="134" t="str">
        <f t="shared" si="3"/>
        <v/>
      </c>
      <c r="J63" s="133">
        <f t="shared" si="4"/>
        <v>-5</v>
      </c>
      <c r="K63" s="133">
        <f t="shared" si="0"/>
        <v>-50</v>
      </c>
      <c r="L63" s="133"/>
      <c r="M63" s="135">
        <f t="shared" si="1"/>
        <v>0</v>
      </c>
    </row>
    <row r="64" spans="1:13" x14ac:dyDescent="0.25">
      <c r="A64" s="47"/>
      <c r="B64" s="31" t="str">
        <f t="shared" si="6"/>
        <v/>
      </c>
      <c r="C64" s="32"/>
      <c r="D64" s="32"/>
      <c r="E64" s="32"/>
      <c r="F64" s="32"/>
      <c r="G64" s="116"/>
      <c r="H64" s="130">
        <v>59</v>
      </c>
      <c r="I64" s="131" t="str">
        <f t="shared" si="3"/>
        <v/>
      </c>
      <c r="J64" s="130">
        <f t="shared" si="4"/>
        <v>-5</v>
      </c>
      <c r="K64" s="130">
        <f t="shared" si="0"/>
        <v>-50</v>
      </c>
      <c r="L64" s="130"/>
      <c r="M64" s="132">
        <f t="shared" si="1"/>
        <v>0</v>
      </c>
    </row>
    <row r="65" spans="1:13" x14ac:dyDescent="0.25">
      <c r="A65" s="46"/>
      <c r="B65" s="37" t="str">
        <f t="shared" si="6"/>
        <v/>
      </c>
      <c r="C65" s="38"/>
      <c r="D65" s="38"/>
      <c r="E65" s="38"/>
      <c r="F65" s="38"/>
      <c r="G65" s="116"/>
      <c r="H65" s="133">
        <v>60</v>
      </c>
      <c r="I65" s="134" t="str">
        <f t="shared" si="3"/>
        <v/>
      </c>
      <c r="J65" s="133">
        <f t="shared" si="4"/>
        <v>-5</v>
      </c>
      <c r="K65" s="133">
        <f t="shared" si="0"/>
        <v>-50</v>
      </c>
      <c r="L65" s="133"/>
      <c r="M65" s="135">
        <f t="shared" si="1"/>
        <v>0</v>
      </c>
    </row>
    <row r="66" spans="1:13" x14ac:dyDescent="0.25">
      <c r="A66" s="146"/>
      <c r="B66" s="31"/>
      <c r="G66" s="116"/>
      <c r="H66" s="130">
        <v>61</v>
      </c>
      <c r="I66" s="131" t="str">
        <f t="shared" si="3"/>
        <v/>
      </c>
      <c r="J66" s="130">
        <f t="shared" si="4"/>
        <v>-5</v>
      </c>
      <c r="K66" s="130">
        <f t="shared" si="0"/>
        <v>-50</v>
      </c>
      <c r="L66" s="130"/>
      <c r="M66" s="132">
        <f t="shared" si="1"/>
        <v>0</v>
      </c>
    </row>
    <row r="67" spans="1:13" x14ac:dyDescent="0.25">
      <c r="A67" s="146"/>
      <c r="B67" s="37"/>
      <c r="G67" s="116"/>
      <c r="H67" s="130">
        <v>62</v>
      </c>
      <c r="I67" s="131" t="str">
        <f t="shared" si="3"/>
        <v/>
      </c>
      <c r="J67" s="130">
        <f t="shared" si="4"/>
        <v>-5</v>
      </c>
      <c r="K67" s="130">
        <f t="shared" si="0"/>
        <v>-50</v>
      </c>
      <c r="L67" s="130"/>
      <c r="M67" s="132">
        <f t="shared" si="1"/>
        <v>0</v>
      </c>
    </row>
    <row r="68" spans="1:13" x14ac:dyDescent="0.25">
      <c r="A68" s="146"/>
      <c r="B68" s="31"/>
      <c r="G68" s="116"/>
      <c r="H68" s="130">
        <v>63</v>
      </c>
      <c r="I68" s="131" t="str">
        <f t="shared" si="3"/>
        <v/>
      </c>
      <c r="J68" s="130">
        <f t="shared" si="4"/>
        <v>-5</v>
      </c>
      <c r="K68" s="130">
        <f t="shared" si="0"/>
        <v>-50</v>
      </c>
      <c r="L68" s="130"/>
      <c r="M68" s="132">
        <f t="shared" si="1"/>
        <v>0</v>
      </c>
    </row>
    <row r="69" spans="1:13" x14ac:dyDescent="0.25">
      <c r="A69" s="146"/>
      <c r="B69" s="37"/>
      <c r="G69" s="116"/>
      <c r="H69" s="130">
        <v>64</v>
      </c>
      <c r="I69" s="131" t="str">
        <f t="shared" si="3"/>
        <v/>
      </c>
      <c r="J69" s="130">
        <f t="shared" si="4"/>
        <v>-5</v>
      </c>
      <c r="K69" s="130">
        <f t="shared" si="0"/>
        <v>-50</v>
      </c>
      <c r="L69" s="130"/>
      <c r="M69" s="132">
        <f t="shared" si="1"/>
        <v>0</v>
      </c>
    </row>
    <row r="70" spans="1:13" x14ac:dyDescent="0.25">
      <c r="A70" s="146"/>
      <c r="G70" s="116"/>
      <c r="H70" s="130">
        <v>65</v>
      </c>
      <c r="I70" s="131" t="str">
        <f t="shared" si="3"/>
        <v/>
      </c>
      <c r="J70" s="130">
        <f t="shared" si="4"/>
        <v>-6</v>
      </c>
      <c r="K70" s="130">
        <f t="shared" ref="K70:K133" si="7">J70*$J$2</f>
        <v>-60</v>
      </c>
      <c r="L70" s="130"/>
      <c r="M70" s="132">
        <f t="shared" ref="M70:M133" si="8">IF(I70&lt;&gt;"",K70+I70+L70,0)</f>
        <v>0</v>
      </c>
    </row>
    <row r="71" spans="1:13" x14ac:dyDescent="0.25">
      <c r="A71" s="146"/>
      <c r="G71" s="116"/>
      <c r="H71" s="130">
        <v>66</v>
      </c>
      <c r="I71" s="131" t="str">
        <f t="shared" ref="I71:I134" si="9">IF(H71&lt;$H$2+1,($I$2-($I$2-1)*(LOG(H71)/LOG($H$2))),"")</f>
        <v/>
      </c>
      <c r="J71" s="130">
        <f t="shared" ref="J71:J134" si="10">INT(LOG($H$2,2))-ROUNDUP(LOG(H71,2),0)+IF(OR($H$2=1,$H$2=2,$H$2=4,$H$2=8,$H$2=16,$H$2=32,$H$2=64,$H$2=128,$H$2=256),0,1)</f>
        <v>-6</v>
      </c>
      <c r="K71" s="130">
        <f t="shared" si="7"/>
        <v>-60</v>
      </c>
      <c r="L71" s="130"/>
      <c r="M71" s="132">
        <f t="shared" si="8"/>
        <v>0</v>
      </c>
    </row>
    <row r="72" spans="1:13" x14ac:dyDescent="0.25">
      <c r="A72" s="146"/>
      <c r="G72" s="116"/>
      <c r="H72" s="130">
        <v>67</v>
      </c>
      <c r="I72" s="131" t="str">
        <f t="shared" si="9"/>
        <v/>
      </c>
      <c r="J72" s="130">
        <f t="shared" si="10"/>
        <v>-6</v>
      </c>
      <c r="K72" s="130">
        <f t="shared" si="7"/>
        <v>-60</v>
      </c>
      <c r="L72" s="130"/>
      <c r="M72" s="132">
        <f t="shared" si="8"/>
        <v>0</v>
      </c>
    </row>
    <row r="73" spans="1:13" x14ac:dyDescent="0.25">
      <c r="A73" s="146"/>
      <c r="G73" s="116"/>
      <c r="H73" s="130">
        <v>68</v>
      </c>
      <c r="I73" s="131" t="str">
        <f t="shared" si="9"/>
        <v/>
      </c>
      <c r="J73" s="130">
        <f t="shared" si="10"/>
        <v>-6</v>
      </c>
      <c r="K73" s="130">
        <f t="shared" si="7"/>
        <v>-60</v>
      </c>
      <c r="L73" s="130"/>
      <c r="M73" s="132">
        <f t="shared" si="8"/>
        <v>0</v>
      </c>
    </row>
    <row r="74" spans="1:13" x14ac:dyDescent="0.25">
      <c r="A74" s="146"/>
      <c r="G74" s="116"/>
      <c r="H74" s="130">
        <v>69</v>
      </c>
      <c r="I74" s="131" t="str">
        <f t="shared" si="9"/>
        <v/>
      </c>
      <c r="J74" s="130">
        <f t="shared" si="10"/>
        <v>-6</v>
      </c>
      <c r="K74" s="130">
        <f t="shared" si="7"/>
        <v>-60</v>
      </c>
      <c r="L74" s="130"/>
      <c r="M74" s="132">
        <f t="shared" si="8"/>
        <v>0</v>
      </c>
    </row>
    <row r="75" spans="1:13" x14ac:dyDescent="0.25">
      <c r="A75" s="146"/>
      <c r="G75" s="116"/>
      <c r="H75" s="130">
        <v>70</v>
      </c>
      <c r="I75" s="131" t="str">
        <f t="shared" si="9"/>
        <v/>
      </c>
      <c r="J75" s="130">
        <f t="shared" si="10"/>
        <v>-6</v>
      </c>
      <c r="K75" s="130">
        <f t="shared" si="7"/>
        <v>-60</v>
      </c>
      <c r="L75" s="130"/>
      <c r="M75" s="132">
        <f t="shared" si="8"/>
        <v>0</v>
      </c>
    </row>
    <row r="76" spans="1:13" x14ac:dyDescent="0.25">
      <c r="A76" s="146"/>
      <c r="G76" s="116"/>
      <c r="H76" s="130">
        <v>71</v>
      </c>
      <c r="I76" s="131" t="str">
        <f t="shared" si="9"/>
        <v/>
      </c>
      <c r="J76" s="130">
        <f t="shared" si="10"/>
        <v>-6</v>
      </c>
      <c r="K76" s="130">
        <f t="shared" si="7"/>
        <v>-60</v>
      </c>
      <c r="L76" s="130"/>
      <c r="M76" s="132">
        <f t="shared" si="8"/>
        <v>0</v>
      </c>
    </row>
    <row r="77" spans="1:13" x14ac:dyDescent="0.25">
      <c r="A77" s="146"/>
      <c r="G77" s="116"/>
      <c r="H77" s="130">
        <v>72</v>
      </c>
      <c r="I77" s="131" t="str">
        <f t="shared" si="9"/>
        <v/>
      </c>
      <c r="J77" s="130">
        <f t="shared" si="10"/>
        <v>-6</v>
      </c>
      <c r="K77" s="130">
        <f t="shared" si="7"/>
        <v>-60</v>
      </c>
      <c r="L77" s="130"/>
      <c r="M77" s="132">
        <f t="shared" si="8"/>
        <v>0</v>
      </c>
    </row>
    <row r="78" spans="1:13" x14ac:dyDescent="0.25">
      <c r="A78" s="146"/>
      <c r="G78" s="116"/>
      <c r="H78" s="130">
        <v>73</v>
      </c>
      <c r="I78" s="131" t="str">
        <f t="shared" si="9"/>
        <v/>
      </c>
      <c r="J78" s="130">
        <f t="shared" si="10"/>
        <v>-6</v>
      </c>
      <c r="K78" s="130">
        <f t="shared" si="7"/>
        <v>-60</v>
      </c>
      <c r="L78" s="130"/>
      <c r="M78" s="132">
        <f t="shared" si="8"/>
        <v>0</v>
      </c>
    </row>
    <row r="79" spans="1:13" x14ac:dyDescent="0.25">
      <c r="A79" s="146"/>
      <c r="G79" s="116"/>
      <c r="H79" s="130">
        <v>74</v>
      </c>
      <c r="I79" s="131" t="str">
        <f t="shared" si="9"/>
        <v/>
      </c>
      <c r="J79" s="130">
        <f t="shared" si="10"/>
        <v>-6</v>
      </c>
      <c r="K79" s="130">
        <f t="shared" si="7"/>
        <v>-60</v>
      </c>
      <c r="L79" s="130"/>
      <c r="M79" s="132">
        <f t="shared" si="8"/>
        <v>0</v>
      </c>
    </row>
    <row r="80" spans="1:13" x14ac:dyDescent="0.25">
      <c r="A80" s="146"/>
      <c r="G80" s="116"/>
      <c r="H80" s="130">
        <v>75</v>
      </c>
      <c r="I80" s="131" t="str">
        <f t="shared" si="9"/>
        <v/>
      </c>
      <c r="J80" s="130">
        <f t="shared" si="10"/>
        <v>-6</v>
      </c>
      <c r="K80" s="130">
        <f t="shared" si="7"/>
        <v>-60</v>
      </c>
      <c r="L80" s="130"/>
      <c r="M80" s="132">
        <f t="shared" si="8"/>
        <v>0</v>
      </c>
    </row>
    <row r="81" spans="1:13" x14ac:dyDescent="0.25">
      <c r="A81" s="146"/>
      <c r="G81" s="116"/>
      <c r="H81" s="130">
        <v>76</v>
      </c>
      <c r="I81" s="131" t="str">
        <f t="shared" si="9"/>
        <v/>
      </c>
      <c r="J81" s="130">
        <f t="shared" si="10"/>
        <v>-6</v>
      </c>
      <c r="K81" s="130">
        <f t="shared" si="7"/>
        <v>-60</v>
      </c>
      <c r="L81" s="130"/>
      <c r="M81" s="132">
        <f t="shared" si="8"/>
        <v>0</v>
      </c>
    </row>
    <row r="82" spans="1:13" x14ac:dyDescent="0.25">
      <c r="A82" s="146"/>
      <c r="G82" s="116"/>
      <c r="H82" s="130">
        <v>77</v>
      </c>
      <c r="I82" s="131" t="str">
        <f t="shared" si="9"/>
        <v/>
      </c>
      <c r="J82" s="130">
        <f t="shared" si="10"/>
        <v>-6</v>
      </c>
      <c r="K82" s="130">
        <f t="shared" si="7"/>
        <v>-60</v>
      </c>
      <c r="L82" s="130"/>
      <c r="M82" s="132">
        <f t="shared" si="8"/>
        <v>0</v>
      </c>
    </row>
    <row r="83" spans="1:13" x14ac:dyDescent="0.25">
      <c r="A83" s="146"/>
      <c r="G83" s="116"/>
      <c r="H83" s="130">
        <v>78</v>
      </c>
      <c r="I83" s="131" t="str">
        <f t="shared" si="9"/>
        <v/>
      </c>
      <c r="J83" s="130">
        <f t="shared" si="10"/>
        <v>-6</v>
      </c>
      <c r="K83" s="130">
        <f t="shared" si="7"/>
        <v>-60</v>
      </c>
      <c r="L83" s="130"/>
      <c r="M83" s="132">
        <f t="shared" si="8"/>
        <v>0</v>
      </c>
    </row>
    <row r="84" spans="1:13" x14ac:dyDescent="0.25">
      <c r="A84" s="146"/>
      <c r="G84" s="116"/>
      <c r="H84" s="130">
        <v>79</v>
      </c>
      <c r="I84" s="131" t="str">
        <f t="shared" si="9"/>
        <v/>
      </c>
      <c r="J84" s="130">
        <f t="shared" si="10"/>
        <v>-6</v>
      </c>
      <c r="K84" s="130">
        <f t="shared" si="7"/>
        <v>-60</v>
      </c>
      <c r="L84" s="130"/>
      <c r="M84" s="132">
        <f t="shared" si="8"/>
        <v>0</v>
      </c>
    </row>
    <row r="85" spans="1:13" x14ac:dyDescent="0.25">
      <c r="A85" s="146"/>
      <c r="G85" s="116"/>
      <c r="H85" s="130">
        <v>80</v>
      </c>
      <c r="I85" s="131" t="str">
        <f t="shared" si="9"/>
        <v/>
      </c>
      <c r="J85" s="130">
        <f t="shared" si="10"/>
        <v>-6</v>
      </c>
      <c r="K85" s="130">
        <f t="shared" si="7"/>
        <v>-60</v>
      </c>
      <c r="L85" s="130"/>
      <c r="M85" s="132">
        <f t="shared" si="8"/>
        <v>0</v>
      </c>
    </row>
    <row r="86" spans="1:13" x14ac:dyDescent="0.25">
      <c r="A86" s="146"/>
      <c r="G86" s="116"/>
      <c r="H86" s="130">
        <v>81</v>
      </c>
      <c r="I86" s="131" t="str">
        <f t="shared" si="9"/>
        <v/>
      </c>
      <c r="J86" s="130">
        <f t="shared" si="10"/>
        <v>-6</v>
      </c>
      <c r="K86" s="130">
        <f t="shared" si="7"/>
        <v>-60</v>
      </c>
      <c r="L86" s="130"/>
      <c r="M86" s="132">
        <f t="shared" si="8"/>
        <v>0</v>
      </c>
    </row>
    <row r="87" spans="1:13" x14ac:dyDescent="0.25">
      <c r="A87" s="146"/>
      <c r="G87" s="116"/>
      <c r="H87" s="130">
        <v>82</v>
      </c>
      <c r="I87" s="131" t="str">
        <f t="shared" si="9"/>
        <v/>
      </c>
      <c r="J87" s="130">
        <f t="shared" si="10"/>
        <v>-6</v>
      </c>
      <c r="K87" s="130">
        <f t="shared" si="7"/>
        <v>-60</v>
      </c>
      <c r="L87" s="130"/>
      <c r="M87" s="132">
        <f t="shared" si="8"/>
        <v>0</v>
      </c>
    </row>
    <row r="88" spans="1:13" x14ac:dyDescent="0.25">
      <c r="A88" s="146"/>
      <c r="G88" s="116"/>
      <c r="H88" s="130">
        <v>83</v>
      </c>
      <c r="I88" s="131" t="str">
        <f t="shared" si="9"/>
        <v/>
      </c>
      <c r="J88" s="130">
        <f t="shared" si="10"/>
        <v>-6</v>
      </c>
      <c r="K88" s="130">
        <f t="shared" si="7"/>
        <v>-60</v>
      </c>
      <c r="L88" s="130"/>
      <c r="M88" s="132">
        <f t="shared" si="8"/>
        <v>0</v>
      </c>
    </row>
    <row r="89" spans="1:13" x14ac:dyDescent="0.25">
      <c r="A89" s="146"/>
      <c r="G89" s="116"/>
      <c r="H89" s="130">
        <v>84</v>
      </c>
      <c r="I89" s="131" t="str">
        <f t="shared" si="9"/>
        <v/>
      </c>
      <c r="J89" s="130">
        <f t="shared" si="10"/>
        <v>-6</v>
      </c>
      <c r="K89" s="130">
        <f t="shared" si="7"/>
        <v>-60</v>
      </c>
      <c r="L89" s="130"/>
      <c r="M89" s="132">
        <f t="shared" si="8"/>
        <v>0</v>
      </c>
    </row>
    <row r="90" spans="1:13" x14ac:dyDescent="0.25">
      <c r="A90" s="146"/>
      <c r="G90" s="116"/>
      <c r="H90" s="130">
        <v>85</v>
      </c>
      <c r="I90" s="131" t="str">
        <f t="shared" si="9"/>
        <v/>
      </c>
      <c r="J90" s="130">
        <f t="shared" si="10"/>
        <v>-6</v>
      </c>
      <c r="K90" s="130">
        <f t="shared" si="7"/>
        <v>-60</v>
      </c>
      <c r="L90" s="130"/>
      <c r="M90" s="132">
        <f t="shared" si="8"/>
        <v>0</v>
      </c>
    </row>
    <row r="91" spans="1:13" x14ac:dyDescent="0.25">
      <c r="A91" s="146"/>
      <c r="G91" s="116"/>
      <c r="H91" s="130">
        <v>86</v>
      </c>
      <c r="I91" s="131" t="str">
        <f t="shared" si="9"/>
        <v/>
      </c>
      <c r="J91" s="130">
        <f t="shared" si="10"/>
        <v>-6</v>
      </c>
      <c r="K91" s="130">
        <f t="shared" si="7"/>
        <v>-60</v>
      </c>
      <c r="L91" s="130"/>
      <c r="M91" s="132">
        <f t="shared" si="8"/>
        <v>0</v>
      </c>
    </row>
    <row r="92" spans="1:13" x14ac:dyDescent="0.25">
      <c r="A92" s="146"/>
      <c r="G92" s="116"/>
      <c r="H92" s="130">
        <v>87</v>
      </c>
      <c r="I92" s="131" t="str">
        <f t="shared" si="9"/>
        <v/>
      </c>
      <c r="J92" s="130">
        <f t="shared" si="10"/>
        <v>-6</v>
      </c>
      <c r="K92" s="130">
        <f t="shared" si="7"/>
        <v>-60</v>
      </c>
      <c r="L92" s="130"/>
      <c r="M92" s="132">
        <f t="shared" si="8"/>
        <v>0</v>
      </c>
    </row>
    <row r="93" spans="1:13" x14ac:dyDescent="0.25">
      <c r="A93" s="146"/>
      <c r="G93" s="116"/>
      <c r="H93" s="130">
        <v>88</v>
      </c>
      <c r="I93" s="131" t="str">
        <f t="shared" si="9"/>
        <v/>
      </c>
      <c r="J93" s="130">
        <f t="shared" si="10"/>
        <v>-6</v>
      </c>
      <c r="K93" s="130">
        <f t="shared" si="7"/>
        <v>-60</v>
      </c>
      <c r="L93" s="130"/>
      <c r="M93" s="132">
        <f t="shared" si="8"/>
        <v>0</v>
      </c>
    </row>
    <row r="94" spans="1:13" x14ac:dyDescent="0.25">
      <c r="A94" s="146"/>
      <c r="G94" s="116"/>
      <c r="H94" s="130">
        <v>89</v>
      </c>
      <c r="I94" s="131" t="str">
        <f t="shared" si="9"/>
        <v/>
      </c>
      <c r="J94" s="130">
        <f t="shared" si="10"/>
        <v>-6</v>
      </c>
      <c r="K94" s="130">
        <f t="shared" si="7"/>
        <v>-60</v>
      </c>
      <c r="L94" s="130"/>
      <c r="M94" s="132">
        <f t="shared" si="8"/>
        <v>0</v>
      </c>
    </row>
    <row r="95" spans="1:13" x14ac:dyDescent="0.25">
      <c r="A95" s="146"/>
      <c r="G95" s="116"/>
      <c r="H95" s="130">
        <v>90</v>
      </c>
      <c r="I95" s="131" t="str">
        <f t="shared" si="9"/>
        <v/>
      </c>
      <c r="J95" s="130">
        <f t="shared" si="10"/>
        <v>-6</v>
      </c>
      <c r="K95" s="130">
        <f t="shared" si="7"/>
        <v>-60</v>
      </c>
      <c r="L95" s="130"/>
      <c r="M95" s="132">
        <f t="shared" si="8"/>
        <v>0</v>
      </c>
    </row>
    <row r="96" spans="1:13" x14ac:dyDescent="0.25">
      <c r="A96" s="146"/>
      <c r="G96" s="116"/>
      <c r="H96" s="130">
        <v>91</v>
      </c>
      <c r="I96" s="131" t="str">
        <f t="shared" si="9"/>
        <v/>
      </c>
      <c r="J96" s="130">
        <f t="shared" si="10"/>
        <v>-6</v>
      </c>
      <c r="K96" s="130">
        <f t="shared" si="7"/>
        <v>-60</v>
      </c>
      <c r="L96" s="130"/>
      <c r="M96" s="132">
        <f t="shared" si="8"/>
        <v>0</v>
      </c>
    </row>
    <row r="97" spans="1:13" x14ac:dyDescent="0.25">
      <c r="A97" s="146"/>
      <c r="G97" s="116"/>
      <c r="H97" s="130">
        <v>92</v>
      </c>
      <c r="I97" s="131" t="str">
        <f t="shared" si="9"/>
        <v/>
      </c>
      <c r="J97" s="130">
        <f t="shared" si="10"/>
        <v>-6</v>
      </c>
      <c r="K97" s="130">
        <f t="shared" si="7"/>
        <v>-60</v>
      </c>
      <c r="L97" s="130"/>
      <c r="M97" s="132">
        <f t="shared" si="8"/>
        <v>0</v>
      </c>
    </row>
    <row r="98" spans="1:13" x14ac:dyDescent="0.25">
      <c r="A98" s="146"/>
      <c r="G98" s="116"/>
      <c r="H98" s="130">
        <v>93</v>
      </c>
      <c r="I98" s="131" t="str">
        <f t="shared" si="9"/>
        <v/>
      </c>
      <c r="J98" s="130">
        <f t="shared" si="10"/>
        <v>-6</v>
      </c>
      <c r="K98" s="130">
        <f t="shared" si="7"/>
        <v>-60</v>
      </c>
      <c r="L98" s="130"/>
      <c r="M98" s="132">
        <f t="shared" si="8"/>
        <v>0</v>
      </c>
    </row>
    <row r="99" spans="1:13" x14ac:dyDescent="0.25">
      <c r="A99" s="146"/>
      <c r="G99" s="116"/>
      <c r="H99" s="130">
        <v>94</v>
      </c>
      <c r="I99" s="131" t="str">
        <f t="shared" si="9"/>
        <v/>
      </c>
      <c r="J99" s="130">
        <f t="shared" si="10"/>
        <v>-6</v>
      </c>
      <c r="K99" s="130">
        <f t="shared" si="7"/>
        <v>-60</v>
      </c>
      <c r="L99" s="130"/>
      <c r="M99" s="132">
        <f t="shared" si="8"/>
        <v>0</v>
      </c>
    </row>
    <row r="100" spans="1:13" x14ac:dyDescent="0.25">
      <c r="A100" s="146"/>
      <c r="G100" s="116"/>
      <c r="H100" s="130">
        <v>95</v>
      </c>
      <c r="I100" s="131" t="str">
        <f t="shared" si="9"/>
        <v/>
      </c>
      <c r="J100" s="130">
        <f t="shared" si="10"/>
        <v>-6</v>
      </c>
      <c r="K100" s="130">
        <f t="shared" si="7"/>
        <v>-60</v>
      </c>
      <c r="L100" s="130"/>
      <c r="M100" s="132">
        <f t="shared" si="8"/>
        <v>0</v>
      </c>
    </row>
    <row r="101" spans="1:13" x14ac:dyDescent="0.25">
      <c r="A101" s="146"/>
      <c r="G101" s="116"/>
      <c r="H101" s="130">
        <v>96</v>
      </c>
      <c r="I101" s="131" t="str">
        <f t="shared" si="9"/>
        <v/>
      </c>
      <c r="J101" s="130">
        <f t="shared" si="10"/>
        <v>-6</v>
      </c>
      <c r="K101" s="130">
        <f t="shared" si="7"/>
        <v>-60</v>
      </c>
      <c r="L101" s="130"/>
      <c r="M101" s="132">
        <f t="shared" si="8"/>
        <v>0</v>
      </c>
    </row>
    <row r="102" spans="1:13" x14ac:dyDescent="0.25">
      <c r="A102" s="146"/>
      <c r="G102" s="116"/>
      <c r="H102" s="130">
        <v>97</v>
      </c>
      <c r="I102" s="131" t="str">
        <f t="shared" si="9"/>
        <v/>
      </c>
      <c r="J102" s="130">
        <f t="shared" si="10"/>
        <v>-6</v>
      </c>
      <c r="K102" s="130">
        <f t="shared" si="7"/>
        <v>-60</v>
      </c>
      <c r="L102" s="130"/>
      <c r="M102" s="132">
        <f t="shared" si="8"/>
        <v>0</v>
      </c>
    </row>
    <row r="103" spans="1:13" x14ac:dyDescent="0.25">
      <c r="A103" s="146"/>
      <c r="G103" s="116"/>
      <c r="H103" s="130">
        <v>98</v>
      </c>
      <c r="I103" s="131" t="str">
        <f t="shared" si="9"/>
        <v/>
      </c>
      <c r="J103" s="130">
        <f t="shared" si="10"/>
        <v>-6</v>
      </c>
      <c r="K103" s="130">
        <f t="shared" si="7"/>
        <v>-60</v>
      </c>
      <c r="L103" s="130"/>
      <c r="M103" s="132">
        <f t="shared" si="8"/>
        <v>0</v>
      </c>
    </row>
    <row r="104" spans="1:13" x14ac:dyDescent="0.25">
      <c r="A104" s="146"/>
      <c r="G104" s="116"/>
      <c r="H104" s="130">
        <v>99</v>
      </c>
      <c r="I104" s="131" t="str">
        <f t="shared" si="9"/>
        <v/>
      </c>
      <c r="J104" s="130">
        <f t="shared" si="10"/>
        <v>-6</v>
      </c>
      <c r="K104" s="130">
        <f t="shared" si="7"/>
        <v>-60</v>
      </c>
      <c r="L104" s="130"/>
      <c r="M104" s="132">
        <f t="shared" si="8"/>
        <v>0</v>
      </c>
    </row>
    <row r="105" spans="1:13" x14ac:dyDescent="0.25">
      <c r="A105" s="146"/>
      <c r="G105" s="116"/>
      <c r="H105" s="130">
        <v>100</v>
      </c>
      <c r="I105" s="131" t="str">
        <f t="shared" si="9"/>
        <v/>
      </c>
      <c r="J105" s="130">
        <f t="shared" si="10"/>
        <v>-6</v>
      </c>
      <c r="K105" s="130">
        <f t="shared" si="7"/>
        <v>-60</v>
      </c>
      <c r="L105" s="130"/>
      <c r="M105" s="132">
        <f t="shared" si="8"/>
        <v>0</v>
      </c>
    </row>
    <row r="106" spans="1:13" x14ac:dyDescent="0.25">
      <c r="A106" s="146"/>
      <c r="G106" s="116"/>
      <c r="H106" s="130">
        <v>101</v>
      </c>
      <c r="I106" s="131" t="str">
        <f t="shared" si="9"/>
        <v/>
      </c>
      <c r="J106" s="130">
        <f t="shared" si="10"/>
        <v>-6</v>
      </c>
      <c r="K106" s="130">
        <f t="shared" si="7"/>
        <v>-60</v>
      </c>
      <c r="L106" s="130"/>
      <c r="M106" s="132">
        <f t="shared" si="8"/>
        <v>0</v>
      </c>
    </row>
    <row r="107" spans="1:13" x14ac:dyDescent="0.25">
      <c r="A107" s="146"/>
      <c r="G107" s="116"/>
      <c r="H107" s="130">
        <v>102</v>
      </c>
      <c r="I107" s="131" t="str">
        <f t="shared" si="9"/>
        <v/>
      </c>
      <c r="J107" s="130">
        <f t="shared" si="10"/>
        <v>-6</v>
      </c>
      <c r="K107" s="130">
        <f t="shared" si="7"/>
        <v>-60</v>
      </c>
      <c r="L107" s="130"/>
      <c r="M107" s="132">
        <f t="shared" si="8"/>
        <v>0</v>
      </c>
    </row>
    <row r="108" spans="1:13" x14ac:dyDescent="0.25">
      <c r="A108" s="146"/>
      <c r="G108" s="116"/>
      <c r="H108" s="130">
        <v>103</v>
      </c>
      <c r="I108" s="131" t="str">
        <f t="shared" si="9"/>
        <v/>
      </c>
      <c r="J108" s="130">
        <f t="shared" si="10"/>
        <v>-6</v>
      </c>
      <c r="K108" s="130">
        <f t="shared" si="7"/>
        <v>-60</v>
      </c>
      <c r="L108" s="130"/>
      <c r="M108" s="132">
        <f t="shared" si="8"/>
        <v>0</v>
      </c>
    </row>
    <row r="109" spans="1:13" x14ac:dyDescent="0.25">
      <c r="A109" s="146"/>
      <c r="G109" s="116"/>
      <c r="H109" s="130">
        <v>104</v>
      </c>
      <c r="I109" s="131" t="str">
        <f t="shared" si="9"/>
        <v/>
      </c>
      <c r="J109" s="130">
        <f t="shared" si="10"/>
        <v>-6</v>
      </c>
      <c r="K109" s="130">
        <f t="shared" si="7"/>
        <v>-60</v>
      </c>
      <c r="L109" s="130"/>
      <c r="M109" s="132">
        <f t="shared" si="8"/>
        <v>0</v>
      </c>
    </row>
    <row r="110" spans="1:13" x14ac:dyDescent="0.25">
      <c r="A110" s="146"/>
      <c r="G110" s="116"/>
      <c r="H110" s="130">
        <v>105</v>
      </c>
      <c r="I110" s="131" t="str">
        <f t="shared" si="9"/>
        <v/>
      </c>
      <c r="J110" s="130">
        <f t="shared" si="10"/>
        <v>-6</v>
      </c>
      <c r="K110" s="130">
        <f t="shared" si="7"/>
        <v>-60</v>
      </c>
      <c r="L110" s="130"/>
      <c r="M110" s="132">
        <f t="shared" si="8"/>
        <v>0</v>
      </c>
    </row>
    <row r="111" spans="1:13" x14ac:dyDescent="0.25">
      <c r="A111" s="146"/>
      <c r="G111" s="116"/>
      <c r="H111" s="130">
        <v>106</v>
      </c>
      <c r="I111" s="131" t="str">
        <f t="shared" si="9"/>
        <v/>
      </c>
      <c r="J111" s="130">
        <f t="shared" si="10"/>
        <v>-6</v>
      </c>
      <c r="K111" s="130">
        <f t="shared" si="7"/>
        <v>-60</v>
      </c>
      <c r="L111" s="130"/>
      <c r="M111" s="132">
        <f t="shared" si="8"/>
        <v>0</v>
      </c>
    </row>
    <row r="112" spans="1:13" x14ac:dyDescent="0.25">
      <c r="A112" s="146"/>
      <c r="G112" s="116"/>
      <c r="H112" s="130">
        <v>107</v>
      </c>
      <c r="I112" s="131" t="str">
        <f t="shared" si="9"/>
        <v/>
      </c>
      <c r="J112" s="130">
        <f t="shared" si="10"/>
        <v>-6</v>
      </c>
      <c r="K112" s="130">
        <f t="shared" si="7"/>
        <v>-60</v>
      </c>
      <c r="L112" s="130"/>
      <c r="M112" s="132">
        <f t="shared" si="8"/>
        <v>0</v>
      </c>
    </row>
    <row r="113" spans="1:13" x14ac:dyDescent="0.25">
      <c r="A113" s="146"/>
      <c r="G113" s="116"/>
      <c r="H113" s="130">
        <v>108</v>
      </c>
      <c r="I113" s="131" t="str">
        <f t="shared" si="9"/>
        <v/>
      </c>
      <c r="J113" s="130">
        <f t="shared" si="10"/>
        <v>-6</v>
      </c>
      <c r="K113" s="130">
        <f t="shared" si="7"/>
        <v>-60</v>
      </c>
      <c r="L113" s="130"/>
      <c r="M113" s="132">
        <f t="shared" si="8"/>
        <v>0</v>
      </c>
    </row>
    <row r="114" spans="1:13" x14ac:dyDescent="0.25">
      <c r="A114" s="146"/>
      <c r="G114" s="116"/>
      <c r="H114" s="130">
        <v>109</v>
      </c>
      <c r="I114" s="131" t="str">
        <f t="shared" si="9"/>
        <v/>
      </c>
      <c r="J114" s="130">
        <f t="shared" si="10"/>
        <v>-6</v>
      </c>
      <c r="K114" s="130">
        <f t="shared" si="7"/>
        <v>-60</v>
      </c>
      <c r="L114" s="130"/>
      <c r="M114" s="132">
        <f t="shared" si="8"/>
        <v>0</v>
      </c>
    </row>
    <row r="115" spans="1:13" x14ac:dyDescent="0.25">
      <c r="A115" s="146"/>
      <c r="G115" s="116"/>
      <c r="H115" s="130">
        <v>110</v>
      </c>
      <c r="I115" s="131" t="str">
        <f t="shared" si="9"/>
        <v/>
      </c>
      <c r="J115" s="130">
        <f t="shared" si="10"/>
        <v>-6</v>
      </c>
      <c r="K115" s="130">
        <f t="shared" si="7"/>
        <v>-60</v>
      </c>
      <c r="L115" s="130"/>
      <c r="M115" s="132">
        <f t="shared" si="8"/>
        <v>0</v>
      </c>
    </row>
    <row r="116" spans="1:13" x14ac:dyDescent="0.25">
      <c r="A116" s="146"/>
      <c r="G116" s="116"/>
      <c r="H116" s="130">
        <v>111</v>
      </c>
      <c r="I116" s="131" t="str">
        <f t="shared" si="9"/>
        <v/>
      </c>
      <c r="J116" s="130">
        <f t="shared" si="10"/>
        <v>-6</v>
      </c>
      <c r="K116" s="130">
        <f t="shared" si="7"/>
        <v>-60</v>
      </c>
      <c r="L116" s="130"/>
      <c r="M116" s="132">
        <f t="shared" si="8"/>
        <v>0</v>
      </c>
    </row>
    <row r="117" spans="1:13" x14ac:dyDescent="0.25">
      <c r="A117" s="146"/>
      <c r="G117" s="116"/>
      <c r="H117" s="130">
        <v>112</v>
      </c>
      <c r="I117" s="131" t="str">
        <f t="shared" si="9"/>
        <v/>
      </c>
      <c r="J117" s="130">
        <f t="shared" si="10"/>
        <v>-6</v>
      </c>
      <c r="K117" s="130">
        <f t="shared" si="7"/>
        <v>-60</v>
      </c>
      <c r="L117" s="130"/>
      <c r="M117" s="132">
        <f t="shared" si="8"/>
        <v>0</v>
      </c>
    </row>
    <row r="118" spans="1:13" x14ac:dyDescent="0.25">
      <c r="A118" s="146"/>
      <c r="G118" s="116"/>
      <c r="H118" s="130">
        <v>113</v>
      </c>
      <c r="I118" s="131" t="str">
        <f t="shared" si="9"/>
        <v/>
      </c>
      <c r="J118" s="130">
        <f t="shared" si="10"/>
        <v>-6</v>
      </c>
      <c r="K118" s="130">
        <f t="shared" si="7"/>
        <v>-60</v>
      </c>
      <c r="L118" s="130"/>
      <c r="M118" s="132">
        <f t="shared" si="8"/>
        <v>0</v>
      </c>
    </row>
    <row r="119" spans="1:13" x14ac:dyDescent="0.25">
      <c r="A119" s="146"/>
      <c r="G119" s="116"/>
      <c r="H119" s="130">
        <v>114</v>
      </c>
      <c r="I119" s="131" t="str">
        <f t="shared" si="9"/>
        <v/>
      </c>
      <c r="J119" s="130">
        <f t="shared" si="10"/>
        <v>-6</v>
      </c>
      <c r="K119" s="130">
        <f t="shared" si="7"/>
        <v>-60</v>
      </c>
      <c r="L119" s="130"/>
      <c r="M119" s="132">
        <f t="shared" si="8"/>
        <v>0</v>
      </c>
    </row>
    <row r="120" spans="1:13" x14ac:dyDescent="0.25">
      <c r="A120" s="146"/>
      <c r="G120" s="116"/>
      <c r="H120" s="130">
        <v>115</v>
      </c>
      <c r="I120" s="131" t="str">
        <f t="shared" si="9"/>
        <v/>
      </c>
      <c r="J120" s="130">
        <f t="shared" si="10"/>
        <v>-6</v>
      </c>
      <c r="K120" s="130">
        <f t="shared" si="7"/>
        <v>-60</v>
      </c>
      <c r="L120" s="130"/>
      <c r="M120" s="132">
        <f t="shared" si="8"/>
        <v>0</v>
      </c>
    </row>
    <row r="121" spans="1:13" x14ac:dyDescent="0.25">
      <c r="A121" s="146"/>
      <c r="G121" s="116"/>
      <c r="H121" s="130">
        <v>116</v>
      </c>
      <c r="I121" s="131" t="str">
        <f t="shared" si="9"/>
        <v/>
      </c>
      <c r="J121" s="130">
        <f t="shared" si="10"/>
        <v>-6</v>
      </c>
      <c r="K121" s="130">
        <f t="shared" si="7"/>
        <v>-60</v>
      </c>
      <c r="L121" s="130"/>
      <c r="M121" s="132">
        <f t="shared" si="8"/>
        <v>0</v>
      </c>
    </row>
    <row r="122" spans="1:13" x14ac:dyDescent="0.25">
      <c r="A122" s="146"/>
      <c r="G122" s="116"/>
      <c r="H122" s="130">
        <v>117</v>
      </c>
      <c r="I122" s="131" t="str">
        <f t="shared" si="9"/>
        <v/>
      </c>
      <c r="J122" s="130">
        <f t="shared" si="10"/>
        <v>-6</v>
      </c>
      <c r="K122" s="130">
        <f t="shared" si="7"/>
        <v>-60</v>
      </c>
      <c r="L122" s="130"/>
      <c r="M122" s="132">
        <f t="shared" si="8"/>
        <v>0</v>
      </c>
    </row>
    <row r="123" spans="1:13" x14ac:dyDescent="0.25">
      <c r="A123" s="146"/>
      <c r="G123" s="116"/>
      <c r="H123" s="130">
        <v>118</v>
      </c>
      <c r="I123" s="131" t="str">
        <f t="shared" si="9"/>
        <v/>
      </c>
      <c r="J123" s="130">
        <f t="shared" si="10"/>
        <v>-6</v>
      </c>
      <c r="K123" s="130">
        <f t="shared" si="7"/>
        <v>-60</v>
      </c>
      <c r="L123" s="130"/>
      <c r="M123" s="132">
        <f t="shared" si="8"/>
        <v>0</v>
      </c>
    </row>
    <row r="124" spans="1:13" x14ac:dyDescent="0.25">
      <c r="A124" s="146"/>
      <c r="G124" s="116"/>
      <c r="H124" s="130">
        <v>119</v>
      </c>
      <c r="I124" s="131" t="str">
        <f t="shared" si="9"/>
        <v/>
      </c>
      <c r="J124" s="130">
        <f t="shared" si="10"/>
        <v>-6</v>
      </c>
      <c r="K124" s="130">
        <f t="shared" si="7"/>
        <v>-60</v>
      </c>
      <c r="L124" s="130"/>
      <c r="M124" s="132">
        <f t="shared" si="8"/>
        <v>0</v>
      </c>
    </row>
    <row r="125" spans="1:13" x14ac:dyDescent="0.25">
      <c r="A125" s="146"/>
      <c r="G125" s="116"/>
      <c r="H125" s="130">
        <v>120</v>
      </c>
      <c r="I125" s="131" t="str">
        <f t="shared" si="9"/>
        <v/>
      </c>
      <c r="J125" s="130">
        <f t="shared" si="10"/>
        <v>-6</v>
      </c>
      <c r="K125" s="130">
        <f t="shared" si="7"/>
        <v>-60</v>
      </c>
      <c r="L125" s="130"/>
      <c r="M125" s="132">
        <f t="shared" si="8"/>
        <v>0</v>
      </c>
    </row>
    <row r="126" spans="1:13" x14ac:dyDescent="0.25">
      <c r="A126" s="146"/>
      <c r="G126" s="116"/>
      <c r="H126" s="130">
        <v>121</v>
      </c>
      <c r="I126" s="131" t="str">
        <f t="shared" si="9"/>
        <v/>
      </c>
      <c r="J126" s="130">
        <f t="shared" si="10"/>
        <v>-6</v>
      </c>
      <c r="K126" s="130">
        <f t="shared" si="7"/>
        <v>-60</v>
      </c>
      <c r="L126" s="130"/>
      <c r="M126" s="132">
        <f t="shared" si="8"/>
        <v>0</v>
      </c>
    </row>
    <row r="127" spans="1:13" x14ac:dyDescent="0.25">
      <c r="A127" s="146"/>
      <c r="G127" s="116"/>
      <c r="H127" s="130">
        <v>122</v>
      </c>
      <c r="I127" s="131" t="str">
        <f t="shared" si="9"/>
        <v/>
      </c>
      <c r="J127" s="130">
        <f t="shared" si="10"/>
        <v>-6</v>
      </c>
      <c r="K127" s="130">
        <f t="shared" si="7"/>
        <v>-60</v>
      </c>
      <c r="L127" s="130"/>
      <c r="M127" s="132">
        <f t="shared" si="8"/>
        <v>0</v>
      </c>
    </row>
    <row r="128" spans="1:13" x14ac:dyDescent="0.25">
      <c r="A128" s="146"/>
      <c r="G128" s="116"/>
      <c r="H128" s="130">
        <v>123</v>
      </c>
      <c r="I128" s="131" t="str">
        <f t="shared" si="9"/>
        <v/>
      </c>
      <c r="J128" s="130">
        <f t="shared" si="10"/>
        <v>-6</v>
      </c>
      <c r="K128" s="130">
        <f t="shared" si="7"/>
        <v>-60</v>
      </c>
      <c r="L128" s="130"/>
      <c r="M128" s="132">
        <f t="shared" si="8"/>
        <v>0</v>
      </c>
    </row>
    <row r="129" spans="1:13" x14ac:dyDescent="0.25">
      <c r="A129" s="146"/>
      <c r="G129" s="116"/>
      <c r="H129" s="130">
        <v>124</v>
      </c>
      <c r="I129" s="131" t="str">
        <f t="shared" si="9"/>
        <v/>
      </c>
      <c r="J129" s="130">
        <f t="shared" si="10"/>
        <v>-6</v>
      </c>
      <c r="K129" s="130">
        <f t="shared" si="7"/>
        <v>-60</v>
      </c>
      <c r="L129" s="130"/>
      <c r="M129" s="132">
        <f t="shared" si="8"/>
        <v>0</v>
      </c>
    </row>
    <row r="130" spans="1:13" x14ac:dyDescent="0.25">
      <c r="A130" s="146"/>
      <c r="G130" s="116"/>
      <c r="H130" s="130">
        <v>125</v>
      </c>
      <c r="I130" s="131" t="str">
        <f t="shared" si="9"/>
        <v/>
      </c>
      <c r="J130" s="130">
        <f t="shared" si="10"/>
        <v>-6</v>
      </c>
      <c r="K130" s="130">
        <f t="shared" si="7"/>
        <v>-60</v>
      </c>
      <c r="L130" s="130"/>
      <c r="M130" s="132">
        <f t="shared" si="8"/>
        <v>0</v>
      </c>
    </row>
    <row r="131" spans="1:13" x14ac:dyDescent="0.25">
      <c r="A131" s="146"/>
      <c r="G131" s="116"/>
      <c r="H131" s="130">
        <v>126</v>
      </c>
      <c r="I131" s="131" t="str">
        <f t="shared" si="9"/>
        <v/>
      </c>
      <c r="J131" s="130">
        <f t="shared" si="10"/>
        <v>-6</v>
      </c>
      <c r="K131" s="130">
        <f t="shared" si="7"/>
        <v>-60</v>
      </c>
      <c r="L131" s="130"/>
      <c r="M131" s="132">
        <f t="shared" si="8"/>
        <v>0</v>
      </c>
    </row>
    <row r="132" spans="1:13" x14ac:dyDescent="0.25">
      <c r="A132" s="146"/>
      <c r="G132" s="116"/>
      <c r="H132" s="130">
        <v>127</v>
      </c>
      <c r="I132" s="131" t="str">
        <f t="shared" si="9"/>
        <v/>
      </c>
      <c r="J132" s="130">
        <f t="shared" si="10"/>
        <v>-6</v>
      </c>
      <c r="K132" s="130">
        <f t="shared" si="7"/>
        <v>-60</v>
      </c>
      <c r="L132" s="130"/>
      <c r="M132" s="132">
        <f t="shared" si="8"/>
        <v>0</v>
      </c>
    </row>
    <row r="133" spans="1:13" x14ac:dyDescent="0.25">
      <c r="A133" s="146"/>
      <c r="G133" s="116"/>
      <c r="H133" s="130">
        <v>128</v>
      </c>
      <c r="I133" s="131" t="str">
        <f t="shared" si="9"/>
        <v/>
      </c>
      <c r="J133" s="130">
        <f t="shared" si="10"/>
        <v>-6</v>
      </c>
      <c r="K133" s="130">
        <f t="shared" si="7"/>
        <v>-60</v>
      </c>
      <c r="L133" s="130"/>
      <c r="M133" s="132">
        <f t="shared" si="8"/>
        <v>0</v>
      </c>
    </row>
    <row r="134" spans="1:13" x14ac:dyDescent="0.25">
      <c r="A134" s="146"/>
      <c r="G134" s="116"/>
      <c r="H134" s="130">
        <v>129</v>
      </c>
      <c r="I134" s="131" t="str">
        <f t="shared" si="9"/>
        <v/>
      </c>
      <c r="J134" s="130">
        <f t="shared" si="10"/>
        <v>-7</v>
      </c>
      <c r="K134" s="130">
        <f t="shared" ref="K134:K197" si="11">J134*$J$2</f>
        <v>-70</v>
      </c>
      <c r="L134" s="130"/>
      <c r="M134" s="132">
        <f t="shared" ref="M134:M197" si="12">IF(I134&lt;&gt;"",K134+I134+L134,0)</f>
        <v>0</v>
      </c>
    </row>
    <row r="135" spans="1:13" x14ac:dyDescent="0.25">
      <c r="A135" s="146"/>
      <c r="G135" s="116"/>
      <c r="H135" s="130">
        <v>130</v>
      </c>
      <c r="I135" s="131" t="str">
        <f t="shared" ref="I135:I198" si="13">IF(H135&lt;$H$2+1,($I$2-($I$2-1)*(LOG(H135)/LOG($H$2))),"")</f>
        <v/>
      </c>
      <c r="J135" s="130">
        <f t="shared" ref="J135:J198" si="14">INT(LOG($H$2,2))-ROUNDUP(LOG(H135,2),0)+IF(OR($H$2=1,$H$2=2,$H$2=4,$H$2=8,$H$2=16,$H$2=32,$H$2=64,$H$2=128,$H$2=256),0,1)</f>
        <v>-7</v>
      </c>
      <c r="K135" s="130">
        <f t="shared" si="11"/>
        <v>-70</v>
      </c>
      <c r="L135" s="130"/>
      <c r="M135" s="132">
        <f t="shared" si="12"/>
        <v>0</v>
      </c>
    </row>
    <row r="136" spans="1:13" x14ac:dyDescent="0.25">
      <c r="A136" s="146"/>
      <c r="G136" s="116"/>
      <c r="H136" s="130">
        <v>131</v>
      </c>
      <c r="I136" s="131" t="str">
        <f t="shared" si="13"/>
        <v/>
      </c>
      <c r="J136" s="130">
        <f t="shared" si="14"/>
        <v>-7</v>
      </c>
      <c r="K136" s="130">
        <f t="shared" si="11"/>
        <v>-70</v>
      </c>
      <c r="L136" s="130"/>
      <c r="M136" s="132">
        <f t="shared" si="12"/>
        <v>0</v>
      </c>
    </row>
    <row r="137" spans="1:13" x14ac:dyDescent="0.25">
      <c r="A137" s="146"/>
      <c r="G137" s="116"/>
      <c r="H137" s="130">
        <v>132</v>
      </c>
      <c r="I137" s="131" t="str">
        <f t="shared" si="13"/>
        <v/>
      </c>
      <c r="J137" s="130">
        <f t="shared" si="14"/>
        <v>-7</v>
      </c>
      <c r="K137" s="130">
        <f t="shared" si="11"/>
        <v>-70</v>
      </c>
      <c r="L137" s="130"/>
      <c r="M137" s="132">
        <f t="shared" si="12"/>
        <v>0</v>
      </c>
    </row>
    <row r="138" spans="1:13" x14ac:dyDescent="0.25">
      <c r="A138" s="146"/>
      <c r="G138" s="116"/>
      <c r="H138" s="130">
        <v>133</v>
      </c>
      <c r="I138" s="131" t="str">
        <f t="shared" si="13"/>
        <v/>
      </c>
      <c r="J138" s="130">
        <f t="shared" si="14"/>
        <v>-7</v>
      </c>
      <c r="K138" s="130">
        <f t="shared" si="11"/>
        <v>-70</v>
      </c>
      <c r="L138" s="130"/>
      <c r="M138" s="132">
        <f t="shared" si="12"/>
        <v>0</v>
      </c>
    </row>
    <row r="139" spans="1:13" x14ac:dyDescent="0.25">
      <c r="A139" s="146"/>
      <c r="G139" s="116"/>
      <c r="H139" s="130">
        <v>134</v>
      </c>
      <c r="I139" s="131" t="str">
        <f t="shared" si="13"/>
        <v/>
      </c>
      <c r="J139" s="130">
        <f t="shared" si="14"/>
        <v>-7</v>
      </c>
      <c r="K139" s="130">
        <f t="shared" si="11"/>
        <v>-70</v>
      </c>
      <c r="L139" s="130"/>
      <c r="M139" s="132">
        <f t="shared" si="12"/>
        <v>0</v>
      </c>
    </row>
    <row r="140" spans="1:13" x14ac:dyDescent="0.25">
      <c r="A140" s="146"/>
      <c r="G140" s="116"/>
      <c r="H140" s="130">
        <v>135</v>
      </c>
      <c r="I140" s="131" t="str">
        <f t="shared" si="13"/>
        <v/>
      </c>
      <c r="J140" s="130">
        <f t="shared" si="14"/>
        <v>-7</v>
      </c>
      <c r="K140" s="130">
        <f t="shared" si="11"/>
        <v>-70</v>
      </c>
      <c r="L140" s="130"/>
      <c r="M140" s="132">
        <f t="shared" si="12"/>
        <v>0</v>
      </c>
    </row>
    <row r="141" spans="1:13" x14ac:dyDescent="0.25">
      <c r="A141" s="146"/>
      <c r="G141" s="116"/>
      <c r="H141" s="130">
        <v>136</v>
      </c>
      <c r="I141" s="131" t="str">
        <f t="shared" si="13"/>
        <v/>
      </c>
      <c r="J141" s="130">
        <f t="shared" si="14"/>
        <v>-7</v>
      </c>
      <c r="K141" s="130">
        <f t="shared" si="11"/>
        <v>-70</v>
      </c>
      <c r="L141" s="130"/>
      <c r="M141" s="132">
        <f t="shared" si="12"/>
        <v>0</v>
      </c>
    </row>
    <row r="142" spans="1:13" x14ac:dyDescent="0.25">
      <c r="A142" s="146"/>
      <c r="G142" s="116"/>
      <c r="H142" s="130">
        <v>137</v>
      </c>
      <c r="I142" s="131" t="str">
        <f t="shared" si="13"/>
        <v/>
      </c>
      <c r="J142" s="130">
        <f t="shared" si="14"/>
        <v>-7</v>
      </c>
      <c r="K142" s="130">
        <f t="shared" si="11"/>
        <v>-70</v>
      </c>
      <c r="L142" s="130"/>
      <c r="M142" s="132">
        <f t="shared" si="12"/>
        <v>0</v>
      </c>
    </row>
    <row r="143" spans="1:13" x14ac:dyDescent="0.25">
      <c r="A143" s="146"/>
      <c r="G143" s="116"/>
      <c r="H143" s="130">
        <v>138</v>
      </c>
      <c r="I143" s="131" t="str">
        <f t="shared" si="13"/>
        <v/>
      </c>
      <c r="J143" s="130">
        <f t="shared" si="14"/>
        <v>-7</v>
      </c>
      <c r="K143" s="130">
        <f t="shared" si="11"/>
        <v>-70</v>
      </c>
      <c r="L143" s="130"/>
      <c r="M143" s="132">
        <f t="shared" si="12"/>
        <v>0</v>
      </c>
    </row>
    <row r="144" spans="1:13" x14ac:dyDescent="0.25">
      <c r="A144" s="146"/>
      <c r="G144" s="116"/>
      <c r="H144" s="130">
        <v>139</v>
      </c>
      <c r="I144" s="131" t="str">
        <f t="shared" si="13"/>
        <v/>
      </c>
      <c r="J144" s="130">
        <f t="shared" si="14"/>
        <v>-7</v>
      </c>
      <c r="K144" s="130">
        <f t="shared" si="11"/>
        <v>-70</v>
      </c>
      <c r="L144" s="130"/>
      <c r="M144" s="132">
        <f t="shared" si="12"/>
        <v>0</v>
      </c>
    </row>
    <row r="145" spans="1:13" x14ac:dyDescent="0.25">
      <c r="A145" s="146"/>
      <c r="G145" s="116"/>
      <c r="H145" s="130">
        <v>140</v>
      </c>
      <c r="I145" s="131" t="str">
        <f t="shared" si="13"/>
        <v/>
      </c>
      <c r="J145" s="130">
        <f t="shared" si="14"/>
        <v>-7</v>
      </c>
      <c r="K145" s="130">
        <f t="shared" si="11"/>
        <v>-70</v>
      </c>
      <c r="L145" s="130"/>
      <c r="M145" s="132">
        <f t="shared" si="12"/>
        <v>0</v>
      </c>
    </row>
    <row r="146" spans="1:13" x14ac:dyDescent="0.25">
      <c r="A146" s="146"/>
      <c r="G146" s="116"/>
      <c r="H146" s="130">
        <v>141</v>
      </c>
      <c r="I146" s="131" t="str">
        <f t="shared" si="13"/>
        <v/>
      </c>
      <c r="J146" s="130">
        <f t="shared" si="14"/>
        <v>-7</v>
      </c>
      <c r="K146" s="130">
        <f t="shared" si="11"/>
        <v>-70</v>
      </c>
      <c r="L146" s="130"/>
      <c r="M146" s="132">
        <f t="shared" si="12"/>
        <v>0</v>
      </c>
    </row>
    <row r="147" spans="1:13" x14ac:dyDescent="0.25">
      <c r="A147" s="146"/>
      <c r="G147" s="116"/>
      <c r="H147" s="130">
        <v>142</v>
      </c>
      <c r="I147" s="131" t="str">
        <f t="shared" si="13"/>
        <v/>
      </c>
      <c r="J147" s="130">
        <f t="shared" si="14"/>
        <v>-7</v>
      </c>
      <c r="K147" s="130">
        <f t="shared" si="11"/>
        <v>-70</v>
      </c>
      <c r="L147" s="130"/>
      <c r="M147" s="132">
        <f t="shared" si="12"/>
        <v>0</v>
      </c>
    </row>
    <row r="148" spans="1:13" x14ac:dyDescent="0.25">
      <c r="A148" s="146"/>
      <c r="G148" s="116"/>
      <c r="H148" s="130">
        <v>143</v>
      </c>
      <c r="I148" s="131" t="str">
        <f t="shared" si="13"/>
        <v/>
      </c>
      <c r="J148" s="130">
        <f t="shared" si="14"/>
        <v>-7</v>
      </c>
      <c r="K148" s="130">
        <f t="shared" si="11"/>
        <v>-70</v>
      </c>
      <c r="L148" s="130"/>
      <c r="M148" s="132">
        <f t="shared" si="12"/>
        <v>0</v>
      </c>
    </row>
    <row r="149" spans="1:13" x14ac:dyDescent="0.25">
      <c r="A149" s="146"/>
      <c r="G149" s="116"/>
      <c r="H149" s="130">
        <v>144</v>
      </c>
      <c r="I149" s="131" t="str">
        <f t="shared" si="13"/>
        <v/>
      </c>
      <c r="J149" s="130">
        <f t="shared" si="14"/>
        <v>-7</v>
      </c>
      <c r="K149" s="130">
        <f t="shared" si="11"/>
        <v>-70</v>
      </c>
      <c r="L149" s="130"/>
      <c r="M149" s="132">
        <f t="shared" si="12"/>
        <v>0</v>
      </c>
    </row>
    <row r="150" spans="1:13" x14ac:dyDescent="0.25">
      <c r="A150" s="146"/>
      <c r="G150" s="116"/>
      <c r="H150" s="130">
        <v>145</v>
      </c>
      <c r="I150" s="131" t="str">
        <f t="shared" si="13"/>
        <v/>
      </c>
      <c r="J150" s="130">
        <f t="shared" si="14"/>
        <v>-7</v>
      </c>
      <c r="K150" s="130">
        <f t="shared" si="11"/>
        <v>-70</v>
      </c>
      <c r="L150" s="130"/>
      <c r="M150" s="132">
        <f t="shared" si="12"/>
        <v>0</v>
      </c>
    </row>
    <row r="151" spans="1:13" x14ac:dyDescent="0.25">
      <c r="A151" s="146"/>
      <c r="G151" s="116"/>
      <c r="H151" s="130">
        <v>146</v>
      </c>
      <c r="I151" s="131" t="str">
        <f t="shared" si="13"/>
        <v/>
      </c>
      <c r="J151" s="130">
        <f t="shared" si="14"/>
        <v>-7</v>
      </c>
      <c r="K151" s="130">
        <f t="shared" si="11"/>
        <v>-70</v>
      </c>
      <c r="L151" s="130"/>
      <c r="M151" s="132">
        <f t="shared" si="12"/>
        <v>0</v>
      </c>
    </row>
    <row r="152" spans="1:13" x14ac:dyDescent="0.25">
      <c r="A152" s="146"/>
      <c r="G152" s="116"/>
      <c r="H152" s="130">
        <v>147</v>
      </c>
      <c r="I152" s="131" t="str">
        <f t="shared" si="13"/>
        <v/>
      </c>
      <c r="J152" s="130">
        <f t="shared" si="14"/>
        <v>-7</v>
      </c>
      <c r="K152" s="130">
        <f t="shared" si="11"/>
        <v>-70</v>
      </c>
      <c r="L152" s="130"/>
      <c r="M152" s="132">
        <f t="shared" si="12"/>
        <v>0</v>
      </c>
    </row>
    <row r="153" spans="1:13" x14ac:dyDescent="0.25">
      <c r="A153" s="146"/>
      <c r="G153" s="116"/>
      <c r="H153" s="130">
        <v>148</v>
      </c>
      <c r="I153" s="131" t="str">
        <f t="shared" si="13"/>
        <v/>
      </c>
      <c r="J153" s="130">
        <f t="shared" si="14"/>
        <v>-7</v>
      </c>
      <c r="K153" s="130">
        <f t="shared" si="11"/>
        <v>-70</v>
      </c>
      <c r="L153" s="130"/>
      <c r="M153" s="132">
        <f t="shared" si="12"/>
        <v>0</v>
      </c>
    </row>
    <row r="154" spans="1:13" x14ac:dyDescent="0.25">
      <c r="A154" s="146"/>
      <c r="G154" s="116"/>
      <c r="H154" s="130">
        <v>149</v>
      </c>
      <c r="I154" s="131" t="str">
        <f t="shared" si="13"/>
        <v/>
      </c>
      <c r="J154" s="130">
        <f t="shared" si="14"/>
        <v>-7</v>
      </c>
      <c r="K154" s="130">
        <f t="shared" si="11"/>
        <v>-70</v>
      </c>
      <c r="L154" s="130"/>
      <c r="M154" s="132">
        <f t="shared" si="12"/>
        <v>0</v>
      </c>
    </row>
    <row r="155" spans="1:13" x14ac:dyDescent="0.25">
      <c r="A155" s="146"/>
      <c r="G155" s="116"/>
      <c r="H155" s="130">
        <v>150</v>
      </c>
      <c r="I155" s="131" t="str">
        <f t="shared" si="13"/>
        <v/>
      </c>
      <c r="J155" s="130">
        <f t="shared" si="14"/>
        <v>-7</v>
      </c>
      <c r="K155" s="130">
        <f t="shared" si="11"/>
        <v>-70</v>
      </c>
      <c r="L155" s="130"/>
      <c r="M155" s="132">
        <f t="shared" si="12"/>
        <v>0</v>
      </c>
    </row>
    <row r="156" spans="1:13" x14ac:dyDescent="0.25">
      <c r="A156" s="146"/>
      <c r="G156" s="116"/>
      <c r="H156" s="130">
        <v>151</v>
      </c>
      <c r="I156" s="131" t="str">
        <f t="shared" si="13"/>
        <v/>
      </c>
      <c r="J156" s="130">
        <f t="shared" si="14"/>
        <v>-7</v>
      </c>
      <c r="K156" s="130">
        <f t="shared" si="11"/>
        <v>-70</v>
      </c>
      <c r="L156" s="130"/>
      <c r="M156" s="132">
        <f t="shared" si="12"/>
        <v>0</v>
      </c>
    </row>
    <row r="157" spans="1:13" x14ac:dyDescent="0.25">
      <c r="A157" s="146"/>
      <c r="G157" s="116"/>
      <c r="H157" s="130">
        <v>152</v>
      </c>
      <c r="I157" s="131" t="str">
        <f t="shared" si="13"/>
        <v/>
      </c>
      <c r="J157" s="130">
        <f t="shared" si="14"/>
        <v>-7</v>
      </c>
      <c r="K157" s="130">
        <f t="shared" si="11"/>
        <v>-70</v>
      </c>
      <c r="L157" s="130"/>
      <c r="M157" s="132">
        <f t="shared" si="12"/>
        <v>0</v>
      </c>
    </row>
    <row r="158" spans="1:13" x14ac:dyDescent="0.25">
      <c r="A158" s="146"/>
      <c r="G158" s="116"/>
      <c r="H158" s="130">
        <v>153</v>
      </c>
      <c r="I158" s="131" t="str">
        <f t="shared" si="13"/>
        <v/>
      </c>
      <c r="J158" s="130">
        <f t="shared" si="14"/>
        <v>-7</v>
      </c>
      <c r="K158" s="130">
        <f t="shared" si="11"/>
        <v>-70</v>
      </c>
      <c r="L158" s="130"/>
      <c r="M158" s="132">
        <f t="shared" si="12"/>
        <v>0</v>
      </c>
    </row>
    <row r="159" spans="1:13" x14ac:dyDescent="0.25">
      <c r="A159" s="146"/>
      <c r="G159" s="116"/>
      <c r="H159" s="130">
        <v>154</v>
      </c>
      <c r="I159" s="131" t="str">
        <f t="shared" si="13"/>
        <v/>
      </c>
      <c r="J159" s="130">
        <f t="shared" si="14"/>
        <v>-7</v>
      </c>
      <c r="K159" s="130">
        <f t="shared" si="11"/>
        <v>-70</v>
      </c>
      <c r="L159" s="130"/>
      <c r="M159" s="132">
        <f t="shared" si="12"/>
        <v>0</v>
      </c>
    </row>
    <row r="160" spans="1:13" x14ac:dyDescent="0.25">
      <c r="A160" s="146"/>
      <c r="G160" s="116"/>
      <c r="H160" s="130">
        <v>155</v>
      </c>
      <c r="I160" s="131" t="str">
        <f t="shared" si="13"/>
        <v/>
      </c>
      <c r="J160" s="130">
        <f t="shared" si="14"/>
        <v>-7</v>
      </c>
      <c r="K160" s="130">
        <f t="shared" si="11"/>
        <v>-70</v>
      </c>
      <c r="L160" s="130"/>
      <c r="M160" s="132">
        <f t="shared" si="12"/>
        <v>0</v>
      </c>
    </row>
    <row r="161" spans="1:13" x14ac:dyDescent="0.25">
      <c r="A161" s="146"/>
      <c r="G161" s="116"/>
      <c r="H161" s="130">
        <v>156</v>
      </c>
      <c r="I161" s="131" t="str">
        <f t="shared" si="13"/>
        <v/>
      </c>
      <c r="J161" s="130">
        <f t="shared" si="14"/>
        <v>-7</v>
      </c>
      <c r="K161" s="130">
        <f t="shared" si="11"/>
        <v>-70</v>
      </c>
      <c r="L161" s="130"/>
      <c r="M161" s="132">
        <f t="shared" si="12"/>
        <v>0</v>
      </c>
    </row>
    <row r="162" spans="1:13" x14ac:dyDescent="0.25">
      <c r="A162" s="146"/>
      <c r="G162" s="116"/>
      <c r="H162" s="130">
        <v>157</v>
      </c>
      <c r="I162" s="131" t="str">
        <f t="shared" si="13"/>
        <v/>
      </c>
      <c r="J162" s="130">
        <f t="shared" si="14"/>
        <v>-7</v>
      </c>
      <c r="K162" s="130">
        <f t="shared" si="11"/>
        <v>-70</v>
      </c>
      <c r="L162" s="130"/>
      <c r="M162" s="132">
        <f t="shared" si="12"/>
        <v>0</v>
      </c>
    </row>
    <row r="163" spans="1:13" x14ac:dyDescent="0.25">
      <c r="A163" s="146"/>
      <c r="G163" s="116"/>
      <c r="H163" s="130">
        <v>158</v>
      </c>
      <c r="I163" s="131" t="str">
        <f t="shared" si="13"/>
        <v/>
      </c>
      <c r="J163" s="130">
        <f t="shared" si="14"/>
        <v>-7</v>
      </c>
      <c r="K163" s="130">
        <f t="shared" si="11"/>
        <v>-70</v>
      </c>
      <c r="L163" s="130"/>
      <c r="M163" s="132">
        <f t="shared" si="12"/>
        <v>0</v>
      </c>
    </row>
    <row r="164" spans="1:13" x14ac:dyDescent="0.25">
      <c r="A164" s="146"/>
      <c r="G164" s="116"/>
      <c r="H164" s="130">
        <v>159</v>
      </c>
      <c r="I164" s="131" t="str">
        <f t="shared" si="13"/>
        <v/>
      </c>
      <c r="J164" s="130">
        <f t="shared" si="14"/>
        <v>-7</v>
      </c>
      <c r="K164" s="130">
        <f t="shared" si="11"/>
        <v>-70</v>
      </c>
      <c r="L164" s="130"/>
      <c r="M164" s="132">
        <f t="shared" si="12"/>
        <v>0</v>
      </c>
    </row>
    <row r="165" spans="1:13" x14ac:dyDescent="0.25">
      <c r="A165" s="146"/>
      <c r="G165" s="116"/>
      <c r="H165" s="130">
        <v>160</v>
      </c>
      <c r="I165" s="131" t="str">
        <f t="shared" si="13"/>
        <v/>
      </c>
      <c r="J165" s="130">
        <f t="shared" si="14"/>
        <v>-7</v>
      </c>
      <c r="K165" s="130">
        <f t="shared" si="11"/>
        <v>-70</v>
      </c>
      <c r="L165" s="130"/>
      <c r="M165" s="132">
        <f t="shared" si="12"/>
        <v>0</v>
      </c>
    </row>
    <row r="166" spans="1:13" x14ac:dyDescent="0.25">
      <c r="A166" s="146"/>
      <c r="G166" s="116"/>
      <c r="H166" s="130">
        <v>161</v>
      </c>
      <c r="I166" s="131" t="str">
        <f t="shared" si="13"/>
        <v/>
      </c>
      <c r="J166" s="130">
        <f t="shared" si="14"/>
        <v>-7</v>
      </c>
      <c r="K166" s="130">
        <f t="shared" si="11"/>
        <v>-70</v>
      </c>
      <c r="L166" s="130"/>
      <c r="M166" s="132">
        <f t="shared" si="12"/>
        <v>0</v>
      </c>
    </row>
    <row r="167" spans="1:13" x14ac:dyDescent="0.25">
      <c r="A167" s="146"/>
      <c r="G167" s="116"/>
      <c r="H167" s="130">
        <v>162</v>
      </c>
      <c r="I167" s="131" t="str">
        <f t="shared" si="13"/>
        <v/>
      </c>
      <c r="J167" s="130">
        <f t="shared" si="14"/>
        <v>-7</v>
      </c>
      <c r="K167" s="130">
        <f t="shared" si="11"/>
        <v>-70</v>
      </c>
      <c r="L167" s="130"/>
      <c r="M167" s="132">
        <f t="shared" si="12"/>
        <v>0</v>
      </c>
    </row>
    <row r="168" spans="1:13" x14ac:dyDescent="0.25">
      <c r="A168" s="146"/>
      <c r="G168" s="116"/>
      <c r="H168" s="130">
        <v>163</v>
      </c>
      <c r="I168" s="131" t="str">
        <f t="shared" si="13"/>
        <v/>
      </c>
      <c r="J168" s="130">
        <f t="shared" si="14"/>
        <v>-7</v>
      </c>
      <c r="K168" s="130">
        <f t="shared" si="11"/>
        <v>-70</v>
      </c>
      <c r="L168" s="130"/>
      <c r="M168" s="132">
        <f t="shared" si="12"/>
        <v>0</v>
      </c>
    </row>
    <row r="169" spans="1:13" x14ac:dyDescent="0.25">
      <c r="A169" s="146"/>
      <c r="G169" s="116"/>
      <c r="H169" s="130">
        <v>164</v>
      </c>
      <c r="I169" s="131" t="str">
        <f t="shared" si="13"/>
        <v/>
      </c>
      <c r="J169" s="130">
        <f t="shared" si="14"/>
        <v>-7</v>
      </c>
      <c r="K169" s="130">
        <f t="shared" si="11"/>
        <v>-70</v>
      </c>
      <c r="L169" s="130"/>
      <c r="M169" s="132">
        <f t="shared" si="12"/>
        <v>0</v>
      </c>
    </row>
    <row r="170" spans="1:13" x14ac:dyDescent="0.25">
      <c r="A170" s="146"/>
      <c r="G170" s="116"/>
      <c r="H170" s="130">
        <v>165</v>
      </c>
      <c r="I170" s="131" t="str">
        <f t="shared" si="13"/>
        <v/>
      </c>
      <c r="J170" s="130">
        <f t="shared" si="14"/>
        <v>-7</v>
      </c>
      <c r="K170" s="130">
        <f t="shared" si="11"/>
        <v>-70</v>
      </c>
      <c r="L170" s="130"/>
      <c r="M170" s="132">
        <f t="shared" si="12"/>
        <v>0</v>
      </c>
    </row>
    <row r="171" spans="1:13" x14ac:dyDescent="0.25">
      <c r="A171" s="146"/>
      <c r="G171" s="116"/>
      <c r="H171" s="130">
        <v>166</v>
      </c>
      <c r="I171" s="131" t="str">
        <f t="shared" si="13"/>
        <v/>
      </c>
      <c r="J171" s="130">
        <f t="shared" si="14"/>
        <v>-7</v>
      </c>
      <c r="K171" s="130">
        <f t="shared" si="11"/>
        <v>-70</v>
      </c>
      <c r="L171" s="130"/>
      <c r="M171" s="132">
        <f t="shared" si="12"/>
        <v>0</v>
      </c>
    </row>
    <row r="172" spans="1:13" x14ac:dyDescent="0.25">
      <c r="A172" s="146"/>
      <c r="G172" s="116"/>
      <c r="H172" s="130">
        <v>167</v>
      </c>
      <c r="I172" s="131" t="str">
        <f t="shared" si="13"/>
        <v/>
      </c>
      <c r="J172" s="130">
        <f t="shared" si="14"/>
        <v>-7</v>
      </c>
      <c r="K172" s="130">
        <f t="shared" si="11"/>
        <v>-70</v>
      </c>
      <c r="L172" s="130"/>
      <c r="M172" s="132">
        <f t="shared" si="12"/>
        <v>0</v>
      </c>
    </row>
    <row r="173" spans="1:13" x14ac:dyDescent="0.25">
      <c r="A173" s="146"/>
      <c r="G173" s="116"/>
      <c r="H173" s="130">
        <v>168</v>
      </c>
      <c r="I173" s="131" t="str">
        <f t="shared" si="13"/>
        <v/>
      </c>
      <c r="J173" s="130">
        <f t="shared" si="14"/>
        <v>-7</v>
      </c>
      <c r="K173" s="130">
        <f t="shared" si="11"/>
        <v>-70</v>
      </c>
      <c r="L173" s="130"/>
      <c r="M173" s="132">
        <f t="shared" si="12"/>
        <v>0</v>
      </c>
    </row>
    <row r="174" spans="1:13" x14ac:dyDescent="0.25">
      <c r="A174" s="146"/>
      <c r="G174" s="116"/>
      <c r="H174" s="130">
        <v>169</v>
      </c>
      <c r="I174" s="131" t="str">
        <f t="shared" si="13"/>
        <v/>
      </c>
      <c r="J174" s="130">
        <f t="shared" si="14"/>
        <v>-7</v>
      </c>
      <c r="K174" s="130">
        <f t="shared" si="11"/>
        <v>-70</v>
      </c>
      <c r="L174" s="130"/>
      <c r="M174" s="132">
        <f t="shared" si="12"/>
        <v>0</v>
      </c>
    </row>
    <row r="175" spans="1:13" x14ac:dyDescent="0.25">
      <c r="A175" s="146"/>
      <c r="G175" s="116"/>
      <c r="H175" s="130">
        <v>170</v>
      </c>
      <c r="I175" s="131" t="str">
        <f t="shared" si="13"/>
        <v/>
      </c>
      <c r="J175" s="130">
        <f t="shared" si="14"/>
        <v>-7</v>
      </c>
      <c r="K175" s="130">
        <f t="shared" si="11"/>
        <v>-70</v>
      </c>
      <c r="L175" s="130"/>
      <c r="M175" s="132">
        <f t="shared" si="12"/>
        <v>0</v>
      </c>
    </row>
    <row r="176" spans="1:13" x14ac:dyDescent="0.25">
      <c r="A176" s="146"/>
      <c r="G176" s="116"/>
      <c r="H176" s="130">
        <v>171</v>
      </c>
      <c r="I176" s="131" t="str">
        <f t="shared" si="13"/>
        <v/>
      </c>
      <c r="J176" s="130">
        <f t="shared" si="14"/>
        <v>-7</v>
      </c>
      <c r="K176" s="130">
        <f t="shared" si="11"/>
        <v>-70</v>
      </c>
      <c r="L176" s="130"/>
      <c r="M176" s="132">
        <f t="shared" si="12"/>
        <v>0</v>
      </c>
    </row>
    <row r="177" spans="1:13" x14ac:dyDescent="0.25">
      <c r="A177" s="146"/>
      <c r="G177" s="116"/>
      <c r="H177" s="130">
        <v>172</v>
      </c>
      <c r="I177" s="131" t="str">
        <f t="shared" si="13"/>
        <v/>
      </c>
      <c r="J177" s="130">
        <f t="shared" si="14"/>
        <v>-7</v>
      </c>
      <c r="K177" s="130">
        <f t="shared" si="11"/>
        <v>-70</v>
      </c>
      <c r="L177" s="130"/>
      <c r="M177" s="132">
        <f t="shared" si="12"/>
        <v>0</v>
      </c>
    </row>
    <row r="178" spans="1:13" x14ac:dyDescent="0.25">
      <c r="A178" s="146"/>
      <c r="G178" s="116"/>
      <c r="H178" s="130">
        <v>173</v>
      </c>
      <c r="I178" s="131" t="str">
        <f t="shared" si="13"/>
        <v/>
      </c>
      <c r="J178" s="130">
        <f t="shared" si="14"/>
        <v>-7</v>
      </c>
      <c r="K178" s="130">
        <f t="shared" si="11"/>
        <v>-70</v>
      </c>
      <c r="L178" s="130"/>
      <c r="M178" s="132">
        <f t="shared" si="12"/>
        <v>0</v>
      </c>
    </row>
    <row r="179" spans="1:13" x14ac:dyDescent="0.25">
      <c r="A179" s="146"/>
      <c r="G179" s="116"/>
      <c r="H179" s="130">
        <v>174</v>
      </c>
      <c r="I179" s="131" t="str">
        <f t="shared" si="13"/>
        <v/>
      </c>
      <c r="J179" s="130">
        <f t="shared" si="14"/>
        <v>-7</v>
      </c>
      <c r="K179" s="130">
        <f t="shared" si="11"/>
        <v>-70</v>
      </c>
      <c r="L179" s="130"/>
      <c r="M179" s="132">
        <f t="shared" si="12"/>
        <v>0</v>
      </c>
    </row>
    <row r="180" spans="1:13" x14ac:dyDescent="0.25">
      <c r="A180" s="146"/>
      <c r="G180" s="116"/>
      <c r="H180" s="130">
        <v>175</v>
      </c>
      <c r="I180" s="131" t="str">
        <f t="shared" si="13"/>
        <v/>
      </c>
      <c r="J180" s="130">
        <f t="shared" si="14"/>
        <v>-7</v>
      </c>
      <c r="K180" s="130">
        <f t="shared" si="11"/>
        <v>-70</v>
      </c>
      <c r="L180" s="130"/>
      <c r="M180" s="132">
        <f t="shared" si="12"/>
        <v>0</v>
      </c>
    </row>
    <row r="181" spans="1:13" x14ac:dyDescent="0.25">
      <c r="A181" s="146"/>
      <c r="G181" s="116"/>
      <c r="H181" s="130">
        <v>176</v>
      </c>
      <c r="I181" s="131" t="str">
        <f t="shared" si="13"/>
        <v/>
      </c>
      <c r="J181" s="130">
        <f t="shared" si="14"/>
        <v>-7</v>
      </c>
      <c r="K181" s="130">
        <f t="shared" si="11"/>
        <v>-70</v>
      </c>
      <c r="L181" s="130"/>
      <c r="M181" s="132">
        <f t="shared" si="12"/>
        <v>0</v>
      </c>
    </row>
    <row r="182" spans="1:13" x14ac:dyDescent="0.25">
      <c r="A182" s="146"/>
      <c r="G182" s="116"/>
      <c r="H182" s="130">
        <v>177</v>
      </c>
      <c r="I182" s="131" t="str">
        <f t="shared" si="13"/>
        <v/>
      </c>
      <c r="J182" s="130">
        <f t="shared" si="14"/>
        <v>-7</v>
      </c>
      <c r="K182" s="130">
        <f t="shared" si="11"/>
        <v>-70</v>
      </c>
      <c r="L182" s="130"/>
      <c r="M182" s="132">
        <f t="shared" si="12"/>
        <v>0</v>
      </c>
    </row>
    <row r="183" spans="1:13" x14ac:dyDescent="0.25">
      <c r="A183" s="146"/>
      <c r="G183" s="116"/>
      <c r="H183" s="130">
        <v>178</v>
      </c>
      <c r="I183" s="131" t="str">
        <f t="shared" si="13"/>
        <v/>
      </c>
      <c r="J183" s="130">
        <f t="shared" si="14"/>
        <v>-7</v>
      </c>
      <c r="K183" s="130">
        <f t="shared" si="11"/>
        <v>-70</v>
      </c>
      <c r="L183" s="130"/>
      <c r="M183" s="132">
        <f t="shared" si="12"/>
        <v>0</v>
      </c>
    </row>
    <row r="184" spans="1:13" x14ac:dyDescent="0.25">
      <c r="A184" s="146"/>
      <c r="G184" s="116"/>
      <c r="H184" s="130">
        <v>179</v>
      </c>
      <c r="I184" s="131" t="str">
        <f t="shared" si="13"/>
        <v/>
      </c>
      <c r="J184" s="130">
        <f t="shared" si="14"/>
        <v>-7</v>
      </c>
      <c r="K184" s="130">
        <f t="shared" si="11"/>
        <v>-70</v>
      </c>
      <c r="L184" s="130"/>
      <c r="M184" s="132">
        <f t="shared" si="12"/>
        <v>0</v>
      </c>
    </row>
    <row r="185" spans="1:13" x14ac:dyDescent="0.25">
      <c r="A185" s="146"/>
      <c r="G185" s="116"/>
      <c r="H185" s="130">
        <v>180</v>
      </c>
      <c r="I185" s="131" t="str">
        <f t="shared" si="13"/>
        <v/>
      </c>
      <c r="J185" s="130">
        <f t="shared" si="14"/>
        <v>-7</v>
      </c>
      <c r="K185" s="130">
        <f t="shared" si="11"/>
        <v>-70</v>
      </c>
      <c r="L185" s="130"/>
      <c r="M185" s="132">
        <f t="shared" si="12"/>
        <v>0</v>
      </c>
    </row>
    <row r="186" spans="1:13" x14ac:dyDescent="0.25">
      <c r="A186" s="146"/>
      <c r="G186" s="116"/>
      <c r="H186" s="130">
        <v>181</v>
      </c>
      <c r="I186" s="131" t="str">
        <f t="shared" si="13"/>
        <v/>
      </c>
      <c r="J186" s="130">
        <f t="shared" si="14"/>
        <v>-7</v>
      </c>
      <c r="K186" s="130">
        <f t="shared" si="11"/>
        <v>-70</v>
      </c>
      <c r="L186" s="130"/>
      <c r="M186" s="132">
        <f t="shared" si="12"/>
        <v>0</v>
      </c>
    </row>
    <row r="187" spans="1:13" x14ac:dyDescent="0.25">
      <c r="A187" s="146"/>
      <c r="G187" s="116"/>
      <c r="H187" s="130">
        <v>182</v>
      </c>
      <c r="I187" s="131" t="str">
        <f t="shared" si="13"/>
        <v/>
      </c>
      <c r="J187" s="130">
        <f t="shared" si="14"/>
        <v>-7</v>
      </c>
      <c r="K187" s="130">
        <f t="shared" si="11"/>
        <v>-70</v>
      </c>
      <c r="L187" s="130"/>
      <c r="M187" s="132">
        <f t="shared" si="12"/>
        <v>0</v>
      </c>
    </row>
    <row r="188" spans="1:13" x14ac:dyDescent="0.25">
      <c r="A188" s="146"/>
      <c r="G188" s="116"/>
      <c r="H188" s="130">
        <v>183</v>
      </c>
      <c r="I188" s="131" t="str">
        <f t="shared" si="13"/>
        <v/>
      </c>
      <c r="J188" s="130">
        <f t="shared" si="14"/>
        <v>-7</v>
      </c>
      <c r="K188" s="130">
        <f t="shared" si="11"/>
        <v>-70</v>
      </c>
      <c r="L188" s="130"/>
      <c r="M188" s="132">
        <f t="shared" si="12"/>
        <v>0</v>
      </c>
    </row>
    <row r="189" spans="1:13" x14ac:dyDescent="0.25">
      <c r="A189" s="146"/>
      <c r="G189" s="116"/>
      <c r="H189" s="130">
        <v>184</v>
      </c>
      <c r="I189" s="131" t="str">
        <f t="shared" si="13"/>
        <v/>
      </c>
      <c r="J189" s="130">
        <f t="shared" si="14"/>
        <v>-7</v>
      </c>
      <c r="K189" s="130">
        <f t="shared" si="11"/>
        <v>-70</v>
      </c>
      <c r="L189" s="130"/>
      <c r="M189" s="132">
        <f t="shared" si="12"/>
        <v>0</v>
      </c>
    </row>
    <row r="190" spans="1:13" x14ac:dyDescent="0.25">
      <c r="A190" s="146"/>
      <c r="G190" s="116"/>
      <c r="H190" s="130">
        <v>185</v>
      </c>
      <c r="I190" s="131" t="str">
        <f t="shared" si="13"/>
        <v/>
      </c>
      <c r="J190" s="130">
        <f t="shared" si="14"/>
        <v>-7</v>
      </c>
      <c r="K190" s="130">
        <f t="shared" si="11"/>
        <v>-70</v>
      </c>
      <c r="L190" s="130"/>
      <c r="M190" s="132">
        <f t="shared" si="12"/>
        <v>0</v>
      </c>
    </row>
    <row r="191" spans="1:13" x14ac:dyDescent="0.25">
      <c r="A191" s="146"/>
      <c r="G191" s="116"/>
      <c r="H191" s="130">
        <v>186</v>
      </c>
      <c r="I191" s="131" t="str">
        <f t="shared" si="13"/>
        <v/>
      </c>
      <c r="J191" s="130">
        <f t="shared" si="14"/>
        <v>-7</v>
      </c>
      <c r="K191" s="130">
        <f t="shared" si="11"/>
        <v>-70</v>
      </c>
      <c r="L191" s="130"/>
      <c r="M191" s="132">
        <f t="shared" si="12"/>
        <v>0</v>
      </c>
    </row>
    <row r="192" spans="1:13" x14ac:dyDescent="0.25">
      <c r="A192" s="146"/>
      <c r="G192" s="116"/>
      <c r="H192" s="130">
        <v>187</v>
      </c>
      <c r="I192" s="131" t="str">
        <f t="shared" si="13"/>
        <v/>
      </c>
      <c r="J192" s="130">
        <f t="shared" si="14"/>
        <v>-7</v>
      </c>
      <c r="K192" s="130">
        <f t="shared" si="11"/>
        <v>-70</v>
      </c>
      <c r="L192" s="130"/>
      <c r="M192" s="132">
        <f t="shared" si="12"/>
        <v>0</v>
      </c>
    </row>
    <row r="193" spans="1:13" x14ac:dyDescent="0.25">
      <c r="A193" s="146"/>
      <c r="G193" s="116"/>
      <c r="H193" s="130">
        <v>188</v>
      </c>
      <c r="I193" s="131" t="str">
        <f t="shared" si="13"/>
        <v/>
      </c>
      <c r="J193" s="130">
        <f t="shared" si="14"/>
        <v>-7</v>
      </c>
      <c r="K193" s="130">
        <f t="shared" si="11"/>
        <v>-70</v>
      </c>
      <c r="L193" s="130"/>
      <c r="M193" s="132">
        <f t="shared" si="12"/>
        <v>0</v>
      </c>
    </row>
    <row r="194" spans="1:13" x14ac:dyDescent="0.25">
      <c r="A194" s="146"/>
      <c r="G194" s="116"/>
      <c r="H194" s="130">
        <v>189</v>
      </c>
      <c r="I194" s="131" t="str">
        <f t="shared" si="13"/>
        <v/>
      </c>
      <c r="J194" s="130">
        <f t="shared" si="14"/>
        <v>-7</v>
      </c>
      <c r="K194" s="130">
        <f t="shared" si="11"/>
        <v>-70</v>
      </c>
      <c r="L194" s="130"/>
      <c r="M194" s="132">
        <f t="shared" si="12"/>
        <v>0</v>
      </c>
    </row>
    <row r="195" spans="1:13" x14ac:dyDescent="0.25">
      <c r="A195" s="146"/>
      <c r="G195" s="116"/>
      <c r="H195" s="130">
        <v>190</v>
      </c>
      <c r="I195" s="131" t="str">
        <f t="shared" si="13"/>
        <v/>
      </c>
      <c r="J195" s="130">
        <f t="shared" si="14"/>
        <v>-7</v>
      </c>
      <c r="K195" s="130">
        <f t="shared" si="11"/>
        <v>-70</v>
      </c>
      <c r="L195" s="130"/>
      <c r="M195" s="132">
        <f t="shared" si="12"/>
        <v>0</v>
      </c>
    </row>
    <row r="196" spans="1:13" x14ac:dyDescent="0.25">
      <c r="A196" s="146"/>
      <c r="G196" s="116"/>
      <c r="H196" s="130">
        <v>191</v>
      </c>
      <c r="I196" s="131" t="str">
        <f t="shared" si="13"/>
        <v/>
      </c>
      <c r="J196" s="130">
        <f t="shared" si="14"/>
        <v>-7</v>
      </c>
      <c r="K196" s="130">
        <f t="shared" si="11"/>
        <v>-70</v>
      </c>
      <c r="L196" s="130"/>
      <c r="M196" s="132">
        <f t="shared" si="12"/>
        <v>0</v>
      </c>
    </row>
    <row r="197" spans="1:13" x14ac:dyDescent="0.25">
      <c r="A197" s="146"/>
      <c r="G197" s="116"/>
      <c r="H197" s="130">
        <v>192</v>
      </c>
      <c r="I197" s="131" t="str">
        <f t="shared" si="13"/>
        <v/>
      </c>
      <c r="J197" s="130">
        <f t="shared" si="14"/>
        <v>-7</v>
      </c>
      <c r="K197" s="130">
        <f t="shared" si="11"/>
        <v>-70</v>
      </c>
      <c r="L197" s="130"/>
      <c r="M197" s="132">
        <f t="shared" si="12"/>
        <v>0</v>
      </c>
    </row>
    <row r="198" spans="1:13" x14ac:dyDescent="0.25">
      <c r="A198" s="146"/>
      <c r="G198" s="116"/>
      <c r="H198" s="130">
        <v>193</v>
      </c>
      <c r="I198" s="131" t="str">
        <f t="shared" si="13"/>
        <v/>
      </c>
      <c r="J198" s="130">
        <f t="shared" si="14"/>
        <v>-7</v>
      </c>
      <c r="K198" s="130">
        <f t="shared" ref="K198:K261" si="15">J198*$J$2</f>
        <v>-70</v>
      </c>
      <c r="L198" s="130"/>
      <c r="M198" s="132">
        <f t="shared" ref="M198:M261" si="16">IF(I198&lt;&gt;"",K198+I198+L198,0)</f>
        <v>0</v>
      </c>
    </row>
    <row r="199" spans="1:13" x14ac:dyDescent="0.25">
      <c r="A199" s="146"/>
      <c r="G199" s="116"/>
      <c r="H199" s="130">
        <v>194</v>
      </c>
      <c r="I199" s="131" t="str">
        <f t="shared" ref="I199:I262" si="17">IF(H199&lt;$H$2+1,($I$2-($I$2-1)*(LOG(H199)/LOG($H$2))),"")</f>
        <v/>
      </c>
      <c r="J199" s="130">
        <f t="shared" ref="J199:J262" si="18">INT(LOG($H$2,2))-ROUNDUP(LOG(H199,2),0)+IF(OR($H$2=1,$H$2=2,$H$2=4,$H$2=8,$H$2=16,$H$2=32,$H$2=64,$H$2=128,$H$2=256),0,1)</f>
        <v>-7</v>
      </c>
      <c r="K199" s="130">
        <f t="shared" si="15"/>
        <v>-70</v>
      </c>
      <c r="L199" s="130"/>
      <c r="M199" s="132">
        <f t="shared" si="16"/>
        <v>0</v>
      </c>
    </row>
    <row r="200" spans="1:13" x14ac:dyDescent="0.25">
      <c r="A200" s="146"/>
      <c r="G200" s="116"/>
      <c r="H200" s="130">
        <v>195</v>
      </c>
      <c r="I200" s="131" t="str">
        <f t="shared" si="17"/>
        <v/>
      </c>
      <c r="J200" s="130">
        <f t="shared" si="18"/>
        <v>-7</v>
      </c>
      <c r="K200" s="130">
        <f t="shared" si="15"/>
        <v>-70</v>
      </c>
      <c r="L200" s="130"/>
      <c r="M200" s="132">
        <f t="shared" si="16"/>
        <v>0</v>
      </c>
    </row>
    <row r="201" spans="1:13" x14ac:dyDescent="0.25">
      <c r="A201" s="146"/>
      <c r="G201" s="116"/>
      <c r="H201" s="130">
        <v>196</v>
      </c>
      <c r="I201" s="131" t="str">
        <f t="shared" si="17"/>
        <v/>
      </c>
      <c r="J201" s="130">
        <f t="shared" si="18"/>
        <v>-7</v>
      </c>
      <c r="K201" s="130">
        <f t="shared" si="15"/>
        <v>-70</v>
      </c>
      <c r="L201" s="130"/>
      <c r="M201" s="132">
        <f t="shared" si="16"/>
        <v>0</v>
      </c>
    </row>
    <row r="202" spans="1:13" x14ac:dyDescent="0.25">
      <c r="A202" s="146"/>
      <c r="G202" s="116"/>
      <c r="H202" s="130">
        <v>197</v>
      </c>
      <c r="I202" s="131" t="str">
        <f t="shared" si="17"/>
        <v/>
      </c>
      <c r="J202" s="130">
        <f t="shared" si="18"/>
        <v>-7</v>
      </c>
      <c r="K202" s="130">
        <f t="shared" si="15"/>
        <v>-70</v>
      </c>
      <c r="L202" s="130"/>
      <c r="M202" s="132">
        <f t="shared" si="16"/>
        <v>0</v>
      </c>
    </row>
    <row r="203" spans="1:13" x14ac:dyDescent="0.25">
      <c r="A203" s="146"/>
      <c r="G203" s="116"/>
      <c r="H203" s="130">
        <v>198</v>
      </c>
      <c r="I203" s="131" t="str">
        <f t="shared" si="17"/>
        <v/>
      </c>
      <c r="J203" s="130">
        <f t="shared" si="18"/>
        <v>-7</v>
      </c>
      <c r="K203" s="130">
        <f t="shared" si="15"/>
        <v>-70</v>
      </c>
      <c r="L203" s="130"/>
      <c r="M203" s="132">
        <f t="shared" si="16"/>
        <v>0</v>
      </c>
    </row>
    <row r="204" spans="1:13" x14ac:dyDescent="0.25">
      <c r="A204" s="146"/>
      <c r="G204" s="116"/>
      <c r="H204" s="130">
        <v>199</v>
      </c>
      <c r="I204" s="131" t="str">
        <f t="shared" si="17"/>
        <v/>
      </c>
      <c r="J204" s="130">
        <f t="shared" si="18"/>
        <v>-7</v>
      </c>
      <c r="K204" s="130">
        <f t="shared" si="15"/>
        <v>-70</v>
      </c>
      <c r="L204" s="130"/>
      <c r="M204" s="132">
        <f t="shared" si="16"/>
        <v>0</v>
      </c>
    </row>
    <row r="205" spans="1:13" x14ac:dyDescent="0.25">
      <c r="A205" s="146"/>
      <c r="G205" s="116"/>
      <c r="H205" s="130">
        <v>200</v>
      </c>
      <c r="I205" s="131" t="str">
        <f t="shared" si="17"/>
        <v/>
      </c>
      <c r="J205" s="130">
        <f t="shared" si="18"/>
        <v>-7</v>
      </c>
      <c r="K205" s="130">
        <f t="shared" si="15"/>
        <v>-70</v>
      </c>
      <c r="L205" s="130"/>
      <c r="M205" s="132">
        <f t="shared" si="16"/>
        <v>0</v>
      </c>
    </row>
    <row r="206" spans="1:13" x14ac:dyDescent="0.25">
      <c r="A206" s="146"/>
      <c r="G206" s="116"/>
      <c r="H206" s="130">
        <v>201</v>
      </c>
      <c r="I206" s="131" t="str">
        <f t="shared" si="17"/>
        <v/>
      </c>
      <c r="J206" s="130">
        <f t="shared" si="18"/>
        <v>-7</v>
      </c>
      <c r="K206" s="130">
        <f t="shared" si="15"/>
        <v>-70</v>
      </c>
      <c r="L206" s="130"/>
      <c r="M206" s="132">
        <f t="shared" si="16"/>
        <v>0</v>
      </c>
    </row>
    <row r="207" spans="1:13" x14ac:dyDescent="0.25">
      <c r="A207" s="146"/>
      <c r="G207" s="116"/>
      <c r="H207" s="130">
        <v>202</v>
      </c>
      <c r="I207" s="131" t="str">
        <f t="shared" si="17"/>
        <v/>
      </c>
      <c r="J207" s="130">
        <f t="shared" si="18"/>
        <v>-7</v>
      </c>
      <c r="K207" s="130">
        <f t="shared" si="15"/>
        <v>-70</v>
      </c>
      <c r="L207" s="130"/>
      <c r="M207" s="132">
        <f t="shared" si="16"/>
        <v>0</v>
      </c>
    </row>
    <row r="208" spans="1:13" x14ac:dyDescent="0.25">
      <c r="A208" s="146"/>
      <c r="G208" s="116"/>
      <c r="H208" s="130">
        <v>203</v>
      </c>
      <c r="I208" s="131" t="str">
        <f t="shared" si="17"/>
        <v/>
      </c>
      <c r="J208" s="130">
        <f t="shared" si="18"/>
        <v>-7</v>
      </c>
      <c r="K208" s="130">
        <f t="shared" si="15"/>
        <v>-70</v>
      </c>
      <c r="L208" s="130"/>
      <c r="M208" s="132">
        <f t="shared" si="16"/>
        <v>0</v>
      </c>
    </row>
    <row r="209" spans="1:13" x14ac:dyDescent="0.25">
      <c r="A209" s="146"/>
      <c r="G209" s="116"/>
      <c r="H209" s="130">
        <v>204</v>
      </c>
      <c r="I209" s="131" t="str">
        <f t="shared" si="17"/>
        <v/>
      </c>
      <c r="J209" s="130">
        <f t="shared" si="18"/>
        <v>-7</v>
      </c>
      <c r="K209" s="130">
        <f t="shared" si="15"/>
        <v>-70</v>
      </c>
      <c r="L209" s="130"/>
      <c r="M209" s="132">
        <f t="shared" si="16"/>
        <v>0</v>
      </c>
    </row>
    <row r="210" spans="1:13" x14ac:dyDescent="0.25">
      <c r="A210" s="146"/>
      <c r="G210" s="116"/>
      <c r="H210" s="130">
        <v>205</v>
      </c>
      <c r="I210" s="131" t="str">
        <f t="shared" si="17"/>
        <v/>
      </c>
      <c r="J210" s="130">
        <f t="shared" si="18"/>
        <v>-7</v>
      </c>
      <c r="K210" s="130">
        <f t="shared" si="15"/>
        <v>-70</v>
      </c>
      <c r="L210" s="130"/>
      <c r="M210" s="132">
        <f t="shared" si="16"/>
        <v>0</v>
      </c>
    </row>
    <row r="211" spans="1:13" x14ac:dyDescent="0.25">
      <c r="A211" s="146"/>
      <c r="G211" s="116"/>
      <c r="H211" s="130">
        <v>206</v>
      </c>
      <c r="I211" s="131" t="str">
        <f t="shared" si="17"/>
        <v/>
      </c>
      <c r="J211" s="130">
        <f t="shared" si="18"/>
        <v>-7</v>
      </c>
      <c r="K211" s="130">
        <f t="shared" si="15"/>
        <v>-70</v>
      </c>
      <c r="L211" s="130"/>
      <c r="M211" s="132">
        <f t="shared" si="16"/>
        <v>0</v>
      </c>
    </row>
    <row r="212" spans="1:13" x14ac:dyDescent="0.25">
      <c r="A212" s="146"/>
      <c r="G212" s="116"/>
      <c r="H212" s="130">
        <v>207</v>
      </c>
      <c r="I212" s="131" t="str">
        <f t="shared" si="17"/>
        <v/>
      </c>
      <c r="J212" s="130">
        <f t="shared" si="18"/>
        <v>-7</v>
      </c>
      <c r="K212" s="130">
        <f t="shared" si="15"/>
        <v>-70</v>
      </c>
      <c r="L212" s="130"/>
      <c r="M212" s="132">
        <f t="shared" si="16"/>
        <v>0</v>
      </c>
    </row>
    <row r="213" spans="1:13" x14ac:dyDescent="0.25">
      <c r="A213" s="146"/>
      <c r="G213" s="116"/>
      <c r="H213" s="130">
        <v>208</v>
      </c>
      <c r="I213" s="131" t="str">
        <f t="shared" si="17"/>
        <v/>
      </c>
      <c r="J213" s="130">
        <f t="shared" si="18"/>
        <v>-7</v>
      </c>
      <c r="K213" s="130">
        <f t="shared" si="15"/>
        <v>-70</v>
      </c>
      <c r="L213" s="130"/>
      <c r="M213" s="132">
        <f t="shared" si="16"/>
        <v>0</v>
      </c>
    </row>
    <row r="214" spans="1:13" x14ac:dyDescent="0.25">
      <c r="A214" s="146"/>
      <c r="G214" s="116"/>
      <c r="H214" s="130">
        <v>209</v>
      </c>
      <c r="I214" s="131" t="str">
        <f t="shared" si="17"/>
        <v/>
      </c>
      <c r="J214" s="130">
        <f t="shared" si="18"/>
        <v>-7</v>
      </c>
      <c r="K214" s="130">
        <f t="shared" si="15"/>
        <v>-70</v>
      </c>
      <c r="L214" s="130"/>
      <c r="M214" s="132">
        <f t="shared" si="16"/>
        <v>0</v>
      </c>
    </row>
    <row r="215" spans="1:13" x14ac:dyDescent="0.25">
      <c r="A215" s="146"/>
      <c r="G215" s="116"/>
      <c r="H215" s="130">
        <v>210</v>
      </c>
      <c r="I215" s="131" t="str">
        <f t="shared" si="17"/>
        <v/>
      </c>
      <c r="J215" s="130">
        <f t="shared" si="18"/>
        <v>-7</v>
      </c>
      <c r="K215" s="130">
        <f t="shared" si="15"/>
        <v>-70</v>
      </c>
      <c r="L215" s="130"/>
      <c r="M215" s="132">
        <f t="shared" si="16"/>
        <v>0</v>
      </c>
    </row>
    <row r="216" spans="1:13" x14ac:dyDescent="0.25">
      <c r="A216" s="146"/>
      <c r="G216" s="116"/>
      <c r="H216" s="130">
        <v>211</v>
      </c>
      <c r="I216" s="131" t="str">
        <f t="shared" si="17"/>
        <v/>
      </c>
      <c r="J216" s="130">
        <f t="shared" si="18"/>
        <v>-7</v>
      </c>
      <c r="K216" s="130">
        <f t="shared" si="15"/>
        <v>-70</v>
      </c>
      <c r="L216" s="130"/>
      <c r="M216" s="132">
        <f t="shared" si="16"/>
        <v>0</v>
      </c>
    </row>
    <row r="217" spans="1:13" x14ac:dyDescent="0.25">
      <c r="A217" s="146"/>
      <c r="G217" s="116"/>
      <c r="H217" s="130">
        <v>212</v>
      </c>
      <c r="I217" s="131" t="str">
        <f t="shared" si="17"/>
        <v/>
      </c>
      <c r="J217" s="130">
        <f t="shared" si="18"/>
        <v>-7</v>
      </c>
      <c r="K217" s="130">
        <f t="shared" si="15"/>
        <v>-70</v>
      </c>
      <c r="L217" s="130"/>
      <c r="M217" s="132">
        <f t="shared" si="16"/>
        <v>0</v>
      </c>
    </row>
    <row r="218" spans="1:13" x14ac:dyDescent="0.25">
      <c r="A218" s="146"/>
      <c r="G218" s="116"/>
      <c r="H218" s="130">
        <v>213</v>
      </c>
      <c r="I218" s="131" t="str">
        <f t="shared" si="17"/>
        <v/>
      </c>
      <c r="J218" s="130">
        <f t="shared" si="18"/>
        <v>-7</v>
      </c>
      <c r="K218" s="130">
        <f t="shared" si="15"/>
        <v>-70</v>
      </c>
      <c r="L218" s="130"/>
      <c r="M218" s="132">
        <f t="shared" si="16"/>
        <v>0</v>
      </c>
    </row>
    <row r="219" spans="1:13" x14ac:dyDescent="0.25">
      <c r="A219" s="146"/>
      <c r="G219" s="116"/>
      <c r="H219" s="130">
        <v>214</v>
      </c>
      <c r="I219" s="131" t="str">
        <f t="shared" si="17"/>
        <v/>
      </c>
      <c r="J219" s="130">
        <f t="shared" si="18"/>
        <v>-7</v>
      </c>
      <c r="K219" s="130">
        <f t="shared" si="15"/>
        <v>-70</v>
      </c>
      <c r="L219" s="130"/>
      <c r="M219" s="132">
        <f t="shared" si="16"/>
        <v>0</v>
      </c>
    </row>
    <row r="220" spans="1:13" x14ac:dyDescent="0.25">
      <c r="A220" s="146"/>
      <c r="G220" s="116"/>
      <c r="H220" s="130">
        <v>215</v>
      </c>
      <c r="I220" s="131" t="str">
        <f t="shared" si="17"/>
        <v/>
      </c>
      <c r="J220" s="130">
        <f t="shared" si="18"/>
        <v>-7</v>
      </c>
      <c r="K220" s="130">
        <f t="shared" si="15"/>
        <v>-70</v>
      </c>
      <c r="L220" s="130"/>
      <c r="M220" s="132">
        <f t="shared" si="16"/>
        <v>0</v>
      </c>
    </row>
    <row r="221" spans="1:13" x14ac:dyDescent="0.25">
      <c r="A221" s="146"/>
      <c r="G221" s="116"/>
      <c r="H221" s="130">
        <v>216</v>
      </c>
      <c r="I221" s="131" t="str">
        <f t="shared" si="17"/>
        <v/>
      </c>
      <c r="J221" s="130">
        <f t="shared" si="18"/>
        <v>-7</v>
      </c>
      <c r="K221" s="130">
        <f t="shared" si="15"/>
        <v>-70</v>
      </c>
      <c r="L221" s="130"/>
      <c r="M221" s="132">
        <f t="shared" si="16"/>
        <v>0</v>
      </c>
    </row>
    <row r="222" spans="1:13" x14ac:dyDescent="0.25">
      <c r="A222" s="146"/>
      <c r="G222" s="116"/>
      <c r="H222" s="130">
        <v>217</v>
      </c>
      <c r="I222" s="131" t="str">
        <f t="shared" si="17"/>
        <v/>
      </c>
      <c r="J222" s="130">
        <f t="shared" si="18"/>
        <v>-7</v>
      </c>
      <c r="K222" s="130">
        <f t="shared" si="15"/>
        <v>-70</v>
      </c>
      <c r="L222" s="130"/>
      <c r="M222" s="132">
        <f t="shared" si="16"/>
        <v>0</v>
      </c>
    </row>
    <row r="223" spans="1:13" x14ac:dyDescent="0.25">
      <c r="A223" s="146"/>
      <c r="G223" s="116"/>
      <c r="H223" s="130">
        <v>218</v>
      </c>
      <c r="I223" s="131" t="str">
        <f t="shared" si="17"/>
        <v/>
      </c>
      <c r="J223" s="130">
        <f t="shared" si="18"/>
        <v>-7</v>
      </c>
      <c r="K223" s="130">
        <f t="shared" si="15"/>
        <v>-70</v>
      </c>
      <c r="L223" s="130"/>
      <c r="M223" s="132">
        <f t="shared" si="16"/>
        <v>0</v>
      </c>
    </row>
    <row r="224" spans="1:13" x14ac:dyDescent="0.25">
      <c r="A224" s="146"/>
      <c r="G224" s="116"/>
      <c r="H224" s="130">
        <v>219</v>
      </c>
      <c r="I224" s="131" t="str">
        <f t="shared" si="17"/>
        <v/>
      </c>
      <c r="J224" s="130">
        <f t="shared" si="18"/>
        <v>-7</v>
      </c>
      <c r="K224" s="130">
        <f t="shared" si="15"/>
        <v>-70</v>
      </c>
      <c r="L224" s="130"/>
      <c r="M224" s="132">
        <f t="shared" si="16"/>
        <v>0</v>
      </c>
    </row>
    <row r="225" spans="1:13" x14ac:dyDescent="0.25">
      <c r="A225" s="146"/>
      <c r="G225" s="116"/>
      <c r="H225" s="130">
        <v>220</v>
      </c>
      <c r="I225" s="131" t="str">
        <f t="shared" si="17"/>
        <v/>
      </c>
      <c r="J225" s="130">
        <f t="shared" si="18"/>
        <v>-7</v>
      </c>
      <c r="K225" s="130">
        <f t="shared" si="15"/>
        <v>-70</v>
      </c>
      <c r="L225" s="130"/>
      <c r="M225" s="132">
        <f t="shared" si="16"/>
        <v>0</v>
      </c>
    </row>
    <row r="226" spans="1:13" x14ac:dyDescent="0.25">
      <c r="A226" s="146"/>
      <c r="G226" s="116"/>
      <c r="H226" s="130">
        <v>221</v>
      </c>
      <c r="I226" s="131" t="str">
        <f t="shared" si="17"/>
        <v/>
      </c>
      <c r="J226" s="130">
        <f t="shared" si="18"/>
        <v>-7</v>
      </c>
      <c r="K226" s="130">
        <f t="shared" si="15"/>
        <v>-70</v>
      </c>
      <c r="L226" s="130"/>
      <c r="M226" s="132">
        <f t="shared" si="16"/>
        <v>0</v>
      </c>
    </row>
    <row r="227" spans="1:13" x14ac:dyDescent="0.25">
      <c r="A227" s="146"/>
      <c r="G227" s="116"/>
      <c r="H227" s="130">
        <v>222</v>
      </c>
      <c r="I227" s="131" t="str">
        <f t="shared" si="17"/>
        <v/>
      </c>
      <c r="J227" s="130">
        <f t="shared" si="18"/>
        <v>-7</v>
      </c>
      <c r="K227" s="130">
        <f t="shared" si="15"/>
        <v>-70</v>
      </c>
      <c r="L227" s="130"/>
      <c r="M227" s="132">
        <f t="shared" si="16"/>
        <v>0</v>
      </c>
    </row>
    <row r="228" spans="1:13" x14ac:dyDescent="0.25">
      <c r="A228" s="146"/>
      <c r="G228" s="116"/>
      <c r="H228" s="130">
        <v>223</v>
      </c>
      <c r="I228" s="131" t="str">
        <f t="shared" si="17"/>
        <v/>
      </c>
      <c r="J228" s="130">
        <f t="shared" si="18"/>
        <v>-7</v>
      </c>
      <c r="K228" s="130">
        <f t="shared" si="15"/>
        <v>-70</v>
      </c>
      <c r="L228" s="130"/>
      <c r="M228" s="132">
        <f t="shared" si="16"/>
        <v>0</v>
      </c>
    </row>
    <row r="229" spans="1:13" x14ac:dyDescent="0.25">
      <c r="A229" s="146"/>
      <c r="G229" s="116"/>
      <c r="H229" s="130">
        <v>224</v>
      </c>
      <c r="I229" s="131" t="str">
        <f t="shared" si="17"/>
        <v/>
      </c>
      <c r="J229" s="130">
        <f t="shared" si="18"/>
        <v>-7</v>
      </c>
      <c r="K229" s="130">
        <f t="shared" si="15"/>
        <v>-70</v>
      </c>
      <c r="L229" s="130"/>
      <c r="M229" s="132">
        <f t="shared" si="16"/>
        <v>0</v>
      </c>
    </row>
    <row r="230" spans="1:13" x14ac:dyDescent="0.25">
      <c r="A230" s="146"/>
      <c r="G230" s="116"/>
      <c r="H230" s="130">
        <v>225</v>
      </c>
      <c r="I230" s="131" t="str">
        <f t="shared" si="17"/>
        <v/>
      </c>
      <c r="J230" s="130">
        <f t="shared" si="18"/>
        <v>-7</v>
      </c>
      <c r="K230" s="130">
        <f t="shared" si="15"/>
        <v>-70</v>
      </c>
      <c r="L230" s="130"/>
      <c r="M230" s="132">
        <f t="shared" si="16"/>
        <v>0</v>
      </c>
    </row>
    <row r="231" spans="1:13" x14ac:dyDescent="0.25">
      <c r="A231" s="146"/>
      <c r="G231" s="116"/>
      <c r="H231" s="130">
        <v>226</v>
      </c>
      <c r="I231" s="131" t="str">
        <f t="shared" si="17"/>
        <v/>
      </c>
      <c r="J231" s="130">
        <f t="shared" si="18"/>
        <v>-7</v>
      </c>
      <c r="K231" s="130">
        <f t="shared" si="15"/>
        <v>-70</v>
      </c>
      <c r="L231" s="130"/>
      <c r="M231" s="132">
        <f t="shared" si="16"/>
        <v>0</v>
      </c>
    </row>
    <row r="232" spans="1:13" x14ac:dyDescent="0.25">
      <c r="A232" s="146"/>
      <c r="G232" s="116"/>
      <c r="H232" s="130">
        <v>227</v>
      </c>
      <c r="I232" s="131" t="str">
        <f t="shared" si="17"/>
        <v/>
      </c>
      <c r="J232" s="130">
        <f t="shared" si="18"/>
        <v>-7</v>
      </c>
      <c r="K232" s="130">
        <f t="shared" si="15"/>
        <v>-70</v>
      </c>
      <c r="L232" s="130"/>
      <c r="M232" s="132">
        <f t="shared" si="16"/>
        <v>0</v>
      </c>
    </row>
    <row r="233" spans="1:13" x14ac:dyDescent="0.25">
      <c r="A233" s="146"/>
      <c r="G233" s="116"/>
      <c r="H233" s="130">
        <v>228</v>
      </c>
      <c r="I233" s="131" t="str">
        <f t="shared" si="17"/>
        <v/>
      </c>
      <c r="J233" s="130">
        <f t="shared" si="18"/>
        <v>-7</v>
      </c>
      <c r="K233" s="130">
        <f t="shared" si="15"/>
        <v>-70</v>
      </c>
      <c r="L233" s="130"/>
      <c r="M233" s="132">
        <f t="shared" si="16"/>
        <v>0</v>
      </c>
    </row>
    <row r="234" spans="1:13" x14ac:dyDescent="0.25">
      <c r="A234" s="146"/>
      <c r="G234" s="116"/>
      <c r="H234" s="130">
        <v>229</v>
      </c>
      <c r="I234" s="131" t="str">
        <f t="shared" si="17"/>
        <v/>
      </c>
      <c r="J234" s="130">
        <f t="shared" si="18"/>
        <v>-7</v>
      </c>
      <c r="K234" s="130">
        <f t="shared" si="15"/>
        <v>-70</v>
      </c>
      <c r="L234" s="130"/>
      <c r="M234" s="132">
        <f t="shared" si="16"/>
        <v>0</v>
      </c>
    </row>
    <row r="235" spans="1:13" x14ac:dyDescent="0.25">
      <c r="A235" s="146"/>
      <c r="G235" s="116"/>
      <c r="H235" s="130">
        <v>230</v>
      </c>
      <c r="I235" s="131" t="str">
        <f t="shared" si="17"/>
        <v/>
      </c>
      <c r="J235" s="130">
        <f t="shared" si="18"/>
        <v>-7</v>
      </c>
      <c r="K235" s="130">
        <f t="shared" si="15"/>
        <v>-70</v>
      </c>
      <c r="L235" s="130"/>
      <c r="M235" s="132">
        <f t="shared" si="16"/>
        <v>0</v>
      </c>
    </row>
    <row r="236" spans="1:13" x14ac:dyDescent="0.25">
      <c r="A236" s="146"/>
      <c r="G236" s="116"/>
      <c r="H236" s="130">
        <v>231</v>
      </c>
      <c r="I236" s="131" t="str">
        <f t="shared" si="17"/>
        <v/>
      </c>
      <c r="J236" s="130">
        <f t="shared" si="18"/>
        <v>-7</v>
      </c>
      <c r="K236" s="130">
        <f t="shared" si="15"/>
        <v>-70</v>
      </c>
      <c r="L236" s="130"/>
      <c r="M236" s="132">
        <f t="shared" si="16"/>
        <v>0</v>
      </c>
    </row>
    <row r="237" spans="1:13" x14ac:dyDescent="0.25">
      <c r="A237" s="146"/>
      <c r="G237" s="116"/>
      <c r="H237" s="130">
        <v>232</v>
      </c>
      <c r="I237" s="131" t="str">
        <f t="shared" si="17"/>
        <v/>
      </c>
      <c r="J237" s="130">
        <f t="shared" si="18"/>
        <v>-7</v>
      </c>
      <c r="K237" s="130">
        <f t="shared" si="15"/>
        <v>-70</v>
      </c>
      <c r="L237" s="130"/>
      <c r="M237" s="132">
        <f t="shared" si="16"/>
        <v>0</v>
      </c>
    </row>
    <row r="238" spans="1:13" x14ac:dyDescent="0.25">
      <c r="A238" s="146"/>
      <c r="G238" s="116"/>
      <c r="H238" s="130">
        <v>233</v>
      </c>
      <c r="I238" s="131" t="str">
        <f t="shared" si="17"/>
        <v/>
      </c>
      <c r="J238" s="130">
        <f t="shared" si="18"/>
        <v>-7</v>
      </c>
      <c r="K238" s="130">
        <f t="shared" si="15"/>
        <v>-70</v>
      </c>
      <c r="L238" s="130"/>
      <c r="M238" s="132">
        <f t="shared" si="16"/>
        <v>0</v>
      </c>
    </row>
    <row r="239" spans="1:13" x14ac:dyDescent="0.25">
      <c r="A239" s="146"/>
      <c r="G239" s="116"/>
      <c r="H239" s="130">
        <v>234</v>
      </c>
      <c r="I239" s="131" t="str">
        <f t="shared" si="17"/>
        <v/>
      </c>
      <c r="J239" s="130">
        <f t="shared" si="18"/>
        <v>-7</v>
      </c>
      <c r="K239" s="130">
        <f t="shared" si="15"/>
        <v>-70</v>
      </c>
      <c r="L239" s="130"/>
      <c r="M239" s="132">
        <f t="shared" si="16"/>
        <v>0</v>
      </c>
    </row>
    <row r="240" spans="1:13" x14ac:dyDescent="0.25">
      <c r="A240" s="146"/>
      <c r="G240" s="116"/>
      <c r="H240" s="130">
        <v>235</v>
      </c>
      <c r="I240" s="131" t="str">
        <f t="shared" si="17"/>
        <v/>
      </c>
      <c r="J240" s="130">
        <f t="shared" si="18"/>
        <v>-7</v>
      </c>
      <c r="K240" s="130">
        <f t="shared" si="15"/>
        <v>-70</v>
      </c>
      <c r="L240" s="130"/>
      <c r="M240" s="132">
        <f t="shared" si="16"/>
        <v>0</v>
      </c>
    </row>
    <row r="241" spans="1:13" x14ac:dyDescent="0.25">
      <c r="A241" s="146"/>
      <c r="G241" s="116"/>
      <c r="H241" s="130">
        <v>236</v>
      </c>
      <c r="I241" s="131" t="str">
        <f t="shared" si="17"/>
        <v/>
      </c>
      <c r="J241" s="130">
        <f t="shared" si="18"/>
        <v>-7</v>
      </c>
      <c r="K241" s="130">
        <f t="shared" si="15"/>
        <v>-70</v>
      </c>
      <c r="L241" s="130"/>
      <c r="M241" s="132">
        <f t="shared" si="16"/>
        <v>0</v>
      </c>
    </row>
    <row r="242" spans="1:13" x14ac:dyDescent="0.25">
      <c r="A242" s="146"/>
      <c r="G242" s="116"/>
      <c r="H242" s="130">
        <v>237</v>
      </c>
      <c r="I242" s="131" t="str">
        <f t="shared" si="17"/>
        <v/>
      </c>
      <c r="J242" s="130">
        <f t="shared" si="18"/>
        <v>-7</v>
      </c>
      <c r="K242" s="130">
        <f t="shared" si="15"/>
        <v>-70</v>
      </c>
      <c r="L242" s="130"/>
      <c r="M242" s="132">
        <f t="shared" si="16"/>
        <v>0</v>
      </c>
    </row>
    <row r="243" spans="1:13" x14ac:dyDescent="0.25">
      <c r="A243" s="146"/>
      <c r="G243" s="116"/>
      <c r="H243" s="130">
        <v>238</v>
      </c>
      <c r="I243" s="131" t="str">
        <f t="shared" si="17"/>
        <v/>
      </c>
      <c r="J243" s="130">
        <f t="shared" si="18"/>
        <v>-7</v>
      </c>
      <c r="K243" s="130">
        <f t="shared" si="15"/>
        <v>-70</v>
      </c>
      <c r="L243" s="130"/>
      <c r="M243" s="132">
        <f t="shared" si="16"/>
        <v>0</v>
      </c>
    </row>
    <row r="244" spans="1:13" x14ac:dyDescent="0.25">
      <c r="A244" s="146"/>
      <c r="G244" s="116"/>
      <c r="H244" s="130">
        <v>239</v>
      </c>
      <c r="I244" s="131" t="str">
        <f t="shared" si="17"/>
        <v/>
      </c>
      <c r="J244" s="130">
        <f t="shared" si="18"/>
        <v>-7</v>
      </c>
      <c r="K244" s="130">
        <f t="shared" si="15"/>
        <v>-70</v>
      </c>
      <c r="L244" s="130"/>
      <c r="M244" s="132">
        <f t="shared" si="16"/>
        <v>0</v>
      </c>
    </row>
    <row r="245" spans="1:13" x14ac:dyDescent="0.25">
      <c r="A245" s="146"/>
      <c r="G245" s="116"/>
      <c r="H245" s="130">
        <v>240</v>
      </c>
      <c r="I245" s="131" t="str">
        <f t="shared" si="17"/>
        <v/>
      </c>
      <c r="J245" s="130">
        <f t="shared" si="18"/>
        <v>-7</v>
      </c>
      <c r="K245" s="130">
        <f t="shared" si="15"/>
        <v>-70</v>
      </c>
      <c r="L245" s="130"/>
      <c r="M245" s="132">
        <f t="shared" si="16"/>
        <v>0</v>
      </c>
    </row>
    <row r="246" spans="1:13" x14ac:dyDescent="0.25">
      <c r="A246" s="146"/>
      <c r="G246" s="116"/>
      <c r="H246" s="130">
        <v>241</v>
      </c>
      <c r="I246" s="131" t="str">
        <f t="shared" si="17"/>
        <v/>
      </c>
      <c r="J246" s="130">
        <f t="shared" si="18"/>
        <v>-7</v>
      </c>
      <c r="K246" s="130">
        <f t="shared" si="15"/>
        <v>-70</v>
      </c>
      <c r="L246" s="130"/>
      <c r="M246" s="132">
        <f t="shared" si="16"/>
        <v>0</v>
      </c>
    </row>
    <row r="247" spans="1:13" x14ac:dyDescent="0.25">
      <c r="A247" s="146"/>
      <c r="G247" s="116"/>
      <c r="H247" s="130">
        <v>242</v>
      </c>
      <c r="I247" s="131" t="str">
        <f t="shared" si="17"/>
        <v/>
      </c>
      <c r="J247" s="130">
        <f t="shared" si="18"/>
        <v>-7</v>
      </c>
      <c r="K247" s="130">
        <f t="shared" si="15"/>
        <v>-70</v>
      </c>
      <c r="L247" s="130"/>
      <c r="M247" s="132">
        <f t="shared" si="16"/>
        <v>0</v>
      </c>
    </row>
    <row r="248" spans="1:13" x14ac:dyDescent="0.25">
      <c r="A248" s="146"/>
      <c r="G248" s="116"/>
      <c r="H248" s="130">
        <v>243</v>
      </c>
      <c r="I248" s="131" t="str">
        <f t="shared" si="17"/>
        <v/>
      </c>
      <c r="J248" s="130">
        <f t="shared" si="18"/>
        <v>-7</v>
      </c>
      <c r="K248" s="130">
        <f t="shared" si="15"/>
        <v>-70</v>
      </c>
      <c r="L248" s="130"/>
      <c r="M248" s="132">
        <f t="shared" si="16"/>
        <v>0</v>
      </c>
    </row>
    <row r="249" spans="1:13" x14ac:dyDescent="0.25">
      <c r="A249" s="146"/>
      <c r="G249" s="116"/>
      <c r="H249" s="130">
        <v>244</v>
      </c>
      <c r="I249" s="131" t="str">
        <f t="shared" si="17"/>
        <v/>
      </c>
      <c r="J249" s="130">
        <f t="shared" si="18"/>
        <v>-7</v>
      </c>
      <c r="K249" s="130">
        <f t="shared" si="15"/>
        <v>-70</v>
      </c>
      <c r="L249" s="130"/>
      <c r="M249" s="132">
        <f t="shared" si="16"/>
        <v>0</v>
      </c>
    </row>
    <row r="250" spans="1:13" x14ac:dyDescent="0.25">
      <c r="A250" s="146"/>
      <c r="G250" s="116"/>
      <c r="H250" s="130">
        <v>245</v>
      </c>
      <c r="I250" s="131" t="str">
        <f t="shared" si="17"/>
        <v/>
      </c>
      <c r="J250" s="130">
        <f t="shared" si="18"/>
        <v>-7</v>
      </c>
      <c r="K250" s="130">
        <f t="shared" si="15"/>
        <v>-70</v>
      </c>
      <c r="L250" s="130"/>
      <c r="M250" s="132">
        <f t="shared" si="16"/>
        <v>0</v>
      </c>
    </row>
    <row r="251" spans="1:13" x14ac:dyDescent="0.25">
      <c r="A251" s="146"/>
      <c r="G251" s="116"/>
      <c r="H251" s="130">
        <v>246</v>
      </c>
      <c r="I251" s="131" t="str">
        <f t="shared" si="17"/>
        <v/>
      </c>
      <c r="J251" s="130">
        <f t="shared" si="18"/>
        <v>-7</v>
      </c>
      <c r="K251" s="130">
        <f t="shared" si="15"/>
        <v>-70</v>
      </c>
      <c r="L251" s="130"/>
      <c r="M251" s="132">
        <f t="shared" si="16"/>
        <v>0</v>
      </c>
    </row>
    <row r="252" spans="1:13" x14ac:dyDescent="0.25">
      <c r="A252" s="146"/>
      <c r="G252" s="116"/>
      <c r="H252" s="130">
        <v>247</v>
      </c>
      <c r="I252" s="131" t="str">
        <f t="shared" si="17"/>
        <v/>
      </c>
      <c r="J252" s="130">
        <f t="shared" si="18"/>
        <v>-7</v>
      </c>
      <c r="K252" s="130">
        <f t="shared" si="15"/>
        <v>-70</v>
      </c>
      <c r="L252" s="130"/>
      <c r="M252" s="132">
        <f t="shared" si="16"/>
        <v>0</v>
      </c>
    </row>
    <row r="253" spans="1:13" x14ac:dyDescent="0.25">
      <c r="A253" s="146"/>
      <c r="G253" s="116"/>
      <c r="H253" s="130">
        <v>248</v>
      </c>
      <c r="I253" s="131" t="str">
        <f t="shared" si="17"/>
        <v/>
      </c>
      <c r="J253" s="130">
        <f t="shared" si="18"/>
        <v>-7</v>
      </c>
      <c r="K253" s="130">
        <f t="shared" si="15"/>
        <v>-70</v>
      </c>
      <c r="L253" s="130"/>
      <c r="M253" s="132">
        <f t="shared" si="16"/>
        <v>0</v>
      </c>
    </row>
    <row r="254" spans="1:13" x14ac:dyDescent="0.25">
      <c r="A254" s="146"/>
      <c r="G254" s="116"/>
      <c r="H254" s="130">
        <v>249</v>
      </c>
      <c r="I254" s="131" t="str">
        <f t="shared" si="17"/>
        <v/>
      </c>
      <c r="J254" s="130">
        <f t="shared" si="18"/>
        <v>-7</v>
      </c>
      <c r="K254" s="130">
        <f t="shared" si="15"/>
        <v>-70</v>
      </c>
      <c r="L254" s="130"/>
      <c r="M254" s="132">
        <f t="shared" si="16"/>
        <v>0</v>
      </c>
    </row>
    <row r="255" spans="1:13" x14ac:dyDescent="0.25">
      <c r="A255" s="146"/>
      <c r="G255" s="116"/>
      <c r="H255" s="130">
        <v>250</v>
      </c>
      <c r="I255" s="131" t="str">
        <f t="shared" si="17"/>
        <v/>
      </c>
      <c r="J255" s="130">
        <f t="shared" si="18"/>
        <v>-7</v>
      </c>
      <c r="K255" s="130">
        <f t="shared" si="15"/>
        <v>-70</v>
      </c>
      <c r="L255" s="130"/>
      <c r="M255" s="132">
        <f t="shared" si="16"/>
        <v>0</v>
      </c>
    </row>
    <row r="256" spans="1:13" x14ac:dyDescent="0.25">
      <c r="A256" s="146"/>
      <c r="G256" s="116"/>
      <c r="H256" s="130">
        <v>251</v>
      </c>
      <c r="I256" s="131" t="str">
        <f t="shared" si="17"/>
        <v/>
      </c>
      <c r="J256" s="130">
        <f t="shared" si="18"/>
        <v>-7</v>
      </c>
      <c r="K256" s="130">
        <f t="shared" si="15"/>
        <v>-70</v>
      </c>
      <c r="L256" s="130"/>
      <c r="M256" s="132">
        <f t="shared" si="16"/>
        <v>0</v>
      </c>
    </row>
    <row r="257" spans="1:13" x14ac:dyDescent="0.25">
      <c r="A257" s="146"/>
      <c r="G257" s="116"/>
      <c r="H257" s="130">
        <v>252</v>
      </c>
      <c r="I257" s="131" t="str">
        <f t="shared" si="17"/>
        <v/>
      </c>
      <c r="J257" s="130">
        <f t="shared" si="18"/>
        <v>-7</v>
      </c>
      <c r="K257" s="130">
        <f t="shared" si="15"/>
        <v>-70</v>
      </c>
      <c r="L257" s="130"/>
      <c r="M257" s="132">
        <f t="shared" si="16"/>
        <v>0</v>
      </c>
    </row>
    <row r="258" spans="1:13" x14ac:dyDescent="0.25">
      <c r="A258" s="146"/>
      <c r="G258" s="116"/>
      <c r="H258" s="130">
        <v>253</v>
      </c>
      <c r="I258" s="131" t="str">
        <f t="shared" si="17"/>
        <v/>
      </c>
      <c r="J258" s="130">
        <f t="shared" si="18"/>
        <v>-7</v>
      </c>
      <c r="K258" s="130">
        <f t="shared" si="15"/>
        <v>-70</v>
      </c>
      <c r="L258" s="130"/>
      <c r="M258" s="132">
        <f t="shared" si="16"/>
        <v>0</v>
      </c>
    </row>
    <row r="259" spans="1:13" x14ac:dyDescent="0.25">
      <c r="A259" s="146"/>
      <c r="G259" s="116"/>
      <c r="H259" s="130">
        <v>254</v>
      </c>
      <c r="I259" s="131" t="str">
        <f t="shared" si="17"/>
        <v/>
      </c>
      <c r="J259" s="130">
        <f t="shared" si="18"/>
        <v>-7</v>
      </c>
      <c r="K259" s="130">
        <f t="shared" si="15"/>
        <v>-70</v>
      </c>
      <c r="L259" s="130"/>
      <c r="M259" s="132">
        <f t="shared" si="16"/>
        <v>0</v>
      </c>
    </row>
    <row r="260" spans="1:13" x14ac:dyDescent="0.25">
      <c r="A260" s="146"/>
      <c r="G260" s="116"/>
      <c r="H260" s="130">
        <v>255</v>
      </c>
      <c r="I260" s="131" t="str">
        <f t="shared" si="17"/>
        <v/>
      </c>
      <c r="J260" s="130">
        <f t="shared" si="18"/>
        <v>-7</v>
      </c>
      <c r="K260" s="130">
        <f t="shared" si="15"/>
        <v>-70</v>
      </c>
      <c r="L260" s="130"/>
      <c r="M260" s="132">
        <f t="shared" si="16"/>
        <v>0</v>
      </c>
    </row>
    <row r="261" spans="1:13" x14ac:dyDescent="0.25">
      <c r="A261" s="146"/>
      <c r="G261" s="116"/>
      <c r="H261" s="130">
        <v>256</v>
      </c>
      <c r="I261" s="131" t="str">
        <f t="shared" si="17"/>
        <v/>
      </c>
      <c r="J261" s="130">
        <f t="shared" si="18"/>
        <v>-7</v>
      </c>
      <c r="K261" s="130">
        <f t="shared" si="15"/>
        <v>-70</v>
      </c>
      <c r="L261" s="130"/>
      <c r="M261" s="132">
        <f t="shared" si="16"/>
        <v>0</v>
      </c>
    </row>
    <row r="262" spans="1:13" x14ac:dyDescent="0.25">
      <c r="A262" s="146"/>
      <c r="G262" s="116"/>
      <c r="H262" s="130">
        <v>257</v>
      </c>
      <c r="I262" s="131" t="str">
        <f t="shared" si="17"/>
        <v/>
      </c>
      <c r="J262" s="130">
        <f t="shared" si="18"/>
        <v>-8</v>
      </c>
      <c r="K262" s="130">
        <f t="shared" ref="K262:K305" si="19">J262*$J$2</f>
        <v>-80</v>
      </c>
      <c r="L262" s="130"/>
      <c r="M262" s="132">
        <f t="shared" ref="M262:M305" si="20">IF(I262&lt;&gt;"",K262+I262+L262,0)</f>
        <v>0</v>
      </c>
    </row>
    <row r="263" spans="1:13" x14ac:dyDescent="0.25">
      <c r="A263" s="146"/>
      <c r="G263" s="116"/>
      <c r="H263" s="130">
        <v>258</v>
      </c>
      <c r="I263" s="131" t="str">
        <f t="shared" ref="I263:I305" si="21">IF(H263&lt;$H$2+1,($I$2-($I$2-1)*(LOG(H263)/LOG($H$2))),"")</f>
        <v/>
      </c>
      <c r="J263" s="130">
        <f t="shared" ref="J263:J305" si="22">INT(LOG($H$2,2))-ROUNDUP(LOG(H263,2),0)+IF(OR($H$2=1,$H$2=2,$H$2=4,$H$2=8,$H$2=16,$H$2=32,$H$2=64,$H$2=128,$H$2=256),0,1)</f>
        <v>-8</v>
      </c>
      <c r="K263" s="130">
        <f t="shared" si="19"/>
        <v>-80</v>
      </c>
      <c r="L263" s="130"/>
      <c r="M263" s="132">
        <f t="shared" si="20"/>
        <v>0</v>
      </c>
    </row>
    <row r="264" spans="1:13" x14ac:dyDescent="0.25">
      <c r="A264" s="146"/>
      <c r="G264" s="116"/>
      <c r="H264" s="130">
        <v>259</v>
      </c>
      <c r="I264" s="131" t="str">
        <f t="shared" si="21"/>
        <v/>
      </c>
      <c r="J264" s="130">
        <f t="shared" si="22"/>
        <v>-8</v>
      </c>
      <c r="K264" s="130">
        <f t="shared" si="19"/>
        <v>-80</v>
      </c>
      <c r="L264" s="130"/>
      <c r="M264" s="132">
        <f t="shared" si="20"/>
        <v>0</v>
      </c>
    </row>
    <row r="265" spans="1:13" x14ac:dyDescent="0.25">
      <c r="A265" s="146"/>
      <c r="G265" s="116"/>
      <c r="H265" s="130">
        <v>260</v>
      </c>
      <c r="I265" s="131" t="str">
        <f t="shared" si="21"/>
        <v/>
      </c>
      <c r="J265" s="130">
        <f t="shared" si="22"/>
        <v>-8</v>
      </c>
      <c r="K265" s="130">
        <f t="shared" si="19"/>
        <v>-80</v>
      </c>
      <c r="L265" s="130"/>
      <c r="M265" s="132">
        <f t="shared" si="20"/>
        <v>0</v>
      </c>
    </row>
    <row r="266" spans="1:13" x14ac:dyDescent="0.25">
      <c r="A266" s="146"/>
      <c r="G266" s="116"/>
      <c r="H266" s="130">
        <v>261</v>
      </c>
      <c r="I266" s="131" t="str">
        <f t="shared" si="21"/>
        <v/>
      </c>
      <c r="J266" s="130">
        <f t="shared" si="22"/>
        <v>-8</v>
      </c>
      <c r="K266" s="130">
        <f t="shared" si="19"/>
        <v>-80</v>
      </c>
      <c r="L266" s="130"/>
      <c r="M266" s="132">
        <f t="shared" si="20"/>
        <v>0</v>
      </c>
    </row>
    <row r="267" spans="1:13" x14ac:dyDescent="0.25">
      <c r="A267" s="146"/>
      <c r="G267" s="116"/>
      <c r="H267" s="130">
        <v>262</v>
      </c>
      <c r="I267" s="131" t="str">
        <f t="shared" si="21"/>
        <v/>
      </c>
      <c r="J267" s="130">
        <f t="shared" si="22"/>
        <v>-8</v>
      </c>
      <c r="K267" s="130">
        <f t="shared" si="19"/>
        <v>-80</v>
      </c>
      <c r="L267" s="130"/>
      <c r="M267" s="132">
        <f t="shared" si="20"/>
        <v>0</v>
      </c>
    </row>
    <row r="268" spans="1:13" x14ac:dyDescent="0.25">
      <c r="A268" s="146"/>
      <c r="G268" s="116"/>
      <c r="H268" s="130">
        <v>263</v>
      </c>
      <c r="I268" s="131" t="str">
        <f t="shared" si="21"/>
        <v/>
      </c>
      <c r="J268" s="130">
        <f t="shared" si="22"/>
        <v>-8</v>
      </c>
      <c r="K268" s="130">
        <f t="shared" si="19"/>
        <v>-80</v>
      </c>
      <c r="L268" s="130"/>
      <c r="M268" s="132">
        <f t="shared" si="20"/>
        <v>0</v>
      </c>
    </row>
    <row r="269" spans="1:13" x14ac:dyDescent="0.25">
      <c r="A269" s="146"/>
      <c r="G269" s="116"/>
      <c r="H269" s="130">
        <v>264</v>
      </c>
      <c r="I269" s="131" t="str">
        <f t="shared" si="21"/>
        <v/>
      </c>
      <c r="J269" s="130">
        <f t="shared" si="22"/>
        <v>-8</v>
      </c>
      <c r="K269" s="130">
        <f t="shared" si="19"/>
        <v>-80</v>
      </c>
      <c r="L269" s="130"/>
      <c r="M269" s="132">
        <f t="shared" si="20"/>
        <v>0</v>
      </c>
    </row>
    <row r="270" spans="1:13" x14ac:dyDescent="0.25">
      <c r="A270" s="146"/>
      <c r="G270" s="116"/>
      <c r="H270" s="130">
        <v>265</v>
      </c>
      <c r="I270" s="131" t="str">
        <f t="shared" si="21"/>
        <v/>
      </c>
      <c r="J270" s="130">
        <f t="shared" si="22"/>
        <v>-8</v>
      </c>
      <c r="K270" s="130">
        <f t="shared" si="19"/>
        <v>-80</v>
      </c>
      <c r="L270" s="130"/>
      <c r="M270" s="132">
        <f t="shared" si="20"/>
        <v>0</v>
      </c>
    </row>
    <row r="271" spans="1:13" x14ac:dyDescent="0.25">
      <c r="A271" s="146"/>
      <c r="G271" s="116"/>
      <c r="H271" s="130">
        <v>266</v>
      </c>
      <c r="I271" s="131" t="str">
        <f t="shared" si="21"/>
        <v/>
      </c>
      <c r="J271" s="130">
        <f t="shared" si="22"/>
        <v>-8</v>
      </c>
      <c r="K271" s="130">
        <f t="shared" si="19"/>
        <v>-80</v>
      </c>
      <c r="L271" s="130"/>
      <c r="M271" s="132">
        <f t="shared" si="20"/>
        <v>0</v>
      </c>
    </row>
    <row r="272" spans="1:13" x14ac:dyDescent="0.25">
      <c r="A272" s="146"/>
      <c r="G272" s="116"/>
      <c r="H272" s="130">
        <v>267</v>
      </c>
      <c r="I272" s="131" t="str">
        <f t="shared" si="21"/>
        <v/>
      </c>
      <c r="J272" s="130">
        <f t="shared" si="22"/>
        <v>-8</v>
      </c>
      <c r="K272" s="130">
        <f t="shared" si="19"/>
        <v>-80</v>
      </c>
      <c r="L272" s="130"/>
      <c r="M272" s="132">
        <f t="shared" si="20"/>
        <v>0</v>
      </c>
    </row>
    <row r="273" spans="1:13" x14ac:dyDescent="0.25">
      <c r="A273" s="146"/>
      <c r="G273" s="116"/>
      <c r="H273" s="130">
        <v>268</v>
      </c>
      <c r="I273" s="131" t="str">
        <f t="shared" si="21"/>
        <v/>
      </c>
      <c r="J273" s="130">
        <f t="shared" si="22"/>
        <v>-8</v>
      </c>
      <c r="K273" s="130">
        <f t="shared" si="19"/>
        <v>-80</v>
      </c>
      <c r="L273" s="130"/>
      <c r="M273" s="132">
        <f t="shared" si="20"/>
        <v>0</v>
      </c>
    </row>
    <row r="274" spans="1:13" x14ac:dyDescent="0.25">
      <c r="A274" s="146"/>
      <c r="G274" s="116"/>
      <c r="H274" s="130">
        <v>269</v>
      </c>
      <c r="I274" s="131" t="str">
        <f t="shared" si="21"/>
        <v/>
      </c>
      <c r="J274" s="130">
        <f t="shared" si="22"/>
        <v>-8</v>
      </c>
      <c r="K274" s="130">
        <f t="shared" si="19"/>
        <v>-80</v>
      </c>
      <c r="L274" s="130"/>
      <c r="M274" s="132">
        <f t="shared" si="20"/>
        <v>0</v>
      </c>
    </row>
    <row r="275" spans="1:13" x14ac:dyDescent="0.25">
      <c r="A275" s="146"/>
      <c r="G275" s="116"/>
      <c r="H275" s="130">
        <v>270</v>
      </c>
      <c r="I275" s="131" t="str">
        <f t="shared" si="21"/>
        <v/>
      </c>
      <c r="J275" s="130">
        <f t="shared" si="22"/>
        <v>-8</v>
      </c>
      <c r="K275" s="130">
        <f t="shared" si="19"/>
        <v>-80</v>
      </c>
      <c r="L275" s="130"/>
      <c r="M275" s="132">
        <f t="shared" si="20"/>
        <v>0</v>
      </c>
    </row>
    <row r="276" spans="1:13" x14ac:dyDescent="0.25">
      <c r="A276" s="146"/>
      <c r="G276" s="116"/>
      <c r="H276" s="130">
        <v>271</v>
      </c>
      <c r="I276" s="131" t="str">
        <f t="shared" si="21"/>
        <v/>
      </c>
      <c r="J276" s="130">
        <f t="shared" si="22"/>
        <v>-8</v>
      </c>
      <c r="K276" s="130">
        <f t="shared" si="19"/>
        <v>-80</v>
      </c>
      <c r="L276" s="130"/>
      <c r="M276" s="132">
        <f t="shared" si="20"/>
        <v>0</v>
      </c>
    </row>
    <row r="277" spans="1:13" x14ac:dyDescent="0.25">
      <c r="A277" s="146"/>
      <c r="G277" s="116"/>
      <c r="H277" s="130">
        <v>272</v>
      </c>
      <c r="I277" s="131" t="str">
        <f t="shared" si="21"/>
        <v/>
      </c>
      <c r="J277" s="130">
        <f t="shared" si="22"/>
        <v>-8</v>
      </c>
      <c r="K277" s="130">
        <f t="shared" si="19"/>
        <v>-80</v>
      </c>
      <c r="L277" s="130"/>
      <c r="M277" s="132">
        <f t="shared" si="20"/>
        <v>0</v>
      </c>
    </row>
    <row r="278" spans="1:13" x14ac:dyDescent="0.25">
      <c r="A278" s="146"/>
      <c r="G278" s="116"/>
      <c r="H278" s="130">
        <v>273</v>
      </c>
      <c r="I278" s="131" t="str">
        <f t="shared" si="21"/>
        <v/>
      </c>
      <c r="J278" s="130">
        <f t="shared" si="22"/>
        <v>-8</v>
      </c>
      <c r="K278" s="130">
        <f t="shared" si="19"/>
        <v>-80</v>
      </c>
      <c r="L278" s="130"/>
      <c r="M278" s="132">
        <f t="shared" si="20"/>
        <v>0</v>
      </c>
    </row>
    <row r="279" spans="1:13" x14ac:dyDescent="0.25">
      <c r="A279" s="146"/>
      <c r="G279" s="116"/>
      <c r="H279" s="130">
        <v>274</v>
      </c>
      <c r="I279" s="131" t="str">
        <f t="shared" si="21"/>
        <v/>
      </c>
      <c r="J279" s="130">
        <f t="shared" si="22"/>
        <v>-8</v>
      </c>
      <c r="K279" s="130">
        <f t="shared" si="19"/>
        <v>-80</v>
      </c>
      <c r="L279" s="130"/>
      <c r="M279" s="132">
        <f t="shared" si="20"/>
        <v>0</v>
      </c>
    </row>
    <row r="280" spans="1:13" x14ac:dyDescent="0.25">
      <c r="A280" s="146"/>
      <c r="G280" s="116"/>
      <c r="H280" s="130">
        <v>275</v>
      </c>
      <c r="I280" s="131" t="str">
        <f t="shared" si="21"/>
        <v/>
      </c>
      <c r="J280" s="130">
        <f t="shared" si="22"/>
        <v>-8</v>
      </c>
      <c r="K280" s="130">
        <f t="shared" si="19"/>
        <v>-80</v>
      </c>
      <c r="L280" s="130"/>
      <c r="M280" s="132">
        <f t="shared" si="20"/>
        <v>0</v>
      </c>
    </row>
    <row r="281" spans="1:13" x14ac:dyDescent="0.25">
      <c r="A281" s="146"/>
      <c r="G281" s="116"/>
      <c r="H281" s="130">
        <v>276</v>
      </c>
      <c r="I281" s="131" t="str">
        <f t="shared" si="21"/>
        <v/>
      </c>
      <c r="J281" s="130">
        <f t="shared" si="22"/>
        <v>-8</v>
      </c>
      <c r="K281" s="130">
        <f t="shared" si="19"/>
        <v>-80</v>
      </c>
      <c r="L281" s="130"/>
      <c r="M281" s="132">
        <f t="shared" si="20"/>
        <v>0</v>
      </c>
    </row>
    <row r="282" spans="1:13" x14ac:dyDescent="0.25">
      <c r="A282" s="146"/>
      <c r="G282" s="116"/>
      <c r="H282" s="130">
        <v>277</v>
      </c>
      <c r="I282" s="131" t="str">
        <f t="shared" si="21"/>
        <v/>
      </c>
      <c r="J282" s="130">
        <f t="shared" si="22"/>
        <v>-8</v>
      </c>
      <c r="K282" s="130">
        <f t="shared" si="19"/>
        <v>-80</v>
      </c>
      <c r="L282" s="130"/>
      <c r="M282" s="132">
        <f t="shared" si="20"/>
        <v>0</v>
      </c>
    </row>
    <row r="283" spans="1:13" x14ac:dyDescent="0.25">
      <c r="A283" s="146"/>
      <c r="G283" s="116"/>
      <c r="H283" s="130">
        <v>278</v>
      </c>
      <c r="I283" s="131" t="str">
        <f t="shared" si="21"/>
        <v/>
      </c>
      <c r="J283" s="130">
        <f t="shared" si="22"/>
        <v>-8</v>
      </c>
      <c r="K283" s="130">
        <f t="shared" si="19"/>
        <v>-80</v>
      </c>
      <c r="L283" s="130"/>
      <c r="M283" s="132">
        <f t="shared" si="20"/>
        <v>0</v>
      </c>
    </row>
    <row r="284" spans="1:13" x14ac:dyDescent="0.25">
      <c r="A284" s="146"/>
      <c r="G284" s="116"/>
      <c r="H284" s="130">
        <v>279</v>
      </c>
      <c r="I284" s="131" t="str">
        <f t="shared" si="21"/>
        <v/>
      </c>
      <c r="J284" s="130">
        <f t="shared" si="22"/>
        <v>-8</v>
      </c>
      <c r="K284" s="130">
        <f t="shared" si="19"/>
        <v>-80</v>
      </c>
      <c r="L284" s="130"/>
      <c r="M284" s="132">
        <f t="shared" si="20"/>
        <v>0</v>
      </c>
    </row>
    <row r="285" spans="1:13" x14ac:dyDescent="0.25">
      <c r="A285" s="146"/>
      <c r="G285" s="116"/>
      <c r="H285" s="130">
        <v>280</v>
      </c>
      <c r="I285" s="131" t="str">
        <f t="shared" si="21"/>
        <v/>
      </c>
      <c r="J285" s="130">
        <f t="shared" si="22"/>
        <v>-8</v>
      </c>
      <c r="K285" s="130">
        <f t="shared" si="19"/>
        <v>-80</v>
      </c>
      <c r="L285" s="130"/>
      <c r="M285" s="132">
        <f t="shared" si="20"/>
        <v>0</v>
      </c>
    </row>
    <row r="286" spans="1:13" x14ac:dyDescent="0.25">
      <c r="A286" s="146"/>
      <c r="G286" s="116"/>
      <c r="H286" s="130">
        <v>281</v>
      </c>
      <c r="I286" s="131" t="str">
        <f t="shared" si="21"/>
        <v/>
      </c>
      <c r="J286" s="130">
        <f t="shared" si="22"/>
        <v>-8</v>
      </c>
      <c r="K286" s="130">
        <f t="shared" si="19"/>
        <v>-80</v>
      </c>
      <c r="L286" s="130"/>
      <c r="M286" s="132">
        <f t="shared" si="20"/>
        <v>0</v>
      </c>
    </row>
    <row r="287" spans="1:13" x14ac:dyDescent="0.25">
      <c r="A287" s="146"/>
      <c r="G287" s="116"/>
      <c r="H287" s="130">
        <v>282</v>
      </c>
      <c r="I287" s="131" t="str">
        <f t="shared" si="21"/>
        <v/>
      </c>
      <c r="J287" s="130">
        <f t="shared" si="22"/>
        <v>-8</v>
      </c>
      <c r="K287" s="130">
        <f t="shared" si="19"/>
        <v>-80</v>
      </c>
      <c r="L287" s="130"/>
      <c r="M287" s="132">
        <f t="shared" si="20"/>
        <v>0</v>
      </c>
    </row>
    <row r="288" spans="1:13" x14ac:dyDescent="0.25">
      <c r="A288" s="146"/>
      <c r="G288" s="116"/>
      <c r="H288" s="130">
        <v>283</v>
      </c>
      <c r="I288" s="131" t="str">
        <f t="shared" si="21"/>
        <v/>
      </c>
      <c r="J288" s="130">
        <f t="shared" si="22"/>
        <v>-8</v>
      </c>
      <c r="K288" s="130">
        <f t="shared" si="19"/>
        <v>-80</v>
      </c>
      <c r="L288" s="130"/>
      <c r="M288" s="132">
        <f t="shared" si="20"/>
        <v>0</v>
      </c>
    </row>
    <row r="289" spans="1:13" x14ac:dyDescent="0.25">
      <c r="A289" s="146"/>
      <c r="G289" s="116"/>
      <c r="H289" s="130">
        <v>284</v>
      </c>
      <c r="I289" s="131" t="str">
        <f t="shared" si="21"/>
        <v/>
      </c>
      <c r="J289" s="130">
        <f t="shared" si="22"/>
        <v>-8</v>
      </c>
      <c r="K289" s="130">
        <f t="shared" si="19"/>
        <v>-80</v>
      </c>
      <c r="L289" s="130"/>
      <c r="M289" s="132">
        <f t="shared" si="20"/>
        <v>0</v>
      </c>
    </row>
    <row r="290" spans="1:13" x14ac:dyDescent="0.25">
      <c r="A290" s="146"/>
      <c r="G290" s="116"/>
      <c r="H290" s="130">
        <v>285</v>
      </c>
      <c r="I290" s="131" t="str">
        <f t="shared" si="21"/>
        <v/>
      </c>
      <c r="J290" s="130">
        <f t="shared" si="22"/>
        <v>-8</v>
      </c>
      <c r="K290" s="130">
        <f t="shared" si="19"/>
        <v>-80</v>
      </c>
      <c r="L290" s="130"/>
      <c r="M290" s="132">
        <f t="shared" si="20"/>
        <v>0</v>
      </c>
    </row>
    <row r="291" spans="1:13" x14ac:dyDescent="0.25">
      <c r="A291" s="146"/>
      <c r="G291" s="116"/>
      <c r="H291" s="130">
        <v>286</v>
      </c>
      <c r="I291" s="131" t="str">
        <f t="shared" si="21"/>
        <v/>
      </c>
      <c r="J291" s="130">
        <f t="shared" si="22"/>
        <v>-8</v>
      </c>
      <c r="K291" s="130">
        <f t="shared" si="19"/>
        <v>-80</v>
      </c>
      <c r="L291" s="130"/>
      <c r="M291" s="132">
        <f t="shared" si="20"/>
        <v>0</v>
      </c>
    </row>
    <row r="292" spans="1:13" x14ac:dyDescent="0.25">
      <c r="A292" s="146"/>
      <c r="G292" s="116"/>
      <c r="H292" s="130">
        <v>287</v>
      </c>
      <c r="I292" s="131" t="str">
        <f t="shared" si="21"/>
        <v/>
      </c>
      <c r="J292" s="130">
        <f t="shared" si="22"/>
        <v>-8</v>
      </c>
      <c r="K292" s="130">
        <f t="shared" si="19"/>
        <v>-80</v>
      </c>
      <c r="L292" s="130"/>
      <c r="M292" s="132">
        <f t="shared" si="20"/>
        <v>0</v>
      </c>
    </row>
    <row r="293" spans="1:13" x14ac:dyDescent="0.25">
      <c r="A293" s="146"/>
      <c r="G293" s="116"/>
      <c r="H293" s="130">
        <v>288</v>
      </c>
      <c r="I293" s="131" t="str">
        <f t="shared" si="21"/>
        <v/>
      </c>
      <c r="J293" s="130">
        <f t="shared" si="22"/>
        <v>-8</v>
      </c>
      <c r="K293" s="130">
        <f t="shared" si="19"/>
        <v>-80</v>
      </c>
      <c r="L293" s="130"/>
      <c r="M293" s="132">
        <f t="shared" si="20"/>
        <v>0</v>
      </c>
    </row>
    <row r="294" spans="1:13" x14ac:dyDescent="0.25">
      <c r="A294" s="146"/>
      <c r="G294" s="116"/>
      <c r="H294" s="130">
        <v>289</v>
      </c>
      <c r="I294" s="131" t="str">
        <f t="shared" si="21"/>
        <v/>
      </c>
      <c r="J294" s="130">
        <f t="shared" si="22"/>
        <v>-8</v>
      </c>
      <c r="K294" s="130">
        <f t="shared" si="19"/>
        <v>-80</v>
      </c>
      <c r="L294" s="130"/>
      <c r="M294" s="132">
        <f t="shared" si="20"/>
        <v>0</v>
      </c>
    </row>
    <row r="295" spans="1:13" x14ac:dyDescent="0.25">
      <c r="A295" s="146"/>
      <c r="G295" s="116"/>
      <c r="H295" s="130">
        <v>290</v>
      </c>
      <c r="I295" s="131" t="str">
        <f t="shared" si="21"/>
        <v/>
      </c>
      <c r="J295" s="130">
        <f t="shared" si="22"/>
        <v>-8</v>
      </c>
      <c r="K295" s="130">
        <f t="shared" si="19"/>
        <v>-80</v>
      </c>
      <c r="L295" s="130"/>
      <c r="M295" s="132">
        <f t="shared" si="20"/>
        <v>0</v>
      </c>
    </row>
    <row r="296" spans="1:13" x14ac:dyDescent="0.25">
      <c r="A296" s="146"/>
      <c r="G296" s="116"/>
      <c r="H296" s="130">
        <v>291</v>
      </c>
      <c r="I296" s="131" t="str">
        <f t="shared" si="21"/>
        <v/>
      </c>
      <c r="J296" s="130">
        <f t="shared" si="22"/>
        <v>-8</v>
      </c>
      <c r="K296" s="130">
        <f t="shared" si="19"/>
        <v>-80</v>
      </c>
      <c r="L296" s="130"/>
      <c r="M296" s="132">
        <f t="shared" si="20"/>
        <v>0</v>
      </c>
    </row>
    <row r="297" spans="1:13" x14ac:dyDescent="0.25">
      <c r="A297" s="146"/>
      <c r="G297" s="116"/>
      <c r="H297" s="130">
        <v>292</v>
      </c>
      <c r="I297" s="131" t="str">
        <f t="shared" si="21"/>
        <v/>
      </c>
      <c r="J297" s="130">
        <f t="shared" si="22"/>
        <v>-8</v>
      </c>
      <c r="K297" s="130">
        <f t="shared" si="19"/>
        <v>-80</v>
      </c>
      <c r="L297" s="130"/>
      <c r="M297" s="132">
        <f t="shared" si="20"/>
        <v>0</v>
      </c>
    </row>
    <row r="298" spans="1:13" x14ac:dyDescent="0.25">
      <c r="A298" s="146"/>
      <c r="G298" s="116"/>
      <c r="H298" s="130">
        <v>293</v>
      </c>
      <c r="I298" s="131" t="str">
        <f t="shared" si="21"/>
        <v/>
      </c>
      <c r="J298" s="130">
        <f t="shared" si="22"/>
        <v>-8</v>
      </c>
      <c r="K298" s="130">
        <f t="shared" si="19"/>
        <v>-80</v>
      </c>
      <c r="L298" s="130"/>
      <c r="M298" s="132">
        <f t="shared" si="20"/>
        <v>0</v>
      </c>
    </row>
    <row r="299" spans="1:13" x14ac:dyDescent="0.25">
      <c r="A299" s="146"/>
      <c r="G299" s="116"/>
      <c r="H299" s="130">
        <v>294</v>
      </c>
      <c r="I299" s="131" t="str">
        <f t="shared" si="21"/>
        <v/>
      </c>
      <c r="J299" s="130">
        <f t="shared" si="22"/>
        <v>-8</v>
      </c>
      <c r="K299" s="130">
        <f t="shared" si="19"/>
        <v>-80</v>
      </c>
      <c r="L299" s="130"/>
      <c r="M299" s="132">
        <f t="shared" si="20"/>
        <v>0</v>
      </c>
    </row>
    <row r="300" spans="1:13" x14ac:dyDescent="0.25">
      <c r="A300" s="146"/>
      <c r="G300" s="116"/>
      <c r="H300" s="130">
        <v>295</v>
      </c>
      <c r="I300" s="131" t="str">
        <f t="shared" si="21"/>
        <v/>
      </c>
      <c r="J300" s="130">
        <f t="shared" si="22"/>
        <v>-8</v>
      </c>
      <c r="K300" s="130">
        <f t="shared" si="19"/>
        <v>-80</v>
      </c>
      <c r="L300" s="130"/>
      <c r="M300" s="132">
        <f t="shared" si="20"/>
        <v>0</v>
      </c>
    </row>
    <row r="301" spans="1:13" x14ac:dyDescent="0.25">
      <c r="A301" s="146"/>
      <c r="G301" s="116"/>
      <c r="H301" s="130">
        <v>296</v>
      </c>
      <c r="I301" s="131" t="str">
        <f t="shared" si="21"/>
        <v/>
      </c>
      <c r="J301" s="130">
        <f t="shared" si="22"/>
        <v>-8</v>
      </c>
      <c r="K301" s="130">
        <f t="shared" si="19"/>
        <v>-80</v>
      </c>
      <c r="L301" s="130"/>
      <c r="M301" s="132">
        <f t="shared" si="20"/>
        <v>0</v>
      </c>
    </row>
    <row r="302" spans="1:13" x14ac:dyDescent="0.25">
      <c r="A302" s="146"/>
      <c r="G302" s="116"/>
      <c r="H302" s="130">
        <v>297</v>
      </c>
      <c r="I302" s="131" t="str">
        <f t="shared" si="21"/>
        <v/>
      </c>
      <c r="J302" s="130">
        <f t="shared" si="22"/>
        <v>-8</v>
      </c>
      <c r="K302" s="130">
        <f t="shared" si="19"/>
        <v>-80</v>
      </c>
      <c r="L302" s="130"/>
      <c r="M302" s="132">
        <f t="shared" si="20"/>
        <v>0</v>
      </c>
    </row>
    <row r="303" spans="1:13" x14ac:dyDescent="0.25">
      <c r="A303" s="146"/>
      <c r="G303" s="116"/>
      <c r="H303" s="130">
        <v>298</v>
      </c>
      <c r="I303" s="131" t="str">
        <f t="shared" si="21"/>
        <v/>
      </c>
      <c r="J303" s="130">
        <f t="shared" si="22"/>
        <v>-8</v>
      </c>
      <c r="K303" s="130">
        <f t="shared" si="19"/>
        <v>-80</v>
      </c>
      <c r="L303" s="130"/>
      <c r="M303" s="132">
        <f t="shared" si="20"/>
        <v>0</v>
      </c>
    </row>
    <row r="304" spans="1:13" x14ac:dyDescent="0.25">
      <c r="A304" s="146"/>
      <c r="G304" s="116"/>
      <c r="H304" s="130">
        <v>299</v>
      </c>
      <c r="I304" s="131" t="str">
        <f t="shared" si="21"/>
        <v/>
      </c>
      <c r="J304" s="130">
        <f t="shared" si="22"/>
        <v>-8</v>
      </c>
      <c r="K304" s="130">
        <f t="shared" si="19"/>
        <v>-80</v>
      </c>
      <c r="L304" s="130"/>
      <c r="M304" s="132">
        <f t="shared" si="20"/>
        <v>0</v>
      </c>
    </row>
    <row r="305" spans="1:16" x14ac:dyDescent="0.25">
      <c r="A305" s="146"/>
      <c r="G305" s="116"/>
      <c r="H305" s="130">
        <v>300</v>
      </c>
      <c r="I305" s="131" t="str">
        <f t="shared" si="21"/>
        <v/>
      </c>
      <c r="J305" s="130">
        <f t="shared" si="22"/>
        <v>-8</v>
      </c>
      <c r="K305" s="130">
        <f t="shared" si="19"/>
        <v>-80</v>
      </c>
      <c r="L305" s="130"/>
      <c r="M305" s="132">
        <f t="shared" si="20"/>
        <v>0</v>
      </c>
    </row>
    <row r="306" spans="1:16" x14ac:dyDescent="0.25">
      <c r="A306" s="148"/>
    </row>
    <row r="314" spans="1:16" x14ac:dyDescent="0.25">
      <c r="L314" s="151"/>
      <c r="P314" s="141"/>
    </row>
    <row r="315" spans="1:16" x14ac:dyDescent="0.25">
      <c r="L315" s="151"/>
      <c r="P315" s="141"/>
    </row>
    <row r="316" spans="1:16" x14ac:dyDescent="0.25">
      <c r="L316" s="151"/>
      <c r="P316" s="141"/>
    </row>
    <row r="317" spans="1:16" x14ac:dyDescent="0.25">
      <c r="L317" s="151"/>
      <c r="P317" s="141"/>
    </row>
  </sheetData>
  <mergeCells count="2">
    <mergeCell ref="C2:D2"/>
    <mergeCell ref="C3:D3"/>
  </mergeCells>
  <conditionalFormatting sqref="J6:K305">
    <cfRule type="cellIs" dxfId="22" priority="1" operator="lessThanOrEqual">
      <formula>0</formula>
    </cfRule>
  </conditionalFormatting>
  <dataValidations count="1">
    <dataValidation type="list" allowBlank="1" showInputMessage="1" showErrorMessage="1" sqref="C38:C69" xr:uid="{715A9D18-0190-4FB1-9C23-C7B8B94F28DF}">
      <formula1>#REF!</formula1>
    </dataValidation>
  </dataValidations>
  <hyperlinks>
    <hyperlink ref="C2" r:id="rId1" display="NIEPOŁOMICE" xr:uid="{4BCF411A-8A1F-4D17-8A3E-26DD20625768}"/>
    <hyperlink ref="C2:D2" r:id="rId2" display="SZCZECIN" xr:uid="{63C755FB-4DCA-4825-BCAF-60251334D8C3}"/>
  </hyperlinks>
  <pageMargins left="0.7" right="0.7" top="0.75" bottom="0.75" header="0.3" footer="0.3"/>
  <pageSetup paperSize="9"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845F4-BCF1-481C-B5CF-9C95632260BA}">
  <sheetPr>
    <tabColor rgb="FF92D050"/>
  </sheetPr>
  <dimension ref="A1:AM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55" customWidth="1"/>
    <col min="2" max="2" width="8.25" style="55" customWidth="1"/>
    <col min="3" max="3" width="34.75" style="55" customWidth="1"/>
    <col min="4" max="4" width="11.25" style="55" customWidth="1"/>
    <col min="5" max="6" width="8.875" style="55"/>
    <col min="7" max="7" width="0.875" style="55" customWidth="1"/>
    <col min="8" max="8" width="8.875" style="57"/>
    <col min="9" max="9" width="11" style="57" customWidth="1"/>
    <col min="10" max="10" width="15.25" style="57" customWidth="1"/>
    <col min="11" max="11" width="8.75" style="57" customWidth="1"/>
    <col min="12" max="12" width="11" style="57" customWidth="1"/>
    <col min="13" max="13" width="11.75" style="57" customWidth="1"/>
    <col min="14" max="14" width="11.75" style="58" customWidth="1"/>
    <col min="15" max="16" width="13.875" style="11" customWidth="1"/>
    <col min="17" max="19" width="8.875" style="11"/>
    <col min="20" max="21" width="8.875" style="16"/>
    <col min="22" max="22" width="12.125" style="16" customWidth="1"/>
    <col min="23" max="23" width="27.375" style="16" customWidth="1"/>
    <col min="24" max="39" width="8.875" style="16"/>
    <col min="40" max="16384" width="8.875" style="55"/>
  </cols>
  <sheetData>
    <row r="1" spans="1:37" x14ac:dyDescent="0.25">
      <c r="A1" s="11"/>
      <c r="B1" s="11"/>
      <c r="C1" s="11"/>
      <c r="D1" s="11"/>
      <c r="E1" s="11"/>
      <c r="F1" s="11"/>
      <c r="G1" s="11"/>
      <c r="H1" s="12" t="s">
        <v>13</v>
      </c>
      <c r="I1" s="13" t="s">
        <v>14</v>
      </c>
      <c r="J1" s="13" t="s">
        <v>15</v>
      </c>
      <c r="K1" s="14" t="s">
        <v>50</v>
      </c>
      <c r="L1" s="60" t="s">
        <v>51</v>
      </c>
      <c r="M1" s="61"/>
      <c r="N1" s="15"/>
    </row>
    <row r="2" spans="1:37" x14ac:dyDescent="0.25">
      <c r="A2" s="11"/>
      <c r="B2" s="17" t="s">
        <v>17</v>
      </c>
      <c r="C2" s="243" t="s">
        <v>135</v>
      </c>
      <c r="D2" s="243"/>
      <c r="E2" s="18"/>
      <c r="F2" s="18"/>
      <c r="G2" s="18"/>
      <c r="H2" s="19">
        <v>4</v>
      </c>
      <c r="I2" s="20">
        <v>50</v>
      </c>
      <c r="J2" s="20">
        <v>10</v>
      </c>
      <c r="K2" s="21">
        <f>3*H2^(1/3)</f>
        <v>4.7622031559045981</v>
      </c>
      <c r="L2" s="62">
        <f>1.2</f>
        <v>1.2</v>
      </c>
      <c r="M2" s="15"/>
      <c r="N2" s="15"/>
    </row>
    <row r="3" spans="1:37" x14ac:dyDescent="0.25">
      <c r="A3" s="11"/>
      <c r="B3" s="22" t="s">
        <v>18</v>
      </c>
      <c r="C3" s="242" t="s">
        <v>136</v>
      </c>
      <c r="D3" s="242"/>
      <c r="E3" s="23"/>
      <c r="F3" s="23"/>
      <c r="G3" s="23"/>
      <c r="H3" s="15"/>
      <c r="I3" s="15"/>
      <c r="J3" s="24"/>
      <c r="K3" s="15"/>
      <c r="L3" s="15"/>
      <c r="M3" s="15"/>
      <c r="N3" s="15"/>
    </row>
    <row r="4" spans="1:37" ht="10.199999999999999" customHeight="1" x14ac:dyDescent="0.25">
      <c r="A4" s="25"/>
      <c r="B4" s="23"/>
      <c r="C4" s="25"/>
      <c r="D4" s="25"/>
      <c r="E4" s="25"/>
      <c r="F4" s="25"/>
      <c r="G4" s="25"/>
      <c r="H4" s="15"/>
      <c r="I4" s="15"/>
      <c r="J4" s="24"/>
      <c r="K4" s="15"/>
      <c r="L4" s="15"/>
      <c r="M4" s="15"/>
      <c r="N4" s="15"/>
    </row>
    <row r="5" spans="1:37" ht="34.65" x14ac:dyDescent="0.25">
      <c r="A5" s="1" t="s">
        <v>19</v>
      </c>
      <c r="B5" s="26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25"/>
      <c r="H5" s="27" t="s">
        <v>25</v>
      </c>
      <c r="I5" s="28" t="s">
        <v>26</v>
      </c>
      <c r="J5" s="29" t="s">
        <v>27</v>
      </c>
      <c r="K5" s="28" t="s">
        <v>28</v>
      </c>
      <c r="L5" s="28" t="s">
        <v>29</v>
      </c>
      <c r="M5" s="27" t="s">
        <v>30</v>
      </c>
      <c r="N5" s="27" t="s">
        <v>53</v>
      </c>
    </row>
    <row r="6" spans="1:37" ht="14.45" customHeight="1" x14ac:dyDescent="0.25">
      <c r="A6" s="30">
        <f t="shared" ref="A6:A17" si="0">N6</f>
        <v>101.14393136125655</v>
      </c>
      <c r="B6" s="31">
        <f t="shared" ref="B6:B17" si="1">IF(H6&gt;$H$2,"",(ROW()-5))</f>
        <v>1</v>
      </c>
      <c r="C6" s="32" t="s">
        <v>12</v>
      </c>
      <c r="D6" s="32" t="s">
        <v>139</v>
      </c>
      <c r="E6" s="32" t="s">
        <v>48</v>
      </c>
      <c r="F6" s="32" t="s">
        <v>32</v>
      </c>
      <c r="G6" s="25"/>
      <c r="H6" s="33">
        <v>1</v>
      </c>
      <c r="I6" s="34">
        <f>IF(H2=1,50,IF(H6&lt;$H$2+1,($I$2-($I$2-1)*(LOG(H6)/LOG($H$2))),""))</f>
        <v>50</v>
      </c>
      <c r="J6" s="33">
        <f>INT(LOG($H$2,2))-ROUNDUP(LOG(H6,2),0)+IF(OR($H$2=1,$H$2=2,$H$2=4,$H$2=8,$H$2=16,$H$2=32,$H$2=64,$H$2=128,$H$2=256),0,1)</f>
        <v>2</v>
      </c>
      <c r="K6" s="33">
        <f t="shared" ref="K6:K69" si="2">J6*$J$2</f>
        <v>20</v>
      </c>
      <c r="L6" s="35">
        <f>3*K2</f>
        <v>14.286609467713795</v>
      </c>
      <c r="M6" s="35">
        <f t="shared" ref="M6:M69" si="3">IF(I6&lt;&gt;"",K6+I6+L6,0)</f>
        <v>84.286609467713788</v>
      </c>
      <c r="N6" s="35">
        <f t="shared" ref="N6:N69" si="4">IF(I6&lt;&gt;"",M6*L$2,0)</f>
        <v>101.14393136125655</v>
      </c>
    </row>
    <row r="7" spans="1:37" ht="14.45" customHeight="1" x14ac:dyDescent="0.25">
      <c r="A7" s="36">
        <f t="shared" si="0"/>
        <v>54.029287574171029</v>
      </c>
      <c r="B7" s="37">
        <f t="shared" si="1"/>
        <v>2</v>
      </c>
      <c r="C7" s="38" t="s">
        <v>10</v>
      </c>
      <c r="D7" s="38" t="s">
        <v>140</v>
      </c>
      <c r="E7" s="38" t="s">
        <v>48</v>
      </c>
      <c r="F7" s="38" t="s">
        <v>32</v>
      </c>
      <c r="G7" s="25"/>
      <c r="H7" s="39">
        <v>2</v>
      </c>
      <c r="I7" s="40">
        <f t="shared" ref="I7:I69" si="5">IF(H7&lt;$H$2+1,($I$2-($I$2-1)*(LOG(H7)/LOG($H$2))),"")</f>
        <v>25.5</v>
      </c>
      <c r="J7" s="39">
        <f t="shared" ref="J7:J70" si="6">INT(LOG($H$2,2))-ROUNDUP(LOG(H7,2),0)+IF(OR($H$2=1,$H$2=2,$H$2=4,$H$2=8,$H$2=16,$H$2=32,$H$2=64,$H$2=128,$H$2=256),0,1)</f>
        <v>1</v>
      </c>
      <c r="K7" s="39">
        <f t="shared" si="2"/>
        <v>10</v>
      </c>
      <c r="L7" s="41">
        <f>2*K2</f>
        <v>9.5244063118091962</v>
      </c>
      <c r="M7" s="41">
        <f t="shared" si="3"/>
        <v>45.024406311809194</v>
      </c>
      <c r="N7" s="41">
        <f t="shared" si="4"/>
        <v>54.029287574171029</v>
      </c>
    </row>
    <row r="8" spans="1:37" ht="14.45" customHeight="1" x14ac:dyDescent="0.25">
      <c r="A8" s="30">
        <f t="shared" si="0"/>
        <v>19.116746265883524</v>
      </c>
      <c r="B8" s="31">
        <f t="shared" si="1"/>
        <v>3</v>
      </c>
      <c r="C8" s="32" t="s">
        <v>11</v>
      </c>
      <c r="D8" s="32" t="s">
        <v>141</v>
      </c>
      <c r="E8" s="32" t="s">
        <v>48</v>
      </c>
      <c r="F8" s="32" t="s">
        <v>32</v>
      </c>
      <c r="G8" s="25"/>
      <c r="H8" s="33">
        <v>3</v>
      </c>
      <c r="I8" s="34">
        <f t="shared" si="5"/>
        <v>11.168418732331673</v>
      </c>
      <c r="J8" s="33">
        <f t="shared" si="6"/>
        <v>0</v>
      </c>
      <c r="K8" s="33">
        <f t="shared" si="2"/>
        <v>0</v>
      </c>
      <c r="L8" s="35">
        <f>K2</f>
        <v>4.7622031559045981</v>
      </c>
      <c r="M8" s="35">
        <f t="shared" si="3"/>
        <v>15.930621888236271</v>
      </c>
      <c r="N8" s="35">
        <f t="shared" si="4"/>
        <v>19.116746265883524</v>
      </c>
    </row>
    <row r="9" spans="1:37" ht="14.45" customHeight="1" x14ac:dyDescent="0.25">
      <c r="A9" s="36">
        <f t="shared" si="0"/>
        <v>1.2</v>
      </c>
      <c r="B9" s="37">
        <f t="shared" si="1"/>
        <v>4</v>
      </c>
      <c r="C9" s="38" t="s">
        <v>94</v>
      </c>
      <c r="D9" s="38"/>
      <c r="E9" s="38"/>
      <c r="F9" s="38"/>
      <c r="G9" s="25"/>
      <c r="H9" s="39">
        <v>4</v>
      </c>
      <c r="I9" s="40">
        <f t="shared" si="5"/>
        <v>1</v>
      </c>
      <c r="J9" s="39">
        <f t="shared" si="6"/>
        <v>0</v>
      </c>
      <c r="K9" s="39">
        <f t="shared" si="2"/>
        <v>0</v>
      </c>
      <c r="L9" s="41"/>
      <c r="M9" s="41">
        <f t="shared" si="3"/>
        <v>1</v>
      </c>
      <c r="N9" s="41">
        <f t="shared" si="4"/>
        <v>1.2</v>
      </c>
      <c r="W9" s="42"/>
      <c r="AA9" s="43"/>
      <c r="AB9" s="43"/>
      <c r="AH9" s="44"/>
      <c r="AI9" s="16" t="s">
        <v>34</v>
      </c>
      <c r="AJ9" s="16">
        <v>23</v>
      </c>
    </row>
    <row r="10" spans="1:37" ht="14.45" customHeight="1" x14ac:dyDescent="0.25">
      <c r="A10" s="30">
        <f t="shared" ref="A10" si="7">N10</f>
        <v>0</v>
      </c>
      <c r="B10" s="31" t="str">
        <f t="shared" si="1"/>
        <v/>
      </c>
      <c r="C10" s="32"/>
      <c r="D10" s="32"/>
      <c r="E10" s="32"/>
      <c r="F10" s="32"/>
      <c r="G10" s="25"/>
      <c r="H10" s="33">
        <v>5</v>
      </c>
      <c r="I10" s="34" t="str">
        <f t="shared" si="5"/>
        <v/>
      </c>
      <c r="J10" s="33">
        <f t="shared" si="6"/>
        <v>-1</v>
      </c>
      <c r="K10" s="33">
        <f t="shared" si="2"/>
        <v>-10</v>
      </c>
      <c r="L10" s="33"/>
      <c r="M10" s="35">
        <f t="shared" si="3"/>
        <v>0</v>
      </c>
      <c r="N10" s="35">
        <f t="shared" si="4"/>
        <v>0</v>
      </c>
      <c r="W10" s="42"/>
      <c r="AA10" s="43"/>
      <c r="AB10" s="43"/>
      <c r="AH10" s="44"/>
      <c r="AI10" s="16" t="s">
        <v>35</v>
      </c>
      <c r="AJ10" s="16">
        <v>45</v>
      </c>
    </row>
    <row r="11" spans="1:37" ht="14.45" customHeight="1" x14ac:dyDescent="0.25">
      <c r="A11" s="36">
        <f t="shared" si="0"/>
        <v>0</v>
      </c>
      <c r="B11" s="37" t="str">
        <f t="shared" si="1"/>
        <v/>
      </c>
      <c r="C11" s="38"/>
      <c r="D11" s="38"/>
      <c r="E11" s="38"/>
      <c r="F11" s="38"/>
      <c r="G11" s="25"/>
      <c r="H11" s="39">
        <v>6</v>
      </c>
      <c r="I11" s="40" t="str">
        <f t="shared" si="5"/>
        <v/>
      </c>
      <c r="J11" s="39">
        <f t="shared" si="6"/>
        <v>-1</v>
      </c>
      <c r="K11" s="39">
        <f t="shared" si="2"/>
        <v>-10</v>
      </c>
      <c r="L11" s="39"/>
      <c r="M11" s="41">
        <f t="shared" si="3"/>
        <v>0</v>
      </c>
      <c r="N11" s="41">
        <f t="shared" si="4"/>
        <v>0</v>
      </c>
      <c r="W11" s="45"/>
      <c r="AA11" s="43"/>
      <c r="AB11" s="43"/>
      <c r="AH11" s="44"/>
      <c r="AI11" s="16" t="s">
        <v>36</v>
      </c>
      <c r="AJ11" s="16">
        <v>50</v>
      </c>
    </row>
    <row r="12" spans="1:37" ht="14.45" customHeight="1" x14ac:dyDescent="0.25">
      <c r="A12" s="30">
        <f t="shared" si="0"/>
        <v>0</v>
      </c>
      <c r="B12" s="31" t="str">
        <f t="shared" si="1"/>
        <v/>
      </c>
      <c r="C12" s="32"/>
      <c r="D12" s="32"/>
      <c r="E12" s="32"/>
      <c r="F12" s="32"/>
      <c r="G12" s="25"/>
      <c r="H12" s="33">
        <v>7</v>
      </c>
      <c r="I12" s="34" t="str">
        <f t="shared" si="5"/>
        <v/>
      </c>
      <c r="J12" s="33">
        <f t="shared" si="6"/>
        <v>-1</v>
      </c>
      <c r="K12" s="33">
        <f t="shared" si="2"/>
        <v>-10</v>
      </c>
      <c r="L12" s="33"/>
      <c r="M12" s="35">
        <f t="shared" si="3"/>
        <v>0</v>
      </c>
      <c r="N12" s="35">
        <f t="shared" si="4"/>
        <v>0</v>
      </c>
      <c r="AA12" s="43"/>
      <c r="AB12" s="43"/>
      <c r="AH12" s="44"/>
      <c r="AI12" s="16" t="s">
        <v>37</v>
      </c>
      <c r="AJ12" s="16">
        <f>AJ11-1</f>
        <v>49</v>
      </c>
    </row>
    <row r="13" spans="1:37" ht="14.45" customHeight="1" x14ac:dyDescent="0.25">
      <c r="A13" s="46">
        <f t="shared" si="0"/>
        <v>0</v>
      </c>
      <c r="B13" s="37" t="str">
        <f t="shared" si="1"/>
        <v/>
      </c>
      <c r="C13" s="38"/>
      <c r="D13" s="38"/>
      <c r="E13" s="38"/>
      <c r="F13" s="38"/>
      <c r="G13" s="25"/>
      <c r="H13" s="39">
        <v>8</v>
      </c>
      <c r="I13" s="40" t="str">
        <f t="shared" si="5"/>
        <v/>
      </c>
      <c r="J13" s="39">
        <f t="shared" si="6"/>
        <v>-1</v>
      </c>
      <c r="K13" s="39">
        <f t="shared" si="2"/>
        <v>-10</v>
      </c>
      <c r="L13" s="39"/>
      <c r="M13" s="41">
        <f t="shared" si="3"/>
        <v>0</v>
      </c>
      <c r="N13" s="41">
        <f t="shared" si="4"/>
        <v>0</v>
      </c>
      <c r="Y13" s="42"/>
      <c r="AH13" s="44"/>
      <c r="AI13" s="16" t="s">
        <v>38</v>
      </c>
      <c r="AJ13" s="16">
        <f>LOG(AJ9)</f>
        <v>1.3617278360175928</v>
      </c>
    </row>
    <row r="14" spans="1:37" x14ac:dyDescent="0.25">
      <c r="A14" s="47">
        <f t="shared" si="0"/>
        <v>0</v>
      </c>
      <c r="B14" s="31" t="str">
        <f t="shared" si="1"/>
        <v/>
      </c>
      <c r="C14" s="32"/>
      <c r="D14" s="32"/>
      <c r="E14" s="32"/>
      <c r="F14" s="32"/>
      <c r="G14" s="25"/>
      <c r="H14" s="33">
        <v>9</v>
      </c>
      <c r="I14" s="34" t="str">
        <f t="shared" si="5"/>
        <v/>
      </c>
      <c r="J14" s="33">
        <f t="shared" si="6"/>
        <v>-2</v>
      </c>
      <c r="K14" s="33">
        <f t="shared" si="2"/>
        <v>-20</v>
      </c>
      <c r="L14" s="33"/>
      <c r="M14" s="35">
        <f t="shared" si="3"/>
        <v>0</v>
      </c>
      <c r="N14" s="35">
        <f t="shared" si="4"/>
        <v>0</v>
      </c>
      <c r="Y14" s="48"/>
      <c r="AA14" s="43"/>
      <c r="AB14" s="43"/>
      <c r="AH14" s="44"/>
      <c r="AI14" s="16" t="s">
        <v>39</v>
      </c>
      <c r="AJ14" s="16">
        <f>LOG(AJ10)</f>
        <v>1.6532125137753437</v>
      </c>
    </row>
    <row r="15" spans="1:37" x14ac:dyDescent="0.25">
      <c r="A15" s="46">
        <f t="shared" si="0"/>
        <v>0</v>
      </c>
      <c r="B15" s="37" t="str">
        <f t="shared" si="1"/>
        <v/>
      </c>
      <c r="C15" s="38"/>
      <c r="D15" s="38"/>
      <c r="E15" s="38"/>
      <c r="F15" s="38"/>
      <c r="G15" s="25"/>
      <c r="H15" s="39">
        <v>10</v>
      </c>
      <c r="I15" s="40" t="str">
        <f t="shared" si="5"/>
        <v/>
      </c>
      <c r="J15" s="39">
        <f t="shared" si="6"/>
        <v>-2</v>
      </c>
      <c r="K15" s="39">
        <f t="shared" si="2"/>
        <v>-20</v>
      </c>
      <c r="L15" s="39"/>
      <c r="M15" s="41">
        <f t="shared" si="3"/>
        <v>0</v>
      </c>
      <c r="N15" s="41">
        <f t="shared" si="4"/>
        <v>0</v>
      </c>
    </row>
    <row r="16" spans="1:37" x14ac:dyDescent="0.25">
      <c r="A16" s="47">
        <f t="shared" si="0"/>
        <v>0</v>
      </c>
      <c r="B16" s="31" t="str">
        <f t="shared" si="1"/>
        <v/>
      </c>
      <c r="C16" s="32"/>
      <c r="D16" s="32"/>
      <c r="E16" s="32"/>
      <c r="F16" s="32"/>
      <c r="G16" s="25"/>
      <c r="H16" s="33">
        <v>11</v>
      </c>
      <c r="I16" s="34" t="str">
        <f t="shared" si="5"/>
        <v/>
      </c>
      <c r="J16" s="33">
        <f t="shared" si="6"/>
        <v>-2</v>
      </c>
      <c r="K16" s="33">
        <f t="shared" si="2"/>
        <v>-20</v>
      </c>
      <c r="L16" s="33"/>
      <c r="M16" s="35">
        <f t="shared" si="3"/>
        <v>0</v>
      </c>
      <c r="N16" s="35">
        <f t="shared" si="4"/>
        <v>0</v>
      </c>
      <c r="AI16" s="16" t="s">
        <v>40</v>
      </c>
      <c r="AJ16" s="16">
        <f>AJ11-AJ12*AJ13/AJ14</f>
        <v>9.6393909380186855</v>
      </c>
      <c r="AK16" s="16" t="s">
        <v>41</v>
      </c>
    </row>
    <row r="17" spans="1:20" x14ac:dyDescent="0.25">
      <c r="A17" s="46">
        <f t="shared" si="0"/>
        <v>0</v>
      </c>
      <c r="B17" s="37" t="str">
        <f t="shared" si="1"/>
        <v/>
      </c>
      <c r="C17" s="38"/>
      <c r="D17" s="38"/>
      <c r="E17" s="38"/>
      <c r="F17" s="38"/>
      <c r="G17" s="25"/>
      <c r="H17" s="39">
        <v>12</v>
      </c>
      <c r="I17" s="40" t="str">
        <f t="shared" si="5"/>
        <v/>
      </c>
      <c r="J17" s="39">
        <f t="shared" si="6"/>
        <v>-2</v>
      </c>
      <c r="K17" s="39">
        <f t="shared" si="2"/>
        <v>-20</v>
      </c>
      <c r="L17" s="39"/>
      <c r="M17" s="41">
        <f t="shared" si="3"/>
        <v>0</v>
      </c>
      <c r="N17" s="41">
        <f t="shared" si="4"/>
        <v>0</v>
      </c>
    </row>
    <row r="18" spans="1:20" x14ac:dyDescent="0.25">
      <c r="A18" s="47">
        <f t="shared" ref="A18:A70" si="8">N18</f>
        <v>0</v>
      </c>
      <c r="B18" s="31" t="str">
        <f t="shared" ref="B18:B65" si="9">IF(H18&gt;$H$2,"",(ROW()-5))</f>
        <v/>
      </c>
      <c r="C18" s="32"/>
      <c r="D18" s="32"/>
      <c r="E18" s="32"/>
      <c r="F18" s="32"/>
      <c r="G18" s="25"/>
      <c r="H18" s="33">
        <v>13</v>
      </c>
      <c r="I18" s="34" t="str">
        <f t="shared" si="5"/>
        <v/>
      </c>
      <c r="J18" s="33">
        <f t="shared" si="6"/>
        <v>-2</v>
      </c>
      <c r="K18" s="33">
        <f t="shared" si="2"/>
        <v>-20</v>
      </c>
      <c r="L18" s="33"/>
      <c r="M18" s="35">
        <f t="shared" si="3"/>
        <v>0</v>
      </c>
      <c r="N18" s="35">
        <f t="shared" si="4"/>
        <v>0</v>
      </c>
    </row>
    <row r="19" spans="1:20" x14ac:dyDescent="0.25">
      <c r="A19" s="46">
        <f t="shared" si="8"/>
        <v>0</v>
      </c>
      <c r="B19" s="37" t="str">
        <f t="shared" si="9"/>
        <v/>
      </c>
      <c r="C19" s="38"/>
      <c r="D19" s="38"/>
      <c r="E19" s="38"/>
      <c r="F19" s="38"/>
      <c r="G19" s="25"/>
      <c r="H19" s="39">
        <v>14</v>
      </c>
      <c r="I19" s="40" t="str">
        <f t="shared" si="5"/>
        <v/>
      </c>
      <c r="J19" s="39">
        <f t="shared" si="6"/>
        <v>-2</v>
      </c>
      <c r="K19" s="39">
        <f t="shared" si="2"/>
        <v>-20</v>
      </c>
      <c r="L19" s="39"/>
      <c r="M19" s="41">
        <f t="shared" si="3"/>
        <v>0</v>
      </c>
      <c r="N19" s="41">
        <f t="shared" si="4"/>
        <v>0</v>
      </c>
    </row>
    <row r="20" spans="1:20" x14ac:dyDescent="0.25">
      <c r="A20" s="47">
        <f t="shared" si="8"/>
        <v>0</v>
      </c>
      <c r="B20" s="31" t="str">
        <f t="shared" si="9"/>
        <v/>
      </c>
      <c r="C20" s="32"/>
      <c r="D20" s="32"/>
      <c r="E20" s="32"/>
      <c r="F20" s="32"/>
      <c r="G20" s="25"/>
      <c r="H20" s="33">
        <v>15</v>
      </c>
      <c r="I20" s="34" t="str">
        <f t="shared" si="5"/>
        <v/>
      </c>
      <c r="J20" s="33">
        <f t="shared" si="6"/>
        <v>-2</v>
      </c>
      <c r="K20" s="33">
        <f t="shared" si="2"/>
        <v>-20</v>
      </c>
      <c r="L20" s="33"/>
      <c r="M20" s="35">
        <f t="shared" si="3"/>
        <v>0</v>
      </c>
      <c r="N20" s="35">
        <f t="shared" si="4"/>
        <v>0</v>
      </c>
      <c r="S20" s="51"/>
      <c r="T20" s="52"/>
    </row>
    <row r="21" spans="1:20" x14ac:dyDescent="0.25">
      <c r="A21" s="46">
        <f t="shared" si="8"/>
        <v>0</v>
      </c>
      <c r="B21" s="37" t="str">
        <f t="shared" si="9"/>
        <v/>
      </c>
      <c r="C21" s="38"/>
      <c r="D21" s="38"/>
      <c r="E21" s="38"/>
      <c r="F21" s="38"/>
      <c r="G21" s="25"/>
      <c r="H21" s="39">
        <v>16</v>
      </c>
      <c r="I21" s="40" t="str">
        <f t="shared" si="5"/>
        <v/>
      </c>
      <c r="J21" s="39">
        <f t="shared" si="6"/>
        <v>-2</v>
      </c>
      <c r="K21" s="39">
        <f t="shared" si="2"/>
        <v>-20</v>
      </c>
      <c r="L21" s="39"/>
      <c r="M21" s="41">
        <f t="shared" si="3"/>
        <v>0</v>
      </c>
      <c r="N21" s="41">
        <f t="shared" si="4"/>
        <v>0</v>
      </c>
    </row>
    <row r="22" spans="1:20" x14ac:dyDescent="0.25">
      <c r="A22" s="47">
        <f t="shared" si="8"/>
        <v>0</v>
      </c>
      <c r="B22" s="31" t="str">
        <f t="shared" si="9"/>
        <v/>
      </c>
      <c r="C22" s="32"/>
      <c r="D22" s="32"/>
      <c r="E22" s="32"/>
      <c r="F22" s="32"/>
      <c r="G22" s="25"/>
      <c r="H22" s="33">
        <v>17</v>
      </c>
      <c r="I22" s="34" t="str">
        <f t="shared" si="5"/>
        <v/>
      </c>
      <c r="J22" s="33">
        <f t="shared" si="6"/>
        <v>-3</v>
      </c>
      <c r="K22" s="33">
        <f t="shared" si="2"/>
        <v>-30</v>
      </c>
      <c r="L22" s="33"/>
      <c r="M22" s="35">
        <f t="shared" si="3"/>
        <v>0</v>
      </c>
      <c r="N22" s="35">
        <f t="shared" si="4"/>
        <v>0</v>
      </c>
    </row>
    <row r="23" spans="1:20" x14ac:dyDescent="0.25">
      <c r="A23" s="46">
        <f t="shared" si="8"/>
        <v>0</v>
      </c>
      <c r="B23" s="37" t="str">
        <f t="shared" si="9"/>
        <v/>
      </c>
      <c r="C23" s="38"/>
      <c r="D23" s="38"/>
      <c r="E23" s="38"/>
      <c r="F23" s="38"/>
      <c r="G23" s="25"/>
      <c r="H23" s="39">
        <v>18</v>
      </c>
      <c r="I23" s="40" t="str">
        <f t="shared" si="5"/>
        <v/>
      </c>
      <c r="J23" s="39">
        <f t="shared" si="6"/>
        <v>-3</v>
      </c>
      <c r="K23" s="39">
        <f t="shared" si="2"/>
        <v>-30</v>
      </c>
      <c r="L23" s="39"/>
      <c r="M23" s="41">
        <f t="shared" si="3"/>
        <v>0</v>
      </c>
      <c r="N23" s="41">
        <f t="shared" si="4"/>
        <v>0</v>
      </c>
    </row>
    <row r="24" spans="1:20" x14ac:dyDescent="0.25">
      <c r="A24" s="47">
        <f t="shared" si="8"/>
        <v>0</v>
      </c>
      <c r="B24" s="31" t="str">
        <f t="shared" si="9"/>
        <v/>
      </c>
      <c r="C24" s="32"/>
      <c r="D24" s="32"/>
      <c r="E24" s="32"/>
      <c r="F24" s="32"/>
      <c r="G24" s="25"/>
      <c r="H24" s="33">
        <v>19</v>
      </c>
      <c r="I24" s="34" t="str">
        <f t="shared" si="5"/>
        <v/>
      </c>
      <c r="J24" s="33">
        <f t="shared" si="6"/>
        <v>-3</v>
      </c>
      <c r="K24" s="33">
        <f t="shared" si="2"/>
        <v>-30</v>
      </c>
      <c r="L24" s="33"/>
      <c r="M24" s="35">
        <f t="shared" si="3"/>
        <v>0</v>
      </c>
      <c r="N24" s="35">
        <f t="shared" si="4"/>
        <v>0</v>
      </c>
      <c r="S24" s="51"/>
      <c r="T24" s="52"/>
    </row>
    <row r="25" spans="1:20" x14ac:dyDescent="0.25">
      <c r="A25" s="46">
        <f t="shared" si="8"/>
        <v>0</v>
      </c>
      <c r="B25" s="37" t="str">
        <f t="shared" si="9"/>
        <v/>
      </c>
      <c r="C25" s="38"/>
      <c r="D25" s="38"/>
      <c r="E25" s="38"/>
      <c r="F25" s="38"/>
      <c r="G25" s="25"/>
      <c r="H25" s="39">
        <v>20</v>
      </c>
      <c r="I25" s="40" t="str">
        <f t="shared" si="5"/>
        <v/>
      </c>
      <c r="J25" s="39">
        <f t="shared" si="6"/>
        <v>-3</v>
      </c>
      <c r="K25" s="39">
        <f t="shared" si="2"/>
        <v>-30</v>
      </c>
      <c r="L25" s="39"/>
      <c r="M25" s="41">
        <f t="shared" si="3"/>
        <v>0</v>
      </c>
      <c r="N25" s="41">
        <f t="shared" si="4"/>
        <v>0</v>
      </c>
    </row>
    <row r="26" spans="1:20" x14ac:dyDescent="0.25">
      <c r="A26" s="47">
        <f t="shared" si="8"/>
        <v>0</v>
      </c>
      <c r="B26" s="31" t="str">
        <f t="shared" si="9"/>
        <v/>
      </c>
      <c r="C26" s="32"/>
      <c r="D26" s="32"/>
      <c r="E26" s="32"/>
      <c r="F26" s="32"/>
      <c r="G26" s="25"/>
      <c r="H26" s="33">
        <v>21</v>
      </c>
      <c r="I26" s="34" t="str">
        <f t="shared" si="5"/>
        <v/>
      </c>
      <c r="J26" s="33">
        <f t="shared" si="6"/>
        <v>-3</v>
      </c>
      <c r="K26" s="33">
        <f t="shared" si="2"/>
        <v>-30</v>
      </c>
      <c r="L26" s="33"/>
      <c r="M26" s="35">
        <f t="shared" si="3"/>
        <v>0</v>
      </c>
      <c r="N26" s="35">
        <f t="shared" si="4"/>
        <v>0</v>
      </c>
    </row>
    <row r="27" spans="1:20" x14ac:dyDescent="0.25">
      <c r="A27" s="46">
        <f t="shared" si="8"/>
        <v>0</v>
      </c>
      <c r="B27" s="37" t="str">
        <f t="shared" si="9"/>
        <v/>
      </c>
      <c r="C27" s="38"/>
      <c r="D27" s="38"/>
      <c r="E27" s="38"/>
      <c r="F27" s="38"/>
      <c r="G27" s="25"/>
      <c r="H27" s="39">
        <v>22</v>
      </c>
      <c r="I27" s="40" t="str">
        <f t="shared" si="5"/>
        <v/>
      </c>
      <c r="J27" s="39">
        <f t="shared" si="6"/>
        <v>-3</v>
      </c>
      <c r="K27" s="39">
        <f t="shared" si="2"/>
        <v>-30</v>
      </c>
      <c r="L27" s="39"/>
      <c r="M27" s="41">
        <f t="shared" si="3"/>
        <v>0</v>
      </c>
      <c r="N27" s="41">
        <f t="shared" si="4"/>
        <v>0</v>
      </c>
    </row>
    <row r="28" spans="1:20" x14ac:dyDescent="0.25">
      <c r="A28" s="47">
        <f t="shared" si="8"/>
        <v>0</v>
      </c>
      <c r="B28" s="31" t="str">
        <f t="shared" si="9"/>
        <v/>
      </c>
      <c r="C28" s="32"/>
      <c r="D28" s="32"/>
      <c r="E28" s="32"/>
      <c r="F28" s="32"/>
      <c r="G28" s="25"/>
      <c r="H28" s="33">
        <v>23</v>
      </c>
      <c r="I28" s="34" t="str">
        <f t="shared" si="5"/>
        <v/>
      </c>
      <c r="J28" s="33">
        <f t="shared" si="6"/>
        <v>-3</v>
      </c>
      <c r="K28" s="33">
        <f t="shared" si="2"/>
        <v>-30</v>
      </c>
      <c r="L28" s="33"/>
      <c r="M28" s="35">
        <f t="shared" si="3"/>
        <v>0</v>
      </c>
      <c r="N28" s="35">
        <f t="shared" si="4"/>
        <v>0</v>
      </c>
      <c r="S28" s="51"/>
      <c r="T28" s="52"/>
    </row>
    <row r="29" spans="1:20" x14ac:dyDescent="0.25">
      <c r="A29" s="46">
        <f t="shared" si="8"/>
        <v>0</v>
      </c>
      <c r="B29" s="37" t="str">
        <f t="shared" si="9"/>
        <v/>
      </c>
      <c r="C29" s="38"/>
      <c r="D29" s="38"/>
      <c r="E29" s="38"/>
      <c r="F29" s="38"/>
      <c r="G29" s="11"/>
      <c r="H29" s="39">
        <v>24</v>
      </c>
      <c r="I29" s="40" t="str">
        <f t="shared" si="5"/>
        <v/>
      </c>
      <c r="J29" s="39">
        <f t="shared" si="6"/>
        <v>-3</v>
      </c>
      <c r="K29" s="39">
        <f t="shared" si="2"/>
        <v>-30</v>
      </c>
      <c r="L29" s="39"/>
      <c r="M29" s="41">
        <f t="shared" si="3"/>
        <v>0</v>
      </c>
      <c r="N29" s="41">
        <f t="shared" si="4"/>
        <v>0</v>
      </c>
    </row>
    <row r="30" spans="1:20" x14ac:dyDescent="0.25">
      <c r="A30" s="47">
        <f t="shared" si="8"/>
        <v>0</v>
      </c>
      <c r="B30" s="31" t="str">
        <f t="shared" si="9"/>
        <v/>
      </c>
      <c r="C30" s="32"/>
      <c r="D30" s="32"/>
      <c r="E30" s="32"/>
      <c r="F30" s="32"/>
      <c r="G30" s="11"/>
      <c r="H30" s="33">
        <v>25</v>
      </c>
      <c r="I30" s="34" t="str">
        <f t="shared" si="5"/>
        <v/>
      </c>
      <c r="J30" s="33">
        <f t="shared" si="6"/>
        <v>-3</v>
      </c>
      <c r="K30" s="33">
        <f t="shared" si="2"/>
        <v>-30</v>
      </c>
      <c r="L30" s="33"/>
      <c r="M30" s="35">
        <f t="shared" si="3"/>
        <v>0</v>
      </c>
      <c r="N30" s="35">
        <f t="shared" si="4"/>
        <v>0</v>
      </c>
    </row>
    <row r="31" spans="1:20" x14ac:dyDescent="0.25">
      <c r="A31" s="46">
        <f t="shared" si="8"/>
        <v>0</v>
      </c>
      <c r="B31" s="37" t="str">
        <f t="shared" si="9"/>
        <v/>
      </c>
      <c r="C31" s="38"/>
      <c r="D31" s="38"/>
      <c r="E31" s="38"/>
      <c r="F31" s="38"/>
      <c r="G31" s="11"/>
      <c r="H31" s="39">
        <v>26</v>
      </c>
      <c r="I31" s="40" t="str">
        <f t="shared" si="5"/>
        <v/>
      </c>
      <c r="J31" s="39">
        <f t="shared" si="6"/>
        <v>-3</v>
      </c>
      <c r="K31" s="39">
        <f t="shared" si="2"/>
        <v>-30</v>
      </c>
      <c r="L31" s="39"/>
      <c r="M31" s="41">
        <f t="shared" si="3"/>
        <v>0</v>
      </c>
      <c r="N31" s="41">
        <f t="shared" si="4"/>
        <v>0</v>
      </c>
    </row>
    <row r="32" spans="1:20" x14ac:dyDescent="0.25">
      <c r="A32" s="47">
        <f t="shared" si="8"/>
        <v>0</v>
      </c>
      <c r="B32" s="31" t="str">
        <f t="shared" si="9"/>
        <v/>
      </c>
      <c r="C32" s="32"/>
      <c r="D32" s="32"/>
      <c r="E32" s="32"/>
      <c r="F32" s="32"/>
      <c r="G32" s="11"/>
      <c r="H32" s="33">
        <v>27</v>
      </c>
      <c r="I32" s="34" t="str">
        <f t="shared" si="5"/>
        <v/>
      </c>
      <c r="J32" s="33">
        <f t="shared" si="6"/>
        <v>-3</v>
      </c>
      <c r="K32" s="33">
        <f t="shared" si="2"/>
        <v>-30</v>
      </c>
      <c r="L32" s="33"/>
      <c r="M32" s="35">
        <f t="shared" si="3"/>
        <v>0</v>
      </c>
      <c r="N32" s="35">
        <f t="shared" si="4"/>
        <v>0</v>
      </c>
      <c r="S32" s="51"/>
      <c r="T32" s="52"/>
    </row>
    <row r="33" spans="1:22" x14ac:dyDescent="0.25">
      <c r="A33" s="46">
        <f t="shared" si="8"/>
        <v>0</v>
      </c>
      <c r="B33" s="37" t="str">
        <f t="shared" si="9"/>
        <v/>
      </c>
      <c r="C33" s="38"/>
      <c r="D33" s="38"/>
      <c r="E33" s="38"/>
      <c r="F33" s="38"/>
      <c r="G33" s="11"/>
      <c r="H33" s="39">
        <v>28</v>
      </c>
      <c r="I33" s="40" t="str">
        <f t="shared" si="5"/>
        <v/>
      </c>
      <c r="J33" s="39">
        <f t="shared" si="6"/>
        <v>-3</v>
      </c>
      <c r="K33" s="39">
        <f t="shared" si="2"/>
        <v>-30</v>
      </c>
      <c r="L33" s="39"/>
      <c r="M33" s="41">
        <f t="shared" si="3"/>
        <v>0</v>
      </c>
      <c r="N33" s="41">
        <f t="shared" si="4"/>
        <v>0</v>
      </c>
    </row>
    <row r="34" spans="1:22" x14ac:dyDescent="0.25">
      <c r="A34" s="47">
        <f t="shared" si="8"/>
        <v>0</v>
      </c>
      <c r="B34" s="31" t="str">
        <f t="shared" si="9"/>
        <v/>
      </c>
      <c r="C34" s="32"/>
      <c r="D34" s="32"/>
      <c r="E34" s="32"/>
      <c r="F34" s="32"/>
      <c r="G34" s="11"/>
      <c r="H34" s="33">
        <v>29</v>
      </c>
      <c r="I34" s="34" t="str">
        <f t="shared" si="5"/>
        <v/>
      </c>
      <c r="J34" s="33">
        <f t="shared" si="6"/>
        <v>-3</v>
      </c>
      <c r="K34" s="33">
        <f t="shared" si="2"/>
        <v>-30</v>
      </c>
      <c r="L34" s="33"/>
      <c r="M34" s="35">
        <f t="shared" si="3"/>
        <v>0</v>
      </c>
      <c r="N34" s="35">
        <f t="shared" si="4"/>
        <v>0</v>
      </c>
    </row>
    <row r="35" spans="1:22" x14ac:dyDescent="0.25">
      <c r="A35" s="46">
        <f t="shared" si="8"/>
        <v>0</v>
      </c>
      <c r="B35" s="37" t="str">
        <f t="shared" si="9"/>
        <v/>
      </c>
      <c r="C35" s="38"/>
      <c r="D35" s="38"/>
      <c r="E35" s="38"/>
      <c r="F35" s="38"/>
      <c r="G35" s="11"/>
      <c r="H35" s="39">
        <v>30</v>
      </c>
      <c r="I35" s="40" t="str">
        <f t="shared" si="5"/>
        <v/>
      </c>
      <c r="J35" s="39">
        <f t="shared" si="6"/>
        <v>-3</v>
      </c>
      <c r="K35" s="39">
        <f t="shared" si="2"/>
        <v>-30</v>
      </c>
      <c r="L35" s="39"/>
      <c r="M35" s="41">
        <f t="shared" si="3"/>
        <v>0</v>
      </c>
      <c r="N35" s="41">
        <f t="shared" si="4"/>
        <v>0</v>
      </c>
    </row>
    <row r="36" spans="1:22" x14ac:dyDescent="0.25">
      <c r="A36" s="47">
        <f t="shared" si="8"/>
        <v>0</v>
      </c>
      <c r="B36" s="31" t="str">
        <f t="shared" si="9"/>
        <v/>
      </c>
      <c r="C36" s="32"/>
      <c r="D36" s="32"/>
      <c r="E36" s="32"/>
      <c r="F36" s="32"/>
      <c r="G36" s="11"/>
      <c r="H36" s="33">
        <v>31</v>
      </c>
      <c r="I36" s="34" t="str">
        <f t="shared" si="5"/>
        <v/>
      </c>
      <c r="J36" s="33">
        <f t="shared" si="6"/>
        <v>-3</v>
      </c>
      <c r="K36" s="33">
        <f t="shared" si="2"/>
        <v>-30</v>
      </c>
      <c r="L36" s="33"/>
      <c r="M36" s="35">
        <f t="shared" si="3"/>
        <v>0</v>
      </c>
      <c r="N36" s="35">
        <f t="shared" si="4"/>
        <v>0</v>
      </c>
      <c r="S36" s="51"/>
      <c r="T36" s="52"/>
    </row>
    <row r="37" spans="1:22" x14ac:dyDescent="0.25">
      <c r="A37" s="46">
        <f t="shared" si="8"/>
        <v>0</v>
      </c>
      <c r="B37" s="37" t="str">
        <f t="shared" si="9"/>
        <v/>
      </c>
      <c r="C37" s="38"/>
      <c r="D37" s="38"/>
      <c r="E37" s="38"/>
      <c r="F37" s="38"/>
      <c r="G37" s="11"/>
      <c r="H37" s="39">
        <v>32</v>
      </c>
      <c r="I37" s="40" t="str">
        <f t="shared" si="5"/>
        <v/>
      </c>
      <c r="J37" s="39">
        <f t="shared" si="6"/>
        <v>-3</v>
      </c>
      <c r="K37" s="39">
        <f t="shared" si="2"/>
        <v>-30</v>
      </c>
      <c r="L37" s="39"/>
      <c r="M37" s="41">
        <f t="shared" si="3"/>
        <v>0</v>
      </c>
      <c r="N37" s="41">
        <f t="shared" si="4"/>
        <v>0</v>
      </c>
    </row>
    <row r="38" spans="1:22" x14ac:dyDescent="0.25">
      <c r="A38" s="47">
        <f t="shared" si="8"/>
        <v>0</v>
      </c>
      <c r="B38" s="31" t="str">
        <f t="shared" si="9"/>
        <v/>
      </c>
      <c r="C38" s="32"/>
      <c r="D38" s="32"/>
      <c r="E38" s="32"/>
      <c r="F38" s="32"/>
      <c r="G38" s="11"/>
      <c r="H38" s="33">
        <v>33</v>
      </c>
      <c r="I38" s="34" t="str">
        <f t="shared" si="5"/>
        <v/>
      </c>
      <c r="J38" s="33">
        <f t="shared" si="6"/>
        <v>-4</v>
      </c>
      <c r="K38" s="33">
        <f t="shared" si="2"/>
        <v>-40</v>
      </c>
      <c r="L38" s="33"/>
      <c r="M38" s="35">
        <f t="shared" si="3"/>
        <v>0</v>
      </c>
      <c r="N38" s="35">
        <f t="shared" si="4"/>
        <v>0</v>
      </c>
    </row>
    <row r="39" spans="1:22" x14ac:dyDescent="0.25">
      <c r="A39" s="46">
        <f t="shared" si="8"/>
        <v>0</v>
      </c>
      <c r="B39" s="37" t="str">
        <f t="shared" si="9"/>
        <v/>
      </c>
      <c r="C39" s="38"/>
      <c r="D39" s="38"/>
      <c r="E39" s="38"/>
      <c r="F39" s="38"/>
      <c r="G39" s="11"/>
      <c r="H39" s="39">
        <v>34</v>
      </c>
      <c r="I39" s="40" t="str">
        <f t="shared" si="5"/>
        <v/>
      </c>
      <c r="J39" s="39">
        <f t="shared" si="6"/>
        <v>-4</v>
      </c>
      <c r="K39" s="39">
        <f t="shared" si="2"/>
        <v>-40</v>
      </c>
      <c r="L39" s="39"/>
      <c r="M39" s="41">
        <f t="shared" si="3"/>
        <v>0</v>
      </c>
      <c r="N39" s="41">
        <f t="shared" si="4"/>
        <v>0</v>
      </c>
    </row>
    <row r="40" spans="1:22" x14ac:dyDescent="0.25">
      <c r="A40" s="47">
        <f t="shared" si="8"/>
        <v>0</v>
      </c>
      <c r="B40" s="31" t="str">
        <f t="shared" si="9"/>
        <v/>
      </c>
      <c r="C40" s="32"/>
      <c r="D40" s="32"/>
      <c r="E40" s="32"/>
      <c r="F40" s="32"/>
      <c r="G40" s="11"/>
      <c r="H40" s="33">
        <v>35</v>
      </c>
      <c r="I40" s="34" t="str">
        <f t="shared" si="5"/>
        <v/>
      </c>
      <c r="J40" s="33">
        <f t="shared" si="6"/>
        <v>-4</v>
      </c>
      <c r="K40" s="33">
        <f t="shared" si="2"/>
        <v>-40</v>
      </c>
      <c r="L40" s="33"/>
      <c r="M40" s="35">
        <f t="shared" si="3"/>
        <v>0</v>
      </c>
      <c r="N40" s="35">
        <f t="shared" si="4"/>
        <v>0</v>
      </c>
    </row>
    <row r="41" spans="1:22" x14ac:dyDescent="0.25">
      <c r="A41" s="46">
        <f t="shared" si="8"/>
        <v>0</v>
      </c>
      <c r="B41" s="37" t="str">
        <f t="shared" si="9"/>
        <v/>
      </c>
      <c r="C41" s="38"/>
      <c r="D41" s="38"/>
      <c r="E41" s="38"/>
      <c r="F41" s="38"/>
      <c r="G41" s="11"/>
      <c r="H41" s="39">
        <v>36</v>
      </c>
      <c r="I41" s="40" t="str">
        <f t="shared" si="5"/>
        <v/>
      </c>
      <c r="J41" s="39">
        <f t="shared" si="6"/>
        <v>-4</v>
      </c>
      <c r="K41" s="39">
        <f t="shared" si="2"/>
        <v>-40</v>
      </c>
      <c r="L41" s="39"/>
      <c r="M41" s="41">
        <f t="shared" si="3"/>
        <v>0</v>
      </c>
      <c r="N41" s="41">
        <f t="shared" si="4"/>
        <v>0</v>
      </c>
      <c r="T41" s="53"/>
    </row>
    <row r="42" spans="1:22" x14ac:dyDescent="0.25">
      <c r="A42" s="47">
        <f t="shared" si="8"/>
        <v>0</v>
      </c>
      <c r="B42" s="31" t="str">
        <f t="shared" si="9"/>
        <v/>
      </c>
      <c r="C42" s="32"/>
      <c r="D42" s="32"/>
      <c r="E42" s="32"/>
      <c r="F42" s="32"/>
      <c r="G42" s="11"/>
      <c r="H42" s="33">
        <v>37</v>
      </c>
      <c r="I42" s="34" t="str">
        <f t="shared" si="5"/>
        <v/>
      </c>
      <c r="J42" s="33">
        <f t="shared" si="6"/>
        <v>-4</v>
      </c>
      <c r="K42" s="33">
        <f t="shared" si="2"/>
        <v>-40</v>
      </c>
      <c r="L42" s="33"/>
      <c r="M42" s="35">
        <f t="shared" si="3"/>
        <v>0</v>
      </c>
      <c r="N42" s="35">
        <f t="shared" si="4"/>
        <v>0</v>
      </c>
    </row>
    <row r="43" spans="1:22" x14ac:dyDescent="0.25">
      <c r="A43" s="46">
        <f t="shared" si="8"/>
        <v>0</v>
      </c>
      <c r="B43" s="37" t="str">
        <f t="shared" si="9"/>
        <v/>
      </c>
      <c r="C43" s="38"/>
      <c r="D43" s="38"/>
      <c r="E43" s="38"/>
      <c r="F43" s="38"/>
      <c r="G43" s="11"/>
      <c r="H43" s="39">
        <v>38</v>
      </c>
      <c r="I43" s="40" t="str">
        <f t="shared" si="5"/>
        <v/>
      </c>
      <c r="J43" s="39">
        <f t="shared" si="6"/>
        <v>-4</v>
      </c>
      <c r="K43" s="39">
        <f t="shared" si="2"/>
        <v>-40</v>
      </c>
      <c r="L43" s="39"/>
      <c r="M43" s="41">
        <f t="shared" si="3"/>
        <v>0</v>
      </c>
      <c r="N43" s="41">
        <f t="shared" si="4"/>
        <v>0</v>
      </c>
    </row>
    <row r="44" spans="1:22" x14ac:dyDescent="0.25">
      <c r="A44" s="47">
        <f t="shared" si="8"/>
        <v>0</v>
      </c>
      <c r="B44" s="31" t="str">
        <f t="shared" si="9"/>
        <v/>
      </c>
      <c r="C44" s="32"/>
      <c r="D44" s="32"/>
      <c r="E44" s="32"/>
      <c r="F44" s="32"/>
      <c r="G44" s="11"/>
      <c r="H44" s="33">
        <v>39</v>
      </c>
      <c r="I44" s="34" t="str">
        <f t="shared" si="5"/>
        <v/>
      </c>
      <c r="J44" s="33">
        <f t="shared" si="6"/>
        <v>-4</v>
      </c>
      <c r="K44" s="33">
        <f t="shared" si="2"/>
        <v>-40</v>
      </c>
      <c r="L44" s="33"/>
      <c r="M44" s="35">
        <f t="shared" si="3"/>
        <v>0</v>
      </c>
      <c r="N44" s="35">
        <f t="shared" si="4"/>
        <v>0</v>
      </c>
    </row>
    <row r="45" spans="1:22" x14ac:dyDescent="0.25">
      <c r="A45" s="46">
        <f t="shared" si="8"/>
        <v>0</v>
      </c>
      <c r="B45" s="37" t="str">
        <f t="shared" si="9"/>
        <v/>
      </c>
      <c r="C45" s="38"/>
      <c r="D45" s="38"/>
      <c r="E45" s="38"/>
      <c r="F45" s="38"/>
      <c r="G45" s="11"/>
      <c r="H45" s="39">
        <v>40</v>
      </c>
      <c r="I45" s="40" t="str">
        <f t="shared" si="5"/>
        <v/>
      </c>
      <c r="J45" s="39">
        <f t="shared" si="6"/>
        <v>-4</v>
      </c>
      <c r="K45" s="39">
        <f t="shared" si="2"/>
        <v>-40</v>
      </c>
      <c r="L45" s="39"/>
      <c r="M45" s="41">
        <f t="shared" si="3"/>
        <v>0</v>
      </c>
      <c r="N45" s="41">
        <f t="shared" si="4"/>
        <v>0</v>
      </c>
    </row>
    <row r="46" spans="1:22" x14ac:dyDescent="0.25">
      <c r="A46" s="47">
        <f t="shared" si="8"/>
        <v>0</v>
      </c>
      <c r="B46" s="31" t="str">
        <f t="shared" si="9"/>
        <v/>
      </c>
      <c r="C46" s="32"/>
      <c r="D46" s="32"/>
      <c r="E46" s="32"/>
      <c r="F46" s="32"/>
      <c r="G46" s="11"/>
      <c r="H46" s="33">
        <v>41</v>
      </c>
      <c r="I46" s="34" t="str">
        <f t="shared" si="5"/>
        <v/>
      </c>
      <c r="J46" s="33">
        <f t="shared" si="6"/>
        <v>-4</v>
      </c>
      <c r="K46" s="33">
        <f t="shared" si="2"/>
        <v>-40</v>
      </c>
      <c r="L46" s="33"/>
      <c r="M46" s="35">
        <f t="shared" si="3"/>
        <v>0</v>
      </c>
      <c r="N46" s="35">
        <f t="shared" si="4"/>
        <v>0</v>
      </c>
      <c r="S46" s="11">
        <f>LOG($H$2,2)</f>
        <v>2</v>
      </c>
      <c r="U46" s="16">
        <f>LOG(H38,2)</f>
        <v>5.0443941193584534</v>
      </c>
      <c r="V46" s="16">
        <f>S46-U46</f>
        <v>-3.0443941193584534</v>
      </c>
    </row>
    <row r="47" spans="1:22" x14ac:dyDescent="0.25">
      <c r="A47" s="46">
        <f t="shared" si="8"/>
        <v>0</v>
      </c>
      <c r="B47" s="37" t="str">
        <f t="shared" si="9"/>
        <v/>
      </c>
      <c r="C47" s="38"/>
      <c r="D47" s="38"/>
      <c r="E47" s="38"/>
      <c r="F47" s="38"/>
      <c r="G47" s="11"/>
      <c r="H47" s="39">
        <v>42</v>
      </c>
      <c r="I47" s="40" t="str">
        <f t="shared" si="5"/>
        <v/>
      </c>
      <c r="J47" s="39">
        <f t="shared" si="6"/>
        <v>-4</v>
      </c>
      <c r="K47" s="39">
        <f t="shared" si="2"/>
        <v>-40</v>
      </c>
      <c r="L47" s="39"/>
      <c r="M47" s="41">
        <f t="shared" si="3"/>
        <v>0</v>
      </c>
      <c r="N47" s="41">
        <f t="shared" si="4"/>
        <v>0</v>
      </c>
    </row>
    <row r="48" spans="1:22" x14ac:dyDescent="0.25">
      <c r="A48" s="47">
        <f t="shared" si="8"/>
        <v>0</v>
      </c>
      <c r="B48" s="31" t="str">
        <f t="shared" si="9"/>
        <v/>
      </c>
      <c r="C48" s="32"/>
      <c r="D48" s="32"/>
      <c r="E48" s="32"/>
      <c r="F48" s="32"/>
      <c r="G48" s="11"/>
      <c r="H48" s="33">
        <v>43</v>
      </c>
      <c r="I48" s="34" t="str">
        <f t="shared" si="5"/>
        <v/>
      </c>
      <c r="J48" s="33">
        <f t="shared" si="6"/>
        <v>-4</v>
      </c>
      <c r="K48" s="33">
        <f t="shared" si="2"/>
        <v>-40</v>
      </c>
      <c r="L48" s="33"/>
      <c r="M48" s="35">
        <f t="shared" si="3"/>
        <v>0</v>
      </c>
      <c r="N48" s="35">
        <f t="shared" si="4"/>
        <v>0</v>
      </c>
    </row>
    <row r="49" spans="1:14" x14ac:dyDescent="0.25">
      <c r="A49" s="46">
        <f t="shared" si="8"/>
        <v>0</v>
      </c>
      <c r="B49" s="37" t="str">
        <f t="shared" si="9"/>
        <v/>
      </c>
      <c r="C49" s="38"/>
      <c r="D49" s="38"/>
      <c r="E49" s="38"/>
      <c r="F49" s="38"/>
      <c r="G49" s="11"/>
      <c r="H49" s="39">
        <v>44</v>
      </c>
      <c r="I49" s="40" t="str">
        <f t="shared" si="5"/>
        <v/>
      </c>
      <c r="J49" s="39">
        <f t="shared" si="6"/>
        <v>-4</v>
      </c>
      <c r="K49" s="39">
        <f t="shared" si="2"/>
        <v>-40</v>
      </c>
      <c r="L49" s="39"/>
      <c r="M49" s="41">
        <f t="shared" si="3"/>
        <v>0</v>
      </c>
      <c r="N49" s="41">
        <f t="shared" si="4"/>
        <v>0</v>
      </c>
    </row>
    <row r="50" spans="1:14" x14ac:dyDescent="0.25">
      <c r="A50" s="47">
        <f t="shared" si="8"/>
        <v>0</v>
      </c>
      <c r="B50" s="31" t="str">
        <f t="shared" si="9"/>
        <v/>
      </c>
      <c r="C50" s="32"/>
      <c r="D50" s="32"/>
      <c r="E50" s="32"/>
      <c r="F50" s="32"/>
      <c r="G50" s="11"/>
      <c r="H50" s="33">
        <v>45</v>
      </c>
      <c r="I50" s="34" t="str">
        <f t="shared" si="5"/>
        <v/>
      </c>
      <c r="J50" s="33">
        <f t="shared" si="6"/>
        <v>-4</v>
      </c>
      <c r="K50" s="33">
        <f t="shared" si="2"/>
        <v>-40</v>
      </c>
      <c r="L50" s="33"/>
      <c r="M50" s="35">
        <f t="shared" si="3"/>
        <v>0</v>
      </c>
      <c r="N50" s="35">
        <f t="shared" si="4"/>
        <v>0</v>
      </c>
    </row>
    <row r="51" spans="1:14" x14ac:dyDescent="0.25">
      <c r="A51" s="46">
        <f t="shared" si="8"/>
        <v>0</v>
      </c>
      <c r="B51" s="37" t="str">
        <f t="shared" si="9"/>
        <v/>
      </c>
      <c r="C51" s="38"/>
      <c r="D51" s="38"/>
      <c r="E51" s="38"/>
      <c r="F51" s="38"/>
      <c r="G51" s="11"/>
      <c r="H51" s="39">
        <v>46</v>
      </c>
      <c r="I51" s="40" t="str">
        <f t="shared" si="5"/>
        <v/>
      </c>
      <c r="J51" s="39">
        <f t="shared" si="6"/>
        <v>-4</v>
      </c>
      <c r="K51" s="39">
        <f t="shared" si="2"/>
        <v>-40</v>
      </c>
      <c r="L51" s="39"/>
      <c r="M51" s="41">
        <f t="shared" si="3"/>
        <v>0</v>
      </c>
      <c r="N51" s="41">
        <f t="shared" si="4"/>
        <v>0</v>
      </c>
    </row>
    <row r="52" spans="1:14" x14ac:dyDescent="0.25">
      <c r="A52" s="47">
        <f t="shared" si="8"/>
        <v>0</v>
      </c>
      <c r="B52" s="31" t="str">
        <f t="shared" si="9"/>
        <v/>
      </c>
      <c r="C52" s="32"/>
      <c r="D52" s="32"/>
      <c r="E52" s="32"/>
      <c r="F52" s="32"/>
      <c r="G52" s="11"/>
      <c r="H52" s="33">
        <v>47</v>
      </c>
      <c r="I52" s="34" t="str">
        <f t="shared" si="5"/>
        <v/>
      </c>
      <c r="J52" s="33">
        <f t="shared" si="6"/>
        <v>-4</v>
      </c>
      <c r="K52" s="33">
        <f t="shared" si="2"/>
        <v>-40</v>
      </c>
      <c r="L52" s="33"/>
      <c r="M52" s="35">
        <f t="shared" si="3"/>
        <v>0</v>
      </c>
      <c r="N52" s="35">
        <f t="shared" si="4"/>
        <v>0</v>
      </c>
    </row>
    <row r="53" spans="1:14" x14ac:dyDescent="0.25">
      <c r="A53" s="46">
        <f t="shared" si="8"/>
        <v>0</v>
      </c>
      <c r="B53" s="37" t="str">
        <f t="shared" si="9"/>
        <v/>
      </c>
      <c r="C53" s="38"/>
      <c r="D53" s="38"/>
      <c r="E53" s="38"/>
      <c r="F53" s="38"/>
      <c r="G53" s="11"/>
      <c r="H53" s="39">
        <v>48</v>
      </c>
      <c r="I53" s="40" t="str">
        <f t="shared" si="5"/>
        <v/>
      </c>
      <c r="J53" s="39">
        <f t="shared" si="6"/>
        <v>-4</v>
      </c>
      <c r="K53" s="39">
        <f t="shared" si="2"/>
        <v>-40</v>
      </c>
      <c r="L53" s="39"/>
      <c r="M53" s="41">
        <f t="shared" si="3"/>
        <v>0</v>
      </c>
      <c r="N53" s="41">
        <f t="shared" si="4"/>
        <v>0</v>
      </c>
    </row>
    <row r="54" spans="1:14" x14ac:dyDescent="0.25">
      <c r="A54" s="47">
        <f t="shared" si="8"/>
        <v>0</v>
      </c>
      <c r="B54" s="31" t="str">
        <f t="shared" si="9"/>
        <v/>
      </c>
      <c r="C54" s="32"/>
      <c r="D54" s="32"/>
      <c r="E54" s="32"/>
      <c r="F54" s="32"/>
      <c r="G54" s="11"/>
      <c r="H54" s="33">
        <v>49</v>
      </c>
      <c r="I54" s="34" t="str">
        <f t="shared" si="5"/>
        <v/>
      </c>
      <c r="J54" s="33">
        <f t="shared" si="6"/>
        <v>-4</v>
      </c>
      <c r="K54" s="33">
        <f t="shared" si="2"/>
        <v>-40</v>
      </c>
      <c r="L54" s="33"/>
      <c r="M54" s="35">
        <f t="shared" si="3"/>
        <v>0</v>
      </c>
      <c r="N54" s="35">
        <f t="shared" si="4"/>
        <v>0</v>
      </c>
    </row>
    <row r="55" spans="1:14" x14ac:dyDescent="0.25">
      <c r="A55" s="46">
        <f t="shared" si="8"/>
        <v>0</v>
      </c>
      <c r="B55" s="37" t="str">
        <f t="shared" si="9"/>
        <v/>
      </c>
      <c r="C55" s="38"/>
      <c r="D55" s="38"/>
      <c r="E55" s="38"/>
      <c r="F55" s="38"/>
      <c r="G55" s="11"/>
      <c r="H55" s="39">
        <v>50</v>
      </c>
      <c r="I55" s="40" t="str">
        <f t="shared" si="5"/>
        <v/>
      </c>
      <c r="J55" s="39">
        <f t="shared" si="6"/>
        <v>-4</v>
      </c>
      <c r="K55" s="39">
        <f t="shared" si="2"/>
        <v>-40</v>
      </c>
      <c r="L55" s="39"/>
      <c r="M55" s="41">
        <f t="shared" si="3"/>
        <v>0</v>
      </c>
      <c r="N55" s="41">
        <f t="shared" si="4"/>
        <v>0</v>
      </c>
    </row>
    <row r="56" spans="1:14" x14ac:dyDescent="0.25">
      <c r="A56" s="47">
        <f t="shared" si="8"/>
        <v>0</v>
      </c>
      <c r="B56" s="31" t="str">
        <f t="shared" si="9"/>
        <v/>
      </c>
      <c r="C56" s="32"/>
      <c r="D56" s="32"/>
      <c r="E56" s="32"/>
      <c r="F56" s="32"/>
      <c r="G56" s="11"/>
      <c r="H56" s="33">
        <v>51</v>
      </c>
      <c r="I56" s="34" t="str">
        <f t="shared" si="5"/>
        <v/>
      </c>
      <c r="J56" s="33">
        <f t="shared" si="6"/>
        <v>-4</v>
      </c>
      <c r="K56" s="33">
        <f t="shared" si="2"/>
        <v>-40</v>
      </c>
      <c r="L56" s="33"/>
      <c r="M56" s="35">
        <f t="shared" si="3"/>
        <v>0</v>
      </c>
      <c r="N56" s="35">
        <f t="shared" si="4"/>
        <v>0</v>
      </c>
    </row>
    <row r="57" spans="1:14" x14ac:dyDescent="0.25">
      <c r="A57" s="46">
        <f t="shared" si="8"/>
        <v>0</v>
      </c>
      <c r="B57" s="37" t="str">
        <f t="shared" si="9"/>
        <v/>
      </c>
      <c r="C57" s="38"/>
      <c r="D57" s="38"/>
      <c r="E57" s="38"/>
      <c r="F57" s="38"/>
      <c r="G57" s="11"/>
      <c r="H57" s="39">
        <v>52</v>
      </c>
      <c r="I57" s="40" t="str">
        <f t="shared" si="5"/>
        <v/>
      </c>
      <c r="J57" s="39">
        <f t="shared" si="6"/>
        <v>-4</v>
      </c>
      <c r="K57" s="39">
        <f t="shared" si="2"/>
        <v>-40</v>
      </c>
      <c r="L57" s="39"/>
      <c r="M57" s="41">
        <f t="shared" si="3"/>
        <v>0</v>
      </c>
      <c r="N57" s="41">
        <f t="shared" si="4"/>
        <v>0</v>
      </c>
    </row>
    <row r="58" spans="1:14" x14ac:dyDescent="0.25">
      <c r="A58" s="47">
        <f t="shared" si="8"/>
        <v>0</v>
      </c>
      <c r="B58" s="31" t="str">
        <f t="shared" si="9"/>
        <v/>
      </c>
      <c r="C58" s="32"/>
      <c r="D58" s="32"/>
      <c r="E58" s="32"/>
      <c r="F58" s="32"/>
      <c r="G58" s="11"/>
      <c r="H58" s="33">
        <v>53</v>
      </c>
      <c r="I58" s="34" t="str">
        <f t="shared" si="5"/>
        <v/>
      </c>
      <c r="J58" s="33">
        <f t="shared" si="6"/>
        <v>-4</v>
      </c>
      <c r="K58" s="33">
        <f t="shared" si="2"/>
        <v>-40</v>
      </c>
      <c r="L58" s="33"/>
      <c r="M58" s="35">
        <f t="shared" si="3"/>
        <v>0</v>
      </c>
      <c r="N58" s="35">
        <f t="shared" si="4"/>
        <v>0</v>
      </c>
    </row>
    <row r="59" spans="1:14" x14ac:dyDescent="0.25">
      <c r="A59" s="46">
        <f t="shared" si="8"/>
        <v>0</v>
      </c>
      <c r="B59" s="37" t="str">
        <f t="shared" si="9"/>
        <v/>
      </c>
      <c r="C59" s="38"/>
      <c r="D59" s="38"/>
      <c r="E59" s="38"/>
      <c r="F59" s="38"/>
      <c r="G59" s="11"/>
      <c r="H59" s="39">
        <v>54</v>
      </c>
      <c r="I59" s="40" t="str">
        <f t="shared" si="5"/>
        <v/>
      </c>
      <c r="J59" s="39">
        <f t="shared" si="6"/>
        <v>-4</v>
      </c>
      <c r="K59" s="39">
        <f t="shared" si="2"/>
        <v>-40</v>
      </c>
      <c r="L59" s="39"/>
      <c r="M59" s="41">
        <f t="shared" si="3"/>
        <v>0</v>
      </c>
      <c r="N59" s="41">
        <f t="shared" si="4"/>
        <v>0</v>
      </c>
    </row>
    <row r="60" spans="1:14" x14ac:dyDescent="0.25">
      <c r="A60" s="47">
        <f t="shared" si="8"/>
        <v>0</v>
      </c>
      <c r="B60" s="31" t="str">
        <f t="shared" si="9"/>
        <v/>
      </c>
      <c r="C60" s="32"/>
      <c r="D60" s="32"/>
      <c r="E60" s="32"/>
      <c r="F60" s="32"/>
      <c r="G60" s="11"/>
      <c r="H60" s="33">
        <v>55</v>
      </c>
      <c r="I60" s="34" t="str">
        <f t="shared" si="5"/>
        <v/>
      </c>
      <c r="J60" s="33">
        <f t="shared" si="6"/>
        <v>-4</v>
      </c>
      <c r="K60" s="33">
        <f t="shared" si="2"/>
        <v>-40</v>
      </c>
      <c r="L60" s="33"/>
      <c r="M60" s="35">
        <f t="shared" si="3"/>
        <v>0</v>
      </c>
      <c r="N60" s="35">
        <f t="shared" si="4"/>
        <v>0</v>
      </c>
    </row>
    <row r="61" spans="1:14" x14ac:dyDescent="0.25">
      <c r="A61" s="46">
        <f t="shared" si="8"/>
        <v>0</v>
      </c>
      <c r="B61" s="37" t="str">
        <f t="shared" si="9"/>
        <v/>
      </c>
      <c r="C61" s="38"/>
      <c r="D61" s="38"/>
      <c r="E61" s="38"/>
      <c r="F61" s="38"/>
      <c r="G61" s="11"/>
      <c r="H61" s="39">
        <v>56</v>
      </c>
      <c r="I61" s="40" t="str">
        <f t="shared" si="5"/>
        <v/>
      </c>
      <c r="J61" s="39">
        <f t="shared" si="6"/>
        <v>-4</v>
      </c>
      <c r="K61" s="39">
        <f t="shared" si="2"/>
        <v>-40</v>
      </c>
      <c r="L61" s="39"/>
      <c r="M61" s="41">
        <f t="shared" si="3"/>
        <v>0</v>
      </c>
      <c r="N61" s="41">
        <f t="shared" si="4"/>
        <v>0</v>
      </c>
    </row>
    <row r="62" spans="1:14" x14ac:dyDescent="0.25">
      <c r="A62" s="47">
        <f t="shared" si="8"/>
        <v>0</v>
      </c>
      <c r="B62" s="31" t="str">
        <f t="shared" si="9"/>
        <v/>
      </c>
      <c r="C62" s="32"/>
      <c r="D62" s="32"/>
      <c r="E62" s="32"/>
      <c r="F62" s="32"/>
      <c r="G62" s="11"/>
      <c r="H62" s="33">
        <v>57</v>
      </c>
      <c r="I62" s="34" t="str">
        <f t="shared" si="5"/>
        <v/>
      </c>
      <c r="J62" s="33">
        <f t="shared" si="6"/>
        <v>-4</v>
      </c>
      <c r="K62" s="33">
        <f t="shared" si="2"/>
        <v>-40</v>
      </c>
      <c r="L62" s="33"/>
      <c r="M62" s="35">
        <f t="shared" si="3"/>
        <v>0</v>
      </c>
      <c r="N62" s="35">
        <f t="shared" si="4"/>
        <v>0</v>
      </c>
    </row>
    <row r="63" spans="1:14" x14ac:dyDescent="0.25">
      <c r="A63" s="46">
        <f t="shared" si="8"/>
        <v>0</v>
      </c>
      <c r="B63" s="37" t="str">
        <f t="shared" si="9"/>
        <v/>
      </c>
      <c r="C63" s="38"/>
      <c r="D63" s="38"/>
      <c r="E63" s="38"/>
      <c r="F63" s="38"/>
      <c r="G63" s="11"/>
      <c r="H63" s="39">
        <v>58</v>
      </c>
      <c r="I63" s="40" t="str">
        <f t="shared" si="5"/>
        <v/>
      </c>
      <c r="J63" s="39">
        <f t="shared" si="6"/>
        <v>-4</v>
      </c>
      <c r="K63" s="39">
        <f t="shared" si="2"/>
        <v>-40</v>
      </c>
      <c r="L63" s="39"/>
      <c r="M63" s="41">
        <f t="shared" si="3"/>
        <v>0</v>
      </c>
      <c r="N63" s="41">
        <f t="shared" si="4"/>
        <v>0</v>
      </c>
    </row>
    <row r="64" spans="1:14" x14ac:dyDescent="0.25">
      <c r="A64" s="47">
        <f t="shared" si="8"/>
        <v>0</v>
      </c>
      <c r="B64" s="31" t="str">
        <f t="shared" si="9"/>
        <v/>
      </c>
      <c r="C64" s="32"/>
      <c r="D64" s="32"/>
      <c r="E64" s="32"/>
      <c r="F64" s="32"/>
      <c r="G64" s="11"/>
      <c r="H64" s="33">
        <v>59</v>
      </c>
      <c r="I64" s="34" t="str">
        <f t="shared" si="5"/>
        <v/>
      </c>
      <c r="J64" s="33">
        <f t="shared" si="6"/>
        <v>-4</v>
      </c>
      <c r="K64" s="33">
        <f t="shared" si="2"/>
        <v>-40</v>
      </c>
      <c r="L64" s="33"/>
      <c r="M64" s="35">
        <f t="shared" si="3"/>
        <v>0</v>
      </c>
      <c r="N64" s="35">
        <f t="shared" si="4"/>
        <v>0</v>
      </c>
    </row>
    <row r="65" spans="1:14" x14ac:dyDescent="0.25">
      <c r="A65" s="46">
        <f t="shared" si="8"/>
        <v>0</v>
      </c>
      <c r="B65" s="37" t="str">
        <f t="shared" si="9"/>
        <v/>
      </c>
      <c r="C65" s="38"/>
      <c r="D65" s="38"/>
      <c r="E65" s="38"/>
      <c r="F65" s="38"/>
      <c r="G65" s="11"/>
      <c r="H65" s="39">
        <v>60</v>
      </c>
      <c r="I65" s="40" t="str">
        <f t="shared" si="5"/>
        <v/>
      </c>
      <c r="J65" s="39">
        <f t="shared" si="6"/>
        <v>-4</v>
      </c>
      <c r="K65" s="39">
        <f t="shared" si="2"/>
        <v>-40</v>
      </c>
      <c r="L65" s="39"/>
      <c r="M65" s="41">
        <f t="shared" si="3"/>
        <v>0</v>
      </c>
      <c r="N65" s="41">
        <f t="shared" si="4"/>
        <v>0</v>
      </c>
    </row>
    <row r="66" spans="1:14" x14ac:dyDescent="0.25">
      <c r="A66" s="54">
        <f t="shared" si="8"/>
        <v>0</v>
      </c>
      <c r="B66" s="31"/>
      <c r="G66" s="11"/>
      <c r="H66" s="33">
        <v>61</v>
      </c>
      <c r="I66" s="34" t="str">
        <f t="shared" si="5"/>
        <v/>
      </c>
      <c r="J66" s="33">
        <f t="shared" si="6"/>
        <v>-4</v>
      </c>
      <c r="K66" s="33">
        <f t="shared" si="2"/>
        <v>-40</v>
      </c>
      <c r="L66" s="33"/>
      <c r="M66" s="35">
        <f t="shared" si="3"/>
        <v>0</v>
      </c>
      <c r="N66" s="35">
        <f t="shared" si="4"/>
        <v>0</v>
      </c>
    </row>
    <row r="67" spans="1:14" x14ac:dyDescent="0.25">
      <c r="A67" s="54">
        <f t="shared" si="8"/>
        <v>0</v>
      </c>
      <c r="B67" s="37"/>
      <c r="G67" s="11"/>
      <c r="H67" s="33">
        <v>62</v>
      </c>
      <c r="I67" s="34" t="str">
        <f t="shared" si="5"/>
        <v/>
      </c>
      <c r="J67" s="33">
        <f t="shared" si="6"/>
        <v>-4</v>
      </c>
      <c r="K67" s="33">
        <f t="shared" si="2"/>
        <v>-40</v>
      </c>
      <c r="L67" s="33"/>
      <c r="M67" s="35">
        <f t="shared" si="3"/>
        <v>0</v>
      </c>
      <c r="N67" s="35">
        <f t="shared" si="4"/>
        <v>0</v>
      </c>
    </row>
    <row r="68" spans="1:14" x14ac:dyDescent="0.25">
      <c r="A68" s="54">
        <f t="shared" si="8"/>
        <v>0</v>
      </c>
      <c r="B68" s="31"/>
      <c r="G68" s="11"/>
      <c r="H68" s="33">
        <v>63</v>
      </c>
      <c r="I68" s="34" t="str">
        <f t="shared" si="5"/>
        <v/>
      </c>
      <c r="J68" s="33">
        <f t="shared" si="6"/>
        <v>-4</v>
      </c>
      <c r="K68" s="33">
        <f t="shared" si="2"/>
        <v>-40</v>
      </c>
      <c r="L68" s="33"/>
      <c r="M68" s="35">
        <f t="shared" si="3"/>
        <v>0</v>
      </c>
      <c r="N68" s="35">
        <f t="shared" si="4"/>
        <v>0</v>
      </c>
    </row>
    <row r="69" spans="1:14" x14ac:dyDescent="0.25">
      <c r="A69" s="54">
        <f t="shared" si="8"/>
        <v>0</v>
      </c>
      <c r="B69" s="37"/>
      <c r="G69" s="11"/>
      <c r="H69" s="33">
        <v>64</v>
      </c>
      <c r="I69" s="34" t="str">
        <f t="shared" si="5"/>
        <v/>
      </c>
      <c r="J69" s="33">
        <f t="shared" si="6"/>
        <v>-4</v>
      </c>
      <c r="K69" s="33">
        <f t="shared" si="2"/>
        <v>-40</v>
      </c>
      <c r="L69" s="33"/>
      <c r="M69" s="35">
        <f t="shared" si="3"/>
        <v>0</v>
      </c>
      <c r="N69" s="35">
        <f t="shared" si="4"/>
        <v>0</v>
      </c>
    </row>
    <row r="70" spans="1:14" x14ac:dyDescent="0.25">
      <c r="A70" s="54">
        <f t="shared" si="8"/>
        <v>0</v>
      </c>
      <c r="G70" s="11"/>
      <c r="H70" s="33">
        <v>65</v>
      </c>
      <c r="I70" s="34" t="str">
        <f t="shared" ref="I70:I133" si="10">IF(H70&lt;$H$2+1,($I$2-($I$2-1)*(LOG(H70)/LOG($H$2))),"")</f>
        <v/>
      </c>
      <c r="J70" s="33">
        <f t="shared" si="6"/>
        <v>-5</v>
      </c>
      <c r="K70" s="33">
        <f t="shared" ref="K70:K133" si="11">J70*$J$2</f>
        <v>-50</v>
      </c>
      <c r="L70" s="33"/>
      <c r="M70" s="35">
        <f t="shared" ref="M70:M133" si="12">IF(I70&lt;&gt;"",K70+I70+L70,0)</f>
        <v>0</v>
      </c>
      <c r="N70" s="35">
        <f t="shared" ref="N70:N133" si="13">IF(I70&lt;&gt;"",M70*L$2,0)</f>
        <v>0</v>
      </c>
    </row>
    <row r="71" spans="1:14" x14ac:dyDescent="0.25">
      <c r="A71" s="54">
        <f t="shared" ref="A71:A134" si="14">N71</f>
        <v>0</v>
      </c>
      <c r="G71" s="11"/>
      <c r="H71" s="33">
        <v>66</v>
      </c>
      <c r="I71" s="34" t="str">
        <f t="shared" si="10"/>
        <v/>
      </c>
      <c r="J71" s="33">
        <f t="shared" ref="J71:J134" si="15">INT(LOG($H$2,2))-ROUNDUP(LOG(H71,2),0)+IF(OR($H$2=1,$H$2=2,$H$2=4,$H$2=8,$H$2=16,$H$2=32,$H$2=64,$H$2=128,$H$2=256),0,1)</f>
        <v>-5</v>
      </c>
      <c r="K71" s="33">
        <f t="shared" si="11"/>
        <v>-50</v>
      </c>
      <c r="L71" s="33"/>
      <c r="M71" s="35">
        <f t="shared" si="12"/>
        <v>0</v>
      </c>
      <c r="N71" s="35">
        <f t="shared" si="13"/>
        <v>0</v>
      </c>
    </row>
    <row r="72" spans="1:14" x14ac:dyDescent="0.25">
      <c r="A72" s="54">
        <f t="shared" si="14"/>
        <v>0</v>
      </c>
      <c r="G72" s="11"/>
      <c r="H72" s="33">
        <v>67</v>
      </c>
      <c r="I72" s="34" t="str">
        <f t="shared" si="10"/>
        <v/>
      </c>
      <c r="J72" s="33">
        <f t="shared" si="15"/>
        <v>-5</v>
      </c>
      <c r="K72" s="33">
        <f t="shared" si="11"/>
        <v>-50</v>
      </c>
      <c r="L72" s="33"/>
      <c r="M72" s="35">
        <f t="shared" si="12"/>
        <v>0</v>
      </c>
      <c r="N72" s="35">
        <f t="shared" si="13"/>
        <v>0</v>
      </c>
    </row>
    <row r="73" spans="1:14" x14ac:dyDescent="0.25">
      <c r="A73" s="54">
        <f t="shared" si="14"/>
        <v>0</v>
      </c>
      <c r="G73" s="11"/>
      <c r="H73" s="33">
        <v>68</v>
      </c>
      <c r="I73" s="34" t="str">
        <f t="shared" si="10"/>
        <v/>
      </c>
      <c r="J73" s="33">
        <f t="shared" si="15"/>
        <v>-5</v>
      </c>
      <c r="K73" s="33">
        <f t="shared" si="11"/>
        <v>-50</v>
      </c>
      <c r="L73" s="33"/>
      <c r="M73" s="35">
        <f t="shared" si="12"/>
        <v>0</v>
      </c>
      <c r="N73" s="35">
        <f t="shared" si="13"/>
        <v>0</v>
      </c>
    </row>
    <row r="74" spans="1:14" x14ac:dyDescent="0.25">
      <c r="A74" s="54">
        <f t="shared" si="14"/>
        <v>0</v>
      </c>
      <c r="G74" s="11"/>
      <c r="H74" s="33">
        <v>69</v>
      </c>
      <c r="I74" s="34" t="str">
        <f t="shared" si="10"/>
        <v/>
      </c>
      <c r="J74" s="33">
        <f t="shared" si="15"/>
        <v>-5</v>
      </c>
      <c r="K74" s="33">
        <f t="shared" si="11"/>
        <v>-50</v>
      </c>
      <c r="L74" s="33"/>
      <c r="M74" s="35">
        <f t="shared" si="12"/>
        <v>0</v>
      </c>
      <c r="N74" s="35">
        <f t="shared" si="13"/>
        <v>0</v>
      </c>
    </row>
    <row r="75" spans="1:14" x14ac:dyDescent="0.25">
      <c r="A75" s="54">
        <f t="shared" si="14"/>
        <v>0</v>
      </c>
      <c r="G75" s="11"/>
      <c r="H75" s="33">
        <v>70</v>
      </c>
      <c r="I75" s="34" t="str">
        <f t="shared" si="10"/>
        <v/>
      </c>
      <c r="J75" s="33">
        <f t="shared" si="15"/>
        <v>-5</v>
      </c>
      <c r="K75" s="33">
        <f t="shared" si="11"/>
        <v>-50</v>
      </c>
      <c r="L75" s="33"/>
      <c r="M75" s="35">
        <f t="shared" si="12"/>
        <v>0</v>
      </c>
      <c r="N75" s="35">
        <f t="shared" si="13"/>
        <v>0</v>
      </c>
    </row>
    <row r="76" spans="1:14" x14ac:dyDescent="0.25">
      <c r="A76" s="54">
        <f t="shared" si="14"/>
        <v>0</v>
      </c>
      <c r="G76" s="11"/>
      <c r="H76" s="33">
        <v>71</v>
      </c>
      <c r="I76" s="34" t="str">
        <f t="shared" si="10"/>
        <v/>
      </c>
      <c r="J76" s="33">
        <f t="shared" si="15"/>
        <v>-5</v>
      </c>
      <c r="K76" s="33">
        <f t="shared" si="11"/>
        <v>-50</v>
      </c>
      <c r="L76" s="33"/>
      <c r="M76" s="35">
        <f t="shared" si="12"/>
        <v>0</v>
      </c>
      <c r="N76" s="35">
        <f t="shared" si="13"/>
        <v>0</v>
      </c>
    </row>
    <row r="77" spans="1:14" x14ac:dyDescent="0.25">
      <c r="A77" s="54">
        <f t="shared" si="14"/>
        <v>0</v>
      </c>
      <c r="G77" s="11"/>
      <c r="H77" s="33">
        <v>72</v>
      </c>
      <c r="I77" s="34" t="str">
        <f t="shared" si="10"/>
        <v/>
      </c>
      <c r="J77" s="33">
        <f t="shared" si="15"/>
        <v>-5</v>
      </c>
      <c r="K77" s="33">
        <f t="shared" si="11"/>
        <v>-50</v>
      </c>
      <c r="L77" s="33"/>
      <c r="M77" s="35">
        <f t="shared" si="12"/>
        <v>0</v>
      </c>
      <c r="N77" s="35">
        <f t="shared" si="13"/>
        <v>0</v>
      </c>
    </row>
    <row r="78" spans="1:14" x14ac:dyDescent="0.25">
      <c r="A78" s="54">
        <f t="shared" si="14"/>
        <v>0</v>
      </c>
      <c r="G78" s="11"/>
      <c r="H78" s="33">
        <v>73</v>
      </c>
      <c r="I78" s="34" t="str">
        <f t="shared" si="10"/>
        <v/>
      </c>
      <c r="J78" s="33">
        <f t="shared" si="15"/>
        <v>-5</v>
      </c>
      <c r="K78" s="33">
        <f t="shared" si="11"/>
        <v>-50</v>
      </c>
      <c r="L78" s="33"/>
      <c r="M78" s="35">
        <f t="shared" si="12"/>
        <v>0</v>
      </c>
      <c r="N78" s="35">
        <f t="shared" si="13"/>
        <v>0</v>
      </c>
    </row>
    <row r="79" spans="1:14" x14ac:dyDescent="0.25">
      <c r="A79" s="54">
        <f t="shared" si="14"/>
        <v>0</v>
      </c>
      <c r="G79" s="11"/>
      <c r="H79" s="33">
        <v>74</v>
      </c>
      <c r="I79" s="34" t="str">
        <f t="shared" si="10"/>
        <v/>
      </c>
      <c r="J79" s="33">
        <f t="shared" si="15"/>
        <v>-5</v>
      </c>
      <c r="K79" s="33">
        <f t="shared" si="11"/>
        <v>-50</v>
      </c>
      <c r="L79" s="33"/>
      <c r="M79" s="35">
        <f t="shared" si="12"/>
        <v>0</v>
      </c>
      <c r="N79" s="35">
        <f t="shared" si="13"/>
        <v>0</v>
      </c>
    </row>
    <row r="80" spans="1:14" x14ac:dyDescent="0.25">
      <c r="A80" s="54">
        <f t="shared" si="14"/>
        <v>0</v>
      </c>
      <c r="G80" s="11"/>
      <c r="H80" s="33">
        <v>75</v>
      </c>
      <c r="I80" s="34" t="str">
        <f t="shared" si="10"/>
        <v/>
      </c>
      <c r="J80" s="33">
        <f t="shared" si="15"/>
        <v>-5</v>
      </c>
      <c r="K80" s="33">
        <f t="shared" si="11"/>
        <v>-50</v>
      </c>
      <c r="L80" s="33"/>
      <c r="M80" s="35">
        <f t="shared" si="12"/>
        <v>0</v>
      </c>
      <c r="N80" s="35">
        <f t="shared" si="13"/>
        <v>0</v>
      </c>
    </row>
    <row r="81" spans="1:14" x14ac:dyDescent="0.25">
      <c r="A81" s="54">
        <f t="shared" si="14"/>
        <v>0</v>
      </c>
      <c r="G81" s="11"/>
      <c r="H81" s="33">
        <v>76</v>
      </c>
      <c r="I81" s="34" t="str">
        <f t="shared" si="10"/>
        <v/>
      </c>
      <c r="J81" s="33">
        <f t="shared" si="15"/>
        <v>-5</v>
      </c>
      <c r="K81" s="33">
        <f t="shared" si="11"/>
        <v>-50</v>
      </c>
      <c r="L81" s="33"/>
      <c r="M81" s="35">
        <f t="shared" si="12"/>
        <v>0</v>
      </c>
      <c r="N81" s="35">
        <f t="shared" si="13"/>
        <v>0</v>
      </c>
    </row>
    <row r="82" spans="1:14" x14ac:dyDescent="0.25">
      <c r="A82" s="54">
        <f t="shared" si="14"/>
        <v>0</v>
      </c>
      <c r="G82" s="11"/>
      <c r="H82" s="33">
        <v>77</v>
      </c>
      <c r="I82" s="34" t="str">
        <f t="shared" si="10"/>
        <v/>
      </c>
      <c r="J82" s="33">
        <f t="shared" si="15"/>
        <v>-5</v>
      </c>
      <c r="K82" s="33">
        <f t="shared" si="11"/>
        <v>-50</v>
      </c>
      <c r="L82" s="33"/>
      <c r="M82" s="35">
        <f t="shared" si="12"/>
        <v>0</v>
      </c>
      <c r="N82" s="35">
        <f t="shared" si="13"/>
        <v>0</v>
      </c>
    </row>
    <row r="83" spans="1:14" x14ac:dyDescent="0.25">
      <c r="A83" s="54">
        <f t="shared" si="14"/>
        <v>0</v>
      </c>
      <c r="G83" s="11"/>
      <c r="H83" s="33">
        <v>78</v>
      </c>
      <c r="I83" s="34" t="str">
        <f t="shared" si="10"/>
        <v/>
      </c>
      <c r="J83" s="33">
        <f t="shared" si="15"/>
        <v>-5</v>
      </c>
      <c r="K83" s="33">
        <f t="shared" si="11"/>
        <v>-50</v>
      </c>
      <c r="L83" s="33"/>
      <c r="M83" s="35">
        <f t="shared" si="12"/>
        <v>0</v>
      </c>
      <c r="N83" s="35">
        <f t="shared" si="13"/>
        <v>0</v>
      </c>
    </row>
    <row r="84" spans="1:14" x14ac:dyDescent="0.25">
      <c r="A84" s="54">
        <f t="shared" si="14"/>
        <v>0</v>
      </c>
      <c r="G84" s="11"/>
      <c r="H84" s="33">
        <v>79</v>
      </c>
      <c r="I84" s="34" t="str">
        <f t="shared" si="10"/>
        <v/>
      </c>
      <c r="J84" s="33">
        <f t="shared" si="15"/>
        <v>-5</v>
      </c>
      <c r="K84" s="33">
        <f t="shared" si="11"/>
        <v>-50</v>
      </c>
      <c r="L84" s="33"/>
      <c r="M84" s="35">
        <f t="shared" si="12"/>
        <v>0</v>
      </c>
      <c r="N84" s="35">
        <f t="shared" si="13"/>
        <v>0</v>
      </c>
    </row>
    <row r="85" spans="1:14" x14ac:dyDescent="0.25">
      <c r="A85" s="54">
        <f t="shared" si="14"/>
        <v>0</v>
      </c>
      <c r="G85" s="11"/>
      <c r="H85" s="33">
        <v>80</v>
      </c>
      <c r="I85" s="34" t="str">
        <f t="shared" si="10"/>
        <v/>
      </c>
      <c r="J85" s="33">
        <f t="shared" si="15"/>
        <v>-5</v>
      </c>
      <c r="K85" s="33">
        <f t="shared" si="11"/>
        <v>-50</v>
      </c>
      <c r="L85" s="33"/>
      <c r="M85" s="35">
        <f t="shared" si="12"/>
        <v>0</v>
      </c>
      <c r="N85" s="35">
        <f t="shared" si="13"/>
        <v>0</v>
      </c>
    </row>
    <row r="86" spans="1:14" x14ac:dyDescent="0.25">
      <c r="A86" s="54">
        <f t="shared" si="14"/>
        <v>0</v>
      </c>
      <c r="G86" s="11"/>
      <c r="H86" s="33">
        <v>81</v>
      </c>
      <c r="I86" s="34" t="str">
        <f t="shared" si="10"/>
        <v/>
      </c>
      <c r="J86" s="33">
        <f t="shared" si="15"/>
        <v>-5</v>
      </c>
      <c r="K86" s="33">
        <f t="shared" si="11"/>
        <v>-50</v>
      </c>
      <c r="L86" s="33"/>
      <c r="M86" s="35">
        <f t="shared" si="12"/>
        <v>0</v>
      </c>
      <c r="N86" s="35">
        <f t="shared" si="13"/>
        <v>0</v>
      </c>
    </row>
    <row r="87" spans="1:14" x14ac:dyDescent="0.25">
      <c r="A87" s="54">
        <f t="shared" si="14"/>
        <v>0</v>
      </c>
      <c r="G87" s="11"/>
      <c r="H87" s="33">
        <v>82</v>
      </c>
      <c r="I87" s="34" t="str">
        <f t="shared" si="10"/>
        <v/>
      </c>
      <c r="J87" s="33">
        <f t="shared" si="15"/>
        <v>-5</v>
      </c>
      <c r="K87" s="33">
        <f t="shared" si="11"/>
        <v>-50</v>
      </c>
      <c r="L87" s="33"/>
      <c r="M87" s="35">
        <f t="shared" si="12"/>
        <v>0</v>
      </c>
      <c r="N87" s="35">
        <f t="shared" si="13"/>
        <v>0</v>
      </c>
    </row>
    <row r="88" spans="1:14" x14ac:dyDescent="0.25">
      <c r="A88" s="54">
        <f t="shared" si="14"/>
        <v>0</v>
      </c>
      <c r="G88" s="11"/>
      <c r="H88" s="33">
        <v>83</v>
      </c>
      <c r="I88" s="34" t="str">
        <f t="shared" si="10"/>
        <v/>
      </c>
      <c r="J88" s="33">
        <f t="shared" si="15"/>
        <v>-5</v>
      </c>
      <c r="K88" s="33">
        <f t="shared" si="11"/>
        <v>-50</v>
      </c>
      <c r="L88" s="33"/>
      <c r="M88" s="35">
        <f t="shared" si="12"/>
        <v>0</v>
      </c>
      <c r="N88" s="35">
        <f t="shared" si="13"/>
        <v>0</v>
      </c>
    </row>
    <row r="89" spans="1:14" x14ac:dyDescent="0.25">
      <c r="A89" s="54">
        <f t="shared" si="14"/>
        <v>0</v>
      </c>
      <c r="G89" s="11"/>
      <c r="H89" s="33">
        <v>84</v>
      </c>
      <c r="I89" s="34" t="str">
        <f t="shared" si="10"/>
        <v/>
      </c>
      <c r="J89" s="33">
        <f t="shared" si="15"/>
        <v>-5</v>
      </c>
      <c r="K89" s="33">
        <f t="shared" si="11"/>
        <v>-50</v>
      </c>
      <c r="L89" s="33"/>
      <c r="M89" s="35">
        <f t="shared" si="12"/>
        <v>0</v>
      </c>
      <c r="N89" s="35">
        <f t="shared" si="13"/>
        <v>0</v>
      </c>
    </row>
    <row r="90" spans="1:14" x14ac:dyDescent="0.25">
      <c r="A90" s="54">
        <f t="shared" si="14"/>
        <v>0</v>
      </c>
      <c r="G90" s="11"/>
      <c r="H90" s="33">
        <v>85</v>
      </c>
      <c r="I90" s="34" t="str">
        <f t="shared" si="10"/>
        <v/>
      </c>
      <c r="J90" s="33">
        <f t="shared" si="15"/>
        <v>-5</v>
      </c>
      <c r="K90" s="33">
        <f t="shared" si="11"/>
        <v>-50</v>
      </c>
      <c r="L90" s="33"/>
      <c r="M90" s="35">
        <f t="shared" si="12"/>
        <v>0</v>
      </c>
      <c r="N90" s="35">
        <f t="shared" si="13"/>
        <v>0</v>
      </c>
    </row>
    <row r="91" spans="1:14" x14ac:dyDescent="0.25">
      <c r="A91" s="54">
        <f t="shared" si="14"/>
        <v>0</v>
      </c>
      <c r="G91" s="11"/>
      <c r="H91" s="33">
        <v>86</v>
      </c>
      <c r="I91" s="34" t="str">
        <f t="shared" si="10"/>
        <v/>
      </c>
      <c r="J91" s="33">
        <f t="shared" si="15"/>
        <v>-5</v>
      </c>
      <c r="K91" s="33">
        <f t="shared" si="11"/>
        <v>-50</v>
      </c>
      <c r="L91" s="33"/>
      <c r="M91" s="35">
        <f t="shared" si="12"/>
        <v>0</v>
      </c>
      <c r="N91" s="35">
        <f t="shared" si="13"/>
        <v>0</v>
      </c>
    </row>
    <row r="92" spans="1:14" x14ac:dyDescent="0.25">
      <c r="A92" s="54">
        <f t="shared" si="14"/>
        <v>0</v>
      </c>
      <c r="G92" s="11"/>
      <c r="H92" s="33">
        <v>87</v>
      </c>
      <c r="I92" s="34" t="str">
        <f t="shared" si="10"/>
        <v/>
      </c>
      <c r="J92" s="33">
        <f t="shared" si="15"/>
        <v>-5</v>
      </c>
      <c r="K92" s="33">
        <f t="shared" si="11"/>
        <v>-50</v>
      </c>
      <c r="L92" s="33"/>
      <c r="M92" s="35">
        <f t="shared" si="12"/>
        <v>0</v>
      </c>
      <c r="N92" s="35">
        <f t="shared" si="13"/>
        <v>0</v>
      </c>
    </row>
    <row r="93" spans="1:14" x14ac:dyDescent="0.25">
      <c r="A93" s="54">
        <f t="shared" si="14"/>
        <v>0</v>
      </c>
      <c r="G93" s="11"/>
      <c r="H93" s="33">
        <v>88</v>
      </c>
      <c r="I93" s="34" t="str">
        <f t="shared" si="10"/>
        <v/>
      </c>
      <c r="J93" s="33">
        <f t="shared" si="15"/>
        <v>-5</v>
      </c>
      <c r="K93" s="33">
        <f t="shared" si="11"/>
        <v>-50</v>
      </c>
      <c r="L93" s="33"/>
      <c r="M93" s="35">
        <f t="shared" si="12"/>
        <v>0</v>
      </c>
      <c r="N93" s="35">
        <f t="shared" si="13"/>
        <v>0</v>
      </c>
    </row>
    <row r="94" spans="1:14" x14ac:dyDescent="0.25">
      <c r="A94" s="54">
        <f t="shared" si="14"/>
        <v>0</v>
      </c>
      <c r="G94" s="11"/>
      <c r="H94" s="33">
        <v>89</v>
      </c>
      <c r="I94" s="34" t="str">
        <f t="shared" si="10"/>
        <v/>
      </c>
      <c r="J94" s="33">
        <f t="shared" si="15"/>
        <v>-5</v>
      </c>
      <c r="K94" s="33">
        <f t="shared" si="11"/>
        <v>-50</v>
      </c>
      <c r="L94" s="33"/>
      <c r="M94" s="35">
        <f t="shared" si="12"/>
        <v>0</v>
      </c>
      <c r="N94" s="35">
        <f t="shared" si="13"/>
        <v>0</v>
      </c>
    </row>
    <row r="95" spans="1:14" x14ac:dyDescent="0.25">
      <c r="A95" s="54">
        <f t="shared" si="14"/>
        <v>0</v>
      </c>
      <c r="G95" s="11"/>
      <c r="H95" s="33">
        <v>90</v>
      </c>
      <c r="I95" s="34" t="str">
        <f t="shared" si="10"/>
        <v/>
      </c>
      <c r="J95" s="33">
        <f t="shared" si="15"/>
        <v>-5</v>
      </c>
      <c r="K95" s="33">
        <f t="shared" si="11"/>
        <v>-50</v>
      </c>
      <c r="L95" s="33"/>
      <c r="M95" s="35">
        <f t="shared" si="12"/>
        <v>0</v>
      </c>
      <c r="N95" s="35">
        <f t="shared" si="13"/>
        <v>0</v>
      </c>
    </row>
    <row r="96" spans="1:14" x14ac:dyDescent="0.25">
      <c r="A96" s="54">
        <f t="shared" si="14"/>
        <v>0</v>
      </c>
      <c r="G96" s="11"/>
      <c r="H96" s="33">
        <v>91</v>
      </c>
      <c r="I96" s="34" t="str">
        <f t="shared" si="10"/>
        <v/>
      </c>
      <c r="J96" s="33">
        <f t="shared" si="15"/>
        <v>-5</v>
      </c>
      <c r="K96" s="33">
        <f t="shared" si="11"/>
        <v>-50</v>
      </c>
      <c r="L96" s="33"/>
      <c r="M96" s="35">
        <f t="shared" si="12"/>
        <v>0</v>
      </c>
      <c r="N96" s="35">
        <f t="shared" si="13"/>
        <v>0</v>
      </c>
    </row>
    <row r="97" spans="1:14" x14ac:dyDescent="0.25">
      <c r="A97" s="54">
        <f t="shared" si="14"/>
        <v>0</v>
      </c>
      <c r="G97" s="11"/>
      <c r="H97" s="33">
        <v>92</v>
      </c>
      <c r="I97" s="34" t="str">
        <f t="shared" si="10"/>
        <v/>
      </c>
      <c r="J97" s="33">
        <f t="shared" si="15"/>
        <v>-5</v>
      </c>
      <c r="K97" s="33">
        <f t="shared" si="11"/>
        <v>-50</v>
      </c>
      <c r="L97" s="33"/>
      <c r="M97" s="35">
        <f t="shared" si="12"/>
        <v>0</v>
      </c>
      <c r="N97" s="35">
        <f t="shared" si="13"/>
        <v>0</v>
      </c>
    </row>
    <row r="98" spans="1:14" x14ac:dyDescent="0.25">
      <c r="A98" s="54">
        <f t="shared" si="14"/>
        <v>0</v>
      </c>
      <c r="G98" s="11"/>
      <c r="H98" s="33">
        <v>93</v>
      </c>
      <c r="I98" s="34" t="str">
        <f t="shared" si="10"/>
        <v/>
      </c>
      <c r="J98" s="33">
        <f t="shared" si="15"/>
        <v>-5</v>
      </c>
      <c r="K98" s="33">
        <f t="shared" si="11"/>
        <v>-50</v>
      </c>
      <c r="L98" s="33"/>
      <c r="M98" s="35">
        <f t="shared" si="12"/>
        <v>0</v>
      </c>
      <c r="N98" s="35">
        <f t="shared" si="13"/>
        <v>0</v>
      </c>
    </row>
    <row r="99" spans="1:14" x14ac:dyDescent="0.25">
      <c r="A99" s="54">
        <f t="shared" si="14"/>
        <v>0</v>
      </c>
      <c r="G99" s="11"/>
      <c r="H99" s="33">
        <v>94</v>
      </c>
      <c r="I99" s="34" t="str">
        <f t="shared" si="10"/>
        <v/>
      </c>
      <c r="J99" s="33">
        <f t="shared" si="15"/>
        <v>-5</v>
      </c>
      <c r="K99" s="33">
        <f t="shared" si="11"/>
        <v>-50</v>
      </c>
      <c r="L99" s="33"/>
      <c r="M99" s="35">
        <f t="shared" si="12"/>
        <v>0</v>
      </c>
      <c r="N99" s="35">
        <f t="shared" si="13"/>
        <v>0</v>
      </c>
    </row>
    <row r="100" spans="1:14" x14ac:dyDescent="0.25">
      <c r="A100" s="54">
        <f t="shared" si="14"/>
        <v>0</v>
      </c>
      <c r="G100" s="11"/>
      <c r="H100" s="33">
        <v>95</v>
      </c>
      <c r="I100" s="34" t="str">
        <f t="shared" si="10"/>
        <v/>
      </c>
      <c r="J100" s="33">
        <f t="shared" si="15"/>
        <v>-5</v>
      </c>
      <c r="K100" s="33">
        <f t="shared" si="11"/>
        <v>-50</v>
      </c>
      <c r="L100" s="33"/>
      <c r="M100" s="35">
        <f t="shared" si="12"/>
        <v>0</v>
      </c>
      <c r="N100" s="35">
        <f t="shared" si="13"/>
        <v>0</v>
      </c>
    </row>
    <row r="101" spans="1:14" x14ac:dyDescent="0.25">
      <c r="A101" s="54">
        <f t="shared" si="14"/>
        <v>0</v>
      </c>
      <c r="G101" s="11"/>
      <c r="H101" s="33">
        <v>96</v>
      </c>
      <c r="I101" s="34" t="str">
        <f t="shared" si="10"/>
        <v/>
      </c>
      <c r="J101" s="33">
        <f t="shared" si="15"/>
        <v>-5</v>
      </c>
      <c r="K101" s="33">
        <f t="shared" si="11"/>
        <v>-50</v>
      </c>
      <c r="L101" s="33"/>
      <c r="M101" s="35">
        <f t="shared" si="12"/>
        <v>0</v>
      </c>
      <c r="N101" s="35">
        <f t="shared" si="13"/>
        <v>0</v>
      </c>
    </row>
    <row r="102" spans="1:14" x14ac:dyDescent="0.25">
      <c r="A102" s="54">
        <f t="shared" si="14"/>
        <v>0</v>
      </c>
      <c r="G102" s="11"/>
      <c r="H102" s="33">
        <v>97</v>
      </c>
      <c r="I102" s="34" t="str">
        <f t="shared" si="10"/>
        <v/>
      </c>
      <c r="J102" s="33">
        <f t="shared" si="15"/>
        <v>-5</v>
      </c>
      <c r="K102" s="33">
        <f t="shared" si="11"/>
        <v>-50</v>
      </c>
      <c r="L102" s="33"/>
      <c r="M102" s="35">
        <f t="shared" si="12"/>
        <v>0</v>
      </c>
      <c r="N102" s="35">
        <f t="shared" si="13"/>
        <v>0</v>
      </c>
    </row>
    <row r="103" spans="1:14" x14ac:dyDescent="0.25">
      <c r="A103" s="54">
        <f t="shared" si="14"/>
        <v>0</v>
      </c>
      <c r="G103" s="11"/>
      <c r="H103" s="33">
        <v>98</v>
      </c>
      <c r="I103" s="34" t="str">
        <f t="shared" si="10"/>
        <v/>
      </c>
      <c r="J103" s="33">
        <f t="shared" si="15"/>
        <v>-5</v>
      </c>
      <c r="K103" s="33">
        <f t="shared" si="11"/>
        <v>-50</v>
      </c>
      <c r="L103" s="33"/>
      <c r="M103" s="35">
        <f t="shared" si="12"/>
        <v>0</v>
      </c>
      <c r="N103" s="35">
        <f t="shared" si="13"/>
        <v>0</v>
      </c>
    </row>
    <row r="104" spans="1:14" x14ac:dyDescent="0.25">
      <c r="A104" s="54">
        <f t="shared" si="14"/>
        <v>0</v>
      </c>
      <c r="G104" s="11"/>
      <c r="H104" s="33">
        <v>99</v>
      </c>
      <c r="I104" s="34" t="str">
        <f t="shared" si="10"/>
        <v/>
      </c>
      <c r="J104" s="33">
        <f t="shared" si="15"/>
        <v>-5</v>
      </c>
      <c r="K104" s="33">
        <f t="shared" si="11"/>
        <v>-50</v>
      </c>
      <c r="L104" s="33"/>
      <c r="M104" s="35">
        <f t="shared" si="12"/>
        <v>0</v>
      </c>
      <c r="N104" s="35">
        <f t="shared" si="13"/>
        <v>0</v>
      </c>
    </row>
    <row r="105" spans="1:14" x14ac:dyDescent="0.25">
      <c r="A105" s="54">
        <f t="shared" si="14"/>
        <v>0</v>
      </c>
      <c r="G105" s="11"/>
      <c r="H105" s="33">
        <v>100</v>
      </c>
      <c r="I105" s="34" t="str">
        <f t="shared" si="10"/>
        <v/>
      </c>
      <c r="J105" s="33">
        <f t="shared" si="15"/>
        <v>-5</v>
      </c>
      <c r="K105" s="33">
        <f t="shared" si="11"/>
        <v>-50</v>
      </c>
      <c r="L105" s="33"/>
      <c r="M105" s="35">
        <f t="shared" si="12"/>
        <v>0</v>
      </c>
      <c r="N105" s="35">
        <f t="shared" si="13"/>
        <v>0</v>
      </c>
    </row>
    <row r="106" spans="1:14" x14ac:dyDescent="0.25">
      <c r="A106" s="54">
        <f t="shared" si="14"/>
        <v>0</v>
      </c>
      <c r="G106" s="11"/>
      <c r="H106" s="33">
        <v>101</v>
      </c>
      <c r="I106" s="34" t="str">
        <f t="shared" si="10"/>
        <v/>
      </c>
      <c r="J106" s="33">
        <f t="shared" si="15"/>
        <v>-5</v>
      </c>
      <c r="K106" s="33">
        <f t="shared" si="11"/>
        <v>-50</v>
      </c>
      <c r="L106" s="33"/>
      <c r="M106" s="35">
        <f t="shared" si="12"/>
        <v>0</v>
      </c>
      <c r="N106" s="35">
        <f t="shared" si="13"/>
        <v>0</v>
      </c>
    </row>
    <row r="107" spans="1:14" x14ac:dyDescent="0.25">
      <c r="A107" s="54">
        <f t="shared" si="14"/>
        <v>0</v>
      </c>
      <c r="G107" s="11"/>
      <c r="H107" s="33">
        <v>102</v>
      </c>
      <c r="I107" s="34" t="str">
        <f t="shared" si="10"/>
        <v/>
      </c>
      <c r="J107" s="33">
        <f t="shared" si="15"/>
        <v>-5</v>
      </c>
      <c r="K107" s="33">
        <f t="shared" si="11"/>
        <v>-50</v>
      </c>
      <c r="L107" s="33"/>
      <c r="M107" s="35">
        <f t="shared" si="12"/>
        <v>0</v>
      </c>
      <c r="N107" s="35">
        <f t="shared" si="13"/>
        <v>0</v>
      </c>
    </row>
    <row r="108" spans="1:14" x14ac:dyDescent="0.25">
      <c r="A108" s="54">
        <f t="shared" si="14"/>
        <v>0</v>
      </c>
      <c r="G108" s="11"/>
      <c r="H108" s="33">
        <v>103</v>
      </c>
      <c r="I108" s="34" t="str">
        <f t="shared" si="10"/>
        <v/>
      </c>
      <c r="J108" s="33">
        <f t="shared" si="15"/>
        <v>-5</v>
      </c>
      <c r="K108" s="33">
        <f t="shared" si="11"/>
        <v>-50</v>
      </c>
      <c r="L108" s="33"/>
      <c r="M108" s="35">
        <f t="shared" si="12"/>
        <v>0</v>
      </c>
      <c r="N108" s="35">
        <f t="shared" si="13"/>
        <v>0</v>
      </c>
    </row>
    <row r="109" spans="1:14" x14ac:dyDescent="0.25">
      <c r="A109" s="54">
        <f t="shared" si="14"/>
        <v>0</v>
      </c>
      <c r="G109" s="11"/>
      <c r="H109" s="33">
        <v>104</v>
      </c>
      <c r="I109" s="34" t="str">
        <f t="shared" si="10"/>
        <v/>
      </c>
      <c r="J109" s="33">
        <f t="shared" si="15"/>
        <v>-5</v>
      </c>
      <c r="K109" s="33">
        <f t="shared" si="11"/>
        <v>-50</v>
      </c>
      <c r="L109" s="33"/>
      <c r="M109" s="35">
        <f t="shared" si="12"/>
        <v>0</v>
      </c>
      <c r="N109" s="35">
        <f t="shared" si="13"/>
        <v>0</v>
      </c>
    </row>
    <row r="110" spans="1:14" x14ac:dyDescent="0.25">
      <c r="A110" s="54">
        <f t="shared" si="14"/>
        <v>0</v>
      </c>
      <c r="G110" s="11"/>
      <c r="H110" s="33">
        <v>105</v>
      </c>
      <c r="I110" s="34" t="str">
        <f t="shared" si="10"/>
        <v/>
      </c>
      <c r="J110" s="33">
        <f t="shared" si="15"/>
        <v>-5</v>
      </c>
      <c r="K110" s="33">
        <f t="shared" si="11"/>
        <v>-50</v>
      </c>
      <c r="L110" s="33"/>
      <c r="M110" s="35">
        <f t="shared" si="12"/>
        <v>0</v>
      </c>
      <c r="N110" s="35">
        <f t="shared" si="13"/>
        <v>0</v>
      </c>
    </row>
    <row r="111" spans="1:14" x14ac:dyDescent="0.25">
      <c r="A111" s="54">
        <f t="shared" si="14"/>
        <v>0</v>
      </c>
      <c r="G111" s="11"/>
      <c r="H111" s="33">
        <v>106</v>
      </c>
      <c r="I111" s="34" t="str">
        <f t="shared" si="10"/>
        <v/>
      </c>
      <c r="J111" s="33">
        <f t="shared" si="15"/>
        <v>-5</v>
      </c>
      <c r="K111" s="33">
        <f t="shared" si="11"/>
        <v>-50</v>
      </c>
      <c r="L111" s="33"/>
      <c r="M111" s="35">
        <f t="shared" si="12"/>
        <v>0</v>
      </c>
      <c r="N111" s="35">
        <f t="shared" si="13"/>
        <v>0</v>
      </c>
    </row>
    <row r="112" spans="1:14" x14ac:dyDescent="0.25">
      <c r="A112" s="54">
        <f t="shared" si="14"/>
        <v>0</v>
      </c>
      <c r="G112" s="11"/>
      <c r="H112" s="33">
        <v>107</v>
      </c>
      <c r="I112" s="34" t="str">
        <f t="shared" si="10"/>
        <v/>
      </c>
      <c r="J112" s="33">
        <f t="shared" si="15"/>
        <v>-5</v>
      </c>
      <c r="K112" s="33">
        <f t="shared" si="11"/>
        <v>-50</v>
      </c>
      <c r="L112" s="33"/>
      <c r="M112" s="35">
        <f t="shared" si="12"/>
        <v>0</v>
      </c>
      <c r="N112" s="35">
        <f t="shared" si="13"/>
        <v>0</v>
      </c>
    </row>
    <row r="113" spans="1:14" x14ac:dyDescent="0.25">
      <c r="A113" s="54">
        <f t="shared" si="14"/>
        <v>0</v>
      </c>
      <c r="G113" s="11"/>
      <c r="H113" s="33">
        <v>108</v>
      </c>
      <c r="I113" s="34" t="str">
        <f t="shared" si="10"/>
        <v/>
      </c>
      <c r="J113" s="33">
        <f t="shared" si="15"/>
        <v>-5</v>
      </c>
      <c r="K113" s="33">
        <f t="shared" si="11"/>
        <v>-50</v>
      </c>
      <c r="L113" s="33"/>
      <c r="M113" s="35">
        <f t="shared" si="12"/>
        <v>0</v>
      </c>
      <c r="N113" s="35">
        <f t="shared" si="13"/>
        <v>0</v>
      </c>
    </row>
    <row r="114" spans="1:14" x14ac:dyDescent="0.25">
      <c r="A114" s="54">
        <f t="shared" si="14"/>
        <v>0</v>
      </c>
      <c r="G114" s="11"/>
      <c r="H114" s="33">
        <v>109</v>
      </c>
      <c r="I114" s="34" t="str">
        <f t="shared" si="10"/>
        <v/>
      </c>
      <c r="J114" s="33">
        <f t="shared" si="15"/>
        <v>-5</v>
      </c>
      <c r="K114" s="33">
        <f t="shared" si="11"/>
        <v>-50</v>
      </c>
      <c r="L114" s="33"/>
      <c r="M114" s="35">
        <f t="shared" si="12"/>
        <v>0</v>
      </c>
      <c r="N114" s="35">
        <f t="shared" si="13"/>
        <v>0</v>
      </c>
    </row>
    <row r="115" spans="1:14" x14ac:dyDescent="0.25">
      <c r="A115" s="54">
        <f t="shared" si="14"/>
        <v>0</v>
      </c>
      <c r="G115" s="11"/>
      <c r="H115" s="33">
        <v>110</v>
      </c>
      <c r="I115" s="34" t="str">
        <f t="shared" si="10"/>
        <v/>
      </c>
      <c r="J115" s="33">
        <f t="shared" si="15"/>
        <v>-5</v>
      </c>
      <c r="K115" s="33">
        <f t="shared" si="11"/>
        <v>-50</v>
      </c>
      <c r="L115" s="33"/>
      <c r="M115" s="35">
        <f t="shared" si="12"/>
        <v>0</v>
      </c>
      <c r="N115" s="35">
        <f t="shared" si="13"/>
        <v>0</v>
      </c>
    </row>
    <row r="116" spans="1:14" x14ac:dyDescent="0.25">
      <c r="A116" s="54">
        <f t="shared" si="14"/>
        <v>0</v>
      </c>
      <c r="G116" s="11"/>
      <c r="H116" s="33">
        <v>111</v>
      </c>
      <c r="I116" s="34" t="str">
        <f t="shared" si="10"/>
        <v/>
      </c>
      <c r="J116" s="33">
        <f t="shared" si="15"/>
        <v>-5</v>
      </c>
      <c r="K116" s="33">
        <f t="shared" si="11"/>
        <v>-50</v>
      </c>
      <c r="L116" s="33"/>
      <c r="M116" s="35">
        <f t="shared" si="12"/>
        <v>0</v>
      </c>
      <c r="N116" s="35">
        <f t="shared" si="13"/>
        <v>0</v>
      </c>
    </row>
    <row r="117" spans="1:14" x14ac:dyDescent="0.25">
      <c r="A117" s="54">
        <f t="shared" si="14"/>
        <v>0</v>
      </c>
      <c r="G117" s="11"/>
      <c r="H117" s="33">
        <v>112</v>
      </c>
      <c r="I117" s="34" t="str">
        <f t="shared" si="10"/>
        <v/>
      </c>
      <c r="J117" s="33">
        <f t="shared" si="15"/>
        <v>-5</v>
      </c>
      <c r="K117" s="33">
        <f t="shared" si="11"/>
        <v>-50</v>
      </c>
      <c r="L117" s="33"/>
      <c r="M117" s="35">
        <f t="shared" si="12"/>
        <v>0</v>
      </c>
      <c r="N117" s="35">
        <f t="shared" si="13"/>
        <v>0</v>
      </c>
    </row>
    <row r="118" spans="1:14" x14ac:dyDescent="0.25">
      <c r="A118" s="54">
        <f t="shared" si="14"/>
        <v>0</v>
      </c>
      <c r="G118" s="11"/>
      <c r="H118" s="33">
        <v>113</v>
      </c>
      <c r="I118" s="34" t="str">
        <f t="shared" si="10"/>
        <v/>
      </c>
      <c r="J118" s="33">
        <f t="shared" si="15"/>
        <v>-5</v>
      </c>
      <c r="K118" s="33">
        <f t="shared" si="11"/>
        <v>-50</v>
      </c>
      <c r="L118" s="33"/>
      <c r="M118" s="35">
        <f t="shared" si="12"/>
        <v>0</v>
      </c>
      <c r="N118" s="35">
        <f t="shared" si="13"/>
        <v>0</v>
      </c>
    </row>
    <row r="119" spans="1:14" x14ac:dyDescent="0.25">
      <c r="A119" s="54">
        <f t="shared" si="14"/>
        <v>0</v>
      </c>
      <c r="G119" s="11"/>
      <c r="H119" s="33">
        <v>114</v>
      </c>
      <c r="I119" s="34" t="str">
        <f t="shared" si="10"/>
        <v/>
      </c>
      <c r="J119" s="33">
        <f t="shared" si="15"/>
        <v>-5</v>
      </c>
      <c r="K119" s="33">
        <f t="shared" si="11"/>
        <v>-50</v>
      </c>
      <c r="L119" s="33"/>
      <c r="M119" s="35">
        <f t="shared" si="12"/>
        <v>0</v>
      </c>
      <c r="N119" s="35">
        <f t="shared" si="13"/>
        <v>0</v>
      </c>
    </row>
    <row r="120" spans="1:14" x14ac:dyDescent="0.25">
      <c r="A120" s="54">
        <f t="shared" si="14"/>
        <v>0</v>
      </c>
      <c r="G120" s="11"/>
      <c r="H120" s="33">
        <v>115</v>
      </c>
      <c r="I120" s="34" t="str">
        <f t="shared" si="10"/>
        <v/>
      </c>
      <c r="J120" s="33">
        <f t="shared" si="15"/>
        <v>-5</v>
      </c>
      <c r="K120" s="33">
        <f t="shared" si="11"/>
        <v>-50</v>
      </c>
      <c r="L120" s="33"/>
      <c r="M120" s="35">
        <f t="shared" si="12"/>
        <v>0</v>
      </c>
      <c r="N120" s="35">
        <f t="shared" si="13"/>
        <v>0</v>
      </c>
    </row>
    <row r="121" spans="1:14" x14ac:dyDescent="0.25">
      <c r="A121" s="54">
        <f t="shared" si="14"/>
        <v>0</v>
      </c>
      <c r="G121" s="11"/>
      <c r="H121" s="33">
        <v>116</v>
      </c>
      <c r="I121" s="34" t="str">
        <f t="shared" si="10"/>
        <v/>
      </c>
      <c r="J121" s="33">
        <f t="shared" si="15"/>
        <v>-5</v>
      </c>
      <c r="K121" s="33">
        <f t="shared" si="11"/>
        <v>-50</v>
      </c>
      <c r="L121" s="33"/>
      <c r="M121" s="35">
        <f t="shared" si="12"/>
        <v>0</v>
      </c>
      <c r="N121" s="35">
        <f t="shared" si="13"/>
        <v>0</v>
      </c>
    </row>
    <row r="122" spans="1:14" x14ac:dyDescent="0.25">
      <c r="A122" s="54">
        <f t="shared" si="14"/>
        <v>0</v>
      </c>
      <c r="G122" s="11"/>
      <c r="H122" s="33">
        <v>117</v>
      </c>
      <c r="I122" s="34" t="str">
        <f t="shared" si="10"/>
        <v/>
      </c>
      <c r="J122" s="33">
        <f t="shared" si="15"/>
        <v>-5</v>
      </c>
      <c r="K122" s="33">
        <f t="shared" si="11"/>
        <v>-50</v>
      </c>
      <c r="L122" s="33"/>
      <c r="M122" s="35">
        <f t="shared" si="12"/>
        <v>0</v>
      </c>
      <c r="N122" s="35">
        <f t="shared" si="13"/>
        <v>0</v>
      </c>
    </row>
    <row r="123" spans="1:14" x14ac:dyDescent="0.25">
      <c r="A123" s="54">
        <f t="shared" si="14"/>
        <v>0</v>
      </c>
      <c r="G123" s="11"/>
      <c r="H123" s="33">
        <v>118</v>
      </c>
      <c r="I123" s="34" t="str">
        <f t="shared" si="10"/>
        <v/>
      </c>
      <c r="J123" s="33">
        <f t="shared" si="15"/>
        <v>-5</v>
      </c>
      <c r="K123" s="33">
        <f t="shared" si="11"/>
        <v>-50</v>
      </c>
      <c r="L123" s="33"/>
      <c r="M123" s="35">
        <f t="shared" si="12"/>
        <v>0</v>
      </c>
      <c r="N123" s="35">
        <f t="shared" si="13"/>
        <v>0</v>
      </c>
    </row>
    <row r="124" spans="1:14" x14ac:dyDescent="0.25">
      <c r="A124" s="54">
        <f t="shared" si="14"/>
        <v>0</v>
      </c>
      <c r="G124" s="11"/>
      <c r="H124" s="33">
        <v>119</v>
      </c>
      <c r="I124" s="34" t="str">
        <f t="shared" si="10"/>
        <v/>
      </c>
      <c r="J124" s="33">
        <f t="shared" si="15"/>
        <v>-5</v>
      </c>
      <c r="K124" s="33">
        <f t="shared" si="11"/>
        <v>-50</v>
      </c>
      <c r="L124" s="33"/>
      <c r="M124" s="35">
        <f t="shared" si="12"/>
        <v>0</v>
      </c>
      <c r="N124" s="35">
        <f t="shared" si="13"/>
        <v>0</v>
      </c>
    </row>
    <row r="125" spans="1:14" x14ac:dyDescent="0.25">
      <c r="A125" s="54">
        <f t="shared" si="14"/>
        <v>0</v>
      </c>
      <c r="G125" s="11"/>
      <c r="H125" s="33">
        <v>120</v>
      </c>
      <c r="I125" s="34" t="str">
        <f t="shared" si="10"/>
        <v/>
      </c>
      <c r="J125" s="33">
        <f t="shared" si="15"/>
        <v>-5</v>
      </c>
      <c r="K125" s="33">
        <f t="shared" si="11"/>
        <v>-50</v>
      </c>
      <c r="L125" s="33"/>
      <c r="M125" s="35">
        <f t="shared" si="12"/>
        <v>0</v>
      </c>
      <c r="N125" s="35">
        <f t="shared" si="13"/>
        <v>0</v>
      </c>
    </row>
    <row r="126" spans="1:14" x14ac:dyDescent="0.25">
      <c r="A126" s="54">
        <f t="shared" si="14"/>
        <v>0</v>
      </c>
      <c r="G126" s="11"/>
      <c r="H126" s="33">
        <v>121</v>
      </c>
      <c r="I126" s="34" t="str">
        <f t="shared" si="10"/>
        <v/>
      </c>
      <c r="J126" s="33">
        <f t="shared" si="15"/>
        <v>-5</v>
      </c>
      <c r="K126" s="33">
        <f t="shared" si="11"/>
        <v>-50</v>
      </c>
      <c r="L126" s="33"/>
      <c r="M126" s="35">
        <f t="shared" si="12"/>
        <v>0</v>
      </c>
      <c r="N126" s="35">
        <f t="shared" si="13"/>
        <v>0</v>
      </c>
    </row>
    <row r="127" spans="1:14" x14ac:dyDescent="0.25">
      <c r="A127" s="54">
        <f t="shared" si="14"/>
        <v>0</v>
      </c>
      <c r="G127" s="11"/>
      <c r="H127" s="33">
        <v>122</v>
      </c>
      <c r="I127" s="34" t="str">
        <f t="shared" si="10"/>
        <v/>
      </c>
      <c r="J127" s="33">
        <f t="shared" si="15"/>
        <v>-5</v>
      </c>
      <c r="K127" s="33">
        <f t="shared" si="11"/>
        <v>-50</v>
      </c>
      <c r="L127" s="33"/>
      <c r="M127" s="35">
        <f t="shared" si="12"/>
        <v>0</v>
      </c>
      <c r="N127" s="35">
        <f t="shared" si="13"/>
        <v>0</v>
      </c>
    </row>
    <row r="128" spans="1:14" x14ac:dyDescent="0.25">
      <c r="A128" s="54">
        <f t="shared" si="14"/>
        <v>0</v>
      </c>
      <c r="G128" s="11"/>
      <c r="H128" s="33">
        <v>123</v>
      </c>
      <c r="I128" s="34" t="str">
        <f t="shared" si="10"/>
        <v/>
      </c>
      <c r="J128" s="33">
        <f t="shared" si="15"/>
        <v>-5</v>
      </c>
      <c r="K128" s="33">
        <f t="shared" si="11"/>
        <v>-50</v>
      </c>
      <c r="L128" s="33"/>
      <c r="M128" s="35">
        <f t="shared" si="12"/>
        <v>0</v>
      </c>
      <c r="N128" s="35">
        <f t="shared" si="13"/>
        <v>0</v>
      </c>
    </row>
    <row r="129" spans="1:14" x14ac:dyDescent="0.25">
      <c r="A129" s="54">
        <f t="shared" si="14"/>
        <v>0</v>
      </c>
      <c r="G129" s="11"/>
      <c r="H129" s="33">
        <v>124</v>
      </c>
      <c r="I129" s="34" t="str">
        <f t="shared" si="10"/>
        <v/>
      </c>
      <c r="J129" s="33">
        <f t="shared" si="15"/>
        <v>-5</v>
      </c>
      <c r="K129" s="33">
        <f t="shared" si="11"/>
        <v>-50</v>
      </c>
      <c r="L129" s="33"/>
      <c r="M129" s="35">
        <f t="shared" si="12"/>
        <v>0</v>
      </c>
      <c r="N129" s="35">
        <f t="shared" si="13"/>
        <v>0</v>
      </c>
    </row>
    <row r="130" spans="1:14" x14ac:dyDescent="0.25">
      <c r="A130" s="54">
        <f t="shared" si="14"/>
        <v>0</v>
      </c>
      <c r="G130" s="11"/>
      <c r="H130" s="33">
        <v>125</v>
      </c>
      <c r="I130" s="34" t="str">
        <f t="shared" si="10"/>
        <v/>
      </c>
      <c r="J130" s="33">
        <f t="shared" si="15"/>
        <v>-5</v>
      </c>
      <c r="K130" s="33">
        <f t="shared" si="11"/>
        <v>-50</v>
      </c>
      <c r="L130" s="33"/>
      <c r="M130" s="35">
        <f t="shared" si="12"/>
        <v>0</v>
      </c>
      <c r="N130" s="35">
        <f t="shared" si="13"/>
        <v>0</v>
      </c>
    </row>
    <row r="131" spans="1:14" x14ac:dyDescent="0.25">
      <c r="A131" s="54">
        <f t="shared" si="14"/>
        <v>0</v>
      </c>
      <c r="G131" s="11"/>
      <c r="H131" s="33">
        <v>126</v>
      </c>
      <c r="I131" s="34" t="str">
        <f t="shared" si="10"/>
        <v/>
      </c>
      <c r="J131" s="33">
        <f t="shared" si="15"/>
        <v>-5</v>
      </c>
      <c r="K131" s="33">
        <f t="shared" si="11"/>
        <v>-50</v>
      </c>
      <c r="L131" s="33"/>
      <c r="M131" s="35">
        <f t="shared" si="12"/>
        <v>0</v>
      </c>
      <c r="N131" s="35">
        <f t="shared" si="13"/>
        <v>0</v>
      </c>
    </row>
    <row r="132" spans="1:14" x14ac:dyDescent="0.25">
      <c r="A132" s="54">
        <f t="shared" si="14"/>
        <v>0</v>
      </c>
      <c r="G132" s="11"/>
      <c r="H132" s="33">
        <v>127</v>
      </c>
      <c r="I132" s="34" t="str">
        <f t="shared" si="10"/>
        <v/>
      </c>
      <c r="J132" s="33">
        <f t="shared" si="15"/>
        <v>-5</v>
      </c>
      <c r="K132" s="33">
        <f t="shared" si="11"/>
        <v>-50</v>
      </c>
      <c r="L132" s="33"/>
      <c r="M132" s="35">
        <f t="shared" si="12"/>
        <v>0</v>
      </c>
      <c r="N132" s="35">
        <f t="shared" si="13"/>
        <v>0</v>
      </c>
    </row>
    <row r="133" spans="1:14" x14ac:dyDescent="0.25">
      <c r="A133" s="54">
        <f t="shared" si="14"/>
        <v>0</v>
      </c>
      <c r="G133" s="11"/>
      <c r="H133" s="33">
        <v>128</v>
      </c>
      <c r="I133" s="34" t="str">
        <f t="shared" si="10"/>
        <v/>
      </c>
      <c r="J133" s="33">
        <f t="shared" si="15"/>
        <v>-5</v>
      </c>
      <c r="K133" s="33">
        <f t="shared" si="11"/>
        <v>-50</v>
      </c>
      <c r="L133" s="33"/>
      <c r="M133" s="35">
        <f t="shared" si="12"/>
        <v>0</v>
      </c>
      <c r="N133" s="35">
        <f t="shared" si="13"/>
        <v>0</v>
      </c>
    </row>
    <row r="134" spans="1:14" x14ac:dyDescent="0.25">
      <c r="A134" s="54">
        <f t="shared" si="14"/>
        <v>0</v>
      </c>
      <c r="G134" s="11"/>
      <c r="H134" s="33">
        <v>129</v>
      </c>
      <c r="I134" s="34" t="str">
        <f t="shared" ref="I134:I197" si="16">IF(H134&lt;$H$2+1,($I$2-($I$2-1)*(LOG(H134)/LOG($H$2))),"")</f>
        <v/>
      </c>
      <c r="J134" s="33">
        <f t="shared" si="15"/>
        <v>-6</v>
      </c>
      <c r="K134" s="33">
        <f t="shared" ref="K134:K197" si="17">J134*$J$2</f>
        <v>-60</v>
      </c>
      <c r="L134" s="33"/>
      <c r="M134" s="35">
        <f t="shared" ref="M134:M197" si="18">IF(I134&lt;&gt;"",K134+I134+L134,0)</f>
        <v>0</v>
      </c>
      <c r="N134" s="35">
        <f t="shared" ref="N134:N197" si="19">IF(I134&lt;&gt;"",M134*L$2,0)</f>
        <v>0</v>
      </c>
    </row>
    <row r="135" spans="1:14" x14ac:dyDescent="0.25">
      <c r="A135" s="54">
        <f t="shared" ref="A135:A198" si="20">N135</f>
        <v>0</v>
      </c>
      <c r="G135" s="11"/>
      <c r="H135" s="33">
        <v>130</v>
      </c>
      <c r="I135" s="34" t="str">
        <f t="shared" si="16"/>
        <v/>
      </c>
      <c r="J135" s="33">
        <f t="shared" ref="J135:J198" si="21">INT(LOG($H$2,2))-ROUNDUP(LOG(H135,2),0)+IF(OR($H$2=1,$H$2=2,$H$2=4,$H$2=8,$H$2=16,$H$2=32,$H$2=64,$H$2=128,$H$2=256),0,1)</f>
        <v>-6</v>
      </c>
      <c r="K135" s="33">
        <f t="shared" si="17"/>
        <v>-60</v>
      </c>
      <c r="L135" s="33"/>
      <c r="M135" s="35">
        <f t="shared" si="18"/>
        <v>0</v>
      </c>
      <c r="N135" s="35">
        <f t="shared" si="19"/>
        <v>0</v>
      </c>
    </row>
    <row r="136" spans="1:14" x14ac:dyDescent="0.25">
      <c r="A136" s="54">
        <f t="shared" si="20"/>
        <v>0</v>
      </c>
      <c r="G136" s="11"/>
      <c r="H136" s="33">
        <v>131</v>
      </c>
      <c r="I136" s="34" t="str">
        <f t="shared" si="16"/>
        <v/>
      </c>
      <c r="J136" s="33">
        <f t="shared" si="21"/>
        <v>-6</v>
      </c>
      <c r="K136" s="33">
        <f t="shared" si="17"/>
        <v>-60</v>
      </c>
      <c r="L136" s="33"/>
      <c r="M136" s="35">
        <f t="shared" si="18"/>
        <v>0</v>
      </c>
      <c r="N136" s="35">
        <f t="shared" si="19"/>
        <v>0</v>
      </c>
    </row>
    <row r="137" spans="1:14" x14ac:dyDescent="0.25">
      <c r="A137" s="54">
        <f t="shared" si="20"/>
        <v>0</v>
      </c>
      <c r="G137" s="11"/>
      <c r="H137" s="33">
        <v>132</v>
      </c>
      <c r="I137" s="34" t="str">
        <f t="shared" si="16"/>
        <v/>
      </c>
      <c r="J137" s="33">
        <f t="shared" si="21"/>
        <v>-6</v>
      </c>
      <c r="K137" s="33">
        <f t="shared" si="17"/>
        <v>-60</v>
      </c>
      <c r="L137" s="33"/>
      <c r="M137" s="35">
        <f t="shared" si="18"/>
        <v>0</v>
      </c>
      <c r="N137" s="35">
        <f t="shared" si="19"/>
        <v>0</v>
      </c>
    </row>
    <row r="138" spans="1:14" x14ac:dyDescent="0.25">
      <c r="A138" s="54">
        <f t="shared" si="20"/>
        <v>0</v>
      </c>
      <c r="G138" s="11"/>
      <c r="H138" s="33">
        <v>133</v>
      </c>
      <c r="I138" s="34" t="str">
        <f t="shared" si="16"/>
        <v/>
      </c>
      <c r="J138" s="33">
        <f t="shared" si="21"/>
        <v>-6</v>
      </c>
      <c r="K138" s="33">
        <f t="shared" si="17"/>
        <v>-60</v>
      </c>
      <c r="L138" s="33"/>
      <c r="M138" s="35">
        <f t="shared" si="18"/>
        <v>0</v>
      </c>
      <c r="N138" s="35">
        <f t="shared" si="19"/>
        <v>0</v>
      </c>
    </row>
    <row r="139" spans="1:14" x14ac:dyDescent="0.25">
      <c r="A139" s="54">
        <f t="shared" si="20"/>
        <v>0</v>
      </c>
      <c r="G139" s="11"/>
      <c r="H139" s="33">
        <v>134</v>
      </c>
      <c r="I139" s="34" t="str">
        <f t="shared" si="16"/>
        <v/>
      </c>
      <c r="J139" s="33">
        <f t="shared" si="21"/>
        <v>-6</v>
      </c>
      <c r="K139" s="33">
        <f t="shared" si="17"/>
        <v>-60</v>
      </c>
      <c r="L139" s="33"/>
      <c r="M139" s="35">
        <f t="shared" si="18"/>
        <v>0</v>
      </c>
      <c r="N139" s="35">
        <f t="shared" si="19"/>
        <v>0</v>
      </c>
    </row>
    <row r="140" spans="1:14" x14ac:dyDescent="0.25">
      <c r="A140" s="54">
        <f t="shared" si="20"/>
        <v>0</v>
      </c>
      <c r="G140" s="11"/>
      <c r="H140" s="33">
        <v>135</v>
      </c>
      <c r="I140" s="34" t="str">
        <f t="shared" si="16"/>
        <v/>
      </c>
      <c r="J140" s="33">
        <f t="shared" si="21"/>
        <v>-6</v>
      </c>
      <c r="K140" s="33">
        <f t="shared" si="17"/>
        <v>-60</v>
      </c>
      <c r="L140" s="33"/>
      <c r="M140" s="35">
        <f t="shared" si="18"/>
        <v>0</v>
      </c>
      <c r="N140" s="35">
        <f t="shared" si="19"/>
        <v>0</v>
      </c>
    </row>
    <row r="141" spans="1:14" x14ac:dyDescent="0.25">
      <c r="A141" s="54">
        <f t="shared" si="20"/>
        <v>0</v>
      </c>
      <c r="G141" s="11"/>
      <c r="H141" s="33">
        <v>136</v>
      </c>
      <c r="I141" s="34" t="str">
        <f t="shared" si="16"/>
        <v/>
      </c>
      <c r="J141" s="33">
        <f t="shared" si="21"/>
        <v>-6</v>
      </c>
      <c r="K141" s="33">
        <f t="shared" si="17"/>
        <v>-60</v>
      </c>
      <c r="L141" s="33"/>
      <c r="M141" s="35">
        <f t="shared" si="18"/>
        <v>0</v>
      </c>
      <c r="N141" s="35">
        <f t="shared" si="19"/>
        <v>0</v>
      </c>
    </row>
    <row r="142" spans="1:14" x14ac:dyDescent="0.25">
      <c r="A142" s="54">
        <f t="shared" si="20"/>
        <v>0</v>
      </c>
      <c r="G142" s="11"/>
      <c r="H142" s="33">
        <v>137</v>
      </c>
      <c r="I142" s="34" t="str">
        <f t="shared" si="16"/>
        <v/>
      </c>
      <c r="J142" s="33">
        <f t="shared" si="21"/>
        <v>-6</v>
      </c>
      <c r="K142" s="33">
        <f t="shared" si="17"/>
        <v>-60</v>
      </c>
      <c r="L142" s="33"/>
      <c r="M142" s="35">
        <f t="shared" si="18"/>
        <v>0</v>
      </c>
      <c r="N142" s="35">
        <f t="shared" si="19"/>
        <v>0</v>
      </c>
    </row>
    <row r="143" spans="1:14" x14ac:dyDescent="0.25">
      <c r="A143" s="54">
        <f t="shared" si="20"/>
        <v>0</v>
      </c>
      <c r="G143" s="11"/>
      <c r="H143" s="33">
        <v>138</v>
      </c>
      <c r="I143" s="34" t="str">
        <f t="shared" si="16"/>
        <v/>
      </c>
      <c r="J143" s="33">
        <f t="shared" si="21"/>
        <v>-6</v>
      </c>
      <c r="K143" s="33">
        <f t="shared" si="17"/>
        <v>-60</v>
      </c>
      <c r="L143" s="33"/>
      <c r="M143" s="35">
        <f t="shared" si="18"/>
        <v>0</v>
      </c>
      <c r="N143" s="35">
        <f t="shared" si="19"/>
        <v>0</v>
      </c>
    </row>
    <row r="144" spans="1:14" x14ac:dyDescent="0.25">
      <c r="A144" s="54">
        <f t="shared" si="20"/>
        <v>0</v>
      </c>
      <c r="G144" s="11"/>
      <c r="H144" s="33">
        <v>139</v>
      </c>
      <c r="I144" s="34" t="str">
        <f t="shared" si="16"/>
        <v/>
      </c>
      <c r="J144" s="33">
        <f t="shared" si="21"/>
        <v>-6</v>
      </c>
      <c r="K144" s="33">
        <f t="shared" si="17"/>
        <v>-60</v>
      </c>
      <c r="L144" s="33"/>
      <c r="M144" s="35">
        <f t="shared" si="18"/>
        <v>0</v>
      </c>
      <c r="N144" s="35">
        <f t="shared" si="19"/>
        <v>0</v>
      </c>
    </row>
    <row r="145" spans="1:14" x14ac:dyDescent="0.25">
      <c r="A145" s="54">
        <f t="shared" si="20"/>
        <v>0</v>
      </c>
      <c r="G145" s="11"/>
      <c r="H145" s="33">
        <v>140</v>
      </c>
      <c r="I145" s="34" t="str">
        <f t="shared" si="16"/>
        <v/>
      </c>
      <c r="J145" s="33">
        <f t="shared" si="21"/>
        <v>-6</v>
      </c>
      <c r="K145" s="33">
        <f t="shared" si="17"/>
        <v>-60</v>
      </c>
      <c r="L145" s="33"/>
      <c r="M145" s="35">
        <f t="shared" si="18"/>
        <v>0</v>
      </c>
      <c r="N145" s="35">
        <f t="shared" si="19"/>
        <v>0</v>
      </c>
    </row>
    <row r="146" spans="1:14" x14ac:dyDescent="0.25">
      <c r="A146" s="54">
        <f t="shared" si="20"/>
        <v>0</v>
      </c>
      <c r="G146" s="11"/>
      <c r="H146" s="33">
        <v>141</v>
      </c>
      <c r="I146" s="34" t="str">
        <f t="shared" si="16"/>
        <v/>
      </c>
      <c r="J146" s="33">
        <f t="shared" si="21"/>
        <v>-6</v>
      </c>
      <c r="K146" s="33">
        <f t="shared" si="17"/>
        <v>-60</v>
      </c>
      <c r="L146" s="33"/>
      <c r="M146" s="35">
        <f t="shared" si="18"/>
        <v>0</v>
      </c>
      <c r="N146" s="35">
        <f t="shared" si="19"/>
        <v>0</v>
      </c>
    </row>
    <row r="147" spans="1:14" x14ac:dyDescent="0.25">
      <c r="A147" s="54">
        <f t="shared" si="20"/>
        <v>0</v>
      </c>
      <c r="G147" s="11"/>
      <c r="H147" s="33">
        <v>142</v>
      </c>
      <c r="I147" s="34" t="str">
        <f t="shared" si="16"/>
        <v/>
      </c>
      <c r="J147" s="33">
        <f t="shared" si="21"/>
        <v>-6</v>
      </c>
      <c r="K147" s="33">
        <f t="shared" si="17"/>
        <v>-60</v>
      </c>
      <c r="L147" s="33"/>
      <c r="M147" s="35">
        <f t="shared" si="18"/>
        <v>0</v>
      </c>
      <c r="N147" s="35">
        <f t="shared" si="19"/>
        <v>0</v>
      </c>
    </row>
    <row r="148" spans="1:14" x14ac:dyDescent="0.25">
      <c r="A148" s="54">
        <f t="shared" si="20"/>
        <v>0</v>
      </c>
      <c r="G148" s="11"/>
      <c r="H148" s="33">
        <v>143</v>
      </c>
      <c r="I148" s="34" t="str">
        <f t="shared" si="16"/>
        <v/>
      </c>
      <c r="J148" s="33">
        <f t="shared" si="21"/>
        <v>-6</v>
      </c>
      <c r="K148" s="33">
        <f t="shared" si="17"/>
        <v>-60</v>
      </c>
      <c r="L148" s="33"/>
      <c r="M148" s="35">
        <f t="shared" si="18"/>
        <v>0</v>
      </c>
      <c r="N148" s="35">
        <f t="shared" si="19"/>
        <v>0</v>
      </c>
    </row>
    <row r="149" spans="1:14" x14ac:dyDescent="0.25">
      <c r="A149" s="54">
        <f t="shared" si="20"/>
        <v>0</v>
      </c>
      <c r="G149" s="11"/>
      <c r="H149" s="33">
        <v>144</v>
      </c>
      <c r="I149" s="34" t="str">
        <f t="shared" si="16"/>
        <v/>
      </c>
      <c r="J149" s="33">
        <f t="shared" si="21"/>
        <v>-6</v>
      </c>
      <c r="K149" s="33">
        <f t="shared" si="17"/>
        <v>-60</v>
      </c>
      <c r="L149" s="33"/>
      <c r="M149" s="35">
        <f t="shared" si="18"/>
        <v>0</v>
      </c>
      <c r="N149" s="35">
        <f t="shared" si="19"/>
        <v>0</v>
      </c>
    </row>
    <row r="150" spans="1:14" x14ac:dyDescent="0.25">
      <c r="A150" s="54">
        <f t="shared" si="20"/>
        <v>0</v>
      </c>
      <c r="G150" s="11"/>
      <c r="H150" s="33">
        <v>145</v>
      </c>
      <c r="I150" s="34" t="str">
        <f t="shared" si="16"/>
        <v/>
      </c>
      <c r="J150" s="33">
        <f t="shared" si="21"/>
        <v>-6</v>
      </c>
      <c r="K150" s="33">
        <f t="shared" si="17"/>
        <v>-60</v>
      </c>
      <c r="L150" s="33"/>
      <c r="M150" s="35">
        <f t="shared" si="18"/>
        <v>0</v>
      </c>
      <c r="N150" s="35">
        <f t="shared" si="19"/>
        <v>0</v>
      </c>
    </row>
    <row r="151" spans="1:14" x14ac:dyDescent="0.25">
      <c r="A151" s="54">
        <f t="shared" si="20"/>
        <v>0</v>
      </c>
      <c r="G151" s="11"/>
      <c r="H151" s="33">
        <v>146</v>
      </c>
      <c r="I151" s="34" t="str">
        <f t="shared" si="16"/>
        <v/>
      </c>
      <c r="J151" s="33">
        <f t="shared" si="21"/>
        <v>-6</v>
      </c>
      <c r="K151" s="33">
        <f t="shared" si="17"/>
        <v>-60</v>
      </c>
      <c r="L151" s="33"/>
      <c r="M151" s="35">
        <f t="shared" si="18"/>
        <v>0</v>
      </c>
      <c r="N151" s="35">
        <f t="shared" si="19"/>
        <v>0</v>
      </c>
    </row>
    <row r="152" spans="1:14" x14ac:dyDescent="0.25">
      <c r="A152" s="54">
        <f t="shared" si="20"/>
        <v>0</v>
      </c>
      <c r="G152" s="11"/>
      <c r="H152" s="33">
        <v>147</v>
      </c>
      <c r="I152" s="34" t="str">
        <f t="shared" si="16"/>
        <v/>
      </c>
      <c r="J152" s="33">
        <f t="shared" si="21"/>
        <v>-6</v>
      </c>
      <c r="K152" s="33">
        <f t="shared" si="17"/>
        <v>-60</v>
      </c>
      <c r="L152" s="33"/>
      <c r="M152" s="35">
        <f t="shared" si="18"/>
        <v>0</v>
      </c>
      <c r="N152" s="35">
        <f t="shared" si="19"/>
        <v>0</v>
      </c>
    </row>
    <row r="153" spans="1:14" x14ac:dyDescent="0.25">
      <c r="A153" s="54">
        <f t="shared" si="20"/>
        <v>0</v>
      </c>
      <c r="G153" s="11"/>
      <c r="H153" s="33">
        <v>148</v>
      </c>
      <c r="I153" s="34" t="str">
        <f t="shared" si="16"/>
        <v/>
      </c>
      <c r="J153" s="33">
        <f t="shared" si="21"/>
        <v>-6</v>
      </c>
      <c r="K153" s="33">
        <f t="shared" si="17"/>
        <v>-60</v>
      </c>
      <c r="L153" s="33"/>
      <c r="M153" s="35">
        <f t="shared" si="18"/>
        <v>0</v>
      </c>
      <c r="N153" s="35">
        <f t="shared" si="19"/>
        <v>0</v>
      </c>
    </row>
    <row r="154" spans="1:14" x14ac:dyDescent="0.25">
      <c r="A154" s="54">
        <f t="shared" si="20"/>
        <v>0</v>
      </c>
      <c r="G154" s="11"/>
      <c r="H154" s="33">
        <v>149</v>
      </c>
      <c r="I154" s="34" t="str">
        <f t="shared" si="16"/>
        <v/>
      </c>
      <c r="J154" s="33">
        <f t="shared" si="21"/>
        <v>-6</v>
      </c>
      <c r="K154" s="33">
        <f t="shared" si="17"/>
        <v>-60</v>
      </c>
      <c r="L154" s="33"/>
      <c r="M154" s="35">
        <f t="shared" si="18"/>
        <v>0</v>
      </c>
      <c r="N154" s="35">
        <f t="shared" si="19"/>
        <v>0</v>
      </c>
    </row>
    <row r="155" spans="1:14" x14ac:dyDescent="0.25">
      <c r="A155" s="54">
        <f t="shared" si="20"/>
        <v>0</v>
      </c>
      <c r="G155" s="11"/>
      <c r="H155" s="33">
        <v>150</v>
      </c>
      <c r="I155" s="34" t="str">
        <f t="shared" si="16"/>
        <v/>
      </c>
      <c r="J155" s="33">
        <f t="shared" si="21"/>
        <v>-6</v>
      </c>
      <c r="K155" s="33">
        <f t="shared" si="17"/>
        <v>-60</v>
      </c>
      <c r="L155" s="33"/>
      <c r="M155" s="35">
        <f t="shared" si="18"/>
        <v>0</v>
      </c>
      <c r="N155" s="35">
        <f t="shared" si="19"/>
        <v>0</v>
      </c>
    </row>
    <row r="156" spans="1:14" x14ac:dyDescent="0.25">
      <c r="A156" s="54">
        <f t="shared" si="20"/>
        <v>0</v>
      </c>
      <c r="G156" s="11"/>
      <c r="H156" s="33">
        <v>151</v>
      </c>
      <c r="I156" s="34" t="str">
        <f t="shared" si="16"/>
        <v/>
      </c>
      <c r="J156" s="33">
        <f t="shared" si="21"/>
        <v>-6</v>
      </c>
      <c r="K156" s="33">
        <f t="shared" si="17"/>
        <v>-60</v>
      </c>
      <c r="L156" s="33"/>
      <c r="M156" s="35">
        <f t="shared" si="18"/>
        <v>0</v>
      </c>
      <c r="N156" s="35">
        <f t="shared" si="19"/>
        <v>0</v>
      </c>
    </row>
    <row r="157" spans="1:14" x14ac:dyDescent="0.25">
      <c r="A157" s="54">
        <f t="shared" si="20"/>
        <v>0</v>
      </c>
      <c r="G157" s="11"/>
      <c r="H157" s="33">
        <v>152</v>
      </c>
      <c r="I157" s="34" t="str">
        <f t="shared" si="16"/>
        <v/>
      </c>
      <c r="J157" s="33">
        <f t="shared" si="21"/>
        <v>-6</v>
      </c>
      <c r="K157" s="33">
        <f t="shared" si="17"/>
        <v>-60</v>
      </c>
      <c r="L157" s="33"/>
      <c r="M157" s="35">
        <f t="shared" si="18"/>
        <v>0</v>
      </c>
      <c r="N157" s="35">
        <f t="shared" si="19"/>
        <v>0</v>
      </c>
    </row>
    <row r="158" spans="1:14" x14ac:dyDescent="0.25">
      <c r="A158" s="54">
        <f t="shared" si="20"/>
        <v>0</v>
      </c>
      <c r="G158" s="11"/>
      <c r="H158" s="33">
        <v>153</v>
      </c>
      <c r="I158" s="34" t="str">
        <f t="shared" si="16"/>
        <v/>
      </c>
      <c r="J158" s="33">
        <f t="shared" si="21"/>
        <v>-6</v>
      </c>
      <c r="K158" s="33">
        <f t="shared" si="17"/>
        <v>-60</v>
      </c>
      <c r="L158" s="33"/>
      <c r="M158" s="35">
        <f t="shared" si="18"/>
        <v>0</v>
      </c>
      <c r="N158" s="35">
        <f t="shared" si="19"/>
        <v>0</v>
      </c>
    </row>
    <row r="159" spans="1:14" x14ac:dyDescent="0.25">
      <c r="A159" s="54">
        <f t="shared" si="20"/>
        <v>0</v>
      </c>
      <c r="G159" s="11"/>
      <c r="H159" s="33">
        <v>154</v>
      </c>
      <c r="I159" s="34" t="str">
        <f t="shared" si="16"/>
        <v/>
      </c>
      <c r="J159" s="33">
        <f t="shared" si="21"/>
        <v>-6</v>
      </c>
      <c r="K159" s="33">
        <f t="shared" si="17"/>
        <v>-60</v>
      </c>
      <c r="L159" s="33"/>
      <c r="M159" s="35">
        <f t="shared" si="18"/>
        <v>0</v>
      </c>
      <c r="N159" s="35">
        <f t="shared" si="19"/>
        <v>0</v>
      </c>
    </row>
    <row r="160" spans="1:14" x14ac:dyDescent="0.25">
      <c r="A160" s="54">
        <f t="shared" si="20"/>
        <v>0</v>
      </c>
      <c r="G160" s="11"/>
      <c r="H160" s="33">
        <v>155</v>
      </c>
      <c r="I160" s="34" t="str">
        <f t="shared" si="16"/>
        <v/>
      </c>
      <c r="J160" s="33">
        <f t="shared" si="21"/>
        <v>-6</v>
      </c>
      <c r="K160" s="33">
        <f t="shared" si="17"/>
        <v>-60</v>
      </c>
      <c r="L160" s="33"/>
      <c r="M160" s="35">
        <f t="shared" si="18"/>
        <v>0</v>
      </c>
      <c r="N160" s="35">
        <f t="shared" si="19"/>
        <v>0</v>
      </c>
    </row>
    <row r="161" spans="1:14" x14ac:dyDescent="0.25">
      <c r="A161" s="54">
        <f t="shared" si="20"/>
        <v>0</v>
      </c>
      <c r="G161" s="11"/>
      <c r="H161" s="33">
        <v>156</v>
      </c>
      <c r="I161" s="34" t="str">
        <f t="shared" si="16"/>
        <v/>
      </c>
      <c r="J161" s="33">
        <f t="shared" si="21"/>
        <v>-6</v>
      </c>
      <c r="K161" s="33">
        <f t="shared" si="17"/>
        <v>-60</v>
      </c>
      <c r="L161" s="33"/>
      <c r="M161" s="35">
        <f t="shared" si="18"/>
        <v>0</v>
      </c>
      <c r="N161" s="35">
        <f t="shared" si="19"/>
        <v>0</v>
      </c>
    </row>
    <row r="162" spans="1:14" x14ac:dyDescent="0.25">
      <c r="A162" s="54">
        <f t="shared" si="20"/>
        <v>0</v>
      </c>
      <c r="G162" s="11"/>
      <c r="H162" s="33">
        <v>157</v>
      </c>
      <c r="I162" s="34" t="str">
        <f t="shared" si="16"/>
        <v/>
      </c>
      <c r="J162" s="33">
        <f t="shared" si="21"/>
        <v>-6</v>
      </c>
      <c r="K162" s="33">
        <f t="shared" si="17"/>
        <v>-60</v>
      </c>
      <c r="L162" s="33"/>
      <c r="M162" s="35">
        <f t="shared" si="18"/>
        <v>0</v>
      </c>
      <c r="N162" s="35">
        <f t="shared" si="19"/>
        <v>0</v>
      </c>
    </row>
    <row r="163" spans="1:14" x14ac:dyDescent="0.25">
      <c r="A163" s="54">
        <f t="shared" si="20"/>
        <v>0</v>
      </c>
      <c r="G163" s="11"/>
      <c r="H163" s="33">
        <v>158</v>
      </c>
      <c r="I163" s="34" t="str">
        <f t="shared" si="16"/>
        <v/>
      </c>
      <c r="J163" s="33">
        <f t="shared" si="21"/>
        <v>-6</v>
      </c>
      <c r="K163" s="33">
        <f t="shared" si="17"/>
        <v>-60</v>
      </c>
      <c r="L163" s="33"/>
      <c r="M163" s="35">
        <f t="shared" si="18"/>
        <v>0</v>
      </c>
      <c r="N163" s="35">
        <f t="shared" si="19"/>
        <v>0</v>
      </c>
    </row>
    <row r="164" spans="1:14" x14ac:dyDescent="0.25">
      <c r="A164" s="54">
        <f t="shared" si="20"/>
        <v>0</v>
      </c>
      <c r="G164" s="11"/>
      <c r="H164" s="33">
        <v>159</v>
      </c>
      <c r="I164" s="34" t="str">
        <f t="shared" si="16"/>
        <v/>
      </c>
      <c r="J164" s="33">
        <f t="shared" si="21"/>
        <v>-6</v>
      </c>
      <c r="K164" s="33">
        <f t="shared" si="17"/>
        <v>-60</v>
      </c>
      <c r="L164" s="33"/>
      <c r="M164" s="35">
        <f t="shared" si="18"/>
        <v>0</v>
      </c>
      <c r="N164" s="35">
        <f t="shared" si="19"/>
        <v>0</v>
      </c>
    </row>
    <row r="165" spans="1:14" x14ac:dyDescent="0.25">
      <c r="A165" s="54">
        <f t="shared" si="20"/>
        <v>0</v>
      </c>
      <c r="G165" s="11"/>
      <c r="H165" s="33">
        <v>160</v>
      </c>
      <c r="I165" s="34" t="str">
        <f t="shared" si="16"/>
        <v/>
      </c>
      <c r="J165" s="33">
        <f t="shared" si="21"/>
        <v>-6</v>
      </c>
      <c r="K165" s="33">
        <f t="shared" si="17"/>
        <v>-60</v>
      </c>
      <c r="L165" s="33"/>
      <c r="M165" s="35">
        <f t="shared" si="18"/>
        <v>0</v>
      </c>
      <c r="N165" s="35">
        <f t="shared" si="19"/>
        <v>0</v>
      </c>
    </row>
    <row r="166" spans="1:14" x14ac:dyDescent="0.25">
      <c r="A166" s="54">
        <f t="shared" si="20"/>
        <v>0</v>
      </c>
      <c r="G166" s="11"/>
      <c r="H166" s="33">
        <v>161</v>
      </c>
      <c r="I166" s="34" t="str">
        <f t="shared" si="16"/>
        <v/>
      </c>
      <c r="J166" s="33">
        <f t="shared" si="21"/>
        <v>-6</v>
      </c>
      <c r="K166" s="33">
        <f t="shared" si="17"/>
        <v>-60</v>
      </c>
      <c r="L166" s="33"/>
      <c r="M166" s="35">
        <f t="shared" si="18"/>
        <v>0</v>
      </c>
      <c r="N166" s="35">
        <f t="shared" si="19"/>
        <v>0</v>
      </c>
    </row>
    <row r="167" spans="1:14" x14ac:dyDescent="0.25">
      <c r="A167" s="54">
        <f t="shared" si="20"/>
        <v>0</v>
      </c>
      <c r="G167" s="11"/>
      <c r="H167" s="33">
        <v>162</v>
      </c>
      <c r="I167" s="34" t="str">
        <f t="shared" si="16"/>
        <v/>
      </c>
      <c r="J167" s="33">
        <f t="shared" si="21"/>
        <v>-6</v>
      </c>
      <c r="K167" s="33">
        <f t="shared" si="17"/>
        <v>-60</v>
      </c>
      <c r="L167" s="33"/>
      <c r="M167" s="35">
        <f t="shared" si="18"/>
        <v>0</v>
      </c>
      <c r="N167" s="35">
        <f t="shared" si="19"/>
        <v>0</v>
      </c>
    </row>
    <row r="168" spans="1:14" x14ac:dyDescent="0.25">
      <c r="A168" s="54">
        <f t="shared" si="20"/>
        <v>0</v>
      </c>
      <c r="G168" s="11"/>
      <c r="H168" s="33">
        <v>163</v>
      </c>
      <c r="I168" s="34" t="str">
        <f t="shared" si="16"/>
        <v/>
      </c>
      <c r="J168" s="33">
        <f t="shared" si="21"/>
        <v>-6</v>
      </c>
      <c r="K168" s="33">
        <f t="shared" si="17"/>
        <v>-60</v>
      </c>
      <c r="L168" s="33"/>
      <c r="M168" s="35">
        <f t="shared" si="18"/>
        <v>0</v>
      </c>
      <c r="N168" s="35">
        <f t="shared" si="19"/>
        <v>0</v>
      </c>
    </row>
    <row r="169" spans="1:14" x14ac:dyDescent="0.25">
      <c r="A169" s="54">
        <f t="shared" si="20"/>
        <v>0</v>
      </c>
      <c r="G169" s="11"/>
      <c r="H169" s="33">
        <v>164</v>
      </c>
      <c r="I169" s="34" t="str">
        <f t="shared" si="16"/>
        <v/>
      </c>
      <c r="J169" s="33">
        <f t="shared" si="21"/>
        <v>-6</v>
      </c>
      <c r="K169" s="33">
        <f t="shared" si="17"/>
        <v>-60</v>
      </c>
      <c r="L169" s="33"/>
      <c r="M169" s="35">
        <f t="shared" si="18"/>
        <v>0</v>
      </c>
      <c r="N169" s="35">
        <f t="shared" si="19"/>
        <v>0</v>
      </c>
    </row>
    <row r="170" spans="1:14" x14ac:dyDescent="0.25">
      <c r="A170" s="54">
        <f t="shared" si="20"/>
        <v>0</v>
      </c>
      <c r="G170" s="11"/>
      <c r="H170" s="33">
        <v>165</v>
      </c>
      <c r="I170" s="34" t="str">
        <f t="shared" si="16"/>
        <v/>
      </c>
      <c r="J170" s="33">
        <f t="shared" si="21"/>
        <v>-6</v>
      </c>
      <c r="K170" s="33">
        <f t="shared" si="17"/>
        <v>-60</v>
      </c>
      <c r="L170" s="33"/>
      <c r="M170" s="35">
        <f t="shared" si="18"/>
        <v>0</v>
      </c>
      <c r="N170" s="35">
        <f t="shared" si="19"/>
        <v>0</v>
      </c>
    </row>
    <row r="171" spans="1:14" x14ac:dyDescent="0.25">
      <c r="A171" s="54">
        <f t="shared" si="20"/>
        <v>0</v>
      </c>
      <c r="G171" s="11"/>
      <c r="H171" s="33">
        <v>166</v>
      </c>
      <c r="I171" s="34" t="str">
        <f t="shared" si="16"/>
        <v/>
      </c>
      <c r="J171" s="33">
        <f t="shared" si="21"/>
        <v>-6</v>
      </c>
      <c r="K171" s="33">
        <f t="shared" si="17"/>
        <v>-60</v>
      </c>
      <c r="L171" s="33"/>
      <c r="M171" s="35">
        <f t="shared" si="18"/>
        <v>0</v>
      </c>
      <c r="N171" s="35">
        <f t="shared" si="19"/>
        <v>0</v>
      </c>
    </row>
    <row r="172" spans="1:14" x14ac:dyDescent="0.25">
      <c r="A172" s="54">
        <f t="shared" si="20"/>
        <v>0</v>
      </c>
      <c r="G172" s="11"/>
      <c r="H172" s="33">
        <v>167</v>
      </c>
      <c r="I172" s="34" t="str">
        <f t="shared" si="16"/>
        <v/>
      </c>
      <c r="J172" s="33">
        <f t="shared" si="21"/>
        <v>-6</v>
      </c>
      <c r="K172" s="33">
        <f t="shared" si="17"/>
        <v>-60</v>
      </c>
      <c r="L172" s="33"/>
      <c r="M172" s="35">
        <f t="shared" si="18"/>
        <v>0</v>
      </c>
      <c r="N172" s="35">
        <f t="shared" si="19"/>
        <v>0</v>
      </c>
    </row>
    <row r="173" spans="1:14" x14ac:dyDescent="0.25">
      <c r="A173" s="54">
        <f t="shared" si="20"/>
        <v>0</v>
      </c>
      <c r="G173" s="11"/>
      <c r="H173" s="33">
        <v>168</v>
      </c>
      <c r="I173" s="34" t="str">
        <f t="shared" si="16"/>
        <v/>
      </c>
      <c r="J173" s="33">
        <f t="shared" si="21"/>
        <v>-6</v>
      </c>
      <c r="K173" s="33">
        <f t="shared" si="17"/>
        <v>-60</v>
      </c>
      <c r="L173" s="33"/>
      <c r="M173" s="35">
        <f t="shared" si="18"/>
        <v>0</v>
      </c>
      <c r="N173" s="35">
        <f t="shared" si="19"/>
        <v>0</v>
      </c>
    </row>
    <row r="174" spans="1:14" x14ac:dyDescent="0.25">
      <c r="A174" s="54">
        <f t="shared" si="20"/>
        <v>0</v>
      </c>
      <c r="G174" s="11"/>
      <c r="H174" s="33">
        <v>169</v>
      </c>
      <c r="I174" s="34" t="str">
        <f t="shared" si="16"/>
        <v/>
      </c>
      <c r="J174" s="33">
        <f t="shared" si="21"/>
        <v>-6</v>
      </c>
      <c r="K174" s="33">
        <f t="shared" si="17"/>
        <v>-60</v>
      </c>
      <c r="L174" s="33"/>
      <c r="M174" s="35">
        <f t="shared" si="18"/>
        <v>0</v>
      </c>
      <c r="N174" s="35">
        <f t="shared" si="19"/>
        <v>0</v>
      </c>
    </row>
    <row r="175" spans="1:14" x14ac:dyDescent="0.25">
      <c r="A175" s="54">
        <f t="shared" si="20"/>
        <v>0</v>
      </c>
      <c r="G175" s="11"/>
      <c r="H175" s="33">
        <v>170</v>
      </c>
      <c r="I175" s="34" t="str">
        <f t="shared" si="16"/>
        <v/>
      </c>
      <c r="J175" s="33">
        <f t="shared" si="21"/>
        <v>-6</v>
      </c>
      <c r="K175" s="33">
        <f t="shared" si="17"/>
        <v>-60</v>
      </c>
      <c r="L175" s="33"/>
      <c r="M175" s="35">
        <f t="shared" si="18"/>
        <v>0</v>
      </c>
      <c r="N175" s="35">
        <f t="shared" si="19"/>
        <v>0</v>
      </c>
    </row>
    <row r="176" spans="1:14" x14ac:dyDescent="0.25">
      <c r="A176" s="54">
        <f t="shared" si="20"/>
        <v>0</v>
      </c>
      <c r="G176" s="11"/>
      <c r="H176" s="33">
        <v>171</v>
      </c>
      <c r="I176" s="34" t="str">
        <f t="shared" si="16"/>
        <v/>
      </c>
      <c r="J176" s="33">
        <f t="shared" si="21"/>
        <v>-6</v>
      </c>
      <c r="K176" s="33">
        <f t="shared" si="17"/>
        <v>-60</v>
      </c>
      <c r="L176" s="33"/>
      <c r="M176" s="35">
        <f t="shared" si="18"/>
        <v>0</v>
      </c>
      <c r="N176" s="35">
        <f t="shared" si="19"/>
        <v>0</v>
      </c>
    </row>
    <row r="177" spans="1:14" x14ac:dyDescent="0.25">
      <c r="A177" s="54">
        <f t="shared" si="20"/>
        <v>0</v>
      </c>
      <c r="G177" s="11"/>
      <c r="H177" s="33">
        <v>172</v>
      </c>
      <c r="I177" s="34" t="str">
        <f t="shared" si="16"/>
        <v/>
      </c>
      <c r="J177" s="33">
        <f t="shared" si="21"/>
        <v>-6</v>
      </c>
      <c r="K177" s="33">
        <f t="shared" si="17"/>
        <v>-60</v>
      </c>
      <c r="L177" s="33"/>
      <c r="M177" s="35">
        <f t="shared" si="18"/>
        <v>0</v>
      </c>
      <c r="N177" s="35">
        <f t="shared" si="19"/>
        <v>0</v>
      </c>
    </row>
    <row r="178" spans="1:14" x14ac:dyDescent="0.25">
      <c r="A178" s="54">
        <f t="shared" si="20"/>
        <v>0</v>
      </c>
      <c r="G178" s="11"/>
      <c r="H178" s="33">
        <v>173</v>
      </c>
      <c r="I178" s="34" t="str">
        <f t="shared" si="16"/>
        <v/>
      </c>
      <c r="J178" s="33">
        <f t="shared" si="21"/>
        <v>-6</v>
      </c>
      <c r="K178" s="33">
        <f t="shared" si="17"/>
        <v>-60</v>
      </c>
      <c r="L178" s="33"/>
      <c r="M178" s="35">
        <f t="shared" si="18"/>
        <v>0</v>
      </c>
      <c r="N178" s="35">
        <f t="shared" si="19"/>
        <v>0</v>
      </c>
    </row>
    <row r="179" spans="1:14" x14ac:dyDescent="0.25">
      <c r="A179" s="54">
        <f t="shared" si="20"/>
        <v>0</v>
      </c>
      <c r="G179" s="11"/>
      <c r="H179" s="33">
        <v>174</v>
      </c>
      <c r="I179" s="34" t="str">
        <f t="shared" si="16"/>
        <v/>
      </c>
      <c r="J179" s="33">
        <f t="shared" si="21"/>
        <v>-6</v>
      </c>
      <c r="K179" s="33">
        <f t="shared" si="17"/>
        <v>-60</v>
      </c>
      <c r="L179" s="33"/>
      <c r="M179" s="35">
        <f t="shared" si="18"/>
        <v>0</v>
      </c>
      <c r="N179" s="35">
        <f t="shared" si="19"/>
        <v>0</v>
      </c>
    </row>
    <row r="180" spans="1:14" x14ac:dyDescent="0.25">
      <c r="A180" s="54">
        <f t="shared" si="20"/>
        <v>0</v>
      </c>
      <c r="G180" s="11"/>
      <c r="H180" s="33">
        <v>175</v>
      </c>
      <c r="I180" s="34" t="str">
        <f t="shared" si="16"/>
        <v/>
      </c>
      <c r="J180" s="33">
        <f t="shared" si="21"/>
        <v>-6</v>
      </c>
      <c r="K180" s="33">
        <f t="shared" si="17"/>
        <v>-60</v>
      </c>
      <c r="L180" s="33"/>
      <c r="M180" s="35">
        <f t="shared" si="18"/>
        <v>0</v>
      </c>
      <c r="N180" s="35">
        <f t="shared" si="19"/>
        <v>0</v>
      </c>
    </row>
    <row r="181" spans="1:14" x14ac:dyDescent="0.25">
      <c r="A181" s="54">
        <f t="shared" si="20"/>
        <v>0</v>
      </c>
      <c r="G181" s="11"/>
      <c r="H181" s="33">
        <v>176</v>
      </c>
      <c r="I181" s="34" t="str">
        <f t="shared" si="16"/>
        <v/>
      </c>
      <c r="J181" s="33">
        <f t="shared" si="21"/>
        <v>-6</v>
      </c>
      <c r="K181" s="33">
        <f t="shared" si="17"/>
        <v>-60</v>
      </c>
      <c r="L181" s="33"/>
      <c r="M181" s="35">
        <f t="shared" si="18"/>
        <v>0</v>
      </c>
      <c r="N181" s="35">
        <f t="shared" si="19"/>
        <v>0</v>
      </c>
    </row>
    <row r="182" spans="1:14" x14ac:dyDescent="0.25">
      <c r="A182" s="54">
        <f t="shared" si="20"/>
        <v>0</v>
      </c>
      <c r="G182" s="11"/>
      <c r="H182" s="33">
        <v>177</v>
      </c>
      <c r="I182" s="34" t="str">
        <f t="shared" si="16"/>
        <v/>
      </c>
      <c r="J182" s="33">
        <f t="shared" si="21"/>
        <v>-6</v>
      </c>
      <c r="K182" s="33">
        <f t="shared" si="17"/>
        <v>-60</v>
      </c>
      <c r="L182" s="33"/>
      <c r="M182" s="35">
        <f t="shared" si="18"/>
        <v>0</v>
      </c>
      <c r="N182" s="35">
        <f t="shared" si="19"/>
        <v>0</v>
      </c>
    </row>
    <row r="183" spans="1:14" x14ac:dyDescent="0.25">
      <c r="A183" s="54">
        <f t="shared" si="20"/>
        <v>0</v>
      </c>
      <c r="G183" s="11"/>
      <c r="H183" s="33">
        <v>178</v>
      </c>
      <c r="I183" s="34" t="str">
        <f t="shared" si="16"/>
        <v/>
      </c>
      <c r="J183" s="33">
        <f t="shared" si="21"/>
        <v>-6</v>
      </c>
      <c r="K183" s="33">
        <f t="shared" si="17"/>
        <v>-60</v>
      </c>
      <c r="L183" s="33"/>
      <c r="M183" s="35">
        <f t="shared" si="18"/>
        <v>0</v>
      </c>
      <c r="N183" s="35">
        <f t="shared" si="19"/>
        <v>0</v>
      </c>
    </row>
    <row r="184" spans="1:14" x14ac:dyDescent="0.25">
      <c r="A184" s="54">
        <f t="shared" si="20"/>
        <v>0</v>
      </c>
      <c r="G184" s="11"/>
      <c r="H184" s="33">
        <v>179</v>
      </c>
      <c r="I184" s="34" t="str">
        <f t="shared" si="16"/>
        <v/>
      </c>
      <c r="J184" s="33">
        <f t="shared" si="21"/>
        <v>-6</v>
      </c>
      <c r="K184" s="33">
        <f t="shared" si="17"/>
        <v>-60</v>
      </c>
      <c r="L184" s="33"/>
      <c r="M184" s="35">
        <f t="shared" si="18"/>
        <v>0</v>
      </c>
      <c r="N184" s="35">
        <f t="shared" si="19"/>
        <v>0</v>
      </c>
    </row>
    <row r="185" spans="1:14" x14ac:dyDescent="0.25">
      <c r="A185" s="54">
        <f t="shared" si="20"/>
        <v>0</v>
      </c>
      <c r="G185" s="11"/>
      <c r="H185" s="33">
        <v>180</v>
      </c>
      <c r="I185" s="34" t="str">
        <f t="shared" si="16"/>
        <v/>
      </c>
      <c r="J185" s="33">
        <f t="shared" si="21"/>
        <v>-6</v>
      </c>
      <c r="K185" s="33">
        <f t="shared" si="17"/>
        <v>-60</v>
      </c>
      <c r="L185" s="33"/>
      <c r="M185" s="35">
        <f t="shared" si="18"/>
        <v>0</v>
      </c>
      <c r="N185" s="35">
        <f t="shared" si="19"/>
        <v>0</v>
      </c>
    </row>
    <row r="186" spans="1:14" x14ac:dyDescent="0.25">
      <c r="A186" s="54">
        <f t="shared" si="20"/>
        <v>0</v>
      </c>
      <c r="G186" s="11"/>
      <c r="H186" s="33">
        <v>181</v>
      </c>
      <c r="I186" s="34" t="str">
        <f t="shared" si="16"/>
        <v/>
      </c>
      <c r="J186" s="33">
        <f t="shared" si="21"/>
        <v>-6</v>
      </c>
      <c r="K186" s="33">
        <f t="shared" si="17"/>
        <v>-60</v>
      </c>
      <c r="L186" s="33"/>
      <c r="M186" s="35">
        <f t="shared" si="18"/>
        <v>0</v>
      </c>
      <c r="N186" s="35">
        <f t="shared" si="19"/>
        <v>0</v>
      </c>
    </row>
    <row r="187" spans="1:14" x14ac:dyDescent="0.25">
      <c r="A187" s="54">
        <f t="shared" si="20"/>
        <v>0</v>
      </c>
      <c r="G187" s="11"/>
      <c r="H187" s="33">
        <v>182</v>
      </c>
      <c r="I187" s="34" t="str">
        <f t="shared" si="16"/>
        <v/>
      </c>
      <c r="J187" s="33">
        <f t="shared" si="21"/>
        <v>-6</v>
      </c>
      <c r="K187" s="33">
        <f t="shared" si="17"/>
        <v>-60</v>
      </c>
      <c r="L187" s="33"/>
      <c r="M187" s="35">
        <f t="shared" si="18"/>
        <v>0</v>
      </c>
      <c r="N187" s="35">
        <f t="shared" si="19"/>
        <v>0</v>
      </c>
    </row>
    <row r="188" spans="1:14" x14ac:dyDescent="0.25">
      <c r="A188" s="54">
        <f t="shared" si="20"/>
        <v>0</v>
      </c>
      <c r="G188" s="11"/>
      <c r="H188" s="33">
        <v>183</v>
      </c>
      <c r="I188" s="34" t="str">
        <f t="shared" si="16"/>
        <v/>
      </c>
      <c r="J188" s="33">
        <f t="shared" si="21"/>
        <v>-6</v>
      </c>
      <c r="K188" s="33">
        <f t="shared" si="17"/>
        <v>-60</v>
      </c>
      <c r="L188" s="33"/>
      <c r="M188" s="35">
        <f t="shared" si="18"/>
        <v>0</v>
      </c>
      <c r="N188" s="35">
        <f t="shared" si="19"/>
        <v>0</v>
      </c>
    </row>
    <row r="189" spans="1:14" x14ac:dyDescent="0.25">
      <c r="A189" s="54">
        <f t="shared" si="20"/>
        <v>0</v>
      </c>
      <c r="G189" s="11"/>
      <c r="H189" s="33">
        <v>184</v>
      </c>
      <c r="I189" s="34" t="str">
        <f t="shared" si="16"/>
        <v/>
      </c>
      <c r="J189" s="33">
        <f t="shared" si="21"/>
        <v>-6</v>
      </c>
      <c r="K189" s="33">
        <f t="shared" si="17"/>
        <v>-60</v>
      </c>
      <c r="L189" s="33"/>
      <c r="M189" s="35">
        <f t="shared" si="18"/>
        <v>0</v>
      </c>
      <c r="N189" s="35">
        <f t="shared" si="19"/>
        <v>0</v>
      </c>
    </row>
    <row r="190" spans="1:14" x14ac:dyDescent="0.25">
      <c r="A190" s="54">
        <f t="shared" si="20"/>
        <v>0</v>
      </c>
      <c r="G190" s="11"/>
      <c r="H190" s="33">
        <v>185</v>
      </c>
      <c r="I190" s="34" t="str">
        <f t="shared" si="16"/>
        <v/>
      </c>
      <c r="J190" s="33">
        <f t="shared" si="21"/>
        <v>-6</v>
      </c>
      <c r="K190" s="33">
        <f t="shared" si="17"/>
        <v>-60</v>
      </c>
      <c r="L190" s="33"/>
      <c r="M190" s="35">
        <f t="shared" si="18"/>
        <v>0</v>
      </c>
      <c r="N190" s="35">
        <f t="shared" si="19"/>
        <v>0</v>
      </c>
    </row>
    <row r="191" spans="1:14" x14ac:dyDescent="0.25">
      <c r="A191" s="54">
        <f t="shared" si="20"/>
        <v>0</v>
      </c>
      <c r="G191" s="11"/>
      <c r="H191" s="33">
        <v>186</v>
      </c>
      <c r="I191" s="34" t="str">
        <f t="shared" si="16"/>
        <v/>
      </c>
      <c r="J191" s="33">
        <f t="shared" si="21"/>
        <v>-6</v>
      </c>
      <c r="K191" s="33">
        <f t="shared" si="17"/>
        <v>-60</v>
      </c>
      <c r="L191" s="33"/>
      <c r="M191" s="35">
        <f t="shared" si="18"/>
        <v>0</v>
      </c>
      <c r="N191" s="35">
        <f t="shared" si="19"/>
        <v>0</v>
      </c>
    </row>
    <row r="192" spans="1:14" x14ac:dyDescent="0.25">
      <c r="A192" s="54">
        <f t="shared" si="20"/>
        <v>0</v>
      </c>
      <c r="G192" s="11"/>
      <c r="H192" s="33">
        <v>187</v>
      </c>
      <c r="I192" s="34" t="str">
        <f t="shared" si="16"/>
        <v/>
      </c>
      <c r="J192" s="33">
        <f t="shared" si="21"/>
        <v>-6</v>
      </c>
      <c r="K192" s="33">
        <f t="shared" si="17"/>
        <v>-60</v>
      </c>
      <c r="L192" s="33"/>
      <c r="M192" s="35">
        <f t="shared" si="18"/>
        <v>0</v>
      </c>
      <c r="N192" s="35">
        <f t="shared" si="19"/>
        <v>0</v>
      </c>
    </row>
    <row r="193" spans="1:14" x14ac:dyDescent="0.25">
      <c r="A193" s="54">
        <f t="shared" si="20"/>
        <v>0</v>
      </c>
      <c r="G193" s="11"/>
      <c r="H193" s="33">
        <v>188</v>
      </c>
      <c r="I193" s="34" t="str">
        <f t="shared" si="16"/>
        <v/>
      </c>
      <c r="J193" s="33">
        <f t="shared" si="21"/>
        <v>-6</v>
      </c>
      <c r="K193" s="33">
        <f t="shared" si="17"/>
        <v>-60</v>
      </c>
      <c r="L193" s="33"/>
      <c r="M193" s="35">
        <f t="shared" si="18"/>
        <v>0</v>
      </c>
      <c r="N193" s="35">
        <f t="shared" si="19"/>
        <v>0</v>
      </c>
    </row>
    <row r="194" spans="1:14" x14ac:dyDescent="0.25">
      <c r="A194" s="54">
        <f t="shared" si="20"/>
        <v>0</v>
      </c>
      <c r="G194" s="11"/>
      <c r="H194" s="33">
        <v>189</v>
      </c>
      <c r="I194" s="34" t="str">
        <f t="shared" si="16"/>
        <v/>
      </c>
      <c r="J194" s="33">
        <f t="shared" si="21"/>
        <v>-6</v>
      </c>
      <c r="K194" s="33">
        <f t="shared" si="17"/>
        <v>-60</v>
      </c>
      <c r="L194" s="33"/>
      <c r="M194" s="35">
        <f t="shared" si="18"/>
        <v>0</v>
      </c>
      <c r="N194" s="35">
        <f t="shared" si="19"/>
        <v>0</v>
      </c>
    </row>
    <row r="195" spans="1:14" x14ac:dyDescent="0.25">
      <c r="A195" s="54">
        <f t="shared" si="20"/>
        <v>0</v>
      </c>
      <c r="G195" s="11"/>
      <c r="H195" s="33">
        <v>190</v>
      </c>
      <c r="I195" s="34" t="str">
        <f t="shared" si="16"/>
        <v/>
      </c>
      <c r="J195" s="33">
        <f t="shared" si="21"/>
        <v>-6</v>
      </c>
      <c r="K195" s="33">
        <f t="shared" si="17"/>
        <v>-60</v>
      </c>
      <c r="L195" s="33"/>
      <c r="M195" s="35">
        <f t="shared" si="18"/>
        <v>0</v>
      </c>
      <c r="N195" s="35">
        <f t="shared" si="19"/>
        <v>0</v>
      </c>
    </row>
    <row r="196" spans="1:14" x14ac:dyDescent="0.25">
      <c r="A196" s="54">
        <f t="shared" si="20"/>
        <v>0</v>
      </c>
      <c r="G196" s="11"/>
      <c r="H196" s="33">
        <v>191</v>
      </c>
      <c r="I196" s="34" t="str">
        <f t="shared" si="16"/>
        <v/>
      </c>
      <c r="J196" s="33">
        <f t="shared" si="21"/>
        <v>-6</v>
      </c>
      <c r="K196" s="33">
        <f t="shared" si="17"/>
        <v>-60</v>
      </c>
      <c r="L196" s="33"/>
      <c r="M196" s="35">
        <f t="shared" si="18"/>
        <v>0</v>
      </c>
      <c r="N196" s="35">
        <f t="shared" si="19"/>
        <v>0</v>
      </c>
    </row>
    <row r="197" spans="1:14" x14ac:dyDescent="0.25">
      <c r="A197" s="54">
        <f t="shared" si="20"/>
        <v>0</v>
      </c>
      <c r="G197" s="11"/>
      <c r="H197" s="33">
        <v>192</v>
      </c>
      <c r="I197" s="34" t="str">
        <f t="shared" si="16"/>
        <v/>
      </c>
      <c r="J197" s="33">
        <f t="shared" si="21"/>
        <v>-6</v>
      </c>
      <c r="K197" s="33">
        <f t="shared" si="17"/>
        <v>-60</v>
      </c>
      <c r="L197" s="33"/>
      <c r="M197" s="35">
        <f t="shared" si="18"/>
        <v>0</v>
      </c>
      <c r="N197" s="35">
        <f t="shared" si="19"/>
        <v>0</v>
      </c>
    </row>
    <row r="198" spans="1:14" x14ac:dyDescent="0.25">
      <c r="A198" s="54">
        <f t="shared" si="20"/>
        <v>0</v>
      </c>
      <c r="G198" s="11"/>
      <c r="H198" s="33">
        <v>193</v>
      </c>
      <c r="I198" s="34" t="str">
        <f t="shared" ref="I198:I261" si="22">IF(H198&lt;$H$2+1,($I$2-($I$2-1)*(LOG(H198)/LOG($H$2))),"")</f>
        <v/>
      </c>
      <c r="J198" s="33">
        <f t="shared" si="21"/>
        <v>-6</v>
      </c>
      <c r="K198" s="33">
        <f t="shared" ref="K198:K261" si="23">J198*$J$2</f>
        <v>-60</v>
      </c>
      <c r="L198" s="33"/>
      <c r="M198" s="35">
        <f t="shared" ref="M198:M261" si="24">IF(I198&lt;&gt;"",K198+I198+L198,0)</f>
        <v>0</v>
      </c>
      <c r="N198" s="35">
        <f t="shared" ref="N198:N261" si="25">IF(I198&lt;&gt;"",M198*L$2,0)</f>
        <v>0</v>
      </c>
    </row>
    <row r="199" spans="1:14" x14ac:dyDescent="0.25">
      <c r="A199" s="54">
        <f t="shared" ref="A199:A262" si="26">N199</f>
        <v>0</v>
      </c>
      <c r="G199" s="11"/>
      <c r="H199" s="33">
        <v>194</v>
      </c>
      <c r="I199" s="34" t="str">
        <f t="shared" si="22"/>
        <v/>
      </c>
      <c r="J199" s="33">
        <f t="shared" ref="J199:J262" si="27">INT(LOG($H$2,2))-ROUNDUP(LOG(H199,2),0)+IF(OR($H$2=1,$H$2=2,$H$2=4,$H$2=8,$H$2=16,$H$2=32,$H$2=64,$H$2=128,$H$2=256),0,1)</f>
        <v>-6</v>
      </c>
      <c r="K199" s="33">
        <f t="shared" si="23"/>
        <v>-60</v>
      </c>
      <c r="L199" s="33"/>
      <c r="M199" s="35">
        <f t="shared" si="24"/>
        <v>0</v>
      </c>
      <c r="N199" s="35">
        <f t="shared" si="25"/>
        <v>0</v>
      </c>
    </row>
    <row r="200" spans="1:14" x14ac:dyDescent="0.25">
      <c r="A200" s="54">
        <f t="shared" si="26"/>
        <v>0</v>
      </c>
      <c r="G200" s="11"/>
      <c r="H200" s="33">
        <v>195</v>
      </c>
      <c r="I200" s="34" t="str">
        <f t="shared" si="22"/>
        <v/>
      </c>
      <c r="J200" s="33">
        <f t="shared" si="27"/>
        <v>-6</v>
      </c>
      <c r="K200" s="33">
        <f t="shared" si="23"/>
        <v>-60</v>
      </c>
      <c r="L200" s="33"/>
      <c r="M200" s="35">
        <f t="shared" si="24"/>
        <v>0</v>
      </c>
      <c r="N200" s="35">
        <f t="shared" si="25"/>
        <v>0</v>
      </c>
    </row>
    <row r="201" spans="1:14" x14ac:dyDescent="0.25">
      <c r="A201" s="54">
        <f t="shared" si="26"/>
        <v>0</v>
      </c>
      <c r="G201" s="11"/>
      <c r="H201" s="33">
        <v>196</v>
      </c>
      <c r="I201" s="34" t="str">
        <f t="shared" si="22"/>
        <v/>
      </c>
      <c r="J201" s="33">
        <f t="shared" si="27"/>
        <v>-6</v>
      </c>
      <c r="K201" s="33">
        <f t="shared" si="23"/>
        <v>-60</v>
      </c>
      <c r="L201" s="33"/>
      <c r="M201" s="35">
        <f t="shared" si="24"/>
        <v>0</v>
      </c>
      <c r="N201" s="35">
        <f t="shared" si="25"/>
        <v>0</v>
      </c>
    </row>
    <row r="202" spans="1:14" x14ac:dyDescent="0.25">
      <c r="A202" s="54">
        <f t="shared" si="26"/>
        <v>0</v>
      </c>
      <c r="G202" s="11"/>
      <c r="H202" s="33">
        <v>197</v>
      </c>
      <c r="I202" s="34" t="str">
        <f t="shared" si="22"/>
        <v/>
      </c>
      <c r="J202" s="33">
        <f t="shared" si="27"/>
        <v>-6</v>
      </c>
      <c r="K202" s="33">
        <f t="shared" si="23"/>
        <v>-60</v>
      </c>
      <c r="L202" s="33"/>
      <c r="M202" s="35">
        <f t="shared" si="24"/>
        <v>0</v>
      </c>
      <c r="N202" s="35">
        <f t="shared" si="25"/>
        <v>0</v>
      </c>
    </row>
    <row r="203" spans="1:14" x14ac:dyDescent="0.25">
      <c r="A203" s="54">
        <f t="shared" si="26"/>
        <v>0</v>
      </c>
      <c r="G203" s="11"/>
      <c r="H203" s="33">
        <v>198</v>
      </c>
      <c r="I203" s="34" t="str">
        <f t="shared" si="22"/>
        <v/>
      </c>
      <c r="J203" s="33">
        <f t="shared" si="27"/>
        <v>-6</v>
      </c>
      <c r="K203" s="33">
        <f t="shared" si="23"/>
        <v>-60</v>
      </c>
      <c r="L203" s="33"/>
      <c r="M203" s="35">
        <f t="shared" si="24"/>
        <v>0</v>
      </c>
      <c r="N203" s="35">
        <f t="shared" si="25"/>
        <v>0</v>
      </c>
    </row>
    <row r="204" spans="1:14" x14ac:dyDescent="0.25">
      <c r="A204" s="54">
        <f t="shared" si="26"/>
        <v>0</v>
      </c>
      <c r="G204" s="11"/>
      <c r="H204" s="33">
        <v>199</v>
      </c>
      <c r="I204" s="34" t="str">
        <f t="shared" si="22"/>
        <v/>
      </c>
      <c r="J204" s="33">
        <f t="shared" si="27"/>
        <v>-6</v>
      </c>
      <c r="K204" s="33">
        <f t="shared" si="23"/>
        <v>-60</v>
      </c>
      <c r="L204" s="33"/>
      <c r="M204" s="35">
        <f t="shared" si="24"/>
        <v>0</v>
      </c>
      <c r="N204" s="35">
        <f t="shared" si="25"/>
        <v>0</v>
      </c>
    </row>
    <row r="205" spans="1:14" x14ac:dyDescent="0.25">
      <c r="A205" s="54">
        <f t="shared" si="26"/>
        <v>0</v>
      </c>
      <c r="G205" s="11"/>
      <c r="H205" s="33">
        <v>200</v>
      </c>
      <c r="I205" s="34" t="str">
        <f t="shared" si="22"/>
        <v/>
      </c>
      <c r="J205" s="33">
        <f t="shared" si="27"/>
        <v>-6</v>
      </c>
      <c r="K205" s="33">
        <f t="shared" si="23"/>
        <v>-60</v>
      </c>
      <c r="L205" s="33"/>
      <c r="M205" s="35">
        <f t="shared" si="24"/>
        <v>0</v>
      </c>
      <c r="N205" s="35">
        <f t="shared" si="25"/>
        <v>0</v>
      </c>
    </row>
    <row r="206" spans="1:14" x14ac:dyDescent="0.25">
      <c r="A206" s="54">
        <f t="shared" si="26"/>
        <v>0</v>
      </c>
      <c r="G206" s="11"/>
      <c r="H206" s="33">
        <v>201</v>
      </c>
      <c r="I206" s="34" t="str">
        <f t="shared" si="22"/>
        <v/>
      </c>
      <c r="J206" s="33">
        <f t="shared" si="27"/>
        <v>-6</v>
      </c>
      <c r="K206" s="33">
        <f t="shared" si="23"/>
        <v>-60</v>
      </c>
      <c r="L206" s="33"/>
      <c r="M206" s="35">
        <f t="shared" si="24"/>
        <v>0</v>
      </c>
      <c r="N206" s="35">
        <f t="shared" si="25"/>
        <v>0</v>
      </c>
    </row>
    <row r="207" spans="1:14" x14ac:dyDescent="0.25">
      <c r="A207" s="54">
        <f t="shared" si="26"/>
        <v>0</v>
      </c>
      <c r="G207" s="11"/>
      <c r="H207" s="33">
        <v>202</v>
      </c>
      <c r="I207" s="34" t="str">
        <f t="shared" si="22"/>
        <v/>
      </c>
      <c r="J207" s="33">
        <f t="shared" si="27"/>
        <v>-6</v>
      </c>
      <c r="K207" s="33">
        <f t="shared" si="23"/>
        <v>-60</v>
      </c>
      <c r="L207" s="33"/>
      <c r="M207" s="35">
        <f t="shared" si="24"/>
        <v>0</v>
      </c>
      <c r="N207" s="35">
        <f t="shared" si="25"/>
        <v>0</v>
      </c>
    </row>
    <row r="208" spans="1:14" x14ac:dyDescent="0.25">
      <c r="A208" s="54">
        <f t="shared" si="26"/>
        <v>0</v>
      </c>
      <c r="G208" s="11"/>
      <c r="H208" s="33">
        <v>203</v>
      </c>
      <c r="I208" s="34" t="str">
        <f t="shared" si="22"/>
        <v/>
      </c>
      <c r="J208" s="33">
        <f t="shared" si="27"/>
        <v>-6</v>
      </c>
      <c r="K208" s="33">
        <f t="shared" si="23"/>
        <v>-60</v>
      </c>
      <c r="L208" s="33"/>
      <c r="M208" s="35">
        <f t="shared" si="24"/>
        <v>0</v>
      </c>
      <c r="N208" s="35">
        <f t="shared" si="25"/>
        <v>0</v>
      </c>
    </row>
    <row r="209" spans="1:14" x14ac:dyDescent="0.25">
      <c r="A209" s="54">
        <f t="shared" si="26"/>
        <v>0</v>
      </c>
      <c r="G209" s="11"/>
      <c r="H209" s="33">
        <v>204</v>
      </c>
      <c r="I209" s="34" t="str">
        <f t="shared" si="22"/>
        <v/>
      </c>
      <c r="J209" s="33">
        <f t="shared" si="27"/>
        <v>-6</v>
      </c>
      <c r="K209" s="33">
        <f t="shared" si="23"/>
        <v>-60</v>
      </c>
      <c r="L209" s="33"/>
      <c r="M209" s="35">
        <f t="shared" si="24"/>
        <v>0</v>
      </c>
      <c r="N209" s="35">
        <f t="shared" si="25"/>
        <v>0</v>
      </c>
    </row>
    <row r="210" spans="1:14" x14ac:dyDescent="0.25">
      <c r="A210" s="54">
        <f t="shared" si="26"/>
        <v>0</v>
      </c>
      <c r="G210" s="11"/>
      <c r="H210" s="33">
        <v>205</v>
      </c>
      <c r="I210" s="34" t="str">
        <f t="shared" si="22"/>
        <v/>
      </c>
      <c r="J210" s="33">
        <f t="shared" si="27"/>
        <v>-6</v>
      </c>
      <c r="K210" s="33">
        <f t="shared" si="23"/>
        <v>-60</v>
      </c>
      <c r="L210" s="33"/>
      <c r="M210" s="35">
        <f t="shared" si="24"/>
        <v>0</v>
      </c>
      <c r="N210" s="35">
        <f t="shared" si="25"/>
        <v>0</v>
      </c>
    </row>
    <row r="211" spans="1:14" x14ac:dyDescent="0.25">
      <c r="A211" s="54">
        <f t="shared" si="26"/>
        <v>0</v>
      </c>
      <c r="G211" s="11"/>
      <c r="H211" s="33">
        <v>206</v>
      </c>
      <c r="I211" s="34" t="str">
        <f t="shared" si="22"/>
        <v/>
      </c>
      <c r="J211" s="33">
        <f t="shared" si="27"/>
        <v>-6</v>
      </c>
      <c r="K211" s="33">
        <f t="shared" si="23"/>
        <v>-60</v>
      </c>
      <c r="L211" s="33"/>
      <c r="M211" s="35">
        <f t="shared" si="24"/>
        <v>0</v>
      </c>
      <c r="N211" s="35">
        <f t="shared" si="25"/>
        <v>0</v>
      </c>
    </row>
    <row r="212" spans="1:14" x14ac:dyDescent="0.25">
      <c r="A212" s="54">
        <f t="shared" si="26"/>
        <v>0</v>
      </c>
      <c r="G212" s="11"/>
      <c r="H212" s="33">
        <v>207</v>
      </c>
      <c r="I212" s="34" t="str">
        <f t="shared" si="22"/>
        <v/>
      </c>
      <c r="J212" s="33">
        <f t="shared" si="27"/>
        <v>-6</v>
      </c>
      <c r="K212" s="33">
        <f t="shared" si="23"/>
        <v>-60</v>
      </c>
      <c r="L212" s="33"/>
      <c r="M212" s="35">
        <f t="shared" si="24"/>
        <v>0</v>
      </c>
      <c r="N212" s="35">
        <f t="shared" si="25"/>
        <v>0</v>
      </c>
    </row>
    <row r="213" spans="1:14" x14ac:dyDescent="0.25">
      <c r="A213" s="54">
        <f t="shared" si="26"/>
        <v>0</v>
      </c>
      <c r="G213" s="11"/>
      <c r="H213" s="33">
        <v>208</v>
      </c>
      <c r="I213" s="34" t="str">
        <f t="shared" si="22"/>
        <v/>
      </c>
      <c r="J213" s="33">
        <f t="shared" si="27"/>
        <v>-6</v>
      </c>
      <c r="K213" s="33">
        <f t="shared" si="23"/>
        <v>-60</v>
      </c>
      <c r="L213" s="33"/>
      <c r="M213" s="35">
        <f t="shared" si="24"/>
        <v>0</v>
      </c>
      <c r="N213" s="35">
        <f t="shared" si="25"/>
        <v>0</v>
      </c>
    </row>
    <row r="214" spans="1:14" x14ac:dyDescent="0.25">
      <c r="A214" s="54">
        <f t="shared" si="26"/>
        <v>0</v>
      </c>
      <c r="G214" s="11"/>
      <c r="H214" s="33">
        <v>209</v>
      </c>
      <c r="I214" s="34" t="str">
        <f t="shared" si="22"/>
        <v/>
      </c>
      <c r="J214" s="33">
        <f t="shared" si="27"/>
        <v>-6</v>
      </c>
      <c r="K214" s="33">
        <f t="shared" si="23"/>
        <v>-60</v>
      </c>
      <c r="L214" s="33"/>
      <c r="M214" s="35">
        <f t="shared" si="24"/>
        <v>0</v>
      </c>
      <c r="N214" s="35">
        <f t="shared" si="25"/>
        <v>0</v>
      </c>
    </row>
    <row r="215" spans="1:14" x14ac:dyDescent="0.25">
      <c r="A215" s="54">
        <f t="shared" si="26"/>
        <v>0</v>
      </c>
      <c r="G215" s="11"/>
      <c r="H215" s="33">
        <v>210</v>
      </c>
      <c r="I215" s="34" t="str">
        <f t="shared" si="22"/>
        <v/>
      </c>
      <c r="J215" s="33">
        <f t="shared" si="27"/>
        <v>-6</v>
      </c>
      <c r="K215" s="33">
        <f t="shared" si="23"/>
        <v>-60</v>
      </c>
      <c r="L215" s="33"/>
      <c r="M215" s="35">
        <f t="shared" si="24"/>
        <v>0</v>
      </c>
      <c r="N215" s="35">
        <f t="shared" si="25"/>
        <v>0</v>
      </c>
    </row>
    <row r="216" spans="1:14" x14ac:dyDescent="0.25">
      <c r="A216" s="54">
        <f t="shared" si="26"/>
        <v>0</v>
      </c>
      <c r="G216" s="11"/>
      <c r="H216" s="33">
        <v>211</v>
      </c>
      <c r="I216" s="34" t="str">
        <f t="shared" si="22"/>
        <v/>
      </c>
      <c r="J216" s="33">
        <f t="shared" si="27"/>
        <v>-6</v>
      </c>
      <c r="K216" s="33">
        <f t="shared" si="23"/>
        <v>-60</v>
      </c>
      <c r="L216" s="33"/>
      <c r="M216" s="35">
        <f t="shared" si="24"/>
        <v>0</v>
      </c>
      <c r="N216" s="35">
        <f t="shared" si="25"/>
        <v>0</v>
      </c>
    </row>
    <row r="217" spans="1:14" x14ac:dyDescent="0.25">
      <c r="A217" s="54">
        <f t="shared" si="26"/>
        <v>0</v>
      </c>
      <c r="G217" s="11"/>
      <c r="H217" s="33">
        <v>212</v>
      </c>
      <c r="I217" s="34" t="str">
        <f t="shared" si="22"/>
        <v/>
      </c>
      <c r="J217" s="33">
        <f t="shared" si="27"/>
        <v>-6</v>
      </c>
      <c r="K217" s="33">
        <f t="shared" si="23"/>
        <v>-60</v>
      </c>
      <c r="L217" s="33"/>
      <c r="M217" s="35">
        <f t="shared" si="24"/>
        <v>0</v>
      </c>
      <c r="N217" s="35">
        <f t="shared" si="25"/>
        <v>0</v>
      </c>
    </row>
    <row r="218" spans="1:14" x14ac:dyDescent="0.25">
      <c r="A218" s="54">
        <f t="shared" si="26"/>
        <v>0</v>
      </c>
      <c r="G218" s="11"/>
      <c r="H218" s="33">
        <v>213</v>
      </c>
      <c r="I218" s="34" t="str">
        <f t="shared" si="22"/>
        <v/>
      </c>
      <c r="J218" s="33">
        <f t="shared" si="27"/>
        <v>-6</v>
      </c>
      <c r="K218" s="33">
        <f t="shared" si="23"/>
        <v>-60</v>
      </c>
      <c r="L218" s="33"/>
      <c r="M218" s="35">
        <f t="shared" si="24"/>
        <v>0</v>
      </c>
      <c r="N218" s="35">
        <f t="shared" si="25"/>
        <v>0</v>
      </c>
    </row>
    <row r="219" spans="1:14" x14ac:dyDescent="0.25">
      <c r="A219" s="54">
        <f t="shared" si="26"/>
        <v>0</v>
      </c>
      <c r="G219" s="11"/>
      <c r="H219" s="33">
        <v>214</v>
      </c>
      <c r="I219" s="34" t="str">
        <f t="shared" si="22"/>
        <v/>
      </c>
      <c r="J219" s="33">
        <f t="shared" si="27"/>
        <v>-6</v>
      </c>
      <c r="K219" s="33">
        <f t="shared" si="23"/>
        <v>-60</v>
      </c>
      <c r="L219" s="33"/>
      <c r="M219" s="35">
        <f t="shared" si="24"/>
        <v>0</v>
      </c>
      <c r="N219" s="35">
        <f t="shared" si="25"/>
        <v>0</v>
      </c>
    </row>
    <row r="220" spans="1:14" x14ac:dyDescent="0.25">
      <c r="A220" s="54">
        <f t="shared" si="26"/>
        <v>0</v>
      </c>
      <c r="G220" s="11"/>
      <c r="H220" s="33">
        <v>215</v>
      </c>
      <c r="I220" s="34" t="str">
        <f t="shared" si="22"/>
        <v/>
      </c>
      <c r="J220" s="33">
        <f t="shared" si="27"/>
        <v>-6</v>
      </c>
      <c r="K220" s="33">
        <f t="shared" si="23"/>
        <v>-60</v>
      </c>
      <c r="L220" s="33"/>
      <c r="M220" s="35">
        <f t="shared" si="24"/>
        <v>0</v>
      </c>
      <c r="N220" s="35">
        <f t="shared" si="25"/>
        <v>0</v>
      </c>
    </row>
    <row r="221" spans="1:14" x14ac:dyDescent="0.25">
      <c r="A221" s="54">
        <f t="shared" si="26"/>
        <v>0</v>
      </c>
      <c r="G221" s="11"/>
      <c r="H221" s="33">
        <v>216</v>
      </c>
      <c r="I221" s="34" t="str">
        <f t="shared" si="22"/>
        <v/>
      </c>
      <c r="J221" s="33">
        <f t="shared" si="27"/>
        <v>-6</v>
      </c>
      <c r="K221" s="33">
        <f t="shared" si="23"/>
        <v>-60</v>
      </c>
      <c r="L221" s="33"/>
      <c r="M221" s="35">
        <f t="shared" si="24"/>
        <v>0</v>
      </c>
      <c r="N221" s="35">
        <f t="shared" si="25"/>
        <v>0</v>
      </c>
    </row>
    <row r="222" spans="1:14" x14ac:dyDescent="0.25">
      <c r="A222" s="54">
        <f t="shared" si="26"/>
        <v>0</v>
      </c>
      <c r="G222" s="11"/>
      <c r="H222" s="33">
        <v>217</v>
      </c>
      <c r="I222" s="34" t="str">
        <f t="shared" si="22"/>
        <v/>
      </c>
      <c r="J222" s="33">
        <f t="shared" si="27"/>
        <v>-6</v>
      </c>
      <c r="K222" s="33">
        <f t="shared" si="23"/>
        <v>-60</v>
      </c>
      <c r="L222" s="33"/>
      <c r="M222" s="35">
        <f t="shared" si="24"/>
        <v>0</v>
      </c>
      <c r="N222" s="35">
        <f t="shared" si="25"/>
        <v>0</v>
      </c>
    </row>
    <row r="223" spans="1:14" x14ac:dyDescent="0.25">
      <c r="A223" s="54">
        <f t="shared" si="26"/>
        <v>0</v>
      </c>
      <c r="G223" s="11"/>
      <c r="H223" s="33">
        <v>218</v>
      </c>
      <c r="I223" s="34" t="str">
        <f t="shared" si="22"/>
        <v/>
      </c>
      <c r="J223" s="33">
        <f t="shared" si="27"/>
        <v>-6</v>
      </c>
      <c r="K223" s="33">
        <f t="shared" si="23"/>
        <v>-60</v>
      </c>
      <c r="L223" s="33"/>
      <c r="M223" s="35">
        <f t="shared" si="24"/>
        <v>0</v>
      </c>
      <c r="N223" s="35">
        <f t="shared" si="25"/>
        <v>0</v>
      </c>
    </row>
    <row r="224" spans="1:14" x14ac:dyDescent="0.25">
      <c r="A224" s="54">
        <f t="shared" si="26"/>
        <v>0</v>
      </c>
      <c r="G224" s="11"/>
      <c r="H224" s="33">
        <v>219</v>
      </c>
      <c r="I224" s="34" t="str">
        <f t="shared" si="22"/>
        <v/>
      </c>
      <c r="J224" s="33">
        <f t="shared" si="27"/>
        <v>-6</v>
      </c>
      <c r="K224" s="33">
        <f t="shared" si="23"/>
        <v>-60</v>
      </c>
      <c r="L224" s="33"/>
      <c r="M224" s="35">
        <f t="shared" si="24"/>
        <v>0</v>
      </c>
      <c r="N224" s="35">
        <f t="shared" si="25"/>
        <v>0</v>
      </c>
    </row>
    <row r="225" spans="1:14" x14ac:dyDescent="0.25">
      <c r="A225" s="54">
        <f t="shared" si="26"/>
        <v>0</v>
      </c>
      <c r="G225" s="11"/>
      <c r="H225" s="33">
        <v>220</v>
      </c>
      <c r="I225" s="34" t="str">
        <f t="shared" si="22"/>
        <v/>
      </c>
      <c r="J225" s="33">
        <f t="shared" si="27"/>
        <v>-6</v>
      </c>
      <c r="K225" s="33">
        <f t="shared" si="23"/>
        <v>-60</v>
      </c>
      <c r="L225" s="33"/>
      <c r="M225" s="35">
        <f t="shared" si="24"/>
        <v>0</v>
      </c>
      <c r="N225" s="35">
        <f t="shared" si="25"/>
        <v>0</v>
      </c>
    </row>
    <row r="226" spans="1:14" x14ac:dyDescent="0.25">
      <c r="A226" s="54">
        <f t="shared" si="26"/>
        <v>0</v>
      </c>
      <c r="G226" s="11"/>
      <c r="H226" s="33">
        <v>221</v>
      </c>
      <c r="I226" s="34" t="str">
        <f t="shared" si="22"/>
        <v/>
      </c>
      <c r="J226" s="33">
        <f t="shared" si="27"/>
        <v>-6</v>
      </c>
      <c r="K226" s="33">
        <f t="shared" si="23"/>
        <v>-60</v>
      </c>
      <c r="L226" s="33"/>
      <c r="M226" s="35">
        <f t="shared" si="24"/>
        <v>0</v>
      </c>
      <c r="N226" s="35">
        <f t="shared" si="25"/>
        <v>0</v>
      </c>
    </row>
    <row r="227" spans="1:14" x14ac:dyDescent="0.25">
      <c r="A227" s="54">
        <f t="shared" si="26"/>
        <v>0</v>
      </c>
      <c r="G227" s="11"/>
      <c r="H227" s="33">
        <v>222</v>
      </c>
      <c r="I227" s="34" t="str">
        <f t="shared" si="22"/>
        <v/>
      </c>
      <c r="J227" s="33">
        <f t="shared" si="27"/>
        <v>-6</v>
      </c>
      <c r="K227" s="33">
        <f t="shared" si="23"/>
        <v>-60</v>
      </c>
      <c r="L227" s="33"/>
      <c r="M227" s="35">
        <f t="shared" si="24"/>
        <v>0</v>
      </c>
      <c r="N227" s="35">
        <f t="shared" si="25"/>
        <v>0</v>
      </c>
    </row>
    <row r="228" spans="1:14" x14ac:dyDescent="0.25">
      <c r="A228" s="54">
        <f t="shared" si="26"/>
        <v>0</v>
      </c>
      <c r="G228" s="11"/>
      <c r="H228" s="33">
        <v>223</v>
      </c>
      <c r="I228" s="34" t="str">
        <f t="shared" si="22"/>
        <v/>
      </c>
      <c r="J228" s="33">
        <f t="shared" si="27"/>
        <v>-6</v>
      </c>
      <c r="K228" s="33">
        <f t="shared" si="23"/>
        <v>-60</v>
      </c>
      <c r="L228" s="33"/>
      <c r="M228" s="35">
        <f t="shared" si="24"/>
        <v>0</v>
      </c>
      <c r="N228" s="35">
        <f t="shared" si="25"/>
        <v>0</v>
      </c>
    </row>
    <row r="229" spans="1:14" x14ac:dyDescent="0.25">
      <c r="A229" s="54">
        <f t="shared" si="26"/>
        <v>0</v>
      </c>
      <c r="G229" s="11"/>
      <c r="H229" s="33">
        <v>224</v>
      </c>
      <c r="I229" s="34" t="str">
        <f t="shared" si="22"/>
        <v/>
      </c>
      <c r="J229" s="33">
        <f t="shared" si="27"/>
        <v>-6</v>
      </c>
      <c r="K229" s="33">
        <f t="shared" si="23"/>
        <v>-60</v>
      </c>
      <c r="L229" s="33"/>
      <c r="M229" s="35">
        <f t="shared" si="24"/>
        <v>0</v>
      </c>
      <c r="N229" s="35">
        <f t="shared" si="25"/>
        <v>0</v>
      </c>
    </row>
    <row r="230" spans="1:14" x14ac:dyDescent="0.25">
      <c r="A230" s="54">
        <f t="shared" si="26"/>
        <v>0</v>
      </c>
      <c r="G230" s="11"/>
      <c r="H230" s="33">
        <v>225</v>
      </c>
      <c r="I230" s="34" t="str">
        <f t="shared" si="22"/>
        <v/>
      </c>
      <c r="J230" s="33">
        <f t="shared" si="27"/>
        <v>-6</v>
      </c>
      <c r="K230" s="33">
        <f t="shared" si="23"/>
        <v>-60</v>
      </c>
      <c r="L230" s="33"/>
      <c r="M230" s="35">
        <f t="shared" si="24"/>
        <v>0</v>
      </c>
      <c r="N230" s="35">
        <f t="shared" si="25"/>
        <v>0</v>
      </c>
    </row>
    <row r="231" spans="1:14" x14ac:dyDescent="0.25">
      <c r="A231" s="54">
        <f t="shared" si="26"/>
        <v>0</v>
      </c>
      <c r="G231" s="11"/>
      <c r="H231" s="33">
        <v>226</v>
      </c>
      <c r="I231" s="34" t="str">
        <f t="shared" si="22"/>
        <v/>
      </c>
      <c r="J231" s="33">
        <f t="shared" si="27"/>
        <v>-6</v>
      </c>
      <c r="K231" s="33">
        <f t="shared" si="23"/>
        <v>-60</v>
      </c>
      <c r="L231" s="33"/>
      <c r="M231" s="35">
        <f t="shared" si="24"/>
        <v>0</v>
      </c>
      <c r="N231" s="35">
        <f t="shared" si="25"/>
        <v>0</v>
      </c>
    </row>
    <row r="232" spans="1:14" x14ac:dyDescent="0.25">
      <c r="A232" s="54">
        <f t="shared" si="26"/>
        <v>0</v>
      </c>
      <c r="G232" s="11"/>
      <c r="H232" s="33">
        <v>227</v>
      </c>
      <c r="I232" s="34" t="str">
        <f t="shared" si="22"/>
        <v/>
      </c>
      <c r="J232" s="33">
        <f t="shared" si="27"/>
        <v>-6</v>
      </c>
      <c r="K232" s="33">
        <f t="shared" si="23"/>
        <v>-60</v>
      </c>
      <c r="L232" s="33"/>
      <c r="M232" s="35">
        <f t="shared" si="24"/>
        <v>0</v>
      </c>
      <c r="N232" s="35">
        <f t="shared" si="25"/>
        <v>0</v>
      </c>
    </row>
    <row r="233" spans="1:14" x14ac:dyDescent="0.25">
      <c r="A233" s="54">
        <f t="shared" si="26"/>
        <v>0</v>
      </c>
      <c r="G233" s="11"/>
      <c r="H233" s="33">
        <v>228</v>
      </c>
      <c r="I233" s="34" t="str">
        <f t="shared" si="22"/>
        <v/>
      </c>
      <c r="J233" s="33">
        <f t="shared" si="27"/>
        <v>-6</v>
      </c>
      <c r="K233" s="33">
        <f t="shared" si="23"/>
        <v>-60</v>
      </c>
      <c r="L233" s="33"/>
      <c r="M233" s="35">
        <f t="shared" si="24"/>
        <v>0</v>
      </c>
      <c r="N233" s="35">
        <f t="shared" si="25"/>
        <v>0</v>
      </c>
    </row>
    <row r="234" spans="1:14" x14ac:dyDescent="0.25">
      <c r="A234" s="54">
        <f t="shared" si="26"/>
        <v>0</v>
      </c>
      <c r="G234" s="11"/>
      <c r="H234" s="33">
        <v>229</v>
      </c>
      <c r="I234" s="34" t="str">
        <f t="shared" si="22"/>
        <v/>
      </c>
      <c r="J234" s="33">
        <f t="shared" si="27"/>
        <v>-6</v>
      </c>
      <c r="K234" s="33">
        <f t="shared" si="23"/>
        <v>-60</v>
      </c>
      <c r="L234" s="33"/>
      <c r="M234" s="35">
        <f t="shared" si="24"/>
        <v>0</v>
      </c>
      <c r="N234" s="35">
        <f t="shared" si="25"/>
        <v>0</v>
      </c>
    </row>
    <row r="235" spans="1:14" x14ac:dyDescent="0.25">
      <c r="A235" s="54">
        <f t="shared" si="26"/>
        <v>0</v>
      </c>
      <c r="G235" s="11"/>
      <c r="H235" s="33">
        <v>230</v>
      </c>
      <c r="I235" s="34" t="str">
        <f t="shared" si="22"/>
        <v/>
      </c>
      <c r="J235" s="33">
        <f t="shared" si="27"/>
        <v>-6</v>
      </c>
      <c r="K235" s="33">
        <f t="shared" si="23"/>
        <v>-60</v>
      </c>
      <c r="L235" s="33"/>
      <c r="M235" s="35">
        <f t="shared" si="24"/>
        <v>0</v>
      </c>
      <c r="N235" s="35">
        <f t="shared" si="25"/>
        <v>0</v>
      </c>
    </row>
    <row r="236" spans="1:14" x14ac:dyDescent="0.25">
      <c r="A236" s="54">
        <f t="shared" si="26"/>
        <v>0</v>
      </c>
      <c r="G236" s="11"/>
      <c r="H236" s="33">
        <v>231</v>
      </c>
      <c r="I236" s="34" t="str">
        <f t="shared" si="22"/>
        <v/>
      </c>
      <c r="J236" s="33">
        <f t="shared" si="27"/>
        <v>-6</v>
      </c>
      <c r="K236" s="33">
        <f t="shared" si="23"/>
        <v>-60</v>
      </c>
      <c r="L236" s="33"/>
      <c r="M236" s="35">
        <f t="shared" si="24"/>
        <v>0</v>
      </c>
      <c r="N236" s="35">
        <f t="shared" si="25"/>
        <v>0</v>
      </c>
    </row>
    <row r="237" spans="1:14" x14ac:dyDescent="0.25">
      <c r="A237" s="54">
        <f t="shared" si="26"/>
        <v>0</v>
      </c>
      <c r="G237" s="11"/>
      <c r="H237" s="33">
        <v>232</v>
      </c>
      <c r="I237" s="34" t="str">
        <f t="shared" si="22"/>
        <v/>
      </c>
      <c r="J237" s="33">
        <f t="shared" si="27"/>
        <v>-6</v>
      </c>
      <c r="K237" s="33">
        <f t="shared" si="23"/>
        <v>-60</v>
      </c>
      <c r="L237" s="33"/>
      <c r="M237" s="35">
        <f t="shared" si="24"/>
        <v>0</v>
      </c>
      <c r="N237" s="35">
        <f t="shared" si="25"/>
        <v>0</v>
      </c>
    </row>
    <row r="238" spans="1:14" x14ac:dyDescent="0.25">
      <c r="A238" s="54">
        <f t="shared" si="26"/>
        <v>0</v>
      </c>
      <c r="G238" s="11"/>
      <c r="H238" s="33">
        <v>233</v>
      </c>
      <c r="I238" s="34" t="str">
        <f t="shared" si="22"/>
        <v/>
      </c>
      <c r="J238" s="33">
        <f t="shared" si="27"/>
        <v>-6</v>
      </c>
      <c r="K238" s="33">
        <f t="shared" si="23"/>
        <v>-60</v>
      </c>
      <c r="L238" s="33"/>
      <c r="M238" s="35">
        <f t="shared" si="24"/>
        <v>0</v>
      </c>
      <c r="N238" s="35">
        <f t="shared" si="25"/>
        <v>0</v>
      </c>
    </row>
    <row r="239" spans="1:14" x14ac:dyDescent="0.25">
      <c r="A239" s="54">
        <f t="shared" si="26"/>
        <v>0</v>
      </c>
      <c r="G239" s="11"/>
      <c r="H239" s="33">
        <v>234</v>
      </c>
      <c r="I239" s="34" t="str">
        <f t="shared" si="22"/>
        <v/>
      </c>
      <c r="J239" s="33">
        <f t="shared" si="27"/>
        <v>-6</v>
      </c>
      <c r="K239" s="33">
        <f t="shared" si="23"/>
        <v>-60</v>
      </c>
      <c r="L239" s="33"/>
      <c r="M239" s="35">
        <f t="shared" si="24"/>
        <v>0</v>
      </c>
      <c r="N239" s="35">
        <f t="shared" si="25"/>
        <v>0</v>
      </c>
    </row>
    <row r="240" spans="1:14" x14ac:dyDescent="0.25">
      <c r="A240" s="54">
        <f t="shared" si="26"/>
        <v>0</v>
      </c>
      <c r="G240" s="11"/>
      <c r="H240" s="33">
        <v>235</v>
      </c>
      <c r="I240" s="34" t="str">
        <f t="shared" si="22"/>
        <v/>
      </c>
      <c r="J240" s="33">
        <f t="shared" si="27"/>
        <v>-6</v>
      </c>
      <c r="K240" s="33">
        <f t="shared" si="23"/>
        <v>-60</v>
      </c>
      <c r="L240" s="33"/>
      <c r="M240" s="35">
        <f t="shared" si="24"/>
        <v>0</v>
      </c>
      <c r="N240" s="35">
        <f t="shared" si="25"/>
        <v>0</v>
      </c>
    </row>
    <row r="241" spans="1:14" x14ac:dyDescent="0.25">
      <c r="A241" s="54">
        <f t="shared" si="26"/>
        <v>0</v>
      </c>
      <c r="G241" s="11"/>
      <c r="H241" s="33">
        <v>236</v>
      </c>
      <c r="I241" s="34" t="str">
        <f t="shared" si="22"/>
        <v/>
      </c>
      <c r="J241" s="33">
        <f t="shared" si="27"/>
        <v>-6</v>
      </c>
      <c r="K241" s="33">
        <f t="shared" si="23"/>
        <v>-60</v>
      </c>
      <c r="L241" s="33"/>
      <c r="M241" s="35">
        <f t="shared" si="24"/>
        <v>0</v>
      </c>
      <c r="N241" s="35">
        <f t="shared" si="25"/>
        <v>0</v>
      </c>
    </row>
    <row r="242" spans="1:14" x14ac:dyDescent="0.25">
      <c r="A242" s="54">
        <f t="shared" si="26"/>
        <v>0</v>
      </c>
      <c r="G242" s="11"/>
      <c r="H242" s="33">
        <v>237</v>
      </c>
      <c r="I242" s="34" t="str">
        <f t="shared" si="22"/>
        <v/>
      </c>
      <c r="J242" s="33">
        <f t="shared" si="27"/>
        <v>-6</v>
      </c>
      <c r="K242" s="33">
        <f t="shared" si="23"/>
        <v>-60</v>
      </c>
      <c r="L242" s="33"/>
      <c r="M242" s="35">
        <f t="shared" si="24"/>
        <v>0</v>
      </c>
      <c r="N242" s="35">
        <f t="shared" si="25"/>
        <v>0</v>
      </c>
    </row>
    <row r="243" spans="1:14" x14ac:dyDescent="0.25">
      <c r="A243" s="54">
        <f t="shared" si="26"/>
        <v>0</v>
      </c>
      <c r="G243" s="11"/>
      <c r="H243" s="33">
        <v>238</v>
      </c>
      <c r="I243" s="34" t="str">
        <f t="shared" si="22"/>
        <v/>
      </c>
      <c r="J243" s="33">
        <f t="shared" si="27"/>
        <v>-6</v>
      </c>
      <c r="K243" s="33">
        <f t="shared" si="23"/>
        <v>-60</v>
      </c>
      <c r="L243" s="33"/>
      <c r="M243" s="35">
        <f t="shared" si="24"/>
        <v>0</v>
      </c>
      <c r="N243" s="35">
        <f t="shared" si="25"/>
        <v>0</v>
      </c>
    </row>
    <row r="244" spans="1:14" x14ac:dyDescent="0.25">
      <c r="A244" s="54">
        <f t="shared" si="26"/>
        <v>0</v>
      </c>
      <c r="G244" s="11"/>
      <c r="H244" s="33">
        <v>239</v>
      </c>
      <c r="I244" s="34" t="str">
        <f t="shared" si="22"/>
        <v/>
      </c>
      <c r="J244" s="33">
        <f t="shared" si="27"/>
        <v>-6</v>
      </c>
      <c r="K244" s="33">
        <f t="shared" si="23"/>
        <v>-60</v>
      </c>
      <c r="L244" s="33"/>
      <c r="M244" s="35">
        <f t="shared" si="24"/>
        <v>0</v>
      </c>
      <c r="N244" s="35">
        <f t="shared" si="25"/>
        <v>0</v>
      </c>
    </row>
    <row r="245" spans="1:14" x14ac:dyDescent="0.25">
      <c r="A245" s="54">
        <f t="shared" si="26"/>
        <v>0</v>
      </c>
      <c r="G245" s="11"/>
      <c r="H245" s="33">
        <v>240</v>
      </c>
      <c r="I245" s="34" t="str">
        <f t="shared" si="22"/>
        <v/>
      </c>
      <c r="J245" s="33">
        <f t="shared" si="27"/>
        <v>-6</v>
      </c>
      <c r="K245" s="33">
        <f t="shared" si="23"/>
        <v>-60</v>
      </c>
      <c r="L245" s="33"/>
      <c r="M245" s="35">
        <f t="shared" si="24"/>
        <v>0</v>
      </c>
      <c r="N245" s="35">
        <f t="shared" si="25"/>
        <v>0</v>
      </c>
    </row>
    <row r="246" spans="1:14" x14ac:dyDescent="0.25">
      <c r="A246" s="54">
        <f t="shared" si="26"/>
        <v>0</v>
      </c>
      <c r="G246" s="11"/>
      <c r="H246" s="33">
        <v>241</v>
      </c>
      <c r="I246" s="34" t="str">
        <f t="shared" si="22"/>
        <v/>
      </c>
      <c r="J246" s="33">
        <f t="shared" si="27"/>
        <v>-6</v>
      </c>
      <c r="K246" s="33">
        <f t="shared" si="23"/>
        <v>-60</v>
      </c>
      <c r="L246" s="33"/>
      <c r="M246" s="35">
        <f t="shared" si="24"/>
        <v>0</v>
      </c>
      <c r="N246" s="35">
        <f t="shared" si="25"/>
        <v>0</v>
      </c>
    </row>
    <row r="247" spans="1:14" x14ac:dyDescent="0.25">
      <c r="A247" s="54">
        <f t="shared" si="26"/>
        <v>0</v>
      </c>
      <c r="G247" s="11"/>
      <c r="H247" s="33">
        <v>242</v>
      </c>
      <c r="I247" s="34" t="str">
        <f t="shared" si="22"/>
        <v/>
      </c>
      <c r="J247" s="33">
        <f t="shared" si="27"/>
        <v>-6</v>
      </c>
      <c r="K247" s="33">
        <f t="shared" si="23"/>
        <v>-60</v>
      </c>
      <c r="L247" s="33"/>
      <c r="M247" s="35">
        <f t="shared" si="24"/>
        <v>0</v>
      </c>
      <c r="N247" s="35">
        <f t="shared" si="25"/>
        <v>0</v>
      </c>
    </row>
    <row r="248" spans="1:14" x14ac:dyDescent="0.25">
      <c r="A248" s="54">
        <f t="shared" si="26"/>
        <v>0</v>
      </c>
      <c r="G248" s="11"/>
      <c r="H248" s="33">
        <v>243</v>
      </c>
      <c r="I248" s="34" t="str">
        <f t="shared" si="22"/>
        <v/>
      </c>
      <c r="J248" s="33">
        <f t="shared" si="27"/>
        <v>-6</v>
      </c>
      <c r="K248" s="33">
        <f t="shared" si="23"/>
        <v>-60</v>
      </c>
      <c r="L248" s="33"/>
      <c r="M248" s="35">
        <f t="shared" si="24"/>
        <v>0</v>
      </c>
      <c r="N248" s="35">
        <f t="shared" si="25"/>
        <v>0</v>
      </c>
    </row>
    <row r="249" spans="1:14" x14ac:dyDescent="0.25">
      <c r="A249" s="54">
        <f t="shared" si="26"/>
        <v>0</v>
      </c>
      <c r="G249" s="11"/>
      <c r="H249" s="33">
        <v>244</v>
      </c>
      <c r="I249" s="34" t="str">
        <f t="shared" si="22"/>
        <v/>
      </c>
      <c r="J249" s="33">
        <f t="shared" si="27"/>
        <v>-6</v>
      </c>
      <c r="K249" s="33">
        <f t="shared" si="23"/>
        <v>-60</v>
      </c>
      <c r="L249" s="33"/>
      <c r="M249" s="35">
        <f t="shared" si="24"/>
        <v>0</v>
      </c>
      <c r="N249" s="35">
        <f t="shared" si="25"/>
        <v>0</v>
      </c>
    </row>
    <row r="250" spans="1:14" x14ac:dyDescent="0.25">
      <c r="A250" s="54">
        <f t="shared" si="26"/>
        <v>0</v>
      </c>
      <c r="G250" s="11"/>
      <c r="H250" s="33">
        <v>245</v>
      </c>
      <c r="I250" s="34" t="str">
        <f t="shared" si="22"/>
        <v/>
      </c>
      <c r="J250" s="33">
        <f t="shared" si="27"/>
        <v>-6</v>
      </c>
      <c r="K250" s="33">
        <f t="shared" si="23"/>
        <v>-60</v>
      </c>
      <c r="L250" s="33"/>
      <c r="M250" s="35">
        <f t="shared" si="24"/>
        <v>0</v>
      </c>
      <c r="N250" s="35">
        <f t="shared" si="25"/>
        <v>0</v>
      </c>
    </row>
    <row r="251" spans="1:14" x14ac:dyDescent="0.25">
      <c r="A251" s="54">
        <f t="shared" si="26"/>
        <v>0</v>
      </c>
      <c r="G251" s="11"/>
      <c r="H251" s="33">
        <v>246</v>
      </c>
      <c r="I251" s="34" t="str">
        <f t="shared" si="22"/>
        <v/>
      </c>
      <c r="J251" s="33">
        <f t="shared" si="27"/>
        <v>-6</v>
      </c>
      <c r="K251" s="33">
        <f t="shared" si="23"/>
        <v>-60</v>
      </c>
      <c r="L251" s="33"/>
      <c r="M251" s="35">
        <f t="shared" si="24"/>
        <v>0</v>
      </c>
      <c r="N251" s="35">
        <f t="shared" si="25"/>
        <v>0</v>
      </c>
    </row>
    <row r="252" spans="1:14" x14ac:dyDescent="0.25">
      <c r="A252" s="54">
        <f t="shared" si="26"/>
        <v>0</v>
      </c>
      <c r="G252" s="11"/>
      <c r="H252" s="33">
        <v>247</v>
      </c>
      <c r="I252" s="34" t="str">
        <f t="shared" si="22"/>
        <v/>
      </c>
      <c r="J252" s="33">
        <f t="shared" si="27"/>
        <v>-6</v>
      </c>
      <c r="K252" s="33">
        <f t="shared" si="23"/>
        <v>-60</v>
      </c>
      <c r="L252" s="33"/>
      <c r="M252" s="35">
        <f t="shared" si="24"/>
        <v>0</v>
      </c>
      <c r="N252" s="35">
        <f t="shared" si="25"/>
        <v>0</v>
      </c>
    </row>
    <row r="253" spans="1:14" x14ac:dyDescent="0.25">
      <c r="A253" s="54">
        <f t="shared" si="26"/>
        <v>0</v>
      </c>
      <c r="G253" s="11"/>
      <c r="H253" s="33">
        <v>248</v>
      </c>
      <c r="I253" s="34" t="str">
        <f t="shared" si="22"/>
        <v/>
      </c>
      <c r="J253" s="33">
        <f t="shared" si="27"/>
        <v>-6</v>
      </c>
      <c r="K253" s="33">
        <f t="shared" si="23"/>
        <v>-60</v>
      </c>
      <c r="L253" s="33"/>
      <c r="M253" s="35">
        <f t="shared" si="24"/>
        <v>0</v>
      </c>
      <c r="N253" s="35">
        <f t="shared" si="25"/>
        <v>0</v>
      </c>
    </row>
    <row r="254" spans="1:14" x14ac:dyDescent="0.25">
      <c r="A254" s="54">
        <f t="shared" si="26"/>
        <v>0</v>
      </c>
      <c r="G254" s="11"/>
      <c r="H254" s="33">
        <v>249</v>
      </c>
      <c r="I254" s="34" t="str">
        <f t="shared" si="22"/>
        <v/>
      </c>
      <c r="J254" s="33">
        <f t="shared" si="27"/>
        <v>-6</v>
      </c>
      <c r="K254" s="33">
        <f t="shared" si="23"/>
        <v>-60</v>
      </c>
      <c r="L254" s="33"/>
      <c r="M254" s="35">
        <f t="shared" si="24"/>
        <v>0</v>
      </c>
      <c r="N254" s="35">
        <f t="shared" si="25"/>
        <v>0</v>
      </c>
    </row>
    <row r="255" spans="1:14" x14ac:dyDescent="0.25">
      <c r="A255" s="54">
        <f t="shared" si="26"/>
        <v>0</v>
      </c>
      <c r="G255" s="11"/>
      <c r="H255" s="33">
        <v>250</v>
      </c>
      <c r="I255" s="34" t="str">
        <f t="shared" si="22"/>
        <v/>
      </c>
      <c r="J255" s="33">
        <f t="shared" si="27"/>
        <v>-6</v>
      </c>
      <c r="K255" s="33">
        <f t="shared" si="23"/>
        <v>-60</v>
      </c>
      <c r="L255" s="33"/>
      <c r="M255" s="35">
        <f t="shared" si="24"/>
        <v>0</v>
      </c>
      <c r="N255" s="35">
        <f t="shared" si="25"/>
        <v>0</v>
      </c>
    </row>
    <row r="256" spans="1:14" x14ac:dyDescent="0.25">
      <c r="A256" s="54">
        <f t="shared" si="26"/>
        <v>0</v>
      </c>
      <c r="G256" s="11"/>
      <c r="H256" s="33">
        <v>251</v>
      </c>
      <c r="I256" s="34" t="str">
        <f t="shared" si="22"/>
        <v/>
      </c>
      <c r="J256" s="33">
        <f t="shared" si="27"/>
        <v>-6</v>
      </c>
      <c r="K256" s="33">
        <f t="shared" si="23"/>
        <v>-60</v>
      </c>
      <c r="L256" s="33"/>
      <c r="M256" s="35">
        <f t="shared" si="24"/>
        <v>0</v>
      </c>
      <c r="N256" s="35">
        <f t="shared" si="25"/>
        <v>0</v>
      </c>
    </row>
    <row r="257" spans="1:14" x14ac:dyDescent="0.25">
      <c r="A257" s="54">
        <f t="shared" si="26"/>
        <v>0</v>
      </c>
      <c r="G257" s="11"/>
      <c r="H257" s="33">
        <v>252</v>
      </c>
      <c r="I257" s="34" t="str">
        <f t="shared" si="22"/>
        <v/>
      </c>
      <c r="J257" s="33">
        <f t="shared" si="27"/>
        <v>-6</v>
      </c>
      <c r="K257" s="33">
        <f t="shared" si="23"/>
        <v>-60</v>
      </c>
      <c r="L257" s="33"/>
      <c r="M257" s="35">
        <f t="shared" si="24"/>
        <v>0</v>
      </c>
      <c r="N257" s="35">
        <f t="shared" si="25"/>
        <v>0</v>
      </c>
    </row>
    <row r="258" spans="1:14" x14ac:dyDescent="0.25">
      <c r="A258" s="54">
        <f t="shared" si="26"/>
        <v>0</v>
      </c>
      <c r="G258" s="11"/>
      <c r="H258" s="33">
        <v>253</v>
      </c>
      <c r="I258" s="34" t="str">
        <f t="shared" si="22"/>
        <v/>
      </c>
      <c r="J258" s="33">
        <f t="shared" si="27"/>
        <v>-6</v>
      </c>
      <c r="K258" s="33">
        <f t="shared" si="23"/>
        <v>-60</v>
      </c>
      <c r="L258" s="33"/>
      <c r="M258" s="35">
        <f t="shared" si="24"/>
        <v>0</v>
      </c>
      <c r="N258" s="35">
        <f t="shared" si="25"/>
        <v>0</v>
      </c>
    </row>
    <row r="259" spans="1:14" x14ac:dyDescent="0.25">
      <c r="A259" s="54">
        <f t="shared" si="26"/>
        <v>0</v>
      </c>
      <c r="G259" s="11"/>
      <c r="H259" s="33">
        <v>254</v>
      </c>
      <c r="I259" s="34" t="str">
        <f t="shared" si="22"/>
        <v/>
      </c>
      <c r="J259" s="33">
        <f t="shared" si="27"/>
        <v>-6</v>
      </c>
      <c r="K259" s="33">
        <f t="shared" si="23"/>
        <v>-60</v>
      </c>
      <c r="L259" s="33"/>
      <c r="M259" s="35">
        <f t="shared" si="24"/>
        <v>0</v>
      </c>
      <c r="N259" s="35">
        <f t="shared" si="25"/>
        <v>0</v>
      </c>
    </row>
    <row r="260" spans="1:14" x14ac:dyDescent="0.25">
      <c r="A260" s="54">
        <f t="shared" si="26"/>
        <v>0</v>
      </c>
      <c r="G260" s="11"/>
      <c r="H260" s="33">
        <v>255</v>
      </c>
      <c r="I260" s="34" t="str">
        <f t="shared" si="22"/>
        <v/>
      </c>
      <c r="J260" s="33">
        <f t="shared" si="27"/>
        <v>-6</v>
      </c>
      <c r="K260" s="33">
        <f t="shared" si="23"/>
        <v>-60</v>
      </c>
      <c r="L260" s="33"/>
      <c r="M260" s="35">
        <f t="shared" si="24"/>
        <v>0</v>
      </c>
      <c r="N260" s="35">
        <f t="shared" si="25"/>
        <v>0</v>
      </c>
    </row>
    <row r="261" spans="1:14" x14ac:dyDescent="0.25">
      <c r="A261" s="54">
        <f t="shared" si="26"/>
        <v>0</v>
      </c>
      <c r="G261" s="11"/>
      <c r="H261" s="33">
        <v>256</v>
      </c>
      <c r="I261" s="34" t="str">
        <f t="shared" si="22"/>
        <v/>
      </c>
      <c r="J261" s="33">
        <f t="shared" si="27"/>
        <v>-6</v>
      </c>
      <c r="K261" s="33">
        <f t="shared" si="23"/>
        <v>-60</v>
      </c>
      <c r="L261" s="33"/>
      <c r="M261" s="35">
        <f t="shared" si="24"/>
        <v>0</v>
      </c>
      <c r="N261" s="35">
        <f t="shared" si="25"/>
        <v>0</v>
      </c>
    </row>
    <row r="262" spans="1:14" x14ac:dyDescent="0.25">
      <c r="A262" s="54">
        <f t="shared" si="26"/>
        <v>0</v>
      </c>
      <c r="G262" s="11"/>
      <c r="H262" s="33">
        <v>257</v>
      </c>
      <c r="I262" s="34" t="str">
        <f t="shared" ref="I262:I305" si="28">IF(H262&lt;$H$2+1,($I$2-($I$2-1)*(LOG(H262)/LOG($H$2))),"")</f>
        <v/>
      </c>
      <c r="J262" s="33">
        <f t="shared" si="27"/>
        <v>-7</v>
      </c>
      <c r="K262" s="33">
        <f t="shared" ref="K262:K305" si="29">J262*$J$2</f>
        <v>-70</v>
      </c>
      <c r="L262" s="33"/>
      <c r="M262" s="35">
        <f t="shared" ref="M262:M305" si="30">IF(I262&lt;&gt;"",K262+I262+L262,0)</f>
        <v>0</v>
      </c>
      <c r="N262" s="35">
        <f t="shared" ref="N262:N305" si="31">IF(I262&lt;&gt;"",M262*L$2,0)</f>
        <v>0</v>
      </c>
    </row>
    <row r="263" spans="1:14" x14ac:dyDescent="0.25">
      <c r="A263" s="54">
        <f t="shared" ref="A263:A305" si="32">N263</f>
        <v>0</v>
      </c>
      <c r="G263" s="11"/>
      <c r="H263" s="33">
        <v>258</v>
      </c>
      <c r="I263" s="34" t="str">
        <f t="shared" si="28"/>
        <v/>
      </c>
      <c r="J263" s="33">
        <f t="shared" ref="J263:J305" si="33">INT(LOG($H$2,2))-ROUNDUP(LOG(H263,2),0)+IF(OR($H$2=1,$H$2=2,$H$2=4,$H$2=8,$H$2=16,$H$2=32,$H$2=64,$H$2=128,$H$2=256),0,1)</f>
        <v>-7</v>
      </c>
      <c r="K263" s="33">
        <f t="shared" si="29"/>
        <v>-70</v>
      </c>
      <c r="L263" s="33"/>
      <c r="M263" s="35">
        <f t="shared" si="30"/>
        <v>0</v>
      </c>
      <c r="N263" s="35">
        <f t="shared" si="31"/>
        <v>0</v>
      </c>
    </row>
    <row r="264" spans="1:14" x14ac:dyDescent="0.25">
      <c r="A264" s="54">
        <f t="shared" si="32"/>
        <v>0</v>
      </c>
      <c r="G264" s="11"/>
      <c r="H264" s="33">
        <v>259</v>
      </c>
      <c r="I264" s="34" t="str">
        <f t="shared" si="28"/>
        <v/>
      </c>
      <c r="J264" s="33">
        <f t="shared" si="33"/>
        <v>-7</v>
      </c>
      <c r="K264" s="33">
        <f t="shared" si="29"/>
        <v>-70</v>
      </c>
      <c r="L264" s="33"/>
      <c r="M264" s="35">
        <f t="shared" si="30"/>
        <v>0</v>
      </c>
      <c r="N264" s="35">
        <f t="shared" si="31"/>
        <v>0</v>
      </c>
    </row>
    <row r="265" spans="1:14" x14ac:dyDescent="0.25">
      <c r="A265" s="54">
        <f t="shared" si="32"/>
        <v>0</v>
      </c>
      <c r="G265" s="11"/>
      <c r="H265" s="33">
        <v>260</v>
      </c>
      <c r="I265" s="34" t="str">
        <f t="shared" si="28"/>
        <v/>
      </c>
      <c r="J265" s="33">
        <f t="shared" si="33"/>
        <v>-7</v>
      </c>
      <c r="K265" s="33">
        <f t="shared" si="29"/>
        <v>-70</v>
      </c>
      <c r="L265" s="33"/>
      <c r="M265" s="35">
        <f t="shared" si="30"/>
        <v>0</v>
      </c>
      <c r="N265" s="35">
        <f t="shared" si="31"/>
        <v>0</v>
      </c>
    </row>
    <row r="266" spans="1:14" x14ac:dyDescent="0.25">
      <c r="A266" s="54">
        <f t="shared" si="32"/>
        <v>0</v>
      </c>
      <c r="G266" s="11"/>
      <c r="H266" s="33">
        <v>261</v>
      </c>
      <c r="I266" s="34" t="str">
        <f t="shared" si="28"/>
        <v/>
      </c>
      <c r="J266" s="33">
        <f t="shared" si="33"/>
        <v>-7</v>
      </c>
      <c r="K266" s="33">
        <f t="shared" si="29"/>
        <v>-70</v>
      </c>
      <c r="L266" s="33"/>
      <c r="M266" s="35">
        <f t="shared" si="30"/>
        <v>0</v>
      </c>
      <c r="N266" s="35">
        <f t="shared" si="31"/>
        <v>0</v>
      </c>
    </row>
    <row r="267" spans="1:14" x14ac:dyDescent="0.25">
      <c r="A267" s="54">
        <f t="shared" si="32"/>
        <v>0</v>
      </c>
      <c r="G267" s="11"/>
      <c r="H267" s="33">
        <v>262</v>
      </c>
      <c r="I267" s="34" t="str">
        <f t="shared" si="28"/>
        <v/>
      </c>
      <c r="J267" s="33">
        <f t="shared" si="33"/>
        <v>-7</v>
      </c>
      <c r="K267" s="33">
        <f t="shared" si="29"/>
        <v>-70</v>
      </c>
      <c r="L267" s="33"/>
      <c r="M267" s="35">
        <f t="shared" si="30"/>
        <v>0</v>
      </c>
      <c r="N267" s="35">
        <f t="shared" si="31"/>
        <v>0</v>
      </c>
    </row>
    <row r="268" spans="1:14" x14ac:dyDescent="0.25">
      <c r="A268" s="54">
        <f t="shared" si="32"/>
        <v>0</v>
      </c>
      <c r="G268" s="11"/>
      <c r="H268" s="33">
        <v>263</v>
      </c>
      <c r="I268" s="34" t="str">
        <f t="shared" si="28"/>
        <v/>
      </c>
      <c r="J268" s="33">
        <f t="shared" si="33"/>
        <v>-7</v>
      </c>
      <c r="K268" s="33">
        <f t="shared" si="29"/>
        <v>-70</v>
      </c>
      <c r="L268" s="33"/>
      <c r="M268" s="35">
        <f t="shared" si="30"/>
        <v>0</v>
      </c>
      <c r="N268" s="35">
        <f t="shared" si="31"/>
        <v>0</v>
      </c>
    </row>
    <row r="269" spans="1:14" x14ac:dyDescent="0.25">
      <c r="A269" s="54">
        <f t="shared" si="32"/>
        <v>0</v>
      </c>
      <c r="G269" s="11"/>
      <c r="H269" s="33">
        <v>264</v>
      </c>
      <c r="I269" s="34" t="str">
        <f t="shared" si="28"/>
        <v/>
      </c>
      <c r="J269" s="33">
        <f t="shared" si="33"/>
        <v>-7</v>
      </c>
      <c r="K269" s="33">
        <f t="shared" si="29"/>
        <v>-70</v>
      </c>
      <c r="L269" s="33"/>
      <c r="M269" s="35">
        <f t="shared" si="30"/>
        <v>0</v>
      </c>
      <c r="N269" s="35">
        <f t="shared" si="31"/>
        <v>0</v>
      </c>
    </row>
    <row r="270" spans="1:14" x14ac:dyDescent="0.25">
      <c r="A270" s="54">
        <f t="shared" si="32"/>
        <v>0</v>
      </c>
      <c r="G270" s="11"/>
      <c r="H270" s="33">
        <v>265</v>
      </c>
      <c r="I270" s="34" t="str">
        <f t="shared" si="28"/>
        <v/>
      </c>
      <c r="J270" s="33">
        <f t="shared" si="33"/>
        <v>-7</v>
      </c>
      <c r="K270" s="33">
        <f t="shared" si="29"/>
        <v>-70</v>
      </c>
      <c r="L270" s="33"/>
      <c r="M270" s="35">
        <f t="shared" si="30"/>
        <v>0</v>
      </c>
      <c r="N270" s="35">
        <f t="shared" si="31"/>
        <v>0</v>
      </c>
    </row>
    <row r="271" spans="1:14" x14ac:dyDescent="0.25">
      <c r="A271" s="54">
        <f t="shared" si="32"/>
        <v>0</v>
      </c>
      <c r="G271" s="11"/>
      <c r="H271" s="33">
        <v>266</v>
      </c>
      <c r="I271" s="34" t="str">
        <f t="shared" si="28"/>
        <v/>
      </c>
      <c r="J271" s="33">
        <f t="shared" si="33"/>
        <v>-7</v>
      </c>
      <c r="K271" s="33">
        <f t="shared" si="29"/>
        <v>-70</v>
      </c>
      <c r="L271" s="33"/>
      <c r="M271" s="35">
        <f t="shared" si="30"/>
        <v>0</v>
      </c>
      <c r="N271" s="35">
        <f t="shared" si="31"/>
        <v>0</v>
      </c>
    </row>
    <row r="272" spans="1:14" x14ac:dyDescent="0.25">
      <c r="A272" s="54">
        <f t="shared" si="32"/>
        <v>0</v>
      </c>
      <c r="G272" s="11"/>
      <c r="H272" s="33">
        <v>267</v>
      </c>
      <c r="I272" s="34" t="str">
        <f t="shared" si="28"/>
        <v/>
      </c>
      <c r="J272" s="33">
        <f t="shared" si="33"/>
        <v>-7</v>
      </c>
      <c r="K272" s="33">
        <f t="shared" si="29"/>
        <v>-70</v>
      </c>
      <c r="L272" s="33"/>
      <c r="M272" s="35">
        <f t="shared" si="30"/>
        <v>0</v>
      </c>
      <c r="N272" s="35">
        <f t="shared" si="31"/>
        <v>0</v>
      </c>
    </row>
    <row r="273" spans="1:14" x14ac:dyDescent="0.25">
      <c r="A273" s="54">
        <f t="shared" si="32"/>
        <v>0</v>
      </c>
      <c r="G273" s="11"/>
      <c r="H273" s="33">
        <v>268</v>
      </c>
      <c r="I273" s="34" t="str">
        <f t="shared" si="28"/>
        <v/>
      </c>
      <c r="J273" s="33">
        <f t="shared" si="33"/>
        <v>-7</v>
      </c>
      <c r="K273" s="33">
        <f t="shared" si="29"/>
        <v>-70</v>
      </c>
      <c r="L273" s="33"/>
      <c r="M273" s="35">
        <f t="shared" si="30"/>
        <v>0</v>
      </c>
      <c r="N273" s="35">
        <f t="shared" si="31"/>
        <v>0</v>
      </c>
    </row>
    <row r="274" spans="1:14" x14ac:dyDescent="0.25">
      <c r="A274" s="54">
        <f t="shared" si="32"/>
        <v>0</v>
      </c>
      <c r="G274" s="11"/>
      <c r="H274" s="33">
        <v>269</v>
      </c>
      <c r="I274" s="34" t="str">
        <f t="shared" si="28"/>
        <v/>
      </c>
      <c r="J274" s="33">
        <f t="shared" si="33"/>
        <v>-7</v>
      </c>
      <c r="K274" s="33">
        <f t="shared" si="29"/>
        <v>-70</v>
      </c>
      <c r="L274" s="33"/>
      <c r="M274" s="35">
        <f t="shared" si="30"/>
        <v>0</v>
      </c>
      <c r="N274" s="35">
        <f t="shared" si="31"/>
        <v>0</v>
      </c>
    </row>
    <row r="275" spans="1:14" x14ac:dyDescent="0.25">
      <c r="A275" s="54">
        <f t="shared" si="32"/>
        <v>0</v>
      </c>
      <c r="G275" s="11"/>
      <c r="H275" s="33">
        <v>270</v>
      </c>
      <c r="I275" s="34" t="str">
        <f t="shared" si="28"/>
        <v/>
      </c>
      <c r="J275" s="33">
        <f t="shared" si="33"/>
        <v>-7</v>
      </c>
      <c r="K275" s="33">
        <f t="shared" si="29"/>
        <v>-70</v>
      </c>
      <c r="L275" s="33"/>
      <c r="M275" s="35">
        <f t="shared" si="30"/>
        <v>0</v>
      </c>
      <c r="N275" s="35">
        <f t="shared" si="31"/>
        <v>0</v>
      </c>
    </row>
    <row r="276" spans="1:14" x14ac:dyDescent="0.25">
      <c r="A276" s="54">
        <f t="shared" si="32"/>
        <v>0</v>
      </c>
      <c r="G276" s="11"/>
      <c r="H276" s="33">
        <v>271</v>
      </c>
      <c r="I276" s="34" t="str">
        <f t="shared" si="28"/>
        <v/>
      </c>
      <c r="J276" s="33">
        <f t="shared" si="33"/>
        <v>-7</v>
      </c>
      <c r="K276" s="33">
        <f t="shared" si="29"/>
        <v>-70</v>
      </c>
      <c r="L276" s="33"/>
      <c r="M276" s="35">
        <f t="shared" si="30"/>
        <v>0</v>
      </c>
      <c r="N276" s="35">
        <f t="shared" si="31"/>
        <v>0</v>
      </c>
    </row>
    <row r="277" spans="1:14" x14ac:dyDescent="0.25">
      <c r="A277" s="54">
        <f t="shared" si="32"/>
        <v>0</v>
      </c>
      <c r="G277" s="11"/>
      <c r="H277" s="33">
        <v>272</v>
      </c>
      <c r="I277" s="34" t="str">
        <f t="shared" si="28"/>
        <v/>
      </c>
      <c r="J277" s="33">
        <f t="shared" si="33"/>
        <v>-7</v>
      </c>
      <c r="K277" s="33">
        <f t="shared" si="29"/>
        <v>-70</v>
      </c>
      <c r="L277" s="33"/>
      <c r="M277" s="35">
        <f t="shared" si="30"/>
        <v>0</v>
      </c>
      <c r="N277" s="35">
        <f t="shared" si="31"/>
        <v>0</v>
      </c>
    </row>
    <row r="278" spans="1:14" x14ac:dyDescent="0.25">
      <c r="A278" s="54">
        <f t="shared" si="32"/>
        <v>0</v>
      </c>
      <c r="G278" s="11"/>
      <c r="H278" s="33">
        <v>273</v>
      </c>
      <c r="I278" s="34" t="str">
        <f t="shared" si="28"/>
        <v/>
      </c>
      <c r="J278" s="33">
        <f t="shared" si="33"/>
        <v>-7</v>
      </c>
      <c r="K278" s="33">
        <f t="shared" si="29"/>
        <v>-70</v>
      </c>
      <c r="L278" s="33"/>
      <c r="M278" s="35">
        <f t="shared" si="30"/>
        <v>0</v>
      </c>
      <c r="N278" s="35">
        <f t="shared" si="31"/>
        <v>0</v>
      </c>
    </row>
    <row r="279" spans="1:14" x14ac:dyDescent="0.25">
      <c r="A279" s="54">
        <f t="shared" si="32"/>
        <v>0</v>
      </c>
      <c r="G279" s="11"/>
      <c r="H279" s="33">
        <v>274</v>
      </c>
      <c r="I279" s="34" t="str">
        <f t="shared" si="28"/>
        <v/>
      </c>
      <c r="J279" s="33">
        <f t="shared" si="33"/>
        <v>-7</v>
      </c>
      <c r="K279" s="33">
        <f t="shared" si="29"/>
        <v>-70</v>
      </c>
      <c r="L279" s="33"/>
      <c r="M279" s="35">
        <f t="shared" si="30"/>
        <v>0</v>
      </c>
      <c r="N279" s="35">
        <f t="shared" si="31"/>
        <v>0</v>
      </c>
    </row>
    <row r="280" spans="1:14" x14ac:dyDescent="0.25">
      <c r="A280" s="54">
        <f t="shared" si="32"/>
        <v>0</v>
      </c>
      <c r="G280" s="11"/>
      <c r="H280" s="33">
        <v>275</v>
      </c>
      <c r="I280" s="34" t="str">
        <f t="shared" si="28"/>
        <v/>
      </c>
      <c r="J280" s="33">
        <f t="shared" si="33"/>
        <v>-7</v>
      </c>
      <c r="K280" s="33">
        <f t="shared" si="29"/>
        <v>-70</v>
      </c>
      <c r="L280" s="33"/>
      <c r="M280" s="35">
        <f t="shared" si="30"/>
        <v>0</v>
      </c>
      <c r="N280" s="35">
        <f t="shared" si="31"/>
        <v>0</v>
      </c>
    </row>
    <row r="281" spans="1:14" x14ac:dyDescent="0.25">
      <c r="A281" s="54">
        <f t="shared" si="32"/>
        <v>0</v>
      </c>
      <c r="G281" s="11"/>
      <c r="H281" s="33">
        <v>276</v>
      </c>
      <c r="I281" s="34" t="str">
        <f t="shared" si="28"/>
        <v/>
      </c>
      <c r="J281" s="33">
        <f t="shared" si="33"/>
        <v>-7</v>
      </c>
      <c r="K281" s="33">
        <f t="shared" si="29"/>
        <v>-70</v>
      </c>
      <c r="L281" s="33"/>
      <c r="M281" s="35">
        <f t="shared" si="30"/>
        <v>0</v>
      </c>
      <c r="N281" s="35">
        <f t="shared" si="31"/>
        <v>0</v>
      </c>
    </row>
    <row r="282" spans="1:14" x14ac:dyDescent="0.25">
      <c r="A282" s="54">
        <f t="shared" si="32"/>
        <v>0</v>
      </c>
      <c r="G282" s="11"/>
      <c r="H282" s="33">
        <v>277</v>
      </c>
      <c r="I282" s="34" t="str">
        <f t="shared" si="28"/>
        <v/>
      </c>
      <c r="J282" s="33">
        <f t="shared" si="33"/>
        <v>-7</v>
      </c>
      <c r="K282" s="33">
        <f t="shared" si="29"/>
        <v>-70</v>
      </c>
      <c r="L282" s="33"/>
      <c r="M282" s="35">
        <f t="shared" si="30"/>
        <v>0</v>
      </c>
      <c r="N282" s="35">
        <f t="shared" si="31"/>
        <v>0</v>
      </c>
    </row>
    <row r="283" spans="1:14" x14ac:dyDescent="0.25">
      <c r="A283" s="54">
        <f t="shared" si="32"/>
        <v>0</v>
      </c>
      <c r="G283" s="11"/>
      <c r="H283" s="33">
        <v>278</v>
      </c>
      <c r="I283" s="34" t="str">
        <f t="shared" si="28"/>
        <v/>
      </c>
      <c r="J283" s="33">
        <f t="shared" si="33"/>
        <v>-7</v>
      </c>
      <c r="K283" s="33">
        <f t="shared" si="29"/>
        <v>-70</v>
      </c>
      <c r="L283" s="33"/>
      <c r="M283" s="35">
        <f t="shared" si="30"/>
        <v>0</v>
      </c>
      <c r="N283" s="35">
        <f t="shared" si="31"/>
        <v>0</v>
      </c>
    </row>
    <row r="284" spans="1:14" x14ac:dyDescent="0.25">
      <c r="A284" s="54">
        <f t="shared" si="32"/>
        <v>0</v>
      </c>
      <c r="G284" s="11"/>
      <c r="H284" s="33">
        <v>279</v>
      </c>
      <c r="I284" s="34" t="str">
        <f t="shared" si="28"/>
        <v/>
      </c>
      <c r="J284" s="33">
        <f t="shared" si="33"/>
        <v>-7</v>
      </c>
      <c r="K284" s="33">
        <f t="shared" si="29"/>
        <v>-70</v>
      </c>
      <c r="L284" s="33"/>
      <c r="M284" s="35">
        <f t="shared" si="30"/>
        <v>0</v>
      </c>
      <c r="N284" s="35">
        <f t="shared" si="31"/>
        <v>0</v>
      </c>
    </row>
    <row r="285" spans="1:14" x14ac:dyDescent="0.25">
      <c r="A285" s="54">
        <f t="shared" si="32"/>
        <v>0</v>
      </c>
      <c r="G285" s="11"/>
      <c r="H285" s="33">
        <v>280</v>
      </c>
      <c r="I285" s="34" t="str">
        <f t="shared" si="28"/>
        <v/>
      </c>
      <c r="J285" s="33">
        <f t="shared" si="33"/>
        <v>-7</v>
      </c>
      <c r="K285" s="33">
        <f t="shared" si="29"/>
        <v>-70</v>
      </c>
      <c r="L285" s="33"/>
      <c r="M285" s="35">
        <f t="shared" si="30"/>
        <v>0</v>
      </c>
      <c r="N285" s="35">
        <f t="shared" si="31"/>
        <v>0</v>
      </c>
    </row>
    <row r="286" spans="1:14" x14ac:dyDescent="0.25">
      <c r="A286" s="54">
        <f t="shared" si="32"/>
        <v>0</v>
      </c>
      <c r="G286" s="11"/>
      <c r="H286" s="33">
        <v>281</v>
      </c>
      <c r="I286" s="34" t="str">
        <f t="shared" si="28"/>
        <v/>
      </c>
      <c r="J286" s="33">
        <f t="shared" si="33"/>
        <v>-7</v>
      </c>
      <c r="K286" s="33">
        <f t="shared" si="29"/>
        <v>-70</v>
      </c>
      <c r="L286" s="33"/>
      <c r="M286" s="35">
        <f t="shared" si="30"/>
        <v>0</v>
      </c>
      <c r="N286" s="35">
        <f t="shared" si="31"/>
        <v>0</v>
      </c>
    </row>
    <row r="287" spans="1:14" x14ac:dyDescent="0.25">
      <c r="A287" s="54">
        <f t="shared" si="32"/>
        <v>0</v>
      </c>
      <c r="G287" s="11"/>
      <c r="H287" s="33">
        <v>282</v>
      </c>
      <c r="I287" s="34" t="str">
        <f t="shared" si="28"/>
        <v/>
      </c>
      <c r="J287" s="33">
        <f t="shared" si="33"/>
        <v>-7</v>
      </c>
      <c r="K287" s="33">
        <f t="shared" si="29"/>
        <v>-70</v>
      </c>
      <c r="L287" s="33"/>
      <c r="M287" s="35">
        <f t="shared" si="30"/>
        <v>0</v>
      </c>
      <c r="N287" s="35">
        <f t="shared" si="31"/>
        <v>0</v>
      </c>
    </row>
    <row r="288" spans="1:14" x14ac:dyDescent="0.25">
      <c r="A288" s="54">
        <f t="shared" si="32"/>
        <v>0</v>
      </c>
      <c r="G288" s="11"/>
      <c r="H288" s="33">
        <v>283</v>
      </c>
      <c r="I288" s="34" t="str">
        <f t="shared" si="28"/>
        <v/>
      </c>
      <c r="J288" s="33">
        <f t="shared" si="33"/>
        <v>-7</v>
      </c>
      <c r="K288" s="33">
        <f t="shared" si="29"/>
        <v>-70</v>
      </c>
      <c r="L288" s="33"/>
      <c r="M288" s="35">
        <f t="shared" si="30"/>
        <v>0</v>
      </c>
      <c r="N288" s="35">
        <f t="shared" si="31"/>
        <v>0</v>
      </c>
    </row>
    <row r="289" spans="1:14" x14ac:dyDescent="0.25">
      <c r="A289" s="54">
        <f t="shared" si="32"/>
        <v>0</v>
      </c>
      <c r="G289" s="11"/>
      <c r="H289" s="33">
        <v>284</v>
      </c>
      <c r="I289" s="34" t="str">
        <f t="shared" si="28"/>
        <v/>
      </c>
      <c r="J289" s="33">
        <f t="shared" si="33"/>
        <v>-7</v>
      </c>
      <c r="K289" s="33">
        <f t="shared" si="29"/>
        <v>-70</v>
      </c>
      <c r="L289" s="33"/>
      <c r="M289" s="35">
        <f t="shared" si="30"/>
        <v>0</v>
      </c>
      <c r="N289" s="35">
        <f t="shared" si="31"/>
        <v>0</v>
      </c>
    </row>
    <row r="290" spans="1:14" x14ac:dyDescent="0.25">
      <c r="A290" s="54">
        <f t="shared" si="32"/>
        <v>0</v>
      </c>
      <c r="G290" s="11"/>
      <c r="H290" s="33">
        <v>285</v>
      </c>
      <c r="I290" s="34" t="str">
        <f t="shared" si="28"/>
        <v/>
      </c>
      <c r="J290" s="33">
        <f t="shared" si="33"/>
        <v>-7</v>
      </c>
      <c r="K290" s="33">
        <f t="shared" si="29"/>
        <v>-70</v>
      </c>
      <c r="L290" s="33"/>
      <c r="M290" s="35">
        <f t="shared" si="30"/>
        <v>0</v>
      </c>
      <c r="N290" s="35">
        <f t="shared" si="31"/>
        <v>0</v>
      </c>
    </row>
    <row r="291" spans="1:14" x14ac:dyDescent="0.25">
      <c r="A291" s="54">
        <f t="shared" si="32"/>
        <v>0</v>
      </c>
      <c r="G291" s="11"/>
      <c r="H291" s="33">
        <v>286</v>
      </c>
      <c r="I291" s="34" t="str">
        <f t="shared" si="28"/>
        <v/>
      </c>
      <c r="J291" s="33">
        <f t="shared" si="33"/>
        <v>-7</v>
      </c>
      <c r="K291" s="33">
        <f t="shared" si="29"/>
        <v>-70</v>
      </c>
      <c r="L291" s="33"/>
      <c r="M291" s="35">
        <f t="shared" si="30"/>
        <v>0</v>
      </c>
      <c r="N291" s="35">
        <f t="shared" si="31"/>
        <v>0</v>
      </c>
    </row>
    <row r="292" spans="1:14" x14ac:dyDescent="0.25">
      <c r="A292" s="54">
        <f t="shared" si="32"/>
        <v>0</v>
      </c>
      <c r="G292" s="11"/>
      <c r="H292" s="33">
        <v>287</v>
      </c>
      <c r="I292" s="34" t="str">
        <f t="shared" si="28"/>
        <v/>
      </c>
      <c r="J292" s="33">
        <f t="shared" si="33"/>
        <v>-7</v>
      </c>
      <c r="K292" s="33">
        <f t="shared" si="29"/>
        <v>-70</v>
      </c>
      <c r="L292" s="33"/>
      <c r="M292" s="35">
        <f t="shared" si="30"/>
        <v>0</v>
      </c>
      <c r="N292" s="35">
        <f t="shared" si="31"/>
        <v>0</v>
      </c>
    </row>
    <row r="293" spans="1:14" x14ac:dyDescent="0.25">
      <c r="A293" s="54">
        <f t="shared" si="32"/>
        <v>0</v>
      </c>
      <c r="G293" s="11"/>
      <c r="H293" s="33">
        <v>288</v>
      </c>
      <c r="I293" s="34" t="str">
        <f t="shared" si="28"/>
        <v/>
      </c>
      <c r="J293" s="33">
        <f t="shared" si="33"/>
        <v>-7</v>
      </c>
      <c r="K293" s="33">
        <f t="shared" si="29"/>
        <v>-70</v>
      </c>
      <c r="L293" s="33"/>
      <c r="M293" s="35">
        <f t="shared" si="30"/>
        <v>0</v>
      </c>
      <c r="N293" s="35">
        <f t="shared" si="31"/>
        <v>0</v>
      </c>
    </row>
    <row r="294" spans="1:14" x14ac:dyDescent="0.25">
      <c r="A294" s="54">
        <f t="shared" si="32"/>
        <v>0</v>
      </c>
      <c r="G294" s="11"/>
      <c r="H294" s="33">
        <v>289</v>
      </c>
      <c r="I294" s="34" t="str">
        <f t="shared" si="28"/>
        <v/>
      </c>
      <c r="J294" s="33">
        <f t="shared" si="33"/>
        <v>-7</v>
      </c>
      <c r="K294" s="33">
        <f t="shared" si="29"/>
        <v>-70</v>
      </c>
      <c r="L294" s="33"/>
      <c r="M294" s="35">
        <f t="shared" si="30"/>
        <v>0</v>
      </c>
      <c r="N294" s="35">
        <f t="shared" si="31"/>
        <v>0</v>
      </c>
    </row>
    <row r="295" spans="1:14" x14ac:dyDescent="0.25">
      <c r="A295" s="54">
        <f t="shared" si="32"/>
        <v>0</v>
      </c>
      <c r="G295" s="11"/>
      <c r="H295" s="33">
        <v>290</v>
      </c>
      <c r="I295" s="34" t="str">
        <f t="shared" si="28"/>
        <v/>
      </c>
      <c r="J295" s="33">
        <f t="shared" si="33"/>
        <v>-7</v>
      </c>
      <c r="K295" s="33">
        <f t="shared" si="29"/>
        <v>-70</v>
      </c>
      <c r="L295" s="33"/>
      <c r="M295" s="35">
        <f t="shared" si="30"/>
        <v>0</v>
      </c>
      <c r="N295" s="35">
        <f t="shared" si="31"/>
        <v>0</v>
      </c>
    </row>
    <row r="296" spans="1:14" x14ac:dyDescent="0.25">
      <c r="A296" s="54">
        <f t="shared" si="32"/>
        <v>0</v>
      </c>
      <c r="G296" s="11"/>
      <c r="H296" s="33">
        <v>291</v>
      </c>
      <c r="I296" s="34" t="str">
        <f t="shared" si="28"/>
        <v/>
      </c>
      <c r="J296" s="33">
        <f t="shared" si="33"/>
        <v>-7</v>
      </c>
      <c r="K296" s="33">
        <f t="shared" si="29"/>
        <v>-70</v>
      </c>
      <c r="L296" s="33"/>
      <c r="M296" s="35">
        <f t="shared" si="30"/>
        <v>0</v>
      </c>
      <c r="N296" s="35">
        <f t="shared" si="31"/>
        <v>0</v>
      </c>
    </row>
    <row r="297" spans="1:14" x14ac:dyDescent="0.25">
      <c r="A297" s="54">
        <f t="shared" si="32"/>
        <v>0</v>
      </c>
      <c r="G297" s="11"/>
      <c r="H297" s="33">
        <v>292</v>
      </c>
      <c r="I297" s="34" t="str">
        <f t="shared" si="28"/>
        <v/>
      </c>
      <c r="J297" s="33">
        <f t="shared" si="33"/>
        <v>-7</v>
      </c>
      <c r="K297" s="33">
        <f t="shared" si="29"/>
        <v>-70</v>
      </c>
      <c r="L297" s="33"/>
      <c r="M297" s="35">
        <f t="shared" si="30"/>
        <v>0</v>
      </c>
      <c r="N297" s="35">
        <f t="shared" si="31"/>
        <v>0</v>
      </c>
    </row>
    <row r="298" spans="1:14" x14ac:dyDescent="0.25">
      <c r="A298" s="54">
        <f t="shared" si="32"/>
        <v>0</v>
      </c>
      <c r="G298" s="11"/>
      <c r="H298" s="33">
        <v>293</v>
      </c>
      <c r="I298" s="34" t="str">
        <f t="shared" si="28"/>
        <v/>
      </c>
      <c r="J298" s="33">
        <f t="shared" si="33"/>
        <v>-7</v>
      </c>
      <c r="K298" s="33">
        <f t="shared" si="29"/>
        <v>-70</v>
      </c>
      <c r="L298" s="33"/>
      <c r="M298" s="35">
        <f t="shared" si="30"/>
        <v>0</v>
      </c>
      <c r="N298" s="35">
        <f t="shared" si="31"/>
        <v>0</v>
      </c>
    </row>
    <row r="299" spans="1:14" x14ac:dyDescent="0.25">
      <c r="A299" s="54">
        <f t="shared" si="32"/>
        <v>0</v>
      </c>
      <c r="G299" s="11"/>
      <c r="H299" s="33">
        <v>294</v>
      </c>
      <c r="I299" s="34" t="str">
        <f t="shared" si="28"/>
        <v/>
      </c>
      <c r="J299" s="33">
        <f t="shared" si="33"/>
        <v>-7</v>
      </c>
      <c r="K299" s="33">
        <f t="shared" si="29"/>
        <v>-70</v>
      </c>
      <c r="L299" s="33"/>
      <c r="M299" s="35">
        <f t="shared" si="30"/>
        <v>0</v>
      </c>
      <c r="N299" s="35">
        <f t="shared" si="31"/>
        <v>0</v>
      </c>
    </row>
    <row r="300" spans="1:14" x14ac:dyDescent="0.25">
      <c r="A300" s="54">
        <f t="shared" si="32"/>
        <v>0</v>
      </c>
      <c r="G300" s="11"/>
      <c r="H300" s="33">
        <v>295</v>
      </c>
      <c r="I300" s="34" t="str">
        <f t="shared" si="28"/>
        <v/>
      </c>
      <c r="J300" s="33">
        <f t="shared" si="33"/>
        <v>-7</v>
      </c>
      <c r="K300" s="33">
        <f t="shared" si="29"/>
        <v>-70</v>
      </c>
      <c r="L300" s="33"/>
      <c r="M300" s="35">
        <f t="shared" si="30"/>
        <v>0</v>
      </c>
      <c r="N300" s="35">
        <f t="shared" si="31"/>
        <v>0</v>
      </c>
    </row>
    <row r="301" spans="1:14" x14ac:dyDescent="0.25">
      <c r="A301" s="54">
        <f t="shared" si="32"/>
        <v>0</v>
      </c>
      <c r="G301" s="11"/>
      <c r="H301" s="33">
        <v>296</v>
      </c>
      <c r="I301" s="34" t="str">
        <f t="shared" si="28"/>
        <v/>
      </c>
      <c r="J301" s="33">
        <f t="shared" si="33"/>
        <v>-7</v>
      </c>
      <c r="K301" s="33">
        <f t="shared" si="29"/>
        <v>-70</v>
      </c>
      <c r="L301" s="33"/>
      <c r="M301" s="35">
        <f t="shared" si="30"/>
        <v>0</v>
      </c>
      <c r="N301" s="35">
        <f t="shared" si="31"/>
        <v>0</v>
      </c>
    </row>
    <row r="302" spans="1:14" x14ac:dyDescent="0.25">
      <c r="A302" s="54">
        <f t="shared" si="32"/>
        <v>0</v>
      </c>
      <c r="G302" s="11"/>
      <c r="H302" s="33">
        <v>297</v>
      </c>
      <c r="I302" s="34" t="str">
        <f t="shared" si="28"/>
        <v/>
      </c>
      <c r="J302" s="33">
        <f t="shared" si="33"/>
        <v>-7</v>
      </c>
      <c r="K302" s="33">
        <f t="shared" si="29"/>
        <v>-70</v>
      </c>
      <c r="L302" s="33"/>
      <c r="M302" s="35">
        <f t="shared" si="30"/>
        <v>0</v>
      </c>
      <c r="N302" s="35">
        <f t="shared" si="31"/>
        <v>0</v>
      </c>
    </row>
    <row r="303" spans="1:14" x14ac:dyDescent="0.25">
      <c r="A303" s="54">
        <f t="shared" si="32"/>
        <v>0</v>
      </c>
      <c r="G303" s="11"/>
      <c r="H303" s="33">
        <v>298</v>
      </c>
      <c r="I303" s="34" t="str">
        <f t="shared" si="28"/>
        <v/>
      </c>
      <c r="J303" s="33">
        <f t="shared" si="33"/>
        <v>-7</v>
      </c>
      <c r="K303" s="33">
        <f t="shared" si="29"/>
        <v>-70</v>
      </c>
      <c r="L303" s="33"/>
      <c r="M303" s="35">
        <f t="shared" si="30"/>
        <v>0</v>
      </c>
      <c r="N303" s="35">
        <f t="shared" si="31"/>
        <v>0</v>
      </c>
    </row>
    <row r="304" spans="1:14" x14ac:dyDescent="0.25">
      <c r="A304" s="54">
        <f t="shared" si="32"/>
        <v>0</v>
      </c>
      <c r="G304" s="11"/>
      <c r="H304" s="33">
        <v>299</v>
      </c>
      <c r="I304" s="34" t="str">
        <f t="shared" si="28"/>
        <v/>
      </c>
      <c r="J304" s="33">
        <f t="shared" si="33"/>
        <v>-7</v>
      </c>
      <c r="K304" s="33">
        <f t="shared" si="29"/>
        <v>-70</v>
      </c>
      <c r="L304" s="33"/>
      <c r="M304" s="35">
        <f t="shared" si="30"/>
        <v>0</v>
      </c>
      <c r="N304" s="35">
        <f t="shared" si="31"/>
        <v>0</v>
      </c>
    </row>
    <row r="305" spans="1:17" x14ac:dyDescent="0.25">
      <c r="A305" s="54">
        <f t="shared" si="32"/>
        <v>0</v>
      </c>
      <c r="G305" s="11"/>
      <c r="H305" s="33">
        <v>300</v>
      </c>
      <c r="I305" s="34" t="str">
        <f t="shared" si="28"/>
        <v/>
      </c>
      <c r="J305" s="33">
        <f t="shared" si="33"/>
        <v>-7</v>
      </c>
      <c r="K305" s="33">
        <f t="shared" si="29"/>
        <v>-70</v>
      </c>
      <c r="L305" s="33"/>
      <c r="M305" s="35">
        <f t="shared" si="30"/>
        <v>0</v>
      </c>
      <c r="N305" s="35">
        <f t="shared" si="31"/>
        <v>0</v>
      </c>
    </row>
    <row r="306" spans="1:17" x14ac:dyDescent="0.25">
      <c r="A306" s="56"/>
    </row>
    <row r="314" spans="1:17" x14ac:dyDescent="0.25">
      <c r="L314" s="59"/>
      <c r="M314" s="59"/>
      <c r="Q314" s="49"/>
    </row>
    <row r="315" spans="1:17" x14ac:dyDescent="0.25">
      <c r="L315" s="59"/>
      <c r="M315" s="59"/>
      <c r="Q315" s="49"/>
    </row>
    <row r="316" spans="1:17" x14ac:dyDescent="0.25">
      <c r="L316" s="59"/>
      <c r="M316" s="59"/>
      <c r="Q316" s="49"/>
    </row>
    <row r="317" spans="1:17" x14ac:dyDescent="0.25">
      <c r="L317" s="59"/>
      <c r="M317" s="59"/>
      <c r="Q317" s="49"/>
    </row>
  </sheetData>
  <mergeCells count="2">
    <mergeCell ref="C2:D2"/>
    <mergeCell ref="C3:D3"/>
  </mergeCells>
  <conditionalFormatting sqref="J6:N305">
    <cfRule type="cellIs" dxfId="21" priority="1" operator="lessThanOrEqual">
      <formula>0</formula>
    </cfRule>
  </conditionalFormatting>
  <dataValidations count="1">
    <dataValidation type="list" allowBlank="1" showInputMessage="1" showErrorMessage="1" sqref="C38:C69" xr:uid="{D89B2BBA-F4A5-4E5C-B1F9-81BA30350FF4}">
      <formula1>#REF!</formula1>
    </dataValidation>
  </dataValidations>
  <hyperlinks>
    <hyperlink ref="C2" r:id="rId1" location="today" display="https://www.fencingtimelive.com/tournaments/eventSchedule/B2C615704AB84D0F85BBFF395C07BA41 - today" xr:uid="{076B5DF0-4F36-4385-A232-8ED0D28D8391}"/>
    <hyperlink ref="C2:D2" r:id="rId2" display="PABIANICE" xr:uid="{9EBBCEB0-91B9-460A-9294-1D91D3996B5D}"/>
  </hyperlinks>
  <pageMargins left="0.7" right="0.7" top="0.75" bottom="0.75" header="0.3" footer="0.3"/>
  <pageSetup paperSize="9"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DAA25-8D9E-4D56-ABE8-DAF4A0A16ABF}">
  <dimension ref="A1:AM165"/>
  <sheetViews>
    <sheetView workbookViewId="0">
      <selection activeCell="D6" sqref="D6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4" max="4" width="9.125" bestFit="1" customWidth="1"/>
    <col min="5" max="5" width="5.125" customWidth="1"/>
    <col min="6" max="6" width="6.375" bestFit="1" customWidth="1"/>
    <col min="7" max="7" width="5.125" customWidth="1"/>
    <col min="8" max="8" width="6.375" bestFit="1" customWidth="1"/>
    <col min="9" max="15" width="5.125" customWidth="1"/>
    <col min="16" max="16" width="6.375" bestFit="1" customWidth="1"/>
    <col min="17" max="17" width="2" customWidth="1"/>
    <col min="18" max="18" width="5.125" customWidth="1"/>
    <col min="19" max="19" width="6.375" bestFit="1" customWidth="1"/>
    <col min="20" max="20" width="5.125" customWidth="1"/>
    <col min="21" max="21" width="6.375" bestFit="1" customWidth="1"/>
    <col min="22" max="22" width="5.125" customWidth="1"/>
    <col min="23" max="23" width="6.375" bestFit="1" customWidth="1"/>
    <col min="24" max="37" width="6.375" customWidth="1"/>
    <col min="38" max="38" width="5.125" customWidth="1"/>
    <col min="39" max="39" width="6.375" bestFit="1" customWidth="1"/>
  </cols>
  <sheetData>
    <row r="1" spans="1:39" ht="13.75" customHeight="1" thickTop="1" x14ac:dyDescent="0.2">
      <c r="A1" s="3"/>
      <c r="B1" s="3"/>
      <c r="C1" s="3"/>
      <c r="D1" s="244" t="s">
        <v>54</v>
      </c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R1" s="249" t="s">
        <v>144</v>
      </c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0"/>
      <c r="AM1" s="251"/>
    </row>
    <row r="2" spans="1:39" ht="13.75" customHeight="1" x14ac:dyDescent="0.2">
      <c r="A2" s="3"/>
      <c r="B2" s="207" t="s">
        <v>0</v>
      </c>
      <c r="C2" s="3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R2" s="252"/>
      <c r="S2" s="253"/>
      <c r="T2" s="253"/>
      <c r="U2" s="253"/>
      <c r="V2" s="253"/>
      <c r="W2" s="253"/>
      <c r="X2" s="253"/>
      <c r="Y2" s="253"/>
      <c r="Z2" s="253"/>
      <c r="AA2" s="253"/>
      <c r="AB2" s="253"/>
      <c r="AC2" s="253"/>
      <c r="AD2" s="253"/>
      <c r="AE2" s="253"/>
      <c r="AF2" s="253"/>
      <c r="AG2" s="253"/>
      <c r="AH2" s="253"/>
      <c r="AI2" s="253"/>
      <c r="AJ2" s="253"/>
      <c r="AK2" s="253"/>
      <c r="AL2" s="253"/>
      <c r="AM2" s="254"/>
    </row>
    <row r="3" spans="1:39" ht="13.75" customHeight="1" thickBot="1" x14ac:dyDescent="0.3">
      <c r="A3" s="3"/>
      <c r="B3" s="3"/>
      <c r="C3" s="3"/>
      <c r="D3" s="64" t="s">
        <v>55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255"/>
      <c r="S3" s="256"/>
      <c r="T3" s="256"/>
      <c r="U3" s="256"/>
      <c r="V3" s="256"/>
      <c r="W3" s="256"/>
      <c r="X3" s="256"/>
      <c r="Y3" s="256"/>
      <c r="Z3" s="256"/>
      <c r="AA3" s="256"/>
      <c r="AB3" s="256"/>
      <c r="AC3" s="256"/>
      <c r="AD3" s="256"/>
      <c r="AE3" s="256"/>
      <c r="AF3" s="256"/>
      <c r="AG3" s="256"/>
      <c r="AH3" s="256"/>
      <c r="AI3" s="256"/>
      <c r="AJ3" s="256"/>
      <c r="AK3" s="256"/>
      <c r="AL3" s="256"/>
      <c r="AM3" s="257"/>
    </row>
    <row r="4" spans="1:39" ht="24.8" customHeight="1" thickTop="1" x14ac:dyDescent="0.2">
      <c r="A4" s="258" t="s">
        <v>2</v>
      </c>
      <c r="B4" s="260" t="s">
        <v>3</v>
      </c>
      <c r="C4" s="260" t="s">
        <v>4</v>
      </c>
      <c r="D4" s="260" t="s">
        <v>5</v>
      </c>
      <c r="E4" s="245" t="s">
        <v>71</v>
      </c>
      <c r="F4" s="246"/>
      <c r="G4" s="245" t="s">
        <v>88</v>
      </c>
      <c r="H4" s="246"/>
      <c r="I4" s="235" t="s">
        <v>91</v>
      </c>
      <c r="J4" s="236"/>
      <c r="K4" s="235" t="s">
        <v>103</v>
      </c>
      <c r="L4" s="236"/>
      <c r="M4" s="235" t="s">
        <v>105</v>
      </c>
      <c r="N4" s="236"/>
      <c r="O4" s="245" t="s">
        <v>6</v>
      </c>
      <c r="P4" s="246"/>
      <c r="R4" s="247" t="s">
        <v>67</v>
      </c>
      <c r="S4" s="248"/>
      <c r="T4" s="247" t="s">
        <v>90</v>
      </c>
      <c r="U4" s="248"/>
      <c r="V4" s="247" t="s">
        <v>96</v>
      </c>
      <c r="W4" s="248"/>
      <c r="X4" s="247" t="s">
        <v>98</v>
      </c>
      <c r="Y4" s="248"/>
      <c r="Z4" s="247" t="s">
        <v>100</v>
      </c>
      <c r="AA4" s="248"/>
      <c r="AB4" s="247" t="s">
        <v>102</v>
      </c>
      <c r="AC4" s="248"/>
      <c r="AD4" s="247" t="s">
        <v>108</v>
      </c>
      <c r="AE4" s="248"/>
      <c r="AF4" s="247" t="s">
        <v>109</v>
      </c>
      <c r="AG4" s="248"/>
      <c r="AH4" s="247" t="s">
        <v>110</v>
      </c>
      <c r="AI4" s="248"/>
      <c r="AJ4" s="247" t="s">
        <v>145</v>
      </c>
      <c r="AK4" s="248"/>
      <c r="AL4" s="247" t="s">
        <v>56</v>
      </c>
      <c r="AM4" s="248"/>
    </row>
    <row r="5" spans="1:39" ht="18" customHeight="1" x14ac:dyDescent="0.2">
      <c r="A5" s="259"/>
      <c r="B5" s="261"/>
      <c r="C5" s="261"/>
      <c r="D5" s="262"/>
      <c r="E5" s="65" t="s">
        <v>7</v>
      </c>
      <c r="F5" s="65" t="s">
        <v>8</v>
      </c>
      <c r="G5" s="65" t="s">
        <v>7</v>
      </c>
      <c r="H5" s="66" t="s">
        <v>8</v>
      </c>
      <c r="I5" s="2" t="s">
        <v>7</v>
      </c>
      <c r="J5" s="6" t="s">
        <v>8</v>
      </c>
      <c r="K5" s="2" t="s">
        <v>7</v>
      </c>
      <c r="L5" s="6" t="s">
        <v>8</v>
      </c>
      <c r="M5" s="2" t="s">
        <v>7</v>
      </c>
      <c r="N5" s="6" t="s">
        <v>8</v>
      </c>
      <c r="O5" s="65" t="s">
        <v>7</v>
      </c>
      <c r="P5" s="66" t="s">
        <v>8</v>
      </c>
      <c r="R5" s="67" t="s">
        <v>7</v>
      </c>
      <c r="S5" s="68" t="s">
        <v>8</v>
      </c>
      <c r="T5" s="67" t="s">
        <v>7</v>
      </c>
      <c r="U5" s="68" t="s">
        <v>8</v>
      </c>
      <c r="V5" s="67" t="s">
        <v>7</v>
      </c>
      <c r="W5" s="68" t="s">
        <v>8</v>
      </c>
      <c r="X5" s="67" t="s">
        <v>7</v>
      </c>
      <c r="Y5" s="68" t="s">
        <v>8</v>
      </c>
      <c r="Z5" s="67" t="s">
        <v>7</v>
      </c>
      <c r="AA5" s="68" t="s">
        <v>8</v>
      </c>
      <c r="AB5" s="67" t="s">
        <v>7</v>
      </c>
      <c r="AC5" s="68" t="s">
        <v>8</v>
      </c>
      <c r="AD5" s="67" t="s">
        <v>7</v>
      </c>
      <c r="AE5" s="68" t="s">
        <v>8</v>
      </c>
      <c r="AF5" s="67" t="s">
        <v>7</v>
      </c>
      <c r="AG5" s="68" t="s">
        <v>8</v>
      </c>
      <c r="AH5" s="247" t="s">
        <v>110</v>
      </c>
      <c r="AI5" s="248"/>
      <c r="AJ5" s="247" t="s">
        <v>110</v>
      </c>
      <c r="AK5" s="248"/>
      <c r="AL5" s="67" t="s">
        <v>7</v>
      </c>
      <c r="AM5" s="68" t="s">
        <v>8</v>
      </c>
    </row>
    <row r="6" spans="1:39" ht="14.8" customHeight="1" x14ac:dyDescent="0.25">
      <c r="A6" s="7">
        <f t="shared" ref="A6:A25" si="0">ROW()-5</f>
        <v>1</v>
      </c>
      <c r="B6" s="115" t="s">
        <v>9</v>
      </c>
      <c r="C6" s="198"/>
      <c r="D6" s="69">
        <f>SUM(F6,H6,J6,L6,N6,P6)-MIN(F6,H6,J6,L6,N6)+SUM(LARGE((S6,U6,W6,Y6,AA6,AC6,AE6,AG6,AI6,AK6),1),LARGE((S6,U6,W6,Y6,AA6,AC6,AE6,AG6,AI6,AK6),2),LARGE((S6,U6,W6,Y6,AA6,AC6,AE6,AG6,AI6,AK6),3),AM6)</f>
        <v>494.87243906070705</v>
      </c>
      <c r="E6" s="8">
        <f>_xlfn.XLOOKUP($B6,'PP1'!$C$6:$C$101,'PP1'!$B$6:$B$101,"")</f>
        <v>1</v>
      </c>
      <c r="F6" s="70">
        <f>_xlfn.XLOOKUP(E6,'PP1'!$B$6:$B$55,'PP1'!$A$6:$A$55,0)</f>
        <v>91.339289449053865</v>
      </c>
      <c r="G6" s="8" t="str">
        <f>_xlfn.XLOOKUP($B6,'PP2'!$C$6:$C$101,'PP2'!$B$6:$B$101,"")</f>
        <v/>
      </c>
      <c r="H6" s="71">
        <f>_xlfn.XLOOKUP(G6,'PP2'!$B$6:$B$55,'PP2'!$A$6:$A$55,0)</f>
        <v>0</v>
      </c>
      <c r="I6" s="8">
        <f>_xlfn.XLOOKUP($B6,'PP3'!$C$6:$C$101,'PP3'!$B$6:$B$101,"")</f>
        <v>1</v>
      </c>
      <c r="J6" s="71">
        <f>_xlfn.XLOOKUP(I6,'PP3'!$B$6:$B$55,'PP3'!$A$6:$A$55,0)</f>
        <v>84.286609467713788</v>
      </c>
      <c r="K6" s="8">
        <f>_xlfn.XLOOKUP($B6,'PP4'!$C$6:$C$101,'PP4'!$B$6:$B$101,"")</f>
        <v>1</v>
      </c>
      <c r="L6" s="71">
        <f>_xlfn.XLOOKUP(K6,'PP4'!$B$6:$B$55,'PP4'!$A$6:$A$55,0)</f>
        <v>82.980246132766666</v>
      </c>
      <c r="M6" s="8" t="str">
        <f>_xlfn.XLOOKUP($B6,'PP5'!$C$6:$C$101,'PP5'!$B$6:$B$101,"")</f>
        <v/>
      </c>
      <c r="N6" s="71">
        <f>_xlfn.XLOOKUP(M6,'PP5'!$B$6:$B$55,'PP5'!$A$6:$A$55,0)</f>
        <v>0</v>
      </c>
      <c r="O6" s="8" t="str">
        <f>_xlfn.XLOOKUP(B6,MPW!C$6:C$101,MPW!B$6:B$101,"")</f>
        <v/>
      </c>
      <c r="P6" s="71">
        <f>_xlfn.XLOOKUP(O6,MPW!B$6:B$55,MPW!A$6:A$55,0)</f>
        <v>0</v>
      </c>
      <c r="R6" s="8" t="str">
        <f>_xlfn.XLOOKUP($B6,'PEW1'!$C$6:$C$201,'PEW1'!$B$6:$B$201,"")</f>
        <v/>
      </c>
      <c r="S6" s="72">
        <f>_xlfn.XLOOKUP(R6,'PEW1'!$B$6:$B$201,'PEW1'!$A$6:$A$201,0)</f>
        <v>0</v>
      </c>
      <c r="T6" s="8" t="str">
        <f>_xlfn.XLOOKUP($B6,'PEW2'!$C$6:$C$201,'PEW2'!$B$6:$B$201,"")</f>
        <v/>
      </c>
      <c r="U6" s="72">
        <f>_xlfn.XLOOKUP(T6,'PEW2'!$B$6:$B$201,'PEW2'!$A$6:$A$201,0)</f>
        <v>0</v>
      </c>
      <c r="V6" s="8" t="str">
        <f>_xlfn.XLOOKUP($B6,'PEW3'!$C$6:$C$201,'PEW3'!$B$6:$B$201,"")</f>
        <v/>
      </c>
      <c r="W6" s="72">
        <f>_xlfn.XLOOKUP(V6,'PEW3'!$B$6:$B$201,'PEW3'!$A$6:$A$201,0)</f>
        <v>0</v>
      </c>
      <c r="X6" s="8" t="str">
        <f>_xlfn.XLOOKUP($B6,'PEW4'!$C$6:$C$201,'PEW4'!$B$6:$B$201,"")</f>
        <v/>
      </c>
      <c r="Y6" s="72">
        <f>_xlfn.XLOOKUP(X6,'PEW4'!$B$6:$B$201,'PEW4'!$A$6:$A$201,0)</f>
        <v>0</v>
      </c>
      <c r="Z6" s="8" t="str">
        <f>_xlfn.XLOOKUP($B6,'PEW5'!$C$6:$C$201,'PEW5'!$B$6:$B$201,"")</f>
        <v/>
      </c>
      <c r="AA6" s="72">
        <f>_xlfn.XLOOKUP(Z6,'PEW5'!$B$6:$B$201,'PEW5'!$A$6:$A$201,0)</f>
        <v>0</v>
      </c>
      <c r="AB6" s="8">
        <f>_xlfn.XLOOKUP($B6,'PEW6'!$C$6:$C$201,'PEW6'!$B$6:$B$201,"")</f>
        <v>9</v>
      </c>
      <c r="AC6" s="72">
        <f>_xlfn.XLOOKUP(AB6,'PEW6'!$B$6:$B$201,'PEW6'!$A$6:$A$201,0)</f>
        <v>21.999330366227973</v>
      </c>
      <c r="AD6" s="8">
        <f>_xlfn.XLOOKUP($B6,'PEW7'!$C$6:$C$201,'PEW7'!$B$6:$B$201,"")</f>
        <v>1</v>
      </c>
      <c r="AE6" s="72">
        <f>_xlfn.XLOOKUP(AD6,'PEW7'!$B$6:$B$201,'PEW7'!$A$6:$A$201,0)</f>
        <v>111.69128037757707</v>
      </c>
      <c r="AF6" s="8" t="str">
        <f>_xlfn.XLOOKUP($B6,'PEW8'!$C$6:$C$201,'PEW8'!$B$6:$B$201,"")</f>
        <v/>
      </c>
      <c r="AG6" s="72">
        <f>_xlfn.XLOOKUP(AF6,'PEW8'!$B$6:$B$201,'PEW8'!$A$6:$A$201,0)</f>
        <v>0</v>
      </c>
      <c r="AH6" s="8" t="str">
        <f>_xlfn.XLOOKUP($B6,'PEW9'!$C$6:$C$201,'PEW9'!$B$6:$B$201,"")</f>
        <v/>
      </c>
      <c r="AI6" s="72">
        <f>_xlfn.XLOOKUP(AH6,'PEW9'!$B$6:$B$201,'PEW9'!$A$6:$A$201,0)</f>
        <v>0</v>
      </c>
      <c r="AJ6" s="8" t="str">
        <f>_xlfn.XLOOKUP($B6,PS!$C$6:$C$201,PS!$B$6:$B$201,"")</f>
        <v/>
      </c>
      <c r="AK6" s="72">
        <f>_xlfn.XLOOKUP(AJ6,PS!$B$6:$B$201,PS!$A$6:$A$201,0)</f>
        <v>0</v>
      </c>
      <c r="AL6" s="8" cm="1">
        <f t="array" ref="AL6">_xlfn.XLOOKUP($B6,IMEW!C$6:C$201,IMEW!$B$6:B$201,"")</f>
        <v>3</v>
      </c>
      <c r="AM6" s="73">
        <f>_xlfn.XLOOKUP(AL6,IMEW!$B$6:$B$201,IMEW!$A$6:$A$201,0)</f>
        <v>102.57568326736764</v>
      </c>
    </row>
    <row r="7" spans="1:39" ht="14.8" customHeight="1" x14ac:dyDescent="0.25">
      <c r="A7" s="7">
        <f t="shared" si="0"/>
        <v>2</v>
      </c>
      <c r="B7" s="208" t="s">
        <v>10</v>
      </c>
      <c r="C7" s="9"/>
      <c r="D7" s="69">
        <f>SUM(F7,H7,J7,L7,N7,P7)-MIN(F7,H7,J7,L7,N7)+SUM(LARGE((S7,U7,W7,Y7,AA7,AC7,AE7,AG7,AI7,AK7),1),LARGE((S7,U7,W7,Y7,AA7,AC7,AE7,AG7,AI7,AK7),2),LARGE((S7,U7,W7,Y7,AA7,AC7,AE7,AG7,AI7,AK7),3),AM7)</f>
        <v>436.94724444447002</v>
      </c>
      <c r="E7" s="8" t="str">
        <f>_xlfn.XLOOKUP($B7,'PP1'!$C$6:$C$101,'PP1'!$B$6:$B$101,"")</f>
        <v/>
      </c>
      <c r="F7" s="70">
        <f>_xlfn.XLOOKUP(E7,'PP1'!$B$6:$B$55,'PP1'!$A$6:$A$55,0)</f>
        <v>0</v>
      </c>
      <c r="G7" s="8">
        <f>_xlfn.XLOOKUP($B7,'PP2'!$C$6:$C$101,'PP2'!$B$6:$B$101,"")</f>
        <v>1</v>
      </c>
      <c r="H7" s="71">
        <f>_xlfn.XLOOKUP(G7,'PP2'!$B$6:$B$55,'PP2'!$A$6:$A$55,0)</f>
        <v>79</v>
      </c>
      <c r="I7" s="8">
        <f>_xlfn.XLOOKUP($B7,'PP3'!$C$6:$C$101,'PP3'!$B$6:$B$101,"")</f>
        <v>2</v>
      </c>
      <c r="J7" s="71">
        <f>_xlfn.XLOOKUP(I7,'PP3'!$B$6:$B$55,'PP3'!$A$6:$A$55,0)</f>
        <v>45.024406311809194</v>
      </c>
      <c r="K7" s="8">
        <f>_xlfn.XLOOKUP($B7,'PP4'!$C$6:$C$101,'PP4'!$B$6:$B$101,"")</f>
        <v>2</v>
      </c>
      <c r="L7" s="71">
        <f>_xlfn.XLOOKUP(K7,'PP4'!$B$6:$B$55,'PP4'!$A$6:$A$55,0)</f>
        <v>37.73793949684304</v>
      </c>
      <c r="M7" s="8">
        <f>_xlfn.XLOOKUP($B7,'PP5'!$C$6:$C$101,'PP5'!$B$6:$B$101,"")</f>
        <v>1</v>
      </c>
      <c r="N7" s="71">
        <f>_xlfn.XLOOKUP(M7,'PP5'!$B$6:$B$55,'PP5'!$A$6:$A$55,0)</f>
        <v>71.339289449053865</v>
      </c>
      <c r="O7" s="8">
        <f>_xlfn.XLOOKUP(B7,MPW!C$6:C$101,MPW!B$6:B$101,"")</f>
        <v>2</v>
      </c>
      <c r="P7" s="71">
        <f>_xlfn.XLOOKUP(O7,MPW!B$6:B$55,MPW!A$6:A$55,0)</f>
        <v>54.029287574171029</v>
      </c>
      <c r="R7" s="8" t="str">
        <f>_xlfn.XLOOKUP($B7,'PEW1'!$C$6:$C$201,'PEW1'!$B$6:$B$201,"")</f>
        <v/>
      </c>
      <c r="S7" s="72">
        <f>_xlfn.XLOOKUP(R7,'PEW1'!$B$6:$B$201,'PEW1'!$A$6:$A$201,0)</f>
        <v>0</v>
      </c>
      <c r="T7" s="8" t="str">
        <f>_xlfn.XLOOKUP($B7,'PEW2'!$C$6:$C$201,'PEW2'!$B$6:$B$201,"")</f>
        <v/>
      </c>
      <c r="U7" s="72">
        <f>_xlfn.XLOOKUP(T7,'PEW2'!$B$6:$B$201,'PEW2'!$A$6:$A$201,0)</f>
        <v>0</v>
      </c>
      <c r="V7" s="8">
        <f>_xlfn.XLOOKUP($B7,'PEW3'!$C$6:$C$201,'PEW3'!$B$6:$B$201,"")</f>
        <v>3</v>
      </c>
      <c r="W7" s="72">
        <f>_xlfn.XLOOKUP(V7,'PEW3'!$B$6:$B$201,'PEW3'!$A$6:$A$201,0)</f>
        <v>70.595181000131376</v>
      </c>
      <c r="X7" s="8" t="str">
        <f>_xlfn.XLOOKUP($B7,'PEW4'!$C$6:$C$201,'PEW4'!$B$6:$B$201,"")</f>
        <v/>
      </c>
      <c r="Y7" s="72">
        <f>_xlfn.XLOOKUP(X7,'PEW4'!$B$6:$B$201,'PEW4'!$A$6:$A$201,0)</f>
        <v>0</v>
      </c>
      <c r="Z7" s="8" t="str">
        <f>_xlfn.XLOOKUP($B7,'PEW5'!$C$6:$C$201,'PEW5'!$B$6:$B$201,"")</f>
        <v/>
      </c>
      <c r="AA7" s="72">
        <f>_xlfn.XLOOKUP(Z7,'PEW5'!$B$6:$B$201,'PEW5'!$A$6:$A$201,0)</f>
        <v>0</v>
      </c>
      <c r="AB7" s="8" t="str">
        <f>_xlfn.XLOOKUP($B7,'PEW6'!$C$6:$C$201,'PEW6'!$B$6:$B$201,"")</f>
        <v/>
      </c>
      <c r="AC7" s="72">
        <f>_xlfn.XLOOKUP(AB7,'PEW6'!$B$6:$B$201,'PEW6'!$A$6:$A$201,0)</f>
        <v>0</v>
      </c>
      <c r="AD7" s="8">
        <f>_xlfn.XLOOKUP($B7,'PEW7'!$C$6:$C$201,'PEW7'!$B$6:$B$201,"")</f>
        <v>3</v>
      </c>
      <c r="AE7" s="72">
        <f>_xlfn.XLOOKUP(AD7,'PEW7'!$B$6:$B$201,'PEW7'!$A$6:$A$201,0)</f>
        <v>56.832233263101529</v>
      </c>
      <c r="AF7" s="8" t="str">
        <f>_xlfn.XLOOKUP($B7,'PEW8'!$C$6:$C$201,'PEW8'!$B$6:$B$201,"")</f>
        <v/>
      </c>
      <c r="AG7" s="72">
        <f>_xlfn.XLOOKUP(AF7,'PEW8'!$B$6:$B$201,'PEW8'!$A$6:$A$201,0)</f>
        <v>0</v>
      </c>
      <c r="AH7" s="8" t="str">
        <f>_xlfn.XLOOKUP($B7,'PEW9'!$C$6:$C$201,'PEW9'!$B$6:$B$201,"")</f>
        <v/>
      </c>
      <c r="AI7" s="72">
        <f>_xlfn.XLOOKUP(AH7,'PEW9'!$B$6:$B$201,'PEW9'!$A$6:$A$201,0)</f>
        <v>0</v>
      </c>
      <c r="AJ7" s="8" t="str">
        <f>_xlfn.XLOOKUP($B7,PS!$C$6:$C$201,PS!$B$6:$B$201,"")</f>
        <v/>
      </c>
      <c r="AK7" s="72">
        <f>_xlfn.XLOOKUP(AJ7,PS!$B$6:$B$201,PS!$A$6:$A$201,0)</f>
        <v>0</v>
      </c>
      <c r="AL7" s="8" cm="1">
        <f t="array" ref="AL7">_xlfn.XLOOKUP($B7,IMEW!C$6:C$201,IMEW!$B$6:B$201,"")</f>
        <v>22</v>
      </c>
      <c r="AM7" s="73">
        <f>_xlfn.XLOOKUP(AL7,IMEW!$B$6:$B$201,IMEW!$A$6:$A$201,0)</f>
        <v>22.388907349360029</v>
      </c>
    </row>
    <row r="8" spans="1:39" ht="15.8" customHeight="1" x14ac:dyDescent="0.25">
      <c r="A8" s="7">
        <f t="shared" si="0"/>
        <v>3</v>
      </c>
      <c r="B8" s="115" t="s">
        <v>12</v>
      </c>
      <c r="C8" s="199"/>
      <c r="D8" s="69">
        <f>SUM(F8,H8,J8,L8,N8,P8)-MIN(F8,H8,J8,L8,N8)+SUM(LARGE((S8,U8,W8,Y8,AA8,AC8,AE8,AG8,AI8,AK8),1),LARGE((S8,U8,W8,Y8,AA8,AC8,AE8,AG8,AI8,AK8),2),LARGE((S8,U8,W8,Y8,AA8,AC8,AE8,AG8,AI8,AK8),3),AM8)</f>
        <v>101.14393136125655</v>
      </c>
      <c r="E8" s="8" t="str">
        <f>_xlfn.XLOOKUP($B8,'PP1'!$C$6:$C$101,'PP1'!$B$6:$B$101,"")</f>
        <v/>
      </c>
      <c r="F8" s="70">
        <f>_xlfn.XLOOKUP(E8,'PP1'!$B$6:$B$55,'PP1'!$A$6:$A$55,0)</f>
        <v>0</v>
      </c>
      <c r="G8" s="8" t="str">
        <f>_xlfn.XLOOKUP($B8,'PP2'!$C$6:$C$101,'PP2'!$B$6:$B$101,"")</f>
        <v/>
      </c>
      <c r="H8" s="71">
        <f>_xlfn.XLOOKUP(G8,'PP2'!$B$6:$B$55,'PP2'!$A$6:$A$55,0)</f>
        <v>0</v>
      </c>
      <c r="I8" s="8" t="str">
        <f>_xlfn.XLOOKUP($B8,'PP3'!$C$6:$C$101,'PP3'!$B$6:$B$101,"")</f>
        <v/>
      </c>
      <c r="J8" s="71">
        <f>_xlfn.XLOOKUP(I8,'PP3'!$B$6:$B$55,'PP3'!$A$6:$A$55,0)</f>
        <v>0</v>
      </c>
      <c r="K8" s="8" t="str">
        <f>_xlfn.XLOOKUP($B8,'PP4'!$C$6:$C$101,'PP4'!$B$6:$B$101,"")</f>
        <v/>
      </c>
      <c r="L8" s="71">
        <f>_xlfn.XLOOKUP(K8,'PP4'!$B$6:$B$55,'PP4'!$A$6:$A$55,0)</f>
        <v>0</v>
      </c>
      <c r="M8" s="8" t="str">
        <f>_xlfn.XLOOKUP($B8,'PP5'!$C$6:$C$101,'PP5'!$B$6:$B$101,"")</f>
        <v/>
      </c>
      <c r="N8" s="71">
        <f>_xlfn.XLOOKUP(M8,'PP5'!$B$6:$B$55,'PP5'!$A$6:$A$55,0)</f>
        <v>0</v>
      </c>
      <c r="O8" s="8">
        <f>_xlfn.XLOOKUP(B8,MPW!C$6:C$101,MPW!B$6:B$101,"")</f>
        <v>1</v>
      </c>
      <c r="P8" s="71">
        <f>_xlfn.XLOOKUP(O8,MPW!B$6:B$55,MPW!A$6:A$55,0)</f>
        <v>101.14393136125655</v>
      </c>
      <c r="R8" s="8" t="str">
        <f>_xlfn.XLOOKUP($B8,'PEW1'!$C$6:$C$201,'PEW1'!$B$6:$B$201,"")</f>
        <v/>
      </c>
      <c r="S8" s="72">
        <f>_xlfn.XLOOKUP(R8,'PEW1'!$B$6:$B$201,'PEW1'!$A$6:$A$201,0)</f>
        <v>0</v>
      </c>
      <c r="T8" s="8" t="str">
        <f>_xlfn.XLOOKUP($B8,'PEW2'!$C$6:$C$201,'PEW2'!$B$6:$B$201,"")</f>
        <v/>
      </c>
      <c r="U8" s="72">
        <f>_xlfn.XLOOKUP(T8,'PEW2'!$B$6:$B$201,'PEW2'!$A$6:$A$201,0)</f>
        <v>0</v>
      </c>
      <c r="V8" s="8" t="str">
        <f>_xlfn.XLOOKUP($B8,'PEW3'!$C$6:$C$201,'PEW3'!$B$6:$B$201,"")</f>
        <v/>
      </c>
      <c r="W8" s="72">
        <f>_xlfn.XLOOKUP(V8,'PEW3'!$B$6:$B$201,'PEW3'!$A$6:$A$201,0)</f>
        <v>0</v>
      </c>
      <c r="X8" s="8" t="str">
        <f>_xlfn.XLOOKUP($B8,'PEW4'!$C$6:$C$201,'PEW4'!$B$6:$B$201,"")</f>
        <v/>
      </c>
      <c r="Y8" s="72">
        <f>_xlfn.XLOOKUP(X8,'PEW4'!$B$6:$B$201,'PEW4'!$A$6:$A$201,0)</f>
        <v>0</v>
      </c>
      <c r="Z8" s="8" t="str">
        <f>_xlfn.XLOOKUP($B8,'PEW5'!$C$6:$C$201,'PEW5'!$B$6:$B$201,"")</f>
        <v/>
      </c>
      <c r="AA8" s="72">
        <f>_xlfn.XLOOKUP(Z8,'PEW5'!$B$6:$B$201,'PEW5'!$A$6:$A$201,0)</f>
        <v>0</v>
      </c>
      <c r="AB8" s="8" t="str">
        <f>_xlfn.XLOOKUP($B8,'PEW6'!$C$6:$C$201,'PEW6'!$B$6:$B$201,"")</f>
        <v/>
      </c>
      <c r="AC8" s="72">
        <f>_xlfn.XLOOKUP(AB8,'PEW6'!$B$6:$B$201,'PEW6'!$A$6:$A$201,0)</f>
        <v>0</v>
      </c>
      <c r="AD8" s="8" t="str">
        <f>_xlfn.XLOOKUP($B8,'PEW7'!$C$6:$C$201,'PEW7'!$B$6:$B$201,"")</f>
        <v/>
      </c>
      <c r="AE8" s="72">
        <f>_xlfn.XLOOKUP(AD8,'PEW7'!$B$6:$B$201,'PEW7'!$A$6:$A$201,0)</f>
        <v>0</v>
      </c>
      <c r="AF8" s="8" t="str">
        <f>_xlfn.XLOOKUP($B8,'PEW8'!$C$6:$C$201,'PEW8'!$B$6:$B$201,"")</f>
        <v/>
      </c>
      <c r="AG8" s="72">
        <f>_xlfn.XLOOKUP(AF8,'PEW8'!$B$6:$B$201,'PEW8'!$A$6:$A$201,0)</f>
        <v>0</v>
      </c>
      <c r="AH8" s="8" t="str">
        <f>_xlfn.XLOOKUP($B8,'PEW9'!$C$6:$C$201,'PEW9'!$B$6:$B$201,"")</f>
        <v/>
      </c>
      <c r="AI8" s="72">
        <f>_xlfn.XLOOKUP(AH8,'PEW9'!$B$6:$B$201,'PEW9'!$A$6:$A$201,0)</f>
        <v>0</v>
      </c>
      <c r="AJ8" s="8" t="str">
        <f>_xlfn.XLOOKUP($B8,PS!$C$6:$C$201,PS!$B$6:$B$201,"")</f>
        <v/>
      </c>
      <c r="AK8" s="72">
        <f>_xlfn.XLOOKUP(AJ8,PS!$B$6:$B$201,PS!$A$6:$A$201,0)</f>
        <v>0</v>
      </c>
      <c r="AL8" s="8" t="str" cm="1">
        <f t="array" ref="AL8">_xlfn.XLOOKUP($B8,IMEW!C$6:C$201,IMEW!$B$6:B$201,"")</f>
        <v/>
      </c>
      <c r="AM8" s="73">
        <f>_xlfn.XLOOKUP(AL8,IMEW!$B$6:$B$201,IMEW!$A$6:$A$201,0)</f>
        <v>0</v>
      </c>
    </row>
    <row r="9" spans="1:39" ht="14.8" customHeight="1" x14ac:dyDescent="0.25">
      <c r="A9" s="7">
        <f t="shared" si="0"/>
        <v>4</v>
      </c>
      <c r="B9" s="115" t="s">
        <v>11</v>
      </c>
      <c r="C9" s="9"/>
      <c r="D9" s="69">
        <f>SUM(F9,H9,J9,L9,N9,P9)-MIN(F9,H9,J9,L9,N9)+SUM(LARGE((S9,U9,W9,Y9,AA9,AC9,AE9,AG9,AI9,AK9),1),LARGE((S9,U9,W9,Y9,AA9,AC9,AE9,AG9,AI9,AK9),2),LARGE((S9,U9,W9,Y9,AA9,AC9,AE9,AG9,AI9,AK9),3),AM9)</f>
        <v>59.869149665037341</v>
      </c>
      <c r="E9" s="8">
        <f>_xlfn.XLOOKUP($B9,'PP1'!$C$6:$C$101,'PP1'!$B$6:$B$101,"")</f>
        <v>2</v>
      </c>
      <c r="F9" s="70">
        <f>_xlfn.XLOOKUP(E9,'PP1'!$B$6:$B$55,'PP1'!$A$6:$A$55,0)</f>
        <v>8.5595262993692387</v>
      </c>
      <c r="G9" s="8" t="str">
        <f>_xlfn.XLOOKUP($B9,'PP2'!$C$6:$C$101,'PP2'!$B$6:$B$101,"")</f>
        <v/>
      </c>
      <c r="H9" s="71">
        <f>_xlfn.XLOOKUP(G9,'PP2'!$B$6:$B$55,'PP2'!$A$6:$A$55,0)</f>
        <v>0</v>
      </c>
      <c r="I9" s="8">
        <f>_xlfn.XLOOKUP($B9,'PP3'!$C$6:$C$101,'PP3'!$B$6:$B$101,"")</f>
        <v>3</v>
      </c>
      <c r="J9" s="71">
        <f>_xlfn.XLOOKUP(I9,'PP3'!$B$6:$B$55,'PP3'!$A$6:$A$55,0)</f>
        <v>15.930621888236271</v>
      </c>
      <c r="K9" s="8">
        <f>_xlfn.XLOOKUP($B9,'PP4'!$C$6:$C$101,'PP4'!$B$6:$B$101,"")</f>
        <v>3</v>
      </c>
      <c r="L9" s="71">
        <f>_xlfn.XLOOKUP(K9,'PP4'!$B$6:$B$55,'PP4'!$A$6:$A$55,0)</f>
        <v>5.3267487109222245</v>
      </c>
      <c r="M9" s="8">
        <f>_xlfn.XLOOKUP($B9,'PP5'!$C$6:$C$101,'PP5'!$B$6:$B$101,"")</f>
        <v>2</v>
      </c>
      <c r="N9" s="71">
        <f>_xlfn.XLOOKUP(M9,'PP5'!$B$6:$B$55,'PP5'!$A$6:$A$55,0)</f>
        <v>8.5595262993692387</v>
      </c>
      <c r="O9" s="8">
        <f>_xlfn.XLOOKUP(B9,MPW!C$6:C$101,MPW!B$6:B$101,"")</f>
        <v>3</v>
      </c>
      <c r="P9" s="71">
        <f>_xlfn.XLOOKUP(O9,MPW!B$6:B$55,MPW!A$6:A$55,0)</f>
        <v>19.116746265883524</v>
      </c>
      <c r="R9" s="8" t="str">
        <f>_xlfn.XLOOKUP($B9,'PEW1'!$C$6:$C$201,'PEW1'!$B$6:$B$201,"")</f>
        <v/>
      </c>
      <c r="S9" s="72">
        <f>_xlfn.XLOOKUP(R9,'PEW1'!$B$6:$B$201,'PEW1'!$A$6:$A$201,0)</f>
        <v>0</v>
      </c>
      <c r="T9" s="8" t="str">
        <f>_xlfn.XLOOKUP($B9,'PEW2'!$C$6:$C$201,'PEW2'!$B$6:$B$201,"")</f>
        <v/>
      </c>
      <c r="U9" s="72">
        <f>_xlfn.XLOOKUP(T9,'PEW2'!$B$6:$B$201,'PEW2'!$A$6:$A$201,0)</f>
        <v>0</v>
      </c>
      <c r="V9" s="8" t="str">
        <f>_xlfn.XLOOKUP($B9,'PEW3'!$C$6:$C$201,'PEW3'!$B$6:$B$201,"")</f>
        <v/>
      </c>
      <c r="W9" s="72">
        <f>_xlfn.XLOOKUP(V9,'PEW3'!$B$6:$B$201,'PEW3'!$A$6:$A$201,0)</f>
        <v>0</v>
      </c>
      <c r="X9" s="8" t="str">
        <f>_xlfn.XLOOKUP($B9,'PEW4'!$C$6:$C$201,'PEW4'!$B$6:$B$201,"")</f>
        <v/>
      </c>
      <c r="Y9" s="72">
        <f>_xlfn.XLOOKUP(X9,'PEW4'!$B$6:$B$201,'PEW4'!$A$6:$A$201,0)</f>
        <v>0</v>
      </c>
      <c r="Z9" s="8" t="str">
        <f>_xlfn.XLOOKUP($B9,'PEW5'!$C$6:$C$201,'PEW5'!$B$6:$B$201,"")</f>
        <v/>
      </c>
      <c r="AA9" s="72">
        <f>_xlfn.XLOOKUP(Z9,'PEW5'!$B$6:$B$201,'PEW5'!$A$6:$A$201,0)</f>
        <v>0</v>
      </c>
      <c r="AB9" s="8" t="str">
        <f>_xlfn.XLOOKUP($B9,'PEW6'!$C$6:$C$201,'PEW6'!$B$6:$B$201,"")</f>
        <v/>
      </c>
      <c r="AC9" s="72">
        <f>_xlfn.XLOOKUP(AB9,'PEW6'!$B$6:$B$201,'PEW6'!$A$6:$A$201,0)</f>
        <v>0</v>
      </c>
      <c r="AD9" s="8">
        <f>_xlfn.XLOOKUP($B9,'PEW7'!$C$6:$C$201,'PEW7'!$B$6:$B$201,"")</f>
        <v>13</v>
      </c>
      <c r="AE9" s="72">
        <f>_xlfn.XLOOKUP(AD9,'PEW7'!$B$6:$B$201,'PEW7'!$A$6:$A$201,0)</f>
        <v>2.3759802012568514</v>
      </c>
      <c r="AF9" s="8" t="str">
        <f>_xlfn.XLOOKUP($B9,'PEW8'!$C$6:$C$201,'PEW8'!$B$6:$B$201,"")</f>
        <v/>
      </c>
      <c r="AG9" s="72">
        <f>_xlfn.XLOOKUP(AF9,'PEW8'!$B$6:$B$201,'PEW8'!$A$6:$A$201,0)</f>
        <v>0</v>
      </c>
      <c r="AH9" s="8" t="str">
        <f>_xlfn.XLOOKUP($B9,'PEW9'!$C$6:$C$201,'PEW9'!$B$6:$B$201,"")</f>
        <v/>
      </c>
      <c r="AI9" s="72">
        <f>_xlfn.XLOOKUP(AH9,'PEW9'!$B$6:$B$201,'PEW9'!$A$6:$A$201,0)</f>
        <v>0</v>
      </c>
      <c r="AJ9" s="8" t="str">
        <f>_xlfn.XLOOKUP($B9,PS!$C$6:$C$201,PS!$B$6:$B$201,"")</f>
        <v/>
      </c>
      <c r="AK9" s="72">
        <f>_xlfn.XLOOKUP(AJ9,PS!$B$6:$B$201,PS!$A$6:$A$201,0)</f>
        <v>0</v>
      </c>
      <c r="AL9" s="8" t="str" cm="1">
        <f t="array" ref="AL9">_xlfn.XLOOKUP($B9,IMEW!C$6:C$201,IMEW!$B$6:B$201,"")</f>
        <v/>
      </c>
      <c r="AM9" s="73">
        <f>_xlfn.XLOOKUP(AL9,IMEW!$B$6:$B$201,IMEW!$A$6:$A$201,0)</f>
        <v>0</v>
      </c>
    </row>
    <row r="10" spans="1:39" ht="14.8" customHeight="1" x14ac:dyDescent="0.25">
      <c r="A10" s="7">
        <f t="shared" si="0"/>
        <v>5</v>
      </c>
      <c r="B10" s="115" t="s">
        <v>94</v>
      </c>
      <c r="C10" s="9"/>
      <c r="D10" s="69">
        <f>SUM(F10,H10,J10,L10,N10,P10)-MIN(F10,H10,J10,L10,N10)+SUM(LARGE((S10,U10,W10,Y10,AA10,AC10,AE10,AG10,AI10,AK10),1),LARGE((S10,U10,W10,Y10,AA10,AC10,AE10,AG10,AI10,AK10),2),LARGE((S10,U10,W10,Y10,AA10,AC10,AE10,AG10,AI10,AK10),3),AM10)</f>
        <v>2.2000000000000002</v>
      </c>
      <c r="E10" s="8" t="str">
        <f>_xlfn.XLOOKUP($B10,'PP1'!$C$6:$C$101,'PP1'!$B$6:$B$101,"")</f>
        <v/>
      </c>
      <c r="F10" s="70">
        <f>_xlfn.XLOOKUP(E10,'PP1'!$B$6:$B$55,'PP1'!$A$6:$A$55,0)</f>
        <v>0</v>
      </c>
      <c r="G10" s="8" t="str">
        <f>_xlfn.XLOOKUP($B10,'PP2'!$C$6:$C$101,'PP2'!$B$6:$B$101,"")</f>
        <v/>
      </c>
      <c r="H10" s="71">
        <f>_xlfn.XLOOKUP(G10,'PP2'!$B$6:$B$55,'PP2'!$A$6:$A$55,0)</f>
        <v>0</v>
      </c>
      <c r="I10" s="8">
        <f>_xlfn.XLOOKUP($B10,'PP3'!$C$6:$C$101,'PP3'!$B$6:$B$101,"")</f>
        <v>4</v>
      </c>
      <c r="J10" s="71">
        <f>_xlfn.XLOOKUP(I10,'PP3'!$B$6:$B$55,'PP3'!$A$6:$A$55,0)</f>
        <v>1</v>
      </c>
      <c r="K10" s="8" t="str">
        <f>_xlfn.XLOOKUP($B10,'PP4'!$C$6:$C$101,'PP4'!$B$6:$B$101,"")</f>
        <v/>
      </c>
      <c r="L10" s="71">
        <f>_xlfn.XLOOKUP(K10,'PP4'!$B$6:$B$55,'PP4'!$A$6:$A$55,0)</f>
        <v>0</v>
      </c>
      <c r="M10" s="8" t="str">
        <f>_xlfn.XLOOKUP($B10,'PP5'!$C$6:$C$101,'PP5'!$B$6:$B$101,"")</f>
        <v/>
      </c>
      <c r="N10" s="71">
        <f>_xlfn.XLOOKUP(M10,'PP5'!$B$6:$B$55,'PP5'!$A$6:$A$55,0)</f>
        <v>0</v>
      </c>
      <c r="O10" s="8">
        <f>_xlfn.XLOOKUP(B10,MPW!C$6:C$101,MPW!B$6:B$101,"")</f>
        <v>4</v>
      </c>
      <c r="P10" s="71">
        <f>_xlfn.XLOOKUP(O10,MPW!B$6:B$55,MPW!A$6:A$55,0)</f>
        <v>1.2</v>
      </c>
      <c r="R10" s="8" t="str">
        <f>_xlfn.XLOOKUP($B10,'PEW1'!$C$6:$C$201,'PEW1'!$B$6:$B$201,"")</f>
        <v/>
      </c>
      <c r="S10" s="72">
        <f>_xlfn.XLOOKUP(R10,'PEW1'!$B$6:$B$201,'PEW1'!$A$6:$A$201,0)</f>
        <v>0</v>
      </c>
      <c r="T10" s="8" t="str">
        <f>_xlfn.XLOOKUP($B10,'PEW2'!$C$6:$C$201,'PEW2'!$B$6:$B$201,"")</f>
        <v/>
      </c>
      <c r="U10" s="72">
        <f>_xlfn.XLOOKUP(T10,'PEW2'!$B$6:$B$201,'PEW2'!$A$6:$A$201,0)</f>
        <v>0</v>
      </c>
      <c r="V10" s="8" t="str">
        <f>_xlfn.XLOOKUP($B10,'PEW3'!$C$6:$C$201,'PEW3'!$B$6:$B$201,"")</f>
        <v/>
      </c>
      <c r="W10" s="72">
        <f>_xlfn.XLOOKUP(V10,'PEW3'!$B$6:$B$201,'PEW3'!$A$6:$A$201,0)</f>
        <v>0</v>
      </c>
      <c r="X10" s="8" t="str">
        <f>_xlfn.XLOOKUP($B10,'PEW4'!$C$6:$C$201,'PEW4'!$B$6:$B$201,"")</f>
        <v/>
      </c>
      <c r="Y10" s="72">
        <f>_xlfn.XLOOKUP(X10,'PEW4'!$B$6:$B$201,'PEW4'!$A$6:$A$201,0)</f>
        <v>0</v>
      </c>
      <c r="Z10" s="8" t="str">
        <f>_xlfn.XLOOKUP($B10,'PEW5'!$C$6:$C$201,'PEW5'!$B$6:$B$201,"")</f>
        <v/>
      </c>
      <c r="AA10" s="72">
        <f>_xlfn.XLOOKUP(Z10,'PEW5'!$B$6:$B$201,'PEW5'!$A$6:$A$201,0)</f>
        <v>0</v>
      </c>
      <c r="AB10" s="8" t="str">
        <f>_xlfn.XLOOKUP($B10,'PEW6'!$C$6:$C$201,'PEW6'!$B$6:$B$201,"")</f>
        <v/>
      </c>
      <c r="AC10" s="72">
        <f>_xlfn.XLOOKUP(AB10,'PEW6'!$B$6:$B$201,'PEW6'!$A$6:$A$201,0)</f>
        <v>0</v>
      </c>
      <c r="AD10" s="8" t="str">
        <f>_xlfn.XLOOKUP($B10,'PEW7'!$C$6:$C$201,'PEW7'!$B$6:$B$201,"")</f>
        <v/>
      </c>
      <c r="AE10" s="72">
        <f>_xlfn.XLOOKUP(AD10,'PEW7'!$B$6:$B$201,'PEW7'!$A$6:$A$201,0)</f>
        <v>0</v>
      </c>
      <c r="AF10" s="8" t="str">
        <f>_xlfn.XLOOKUP($B10,'PEW8'!$C$6:$C$201,'PEW8'!$B$6:$B$201,"")</f>
        <v/>
      </c>
      <c r="AG10" s="72">
        <f>_xlfn.XLOOKUP(AF10,'PEW8'!$B$6:$B$201,'PEW8'!$A$6:$A$201,0)</f>
        <v>0</v>
      </c>
      <c r="AH10" s="8" t="str">
        <f>_xlfn.XLOOKUP($B10,'PEW9'!$C$6:$C$201,'PEW9'!$B$6:$B$201,"")</f>
        <v/>
      </c>
      <c r="AI10" s="72">
        <f>_xlfn.XLOOKUP(AH10,'PEW9'!$B$6:$B$201,'PEW9'!$A$6:$A$201,0)</f>
        <v>0</v>
      </c>
      <c r="AJ10" s="8" t="str">
        <f>_xlfn.XLOOKUP($B10,PS!$C$6:$C$201,PS!$B$6:$B$201,"")</f>
        <v/>
      </c>
      <c r="AK10" s="72">
        <f>_xlfn.XLOOKUP(AJ10,PS!$B$6:$B$201,PS!$A$6:$A$201,0)</f>
        <v>0</v>
      </c>
      <c r="AL10" s="8" t="str" cm="1">
        <f t="array" ref="AL10">_xlfn.XLOOKUP($B10,IMEW!C$6:C$201,IMEW!$B$6:B$201,"")</f>
        <v/>
      </c>
      <c r="AM10" s="73">
        <f>_xlfn.XLOOKUP(AL10,IMEW!$B$6:$B$201,IMEW!$A$6:$A$201,0)</f>
        <v>0</v>
      </c>
    </row>
    <row r="11" spans="1:39" ht="14.8" customHeight="1" x14ac:dyDescent="0.25">
      <c r="A11" s="7">
        <f t="shared" si="0"/>
        <v>6</v>
      </c>
      <c r="B11" s="115"/>
      <c r="C11" s="9"/>
      <c r="D11" s="69">
        <f>SUM(F11,H11,J11,L11,N11,P11)-MIN(F11,H11,J11,L11,N11)+SUM(LARGE((S11,U11,W11,Y11,AA11,AC11,AE11,AG11,AI11,AK11),1),LARGE((S11,U11,W11,Y11,AA11,AC11,AE11,AG11,AI11,AK11),2),LARGE((S11,U11,W11,Y11,AA11,AC11,AE11,AG11,AI11,AK11),3),AM11)</f>
        <v>0</v>
      </c>
      <c r="E11" s="8" t="str">
        <f>_xlfn.XLOOKUP($B11,'PP1'!$C$6:$C$101,'PP1'!$B$6:$B$101,"")</f>
        <v/>
      </c>
      <c r="F11" s="70">
        <f>_xlfn.XLOOKUP(E11,'PP1'!$B$6:$B$55,'PP1'!$A$6:$A$55,0)</f>
        <v>0</v>
      </c>
      <c r="G11" s="8" t="str">
        <f>_xlfn.XLOOKUP($B11,'PP2'!$C$6:$C$101,'PP2'!$B$6:$B$101,"")</f>
        <v/>
      </c>
      <c r="H11" s="71">
        <f>_xlfn.XLOOKUP(G11,'PP2'!$B$6:$B$55,'PP2'!$A$6:$A$55,0)</f>
        <v>0</v>
      </c>
      <c r="I11" s="8" t="str">
        <f>_xlfn.XLOOKUP($B11,'PP3'!$C$6:$C$101,'PP3'!$B$6:$B$101,"")</f>
        <v/>
      </c>
      <c r="J11" s="71">
        <f>_xlfn.XLOOKUP(I11,'PP3'!$B$6:$B$55,'PP3'!$A$6:$A$55,0)</f>
        <v>0</v>
      </c>
      <c r="K11" s="8" t="str">
        <f>_xlfn.XLOOKUP($B11,'PP4'!$C$6:$C$101,'PP4'!$B$6:$B$101,"")</f>
        <v/>
      </c>
      <c r="L11" s="71">
        <f>_xlfn.XLOOKUP(K11,'PP4'!$B$6:$B$55,'PP4'!$A$6:$A$55,0)</f>
        <v>0</v>
      </c>
      <c r="M11" s="8" t="str">
        <f>_xlfn.XLOOKUP($B11,'PP5'!$C$6:$C$101,'PP5'!$B$6:$B$101,"")</f>
        <v/>
      </c>
      <c r="N11" s="71">
        <f>_xlfn.XLOOKUP(M11,'PP5'!$B$6:$B$55,'PP5'!$A$6:$A$55,0)</f>
        <v>0</v>
      </c>
      <c r="O11" s="8" t="str">
        <f>_xlfn.XLOOKUP(B11,MPW!C$6:C$101,MPW!B$6:B$101,"")</f>
        <v/>
      </c>
      <c r="P11" s="71">
        <f>_xlfn.XLOOKUP(O11,MPW!B$6:B$55,MPW!A$6:A$55,0)</f>
        <v>0</v>
      </c>
      <c r="R11" s="8" t="str">
        <f>_xlfn.XLOOKUP($B11,'PEW1'!$C$6:$C$201,'PEW1'!$B$6:$B$201,"")</f>
        <v/>
      </c>
      <c r="S11" s="72">
        <f>_xlfn.XLOOKUP(R11,'PEW1'!$B$6:$B$201,'PEW1'!$A$6:$A$201,0)</f>
        <v>0</v>
      </c>
      <c r="T11" s="8" t="str">
        <f>_xlfn.XLOOKUP($B11,'PEW2'!$C$6:$C$201,'PEW2'!$B$6:$B$201,"")</f>
        <v/>
      </c>
      <c r="U11" s="72">
        <f>_xlfn.XLOOKUP(T11,'PEW2'!$B$6:$B$201,'PEW2'!$A$6:$A$201,0)</f>
        <v>0</v>
      </c>
      <c r="V11" s="8" t="str">
        <f>_xlfn.XLOOKUP($B11,'PEW3'!$C$6:$C$201,'PEW3'!$B$6:$B$201,"")</f>
        <v/>
      </c>
      <c r="W11" s="72">
        <f>_xlfn.XLOOKUP(V11,'PEW3'!$B$6:$B$201,'PEW3'!$A$6:$A$201,0)</f>
        <v>0</v>
      </c>
      <c r="X11" s="8" t="str">
        <f>_xlfn.XLOOKUP($B11,'PEW4'!$C$6:$C$201,'PEW4'!$B$6:$B$201,"")</f>
        <v/>
      </c>
      <c r="Y11" s="72">
        <f>_xlfn.XLOOKUP(X11,'PEW4'!$B$6:$B$201,'PEW4'!$A$6:$A$201,0)</f>
        <v>0</v>
      </c>
      <c r="Z11" s="8" t="str">
        <f>_xlfn.XLOOKUP($B11,'PEW5'!$C$6:$C$201,'PEW5'!$B$6:$B$201,"")</f>
        <v/>
      </c>
      <c r="AA11" s="72">
        <f>_xlfn.XLOOKUP(Z11,'PEW5'!$B$6:$B$201,'PEW5'!$A$6:$A$201,0)</f>
        <v>0</v>
      </c>
      <c r="AB11" s="8" t="str">
        <f>_xlfn.XLOOKUP($B11,'PEW6'!$C$6:$C$201,'PEW6'!$B$6:$B$201,"")</f>
        <v/>
      </c>
      <c r="AC11" s="72">
        <f>_xlfn.XLOOKUP(AB11,'PEW6'!$B$6:$B$201,'PEW6'!$A$6:$A$201,0)</f>
        <v>0</v>
      </c>
      <c r="AD11" s="8" t="str">
        <f>_xlfn.XLOOKUP($B11,'PEW7'!$C$6:$C$201,'PEW7'!$B$6:$B$201,"")</f>
        <v/>
      </c>
      <c r="AE11" s="72">
        <f>_xlfn.XLOOKUP(AD11,'PEW7'!$B$6:$B$201,'PEW7'!$A$6:$A$201,0)</f>
        <v>0</v>
      </c>
      <c r="AF11" s="8" t="str">
        <f>_xlfn.XLOOKUP($B11,'PEW8'!$C$6:$C$201,'PEW8'!$B$6:$B$201,"")</f>
        <v/>
      </c>
      <c r="AG11" s="72">
        <f>_xlfn.XLOOKUP(AF11,'PEW8'!$B$6:$B$201,'PEW8'!$A$6:$A$201,0)</f>
        <v>0</v>
      </c>
      <c r="AH11" s="8" t="str">
        <f>_xlfn.XLOOKUP($B11,'PEW9'!$C$6:$C$201,'PEW9'!$B$6:$B$201,"")</f>
        <v/>
      </c>
      <c r="AI11" s="72">
        <f>_xlfn.XLOOKUP(AH11,'PEW9'!$B$6:$B$201,'PEW9'!$A$6:$A$201,0)</f>
        <v>0</v>
      </c>
      <c r="AJ11" s="8" t="str">
        <f>_xlfn.XLOOKUP($B11,PS!$C$6:$C$201,PS!$B$6:$B$201,"")</f>
        <v/>
      </c>
      <c r="AK11" s="72">
        <f>_xlfn.XLOOKUP(AJ11,PS!$B$6:$B$201,PS!$A$6:$A$201,0)</f>
        <v>0</v>
      </c>
      <c r="AL11" s="8" t="str" cm="1">
        <f t="array" ref="AL11">_xlfn.XLOOKUP($B11,IMEW!C$6:C$201,IMEW!$B$6:B$201,"")</f>
        <v/>
      </c>
      <c r="AM11" s="73">
        <f>_xlfn.XLOOKUP(AL11,IMEW!$B$6:$B$201,IMEW!$A$6:$A$201,0)</f>
        <v>0</v>
      </c>
    </row>
    <row r="12" spans="1:39" ht="14.8" customHeight="1" x14ac:dyDescent="0.25">
      <c r="A12" s="7">
        <f t="shared" si="0"/>
        <v>7</v>
      </c>
      <c r="B12" s="115"/>
      <c r="C12" s="9"/>
      <c r="D12" s="69">
        <f>SUM(F12,H12,J12,L12,N12,P12)-MIN(F12,H12,J12,L12,N12)+SUM(LARGE((S12,U12,W12,Y12,AA12,AC12,AE12,AG12,AI12,AK12),1),LARGE((S12,U12,W12,Y12,AA12,AC12,AE12,AG12,AI12,AK12),2),LARGE((S12,U12,W12,Y12,AA12,AC12,AE12,AG12,AI12,AK12),3),AM12)</f>
        <v>0</v>
      </c>
      <c r="E12" s="8" t="str">
        <f>_xlfn.XLOOKUP($B12,'PP1'!$C$6:$C$101,'PP1'!$B$6:$B$101,"")</f>
        <v/>
      </c>
      <c r="F12" s="70">
        <f>_xlfn.XLOOKUP(E12,'PP1'!$B$6:$B$55,'PP1'!$A$6:$A$55,0)</f>
        <v>0</v>
      </c>
      <c r="G12" s="8" t="str">
        <f>_xlfn.XLOOKUP($B12,'PP2'!$C$6:$C$101,'PP2'!$B$6:$B$101,"")</f>
        <v/>
      </c>
      <c r="H12" s="71">
        <f>_xlfn.XLOOKUP(G12,'PP2'!$B$6:$B$55,'PP2'!$A$6:$A$55,0)</f>
        <v>0</v>
      </c>
      <c r="I12" s="8" t="str">
        <f>_xlfn.XLOOKUP($B12,'PP3'!$C$6:$C$101,'PP3'!$B$6:$B$101,"")</f>
        <v/>
      </c>
      <c r="J12" s="71">
        <f>_xlfn.XLOOKUP(I12,'PP3'!$B$6:$B$55,'PP3'!$A$6:$A$55,0)</f>
        <v>0</v>
      </c>
      <c r="K12" s="8" t="str">
        <f>_xlfn.XLOOKUP($B12,'PP4'!$C$6:$C$101,'PP4'!$B$6:$B$101,"")</f>
        <v/>
      </c>
      <c r="L12" s="71">
        <f>_xlfn.XLOOKUP(K12,'PP4'!$B$6:$B$55,'PP4'!$A$6:$A$55,0)</f>
        <v>0</v>
      </c>
      <c r="M12" s="8" t="str">
        <f>_xlfn.XLOOKUP($B12,'PP5'!$C$6:$C$101,'PP5'!$B$6:$B$101,"")</f>
        <v/>
      </c>
      <c r="N12" s="71">
        <f>_xlfn.XLOOKUP(M12,'PP5'!$B$6:$B$55,'PP5'!$A$6:$A$55,0)</f>
        <v>0</v>
      </c>
      <c r="O12" s="8" t="str">
        <f>_xlfn.XLOOKUP(B12,MPW!C$6:C$101,MPW!B$6:B$101,"")</f>
        <v/>
      </c>
      <c r="P12" s="71">
        <f>_xlfn.XLOOKUP(O12,MPW!B$6:B$55,MPW!A$6:A$55,0)</f>
        <v>0</v>
      </c>
      <c r="R12" s="8" t="str">
        <f>_xlfn.XLOOKUP($B12,'PEW1'!$C$6:$C$201,'PEW1'!$B$6:$B$201,"")</f>
        <v/>
      </c>
      <c r="S12" s="72">
        <f>_xlfn.XLOOKUP(R12,'PEW1'!$B$6:$B$201,'PEW1'!$A$6:$A$201,0)</f>
        <v>0</v>
      </c>
      <c r="T12" s="8" t="str">
        <f>_xlfn.XLOOKUP($B12,'PEW2'!$C$6:$C$201,'PEW2'!$B$6:$B$201,"")</f>
        <v/>
      </c>
      <c r="U12" s="72">
        <f>_xlfn.XLOOKUP(T12,'PEW2'!$B$6:$B$201,'PEW2'!$A$6:$A$201,0)</f>
        <v>0</v>
      </c>
      <c r="V12" s="8" t="str">
        <f>_xlfn.XLOOKUP($B12,'PEW3'!$C$6:$C$201,'PEW3'!$B$6:$B$201,"")</f>
        <v/>
      </c>
      <c r="W12" s="72">
        <f>_xlfn.XLOOKUP(V12,'PEW3'!$B$6:$B$201,'PEW3'!$A$6:$A$201,0)</f>
        <v>0</v>
      </c>
      <c r="X12" s="8" t="str">
        <f>_xlfn.XLOOKUP($B12,'PEW4'!$C$6:$C$201,'PEW4'!$B$6:$B$201,"")</f>
        <v/>
      </c>
      <c r="Y12" s="72">
        <f>_xlfn.XLOOKUP(X12,'PEW4'!$B$6:$B$201,'PEW4'!$A$6:$A$201,0)</f>
        <v>0</v>
      </c>
      <c r="Z12" s="8" t="str">
        <f>_xlfn.XLOOKUP($B12,'PEW5'!$C$6:$C$201,'PEW5'!$B$6:$B$201,"")</f>
        <v/>
      </c>
      <c r="AA12" s="72">
        <f>_xlfn.XLOOKUP(Z12,'PEW5'!$B$6:$B$201,'PEW5'!$A$6:$A$201,0)</f>
        <v>0</v>
      </c>
      <c r="AB12" s="8" t="str">
        <f>_xlfn.XLOOKUP($B12,'PEW6'!$C$6:$C$201,'PEW6'!$B$6:$B$201,"")</f>
        <v/>
      </c>
      <c r="AC12" s="72">
        <f>_xlfn.XLOOKUP(AB12,'PEW6'!$B$6:$B$201,'PEW6'!$A$6:$A$201,0)</f>
        <v>0</v>
      </c>
      <c r="AD12" s="8" t="str">
        <f>_xlfn.XLOOKUP($B12,'PEW7'!$C$6:$C$201,'PEW7'!$B$6:$B$201,"")</f>
        <v/>
      </c>
      <c r="AE12" s="72">
        <f>_xlfn.XLOOKUP(AD12,'PEW7'!$B$6:$B$201,'PEW7'!$A$6:$A$201,0)</f>
        <v>0</v>
      </c>
      <c r="AF12" s="8" t="str">
        <f>_xlfn.XLOOKUP($B12,'PEW8'!$C$6:$C$201,'PEW8'!$B$6:$B$201,"")</f>
        <v/>
      </c>
      <c r="AG12" s="72">
        <f>_xlfn.XLOOKUP(AF12,'PEW8'!$B$6:$B$201,'PEW8'!$A$6:$A$201,0)</f>
        <v>0</v>
      </c>
      <c r="AH12" s="8" t="str">
        <f>_xlfn.XLOOKUP($B12,'PEW9'!$C$6:$C$201,'PEW9'!$B$6:$B$201,"")</f>
        <v/>
      </c>
      <c r="AI12" s="72">
        <f>_xlfn.XLOOKUP(AH12,'PEW9'!$B$6:$B$201,'PEW9'!$A$6:$A$201,0)</f>
        <v>0</v>
      </c>
      <c r="AJ12" s="8" t="str">
        <f>_xlfn.XLOOKUP($B12,PS!$C$6:$C$201,PS!$B$6:$B$201,"")</f>
        <v/>
      </c>
      <c r="AK12" s="72">
        <f>_xlfn.XLOOKUP(AJ12,PS!$B$6:$B$201,PS!$A$6:$A$201,0)</f>
        <v>0</v>
      </c>
      <c r="AL12" s="8" t="str" cm="1">
        <f t="array" ref="AL12">_xlfn.XLOOKUP($B12,IMEW!C$6:C$201,IMEW!$B$6:B$201,"")</f>
        <v/>
      </c>
      <c r="AM12" s="73">
        <f>_xlfn.XLOOKUP(AL12,IMEW!$B$6:$B$201,IMEW!$A$6:$A$201,0)</f>
        <v>0</v>
      </c>
    </row>
    <row r="13" spans="1:39" ht="14.8" customHeight="1" x14ac:dyDescent="0.25">
      <c r="A13" s="7">
        <f t="shared" si="0"/>
        <v>8</v>
      </c>
      <c r="B13" s="115"/>
      <c r="C13" s="9"/>
      <c r="D13" s="69">
        <f>SUM(F13,H13,J13,L13,N13,P13)-MIN(F13,H13,J13,L13,N13)+SUM(LARGE((S13,U13,W13,Y13,AA13,AC13,AE13,AG13,AI13,AK13),1),LARGE((S13,U13,W13,Y13,AA13,AC13,AE13,AG13,AI13,AK13),2),LARGE((S13,U13,W13,Y13,AA13,AC13,AE13,AG13,AI13,AK13),3),AM13)</f>
        <v>0</v>
      </c>
      <c r="E13" s="8" t="str">
        <f>_xlfn.XLOOKUP($B13,'PP1'!$C$6:$C$101,'PP1'!$B$6:$B$101,"")</f>
        <v/>
      </c>
      <c r="F13" s="70">
        <f>_xlfn.XLOOKUP(E13,'PP1'!$B$6:$B$55,'PP1'!$A$6:$A$55,0)</f>
        <v>0</v>
      </c>
      <c r="G13" s="8" t="str">
        <f>_xlfn.XLOOKUP($B13,'PP2'!$C$6:$C$101,'PP2'!$B$6:$B$101,"")</f>
        <v/>
      </c>
      <c r="H13" s="71">
        <f>_xlfn.XLOOKUP(G13,'PP2'!$B$6:$B$55,'PP2'!$A$6:$A$55,0)</f>
        <v>0</v>
      </c>
      <c r="I13" s="8" t="str">
        <f>_xlfn.XLOOKUP($B13,'PP3'!$C$6:$C$101,'PP3'!$B$6:$B$101,"")</f>
        <v/>
      </c>
      <c r="J13" s="71">
        <f>_xlfn.XLOOKUP(I13,'PP3'!$B$6:$B$55,'PP3'!$A$6:$A$55,0)</f>
        <v>0</v>
      </c>
      <c r="K13" s="8" t="str">
        <f>_xlfn.XLOOKUP($B13,'PP4'!$C$6:$C$101,'PP4'!$B$6:$B$101,"")</f>
        <v/>
      </c>
      <c r="L13" s="71">
        <f>_xlfn.XLOOKUP(K13,'PP4'!$B$6:$B$55,'PP4'!$A$6:$A$55,0)</f>
        <v>0</v>
      </c>
      <c r="M13" s="8" t="str">
        <f>_xlfn.XLOOKUP($B13,'PP5'!$C$6:$C$101,'PP5'!$B$6:$B$101,"")</f>
        <v/>
      </c>
      <c r="N13" s="71">
        <f>_xlfn.XLOOKUP(M13,'PP5'!$B$6:$B$55,'PP5'!$A$6:$A$55,0)</f>
        <v>0</v>
      </c>
      <c r="O13" s="8" t="str">
        <f>_xlfn.XLOOKUP(B13,MPW!C$6:C$101,MPW!B$6:B$101,"")</f>
        <v/>
      </c>
      <c r="P13" s="71">
        <f>_xlfn.XLOOKUP(O13,MPW!B$6:B$55,MPW!A$6:A$55,0)</f>
        <v>0</v>
      </c>
      <c r="R13" s="8" t="str">
        <f>_xlfn.XLOOKUP($B13,'PEW1'!$C$6:$C$201,'PEW1'!$B$6:$B$201,"")</f>
        <v/>
      </c>
      <c r="S13" s="72">
        <f>_xlfn.XLOOKUP(R13,'PEW1'!$B$6:$B$201,'PEW1'!$A$6:$A$201,0)</f>
        <v>0</v>
      </c>
      <c r="T13" s="8" t="str">
        <f>_xlfn.XLOOKUP($B13,'PEW2'!$C$6:$C$201,'PEW2'!$B$6:$B$201,"")</f>
        <v/>
      </c>
      <c r="U13" s="72">
        <f>_xlfn.XLOOKUP(T13,'PEW2'!$B$6:$B$201,'PEW2'!$A$6:$A$201,0)</f>
        <v>0</v>
      </c>
      <c r="V13" s="8" t="str">
        <f>_xlfn.XLOOKUP($B13,'PEW3'!$C$6:$C$201,'PEW3'!$B$6:$B$201,"")</f>
        <v/>
      </c>
      <c r="W13" s="72">
        <f>_xlfn.XLOOKUP(V13,'PEW3'!$B$6:$B$201,'PEW3'!$A$6:$A$201,0)</f>
        <v>0</v>
      </c>
      <c r="X13" s="8" t="str">
        <f>_xlfn.XLOOKUP($B13,'PEW4'!$C$6:$C$201,'PEW4'!$B$6:$B$201,"")</f>
        <v/>
      </c>
      <c r="Y13" s="72">
        <f>_xlfn.XLOOKUP(X13,'PEW4'!$B$6:$B$201,'PEW4'!$A$6:$A$201,0)</f>
        <v>0</v>
      </c>
      <c r="Z13" s="8" t="str">
        <f>_xlfn.XLOOKUP($B13,'PEW5'!$C$6:$C$201,'PEW5'!$B$6:$B$201,"")</f>
        <v/>
      </c>
      <c r="AA13" s="72">
        <f>_xlfn.XLOOKUP(Z13,'PEW5'!$B$6:$B$201,'PEW5'!$A$6:$A$201,0)</f>
        <v>0</v>
      </c>
      <c r="AB13" s="8" t="str">
        <f>_xlfn.XLOOKUP($B13,'PEW6'!$C$6:$C$201,'PEW6'!$B$6:$B$201,"")</f>
        <v/>
      </c>
      <c r="AC13" s="72">
        <f>_xlfn.XLOOKUP(AB13,'PEW6'!$B$6:$B$201,'PEW6'!$A$6:$A$201,0)</f>
        <v>0</v>
      </c>
      <c r="AD13" s="8" t="str">
        <f>_xlfn.XLOOKUP($B13,'PEW7'!$C$6:$C$201,'PEW7'!$B$6:$B$201,"")</f>
        <v/>
      </c>
      <c r="AE13" s="72">
        <f>_xlfn.XLOOKUP(AD13,'PEW7'!$B$6:$B$201,'PEW7'!$A$6:$A$201,0)</f>
        <v>0</v>
      </c>
      <c r="AF13" s="8" t="str">
        <f>_xlfn.XLOOKUP($B13,'PEW8'!$C$6:$C$201,'PEW8'!$B$6:$B$201,"")</f>
        <v/>
      </c>
      <c r="AG13" s="72">
        <f>_xlfn.XLOOKUP(AF13,'PEW8'!$B$6:$B$201,'PEW8'!$A$6:$A$201,0)</f>
        <v>0</v>
      </c>
      <c r="AH13" s="8" t="str">
        <f>_xlfn.XLOOKUP($B13,'PEW9'!$C$6:$C$201,'PEW9'!$B$6:$B$201,"")</f>
        <v/>
      </c>
      <c r="AI13" s="72">
        <f>_xlfn.XLOOKUP(AH13,'PEW9'!$B$6:$B$201,'PEW9'!$A$6:$A$201,0)</f>
        <v>0</v>
      </c>
      <c r="AJ13" s="8" t="str">
        <f>_xlfn.XLOOKUP($B13,PS!$C$6:$C$201,PS!$B$6:$B$201,"")</f>
        <v/>
      </c>
      <c r="AK13" s="72">
        <f>_xlfn.XLOOKUP(AJ13,PS!$B$6:$B$201,PS!$A$6:$A$201,0)</f>
        <v>0</v>
      </c>
      <c r="AL13" s="8" t="str" cm="1">
        <f t="array" ref="AL13">_xlfn.XLOOKUP($B13,IMEW!C$6:C$201,IMEW!$B$6:B$201,"")</f>
        <v/>
      </c>
      <c r="AM13" s="73">
        <f>_xlfn.XLOOKUP(AL13,IMEW!$B$6:$B$201,IMEW!$A$6:$A$201,0)</f>
        <v>0</v>
      </c>
    </row>
    <row r="14" spans="1:39" ht="14.8" customHeight="1" x14ac:dyDescent="0.25">
      <c r="A14" s="7">
        <f t="shared" si="0"/>
        <v>9</v>
      </c>
      <c r="B14" s="115"/>
      <c r="C14" s="9"/>
      <c r="D14" s="69">
        <f>SUM(F14,H14,J14,L14,N14,P14)-MIN(F14,H14,J14,L14,N14)+SUM(LARGE((S14,U14,W14,Y14,AA14,AC14,AE14,AG14,AI14,AK14),1),LARGE((S14,U14,W14,Y14,AA14,AC14,AE14,AG14,AI14,AK14),2),LARGE((S14,U14,W14,Y14,AA14,AC14,AE14,AG14,AI14,AK14),3),AM14)</f>
        <v>0</v>
      </c>
      <c r="E14" s="8" t="str">
        <f>_xlfn.XLOOKUP($B14,'PP1'!$C$6:$C$101,'PP1'!$B$6:$B$101,"")</f>
        <v/>
      </c>
      <c r="F14" s="70">
        <f>_xlfn.XLOOKUP(E14,'PP1'!$B$6:$B$55,'PP1'!$A$6:$A$55,0)</f>
        <v>0</v>
      </c>
      <c r="G14" s="8" t="str">
        <f>_xlfn.XLOOKUP($B14,'PP2'!$C$6:$C$101,'PP2'!$B$6:$B$101,"")</f>
        <v/>
      </c>
      <c r="H14" s="71">
        <f>_xlfn.XLOOKUP(G14,'PP2'!$B$6:$B$55,'PP2'!$A$6:$A$55,0)</f>
        <v>0</v>
      </c>
      <c r="I14" s="8" t="str">
        <f>_xlfn.XLOOKUP($B14,'PP3'!$C$6:$C$101,'PP3'!$B$6:$B$101,"")</f>
        <v/>
      </c>
      <c r="J14" s="71">
        <f>_xlfn.XLOOKUP(I14,'PP3'!$B$6:$B$55,'PP3'!$A$6:$A$55,0)</f>
        <v>0</v>
      </c>
      <c r="K14" s="8" t="str">
        <f>_xlfn.XLOOKUP($B14,'PP4'!$C$6:$C$101,'PP4'!$B$6:$B$101,"")</f>
        <v/>
      </c>
      <c r="L14" s="71">
        <f>_xlfn.XLOOKUP(K14,'PP4'!$B$6:$B$55,'PP4'!$A$6:$A$55,0)</f>
        <v>0</v>
      </c>
      <c r="M14" s="8" t="str">
        <f>_xlfn.XLOOKUP($B14,'PP5'!$C$6:$C$101,'PP5'!$B$6:$B$101,"")</f>
        <v/>
      </c>
      <c r="N14" s="71">
        <f>_xlfn.XLOOKUP(M14,'PP5'!$B$6:$B$55,'PP5'!$A$6:$A$55,0)</f>
        <v>0</v>
      </c>
      <c r="O14" s="8" t="str">
        <f>_xlfn.XLOOKUP(B14,MPW!C$6:C$101,MPW!B$6:B$101,"")</f>
        <v/>
      </c>
      <c r="P14" s="71">
        <f>_xlfn.XLOOKUP(O14,MPW!B$6:B$55,MPW!A$6:A$55,0)</f>
        <v>0</v>
      </c>
      <c r="R14" s="8" t="str">
        <f>_xlfn.XLOOKUP($B14,'PEW1'!$C$6:$C$201,'PEW1'!$B$6:$B$201,"")</f>
        <v/>
      </c>
      <c r="S14" s="72">
        <f>_xlfn.XLOOKUP(R14,'PEW1'!$B$6:$B$201,'PEW1'!$A$6:$A$201,0)</f>
        <v>0</v>
      </c>
      <c r="T14" s="8" t="str">
        <f>_xlfn.XLOOKUP($B14,'PEW2'!$C$6:$C$201,'PEW2'!$B$6:$B$201,"")</f>
        <v/>
      </c>
      <c r="U14" s="72">
        <f>_xlfn.XLOOKUP(T14,'PEW2'!$B$6:$B$201,'PEW2'!$A$6:$A$201,0)</f>
        <v>0</v>
      </c>
      <c r="V14" s="8" t="str">
        <f>_xlfn.XLOOKUP($B14,'PEW3'!$C$6:$C$201,'PEW3'!$B$6:$B$201,"")</f>
        <v/>
      </c>
      <c r="W14" s="72">
        <f>_xlfn.XLOOKUP(V14,'PEW3'!$B$6:$B$201,'PEW3'!$A$6:$A$201,0)</f>
        <v>0</v>
      </c>
      <c r="X14" s="8" t="str">
        <f>_xlfn.XLOOKUP($B14,'PEW4'!$C$6:$C$201,'PEW4'!$B$6:$B$201,"")</f>
        <v/>
      </c>
      <c r="Y14" s="72">
        <f>_xlfn.XLOOKUP(X14,'PEW4'!$B$6:$B$201,'PEW4'!$A$6:$A$201,0)</f>
        <v>0</v>
      </c>
      <c r="Z14" s="8" t="str">
        <f>_xlfn.XLOOKUP($B14,'PEW5'!$C$6:$C$201,'PEW5'!$B$6:$B$201,"")</f>
        <v/>
      </c>
      <c r="AA14" s="72">
        <f>_xlfn.XLOOKUP(Z14,'PEW5'!$B$6:$B$201,'PEW5'!$A$6:$A$201,0)</f>
        <v>0</v>
      </c>
      <c r="AB14" s="8" t="str">
        <f>_xlfn.XLOOKUP($B14,'PEW6'!$C$6:$C$201,'PEW6'!$B$6:$B$201,"")</f>
        <v/>
      </c>
      <c r="AC14" s="72">
        <f>_xlfn.XLOOKUP(AB14,'PEW6'!$B$6:$B$201,'PEW6'!$A$6:$A$201,0)</f>
        <v>0</v>
      </c>
      <c r="AD14" s="8" t="str">
        <f>_xlfn.XLOOKUP($B14,'PEW7'!$C$6:$C$201,'PEW7'!$B$6:$B$201,"")</f>
        <v/>
      </c>
      <c r="AE14" s="72">
        <f>_xlfn.XLOOKUP(AD14,'PEW7'!$B$6:$B$201,'PEW7'!$A$6:$A$201,0)</f>
        <v>0</v>
      </c>
      <c r="AF14" s="8" t="str">
        <f>_xlfn.XLOOKUP($B14,'PEW8'!$C$6:$C$201,'PEW8'!$B$6:$B$201,"")</f>
        <v/>
      </c>
      <c r="AG14" s="72">
        <f>_xlfn.XLOOKUP(AF14,'PEW8'!$B$6:$B$201,'PEW8'!$A$6:$A$201,0)</f>
        <v>0</v>
      </c>
      <c r="AH14" s="8" t="str">
        <f>_xlfn.XLOOKUP($B14,'PEW9'!$C$6:$C$201,'PEW9'!$B$6:$B$201,"")</f>
        <v/>
      </c>
      <c r="AI14" s="72">
        <f>_xlfn.XLOOKUP(AH14,'PEW9'!$B$6:$B$201,'PEW9'!$A$6:$A$201,0)</f>
        <v>0</v>
      </c>
      <c r="AJ14" s="8" t="str">
        <f>_xlfn.XLOOKUP($B14,PS!$C$6:$C$201,PS!$B$6:$B$201,"")</f>
        <v/>
      </c>
      <c r="AK14" s="72">
        <f>_xlfn.XLOOKUP(AJ14,PS!$B$6:$B$201,PS!$A$6:$A$201,0)</f>
        <v>0</v>
      </c>
      <c r="AL14" s="8" t="str" cm="1">
        <f t="array" ref="AL14">_xlfn.XLOOKUP($B14,IMEW!C$6:C$201,IMEW!$B$6:B$201,"")</f>
        <v/>
      </c>
      <c r="AM14" s="73">
        <f>_xlfn.XLOOKUP(AL14,IMEW!$B$6:$B$201,IMEW!$A$6:$A$201,0)</f>
        <v>0</v>
      </c>
    </row>
    <row r="15" spans="1:39" ht="14.8" customHeight="1" x14ac:dyDescent="0.25">
      <c r="A15" s="7">
        <f t="shared" si="0"/>
        <v>10</v>
      </c>
      <c r="B15" s="115"/>
      <c r="C15" s="9"/>
      <c r="D15" s="69">
        <f>SUM(F15,H15,J15,L15,N15,P15)-MIN(F15,H15,J15,L15,N15)+SUM(LARGE((S15,U15,W15,Y15,AA15,AC15,AE15,AG15,AI15,AK15),1),LARGE((S15,U15,W15,Y15,AA15,AC15,AE15,AG15,AI15,AK15),2),LARGE((S15,U15,W15,Y15,AA15,AC15,AE15,AG15,AI15,AK15),3),AM15)</f>
        <v>0</v>
      </c>
      <c r="E15" s="8" t="str">
        <f>_xlfn.XLOOKUP($B15,'PP1'!$C$6:$C$101,'PP1'!$B$6:$B$101,"")</f>
        <v/>
      </c>
      <c r="F15" s="70">
        <f>_xlfn.XLOOKUP(E15,'PP1'!$B$6:$B$55,'PP1'!$A$6:$A$55,0)</f>
        <v>0</v>
      </c>
      <c r="G15" s="8" t="str">
        <f>_xlfn.XLOOKUP($B15,'PP2'!$C$6:$C$101,'PP2'!$B$6:$B$101,"")</f>
        <v/>
      </c>
      <c r="H15" s="71">
        <f>_xlfn.XLOOKUP(G15,'PP2'!$B$6:$B$55,'PP2'!$A$6:$A$55,0)</f>
        <v>0</v>
      </c>
      <c r="I15" s="8" t="str">
        <f>_xlfn.XLOOKUP($B15,'PP3'!$C$6:$C$101,'PP3'!$B$6:$B$101,"")</f>
        <v/>
      </c>
      <c r="J15" s="71">
        <f>_xlfn.XLOOKUP(I15,'PP3'!$B$6:$B$55,'PP3'!$A$6:$A$55,0)</f>
        <v>0</v>
      </c>
      <c r="K15" s="8" t="str">
        <f>_xlfn.XLOOKUP($B15,'PP4'!$C$6:$C$101,'PP4'!$B$6:$B$101,"")</f>
        <v/>
      </c>
      <c r="L15" s="71">
        <f>_xlfn.XLOOKUP(K15,'PP4'!$B$6:$B$55,'PP4'!$A$6:$A$55,0)</f>
        <v>0</v>
      </c>
      <c r="M15" s="8" t="str">
        <f>_xlfn.XLOOKUP($B15,'PP5'!$C$6:$C$101,'PP5'!$B$6:$B$101,"")</f>
        <v/>
      </c>
      <c r="N15" s="71">
        <f>_xlfn.XLOOKUP(M15,'PP5'!$B$6:$B$55,'PP5'!$A$6:$A$55,0)</f>
        <v>0</v>
      </c>
      <c r="O15" s="8" t="str">
        <f>_xlfn.XLOOKUP(B15,MPW!C$6:C$101,MPW!B$6:B$101,"")</f>
        <v/>
      </c>
      <c r="P15" s="71">
        <f>_xlfn.XLOOKUP(O15,MPW!B$6:B$55,MPW!A$6:A$55,0)</f>
        <v>0</v>
      </c>
      <c r="R15" s="8" t="str">
        <f>_xlfn.XLOOKUP($B15,'PEW1'!$C$6:$C$201,'PEW1'!$B$6:$B$201,"")</f>
        <v/>
      </c>
      <c r="S15" s="72">
        <f>_xlfn.XLOOKUP(R15,'PEW1'!$B$6:$B$201,'PEW1'!$A$6:$A$201,0)</f>
        <v>0</v>
      </c>
      <c r="T15" s="8" t="str">
        <f>_xlfn.XLOOKUP($B15,'PEW2'!$C$6:$C$201,'PEW2'!$B$6:$B$201,"")</f>
        <v/>
      </c>
      <c r="U15" s="72">
        <f>_xlfn.XLOOKUP(T15,'PEW2'!$B$6:$B$201,'PEW2'!$A$6:$A$201,0)</f>
        <v>0</v>
      </c>
      <c r="V15" s="8" t="str">
        <f>_xlfn.XLOOKUP($B15,'PEW3'!$C$6:$C$201,'PEW3'!$B$6:$B$201,"")</f>
        <v/>
      </c>
      <c r="W15" s="72">
        <f>_xlfn.XLOOKUP(V15,'PEW3'!$B$6:$B$201,'PEW3'!$A$6:$A$201,0)</f>
        <v>0</v>
      </c>
      <c r="X15" s="8" t="str">
        <f>_xlfn.XLOOKUP($B15,'PEW4'!$C$6:$C$201,'PEW4'!$B$6:$B$201,"")</f>
        <v/>
      </c>
      <c r="Y15" s="72">
        <f>_xlfn.XLOOKUP(X15,'PEW4'!$B$6:$B$201,'PEW4'!$A$6:$A$201,0)</f>
        <v>0</v>
      </c>
      <c r="Z15" s="8" t="str">
        <f>_xlfn.XLOOKUP($B15,'PEW5'!$C$6:$C$201,'PEW5'!$B$6:$B$201,"")</f>
        <v/>
      </c>
      <c r="AA15" s="72">
        <f>_xlfn.XLOOKUP(Z15,'PEW5'!$B$6:$B$201,'PEW5'!$A$6:$A$201,0)</f>
        <v>0</v>
      </c>
      <c r="AB15" s="8" t="str">
        <f>_xlfn.XLOOKUP($B15,'PEW6'!$C$6:$C$201,'PEW6'!$B$6:$B$201,"")</f>
        <v/>
      </c>
      <c r="AC15" s="72">
        <f>_xlfn.XLOOKUP(AB15,'PEW6'!$B$6:$B$201,'PEW6'!$A$6:$A$201,0)</f>
        <v>0</v>
      </c>
      <c r="AD15" s="8" t="str">
        <f>_xlfn.XLOOKUP($B15,'PEW7'!$C$6:$C$201,'PEW7'!$B$6:$B$201,"")</f>
        <v/>
      </c>
      <c r="AE15" s="72">
        <f>_xlfn.XLOOKUP(AD15,'PEW7'!$B$6:$B$201,'PEW7'!$A$6:$A$201,0)</f>
        <v>0</v>
      </c>
      <c r="AF15" s="8" t="str">
        <f>_xlfn.XLOOKUP($B15,'PEW8'!$C$6:$C$201,'PEW8'!$B$6:$B$201,"")</f>
        <v/>
      </c>
      <c r="AG15" s="72">
        <f>_xlfn.XLOOKUP(AF15,'PEW8'!$B$6:$B$201,'PEW8'!$A$6:$A$201,0)</f>
        <v>0</v>
      </c>
      <c r="AH15" s="8" t="str">
        <f>_xlfn.XLOOKUP($B15,'PEW9'!$C$6:$C$201,'PEW9'!$B$6:$B$201,"")</f>
        <v/>
      </c>
      <c r="AI15" s="72">
        <f>_xlfn.XLOOKUP(AH15,'PEW9'!$B$6:$B$201,'PEW9'!$A$6:$A$201,0)</f>
        <v>0</v>
      </c>
      <c r="AJ15" s="8" t="str">
        <f>_xlfn.XLOOKUP($B15,PS!$C$6:$C$201,PS!$B$6:$B$201,"")</f>
        <v/>
      </c>
      <c r="AK15" s="72">
        <f>_xlfn.XLOOKUP(AJ15,PS!$B$6:$B$201,PS!$A$6:$A$201,0)</f>
        <v>0</v>
      </c>
      <c r="AL15" s="8" t="str" cm="1">
        <f t="array" ref="AL15">_xlfn.XLOOKUP($B15,IMEW!C$6:C$201,IMEW!$B$6:B$201,"")</f>
        <v/>
      </c>
      <c r="AM15" s="73">
        <f>_xlfn.XLOOKUP(AL15,IMEW!$B$6:$B$201,IMEW!$A$6:$A$201,0)</f>
        <v>0</v>
      </c>
    </row>
    <row r="16" spans="1:39" ht="14.8" customHeight="1" x14ac:dyDescent="0.25">
      <c r="A16" s="7">
        <f t="shared" si="0"/>
        <v>11</v>
      </c>
      <c r="B16" s="115"/>
      <c r="C16" s="9"/>
      <c r="D16" s="69">
        <f>SUM(F16,H16,J16,L16,N16,P16)-MIN(F16,H16,J16,L16,N16)+SUM(LARGE((S16,U16,W16,Y16,AA16,AC16,AE16,AG16,AI16,AK16),1),LARGE((S16,U16,W16,Y16,AA16,AC16,AE16,AG16,AI16,AK16),2),LARGE((S16,U16,W16,Y16,AA16,AC16,AE16,AG16,AI16,AK16),3),AM16)</f>
        <v>0</v>
      </c>
      <c r="E16" s="8" t="str">
        <f>_xlfn.XLOOKUP($B16,'PP1'!$C$6:$C$101,'PP1'!$B$6:$B$101,"")</f>
        <v/>
      </c>
      <c r="F16" s="70">
        <f>_xlfn.XLOOKUP(E16,'PP1'!$B$6:$B$55,'PP1'!$A$6:$A$55,0)</f>
        <v>0</v>
      </c>
      <c r="G16" s="8" t="str">
        <f>_xlfn.XLOOKUP($B16,'PP2'!$C$6:$C$101,'PP2'!$B$6:$B$101,"")</f>
        <v/>
      </c>
      <c r="H16" s="71">
        <f>_xlfn.XLOOKUP(G16,'PP2'!$B$6:$B$55,'PP2'!$A$6:$A$55,0)</f>
        <v>0</v>
      </c>
      <c r="I16" s="8" t="str">
        <f>_xlfn.XLOOKUP($B16,'PP3'!$C$6:$C$101,'PP3'!$B$6:$B$101,"")</f>
        <v/>
      </c>
      <c r="J16" s="71">
        <f>_xlfn.XLOOKUP(I16,'PP3'!$B$6:$B$55,'PP3'!$A$6:$A$55,0)</f>
        <v>0</v>
      </c>
      <c r="K16" s="8" t="str">
        <f>_xlfn.XLOOKUP($B16,'PP4'!$C$6:$C$101,'PP4'!$B$6:$B$101,"")</f>
        <v/>
      </c>
      <c r="L16" s="71">
        <f>_xlfn.XLOOKUP(K16,'PP4'!$B$6:$B$55,'PP4'!$A$6:$A$55,0)</f>
        <v>0</v>
      </c>
      <c r="M16" s="8" t="str">
        <f>_xlfn.XLOOKUP($B16,'PP5'!$C$6:$C$101,'PP5'!$B$6:$B$101,"")</f>
        <v/>
      </c>
      <c r="N16" s="71">
        <f>_xlfn.XLOOKUP(M16,'PP5'!$B$6:$B$55,'PP5'!$A$6:$A$55,0)</f>
        <v>0</v>
      </c>
      <c r="O16" s="8" t="str">
        <f>_xlfn.XLOOKUP(B16,MPW!C$6:C$101,MPW!B$6:B$101,"")</f>
        <v/>
      </c>
      <c r="P16" s="71">
        <f>_xlfn.XLOOKUP(O16,MPW!B$6:B$55,MPW!A$6:A$55,0)</f>
        <v>0</v>
      </c>
      <c r="R16" s="8" t="str">
        <f>_xlfn.XLOOKUP($B16,'PEW1'!$C$6:$C$201,'PEW1'!$B$6:$B$201,"")</f>
        <v/>
      </c>
      <c r="S16" s="72">
        <f>_xlfn.XLOOKUP(R16,'PEW1'!$B$6:$B$201,'PEW1'!$A$6:$A$201,0)</f>
        <v>0</v>
      </c>
      <c r="T16" s="8" t="str">
        <f>_xlfn.XLOOKUP($B16,'PEW2'!$C$6:$C$201,'PEW2'!$B$6:$B$201,"")</f>
        <v/>
      </c>
      <c r="U16" s="72">
        <f>_xlfn.XLOOKUP(T16,'PEW2'!$B$6:$B$201,'PEW2'!$A$6:$A$201,0)</f>
        <v>0</v>
      </c>
      <c r="V16" s="8" t="str">
        <f>_xlfn.XLOOKUP($B16,'PEW3'!$C$6:$C$201,'PEW3'!$B$6:$B$201,"")</f>
        <v/>
      </c>
      <c r="W16" s="72">
        <f>_xlfn.XLOOKUP(V16,'PEW3'!$B$6:$B$201,'PEW3'!$A$6:$A$201,0)</f>
        <v>0</v>
      </c>
      <c r="X16" s="8" t="str">
        <f>_xlfn.XLOOKUP($B16,'PEW4'!$C$6:$C$201,'PEW4'!$B$6:$B$201,"")</f>
        <v/>
      </c>
      <c r="Y16" s="72">
        <f>_xlfn.XLOOKUP(X16,'PEW4'!$B$6:$B$201,'PEW4'!$A$6:$A$201,0)</f>
        <v>0</v>
      </c>
      <c r="Z16" s="8" t="str">
        <f>_xlfn.XLOOKUP($B16,'PEW5'!$C$6:$C$201,'PEW5'!$B$6:$B$201,"")</f>
        <v/>
      </c>
      <c r="AA16" s="72">
        <f>_xlfn.XLOOKUP(Z16,'PEW5'!$B$6:$B$201,'PEW5'!$A$6:$A$201,0)</f>
        <v>0</v>
      </c>
      <c r="AB16" s="8" t="str">
        <f>_xlfn.XLOOKUP($B16,'PEW6'!$C$6:$C$201,'PEW6'!$B$6:$B$201,"")</f>
        <v/>
      </c>
      <c r="AC16" s="72">
        <f>_xlfn.XLOOKUP(AB16,'PEW6'!$B$6:$B$201,'PEW6'!$A$6:$A$201,0)</f>
        <v>0</v>
      </c>
      <c r="AD16" s="8" t="str">
        <f>_xlfn.XLOOKUP($B16,'PEW7'!$C$6:$C$201,'PEW7'!$B$6:$B$201,"")</f>
        <v/>
      </c>
      <c r="AE16" s="72">
        <f>_xlfn.XLOOKUP(AD16,'PEW7'!$B$6:$B$201,'PEW7'!$A$6:$A$201,0)</f>
        <v>0</v>
      </c>
      <c r="AF16" s="8" t="str">
        <f>_xlfn.XLOOKUP($B16,'PEW8'!$C$6:$C$201,'PEW8'!$B$6:$B$201,"")</f>
        <v/>
      </c>
      <c r="AG16" s="72">
        <f>_xlfn.XLOOKUP(AF16,'PEW8'!$B$6:$B$201,'PEW8'!$A$6:$A$201,0)</f>
        <v>0</v>
      </c>
      <c r="AH16" s="8" t="str">
        <f>_xlfn.XLOOKUP($B16,'PEW9'!$C$6:$C$201,'PEW9'!$B$6:$B$201,"")</f>
        <v/>
      </c>
      <c r="AI16" s="72">
        <f>_xlfn.XLOOKUP(AH16,'PEW9'!$B$6:$B$201,'PEW9'!$A$6:$A$201,0)</f>
        <v>0</v>
      </c>
      <c r="AJ16" s="8" t="str">
        <f>_xlfn.XLOOKUP($B16,PS!$C$6:$C$201,PS!$B$6:$B$201,"")</f>
        <v/>
      </c>
      <c r="AK16" s="72">
        <f>_xlfn.XLOOKUP(AJ16,PS!$B$6:$B$201,PS!$A$6:$A$201,0)</f>
        <v>0</v>
      </c>
      <c r="AL16" s="8" t="str" cm="1">
        <f t="array" ref="AL16">_xlfn.XLOOKUP($B16,IMEW!C$6:C$201,IMEW!$B$6:B$201,"")</f>
        <v/>
      </c>
      <c r="AM16" s="73">
        <f>_xlfn.XLOOKUP(AL16,IMEW!$B$6:$B$201,IMEW!$A$6:$A$201,0)</f>
        <v>0</v>
      </c>
    </row>
    <row r="17" spans="1:39" ht="14.8" customHeight="1" x14ac:dyDescent="0.25">
      <c r="A17" s="7">
        <f t="shared" si="0"/>
        <v>12</v>
      </c>
      <c r="B17" s="115"/>
      <c r="C17" s="9"/>
      <c r="D17" s="69">
        <f>SUM(F17,H17,J17,L17,N17,P17)-MIN(F17,H17,J17,L17,N17)+SUM(LARGE((S17,U17,W17,Y17,AA17,AC17,AE17,AG17,AI17,AK17),1),LARGE((S17,U17,W17,Y17,AA17,AC17,AE17,AG17,AI17,AK17),2),LARGE((S17,U17,W17,Y17,AA17,AC17,AE17,AG17,AI17,AK17),3),AM17)</f>
        <v>0</v>
      </c>
      <c r="E17" s="8" t="str">
        <f>_xlfn.XLOOKUP($B17,'PP1'!$C$6:$C$101,'PP1'!$B$6:$B$101,"")</f>
        <v/>
      </c>
      <c r="F17" s="70">
        <f>_xlfn.XLOOKUP(E17,'PP1'!$B$6:$B$55,'PP1'!$A$6:$A$55,0)</f>
        <v>0</v>
      </c>
      <c r="G17" s="8" t="str">
        <f>_xlfn.XLOOKUP($B17,'PP2'!$C$6:$C$101,'PP2'!$B$6:$B$101,"")</f>
        <v/>
      </c>
      <c r="H17" s="71">
        <f>_xlfn.XLOOKUP(G17,'PP2'!$B$6:$B$55,'PP2'!$A$6:$A$55,0)</f>
        <v>0</v>
      </c>
      <c r="I17" s="8" t="str">
        <f>_xlfn.XLOOKUP($B17,'PP3'!$C$6:$C$101,'PP3'!$B$6:$B$101,"")</f>
        <v/>
      </c>
      <c r="J17" s="71">
        <f>_xlfn.XLOOKUP(I17,'PP3'!$B$6:$B$55,'PP3'!$A$6:$A$55,0)</f>
        <v>0</v>
      </c>
      <c r="K17" s="8" t="str">
        <f>_xlfn.XLOOKUP($B17,'PP4'!$C$6:$C$101,'PP4'!$B$6:$B$101,"")</f>
        <v/>
      </c>
      <c r="L17" s="71">
        <f>_xlfn.XLOOKUP(K17,'PP4'!$B$6:$B$55,'PP4'!$A$6:$A$55,0)</f>
        <v>0</v>
      </c>
      <c r="M17" s="8" t="str">
        <f>_xlfn.XLOOKUP($B17,'PP5'!$C$6:$C$101,'PP5'!$B$6:$B$101,"")</f>
        <v/>
      </c>
      <c r="N17" s="71">
        <f>_xlfn.XLOOKUP(M17,'PP5'!$B$6:$B$55,'PP5'!$A$6:$A$55,0)</f>
        <v>0</v>
      </c>
      <c r="O17" s="8" t="str">
        <f>_xlfn.XLOOKUP(B17,MPW!C$6:C$101,MPW!B$6:B$101,"")</f>
        <v/>
      </c>
      <c r="P17" s="71">
        <f>_xlfn.XLOOKUP(O17,MPW!B$6:B$55,MPW!A$6:A$55,0)</f>
        <v>0</v>
      </c>
      <c r="R17" s="8" t="str">
        <f>_xlfn.XLOOKUP($B17,'PEW1'!$C$6:$C$201,'PEW1'!$B$6:$B$201,"")</f>
        <v/>
      </c>
      <c r="S17" s="72">
        <f>_xlfn.XLOOKUP(R17,'PEW1'!$B$6:$B$201,'PEW1'!$A$6:$A$201,0)</f>
        <v>0</v>
      </c>
      <c r="T17" s="8" t="str">
        <f>_xlfn.XLOOKUP($B17,'PEW2'!$C$6:$C$201,'PEW2'!$B$6:$B$201,"")</f>
        <v/>
      </c>
      <c r="U17" s="72">
        <f>_xlfn.XLOOKUP(T17,'PEW2'!$B$6:$B$201,'PEW2'!$A$6:$A$201,0)</f>
        <v>0</v>
      </c>
      <c r="V17" s="8" t="str">
        <f>_xlfn.XLOOKUP($B17,'PEW3'!$C$6:$C$201,'PEW3'!$B$6:$B$201,"")</f>
        <v/>
      </c>
      <c r="W17" s="72">
        <f>_xlfn.XLOOKUP(V17,'PEW3'!$B$6:$B$201,'PEW3'!$A$6:$A$201,0)</f>
        <v>0</v>
      </c>
      <c r="X17" s="8" t="str">
        <f>_xlfn.XLOOKUP($B17,'PEW4'!$C$6:$C$201,'PEW4'!$B$6:$B$201,"")</f>
        <v/>
      </c>
      <c r="Y17" s="72">
        <f>_xlfn.XLOOKUP(X17,'PEW4'!$B$6:$B$201,'PEW4'!$A$6:$A$201,0)</f>
        <v>0</v>
      </c>
      <c r="Z17" s="8" t="str">
        <f>_xlfn.XLOOKUP($B17,'PEW5'!$C$6:$C$201,'PEW5'!$B$6:$B$201,"")</f>
        <v/>
      </c>
      <c r="AA17" s="72">
        <f>_xlfn.XLOOKUP(Z17,'PEW5'!$B$6:$B$201,'PEW5'!$A$6:$A$201,0)</f>
        <v>0</v>
      </c>
      <c r="AB17" s="8" t="str">
        <f>_xlfn.XLOOKUP($B17,'PEW6'!$C$6:$C$201,'PEW6'!$B$6:$B$201,"")</f>
        <v/>
      </c>
      <c r="AC17" s="72">
        <f>_xlfn.XLOOKUP(AB17,'PEW6'!$B$6:$B$201,'PEW6'!$A$6:$A$201,0)</f>
        <v>0</v>
      </c>
      <c r="AD17" s="8" t="str">
        <f>_xlfn.XLOOKUP($B17,'PEW7'!$C$6:$C$201,'PEW7'!$B$6:$B$201,"")</f>
        <v/>
      </c>
      <c r="AE17" s="72">
        <f>_xlfn.XLOOKUP(AD17,'PEW7'!$B$6:$B$201,'PEW7'!$A$6:$A$201,0)</f>
        <v>0</v>
      </c>
      <c r="AF17" s="8" t="str">
        <f>_xlfn.XLOOKUP($B17,'PEW8'!$C$6:$C$201,'PEW8'!$B$6:$B$201,"")</f>
        <v/>
      </c>
      <c r="AG17" s="72">
        <f>_xlfn.XLOOKUP(AF17,'PEW8'!$B$6:$B$201,'PEW8'!$A$6:$A$201,0)</f>
        <v>0</v>
      </c>
      <c r="AH17" s="8" t="str">
        <f>_xlfn.XLOOKUP($B17,'PEW9'!$C$6:$C$201,'PEW9'!$B$6:$B$201,"")</f>
        <v/>
      </c>
      <c r="AI17" s="72">
        <f>_xlfn.XLOOKUP(AH17,'PEW9'!$B$6:$B$201,'PEW9'!$A$6:$A$201,0)</f>
        <v>0</v>
      </c>
      <c r="AJ17" s="8" t="str">
        <f>_xlfn.XLOOKUP($B17,PS!$C$6:$C$201,PS!$B$6:$B$201,"")</f>
        <v/>
      </c>
      <c r="AK17" s="72">
        <f>_xlfn.XLOOKUP(AJ17,PS!$B$6:$B$201,PS!$A$6:$A$201,0)</f>
        <v>0</v>
      </c>
      <c r="AL17" s="8" t="str" cm="1">
        <f t="array" ref="AL17">_xlfn.XLOOKUP($B17,IMEW!C$6:C$201,IMEW!$B$6:B$201,"")</f>
        <v/>
      </c>
      <c r="AM17" s="73">
        <f>_xlfn.XLOOKUP(AL17,IMEW!$B$6:$B$201,IMEW!$A$6:$A$201,0)</f>
        <v>0</v>
      </c>
    </row>
    <row r="18" spans="1:39" ht="14.8" customHeight="1" x14ac:dyDescent="0.25">
      <c r="A18" s="7">
        <f t="shared" si="0"/>
        <v>13</v>
      </c>
      <c r="B18" s="115"/>
      <c r="C18" s="9"/>
      <c r="D18" s="69">
        <f>SUM(F18,H18,J18,L18,N18,P18)-MIN(F18,H18,J18,L18,N18)+SUM(LARGE((S18,U18,W18,Y18,AA18,AC18,AE18,AG18,AI18,AK18),1),LARGE((S18,U18,W18,Y18,AA18,AC18,AE18,AG18,AI18,AK18),2),LARGE((S18,U18,W18,Y18,AA18,AC18,AE18,AG18,AI18,AK18),3),AM18)</f>
        <v>0</v>
      </c>
      <c r="E18" s="8" t="str">
        <f>_xlfn.XLOOKUP($B18,'PP1'!$C$6:$C$101,'PP1'!$B$6:$B$101,"")</f>
        <v/>
      </c>
      <c r="F18" s="70">
        <f>_xlfn.XLOOKUP(E18,'PP1'!$B$6:$B$55,'PP1'!$A$6:$A$55,0)</f>
        <v>0</v>
      </c>
      <c r="G18" s="8" t="str">
        <f>_xlfn.XLOOKUP($B18,'PP2'!$C$6:$C$101,'PP2'!$B$6:$B$101,"")</f>
        <v/>
      </c>
      <c r="H18" s="71">
        <f>_xlfn.XLOOKUP(G18,'PP2'!$B$6:$B$55,'PP2'!$A$6:$A$55,0)</f>
        <v>0</v>
      </c>
      <c r="I18" s="8" t="str">
        <f>_xlfn.XLOOKUP($B18,'PP3'!$C$6:$C$101,'PP3'!$B$6:$B$101,"")</f>
        <v/>
      </c>
      <c r="J18" s="71">
        <f>_xlfn.XLOOKUP(I18,'PP3'!$B$6:$B$55,'PP3'!$A$6:$A$55,0)</f>
        <v>0</v>
      </c>
      <c r="K18" s="8" t="str">
        <f>_xlfn.XLOOKUP($B18,'PP4'!$C$6:$C$101,'PP4'!$B$6:$B$101,"")</f>
        <v/>
      </c>
      <c r="L18" s="71">
        <f>_xlfn.XLOOKUP(K18,'PP4'!$B$6:$B$55,'PP4'!$A$6:$A$55,0)</f>
        <v>0</v>
      </c>
      <c r="M18" s="8" t="str">
        <f>_xlfn.XLOOKUP($B18,'PP5'!$C$6:$C$101,'PP5'!$B$6:$B$101,"")</f>
        <v/>
      </c>
      <c r="N18" s="71">
        <f>_xlfn.XLOOKUP(M18,'PP5'!$B$6:$B$55,'PP5'!$A$6:$A$55,0)</f>
        <v>0</v>
      </c>
      <c r="O18" s="8" t="str">
        <f>_xlfn.XLOOKUP(B18,MPW!C$6:C$101,MPW!B$6:B$101,"")</f>
        <v/>
      </c>
      <c r="P18" s="71">
        <f>_xlfn.XLOOKUP(O18,MPW!B$6:B$55,MPW!A$6:A$55,0)</f>
        <v>0</v>
      </c>
      <c r="R18" s="8" t="str">
        <f>_xlfn.XLOOKUP($B18,'PEW1'!$C$6:$C$201,'PEW1'!$B$6:$B$201,"")</f>
        <v/>
      </c>
      <c r="S18" s="72">
        <f>_xlfn.XLOOKUP(R18,'PEW1'!$B$6:$B$201,'PEW1'!$A$6:$A$201,0)</f>
        <v>0</v>
      </c>
      <c r="T18" s="8" t="str">
        <f>_xlfn.XLOOKUP($B18,'PEW2'!$C$6:$C$201,'PEW2'!$B$6:$B$201,"")</f>
        <v/>
      </c>
      <c r="U18" s="72">
        <f>_xlfn.XLOOKUP(T18,'PEW2'!$B$6:$B$201,'PEW2'!$A$6:$A$201,0)</f>
        <v>0</v>
      </c>
      <c r="V18" s="8" t="str">
        <f>_xlfn.XLOOKUP($B18,'PEW3'!$C$6:$C$201,'PEW3'!$B$6:$B$201,"")</f>
        <v/>
      </c>
      <c r="W18" s="72">
        <f>_xlfn.XLOOKUP(V18,'PEW3'!$B$6:$B$201,'PEW3'!$A$6:$A$201,0)</f>
        <v>0</v>
      </c>
      <c r="X18" s="8" t="str">
        <f>_xlfn.XLOOKUP($B18,'PEW4'!$C$6:$C$201,'PEW4'!$B$6:$B$201,"")</f>
        <v/>
      </c>
      <c r="Y18" s="72">
        <f>_xlfn.XLOOKUP(X18,'PEW4'!$B$6:$B$201,'PEW4'!$A$6:$A$201,0)</f>
        <v>0</v>
      </c>
      <c r="Z18" s="8" t="str">
        <f>_xlfn.XLOOKUP($B18,'PEW5'!$C$6:$C$201,'PEW5'!$B$6:$B$201,"")</f>
        <v/>
      </c>
      <c r="AA18" s="72">
        <f>_xlfn.XLOOKUP(Z18,'PEW5'!$B$6:$B$201,'PEW5'!$A$6:$A$201,0)</f>
        <v>0</v>
      </c>
      <c r="AB18" s="8" t="str">
        <f>_xlfn.XLOOKUP($B18,'PEW6'!$C$6:$C$201,'PEW6'!$B$6:$B$201,"")</f>
        <v/>
      </c>
      <c r="AC18" s="72">
        <f>_xlfn.XLOOKUP(AB18,'PEW6'!$B$6:$B$201,'PEW6'!$A$6:$A$201,0)</f>
        <v>0</v>
      </c>
      <c r="AD18" s="8" t="str">
        <f>_xlfn.XLOOKUP($B18,'PEW7'!$C$6:$C$201,'PEW7'!$B$6:$B$201,"")</f>
        <v/>
      </c>
      <c r="AE18" s="72">
        <f>_xlfn.XLOOKUP(AD18,'PEW7'!$B$6:$B$201,'PEW7'!$A$6:$A$201,0)</f>
        <v>0</v>
      </c>
      <c r="AF18" s="8" t="str">
        <f>_xlfn.XLOOKUP($B18,'PEW8'!$C$6:$C$201,'PEW8'!$B$6:$B$201,"")</f>
        <v/>
      </c>
      <c r="AG18" s="72">
        <f>_xlfn.XLOOKUP(AF18,'PEW8'!$B$6:$B$201,'PEW8'!$A$6:$A$201,0)</f>
        <v>0</v>
      </c>
      <c r="AH18" s="8" t="str">
        <f>_xlfn.XLOOKUP($B18,'PEW9'!$C$6:$C$201,'PEW9'!$B$6:$B$201,"")</f>
        <v/>
      </c>
      <c r="AI18" s="72">
        <f>_xlfn.XLOOKUP(AH18,'PEW9'!$B$6:$B$201,'PEW9'!$A$6:$A$201,0)</f>
        <v>0</v>
      </c>
      <c r="AJ18" s="8" t="str">
        <f>_xlfn.XLOOKUP($B18,PS!$C$6:$C$201,PS!$B$6:$B$201,"")</f>
        <v/>
      </c>
      <c r="AK18" s="72">
        <f>_xlfn.XLOOKUP(AJ18,PS!$B$6:$B$201,PS!$A$6:$A$201,0)</f>
        <v>0</v>
      </c>
      <c r="AL18" s="8" t="str" cm="1">
        <f t="array" ref="AL18">_xlfn.XLOOKUP($B18,IMEW!C$6:C$201,IMEW!$B$6:B$201,"")</f>
        <v/>
      </c>
      <c r="AM18" s="73">
        <f>_xlfn.XLOOKUP(AL18,IMEW!$B$6:$B$201,IMEW!$A$6:$A$201,0)</f>
        <v>0</v>
      </c>
    </row>
    <row r="19" spans="1:39" ht="14.8" customHeight="1" x14ac:dyDescent="0.25">
      <c r="A19" s="7">
        <f t="shared" si="0"/>
        <v>14</v>
      </c>
      <c r="B19" s="115"/>
      <c r="C19" s="9"/>
      <c r="D19" s="69">
        <f>SUM(F19,H19,J19,L19,N19,P19)-MIN(F19,H19,J19,L19,N19)+SUM(LARGE((S19,U19,W19,Y19,AA19,AC19,AE19,AG19,AI19,AK19),1),LARGE((S19,U19,W19,Y19,AA19,AC19,AE19,AG19,AI19,AK19),2),LARGE((S19,U19,W19,Y19,AA19,AC19,AE19,AG19,AI19,AK19),3),AM19)</f>
        <v>0</v>
      </c>
      <c r="E19" s="8" t="str">
        <f>_xlfn.XLOOKUP($B19,'PP1'!$C$6:$C$101,'PP1'!$B$6:$B$101,"")</f>
        <v/>
      </c>
      <c r="F19" s="70">
        <f>_xlfn.XLOOKUP(E19,'PP1'!$B$6:$B$55,'PP1'!$A$6:$A$55,0)</f>
        <v>0</v>
      </c>
      <c r="G19" s="8" t="str">
        <f>_xlfn.XLOOKUP($B19,'PP2'!$C$6:$C$101,'PP2'!$B$6:$B$101,"")</f>
        <v/>
      </c>
      <c r="H19" s="71">
        <f>_xlfn.XLOOKUP(G19,'PP2'!$B$6:$B$55,'PP2'!$A$6:$A$55,0)</f>
        <v>0</v>
      </c>
      <c r="I19" s="8" t="str">
        <f>_xlfn.XLOOKUP($B19,'PP3'!$C$6:$C$101,'PP3'!$B$6:$B$101,"")</f>
        <v/>
      </c>
      <c r="J19" s="71">
        <f>_xlfn.XLOOKUP(I19,'PP3'!$B$6:$B$55,'PP3'!$A$6:$A$55,0)</f>
        <v>0</v>
      </c>
      <c r="K19" s="8" t="str">
        <f>_xlfn.XLOOKUP($B19,'PP4'!$C$6:$C$101,'PP4'!$B$6:$B$101,"")</f>
        <v/>
      </c>
      <c r="L19" s="71">
        <f>_xlfn.XLOOKUP(K19,'PP4'!$B$6:$B$55,'PP4'!$A$6:$A$55,0)</f>
        <v>0</v>
      </c>
      <c r="M19" s="8" t="str">
        <f>_xlfn.XLOOKUP($B19,'PP5'!$C$6:$C$101,'PP5'!$B$6:$B$101,"")</f>
        <v/>
      </c>
      <c r="N19" s="71">
        <f>_xlfn.XLOOKUP(M19,'PP5'!$B$6:$B$55,'PP5'!$A$6:$A$55,0)</f>
        <v>0</v>
      </c>
      <c r="O19" s="8" t="str">
        <f>_xlfn.XLOOKUP(B19,MPW!C$6:C$101,MPW!B$6:B$101,"")</f>
        <v/>
      </c>
      <c r="P19" s="71">
        <f>_xlfn.XLOOKUP(O19,MPW!B$6:B$55,MPW!A$6:A$55,0)</f>
        <v>0</v>
      </c>
      <c r="R19" s="8" t="str">
        <f>_xlfn.XLOOKUP($B19,'PEW1'!$C$6:$C$201,'PEW1'!$B$6:$B$201,"")</f>
        <v/>
      </c>
      <c r="S19" s="72">
        <f>_xlfn.XLOOKUP(R19,'PEW1'!$B$6:$B$201,'PEW1'!$A$6:$A$201,0)</f>
        <v>0</v>
      </c>
      <c r="T19" s="8" t="str">
        <f>_xlfn.XLOOKUP($B19,'PEW2'!$C$6:$C$201,'PEW2'!$B$6:$B$201,"")</f>
        <v/>
      </c>
      <c r="U19" s="72">
        <f>_xlfn.XLOOKUP(T19,'PEW2'!$B$6:$B$201,'PEW2'!$A$6:$A$201,0)</f>
        <v>0</v>
      </c>
      <c r="V19" s="8" t="str">
        <f>_xlfn.XLOOKUP($B19,'PEW3'!$C$6:$C$201,'PEW3'!$B$6:$B$201,"")</f>
        <v/>
      </c>
      <c r="W19" s="72">
        <f>_xlfn.XLOOKUP(V19,'PEW3'!$B$6:$B$201,'PEW3'!$A$6:$A$201,0)</f>
        <v>0</v>
      </c>
      <c r="X19" s="8" t="str">
        <f>_xlfn.XLOOKUP($B19,'PEW4'!$C$6:$C$201,'PEW4'!$B$6:$B$201,"")</f>
        <v/>
      </c>
      <c r="Y19" s="72">
        <f>_xlfn.XLOOKUP(X19,'PEW4'!$B$6:$B$201,'PEW4'!$A$6:$A$201,0)</f>
        <v>0</v>
      </c>
      <c r="Z19" s="8" t="str">
        <f>_xlfn.XLOOKUP($B19,'PEW5'!$C$6:$C$201,'PEW5'!$B$6:$B$201,"")</f>
        <v/>
      </c>
      <c r="AA19" s="72">
        <f>_xlfn.XLOOKUP(Z19,'PEW5'!$B$6:$B$201,'PEW5'!$A$6:$A$201,0)</f>
        <v>0</v>
      </c>
      <c r="AB19" s="8" t="str">
        <f>_xlfn.XLOOKUP($B19,'PEW6'!$C$6:$C$201,'PEW6'!$B$6:$B$201,"")</f>
        <v/>
      </c>
      <c r="AC19" s="72">
        <f>_xlfn.XLOOKUP(AB19,'PEW6'!$B$6:$B$201,'PEW6'!$A$6:$A$201,0)</f>
        <v>0</v>
      </c>
      <c r="AD19" s="8" t="str">
        <f>_xlfn.XLOOKUP($B19,'PEW7'!$C$6:$C$201,'PEW7'!$B$6:$B$201,"")</f>
        <v/>
      </c>
      <c r="AE19" s="72">
        <f>_xlfn.XLOOKUP(AD19,'PEW7'!$B$6:$B$201,'PEW7'!$A$6:$A$201,0)</f>
        <v>0</v>
      </c>
      <c r="AF19" s="8" t="str">
        <f>_xlfn.XLOOKUP($B19,'PEW8'!$C$6:$C$201,'PEW8'!$B$6:$B$201,"")</f>
        <v/>
      </c>
      <c r="AG19" s="72">
        <f>_xlfn.XLOOKUP(AF19,'PEW8'!$B$6:$B$201,'PEW8'!$A$6:$A$201,0)</f>
        <v>0</v>
      </c>
      <c r="AH19" s="8" t="str">
        <f>_xlfn.XLOOKUP($B19,'PEW9'!$C$6:$C$201,'PEW9'!$B$6:$B$201,"")</f>
        <v/>
      </c>
      <c r="AI19" s="72">
        <f>_xlfn.XLOOKUP(AH19,'PEW9'!$B$6:$B$201,'PEW9'!$A$6:$A$201,0)</f>
        <v>0</v>
      </c>
      <c r="AJ19" s="8" t="str">
        <f>_xlfn.XLOOKUP($B19,PS!$C$6:$C$201,PS!$B$6:$B$201,"")</f>
        <v/>
      </c>
      <c r="AK19" s="72">
        <f>_xlfn.XLOOKUP(AJ19,PS!$B$6:$B$201,PS!$A$6:$A$201,0)</f>
        <v>0</v>
      </c>
      <c r="AL19" s="8" t="str" cm="1">
        <f t="array" ref="AL19">_xlfn.XLOOKUP($B19,IMEW!C$6:C$201,IMEW!$B$6:B$201,"")</f>
        <v/>
      </c>
      <c r="AM19" s="73">
        <f>_xlfn.XLOOKUP(AL19,IMEW!$B$6:$B$201,IMEW!$A$6:$A$201,0)</f>
        <v>0</v>
      </c>
    </row>
    <row r="20" spans="1:39" ht="14.3" x14ac:dyDescent="0.25">
      <c r="A20" s="7">
        <f t="shared" si="0"/>
        <v>15</v>
      </c>
      <c r="B20" s="115"/>
      <c r="C20" s="9"/>
      <c r="D20" s="69">
        <f>SUM(F20,H20,J20,L20,N20,P20)-MIN(F20,H20,J20,L20,N20)+SUM(LARGE((S20,U20,W20,Y20,AA20,AC20,AE20,AG20,AI20,AK20),1),LARGE((S20,U20,W20,Y20,AA20,AC20,AE20,AG20,AI20,AK20),2),LARGE((S20,U20,W20,Y20,AA20,AC20,AE20,AG20,AI20,AK20),3),AM20)</f>
        <v>0</v>
      </c>
      <c r="E20" s="8" t="str">
        <f>_xlfn.XLOOKUP($B20,'PP1'!$C$6:$C$101,'PP1'!$B$6:$B$101,"")</f>
        <v/>
      </c>
      <c r="F20" s="70">
        <f>_xlfn.XLOOKUP(E20,'PP1'!$B$6:$B$55,'PP1'!$A$6:$A$55,0)</f>
        <v>0</v>
      </c>
      <c r="G20" s="8" t="str">
        <f>_xlfn.XLOOKUP($B20,'PP2'!$C$6:$C$101,'PP2'!$B$6:$B$101,"")</f>
        <v/>
      </c>
      <c r="H20" s="71">
        <f>_xlfn.XLOOKUP(G20,'PP2'!$B$6:$B$55,'PP2'!$A$6:$A$55,0)</f>
        <v>0</v>
      </c>
      <c r="I20" s="8" t="str">
        <f>_xlfn.XLOOKUP($B20,'PP3'!$C$6:$C$101,'PP3'!$B$6:$B$101,"")</f>
        <v/>
      </c>
      <c r="J20" s="71">
        <f>_xlfn.XLOOKUP(I20,'PP3'!$B$6:$B$55,'PP3'!$A$6:$A$55,0)</f>
        <v>0</v>
      </c>
      <c r="K20" s="8" t="str">
        <f>_xlfn.XLOOKUP($B20,'PP4'!$C$6:$C$101,'PP4'!$B$6:$B$101,"")</f>
        <v/>
      </c>
      <c r="L20" s="71">
        <f>_xlfn.XLOOKUP(K20,'PP4'!$B$6:$B$55,'PP4'!$A$6:$A$55,0)</f>
        <v>0</v>
      </c>
      <c r="M20" s="8" t="str">
        <f>_xlfn.XLOOKUP($B20,'PP5'!$C$6:$C$101,'PP5'!$B$6:$B$101,"")</f>
        <v/>
      </c>
      <c r="N20" s="71">
        <f>_xlfn.XLOOKUP(M20,'PP5'!$B$6:$B$55,'PP5'!$A$6:$A$55,0)</f>
        <v>0</v>
      </c>
      <c r="O20" s="8" t="str">
        <f>_xlfn.XLOOKUP(B20,MPW!C$6:C$101,MPW!B$6:B$101,"")</f>
        <v/>
      </c>
      <c r="P20" s="71">
        <f>_xlfn.XLOOKUP(O20,MPW!B$6:B$55,MPW!A$6:A$55,0)</f>
        <v>0</v>
      </c>
      <c r="R20" s="8" t="str">
        <f>_xlfn.XLOOKUP($B20,'PEW1'!$C$6:$C$201,'PEW1'!$B$6:$B$201,"")</f>
        <v/>
      </c>
      <c r="S20" s="72">
        <f>_xlfn.XLOOKUP(R20,'PEW1'!$B$6:$B$201,'PEW1'!$A$6:$A$201,0)</f>
        <v>0</v>
      </c>
      <c r="T20" s="8" t="str">
        <f>_xlfn.XLOOKUP($B20,'PEW2'!$C$6:$C$201,'PEW2'!$B$6:$B$201,"")</f>
        <v/>
      </c>
      <c r="U20" s="72">
        <f>_xlfn.XLOOKUP(T20,'PEW2'!$B$6:$B$201,'PEW2'!$A$6:$A$201,0)</f>
        <v>0</v>
      </c>
      <c r="V20" s="8" t="str">
        <f>_xlfn.XLOOKUP($B20,'PEW3'!$C$6:$C$201,'PEW3'!$B$6:$B$201,"")</f>
        <v/>
      </c>
      <c r="W20" s="72">
        <f>_xlfn.XLOOKUP(V20,'PEW3'!$B$6:$B$201,'PEW3'!$A$6:$A$201,0)</f>
        <v>0</v>
      </c>
      <c r="X20" s="8" t="str">
        <f>_xlfn.XLOOKUP($B20,'PEW4'!$C$6:$C$201,'PEW4'!$B$6:$B$201,"")</f>
        <v/>
      </c>
      <c r="Y20" s="72">
        <f>_xlfn.XLOOKUP(X20,'PEW4'!$B$6:$B$201,'PEW4'!$A$6:$A$201,0)</f>
        <v>0</v>
      </c>
      <c r="Z20" s="8" t="str">
        <f>_xlfn.XLOOKUP($B20,'PEW5'!$C$6:$C$201,'PEW5'!$B$6:$B$201,"")</f>
        <v/>
      </c>
      <c r="AA20" s="72">
        <f>_xlfn.XLOOKUP(Z20,'PEW5'!$B$6:$B$201,'PEW5'!$A$6:$A$201,0)</f>
        <v>0</v>
      </c>
      <c r="AB20" s="8" t="str">
        <f>_xlfn.XLOOKUP($B20,'PEW6'!$C$6:$C$201,'PEW6'!$B$6:$B$201,"")</f>
        <v/>
      </c>
      <c r="AC20" s="72">
        <f>_xlfn.XLOOKUP(AB20,'PEW6'!$B$6:$B$201,'PEW6'!$A$6:$A$201,0)</f>
        <v>0</v>
      </c>
      <c r="AD20" s="8" t="str">
        <f>_xlfn.XLOOKUP($B20,'PEW7'!$C$6:$C$201,'PEW7'!$B$6:$B$201,"")</f>
        <v/>
      </c>
      <c r="AE20" s="72">
        <f>_xlfn.XLOOKUP(AD20,'PEW7'!$B$6:$B$201,'PEW7'!$A$6:$A$201,0)</f>
        <v>0</v>
      </c>
      <c r="AF20" s="8" t="str">
        <f>_xlfn.XLOOKUP($B20,'PEW8'!$C$6:$C$201,'PEW8'!$B$6:$B$201,"")</f>
        <v/>
      </c>
      <c r="AG20" s="72">
        <f>_xlfn.XLOOKUP(AF20,'PEW8'!$B$6:$B$201,'PEW8'!$A$6:$A$201,0)</f>
        <v>0</v>
      </c>
      <c r="AH20" s="8" t="str">
        <f>_xlfn.XLOOKUP($B20,'PEW9'!$C$6:$C$201,'PEW9'!$B$6:$B$201,"")</f>
        <v/>
      </c>
      <c r="AI20" s="72">
        <f>_xlfn.XLOOKUP(AH20,'PEW9'!$B$6:$B$201,'PEW9'!$A$6:$A$201,0)</f>
        <v>0</v>
      </c>
      <c r="AJ20" s="8" t="str">
        <f>_xlfn.XLOOKUP($B20,PS!$C$6:$C$201,PS!$B$6:$B$201,"")</f>
        <v/>
      </c>
      <c r="AK20" s="72">
        <f>_xlfn.XLOOKUP(AJ20,PS!$B$6:$B$201,PS!$A$6:$A$201,0)</f>
        <v>0</v>
      </c>
      <c r="AL20" s="8" t="str" cm="1">
        <f t="array" ref="AL20">_xlfn.XLOOKUP($B20,IMEW!C$6:C$201,IMEW!$B$6:B$201,"")</f>
        <v/>
      </c>
      <c r="AM20" s="73">
        <f>_xlfn.XLOOKUP(AL20,IMEW!$B$6:$B$201,IMEW!$A$6:$A$201,0)</f>
        <v>0</v>
      </c>
    </row>
    <row r="21" spans="1:39" ht="14.3" x14ac:dyDescent="0.25">
      <c r="A21" s="7">
        <f t="shared" si="0"/>
        <v>16</v>
      </c>
      <c r="B21" s="115"/>
      <c r="C21" s="9"/>
      <c r="D21" s="69">
        <f>SUM(F21,H21,J21,L21,N21,P21)-MIN(F21,H21,J21,L21,N21)+SUM(LARGE((S21,U21,W21,Y21,AA21,AC21,AE21,AG21,AI21,AK21),1),LARGE((S21,U21,W21,Y21,AA21,AC21,AE21,AG21,AI21,AK21),2),LARGE((S21,U21,W21,Y21,AA21,AC21,AE21,AG21,AI21,AK21),3),AM21)</f>
        <v>0</v>
      </c>
      <c r="E21" s="8" t="str">
        <f>_xlfn.XLOOKUP($B21,'PP1'!$C$6:$C$101,'PP1'!$B$6:$B$101,"")</f>
        <v/>
      </c>
      <c r="F21" s="70">
        <f>_xlfn.XLOOKUP(E21,'PP1'!$B$6:$B$55,'PP1'!$A$6:$A$55,0)</f>
        <v>0</v>
      </c>
      <c r="G21" s="8" t="str">
        <f>_xlfn.XLOOKUP($B21,'PP2'!$C$6:$C$101,'PP2'!$B$6:$B$101,"")</f>
        <v/>
      </c>
      <c r="H21" s="71">
        <f>_xlfn.XLOOKUP(G21,'PP2'!$B$6:$B$55,'PP2'!$A$6:$A$55,0)</f>
        <v>0</v>
      </c>
      <c r="I21" s="8" t="str">
        <f>_xlfn.XLOOKUP($B21,'PP3'!$C$6:$C$101,'PP3'!$B$6:$B$101,"")</f>
        <v/>
      </c>
      <c r="J21" s="71">
        <f>_xlfn.XLOOKUP(I21,'PP3'!$B$6:$B$55,'PP3'!$A$6:$A$55,0)</f>
        <v>0</v>
      </c>
      <c r="K21" s="8" t="str">
        <f>_xlfn.XLOOKUP($B21,'PP4'!$C$6:$C$101,'PP4'!$B$6:$B$101,"")</f>
        <v/>
      </c>
      <c r="L21" s="71">
        <f>_xlfn.XLOOKUP(K21,'PP4'!$B$6:$B$55,'PP4'!$A$6:$A$55,0)</f>
        <v>0</v>
      </c>
      <c r="M21" s="8" t="str">
        <f>_xlfn.XLOOKUP($B21,'PP5'!$C$6:$C$101,'PP5'!$B$6:$B$101,"")</f>
        <v/>
      </c>
      <c r="N21" s="71">
        <f>_xlfn.XLOOKUP(M21,'PP5'!$B$6:$B$55,'PP5'!$A$6:$A$55,0)</f>
        <v>0</v>
      </c>
      <c r="O21" s="8" t="str">
        <f>_xlfn.XLOOKUP(B21,MPW!C$6:C$101,MPW!B$6:B$101,"")</f>
        <v/>
      </c>
      <c r="P21" s="71">
        <f>_xlfn.XLOOKUP(O21,MPW!B$6:B$55,MPW!A$6:A$55,0)</f>
        <v>0</v>
      </c>
      <c r="R21" s="8" t="str">
        <f>_xlfn.XLOOKUP($B21,'PEW1'!$C$6:$C$201,'PEW1'!$B$6:$B$201,"")</f>
        <v/>
      </c>
      <c r="S21" s="72">
        <f>_xlfn.XLOOKUP(R21,'PEW1'!$B$6:$B$201,'PEW1'!$A$6:$A$201,0)</f>
        <v>0</v>
      </c>
      <c r="T21" s="8" t="str">
        <f>_xlfn.XLOOKUP($B21,'PEW2'!$C$6:$C$201,'PEW2'!$B$6:$B$201,"")</f>
        <v/>
      </c>
      <c r="U21" s="72">
        <f>_xlfn.XLOOKUP(T21,'PEW2'!$B$6:$B$201,'PEW2'!$A$6:$A$201,0)</f>
        <v>0</v>
      </c>
      <c r="V21" s="8" t="str">
        <f>_xlfn.XLOOKUP($B21,'PEW3'!$C$6:$C$201,'PEW3'!$B$6:$B$201,"")</f>
        <v/>
      </c>
      <c r="W21" s="72">
        <f>_xlfn.XLOOKUP(V21,'PEW3'!$B$6:$B$201,'PEW3'!$A$6:$A$201,0)</f>
        <v>0</v>
      </c>
      <c r="X21" s="8" t="str">
        <f>_xlfn.XLOOKUP($B21,'PEW4'!$C$6:$C$201,'PEW4'!$B$6:$B$201,"")</f>
        <v/>
      </c>
      <c r="Y21" s="72">
        <f>_xlfn.XLOOKUP(X21,'PEW4'!$B$6:$B$201,'PEW4'!$A$6:$A$201,0)</f>
        <v>0</v>
      </c>
      <c r="Z21" s="8" t="str">
        <f>_xlfn.XLOOKUP($B21,'PEW5'!$C$6:$C$201,'PEW5'!$B$6:$B$201,"")</f>
        <v/>
      </c>
      <c r="AA21" s="72">
        <f>_xlfn.XLOOKUP(Z21,'PEW5'!$B$6:$B$201,'PEW5'!$A$6:$A$201,0)</f>
        <v>0</v>
      </c>
      <c r="AB21" s="8" t="str">
        <f>_xlfn.XLOOKUP($B21,'PEW6'!$C$6:$C$201,'PEW6'!$B$6:$B$201,"")</f>
        <v/>
      </c>
      <c r="AC21" s="72">
        <f>_xlfn.XLOOKUP(AB21,'PEW6'!$B$6:$B$201,'PEW6'!$A$6:$A$201,0)</f>
        <v>0</v>
      </c>
      <c r="AD21" s="8" t="str">
        <f>_xlfn.XLOOKUP($B21,'PEW7'!$C$6:$C$201,'PEW7'!$B$6:$B$201,"")</f>
        <v/>
      </c>
      <c r="AE21" s="72">
        <f>_xlfn.XLOOKUP(AD21,'PEW7'!$B$6:$B$201,'PEW7'!$A$6:$A$201,0)</f>
        <v>0</v>
      </c>
      <c r="AF21" s="8" t="str">
        <f>_xlfn.XLOOKUP($B21,'PEW8'!$C$6:$C$201,'PEW8'!$B$6:$B$201,"")</f>
        <v/>
      </c>
      <c r="AG21" s="72">
        <f>_xlfn.XLOOKUP(AF21,'PEW8'!$B$6:$B$201,'PEW8'!$A$6:$A$201,0)</f>
        <v>0</v>
      </c>
      <c r="AH21" s="8" t="str">
        <f>_xlfn.XLOOKUP($B21,'PEW9'!$C$6:$C$201,'PEW9'!$B$6:$B$201,"")</f>
        <v/>
      </c>
      <c r="AI21" s="72">
        <f>_xlfn.XLOOKUP(AH21,'PEW9'!$B$6:$B$201,'PEW9'!$A$6:$A$201,0)</f>
        <v>0</v>
      </c>
      <c r="AJ21" s="8" t="str">
        <f>_xlfn.XLOOKUP($B21,PS!$C$6:$C$201,PS!$B$6:$B$201,"")</f>
        <v/>
      </c>
      <c r="AK21" s="72">
        <f>_xlfn.XLOOKUP(AJ21,PS!$B$6:$B$201,PS!$A$6:$A$201,0)</f>
        <v>0</v>
      </c>
      <c r="AL21" s="8" t="str" cm="1">
        <f t="array" ref="AL21">_xlfn.XLOOKUP($B21,IMEW!C$6:C$201,IMEW!$B$6:B$201,"")</f>
        <v/>
      </c>
      <c r="AM21" s="73">
        <f>_xlfn.XLOOKUP(AL21,IMEW!$B$6:$B$201,IMEW!$A$6:$A$201,0)</f>
        <v>0</v>
      </c>
    </row>
    <row r="22" spans="1:39" ht="14.3" x14ac:dyDescent="0.25">
      <c r="A22" s="7">
        <f t="shared" si="0"/>
        <v>17</v>
      </c>
      <c r="B22" s="115"/>
      <c r="C22" s="9"/>
      <c r="D22" s="69">
        <f>SUM(F22,H22,J22,L22,N22,P22)-MIN(F22,H22,J22,L22,N22)+SUM(LARGE((S22,U22,W22,Y22,AA22,AC22,AE22,AG22,AI22,AK22),1),LARGE((S22,U22,W22,Y22,AA22,AC22,AE22,AG22,AI22,AK22),2),LARGE((S22,U22,W22,Y22,AA22,AC22,AE22,AG22,AI22,AK22),3),AM22)</f>
        <v>0</v>
      </c>
      <c r="E22" s="8" t="str">
        <f>_xlfn.XLOOKUP($B22,'PP1'!$C$6:$C$101,'PP1'!$B$6:$B$101,"")</f>
        <v/>
      </c>
      <c r="F22" s="70">
        <f>_xlfn.XLOOKUP(E22,'PP1'!$B$6:$B$55,'PP1'!$A$6:$A$55,0)</f>
        <v>0</v>
      </c>
      <c r="G22" s="8" t="str">
        <f>_xlfn.XLOOKUP($B22,'PP2'!$C$6:$C$101,'PP2'!$B$6:$B$101,"")</f>
        <v/>
      </c>
      <c r="H22" s="71">
        <f>_xlfn.XLOOKUP(G22,'PP2'!$B$6:$B$55,'PP2'!$A$6:$A$55,0)</f>
        <v>0</v>
      </c>
      <c r="I22" s="8" t="str">
        <f>_xlfn.XLOOKUP($B22,'PP3'!$C$6:$C$101,'PP3'!$B$6:$B$101,"")</f>
        <v/>
      </c>
      <c r="J22" s="71">
        <f>_xlfn.XLOOKUP(I22,'PP3'!$B$6:$B$55,'PP3'!$A$6:$A$55,0)</f>
        <v>0</v>
      </c>
      <c r="K22" s="8" t="str">
        <f>_xlfn.XLOOKUP($B22,'PP4'!$C$6:$C$101,'PP4'!$B$6:$B$101,"")</f>
        <v/>
      </c>
      <c r="L22" s="71">
        <f>_xlfn.XLOOKUP(K22,'PP4'!$B$6:$B$55,'PP4'!$A$6:$A$55,0)</f>
        <v>0</v>
      </c>
      <c r="M22" s="8" t="str">
        <f>_xlfn.XLOOKUP($B22,'PP5'!$C$6:$C$101,'PP5'!$B$6:$B$101,"")</f>
        <v/>
      </c>
      <c r="N22" s="71">
        <f>_xlfn.XLOOKUP(M22,'PP5'!$B$6:$B$55,'PP5'!$A$6:$A$55,0)</f>
        <v>0</v>
      </c>
      <c r="O22" s="8" t="str">
        <f>_xlfn.XLOOKUP(B22,MPW!C$6:C$101,MPW!B$6:B$101,"")</f>
        <v/>
      </c>
      <c r="P22" s="71">
        <f>_xlfn.XLOOKUP(O22,MPW!B$6:B$55,MPW!A$6:A$55,0)</f>
        <v>0</v>
      </c>
      <c r="R22" s="8" t="str">
        <f>_xlfn.XLOOKUP($B22,'PEW1'!$C$6:$C$201,'PEW1'!$B$6:$B$201,"")</f>
        <v/>
      </c>
      <c r="S22" s="72">
        <f>_xlfn.XLOOKUP(R22,'PEW1'!$B$6:$B$201,'PEW1'!$A$6:$A$201,0)</f>
        <v>0</v>
      </c>
      <c r="T22" s="8" t="str">
        <f>_xlfn.XLOOKUP($B22,'PEW2'!$C$6:$C$201,'PEW2'!$B$6:$B$201,"")</f>
        <v/>
      </c>
      <c r="U22" s="72">
        <f>_xlfn.XLOOKUP(T22,'PEW2'!$B$6:$B$201,'PEW2'!$A$6:$A$201,0)</f>
        <v>0</v>
      </c>
      <c r="V22" s="8" t="str">
        <f>_xlfn.XLOOKUP($B22,'PEW3'!$C$6:$C$201,'PEW3'!$B$6:$B$201,"")</f>
        <v/>
      </c>
      <c r="W22" s="72">
        <f>_xlfn.XLOOKUP(V22,'PEW3'!$B$6:$B$201,'PEW3'!$A$6:$A$201,0)</f>
        <v>0</v>
      </c>
      <c r="X22" s="8" t="str">
        <f>_xlfn.XLOOKUP($B22,'PEW4'!$C$6:$C$201,'PEW4'!$B$6:$B$201,"")</f>
        <v/>
      </c>
      <c r="Y22" s="72">
        <f>_xlfn.XLOOKUP(X22,'PEW4'!$B$6:$B$201,'PEW4'!$A$6:$A$201,0)</f>
        <v>0</v>
      </c>
      <c r="Z22" s="8" t="str">
        <f>_xlfn.XLOOKUP($B22,'PEW5'!$C$6:$C$201,'PEW5'!$B$6:$B$201,"")</f>
        <v/>
      </c>
      <c r="AA22" s="72">
        <f>_xlfn.XLOOKUP(Z22,'PEW5'!$B$6:$B$201,'PEW5'!$A$6:$A$201,0)</f>
        <v>0</v>
      </c>
      <c r="AB22" s="8" t="str">
        <f>_xlfn.XLOOKUP($B22,'PEW6'!$C$6:$C$201,'PEW6'!$B$6:$B$201,"")</f>
        <v/>
      </c>
      <c r="AC22" s="72">
        <f>_xlfn.XLOOKUP(AB22,'PEW6'!$B$6:$B$201,'PEW6'!$A$6:$A$201,0)</f>
        <v>0</v>
      </c>
      <c r="AD22" s="8" t="str">
        <f>_xlfn.XLOOKUP($B22,'PEW7'!$C$6:$C$201,'PEW7'!$B$6:$B$201,"")</f>
        <v/>
      </c>
      <c r="AE22" s="72">
        <f>_xlfn.XLOOKUP(AD22,'PEW7'!$B$6:$B$201,'PEW7'!$A$6:$A$201,0)</f>
        <v>0</v>
      </c>
      <c r="AF22" s="8" t="str">
        <f>_xlfn.XLOOKUP($B22,'PEW8'!$C$6:$C$201,'PEW8'!$B$6:$B$201,"")</f>
        <v/>
      </c>
      <c r="AG22" s="72">
        <f>_xlfn.XLOOKUP(AF22,'PEW8'!$B$6:$B$201,'PEW8'!$A$6:$A$201,0)</f>
        <v>0</v>
      </c>
      <c r="AH22" s="8" t="str">
        <f>_xlfn.XLOOKUP($B22,'PEW9'!$C$6:$C$201,'PEW9'!$B$6:$B$201,"")</f>
        <v/>
      </c>
      <c r="AI22" s="72">
        <f>_xlfn.XLOOKUP(AH22,'PEW9'!$B$6:$B$201,'PEW9'!$A$6:$A$201,0)</f>
        <v>0</v>
      </c>
      <c r="AJ22" s="8" t="str">
        <f>_xlfn.XLOOKUP($B22,PS!$C$6:$C$201,PS!$B$6:$B$201,"")</f>
        <v/>
      </c>
      <c r="AK22" s="72">
        <f>_xlfn.XLOOKUP(AJ22,PS!$B$6:$B$201,PS!$A$6:$A$201,0)</f>
        <v>0</v>
      </c>
      <c r="AL22" s="8" t="str" cm="1">
        <f t="array" ref="AL22">_xlfn.XLOOKUP($B22,IMEW!C$6:C$201,IMEW!$B$6:B$201,"")</f>
        <v/>
      </c>
      <c r="AM22" s="73">
        <f>_xlfn.XLOOKUP(AL22,IMEW!$B$6:$B$201,IMEW!$A$6:$A$201,0)</f>
        <v>0</v>
      </c>
    </row>
    <row r="23" spans="1:39" ht="14.3" x14ac:dyDescent="0.25">
      <c r="A23" s="7">
        <f t="shared" si="0"/>
        <v>18</v>
      </c>
      <c r="B23" s="115"/>
      <c r="C23" s="9"/>
      <c r="D23" s="69">
        <f>SUM(F23,H23,J23,L23,N23,P23)-MIN(F23,H23,J23,L23,N23)+SUM(LARGE((S23,U23,W23,Y23,AA23,AC23,AE23,AG23,AI23,AK23),1),LARGE((S23,U23,W23,Y23,AA23,AC23,AE23,AG23,AI23,AK23),2),LARGE((S23,U23,W23,Y23,AA23,AC23,AE23,AG23,AI23,AK23),3),AM23)</f>
        <v>0</v>
      </c>
      <c r="E23" s="8" t="str">
        <f>_xlfn.XLOOKUP($B23,'PP1'!$C$6:$C$101,'PP1'!$B$6:$B$101,"")</f>
        <v/>
      </c>
      <c r="F23" s="70">
        <f>_xlfn.XLOOKUP(E23,'PP1'!$B$6:$B$55,'PP1'!$A$6:$A$55,0)</f>
        <v>0</v>
      </c>
      <c r="G23" s="8" t="str">
        <f>_xlfn.XLOOKUP($B23,'PP2'!$C$6:$C$101,'PP2'!$B$6:$B$101,"")</f>
        <v/>
      </c>
      <c r="H23" s="71">
        <f>_xlfn.XLOOKUP(G23,'PP2'!$B$6:$B$55,'PP2'!$A$6:$A$55,0)</f>
        <v>0</v>
      </c>
      <c r="I23" s="8" t="str">
        <f>_xlfn.XLOOKUP($B23,'PP3'!$C$6:$C$101,'PP3'!$B$6:$B$101,"")</f>
        <v/>
      </c>
      <c r="J23" s="71">
        <f>_xlfn.XLOOKUP(I23,'PP3'!$B$6:$B$55,'PP3'!$A$6:$A$55,0)</f>
        <v>0</v>
      </c>
      <c r="K23" s="8" t="str">
        <f>_xlfn.XLOOKUP($B23,'PP4'!$C$6:$C$101,'PP4'!$B$6:$B$101,"")</f>
        <v/>
      </c>
      <c r="L23" s="71">
        <f>_xlfn.XLOOKUP(K23,'PP4'!$B$6:$B$55,'PP4'!$A$6:$A$55,0)</f>
        <v>0</v>
      </c>
      <c r="M23" s="8" t="str">
        <f>_xlfn.XLOOKUP($B23,'PP5'!$C$6:$C$101,'PP5'!$B$6:$B$101,"")</f>
        <v/>
      </c>
      <c r="N23" s="71">
        <f>_xlfn.XLOOKUP(M23,'PP5'!$B$6:$B$55,'PP5'!$A$6:$A$55,0)</f>
        <v>0</v>
      </c>
      <c r="O23" s="8" t="str">
        <f>_xlfn.XLOOKUP(B23,MPW!C$6:C$101,MPW!B$6:B$101,"")</f>
        <v/>
      </c>
      <c r="P23" s="71">
        <f>_xlfn.XLOOKUP(O23,MPW!B$6:B$55,MPW!A$6:A$55,0)</f>
        <v>0</v>
      </c>
      <c r="R23" s="8" t="str">
        <f>_xlfn.XLOOKUP($B23,'PEW1'!$C$6:$C$201,'PEW1'!$B$6:$B$201,"")</f>
        <v/>
      </c>
      <c r="S23" s="72">
        <f>_xlfn.XLOOKUP(R23,'PEW1'!$B$6:$B$201,'PEW1'!$A$6:$A$201,0)</f>
        <v>0</v>
      </c>
      <c r="T23" s="8" t="str">
        <f>_xlfn.XLOOKUP($B23,'PEW2'!$C$6:$C$201,'PEW2'!$B$6:$B$201,"")</f>
        <v/>
      </c>
      <c r="U23" s="72">
        <f>_xlfn.XLOOKUP(T23,'PEW2'!$B$6:$B$201,'PEW2'!$A$6:$A$201,0)</f>
        <v>0</v>
      </c>
      <c r="V23" s="8" t="str">
        <f>_xlfn.XLOOKUP($B23,'PEW3'!$C$6:$C$201,'PEW3'!$B$6:$B$201,"")</f>
        <v/>
      </c>
      <c r="W23" s="72">
        <f>_xlfn.XLOOKUP(V23,'PEW3'!$B$6:$B$201,'PEW3'!$A$6:$A$201,0)</f>
        <v>0</v>
      </c>
      <c r="X23" s="8" t="str">
        <f>_xlfn.XLOOKUP($B23,'PEW4'!$C$6:$C$201,'PEW4'!$B$6:$B$201,"")</f>
        <v/>
      </c>
      <c r="Y23" s="72">
        <f>_xlfn.XLOOKUP(X23,'PEW4'!$B$6:$B$201,'PEW4'!$A$6:$A$201,0)</f>
        <v>0</v>
      </c>
      <c r="Z23" s="8" t="str">
        <f>_xlfn.XLOOKUP($B23,'PEW5'!$C$6:$C$201,'PEW5'!$B$6:$B$201,"")</f>
        <v/>
      </c>
      <c r="AA23" s="72">
        <f>_xlfn.XLOOKUP(Z23,'PEW5'!$B$6:$B$201,'PEW5'!$A$6:$A$201,0)</f>
        <v>0</v>
      </c>
      <c r="AB23" s="8" t="str">
        <f>_xlfn.XLOOKUP($B23,'PEW6'!$C$6:$C$201,'PEW6'!$B$6:$B$201,"")</f>
        <v/>
      </c>
      <c r="AC23" s="72">
        <f>_xlfn.XLOOKUP(AB23,'PEW6'!$B$6:$B$201,'PEW6'!$A$6:$A$201,0)</f>
        <v>0</v>
      </c>
      <c r="AD23" s="8" t="str">
        <f>_xlfn.XLOOKUP($B23,'PEW7'!$C$6:$C$201,'PEW7'!$B$6:$B$201,"")</f>
        <v/>
      </c>
      <c r="AE23" s="72">
        <f>_xlfn.XLOOKUP(AD23,'PEW7'!$B$6:$B$201,'PEW7'!$A$6:$A$201,0)</f>
        <v>0</v>
      </c>
      <c r="AF23" s="8" t="str">
        <f>_xlfn.XLOOKUP($B23,'PEW8'!$C$6:$C$201,'PEW8'!$B$6:$B$201,"")</f>
        <v/>
      </c>
      <c r="AG23" s="72">
        <f>_xlfn.XLOOKUP(AF23,'PEW8'!$B$6:$B$201,'PEW8'!$A$6:$A$201,0)</f>
        <v>0</v>
      </c>
      <c r="AH23" s="8" t="str">
        <f>_xlfn.XLOOKUP($B23,'PEW9'!$C$6:$C$201,'PEW9'!$B$6:$B$201,"")</f>
        <v/>
      </c>
      <c r="AI23" s="72">
        <f>_xlfn.XLOOKUP(AH23,'PEW9'!$B$6:$B$201,'PEW9'!$A$6:$A$201,0)</f>
        <v>0</v>
      </c>
      <c r="AJ23" s="8" t="str">
        <f>_xlfn.XLOOKUP($B23,PS!$C$6:$C$201,PS!$B$6:$B$201,"")</f>
        <v/>
      </c>
      <c r="AK23" s="72">
        <f>_xlfn.XLOOKUP(AJ23,PS!$B$6:$B$201,PS!$A$6:$A$201,0)</f>
        <v>0</v>
      </c>
      <c r="AL23" s="8" t="str" cm="1">
        <f t="array" ref="AL23">_xlfn.XLOOKUP($B23,IMEW!C$6:C$201,IMEW!$B$6:B$201,"")</f>
        <v/>
      </c>
      <c r="AM23" s="73">
        <f>_xlfn.XLOOKUP(AL23,IMEW!$B$6:$B$201,IMEW!$A$6:$A$201,0)</f>
        <v>0</v>
      </c>
    </row>
    <row r="24" spans="1:39" ht="14.3" x14ac:dyDescent="0.25">
      <c r="A24" s="7">
        <f t="shared" si="0"/>
        <v>19</v>
      </c>
      <c r="B24" s="115"/>
      <c r="C24" s="9"/>
      <c r="D24" s="69">
        <f>SUM(F24,H24,J24,L24,N24,P24)-MIN(F24,H24,J24,L24,N24)+SUM(LARGE((S24,U24,W24,Y24,AA24,AC24,AE24,AG24,AI24,AK24),1),LARGE((S24,U24,W24,Y24,AA24,AC24,AE24,AG24,AI24,AK24),2),LARGE((S24,U24,W24,Y24,AA24,AC24,AE24,AG24,AI24,AK24),3),AM24)</f>
        <v>0</v>
      </c>
      <c r="E24" s="8" t="str">
        <f>_xlfn.XLOOKUP($B24,'PP1'!$C$6:$C$101,'PP1'!$B$6:$B$101,"")</f>
        <v/>
      </c>
      <c r="F24" s="70">
        <f>_xlfn.XLOOKUP(E24,'PP1'!$B$6:$B$55,'PP1'!$A$6:$A$55,0)</f>
        <v>0</v>
      </c>
      <c r="G24" s="8" t="str">
        <f>_xlfn.XLOOKUP($B24,'PP2'!$C$6:$C$101,'PP2'!$B$6:$B$101,"")</f>
        <v/>
      </c>
      <c r="H24" s="71">
        <f>_xlfn.XLOOKUP(G24,'PP2'!$B$6:$B$55,'PP2'!$A$6:$A$55,0)</f>
        <v>0</v>
      </c>
      <c r="I24" s="8" t="str">
        <f>_xlfn.XLOOKUP($B24,'PP3'!$C$6:$C$101,'PP3'!$B$6:$B$101,"")</f>
        <v/>
      </c>
      <c r="J24" s="71">
        <f>_xlfn.XLOOKUP(I24,'PP3'!$B$6:$B$55,'PP3'!$A$6:$A$55,0)</f>
        <v>0</v>
      </c>
      <c r="K24" s="8" t="str">
        <f>_xlfn.XLOOKUP($B24,'PP4'!$C$6:$C$101,'PP4'!$B$6:$B$101,"")</f>
        <v/>
      </c>
      <c r="L24" s="71">
        <f>_xlfn.XLOOKUP(K24,'PP4'!$B$6:$B$55,'PP4'!$A$6:$A$55,0)</f>
        <v>0</v>
      </c>
      <c r="M24" s="8" t="str">
        <f>_xlfn.XLOOKUP($B24,'PP5'!$C$6:$C$101,'PP5'!$B$6:$B$101,"")</f>
        <v/>
      </c>
      <c r="N24" s="71">
        <f>_xlfn.XLOOKUP(M24,'PP5'!$B$6:$B$55,'PP5'!$A$6:$A$55,0)</f>
        <v>0</v>
      </c>
      <c r="O24" s="8" t="str">
        <f>_xlfn.XLOOKUP(B24,MPW!C$6:C$101,MPW!B$6:B$101,"")</f>
        <v/>
      </c>
      <c r="P24" s="71">
        <f>_xlfn.XLOOKUP(O24,MPW!B$6:B$55,MPW!A$6:A$55,0)</f>
        <v>0</v>
      </c>
      <c r="R24" s="8" t="str">
        <f>_xlfn.XLOOKUP($B24,'PEW1'!$C$6:$C$201,'PEW1'!$B$6:$B$201,"")</f>
        <v/>
      </c>
      <c r="S24" s="72">
        <f>_xlfn.XLOOKUP(R24,'PEW1'!$B$6:$B$201,'PEW1'!$A$6:$A$201,0)</f>
        <v>0</v>
      </c>
      <c r="T24" s="8" t="str">
        <f>_xlfn.XLOOKUP($B24,'PEW2'!$C$6:$C$201,'PEW2'!$B$6:$B$201,"")</f>
        <v/>
      </c>
      <c r="U24" s="72">
        <f>_xlfn.XLOOKUP(T24,'PEW2'!$B$6:$B$201,'PEW2'!$A$6:$A$201,0)</f>
        <v>0</v>
      </c>
      <c r="V24" s="8" t="str">
        <f>_xlfn.XLOOKUP($B24,'PEW3'!$C$6:$C$201,'PEW3'!$B$6:$B$201,"")</f>
        <v/>
      </c>
      <c r="W24" s="72">
        <f>_xlfn.XLOOKUP(V24,'PEW3'!$B$6:$B$201,'PEW3'!$A$6:$A$201,0)</f>
        <v>0</v>
      </c>
      <c r="X24" s="8" t="str">
        <f>_xlfn.XLOOKUP($B24,'PEW4'!$C$6:$C$201,'PEW4'!$B$6:$B$201,"")</f>
        <v/>
      </c>
      <c r="Y24" s="72">
        <f>_xlfn.XLOOKUP(X24,'PEW4'!$B$6:$B$201,'PEW4'!$A$6:$A$201,0)</f>
        <v>0</v>
      </c>
      <c r="Z24" s="8" t="str">
        <f>_xlfn.XLOOKUP($B24,'PEW5'!$C$6:$C$201,'PEW5'!$B$6:$B$201,"")</f>
        <v/>
      </c>
      <c r="AA24" s="72">
        <f>_xlfn.XLOOKUP(Z24,'PEW5'!$B$6:$B$201,'PEW5'!$A$6:$A$201,0)</f>
        <v>0</v>
      </c>
      <c r="AB24" s="8" t="str">
        <f>_xlfn.XLOOKUP($B24,'PEW6'!$C$6:$C$201,'PEW6'!$B$6:$B$201,"")</f>
        <v/>
      </c>
      <c r="AC24" s="72">
        <f>_xlfn.XLOOKUP(AB24,'PEW6'!$B$6:$B$201,'PEW6'!$A$6:$A$201,0)</f>
        <v>0</v>
      </c>
      <c r="AD24" s="8" t="str">
        <f>_xlfn.XLOOKUP($B24,'PEW7'!$C$6:$C$201,'PEW7'!$B$6:$B$201,"")</f>
        <v/>
      </c>
      <c r="AE24" s="72">
        <f>_xlfn.XLOOKUP(AD24,'PEW7'!$B$6:$B$201,'PEW7'!$A$6:$A$201,0)</f>
        <v>0</v>
      </c>
      <c r="AF24" s="8" t="str">
        <f>_xlfn.XLOOKUP($B24,'PEW8'!$C$6:$C$201,'PEW8'!$B$6:$B$201,"")</f>
        <v/>
      </c>
      <c r="AG24" s="72">
        <f>_xlfn.XLOOKUP(AF24,'PEW8'!$B$6:$B$201,'PEW8'!$A$6:$A$201,0)</f>
        <v>0</v>
      </c>
      <c r="AH24" s="8" t="str">
        <f>_xlfn.XLOOKUP($B24,'PEW9'!$C$6:$C$201,'PEW9'!$B$6:$B$201,"")</f>
        <v/>
      </c>
      <c r="AI24" s="72">
        <f>_xlfn.XLOOKUP(AH24,'PEW9'!$B$6:$B$201,'PEW9'!$A$6:$A$201,0)</f>
        <v>0</v>
      </c>
      <c r="AJ24" s="8" t="str">
        <f>_xlfn.XLOOKUP($B24,PS!$C$6:$C$201,PS!$B$6:$B$201,"")</f>
        <v/>
      </c>
      <c r="AK24" s="72">
        <f>_xlfn.XLOOKUP(AJ24,PS!$B$6:$B$201,PS!$A$6:$A$201,0)</f>
        <v>0</v>
      </c>
      <c r="AL24" s="8" t="str" cm="1">
        <f t="array" ref="AL24">_xlfn.XLOOKUP($B24,IMEW!C$6:C$201,IMEW!$B$6:B$201,"")</f>
        <v/>
      </c>
      <c r="AM24" s="73">
        <f>_xlfn.XLOOKUP(AL24,IMEW!$B$6:$B$201,IMEW!$A$6:$A$201,0)</f>
        <v>0</v>
      </c>
    </row>
    <row r="25" spans="1:39" ht="14.3" x14ac:dyDescent="0.25">
      <c r="A25" s="7">
        <f t="shared" si="0"/>
        <v>20</v>
      </c>
      <c r="B25" s="115"/>
      <c r="C25" s="9"/>
      <c r="D25" s="69">
        <f>SUM(F25,H25,J25,L25,N25,P25)-MIN(F25,H25,J25,L25,N25)+SUM(LARGE((S25,U25,W25,Y25,AA25,AC25,AE25,AG25,AI25,AK25),1),LARGE((S25,U25,W25,Y25,AA25,AC25,AE25,AG25,AI25,AK25),2),LARGE((S25,U25,W25,Y25,AA25,AC25,AE25,AG25,AI25,AK25),3),AM25)</f>
        <v>0</v>
      </c>
      <c r="E25" s="8" t="str">
        <f>_xlfn.XLOOKUP($B25,'PP1'!$C$6:$C$101,'PP1'!$B$6:$B$101,"")</f>
        <v/>
      </c>
      <c r="F25" s="70">
        <f>_xlfn.XLOOKUP(E25,'PP1'!$B$6:$B$55,'PP1'!$A$6:$A$55,0)</f>
        <v>0</v>
      </c>
      <c r="G25" s="8" t="str">
        <f>_xlfn.XLOOKUP($B25,'PP2'!$C$6:$C$101,'PP2'!$B$6:$B$101,"")</f>
        <v/>
      </c>
      <c r="H25" s="71">
        <f>_xlfn.XLOOKUP(G25,'PP2'!$B$6:$B$55,'PP2'!$A$6:$A$55,0)</f>
        <v>0</v>
      </c>
      <c r="I25" s="8" t="str">
        <f>_xlfn.XLOOKUP($B25,'PP3'!$C$6:$C$101,'PP3'!$B$6:$B$101,"")</f>
        <v/>
      </c>
      <c r="J25" s="71">
        <f>_xlfn.XLOOKUP(I25,'PP3'!$B$6:$B$55,'PP3'!$A$6:$A$55,0)</f>
        <v>0</v>
      </c>
      <c r="K25" s="8" t="str">
        <f>_xlfn.XLOOKUP($B25,'PP4'!$C$6:$C$101,'PP4'!$B$6:$B$101,"")</f>
        <v/>
      </c>
      <c r="L25" s="71">
        <f>_xlfn.XLOOKUP(K25,'PP4'!$B$6:$B$55,'PP4'!$A$6:$A$55,0)</f>
        <v>0</v>
      </c>
      <c r="M25" s="8" t="str">
        <f>_xlfn.XLOOKUP($B25,'PP5'!$C$6:$C$101,'PP5'!$B$6:$B$101,"")</f>
        <v/>
      </c>
      <c r="N25" s="71">
        <f>_xlfn.XLOOKUP(M25,'PP5'!$B$6:$B$55,'PP5'!$A$6:$A$55,0)</f>
        <v>0</v>
      </c>
      <c r="O25" s="8" t="str">
        <f>_xlfn.XLOOKUP(B25,MPW!C$6:C$101,MPW!B$6:B$101,"")</f>
        <v/>
      </c>
      <c r="P25" s="71">
        <f>_xlfn.XLOOKUP(O25,MPW!B$6:B$55,MPW!A$6:A$55,0)</f>
        <v>0</v>
      </c>
      <c r="R25" s="8" t="str">
        <f>_xlfn.XLOOKUP($B25,'PEW1'!$C$6:$C$201,'PEW1'!$B$6:$B$201,"")</f>
        <v/>
      </c>
      <c r="S25" s="72">
        <f>_xlfn.XLOOKUP(R25,'PEW1'!$B$6:$B$201,'PEW1'!$A$6:$A$201,0)</f>
        <v>0</v>
      </c>
      <c r="T25" s="8" t="str">
        <f>_xlfn.XLOOKUP($B25,'PEW2'!$C$6:$C$201,'PEW2'!$B$6:$B$201,"")</f>
        <v/>
      </c>
      <c r="U25" s="72">
        <f>_xlfn.XLOOKUP(T25,'PEW2'!$B$6:$B$201,'PEW2'!$A$6:$A$201,0)</f>
        <v>0</v>
      </c>
      <c r="V25" s="8" t="str">
        <f>_xlfn.XLOOKUP($B25,'PEW3'!$C$6:$C$201,'PEW3'!$B$6:$B$201,"")</f>
        <v/>
      </c>
      <c r="W25" s="72">
        <f>_xlfn.XLOOKUP(V25,'PEW3'!$B$6:$B$201,'PEW3'!$A$6:$A$201,0)</f>
        <v>0</v>
      </c>
      <c r="X25" s="8" t="str">
        <f>_xlfn.XLOOKUP($B25,'PEW4'!$C$6:$C$201,'PEW4'!$B$6:$B$201,"")</f>
        <v/>
      </c>
      <c r="Y25" s="72">
        <f>_xlfn.XLOOKUP(X25,'PEW4'!$B$6:$B$201,'PEW4'!$A$6:$A$201,0)</f>
        <v>0</v>
      </c>
      <c r="Z25" s="8" t="str">
        <f>_xlfn.XLOOKUP($B25,'PEW5'!$C$6:$C$201,'PEW5'!$B$6:$B$201,"")</f>
        <v/>
      </c>
      <c r="AA25" s="72">
        <f>_xlfn.XLOOKUP(Z25,'PEW5'!$B$6:$B$201,'PEW5'!$A$6:$A$201,0)</f>
        <v>0</v>
      </c>
      <c r="AB25" s="8" t="str">
        <f>_xlfn.XLOOKUP($B25,'PEW6'!$C$6:$C$201,'PEW6'!$B$6:$B$201,"")</f>
        <v/>
      </c>
      <c r="AC25" s="72">
        <f>_xlfn.XLOOKUP(AB25,'PEW6'!$B$6:$B$201,'PEW6'!$A$6:$A$201,0)</f>
        <v>0</v>
      </c>
      <c r="AD25" s="8" t="str">
        <f>_xlfn.XLOOKUP($B25,'PEW7'!$C$6:$C$201,'PEW7'!$B$6:$B$201,"")</f>
        <v/>
      </c>
      <c r="AE25" s="72">
        <f>_xlfn.XLOOKUP(AD25,'PEW7'!$B$6:$B$201,'PEW7'!$A$6:$A$201,0)</f>
        <v>0</v>
      </c>
      <c r="AF25" s="8" t="str">
        <f>_xlfn.XLOOKUP($B25,'PEW8'!$C$6:$C$201,'PEW8'!$B$6:$B$201,"")</f>
        <v/>
      </c>
      <c r="AG25" s="72">
        <f>_xlfn.XLOOKUP(AF25,'PEW8'!$B$6:$B$201,'PEW8'!$A$6:$A$201,0)</f>
        <v>0</v>
      </c>
      <c r="AH25" s="8" t="str">
        <f>_xlfn.XLOOKUP($B25,'PEW9'!$C$6:$C$201,'PEW9'!$B$6:$B$201,"")</f>
        <v/>
      </c>
      <c r="AI25" s="72">
        <f>_xlfn.XLOOKUP(AH25,'PEW9'!$B$6:$B$201,'PEW9'!$A$6:$A$201,0)</f>
        <v>0</v>
      </c>
      <c r="AJ25" s="8" t="str">
        <f>_xlfn.XLOOKUP($B25,PS!$C$6:$C$201,PS!$B$6:$B$201,"")</f>
        <v/>
      </c>
      <c r="AK25" s="72">
        <f>_xlfn.XLOOKUP(AJ25,PS!$B$6:$B$201,PS!$A$6:$A$201,0)</f>
        <v>0</v>
      </c>
      <c r="AL25" s="8" t="str" cm="1">
        <f t="array" ref="AL25">_xlfn.XLOOKUP($B25,IMEW!C$6:C$201,IMEW!$B$6:B$201,"")</f>
        <v/>
      </c>
      <c r="AM25" s="73">
        <f>_xlfn.XLOOKUP(AL25,IMEW!$B$6:$B$201,IMEW!$A$6:$A$201,0)</f>
        <v>0</v>
      </c>
    </row>
    <row r="26" spans="1:39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spans="1:39" x14ac:dyDescent="0.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</row>
    <row r="28" spans="1:39" x14ac:dyDescent="0.2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spans="1:39" x14ac:dyDescent="0.2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1:39" x14ac:dyDescent="0.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</row>
    <row r="31" spans="1:39" x14ac:dyDescent="0.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</row>
    <row r="32" spans="1:39" x14ac:dyDescent="0.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</row>
    <row r="33" spans="1:16" x14ac:dyDescent="0.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</row>
    <row r="34" spans="1:16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</row>
    <row r="35" spans="1:16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</row>
    <row r="165" spans="3:3" x14ac:dyDescent="0.2">
      <c r="C165" t="s">
        <v>34</v>
      </c>
    </row>
  </sheetData>
  <autoFilter ref="A5:AM5" xr:uid="{3A0A20B3-5AAD-4C6E-AC99-1ABF64677A16}">
    <sortState xmlns:xlrd2="http://schemas.microsoft.com/office/spreadsheetml/2017/richdata2" ref="A7:AM25">
      <sortCondition descending="1" ref="D5"/>
    </sortState>
  </autoFilter>
  <mergeCells count="25">
    <mergeCell ref="AJ4:AK4"/>
    <mergeCell ref="AJ5:AK5"/>
    <mergeCell ref="AH4:AI4"/>
    <mergeCell ref="AH5:AI5"/>
    <mergeCell ref="O4:P4"/>
    <mergeCell ref="A4:A5"/>
    <mergeCell ref="B4:B5"/>
    <mergeCell ref="C4:C5"/>
    <mergeCell ref="D4:D5"/>
    <mergeCell ref="D1:P2"/>
    <mergeCell ref="E4:F4"/>
    <mergeCell ref="I4:J4"/>
    <mergeCell ref="AD4:AE4"/>
    <mergeCell ref="AF4:AG4"/>
    <mergeCell ref="K4:L4"/>
    <mergeCell ref="M4:N4"/>
    <mergeCell ref="X4:Y4"/>
    <mergeCell ref="Z4:AA4"/>
    <mergeCell ref="AB4:AC4"/>
    <mergeCell ref="R4:S4"/>
    <mergeCell ref="T4:U4"/>
    <mergeCell ref="V4:W4"/>
    <mergeCell ref="R1:AM3"/>
    <mergeCell ref="AL4:AM4"/>
    <mergeCell ref="G4:H4"/>
  </mergeCells>
  <conditionalFormatting sqref="A6:A25">
    <cfRule type="cellIs" dxfId="20" priority="16" operator="equal">
      <formula>3</formula>
    </cfRule>
    <cfRule type="cellIs" dxfId="19" priority="17" operator="equal">
      <formula>2</formula>
    </cfRule>
    <cfRule type="cellIs" dxfId="18" priority="18" operator="equal">
      <formula>1</formula>
    </cfRule>
  </conditionalFormatting>
  <conditionalFormatting sqref="R6:AM25 D6:P25">
    <cfRule type="cellIs" dxfId="17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4F084-5BF3-4B99-AA25-E300AB777263}">
  <sheetPr>
    <tabColor rgb="FF92D050"/>
  </sheetPr>
  <dimension ref="A1:AL317"/>
  <sheetViews>
    <sheetView workbookViewId="0">
      <selection activeCell="C3" sqref="C3"/>
    </sheetView>
  </sheetViews>
  <sheetFormatPr defaultColWidth="8.875" defaultRowHeight="14.3" x14ac:dyDescent="0.25"/>
  <cols>
    <col min="1" max="1" width="8" style="105" customWidth="1"/>
    <col min="2" max="2" width="8.25" style="105" customWidth="1"/>
    <col min="3" max="3" width="34.75" style="105" customWidth="1"/>
    <col min="4" max="4" width="11.25" style="105" customWidth="1"/>
    <col min="5" max="6" width="8.875" style="105"/>
    <col min="7" max="7" width="0.875" style="105" customWidth="1"/>
    <col min="8" max="8" width="8.875" style="108"/>
    <col min="9" max="9" width="11" style="108" customWidth="1"/>
    <col min="10" max="10" width="15.25" style="108" customWidth="1"/>
    <col min="11" max="11" width="8.75" style="108" customWidth="1"/>
    <col min="12" max="12" width="11" style="108" customWidth="1"/>
    <col min="13" max="13" width="12.25" style="109" customWidth="1"/>
    <col min="14" max="15" width="13.875" style="74" customWidth="1"/>
    <col min="16" max="18" width="8.875" style="74"/>
    <col min="19" max="20" width="8.875" style="79"/>
    <col min="21" max="21" width="12.125" style="79" customWidth="1"/>
    <col min="22" max="22" width="27.375" style="79" customWidth="1"/>
    <col min="23" max="38" width="8.875" style="79"/>
    <col min="39" max="16384" width="8.875" style="105"/>
  </cols>
  <sheetData>
    <row r="1" spans="1:36" s="79" customFormat="1" x14ac:dyDescent="0.25">
      <c r="A1" s="74"/>
      <c r="B1" s="74"/>
      <c r="C1" s="74"/>
      <c r="D1" s="74"/>
      <c r="E1" s="74"/>
      <c r="F1" s="74"/>
      <c r="G1" s="74"/>
      <c r="H1" s="75" t="s">
        <v>13</v>
      </c>
      <c r="I1" s="76" t="s">
        <v>14</v>
      </c>
      <c r="J1" s="76" t="s">
        <v>15</v>
      </c>
      <c r="K1" s="77" t="s">
        <v>57</v>
      </c>
      <c r="L1" s="78"/>
      <c r="M1" s="78"/>
      <c r="N1" s="74"/>
      <c r="O1" s="74"/>
      <c r="P1" s="74"/>
      <c r="Q1" s="74"/>
      <c r="R1" s="74"/>
    </row>
    <row r="2" spans="1:36" s="79" customFormat="1" ht="14.45" customHeight="1" x14ac:dyDescent="0.25">
      <c r="A2" s="74"/>
      <c r="B2" s="17" t="s">
        <v>17</v>
      </c>
      <c r="C2" s="152" t="s">
        <v>58</v>
      </c>
      <c r="D2" s="209"/>
      <c r="E2" s="18"/>
      <c r="F2" s="18"/>
      <c r="G2" s="18"/>
      <c r="H2" s="80">
        <v>16</v>
      </c>
      <c r="I2" s="81">
        <v>50</v>
      </c>
      <c r="J2" s="81">
        <v>10</v>
      </c>
      <c r="K2" s="111">
        <f>3*H2^(1/3)</f>
        <v>7.5595262993692378</v>
      </c>
      <c r="L2" s="78"/>
      <c r="M2" s="78"/>
      <c r="N2" s="74"/>
      <c r="O2" s="74"/>
      <c r="P2" s="74"/>
      <c r="Q2" s="74"/>
      <c r="R2" s="74"/>
    </row>
    <row r="3" spans="1:36" s="79" customFormat="1" ht="14.45" customHeight="1" x14ac:dyDescent="0.25">
      <c r="A3" s="74"/>
      <c r="B3" s="82" t="s">
        <v>18</v>
      </c>
      <c r="C3" s="210" t="s">
        <v>68</v>
      </c>
      <c r="D3" s="210"/>
      <c r="E3" s="23"/>
      <c r="F3" s="23"/>
      <c r="G3" s="23"/>
      <c r="H3" s="78"/>
      <c r="I3" s="78"/>
      <c r="J3" s="83"/>
      <c r="K3" s="78"/>
      <c r="L3" s="78"/>
      <c r="M3" s="78"/>
      <c r="N3" s="74"/>
      <c r="O3" s="74"/>
      <c r="P3" s="74"/>
      <c r="Q3" s="74"/>
      <c r="R3" s="74"/>
    </row>
    <row r="4" spans="1:36" s="79" customFormat="1" ht="10.199999999999999" customHeight="1" x14ac:dyDescent="0.25">
      <c r="A4" s="25"/>
      <c r="B4" s="23"/>
      <c r="C4" s="25"/>
      <c r="D4" s="25"/>
      <c r="E4" s="25"/>
      <c r="F4" s="25"/>
      <c r="G4" s="25"/>
      <c r="H4" s="78"/>
      <c r="I4" s="78"/>
      <c r="J4" s="83"/>
      <c r="K4" s="78"/>
      <c r="L4" s="78"/>
      <c r="M4" s="78"/>
      <c r="N4" s="74"/>
      <c r="O4" s="74"/>
      <c r="P4" s="74"/>
      <c r="Q4" s="74"/>
      <c r="R4" s="74"/>
    </row>
    <row r="5" spans="1:36" s="79" customFormat="1" ht="34.65" x14ac:dyDescent="0.25">
      <c r="A5" s="1" t="s">
        <v>19</v>
      </c>
      <c r="B5" s="26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25"/>
      <c r="H5" s="84" t="s">
        <v>25</v>
      </c>
      <c r="I5" s="85" t="s">
        <v>26</v>
      </c>
      <c r="J5" s="86" t="s">
        <v>27</v>
      </c>
      <c r="K5" s="85" t="s">
        <v>28</v>
      </c>
      <c r="L5" s="85" t="s">
        <v>29</v>
      </c>
      <c r="M5" s="84" t="s">
        <v>30</v>
      </c>
      <c r="N5" s="74"/>
      <c r="O5" s="74"/>
      <c r="P5" s="74"/>
      <c r="Q5" s="74"/>
      <c r="R5" s="74"/>
    </row>
    <row r="6" spans="1:36" s="79" customFormat="1" ht="14.45" customHeight="1" x14ac:dyDescent="0.25">
      <c r="A6" s="87">
        <f t="shared" ref="A6:A60" si="0">M6</f>
        <v>112.67857889810772</v>
      </c>
      <c r="B6" s="31">
        <f>IF(H6&gt;$H$2,"",(ROW()-5))</f>
        <v>1</v>
      </c>
      <c r="C6" s="32" t="s">
        <v>34</v>
      </c>
      <c r="D6" s="32"/>
      <c r="E6" s="32"/>
      <c r="F6" s="32"/>
      <c r="G6" s="25"/>
      <c r="H6" s="88">
        <v>1</v>
      </c>
      <c r="I6" s="89">
        <f t="shared" ref="I6:I69" si="1">IF(H6&lt;$H$2+1,($I$2-($I$2-1)*(LOG(H6)/LOG($H$2))),"")</f>
        <v>50</v>
      </c>
      <c r="J6" s="88">
        <f t="shared" ref="J6:J69" si="2">INT(LOG($H$2,2))-ROUNDUP(LOG(H6,2),0)+IF(OR($H$2=1,$H$2=2,$H$2=4,$H$2=8,$H$2=16,$H$2=32,$H$2=64,$H$2=128,$H$2=256),0,1)</f>
        <v>4</v>
      </c>
      <c r="K6" s="88">
        <f t="shared" ref="K6:K69" si="3">J6*$J$2</f>
        <v>40</v>
      </c>
      <c r="L6" s="90">
        <f>3*K2</f>
        <v>22.678578898107713</v>
      </c>
      <c r="M6" s="90">
        <f t="shared" ref="M6:M69" si="4">IF(I6&lt;&gt;"",K6+I6+L6,0)</f>
        <v>112.67857889810772</v>
      </c>
      <c r="N6" s="74"/>
      <c r="O6" s="74"/>
      <c r="P6" s="74"/>
      <c r="Q6" s="74"/>
      <c r="R6" s="74"/>
    </row>
    <row r="7" spans="1:36" s="79" customFormat="1" ht="14.45" customHeight="1" x14ac:dyDescent="0.25">
      <c r="A7" s="91">
        <f t="shared" si="0"/>
        <v>82.869052598738477</v>
      </c>
      <c r="B7" s="37">
        <f>IF(H7&gt;$H$2,"",(ROW()-5))</f>
        <v>2</v>
      </c>
      <c r="C7" s="38" t="s">
        <v>34</v>
      </c>
      <c r="D7" s="38"/>
      <c r="E7" s="38"/>
      <c r="F7" s="38"/>
      <c r="G7" s="25"/>
      <c r="H7" s="92">
        <v>2</v>
      </c>
      <c r="I7" s="93">
        <f t="shared" si="1"/>
        <v>37.75</v>
      </c>
      <c r="J7" s="92">
        <f t="shared" si="2"/>
        <v>3</v>
      </c>
      <c r="K7" s="92">
        <f t="shared" si="3"/>
        <v>30</v>
      </c>
      <c r="L7" s="94">
        <f>2*K2</f>
        <v>15.119052598738476</v>
      </c>
      <c r="M7" s="94">
        <f t="shared" si="4"/>
        <v>82.869052598738477</v>
      </c>
      <c r="N7" s="74"/>
      <c r="O7" s="74"/>
      <c r="P7" s="74"/>
      <c r="Q7" s="74"/>
      <c r="R7" s="74"/>
    </row>
    <row r="8" spans="1:36" s="79" customFormat="1" ht="14.45" customHeight="1" x14ac:dyDescent="0.25">
      <c r="A8" s="87">
        <f t="shared" si="0"/>
        <v>58.143735665535075</v>
      </c>
      <c r="B8" s="31">
        <f>IF(H8&gt;$H$2,"",(ROW()-5))</f>
        <v>3</v>
      </c>
      <c r="C8" s="32" t="s">
        <v>34</v>
      </c>
      <c r="D8" s="32"/>
      <c r="E8" s="32"/>
      <c r="F8" s="32"/>
      <c r="G8" s="25"/>
      <c r="H8" s="88">
        <v>3</v>
      </c>
      <c r="I8" s="89">
        <f t="shared" si="1"/>
        <v>30.584209366165837</v>
      </c>
      <c r="J8" s="88">
        <f t="shared" si="2"/>
        <v>2</v>
      </c>
      <c r="K8" s="88">
        <f t="shared" si="3"/>
        <v>20</v>
      </c>
      <c r="L8" s="90">
        <f>K2</f>
        <v>7.5595262993692378</v>
      </c>
      <c r="M8" s="90">
        <f t="shared" si="4"/>
        <v>58.143735665535075</v>
      </c>
      <c r="N8" s="74"/>
      <c r="O8" s="74"/>
      <c r="P8" s="74"/>
      <c r="Q8" s="74"/>
      <c r="R8" s="74"/>
    </row>
    <row r="9" spans="1:36" s="79" customFormat="1" ht="14.45" customHeight="1" x14ac:dyDescent="0.25">
      <c r="A9" s="91">
        <f t="shared" si="0"/>
        <v>58.143735665535075</v>
      </c>
      <c r="B9" s="37">
        <f>IF(H9&gt;$H$2,"",3)</f>
        <v>3</v>
      </c>
      <c r="C9" s="38" t="s">
        <v>34</v>
      </c>
      <c r="D9" s="38"/>
      <c r="E9" s="38"/>
      <c r="F9" s="38"/>
      <c r="G9" s="25"/>
      <c r="H9" s="92">
        <v>3</v>
      </c>
      <c r="I9" s="93">
        <f t="shared" si="1"/>
        <v>30.584209366165837</v>
      </c>
      <c r="J9" s="92">
        <f t="shared" si="2"/>
        <v>2</v>
      </c>
      <c r="K9" s="92">
        <f t="shared" si="3"/>
        <v>20</v>
      </c>
      <c r="L9" s="94">
        <f>K2</f>
        <v>7.5595262993692378</v>
      </c>
      <c r="M9" s="94">
        <f t="shared" si="4"/>
        <v>58.143735665535075</v>
      </c>
      <c r="N9" s="74"/>
      <c r="O9" s="74"/>
      <c r="P9" s="74"/>
      <c r="Q9" s="74"/>
      <c r="R9" s="74"/>
      <c r="V9" s="95"/>
      <c r="Z9" s="96"/>
      <c r="AA9" s="96"/>
      <c r="AG9" s="97"/>
      <c r="AH9" s="79" t="s">
        <v>34</v>
      </c>
      <c r="AI9" s="79">
        <v>23</v>
      </c>
    </row>
    <row r="10" spans="1:36" s="79" customFormat="1" ht="14.45" customHeight="1" x14ac:dyDescent="0.25">
      <c r="A10" s="87">
        <f t="shared" si="0"/>
        <v>31.556380837629806</v>
      </c>
      <c r="B10" s="31">
        <f t="shared" ref="B10:B65" si="5">IF(H10&gt;$H$2,"",(ROW()-5))</f>
        <v>5</v>
      </c>
      <c r="C10" s="32" t="s">
        <v>34</v>
      </c>
      <c r="D10" s="32"/>
      <c r="E10" s="32"/>
      <c r="F10" s="32"/>
      <c r="G10" s="25"/>
      <c r="H10" s="88">
        <v>5</v>
      </c>
      <c r="I10" s="89">
        <f t="shared" si="1"/>
        <v>21.556380837629806</v>
      </c>
      <c r="J10" s="88">
        <f t="shared" si="2"/>
        <v>1</v>
      </c>
      <c r="K10" s="88">
        <f t="shared" si="3"/>
        <v>10</v>
      </c>
      <c r="L10" s="88"/>
      <c r="M10" s="90">
        <f t="shared" si="4"/>
        <v>31.556380837629806</v>
      </c>
      <c r="N10" s="74"/>
      <c r="O10" s="74"/>
      <c r="P10" s="74"/>
      <c r="Q10" s="74"/>
      <c r="R10" s="74"/>
      <c r="V10" s="95"/>
      <c r="Z10" s="96"/>
      <c r="AA10" s="96"/>
      <c r="AG10" s="97"/>
      <c r="AH10" s="79" t="s">
        <v>35</v>
      </c>
      <c r="AI10" s="79">
        <v>45</v>
      </c>
    </row>
    <row r="11" spans="1:36" s="79" customFormat="1" ht="14.45" customHeight="1" x14ac:dyDescent="0.25">
      <c r="A11" s="91">
        <f t="shared" si="0"/>
        <v>28.334209366165837</v>
      </c>
      <c r="B11" s="37">
        <f t="shared" si="5"/>
        <v>6</v>
      </c>
      <c r="C11" s="38" t="s">
        <v>34</v>
      </c>
      <c r="D11" s="38"/>
      <c r="E11" s="38"/>
      <c r="F11" s="38"/>
      <c r="G11" s="25"/>
      <c r="H11" s="92">
        <v>6</v>
      </c>
      <c r="I11" s="93">
        <f t="shared" si="1"/>
        <v>18.334209366165837</v>
      </c>
      <c r="J11" s="92">
        <f t="shared" si="2"/>
        <v>1</v>
      </c>
      <c r="K11" s="92">
        <f t="shared" si="3"/>
        <v>10</v>
      </c>
      <c r="L11" s="92"/>
      <c r="M11" s="94">
        <f t="shared" si="4"/>
        <v>28.334209366165837</v>
      </c>
      <c r="N11" s="74"/>
      <c r="O11" s="74"/>
      <c r="P11" s="74"/>
      <c r="Q11" s="74"/>
      <c r="R11" s="74"/>
      <c r="V11" s="98"/>
      <c r="Z11" s="96"/>
      <c r="AA11" s="96"/>
      <c r="AG11" s="97"/>
      <c r="AH11" s="79" t="s">
        <v>36</v>
      </c>
      <c r="AI11" s="79">
        <v>50</v>
      </c>
    </row>
    <row r="12" spans="1:36" s="79" customFormat="1" ht="14.45" customHeight="1" x14ac:dyDescent="0.25">
      <c r="A12" s="87">
        <f t="shared" si="0"/>
        <v>25.609902204794352</v>
      </c>
      <c r="B12" s="31">
        <f t="shared" si="5"/>
        <v>7</v>
      </c>
      <c r="C12" s="32" t="s">
        <v>34</v>
      </c>
      <c r="D12" s="32"/>
      <c r="E12" s="32"/>
      <c r="F12" s="32"/>
      <c r="G12" s="25"/>
      <c r="H12" s="88">
        <v>7</v>
      </c>
      <c r="I12" s="89">
        <f t="shared" si="1"/>
        <v>15.609902204794352</v>
      </c>
      <c r="J12" s="88">
        <f t="shared" si="2"/>
        <v>1</v>
      </c>
      <c r="K12" s="88">
        <f t="shared" si="3"/>
        <v>10</v>
      </c>
      <c r="L12" s="88"/>
      <c r="M12" s="90">
        <f t="shared" si="4"/>
        <v>25.609902204794352</v>
      </c>
      <c r="N12" s="74"/>
      <c r="O12" s="74"/>
      <c r="P12" s="74"/>
      <c r="Q12" s="74"/>
      <c r="R12" s="74"/>
      <c r="Z12" s="96"/>
      <c r="AA12" s="96"/>
      <c r="AG12" s="97"/>
      <c r="AH12" s="79" t="s">
        <v>37</v>
      </c>
      <c r="AI12" s="79">
        <f>AI11-1</f>
        <v>49</v>
      </c>
    </row>
    <row r="13" spans="1:36" s="79" customFormat="1" ht="14.45" customHeight="1" x14ac:dyDescent="0.25">
      <c r="A13" s="91">
        <f t="shared" si="0"/>
        <v>23.25</v>
      </c>
      <c r="B13" s="37">
        <f t="shared" si="5"/>
        <v>8</v>
      </c>
      <c r="C13" s="38" t="s">
        <v>34</v>
      </c>
      <c r="D13" s="38"/>
      <c r="E13" s="38"/>
      <c r="F13" s="38"/>
      <c r="G13" s="25"/>
      <c r="H13" s="92">
        <v>8</v>
      </c>
      <c r="I13" s="93">
        <f t="shared" si="1"/>
        <v>13.25</v>
      </c>
      <c r="J13" s="92">
        <f t="shared" si="2"/>
        <v>1</v>
      </c>
      <c r="K13" s="92">
        <f t="shared" si="3"/>
        <v>10</v>
      </c>
      <c r="L13" s="92"/>
      <c r="M13" s="94">
        <f t="shared" si="4"/>
        <v>23.25</v>
      </c>
      <c r="N13" s="74"/>
      <c r="O13" s="74"/>
      <c r="P13" s="74"/>
      <c r="Q13" s="74"/>
      <c r="R13" s="74"/>
      <c r="X13" s="95"/>
      <c r="AG13" s="97"/>
      <c r="AH13" s="79" t="s">
        <v>38</v>
      </c>
      <c r="AI13" s="79">
        <f>LOG(AI9)</f>
        <v>1.3617278360175928</v>
      </c>
    </row>
    <row r="14" spans="1:36" s="79" customFormat="1" x14ac:dyDescent="0.25">
      <c r="A14" s="87">
        <f t="shared" si="0"/>
        <v>11.168418732331673</v>
      </c>
      <c r="B14" s="31">
        <f t="shared" si="5"/>
        <v>9</v>
      </c>
      <c r="C14" s="32" t="s">
        <v>34</v>
      </c>
      <c r="D14" s="32"/>
      <c r="E14" s="32"/>
      <c r="F14" s="32"/>
      <c r="G14" s="25"/>
      <c r="H14" s="88">
        <v>9</v>
      </c>
      <c r="I14" s="89">
        <f t="shared" si="1"/>
        <v>11.168418732331673</v>
      </c>
      <c r="J14" s="88">
        <f t="shared" si="2"/>
        <v>0</v>
      </c>
      <c r="K14" s="88">
        <f t="shared" si="3"/>
        <v>0</v>
      </c>
      <c r="L14" s="88"/>
      <c r="M14" s="90">
        <f t="shared" si="4"/>
        <v>11.168418732331673</v>
      </c>
      <c r="N14" s="74"/>
      <c r="O14" s="74"/>
      <c r="P14" s="74"/>
      <c r="Q14" s="74"/>
      <c r="R14" s="74"/>
      <c r="X14" s="99"/>
      <c r="Z14" s="96"/>
      <c r="AA14" s="96"/>
      <c r="AG14" s="97"/>
      <c r="AH14" s="79" t="s">
        <v>39</v>
      </c>
      <c r="AI14" s="79">
        <f>LOG(AI10)</f>
        <v>1.6532125137753437</v>
      </c>
    </row>
    <row r="15" spans="1:36" s="79" customFormat="1" x14ac:dyDescent="0.25">
      <c r="A15" s="91">
        <f t="shared" si="0"/>
        <v>9.3063808376298098</v>
      </c>
      <c r="B15" s="37">
        <f t="shared" si="5"/>
        <v>10</v>
      </c>
      <c r="C15" s="38" t="s">
        <v>34</v>
      </c>
      <c r="D15" s="38"/>
      <c r="E15" s="38"/>
      <c r="F15" s="38"/>
      <c r="G15" s="25"/>
      <c r="H15" s="92">
        <v>10</v>
      </c>
      <c r="I15" s="93">
        <f t="shared" si="1"/>
        <v>9.3063808376298098</v>
      </c>
      <c r="J15" s="92">
        <f t="shared" si="2"/>
        <v>0</v>
      </c>
      <c r="K15" s="92">
        <f t="shared" si="3"/>
        <v>0</v>
      </c>
      <c r="L15" s="92"/>
      <c r="M15" s="94">
        <f t="shared" si="4"/>
        <v>9.3063808376298098</v>
      </c>
      <c r="N15" s="74"/>
      <c r="O15" s="74"/>
      <c r="P15" s="74"/>
      <c r="Q15" s="74"/>
      <c r="R15" s="74"/>
      <c r="X15" s="95"/>
      <c r="Z15" s="96"/>
      <c r="AA15" s="96"/>
    </row>
    <row r="16" spans="1:36" s="79" customFormat="1" x14ac:dyDescent="0.25">
      <c r="A16" s="87">
        <f t="shared" si="0"/>
        <v>7.6219626716931046</v>
      </c>
      <c r="B16" s="31">
        <f t="shared" si="5"/>
        <v>11</v>
      </c>
      <c r="C16" s="32" t="s">
        <v>34</v>
      </c>
      <c r="D16" s="32"/>
      <c r="E16" s="32"/>
      <c r="F16" s="32"/>
      <c r="G16" s="25"/>
      <c r="H16" s="88">
        <v>11</v>
      </c>
      <c r="I16" s="89">
        <f t="shared" si="1"/>
        <v>7.6219626716931046</v>
      </c>
      <c r="J16" s="88">
        <f t="shared" si="2"/>
        <v>0</v>
      </c>
      <c r="K16" s="88">
        <f t="shared" si="3"/>
        <v>0</v>
      </c>
      <c r="L16" s="88"/>
      <c r="M16" s="90">
        <f t="shared" si="4"/>
        <v>7.6219626716931046</v>
      </c>
      <c r="N16" s="74"/>
      <c r="O16" s="74"/>
      <c r="P16" s="74"/>
      <c r="Q16" s="74"/>
      <c r="R16" s="100"/>
      <c r="Z16" s="96"/>
      <c r="AA16" s="96"/>
      <c r="AH16" s="101" t="s">
        <v>40</v>
      </c>
      <c r="AI16" s="79">
        <f>AI11-AI12*AI13/AI14</f>
        <v>9.6393909380186855</v>
      </c>
      <c r="AJ16" s="79" t="s">
        <v>41</v>
      </c>
    </row>
    <row r="17" spans="1:19" s="79" customFormat="1" x14ac:dyDescent="0.25">
      <c r="A17" s="91">
        <f t="shared" si="0"/>
        <v>6.0842093661658296</v>
      </c>
      <c r="B17" s="37">
        <f t="shared" si="5"/>
        <v>12</v>
      </c>
      <c r="C17" s="38" t="s">
        <v>34</v>
      </c>
      <c r="D17" s="38"/>
      <c r="E17" s="38"/>
      <c r="F17" s="38"/>
      <c r="G17" s="25"/>
      <c r="H17" s="92">
        <v>12</v>
      </c>
      <c r="I17" s="93">
        <f t="shared" si="1"/>
        <v>6.0842093661658296</v>
      </c>
      <c r="J17" s="92">
        <f t="shared" si="2"/>
        <v>0</v>
      </c>
      <c r="K17" s="92">
        <f t="shared" si="3"/>
        <v>0</v>
      </c>
      <c r="L17" s="92"/>
      <c r="M17" s="94">
        <f t="shared" si="4"/>
        <v>6.0842093661658296</v>
      </c>
      <c r="N17" s="74"/>
      <c r="O17" s="74"/>
      <c r="P17" s="74"/>
      <c r="Q17" s="74"/>
      <c r="R17" s="74"/>
    </row>
    <row r="18" spans="1:19" s="79" customFormat="1" x14ac:dyDescent="0.25">
      <c r="A18" s="87">
        <f t="shared" si="0"/>
        <v>4.6696134527716211</v>
      </c>
      <c r="B18" s="31">
        <f t="shared" si="5"/>
        <v>13</v>
      </c>
      <c r="C18" s="32" t="s">
        <v>34</v>
      </c>
      <c r="D18" s="32"/>
      <c r="E18" s="32"/>
      <c r="F18" s="32"/>
      <c r="G18" s="25"/>
      <c r="H18" s="88">
        <v>13</v>
      </c>
      <c r="I18" s="89">
        <f t="shared" si="1"/>
        <v>4.6696134527716211</v>
      </c>
      <c r="J18" s="88">
        <f t="shared" si="2"/>
        <v>0</v>
      </c>
      <c r="K18" s="88">
        <f t="shared" si="3"/>
        <v>0</v>
      </c>
      <c r="L18" s="88"/>
      <c r="M18" s="90">
        <f t="shared" si="4"/>
        <v>4.6696134527716211</v>
      </c>
      <c r="N18" s="74"/>
      <c r="O18" s="74"/>
      <c r="P18" s="74"/>
      <c r="Q18" s="74"/>
      <c r="R18" s="74"/>
    </row>
    <row r="19" spans="1:19" s="79" customFormat="1" x14ac:dyDescent="0.25">
      <c r="A19" s="91">
        <f t="shared" si="0"/>
        <v>3.3599022047943521</v>
      </c>
      <c r="B19" s="37">
        <f t="shared" si="5"/>
        <v>14</v>
      </c>
      <c r="C19" s="38" t="s">
        <v>34</v>
      </c>
      <c r="D19" s="38"/>
      <c r="E19" s="38"/>
      <c r="F19" s="38"/>
      <c r="G19" s="25"/>
      <c r="H19" s="92">
        <v>14</v>
      </c>
      <c r="I19" s="93">
        <f t="shared" si="1"/>
        <v>3.3599022047943521</v>
      </c>
      <c r="J19" s="92">
        <f t="shared" si="2"/>
        <v>0</v>
      </c>
      <c r="K19" s="92">
        <f t="shared" si="3"/>
        <v>0</v>
      </c>
      <c r="L19" s="92"/>
      <c r="M19" s="94">
        <f t="shared" si="4"/>
        <v>3.3599022047943521</v>
      </c>
      <c r="N19" s="74"/>
      <c r="O19" s="74"/>
      <c r="P19" s="74"/>
      <c r="Q19" s="74"/>
      <c r="R19" s="74"/>
    </row>
    <row r="20" spans="1:19" s="79" customFormat="1" x14ac:dyDescent="0.25">
      <c r="A20" s="87">
        <f t="shared" si="0"/>
        <v>2.1405902037956466</v>
      </c>
      <c r="B20" s="31">
        <f t="shared" si="5"/>
        <v>15</v>
      </c>
      <c r="C20" s="32" t="s">
        <v>34</v>
      </c>
      <c r="D20" s="32"/>
      <c r="E20" s="32"/>
      <c r="F20" s="32"/>
      <c r="G20" s="25"/>
      <c r="H20" s="88">
        <v>15</v>
      </c>
      <c r="I20" s="89">
        <f t="shared" si="1"/>
        <v>2.1405902037956466</v>
      </c>
      <c r="J20" s="88">
        <f t="shared" si="2"/>
        <v>0</v>
      </c>
      <c r="K20" s="88">
        <f t="shared" si="3"/>
        <v>0</v>
      </c>
      <c r="L20" s="88"/>
      <c r="M20" s="90">
        <f t="shared" si="4"/>
        <v>2.1405902037956466</v>
      </c>
      <c r="N20" s="74"/>
      <c r="O20" s="74"/>
      <c r="P20" s="74"/>
      <c r="Q20" s="74"/>
      <c r="R20" s="102"/>
      <c r="S20" s="103"/>
    </row>
    <row r="21" spans="1:19" s="79" customFormat="1" x14ac:dyDescent="0.25">
      <c r="A21" s="91">
        <f t="shared" si="0"/>
        <v>1</v>
      </c>
      <c r="B21" s="37">
        <f t="shared" si="5"/>
        <v>16</v>
      </c>
      <c r="C21" s="38" t="s">
        <v>34</v>
      </c>
      <c r="D21" s="38"/>
      <c r="E21" s="38"/>
      <c r="F21" s="38"/>
      <c r="G21" s="25"/>
      <c r="H21" s="92">
        <v>16</v>
      </c>
      <c r="I21" s="93">
        <f t="shared" si="1"/>
        <v>1</v>
      </c>
      <c r="J21" s="92">
        <f t="shared" si="2"/>
        <v>0</v>
      </c>
      <c r="K21" s="92">
        <f t="shared" si="3"/>
        <v>0</v>
      </c>
      <c r="L21" s="92"/>
      <c r="M21" s="94">
        <f t="shared" si="4"/>
        <v>1</v>
      </c>
      <c r="N21" s="74"/>
      <c r="O21" s="74"/>
      <c r="P21" s="74"/>
      <c r="Q21" s="74"/>
      <c r="R21" s="74"/>
    </row>
    <row r="22" spans="1:19" s="79" customFormat="1" x14ac:dyDescent="0.25">
      <c r="A22" s="87">
        <f t="shared" si="0"/>
        <v>0</v>
      </c>
      <c r="B22" s="31" t="str">
        <f t="shared" si="5"/>
        <v/>
      </c>
      <c r="C22" s="32"/>
      <c r="D22" s="32"/>
      <c r="E22" s="32"/>
      <c r="F22" s="32"/>
      <c r="G22" s="25"/>
      <c r="H22" s="88">
        <v>17</v>
      </c>
      <c r="I22" s="89" t="str">
        <f t="shared" si="1"/>
        <v/>
      </c>
      <c r="J22" s="88">
        <f t="shared" si="2"/>
        <v>-1</v>
      </c>
      <c r="K22" s="88">
        <f t="shared" si="3"/>
        <v>-10</v>
      </c>
      <c r="L22" s="88"/>
      <c r="M22" s="90">
        <f t="shared" si="4"/>
        <v>0</v>
      </c>
      <c r="N22" s="74"/>
      <c r="O22" s="74"/>
      <c r="P22" s="74"/>
      <c r="Q22" s="74"/>
      <c r="R22" s="74"/>
    </row>
    <row r="23" spans="1:19" s="79" customFormat="1" x14ac:dyDescent="0.25">
      <c r="A23" s="91">
        <f t="shared" si="0"/>
        <v>0</v>
      </c>
      <c r="B23" s="37" t="str">
        <f t="shared" si="5"/>
        <v/>
      </c>
      <c r="C23" s="38"/>
      <c r="D23" s="38"/>
      <c r="E23" s="38"/>
      <c r="F23" s="38"/>
      <c r="G23" s="25"/>
      <c r="H23" s="92">
        <v>18</v>
      </c>
      <c r="I23" s="93" t="str">
        <f t="shared" si="1"/>
        <v/>
      </c>
      <c r="J23" s="92">
        <f t="shared" si="2"/>
        <v>-1</v>
      </c>
      <c r="K23" s="92">
        <f t="shared" si="3"/>
        <v>-10</v>
      </c>
      <c r="L23" s="92"/>
      <c r="M23" s="94">
        <f t="shared" si="4"/>
        <v>0</v>
      </c>
      <c r="N23" s="74"/>
      <c r="O23" s="74"/>
      <c r="P23" s="74"/>
      <c r="Q23" s="74"/>
      <c r="R23" s="74"/>
    </row>
    <row r="24" spans="1:19" s="79" customFormat="1" x14ac:dyDescent="0.25">
      <c r="A24" s="87">
        <f t="shared" si="0"/>
        <v>0</v>
      </c>
      <c r="B24" s="31" t="str">
        <f t="shared" si="5"/>
        <v/>
      </c>
      <c r="C24" s="32"/>
      <c r="D24" s="32"/>
      <c r="E24" s="32"/>
      <c r="F24" s="32"/>
      <c r="G24" s="25"/>
      <c r="H24" s="88">
        <v>19</v>
      </c>
      <c r="I24" s="89" t="str">
        <f t="shared" si="1"/>
        <v/>
      </c>
      <c r="J24" s="88">
        <f t="shared" si="2"/>
        <v>-1</v>
      </c>
      <c r="K24" s="88">
        <f t="shared" si="3"/>
        <v>-10</v>
      </c>
      <c r="L24" s="88"/>
      <c r="M24" s="90">
        <f t="shared" si="4"/>
        <v>0</v>
      </c>
      <c r="N24" s="74"/>
      <c r="O24" s="74"/>
      <c r="P24" s="74"/>
      <c r="Q24" s="74"/>
      <c r="R24" s="102"/>
      <c r="S24" s="103"/>
    </row>
    <row r="25" spans="1:19" s="79" customFormat="1" x14ac:dyDescent="0.25">
      <c r="A25" s="91">
        <f t="shared" si="0"/>
        <v>0</v>
      </c>
      <c r="B25" s="37" t="str">
        <f t="shared" si="5"/>
        <v/>
      </c>
      <c r="C25" s="38"/>
      <c r="D25" s="38"/>
      <c r="E25" s="38"/>
      <c r="F25" s="38"/>
      <c r="G25" s="25"/>
      <c r="H25" s="92">
        <v>20</v>
      </c>
      <c r="I25" s="93" t="str">
        <f t="shared" si="1"/>
        <v/>
      </c>
      <c r="J25" s="92">
        <f t="shared" si="2"/>
        <v>-1</v>
      </c>
      <c r="K25" s="92">
        <f t="shared" si="3"/>
        <v>-10</v>
      </c>
      <c r="L25" s="92"/>
      <c r="M25" s="94">
        <f t="shared" si="4"/>
        <v>0</v>
      </c>
      <c r="N25" s="74"/>
      <c r="O25" s="74"/>
      <c r="P25" s="74"/>
      <c r="Q25" s="74"/>
      <c r="R25" s="74"/>
    </row>
    <row r="26" spans="1:19" s="79" customFormat="1" x14ac:dyDescent="0.25">
      <c r="A26" s="87">
        <f t="shared" si="0"/>
        <v>0</v>
      </c>
      <c r="B26" s="31" t="str">
        <f t="shared" si="5"/>
        <v/>
      </c>
      <c r="C26" s="32"/>
      <c r="D26" s="32"/>
      <c r="E26" s="32"/>
      <c r="F26" s="32"/>
      <c r="G26" s="25"/>
      <c r="H26" s="88">
        <v>21</v>
      </c>
      <c r="I26" s="89" t="str">
        <f t="shared" si="1"/>
        <v/>
      </c>
      <c r="J26" s="88">
        <f t="shared" si="2"/>
        <v>-1</v>
      </c>
      <c r="K26" s="88">
        <f t="shared" si="3"/>
        <v>-10</v>
      </c>
      <c r="L26" s="88"/>
      <c r="M26" s="90">
        <f t="shared" si="4"/>
        <v>0</v>
      </c>
      <c r="N26" s="74"/>
      <c r="O26" s="74"/>
      <c r="P26" s="74"/>
      <c r="Q26" s="74"/>
      <c r="R26" s="74"/>
    </row>
    <row r="27" spans="1:19" s="79" customFormat="1" x14ac:dyDescent="0.25">
      <c r="A27" s="91">
        <f t="shared" si="0"/>
        <v>0</v>
      </c>
      <c r="B27" s="37" t="str">
        <f t="shared" si="5"/>
        <v/>
      </c>
      <c r="C27" s="38"/>
      <c r="D27" s="38"/>
      <c r="E27" s="38"/>
      <c r="F27" s="38"/>
      <c r="G27" s="25"/>
      <c r="H27" s="92">
        <v>22</v>
      </c>
      <c r="I27" s="93" t="str">
        <f t="shared" si="1"/>
        <v/>
      </c>
      <c r="J27" s="92">
        <f t="shared" si="2"/>
        <v>-1</v>
      </c>
      <c r="K27" s="92">
        <f t="shared" si="3"/>
        <v>-10</v>
      </c>
      <c r="L27" s="92"/>
      <c r="M27" s="94">
        <f t="shared" si="4"/>
        <v>0</v>
      </c>
      <c r="N27" s="74"/>
      <c r="O27" s="74"/>
      <c r="P27" s="74"/>
      <c r="Q27" s="74"/>
      <c r="R27" s="74"/>
    </row>
    <row r="28" spans="1:19" s="79" customFormat="1" x14ac:dyDescent="0.25">
      <c r="A28" s="87">
        <f t="shared" si="0"/>
        <v>0</v>
      </c>
      <c r="B28" s="31" t="str">
        <f t="shared" si="5"/>
        <v/>
      </c>
      <c r="C28" s="32"/>
      <c r="D28" s="32"/>
      <c r="E28" s="32"/>
      <c r="F28" s="32"/>
      <c r="G28" s="25"/>
      <c r="H28" s="88">
        <v>23</v>
      </c>
      <c r="I28" s="89" t="str">
        <f t="shared" si="1"/>
        <v/>
      </c>
      <c r="J28" s="88">
        <f t="shared" si="2"/>
        <v>-1</v>
      </c>
      <c r="K28" s="88">
        <f t="shared" si="3"/>
        <v>-10</v>
      </c>
      <c r="L28" s="88"/>
      <c r="M28" s="90">
        <f t="shared" si="4"/>
        <v>0</v>
      </c>
      <c r="N28" s="74"/>
      <c r="O28" s="74"/>
      <c r="P28" s="74"/>
      <c r="Q28" s="74"/>
      <c r="R28" s="102"/>
      <c r="S28" s="103"/>
    </row>
    <row r="29" spans="1:19" s="79" customFormat="1" x14ac:dyDescent="0.25">
      <c r="A29" s="91">
        <f t="shared" si="0"/>
        <v>0</v>
      </c>
      <c r="B29" s="37" t="str">
        <f t="shared" si="5"/>
        <v/>
      </c>
      <c r="C29" s="38"/>
      <c r="D29" s="38"/>
      <c r="E29" s="38"/>
      <c r="F29" s="38"/>
      <c r="G29" s="74"/>
      <c r="H29" s="92">
        <v>24</v>
      </c>
      <c r="I29" s="93" t="str">
        <f t="shared" si="1"/>
        <v/>
      </c>
      <c r="J29" s="92">
        <f t="shared" si="2"/>
        <v>-1</v>
      </c>
      <c r="K29" s="92">
        <f t="shared" si="3"/>
        <v>-10</v>
      </c>
      <c r="L29" s="92"/>
      <c r="M29" s="94">
        <f t="shared" si="4"/>
        <v>0</v>
      </c>
      <c r="N29" s="74"/>
      <c r="O29" s="74"/>
      <c r="P29" s="74"/>
      <c r="Q29" s="74"/>
      <c r="R29" s="74"/>
    </row>
    <row r="30" spans="1:19" s="79" customFormat="1" x14ac:dyDescent="0.25">
      <c r="A30" s="87">
        <f t="shared" si="0"/>
        <v>0</v>
      </c>
      <c r="B30" s="31" t="str">
        <f t="shared" si="5"/>
        <v/>
      </c>
      <c r="C30" s="32"/>
      <c r="D30" s="32"/>
      <c r="E30" s="32"/>
      <c r="F30" s="32"/>
      <c r="G30" s="74"/>
      <c r="H30" s="88">
        <v>25</v>
      </c>
      <c r="I30" s="89" t="str">
        <f t="shared" si="1"/>
        <v/>
      </c>
      <c r="J30" s="88">
        <f t="shared" si="2"/>
        <v>-1</v>
      </c>
      <c r="K30" s="88">
        <f t="shared" si="3"/>
        <v>-10</v>
      </c>
      <c r="L30" s="88"/>
      <c r="M30" s="90">
        <f t="shared" si="4"/>
        <v>0</v>
      </c>
      <c r="N30" s="74"/>
      <c r="O30" s="74"/>
      <c r="P30" s="74"/>
      <c r="Q30" s="74"/>
      <c r="R30" s="74"/>
    </row>
    <row r="31" spans="1:19" s="79" customFormat="1" x14ac:dyDescent="0.25">
      <c r="A31" s="91">
        <f t="shared" si="0"/>
        <v>0</v>
      </c>
      <c r="B31" s="37" t="str">
        <f t="shared" si="5"/>
        <v/>
      </c>
      <c r="C31" s="38"/>
      <c r="D31" s="38"/>
      <c r="E31" s="38"/>
      <c r="F31" s="38"/>
      <c r="G31" s="74"/>
      <c r="H31" s="92">
        <v>26</v>
      </c>
      <c r="I31" s="93" t="str">
        <f t="shared" si="1"/>
        <v/>
      </c>
      <c r="J31" s="92">
        <f t="shared" si="2"/>
        <v>-1</v>
      </c>
      <c r="K31" s="92">
        <f t="shared" si="3"/>
        <v>-10</v>
      </c>
      <c r="L31" s="92"/>
      <c r="M31" s="94">
        <f t="shared" si="4"/>
        <v>0</v>
      </c>
      <c r="N31" s="74"/>
      <c r="O31" s="74"/>
      <c r="P31" s="74"/>
      <c r="Q31" s="74"/>
      <c r="R31" s="74"/>
    </row>
    <row r="32" spans="1:19" s="79" customFormat="1" x14ac:dyDescent="0.25">
      <c r="A32" s="87">
        <f t="shared" si="0"/>
        <v>0</v>
      </c>
      <c r="B32" s="31" t="str">
        <f t="shared" si="5"/>
        <v/>
      </c>
      <c r="C32" s="32"/>
      <c r="D32" s="32"/>
      <c r="E32" s="32"/>
      <c r="F32" s="32"/>
      <c r="G32" s="74"/>
      <c r="H32" s="88">
        <v>27</v>
      </c>
      <c r="I32" s="89" t="str">
        <f t="shared" si="1"/>
        <v/>
      </c>
      <c r="J32" s="88">
        <f t="shared" si="2"/>
        <v>-1</v>
      </c>
      <c r="K32" s="88">
        <f t="shared" si="3"/>
        <v>-10</v>
      </c>
      <c r="L32" s="88"/>
      <c r="M32" s="90">
        <f t="shared" si="4"/>
        <v>0</v>
      </c>
      <c r="N32" s="74"/>
      <c r="O32" s="74"/>
      <c r="P32" s="74"/>
      <c r="Q32" s="74"/>
      <c r="R32" s="102"/>
      <c r="S32" s="103"/>
    </row>
    <row r="33" spans="1:21" s="79" customFormat="1" x14ac:dyDescent="0.25">
      <c r="A33" s="91">
        <f t="shared" si="0"/>
        <v>0</v>
      </c>
      <c r="B33" s="37" t="str">
        <f t="shared" si="5"/>
        <v/>
      </c>
      <c r="C33" s="38"/>
      <c r="D33" s="38"/>
      <c r="E33" s="38"/>
      <c r="F33" s="38"/>
      <c r="G33" s="74"/>
      <c r="H33" s="92">
        <v>28</v>
      </c>
      <c r="I33" s="93" t="str">
        <f t="shared" si="1"/>
        <v/>
      </c>
      <c r="J33" s="92">
        <f t="shared" si="2"/>
        <v>-1</v>
      </c>
      <c r="K33" s="92">
        <f t="shared" si="3"/>
        <v>-10</v>
      </c>
      <c r="L33" s="92"/>
      <c r="M33" s="94">
        <f t="shared" si="4"/>
        <v>0</v>
      </c>
      <c r="N33" s="74"/>
      <c r="O33" s="74"/>
      <c r="P33" s="74"/>
      <c r="Q33" s="74"/>
      <c r="R33" s="74"/>
    </row>
    <row r="34" spans="1:21" s="79" customFormat="1" x14ac:dyDescent="0.25">
      <c r="A34" s="87">
        <f t="shared" si="0"/>
        <v>0</v>
      </c>
      <c r="B34" s="31" t="str">
        <f t="shared" si="5"/>
        <v/>
      </c>
      <c r="C34" s="32"/>
      <c r="D34" s="32"/>
      <c r="E34" s="32"/>
      <c r="F34" s="32"/>
      <c r="G34" s="74"/>
      <c r="H34" s="88">
        <v>29</v>
      </c>
      <c r="I34" s="89" t="str">
        <f t="shared" si="1"/>
        <v/>
      </c>
      <c r="J34" s="88">
        <f t="shared" si="2"/>
        <v>-1</v>
      </c>
      <c r="K34" s="88">
        <f t="shared" si="3"/>
        <v>-10</v>
      </c>
      <c r="L34" s="88"/>
      <c r="M34" s="90">
        <f t="shared" si="4"/>
        <v>0</v>
      </c>
      <c r="N34" s="74"/>
      <c r="O34" s="74"/>
      <c r="P34" s="74"/>
      <c r="Q34" s="74"/>
      <c r="R34" s="74"/>
    </row>
    <row r="35" spans="1:21" s="79" customFormat="1" x14ac:dyDescent="0.25">
      <c r="A35" s="91">
        <f t="shared" si="0"/>
        <v>0</v>
      </c>
      <c r="B35" s="37" t="str">
        <f t="shared" si="5"/>
        <v/>
      </c>
      <c r="C35" s="38"/>
      <c r="D35" s="38"/>
      <c r="E35" s="38"/>
      <c r="F35" s="38"/>
      <c r="G35" s="74"/>
      <c r="H35" s="92">
        <v>30</v>
      </c>
      <c r="I35" s="93" t="str">
        <f t="shared" si="1"/>
        <v/>
      </c>
      <c r="J35" s="92">
        <f t="shared" si="2"/>
        <v>-1</v>
      </c>
      <c r="K35" s="92">
        <f t="shared" si="3"/>
        <v>-10</v>
      </c>
      <c r="L35" s="92"/>
      <c r="M35" s="94">
        <f t="shared" si="4"/>
        <v>0</v>
      </c>
      <c r="N35" s="74"/>
      <c r="O35" s="74"/>
      <c r="P35" s="74"/>
      <c r="Q35" s="74"/>
      <c r="R35" s="74"/>
    </row>
    <row r="36" spans="1:21" s="79" customFormat="1" x14ac:dyDescent="0.25">
      <c r="A36" s="87">
        <f t="shared" si="0"/>
        <v>0</v>
      </c>
      <c r="B36" s="31" t="str">
        <f t="shared" si="5"/>
        <v/>
      </c>
      <c r="C36" s="32"/>
      <c r="D36" s="32"/>
      <c r="E36" s="32"/>
      <c r="F36" s="32"/>
      <c r="G36" s="74"/>
      <c r="H36" s="88">
        <v>31</v>
      </c>
      <c r="I36" s="89" t="str">
        <f t="shared" si="1"/>
        <v/>
      </c>
      <c r="J36" s="88">
        <f t="shared" si="2"/>
        <v>-1</v>
      </c>
      <c r="K36" s="88">
        <f t="shared" si="3"/>
        <v>-10</v>
      </c>
      <c r="L36" s="88"/>
      <c r="M36" s="90">
        <f t="shared" si="4"/>
        <v>0</v>
      </c>
      <c r="N36" s="74"/>
      <c r="O36" s="74"/>
      <c r="P36" s="74"/>
      <c r="Q36" s="74"/>
      <c r="R36" s="102"/>
      <c r="S36" s="103"/>
    </row>
    <row r="37" spans="1:21" s="79" customFormat="1" x14ac:dyDescent="0.25">
      <c r="A37" s="91">
        <f t="shared" si="0"/>
        <v>0</v>
      </c>
      <c r="B37" s="37" t="str">
        <f t="shared" si="5"/>
        <v/>
      </c>
      <c r="C37" s="38"/>
      <c r="D37" s="38"/>
      <c r="E37" s="38"/>
      <c r="F37" s="38"/>
      <c r="G37" s="74"/>
      <c r="H37" s="92">
        <v>32</v>
      </c>
      <c r="I37" s="93" t="str">
        <f t="shared" si="1"/>
        <v/>
      </c>
      <c r="J37" s="92">
        <f t="shared" si="2"/>
        <v>-1</v>
      </c>
      <c r="K37" s="92">
        <f t="shared" si="3"/>
        <v>-10</v>
      </c>
      <c r="L37" s="92"/>
      <c r="M37" s="94">
        <f t="shared" si="4"/>
        <v>0</v>
      </c>
      <c r="N37" s="74"/>
      <c r="O37" s="74"/>
      <c r="P37" s="74"/>
      <c r="Q37" s="74"/>
      <c r="R37" s="74"/>
    </row>
    <row r="38" spans="1:21" s="79" customFormat="1" x14ac:dyDescent="0.25">
      <c r="A38" s="91">
        <f t="shared" si="0"/>
        <v>0</v>
      </c>
      <c r="B38" s="31" t="str">
        <f t="shared" si="5"/>
        <v/>
      </c>
      <c r="C38" s="32"/>
      <c r="D38" s="32"/>
      <c r="E38" s="32"/>
      <c r="F38" s="32"/>
      <c r="G38" s="74"/>
      <c r="H38" s="88">
        <v>33</v>
      </c>
      <c r="I38" s="89" t="str">
        <f t="shared" si="1"/>
        <v/>
      </c>
      <c r="J38" s="88">
        <f t="shared" si="2"/>
        <v>-2</v>
      </c>
      <c r="K38" s="88">
        <f t="shared" si="3"/>
        <v>-20</v>
      </c>
      <c r="L38" s="88"/>
      <c r="M38" s="90">
        <f t="shared" si="4"/>
        <v>0</v>
      </c>
      <c r="N38" s="74"/>
      <c r="O38" s="74"/>
      <c r="P38" s="74"/>
      <c r="Q38" s="74"/>
      <c r="R38" s="74"/>
    </row>
    <row r="39" spans="1:21" s="79" customFormat="1" x14ac:dyDescent="0.25">
      <c r="A39" s="91">
        <f t="shared" si="0"/>
        <v>0</v>
      </c>
      <c r="B39" s="37" t="str">
        <f t="shared" si="5"/>
        <v/>
      </c>
      <c r="C39" s="38"/>
      <c r="D39" s="38"/>
      <c r="E39" s="38"/>
      <c r="F39" s="38"/>
      <c r="G39" s="74"/>
      <c r="H39" s="92">
        <v>34</v>
      </c>
      <c r="I39" s="93" t="str">
        <f t="shared" si="1"/>
        <v/>
      </c>
      <c r="J39" s="92">
        <f t="shared" si="2"/>
        <v>-2</v>
      </c>
      <c r="K39" s="92">
        <f t="shared" si="3"/>
        <v>-20</v>
      </c>
      <c r="L39" s="92"/>
      <c r="M39" s="94">
        <f t="shared" si="4"/>
        <v>0</v>
      </c>
      <c r="N39" s="74"/>
      <c r="O39" s="74"/>
      <c r="P39" s="74"/>
      <c r="Q39" s="74"/>
      <c r="R39" s="74"/>
    </row>
    <row r="40" spans="1:21" s="79" customFormat="1" x14ac:dyDescent="0.25">
      <c r="A40" s="91">
        <f t="shared" si="0"/>
        <v>0</v>
      </c>
      <c r="B40" s="31" t="str">
        <f t="shared" si="5"/>
        <v/>
      </c>
      <c r="C40" s="32"/>
      <c r="D40" s="32"/>
      <c r="E40" s="32"/>
      <c r="F40" s="32"/>
      <c r="G40" s="74"/>
      <c r="H40" s="88">
        <v>35</v>
      </c>
      <c r="I40" s="89" t="str">
        <f t="shared" si="1"/>
        <v/>
      </c>
      <c r="J40" s="88">
        <f t="shared" si="2"/>
        <v>-2</v>
      </c>
      <c r="K40" s="88">
        <f t="shared" si="3"/>
        <v>-20</v>
      </c>
      <c r="L40" s="88"/>
      <c r="M40" s="90">
        <f t="shared" si="4"/>
        <v>0</v>
      </c>
      <c r="N40" s="74"/>
      <c r="O40" s="74"/>
      <c r="P40" s="74"/>
      <c r="Q40" s="74"/>
      <c r="R40" s="74"/>
    </row>
    <row r="41" spans="1:21" s="79" customFormat="1" x14ac:dyDescent="0.25">
      <c r="A41" s="91">
        <f t="shared" si="0"/>
        <v>0</v>
      </c>
      <c r="B41" s="37" t="str">
        <f t="shared" si="5"/>
        <v/>
      </c>
      <c r="C41" s="38"/>
      <c r="D41" s="38"/>
      <c r="E41" s="38"/>
      <c r="F41" s="38"/>
      <c r="G41" s="74"/>
      <c r="H41" s="92">
        <v>36</v>
      </c>
      <c r="I41" s="93" t="str">
        <f t="shared" si="1"/>
        <v/>
      </c>
      <c r="J41" s="92">
        <f t="shared" si="2"/>
        <v>-2</v>
      </c>
      <c r="K41" s="92">
        <f t="shared" si="3"/>
        <v>-20</v>
      </c>
      <c r="L41" s="92"/>
      <c r="M41" s="94">
        <f t="shared" si="4"/>
        <v>0</v>
      </c>
      <c r="N41" s="74"/>
      <c r="O41" s="74"/>
      <c r="P41" s="74"/>
      <c r="Q41" s="74"/>
      <c r="R41" s="74"/>
      <c r="S41" s="104"/>
    </row>
    <row r="42" spans="1:21" s="79" customFormat="1" x14ac:dyDescent="0.25">
      <c r="A42" s="91">
        <f t="shared" si="0"/>
        <v>0</v>
      </c>
      <c r="B42" s="31" t="str">
        <f t="shared" si="5"/>
        <v/>
      </c>
      <c r="C42" s="32"/>
      <c r="D42" s="32"/>
      <c r="E42" s="32"/>
      <c r="F42" s="32"/>
      <c r="G42" s="74"/>
      <c r="H42" s="88">
        <v>37</v>
      </c>
      <c r="I42" s="89" t="str">
        <f t="shared" si="1"/>
        <v/>
      </c>
      <c r="J42" s="88">
        <f t="shared" si="2"/>
        <v>-2</v>
      </c>
      <c r="K42" s="88">
        <f t="shared" si="3"/>
        <v>-20</v>
      </c>
      <c r="L42" s="88"/>
      <c r="M42" s="90">
        <f t="shared" si="4"/>
        <v>0</v>
      </c>
      <c r="N42" s="74"/>
      <c r="O42" s="74"/>
      <c r="P42" s="74"/>
      <c r="Q42" s="74"/>
      <c r="R42" s="74"/>
    </row>
    <row r="43" spans="1:21" s="79" customFormat="1" x14ac:dyDescent="0.25">
      <c r="A43" s="91">
        <f t="shared" si="0"/>
        <v>0</v>
      </c>
      <c r="B43" s="37" t="str">
        <f t="shared" si="5"/>
        <v/>
      </c>
      <c r="C43" s="38"/>
      <c r="D43" s="38"/>
      <c r="E43" s="38"/>
      <c r="F43" s="38"/>
      <c r="G43" s="74"/>
      <c r="H43" s="92">
        <v>38</v>
      </c>
      <c r="I43" s="93" t="str">
        <f t="shared" si="1"/>
        <v/>
      </c>
      <c r="J43" s="92">
        <f t="shared" si="2"/>
        <v>-2</v>
      </c>
      <c r="K43" s="92">
        <f t="shared" si="3"/>
        <v>-20</v>
      </c>
      <c r="L43" s="92"/>
      <c r="M43" s="94">
        <f t="shared" si="4"/>
        <v>0</v>
      </c>
      <c r="N43" s="74"/>
      <c r="O43" s="74"/>
      <c r="P43" s="74"/>
      <c r="Q43" s="74"/>
      <c r="R43" s="74"/>
    </row>
    <row r="44" spans="1:21" s="79" customFormat="1" x14ac:dyDescent="0.25">
      <c r="A44" s="91">
        <f t="shared" si="0"/>
        <v>0</v>
      </c>
      <c r="B44" s="31" t="str">
        <f t="shared" si="5"/>
        <v/>
      </c>
      <c r="C44" s="32"/>
      <c r="D44" s="32"/>
      <c r="E44" s="32"/>
      <c r="F44" s="32"/>
      <c r="G44" s="74"/>
      <c r="H44" s="88">
        <v>39</v>
      </c>
      <c r="I44" s="89" t="str">
        <f t="shared" si="1"/>
        <v/>
      </c>
      <c r="J44" s="88">
        <f t="shared" si="2"/>
        <v>-2</v>
      </c>
      <c r="K44" s="88">
        <f t="shared" si="3"/>
        <v>-20</v>
      </c>
      <c r="L44" s="88"/>
      <c r="M44" s="90">
        <f t="shared" si="4"/>
        <v>0</v>
      </c>
      <c r="N44" s="74"/>
      <c r="O44" s="74"/>
      <c r="P44" s="74"/>
      <c r="Q44" s="74"/>
      <c r="R44" s="74"/>
    </row>
    <row r="45" spans="1:21" s="79" customFormat="1" x14ac:dyDescent="0.25">
      <c r="A45" s="91">
        <f t="shared" si="0"/>
        <v>0</v>
      </c>
      <c r="B45" s="37" t="str">
        <f t="shared" si="5"/>
        <v/>
      </c>
      <c r="C45" s="38"/>
      <c r="D45" s="38"/>
      <c r="E45" s="38"/>
      <c r="F45" s="38"/>
      <c r="G45" s="74"/>
      <c r="H45" s="92">
        <v>40</v>
      </c>
      <c r="I45" s="93" t="str">
        <f t="shared" si="1"/>
        <v/>
      </c>
      <c r="J45" s="92">
        <f t="shared" si="2"/>
        <v>-2</v>
      </c>
      <c r="K45" s="92">
        <f t="shared" si="3"/>
        <v>-20</v>
      </c>
      <c r="L45" s="92"/>
      <c r="M45" s="94">
        <f t="shared" si="4"/>
        <v>0</v>
      </c>
      <c r="N45" s="74"/>
      <c r="O45" s="74"/>
      <c r="P45" s="74"/>
      <c r="Q45" s="74"/>
      <c r="R45" s="74"/>
    </row>
    <row r="46" spans="1:21" s="79" customFormat="1" x14ac:dyDescent="0.25">
      <c r="A46" s="91">
        <f t="shared" si="0"/>
        <v>0</v>
      </c>
      <c r="B46" s="31" t="str">
        <f t="shared" si="5"/>
        <v/>
      </c>
      <c r="C46" s="32"/>
      <c r="D46" s="32"/>
      <c r="E46" s="32"/>
      <c r="F46" s="32"/>
      <c r="G46" s="74"/>
      <c r="H46" s="88">
        <v>41</v>
      </c>
      <c r="I46" s="89" t="str">
        <f t="shared" si="1"/>
        <v/>
      </c>
      <c r="J46" s="88">
        <f t="shared" si="2"/>
        <v>-2</v>
      </c>
      <c r="K46" s="88">
        <f t="shared" si="3"/>
        <v>-20</v>
      </c>
      <c r="L46" s="88"/>
      <c r="M46" s="90">
        <f t="shared" si="4"/>
        <v>0</v>
      </c>
      <c r="N46" s="74"/>
      <c r="O46" s="74"/>
      <c r="P46" s="74"/>
      <c r="Q46" s="74"/>
      <c r="R46" s="74">
        <f>LOG($H$2,2)</f>
        <v>4</v>
      </c>
      <c r="T46" s="79">
        <f>LOG(H38,2)</f>
        <v>5.0443941193584534</v>
      </c>
      <c r="U46" s="79">
        <f>R46-T46</f>
        <v>-1.0443941193584534</v>
      </c>
    </row>
    <row r="47" spans="1:21" s="79" customFormat="1" x14ac:dyDescent="0.25">
      <c r="A47" s="91">
        <f t="shared" si="0"/>
        <v>0</v>
      </c>
      <c r="B47" s="37" t="str">
        <f t="shared" si="5"/>
        <v/>
      </c>
      <c r="C47" s="38"/>
      <c r="D47" s="38"/>
      <c r="E47" s="38"/>
      <c r="F47" s="38"/>
      <c r="G47" s="74"/>
      <c r="H47" s="92">
        <v>42</v>
      </c>
      <c r="I47" s="93" t="str">
        <f t="shared" si="1"/>
        <v/>
      </c>
      <c r="J47" s="92">
        <f t="shared" si="2"/>
        <v>-2</v>
      </c>
      <c r="K47" s="92">
        <f t="shared" si="3"/>
        <v>-20</v>
      </c>
      <c r="L47" s="92"/>
      <c r="M47" s="94">
        <f t="shared" si="4"/>
        <v>0</v>
      </c>
      <c r="N47" s="74"/>
      <c r="O47" s="74"/>
      <c r="P47" s="74"/>
      <c r="Q47" s="74"/>
      <c r="R47" s="74"/>
    </row>
    <row r="48" spans="1:21" s="79" customFormat="1" x14ac:dyDescent="0.25">
      <c r="A48" s="91">
        <f t="shared" si="0"/>
        <v>0</v>
      </c>
      <c r="B48" s="31" t="str">
        <f t="shared" si="5"/>
        <v/>
      </c>
      <c r="C48" s="32"/>
      <c r="D48" s="32"/>
      <c r="E48" s="32"/>
      <c r="F48" s="32"/>
      <c r="G48" s="74"/>
      <c r="H48" s="88">
        <v>43</v>
      </c>
      <c r="I48" s="89" t="str">
        <f t="shared" si="1"/>
        <v/>
      </c>
      <c r="J48" s="88">
        <f t="shared" si="2"/>
        <v>-2</v>
      </c>
      <c r="K48" s="88">
        <f t="shared" si="3"/>
        <v>-20</v>
      </c>
      <c r="L48" s="88"/>
      <c r="M48" s="90">
        <f t="shared" si="4"/>
        <v>0</v>
      </c>
      <c r="N48" s="74"/>
      <c r="O48" s="74"/>
      <c r="P48" s="74"/>
      <c r="Q48" s="74"/>
      <c r="R48" s="74"/>
    </row>
    <row r="49" spans="1:38" s="74" customFormat="1" x14ac:dyDescent="0.25">
      <c r="A49" s="91">
        <f t="shared" si="0"/>
        <v>0</v>
      </c>
      <c r="B49" s="37" t="str">
        <f t="shared" si="5"/>
        <v/>
      </c>
      <c r="C49" s="38"/>
      <c r="D49" s="38"/>
      <c r="E49" s="38"/>
      <c r="F49" s="38"/>
      <c r="H49" s="92">
        <v>44</v>
      </c>
      <c r="I49" s="93" t="str">
        <f t="shared" si="1"/>
        <v/>
      </c>
      <c r="J49" s="92">
        <f t="shared" si="2"/>
        <v>-2</v>
      </c>
      <c r="K49" s="92">
        <f t="shared" si="3"/>
        <v>-20</v>
      </c>
      <c r="L49" s="92"/>
      <c r="M49" s="94">
        <f t="shared" si="4"/>
        <v>0</v>
      </c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</row>
    <row r="50" spans="1:38" s="74" customFormat="1" x14ac:dyDescent="0.25">
      <c r="A50" s="91">
        <f t="shared" si="0"/>
        <v>0</v>
      </c>
      <c r="B50" s="31" t="str">
        <f t="shared" si="5"/>
        <v/>
      </c>
      <c r="C50" s="32"/>
      <c r="D50" s="32"/>
      <c r="E50" s="32"/>
      <c r="F50" s="32"/>
      <c r="H50" s="88">
        <v>45</v>
      </c>
      <c r="I50" s="89" t="str">
        <f t="shared" si="1"/>
        <v/>
      </c>
      <c r="J50" s="88">
        <f t="shared" si="2"/>
        <v>-2</v>
      </c>
      <c r="K50" s="88">
        <f t="shared" si="3"/>
        <v>-20</v>
      </c>
      <c r="L50" s="88"/>
      <c r="M50" s="90">
        <f t="shared" si="4"/>
        <v>0</v>
      </c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</row>
    <row r="51" spans="1:38" s="74" customFormat="1" x14ac:dyDescent="0.25">
      <c r="A51" s="91">
        <f t="shared" si="0"/>
        <v>0</v>
      </c>
      <c r="B51" s="37" t="str">
        <f t="shared" si="5"/>
        <v/>
      </c>
      <c r="C51" s="38"/>
      <c r="D51" s="38"/>
      <c r="E51" s="38"/>
      <c r="F51" s="38"/>
      <c r="H51" s="92">
        <v>46</v>
      </c>
      <c r="I51" s="93" t="str">
        <f t="shared" si="1"/>
        <v/>
      </c>
      <c r="J51" s="92">
        <f t="shared" si="2"/>
        <v>-2</v>
      </c>
      <c r="K51" s="92">
        <f t="shared" si="3"/>
        <v>-20</v>
      </c>
      <c r="L51" s="92"/>
      <c r="M51" s="94">
        <f t="shared" si="4"/>
        <v>0</v>
      </c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</row>
    <row r="52" spans="1:38" s="74" customFormat="1" x14ac:dyDescent="0.25">
      <c r="A52" s="91">
        <f t="shared" si="0"/>
        <v>0</v>
      </c>
      <c r="B52" s="31" t="str">
        <f t="shared" si="5"/>
        <v/>
      </c>
      <c r="C52" s="32"/>
      <c r="D52" s="32"/>
      <c r="E52" s="32"/>
      <c r="F52" s="32"/>
      <c r="H52" s="88">
        <v>47</v>
      </c>
      <c r="I52" s="89" t="str">
        <f t="shared" si="1"/>
        <v/>
      </c>
      <c r="J52" s="88">
        <f t="shared" si="2"/>
        <v>-2</v>
      </c>
      <c r="K52" s="88">
        <f t="shared" si="3"/>
        <v>-20</v>
      </c>
      <c r="L52" s="88"/>
      <c r="M52" s="90">
        <f t="shared" si="4"/>
        <v>0</v>
      </c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</row>
    <row r="53" spans="1:38" s="74" customFormat="1" x14ac:dyDescent="0.25">
      <c r="A53" s="91">
        <f t="shared" si="0"/>
        <v>0</v>
      </c>
      <c r="B53" s="37" t="str">
        <f t="shared" si="5"/>
        <v/>
      </c>
      <c r="C53" s="38"/>
      <c r="D53" s="38"/>
      <c r="E53" s="38"/>
      <c r="F53" s="38"/>
      <c r="H53" s="92">
        <v>48</v>
      </c>
      <c r="I53" s="93" t="str">
        <f t="shared" si="1"/>
        <v/>
      </c>
      <c r="J53" s="92">
        <f t="shared" si="2"/>
        <v>-2</v>
      </c>
      <c r="K53" s="92">
        <f t="shared" si="3"/>
        <v>-20</v>
      </c>
      <c r="L53" s="92"/>
      <c r="M53" s="94">
        <f t="shared" si="4"/>
        <v>0</v>
      </c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</row>
    <row r="54" spans="1:38" s="74" customFormat="1" x14ac:dyDescent="0.25">
      <c r="A54" s="91">
        <f t="shared" si="0"/>
        <v>0</v>
      </c>
      <c r="B54" s="31" t="str">
        <f t="shared" si="5"/>
        <v/>
      </c>
      <c r="C54" s="32"/>
      <c r="D54" s="32"/>
      <c r="E54" s="32"/>
      <c r="F54" s="32"/>
      <c r="H54" s="88">
        <v>49</v>
      </c>
      <c r="I54" s="89" t="str">
        <f t="shared" si="1"/>
        <v/>
      </c>
      <c r="J54" s="88">
        <f t="shared" si="2"/>
        <v>-2</v>
      </c>
      <c r="K54" s="88">
        <f t="shared" si="3"/>
        <v>-20</v>
      </c>
      <c r="L54" s="88"/>
      <c r="M54" s="90">
        <f t="shared" si="4"/>
        <v>0</v>
      </c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</row>
    <row r="55" spans="1:38" s="74" customFormat="1" x14ac:dyDescent="0.25">
      <c r="A55" s="91">
        <f t="shared" si="0"/>
        <v>0</v>
      </c>
      <c r="B55" s="37" t="str">
        <f t="shared" si="5"/>
        <v/>
      </c>
      <c r="C55" s="38"/>
      <c r="D55" s="38"/>
      <c r="E55" s="38"/>
      <c r="F55" s="38"/>
      <c r="H55" s="92">
        <v>50</v>
      </c>
      <c r="I55" s="93" t="str">
        <f t="shared" si="1"/>
        <v/>
      </c>
      <c r="J55" s="92">
        <f t="shared" si="2"/>
        <v>-2</v>
      </c>
      <c r="K55" s="92">
        <f t="shared" si="3"/>
        <v>-20</v>
      </c>
      <c r="L55" s="92"/>
      <c r="M55" s="94">
        <f t="shared" si="4"/>
        <v>0</v>
      </c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</row>
    <row r="56" spans="1:38" s="74" customFormat="1" x14ac:dyDescent="0.25">
      <c r="A56" s="91">
        <f t="shared" si="0"/>
        <v>0</v>
      </c>
      <c r="B56" s="31" t="str">
        <f t="shared" si="5"/>
        <v/>
      </c>
      <c r="C56" s="32"/>
      <c r="D56" s="32"/>
      <c r="E56" s="32"/>
      <c r="F56" s="32"/>
      <c r="H56" s="88">
        <v>51</v>
      </c>
      <c r="I56" s="89" t="str">
        <f t="shared" si="1"/>
        <v/>
      </c>
      <c r="J56" s="88">
        <f t="shared" si="2"/>
        <v>-2</v>
      </c>
      <c r="K56" s="88">
        <f t="shared" si="3"/>
        <v>-20</v>
      </c>
      <c r="L56" s="88"/>
      <c r="M56" s="90">
        <f t="shared" si="4"/>
        <v>0</v>
      </c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</row>
    <row r="57" spans="1:38" s="74" customFormat="1" x14ac:dyDescent="0.25">
      <c r="A57" s="91">
        <f t="shared" si="0"/>
        <v>0</v>
      </c>
      <c r="B57" s="37" t="str">
        <f t="shared" si="5"/>
        <v/>
      </c>
      <c r="C57" s="38"/>
      <c r="D57" s="38"/>
      <c r="E57" s="38"/>
      <c r="F57" s="38"/>
      <c r="H57" s="92">
        <v>52</v>
      </c>
      <c r="I57" s="93" t="str">
        <f t="shared" si="1"/>
        <v/>
      </c>
      <c r="J57" s="92">
        <f t="shared" si="2"/>
        <v>-2</v>
      </c>
      <c r="K57" s="92">
        <f t="shared" si="3"/>
        <v>-20</v>
      </c>
      <c r="L57" s="92"/>
      <c r="M57" s="94">
        <f t="shared" si="4"/>
        <v>0</v>
      </c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</row>
    <row r="58" spans="1:38" s="74" customFormat="1" x14ac:dyDescent="0.25">
      <c r="A58" s="91">
        <f t="shared" si="0"/>
        <v>0</v>
      </c>
      <c r="B58" s="31" t="str">
        <f t="shared" si="5"/>
        <v/>
      </c>
      <c r="C58" s="32"/>
      <c r="D58" s="32"/>
      <c r="E58" s="32"/>
      <c r="F58" s="32"/>
      <c r="H58" s="88">
        <v>53</v>
      </c>
      <c r="I58" s="89" t="str">
        <f t="shared" si="1"/>
        <v/>
      </c>
      <c r="J58" s="88">
        <f t="shared" si="2"/>
        <v>-2</v>
      </c>
      <c r="K58" s="88">
        <f t="shared" si="3"/>
        <v>-20</v>
      </c>
      <c r="L58" s="88"/>
      <c r="M58" s="90">
        <f t="shared" si="4"/>
        <v>0</v>
      </c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</row>
    <row r="59" spans="1:38" s="74" customFormat="1" x14ac:dyDescent="0.25">
      <c r="A59" s="91">
        <f t="shared" si="0"/>
        <v>0</v>
      </c>
      <c r="B59" s="37" t="str">
        <f t="shared" si="5"/>
        <v/>
      </c>
      <c r="C59" s="38"/>
      <c r="D59" s="38"/>
      <c r="E59" s="38"/>
      <c r="F59" s="38"/>
      <c r="H59" s="92">
        <v>54</v>
      </c>
      <c r="I59" s="93" t="str">
        <f t="shared" si="1"/>
        <v/>
      </c>
      <c r="J59" s="92">
        <f t="shared" si="2"/>
        <v>-2</v>
      </c>
      <c r="K59" s="92">
        <f t="shared" si="3"/>
        <v>-20</v>
      </c>
      <c r="L59" s="92"/>
      <c r="M59" s="94">
        <f t="shared" si="4"/>
        <v>0</v>
      </c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</row>
    <row r="60" spans="1:38" s="74" customFormat="1" x14ac:dyDescent="0.25">
      <c r="A60" s="91">
        <f t="shared" si="0"/>
        <v>0</v>
      </c>
      <c r="B60" s="31" t="str">
        <f t="shared" si="5"/>
        <v/>
      </c>
      <c r="C60" s="32"/>
      <c r="D60" s="32"/>
      <c r="E60" s="32"/>
      <c r="F60" s="32"/>
      <c r="H60" s="88">
        <v>55</v>
      </c>
      <c r="I60" s="89" t="str">
        <f t="shared" si="1"/>
        <v/>
      </c>
      <c r="J60" s="88">
        <f t="shared" si="2"/>
        <v>-2</v>
      </c>
      <c r="K60" s="88">
        <f t="shared" si="3"/>
        <v>-20</v>
      </c>
      <c r="L60" s="88"/>
      <c r="M60" s="90">
        <f t="shared" si="4"/>
        <v>0</v>
      </c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</row>
    <row r="61" spans="1:38" s="74" customFormat="1" x14ac:dyDescent="0.25">
      <c r="A61" s="91"/>
      <c r="B61" s="37" t="str">
        <f t="shared" si="5"/>
        <v/>
      </c>
      <c r="C61" s="38"/>
      <c r="D61" s="38"/>
      <c r="E61" s="38"/>
      <c r="F61" s="38"/>
      <c r="H61" s="92">
        <v>56</v>
      </c>
      <c r="I61" s="93" t="str">
        <f t="shared" si="1"/>
        <v/>
      </c>
      <c r="J61" s="92">
        <f t="shared" si="2"/>
        <v>-2</v>
      </c>
      <c r="K61" s="92">
        <f t="shared" si="3"/>
        <v>-20</v>
      </c>
      <c r="L61" s="92"/>
      <c r="M61" s="94">
        <f t="shared" si="4"/>
        <v>0</v>
      </c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</row>
    <row r="62" spans="1:38" s="74" customFormat="1" x14ac:dyDescent="0.25">
      <c r="A62" s="87"/>
      <c r="B62" s="31" t="str">
        <f t="shared" si="5"/>
        <v/>
      </c>
      <c r="C62" s="32"/>
      <c r="D62" s="32"/>
      <c r="E62" s="32"/>
      <c r="F62" s="32"/>
      <c r="H62" s="88">
        <v>57</v>
      </c>
      <c r="I62" s="89" t="str">
        <f t="shared" si="1"/>
        <v/>
      </c>
      <c r="J62" s="88">
        <f t="shared" si="2"/>
        <v>-2</v>
      </c>
      <c r="K62" s="88">
        <f t="shared" si="3"/>
        <v>-20</v>
      </c>
      <c r="L62" s="88"/>
      <c r="M62" s="90">
        <f t="shared" si="4"/>
        <v>0</v>
      </c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</row>
    <row r="63" spans="1:38" s="74" customFormat="1" x14ac:dyDescent="0.25">
      <c r="A63" s="91"/>
      <c r="B63" s="37" t="str">
        <f t="shared" si="5"/>
        <v/>
      </c>
      <c r="C63" s="38"/>
      <c r="D63" s="38"/>
      <c r="E63" s="38"/>
      <c r="F63" s="38"/>
      <c r="H63" s="92">
        <v>58</v>
      </c>
      <c r="I63" s="93" t="str">
        <f t="shared" si="1"/>
        <v/>
      </c>
      <c r="J63" s="92">
        <f t="shared" si="2"/>
        <v>-2</v>
      </c>
      <c r="K63" s="92">
        <f t="shared" si="3"/>
        <v>-20</v>
      </c>
      <c r="L63" s="92"/>
      <c r="M63" s="94">
        <f t="shared" si="4"/>
        <v>0</v>
      </c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</row>
    <row r="64" spans="1:38" s="74" customFormat="1" x14ac:dyDescent="0.25">
      <c r="A64" s="87"/>
      <c r="B64" s="31" t="str">
        <f t="shared" si="5"/>
        <v/>
      </c>
      <c r="C64" s="32"/>
      <c r="D64" s="32"/>
      <c r="E64" s="32"/>
      <c r="F64" s="32"/>
      <c r="H64" s="88">
        <v>59</v>
      </c>
      <c r="I64" s="89" t="str">
        <f t="shared" si="1"/>
        <v/>
      </c>
      <c r="J64" s="88">
        <f t="shared" si="2"/>
        <v>-2</v>
      </c>
      <c r="K64" s="88">
        <f t="shared" si="3"/>
        <v>-20</v>
      </c>
      <c r="L64" s="88"/>
      <c r="M64" s="90">
        <f t="shared" si="4"/>
        <v>0</v>
      </c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</row>
    <row r="65" spans="1:38" s="74" customFormat="1" x14ac:dyDescent="0.25">
      <c r="A65" s="91"/>
      <c r="B65" s="37" t="str">
        <f t="shared" si="5"/>
        <v/>
      </c>
      <c r="C65" s="38"/>
      <c r="D65" s="38"/>
      <c r="E65" s="38"/>
      <c r="F65" s="38"/>
      <c r="H65" s="92">
        <v>60</v>
      </c>
      <c r="I65" s="93" t="str">
        <f t="shared" si="1"/>
        <v/>
      </c>
      <c r="J65" s="92">
        <f t="shared" si="2"/>
        <v>-2</v>
      </c>
      <c r="K65" s="92">
        <f t="shared" si="3"/>
        <v>-20</v>
      </c>
      <c r="L65" s="92"/>
      <c r="M65" s="94">
        <f t="shared" si="4"/>
        <v>0</v>
      </c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</row>
    <row r="66" spans="1:38" s="74" customFormat="1" x14ac:dyDescent="0.25">
      <c r="A66" s="87"/>
      <c r="B66" s="31"/>
      <c r="C66" s="105"/>
      <c r="D66" s="105"/>
      <c r="E66" s="105"/>
      <c r="F66" s="105"/>
      <c r="H66" s="88">
        <v>61</v>
      </c>
      <c r="I66" s="89" t="str">
        <f t="shared" si="1"/>
        <v/>
      </c>
      <c r="J66" s="88">
        <f t="shared" si="2"/>
        <v>-2</v>
      </c>
      <c r="K66" s="88">
        <f t="shared" si="3"/>
        <v>-20</v>
      </c>
      <c r="L66" s="88"/>
      <c r="M66" s="90">
        <f t="shared" si="4"/>
        <v>0</v>
      </c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</row>
    <row r="67" spans="1:38" s="74" customFormat="1" x14ac:dyDescent="0.25">
      <c r="A67" s="91"/>
      <c r="B67" s="37"/>
      <c r="C67" s="105"/>
      <c r="D67" s="105"/>
      <c r="E67" s="105"/>
      <c r="F67" s="105"/>
      <c r="H67" s="88">
        <v>62</v>
      </c>
      <c r="I67" s="89" t="str">
        <f t="shared" si="1"/>
        <v/>
      </c>
      <c r="J67" s="88">
        <f t="shared" si="2"/>
        <v>-2</v>
      </c>
      <c r="K67" s="88">
        <f t="shared" si="3"/>
        <v>-20</v>
      </c>
      <c r="L67" s="88"/>
      <c r="M67" s="90">
        <f t="shared" si="4"/>
        <v>0</v>
      </c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</row>
    <row r="68" spans="1:38" s="74" customFormat="1" x14ac:dyDescent="0.25">
      <c r="A68" s="87"/>
      <c r="B68" s="31"/>
      <c r="C68" s="105"/>
      <c r="D68" s="105"/>
      <c r="E68" s="105"/>
      <c r="F68" s="105"/>
      <c r="H68" s="88">
        <v>63</v>
      </c>
      <c r="I68" s="89" t="str">
        <f t="shared" si="1"/>
        <v/>
      </c>
      <c r="J68" s="88">
        <f t="shared" si="2"/>
        <v>-2</v>
      </c>
      <c r="K68" s="88">
        <f t="shared" si="3"/>
        <v>-20</v>
      </c>
      <c r="L68" s="88"/>
      <c r="M68" s="90">
        <f t="shared" si="4"/>
        <v>0</v>
      </c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</row>
    <row r="69" spans="1:38" s="74" customFormat="1" x14ac:dyDescent="0.25">
      <c r="A69" s="91"/>
      <c r="B69" s="37"/>
      <c r="C69" s="105"/>
      <c r="D69" s="105"/>
      <c r="E69" s="105"/>
      <c r="F69" s="105"/>
      <c r="H69" s="88">
        <v>64</v>
      </c>
      <c r="I69" s="89" t="str">
        <f t="shared" si="1"/>
        <v/>
      </c>
      <c r="J69" s="88">
        <f t="shared" si="2"/>
        <v>-2</v>
      </c>
      <c r="K69" s="88">
        <f t="shared" si="3"/>
        <v>-20</v>
      </c>
      <c r="L69" s="88"/>
      <c r="M69" s="90">
        <f t="shared" si="4"/>
        <v>0</v>
      </c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</row>
    <row r="70" spans="1:38" s="74" customFormat="1" x14ac:dyDescent="0.25">
      <c r="A70" s="106"/>
      <c r="B70" s="105"/>
      <c r="C70" s="105"/>
      <c r="D70" s="105"/>
      <c r="E70" s="105"/>
      <c r="F70" s="105"/>
      <c r="H70" s="88">
        <v>65</v>
      </c>
      <c r="I70" s="89" t="str">
        <f t="shared" ref="I70:I133" si="6">IF(H70&lt;$H$2+1,($I$2-($I$2-1)*(LOG(H70)/LOG($H$2))),"")</f>
        <v/>
      </c>
      <c r="J70" s="88">
        <f t="shared" ref="J70:J133" si="7">INT(LOG($H$2,2))-ROUNDUP(LOG(H70,2),0)+IF(OR($H$2=1,$H$2=2,$H$2=4,$H$2=8,$H$2=16,$H$2=32,$H$2=64,$H$2=128,$H$2=256),0,1)</f>
        <v>-3</v>
      </c>
      <c r="K70" s="88">
        <f t="shared" ref="K70:K133" si="8">J70*$J$2</f>
        <v>-30</v>
      </c>
      <c r="L70" s="88"/>
      <c r="M70" s="90">
        <f t="shared" ref="M70:M133" si="9">IF(I70&lt;&gt;"",K70+I70+L70,0)</f>
        <v>0</v>
      </c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</row>
    <row r="71" spans="1:38" s="74" customFormat="1" x14ac:dyDescent="0.25">
      <c r="A71" s="106"/>
      <c r="B71" s="105"/>
      <c r="C71" s="105"/>
      <c r="D71" s="105"/>
      <c r="E71" s="105"/>
      <c r="F71" s="105"/>
      <c r="H71" s="88">
        <v>66</v>
      </c>
      <c r="I71" s="89" t="str">
        <f t="shared" si="6"/>
        <v/>
      </c>
      <c r="J71" s="88">
        <f t="shared" si="7"/>
        <v>-3</v>
      </c>
      <c r="K71" s="88">
        <f t="shared" si="8"/>
        <v>-30</v>
      </c>
      <c r="L71" s="88"/>
      <c r="M71" s="90">
        <f t="shared" si="9"/>
        <v>0</v>
      </c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</row>
    <row r="72" spans="1:38" s="74" customFormat="1" x14ac:dyDescent="0.25">
      <c r="A72" s="106"/>
      <c r="B72" s="105"/>
      <c r="C72" s="105"/>
      <c r="D72" s="105"/>
      <c r="E72" s="105"/>
      <c r="F72" s="105"/>
      <c r="H72" s="88">
        <v>67</v>
      </c>
      <c r="I72" s="89" t="str">
        <f t="shared" si="6"/>
        <v/>
      </c>
      <c r="J72" s="88">
        <f t="shared" si="7"/>
        <v>-3</v>
      </c>
      <c r="K72" s="88">
        <f t="shared" si="8"/>
        <v>-30</v>
      </c>
      <c r="L72" s="88"/>
      <c r="M72" s="90">
        <f t="shared" si="9"/>
        <v>0</v>
      </c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</row>
    <row r="73" spans="1:38" s="74" customFormat="1" x14ac:dyDescent="0.25">
      <c r="A73" s="106"/>
      <c r="B73" s="105"/>
      <c r="C73" s="105"/>
      <c r="D73" s="105"/>
      <c r="E73" s="105"/>
      <c r="F73" s="105"/>
      <c r="H73" s="88">
        <v>68</v>
      </c>
      <c r="I73" s="89" t="str">
        <f t="shared" si="6"/>
        <v/>
      </c>
      <c r="J73" s="88">
        <f t="shared" si="7"/>
        <v>-3</v>
      </c>
      <c r="K73" s="88">
        <f t="shared" si="8"/>
        <v>-30</v>
      </c>
      <c r="L73" s="88"/>
      <c r="M73" s="90">
        <f t="shared" si="9"/>
        <v>0</v>
      </c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</row>
    <row r="74" spans="1:38" s="74" customFormat="1" x14ac:dyDescent="0.25">
      <c r="A74" s="106"/>
      <c r="B74" s="105"/>
      <c r="C74" s="105"/>
      <c r="D74" s="105"/>
      <c r="E74" s="105"/>
      <c r="F74" s="105"/>
      <c r="H74" s="88">
        <v>69</v>
      </c>
      <c r="I74" s="89" t="str">
        <f t="shared" si="6"/>
        <v/>
      </c>
      <c r="J74" s="88">
        <f t="shared" si="7"/>
        <v>-3</v>
      </c>
      <c r="K74" s="88">
        <f t="shared" si="8"/>
        <v>-30</v>
      </c>
      <c r="L74" s="88"/>
      <c r="M74" s="90">
        <f t="shared" si="9"/>
        <v>0</v>
      </c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</row>
    <row r="75" spans="1:38" s="74" customFormat="1" x14ac:dyDescent="0.25">
      <c r="A75" s="106"/>
      <c r="B75" s="105"/>
      <c r="C75" s="105"/>
      <c r="D75" s="105"/>
      <c r="E75" s="105"/>
      <c r="F75" s="105"/>
      <c r="H75" s="88">
        <v>70</v>
      </c>
      <c r="I75" s="89" t="str">
        <f t="shared" si="6"/>
        <v/>
      </c>
      <c r="J75" s="88">
        <f t="shared" si="7"/>
        <v>-3</v>
      </c>
      <c r="K75" s="88">
        <f t="shared" si="8"/>
        <v>-30</v>
      </c>
      <c r="L75" s="88"/>
      <c r="M75" s="90">
        <f t="shared" si="9"/>
        <v>0</v>
      </c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</row>
    <row r="76" spans="1:38" s="74" customFormat="1" x14ac:dyDescent="0.25">
      <c r="A76" s="106"/>
      <c r="B76" s="105"/>
      <c r="C76" s="105"/>
      <c r="D76" s="105"/>
      <c r="E76" s="105"/>
      <c r="F76" s="105"/>
      <c r="H76" s="88">
        <v>71</v>
      </c>
      <c r="I76" s="89" t="str">
        <f t="shared" si="6"/>
        <v/>
      </c>
      <c r="J76" s="88">
        <f t="shared" si="7"/>
        <v>-3</v>
      </c>
      <c r="K76" s="88">
        <f t="shared" si="8"/>
        <v>-30</v>
      </c>
      <c r="L76" s="88"/>
      <c r="M76" s="90">
        <f t="shared" si="9"/>
        <v>0</v>
      </c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</row>
    <row r="77" spans="1:38" s="74" customFormat="1" x14ac:dyDescent="0.25">
      <c r="A77" s="106"/>
      <c r="B77" s="105"/>
      <c r="C77" s="105"/>
      <c r="D77" s="105"/>
      <c r="E77" s="105"/>
      <c r="F77" s="105"/>
      <c r="H77" s="88">
        <v>72</v>
      </c>
      <c r="I77" s="89" t="str">
        <f t="shared" si="6"/>
        <v/>
      </c>
      <c r="J77" s="88">
        <f t="shared" si="7"/>
        <v>-3</v>
      </c>
      <c r="K77" s="88">
        <f t="shared" si="8"/>
        <v>-30</v>
      </c>
      <c r="L77" s="88"/>
      <c r="M77" s="90">
        <f t="shared" si="9"/>
        <v>0</v>
      </c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</row>
    <row r="78" spans="1:38" s="74" customFormat="1" x14ac:dyDescent="0.25">
      <c r="A78" s="106"/>
      <c r="B78" s="105"/>
      <c r="C78" s="105"/>
      <c r="D78" s="105"/>
      <c r="E78" s="105"/>
      <c r="F78" s="105"/>
      <c r="H78" s="88">
        <v>73</v>
      </c>
      <c r="I78" s="89" t="str">
        <f t="shared" si="6"/>
        <v/>
      </c>
      <c r="J78" s="88">
        <f t="shared" si="7"/>
        <v>-3</v>
      </c>
      <c r="K78" s="88">
        <f t="shared" si="8"/>
        <v>-30</v>
      </c>
      <c r="L78" s="88"/>
      <c r="M78" s="90">
        <f t="shared" si="9"/>
        <v>0</v>
      </c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</row>
    <row r="79" spans="1:38" s="74" customFormat="1" x14ac:dyDescent="0.25">
      <c r="A79" s="106"/>
      <c r="B79" s="105"/>
      <c r="C79" s="105"/>
      <c r="D79" s="105"/>
      <c r="E79" s="105"/>
      <c r="F79" s="105"/>
      <c r="H79" s="88">
        <v>74</v>
      </c>
      <c r="I79" s="89" t="str">
        <f t="shared" si="6"/>
        <v/>
      </c>
      <c r="J79" s="88">
        <f t="shared" si="7"/>
        <v>-3</v>
      </c>
      <c r="K79" s="88">
        <f t="shared" si="8"/>
        <v>-30</v>
      </c>
      <c r="L79" s="88"/>
      <c r="M79" s="90">
        <f t="shared" si="9"/>
        <v>0</v>
      </c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</row>
    <row r="80" spans="1:38" s="74" customFormat="1" x14ac:dyDescent="0.25">
      <c r="A80" s="106"/>
      <c r="B80" s="105"/>
      <c r="C80" s="105"/>
      <c r="D80" s="105"/>
      <c r="E80" s="105"/>
      <c r="F80" s="105"/>
      <c r="H80" s="88">
        <v>75</v>
      </c>
      <c r="I80" s="89" t="str">
        <f t="shared" si="6"/>
        <v/>
      </c>
      <c r="J80" s="88">
        <f t="shared" si="7"/>
        <v>-3</v>
      </c>
      <c r="K80" s="88">
        <f t="shared" si="8"/>
        <v>-30</v>
      </c>
      <c r="L80" s="88"/>
      <c r="M80" s="90">
        <f t="shared" si="9"/>
        <v>0</v>
      </c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</row>
    <row r="81" spans="1:38" s="74" customFormat="1" x14ac:dyDescent="0.25">
      <c r="A81" s="106"/>
      <c r="B81" s="105"/>
      <c r="C81" s="105"/>
      <c r="D81" s="105"/>
      <c r="E81" s="105"/>
      <c r="F81" s="105"/>
      <c r="H81" s="88">
        <v>76</v>
      </c>
      <c r="I81" s="89" t="str">
        <f t="shared" si="6"/>
        <v/>
      </c>
      <c r="J81" s="88">
        <f t="shared" si="7"/>
        <v>-3</v>
      </c>
      <c r="K81" s="88">
        <f t="shared" si="8"/>
        <v>-30</v>
      </c>
      <c r="L81" s="88"/>
      <c r="M81" s="90">
        <f t="shared" si="9"/>
        <v>0</v>
      </c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</row>
    <row r="82" spans="1:38" s="74" customFormat="1" x14ac:dyDescent="0.25">
      <c r="A82" s="106"/>
      <c r="B82" s="105"/>
      <c r="C82" s="105"/>
      <c r="D82" s="105"/>
      <c r="E82" s="105"/>
      <c r="F82" s="105"/>
      <c r="H82" s="88">
        <v>77</v>
      </c>
      <c r="I82" s="89" t="str">
        <f t="shared" si="6"/>
        <v/>
      </c>
      <c r="J82" s="88">
        <f t="shared" si="7"/>
        <v>-3</v>
      </c>
      <c r="K82" s="88">
        <f t="shared" si="8"/>
        <v>-30</v>
      </c>
      <c r="L82" s="88"/>
      <c r="M82" s="90">
        <f t="shared" si="9"/>
        <v>0</v>
      </c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</row>
    <row r="83" spans="1:38" s="74" customFormat="1" x14ac:dyDescent="0.25">
      <c r="A83" s="106"/>
      <c r="B83" s="105"/>
      <c r="C83" s="105"/>
      <c r="D83" s="105"/>
      <c r="E83" s="105"/>
      <c r="F83" s="105"/>
      <c r="H83" s="88">
        <v>78</v>
      </c>
      <c r="I83" s="89" t="str">
        <f t="shared" si="6"/>
        <v/>
      </c>
      <c r="J83" s="88">
        <f t="shared" si="7"/>
        <v>-3</v>
      </c>
      <c r="K83" s="88">
        <f t="shared" si="8"/>
        <v>-30</v>
      </c>
      <c r="L83" s="88"/>
      <c r="M83" s="90">
        <f t="shared" si="9"/>
        <v>0</v>
      </c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</row>
    <row r="84" spans="1:38" s="74" customFormat="1" x14ac:dyDescent="0.25">
      <c r="A84" s="106"/>
      <c r="B84" s="105"/>
      <c r="C84" s="105"/>
      <c r="D84" s="105"/>
      <c r="E84" s="105"/>
      <c r="F84" s="105"/>
      <c r="H84" s="88">
        <v>79</v>
      </c>
      <c r="I84" s="89" t="str">
        <f t="shared" si="6"/>
        <v/>
      </c>
      <c r="J84" s="88">
        <f t="shared" si="7"/>
        <v>-3</v>
      </c>
      <c r="K84" s="88">
        <f t="shared" si="8"/>
        <v>-30</v>
      </c>
      <c r="L84" s="88"/>
      <c r="M84" s="90">
        <f t="shared" si="9"/>
        <v>0</v>
      </c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</row>
    <row r="85" spans="1:38" s="74" customFormat="1" x14ac:dyDescent="0.25">
      <c r="A85" s="106"/>
      <c r="B85" s="105"/>
      <c r="C85" s="105"/>
      <c r="D85" s="105"/>
      <c r="E85" s="105"/>
      <c r="F85" s="105"/>
      <c r="H85" s="88">
        <v>80</v>
      </c>
      <c r="I85" s="89" t="str">
        <f t="shared" si="6"/>
        <v/>
      </c>
      <c r="J85" s="88">
        <f t="shared" si="7"/>
        <v>-3</v>
      </c>
      <c r="K85" s="88">
        <f t="shared" si="8"/>
        <v>-30</v>
      </c>
      <c r="L85" s="88"/>
      <c r="M85" s="90">
        <f t="shared" si="9"/>
        <v>0</v>
      </c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</row>
    <row r="86" spans="1:38" s="74" customFormat="1" x14ac:dyDescent="0.25">
      <c r="A86" s="106"/>
      <c r="B86" s="105"/>
      <c r="C86" s="105"/>
      <c r="D86" s="105"/>
      <c r="E86" s="105"/>
      <c r="F86" s="105"/>
      <c r="H86" s="88">
        <v>81</v>
      </c>
      <c r="I86" s="89" t="str">
        <f t="shared" si="6"/>
        <v/>
      </c>
      <c r="J86" s="88">
        <f t="shared" si="7"/>
        <v>-3</v>
      </c>
      <c r="K86" s="88">
        <f t="shared" si="8"/>
        <v>-30</v>
      </c>
      <c r="L86" s="88"/>
      <c r="M86" s="90">
        <f t="shared" si="9"/>
        <v>0</v>
      </c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</row>
    <row r="87" spans="1:38" s="74" customFormat="1" x14ac:dyDescent="0.25">
      <c r="A87" s="106"/>
      <c r="B87" s="105"/>
      <c r="C87" s="105"/>
      <c r="D87" s="105"/>
      <c r="E87" s="105"/>
      <c r="F87" s="105"/>
      <c r="H87" s="88">
        <v>82</v>
      </c>
      <c r="I87" s="89" t="str">
        <f t="shared" si="6"/>
        <v/>
      </c>
      <c r="J87" s="88">
        <f t="shared" si="7"/>
        <v>-3</v>
      </c>
      <c r="K87" s="88">
        <f t="shared" si="8"/>
        <v>-30</v>
      </c>
      <c r="L87" s="88"/>
      <c r="M87" s="90">
        <f t="shared" si="9"/>
        <v>0</v>
      </c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</row>
    <row r="88" spans="1:38" s="74" customFormat="1" x14ac:dyDescent="0.25">
      <c r="A88" s="106"/>
      <c r="B88" s="105"/>
      <c r="C88" s="105"/>
      <c r="D88" s="105"/>
      <c r="E88" s="105"/>
      <c r="F88" s="105"/>
      <c r="H88" s="88">
        <v>83</v>
      </c>
      <c r="I88" s="89" t="str">
        <f t="shared" si="6"/>
        <v/>
      </c>
      <c r="J88" s="88">
        <f t="shared" si="7"/>
        <v>-3</v>
      </c>
      <c r="K88" s="88">
        <f t="shared" si="8"/>
        <v>-30</v>
      </c>
      <c r="L88" s="88"/>
      <c r="M88" s="90">
        <f t="shared" si="9"/>
        <v>0</v>
      </c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</row>
    <row r="89" spans="1:38" s="74" customFormat="1" x14ac:dyDescent="0.25">
      <c r="A89" s="106"/>
      <c r="B89" s="105"/>
      <c r="C89" s="105"/>
      <c r="D89" s="105"/>
      <c r="E89" s="105"/>
      <c r="F89" s="105"/>
      <c r="H89" s="88">
        <v>84</v>
      </c>
      <c r="I89" s="89" t="str">
        <f t="shared" si="6"/>
        <v/>
      </c>
      <c r="J89" s="88">
        <f t="shared" si="7"/>
        <v>-3</v>
      </c>
      <c r="K89" s="88">
        <f t="shared" si="8"/>
        <v>-30</v>
      </c>
      <c r="L89" s="88"/>
      <c r="M89" s="90">
        <f t="shared" si="9"/>
        <v>0</v>
      </c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</row>
    <row r="90" spans="1:38" s="74" customFormat="1" x14ac:dyDescent="0.25">
      <c r="A90" s="106"/>
      <c r="B90" s="105"/>
      <c r="C90" s="105"/>
      <c r="D90" s="105"/>
      <c r="E90" s="105"/>
      <c r="F90" s="105"/>
      <c r="H90" s="88">
        <v>85</v>
      </c>
      <c r="I90" s="89" t="str">
        <f t="shared" si="6"/>
        <v/>
      </c>
      <c r="J90" s="88">
        <f t="shared" si="7"/>
        <v>-3</v>
      </c>
      <c r="K90" s="88">
        <f t="shared" si="8"/>
        <v>-30</v>
      </c>
      <c r="L90" s="88"/>
      <c r="M90" s="90">
        <f t="shared" si="9"/>
        <v>0</v>
      </c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</row>
    <row r="91" spans="1:38" s="74" customFormat="1" x14ac:dyDescent="0.25">
      <c r="A91" s="106"/>
      <c r="B91" s="105"/>
      <c r="C91" s="105"/>
      <c r="D91" s="105"/>
      <c r="E91" s="105"/>
      <c r="F91" s="105"/>
      <c r="H91" s="88">
        <v>86</v>
      </c>
      <c r="I91" s="89" t="str">
        <f t="shared" si="6"/>
        <v/>
      </c>
      <c r="J91" s="88">
        <f t="shared" si="7"/>
        <v>-3</v>
      </c>
      <c r="K91" s="88">
        <f t="shared" si="8"/>
        <v>-30</v>
      </c>
      <c r="L91" s="88"/>
      <c r="M91" s="90">
        <f t="shared" si="9"/>
        <v>0</v>
      </c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</row>
    <row r="92" spans="1:38" s="74" customFormat="1" x14ac:dyDescent="0.25">
      <c r="A92" s="106"/>
      <c r="B92" s="105"/>
      <c r="C92" s="105"/>
      <c r="D92" s="105"/>
      <c r="E92" s="105"/>
      <c r="F92" s="105"/>
      <c r="H92" s="88">
        <v>87</v>
      </c>
      <c r="I92" s="89" t="str">
        <f t="shared" si="6"/>
        <v/>
      </c>
      <c r="J92" s="88">
        <f t="shared" si="7"/>
        <v>-3</v>
      </c>
      <c r="K92" s="88">
        <f t="shared" si="8"/>
        <v>-30</v>
      </c>
      <c r="L92" s="88"/>
      <c r="M92" s="90">
        <f t="shared" si="9"/>
        <v>0</v>
      </c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</row>
    <row r="93" spans="1:38" s="74" customFormat="1" x14ac:dyDescent="0.25">
      <c r="A93" s="106"/>
      <c r="B93" s="105"/>
      <c r="C93" s="105"/>
      <c r="D93" s="105"/>
      <c r="E93" s="105"/>
      <c r="F93" s="105"/>
      <c r="H93" s="88">
        <v>88</v>
      </c>
      <c r="I93" s="89" t="str">
        <f t="shared" si="6"/>
        <v/>
      </c>
      <c r="J93" s="88">
        <f t="shared" si="7"/>
        <v>-3</v>
      </c>
      <c r="K93" s="88">
        <f t="shared" si="8"/>
        <v>-30</v>
      </c>
      <c r="L93" s="88"/>
      <c r="M93" s="90">
        <f t="shared" si="9"/>
        <v>0</v>
      </c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</row>
    <row r="94" spans="1:38" s="74" customFormat="1" x14ac:dyDescent="0.25">
      <c r="A94" s="106"/>
      <c r="B94" s="105"/>
      <c r="C94" s="105"/>
      <c r="D94" s="105"/>
      <c r="E94" s="105"/>
      <c r="F94" s="105"/>
      <c r="H94" s="88">
        <v>89</v>
      </c>
      <c r="I94" s="89" t="str">
        <f t="shared" si="6"/>
        <v/>
      </c>
      <c r="J94" s="88">
        <f t="shared" si="7"/>
        <v>-3</v>
      </c>
      <c r="K94" s="88">
        <f t="shared" si="8"/>
        <v>-30</v>
      </c>
      <c r="L94" s="88"/>
      <c r="M94" s="90">
        <f t="shared" si="9"/>
        <v>0</v>
      </c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</row>
    <row r="95" spans="1:38" s="74" customFormat="1" x14ac:dyDescent="0.25">
      <c r="A95" s="106"/>
      <c r="B95" s="105"/>
      <c r="C95" s="105"/>
      <c r="D95" s="105"/>
      <c r="E95" s="105"/>
      <c r="F95" s="105"/>
      <c r="H95" s="88">
        <v>90</v>
      </c>
      <c r="I95" s="89" t="str">
        <f t="shared" si="6"/>
        <v/>
      </c>
      <c r="J95" s="88">
        <f t="shared" si="7"/>
        <v>-3</v>
      </c>
      <c r="K95" s="88">
        <f t="shared" si="8"/>
        <v>-30</v>
      </c>
      <c r="L95" s="88"/>
      <c r="M95" s="90">
        <f t="shared" si="9"/>
        <v>0</v>
      </c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</row>
    <row r="96" spans="1:38" s="74" customFormat="1" x14ac:dyDescent="0.25">
      <c r="A96" s="106"/>
      <c r="B96" s="105"/>
      <c r="C96" s="105"/>
      <c r="D96" s="105"/>
      <c r="E96" s="105"/>
      <c r="F96" s="105"/>
      <c r="H96" s="88">
        <v>91</v>
      </c>
      <c r="I96" s="89" t="str">
        <f t="shared" si="6"/>
        <v/>
      </c>
      <c r="J96" s="88">
        <f t="shared" si="7"/>
        <v>-3</v>
      </c>
      <c r="K96" s="88">
        <f t="shared" si="8"/>
        <v>-30</v>
      </c>
      <c r="L96" s="88"/>
      <c r="M96" s="90">
        <f t="shared" si="9"/>
        <v>0</v>
      </c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</row>
    <row r="97" spans="1:38" s="74" customFormat="1" x14ac:dyDescent="0.25">
      <c r="A97" s="106"/>
      <c r="B97" s="105"/>
      <c r="C97" s="105"/>
      <c r="D97" s="105"/>
      <c r="E97" s="105"/>
      <c r="F97" s="105"/>
      <c r="H97" s="88">
        <v>92</v>
      </c>
      <c r="I97" s="89" t="str">
        <f t="shared" si="6"/>
        <v/>
      </c>
      <c r="J97" s="88">
        <f t="shared" si="7"/>
        <v>-3</v>
      </c>
      <c r="K97" s="88">
        <f t="shared" si="8"/>
        <v>-30</v>
      </c>
      <c r="L97" s="88"/>
      <c r="M97" s="90">
        <f t="shared" si="9"/>
        <v>0</v>
      </c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</row>
    <row r="98" spans="1:38" s="74" customFormat="1" x14ac:dyDescent="0.25">
      <c r="A98" s="106"/>
      <c r="B98" s="105"/>
      <c r="C98" s="105"/>
      <c r="D98" s="105"/>
      <c r="E98" s="105"/>
      <c r="F98" s="105"/>
      <c r="H98" s="88">
        <v>93</v>
      </c>
      <c r="I98" s="89" t="str">
        <f t="shared" si="6"/>
        <v/>
      </c>
      <c r="J98" s="88">
        <f t="shared" si="7"/>
        <v>-3</v>
      </c>
      <c r="K98" s="88">
        <f t="shared" si="8"/>
        <v>-30</v>
      </c>
      <c r="L98" s="88"/>
      <c r="M98" s="90">
        <f t="shared" si="9"/>
        <v>0</v>
      </c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</row>
    <row r="99" spans="1:38" s="74" customFormat="1" x14ac:dyDescent="0.25">
      <c r="A99" s="106"/>
      <c r="B99" s="105"/>
      <c r="C99" s="105"/>
      <c r="D99" s="105"/>
      <c r="E99" s="105"/>
      <c r="F99" s="105"/>
      <c r="H99" s="88">
        <v>94</v>
      </c>
      <c r="I99" s="89" t="str">
        <f t="shared" si="6"/>
        <v/>
      </c>
      <c r="J99" s="88">
        <f t="shared" si="7"/>
        <v>-3</v>
      </c>
      <c r="K99" s="88">
        <f t="shared" si="8"/>
        <v>-30</v>
      </c>
      <c r="L99" s="88"/>
      <c r="M99" s="90">
        <f t="shared" si="9"/>
        <v>0</v>
      </c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</row>
    <row r="100" spans="1:38" s="74" customFormat="1" x14ac:dyDescent="0.25">
      <c r="A100" s="106"/>
      <c r="B100" s="105"/>
      <c r="C100" s="105"/>
      <c r="D100" s="105"/>
      <c r="E100" s="105"/>
      <c r="F100" s="105"/>
      <c r="H100" s="88">
        <v>95</v>
      </c>
      <c r="I100" s="89" t="str">
        <f t="shared" si="6"/>
        <v/>
      </c>
      <c r="J100" s="88">
        <f t="shared" si="7"/>
        <v>-3</v>
      </c>
      <c r="K100" s="88">
        <f t="shared" si="8"/>
        <v>-30</v>
      </c>
      <c r="L100" s="88"/>
      <c r="M100" s="90">
        <f t="shared" si="9"/>
        <v>0</v>
      </c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</row>
    <row r="101" spans="1:38" s="74" customFormat="1" x14ac:dyDescent="0.25">
      <c r="A101" s="106"/>
      <c r="B101" s="105"/>
      <c r="C101" s="105"/>
      <c r="D101" s="105"/>
      <c r="E101" s="105"/>
      <c r="F101" s="105"/>
      <c r="H101" s="88">
        <v>96</v>
      </c>
      <c r="I101" s="89" t="str">
        <f t="shared" si="6"/>
        <v/>
      </c>
      <c r="J101" s="88">
        <f t="shared" si="7"/>
        <v>-3</v>
      </c>
      <c r="K101" s="88">
        <f t="shared" si="8"/>
        <v>-30</v>
      </c>
      <c r="L101" s="88"/>
      <c r="M101" s="90">
        <f t="shared" si="9"/>
        <v>0</v>
      </c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</row>
    <row r="102" spans="1:38" s="74" customFormat="1" x14ac:dyDescent="0.25">
      <c r="A102" s="106"/>
      <c r="B102" s="105"/>
      <c r="C102" s="105"/>
      <c r="D102" s="105"/>
      <c r="E102" s="105"/>
      <c r="F102" s="105"/>
      <c r="H102" s="88">
        <v>97</v>
      </c>
      <c r="I102" s="89" t="str">
        <f t="shared" si="6"/>
        <v/>
      </c>
      <c r="J102" s="88">
        <f t="shared" si="7"/>
        <v>-3</v>
      </c>
      <c r="K102" s="88">
        <f t="shared" si="8"/>
        <v>-30</v>
      </c>
      <c r="L102" s="88"/>
      <c r="M102" s="90">
        <f t="shared" si="9"/>
        <v>0</v>
      </c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</row>
    <row r="103" spans="1:38" s="74" customFormat="1" x14ac:dyDescent="0.25">
      <c r="A103" s="106"/>
      <c r="B103" s="105"/>
      <c r="C103" s="105"/>
      <c r="D103" s="105"/>
      <c r="E103" s="105"/>
      <c r="F103" s="105"/>
      <c r="H103" s="88">
        <v>98</v>
      </c>
      <c r="I103" s="89" t="str">
        <f t="shared" si="6"/>
        <v/>
      </c>
      <c r="J103" s="88">
        <f t="shared" si="7"/>
        <v>-3</v>
      </c>
      <c r="K103" s="88">
        <f t="shared" si="8"/>
        <v>-30</v>
      </c>
      <c r="L103" s="88"/>
      <c r="M103" s="90">
        <f t="shared" si="9"/>
        <v>0</v>
      </c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</row>
    <row r="104" spans="1:38" s="74" customFormat="1" x14ac:dyDescent="0.25">
      <c r="A104" s="106"/>
      <c r="B104" s="105"/>
      <c r="C104" s="105"/>
      <c r="D104" s="105"/>
      <c r="E104" s="105"/>
      <c r="F104" s="105"/>
      <c r="H104" s="88">
        <v>99</v>
      </c>
      <c r="I104" s="89" t="str">
        <f t="shared" si="6"/>
        <v/>
      </c>
      <c r="J104" s="88">
        <f t="shared" si="7"/>
        <v>-3</v>
      </c>
      <c r="K104" s="88">
        <f t="shared" si="8"/>
        <v>-30</v>
      </c>
      <c r="L104" s="88"/>
      <c r="M104" s="90">
        <f t="shared" si="9"/>
        <v>0</v>
      </c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</row>
    <row r="105" spans="1:38" s="74" customFormat="1" x14ac:dyDescent="0.25">
      <c r="A105" s="106"/>
      <c r="B105" s="105"/>
      <c r="C105" s="105"/>
      <c r="D105" s="105"/>
      <c r="E105" s="105"/>
      <c r="F105" s="105"/>
      <c r="H105" s="88">
        <v>100</v>
      </c>
      <c r="I105" s="89" t="str">
        <f t="shared" si="6"/>
        <v/>
      </c>
      <c r="J105" s="88">
        <f t="shared" si="7"/>
        <v>-3</v>
      </c>
      <c r="K105" s="88">
        <f t="shared" si="8"/>
        <v>-30</v>
      </c>
      <c r="L105" s="88"/>
      <c r="M105" s="90">
        <f t="shared" si="9"/>
        <v>0</v>
      </c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</row>
    <row r="106" spans="1:38" s="74" customFormat="1" x14ac:dyDescent="0.25">
      <c r="A106" s="106"/>
      <c r="B106" s="105"/>
      <c r="C106" s="105"/>
      <c r="D106" s="105"/>
      <c r="E106" s="105"/>
      <c r="F106" s="105"/>
      <c r="H106" s="88">
        <v>101</v>
      </c>
      <c r="I106" s="89" t="str">
        <f t="shared" si="6"/>
        <v/>
      </c>
      <c r="J106" s="88">
        <f t="shared" si="7"/>
        <v>-3</v>
      </c>
      <c r="K106" s="88">
        <f t="shared" si="8"/>
        <v>-30</v>
      </c>
      <c r="L106" s="88"/>
      <c r="M106" s="90">
        <f t="shared" si="9"/>
        <v>0</v>
      </c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</row>
    <row r="107" spans="1:38" s="74" customFormat="1" x14ac:dyDescent="0.25">
      <c r="A107" s="106"/>
      <c r="B107" s="105"/>
      <c r="C107" s="105"/>
      <c r="D107" s="105"/>
      <c r="E107" s="105"/>
      <c r="F107" s="105"/>
      <c r="H107" s="88">
        <v>102</v>
      </c>
      <c r="I107" s="89" t="str">
        <f t="shared" si="6"/>
        <v/>
      </c>
      <c r="J107" s="88">
        <f t="shared" si="7"/>
        <v>-3</v>
      </c>
      <c r="K107" s="88">
        <f t="shared" si="8"/>
        <v>-30</v>
      </c>
      <c r="L107" s="88"/>
      <c r="M107" s="90">
        <f t="shared" si="9"/>
        <v>0</v>
      </c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</row>
    <row r="108" spans="1:38" s="74" customFormat="1" x14ac:dyDescent="0.25">
      <c r="A108" s="106"/>
      <c r="B108" s="105"/>
      <c r="C108" s="105"/>
      <c r="D108" s="105"/>
      <c r="E108" s="105"/>
      <c r="F108" s="105"/>
      <c r="H108" s="88">
        <v>103</v>
      </c>
      <c r="I108" s="89" t="str">
        <f t="shared" si="6"/>
        <v/>
      </c>
      <c r="J108" s="88">
        <f t="shared" si="7"/>
        <v>-3</v>
      </c>
      <c r="K108" s="88">
        <f t="shared" si="8"/>
        <v>-30</v>
      </c>
      <c r="L108" s="88"/>
      <c r="M108" s="90">
        <f t="shared" si="9"/>
        <v>0</v>
      </c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</row>
    <row r="109" spans="1:38" s="74" customFormat="1" x14ac:dyDescent="0.25">
      <c r="A109" s="106"/>
      <c r="B109" s="105"/>
      <c r="C109" s="105"/>
      <c r="D109" s="105"/>
      <c r="E109" s="105"/>
      <c r="F109" s="105"/>
      <c r="H109" s="88">
        <v>104</v>
      </c>
      <c r="I109" s="89" t="str">
        <f t="shared" si="6"/>
        <v/>
      </c>
      <c r="J109" s="88">
        <f t="shared" si="7"/>
        <v>-3</v>
      </c>
      <c r="K109" s="88">
        <f t="shared" si="8"/>
        <v>-30</v>
      </c>
      <c r="L109" s="88"/>
      <c r="M109" s="90">
        <f t="shared" si="9"/>
        <v>0</v>
      </c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</row>
    <row r="110" spans="1:38" s="74" customFormat="1" x14ac:dyDescent="0.25">
      <c r="A110" s="106"/>
      <c r="B110" s="105"/>
      <c r="C110" s="105"/>
      <c r="D110" s="105"/>
      <c r="E110" s="105"/>
      <c r="F110" s="105"/>
      <c r="H110" s="88">
        <v>105</v>
      </c>
      <c r="I110" s="89" t="str">
        <f t="shared" si="6"/>
        <v/>
      </c>
      <c r="J110" s="88">
        <f t="shared" si="7"/>
        <v>-3</v>
      </c>
      <c r="K110" s="88">
        <f t="shared" si="8"/>
        <v>-30</v>
      </c>
      <c r="L110" s="88"/>
      <c r="M110" s="90">
        <f t="shared" si="9"/>
        <v>0</v>
      </c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</row>
    <row r="111" spans="1:38" s="74" customFormat="1" x14ac:dyDescent="0.25">
      <c r="A111" s="106"/>
      <c r="B111" s="105"/>
      <c r="C111" s="105"/>
      <c r="D111" s="105"/>
      <c r="E111" s="105"/>
      <c r="F111" s="105"/>
      <c r="H111" s="88">
        <v>106</v>
      </c>
      <c r="I111" s="89" t="str">
        <f t="shared" si="6"/>
        <v/>
      </c>
      <c r="J111" s="88">
        <f t="shared" si="7"/>
        <v>-3</v>
      </c>
      <c r="K111" s="88">
        <f t="shared" si="8"/>
        <v>-30</v>
      </c>
      <c r="L111" s="88"/>
      <c r="M111" s="90">
        <f t="shared" si="9"/>
        <v>0</v>
      </c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</row>
    <row r="112" spans="1:38" s="74" customFormat="1" x14ac:dyDescent="0.25">
      <c r="A112" s="106"/>
      <c r="B112" s="105"/>
      <c r="C112" s="105"/>
      <c r="D112" s="105"/>
      <c r="E112" s="105"/>
      <c r="F112" s="105"/>
      <c r="H112" s="88">
        <v>107</v>
      </c>
      <c r="I112" s="89" t="str">
        <f t="shared" si="6"/>
        <v/>
      </c>
      <c r="J112" s="88">
        <f t="shared" si="7"/>
        <v>-3</v>
      </c>
      <c r="K112" s="88">
        <f t="shared" si="8"/>
        <v>-30</v>
      </c>
      <c r="L112" s="88"/>
      <c r="M112" s="90">
        <f t="shared" si="9"/>
        <v>0</v>
      </c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</row>
    <row r="113" spans="1:38" s="74" customFormat="1" x14ac:dyDescent="0.25">
      <c r="A113" s="106"/>
      <c r="B113" s="105"/>
      <c r="C113" s="105"/>
      <c r="D113" s="105"/>
      <c r="E113" s="105"/>
      <c r="F113" s="105"/>
      <c r="H113" s="88">
        <v>108</v>
      </c>
      <c r="I113" s="89" t="str">
        <f t="shared" si="6"/>
        <v/>
      </c>
      <c r="J113" s="88">
        <f t="shared" si="7"/>
        <v>-3</v>
      </c>
      <c r="K113" s="88">
        <f t="shared" si="8"/>
        <v>-30</v>
      </c>
      <c r="L113" s="88"/>
      <c r="M113" s="90">
        <f t="shared" si="9"/>
        <v>0</v>
      </c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</row>
    <row r="114" spans="1:38" s="74" customFormat="1" x14ac:dyDescent="0.25">
      <c r="A114" s="106"/>
      <c r="B114" s="105"/>
      <c r="C114" s="105"/>
      <c r="D114" s="105"/>
      <c r="E114" s="105"/>
      <c r="F114" s="105"/>
      <c r="H114" s="88">
        <v>109</v>
      </c>
      <c r="I114" s="89" t="str">
        <f t="shared" si="6"/>
        <v/>
      </c>
      <c r="J114" s="88">
        <f t="shared" si="7"/>
        <v>-3</v>
      </c>
      <c r="K114" s="88">
        <f t="shared" si="8"/>
        <v>-30</v>
      </c>
      <c r="L114" s="88"/>
      <c r="M114" s="90">
        <f t="shared" si="9"/>
        <v>0</v>
      </c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</row>
    <row r="115" spans="1:38" s="74" customFormat="1" x14ac:dyDescent="0.25">
      <c r="A115" s="106"/>
      <c r="B115" s="105"/>
      <c r="C115" s="105"/>
      <c r="D115" s="105"/>
      <c r="E115" s="105"/>
      <c r="F115" s="105"/>
      <c r="H115" s="88">
        <v>110</v>
      </c>
      <c r="I115" s="89" t="str">
        <f t="shared" si="6"/>
        <v/>
      </c>
      <c r="J115" s="88">
        <f t="shared" si="7"/>
        <v>-3</v>
      </c>
      <c r="K115" s="88">
        <f t="shared" si="8"/>
        <v>-30</v>
      </c>
      <c r="L115" s="88"/>
      <c r="M115" s="90">
        <f t="shared" si="9"/>
        <v>0</v>
      </c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</row>
    <row r="116" spans="1:38" s="74" customFormat="1" x14ac:dyDescent="0.25">
      <c r="A116" s="106"/>
      <c r="B116" s="105"/>
      <c r="C116" s="105"/>
      <c r="D116" s="105"/>
      <c r="E116" s="105"/>
      <c r="F116" s="105"/>
      <c r="H116" s="88">
        <v>111</v>
      </c>
      <c r="I116" s="89" t="str">
        <f t="shared" si="6"/>
        <v/>
      </c>
      <c r="J116" s="88">
        <f t="shared" si="7"/>
        <v>-3</v>
      </c>
      <c r="K116" s="88">
        <f t="shared" si="8"/>
        <v>-30</v>
      </c>
      <c r="L116" s="88"/>
      <c r="M116" s="90">
        <f t="shared" si="9"/>
        <v>0</v>
      </c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</row>
    <row r="117" spans="1:38" s="74" customFormat="1" x14ac:dyDescent="0.25">
      <c r="A117" s="106"/>
      <c r="B117" s="105"/>
      <c r="C117" s="105"/>
      <c r="D117" s="105"/>
      <c r="E117" s="105"/>
      <c r="F117" s="105"/>
      <c r="H117" s="88">
        <v>112</v>
      </c>
      <c r="I117" s="89" t="str">
        <f t="shared" si="6"/>
        <v/>
      </c>
      <c r="J117" s="88">
        <f t="shared" si="7"/>
        <v>-3</v>
      </c>
      <c r="K117" s="88">
        <f t="shared" si="8"/>
        <v>-30</v>
      </c>
      <c r="L117" s="88"/>
      <c r="M117" s="90">
        <f t="shared" si="9"/>
        <v>0</v>
      </c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</row>
    <row r="118" spans="1:38" s="74" customFormat="1" x14ac:dyDescent="0.25">
      <c r="A118" s="106"/>
      <c r="B118" s="105"/>
      <c r="C118" s="105"/>
      <c r="D118" s="105"/>
      <c r="E118" s="105"/>
      <c r="F118" s="105"/>
      <c r="H118" s="88">
        <v>113</v>
      </c>
      <c r="I118" s="89" t="str">
        <f t="shared" si="6"/>
        <v/>
      </c>
      <c r="J118" s="88">
        <f t="shared" si="7"/>
        <v>-3</v>
      </c>
      <c r="K118" s="88">
        <f t="shared" si="8"/>
        <v>-30</v>
      </c>
      <c r="L118" s="88"/>
      <c r="M118" s="90">
        <f t="shared" si="9"/>
        <v>0</v>
      </c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</row>
    <row r="119" spans="1:38" s="74" customFormat="1" x14ac:dyDescent="0.25">
      <c r="A119" s="106"/>
      <c r="B119" s="105"/>
      <c r="C119" s="105"/>
      <c r="D119" s="105"/>
      <c r="E119" s="105"/>
      <c r="F119" s="105"/>
      <c r="H119" s="88">
        <v>114</v>
      </c>
      <c r="I119" s="89" t="str">
        <f t="shared" si="6"/>
        <v/>
      </c>
      <c r="J119" s="88">
        <f t="shared" si="7"/>
        <v>-3</v>
      </c>
      <c r="K119" s="88">
        <f t="shared" si="8"/>
        <v>-30</v>
      </c>
      <c r="L119" s="88"/>
      <c r="M119" s="90">
        <f t="shared" si="9"/>
        <v>0</v>
      </c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</row>
    <row r="120" spans="1:38" s="74" customFormat="1" x14ac:dyDescent="0.25">
      <c r="A120" s="106"/>
      <c r="B120" s="105"/>
      <c r="C120" s="105"/>
      <c r="D120" s="105"/>
      <c r="E120" s="105"/>
      <c r="F120" s="105"/>
      <c r="H120" s="88">
        <v>115</v>
      </c>
      <c r="I120" s="89" t="str">
        <f t="shared" si="6"/>
        <v/>
      </c>
      <c r="J120" s="88">
        <f t="shared" si="7"/>
        <v>-3</v>
      </c>
      <c r="K120" s="88">
        <f t="shared" si="8"/>
        <v>-30</v>
      </c>
      <c r="L120" s="88"/>
      <c r="M120" s="90">
        <f t="shared" si="9"/>
        <v>0</v>
      </c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</row>
    <row r="121" spans="1:38" s="74" customFormat="1" x14ac:dyDescent="0.25">
      <c r="A121" s="106"/>
      <c r="B121" s="105"/>
      <c r="C121" s="105"/>
      <c r="D121" s="105"/>
      <c r="E121" s="105"/>
      <c r="F121" s="105"/>
      <c r="H121" s="88">
        <v>116</v>
      </c>
      <c r="I121" s="89" t="str">
        <f t="shared" si="6"/>
        <v/>
      </c>
      <c r="J121" s="88">
        <f t="shared" si="7"/>
        <v>-3</v>
      </c>
      <c r="K121" s="88">
        <f t="shared" si="8"/>
        <v>-30</v>
      </c>
      <c r="L121" s="88"/>
      <c r="M121" s="90">
        <f t="shared" si="9"/>
        <v>0</v>
      </c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</row>
    <row r="122" spans="1:38" s="74" customFormat="1" x14ac:dyDescent="0.25">
      <c r="A122" s="106"/>
      <c r="B122" s="105"/>
      <c r="C122" s="105"/>
      <c r="D122" s="105"/>
      <c r="E122" s="105"/>
      <c r="F122" s="105"/>
      <c r="H122" s="88">
        <v>117</v>
      </c>
      <c r="I122" s="89" t="str">
        <f t="shared" si="6"/>
        <v/>
      </c>
      <c r="J122" s="88">
        <f t="shared" si="7"/>
        <v>-3</v>
      </c>
      <c r="K122" s="88">
        <f t="shared" si="8"/>
        <v>-30</v>
      </c>
      <c r="L122" s="88"/>
      <c r="M122" s="90">
        <f t="shared" si="9"/>
        <v>0</v>
      </c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</row>
    <row r="123" spans="1:38" s="74" customFormat="1" x14ac:dyDescent="0.25">
      <c r="A123" s="106"/>
      <c r="B123" s="105"/>
      <c r="C123" s="105"/>
      <c r="D123" s="105"/>
      <c r="E123" s="105"/>
      <c r="F123" s="105"/>
      <c r="H123" s="88">
        <v>118</v>
      </c>
      <c r="I123" s="89" t="str">
        <f t="shared" si="6"/>
        <v/>
      </c>
      <c r="J123" s="88">
        <f t="shared" si="7"/>
        <v>-3</v>
      </c>
      <c r="K123" s="88">
        <f t="shared" si="8"/>
        <v>-30</v>
      </c>
      <c r="L123" s="88"/>
      <c r="M123" s="90">
        <f t="shared" si="9"/>
        <v>0</v>
      </c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</row>
    <row r="124" spans="1:38" s="74" customFormat="1" x14ac:dyDescent="0.25">
      <c r="A124" s="106"/>
      <c r="B124" s="105"/>
      <c r="C124" s="105"/>
      <c r="D124" s="105"/>
      <c r="E124" s="105"/>
      <c r="F124" s="105"/>
      <c r="H124" s="88">
        <v>119</v>
      </c>
      <c r="I124" s="89" t="str">
        <f t="shared" si="6"/>
        <v/>
      </c>
      <c r="J124" s="88">
        <f t="shared" si="7"/>
        <v>-3</v>
      </c>
      <c r="K124" s="88">
        <f t="shared" si="8"/>
        <v>-30</v>
      </c>
      <c r="L124" s="88"/>
      <c r="M124" s="90">
        <f t="shared" si="9"/>
        <v>0</v>
      </c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</row>
    <row r="125" spans="1:38" s="74" customFormat="1" x14ac:dyDescent="0.25">
      <c r="A125" s="106"/>
      <c r="B125" s="105"/>
      <c r="C125" s="105"/>
      <c r="D125" s="105"/>
      <c r="E125" s="105"/>
      <c r="F125" s="105"/>
      <c r="H125" s="88">
        <v>120</v>
      </c>
      <c r="I125" s="89" t="str">
        <f t="shared" si="6"/>
        <v/>
      </c>
      <c r="J125" s="88">
        <f t="shared" si="7"/>
        <v>-3</v>
      </c>
      <c r="K125" s="88">
        <f t="shared" si="8"/>
        <v>-30</v>
      </c>
      <c r="L125" s="88"/>
      <c r="M125" s="90">
        <f t="shared" si="9"/>
        <v>0</v>
      </c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</row>
    <row r="126" spans="1:38" s="74" customFormat="1" x14ac:dyDescent="0.25">
      <c r="A126" s="106"/>
      <c r="B126" s="105"/>
      <c r="C126" s="105"/>
      <c r="D126" s="105"/>
      <c r="E126" s="105"/>
      <c r="F126" s="105"/>
      <c r="H126" s="88">
        <v>121</v>
      </c>
      <c r="I126" s="89" t="str">
        <f t="shared" si="6"/>
        <v/>
      </c>
      <c r="J126" s="88">
        <f t="shared" si="7"/>
        <v>-3</v>
      </c>
      <c r="K126" s="88">
        <f t="shared" si="8"/>
        <v>-30</v>
      </c>
      <c r="L126" s="88"/>
      <c r="M126" s="90">
        <f t="shared" si="9"/>
        <v>0</v>
      </c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</row>
    <row r="127" spans="1:38" s="74" customFormat="1" x14ac:dyDescent="0.25">
      <c r="A127" s="106"/>
      <c r="B127" s="105"/>
      <c r="C127" s="105"/>
      <c r="D127" s="105"/>
      <c r="E127" s="105"/>
      <c r="F127" s="105"/>
      <c r="H127" s="88">
        <v>122</v>
      </c>
      <c r="I127" s="89" t="str">
        <f t="shared" si="6"/>
        <v/>
      </c>
      <c r="J127" s="88">
        <f t="shared" si="7"/>
        <v>-3</v>
      </c>
      <c r="K127" s="88">
        <f t="shared" si="8"/>
        <v>-30</v>
      </c>
      <c r="L127" s="88"/>
      <c r="M127" s="90">
        <f t="shared" si="9"/>
        <v>0</v>
      </c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</row>
    <row r="128" spans="1:38" s="74" customFormat="1" x14ac:dyDescent="0.25">
      <c r="A128" s="106"/>
      <c r="B128" s="105"/>
      <c r="C128" s="105"/>
      <c r="D128" s="105"/>
      <c r="E128" s="105"/>
      <c r="F128" s="105"/>
      <c r="H128" s="88">
        <v>123</v>
      </c>
      <c r="I128" s="89" t="str">
        <f t="shared" si="6"/>
        <v/>
      </c>
      <c r="J128" s="88">
        <f t="shared" si="7"/>
        <v>-3</v>
      </c>
      <c r="K128" s="88">
        <f t="shared" si="8"/>
        <v>-30</v>
      </c>
      <c r="L128" s="88"/>
      <c r="M128" s="90">
        <f t="shared" si="9"/>
        <v>0</v>
      </c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</row>
    <row r="129" spans="1:38" s="74" customFormat="1" x14ac:dyDescent="0.25">
      <c r="A129" s="106"/>
      <c r="B129" s="105"/>
      <c r="C129" s="105"/>
      <c r="D129" s="105"/>
      <c r="E129" s="105"/>
      <c r="F129" s="105"/>
      <c r="H129" s="88">
        <v>124</v>
      </c>
      <c r="I129" s="89" t="str">
        <f t="shared" si="6"/>
        <v/>
      </c>
      <c r="J129" s="88">
        <f t="shared" si="7"/>
        <v>-3</v>
      </c>
      <c r="K129" s="88">
        <f t="shared" si="8"/>
        <v>-30</v>
      </c>
      <c r="L129" s="88"/>
      <c r="M129" s="90">
        <f t="shared" si="9"/>
        <v>0</v>
      </c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</row>
    <row r="130" spans="1:38" s="74" customFormat="1" x14ac:dyDescent="0.25">
      <c r="A130" s="106"/>
      <c r="B130" s="105"/>
      <c r="C130" s="105"/>
      <c r="D130" s="105"/>
      <c r="E130" s="105"/>
      <c r="F130" s="105"/>
      <c r="H130" s="88">
        <v>125</v>
      </c>
      <c r="I130" s="89" t="str">
        <f t="shared" si="6"/>
        <v/>
      </c>
      <c r="J130" s="88">
        <f t="shared" si="7"/>
        <v>-3</v>
      </c>
      <c r="K130" s="88">
        <f t="shared" si="8"/>
        <v>-30</v>
      </c>
      <c r="L130" s="88"/>
      <c r="M130" s="90">
        <f t="shared" si="9"/>
        <v>0</v>
      </c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</row>
    <row r="131" spans="1:38" s="74" customFormat="1" x14ac:dyDescent="0.25">
      <c r="A131" s="106"/>
      <c r="B131" s="105"/>
      <c r="C131" s="105"/>
      <c r="D131" s="105"/>
      <c r="E131" s="105"/>
      <c r="F131" s="105"/>
      <c r="H131" s="88">
        <v>126</v>
      </c>
      <c r="I131" s="89" t="str">
        <f t="shared" si="6"/>
        <v/>
      </c>
      <c r="J131" s="88">
        <f t="shared" si="7"/>
        <v>-3</v>
      </c>
      <c r="K131" s="88">
        <f t="shared" si="8"/>
        <v>-30</v>
      </c>
      <c r="L131" s="88"/>
      <c r="M131" s="90">
        <f t="shared" si="9"/>
        <v>0</v>
      </c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</row>
    <row r="132" spans="1:38" s="74" customFormat="1" x14ac:dyDescent="0.25">
      <c r="A132" s="106"/>
      <c r="B132" s="105"/>
      <c r="C132" s="105"/>
      <c r="D132" s="105"/>
      <c r="E132" s="105"/>
      <c r="F132" s="105"/>
      <c r="H132" s="88">
        <v>127</v>
      </c>
      <c r="I132" s="89" t="str">
        <f t="shared" si="6"/>
        <v/>
      </c>
      <c r="J132" s="88">
        <f t="shared" si="7"/>
        <v>-3</v>
      </c>
      <c r="K132" s="88">
        <f t="shared" si="8"/>
        <v>-30</v>
      </c>
      <c r="L132" s="88"/>
      <c r="M132" s="90">
        <f t="shared" si="9"/>
        <v>0</v>
      </c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</row>
    <row r="133" spans="1:38" s="74" customFormat="1" x14ac:dyDescent="0.25">
      <c r="A133" s="106"/>
      <c r="B133" s="105"/>
      <c r="C133" s="105"/>
      <c r="D133" s="105"/>
      <c r="E133" s="105"/>
      <c r="F133" s="105"/>
      <c r="H133" s="88">
        <v>128</v>
      </c>
      <c r="I133" s="89" t="str">
        <f t="shared" si="6"/>
        <v/>
      </c>
      <c r="J133" s="88">
        <f t="shared" si="7"/>
        <v>-3</v>
      </c>
      <c r="K133" s="88">
        <f t="shared" si="8"/>
        <v>-30</v>
      </c>
      <c r="L133" s="88"/>
      <c r="M133" s="90">
        <f t="shared" si="9"/>
        <v>0</v>
      </c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</row>
    <row r="134" spans="1:38" s="74" customFormat="1" x14ac:dyDescent="0.25">
      <c r="A134" s="106"/>
      <c r="B134" s="105"/>
      <c r="C134" s="105"/>
      <c r="D134" s="105"/>
      <c r="E134" s="105"/>
      <c r="F134" s="105"/>
      <c r="H134" s="88">
        <v>129</v>
      </c>
      <c r="I134" s="89" t="str">
        <f t="shared" ref="I134:I197" si="10">IF(H134&lt;$H$2+1,($I$2-($I$2-1)*(LOG(H134)/LOG($H$2))),"")</f>
        <v/>
      </c>
      <c r="J134" s="88">
        <f t="shared" ref="J134:J197" si="11">INT(LOG($H$2,2))-ROUNDUP(LOG(H134,2),0)+IF(OR($H$2=1,$H$2=2,$H$2=4,$H$2=8,$H$2=16,$H$2=32,$H$2=64,$H$2=128,$H$2=256),0,1)</f>
        <v>-4</v>
      </c>
      <c r="K134" s="88">
        <f t="shared" ref="K134:K197" si="12">J134*$J$2</f>
        <v>-40</v>
      </c>
      <c r="L134" s="88"/>
      <c r="M134" s="90">
        <f t="shared" ref="M134:M197" si="13">IF(I134&lt;&gt;"",K134+I134+L134,0)</f>
        <v>0</v>
      </c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</row>
    <row r="135" spans="1:38" s="74" customFormat="1" x14ac:dyDescent="0.25">
      <c r="A135" s="106"/>
      <c r="B135" s="105"/>
      <c r="C135" s="105"/>
      <c r="D135" s="105"/>
      <c r="E135" s="105"/>
      <c r="F135" s="105"/>
      <c r="H135" s="88">
        <v>130</v>
      </c>
      <c r="I135" s="89" t="str">
        <f t="shared" si="10"/>
        <v/>
      </c>
      <c r="J135" s="88">
        <f t="shared" si="11"/>
        <v>-4</v>
      </c>
      <c r="K135" s="88">
        <f t="shared" si="12"/>
        <v>-40</v>
      </c>
      <c r="L135" s="88"/>
      <c r="M135" s="90">
        <f t="shared" si="13"/>
        <v>0</v>
      </c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</row>
    <row r="136" spans="1:38" s="74" customFormat="1" x14ac:dyDescent="0.25">
      <c r="A136" s="106"/>
      <c r="B136" s="105"/>
      <c r="C136" s="105"/>
      <c r="D136" s="105"/>
      <c r="E136" s="105"/>
      <c r="F136" s="105"/>
      <c r="H136" s="88">
        <v>131</v>
      </c>
      <c r="I136" s="89" t="str">
        <f t="shared" si="10"/>
        <v/>
      </c>
      <c r="J136" s="88">
        <f t="shared" si="11"/>
        <v>-4</v>
      </c>
      <c r="K136" s="88">
        <f t="shared" si="12"/>
        <v>-40</v>
      </c>
      <c r="L136" s="88"/>
      <c r="M136" s="90">
        <f t="shared" si="13"/>
        <v>0</v>
      </c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</row>
    <row r="137" spans="1:38" s="74" customFormat="1" x14ac:dyDescent="0.25">
      <c r="A137" s="106"/>
      <c r="B137" s="105"/>
      <c r="C137" s="105"/>
      <c r="D137" s="105"/>
      <c r="E137" s="105"/>
      <c r="F137" s="105"/>
      <c r="H137" s="88">
        <v>132</v>
      </c>
      <c r="I137" s="89" t="str">
        <f t="shared" si="10"/>
        <v/>
      </c>
      <c r="J137" s="88">
        <f t="shared" si="11"/>
        <v>-4</v>
      </c>
      <c r="K137" s="88">
        <f t="shared" si="12"/>
        <v>-40</v>
      </c>
      <c r="L137" s="88"/>
      <c r="M137" s="90">
        <f t="shared" si="13"/>
        <v>0</v>
      </c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</row>
    <row r="138" spans="1:38" s="74" customFormat="1" x14ac:dyDescent="0.25">
      <c r="A138" s="106"/>
      <c r="B138" s="105"/>
      <c r="C138" s="105"/>
      <c r="D138" s="105"/>
      <c r="E138" s="105"/>
      <c r="F138" s="105"/>
      <c r="H138" s="88">
        <v>133</v>
      </c>
      <c r="I138" s="89" t="str">
        <f t="shared" si="10"/>
        <v/>
      </c>
      <c r="J138" s="88">
        <f t="shared" si="11"/>
        <v>-4</v>
      </c>
      <c r="K138" s="88">
        <f t="shared" si="12"/>
        <v>-40</v>
      </c>
      <c r="L138" s="88"/>
      <c r="M138" s="90">
        <f t="shared" si="13"/>
        <v>0</v>
      </c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</row>
    <row r="139" spans="1:38" s="74" customFormat="1" x14ac:dyDescent="0.25">
      <c r="A139" s="106"/>
      <c r="B139" s="105"/>
      <c r="C139" s="105"/>
      <c r="D139" s="105"/>
      <c r="E139" s="105"/>
      <c r="F139" s="105"/>
      <c r="H139" s="88">
        <v>134</v>
      </c>
      <c r="I139" s="89" t="str">
        <f t="shared" si="10"/>
        <v/>
      </c>
      <c r="J139" s="88">
        <f t="shared" si="11"/>
        <v>-4</v>
      </c>
      <c r="K139" s="88">
        <f t="shared" si="12"/>
        <v>-40</v>
      </c>
      <c r="L139" s="88"/>
      <c r="M139" s="90">
        <f t="shared" si="13"/>
        <v>0</v>
      </c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</row>
    <row r="140" spans="1:38" s="74" customFormat="1" x14ac:dyDescent="0.25">
      <c r="A140" s="106"/>
      <c r="B140" s="105"/>
      <c r="C140" s="105"/>
      <c r="D140" s="105"/>
      <c r="E140" s="105"/>
      <c r="F140" s="105"/>
      <c r="H140" s="88">
        <v>135</v>
      </c>
      <c r="I140" s="89" t="str">
        <f t="shared" si="10"/>
        <v/>
      </c>
      <c r="J140" s="88">
        <f t="shared" si="11"/>
        <v>-4</v>
      </c>
      <c r="K140" s="88">
        <f t="shared" si="12"/>
        <v>-40</v>
      </c>
      <c r="L140" s="88"/>
      <c r="M140" s="90">
        <f t="shared" si="13"/>
        <v>0</v>
      </c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</row>
    <row r="141" spans="1:38" s="74" customFormat="1" x14ac:dyDescent="0.25">
      <c r="A141" s="106"/>
      <c r="B141" s="105"/>
      <c r="C141" s="105"/>
      <c r="D141" s="105"/>
      <c r="E141" s="105"/>
      <c r="F141" s="105"/>
      <c r="H141" s="88">
        <v>136</v>
      </c>
      <c r="I141" s="89" t="str">
        <f t="shared" si="10"/>
        <v/>
      </c>
      <c r="J141" s="88">
        <f t="shared" si="11"/>
        <v>-4</v>
      </c>
      <c r="K141" s="88">
        <f t="shared" si="12"/>
        <v>-40</v>
      </c>
      <c r="L141" s="88"/>
      <c r="M141" s="90">
        <f t="shared" si="13"/>
        <v>0</v>
      </c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</row>
    <row r="142" spans="1:38" s="74" customFormat="1" x14ac:dyDescent="0.25">
      <c r="A142" s="106"/>
      <c r="B142" s="105"/>
      <c r="C142" s="105"/>
      <c r="D142" s="105"/>
      <c r="E142" s="105"/>
      <c r="F142" s="105"/>
      <c r="H142" s="88">
        <v>137</v>
      </c>
      <c r="I142" s="89" t="str">
        <f t="shared" si="10"/>
        <v/>
      </c>
      <c r="J142" s="88">
        <f t="shared" si="11"/>
        <v>-4</v>
      </c>
      <c r="K142" s="88">
        <f t="shared" si="12"/>
        <v>-40</v>
      </c>
      <c r="L142" s="88"/>
      <c r="M142" s="90">
        <f t="shared" si="13"/>
        <v>0</v>
      </c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</row>
    <row r="143" spans="1:38" s="74" customFormat="1" x14ac:dyDescent="0.25">
      <c r="A143" s="106"/>
      <c r="B143" s="105"/>
      <c r="C143" s="105"/>
      <c r="D143" s="105"/>
      <c r="E143" s="105"/>
      <c r="F143" s="105"/>
      <c r="H143" s="88">
        <v>138</v>
      </c>
      <c r="I143" s="89" t="str">
        <f t="shared" si="10"/>
        <v/>
      </c>
      <c r="J143" s="88">
        <f t="shared" si="11"/>
        <v>-4</v>
      </c>
      <c r="K143" s="88">
        <f t="shared" si="12"/>
        <v>-40</v>
      </c>
      <c r="L143" s="88"/>
      <c r="M143" s="90">
        <f t="shared" si="13"/>
        <v>0</v>
      </c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</row>
    <row r="144" spans="1:38" s="74" customFormat="1" x14ac:dyDescent="0.25">
      <c r="A144" s="106"/>
      <c r="B144" s="105"/>
      <c r="C144" s="105"/>
      <c r="D144" s="105"/>
      <c r="E144" s="105"/>
      <c r="F144" s="105"/>
      <c r="H144" s="88">
        <v>139</v>
      </c>
      <c r="I144" s="89" t="str">
        <f t="shared" si="10"/>
        <v/>
      </c>
      <c r="J144" s="88">
        <f t="shared" si="11"/>
        <v>-4</v>
      </c>
      <c r="K144" s="88">
        <f t="shared" si="12"/>
        <v>-40</v>
      </c>
      <c r="L144" s="88"/>
      <c r="M144" s="90">
        <f t="shared" si="13"/>
        <v>0</v>
      </c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</row>
    <row r="145" spans="1:38" s="74" customFormat="1" x14ac:dyDescent="0.25">
      <c r="A145" s="106"/>
      <c r="B145" s="105"/>
      <c r="C145" s="105"/>
      <c r="D145" s="105"/>
      <c r="E145" s="105"/>
      <c r="F145" s="105"/>
      <c r="H145" s="88">
        <v>140</v>
      </c>
      <c r="I145" s="89" t="str">
        <f t="shared" si="10"/>
        <v/>
      </c>
      <c r="J145" s="88">
        <f t="shared" si="11"/>
        <v>-4</v>
      </c>
      <c r="K145" s="88">
        <f t="shared" si="12"/>
        <v>-40</v>
      </c>
      <c r="L145" s="88"/>
      <c r="M145" s="90">
        <f t="shared" si="13"/>
        <v>0</v>
      </c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</row>
    <row r="146" spans="1:38" s="74" customFormat="1" x14ac:dyDescent="0.25">
      <c r="A146" s="106"/>
      <c r="B146" s="105"/>
      <c r="C146" s="105"/>
      <c r="D146" s="105"/>
      <c r="E146" s="105"/>
      <c r="F146" s="105"/>
      <c r="H146" s="88">
        <v>141</v>
      </c>
      <c r="I146" s="89" t="str">
        <f t="shared" si="10"/>
        <v/>
      </c>
      <c r="J146" s="88">
        <f t="shared" si="11"/>
        <v>-4</v>
      </c>
      <c r="K146" s="88">
        <f t="shared" si="12"/>
        <v>-40</v>
      </c>
      <c r="L146" s="88"/>
      <c r="M146" s="90">
        <f t="shared" si="13"/>
        <v>0</v>
      </c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</row>
    <row r="147" spans="1:38" s="74" customFormat="1" x14ac:dyDescent="0.25">
      <c r="A147" s="106"/>
      <c r="B147" s="105"/>
      <c r="C147" s="105"/>
      <c r="D147" s="105"/>
      <c r="E147" s="105"/>
      <c r="F147" s="105"/>
      <c r="H147" s="88">
        <v>142</v>
      </c>
      <c r="I147" s="89" t="str">
        <f t="shared" si="10"/>
        <v/>
      </c>
      <c r="J147" s="88">
        <f t="shared" si="11"/>
        <v>-4</v>
      </c>
      <c r="K147" s="88">
        <f t="shared" si="12"/>
        <v>-40</v>
      </c>
      <c r="L147" s="88"/>
      <c r="M147" s="90">
        <f t="shared" si="13"/>
        <v>0</v>
      </c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</row>
    <row r="148" spans="1:38" s="74" customFormat="1" x14ac:dyDescent="0.25">
      <c r="A148" s="106"/>
      <c r="B148" s="105"/>
      <c r="C148" s="105"/>
      <c r="D148" s="105"/>
      <c r="E148" s="105"/>
      <c r="F148" s="105"/>
      <c r="H148" s="88">
        <v>143</v>
      </c>
      <c r="I148" s="89" t="str">
        <f t="shared" si="10"/>
        <v/>
      </c>
      <c r="J148" s="88">
        <f t="shared" si="11"/>
        <v>-4</v>
      </c>
      <c r="K148" s="88">
        <f t="shared" si="12"/>
        <v>-40</v>
      </c>
      <c r="L148" s="88"/>
      <c r="M148" s="90">
        <f t="shared" si="13"/>
        <v>0</v>
      </c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</row>
    <row r="149" spans="1:38" s="74" customFormat="1" x14ac:dyDescent="0.25">
      <c r="A149" s="106"/>
      <c r="B149" s="105"/>
      <c r="C149" s="105"/>
      <c r="D149" s="105"/>
      <c r="E149" s="105"/>
      <c r="F149" s="105"/>
      <c r="H149" s="88">
        <v>144</v>
      </c>
      <c r="I149" s="89" t="str">
        <f t="shared" si="10"/>
        <v/>
      </c>
      <c r="J149" s="88">
        <f t="shared" si="11"/>
        <v>-4</v>
      </c>
      <c r="K149" s="88">
        <f t="shared" si="12"/>
        <v>-40</v>
      </c>
      <c r="L149" s="88"/>
      <c r="M149" s="90">
        <f t="shared" si="13"/>
        <v>0</v>
      </c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</row>
    <row r="150" spans="1:38" s="74" customFormat="1" x14ac:dyDescent="0.25">
      <c r="A150" s="106"/>
      <c r="B150" s="105"/>
      <c r="C150" s="105"/>
      <c r="D150" s="105"/>
      <c r="E150" s="105"/>
      <c r="F150" s="105"/>
      <c r="H150" s="88">
        <v>145</v>
      </c>
      <c r="I150" s="89" t="str">
        <f t="shared" si="10"/>
        <v/>
      </c>
      <c r="J150" s="88">
        <f t="shared" si="11"/>
        <v>-4</v>
      </c>
      <c r="K150" s="88">
        <f t="shared" si="12"/>
        <v>-40</v>
      </c>
      <c r="L150" s="88"/>
      <c r="M150" s="90">
        <f t="shared" si="13"/>
        <v>0</v>
      </c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</row>
    <row r="151" spans="1:38" s="74" customFormat="1" x14ac:dyDescent="0.25">
      <c r="A151" s="106"/>
      <c r="B151" s="105"/>
      <c r="C151" s="105"/>
      <c r="D151" s="105"/>
      <c r="E151" s="105"/>
      <c r="F151" s="105"/>
      <c r="H151" s="88">
        <v>146</v>
      </c>
      <c r="I151" s="89" t="str">
        <f t="shared" si="10"/>
        <v/>
      </c>
      <c r="J151" s="88">
        <f t="shared" si="11"/>
        <v>-4</v>
      </c>
      <c r="K151" s="88">
        <f t="shared" si="12"/>
        <v>-40</v>
      </c>
      <c r="L151" s="88"/>
      <c r="M151" s="90">
        <f t="shared" si="13"/>
        <v>0</v>
      </c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</row>
    <row r="152" spans="1:38" s="74" customFormat="1" x14ac:dyDescent="0.25">
      <c r="A152" s="106"/>
      <c r="B152" s="105"/>
      <c r="C152" s="105"/>
      <c r="D152" s="105"/>
      <c r="E152" s="105"/>
      <c r="F152" s="105"/>
      <c r="H152" s="88">
        <v>147</v>
      </c>
      <c r="I152" s="89" t="str">
        <f t="shared" si="10"/>
        <v/>
      </c>
      <c r="J152" s="88">
        <f t="shared" si="11"/>
        <v>-4</v>
      </c>
      <c r="K152" s="88">
        <f t="shared" si="12"/>
        <v>-40</v>
      </c>
      <c r="L152" s="88"/>
      <c r="M152" s="90">
        <f t="shared" si="13"/>
        <v>0</v>
      </c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</row>
    <row r="153" spans="1:38" s="74" customFormat="1" x14ac:dyDescent="0.25">
      <c r="A153" s="106"/>
      <c r="B153" s="105"/>
      <c r="C153" s="105"/>
      <c r="D153" s="105"/>
      <c r="E153" s="105"/>
      <c r="F153" s="105"/>
      <c r="H153" s="88">
        <v>148</v>
      </c>
      <c r="I153" s="89" t="str">
        <f t="shared" si="10"/>
        <v/>
      </c>
      <c r="J153" s="88">
        <f t="shared" si="11"/>
        <v>-4</v>
      </c>
      <c r="K153" s="88">
        <f t="shared" si="12"/>
        <v>-40</v>
      </c>
      <c r="L153" s="88"/>
      <c r="M153" s="90">
        <f t="shared" si="13"/>
        <v>0</v>
      </c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</row>
    <row r="154" spans="1:38" s="74" customFormat="1" x14ac:dyDescent="0.25">
      <c r="A154" s="106"/>
      <c r="B154" s="105"/>
      <c r="C154" s="105"/>
      <c r="D154" s="105"/>
      <c r="E154" s="105"/>
      <c r="F154" s="105"/>
      <c r="H154" s="88">
        <v>149</v>
      </c>
      <c r="I154" s="89" t="str">
        <f t="shared" si="10"/>
        <v/>
      </c>
      <c r="J154" s="88">
        <f t="shared" si="11"/>
        <v>-4</v>
      </c>
      <c r="K154" s="88">
        <f t="shared" si="12"/>
        <v>-40</v>
      </c>
      <c r="L154" s="88"/>
      <c r="M154" s="90">
        <f t="shared" si="13"/>
        <v>0</v>
      </c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</row>
    <row r="155" spans="1:38" s="74" customFormat="1" x14ac:dyDescent="0.25">
      <c r="A155" s="106"/>
      <c r="B155" s="105"/>
      <c r="C155" s="105"/>
      <c r="D155" s="105"/>
      <c r="E155" s="105"/>
      <c r="F155" s="105"/>
      <c r="H155" s="88">
        <v>150</v>
      </c>
      <c r="I155" s="89" t="str">
        <f t="shared" si="10"/>
        <v/>
      </c>
      <c r="J155" s="88">
        <f t="shared" si="11"/>
        <v>-4</v>
      </c>
      <c r="K155" s="88">
        <f t="shared" si="12"/>
        <v>-40</v>
      </c>
      <c r="L155" s="88"/>
      <c r="M155" s="90">
        <f t="shared" si="13"/>
        <v>0</v>
      </c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</row>
    <row r="156" spans="1:38" s="74" customFormat="1" x14ac:dyDescent="0.25">
      <c r="A156" s="106"/>
      <c r="B156" s="105"/>
      <c r="C156" s="105"/>
      <c r="D156" s="105"/>
      <c r="E156" s="105"/>
      <c r="F156" s="105"/>
      <c r="H156" s="88">
        <v>151</v>
      </c>
      <c r="I156" s="89" t="str">
        <f t="shared" si="10"/>
        <v/>
      </c>
      <c r="J156" s="88">
        <f t="shared" si="11"/>
        <v>-4</v>
      </c>
      <c r="K156" s="88">
        <f t="shared" si="12"/>
        <v>-40</v>
      </c>
      <c r="L156" s="88"/>
      <c r="M156" s="90">
        <f t="shared" si="13"/>
        <v>0</v>
      </c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</row>
    <row r="157" spans="1:38" s="74" customFormat="1" x14ac:dyDescent="0.25">
      <c r="A157" s="106"/>
      <c r="B157" s="105"/>
      <c r="C157" s="105"/>
      <c r="D157" s="105"/>
      <c r="E157" s="105"/>
      <c r="F157" s="105"/>
      <c r="H157" s="88">
        <v>152</v>
      </c>
      <c r="I157" s="89" t="str">
        <f t="shared" si="10"/>
        <v/>
      </c>
      <c r="J157" s="88">
        <f t="shared" si="11"/>
        <v>-4</v>
      </c>
      <c r="K157" s="88">
        <f t="shared" si="12"/>
        <v>-40</v>
      </c>
      <c r="L157" s="88"/>
      <c r="M157" s="90">
        <f t="shared" si="13"/>
        <v>0</v>
      </c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</row>
    <row r="158" spans="1:38" s="74" customFormat="1" x14ac:dyDescent="0.25">
      <c r="A158" s="106"/>
      <c r="B158" s="105"/>
      <c r="C158" s="105"/>
      <c r="D158" s="105"/>
      <c r="E158" s="105"/>
      <c r="F158" s="105"/>
      <c r="H158" s="88">
        <v>153</v>
      </c>
      <c r="I158" s="89" t="str">
        <f t="shared" si="10"/>
        <v/>
      </c>
      <c r="J158" s="88">
        <f t="shared" si="11"/>
        <v>-4</v>
      </c>
      <c r="K158" s="88">
        <f t="shared" si="12"/>
        <v>-40</v>
      </c>
      <c r="L158" s="88"/>
      <c r="M158" s="90">
        <f t="shared" si="13"/>
        <v>0</v>
      </c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</row>
    <row r="159" spans="1:38" s="74" customFormat="1" x14ac:dyDescent="0.25">
      <c r="A159" s="106"/>
      <c r="B159" s="105"/>
      <c r="C159" s="105"/>
      <c r="D159" s="105"/>
      <c r="E159" s="105"/>
      <c r="F159" s="105"/>
      <c r="H159" s="88">
        <v>154</v>
      </c>
      <c r="I159" s="89" t="str">
        <f t="shared" si="10"/>
        <v/>
      </c>
      <c r="J159" s="88">
        <f t="shared" si="11"/>
        <v>-4</v>
      </c>
      <c r="K159" s="88">
        <f t="shared" si="12"/>
        <v>-40</v>
      </c>
      <c r="L159" s="88"/>
      <c r="M159" s="90">
        <f t="shared" si="13"/>
        <v>0</v>
      </c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</row>
    <row r="160" spans="1:38" s="74" customFormat="1" x14ac:dyDescent="0.25">
      <c r="A160" s="106"/>
      <c r="B160" s="105"/>
      <c r="C160" s="105"/>
      <c r="D160" s="105"/>
      <c r="E160" s="105"/>
      <c r="F160" s="105"/>
      <c r="H160" s="88">
        <v>155</v>
      </c>
      <c r="I160" s="89" t="str">
        <f t="shared" si="10"/>
        <v/>
      </c>
      <c r="J160" s="88">
        <f t="shared" si="11"/>
        <v>-4</v>
      </c>
      <c r="K160" s="88">
        <f t="shared" si="12"/>
        <v>-40</v>
      </c>
      <c r="L160" s="88"/>
      <c r="M160" s="90">
        <f t="shared" si="13"/>
        <v>0</v>
      </c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</row>
    <row r="161" spans="1:38" s="74" customFormat="1" x14ac:dyDescent="0.25">
      <c r="A161" s="106"/>
      <c r="B161" s="105"/>
      <c r="C161" s="105"/>
      <c r="D161" s="105"/>
      <c r="E161" s="105"/>
      <c r="F161" s="105"/>
      <c r="H161" s="88">
        <v>156</v>
      </c>
      <c r="I161" s="89" t="str">
        <f t="shared" si="10"/>
        <v/>
      </c>
      <c r="J161" s="88">
        <f t="shared" si="11"/>
        <v>-4</v>
      </c>
      <c r="K161" s="88">
        <f t="shared" si="12"/>
        <v>-40</v>
      </c>
      <c r="L161" s="88"/>
      <c r="M161" s="90">
        <f t="shared" si="13"/>
        <v>0</v>
      </c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</row>
    <row r="162" spans="1:38" s="74" customFormat="1" x14ac:dyDescent="0.25">
      <c r="A162" s="106"/>
      <c r="B162" s="105"/>
      <c r="C162" s="105"/>
      <c r="D162" s="105"/>
      <c r="E162" s="105"/>
      <c r="F162" s="105"/>
      <c r="H162" s="88">
        <v>157</v>
      </c>
      <c r="I162" s="89" t="str">
        <f t="shared" si="10"/>
        <v/>
      </c>
      <c r="J162" s="88">
        <f t="shared" si="11"/>
        <v>-4</v>
      </c>
      <c r="K162" s="88">
        <f t="shared" si="12"/>
        <v>-40</v>
      </c>
      <c r="L162" s="88"/>
      <c r="M162" s="90">
        <f t="shared" si="13"/>
        <v>0</v>
      </c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</row>
    <row r="163" spans="1:38" s="74" customFormat="1" x14ac:dyDescent="0.25">
      <c r="A163" s="106"/>
      <c r="B163" s="105"/>
      <c r="C163" s="105"/>
      <c r="D163" s="105"/>
      <c r="E163" s="105"/>
      <c r="F163" s="105"/>
      <c r="H163" s="88">
        <v>158</v>
      </c>
      <c r="I163" s="89" t="str">
        <f t="shared" si="10"/>
        <v/>
      </c>
      <c r="J163" s="88">
        <f t="shared" si="11"/>
        <v>-4</v>
      </c>
      <c r="K163" s="88">
        <f t="shared" si="12"/>
        <v>-40</v>
      </c>
      <c r="L163" s="88"/>
      <c r="M163" s="90">
        <f t="shared" si="13"/>
        <v>0</v>
      </c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</row>
    <row r="164" spans="1:38" s="74" customFormat="1" x14ac:dyDescent="0.25">
      <c r="A164" s="106"/>
      <c r="B164" s="105"/>
      <c r="C164" s="105"/>
      <c r="D164" s="105"/>
      <c r="E164" s="105"/>
      <c r="F164" s="105"/>
      <c r="H164" s="88">
        <v>159</v>
      </c>
      <c r="I164" s="89" t="str">
        <f t="shared" si="10"/>
        <v/>
      </c>
      <c r="J164" s="88">
        <f t="shared" si="11"/>
        <v>-4</v>
      </c>
      <c r="K164" s="88">
        <f t="shared" si="12"/>
        <v>-40</v>
      </c>
      <c r="L164" s="88"/>
      <c r="M164" s="90">
        <f t="shared" si="13"/>
        <v>0</v>
      </c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</row>
    <row r="165" spans="1:38" s="74" customFormat="1" x14ac:dyDescent="0.25">
      <c r="A165" s="106"/>
      <c r="B165" s="105"/>
      <c r="C165" s="105"/>
      <c r="D165" s="105"/>
      <c r="E165" s="105"/>
      <c r="F165" s="105"/>
      <c r="H165" s="88">
        <v>160</v>
      </c>
      <c r="I165" s="89" t="str">
        <f t="shared" si="10"/>
        <v/>
      </c>
      <c r="J165" s="88">
        <f t="shared" si="11"/>
        <v>-4</v>
      </c>
      <c r="K165" s="88">
        <f t="shared" si="12"/>
        <v>-40</v>
      </c>
      <c r="L165" s="88"/>
      <c r="M165" s="90">
        <f t="shared" si="13"/>
        <v>0</v>
      </c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</row>
    <row r="166" spans="1:38" s="74" customFormat="1" x14ac:dyDescent="0.25">
      <c r="A166" s="106"/>
      <c r="B166" s="105"/>
      <c r="C166" s="105"/>
      <c r="D166" s="105"/>
      <c r="E166" s="105"/>
      <c r="F166" s="105"/>
      <c r="H166" s="88">
        <v>161</v>
      </c>
      <c r="I166" s="89" t="str">
        <f t="shared" si="10"/>
        <v/>
      </c>
      <c r="J166" s="88">
        <f t="shared" si="11"/>
        <v>-4</v>
      </c>
      <c r="K166" s="88">
        <f t="shared" si="12"/>
        <v>-40</v>
      </c>
      <c r="L166" s="88"/>
      <c r="M166" s="90">
        <f t="shared" si="13"/>
        <v>0</v>
      </c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</row>
    <row r="167" spans="1:38" s="74" customFormat="1" x14ac:dyDescent="0.25">
      <c r="A167" s="106"/>
      <c r="B167" s="105"/>
      <c r="C167" s="105"/>
      <c r="D167" s="105"/>
      <c r="E167" s="105"/>
      <c r="F167" s="105"/>
      <c r="H167" s="88">
        <v>162</v>
      </c>
      <c r="I167" s="89" t="str">
        <f t="shared" si="10"/>
        <v/>
      </c>
      <c r="J167" s="88">
        <f t="shared" si="11"/>
        <v>-4</v>
      </c>
      <c r="K167" s="88">
        <f t="shared" si="12"/>
        <v>-40</v>
      </c>
      <c r="L167" s="88"/>
      <c r="M167" s="90">
        <f t="shared" si="13"/>
        <v>0</v>
      </c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79"/>
    </row>
    <row r="168" spans="1:38" s="74" customFormat="1" x14ac:dyDescent="0.25">
      <c r="A168" s="106"/>
      <c r="B168" s="105"/>
      <c r="C168" s="105"/>
      <c r="D168" s="105"/>
      <c r="E168" s="105"/>
      <c r="F168" s="105"/>
      <c r="H168" s="88">
        <v>163</v>
      </c>
      <c r="I168" s="89" t="str">
        <f t="shared" si="10"/>
        <v/>
      </c>
      <c r="J168" s="88">
        <f t="shared" si="11"/>
        <v>-4</v>
      </c>
      <c r="K168" s="88">
        <f t="shared" si="12"/>
        <v>-40</v>
      </c>
      <c r="L168" s="88"/>
      <c r="M168" s="90">
        <f t="shared" si="13"/>
        <v>0</v>
      </c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</row>
    <row r="169" spans="1:38" s="74" customFormat="1" x14ac:dyDescent="0.25">
      <c r="A169" s="106"/>
      <c r="B169" s="105"/>
      <c r="C169" s="105" t="s">
        <v>34</v>
      </c>
      <c r="D169" s="105"/>
      <c r="E169" s="105"/>
      <c r="F169" s="105"/>
      <c r="H169" s="88">
        <v>164</v>
      </c>
      <c r="I169" s="89" t="str">
        <f t="shared" si="10"/>
        <v/>
      </c>
      <c r="J169" s="88">
        <f t="shared" si="11"/>
        <v>-4</v>
      </c>
      <c r="K169" s="88">
        <f t="shared" si="12"/>
        <v>-40</v>
      </c>
      <c r="L169" s="88"/>
      <c r="M169" s="90">
        <f t="shared" si="13"/>
        <v>0</v>
      </c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</row>
    <row r="170" spans="1:38" s="74" customFormat="1" x14ac:dyDescent="0.25">
      <c r="A170" s="106"/>
      <c r="B170" s="105"/>
      <c r="C170" s="105"/>
      <c r="D170" s="105"/>
      <c r="E170" s="105"/>
      <c r="F170" s="105"/>
      <c r="H170" s="88">
        <v>165</v>
      </c>
      <c r="I170" s="89" t="str">
        <f t="shared" si="10"/>
        <v/>
      </c>
      <c r="J170" s="88">
        <f t="shared" si="11"/>
        <v>-4</v>
      </c>
      <c r="K170" s="88">
        <f t="shared" si="12"/>
        <v>-40</v>
      </c>
      <c r="L170" s="88"/>
      <c r="M170" s="90">
        <f t="shared" si="13"/>
        <v>0</v>
      </c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</row>
    <row r="171" spans="1:38" s="74" customFormat="1" x14ac:dyDescent="0.25">
      <c r="A171" s="106"/>
      <c r="B171" s="105"/>
      <c r="C171" s="105"/>
      <c r="D171" s="105"/>
      <c r="E171" s="105"/>
      <c r="F171" s="105"/>
      <c r="H171" s="88">
        <v>166</v>
      </c>
      <c r="I171" s="89" t="str">
        <f t="shared" si="10"/>
        <v/>
      </c>
      <c r="J171" s="88">
        <f t="shared" si="11"/>
        <v>-4</v>
      </c>
      <c r="K171" s="88">
        <f t="shared" si="12"/>
        <v>-40</v>
      </c>
      <c r="L171" s="88"/>
      <c r="M171" s="90">
        <f t="shared" si="13"/>
        <v>0</v>
      </c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</row>
    <row r="172" spans="1:38" s="74" customFormat="1" x14ac:dyDescent="0.25">
      <c r="A172" s="106"/>
      <c r="B172" s="105"/>
      <c r="C172" s="105"/>
      <c r="D172" s="105"/>
      <c r="E172" s="105"/>
      <c r="F172" s="105"/>
      <c r="H172" s="88">
        <v>167</v>
      </c>
      <c r="I172" s="89" t="str">
        <f t="shared" si="10"/>
        <v/>
      </c>
      <c r="J172" s="88">
        <f t="shared" si="11"/>
        <v>-4</v>
      </c>
      <c r="K172" s="88">
        <f t="shared" si="12"/>
        <v>-40</v>
      </c>
      <c r="L172" s="88"/>
      <c r="M172" s="90">
        <f t="shared" si="13"/>
        <v>0</v>
      </c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</row>
    <row r="173" spans="1:38" s="74" customFormat="1" x14ac:dyDescent="0.25">
      <c r="A173" s="106"/>
      <c r="B173" s="105"/>
      <c r="C173" s="105"/>
      <c r="D173" s="105"/>
      <c r="E173" s="105"/>
      <c r="F173" s="105"/>
      <c r="H173" s="88">
        <v>168</v>
      </c>
      <c r="I173" s="89" t="str">
        <f t="shared" si="10"/>
        <v/>
      </c>
      <c r="J173" s="88">
        <f t="shared" si="11"/>
        <v>-4</v>
      </c>
      <c r="K173" s="88">
        <f t="shared" si="12"/>
        <v>-40</v>
      </c>
      <c r="L173" s="88"/>
      <c r="M173" s="90">
        <f t="shared" si="13"/>
        <v>0</v>
      </c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</row>
    <row r="174" spans="1:38" s="74" customFormat="1" x14ac:dyDescent="0.25">
      <c r="A174" s="106"/>
      <c r="B174" s="105"/>
      <c r="C174" s="105"/>
      <c r="D174" s="105"/>
      <c r="E174" s="105"/>
      <c r="F174" s="105"/>
      <c r="H174" s="88">
        <v>169</v>
      </c>
      <c r="I174" s="89" t="str">
        <f t="shared" si="10"/>
        <v/>
      </c>
      <c r="J174" s="88">
        <f t="shared" si="11"/>
        <v>-4</v>
      </c>
      <c r="K174" s="88">
        <f t="shared" si="12"/>
        <v>-40</v>
      </c>
      <c r="L174" s="88"/>
      <c r="M174" s="90">
        <f t="shared" si="13"/>
        <v>0</v>
      </c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</row>
    <row r="175" spans="1:38" s="74" customFormat="1" x14ac:dyDescent="0.25">
      <c r="A175" s="106"/>
      <c r="B175" s="105"/>
      <c r="C175" s="105"/>
      <c r="D175" s="105"/>
      <c r="E175" s="105"/>
      <c r="F175" s="105"/>
      <c r="H175" s="88">
        <v>170</v>
      </c>
      <c r="I175" s="89" t="str">
        <f t="shared" si="10"/>
        <v/>
      </c>
      <c r="J175" s="88">
        <f t="shared" si="11"/>
        <v>-4</v>
      </c>
      <c r="K175" s="88">
        <f t="shared" si="12"/>
        <v>-40</v>
      </c>
      <c r="L175" s="88"/>
      <c r="M175" s="90">
        <f t="shared" si="13"/>
        <v>0</v>
      </c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</row>
    <row r="176" spans="1:38" s="74" customFormat="1" x14ac:dyDescent="0.25">
      <c r="A176" s="106"/>
      <c r="B176" s="105"/>
      <c r="C176" s="105"/>
      <c r="D176" s="105"/>
      <c r="E176" s="105"/>
      <c r="F176" s="105"/>
      <c r="H176" s="88">
        <v>171</v>
      </c>
      <c r="I176" s="89" t="str">
        <f t="shared" si="10"/>
        <v/>
      </c>
      <c r="J176" s="88">
        <f t="shared" si="11"/>
        <v>-4</v>
      </c>
      <c r="K176" s="88">
        <f t="shared" si="12"/>
        <v>-40</v>
      </c>
      <c r="L176" s="88"/>
      <c r="M176" s="90">
        <f t="shared" si="13"/>
        <v>0</v>
      </c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</row>
    <row r="177" spans="1:38" s="74" customFormat="1" x14ac:dyDescent="0.25">
      <c r="A177" s="106"/>
      <c r="B177" s="105"/>
      <c r="C177" s="105"/>
      <c r="D177" s="105"/>
      <c r="E177" s="105"/>
      <c r="F177" s="105"/>
      <c r="H177" s="88">
        <v>172</v>
      </c>
      <c r="I177" s="89" t="str">
        <f t="shared" si="10"/>
        <v/>
      </c>
      <c r="J177" s="88">
        <f t="shared" si="11"/>
        <v>-4</v>
      </c>
      <c r="K177" s="88">
        <f t="shared" si="12"/>
        <v>-40</v>
      </c>
      <c r="L177" s="88"/>
      <c r="M177" s="90">
        <f t="shared" si="13"/>
        <v>0</v>
      </c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</row>
    <row r="178" spans="1:38" s="74" customFormat="1" x14ac:dyDescent="0.25">
      <c r="A178" s="106"/>
      <c r="B178" s="105"/>
      <c r="C178" s="105"/>
      <c r="D178" s="105"/>
      <c r="E178" s="105"/>
      <c r="F178" s="105"/>
      <c r="H178" s="88">
        <v>173</v>
      </c>
      <c r="I178" s="89" t="str">
        <f t="shared" si="10"/>
        <v/>
      </c>
      <c r="J178" s="88">
        <f t="shared" si="11"/>
        <v>-4</v>
      </c>
      <c r="K178" s="88">
        <f t="shared" si="12"/>
        <v>-40</v>
      </c>
      <c r="L178" s="88"/>
      <c r="M178" s="90">
        <f t="shared" si="13"/>
        <v>0</v>
      </c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</row>
    <row r="179" spans="1:38" s="74" customFormat="1" x14ac:dyDescent="0.25">
      <c r="A179" s="106"/>
      <c r="B179" s="105"/>
      <c r="C179" s="105"/>
      <c r="D179" s="105"/>
      <c r="E179" s="105"/>
      <c r="F179" s="105"/>
      <c r="H179" s="88">
        <v>174</v>
      </c>
      <c r="I179" s="89" t="str">
        <f t="shared" si="10"/>
        <v/>
      </c>
      <c r="J179" s="88">
        <f t="shared" si="11"/>
        <v>-4</v>
      </c>
      <c r="K179" s="88">
        <f t="shared" si="12"/>
        <v>-40</v>
      </c>
      <c r="L179" s="88"/>
      <c r="M179" s="90">
        <f t="shared" si="13"/>
        <v>0</v>
      </c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</row>
    <row r="180" spans="1:38" s="74" customFormat="1" x14ac:dyDescent="0.25">
      <c r="A180" s="106"/>
      <c r="B180" s="105"/>
      <c r="C180" s="105"/>
      <c r="D180" s="105"/>
      <c r="E180" s="105"/>
      <c r="F180" s="105"/>
      <c r="H180" s="88">
        <v>175</v>
      </c>
      <c r="I180" s="89" t="str">
        <f t="shared" si="10"/>
        <v/>
      </c>
      <c r="J180" s="88">
        <f t="shared" si="11"/>
        <v>-4</v>
      </c>
      <c r="K180" s="88">
        <f t="shared" si="12"/>
        <v>-40</v>
      </c>
      <c r="L180" s="88"/>
      <c r="M180" s="90">
        <f t="shared" si="13"/>
        <v>0</v>
      </c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</row>
    <row r="181" spans="1:38" s="74" customFormat="1" x14ac:dyDescent="0.25">
      <c r="A181" s="106"/>
      <c r="B181" s="105"/>
      <c r="C181" s="105"/>
      <c r="D181" s="105"/>
      <c r="E181" s="105"/>
      <c r="F181" s="105"/>
      <c r="H181" s="88">
        <v>176</v>
      </c>
      <c r="I181" s="89" t="str">
        <f t="shared" si="10"/>
        <v/>
      </c>
      <c r="J181" s="88">
        <f t="shared" si="11"/>
        <v>-4</v>
      </c>
      <c r="K181" s="88">
        <f t="shared" si="12"/>
        <v>-40</v>
      </c>
      <c r="L181" s="88"/>
      <c r="M181" s="90">
        <f t="shared" si="13"/>
        <v>0</v>
      </c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</row>
    <row r="182" spans="1:38" s="74" customFormat="1" x14ac:dyDescent="0.25">
      <c r="A182" s="106"/>
      <c r="B182" s="105"/>
      <c r="C182" s="105"/>
      <c r="D182" s="105"/>
      <c r="E182" s="105"/>
      <c r="F182" s="105"/>
      <c r="H182" s="88">
        <v>177</v>
      </c>
      <c r="I182" s="89" t="str">
        <f t="shared" si="10"/>
        <v/>
      </c>
      <c r="J182" s="88">
        <f t="shared" si="11"/>
        <v>-4</v>
      </c>
      <c r="K182" s="88">
        <f t="shared" si="12"/>
        <v>-40</v>
      </c>
      <c r="L182" s="88"/>
      <c r="M182" s="90">
        <f t="shared" si="13"/>
        <v>0</v>
      </c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</row>
    <row r="183" spans="1:38" s="74" customFormat="1" x14ac:dyDescent="0.25">
      <c r="A183" s="106"/>
      <c r="B183" s="105"/>
      <c r="C183" s="105"/>
      <c r="D183" s="105"/>
      <c r="E183" s="105"/>
      <c r="F183" s="105"/>
      <c r="H183" s="88">
        <v>178</v>
      </c>
      <c r="I183" s="89" t="str">
        <f t="shared" si="10"/>
        <v/>
      </c>
      <c r="J183" s="88">
        <f t="shared" si="11"/>
        <v>-4</v>
      </c>
      <c r="K183" s="88">
        <f t="shared" si="12"/>
        <v>-40</v>
      </c>
      <c r="L183" s="88"/>
      <c r="M183" s="90">
        <f t="shared" si="13"/>
        <v>0</v>
      </c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</row>
    <row r="184" spans="1:38" s="74" customFormat="1" x14ac:dyDescent="0.25">
      <c r="A184" s="106"/>
      <c r="B184" s="105"/>
      <c r="C184" s="105"/>
      <c r="D184" s="105"/>
      <c r="E184" s="105"/>
      <c r="F184" s="105"/>
      <c r="H184" s="88">
        <v>179</v>
      </c>
      <c r="I184" s="89" t="str">
        <f t="shared" si="10"/>
        <v/>
      </c>
      <c r="J184" s="88">
        <f t="shared" si="11"/>
        <v>-4</v>
      </c>
      <c r="K184" s="88">
        <f t="shared" si="12"/>
        <v>-40</v>
      </c>
      <c r="L184" s="88"/>
      <c r="M184" s="90">
        <f t="shared" si="13"/>
        <v>0</v>
      </c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</row>
    <row r="185" spans="1:38" s="74" customFormat="1" x14ac:dyDescent="0.25">
      <c r="A185" s="106"/>
      <c r="B185" s="105"/>
      <c r="C185" s="105"/>
      <c r="D185" s="105"/>
      <c r="E185" s="105"/>
      <c r="F185" s="105"/>
      <c r="H185" s="88">
        <v>180</v>
      </c>
      <c r="I185" s="89" t="str">
        <f t="shared" si="10"/>
        <v/>
      </c>
      <c r="J185" s="88">
        <f t="shared" si="11"/>
        <v>-4</v>
      </c>
      <c r="K185" s="88">
        <f t="shared" si="12"/>
        <v>-40</v>
      </c>
      <c r="L185" s="88"/>
      <c r="M185" s="90">
        <f t="shared" si="13"/>
        <v>0</v>
      </c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</row>
    <row r="186" spans="1:38" s="74" customFormat="1" x14ac:dyDescent="0.25">
      <c r="A186" s="106"/>
      <c r="B186" s="105"/>
      <c r="C186" s="105"/>
      <c r="D186" s="105"/>
      <c r="E186" s="105"/>
      <c r="F186" s="105"/>
      <c r="H186" s="88">
        <v>181</v>
      </c>
      <c r="I186" s="89" t="str">
        <f t="shared" si="10"/>
        <v/>
      </c>
      <c r="J186" s="88">
        <f t="shared" si="11"/>
        <v>-4</v>
      </c>
      <c r="K186" s="88">
        <f t="shared" si="12"/>
        <v>-40</v>
      </c>
      <c r="L186" s="88"/>
      <c r="M186" s="90">
        <f t="shared" si="13"/>
        <v>0</v>
      </c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</row>
    <row r="187" spans="1:38" s="74" customFormat="1" x14ac:dyDescent="0.25">
      <c r="A187" s="106"/>
      <c r="B187" s="105"/>
      <c r="C187" s="105"/>
      <c r="D187" s="105"/>
      <c r="E187" s="105"/>
      <c r="F187" s="105"/>
      <c r="H187" s="88">
        <v>182</v>
      </c>
      <c r="I187" s="89" t="str">
        <f t="shared" si="10"/>
        <v/>
      </c>
      <c r="J187" s="88">
        <f t="shared" si="11"/>
        <v>-4</v>
      </c>
      <c r="K187" s="88">
        <f t="shared" si="12"/>
        <v>-40</v>
      </c>
      <c r="L187" s="88"/>
      <c r="M187" s="90">
        <f t="shared" si="13"/>
        <v>0</v>
      </c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79"/>
    </row>
    <row r="188" spans="1:38" s="74" customFormat="1" x14ac:dyDescent="0.25">
      <c r="A188" s="106"/>
      <c r="B188" s="105"/>
      <c r="C188" s="105"/>
      <c r="D188" s="105"/>
      <c r="E188" s="105"/>
      <c r="F188" s="105"/>
      <c r="H188" s="88">
        <v>183</v>
      </c>
      <c r="I188" s="89" t="str">
        <f t="shared" si="10"/>
        <v/>
      </c>
      <c r="J188" s="88">
        <f t="shared" si="11"/>
        <v>-4</v>
      </c>
      <c r="K188" s="88">
        <f t="shared" si="12"/>
        <v>-40</v>
      </c>
      <c r="L188" s="88"/>
      <c r="M188" s="90">
        <f t="shared" si="13"/>
        <v>0</v>
      </c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</row>
    <row r="189" spans="1:38" s="74" customFormat="1" x14ac:dyDescent="0.25">
      <c r="A189" s="106"/>
      <c r="B189" s="105"/>
      <c r="C189" s="105"/>
      <c r="D189" s="105"/>
      <c r="E189" s="105"/>
      <c r="F189" s="105"/>
      <c r="H189" s="88">
        <v>184</v>
      </c>
      <c r="I189" s="89" t="str">
        <f t="shared" si="10"/>
        <v/>
      </c>
      <c r="J189" s="88">
        <f t="shared" si="11"/>
        <v>-4</v>
      </c>
      <c r="K189" s="88">
        <f t="shared" si="12"/>
        <v>-40</v>
      </c>
      <c r="L189" s="88"/>
      <c r="M189" s="90">
        <f t="shared" si="13"/>
        <v>0</v>
      </c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</row>
    <row r="190" spans="1:38" s="74" customFormat="1" x14ac:dyDescent="0.25">
      <c r="A190" s="106"/>
      <c r="B190" s="105"/>
      <c r="C190" s="105"/>
      <c r="D190" s="105"/>
      <c r="E190" s="105"/>
      <c r="F190" s="105"/>
      <c r="H190" s="88">
        <v>185</v>
      </c>
      <c r="I190" s="89" t="str">
        <f t="shared" si="10"/>
        <v/>
      </c>
      <c r="J190" s="88">
        <f t="shared" si="11"/>
        <v>-4</v>
      </c>
      <c r="K190" s="88">
        <f t="shared" si="12"/>
        <v>-40</v>
      </c>
      <c r="L190" s="88"/>
      <c r="M190" s="90">
        <f t="shared" si="13"/>
        <v>0</v>
      </c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</row>
    <row r="191" spans="1:38" s="74" customFormat="1" x14ac:dyDescent="0.25">
      <c r="A191" s="106"/>
      <c r="B191" s="105"/>
      <c r="C191" s="105"/>
      <c r="D191" s="105"/>
      <c r="E191" s="105"/>
      <c r="F191" s="105"/>
      <c r="H191" s="88">
        <v>186</v>
      </c>
      <c r="I191" s="89" t="str">
        <f t="shared" si="10"/>
        <v/>
      </c>
      <c r="J191" s="88">
        <f t="shared" si="11"/>
        <v>-4</v>
      </c>
      <c r="K191" s="88">
        <f t="shared" si="12"/>
        <v>-40</v>
      </c>
      <c r="L191" s="88"/>
      <c r="M191" s="90">
        <f t="shared" si="13"/>
        <v>0</v>
      </c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</row>
    <row r="192" spans="1:38" s="74" customFormat="1" x14ac:dyDescent="0.25">
      <c r="A192" s="106"/>
      <c r="B192" s="105"/>
      <c r="C192" s="105"/>
      <c r="D192" s="105"/>
      <c r="E192" s="105"/>
      <c r="F192" s="105"/>
      <c r="H192" s="88">
        <v>187</v>
      </c>
      <c r="I192" s="89" t="str">
        <f t="shared" si="10"/>
        <v/>
      </c>
      <c r="J192" s="88">
        <f t="shared" si="11"/>
        <v>-4</v>
      </c>
      <c r="K192" s="88">
        <f t="shared" si="12"/>
        <v>-40</v>
      </c>
      <c r="L192" s="88"/>
      <c r="M192" s="90">
        <f t="shared" si="13"/>
        <v>0</v>
      </c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</row>
    <row r="193" spans="1:38" s="74" customFormat="1" x14ac:dyDescent="0.25">
      <c r="A193" s="106"/>
      <c r="B193" s="105"/>
      <c r="C193" s="105"/>
      <c r="D193" s="105"/>
      <c r="E193" s="105"/>
      <c r="F193" s="105"/>
      <c r="H193" s="88">
        <v>188</v>
      </c>
      <c r="I193" s="89" t="str">
        <f t="shared" si="10"/>
        <v/>
      </c>
      <c r="J193" s="88">
        <f t="shared" si="11"/>
        <v>-4</v>
      </c>
      <c r="K193" s="88">
        <f t="shared" si="12"/>
        <v>-40</v>
      </c>
      <c r="L193" s="88"/>
      <c r="M193" s="90">
        <f t="shared" si="13"/>
        <v>0</v>
      </c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</row>
    <row r="194" spans="1:38" s="74" customFormat="1" x14ac:dyDescent="0.25">
      <c r="A194" s="106"/>
      <c r="B194" s="105"/>
      <c r="C194" s="105"/>
      <c r="D194" s="105"/>
      <c r="E194" s="105"/>
      <c r="F194" s="105"/>
      <c r="H194" s="88">
        <v>189</v>
      </c>
      <c r="I194" s="89" t="str">
        <f t="shared" si="10"/>
        <v/>
      </c>
      <c r="J194" s="88">
        <f t="shared" si="11"/>
        <v>-4</v>
      </c>
      <c r="K194" s="88">
        <f t="shared" si="12"/>
        <v>-40</v>
      </c>
      <c r="L194" s="88"/>
      <c r="M194" s="90">
        <f t="shared" si="13"/>
        <v>0</v>
      </c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</row>
    <row r="195" spans="1:38" s="74" customFormat="1" x14ac:dyDescent="0.25">
      <c r="A195" s="106"/>
      <c r="B195" s="105"/>
      <c r="C195" s="105"/>
      <c r="D195" s="105"/>
      <c r="E195" s="105"/>
      <c r="F195" s="105"/>
      <c r="H195" s="88">
        <v>190</v>
      </c>
      <c r="I195" s="89" t="str">
        <f t="shared" si="10"/>
        <v/>
      </c>
      <c r="J195" s="88">
        <f t="shared" si="11"/>
        <v>-4</v>
      </c>
      <c r="K195" s="88">
        <f t="shared" si="12"/>
        <v>-40</v>
      </c>
      <c r="L195" s="88"/>
      <c r="M195" s="90">
        <f t="shared" si="13"/>
        <v>0</v>
      </c>
      <c r="S195" s="79"/>
      <c r="T195" s="79"/>
      <c r="U195" s="79"/>
      <c r="V195" s="79"/>
      <c r="W195" s="79"/>
      <c r="X195" s="79"/>
      <c r="Y195" s="79"/>
      <c r="Z195" s="79"/>
      <c r="AA195" s="79"/>
      <c r="AB195" s="79"/>
      <c r="AC195" s="79"/>
      <c r="AD195" s="79"/>
      <c r="AE195" s="79"/>
      <c r="AF195" s="79"/>
      <c r="AG195" s="79"/>
      <c r="AH195" s="79"/>
      <c r="AI195" s="79"/>
      <c r="AJ195" s="79"/>
      <c r="AK195" s="79"/>
      <c r="AL195" s="79"/>
    </row>
    <row r="196" spans="1:38" s="74" customFormat="1" x14ac:dyDescent="0.25">
      <c r="A196" s="106"/>
      <c r="B196" s="105"/>
      <c r="C196" s="105"/>
      <c r="D196" s="105"/>
      <c r="E196" s="105"/>
      <c r="F196" s="105"/>
      <c r="H196" s="88">
        <v>191</v>
      </c>
      <c r="I196" s="89" t="str">
        <f t="shared" si="10"/>
        <v/>
      </c>
      <c r="J196" s="88">
        <f t="shared" si="11"/>
        <v>-4</v>
      </c>
      <c r="K196" s="88">
        <f t="shared" si="12"/>
        <v>-40</v>
      </c>
      <c r="L196" s="88"/>
      <c r="M196" s="90">
        <f t="shared" si="13"/>
        <v>0</v>
      </c>
      <c r="S196" s="79"/>
      <c r="T196" s="79"/>
      <c r="U196" s="79"/>
      <c r="V196" s="79"/>
      <c r="W196" s="79"/>
      <c r="X196" s="79"/>
      <c r="Y196" s="79"/>
      <c r="Z196" s="79"/>
      <c r="AA196" s="79"/>
      <c r="AB196" s="79"/>
      <c r="AC196" s="79"/>
      <c r="AD196" s="79"/>
      <c r="AE196" s="79"/>
      <c r="AF196" s="79"/>
      <c r="AG196" s="79"/>
      <c r="AH196" s="79"/>
      <c r="AI196" s="79"/>
      <c r="AJ196" s="79"/>
      <c r="AK196" s="79"/>
      <c r="AL196" s="79"/>
    </row>
    <row r="197" spans="1:38" s="74" customFormat="1" x14ac:dyDescent="0.25">
      <c r="A197" s="106"/>
      <c r="B197" s="105"/>
      <c r="C197" s="105"/>
      <c r="D197" s="105"/>
      <c r="E197" s="105"/>
      <c r="F197" s="105"/>
      <c r="H197" s="88">
        <v>192</v>
      </c>
      <c r="I197" s="89" t="str">
        <f t="shared" si="10"/>
        <v/>
      </c>
      <c r="J197" s="88">
        <f t="shared" si="11"/>
        <v>-4</v>
      </c>
      <c r="K197" s="88">
        <f t="shared" si="12"/>
        <v>-40</v>
      </c>
      <c r="L197" s="88"/>
      <c r="M197" s="90">
        <f t="shared" si="13"/>
        <v>0</v>
      </c>
      <c r="S197" s="79"/>
      <c r="T197" s="79"/>
      <c r="U197" s="79"/>
      <c r="V197" s="79"/>
      <c r="W197" s="79"/>
      <c r="X197" s="79"/>
      <c r="Y197" s="79"/>
      <c r="Z197" s="79"/>
      <c r="AA197" s="79"/>
      <c r="AB197" s="79"/>
      <c r="AC197" s="79"/>
      <c r="AD197" s="79"/>
      <c r="AE197" s="79"/>
      <c r="AF197" s="79"/>
      <c r="AG197" s="79"/>
      <c r="AH197" s="79"/>
      <c r="AI197" s="79"/>
      <c r="AJ197" s="79"/>
      <c r="AK197" s="79"/>
      <c r="AL197" s="79"/>
    </row>
    <row r="198" spans="1:38" s="74" customFormat="1" x14ac:dyDescent="0.25">
      <c r="A198" s="106"/>
      <c r="B198" s="105"/>
      <c r="C198" s="105"/>
      <c r="D198" s="105"/>
      <c r="E198" s="105"/>
      <c r="F198" s="105"/>
      <c r="H198" s="88">
        <v>193</v>
      </c>
      <c r="I198" s="89" t="str">
        <f t="shared" ref="I198:I261" si="14">IF(H198&lt;$H$2+1,($I$2-($I$2-1)*(LOG(H198)/LOG($H$2))),"")</f>
        <v/>
      </c>
      <c r="J198" s="88">
        <f t="shared" ref="J198:J261" si="15">INT(LOG($H$2,2))-ROUNDUP(LOG(H198,2),0)+IF(OR($H$2=1,$H$2=2,$H$2=4,$H$2=8,$H$2=16,$H$2=32,$H$2=64,$H$2=128,$H$2=256),0,1)</f>
        <v>-4</v>
      </c>
      <c r="K198" s="88">
        <f t="shared" ref="K198:K261" si="16">J198*$J$2</f>
        <v>-40</v>
      </c>
      <c r="L198" s="88"/>
      <c r="M198" s="90">
        <f t="shared" ref="M198:M261" si="17">IF(I198&lt;&gt;"",K198+I198+L198,0)</f>
        <v>0</v>
      </c>
      <c r="S198" s="79"/>
      <c r="T198" s="79"/>
      <c r="U198" s="79"/>
      <c r="V198" s="79"/>
      <c r="W198" s="79"/>
      <c r="X198" s="79"/>
      <c r="Y198" s="79"/>
      <c r="Z198" s="79"/>
      <c r="AA198" s="79"/>
      <c r="AB198" s="79"/>
      <c r="AC198" s="79"/>
      <c r="AD198" s="79"/>
      <c r="AE198" s="79"/>
      <c r="AF198" s="79"/>
      <c r="AG198" s="79"/>
      <c r="AH198" s="79"/>
      <c r="AI198" s="79"/>
      <c r="AJ198" s="79"/>
      <c r="AK198" s="79"/>
      <c r="AL198" s="79"/>
    </row>
    <row r="199" spans="1:38" s="74" customFormat="1" x14ac:dyDescent="0.25">
      <c r="A199" s="106"/>
      <c r="B199" s="105"/>
      <c r="C199" s="105"/>
      <c r="D199" s="105"/>
      <c r="E199" s="105"/>
      <c r="F199" s="105"/>
      <c r="H199" s="88">
        <v>194</v>
      </c>
      <c r="I199" s="89" t="str">
        <f t="shared" si="14"/>
        <v/>
      </c>
      <c r="J199" s="88">
        <f t="shared" si="15"/>
        <v>-4</v>
      </c>
      <c r="K199" s="88">
        <f t="shared" si="16"/>
        <v>-40</v>
      </c>
      <c r="L199" s="88"/>
      <c r="M199" s="90">
        <f t="shared" si="17"/>
        <v>0</v>
      </c>
      <c r="S199" s="79"/>
      <c r="T199" s="79"/>
      <c r="U199" s="79"/>
      <c r="V199" s="79"/>
      <c r="W199" s="79"/>
      <c r="X199" s="79"/>
      <c r="Y199" s="79"/>
      <c r="Z199" s="79"/>
      <c r="AA199" s="79"/>
      <c r="AB199" s="79"/>
      <c r="AC199" s="79"/>
      <c r="AD199" s="79"/>
      <c r="AE199" s="79"/>
      <c r="AF199" s="79"/>
      <c r="AG199" s="79"/>
      <c r="AH199" s="79"/>
      <c r="AI199" s="79"/>
      <c r="AJ199" s="79"/>
      <c r="AK199" s="79"/>
      <c r="AL199" s="79"/>
    </row>
    <row r="200" spans="1:38" s="74" customFormat="1" x14ac:dyDescent="0.25">
      <c r="A200" s="106"/>
      <c r="B200" s="105"/>
      <c r="C200" s="105"/>
      <c r="D200" s="105"/>
      <c r="E200" s="105"/>
      <c r="F200" s="105"/>
      <c r="H200" s="88">
        <v>195</v>
      </c>
      <c r="I200" s="89" t="str">
        <f t="shared" si="14"/>
        <v/>
      </c>
      <c r="J200" s="88">
        <f t="shared" si="15"/>
        <v>-4</v>
      </c>
      <c r="K200" s="88">
        <f t="shared" si="16"/>
        <v>-40</v>
      </c>
      <c r="L200" s="88"/>
      <c r="M200" s="90">
        <f t="shared" si="17"/>
        <v>0</v>
      </c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</row>
    <row r="201" spans="1:38" s="74" customFormat="1" x14ac:dyDescent="0.25">
      <c r="A201" s="106"/>
      <c r="B201" s="105"/>
      <c r="C201" s="105"/>
      <c r="D201" s="105"/>
      <c r="E201" s="105"/>
      <c r="F201" s="105"/>
      <c r="H201" s="88">
        <v>196</v>
      </c>
      <c r="I201" s="89" t="str">
        <f t="shared" si="14"/>
        <v/>
      </c>
      <c r="J201" s="88">
        <f t="shared" si="15"/>
        <v>-4</v>
      </c>
      <c r="K201" s="88">
        <f t="shared" si="16"/>
        <v>-40</v>
      </c>
      <c r="L201" s="88"/>
      <c r="M201" s="90">
        <f t="shared" si="17"/>
        <v>0</v>
      </c>
      <c r="S201" s="79"/>
      <c r="T201" s="79"/>
      <c r="U201" s="79"/>
      <c r="V201" s="79"/>
      <c r="W201" s="79"/>
      <c r="X201" s="79"/>
      <c r="Y201" s="79"/>
      <c r="Z201" s="79"/>
      <c r="AA201" s="79"/>
      <c r="AB201" s="79"/>
      <c r="AC201" s="79"/>
      <c r="AD201" s="79"/>
      <c r="AE201" s="79"/>
      <c r="AF201" s="79"/>
      <c r="AG201" s="79"/>
      <c r="AH201" s="79"/>
      <c r="AI201" s="79"/>
      <c r="AJ201" s="79"/>
      <c r="AK201" s="79"/>
      <c r="AL201" s="79"/>
    </row>
    <row r="202" spans="1:38" s="74" customFormat="1" x14ac:dyDescent="0.25">
      <c r="A202" s="106"/>
      <c r="B202" s="105"/>
      <c r="C202" s="105"/>
      <c r="D202" s="105"/>
      <c r="E202" s="105"/>
      <c r="F202" s="105"/>
      <c r="H202" s="88">
        <v>197</v>
      </c>
      <c r="I202" s="89" t="str">
        <f t="shared" si="14"/>
        <v/>
      </c>
      <c r="J202" s="88">
        <f t="shared" si="15"/>
        <v>-4</v>
      </c>
      <c r="K202" s="88">
        <f t="shared" si="16"/>
        <v>-40</v>
      </c>
      <c r="L202" s="88"/>
      <c r="M202" s="90">
        <f t="shared" si="17"/>
        <v>0</v>
      </c>
      <c r="S202" s="79"/>
      <c r="T202" s="79"/>
      <c r="U202" s="79"/>
      <c r="V202" s="79"/>
      <c r="W202" s="79"/>
      <c r="X202" s="79"/>
      <c r="Y202" s="79"/>
      <c r="Z202" s="79"/>
      <c r="AA202" s="79"/>
      <c r="AB202" s="79"/>
      <c r="AC202" s="79"/>
      <c r="AD202" s="79"/>
      <c r="AE202" s="79"/>
      <c r="AF202" s="79"/>
      <c r="AG202" s="79"/>
      <c r="AH202" s="79"/>
      <c r="AI202" s="79"/>
      <c r="AJ202" s="79"/>
      <c r="AK202" s="79"/>
      <c r="AL202" s="79"/>
    </row>
    <row r="203" spans="1:38" s="74" customFormat="1" x14ac:dyDescent="0.25">
      <c r="A203" s="106"/>
      <c r="B203" s="105"/>
      <c r="C203" s="105"/>
      <c r="D203" s="105"/>
      <c r="E203" s="105"/>
      <c r="F203" s="105"/>
      <c r="H203" s="88">
        <v>198</v>
      </c>
      <c r="I203" s="89" t="str">
        <f t="shared" si="14"/>
        <v/>
      </c>
      <c r="J203" s="88">
        <f t="shared" si="15"/>
        <v>-4</v>
      </c>
      <c r="K203" s="88">
        <f t="shared" si="16"/>
        <v>-40</v>
      </c>
      <c r="L203" s="88"/>
      <c r="M203" s="90">
        <f t="shared" si="17"/>
        <v>0</v>
      </c>
      <c r="S203" s="79"/>
      <c r="T203" s="79"/>
      <c r="U203" s="79"/>
      <c r="V203" s="79"/>
      <c r="W203" s="79"/>
      <c r="X203" s="79"/>
      <c r="Y203" s="79"/>
      <c r="Z203" s="79"/>
      <c r="AA203" s="79"/>
      <c r="AB203" s="79"/>
      <c r="AC203" s="79"/>
      <c r="AD203" s="79"/>
      <c r="AE203" s="79"/>
      <c r="AF203" s="79"/>
      <c r="AG203" s="79"/>
      <c r="AH203" s="79"/>
      <c r="AI203" s="79"/>
      <c r="AJ203" s="79"/>
      <c r="AK203" s="79"/>
      <c r="AL203" s="79"/>
    </row>
    <row r="204" spans="1:38" s="74" customFormat="1" x14ac:dyDescent="0.25">
      <c r="A204" s="106"/>
      <c r="B204" s="105"/>
      <c r="C204" s="105"/>
      <c r="D204" s="105"/>
      <c r="E204" s="105"/>
      <c r="F204" s="105"/>
      <c r="H204" s="88">
        <v>199</v>
      </c>
      <c r="I204" s="89" t="str">
        <f t="shared" si="14"/>
        <v/>
      </c>
      <c r="J204" s="88">
        <f t="shared" si="15"/>
        <v>-4</v>
      </c>
      <c r="K204" s="88">
        <f t="shared" si="16"/>
        <v>-40</v>
      </c>
      <c r="L204" s="88"/>
      <c r="M204" s="90">
        <f t="shared" si="17"/>
        <v>0</v>
      </c>
      <c r="S204" s="79"/>
      <c r="T204" s="79"/>
      <c r="U204" s="79"/>
      <c r="V204" s="79"/>
      <c r="W204" s="79"/>
      <c r="X204" s="79"/>
      <c r="Y204" s="79"/>
      <c r="Z204" s="79"/>
      <c r="AA204" s="79"/>
      <c r="AB204" s="79"/>
      <c r="AC204" s="79"/>
      <c r="AD204" s="79"/>
      <c r="AE204" s="79"/>
      <c r="AF204" s="79"/>
      <c r="AG204" s="79"/>
      <c r="AH204" s="79"/>
      <c r="AI204" s="79"/>
      <c r="AJ204" s="79"/>
      <c r="AK204" s="79"/>
      <c r="AL204" s="79"/>
    </row>
    <row r="205" spans="1:38" s="74" customFormat="1" x14ac:dyDescent="0.25">
      <c r="A205" s="106"/>
      <c r="B205" s="105"/>
      <c r="C205" s="105"/>
      <c r="D205" s="105"/>
      <c r="E205" s="105"/>
      <c r="F205" s="105"/>
      <c r="H205" s="88">
        <v>200</v>
      </c>
      <c r="I205" s="89" t="str">
        <f t="shared" si="14"/>
        <v/>
      </c>
      <c r="J205" s="88">
        <f t="shared" si="15"/>
        <v>-4</v>
      </c>
      <c r="K205" s="88">
        <f t="shared" si="16"/>
        <v>-40</v>
      </c>
      <c r="L205" s="88"/>
      <c r="M205" s="90">
        <f t="shared" si="17"/>
        <v>0</v>
      </c>
      <c r="S205" s="79"/>
      <c r="T205" s="79"/>
      <c r="U205" s="79"/>
      <c r="V205" s="79"/>
      <c r="W205" s="79"/>
      <c r="X205" s="79"/>
      <c r="Y205" s="79"/>
      <c r="Z205" s="79"/>
      <c r="AA205" s="79"/>
      <c r="AB205" s="79"/>
      <c r="AC205" s="79"/>
      <c r="AD205" s="79"/>
      <c r="AE205" s="79"/>
      <c r="AF205" s="79"/>
      <c r="AG205" s="79"/>
      <c r="AH205" s="79"/>
      <c r="AI205" s="79"/>
      <c r="AJ205" s="79"/>
      <c r="AK205" s="79"/>
      <c r="AL205" s="79"/>
    </row>
    <row r="206" spans="1:38" s="74" customFormat="1" x14ac:dyDescent="0.25">
      <c r="A206" s="106"/>
      <c r="B206" s="105"/>
      <c r="C206" s="105"/>
      <c r="D206" s="105"/>
      <c r="E206" s="105"/>
      <c r="F206" s="105"/>
      <c r="H206" s="88">
        <v>201</v>
      </c>
      <c r="I206" s="89" t="str">
        <f t="shared" si="14"/>
        <v/>
      </c>
      <c r="J206" s="88">
        <f t="shared" si="15"/>
        <v>-4</v>
      </c>
      <c r="K206" s="88">
        <f t="shared" si="16"/>
        <v>-40</v>
      </c>
      <c r="L206" s="88"/>
      <c r="M206" s="90">
        <f t="shared" si="17"/>
        <v>0</v>
      </c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  <c r="AF206" s="79"/>
      <c r="AG206" s="79"/>
      <c r="AH206" s="79"/>
      <c r="AI206" s="79"/>
      <c r="AJ206" s="79"/>
      <c r="AK206" s="79"/>
      <c r="AL206" s="79"/>
    </row>
    <row r="207" spans="1:38" s="74" customFormat="1" x14ac:dyDescent="0.25">
      <c r="A207" s="106"/>
      <c r="B207" s="105"/>
      <c r="C207" s="105"/>
      <c r="D207" s="105"/>
      <c r="E207" s="105"/>
      <c r="F207" s="105"/>
      <c r="H207" s="88">
        <v>202</v>
      </c>
      <c r="I207" s="89" t="str">
        <f t="shared" si="14"/>
        <v/>
      </c>
      <c r="J207" s="88">
        <f t="shared" si="15"/>
        <v>-4</v>
      </c>
      <c r="K207" s="88">
        <f t="shared" si="16"/>
        <v>-40</v>
      </c>
      <c r="L207" s="88"/>
      <c r="M207" s="90">
        <f t="shared" si="17"/>
        <v>0</v>
      </c>
      <c r="S207" s="79"/>
      <c r="T207" s="79"/>
      <c r="U207" s="79"/>
      <c r="V207" s="79"/>
      <c r="W207" s="79"/>
      <c r="X207" s="79"/>
      <c r="Y207" s="79"/>
      <c r="Z207" s="79"/>
      <c r="AA207" s="79"/>
      <c r="AB207" s="79"/>
      <c r="AC207" s="79"/>
      <c r="AD207" s="79"/>
      <c r="AE207" s="79"/>
      <c r="AF207" s="79"/>
      <c r="AG207" s="79"/>
      <c r="AH207" s="79"/>
      <c r="AI207" s="79"/>
      <c r="AJ207" s="79"/>
      <c r="AK207" s="79"/>
      <c r="AL207" s="79"/>
    </row>
    <row r="208" spans="1:38" s="74" customFormat="1" x14ac:dyDescent="0.25">
      <c r="A208" s="106"/>
      <c r="B208" s="105"/>
      <c r="C208" s="105"/>
      <c r="D208" s="105"/>
      <c r="E208" s="105"/>
      <c r="F208" s="105"/>
      <c r="H208" s="88">
        <v>203</v>
      </c>
      <c r="I208" s="89" t="str">
        <f t="shared" si="14"/>
        <v/>
      </c>
      <c r="J208" s="88">
        <f t="shared" si="15"/>
        <v>-4</v>
      </c>
      <c r="K208" s="88">
        <f t="shared" si="16"/>
        <v>-40</v>
      </c>
      <c r="L208" s="88"/>
      <c r="M208" s="90">
        <f t="shared" si="17"/>
        <v>0</v>
      </c>
      <c r="S208" s="79"/>
      <c r="T208" s="79"/>
      <c r="U208" s="79"/>
      <c r="V208" s="79"/>
      <c r="W208" s="79"/>
      <c r="X208" s="79"/>
      <c r="Y208" s="79"/>
      <c r="Z208" s="79"/>
      <c r="AA208" s="79"/>
      <c r="AB208" s="79"/>
      <c r="AC208" s="79"/>
      <c r="AD208" s="79"/>
      <c r="AE208" s="79"/>
      <c r="AF208" s="79"/>
      <c r="AG208" s="79"/>
      <c r="AH208" s="79"/>
      <c r="AI208" s="79"/>
      <c r="AJ208" s="79"/>
      <c r="AK208" s="79"/>
      <c r="AL208" s="79"/>
    </row>
    <row r="209" spans="1:38" s="74" customFormat="1" x14ac:dyDescent="0.25">
      <c r="A209" s="106"/>
      <c r="B209" s="105"/>
      <c r="C209" s="105"/>
      <c r="D209" s="105"/>
      <c r="E209" s="105"/>
      <c r="F209" s="105"/>
      <c r="H209" s="88">
        <v>204</v>
      </c>
      <c r="I209" s="89" t="str">
        <f t="shared" si="14"/>
        <v/>
      </c>
      <c r="J209" s="88">
        <f t="shared" si="15"/>
        <v>-4</v>
      </c>
      <c r="K209" s="88">
        <f t="shared" si="16"/>
        <v>-40</v>
      </c>
      <c r="L209" s="88"/>
      <c r="M209" s="90">
        <f t="shared" si="17"/>
        <v>0</v>
      </c>
      <c r="S209" s="79"/>
      <c r="T209" s="79"/>
      <c r="U209" s="79"/>
      <c r="V209" s="79"/>
      <c r="W209" s="79"/>
      <c r="X209" s="79"/>
      <c r="Y209" s="79"/>
      <c r="Z209" s="79"/>
      <c r="AA209" s="79"/>
      <c r="AB209" s="79"/>
      <c r="AC209" s="79"/>
      <c r="AD209" s="79"/>
      <c r="AE209" s="79"/>
      <c r="AF209" s="79"/>
      <c r="AG209" s="79"/>
      <c r="AH209" s="79"/>
      <c r="AI209" s="79"/>
      <c r="AJ209" s="79"/>
      <c r="AK209" s="79"/>
      <c r="AL209" s="79"/>
    </row>
    <row r="210" spans="1:38" s="74" customFormat="1" x14ac:dyDescent="0.25">
      <c r="A210" s="106"/>
      <c r="B210" s="105"/>
      <c r="C210" s="105"/>
      <c r="D210" s="105"/>
      <c r="E210" s="105"/>
      <c r="F210" s="105"/>
      <c r="H210" s="88">
        <v>205</v>
      </c>
      <c r="I210" s="89" t="str">
        <f t="shared" si="14"/>
        <v/>
      </c>
      <c r="J210" s="88">
        <f t="shared" si="15"/>
        <v>-4</v>
      </c>
      <c r="K210" s="88">
        <f t="shared" si="16"/>
        <v>-40</v>
      </c>
      <c r="L210" s="88"/>
      <c r="M210" s="90">
        <f t="shared" si="17"/>
        <v>0</v>
      </c>
      <c r="S210" s="79"/>
      <c r="T210" s="79"/>
      <c r="U210" s="79"/>
      <c r="V210" s="79"/>
      <c r="W210" s="79"/>
      <c r="X210" s="79"/>
      <c r="Y210" s="79"/>
      <c r="Z210" s="79"/>
      <c r="AA210" s="79"/>
      <c r="AB210" s="79"/>
      <c r="AC210" s="79"/>
      <c r="AD210" s="79"/>
      <c r="AE210" s="79"/>
      <c r="AF210" s="79"/>
      <c r="AG210" s="79"/>
      <c r="AH210" s="79"/>
      <c r="AI210" s="79"/>
      <c r="AJ210" s="79"/>
      <c r="AK210" s="79"/>
      <c r="AL210" s="79"/>
    </row>
    <row r="211" spans="1:38" s="74" customFormat="1" x14ac:dyDescent="0.25">
      <c r="A211" s="106"/>
      <c r="B211" s="105"/>
      <c r="C211" s="105"/>
      <c r="D211" s="105"/>
      <c r="E211" s="105"/>
      <c r="F211" s="105"/>
      <c r="H211" s="88">
        <v>206</v>
      </c>
      <c r="I211" s="89" t="str">
        <f t="shared" si="14"/>
        <v/>
      </c>
      <c r="J211" s="88">
        <f t="shared" si="15"/>
        <v>-4</v>
      </c>
      <c r="K211" s="88">
        <f t="shared" si="16"/>
        <v>-40</v>
      </c>
      <c r="L211" s="88"/>
      <c r="M211" s="90">
        <f t="shared" si="17"/>
        <v>0</v>
      </c>
      <c r="S211" s="79"/>
      <c r="T211" s="79"/>
      <c r="U211" s="79"/>
      <c r="V211" s="79"/>
      <c r="W211" s="79"/>
      <c r="X211" s="79"/>
      <c r="Y211" s="79"/>
      <c r="Z211" s="79"/>
      <c r="AA211" s="79"/>
      <c r="AB211" s="79"/>
      <c r="AC211" s="79"/>
      <c r="AD211" s="79"/>
      <c r="AE211" s="79"/>
      <c r="AF211" s="79"/>
      <c r="AG211" s="79"/>
      <c r="AH211" s="79"/>
      <c r="AI211" s="79"/>
      <c r="AJ211" s="79"/>
      <c r="AK211" s="79"/>
      <c r="AL211" s="79"/>
    </row>
    <row r="212" spans="1:38" s="74" customFormat="1" x14ac:dyDescent="0.25">
      <c r="A212" s="106"/>
      <c r="B212" s="105"/>
      <c r="C212" s="105"/>
      <c r="D212" s="105"/>
      <c r="E212" s="105"/>
      <c r="F212" s="105"/>
      <c r="H212" s="88">
        <v>207</v>
      </c>
      <c r="I212" s="89" t="str">
        <f t="shared" si="14"/>
        <v/>
      </c>
      <c r="J212" s="88">
        <f t="shared" si="15"/>
        <v>-4</v>
      </c>
      <c r="K212" s="88">
        <f t="shared" si="16"/>
        <v>-40</v>
      </c>
      <c r="L212" s="88"/>
      <c r="M212" s="90">
        <f t="shared" si="17"/>
        <v>0</v>
      </c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</row>
    <row r="213" spans="1:38" s="74" customFormat="1" x14ac:dyDescent="0.25">
      <c r="A213" s="106"/>
      <c r="B213" s="105"/>
      <c r="C213" s="105"/>
      <c r="D213" s="105"/>
      <c r="E213" s="105"/>
      <c r="F213" s="105"/>
      <c r="H213" s="88">
        <v>208</v>
      </c>
      <c r="I213" s="89" t="str">
        <f t="shared" si="14"/>
        <v/>
      </c>
      <c r="J213" s="88">
        <f t="shared" si="15"/>
        <v>-4</v>
      </c>
      <c r="K213" s="88">
        <f t="shared" si="16"/>
        <v>-40</v>
      </c>
      <c r="L213" s="88"/>
      <c r="M213" s="90">
        <f t="shared" si="17"/>
        <v>0</v>
      </c>
      <c r="S213" s="79"/>
      <c r="T213" s="79"/>
      <c r="U213" s="79"/>
      <c r="V213" s="79"/>
      <c r="W213" s="79"/>
      <c r="X213" s="79"/>
      <c r="Y213" s="79"/>
      <c r="Z213" s="79"/>
      <c r="AA213" s="79"/>
      <c r="AB213" s="79"/>
      <c r="AC213" s="79"/>
      <c r="AD213" s="79"/>
      <c r="AE213" s="79"/>
      <c r="AF213" s="79"/>
      <c r="AG213" s="79"/>
      <c r="AH213" s="79"/>
      <c r="AI213" s="79"/>
      <c r="AJ213" s="79"/>
      <c r="AK213" s="79"/>
      <c r="AL213" s="79"/>
    </row>
    <row r="214" spans="1:38" s="74" customFormat="1" x14ac:dyDescent="0.25">
      <c r="A214" s="106"/>
      <c r="B214" s="105"/>
      <c r="C214" s="105"/>
      <c r="D214" s="105"/>
      <c r="E214" s="105"/>
      <c r="F214" s="105"/>
      <c r="H214" s="88">
        <v>209</v>
      </c>
      <c r="I214" s="89" t="str">
        <f t="shared" si="14"/>
        <v/>
      </c>
      <c r="J214" s="88">
        <f t="shared" si="15"/>
        <v>-4</v>
      </c>
      <c r="K214" s="88">
        <f t="shared" si="16"/>
        <v>-40</v>
      </c>
      <c r="L214" s="88"/>
      <c r="M214" s="90">
        <f t="shared" si="17"/>
        <v>0</v>
      </c>
      <c r="S214" s="79"/>
      <c r="T214" s="79"/>
      <c r="U214" s="79"/>
      <c r="V214" s="79"/>
      <c r="W214" s="79"/>
      <c r="X214" s="79"/>
      <c r="Y214" s="79"/>
      <c r="Z214" s="79"/>
      <c r="AA214" s="79"/>
      <c r="AB214" s="79"/>
      <c r="AC214" s="79"/>
      <c r="AD214" s="79"/>
      <c r="AE214" s="79"/>
      <c r="AF214" s="79"/>
      <c r="AG214" s="79"/>
      <c r="AH214" s="79"/>
      <c r="AI214" s="79"/>
      <c r="AJ214" s="79"/>
      <c r="AK214" s="79"/>
      <c r="AL214" s="79"/>
    </row>
    <row r="215" spans="1:38" s="74" customFormat="1" x14ac:dyDescent="0.25">
      <c r="A215" s="106"/>
      <c r="B215" s="105"/>
      <c r="C215" s="105"/>
      <c r="D215" s="105"/>
      <c r="E215" s="105"/>
      <c r="F215" s="105"/>
      <c r="H215" s="88">
        <v>210</v>
      </c>
      <c r="I215" s="89" t="str">
        <f t="shared" si="14"/>
        <v/>
      </c>
      <c r="J215" s="88">
        <f t="shared" si="15"/>
        <v>-4</v>
      </c>
      <c r="K215" s="88">
        <f t="shared" si="16"/>
        <v>-40</v>
      </c>
      <c r="L215" s="88"/>
      <c r="M215" s="90">
        <f t="shared" si="17"/>
        <v>0</v>
      </c>
      <c r="S215" s="79"/>
      <c r="T215" s="79"/>
      <c r="U215" s="79"/>
      <c r="V215" s="79"/>
      <c r="W215" s="79"/>
      <c r="X215" s="79"/>
      <c r="Y215" s="79"/>
      <c r="Z215" s="79"/>
      <c r="AA215" s="79"/>
      <c r="AB215" s="79"/>
      <c r="AC215" s="79"/>
      <c r="AD215" s="79"/>
      <c r="AE215" s="79"/>
      <c r="AF215" s="79"/>
      <c r="AG215" s="79"/>
      <c r="AH215" s="79"/>
      <c r="AI215" s="79"/>
      <c r="AJ215" s="79"/>
      <c r="AK215" s="79"/>
      <c r="AL215" s="79"/>
    </row>
    <row r="216" spans="1:38" s="74" customFormat="1" x14ac:dyDescent="0.25">
      <c r="A216" s="106"/>
      <c r="B216" s="105"/>
      <c r="C216" s="105"/>
      <c r="D216" s="105"/>
      <c r="E216" s="105"/>
      <c r="F216" s="105"/>
      <c r="H216" s="88">
        <v>211</v>
      </c>
      <c r="I216" s="89" t="str">
        <f t="shared" si="14"/>
        <v/>
      </c>
      <c r="J216" s="88">
        <f t="shared" si="15"/>
        <v>-4</v>
      </c>
      <c r="K216" s="88">
        <f t="shared" si="16"/>
        <v>-40</v>
      </c>
      <c r="L216" s="88"/>
      <c r="M216" s="90">
        <f t="shared" si="17"/>
        <v>0</v>
      </c>
      <c r="S216" s="79"/>
      <c r="T216" s="79"/>
      <c r="U216" s="79"/>
      <c r="V216" s="79"/>
      <c r="W216" s="79"/>
      <c r="X216" s="79"/>
      <c r="Y216" s="79"/>
      <c r="Z216" s="79"/>
      <c r="AA216" s="79"/>
      <c r="AB216" s="79"/>
      <c r="AC216" s="79"/>
      <c r="AD216" s="79"/>
      <c r="AE216" s="79"/>
      <c r="AF216" s="79"/>
      <c r="AG216" s="79"/>
      <c r="AH216" s="79"/>
      <c r="AI216" s="79"/>
      <c r="AJ216" s="79"/>
      <c r="AK216" s="79"/>
      <c r="AL216" s="79"/>
    </row>
    <row r="217" spans="1:38" s="74" customFormat="1" x14ac:dyDescent="0.25">
      <c r="A217" s="106"/>
      <c r="B217" s="105"/>
      <c r="C217" s="105"/>
      <c r="D217" s="105"/>
      <c r="E217" s="105"/>
      <c r="F217" s="105"/>
      <c r="H217" s="88">
        <v>212</v>
      </c>
      <c r="I217" s="89" t="str">
        <f t="shared" si="14"/>
        <v/>
      </c>
      <c r="J217" s="88">
        <f t="shared" si="15"/>
        <v>-4</v>
      </c>
      <c r="K217" s="88">
        <f t="shared" si="16"/>
        <v>-40</v>
      </c>
      <c r="L217" s="88"/>
      <c r="M217" s="90">
        <f t="shared" si="17"/>
        <v>0</v>
      </c>
      <c r="S217" s="79"/>
      <c r="T217" s="79"/>
      <c r="U217" s="79"/>
      <c r="V217" s="79"/>
      <c r="W217" s="79"/>
      <c r="X217" s="79"/>
      <c r="Y217" s="79"/>
      <c r="Z217" s="79"/>
      <c r="AA217" s="79"/>
      <c r="AB217" s="79"/>
      <c r="AC217" s="79"/>
      <c r="AD217" s="79"/>
      <c r="AE217" s="79"/>
      <c r="AF217" s="79"/>
      <c r="AG217" s="79"/>
      <c r="AH217" s="79"/>
      <c r="AI217" s="79"/>
      <c r="AJ217" s="79"/>
      <c r="AK217" s="79"/>
      <c r="AL217" s="79"/>
    </row>
    <row r="218" spans="1:38" s="74" customFormat="1" x14ac:dyDescent="0.25">
      <c r="A218" s="106"/>
      <c r="B218" s="105"/>
      <c r="C218" s="105"/>
      <c r="D218" s="105"/>
      <c r="E218" s="105"/>
      <c r="F218" s="105"/>
      <c r="H218" s="88">
        <v>213</v>
      </c>
      <c r="I218" s="89" t="str">
        <f t="shared" si="14"/>
        <v/>
      </c>
      <c r="J218" s="88">
        <f t="shared" si="15"/>
        <v>-4</v>
      </c>
      <c r="K218" s="88">
        <f t="shared" si="16"/>
        <v>-40</v>
      </c>
      <c r="L218" s="88"/>
      <c r="M218" s="90">
        <f t="shared" si="17"/>
        <v>0</v>
      </c>
      <c r="S218" s="79"/>
      <c r="T218" s="79"/>
      <c r="U218" s="79"/>
      <c r="V218" s="79"/>
      <c r="W218" s="79"/>
      <c r="X218" s="79"/>
      <c r="Y218" s="79"/>
      <c r="Z218" s="79"/>
      <c r="AA218" s="79"/>
      <c r="AB218" s="79"/>
      <c r="AC218" s="79"/>
      <c r="AD218" s="79"/>
      <c r="AE218" s="79"/>
      <c r="AF218" s="79"/>
      <c r="AG218" s="79"/>
      <c r="AH218" s="79"/>
      <c r="AI218" s="79"/>
      <c r="AJ218" s="79"/>
      <c r="AK218" s="79"/>
      <c r="AL218" s="79"/>
    </row>
    <row r="219" spans="1:38" s="74" customFormat="1" x14ac:dyDescent="0.25">
      <c r="A219" s="106"/>
      <c r="B219" s="105"/>
      <c r="C219" s="105"/>
      <c r="D219" s="105"/>
      <c r="E219" s="105"/>
      <c r="F219" s="105"/>
      <c r="H219" s="88">
        <v>214</v>
      </c>
      <c r="I219" s="89" t="str">
        <f t="shared" si="14"/>
        <v/>
      </c>
      <c r="J219" s="88">
        <f t="shared" si="15"/>
        <v>-4</v>
      </c>
      <c r="K219" s="88">
        <f t="shared" si="16"/>
        <v>-40</v>
      </c>
      <c r="L219" s="88"/>
      <c r="M219" s="90">
        <f t="shared" si="17"/>
        <v>0</v>
      </c>
      <c r="S219" s="79"/>
      <c r="T219" s="79"/>
      <c r="U219" s="79"/>
      <c r="V219" s="79"/>
      <c r="W219" s="79"/>
      <c r="X219" s="79"/>
      <c r="Y219" s="79"/>
      <c r="Z219" s="79"/>
      <c r="AA219" s="79"/>
      <c r="AB219" s="79"/>
      <c r="AC219" s="79"/>
      <c r="AD219" s="79"/>
      <c r="AE219" s="79"/>
      <c r="AF219" s="79"/>
      <c r="AG219" s="79"/>
      <c r="AH219" s="79"/>
      <c r="AI219" s="79"/>
      <c r="AJ219" s="79"/>
      <c r="AK219" s="79"/>
      <c r="AL219" s="79"/>
    </row>
    <row r="220" spans="1:38" s="74" customFormat="1" x14ac:dyDescent="0.25">
      <c r="A220" s="106"/>
      <c r="B220" s="105"/>
      <c r="C220" s="105"/>
      <c r="D220" s="105"/>
      <c r="E220" s="105"/>
      <c r="F220" s="105"/>
      <c r="H220" s="88">
        <v>215</v>
      </c>
      <c r="I220" s="89" t="str">
        <f t="shared" si="14"/>
        <v/>
      </c>
      <c r="J220" s="88">
        <f t="shared" si="15"/>
        <v>-4</v>
      </c>
      <c r="K220" s="88">
        <f t="shared" si="16"/>
        <v>-40</v>
      </c>
      <c r="L220" s="88"/>
      <c r="M220" s="90">
        <f t="shared" si="17"/>
        <v>0</v>
      </c>
      <c r="S220" s="79"/>
      <c r="T220" s="79"/>
      <c r="U220" s="79"/>
      <c r="V220" s="79"/>
      <c r="W220" s="79"/>
      <c r="X220" s="79"/>
      <c r="Y220" s="79"/>
      <c r="Z220" s="79"/>
      <c r="AA220" s="79"/>
      <c r="AB220" s="79"/>
      <c r="AC220" s="79"/>
      <c r="AD220" s="79"/>
      <c r="AE220" s="79"/>
      <c r="AF220" s="79"/>
      <c r="AG220" s="79"/>
      <c r="AH220" s="79"/>
      <c r="AI220" s="79"/>
      <c r="AJ220" s="79"/>
      <c r="AK220" s="79"/>
      <c r="AL220" s="79"/>
    </row>
    <row r="221" spans="1:38" s="74" customFormat="1" x14ac:dyDescent="0.25">
      <c r="A221" s="106"/>
      <c r="B221" s="105"/>
      <c r="C221" s="105"/>
      <c r="D221" s="105"/>
      <c r="E221" s="105"/>
      <c r="F221" s="105"/>
      <c r="H221" s="88">
        <v>216</v>
      </c>
      <c r="I221" s="89" t="str">
        <f t="shared" si="14"/>
        <v/>
      </c>
      <c r="J221" s="88">
        <f t="shared" si="15"/>
        <v>-4</v>
      </c>
      <c r="K221" s="88">
        <f t="shared" si="16"/>
        <v>-40</v>
      </c>
      <c r="L221" s="88"/>
      <c r="M221" s="90">
        <f t="shared" si="17"/>
        <v>0</v>
      </c>
      <c r="S221" s="79"/>
      <c r="T221" s="79"/>
      <c r="U221" s="79"/>
      <c r="V221" s="79"/>
      <c r="W221" s="79"/>
      <c r="X221" s="79"/>
      <c r="Y221" s="79"/>
      <c r="Z221" s="79"/>
      <c r="AA221" s="79"/>
      <c r="AB221" s="79"/>
      <c r="AC221" s="79"/>
      <c r="AD221" s="79"/>
      <c r="AE221" s="79"/>
      <c r="AF221" s="79"/>
      <c r="AG221" s="79"/>
      <c r="AH221" s="79"/>
      <c r="AI221" s="79"/>
      <c r="AJ221" s="79"/>
      <c r="AK221" s="79"/>
      <c r="AL221" s="79"/>
    </row>
    <row r="222" spans="1:38" s="74" customFormat="1" x14ac:dyDescent="0.25">
      <c r="A222" s="106"/>
      <c r="B222" s="105"/>
      <c r="C222" s="105"/>
      <c r="D222" s="105"/>
      <c r="E222" s="105"/>
      <c r="F222" s="105"/>
      <c r="H222" s="88">
        <v>217</v>
      </c>
      <c r="I222" s="89" t="str">
        <f t="shared" si="14"/>
        <v/>
      </c>
      <c r="J222" s="88">
        <f t="shared" si="15"/>
        <v>-4</v>
      </c>
      <c r="K222" s="88">
        <f t="shared" si="16"/>
        <v>-40</v>
      </c>
      <c r="L222" s="88"/>
      <c r="M222" s="90">
        <f t="shared" si="17"/>
        <v>0</v>
      </c>
      <c r="S222" s="79"/>
      <c r="T222" s="79"/>
      <c r="U222" s="79"/>
      <c r="V222" s="79"/>
      <c r="W222" s="79"/>
      <c r="X222" s="79"/>
      <c r="Y222" s="79"/>
      <c r="Z222" s="79"/>
      <c r="AA222" s="79"/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</row>
    <row r="223" spans="1:38" s="74" customFormat="1" x14ac:dyDescent="0.25">
      <c r="A223" s="106"/>
      <c r="B223" s="105"/>
      <c r="C223" s="105"/>
      <c r="D223" s="105"/>
      <c r="E223" s="105"/>
      <c r="F223" s="105"/>
      <c r="H223" s="88">
        <v>218</v>
      </c>
      <c r="I223" s="89" t="str">
        <f t="shared" si="14"/>
        <v/>
      </c>
      <c r="J223" s="88">
        <f t="shared" si="15"/>
        <v>-4</v>
      </c>
      <c r="K223" s="88">
        <f t="shared" si="16"/>
        <v>-40</v>
      </c>
      <c r="L223" s="88"/>
      <c r="M223" s="90">
        <f t="shared" si="17"/>
        <v>0</v>
      </c>
      <c r="S223" s="79"/>
      <c r="T223" s="79"/>
      <c r="U223" s="79"/>
      <c r="V223" s="79"/>
      <c r="W223" s="79"/>
      <c r="X223" s="79"/>
      <c r="Y223" s="79"/>
      <c r="Z223" s="79"/>
      <c r="AA223" s="79"/>
      <c r="AB223" s="79"/>
      <c r="AC223" s="79"/>
      <c r="AD223" s="79"/>
      <c r="AE223" s="79"/>
      <c r="AF223" s="79"/>
      <c r="AG223" s="79"/>
      <c r="AH223" s="79"/>
      <c r="AI223" s="79"/>
      <c r="AJ223" s="79"/>
      <c r="AK223" s="79"/>
      <c r="AL223" s="79"/>
    </row>
    <row r="224" spans="1:38" s="74" customFormat="1" x14ac:dyDescent="0.25">
      <c r="A224" s="106"/>
      <c r="B224" s="105"/>
      <c r="C224" s="105"/>
      <c r="D224" s="105"/>
      <c r="E224" s="105"/>
      <c r="F224" s="105"/>
      <c r="H224" s="88">
        <v>219</v>
      </c>
      <c r="I224" s="89" t="str">
        <f t="shared" si="14"/>
        <v/>
      </c>
      <c r="J224" s="88">
        <f t="shared" si="15"/>
        <v>-4</v>
      </c>
      <c r="K224" s="88">
        <f t="shared" si="16"/>
        <v>-40</v>
      </c>
      <c r="L224" s="88"/>
      <c r="M224" s="90">
        <f t="shared" si="17"/>
        <v>0</v>
      </c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</row>
    <row r="225" spans="1:38" s="74" customFormat="1" x14ac:dyDescent="0.25">
      <c r="A225" s="106"/>
      <c r="B225" s="105"/>
      <c r="C225" s="105"/>
      <c r="D225" s="105"/>
      <c r="E225" s="105"/>
      <c r="F225" s="105"/>
      <c r="H225" s="88">
        <v>220</v>
      </c>
      <c r="I225" s="89" t="str">
        <f t="shared" si="14"/>
        <v/>
      </c>
      <c r="J225" s="88">
        <f t="shared" si="15"/>
        <v>-4</v>
      </c>
      <c r="K225" s="88">
        <f t="shared" si="16"/>
        <v>-40</v>
      </c>
      <c r="L225" s="88"/>
      <c r="M225" s="90">
        <f t="shared" si="17"/>
        <v>0</v>
      </c>
      <c r="S225" s="79"/>
      <c r="T225" s="79"/>
      <c r="U225" s="79"/>
      <c r="V225" s="79"/>
      <c r="W225" s="79"/>
      <c r="X225" s="79"/>
      <c r="Y225" s="79"/>
      <c r="Z225" s="79"/>
      <c r="AA225" s="79"/>
      <c r="AB225" s="79"/>
      <c r="AC225" s="79"/>
      <c r="AD225" s="79"/>
      <c r="AE225" s="79"/>
      <c r="AF225" s="79"/>
      <c r="AG225" s="79"/>
      <c r="AH225" s="79"/>
      <c r="AI225" s="79"/>
      <c r="AJ225" s="79"/>
      <c r="AK225" s="79"/>
      <c r="AL225" s="79"/>
    </row>
    <row r="226" spans="1:38" s="74" customFormat="1" x14ac:dyDescent="0.25">
      <c r="A226" s="106"/>
      <c r="B226" s="105"/>
      <c r="C226" s="105"/>
      <c r="D226" s="105"/>
      <c r="E226" s="105"/>
      <c r="F226" s="105"/>
      <c r="H226" s="88">
        <v>221</v>
      </c>
      <c r="I226" s="89" t="str">
        <f t="shared" si="14"/>
        <v/>
      </c>
      <c r="J226" s="88">
        <f t="shared" si="15"/>
        <v>-4</v>
      </c>
      <c r="K226" s="88">
        <f t="shared" si="16"/>
        <v>-40</v>
      </c>
      <c r="L226" s="88"/>
      <c r="M226" s="90">
        <f t="shared" si="17"/>
        <v>0</v>
      </c>
      <c r="S226" s="79"/>
      <c r="T226" s="79"/>
      <c r="U226" s="79"/>
      <c r="V226" s="79"/>
      <c r="W226" s="79"/>
      <c r="X226" s="79"/>
      <c r="Y226" s="79"/>
      <c r="Z226" s="79"/>
      <c r="AA226" s="79"/>
      <c r="AB226" s="79"/>
      <c r="AC226" s="79"/>
      <c r="AD226" s="79"/>
      <c r="AE226" s="79"/>
      <c r="AF226" s="79"/>
      <c r="AG226" s="79"/>
      <c r="AH226" s="79"/>
      <c r="AI226" s="79"/>
      <c r="AJ226" s="79"/>
      <c r="AK226" s="79"/>
      <c r="AL226" s="79"/>
    </row>
    <row r="227" spans="1:38" s="74" customFormat="1" x14ac:dyDescent="0.25">
      <c r="A227" s="106"/>
      <c r="B227" s="105"/>
      <c r="C227" s="105"/>
      <c r="D227" s="105"/>
      <c r="E227" s="105"/>
      <c r="F227" s="105"/>
      <c r="H227" s="88">
        <v>222</v>
      </c>
      <c r="I227" s="89" t="str">
        <f t="shared" si="14"/>
        <v/>
      </c>
      <c r="J227" s="88">
        <f t="shared" si="15"/>
        <v>-4</v>
      </c>
      <c r="K227" s="88">
        <f t="shared" si="16"/>
        <v>-40</v>
      </c>
      <c r="L227" s="88"/>
      <c r="M227" s="90">
        <f t="shared" si="17"/>
        <v>0</v>
      </c>
      <c r="S227" s="79"/>
      <c r="T227" s="79"/>
      <c r="U227" s="79"/>
      <c r="V227" s="79"/>
      <c r="W227" s="79"/>
      <c r="X227" s="79"/>
      <c r="Y227" s="79"/>
      <c r="Z227" s="79"/>
      <c r="AA227" s="79"/>
      <c r="AB227" s="79"/>
      <c r="AC227" s="79"/>
      <c r="AD227" s="79"/>
      <c r="AE227" s="79"/>
      <c r="AF227" s="79"/>
      <c r="AG227" s="79"/>
      <c r="AH227" s="79"/>
      <c r="AI227" s="79"/>
      <c r="AJ227" s="79"/>
      <c r="AK227" s="79"/>
      <c r="AL227" s="79"/>
    </row>
    <row r="228" spans="1:38" s="74" customFormat="1" x14ac:dyDescent="0.25">
      <c r="A228" s="106"/>
      <c r="B228" s="105"/>
      <c r="C228" s="105"/>
      <c r="D228" s="105"/>
      <c r="E228" s="105"/>
      <c r="F228" s="105"/>
      <c r="H228" s="88">
        <v>223</v>
      </c>
      <c r="I228" s="89" t="str">
        <f t="shared" si="14"/>
        <v/>
      </c>
      <c r="J228" s="88">
        <f t="shared" si="15"/>
        <v>-4</v>
      </c>
      <c r="K228" s="88">
        <f t="shared" si="16"/>
        <v>-40</v>
      </c>
      <c r="L228" s="88"/>
      <c r="M228" s="90">
        <f t="shared" si="17"/>
        <v>0</v>
      </c>
      <c r="S228" s="79"/>
      <c r="T228" s="79"/>
      <c r="U228" s="79"/>
      <c r="V228" s="79"/>
      <c r="W228" s="79"/>
      <c r="X228" s="79"/>
      <c r="Y228" s="79"/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J228" s="79"/>
      <c r="AK228" s="79"/>
      <c r="AL228" s="79"/>
    </row>
    <row r="229" spans="1:38" s="74" customFormat="1" x14ac:dyDescent="0.25">
      <c r="A229" s="106"/>
      <c r="B229" s="105"/>
      <c r="C229" s="105"/>
      <c r="D229" s="105"/>
      <c r="E229" s="105"/>
      <c r="F229" s="105"/>
      <c r="H229" s="88">
        <v>224</v>
      </c>
      <c r="I229" s="89" t="str">
        <f t="shared" si="14"/>
        <v/>
      </c>
      <c r="J229" s="88">
        <f t="shared" si="15"/>
        <v>-4</v>
      </c>
      <c r="K229" s="88">
        <f t="shared" si="16"/>
        <v>-40</v>
      </c>
      <c r="L229" s="88"/>
      <c r="M229" s="90">
        <f t="shared" si="17"/>
        <v>0</v>
      </c>
      <c r="S229" s="79"/>
      <c r="T229" s="79"/>
      <c r="U229" s="79"/>
      <c r="V229" s="79"/>
      <c r="W229" s="79"/>
      <c r="X229" s="79"/>
      <c r="Y229" s="79"/>
      <c r="Z229" s="79"/>
      <c r="AA229" s="79"/>
      <c r="AB229" s="79"/>
      <c r="AC229" s="79"/>
      <c r="AD229" s="79"/>
      <c r="AE229" s="79"/>
      <c r="AF229" s="79"/>
      <c r="AG229" s="79"/>
      <c r="AH229" s="79"/>
      <c r="AI229" s="79"/>
      <c r="AJ229" s="79"/>
      <c r="AK229" s="79"/>
      <c r="AL229" s="79"/>
    </row>
    <row r="230" spans="1:38" s="74" customFormat="1" x14ac:dyDescent="0.25">
      <c r="A230" s="106"/>
      <c r="B230" s="105"/>
      <c r="C230" s="105"/>
      <c r="D230" s="105"/>
      <c r="E230" s="105"/>
      <c r="F230" s="105"/>
      <c r="H230" s="88">
        <v>225</v>
      </c>
      <c r="I230" s="89" t="str">
        <f t="shared" si="14"/>
        <v/>
      </c>
      <c r="J230" s="88">
        <f t="shared" si="15"/>
        <v>-4</v>
      </c>
      <c r="K230" s="88">
        <f t="shared" si="16"/>
        <v>-40</v>
      </c>
      <c r="L230" s="88"/>
      <c r="M230" s="90">
        <f t="shared" si="17"/>
        <v>0</v>
      </c>
      <c r="S230" s="79"/>
      <c r="T230" s="79"/>
      <c r="U230" s="79"/>
      <c r="V230" s="79"/>
      <c r="W230" s="79"/>
      <c r="X230" s="79"/>
      <c r="Y230" s="79"/>
      <c r="Z230" s="79"/>
      <c r="AA230" s="79"/>
      <c r="AB230" s="79"/>
      <c r="AC230" s="79"/>
      <c r="AD230" s="79"/>
      <c r="AE230" s="79"/>
      <c r="AF230" s="79"/>
      <c r="AG230" s="79"/>
      <c r="AH230" s="79"/>
      <c r="AI230" s="79"/>
      <c r="AJ230" s="79"/>
      <c r="AK230" s="79"/>
      <c r="AL230" s="79"/>
    </row>
    <row r="231" spans="1:38" s="74" customFormat="1" x14ac:dyDescent="0.25">
      <c r="A231" s="106"/>
      <c r="B231" s="105"/>
      <c r="C231" s="105"/>
      <c r="D231" s="105"/>
      <c r="E231" s="105"/>
      <c r="F231" s="105"/>
      <c r="H231" s="88">
        <v>226</v>
      </c>
      <c r="I231" s="89" t="str">
        <f t="shared" si="14"/>
        <v/>
      </c>
      <c r="J231" s="88">
        <f t="shared" si="15"/>
        <v>-4</v>
      </c>
      <c r="K231" s="88">
        <f t="shared" si="16"/>
        <v>-40</v>
      </c>
      <c r="L231" s="88"/>
      <c r="M231" s="90">
        <f t="shared" si="17"/>
        <v>0</v>
      </c>
      <c r="S231" s="79"/>
      <c r="T231" s="79"/>
      <c r="U231" s="79"/>
      <c r="V231" s="79"/>
      <c r="W231" s="79"/>
      <c r="X231" s="79"/>
      <c r="Y231" s="79"/>
      <c r="Z231" s="79"/>
      <c r="AA231" s="79"/>
      <c r="AB231" s="79"/>
      <c r="AC231" s="79"/>
      <c r="AD231" s="79"/>
      <c r="AE231" s="79"/>
      <c r="AF231" s="79"/>
      <c r="AG231" s="79"/>
      <c r="AH231" s="79"/>
      <c r="AI231" s="79"/>
      <c r="AJ231" s="79"/>
      <c r="AK231" s="79"/>
      <c r="AL231" s="79"/>
    </row>
    <row r="232" spans="1:38" s="74" customFormat="1" x14ac:dyDescent="0.25">
      <c r="A232" s="106"/>
      <c r="B232" s="105"/>
      <c r="C232" s="105"/>
      <c r="D232" s="105"/>
      <c r="E232" s="105"/>
      <c r="F232" s="105"/>
      <c r="H232" s="88">
        <v>227</v>
      </c>
      <c r="I232" s="89" t="str">
        <f t="shared" si="14"/>
        <v/>
      </c>
      <c r="J232" s="88">
        <f t="shared" si="15"/>
        <v>-4</v>
      </c>
      <c r="K232" s="88">
        <f t="shared" si="16"/>
        <v>-40</v>
      </c>
      <c r="L232" s="88"/>
      <c r="M232" s="90">
        <f t="shared" si="17"/>
        <v>0</v>
      </c>
      <c r="S232" s="79"/>
      <c r="T232" s="79"/>
      <c r="U232" s="79"/>
      <c r="V232" s="79"/>
      <c r="W232" s="79"/>
      <c r="X232" s="79"/>
      <c r="Y232" s="79"/>
      <c r="Z232" s="79"/>
      <c r="AA232" s="79"/>
      <c r="AB232" s="79"/>
      <c r="AC232" s="79"/>
      <c r="AD232" s="79"/>
      <c r="AE232" s="79"/>
      <c r="AF232" s="79"/>
      <c r="AG232" s="79"/>
      <c r="AH232" s="79"/>
      <c r="AI232" s="79"/>
      <c r="AJ232" s="79"/>
      <c r="AK232" s="79"/>
      <c r="AL232" s="79"/>
    </row>
    <row r="233" spans="1:38" s="74" customFormat="1" x14ac:dyDescent="0.25">
      <c r="A233" s="106"/>
      <c r="B233" s="105"/>
      <c r="C233" s="105"/>
      <c r="D233" s="105"/>
      <c r="E233" s="105"/>
      <c r="F233" s="105"/>
      <c r="H233" s="88">
        <v>228</v>
      </c>
      <c r="I233" s="89" t="str">
        <f t="shared" si="14"/>
        <v/>
      </c>
      <c r="J233" s="88">
        <f t="shared" si="15"/>
        <v>-4</v>
      </c>
      <c r="K233" s="88">
        <f t="shared" si="16"/>
        <v>-40</v>
      </c>
      <c r="L233" s="88"/>
      <c r="M233" s="90">
        <f t="shared" si="17"/>
        <v>0</v>
      </c>
      <c r="S233" s="79"/>
      <c r="T233" s="79"/>
      <c r="U233" s="79"/>
      <c r="V233" s="79"/>
      <c r="W233" s="79"/>
      <c r="X233" s="79"/>
      <c r="Y233" s="79"/>
      <c r="Z233" s="79"/>
      <c r="AA233" s="79"/>
      <c r="AB233" s="79"/>
      <c r="AC233" s="79"/>
      <c r="AD233" s="79"/>
      <c r="AE233" s="79"/>
      <c r="AF233" s="79"/>
      <c r="AG233" s="79"/>
      <c r="AH233" s="79"/>
      <c r="AI233" s="79"/>
      <c r="AJ233" s="79"/>
      <c r="AK233" s="79"/>
      <c r="AL233" s="79"/>
    </row>
    <row r="234" spans="1:38" s="74" customFormat="1" x14ac:dyDescent="0.25">
      <c r="A234" s="106"/>
      <c r="B234" s="105"/>
      <c r="C234" s="105"/>
      <c r="D234" s="105"/>
      <c r="E234" s="105"/>
      <c r="F234" s="105"/>
      <c r="H234" s="88">
        <v>229</v>
      </c>
      <c r="I234" s="89" t="str">
        <f t="shared" si="14"/>
        <v/>
      </c>
      <c r="J234" s="88">
        <f t="shared" si="15"/>
        <v>-4</v>
      </c>
      <c r="K234" s="88">
        <f t="shared" si="16"/>
        <v>-40</v>
      </c>
      <c r="L234" s="88"/>
      <c r="M234" s="90">
        <f t="shared" si="17"/>
        <v>0</v>
      </c>
      <c r="S234" s="79"/>
      <c r="T234" s="79"/>
      <c r="U234" s="79"/>
      <c r="V234" s="79"/>
      <c r="W234" s="79"/>
      <c r="X234" s="79"/>
      <c r="Y234" s="79"/>
      <c r="Z234" s="79"/>
      <c r="AA234" s="79"/>
      <c r="AB234" s="79"/>
      <c r="AC234" s="79"/>
      <c r="AD234" s="79"/>
      <c r="AE234" s="79"/>
      <c r="AF234" s="79"/>
      <c r="AG234" s="79"/>
      <c r="AH234" s="79"/>
      <c r="AI234" s="79"/>
      <c r="AJ234" s="79"/>
      <c r="AK234" s="79"/>
      <c r="AL234" s="79"/>
    </row>
    <row r="235" spans="1:38" s="74" customFormat="1" x14ac:dyDescent="0.25">
      <c r="A235" s="106"/>
      <c r="B235" s="105"/>
      <c r="C235" s="105"/>
      <c r="D235" s="105"/>
      <c r="E235" s="105"/>
      <c r="F235" s="105"/>
      <c r="H235" s="88">
        <v>230</v>
      </c>
      <c r="I235" s="89" t="str">
        <f t="shared" si="14"/>
        <v/>
      </c>
      <c r="J235" s="88">
        <f t="shared" si="15"/>
        <v>-4</v>
      </c>
      <c r="K235" s="88">
        <f t="shared" si="16"/>
        <v>-40</v>
      </c>
      <c r="L235" s="88"/>
      <c r="M235" s="90">
        <f t="shared" si="17"/>
        <v>0</v>
      </c>
      <c r="S235" s="79"/>
      <c r="T235" s="79"/>
      <c r="U235" s="79"/>
      <c r="V235" s="79"/>
      <c r="W235" s="79"/>
      <c r="X235" s="79"/>
      <c r="Y235" s="79"/>
      <c r="Z235" s="79"/>
      <c r="AA235" s="79"/>
      <c r="AB235" s="79"/>
      <c r="AC235" s="79"/>
      <c r="AD235" s="79"/>
      <c r="AE235" s="79"/>
      <c r="AF235" s="79"/>
      <c r="AG235" s="79"/>
      <c r="AH235" s="79"/>
      <c r="AI235" s="79"/>
      <c r="AJ235" s="79"/>
      <c r="AK235" s="79"/>
      <c r="AL235" s="79"/>
    </row>
    <row r="236" spans="1:38" s="74" customFormat="1" x14ac:dyDescent="0.25">
      <c r="A236" s="106"/>
      <c r="B236" s="105"/>
      <c r="C236" s="105"/>
      <c r="D236" s="105"/>
      <c r="E236" s="105"/>
      <c r="F236" s="105"/>
      <c r="H236" s="88">
        <v>231</v>
      </c>
      <c r="I236" s="89" t="str">
        <f t="shared" si="14"/>
        <v/>
      </c>
      <c r="J236" s="88">
        <f t="shared" si="15"/>
        <v>-4</v>
      </c>
      <c r="K236" s="88">
        <f t="shared" si="16"/>
        <v>-40</v>
      </c>
      <c r="L236" s="88"/>
      <c r="M236" s="90">
        <f t="shared" si="17"/>
        <v>0</v>
      </c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</row>
    <row r="237" spans="1:38" s="74" customFormat="1" x14ac:dyDescent="0.25">
      <c r="A237" s="106"/>
      <c r="B237" s="105"/>
      <c r="C237" s="105"/>
      <c r="D237" s="105"/>
      <c r="E237" s="105"/>
      <c r="F237" s="105"/>
      <c r="H237" s="88">
        <v>232</v>
      </c>
      <c r="I237" s="89" t="str">
        <f t="shared" si="14"/>
        <v/>
      </c>
      <c r="J237" s="88">
        <f t="shared" si="15"/>
        <v>-4</v>
      </c>
      <c r="K237" s="88">
        <f t="shared" si="16"/>
        <v>-40</v>
      </c>
      <c r="L237" s="88"/>
      <c r="M237" s="90">
        <f t="shared" si="17"/>
        <v>0</v>
      </c>
      <c r="S237" s="79"/>
      <c r="T237" s="79"/>
      <c r="U237" s="79"/>
      <c r="V237" s="79"/>
      <c r="W237" s="79"/>
      <c r="X237" s="79"/>
      <c r="Y237" s="79"/>
      <c r="Z237" s="79"/>
      <c r="AA237" s="79"/>
      <c r="AB237" s="79"/>
      <c r="AC237" s="79"/>
      <c r="AD237" s="79"/>
      <c r="AE237" s="79"/>
      <c r="AF237" s="79"/>
      <c r="AG237" s="79"/>
      <c r="AH237" s="79"/>
      <c r="AI237" s="79"/>
      <c r="AJ237" s="79"/>
      <c r="AK237" s="79"/>
      <c r="AL237" s="79"/>
    </row>
    <row r="238" spans="1:38" s="74" customFormat="1" x14ac:dyDescent="0.25">
      <c r="A238" s="106"/>
      <c r="B238" s="105"/>
      <c r="C238" s="105"/>
      <c r="D238" s="105"/>
      <c r="E238" s="105"/>
      <c r="F238" s="105"/>
      <c r="H238" s="88">
        <v>233</v>
      </c>
      <c r="I238" s="89" t="str">
        <f t="shared" si="14"/>
        <v/>
      </c>
      <c r="J238" s="88">
        <f t="shared" si="15"/>
        <v>-4</v>
      </c>
      <c r="K238" s="88">
        <f t="shared" si="16"/>
        <v>-40</v>
      </c>
      <c r="L238" s="88"/>
      <c r="M238" s="90">
        <f t="shared" si="17"/>
        <v>0</v>
      </c>
      <c r="S238" s="79"/>
      <c r="T238" s="79"/>
      <c r="U238" s="79"/>
      <c r="V238" s="79"/>
      <c r="W238" s="79"/>
      <c r="X238" s="79"/>
      <c r="Y238" s="79"/>
      <c r="Z238" s="79"/>
      <c r="AA238" s="79"/>
      <c r="AB238" s="79"/>
      <c r="AC238" s="79"/>
      <c r="AD238" s="79"/>
      <c r="AE238" s="79"/>
      <c r="AF238" s="79"/>
      <c r="AG238" s="79"/>
      <c r="AH238" s="79"/>
      <c r="AI238" s="79"/>
      <c r="AJ238" s="79"/>
      <c r="AK238" s="79"/>
      <c r="AL238" s="79"/>
    </row>
    <row r="239" spans="1:38" s="74" customFormat="1" x14ac:dyDescent="0.25">
      <c r="A239" s="106"/>
      <c r="B239" s="105"/>
      <c r="C239" s="105"/>
      <c r="D239" s="105"/>
      <c r="E239" s="105"/>
      <c r="F239" s="105"/>
      <c r="H239" s="88">
        <v>234</v>
      </c>
      <c r="I239" s="89" t="str">
        <f t="shared" si="14"/>
        <v/>
      </c>
      <c r="J239" s="88">
        <f t="shared" si="15"/>
        <v>-4</v>
      </c>
      <c r="K239" s="88">
        <f t="shared" si="16"/>
        <v>-40</v>
      </c>
      <c r="L239" s="88"/>
      <c r="M239" s="90">
        <f t="shared" si="17"/>
        <v>0</v>
      </c>
      <c r="S239" s="79"/>
      <c r="T239" s="79"/>
      <c r="U239" s="79"/>
      <c r="V239" s="79"/>
      <c r="W239" s="79"/>
      <c r="X239" s="79"/>
      <c r="Y239" s="79"/>
      <c r="Z239" s="79"/>
      <c r="AA239" s="79"/>
      <c r="AB239" s="79"/>
      <c r="AC239" s="79"/>
      <c r="AD239" s="79"/>
      <c r="AE239" s="79"/>
      <c r="AF239" s="79"/>
      <c r="AG239" s="79"/>
      <c r="AH239" s="79"/>
      <c r="AI239" s="79"/>
      <c r="AJ239" s="79"/>
      <c r="AK239" s="79"/>
      <c r="AL239" s="79"/>
    </row>
    <row r="240" spans="1:38" s="74" customFormat="1" x14ac:dyDescent="0.25">
      <c r="A240" s="106"/>
      <c r="B240" s="105"/>
      <c r="C240" s="105"/>
      <c r="D240" s="105"/>
      <c r="E240" s="105"/>
      <c r="F240" s="105"/>
      <c r="H240" s="88">
        <v>235</v>
      </c>
      <c r="I240" s="89" t="str">
        <f t="shared" si="14"/>
        <v/>
      </c>
      <c r="J240" s="88">
        <f t="shared" si="15"/>
        <v>-4</v>
      </c>
      <c r="K240" s="88">
        <f t="shared" si="16"/>
        <v>-40</v>
      </c>
      <c r="L240" s="88"/>
      <c r="M240" s="90">
        <f t="shared" si="17"/>
        <v>0</v>
      </c>
      <c r="S240" s="79"/>
      <c r="T240" s="79"/>
      <c r="U240" s="79"/>
      <c r="V240" s="79"/>
      <c r="W240" s="79"/>
      <c r="X240" s="79"/>
      <c r="Y240" s="79"/>
      <c r="Z240" s="79"/>
      <c r="AA240" s="79"/>
      <c r="AB240" s="79"/>
      <c r="AC240" s="79"/>
      <c r="AD240" s="79"/>
      <c r="AE240" s="79"/>
      <c r="AF240" s="79"/>
      <c r="AG240" s="79"/>
      <c r="AH240" s="79"/>
      <c r="AI240" s="79"/>
      <c r="AJ240" s="79"/>
      <c r="AK240" s="79"/>
      <c r="AL240" s="79"/>
    </row>
    <row r="241" spans="1:38" s="74" customFormat="1" x14ac:dyDescent="0.25">
      <c r="A241" s="106"/>
      <c r="B241" s="105"/>
      <c r="C241" s="105"/>
      <c r="D241" s="105"/>
      <c r="E241" s="105"/>
      <c r="F241" s="105"/>
      <c r="H241" s="88">
        <v>236</v>
      </c>
      <c r="I241" s="89" t="str">
        <f t="shared" si="14"/>
        <v/>
      </c>
      <c r="J241" s="88">
        <f t="shared" si="15"/>
        <v>-4</v>
      </c>
      <c r="K241" s="88">
        <f t="shared" si="16"/>
        <v>-40</v>
      </c>
      <c r="L241" s="88"/>
      <c r="M241" s="90">
        <f t="shared" si="17"/>
        <v>0</v>
      </c>
      <c r="S241" s="79"/>
      <c r="T241" s="79"/>
      <c r="U241" s="79"/>
      <c r="V241" s="79"/>
      <c r="W241" s="79"/>
      <c r="X241" s="79"/>
      <c r="Y241" s="79"/>
      <c r="Z241" s="79"/>
      <c r="AA241" s="79"/>
      <c r="AB241" s="79"/>
      <c r="AC241" s="79"/>
      <c r="AD241" s="79"/>
      <c r="AE241" s="79"/>
      <c r="AF241" s="79"/>
      <c r="AG241" s="79"/>
      <c r="AH241" s="79"/>
      <c r="AI241" s="79"/>
      <c r="AJ241" s="79"/>
      <c r="AK241" s="79"/>
      <c r="AL241" s="79"/>
    </row>
    <row r="242" spans="1:38" s="74" customFormat="1" x14ac:dyDescent="0.25">
      <c r="A242" s="106"/>
      <c r="B242" s="105"/>
      <c r="C242" s="105"/>
      <c r="D242" s="105"/>
      <c r="E242" s="105"/>
      <c r="F242" s="105"/>
      <c r="H242" s="88">
        <v>237</v>
      </c>
      <c r="I242" s="89" t="str">
        <f t="shared" si="14"/>
        <v/>
      </c>
      <c r="J242" s="88">
        <f t="shared" si="15"/>
        <v>-4</v>
      </c>
      <c r="K242" s="88">
        <f t="shared" si="16"/>
        <v>-40</v>
      </c>
      <c r="L242" s="88"/>
      <c r="M242" s="90">
        <f t="shared" si="17"/>
        <v>0</v>
      </c>
      <c r="S242" s="79"/>
      <c r="T242" s="79"/>
      <c r="U242" s="79"/>
      <c r="V242" s="79"/>
      <c r="W242" s="79"/>
      <c r="X242" s="79"/>
      <c r="Y242" s="79"/>
      <c r="Z242" s="79"/>
      <c r="AA242" s="79"/>
      <c r="AB242" s="79"/>
      <c r="AC242" s="79"/>
      <c r="AD242" s="79"/>
      <c r="AE242" s="79"/>
      <c r="AF242" s="79"/>
      <c r="AG242" s="79"/>
      <c r="AH242" s="79"/>
      <c r="AI242" s="79"/>
      <c r="AJ242" s="79"/>
      <c r="AK242" s="79"/>
      <c r="AL242" s="79"/>
    </row>
    <row r="243" spans="1:38" s="74" customFormat="1" x14ac:dyDescent="0.25">
      <c r="A243" s="106"/>
      <c r="B243" s="105"/>
      <c r="C243" s="105"/>
      <c r="D243" s="105"/>
      <c r="E243" s="105"/>
      <c r="F243" s="105"/>
      <c r="H243" s="88">
        <v>238</v>
      </c>
      <c r="I243" s="89" t="str">
        <f t="shared" si="14"/>
        <v/>
      </c>
      <c r="J243" s="88">
        <f t="shared" si="15"/>
        <v>-4</v>
      </c>
      <c r="K243" s="88">
        <f t="shared" si="16"/>
        <v>-40</v>
      </c>
      <c r="L243" s="88"/>
      <c r="M243" s="90">
        <f t="shared" si="17"/>
        <v>0</v>
      </c>
      <c r="S243" s="79"/>
      <c r="T243" s="79"/>
      <c r="U243" s="79"/>
      <c r="V243" s="79"/>
      <c r="W243" s="79"/>
      <c r="X243" s="79"/>
      <c r="Y243" s="79"/>
      <c r="Z243" s="79"/>
      <c r="AA243" s="79"/>
      <c r="AB243" s="79"/>
      <c r="AC243" s="79"/>
      <c r="AD243" s="79"/>
      <c r="AE243" s="79"/>
      <c r="AF243" s="79"/>
      <c r="AG243" s="79"/>
      <c r="AH243" s="79"/>
      <c r="AI243" s="79"/>
      <c r="AJ243" s="79"/>
      <c r="AK243" s="79"/>
      <c r="AL243" s="79"/>
    </row>
    <row r="244" spans="1:38" s="74" customFormat="1" x14ac:dyDescent="0.25">
      <c r="A244" s="106"/>
      <c r="B244" s="105"/>
      <c r="C244" s="105"/>
      <c r="D244" s="105"/>
      <c r="E244" s="105"/>
      <c r="F244" s="105"/>
      <c r="H244" s="88">
        <v>239</v>
      </c>
      <c r="I244" s="89" t="str">
        <f t="shared" si="14"/>
        <v/>
      </c>
      <c r="J244" s="88">
        <f t="shared" si="15"/>
        <v>-4</v>
      </c>
      <c r="K244" s="88">
        <f t="shared" si="16"/>
        <v>-40</v>
      </c>
      <c r="L244" s="88"/>
      <c r="M244" s="90">
        <f t="shared" si="17"/>
        <v>0</v>
      </c>
      <c r="S244" s="79"/>
      <c r="T244" s="79"/>
      <c r="U244" s="79"/>
      <c r="V244" s="79"/>
      <c r="W244" s="79"/>
      <c r="X244" s="79"/>
      <c r="Y244" s="79"/>
      <c r="Z244" s="79"/>
      <c r="AA244" s="79"/>
      <c r="AB244" s="79"/>
      <c r="AC244" s="79"/>
      <c r="AD244" s="79"/>
      <c r="AE244" s="79"/>
      <c r="AF244" s="79"/>
      <c r="AG244" s="79"/>
      <c r="AH244" s="79"/>
      <c r="AI244" s="79"/>
      <c r="AJ244" s="79"/>
      <c r="AK244" s="79"/>
      <c r="AL244" s="79"/>
    </row>
    <row r="245" spans="1:38" s="74" customFormat="1" x14ac:dyDescent="0.25">
      <c r="A245" s="106"/>
      <c r="B245" s="105"/>
      <c r="C245" s="105"/>
      <c r="D245" s="105"/>
      <c r="E245" s="105"/>
      <c r="F245" s="105"/>
      <c r="H245" s="88">
        <v>240</v>
      </c>
      <c r="I245" s="89" t="str">
        <f t="shared" si="14"/>
        <v/>
      </c>
      <c r="J245" s="88">
        <f t="shared" si="15"/>
        <v>-4</v>
      </c>
      <c r="K245" s="88">
        <f t="shared" si="16"/>
        <v>-40</v>
      </c>
      <c r="L245" s="88"/>
      <c r="M245" s="90">
        <f t="shared" si="17"/>
        <v>0</v>
      </c>
      <c r="S245" s="79"/>
      <c r="T245" s="79"/>
      <c r="U245" s="79"/>
      <c r="V245" s="79"/>
      <c r="W245" s="79"/>
      <c r="X245" s="79"/>
      <c r="Y245" s="79"/>
      <c r="Z245" s="79"/>
      <c r="AA245" s="79"/>
      <c r="AB245" s="79"/>
      <c r="AC245" s="79"/>
      <c r="AD245" s="79"/>
      <c r="AE245" s="79"/>
      <c r="AF245" s="79"/>
      <c r="AG245" s="79"/>
      <c r="AH245" s="79"/>
      <c r="AI245" s="79"/>
      <c r="AJ245" s="79"/>
      <c r="AK245" s="79"/>
      <c r="AL245" s="79"/>
    </row>
    <row r="246" spans="1:38" s="74" customFormat="1" x14ac:dyDescent="0.25">
      <c r="A246" s="106"/>
      <c r="B246" s="105"/>
      <c r="C246" s="105"/>
      <c r="D246" s="105"/>
      <c r="E246" s="105"/>
      <c r="F246" s="105"/>
      <c r="H246" s="88">
        <v>241</v>
      </c>
      <c r="I246" s="89" t="str">
        <f t="shared" si="14"/>
        <v/>
      </c>
      <c r="J246" s="88">
        <f t="shared" si="15"/>
        <v>-4</v>
      </c>
      <c r="K246" s="88">
        <f t="shared" si="16"/>
        <v>-40</v>
      </c>
      <c r="L246" s="88"/>
      <c r="M246" s="90">
        <f t="shared" si="17"/>
        <v>0</v>
      </c>
      <c r="S246" s="79"/>
      <c r="T246" s="79"/>
      <c r="U246" s="79"/>
      <c r="V246" s="79"/>
      <c r="W246" s="79"/>
      <c r="X246" s="79"/>
      <c r="Y246" s="79"/>
      <c r="Z246" s="79"/>
      <c r="AA246" s="79"/>
      <c r="AB246" s="79"/>
      <c r="AC246" s="79"/>
      <c r="AD246" s="79"/>
      <c r="AE246" s="79"/>
      <c r="AF246" s="79"/>
      <c r="AG246" s="79"/>
      <c r="AH246" s="79"/>
      <c r="AI246" s="79"/>
      <c r="AJ246" s="79"/>
      <c r="AK246" s="79"/>
      <c r="AL246" s="79"/>
    </row>
    <row r="247" spans="1:38" s="74" customFormat="1" x14ac:dyDescent="0.25">
      <c r="A247" s="106"/>
      <c r="B247" s="105"/>
      <c r="C247" s="105"/>
      <c r="D247" s="105"/>
      <c r="E247" s="105"/>
      <c r="F247" s="105"/>
      <c r="H247" s="88">
        <v>242</v>
      </c>
      <c r="I247" s="89" t="str">
        <f t="shared" si="14"/>
        <v/>
      </c>
      <c r="J247" s="88">
        <f t="shared" si="15"/>
        <v>-4</v>
      </c>
      <c r="K247" s="88">
        <f t="shared" si="16"/>
        <v>-40</v>
      </c>
      <c r="L247" s="88"/>
      <c r="M247" s="90">
        <f t="shared" si="17"/>
        <v>0</v>
      </c>
      <c r="S247" s="79"/>
      <c r="T247" s="79"/>
      <c r="U247" s="79"/>
      <c r="V247" s="79"/>
      <c r="W247" s="79"/>
      <c r="X247" s="79"/>
      <c r="Y247" s="79"/>
      <c r="Z247" s="79"/>
      <c r="AA247" s="79"/>
      <c r="AB247" s="79"/>
      <c r="AC247" s="79"/>
      <c r="AD247" s="79"/>
      <c r="AE247" s="79"/>
      <c r="AF247" s="79"/>
      <c r="AG247" s="79"/>
      <c r="AH247" s="79"/>
      <c r="AI247" s="79"/>
      <c r="AJ247" s="79"/>
      <c r="AK247" s="79"/>
      <c r="AL247" s="79"/>
    </row>
    <row r="248" spans="1:38" s="74" customFormat="1" x14ac:dyDescent="0.25">
      <c r="A248" s="106"/>
      <c r="B248" s="105"/>
      <c r="C248" s="105"/>
      <c r="D248" s="105"/>
      <c r="E248" s="105"/>
      <c r="F248" s="105"/>
      <c r="H248" s="88">
        <v>243</v>
      </c>
      <c r="I248" s="89" t="str">
        <f t="shared" si="14"/>
        <v/>
      </c>
      <c r="J248" s="88">
        <f t="shared" si="15"/>
        <v>-4</v>
      </c>
      <c r="K248" s="88">
        <f t="shared" si="16"/>
        <v>-40</v>
      </c>
      <c r="L248" s="88"/>
      <c r="M248" s="90">
        <f t="shared" si="17"/>
        <v>0</v>
      </c>
      <c r="S248" s="79"/>
      <c r="T248" s="79"/>
      <c r="U248" s="79"/>
      <c r="V248" s="79"/>
      <c r="W248" s="79"/>
      <c r="X248" s="79"/>
      <c r="Y248" s="79"/>
      <c r="Z248" s="79"/>
      <c r="AA248" s="79"/>
      <c r="AB248" s="79"/>
      <c r="AC248" s="79"/>
      <c r="AD248" s="79"/>
      <c r="AE248" s="79"/>
      <c r="AF248" s="79"/>
      <c r="AG248" s="79"/>
      <c r="AH248" s="79"/>
      <c r="AI248" s="79"/>
      <c r="AJ248" s="79"/>
      <c r="AK248" s="79"/>
      <c r="AL248" s="79"/>
    </row>
    <row r="249" spans="1:38" s="74" customFormat="1" x14ac:dyDescent="0.25">
      <c r="A249" s="106"/>
      <c r="B249" s="105"/>
      <c r="C249" s="105"/>
      <c r="D249" s="105"/>
      <c r="E249" s="105"/>
      <c r="F249" s="105"/>
      <c r="H249" s="88">
        <v>244</v>
      </c>
      <c r="I249" s="89" t="str">
        <f t="shared" si="14"/>
        <v/>
      </c>
      <c r="J249" s="88">
        <f t="shared" si="15"/>
        <v>-4</v>
      </c>
      <c r="K249" s="88">
        <f t="shared" si="16"/>
        <v>-40</v>
      </c>
      <c r="L249" s="88"/>
      <c r="M249" s="90">
        <f t="shared" si="17"/>
        <v>0</v>
      </c>
      <c r="S249" s="79"/>
      <c r="T249" s="79"/>
      <c r="U249" s="79"/>
      <c r="V249" s="79"/>
      <c r="W249" s="79"/>
      <c r="X249" s="79"/>
      <c r="Y249" s="79"/>
      <c r="Z249" s="79"/>
      <c r="AA249" s="79"/>
      <c r="AB249" s="79"/>
      <c r="AC249" s="79"/>
      <c r="AD249" s="79"/>
      <c r="AE249" s="79"/>
      <c r="AF249" s="79"/>
      <c r="AG249" s="79"/>
      <c r="AH249" s="79"/>
      <c r="AI249" s="79"/>
      <c r="AJ249" s="79"/>
      <c r="AK249" s="79"/>
      <c r="AL249" s="79"/>
    </row>
    <row r="250" spans="1:38" s="74" customFormat="1" x14ac:dyDescent="0.25">
      <c r="A250" s="106"/>
      <c r="B250" s="105"/>
      <c r="C250" s="105"/>
      <c r="D250" s="105"/>
      <c r="E250" s="105"/>
      <c r="F250" s="105"/>
      <c r="H250" s="88">
        <v>245</v>
      </c>
      <c r="I250" s="89" t="str">
        <f t="shared" si="14"/>
        <v/>
      </c>
      <c r="J250" s="88">
        <f t="shared" si="15"/>
        <v>-4</v>
      </c>
      <c r="K250" s="88">
        <f t="shared" si="16"/>
        <v>-40</v>
      </c>
      <c r="L250" s="88"/>
      <c r="M250" s="90">
        <f t="shared" si="17"/>
        <v>0</v>
      </c>
      <c r="S250" s="79"/>
      <c r="T250" s="79"/>
      <c r="U250" s="79"/>
      <c r="V250" s="79"/>
      <c r="W250" s="79"/>
      <c r="X250" s="79"/>
      <c r="Y250" s="79"/>
      <c r="Z250" s="79"/>
      <c r="AA250" s="79"/>
      <c r="AB250" s="79"/>
      <c r="AC250" s="79"/>
      <c r="AD250" s="79"/>
      <c r="AE250" s="79"/>
      <c r="AF250" s="79"/>
      <c r="AG250" s="79"/>
      <c r="AH250" s="79"/>
      <c r="AI250" s="79"/>
      <c r="AJ250" s="79"/>
      <c r="AK250" s="79"/>
      <c r="AL250" s="79"/>
    </row>
    <row r="251" spans="1:38" s="74" customFormat="1" x14ac:dyDescent="0.25">
      <c r="A251" s="106"/>
      <c r="B251" s="105"/>
      <c r="C251" s="105"/>
      <c r="D251" s="105"/>
      <c r="E251" s="105"/>
      <c r="F251" s="105"/>
      <c r="H251" s="88">
        <v>246</v>
      </c>
      <c r="I251" s="89" t="str">
        <f t="shared" si="14"/>
        <v/>
      </c>
      <c r="J251" s="88">
        <f t="shared" si="15"/>
        <v>-4</v>
      </c>
      <c r="K251" s="88">
        <f t="shared" si="16"/>
        <v>-40</v>
      </c>
      <c r="L251" s="88"/>
      <c r="M251" s="90">
        <f t="shared" si="17"/>
        <v>0</v>
      </c>
      <c r="S251" s="79"/>
      <c r="T251" s="79"/>
      <c r="U251" s="79"/>
      <c r="V251" s="79"/>
      <c r="W251" s="79"/>
      <c r="X251" s="79"/>
      <c r="Y251" s="79"/>
      <c r="Z251" s="79"/>
      <c r="AA251" s="79"/>
      <c r="AB251" s="79"/>
      <c r="AC251" s="79"/>
      <c r="AD251" s="79"/>
      <c r="AE251" s="79"/>
      <c r="AF251" s="79"/>
      <c r="AG251" s="79"/>
      <c r="AH251" s="79"/>
      <c r="AI251" s="79"/>
      <c r="AJ251" s="79"/>
      <c r="AK251" s="79"/>
      <c r="AL251" s="79"/>
    </row>
    <row r="252" spans="1:38" s="74" customFormat="1" x14ac:dyDescent="0.25">
      <c r="A252" s="106"/>
      <c r="B252" s="105"/>
      <c r="C252" s="105"/>
      <c r="D252" s="105"/>
      <c r="E252" s="105"/>
      <c r="F252" s="105"/>
      <c r="H252" s="88">
        <v>247</v>
      </c>
      <c r="I252" s="89" t="str">
        <f t="shared" si="14"/>
        <v/>
      </c>
      <c r="J252" s="88">
        <f t="shared" si="15"/>
        <v>-4</v>
      </c>
      <c r="K252" s="88">
        <f t="shared" si="16"/>
        <v>-40</v>
      </c>
      <c r="L252" s="88"/>
      <c r="M252" s="90">
        <f t="shared" si="17"/>
        <v>0</v>
      </c>
      <c r="S252" s="79"/>
      <c r="T252" s="79"/>
      <c r="U252" s="79"/>
      <c r="V252" s="79"/>
      <c r="W252" s="79"/>
      <c r="X252" s="79"/>
      <c r="Y252" s="79"/>
      <c r="Z252" s="79"/>
      <c r="AA252" s="79"/>
      <c r="AB252" s="79"/>
      <c r="AC252" s="79"/>
      <c r="AD252" s="79"/>
      <c r="AE252" s="79"/>
      <c r="AF252" s="79"/>
      <c r="AG252" s="79"/>
      <c r="AH252" s="79"/>
      <c r="AI252" s="79"/>
      <c r="AJ252" s="79"/>
      <c r="AK252" s="79"/>
      <c r="AL252" s="79"/>
    </row>
    <row r="253" spans="1:38" s="74" customFormat="1" x14ac:dyDescent="0.25">
      <c r="A253" s="106"/>
      <c r="B253" s="105"/>
      <c r="C253" s="105"/>
      <c r="D253" s="105"/>
      <c r="E253" s="105"/>
      <c r="F253" s="105"/>
      <c r="H253" s="88">
        <v>248</v>
      </c>
      <c r="I253" s="89" t="str">
        <f t="shared" si="14"/>
        <v/>
      </c>
      <c r="J253" s="88">
        <f t="shared" si="15"/>
        <v>-4</v>
      </c>
      <c r="K253" s="88">
        <f t="shared" si="16"/>
        <v>-40</v>
      </c>
      <c r="L253" s="88"/>
      <c r="M253" s="90">
        <f t="shared" si="17"/>
        <v>0</v>
      </c>
      <c r="S253" s="79"/>
      <c r="T253" s="79"/>
      <c r="U253" s="79"/>
      <c r="V253" s="79"/>
      <c r="W253" s="79"/>
      <c r="X253" s="79"/>
      <c r="Y253" s="79"/>
      <c r="Z253" s="79"/>
      <c r="AA253" s="79"/>
      <c r="AB253" s="79"/>
      <c r="AC253" s="79"/>
      <c r="AD253" s="79"/>
      <c r="AE253" s="79"/>
      <c r="AF253" s="79"/>
      <c r="AG253" s="79"/>
      <c r="AH253" s="79"/>
      <c r="AI253" s="79"/>
      <c r="AJ253" s="79"/>
      <c r="AK253" s="79"/>
      <c r="AL253" s="79"/>
    </row>
    <row r="254" spans="1:38" s="74" customFormat="1" x14ac:dyDescent="0.25">
      <c r="A254" s="106"/>
      <c r="B254" s="105"/>
      <c r="C254" s="105"/>
      <c r="D254" s="105"/>
      <c r="E254" s="105"/>
      <c r="F254" s="105"/>
      <c r="H254" s="88">
        <v>249</v>
      </c>
      <c r="I254" s="89" t="str">
        <f t="shared" si="14"/>
        <v/>
      </c>
      <c r="J254" s="88">
        <f t="shared" si="15"/>
        <v>-4</v>
      </c>
      <c r="K254" s="88">
        <f t="shared" si="16"/>
        <v>-40</v>
      </c>
      <c r="L254" s="88"/>
      <c r="M254" s="90">
        <f t="shared" si="17"/>
        <v>0</v>
      </c>
      <c r="S254" s="79"/>
      <c r="T254" s="79"/>
      <c r="U254" s="79"/>
      <c r="V254" s="79"/>
      <c r="W254" s="79"/>
      <c r="X254" s="79"/>
      <c r="Y254" s="79"/>
      <c r="Z254" s="79"/>
      <c r="AA254" s="79"/>
      <c r="AB254" s="79"/>
      <c r="AC254" s="79"/>
      <c r="AD254" s="79"/>
      <c r="AE254" s="79"/>
      <c r="AF254" s="79"/>
      <c r="AG254" s="79"/>
      <c r="AH254" s="79"/>
      <c r="AI254" s="79"/>
      <c r="AJ254" s="79"/>
      <c r="AK254" s="79"/>
      <c r="AL254" s="79"/>
    </row>
    <row r="255" spans="1:38" s="74" customFormat="1" x14ac:dyDescent="0.25">
      <c r="A255" s="106"/>
      <c r="B255" s="105"/>
      <c r="C255" s="105"/>
      <c r="D255" s="105"/>
      <c r="E255" s="105"/>
      <c r="F255" s="105"/>
      <c r="H255" s="88">
        <v>250</v>
      </c>
      <c r="I255" s="89" t="str">
        <f t="shared" si="14"/>
        <v/>
      </c>
      <c r="J255" s="88">
        <f t="shared" si="15"/>
        <v>-4</v>
      </c>
      <c r="K255" s="88">
        <f t="shared" si="16"/>
        <v>-40</v>
      </c>
      <c r="L255" s="88"/>
      <c r="M255" s="90">
        <f t="shared" si="17"/>
        <v>0</v>
      </c>
      <c r="S255" s="79"/>
      <c r="T255" s="79"/>
      <c r="U255" s="79"/>
      <c r="V255" s="79"/>
      <c r="W255" s="79"/>
      <c r="X255" s="79"/>
      <c r="Y255" s="79"/>
      <c r="Z255" s="79"/>
      <c r="AA255" s="79"/>
      <c r="AB255" s="79"/>
      <c r="AC255" s="79"/>
      <c r="AD255" s="79"/>
      <c r="AE255" s="79"/>
      <c r="AF255" s="79"/>
      <c r="AG255" s="79"/>
      <c r="AH255" s="79"/>
      <c r="AI255" s="79"/>
      <c r="AJ255" s="79"/>
      <c r="AK255" s="79"/>
      <c r="AL255" s="79"/>
    </row>
    <row r="256" spans="1:38" s="74" customFormat="1" x14ac:dyDescent="0.25">
      <c r="A256" s="106"/>
      <c r="B256" s="105"/>
      <c r="C256" s="105"/>
      <c r="D256" s="105"/>
      <c r="E256" s="105"/>
      <c r="F256" s="105"/>
      <c r="H256" s="88">
        <v>251</v>
      </c>
      <c r="I256" s="89" t="str">
        <f t="shared" si="14"/>
        <v/>
      </c>
      <c r="J256" s="88">
        <f t="shared" si="15"/>
        <v>-4</v>
      </c>
      <c r="K256" s="88">
        <f t="shared" si="16"/>
        <v>-40</v>
      </c>
      <c r="L256" s="88"/>
      <c r="M256" s="90">
        <f t="shared" si="17"/>
        <v>0</v>
      </c>
      <c r="S256" s="79"/>
      <c r="T256" s="79"/>
      <c r="U256" s="79"/>
      <c r="V256" s="79"/>
      <c r="W256" s="79"/>
      <c r="X256" s="79"/>
      <c r="Y256" s="79"/>
      <c r="Z256" s="79"/>
      <c r="AA256" s="79"/>
      <c r="AB256" s="79"/>
      <c r="AC256" s="79"/>
      <c r="AD256" s="79"/>
      <c r="AE256" s="79"/>
      <c r="AF256" s="79"/>
      <c r="AG256" s="79"/>
      <c r="AH256" s="79"/>
      <c r="AI256" s="79"/>
      <c r="AJ256" s="79"/>
      <c r="AK256" s="79"/>
      <c r="AL256" s="79"/>
    </row>
    <row r="257" spans="1:38" s="74" customFormat="1" x14ac:dyDescent="0.25">
      <c r="A257" s="106"/>
      <c r="B257" s="105"/>
      <c r="C257" s="105"/>
      <c r="D257" s="105"/>
      <c r="E257" s="105"/>
      <c r="F257" s="105"/>
      <c r="H257" s="88">
        <v>252</v>
      </c>
      <c r="I257" s="89" t="str">
        <f t="shared" si="14"/>
        <v/>
      </c>
      <c r="J257" s="88">
        <f t="shared" si="15"/>
        <v>-4</v>
      </c>
      <c r="K257" s="88">
        <f t="shared" si="16"/>
        <v>-40</v>
      </c>
      <c r="L257" s="88"/>
      <c r="M257" s="90">
        <f t="shared" si="17"/>
        <v>0</v>
      </c>
      <c r="S257" s="79"/>
      <c r="T257" s="79"/>
      <c r="U257" s="79"/>
      <c r="V257" s="79"/>
      <c r="W257" s="79"/>
      <c r="X257" s="79"/>
      <c r="Y257" s="79"/>
      <c r="Z257" s="79"/>
      <c r="AA257" s="79"/>
      <c r="AB257" s="79"/>
      <c r="AC257" s="79"/>
      <c r="AD257" s="79"/>
      <c r="AE257" s="79"/>
      <c r="AF257" s="79"/>
      <c r="AG257" s="79"/>
      <c r="AH257" s="79"/>
      <c r="AI257" s="79"/>
      <c r="AJ257" s="79"/>
      <c r="AK257" s="79"/>
      <c r="AL257" s="79"/>
    </row>
    <row r="258" spans="1:38" s="74" customFormat="1" x14ac:dyDescent="0.25">
      <c r="A258" s="106"/>
      <c r="B258" s="105"/>
      <c r="C258" s="105"/>
      <c r="D258" s="105"/>
      <c r="E258" s="105"/>
      <c r="F258" s="105"/>
      <c r="H258" s="88">
        <v>253</v>
      </c>
      <c r="I258" s="89" t="str">
        <f t="shared" si="14"/>
        <v/>
      </c>
      <c r="J258" s="88">
        <f t="shared" si="15"/>
        <v>-4</v>
      </c>
      <c r="K258" s="88">
        <f t="shared" si="16"/>
        <v>-40</v>
      </c>
      <c r="L258" s="88"/>
      <c r="M258" s="90">
        <f t="shared" si="17"/>
        <v>0</v>
      </c>
      <c r="S258" s="79"/>
      <c r="T258" s="79"/>
      <c r="U258" s="79"/>
      <c r="V258" s="79"/>
      <c r="W258" s="79"/>
      <c r="X258" s="79"/>
      <c r="Y258" s="79"/>
      <c r="Z258" s="79"/>
      <c r="AA258" s="79"/>
      <c r="AB258" s="79"/>
      <c r="AC258" s="79"/>
      <c r="AD258" s="79"/>
      <c r="AE258" s="79"/>
      <c r="AF258" s="79"/>
      <c r="AG258" s="79"/>
      <c r="AH258" s="79"/>
      <c r="AI258" s="79"/>
      <c r="AJ258" s="79"/>
      <c r="AK258" s="79"/>
      <c r="AL258" s="79"/>
    </row>
    <row r="259" spans="1:38" s="74" customFormat="1" x14ac:dyDescent="0.25">
      <c r="A259" s="106"/>
      <c r="B259" s="105"/>
      <c r="C259" s="105"/>
      <c r="D259" s="105"/>
      <c r="E259" s="105"/>
      <c r="F259" s="105"/>
      <c r="H259" s="88">
        <v>254</v>
      </c>
      <c r="I259" s="89" t="str">
        <f t="shared" si="14"/>
        <v/>
      </c>
      <c r="J259" s="88">
        <f t="shared" si="15"/>
        <v>-4</v>
      </c>
      <c r="K259" s="88">
        <f t="shared" si="16"/>
        <v>-40</v>
      </c>
      <c r="L259" s="88"/>
      <c r="M259" s="90">
        <f t="shared" si="17"/>
        <v>0</v>
      </c>
      <c r="S259" s="79"/>
      <c r="T259" s="79"/>
      <c r="U259" s="79"/>
      <c r="V259" s="79"/>
      <c r="W259" s="79"/>
      <c r="X259" s="79"/>
      <c r="Y259" s="79"/>
      <c r="Z259" s="79"/>
      <c r="AA259" s="79"/>
      <c r="AB259" s="79"/>
      <c r="AC259" s="79"/>
      <c r="AD259" s="79"/>
      <c r="AE259" s="79"/>
      <c r="AF259" s="79"/>
      <c r="AG259" s="79"/>
      <c r="AH259" s="79"/>
      <c r="AI259" s="79"/>
      <c r="AJ259" s="79"/>
      <c r="AK259" s="79"/>
      <c r="AL259" s="79"/>
    </row>
    <row r="260" spans="1:38" s="74" customFormat="1" x14ac:dyDescent="0.25">
      <c r="A260" s="106"/>
      <c r="B260" s="105"/>
      <c r="C260" s="105"/>
      <c r="D260" s="105"/>
      <c r="E260" s="105"/>
      <c r="F260" s="105"/>
      <c r="H260" s="88">
        <v>255</v>
      </c>
      <c r="I260" s="89" t="str">
        <f t="shared" si="14"/>
        <v/>
      </c>
      <c r="J260" s="88">
        <f t="shared" si="15"/>
        <v>-4</v>
      </c>
      <c r="K260" s="88">
        <f t="shared" si="16"/>
        <v>-40</v>
      </c>
      <c r="L260" s="88"/>
      <c r="M260" s="90">
        <f t="shared" si="17"/>
        <v>0</v>
      </c>
      <c r="S260" s="79"/>
      <c r="T260" s="79"/>
      <c r="U260" s="79"/>
      <c r="V260" s="79"/>
      <c r="W260" s="79"/>
      <c r="X260" s="79"/>
      <c r="Y260" s="79"/>
      <c r="Z260" s="79"/>
      <c r="AA260" s="79"/>
      <c r="AB260" s="79"/>
      <c r="AC260" s="79"/>
      <c r="AD260" s="79"/>
      <c r="AE260" s="79"/>
      <c r="AF260" s="79"/>
      <c r="AG260" s="79"/>
      <c r="AH260" s="79"/>
      <c r="AI260" s="79"/>
      <c r="AJ260" s="79"/>
      <c r="AK260" s="79"/>
      <c r="AL260" s="79"/>
    </row>
    <row r="261" spans="1:38" s="74" customFormat="1" x14ac:dyDescent="0.25">
      <c r="A261" s="106"/>
      <c r="B261" s="105"/>
      <c r="C261" s="105"/>
      <c r="D261" s="105"/>
      <c r="E261" s="105"/>
      <c r="F261" s="105"/>
      <c r="H261" s="88">
        <v>256</v>
      </c>
      <c r="I261" s="89" t="str">
        <f t="shared" si="14"/>
        <v/>
      </c>
      <c r="J261" s="88">
        <f t="shared" si="15"/>
        <v>-4</v>
      </c>
      <c r="K261" s="88">
        <f t="shared" si="16"/>
        <v>-40</v>
      </c>
      <c r="L261" s="88"/>
      <c r="M261" s="90">
        <f t="shared" si="17"/>
        <v>0</v>
      </c>
      <c r="S261" s="79"/>
      <c r="T261" s="79"/>
      <c r="U261" s="79"/>
      <c r="V261" s="79"/>
      <c r="W261" s="79"/>
      <c r="X261" s="79"/>
      <c r="Y261" s="79"/>
      <c r="Z261" s="79"/>
      <c r="AA261" s="79"/>
      <c r="AB261" s="79"/>
      <c r="AC261" s="79"/>
      <c r="AD261" s="79"/>
      <c r="AE261" s="79"/>
      <c r="AF261" s="79"/>
      <c r="AG261" s="79"/>
      <c r="AH261" s="79"/>
      <c r="AI261" s="79"/>
      <c r="AJ261" s="79"/>
      <c r="AK261" s="79"/>
      <c r="AL261" s="79"/>
    </row>
    <row r="262" spans="1:38" s="74" customFormat="1" x14ac:dyDescent="0.25">
      <c r="A262" s="106"/>
      <c r="B262" s="105"/>
      <c r="C262" s="105"/>
      <c r="D262" s="105"/>
      <c r="E262" s="105"/>
      <c r="F262" s="105"/>
      <c r="H262" s="88">
        <v>257</v>
      </c>
      <c r="I262" s="89" t="str">
        <f t="shared" ref="I262:I305" si="18">IF(H262&lt;$H$2+1,($I$2-($I$2-1)*(LOG(H262)/LOG($H$2))),"")</f>
        <v/>
      </c>
      <c r="J262" s="88">
        <f t="shared" ref="J262:J305" si="19">INT(LOG($H$2,2))-ROUNDUP(LOG(H262,2),0)+IF(OR($H$2=1,$H$2=2,$H$2=4,$H$2=8,$H$2=16,$H$2=32,$H$2=64,$H$2=128,$H$2=256),0,1)</f>
        <v>-5</v>
      </c>
      <c r="K262" s="88">
        <f t="shared" ref="K262:K305" si="20">J262*$J$2</f>
        <v>-50</v>
      </c>
      <c r="L262" s="88"/>
      <c r="M262" s="90">
        <f t="shared" ref="M262:M305" si="21">IF(I262&lt;&gt;"",K262+I262+L262,0)</f>
        <v>0</v>
      </c>
      <c r="S262" s="79"/>
      <c r="T262" s="79"/>
      <c r="U262" s="79"/>
      <c r="V262" s="79"/>
      <c r="W262" s="79"/>
      <c r="X262" s="79"/>
      <c r="Y262" s="79"/>
      <c r="Z262" s="79"/>
      <c r="AA262" s="79"/>
      <c r="AB262" s="79"/>
      <c r="AC262" s="79"/>
      <c r="AD262" s="79"/>
      <c r="AE262" s="79"/>
      <c r="AF262" s="79"/>
      <c r="AG262" s="79"/>
      <c r="AH262" s="79"/>
      <c r="AI262" s="79"/>
      <c r="AJ262" s="79"/>
      <c r="AK262" s="79"/>
      <c r="AL262" s="79"/>
    </row>
    <row r="263" spans="1:38" s="74" customFormat="1" x14ac:dyDescent="0.25">
      <c r="A263" s="106"/>
      <c r="B263" s="105"/>
      <c r="C263" s="105"/>
      <c r="D263" s="105"/>
      <c r="E263" s="105"/>
      <c r="F263" s="105"/>
      <c r="H263" s="88">
        <v>258</v>
      </c>
      <c r="I263" s="89" t="str">
        <f t="shared" si="18"/>
        <v/>
      </c>
      <c r="J263" s="88">
        <f t="shared" si="19"/>
        <v>-5</v>
      </c>
      <c r="K263" s="88">
        <f t="shared" si="20"/>
        <v>-50</v>
      </c>
      <c r="L263" s="88"/>
      <c r="M263" s="90">
        <f t="shared" si="21"/>
        <v>0</v>
      </c>
      <c r="S263" s="79"/>
      <c r="T263" s="79"/>
      <c r="U263" s="79"/>
      <c r="V263" s="79"/>
      <c r="W263" s="79"/>
      <c r="X263" s="79"/>
      <c r="Y263" s="79"/>
      <c r="Z263" s="79"/>
      <c r="AA263" s="79"/>
      <c r="AB263" s="79"/>
      <c r="AC263" s="79"/>
      <c r="AD263" s="79"/>
      <c r="AE263" s="79"/>
      <c r="AF263" s="79"/>
      <c r="AG263" s="79"/>
      <c r="AH263" s="79"/>
      <c r="AI263" s="79"/>
      <c r="AJ263" s="79"/>
      <c r="AK263" s="79"/>
      <c r="AL263" s="79"/>
    </row>
    <row r="264" spans="1:38" s="74" customFormat="1" x14ac:dyDescent="0.25">
      <c r="A264" s="106"/>
      <c r="B264" s="105"/>
      <c r="C264" s="105"/>
      <c r="D264" s="105"/>
      <c r="E264" s="105"/>
      <c r="F264" s="105"/>
      <c r="H264" s="88">
        <v>259</v>
      </c>
      <c r="I264" s="89" t="str">
        <f t="shared" si="18"/>
        <v/>
      </c>
      <c r="J264" s="88">
        <f t="shared" si="19"/>
        <v>-5</v>
      </c>
      <c r="K264" s="88">
        <f t="shared" si="20"/>
        <v>-50</v>
      </c>
      <c r="L264" s="88"/>
      <c r="M264" s="90">
        <f t="shared" si="21"/>
        <v>0</v>
      </c>
      <c r="S264" s="79"/>
      <c r="T264" s="79"/>
      <c r="U264" s="79"/>
      <c r="V264" s="79"/>
      <c r="W264" s="79"/>
      <c r="X264" s="79"/>
      <c r="Y264" s="79"/>
      <c r="Z264" s="79"/>
      <c r="AA264" s="79"/>
      <c r="AB264" s="79"/>
      <c r="AC264" s="79"/>
      <c r="AD264" s="79"/>
      <c r="AE264" s="79"/>
      <c r="AF264" s="79"/>
      <c r="AG264" s="79"/>
      <c r="AH264" s="79"/>
      <c r="AI264" s="79"/>
      <c r="AJ264" s="79"/>
      <c r="AK264" s="79"/>
      <c r="AL264" s="79"/>
    </row>
    <row r="265" spans="1:38" s="74" customFormat="1" x14ac:dyDescent="0.25">
      <c r="A265" s="106"/>
      <c r="B265" s="105"/>
      <c r="C265" s="105"/>
      <c r="D265" s="105"/>
      <c r="E265" s="105"/>
      <c r="F265" s="105"/>
      <c r="H265" s="88">
        <v>260</v>
      </c>
      <c r="I265" s="89" t="str">
        <f t="shared" si="18"/>
        <v/>
      </c>
      <c r="J265" s="88">
        <f t="shared" si="19"/>
        <v>-5</v>
      </c>
      <c r="K265" s="88">
        <f t="shared" si="20"/>
        <v>-50</v>
      </c>
      <c r="L265" s="88"/>
      <c r="M265" s="90">
        <f t="shared" si="21"/>
        <v>0</v>
      </c>
      <c r="S265" s="79"/>
      <c r="T265" s="79"/>
      <c r="U265" s="79"/>
      <c r="V265" s="79"/>
      <c r="W265" s="79"/>
      <c r="X265" s="79"/>
      <c r="Y265" s="79"/>
      <c r="Z265" s="79"/>
      <c r="AA265" s="79"/>
      <c r="AB265" s="79"/>
      <c r="AC265" s="79"/>
      <c r="AD265" s="79"/>
      <c r="AE265" s="79"/>
      <c r="AF265" s="79"/>
      <c r="AG265" s="79"/>
      <c r="AH265" s="79"/>
      <c r="AI265" s="79"/>
      <c r="AJ265" s="79"/>
      <c r="AK265" s="79"/>
      <c r="AL265" s="79"/>
    </row>
    <row r="266" spans="1:38" s="74" customFormat="1" x14ac:dyDescent="0.25">
      <c r="A266" s="106"/>
      <c r="B266" s="105"/>
      <c r="C266" s="105"/>
      <c r="D266" s="105"/>
      <c r="E266" s="105"/>
      <c r="F266" s="105"/>
      <c r="H266" s="88">
        <v>261</v>
      </c>
      <c r="I266" s="89" t="str">
        <f t="shared" si="18"/>
        <v/>
      </c>
      <c r="J266" s="88">
        <f t="shared" si="19"/>
        <v>-5</v>
      </c>
      <c r="K266" s="88">
        <f t="shared" si="20"/>
        <v>-50</v>
      </c>
      <c r="L266" s="88"/>
      <c r="M266" s="90">
        <f t="shared" si="21"/>
        <v>0</v>
      </c>
      <c r="S266" s="79"/>
      <c r="T266" s="79"/>
      <c r="U266" s="79"/>
      <c r="V266" s="79"/>
      <c r="W266" s="79"/>
      <c r="X266" s="79"/>
      <c r="Y266" s="79"/>
      <c r="Z266" s="79"/>
      <c r="AA266" s="79"/>
      <c r="AB266" s="79"/>
      <c r="AC266" s="79"/>
      <c r="AD266" s="79"/>
      <c r="AE266" s="79"/>
      <c r="AF266" s="79"/>
      <c r="AG266" s="79"/>
      <c r="AH266" s="79"/>
      <c r="AI266" s="79"/>
      <c r="AJ266" s="79"/>
      <c r="AK266" s="79"/>
      <c r="AL266" s="79"/>
    </row>
    <row r="267" spans="1:38" s="74" customFormat="1" x14ac:dyDescent="0.25">
      <c r="A267" s="106"/>
      <c r="B267" s="105"/>
      <c r="C267" s="105"/>
      <c r="D267" s="105"/>
      <c r="E267" s="105"/>
      <c r="F267" s="105"/>
      <c r="H267" s="88">
        <v>262</v>
      </c>
      <c r="I267" s="89" t="str">
        <f t="shared" si="18"/>
        <v/>
      </c>
      <c r="J267" s="88">
        <f t="shared" si="19"/>
        <v>-5</v>
      </c>
      <c r="K267" s="88">
        <f t="shared" si="20"/>
        <v>-50</v>
      </c>
      <c r="L267" s="88"/>
      <c r="M267" s="90">
        <f t="shared" si="21"/>
        <v>0</v>
      </c>
      <c r="S267" s="79"/>
      <c r="T267" s="79"/>
      <c r="U267" s="79"/>
      <c r="V267" s="79"/>
      <c r="W267" s="79"/>
      <c r="X267" s="79"/>
      <c r="Y267" s="79"/>
      <c r="Z267" s="79"/>
      <c r="AA267" s="79"/>
      <c r="AB267" s="79"/>
      <c r="AC267" s="79"/>
      <c r="AD267" s="79"/>
      <c r="AE267" s="79"/>
      <c r="AF267" s="79"/>
      <c r="AG267" s="79"/>
      <c r="AH267" s="79"/>
      <c r="AI267" s="79"/>
      <c r="AJ267" s="79"/>
      <c r="AK267" s="79"/>
      <c r="AL267" s="79"/>
    </row>
    <row r="268" spans="1:38" s="74" customFormat="1" x14ac:dyDescent="0.25">
      <c r="A268" s="106"/>
      <c r="B268" s="105"/>
      <c r="C268" s="105"/>
      <c r="D268" s="105"/>
      <c r="E268" s="105"/>
      <c r="F268" s="105"/>
      <c r="H268" s="88">
        <v>263</v>
      </c>
      <c r="I268" s="89" t="str">
        <f t="shared" si="18"/>
        <v/>
      </c>
      <c r="J268" s="88">
        <f t="shared" si="19"/>
        <v>-5</v>
      </c>
      <c r="K268" s="88">
        <f t="shared" si="20"/>
        <v>-50</v>
      </c>
      <c r="L268" s="88"/>
      <c r="M268" s="90">
        <f t="shared" si="21"/>
        <v>0</v>
      </c>
      <c r="S268" s="79"/>
      <c r="T268" s="79"/>
      <c r="U268" s="79"/>
      <c r="V268" s="79"/>
      <c r="W268" s="79"/>
      <c r="X268" s="79"/>
      <c r="Y268" s="79"/>
      <c r="Z268" s="79"/>
      <c r="AA268" s="79"/>
      <c r="AB268" s="79"/>
      <c r="AC268" s="79"/>
      <c r="AD268" s="79"/>
      <c r="AE268" s="79"/>
      <c r="AF268" s="79"/>
      <c r="AG268" s="79"/>
      <c r="AH268" s="79"/>
      <c r="AI268" s="79"/>
      <c r="AJ268" s="79"/>
      <c r="AK268" s="79"/>
      <c r="AL268" s="79"/>
    </row>
    <row r="269" spans="1:38" s="74" customFormat="1" x14ac:dyDescent="0.25">
      <c r="A269" s="106"/>
      <c r="B269" s="105"/>
      <c r="C269" s="105"/>
      <c r="D269" s="105"/>
      <c r="E269" s="105"/>
      <c r="F269" s="105"/>
      <c r="H269" s="88">
        <v>264</v>
      </c>
      <c r="I269" s="89" t="str">
        <f t="shared" si="18"/>
        <v/>
      </c>
      <c r="J269" s="88">
        <f t="shared" si="19"/>
        <v>-5</v>
      </c>
      <c r="K269" s="88">
        <f t="shared" si="20"/>
        <v>-50</v>
      </c>
      <c r="L269" s="88"/>
      <c r="M269" s="90">
        <f t="shared" si="21"/>
        <v>0</v>
      </c>
      <c r="S269" s="79"/>
      <c r="T269" s="79"/>
      <c r="U269" s="79"/>
      <c r="V269" s="79"/>
      <c r="W269" s="79"/>
      <c r="X269" s="79"/>
      <c r="Y269" s="79"/>
      <c r="Z269" s="79"/>
      <c r="AA269" s="79"/>
      <c r="AB269" s="79"/>
      <c r="AC269" s="79"/>
      <c r="AD269" s="79"/>
      <c r="AE269" s="79"/>
      <c r="AF269" s="79"/>
      <c r="AG269" s="79"/>
      <c r="AH269" s="79"/>
      <c r="AI269" s="79"/>
      <c r="AJ269" s="79"/>
      <c r="AK269" s="79"/>
      <c r="AL269" s="79"/>
    </row>
    <row r="270" spans="1:38" s="74" customFormat="1" x14ac:dyDescent="0.25">
      <c r="A270" s="106"/>
      <c r="B270" s="105"/>
      <c r="C270" s="105"/>
      <c r="D270" s="105"/>
      <c r="E270" s="105"/>
      <c r="F270" s="105"/>
      <c r="H270" s="88">
        <v>265</v>
      </c>
      <c r="I270" s="89" t="str">
        <f t="shared" si="18"/>
        <v/>
      </c>
      <c r="J270" s="88">
        <f t="shared" si="19"/>
        <v>-5</v>
      </c>
      <c r="K270" s="88">
        <f t="shared" si="20"/>
        <v>-50</v>
      </c>
      <c r="L270" s="88"/>
      <c r="M270" s="90">
        <f t="shared" si="21"/>
        <v>0</v>
      </c>
      <c r="S270" s="79"/>
      <c r="T270" s="79"/>
      <c r="U270" s="79"/>
      <c r="V270" s="79"/>
      <c r="W270" s="79"/>
      <c r="X270" s="79"/>
      <c r="Y270" s="79"/>
      <c r="Z270" s="79"/>
      <c r="AA270" s="79"/>
      <c r="AB270" s="79"/>
      <c r="AC270" s="79"/>
      <c r="AD270" s="79"/>
      <c r="AE270" s="79"/>
      <c r="AF270" s="79"/>
      <c r="AG270" s="79"/>
      <c r="AH270" s="79"/>
      <c r="AI270" s="79"/>
      <c r="AJ270" s="79"/>
      <c r="AK270" s="79"/>
      <c r="AL270" s="79"/>
    </row>
    <row r="271" spans="1:38" s="74" customFormat="1" x14ac:dyDescent="0.25">
      <c r="A271" s="106"/>
      <c r="B271" s="105"/>
      <c r="C271" s="105"/>
      <c r="D271" s="105"/>
      <c r="E271" s="105"/>
      <c r="F271" s="105"/>
      <c r="H271" s="88">
        <v>266</v>
      </c>
      <c r="I271" s="89" t="str">
        <f t="shared" si="18"/>
        <v/>
      </c>
      <c r="J271" s="88">
        <f t="shared" si="19"/>
        <v>-5</v>
      </c>
      <c r="K271" s="88">
        <f t="shared" si="20"/>
        <v>-50</v>
      </c>
      <c r="L271" s="88"/>
      <c r="M271" s="90">
        <f t="shared" si="21"/>
        <v>0</v>
      </c>
      <c r="S271" s="79"/>
      <c r="T271" s="79"/>
      <c r="U271" s="79"/>
      <c r="V271" s="79"/>
      <c r="W271" s="79"/>
      <c r="X271" s="79"/>
      <c r="Y271" s="79"/>
      <c r="Z271" s="79"/>
      <c r="AA271" s="79"/>
      <c r="AB271" s="79"/>
      <c r="AC271" s="79"/>
      <c r="AD271" s="79"/>
      <c r="AE271" s="79"/>
      <c r="AF271" s="79"/>
      <c r="AG271" s="79"/>
      <c r="AH271" s="79"/>
      <c r="AI271" s="79"/>
      <c r="AJ271" s="79"/>
      <c r="AK271" s="79"/>
      <c r="AL271" s="79"/>
    </row>
    <row r="272" spans="1:38" s="74" customFormat="1" x14ac:dyDescent="0.25">
      <c r="A272" s="106"/>
      <c r="B272" s="105"/>
      <c r="C272" s="105"/>
      <c r="D272" s="105"/>
      <c r="E272" s="105"/>
      <c r="F272" s="105"/>
      <c r="H272" s="88">
        <v>267</v>
      </c>
      <c r="I272" s="89" t="str">
        <f t="shared" si="18"/>
        <v/>
      </c>
      <c r="J272" s="88">
        <f t="shared" si="19"/>
        <v>-5</v>
      </c>
      <c r="K272" s="88">
        <f t="shared" si="20"/>
        <v>-50</v>
      </c>
      <c r="L272" s="88"/>
      <c r="M272" s="90">
        <f t="shared" si="21"/>
        <v>0</v>
      </c>
      <c r="S272" s="79"/>
      <c r="T272" s="79"/>
      <c r="U272" s="79"/>
      <c r="V272" s="79"/>
      <c r="W272" s="79"/>
      <c r="X272" s="79"/>
      <c r="Y272" s="79"/>
      <c r="Z272" s="79"/>
      <c r="AA272" s="79"/>
      <c r="AB272" s="79"/>
      <c r="AC272" s="79"/>
      <c r="AD272" s="79"/>
      <c r="AE272" s="79"/>
      <c r="AF272" s="79"/>
      <c r="AG272" s="79"/>
      <c r="AH272" s="79"/>
      <c r="AI272" s="79"/>
      <c r="AJ272" s="79"/>
      <c r="AK272" s="79"/>
      <c r="AL272" s="79"/>
    </row>
    <row r="273" spans="1:38" s="74" customFormat="1" x14ac:dyDescent="0.25">
      <c r="A273" s="106"/>
      <c r="B273" s="105"/>
      <c r="C273" s="105"/>
      <c r="D273" s="105"/>
      <c r="E273" s="105"/>
      <c r="F273" s="105"/>
      <c r="H273" s="88">
        <v>268</v>
      </c>
      <c r="I273" s="89" t="str">
        <f t="shared" si="18"/>
        <v/>
      </c>
      <c r="J273" s="88">
        <f t="shared" si="19"/>
        <v>-5</v>
      </c>
      <c r="K273" s="88">
        <f t="shared" si="20"/>
        <v>-50</v>
      </c>
      <c r="L273" s="88"/>
      <c r="M273" s="90">
        <f t="shared" si="21"/>
        <v>0</v>
      </c>
      <c r="S273" s="79"/>
      <c r="T273" s="79"/>
      <c r="U273" s="79"/>
      <c r="V273" s="79"/>
      <c r="W273" s="79"/>
      <c r="X273" s="79"/>
      <c r="Y273" s="79"/>
      <c r="Z273" s="79"/>
      <c r="AA273" s="79"/>
      <c r="AB273" s="79"/>
      <c r="AC273" s="79"/>
      <c r="AD273" s="79"/>
      <c r="AE273" s="79"/>
      <c r="AF273" s="79"/>
      <c r="AG273" s="79"/>
      <c r="AH273" s="79"/>
      <c r="AI273" s="79"/>
      <c r="AJ273" s="79"/>
      <c r="AK273" s="79"/>
      <c r="AL273" s="79"/>
    </row>
    <row r="274" spans="1:38" s="74" customFormat="1" x14ac:dyDescent="0.25">
      <c r="A274" s="106"/>
      <c r="B274" s="105"/>
      <c r="C274" s="105"/>
      <c r="D274" s="105"/>
      <c r="E274" s="105"/>
      <c r="F274" s="105"/>
      <c r="H274" s="88">
        <v>269</v>
      </c>
      <c r="I274" s="89" t="str">
        <f t="shared" si="18"/>
        <v/>
      </c>
      <c r="J274" s="88">
        <f t="shared" si="19"/>
        <v>-5</v>
      </c>
      <c r="K274" s="88">
        <f t="shared" si="20"/>
        <v>-50</v>
      </c>
      <c r="L274" s="88"/>
      <c r="M274" s="90">
        <f t="shared" si="21"/>
        <v>0</v>
      </c>
      <c r="S274" s="79"/>
      <c r="T274" s="79"/>
      <c r="U274" s="79"/>
      <c r="V274" s="79"/>
      <c r="W274" s="79"/>
      <c r="X274" s="79"/>
      <c r="Y274" s="79"/>
      <c r="Z274" s="79"/>
      <c r="AA274" s="79"/>
      <c r="AB274" s="79"/>
      <c r="AC274" s="79"/>
      <c r="AD274" s="79"/>
      <c r="AE274" s="79"/>
      <c r="AF274" s="79"/>
      <c r="AG274" s="79"/>
      <c r="AH274" s="79"/>
      <c r="AI274" s="79"/>
      <c r="AJ274" s="79"/>
      <c r="AK274" s="79"/>
      <c r="AL274" s="79"/>
    </row>
    <row r="275" spans="1:38" s="74" customFormat="1" x14ac:dyDescent="0.25">
      <c r="A275" s="106"/>
      <c r="B275" s="105"/>
      <c r="C275" s="105"/>
      <c r="D275" s="105"/>
      <c r="E275" s="105"/>
      <c r="F275" s="105"/>
      <c r="H275" s="88">
        <v>270</v>
      </c>
      <c r="I275" s="89" t="str">
        <f t="shared" si="18"/>
        <v/>
      </c>
      <c r="J275" s="88">
        <f t="shared" si="19"/>
        <v>-5</v>
      </c>
      <c r="K275" s="88">
        <f t="shared" si="20"/>
        <v>-50</v>
      </c>
      <c r="L275" s="88"/>
      <c r="M275" s="90">
        <f t="shared" si="21"/>
        <v>0</v>
      </c>
      <c r="S275" s="79"/>
      <c r="T275" s="79"/>
      <c r="U275" s="79"/>
      <c r="V275" s="79"/>
      <c r="W275" s="79"/>
      <c r="X275" s="79"/>
      <c r="Y275" s="79"/>
      <c r="Z275" s="79"/>
      <c r="AA275" s="79"/>
      <c r="AB275" s="79"/>
      <c r="AC275" s="79"/>
      <c r="AD275" s="79"/>
      <c r="AE275" s="79"/>
      <c r="AF275" s="79"/>
      <c r="AG275" s="79"/>
      <c r="AH275" s="79"/>
      <c r="AI275" s="79"/>
      <c r="AJ275" s="79"/>
      <c r="AK275" s="79"/>
      <c r="AL275" s="79"/>
    </row>
    <row r="276" spans="1:38" s="74" customFormat="1" x14ac:dyDescent="0.25">
      <c r="A276" s="106"/>
      <c r="B276" s="105"/>
      <c r="C276" s="105"/>
      <c r="D276" s="105"/>
      <c r="E276" s="105"/>
      <c r="F276" s="105"/>
      <c r="H276" s="88">
        <v>271</v>
      </c>
      <c r="I276" s="89" t="str">
        <f t="shared" si="18"/>
        <v/>
      </c>
      <c r="J276" s="88">
        <f t="shared" si="19"/>
        <v>-5</v>
      </c>
      <c r="K276" s="88">
        <f t="shared" si="20"/>
        <v>-50</v>
      </c>
      <c r="L276" s="88"/>
      <c r="M276" s="90">
        <f t="shared" si="21"/>
        <v>0</v>
      </c>
      <c r="S276" s="79"/>
      <c r="T276" s="79"/>
      <c r="U276" s="79"/>
      <c r="V276" s="79"/>
      <c r="W276" s="79"/>
      <c r="X276" s="79"/>
      <c r="Y276" s="79"/>
      <c r="Z276" s="79"/>
      <c r="AA276" s="79"/>
      <c r="AB276" s="79"/>
      <c r="AC276" s="79"/>
      <c r="AD276" s="79"/>
      <c r="AE276" s="79"/>
      <c r="AF276" s="79"/>
      <c r="AG276" s="79"/>
      <c r="AH276" s="79"/>
      <c r="AI276" s="79"/>
      <c r="AJ276" s="79"/>
      <c r="AK276" s="79"/>
      <c r="AL276" s="79"/>
    </row>
    <row r="277" spans="1:38" s="74" customFormat="1" x14ac:dyDescent="0.25">
      <c r="A277" s="106"/>
      <c r="B277" s="105"/>
      <c r="C277" s="105"/>
      <c r="D277" s="105"/>
      <c r="E277" s="105"/>
      <c r="F277" s="105"/>
      <c r="H277" s="88">
        <v>272</v>
      </c>
      <c r="I277" s="89" t="str">
        <f t="shared" si="18"/>
        <v/>
      </c>
      <c r="J277" s="88">
        <f t="shared" si="19"/>
        <v>-5</v>
      </c>
      <c r="K277" s="88">
        <f t="shared" si="20"/>
        <v>-50</v>
      </c>
      <c r="L277" s="88"/>
      <c r="M277" s="90">
        <f t="shared" si="21"/>
        <v>0</v>
      </c>
      <c r="S277" s="79"/>
      <c r="T277" s="79"/>
      <c r="U277" s="79"/>
      <c r="V277" s="79"/>
      <c r="W277" s="79"/>
      <c r="X277" s="79"/>
      <c r="Y277" s="79"/>
      <c r="Z277" s="79"/>
      <c r="AA277" s="79"/>
      <c r="AB277" s="79"/>
      <c r="AC277" s="79"/>
      <c r="AD277" s="79"/>
      <c r="AE277" s="79"/>
      <c r="AF277" s="79"/>
      <c r="AG277" s="79"/>
      <c r="AH277" s="79"/>
      <c r="AI277" s="79"/>
      <c r="AJ277" s="79"/>
      <c r="AK277" s="79"/>
      <c r="AL277" s="79"/>
    </row>
    <row r="278" spans="1:38" s="74" customFormat="1" x14ac:dyDescent="0.25">
      <c r="A278" s="106"/>
      <c r="B278" s="105"/>
      <c r="C278" s="105"/>
      <c r="D278" s="105"/>
      <c r="E278" s="105"/>
      <c r="F278" s="105"/>
      <c r="H278" s="88">
        <v>273</v>
      </c>
      <c r="I278" s="89" t="str">
        <f t="shared" si="18"/>
        <v/>
      </c>
      <c r="J278" s="88">
        <f t="shared" si="19"/>
        <v>-5</v>
      </c>
      <c r="K278" s="88">
        <f t="shared" si="20"/>
        <v>-50</v>
      </c>
      <c r="L278" s="88"/>
      <c r="M278" s="90">
        <f t="shared" si="21"/>
        <v>0</v>
      </c>
      <c r="S278" s="79"/>
      <c r="T278" s="79"/>
      <c r="U278" s="79"/>
      <c r="V278" s="79"/>
      <c r="W278" s="79"/>
      <c r="X278" s="79"/>
      <c r="Y278" s="79"/>
      <c r="Z278" s="79"/>
      <c r="AA278" s="79"/>
      <c r="AB278" s="79"/>
      <c r="AC278" s="79"/>
      <c r="AD278" s="79"/>
      <c r="AE278" s="79"/>
      <c r="AF278" s="79"/>
      <c r="AG278" s="79"/>
      <c r="AH278" s="79"/>
      <c r="AI278" s="79"/>
      <c r="AJ278" s="79"/>
      <c r="AK278" s="79"/>
      <c r="AL278" s="79"/>
    </row>
    <row r="279" spans="1:38" s="74" customFormat="1" x14ac:dyDescent="0.25">
      <c r="A279" s="106"/>
      <c r="B279" s="105"/>
      <c r="C279" s="105"/>
      <c r="D279" s="105"/>
      <c r="E279" s="105"/>
      <c r="F279" s="105"/>
      <c r="H279" s="88">
        <v>274</v>
      </c>
      <c r="I279" s="89" t="str">
        <f t="shared" si="18"/>
        <v/>
      </c>
      <c r="J279" s="88">
        <f t="shared" si="19"/>
        <v>-5</v>
      </c>
      <c r="K279" s="88">
        <f t="shared" si="20"/>
        <v>-50</v>
      </c>
      <c r="L279" s="88"/>
      <c r="M279" s="90">
        <f t="shared" si="21"/>
        <v>0</v>
      </c>
      <c r="S279" s="79"/>
      <c r="T279" s="79"/>
      <c r="U279" s="79"/>
      <c r="V279" s="79"/>
      <c r="W279" s="79"/>
      <c r="X279" s="79"/>
      <c r="Y279" s="79"/>
      <c r="Z279" s="79"/>
      <c r="AA279" s="79"/>
      <c r="AB279" s="79"/>
      <c r="AC279" s="79"/>
      <c r="AD279" s="79"/>
      <c r="AE279" s="79"/>
      <c r="AF279" s="79"/>
      <c r="AG279" s="79"/>
      <c r="AH279" s="79"/>
      <c r="AI279" s="79"/>
      <c r="AJ279" s="79"/>
      <c r="AK279" s="79"/>
      <c r="AL279" s="79"/>
    </row>
    <row r="280" spans="1:38" s="74" customFormat="1" x14ac:dyDescent="0.25">
      <c r="A280" s="106"/>
      <c r="B280" s="105"/>
      <c r="C280" s="105"/>
      <c r="D280" s="105"/>
      <c r="E280" s="105"/>
      <c r="F280" s="105"/>
      <c r="H280" s="88">
        <v>275</v>
      </c>
      <c r="I280" s="89" t="str">
        <f t="shared" si="18"/>
        <v/>
      </c>
      <c r="J280" s="88">
        <f t="shared" si="19"/>
        <v>-5</v>
      </c>
      <c r="K280" s="88">
        <f t="shared" si="20"/>
        <v>-50</v>
      </c>
      <c r="L280" s="88"/>
      <c r="M280" s="90">
        <f t="shared" si="21"/>
        <v>0</v>
      </c>
      <c r="S280" s="79"/>
      <c r="T280" s="79"/>
      <c r="U280" s="79"/>
      <c r="V280" s="79"/>
      <c r="W280" s="79"/>
      <c r="X280" s="79"/>
      <c r="Y280" s="79"/>
      <c r="Z280" s="79"/>
      <c r="AA280" s="79"/>
      <c r="AB280" s="79"/>
      <c r="AC280" s="79"/>
      <c r="AD280" s="79"/>
      <c r="AE280" s="79"/>
      <c r="AF280" s="79"/>
      <c r="AG280" s="79"/>
      <c r="AH280" s="79"/>
      <c r="AI280" s="79"/>
      <c r="AJ280" s="79"/>
      <c r="AK280" s="79"/>
      <c r="AL280" s="79"/>
    </row>
    <row r="281" spans="1:38" s="74" customFormat="1" x14ac:dyDescent="0.25">
      <c r="A281" s="106"/>
      <c r="B281" s="105"/>
      <c r="C281" s="105"/>
      <c r="D281" s="105"/>
      <c r="E281" s="105"/>
      <c r="F281" s="105"/>
      <c r="H281" s="88">
        <v>276</v>
      </c>
      <c r="I281" s="89" t="str">
        <f t="shared" si="18"/>
        <v/>
      </c>
      <c r="J281" s="88">
        <f t="shared" si="19"/>
        <v>-5</v>
      </c>
      <c r="K281" s="88">
        <f t="shared" si="20"/>
        <v>-50</v>
      </c>
      <c r="L281" s="88"/>
      <c r="M281" s="90">
        <f t="shared" si="21"/>
        <v>0</v>
      </c>
      <c r="S281" s="79"/>
      <c r="T281" s="79"/>
      <c r="U281" s="79"/>
      <c r="V281" s="79"/>
      <c r="W281" s="79"/>
      <c r="X281" s="79"/>
      <c r="Y281" s="79"/>
      <c r="Z281" s="79"/>
      <c r="AA281" s="79"/>
      <c r="AB281" s="79"/>
      <c r="AC281" s="79"/>
      <c r="AD281" s="79"/>
      <c r="AE281" s="79"/>
      <c r="AF281" s="79"/>
      <c r="AG281" s="79"/>
      <c r="AH281" s="79"/>
      <c r="AI281" s="79"/>
      <c r="AJ281" s="79"/>
      <c r="AK281" s="79"/>
      <c r="AL281" s="79"/>
    </row>
    <row r="282" spans="1:38" s="74" customFormat="1" x14ac:dyDescent="0.25">
      <c r="A282" s="106"/>
      <c r="B282" s="105"/>
      <c r="C282" s="105"/>
      <c r="D282" s="105"/>
      <c r="E282" s="105"/>
      <c r="F282" s="105"/>
      <c r="H282" s="88">
        <v>277</v>
      </c>
      <c r="I282" s="89" t="str">
        <f t="shared" si="18"/>
        <v/>
      </c>
      <c r="J282" s="88">
        <f t="shared" si="19"/>
        <v>-5</v>
      </c>
      <c r="K282" s="88">
        <f t="shared" si="20"/>
        <v>-50</v>
      </c>
      <c r="L282" s="88"/>
      <c r="M282" s="90">
        <f t="shared" si="21"/>
        <v>0</v>
      </c>
      <c r="S282" s="79"/>
      <c r="T282" s="79"/>
      <c r="U282" s="79"/>
      <c r="V282" s="79"/>
      <c r="W282" s="79"/>
      <c r="X282" s="79"/>
      <c r="Y282" s="79"/>
      <c r="Z282" s="79"/>
      <c r="AA282" s="79"/>
      <c r="AB282" s="79"/>
      <c r="AC282" s="79"/>
      <c r="AD282" s="79"/>
      <c r="AE282" s="79"/>
      <c r="AF282" s="79"/>
      <c r="AG282" s="79"/>
      <c r="AH282" s="79"/>
      <c r="AI282" s="79"/>
      <c r="AJ282" s="79"/>
      <c r="AK282" s="79"/>
      <c r="AL282" s="79"/>
    </row>
    <row r="283" spans="1:38" s="74" customFormat="1" x14ac:dyDescent="0.25">
      <c r="A283" s="106"/>
      <c r="B283" s="105"/>
      <c r="C283" s="105"/>
      <c r="D283" s="105"/>
      <c r="E283" s="105"/>
      <c r="F283" s="105"/>
      <c r="H283" s="88">
        <v>278</v>
      </c>
      <c r="I283" s="89" t="str">
        <f t="shared" si="18"/>
        <v/>
      </c>
      <c r="J283" s="88">
        <f t="shared" si="19"/>
        <v>-5</v>
      </c>
      <c r="K283" s="88">
        <f t="shared" si="20"/>
        <v>-50</v>
      </c>
      <c r="L283" s="88"/>
      <c r="M283" s="90">
        <f t="shared" si="21"/>
        <v>0</v>
      </c>
      <c r="S283" s="79"/>
      <c r="T283" s="79"/>
      <c r="U283" s="79"/>
      <c r="V283" s="79"/>
      <c r="W283" s="79"/>
      <c r="X283" s="79"/>
      <c r="Y283" s="79"/>
      <c r="Z283" s="79"/>
      <c r="AA283" s="79"/>
      <c r="AB283" s="79"/>
      <c r="AC283" s="79"/>
      <c r="AD283" s="79"/>
      <c r="AE283" s="79"/>
      <c r="AF283" s="79"/>
      <c r="AG283" s="79"/>
      <c r="AH283" s="79"/>
      <c r="AI283" s="79"/>
      <c r="AJ283" s="79"/>
      <c r="AK283" s="79"/>
      <c r="AL283" s="79"/>
    </row>
    <row r="284" spans="1:38" s="74" customFormat="1" x14ac:dyDescent="0.25">
      <c r="A284" s="106"/>
      <c r="B284" s="105"/>
      <c r="C284" s="105"/>
      <c r="D284" s="105"/>
      <c r="E284" s="105"/>
      <c r="F284" s="105"/>
      <c r="H284" s="88">
        <v>279</v>
      </c>
      <c r="I284" s="89" t="str">
        <f t="shared" si="18"/>
        <v/>
      </c>
      <c r="J284" s="88">
        <f t="shared" si="19"/>
        <v>-5</v>
      </c>
      <c r="K284" s="88">
        <f t="shared" si="20"/>
        <v>-50</v>
      </c>
      <c r="L284" s="88"/>
      <c r="M284" s="90">
        <f t="shared" si="21"/>
        <v>0</v>
      </c>
      <c r="S284" s="79"/>
      <c r="T284" s="79"/>
      <c r="U284" s="79"/>
      <c r="V284" s="79"/>
      <c r="W284" s="79"/>
      <c r="X284" s="79"/>
      <c r="Y284" s="79"/>
      <c r="Z284" s="79"/>
      <c r="AA284" s="79"/>
      <c r="AB284" s="79"/>
      <c r="AC284" s="79"/>
      <c r="AD284" s="79"/>
      <c r="AE284" s="79"/>
      <c r="AF284" s="79"/>
      <c r="AG284" s="79"/>
      <c r="AH284" s="79"/>
      <c r="AI284" s="79"/>
      <c r="AJ284" s="79"/>
      <c r="AK284" s="79"/>
      <c r="AL284" s="79"/>
    </row>
    <row r="285" spans="1:38" s="74" customFormat="1" x14ac:dyDescent="0.25">
      <c r="A285" s="106"/>
      <c r="B285" s="105"/>
      <c r="C285" s="105"/>
      <c r="D285" s="105"/>
      <c r="E285" s="105"/>
      <c r="F285" s="105"/>
      <c r="H285" s="88">
        <v>280</v>
      </c>
      <c r="I285" s="89" t="str">
        <f t="shared" si="18"/>
        <v/>
      </c>
      <c r="J285" s="88">
        <f t="shared" si="19"/>
        <v>-5</v>
      </c>
      <c r="K285" s="88">
        <f t="shared" si="20"/>
        <v>-50</v>
      </c>
      <c r="L285" s="88"/>
      <c r="M285" s="90">
        <f t="shared" si="21"/>
        <v>0</v>
      </c>
      <c r="S285" s="79"/>
      <c r="T285" s="79"/>
      <c r="U285" s="79"/>
      <c r="V285" s="79"/>
      <c r="W285" s="79"/>
      <c r="X285" s="79"/>
      <c r="Y285" s="79"/>
      <c r="Z285" s="79"/>
      <c r="AA285" s="79"/>
      <c r="AB285" s="79"/>
      <c r="AC285" s="79"/>
      <c r="AD285" s="79"/>
      <c r="AE285" s="79"/>
      <c r="AF285" s="79"/>
      <c r="AG285" s="79"/>
      <c r="AH285" s="79"/>
      <c r="AI285" s="79"/>
      <c r="AJ285" s="79"/>
      <c r="AK285" s="79"/>
      <c r="AL285" s="79"/>
    </row>
    <row r="286" spans="1:38" s="74" customFormat="1" x14ac:dyDescent="0.25">
      <c r="A286" s="106"/>
      <c r="B286" s="105"/>
      <c r="C286" s="105"/>
      <c r="D286" s="105"/>
      <c r="E286" s="105"/>
      <c r="F286" s="105"/>
      <c r="H286" s="88">
        <v>281</v>
      </c>
      <c r="I286" s="89" t="str">
        <f t="shared" si="18"/>
        <v/>
      </c>
      <c r="J286" s="88">
        <f t="shared" si="19"/>
        <v>-5</v>
      </c>
      <c r="K286" s="88">
        <f t="shared" si="20"/>
        <v>-50</v>
      </c>
      <c r="L286" s="88"/>
      <c r="M286" s="90">
        <f t="shared" si="21"/>
        <v>0</v>
      </c>
      <c r="S286" s="79"/>
      <c r="T286" s="79"/>
      <c r="U286" s="79"/>
      <c r="V286" s="79"/>
      <c r="W286" s="79"/>
      <c r="X286" s="79"/>
      <c r="Y286" s="79"/>
      <c r="Z286" s="79"/>
      <c r="AA286" s="79"/>
      <c r="AB286" s="79"/>
      <c r="AC286" s="79"/>
      <c r="AD286" s="79"/>
      <c r="AE286" s="79"/>
      <c r="AF286" s="79"/>
      <c r="AG286" s="79"/>
      <c r="AH286" s="79"/>
      <c r="AI286" s="79"/>
      <c r="AJ286" s="79"/>
      <c r="AK286" s="79"/>
      <c r="AL286" s="79"/>
    </row>
    <row r="287" spans="1:38" s="74" customFormat="1" x14ac:dyDescent="0.25">
      <c r="A287" s="106"/>
      <c r="B287" s="105"/>
      <c r="C287" s="105"/>
      <c r="D287" s="105"/>
      <c r="E287" s="105"/>
      <c r="F287" s="105"/>
      <c r="H287" s="88">
        <v>282</v>
      </c>
      <c r="I287" s="89" t="str">
        <f t="shared" si="18"/>
        <v/>
      </c>
      <c r="J287" s="88">
        <f t="shared" si="19"/>
        <v>-5</v>
      </c>
      <c r="K287" s="88">
        <f t="shared" si="20"/>
        <v>-50</v>
      </c>
      <c r="L287" s="88"/>
      <c r="M287" s="90">
        <f t="shared" si="21"/>
        <v>0</v>
      </c>
      <c r="S287" s="79"/>
      <c r="T287" s="79"/>
      <c r="U287" s="79"/>
      <c r="V287" s="79"/>
      <c r="W287" s="79"/>
      <c r="X287" s="79"/>
      <c r="Y287" s="79"/>
      <c r="Z287" s="79"/>
      <c r="AA287" s="79"/>
      <c r="AB287" s="79"/>
      <c r="AC287" s="79"/>
      <c r="AD287" s="79"/>
      <c r="AE287" s="79"/>
      <c r="AF287" s="79"/>
      <c r="AG287" s="79"/>
      <c r="AH287" s="79"/>
      <c r="AI287" s="79"/>
      <c r="AJ287" s="79"/>
      <c r="AK287" s="79"/>
      <c r="AL287" s="79"/>
    </row>
    <row r="288" spans="1:38" s="74" customFormat="1" x14ac:dyDescent="0.25">
      <c r="A288" s="106"/>
      <c r="B288" s="105"/>
      <c r="C288" s="105"/>
      <c r="D288" s="105"/>
      <c r="E288" s="105"/>
      <c r="F288" s="105"/>
      <c r="H288" s="88">
        <v>283</v>
      </c>
      <c r="I288" s="89" t="str">
        <f t="shared" si="18"/>
        <v/>
      </c>
      <c r="J288" s="88">
        <f t="shared" si="19"/>
        <v>-5</v>
      </c>
      <c r="K288" s="88">
        <f t="shared" si="20"/>
        <v>-50</v>
      </c>
      <c r="L288" s="88"/>
      <c r="M288" s="90">
        <f t="shared" si="21"/>
        <v>0</v>
      </c>
      <c r="S288" s="79"/>
      <c r="T288" s="79"/>
      <c r="U288" s="79"/>
      <c r="V288" s="79"/>
      <c r="W288" s="79"/>
      <c r="X288" s="79"/>
      <c r="Y288" s="79"/>
      <c r="Z288" s="79"/>
      <c r="AA288" s="79"/>
      <c r="AB288" s="79"/>
      <c r="AC288" s="79"/>
      <c r="AD288" s="79"/>
      <c r="AE288" s="79"/>
      <c r="AF288" s="79"/>
      <c r="AG288" s="79"/>
      <c r="AH288" s="79"/>
      <c r="AI288" s="79"/>
      <c r="AJ288" s="79"/>
      <c r="AK288" s="79"/>
      <c r="AL288" s="79"/>
    </row>
    <row r="289" spans="1:38" s="74" customFormat="1" x14ac:dyDescent="0.25">
      <c r="A289" s="106"/>
      <c r="B289" s="105"/>
      <c r="C289" s="105"/>
      <c r="D289" s="105"/>
      <c r="E289" s="105"/>
      <c r="F289" s="105"/>
      <c r="H289" s="88">
        <v>284</v>
      </c>
      <c r="I289" s="89" t="str">
        <f t="shared" si="18"/>
        <v/>
      </c>
      <c r="J289" s="88">
        <f t="shared" si="19"/>
        <v>-5</v>
      </c>
      <c r="K289" s="88">
        <f t="shared" si="20"/>
        <v>-50</v>
      </c>
      <c r="L289" s="88"/>
      <c r="M289" s="90">
        <f t="shared" si="21"/>
        <v>0</v>
      </c>
      <c r="S289" s="79"/>
      <c r="T289" s="79"/>
      <c r="U289" s="79"/>
      <c r="V289" s="79"/>
      <c r="W289" s="79"/>
      <c r="X289" s="79"/>
      <c r="Y289" s="79"/>
      <c r="Z289" s="79"/>
      <c r="AA289" s="79"/>
      <c r="AB289" s="79"/>
      <c r="AC289" s="79"/>
      <c r="AD289" s="79"/>
      <c r="AE289" s="79"/>
      <c r="AF289" s="79"/>
      <c r="AG289" s="79"/>
      <c r="AH289" s="79"/>
      <c r="AI289" s="79"/>
      <c r="AJ289" s="79"/>
      <c r="AK289" s="79"/>
      <c r="AL289" s="79"/>
    </row>
    <row r="290" spans="1:38" s="74" customFormat="1" x14ac:dyDescent="0.25">
      <c r="A290" s="106"/>
      <c r="B290" s="105"/>
      <c r="C290" s="105"/>
      <c r="D290" s="105"/>
      <c r="E290" s="105"/>
      <c r="F290" s="105"/>
      <c r="H290" s="88">
        <v>285</v>
      </c>
      <c r="I290" s="89" t="str">
        <f t="shared" si="18"/>
        <v/>
      </c>
      <c r="J290" s="88">
        <f t="shared" si="19"/>
        <v>-5</v>
      </c>
      <c r="K290" s="88">
        <f t="shared" si="20"/>
        <v>-50</v>
      </c>
      <c r="L290" s="88"/>
      <c r="M290" s="90">
        <f t="shared" si="21"/>
        <v>0</v>
      </c>
      <c r="S290" s="79"/>
      <c r="T290" s="79"/>
      <c r="U290" s="79"/>
      <c r="V290" s="79"/>
      <c r="W290" s="79"/>
      <c r="X290" s="79"/>
      <c r="Y290" s="79"/>
      <c r="Z290" s="79"/>
      <c r="AA290" s="79"/>
      <c r="AB290" s="79"/>
      <c r="AC290" s="79"/>
      <c r="AD290" s="79"/>
      <c r="AE290" s="79"/>
      <c r="AF290" s="79"/>
      <c r="AG290" s="79"/>
      <c r="AH290" s="79"/>
      <c r="AI290" s="79"/>
      <c r="AJ290" s="79"/>
      <c r="AK290" s="79"/>
      <c r="AL290" s="79"/>
    </row>
    <row r="291" spans="1:38" s="74" customFormat="1" x14ac:dyDescent="0.25">
      <c r="A291" s="106"/>
      <c r="B291" s="105"/>
      <c r="C291" s="105"/>
      <c r="D291" s="105"/>
      <c r="E291" s="105"/>
      <c r="F291" s="105"/>
      <c r="H291" s="88">
        <v>286</v>
      </c>
      <c r="I291" s="89" t="str">
        <f t="shared" si="18"/>
        <v/>
      </c>
      <c r="J291" s="88">
        <f t="shared" si="19"/>
        <v>-5</v>
      </c>
      <c r="K291" s="88">
        <f t="shared" si="20"/>
        <v>-50</v>
      </c>
      <c r="L291" s="88"/>
      <c r="M291" s="90">
        <f t="shared" si="21"/>
        <v>0</v>
      </c>
      <c r="S291" s="79"/>
      <c r="T291" s="79"/>
      <c r="U291" s="79"/>
      <c r="V291" s="79"/>
      <c r="W291" s="79"/>
      <c r="X291" s="79"/>
      <c r="Y291" s="79"/>
      <c r="Z291" s="79"/>
      <c r="AA291" s="79"/>
      <c r="AB291" s="79"/>
      <c r="AC291" s="79"/>
      <c r="AD291" s="79"/>
      <c r="AE291" s="79"/>
      <c r="AF291" s="79"/>
      <c r="AG291" s="79"/>
      <c r="AH291" s="79"/>
      <c r="AI291" s="79"/>
      <c r="AJ291" s="79"/>
      <c r="AK291" s="79"/>
      <c r="AL291" s="79"/>
    </row>
    <row r="292" spans="1:38" s="74" customFormat="1" x14ac:dyDescent="0.25">
      <c r="A292" s="106"/>
      <c r="B292" s="105"/>
      <c r="C292" s="105"/>
      <c r="D292" s="105"/>
      <c r="E292" s="105"/>
      <c r="F292" s="105"/>
      <c r="H292" s="88">
        <v>287</v>
      </c>
      <c r="I292" s="89" t="str">
        <f t="shared" si="18"/>
        <v/>
      </c>
      <c r="J292" s="88">
        <f t="shared" si="19"/>
        <v>-5</v>
      </c>
      <c r="K292" s="88">
        <f t="shared" si="20"/>
        <v>-50</v>
      </c>
      <c r="L292" s="88"/>
      <c r="M292" s="90">
        <f t="shared" si="21"/>
        <v>0</v>
      </c>
      <c r="S292" s="79"/>
      <c r="T292" s="79"/>
      <c r="U292" s="79"/>
      <c r="V292" s="79"/>
      <c r="W292" s="79"/>
      <c r="X292" s="79"/>
      <c r="Y292" s="79"/>
      <c r="Z292" s="79"/>
      <c r="AA292" s="79"/>
      <c r="AB292" s="79"/>
      <c r="AC292" s="79"/>
      <c r="AD292" s="79"/>
      <c r="AE292" s="79"/>
      <c r="AF292" s="79"/>
      <c r="AG292" s="79"/>
      <c r="AH292" s="79"/>
      <c r="AI292" s="79"/>
      <c r="AJ292" s="79"/>
      <c r="AK292" s="79"/>
      <c r="AL292" s="79"/>
    </row>
    <row r="293" spans="1:38" s="74" customFormat="1" x14ac:dyDescent="0.25">
      <c r="A293" s="106"/>
      <c r="B293" s="105"/>
      <c r="C293" s="105"/>
      <c r="D293" s="105"/>
      <c r="E293" s="105"/>
      <c r="F293" s="105"/>
      <c r="H293" s="88">
        <v>288</v>
      </c>
      <c r="I293" s="89" t="str">
        <f t="shared" si="18"/>
        <v/>
      </c>
      <c r="J293" s="88">
        <f t="shared" si="19"/>
        <v>-5</v>
      </c>
      <c r="K293" s="88">
        <f t="shared" si="20"/>
        <v>-50</v>
      </c>
      <c r="L293" s="88"/>
      <c r="M293" s="90">
        <f t="shared" si="21"/>
        <v>0</v>
      </c>
      <c r="S293" s="79"/>
      <c r="T293" s="79"/>
      <c r="U293" s="79"/>
      <c r="V293" s="79"/>
      <c r="W293" s="79"/>
      <c r="X293" s="79"/>
      <c r="Y293" s="79"/>
      <c r="Z293" s="79"/>
      <c r="AA293" s="79"/>
      <c r="AB293" s="79"/>
      <c r="AC293" s="79"/>
      <c r="AD293" s="79"/>
      <c r="AE293" s="79"/>
      <c r="AF293" s="79"/>
      <c r="AG293" s="79"/>
      <c r="AH293" s="79"/>
      <c r="AI293" s="79"/>
      <c r="AJ293" s="79"/>
      <c r="AK293" s="79"/>
      <c r="AL293" s="79"/>
    </row>
    <row r="294" spans="1:38" s="74" customFormat="1" x14ac:dyDescent="0.25">
      <c r="A294" s="106"/>
      <c r="B294" s="105"/>
      <c r="C294" s="105"/>
      <c r="D294" s="105"/>
      <c r="E294" s="105"/>
      <c r="F294" s="105"/>
      <c r="H294" s="88">
        <v>289</v>
      </c>
      <c r="I294" s="89" t="str">
        <f t="shared" si="18"/>
        <v/>
      </c>
      <c r="J294" s="88">
        <f t="shared" si="19"/>
        <v>-5</v>
      </c>
      <c r="K294" s="88">
        <f t="shared" si="20"/>
        <v>-50</v>
      </c>
      <c r="L294" s="88"/>
      <c r="M294" s="90">
        <f t="shared" si="21"/>
        <v>0</v>
      </c>
      <c r="S294" s="79"/>
      <c r="T294" s="79"/>
      <c r="U294" s="79"/>
      <c r="V294" s="79"/>
      <c r="W294" s="79"/>
      <c r="X294" s="79"/>
      <c r="Y294" s="79"/>
      <c r="Z294" s="79"/>
      <c r="AA294" s="79"/>
      <c r="AB294" s="79"/>
      <c r="AC294" s="79"/>
      <c r="AD294" s="79"/>
      <c r="AE294" s="79"/>
      <c r="AF294" s="79"/>
      <c r="AG294" s="79"/>
      <c r="AH294" s="79"/>
      <c r="AI294" s="79"/>
      <c r="AJ294" s="79"/>
      <c r="AK294" s="79"/>
      <c r="AL294" s="79"/>
    </row>
    <row r="295" spans="1:38" s="74" customFormat="1" x14ac:dyDescent="0.25">
      <c r="A295" s="106"/>
      <c r="B295" s="105"/>
      <c r="C295" s="105"/>
      <c r="D295" s="105"/>
      <c r="E295" s="105"/>
      <c r="F295" s="105"/>
      <c r="H295" s="88">
        <v>290</v>
      </c>
      <c r="I295" s="89" t="str">
        <f t="shared" si="18"/>
        <v/>
      </c>
      <c r="J295" s="88">
        <f t="shared" si="19"/>
        <v>-5</v>
      </c>
      <c r="K295" s="88">
        <f t="shared" si="20"/>
        <v>-50</v>
      </c>
      <c r="L295" s="88"/>
      <c r="M295" s="90">
        <f t="shared" si="21"/>
        <v>0</v>
      </c>
      <c r="S295" s="79"/>
      <c r="T295" s="79"/>
      <c r="U295" s="79"/>
      <c r="V295" s="79"/>
      <c r="W295" s="79"/>
      <c r="X295" s="79"/>
      <c r="Y295" s="79"/>
      <c r="Z295" s="79"/>
      <c r="AA295" s="79"/>
      <c r="AB295" s="79"/>
      <c r="AC295" s="79"/>
      <c r="AD295" s="79"/>
      <c r="AE295" s="79"/>
      <c r="AF295" s="79"/>
      <c r="AG295" s="79"/>
      <c r="AH295" s="79"/>
      <c r="AI295" s="79"/>
      <c r="AJ295" s="79"/>
      <c r="AK295" s="79"/>
      <c r="AL295" s="79"/>
    </row>
    <row r="296" spans="1:38" s="74" customFormat="1" x14ac:dyDescent="0.25">
      <c r="A296" s="106"/>
      <c r="B296" s="105"/>
      <c r="C296" s="105"/>
      <c r="D296" s="105"/>
      <c r="E296" s="105"/>
      <c r="F296" s="105"/>
      <c r="H296" s="88">
        <v>291</v>
      </c>
      <c r="I296" s="89" t="str">
        <f t="shared" si="18"/>
        <v/>
      </c>
      <c r="J296" s="88">
        <f t="shared" si="19"/>
        <v>-5</v>
      </c>
      <c r="K296" s="88">
        <f t="shared" si="20"/>
        <v>-50</v>
      </c>
      <c r="L296" s="88"/>
      <c r="M296" s="90">
        <f t="shared" si="21"/>
        <v>0</v>
      </c>
      <c r="S296" s="79"/>
      <c r="T296" s="79"/>
      <c r="U296" s="79"/>
      <c r="V296" s="79"/>
      <c r="W296" s="79"/>
      <c r="X296" s="79"/>
      <c r="Y296" s="79"/>
      <c r="Z296" s="79"/>
      <c r="AA296" s="79"/>
      <c r="AB296" s="79"/>
      <c r="AC296" s="79"/>
      <c r="AD296" s="79"/>
      <c r="AE296" s="79"/>
      <c r="AF296" s="79"/>
      <c r="AG296" s="79"/>
      <c r="AH296" s="79"/>
      <c r="AI296" s="79"/>
      <c r="AJ296" s="79"/>
      <c r="AK296" s="79"/>
      <c r="AL296" s="79"/>
    </row>
    <row r="297" spans="1:38" s="74" customFormat="1" x14ac:dyDescent="0.25">
      <c r="A297" s="106"/>
      <c r="B297" s="105"/>
      <c r="C297" s="105"/>
      <c r="D297" s="105"/>
      <c r="E297" s="105"/>
      <c r="F297" s="105"/>
      <c r="H297" s="88">
        <v>292</v>
      </c>
      <c r="I297" s="89" t="str">
        <f t="shared" si="18"/>
        <v/>
      </c>
      <c r="J297" s="88">
        <f t="shared" si="19"/>
        <v>-5</v>
      </c>
      <c r="K297" s="88">
        <f t="shared" si="20"/>
        <v>-50</v>
      </c>
      <c r="L297" s="88"/>
      <c r="M297" s="90">
        <f t="shared" si="21"/>
        <v>0</v>
      </c>
      <c r="S297" s="79"/>
      <c r="T297" s="79"/>
      <c r="U297" s="79"/>
      <c r="V297" s="79"/>
      <c r="W297" s="79"/>
      <c r="X297" s="79"/>
      <c r="Y297" s="79"/>
      <c r="Z297" s="79"/>
      <c r="AA297" s="79"/>
      <c r="AB297" s="79"/>
      <c r="AC297" s="79"/>
      <c r="AD297" s="79"/>
      <c r="AE297" s="79"/>
      <c r="AF297" s="79"/>
      <c r="AG297" s="79"/>
      <c r="AH297" s="79"/>
      <c r="AI297" s="79"/>
      <c r="AJ297" s="79"/>
      <c r="AK297" s="79"/>
      <c r="AL297" s="79"/>
    </row>
    <row r="298" spans="1:38" s="74" customFormat="1" x14ac:dyDescent="0.25">
      <c r="A298" s="106"/>
      <c r="B298" s="105"/>
      <c r="C298" s="105"/>
      <c r="D298" s="105"/>
      <c r="E298" s="105"/>
      <c r="F298" s="105"/>
      <c r="H298" s="88">
        <v>293</v>
      </c>
      <c r="I298" s="89" t="str">
        <f t="shared" si="18"/>
        <v/>
      </c>
      <c r="J298" s="88">
        <f t="shared" si="19"/>
        <v>-5</v>
      </c>
      <c r="K298" s="88">
        <f t="shared" si="20"/>
        <v>-50</v>
      </c>
      <c r="L298" s="88"/>
      <c r="M298" s="90">
        <f t="shared" si="21"/>
        <v>0</v>
      </c>
      <c r="S298" s="79"/>
      <c r="T298" s="79"/>
      <c r="U298" s="79"/>
      <c r="V298" s="79"/>
      <c r="W298" s="79"/>
      <c r="X298" s="79"/>
      <c r="Y298" s="79"/>
      <c r="Z298" s="79"/>
      <c r="AA298" s="79"/>
      <c r="AB298" s="79"/>
      <c r="AC298" s="79"/>
      <c r="AD298" s="79"/>
      <c r="AE298" s="79"/>
      <c r="AF298" s="79"/>
      <c r="AG298" s="79"/>
      <c r="AH298" s="79"/>
      <c r="AI298" s="79"/>
      <c r="AJ298" s="79"/>
      <c r="AK298" s="79"/>
      <c r="AL298" s="79"/>
    </row>
    <row r="299" spans="1:38" s="74" customFormat="1" x14ac:dyDescent="0.25">
      <c r="A299" s="106"/>
      <c r="B299" s="105"/>
      <c r="C299" s="105"/>
      <c r="D299" s="105"/>
      <c r="E299" s="105"/>
      <c r="F299" s="105"/>
      <c r="H299" s="88">
        <v>294</v>
      </c>
      <c r="I299" s="89" t="str">
        <f t="shared" si="18"/>
        <v/>
      </c>
      <c r="J299" s="88">
        <f t="shared" si="19"/>
        <v>-5</v>
      </c>
      <c r="K299" s="88">
        <f t="shared" si="20"/>
        <v>-50</v>
      </c>
      <c r="L299" s="88"/>
      <c r="M299" s="90">
        <f t="shared" si="21"/>
        <v>0</v>
      </c>
      <c r="S299" s="79"/>
      <c r="T299" s="79"/>
      <c r="U299" s="79"/>
      <c r="V299" s="79"/>
      <c r="W299" s="79"/>
      <c r="X299" s="79"/>
      <c r="Y299" s="79"/>
      <c r="Z299" s="79"/>
      <c r="AA299" s="79"/>
      <c r="AB299" s="79"/>
      <c r="AC299" s="79"/>
      <c r="AD299" s="79"/>
      <c r="AE299" s="79"/>
      <c r="AF299" s="79"/>
      <c r="AG299" s="79"/>
      <c r="AH299" s="79"/>
      <c r="AI299" s="79"/>
      <c r="AJ299" s="79"/>
      <c r="AK299" s="79"/>
      <c r="AL299" s="79"/>
    </row>
    <row r="300" spans="1:38" s="74" customFormat="1" x14ac:dyDescent="0.25">
      <c r="A300" s="106"/>
      <c r="B300" s="105"/>
      <c r="C300" s="105"/>
      <c r="D300" s="105"/>
      <c r="E300" s="105"/>
      <c r="F300" s="105"/>
      <c r="H300" s="88">
        <v>295</v>
      </c>
      <c r="I300" s="89" t="str">
        <f t="shared" si="18"/>
        <v/>
      </c>
      <c r="J300" s="88">
        <f t="shared" si="19"/>
        <v>-5</v>
      </c>
      <c r="K300" s="88">
        <f t="shared" si="20"/>
        <v>-50</v>
      </c>
      <c r="L300" s="88"/>
      <c r="M300" s="90">
        <f t="shared" si="21"/>
        <v>0</v>
      </c>
      <c r="S300" s="79"/>
      <c r="T300" s="79"/>
      <c r="U300" s="79"/>
      <c r="V300" s="79"/>
      <c r="W300" s="79"/>
      <c r="X300" s="79"/>
      <c r="Y300" s="79"/>
      <c r="Z300" s="79"/>
      <c r="AA300" s="79"/>
      <c r="AB300" s="79"/>
      <c r="AC300" s="79"/>
      <c r="AD300" s="79"/>
      <c r="AE300" s="79"/>
      <c r="AF300" s="79"/>
      <c r="AG300" s="79"/>
      <c r="AH300" s="79"/>
      <c r="AI300" s="79"/>
      <c r="AJ300" s="79"/>
      <c r="AK300" s="79"/>
      <c r="AL300" s="79"/>
    </row>
    <row r="301" spans="1:38" s="74" customFormat="1" x14ac:dyDescent="0.25">
      <c r="A301" s="106"/>
      <c r="B301" s="105"/>
      <c r="C301" s="105"/>
      <c r="D301" s="105"/>
      <c r="E301" s="105"/>
      <c r="F301" s="105"/>
      <c r="H301" s="88">
        <v>296</v>
      </c>
      <c r="I301" s="89" t="str">
        <f t="shared" si="18"/>
        <v/>
      </c>
      <c r="J301" s="88">
        <f t="shared" si="19"/>
        <v>-5</v>
      </c>
      <c r="K301" s="88">
        <f t="shared" si="20"/>
        <v>-50</v>
      </c>
      <c r="L301" s="88"/>
      <c r="M301" s="90">
        <f t="shared" si="21"/>
        <v>0</v>
      </c>
      <c r="S301" s="79"/>
      <c r="T301" s="79"/>
      <c r="U301" s="79"/>
      <c r="V301" s="79"/>
      <c r="W301" s="79"/>
      <c r="X301" s="79"/>
      <c r="Y301" s="79"/>
      <c r="Z301" s="79"/>
      <c r="AA301" s="79"/>
      <c r="AB301" s="79"/>
      <c r="AC301" s="79"/>
      <c r="AD301" s="79"/>
      <c r="AE301" s="79"/>
      <c r="AF301" s="79"/>
      <c r="AG301" s="79"/>
      <c r="AH301" s="79"/>
      <c r="AI301" s="79"/>
      <c r="AJ301" s="79"/>
      <c r="AK301" s="79"/>
      <c r="AL301" s="79"/>
    </row>
    <row r="302" spans="1:38" s="74" customFormat="1" x14ac:dyDescent="0.25">
      <c r="A302" s="106"/>
      <c r="B302" s="105"/>
      <c r="C302" s="105"/>
      <c r="D302" s="105"/>
      <c r="E302" s="105"/>
      <c r="F302" s="105"/>
      <c r="H302" s="88">
        <v>297</v>
      </c>
      <c r="I302" s="89" t="str">
        <f t="shared" si="18"/>
        <v/>
      </c>
      <c r="J302" s="88">
        <f t="shared" si="19"/>
        <v>-5</v>
      </c>
      <c r="K302" s="88">
        <f t="shared" si="20"/>
        <v>-50</v>
      </c>
      <c r="L302" s="88"/>
      <c r="M302" s="90">
        <f t="shared" si="21"/>
        <v>0</v>
      </c>
      <c r="S302" s="79"/>
      <c r="T302" s="79"/>
      <c r="U302" s="79"/>
      <c r="V302" s="79"/>
      <c r="W302" s="79"/>
      <c r="X302" s="79"/>
      <c r="Y302" s="79"/>
      <c r="Z302" s="79"/>
      <c r="AA302" s="79"/>
      <c r="AB302" s="79"/>
      <c r="AC302" s="79"/>
      <c r="AD302" s="79"/>
      <c r="AE302" s="79"/>
      <c r="AF302" s="79"/>
      <c r="AG302" s="79"/>
      <c r="AH302" s="79"/>
      <c r="AI302" s="79"/>
      <c r="AJ302" s="79"/>
      <c r="AK302" s="79"/>
      <c r="AL302" s="79"/>
    </row>
    <row r="303" spans="1:38" s="74" customFormat="1" x14ac:dyDescent="0.25">
      <c r="A303" s="106"/>
      <c r="B303" s="105"/>
      <c r="C303" s="105"/>
      <c r="D303" s="105"/>
      <c r="E303" s="105"/>
      <c r="F303" s="105"/>
      <c r="H303" s="88">
        <v>298</v>
      </c>
      <c r="I303" s="89" t="str">
        <f t="shared" si="18"/>
        <v/>
      </c>
      <c r="J303" s="88">
        <f t="shared" si="19"/>
        <v>-5</v>
      </c>
      <c r="K303" s="88">
        <f t="shared" si="20"/>
        <v>-50</v>
      </c>
      <c r="L303" s="88"/>
      <c r="M303" s="90">
        <f t="shared" si="21"/>
        <v>0</v>
      </c>
      <c r="S303" s="79"/>
      <c r="T303" s="79"/>
      <c r="U303" s="79"/>
      <c r="V303" s="79"/>
      <c r="W303" s="79"/>
      <c r="X303" s="79"/>
      <c r="Y303" s="79"/>
      <c r="Z303" s="79"/>
      <c r="AA303" s="79"/>
      <c r="AB303" s="79"/>
      <c r="AC303" s="79"/>
      <c r="AD303" s="79"/>
      <c r="AE303" s="79"/>
      <c r="AF303" s="79"/>
      <c r="AG303" s="79"/>
      <c r="AH303" s="79"/>
      <c r="AI303" s="79"/>
      <c r="AJ303" s="79"/>
      <c r="AK303" s="79"/>
      <c r="AL303" s="79"/>
    </row>
    <row r="304" spans="1:38" s="74" customFormat="1" x14ac:dyDescent="0.25">
      <c r="A304" s="106"/>
      <c r="B304" s="105"/>
      <c r="C304" s="105"/>
      <c r="D304" s="105"/>
      <c r="E304" s="105"/>
      <c r="F304" s="105"/>
      <c r="H304" s="88">
        <v>299</v>
      </c>
      <c r="I304" s="89" t="str">
        <f t="shared" si="18"/>
        <v/>
      </c>
      <c r="J304" s="88">
        <f t="shared" si="19"/>
        <v>-5</v>
      </c>
      <c r="K304" s="88">
        <f t="shared" si="20"/>
        <v>-50</v>
      </c>
      <c r="L304" s="88"/>
      <c r="M304" s="90">
        <f t="shared" si="21"/>
        <v>0</v>
      </c>
      <c r="S304" s="79"/>
      <c r="T304" s="79"/>
      <c r="U304" s="79"/>
      <c r="V304" s="79"/>
      <c r="W304" s="79"/>
      <c r="X304" s="79"/>
      <c r="Y304" s="79"/>
      <c r="Z304" s="79"/>
      <c r="AA304" s="79"/>
      <c r="AB304" s="79"/>
      <c r="AC304" s="79"/>
      <c r="AD304" s="79"/>
      <c r="AE304" s="79"/>
      <c r="AF304" s="79"/>
      <c r="AG304" s="79"/>
      <c r="AH304" s="79"/>
      <c r="AI304" s="79"/>
      <c r="AJ304" s="79"/>
      <c r="AK304" s="79"/>
      <c r="AL304" s="79"/>
    </row>
    <row r="305" spans="1:38" s="74" customFormat="1" x14ac:dyDescent="0.25">
      <c r="A305" s="106"/>
      <c r="B305" s="105"/>
      <c r="C305" s="105"/>
      <c r="D305" s="105"/>
      <c r="E305" s="105"/>
      <c r="F305" s="105"/>
      <c r="H305" s="88">
        <v>300</v>
      </c>
      <c r="I305" s="89" t="str">
        <f t="shared" si="18"/>
        <v/>
      </c>
      <c r="J305" s="88">
        <f t="shared" si="19"/>
        <v>-5</v>
      </c>
      <c r="K305" s="88">
        <f t="shared" si="20"/>
        <v>-50</v>
      </c>
      <c r="L305" s="88"/>
      <c r="M305" s="90">
        <f t="shared" si="21"/>
        <v>0</v>
      </c>
      <c r="S305" s="79"/>
      <c r="T305" s="79"/>
      <c r="U305" s="79"/>
      <c r="V305" s="79"/>
      <c r="W305" s="79"/>
      <c r="X305" s="79"/>
      <c r="Y305" s="79"/>
      <c r="Z305" s="79"/>
      <c r="AA305" s="79"/>
      <c r="AB305" s="79"/>
      <c r="AC305" s="79"/>
      <c r="AD305" s="79"/>
      <c r="AE305" s="79"/>
      <c r="AF305" s="79"/>
      <c r="AG305" s="79"/>
      <c r="AH305" s="79"/>
      <c r="AI305" s="79"/>
      <c r="AJ305" s="79"/>
      <c r="AK305" s="79"/>
      <c r="AL305" s="79"/>
    </row>
    <row r="306" spans="1:38" s="74" customFormat="1" x14ac:dyDescent="0.25">
      <c r="A306" s="107"/>
      <c r="B306" s="105"/>
      <c r="C306" s="105"/>
      <c r="D306" s="105"/>
      <c r="E306" s="105"/>
      <c r="F306" s="105"/>
      <c r="G306" s="105"/>
      <c r="H306" s="108"/>
      <c r="I306" s="108"/>
      <c r="J306" s="108"/>
      <c r="K306" s="108"/>
      <c r="L306" s="108"/>
      <c r="M306" s="10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  <c r="AC306" s="79"/>
      <c r="AD306" s="79"/>
      <c r="AE306" s="79"/>
      <c r="AF306" s="79"/>
      <c r="AG306" s="79"/>
      <c r="AH306" s="79"/>
      <c r="AI306" s="79"/>
      <c r="AJ306" s="79"/>
      <c r="AK306" s="79"/>
      <c r="AL306" s="79"/>
    </row>
    <row r="314" spans="1:38" s="74" customFormat="1" x14ac:dyDescent="0.25">
      <c r="A314" s="105"/>
      <c r="B314" s="105"/>
      <c r="C314" s="105"/>
      <c r="D314" s="105"/>
      <c r="E314" s="105"/>
      <c r="F314" s="105"/>
      <c r="G314" s="105"/>
      <c r="H314" s="108"/>
      <c r="I314" s="108"/>
      <c r="J314" s="108"/>
      <c r="K314" s="108"/>
      <c r="L314" s="110"/>
      <c r="M314" s="109"/>
      <c r="P314" s="100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  <c r="AC314" s="79"/>
      <c r="AD314" s="79"/>
      <c r="AE314" s="79"/>
      <c r="AF314" s="79"/>
      <c r="AG314" s="79"/>
      <c r="AH314" s="79"/>
      <c r="AI314" s="79"/>
      <c r="AJ314" s="79"/>
      <c r="AK314" s="79"/>
      <c r="AL314" s="79"/>
    </row>
    <row r="315" spans="1:38" s="74" customFormat="1" x14ac:dyDescent="0.25">
      <c r="A315" s="105"/>
      <c r="B315" s="105"/>
      <c r="C315" s="105"/>
      <c r="D315" s="105"/>
      <c r="E315" s="105"/>
      <c r="F315" s="105"/>
      <c r="G315" s="105"/>
      <c r="H315" s="108"/>
      <c r="I315" s="108"/>
      <c r="J315" s="108"/>
      <c r="K315" s="108"/>
      <c r="L315" s="110"/>
      <c r="M315" s="109"/>
      <c r="P315" s="100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  <c r="AC315" s="79"/>
      <c r="AD315" s="79"/>
      <c r="AE315" s="79"/>
      <c r="AF315" s="79"/>
      <c r="AG315" s="79"/>
      <c r="AH315" s="79"/>
      <c r="AI315" s="79"/>
      <c r="AJ315" s="79"/>
      <c r="AK315" s="79"/>
      <c r="AL315" s="79"/>
    </row>
    <row r="316" spans="1:38" s="74" customFormat="1" x14ac:dyDescent="0.25">
      <c r="A316" s="105"/>
      <c r="B316" s="105"/>
      <c r="C316" s="105"/>
      <c r="D316" s="105"/>
      <c r="E316" s="105"/>
      <c r="F316" s="105"/>
      <c r="G316" s="105"/>
      <c r="H316" s="108"/>
      <c r="I316" s="108"/>
      <c r="J316" s="108"/>
      <c r="K316" s="108"/>
      <c r="L316" s="110"/>
      <c r="M316" s="109"/>
      <c r="P316" s="100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  <c r="AC316" s="79"/>
      <c r="AD316" s="79"/>
      <c r="AE316" s="79"/>
      <c r="AF316" s="79"/>
      <c r="AG316" s="79"/>
      <c r="AH316" s="79"/>
      <c r="AI316" s="79"/>
      <c r="AJ316" s="79"/>
      <c r="AK316" s="79"/>
      <c r="AL316" s="79"/>
    </row>
    <row r="317" spans="1:38" s="74" customFormat="1" x14ac:dyDescent="0.25">
      <c r="A317" s="105"/>
      <c r="B317" s="105"/>
      <c r="C317" s="105"/>
      <c r="D317" s="105"/>
      <c r="E317" s="105"/>
      <c r="F317" s="105"/>
      <c r="G317" s="105"/>
      <c r="H317" s="108"/>
      <c r="I317" s="108"/>
      <c r="J317" s="108"/>
      <c r="K317" s="108"/>
      <c r="L317" s="110"/>
      <c r="M317" s="109"/>
      <c r="P317" s="100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  <c r="AC317" s="79"/>
      <c r="AD317" s="79"/>
      <c r="AE317" s="79"/>
      <c r="AF317" s="79"/>
      <c r="AG317" s="79"/>
      <c r="AH317" s="79"/>
      <c r="AI317" s="79"/>
      <c r="AJ317" s="79"/>
      <c r="AK317" s="79"/>
      <c r="AL317" s="79"/>
    </row>
  </sheetData>
  <conditionalFormatting sqref="J6:K305">
    <cfRule type="cellIs" dxfId="16" priority="1" operator="lessThanOrEqual">
      <formula>0</formula>
    </cfRule>
  </conditionalFormatting>
  <dataValidations count="1">
    <dataValidation type="list" allowBlank="1" showInputMessage="1" showErrorMessage="1" sqref="C66:C69" xr:uid="{29EE5B94-0CE1-4CD8-803B-01CECA09867A}">
      <formula1>#REF!</formula1>
    </dataValidation>
  </dataValidations>
  <hyperlinks>
    <hyperlink ref="C2" r:id="rId1" xr:uid="{C7D6E34B-46C7-48B0-A3BC-64505CD8D66C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D2F68-AF04-45E6-9A66-C6A237BB64BF}">
  <sheetPr>
    <tabColor rgb="FF92D050"/>
  </sheetPr>
  <dimension ref="A1:AL317"/>
  <sheetViews>
    <sheetView workbookViewId="0">
      <selection activeCell="C17" sqref="C17"/>
    </sheetView>
  </sheetViews>
  <sheetFormatPr defaultColWidth="8.875" defaultRowHeight="14.3" x14ac:dyDescent="0.25"/>
  <cols>
    <col min="1" max="1" width="8" style="105" customWidth="1"/>
    <col min="2" max="2" width="8.25" style="105" customWidth="1"/>
    <col min="3" max="3" width="34.75" style="105" customWidth="1"/>
    <col min="4" max="4" width="11.25" style="105" customWidth="1"/>
    <col min="5" max="6" width="8.875" style="105"/>
    <col min="7" max="7" width="0.875" style="105" customWidth="1"/>
    <col min="8" max="8" width="8.875" style="108"/>
    <col min="9" max="9" width="11" style="108" customWidth="1"/>
    <col min="10" max="10" width="15" style="108" customWidth="1"/>
    <col min="11" max="11" width="8.75" style="108" customWidth="1"/>
    <col min="12" max="12" width="11" style="108" customWidth="1"/>
    <col min="13" max="13" width="11.75" style="109" customWidth="1"/>
    <col min="14" max="15" width="13.875" style="74" customWidth="1"/>
    <col min="16" max="18" width="8.875" style="74"/>
    <col min="19" max="20" width="8.875" style="79"/>
    <col min="21" max="21" width="12.125" style="79" customWidth="1"/>
    <col min="22" max="22" width="27.375" style="79" customWidth="1"/>
    <col min="23" max="38" width="8.875" style="79"/>
    <col min="39" max="16384" width="8.875" style="105"/>
  </cols>
  <sheetData>
    <row r="1" spans="1:36" s="79" customFormat="1" x14ac:dyDescent="0.25">
      <c r="A1" s="74"/>
      <c r="B1" s="74"/>
      <c r="C1" s="74"/>
      <c r="D1" s="74"/>
      <c r="E1" s="74"/>
      <c r="F1" s="74"/>
      <c r="G1" s="74"/>
      <c r="H1" s="75" t="s">
        <v>13</v>
      </c>
      <c r="I1" s="76" t="s">
        <v>14</v>
      </c>
      <c r="J1" s="76" t="s">
        <v>15</v>
      </c>
      <c r="K1" s="77" t="s">
        <v>57</v>
      </c>
      <c r="L1" s="78"/>
      <c r="M1" s="78"/>
      <c r="N1" s="74"/>
      <c r="O1" s="74"/>
      <c r="P1" s="74"/>
      <c r="Q1" s="74"/>
      <c r="R1" s="74"/>
    </row>
    <row r="2" spans="1:36" s="79" customFormat="1" x14ac:dyDescent="0.25">
      <c r="A2" s="74"/>
      <c r="B2" s="17" t="s">
        <v>17</v>
      </c>
      <c r="C2" s="263" t="s">
        <v>59</v>
      </c>
      <c r="D2" s="263"/>
      <c r="E2" s="18"/>
      <c r="F2" s="18"/>
      <c r="G2" s="18"/>
      <c r="H2" s="80">
        <v>0</v>
      </c>
      <c r="I2" s="81">
        <v>50</v>
      </c>
      <c r="J2" s="81">
        <v>10</v>
      </c>
      <c r="K2" s="111">
        <f>3*H2^(1/3)</f>
        <v>0</v>
      </c>
      <c r="L2" s="78"/>
      <c r="M2" s="78"/>
      <c r="N2" s="74"/>
      <c r="O2" s="74"/>
      <c r="P2" s="74"/>
      <c r="Q2" s="74"/>
      <c r="R2" s="74"/>
    </row>
    <row r="3" spans="1:36" s="79" customFormat="1" ht="14.45" customHeight="1" x14ac:dyDescent="0.25">
      <c r="A3" s="74"/>
      <c r="B3" s="82" t="s">
        <v>18</v>
      </c>
      <c r="C3" s="238" t="s">
        <v>89</v>
      </c>
      <c r="D3" s="238"/>
      <c r="E3" s="23"/>
      <c r="F3" s="23"/>
      <c r="G3" s="23"/>
      <c r="H3" s="78"/>
      <c r="I3" s="78"/>
      <c r="J3" s="78"/>
      <c r="K3" s="78"/>
      <c r="L3" s="78"/>
      <c r="M3" s="78"/>
      <c r="N3" s="74"/>
      <c r="O3" s="74"/>
      <c r="P3" s="74"/>
      <c r="Q3" s="74"/>
      <c r="R3" s="74"/>
    </row>
    <row r="4" spans="1:36" s="79" customFormat="1" ht="10.199999999999999" customHeight="1" x14ac:dyDescent="0.25">
      <c r="A4" s="25"/>
      <c r="B4" s="23"/>
      <c r="C4" s="25"/>
      <c r="D4" s="25"/>
      <c r="E4" s="25"/>
      <c r="F4" s="25"/>
      <c r="G4" s="25"/>
      <c r="H4" s="78"/>
      <c r="I4" s="78"/>
      <c r="J4" s="78"/>
      <c r="K4" s="78"/>
      <c r="L4" s="78"/>
      <c r="M4" s="78"/>
      <c r="N4" s="74"/>
      <c r="O4" s="74"/>
      <c r="P4" s="74"/>
      <c r="Q4" s="74"/>
      <c r="R4" s="74"/>
    </row>
    <row r="5" spans="1:36" s="79" customFormat="1" ht="34.65" x14ac:dyDescent="0.25">
      <c r="A5" s="1" t="s">
        <v>19</v>
      </c>
      <c r="B5" s="26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25"/>
      <c r="H5" s="84" t="s">
        <v>25</v>
      </c>
      <c r="I5" s="85" t="s">
        <v>26</v>
      </c>
      <c r="J5" s="85" t="s">
        <v>27</v>
      </c>
      <c r="K5" s="85" t="s">
        <v>28</v>
      </c>
      <c r="L5" s="85" t="s">
        <v>29</v>
      </c>
      <c r="M5" s="84" t="s">
        <v>30</v>
      </c>
      <c r="N5" s="74"/>
      <c r="O5" s="74"/>
      <c r="P5" s="74"/>
      <c r="Q5" s="74"/>
      <c r="R5" s="74"/>
    </row>
    <row r="6" spans="1:36" s="79" customFormat="1" ht="14.45" customHeight="1" x14ac:dyDescent="0.25">
      <c r="A6" s="87">
        <f t="shared" ref="A6:A37" si="0">M6</f>
        <v>0</v>
      </c>
      <c r="B6" s="31" t="str">
        <f>IF(H6&gt;$H$2,"",(ROW()-5))</f>
        <v/>
      </c>
      <c r="C6" s="32"/>
      <c r="D6" s="32"/>
      <c r="E6" s="32"/>
      <c r="F6" s="32"/>
      <c r="G6" s="25"/>
      <c r="H6" s="88">
        <v>1</v>
      </c>
      <c r="I6" s="89" t="str">
        <f t="shared" ref="I6:I69" si="1">IF(H6&lt;$H$2+1,($I$2-($I$2-1)*(LOG(H6)/LOG($H$2))),"")</f>
        <v/>
      </c>
      <c r="J6" s="89" t="e">
        <f t="shared" ref="J6:J69" si="2">INT(LOG($H$2,2))-ROUNDUP(LOG(H6,2),0)+IF(OR($H$2=1,$H$2=2,$H$2=4,$H$2=8,$H$2=16,$H$2=32,$H$2=64,$H$2=128,$H$2=256),0,1)</f>
        <v>#NUM!</v>
      </c>
      <c r="K6" s="88" t="e">
        <f t="shared" ref="K6:K69" si="3">J6*$J$2</f>
        <v>#NUM!</v>
      </c>
      <c r="L6" s="90">
        <f>3*K2</f>
        <v>0</v>
      </c>
      <c r="M6" s="90">
        <f t="shared" ref="M6:M69" si="4">IF(I6&lt;&gt;"",K6+I6+L6,0)</f>
        <v>0</v>
      </c>
      <c r="N6" s="74"/>
      <c r="O6" s="74"/>
      <c r="P6" s="74"/>
      <c r="Q6" s="74"/>
      <c r="R6" s="74"/>
    </row>
    <row r="7" spans="1:36" s="79" customFormat="1" ht="14.45" customHeight="1" x14ac:dyDescent="0.25">
      <c r="A7" s="91">
        <f t="shared" si="0"/>
        <v>0</v>
      </c>
      <c r="B7" s="37" t="str">
        <f>IF(H7&gt;$H$2,"",(ROW()-5))</f>
        <v/>
      </c>
      <c r="C7" s="38"/>
      <c r="D7" s="38"/>
      <c r="E7" s="38"/>
      <c r="F7" s="38"/>
      <c r="G7" s="25"/>
      <c r="H7" s="92">
        <v>2</v>
      </c>
      <c r="I7" s="93" t="str">
        <f t="shared" si="1"/>
        <v/>
      </c>
      <c r="J7" s="93" t="e">
        <f t="shared" si="2"/>
        <v>#NUM!</v>
      </c>
      <c r="K7" s="92" t="e">
        <f t="shared" si="3"/>
        <v>#NUM!</v>
      </c>
      <c r="L7" s="94">
        <f>2*K2</f>
        <v>0</v>
      </c>
      <c r="M7" s="94">
        <f t="shared" si="4"/>
        <v>0</v>
      </c>
      <c r="N7" s="74"/>
      <c r="O7" s="74"/>
      <c r="P7" s="74"/>
      <c r="Q7" s="74"/>
      <c r="R7" s="74"/>
    </row>
    <row r="8" spans="1:36" s="79" customFormat="1" ht="14.45" customHeight="1" x14ac:dyDescent="0.25">
      <c r="A8" s="87">
        <f t="shared" si="0"/>
        <v>0</v>
      </c>
      <c r="B8" s="31" t="str">
        <f>IF(H8&gt;$H$2,"",(ROW()-5))</f>
        <v/>
      </c>
      <c r="C8" s="32"/>
      <c r="D8" s="32"/>
      <c r="E8" s="32"/>
      <c r="F8" s="32"/>
      <c r="G8" s="25"/>
      <c r="H8" s="88">
        <v>3</v>
      </c>
      <c r="I8" s="89" t="str">
        <f t="shared" si="1"/>
        <v/>
      </c>
      <c r="J8" s="89" t="e">
        <f t="shared" si="2"/>
        <v>#NUM!</v>
      </c>
      <c r="K8" s="88" t="e">
        <f t="shared" si="3"/>
        <v>#NUM!</v>
      </c>
      <c r="L8" s="90">
        <f>K2</f>
        <v>0</v>
      </c>
      <c r="M8" s="90">
        <f t="shared" si="4"/>
        <v>0</v>
      </c>
      <c r="N8" s="74"/>
      <c r="O8" s="74"/>
      <c r="P8" s="74"/>
      <c r="Q8" s="74"/>
      <c r="R8" s="74"/>
    </row>
    <row r="9" spans="1:36" s="79" customFormat="1" ht="14.45" customHeight="1" x14ac:dyDescent="0.25">
      <c r="A9" s="91">
        <f t="shared" si="0"/>
        <v>0</v>
      </c>
      <c r="B9" s="37" t="str">
        <f>IF(H9&gt;$H$2,"",3)</f>
        <v/>
      </c>
      <c r="C9" s="38"/>
      <c r="D9" s="38"/>
      <c r="E9" s="38"/>
      <c r="F9" s="38"/>
      <c r="G9" s="25"/>
      <c r="H9" s="92">
        <v>3</v>
      </c>
      <c r="I9" s="93" t="str">
        <f t="shared" si="1"/>
        <v/>
      </c>
      <c r="J9" s="92" t="e">
        <f t="shared" si="2"/>
        <v>#NUM!</v>
      </c>
      <c r="K9" s="92" t="e">
        <f t="shared" si="3"/>
        <v>#NUM!</v>
      </c>
      <c r="L9" s="94">
        <f>K2</f>
        <v>0</v>
      </c>
      <c r="M9" s="94">
        <f t="shared" si="4"/>
        <v>0</v>
      </c>
      <c r="N9" s="74"/>
      <c r="O9" s="74"/>
      <c r="P9" s="74"/>
      <c r="Q9" s="74"/>
      <c r="R9" s="74"/>
      <c r="V9" s="95"/>
      <c r="Z9" s="96"/>
      <c r="AA9" s="96"/>
      <c r="AG9" s="97"/>
      <c r="AH9" s="79" t="s">
        <v>34</v>
      </c>
      <c r="AI9" s="79">
        <v>23</v>
      </c>
    </row>
    <row r="10" spans="1:36" s="79" customFormat="1" ht="14.45" customHeight="1" x14ac:dyDescent="0.25">
      <c r="A10" s="87">
        <f t="shared" si="0"/>
        <v>0</v>
      </c>
      <c r="B10" s="31" t="str">
        <f t="shared" ref="B10:B65" si="5">IF(H10&gt;$H$2,"",(ROW()-5))</f>
        <v/>
      </c>
      <c r="C10" s="32"/>
      <c r="D10" s="32"/>
      <c r="E10" s="32"/>
      <c r="F10" s="32"/>
      <c r="G10" s="25"/>
      <c r="H10" s="88">
        <v>5</v>
      </c>
      <c r="I10" s="89" t="str">
        <f t="shared" si="1"/>
        <v/>
      </c>
      <c r="J10" s="89" t="e">
        <f t="shared" si="2"/>
        <v>#NUM!</v>
      </c>
      <c r="K10" s="88" t="e">
        <f t="shared" si="3"/>
        <v>#NUM!</v>
      </c>
      <c r="L10" s="88"/>
      <c r="M10" s="90">
        <f t="shared" si="4"/>
        <v>0</v>
      </c>
      <c r="N10" s="74"/>
      <c r="O10" s="74"/>
      <c r="P10" s="74"/>
      <c r="Q10" s="74"/>
      <c r="R10" s="74"/>
      <c r="V10" s="95"/>
      <c r="Z10" s="96"/>
      <c r="AA10" s="96"/>
      <c r="AG10" s="97"/>
      <c r="AH10" s="79" t="s">
        <v>35</v>
      </c>
      <c r="AI10" s="79">
        <v>45</v>
      </c>
    </row>
    <row r="11" spans="1:36" s="79" customFormat="1" ht="14.45" customHeight="1" x14ac:dyDescent="0.25">
      <c r="A11" s="91">
        <f t="shared" si="0"/>
        <v>0</v>
      </c>
      <c r="B11" s="37" t="str">
        <f t="shared" si="5"/>
        <v/>
      </c>
      <c r="C11" s="38"/>
      <c r="D11" s="38"/>
      <c r="E11" s="38"/>
      <c r="F11" s="38"/>
      <c r="G11" s="25"/>
      <c r="H11" s="92">
        <v>6</v>
      </c>
      <c r="I11" s="93" t="str">
        <f t="shared" si="1"/>
        <v/>
      </c>
      <c r="J11" s="93" t="e">
        <f t="shared" si="2"/>
        <v>#NUM!</v>
      </c>
      <c r="K11" s="92" t="e">
        <f t="shared" si="3"/>
        <v>#NUM!</v>
      </c>
      <c r="L11" s="92"/>
      <c r="M11" s="94">
        <f t="shared" si="4"/>
        <v>0</v>
      </c>
      <c r="N11" s="74"/>
      <c r="O11" s="74"/>
      <c r="P11" s="74"/>
      <c r="Q11" s="74"/>
      <c r="R11" s="74"/>
      <c r="V11" s="98"/>
      <c r="Z11" s="96"/>
      <c r="AA11" s="96"/>
      <c r="AG11" s="97"/>
      <c r="AH11" s="79" t="s">
        <v>36</v>
      </c>
      <c r="AI11" s="79">
        <v>50</v>
      </c>
    </row>
    <row r="12" spans="1:36" s="79" customFormat="1" ht="14.45" customHeight="1" x14ac:dyDescent="0.25">
      <c r="A12" s="87">
        <f t="shared" si="0"/>
        <v>0</v>
      </c>
      <c r="B12" s="31" t="str">
        <f t="shared" si="5"/>
        <v/>
      </c>
      <c r="C12" s="32"/>
      <c r="D12" s="32"/>
      <c r="E12" s="32"/>
      <c r="F12" s="32"/>
      <c r="G12" s="25"/>
      <c r="H12" s="88">
        <v>7</v>
      </c>
      <c r="I12" s="89" t="str">
        <f t="shared" si="1"/>
        <v/>
      </c>
      <c r="J12" s="89" t="e">
        <f t="shared" si="2"/>
        <v>#NUM!</v>
      </c>
      <c r="K12" s="88" t="e">
        <f t="shared" si="3"/>
        <v>#NUM!</v>
      </c>
      <c r="L12" s="88"/>
      <c r="M12" s="90">
        <f t="shared" si="4"/>
        <v>0</v>
      </c>
      <c r="N12" s="74"/>
      <c r="O12" s="74"/>
      <c r="P12" s="74"/>
      <c r="Q12" s="74"/>
      <c r="R12" s="74"/>
      <c r="Z12" s="96"/>
      <c r="AA12" s="96"/>
      <c r="AG12" s="97"/>
      <c r="AH12" s="79" t="s">
        <v>37</v>
      </c>
      <c r="AI12" s="79">
        <f>AI11-1</f>
        <v>49</v>
      </c>
    </row>
    <row r="13" spans="1:36" s="79" customFormat="1" ht="14.45" customHeight="1" x14ac:dyDescent="0.25">
      <c r="A13" s="91">
        <f t="shared" si="0"/>
        <v>0</v>
      </c>
      <c r="B13" s="37" t="str">
        <f t="shared" si="5"/>
        <v/>
      </c>
      <c r="C13" s="38"/>
      <c r="D13" s="38"/>
      <c r="E13" s="38"/>
      <c r="F13" s="38"/>
      <c r="G13" s="25"/>
      <c r="H13" s="92">
        <v>8</v>
      </c>
      <c r="I13" s="93" t="str">
        <f t="shared" si="1"/>
        <v/>
      </c>
      <c r="J13" s="93" t="e">
        <f t="shared" si="2"/>
        <v>#NUM!</v>
      </c>
      <c r="K13" s="92" t="e">
        <f t="shared" si="3"/>
        <v>#NUM!</v>
      </c>
      <c r="L13" s="92"/>
      <c r="M13" s="94">
        <f t="shared" si="4"/>
        <v>0</v>
      </c>
      <c r="N13" s="74"/>
      <c r="O13" s="74"/>
      <c r="P13" s="74"/>
      <c r="Q13" s="74"/>
      <c r="R13" s="74"/>
      <c r="X13" s="95"/>
      <c r="AG13" s="97"/>
      <c r="AH13" s="79" t="s">
        <v>38</v>
      </c>
      <c r="AI13" s="79">
        <f>LOG(AI9)</f>
        <v>1.3617278360175928</v>
      </c>
    </row>
    <row r="14" spans="1:36" s="79" customFormat="1" x14ac:dyDescent="0.25">
      <c r="A14" s="87">
        <f t="shared" si="0"/>
        <v>0</v>
      </c>
      <c r="B14" s="31" t="str">
        <f t="shared" si="5"/>
        <v/>
      </c>
      <c r="C14" s="32"/>
      <c r="D14" s="32"/>
      <c r="E14" s="32"/>
      <c r="F14" s="32"/>
      <c r="G14" s="25"/>
      <c r="H14" s="88">
        <v>9</v>
      </c>
      <c r="I14" s="89" t="str">
        <f t="shared" si="1"/>
        <v/>
      </c>
      <c r="J14" s="89" t="e">
        <f t="shared" si="2"/>
        <v>#NUM!</v>
      </c>
      <c r="K14" s="88" t="e">
        <f t="shared" si="3"/>
        <v>#NUM!</v>
      </c>
      <c r="L14" s="88"/>
      <c r="M14" s="90">
        <f t="shared" si="4"/>
        <v>0</v>
      </c>
      <c r="N14" s="74"/>
      <c r="O14" s="74"/>
      <c r="P14" s="74"/>
      <c r="Q14" s="74"/>
      <c r="R14" s="74"/>
      <c r="X14" s="99"/>
      <c r="Z14" s="96"/>
      <c r="AA14" s="96"/>
      <c r="AG14" s="97"/>
      <c r="AH14" s="79" t="s">
        <v>39</v>
      </c>
      <c r="AI14" s="79">
        <f>LOG(AI10)</f>
        <v>1.6532125137753437</v>
      </c>
    </row>
    <row r="15" spans="1:36" s="79" customFormat="1" x14ac:dyDescent="0.25">
      <c r="A15" s="91">
        <f t="shared" si="0"/>
        <v>0</v>
      </c>
      <c r="B15" s="37" t="str">
        <f t="shared" si="5"/>
        <v/>
      </c>
      <c r="C15" s="38"/>
      <c r="D15" s="38"/>
      <c r="E15" s="38"/>
      <c r="F15" s="38"/>
      <c r="G15" s="25"/>
      <c r="H15" s="92">
        <v>10</v>
      </c>
      <c r="I15" s="93" t="str">
        <f t="shared" si="1"/>
        <v/>
      </c>
      <c r="J15" s="93" t="e">
        <f t="shared" si="2"/>
        <v>#NUM!</v>
      </c>
      <c r="K15" s="92" t="e">
        <f t="shared" si="3"/>
        <v>#NUM!</v>
      </c>
      <c r="L15" s="92"/>
      <c r="M15" s="94">
        <f t="shared" si="4"/>
        <v>0</v>
      </c>
      <c r="N15" s="74"/>
      <c r="O15" s="74"/>
      <c r="P15" s="74"/>
      <c r="Q15" s="74"/>
      <c r="R15" s="74"/>
      <c r="X15" s="95"/>
      <c r="Z15" s="96"/>
      <c r="AA15" s="96"/>
    </row>
    <row r="16" spans="1:36" s="79" customFormat="1" x14ac:dyDescent="0.25">
      <c r="A16" s="87">
        <f t="shared" si="0"/>
        <v>0</v>
      </c>
      <c r="B16" s="31" t="str">
        <f t="shared" si="5"/>
        <v/>
      </c>
      <c r="C16" s="32"/>
      <c r="D16" s="32"/>
      <c r="E16" s="32"/>
      <c r="F16" s="32"/>
      <c r="G16" s="25"/>
      <c r="H16" s="88">
        <v>11</v>
      </c>
      <c r="I16" s="89" t="str">
        <f t="shared" si="1"/>
        <v/>
      </c>
      <c r="J16" s="89" t="e">
        <f t="shared" si="2"/>
        <v>#NUM!</v>
      </c>
      <c r="K16" s="88" t="e">
        <f t="shared" si="3"/>
        <v>#NUM!</v>
      </c>
      <c r="L16" s="88"/>
      <c r="M16" s="90">
        <f t="shared" si="4"/>
        <v>0</v>
      </c>
      <c r="N16" s="74"/>
      <c r="O16" s="74"/>
      <c r="P16" s="74"/>
      <c r="Q16" s="74"/>
      <c r="R16" s="100"/>
      <c r="Z16" s="96"/>
      <c r="AA16" s="96"/>
      <c r="AH16" s="101" t="s">
        <v>40</v>
      </c>
      <c r="AI16" s="79">
        <f>AI11-AI12*AI13/AI14</f>
        <v>9.6393909380186855</v>
      </c>
      <c r="AJ16" s="79" t="s">
        <v>41</v>
      </c>
    </row>
    <row r="17" spans="1:19" s="79" customFormat="1" x14ac:dyDescent="0.25">
      <c r="A17" s="91">
        <f t="shared" si="0"/>
        <v>0</v>
      </c>
      <c r="B17" s="37" t="str">
        <f t="shared" si="5"/>
        <v/>
      </c>
      <c r="C17" s="38"/>
      <c r="D17" s="38"/>
      <c r="E17" s="38"/>
      <c r="F17" s="38"/>
      <c r="G17" s="25"/>
      <c r="H17" s="92">
        <v>12</v>
      </c>
      <c r="I17" s="93" t="str">
        <f t="shared" si="1"/>
        <v/>
      </c>
      <c r="J17" s="93" t="e">
        <f t="shared" si="2"/>
        <v>#NUM!</v>
      </c>
      <c r="K17" s="92" t="e">
        <f t="shared" si="3"/>
        <v>#NUM!</v>
      </c>
      <c r="L17" s="92"/>
      <c r="M17" s="94">
        <f t="shared" si="4"/>
        <v>0</v>
      </c>
      <c r="N17" s="74"/>
      <c r="O17" s="74"/>
      <c r="P17" s="74"/>
      <c r="Q17" s="74"/>
      <c r="R17" s="74"/>
    </row>
    <row r="18" spans="1:19" s="79" customFormat="1" x14ac:dyDescent="0.25">
      <c r="A18" s="87">
        <f t="shared" si="0"/>
        <v>0</v>
      </c>
      <c r="B18" s="31" t="str">
        <f t="shared" si="5"/>
        <v/>
      </c>
      <c r="C18" s="32"/>
      <c r="D18" s="32"/>
      <c r="E18" s="32"/>
      <c r="F18" s="32"/>
      <c r="G18" s="25"/>
      <c r="H18" s="88">
        <v>13</v>
      </c>
      <c r="I18" s="89" t="str">
        <f t="shared" si="1"/>
        <v/>
      </c>
      <c r="J18" s="89" t="e">
        <f t="shared" si="2"/>
        <v>#NUM!</v>
      </c>
      <c r="K18" s="88" t="e">
        <f t="shared" si="3"/>
        <v>#NUM!</v>
      </c>
      <c r="L18" s="88"/>
      <c r="M18" s="90">
        <f t="shared" si="4"/>
        <v>0</v>
      </c>
      <c r="N18" s="74"/>
      <c r="O18" s="74"/>
      <c r="P18" s="74"/>
      <c r="Q18" s="74"/>
      <c r="R18" s="74"/>
    </row>
    <row r="19" spans="1:19" s="79" customFormat="1" x14ac:dyDescent="0.25">
      <c r="A19" s="91">
        <f t="shared" si="0"/>
        <v>0</v>
      </c>
      <c r="B19" s="37" t="str">
        <f t="shared" si="5"/>
        <v/>
      </c>
      <c r="C19" s="38"/>
      <c r="D19" s="38"/>
      <c r="E19" s="38"/>
      <c r="F19" s="38"/>
      <c r="G19" s="25"/>
      <c r="H19" s="92">
        <v>14</v>
      </c>
      <c r="I19" s="93" t="str">
        <f t="shared" si="1"/>
        <v/>
      </c>
      <c r="J19" s="93" t="e">
        <f t="shared" si="2"/>
        <v>#NUM!</v>
      </c>
      <c r="K19" s="92" t="e">
        <f t="shared" si="3"/>
        <v>#NUM!</v>
      </c>
      <c r="L19" s="92"/>
      <c r="M19" s="94">
        <f t="shared" si="4"/>
        <v>0</v>
      </c>
      <c r="N19" s="74"/>
      <c r="O19" s="74"/>
      <c r="P19" s="74"/>
      <c r="Q19" s="74"/>
      <c r="R19" s="74"/>
    </row>
    <row r="20" spans="1:19" s="79" customFormat="1" x14ac:dyDescent="0.25">
      <c r="A20" s="87">
        <f t="shared" si="0"/>
        <v>0</v>
      </c>
      <c r="B20" s="31" t="str">
        <f t="shared" si="5"/>
        <v/>
      </c>
      <c r="C20" s="32"/>
      <c r="D20" s="32"/>
      <c r="E20" s="32"/>
      <c r="F20" s="32"/>
      <c r="G20" s="25"/>
      <c r="H20" s="88">
        <v>15</v>
      </c>
      <c r="I20" s="89" t="str">
        <f t="shared" si="1"/>
        <v/>
      </c>
      <c r="J20" s="89" t="e">
        <f t="shared" si="2"/>
        <v>#NUM!</v>
      </c>
      <c r="K20" s="88" t="e">
        <f t="shared" si="3"/>
        <v>#NUM!</v>
      </c>
      <c r="L20" s="88"/>
      <c r="M20" s="90">
        <f t="shared" si="4"/>
        <v>0</v>
      </c>
      <c r="N20" s="74"/>
      <c r="O20" s="74"/>
      <c r="P20" s="74"/>
      <c r="Q20" s="74"/>
      <c r="R20" s="102"/>
      <c r="S20" s="103"/>
    </row>
    <row r="21" spans="1:19" s="79" customFormat="1" x14ac:dyDescent="0.25">
      <c r="A21" s="91">
        <f t="shared" si="0"/>
        <v>0</v>
      </c>
      <c r="B21" s="37" t="str">
        <f t="shared" si="5"/>
        <v/>
      </c>
      <c r="C21" s="38"/>
      <c r="D21" s="38"/>
      <c r="E21" s="38"/>
      <c r="F21" s="38"/>
      <c r="G21" s="25"/>
      <c r="H21" s="92">
        <v>16</v>
      </c>
      <c r="I21" s="93" t="str">
        <f t="shared" si="1"/>
        <v/>
      </c>
      <c r="J21" s="93" t="e">
        <f t="shared" si="2"/>
        <v>#NUM!</v>
      </c>
      <c r="K21" s="92" t="e">
        <f t="shared" si="3"/>
        <v>#NUM!</v>
      </c>
      <c r="L21" s="92"/>
      <c r="M21" s="94">
        <f t="shared" si="4"/>
        <v>0</v>
      </c>
      <c r="N21" s="74"/>
      <c r="O21" s="74"/>
      <c r="P21" s="74"/>
      <c r="Q21" s="74"/>
      <c r="R21" s="74"/>
    </row>
    <row r="22" spans="1:19" s="79" customFormat="1" x14ac:dyDescent="0.25">
      <c r="A22" s="87">
        <f t="shared" si="0"/>
        <v>0</v>
      </c>
      <c r="B22" s="31" t="str">
        <f t="shared" si="5"/>
        <v/>
      </c>
      <c r="C22" s="32"/>
      <c r="D22" s="32"/>
      <c r="E22" s="32"/>
      <c r="F22" s="32"/>
      <c r="G22" s="25"/>
      <c r="H22" s="88">
        <v>17</v>
      </c>
      <c r="I22" s="89" t="str">
        <f t="shared" si="1"/>
        <v/>
      </c>
      <c r="J22" s="89" t="e">
        <f t="shared" si="2"/>
        <v>#NUM!</v>
      </c>
      <c r="K22" s="88" t="e">
        <f t="shared" si="3"/>
        <v>#NUM!</v>
      </c>
      <c r="L22" s="88"/>
      <c r="M22" s="90">
        <f t="shared" si="4"/>
        <v>0</v>
      </c>
      <c r="N22" s="74"/>
      <c r="O22" s="74"/>
      <c r="P22" s="74"/>
      <c r="Q22" s="74"/>
      <c r="R22" s="74"/>
    </row>
    <row r="23" spans="1:19" s="79" customFormat="1" x14ac:dyDescent="0.25">
      <c r="A23" s="91">
        <f t="shared" si="0"/>
        <v>0</v>
      </c>
      <c r="B23" s="37" t="str">
        <f t="shared" si="5"/>
        <v/>
      </c>
      <c r="C23" s="38"/>
      <c r="D23" s="38"/>
      <c r="E23" s="38"/>
      <c r="F23" s="38"/>
      <c r="G23" s="25"/>
      <c r="H23" s="92">
        <v>18</v>
      </c>
      <c r="I23" s="93" t="str">
        <f t="shared" si="1"/>
        <v/>
      </c>
      <c r="J23" s="93" t="e">
        <f t="shared" si="2"/>
        <v>#NUM!</v>
      </c>
      <c r="K23" s="92" t="e">
        <f t="shared" si="3"/>
        <v>#NUM!</v>
      </c>
      <c r="L23" s="92"/>
      <c r="M23" s="94">
        <f t="shared" si="4"/>
        <v>0</v>
      </c>
      <c r="N23" s="74"/>
      <c r="O23" s="74"/>
      <c r="P23" s="74"/>
      <c r="Q23" s="74"/>
      <c r="R23" s="74"/>
    </row>
    <row r="24" spans="1:19" s="79" customFormat="1" x14ac:dyDescent="0.25">
      <c r="A24" s="87">
        <f t="shared" si="0"/>
        <v>0</v>
      </c>
      <c r="B24" s="31" t="str">
        <f t="shared" si="5"/>
        <v/>
      </c>
      <c r="C24" s="32"/>
      <c r="D24" s="32"/>
      <c r="E24" s="32"/>
      <c r="F24" s="32"/>
      <c r="G24" s="25"/>
      <c r="H24" s="88">
        <v>19</v>
      </c>
      <c r="I24" s="89" t="str">
        <f t="shared" si="1"/>
        <v/>
      </c>
      <c r="J24" s="89" t="e">
        <f t="shared" si="2"/>
        <v>#NUM!</v>
      </c>
      <c r="K24" s="88" t="e">
        <f t="shared" si="3"/>
        <v>#NUM!</v>
      </c>
      <c r="L24" s="88"/>
      <c r="M24" s="90">
        <f t="shared" si="4"/>
        <v>0</v>
      </c>
      <c r="N24" s="74"/>
      <c r="O24" s="74"/>
      <c r="P24" s="74"/>
      <c r="Q24" s="74"/>
      <c r="R24" s="102"/>
      <c r="S24" s="103"/>
    </row>
    <row r="25" spans="1:19" s="79" customFormat="1" x14ac:dyDescent="0.25">
      <c r="A25" s="91">
        <f t="shared" si="0"/>
        <v>0</v>
      </c>
      <c r="B25" s="37" t="str">
        <f t="shared" si="5"/>
        <v/>
      </c>
      <c r="C25" s="38"/>
      <c r="D25" s="38"/>
      <c r="E25" s="38"/>
      <c r="F25" s="38"/>
      <c r="G25" s="25"/>
      <c r="H25" s="92">
        <v>20</v>
      </c>
      <c r="I25" s="93" t="str">
        <f t="shared" si="1"/>
        <v/>
      </c>
      <c r="J25" s="93" t="e">
        <f t="shared" si="2"/>
        <v>#NUM!</v>
      </c>
      <c r="K25" s="92" t="e">
        <f t="shared" si="3"/>
        <v>#NUM!</v>
      </c>
      <c r="L25" s="92"/>
      <c r="M25" s="94">
        <f t="shared" si="4"/>
        <v>0</v>
      </c>
      <c r="N25" s="74"/>
      <c r="O25" s="74"/>
      <c r="P25" s="74"/>
      <c r="Q25" s="74"/>
      <c r="R25" s="74"/>
    </row>
    <row r="26" spans="1:19" s="79" customFormat="1" x14ac:dyDescent="0.25">
      <c r="A26" s="87">
        <f t="shared" si="0"/>
        <v>0</v>
      </c>
      <c r="B26" s="31" t="str">
        <f t="shared" si="5"/>
        <v/>
      </c>
      <c r="C26" s="32"/>
      <c r="D26" s="32"/>
      <c r="E26" s="32"/>
      <c r="F26" s="32"/>
      <c r="G26" s="25"/>
      <c r="H26" s="88">
        <v>21</v>
      </c>
      <c r="I26" s="89" t="str">
        <f t="shared" si="1"/>
        <v/>
      </c>
      <c r="J26" s="89" t="e">
        <f t="shared" si="2"/>
        <v>#NUM!</v>
      </c>
      <c r="K26" s="88" t="e">
        <f t="shared" si="3"/>
        <v>#NUM!</v>
      </c>
      <c r="L26" s="88"/>
      <c r="M26" s="90">
        <f t="shared" si="4"/>
        <v>0</v>
      </c>
      <c r="N26" s="74"/>
      <c r="O26" s="74"/>
      <c r="P26" s="74"/>
      <c r="Q26" s="74"/>
      <c r="R26" s="74"/>
    </row>
    <row r="27" spans="1:19" s="79" customFormat="1" x14ac:dyDescent="0.25">
      <c r="A27" s="91">
        <f t="shared" si="0"/>
        <v>0</v>
      </c>
      <c r="B27" s="37" t="str">
        <f t="shared" si="5"/>
        <v/>
      </c>
      <c r="C27" s="38"/>
      <c r="D27" s="38"/>
      <c r="E27" s="38"/>
      <c r="F27" s="38"/>
      <c r="G27" s="25"/>
      <c r="H27" s="92">
        <v>22</v>
      </c>
      <c r="I27" s="93" t="str">
        <f t="shared" si="1"/>
        <v/>
      </c>
      <c r="J27" s="93" t="e">
        <f t="shared" si="2"/>
        <v>#NUM!</v>
      </c>
      <c r="K27" s="92" t="e">
        <f t="shared" si="3"/>
        <v>#NUM!</v>
      </c>
      <c r="L27" s="92"/>
      <c r="M27" s="94">
        <f t="shared" si="4"/>
        <v>0</v>
      </c>
      <c r="N27" s="74"/>
      <c r="O27" s="74"/>
      <c r="P27" s="74"/>
      <c r="Q27" s="74"/>
      <c r="R27" s="74"/>
    </row>
    <row r="28" spans="1:19" s="79" customFormat="1" x14ac:dyDescent="0.25">
      <c r="A28" s="87">
        <f t="shared" si="0"/>
        <v>0</v>
      </c>
      <c r="B28" s="31" t="str">
        <f t="shared" si="5"/>
        <v/>
      </c>
      <c r="C28" s="32"/>
      <c r="D28" s="32"/>
      <c r="E28" s="32"/>
      <c r="F28" s="32"/>
      <c r="G28" s="25"/>
      <c r="H28" s="88">
        <v>23</v>
      </c>
      <c r="I28" s="89" t="str">
        <f t="shared" si="1"/>
        <v/>
      </c>
      <c r="J28" s="89" t="e">
        <f t="shared" si="2"/>
        <v>#NUM!</v>
      </c>
      <c r="K28" s="88" t="e">
        <f t="shared" si="3"/>
        <v>#NUM!</v>
      </c>
      <c r="L28" s="88"/>
      <c r="M28" s="90">
        <f t="shared" si="4"/>
        <v>0</v>
      </c>
      <c r="N28" s="74"/>
      <c r="O28" s="74"/>
      <c r="P28" s="74"/>
      <c r="Q28" s="74"/>
      <c r="R28" s="102"/>
      <c r="S28" s="103"/>
    </row>
    <row r="29" spans="1:19" s="79" customFormat="1" x14ac:dyDescent="0.25">
      <c r="A29" s="91">
        <f t="shared" si="0"/>
        <v>0</v>
      </c>
      <c r="B29" s="37" t="str">
        <f t="shared" si="5"/>
        <v/>
      </c>
      <c r="C29" s="38"/>
      <c r="D29" s="38"/>
      <c r="E29" s="38"/>
      <c r="F29" s="38"/>
      <c r="G29" s="74"/>
      <c r="H29" s="92">
        <v>24</v>
      </c>
      <c r="I29" s="93" t="str">
        <f t="shared" si="1"/>
        <v/>
      </c>
      <c r="J29" s="93" t="e">
        <f t="shared" si="2"/>
        <v>#NUM!</v>
      </c>
      <c r="K29" s="92" t="e">
        <f t="shared" si="3"/>
        <v>#NUM!</v>
      </c>
      <c r="L29" s="92"/>
      <c r="M29" s="94">
        <f t="shared" si="4"/>
        <v>0</v>
      </c>
      <c r="N29" s="74"/>
      <c r="O29" s="74"/>
      <c r="P29" s="74"/>
      <c r="Q29" s="74"/>
      <c r="R29" s="74"/>
    </row>
    <row r="30" spans="1:19" s="79" customFormat="1" x14ac:dyDescent="0.25">
      <c r="A30" s="87">
        <f t="shared" si="0"/>
        <v>0</v>
      </c>
      <c r="B30" s="31" t="str">
        <f t="shared" si="5"/>
        <v/>
      </c>
      <c r="C30" s="32"/>
      <c r="D30" s="32"/>
      <c r="E30" s="32"/>
      <c r="F30" s="32"/>
      <c r="G30" s="74"/>
      <c r="H30" s="88">
        <v>25</v>
      </c>
      <c r="I30" s="89" t="str">
        <f t="shared" si="1"/>
        <v/>
      </c>
      <c r="J30" s="89" t="e">
        <f t="shared" si="2"/>
        <v>#NUM!</v>
      </c>
      <c r="K30" s="88" t="e">
        <f t="shared" si="3"/>
        <v>#NUM!</v>
      </c>
      <c r="L30" s="88"/>
      <c r="M30" s="90">
        <f t="shared" si="4"/>
        <v>0</v>
      </c>
      <c r="N30" s="74"/>
      <c r="O30" s="74"/>
      <c r="P30" s="74"/>
      <c r="Q30" s="74"/>
      <c r="R30" s="74"/>
    </row>
    <row r="31" spans="1:19" s="79" customFormat="1" x14ac:dyDescent="0.25">
      <c r="A31" s="91">
        <f t="shared" si="0"/>
        <v>0</v>
      </c>
      <c r="B31" s="37" t="str">
        <f t="shared" si="5"/>
        <v/>
      </c>
      <c r="C31" s="38"/>
      <c r="D31" s="38"/>
      <c r="E31" s="38"/>
      <c r="F31" s="38"/>
      <c r="G31" s="74"/>
      <c r="H31" s="92">
        <v>26</v>
      </c>
      <c r="I31" s="93" t="str">
        <f t="shared" si="1"/>
        <v/>
      </c>
      <c r="J31" s="93" t="e">
        <f t="shared" si="2"/>
        <v>#NUM!</v>
      </c>
      <c r="K31" s="92" t="e">
        <f t="shared" si="3"/>
        <v>#NUM!</v>
      </c>
      <c r="L31" s="92"/>
      <c r="M31" s="94">
        <f t="shared" si="4"/>
        <v>0</v>
      </c>
      <c r="N31" s="74"/>
      <c r="O31" s="74"/>
      <c r="P31" s="74"/>
      <c r="Q31" s="74"/>
      <c r="R31" s="74"/>
    </row>
    <row r="32" spans="1:19" s="79" customFormat="1" x14ac:dyDescent="0.25">
      <c r="A32" s="87">
        <f t="shared" si="0"/>
        <v>0</v>
      </c>
      <c r="B32" s="31" t="str">
        <f t="shared" si="5"/>
        <v/>
      </c>
      <c r="C32" s="32"/>
      <c r="D32" s="32"/>
      <c r="E32" s="32"/>
      <c r="F32" s="32"/>
      <c r="G32" s="74"/>
      <c r="H32" s="88">
        <v>27</v>
      </c>
      <c r="I32" s="89" t="str">
        <f t="shared" si="1"/>
        <v/>
      </c>
      <c r="J32" s="89" t="e">
        <f t="shared" si="2"/>
        <v>#NUM!</v>
      </c>
      <c r="K32" s="88" t="e">
        <f t="shared" si="3"/>
        <v>#NUM!</v>
      </c>
      <c r="L32" s="88"/>
      <c r="M32" s="90">
        <f t="shared" si="4"/>
        <v>0</v>
      </c>
      <c r="N32" s="74"/>
      <c r="O32" s="74"/>
      <c r="P32" s="74"/>
      <c r="Q32" s="74"/>
      <c r="R32" s="102"/>
      <c r="S32" s="103"/>
    </row>
    <row r="33" spans="1:21" s="79" customFormat="1" x14ac:dyDescent="0.25">
      <c r="A33" s="91">
        <f t="shared" si="0"/>
        <v>0</v>
      </c>
      <c r="B33" s="37" t="str">
        <f t="shared" si="5"/>
        <v/>
      </c>
      <c r="C33" s="38"/>
      <c r="D33" s="38"/>
      <c r="E33" s="38"/>
      <c r="F33" s="38"/>
      <c r="G33" s="74"/>
      <c r="H33" s="92">
        <v>28</v>
      </c>
      <c r="I33" s="93" t="str">
        <f t="shared" si="1"/>
        <v/>
      </c>
      <c r="J33" s="93" t="e">
        <f t="shared" si="2"/>
        <v>#NUM!</v>
      </c>
      <c r="K33" s="92" t="e">
        <f t="shared" si="3"/>
        <v>#NUM!</v>
      </c>
      <c r="L33" s="92"/>
      <c r="M33" s="94">
        <f t="shared" si="4"/>
        <v>0</v>
      </c>
      <c r="N33" s="74"/>
      <c r="O33" s="74"/>
      <c r="P33" s="74"/>
      <c r="Q33" s="74"/>
      <c r="R33" s="74"/>
    </row>
    <row r="34" spans="1:21" s="79" customFormat="1" x14ac:dyDescent="0.25">
      <c r="A34" s="87">
        <f t="shared" si="0"/>
        <v>0</v>
      </c>
      <c r="B34" s="31" t="str">
        <f t="shared" si="5"/>
        <v/>
      </c>
      <c r="C34" s="32"/>
      <c r="D34" s="32"/>
      <c r="E34" s="32"/>
      <c r="F34" s="32"/>
      <c r="G34" s="74"/>
      <c r="H34" s="88">
        <v>29</v>
      </c>
      <c r="I34" s="89" t="str">
        <f t="shared" si="1"/>
        <v/>
      </c>
      <c r="J34" s="89" t="e">
        <f t="shared" si="2"/>
        <v>#NUM!</v>
      </c>
      <c r="K34" s="88" t="e">
        <f t="shared" si="3"/>
        <v>#NUM!</v>
      </c>
      <c r="L34" s="88"/>
      <c r="M34" s="90">
        <f t="shared" si="4"/>
        <v>0</v>
      </c>
      <c r="N34" s="74"/>
      <c r="O34" s="74"/>
      <c r="P34" s="74"/>
      <c r="Q34" s="74"/>
      <c r="R34" s="74"/>
    </row>
    <row r="35" spans="1:21" s="79" customFormat="1" x14ac:dyDescent="0.25">
      <c r="A35" s="91">
        <f t="shared" si="0"/>
        <v>0</v>
      </c>
      <c r="B35" s="37" t="str">
        <f t="shared" si="5"/>
        <v/>
      </c>
      <c r="C35" s="38"/>
      <c r="D35" s="38"/>
      <c r="E35" s="38"/>
      <c r="F35" s="38"/>
      <c r="G35" s="74"/>
      <c r="H35" s="92">
        <v>30</v>
      </c>
      <c r="I35" s="93" t="str">
        <f t="shared" si="1"/>
        <v/>
      </c>
      <c r="J35" s="93" t="e">
        <f t="shared" si="2"/>
        <v>#NUM!</v>
      </c>
      <c r="K35" s="92" t="e">
        <f t="shared" si="3"/>
        <v>#NUM!</v>
      </c>
      <c r="L35" s="92"/>
      <c r="M35" s="94">
        <f t="shared" si="4"/>
        <v>0</v>
      </c>
      <c r="N35" s="74"/>
      <c r="O35" s="74"/>
      <c r="P35" s="74"/>
      <c r="Q35" s="74"/>
      <c r="R35" s="74"/>
    </row>
    <row r="36" spans="1:21" s="79" customFormat="1" x14ac:dyDescent="0.25">
      <c r="A36" s="87">
        <f t="shared" si="0"/>
        <v>0</v>
      </c>
      <c r="B36" s="31" t="str">
        <f t="shared" si="5"/>
        <v/>
      </c>
      <c r="C36" s="32"/>
      <c r="D36" s="32"/>
      <c r="E36" s="32"/>
      <c r="F36" s="32"/>
      <c r="G36" s="74"/>
      <c r="H36" s="88">
        <v>31</v>
      </c>
      <c r="I36" s="89" t="str">
        <f t="shared" si="1"/>
        <v/>
      </c>
      <c r="J36" s="89" t="e">
        <f t="shared" si="2"/>
        <v>#NUM!</v>
      </c>
      <c r="K36" s="88" t="e">
        <f t="shared" si="3"/>
        <v>#NUM!</v>
      </c>
      <c r="L36" s="88"/>
      <c r="M36" s="90">
        <f t="shared" si="4"/>
        <v>0</v>
      </c>
      <c r="N36" s="74"/>
      <c r="O36" s="74"/>
      <c r="P36" s="74"/>
      <c r="Q36" s="74"/>
      <c r="R36" s="102"/>
      <c r="S36" s="103"/>
    </row>
    <row r="37" spans="1:21" s="79" customFormat="1" x14ac:dyDescent="0.25">
      <c r="A37" s="91">
        <f t="shared" si="0"/>
        <v>0</v>
      </c>
      <c r="B37" s="37" t="str">
        <f t="shared" si="5"/>
        <v/>
      </c>
      <c r="C37" s="38"/>
      <c r="D37" s="38"/>
      <c r="E37" s="38"/>
      <c r="F37" s="38"/>
      <c r="G37" s="74"/>
      <c r="H37" s="92">
        <v>32</v>
      </c>
      <c r="I37" s="93" t="str">
        <f t="shared" si="1"/>
        <v/>
      </c>
      <c r="J37" s="93" t="e">
        <f t="shared" si="2"/>
        <v>#NUM!</v>
      </c>
      <c r="K37" s="92" t="e">
        <f t="shared" si="3"/>
        <v>#NUM!</v>
      </c>
      <c r="L37" s="92"/>
      <c r="M37" s="94">
        <f t="shared" si="4"/>
        <v>0</v>
      </c>
      <c r="N37" s="74"/>
      <c r="O37" s="74"/>
      <c r="P37" s="74"/>
      <c r="Q37" s="74"/>
      <c r="R37" s="74"/>
    </row>
    <row r="38" spans="1:21" s="79" customFormat="1" x14ac:dyDescent="0.25">
      <c r="A38" s="87"/>
      <c r="B38" s="31" t="str">
        <f t="shared" si="5"/>
        <v/>
      </c>
      <c r="C38" s="32"/>
      <c r="D38" s="32"/>
      <c r="E38" s="32"/>
      <c r="F38" s="32"/>
      <c r="G38" s="74"/>
      <c r="H38" s="88">
        <v>33</v>
      </c>
      <c r="I38" s="89" t="str">
        <f t="shared" si="1"/>
        <v/>
      </c>
      <c r="J38" s="89" t="e">
        <f t="shared" si="2"/>
        <v>#NUM!</v>
      </c>
      <c r="K38" s="88" t="e">
        <f t="shared" si="3"/>
        <v>#NUM!</v>
      </c>
      <c r="L38" s="88"/>
      <c r="M38" s="90">
        <f t="shared" si="4"/>
        <v>0</v>
      </c>
      <c r="N38" s="74"/>
      <c r="O38" s="74"/>
      <c r="P38" s="74"/>
      <c r="Q38" s="74"/>
      <c r="R38" s="74"/>
    </row>
    <row r="39" spans="1:21" s="79" customFormat="1" x14ac:dyDescent="0.25">
      <c r="A39" s="91"/>
      <c r="B39" s="37" t="str">
        <f t="shared" si="5"/>
        <v/>
      </c>
      <c r="C39" s="38"/>
      <c r="D39" s="38"/>
      <c r="E39" s="38"/>
      <c r="F39" s="38"/>
      <c r="G39" s="74"/>
      <c r="H39" s="92">
        <v>34</v>
      </c>
      <c r="I39" s="93" t="str">
        <f t="shared" si="1"/>
        <v/>
      </c>
      <c r="J39" s="93" t="e">
        <f t="shared" si="2"/>
        <v>#NUM!</v>
      </c>
      <c r="K39" s="92" t="e">
        <f t="shared" si="3"/>
        <v>#NUM!</v>
      </c>
      <c r="L39" s="92"/>
      <c r="M39" s="94">
        <f t="shared" si="4"/>
        <v>0</v>
      </c>
      <c r="N39" s="74"/>
      <c r="O39" s="74"/>
      <c r="P39" s="74"/>
      <c r="Q39" s="74"/>
      <c r="R39" s="74"/>
    </row>
    <row r="40" spans="1:21" s="79" customFormat="1" x14ac:dyDescent="0.25">
      <c r="A40" s="87"/>
      <c r="B40" s="31" t="str">
        <f t="shared" si="5"/>
        <v/>
      </c>
      <c r="C40" s="32"/>
      <c r="D40" s="32"/>
      <c r="E40" s="32"/>
      <c r="F40" s="32"/>
      <c r="G40" s="74"/>
      <c r="H40" s="88">
        <v>35</v>
      </c>
      <c r="I40" s="89" t="str">
        <f t="shared" si="1"/>
        <v/>
      </c>
      <c r="J40" s="89" t="e">
        <f t="shared" si="2"/>
        <v>#NUM!</v>
      </c>
      <c r="K40" s="88" t="e">
        <f t="shared" si="3"/>
        <v>#NUM!</v>
      </c>
      <c r="L40" s="88"/>
      <c r="M40" s="90">
        <f t="shared" si="4"/>
        <v>0</v>
      </c>
      <c r="N40" s="74"/>
      <c r="O40" s="74"/>
      <c r="P40" s="74"/>
      <c r="Q40" s="74"/>
      <c r="R40" s="74"/>
    </row>
    <row r="41" spans="1:21" s="79" customFormat="1" x14ac:dyDescent="0.25">
      <c r="A41" s="91"/>
      <c r="B41" s="37" t="str">
        <f t="shared" si="5"/>
        <v/>
      </c>
      <c r="C41" s="38"/>
      <c r="D41" s="38"/>
      <c r="E41" s="38"/>
      <c r="F41" s="38"/>
      <c r="G41" s="74"/>
      <c r="H41" s="92">
        <v>36</v>
      </c>
      <c r="I41" s="93" t="str">
        <f t="shared" si="1"/>
        <v/>
      </c>
      <c r="J41" s="93" t="e">
        <f t="shared" si="2"/>
        <v>#NUM!</v>
      </c>
      <c r="K41" s="92" t="e">
        <f t="shared" si="3"/>
        <v>#NUM!</v>
      </c>
      <c r="L41" s="92"/>
      <c r="M41" s="94">
        <f t="shared" si="4"/>
        <v>0</v>
      </c>
      <c r="N41" s="74"/>
      <c r="O41" s="74"/>
      <c r="P41" s="74"/>
      <c r="Q41" s="74"/>
      <c r="R41" s="74"/>
      <c r="S41" s="104"/>
    </row>
    <row r="42" spans="1:21" s="79" customFormat="1" x14ac:dyDescent="0.25">
      <c r="A42" s="87"/>
      <c r="B42" s="31" t="str">
        <f t="shared" si="5"/>
        <v/>
      </c>
      <c r="C42" s="32"/>
      <c r="D42" s="32"/>
      <c r="E42" s="32"/>
      <c r="F42" s="32"/>
      <c r="G42" s="74"/>
      <c r="H42" s="88">
        <v>37</v>
      </c>
      <c r="I42" s="89" t="str">
        <f t="shared" si="1"/>
        <v/>
      </c>
      <c r="J42" s="89" t="e">
        <f t="shared" si="2"/>
        <v>#NUM!</v>
      </c>
      <c r="K42" s="88" t="e">
        <f t="shared" si="3"/>
        <v>#NUM!</v>
      </c>
      <c r="L42" s="88"/>
      <c r="M42" s="90">
        <f t="shared" si="4"/>
        <v>0</v>
      </c>
      <c r="N42" s="74"/>
      <c r="O42" s="74"/>
      <c r="P42" s="74"/>
      <c r="Q42" s="74"/>
      <c r="R42" s="74"/>
    </row>
    <row r="43" spans="1:21" s="79" customFormat="1" x14ac:dyDescent="0.25">
      <c r="A43" s="91"/>
      <c r="B43" s="37" t="str">
        <f t="shared" si="5"/>
        <v/>
      </c>
      <c r="C43" s="38"/>
      <c r="D43" s="38"/>
      <c r="E43" s="38"/>
      <c r="F43" s="38"/>
      <c r="G43" s="74"/>
      <c r="H43" s="92">
        <v>38</v>
      </c>
      <c r="I43" s="93" t="str">
        <f t="shared" si="1"/>
        <v/>
      </c>
      <c r="J43" s="93" t="e">
        <f t="shared" si="2"/>
        <v>#NUM!</v>
      </c>
      <c r="K43" s="92" t="e">
        <f t="shared" si="3"/>
        <v>#NUM!</v>
      </c>
      <c r="L43" s="92"/>
      <c r="M43" s="94">
        <f t="shared" si="4"/>
        <v>0</v>
      </c>
      <c r="N43" s="74"/>
      <c r="O43" s="74"/>
      <c r="P43" s="74"/>
      <c r="Q43" s="74"/>
      <c r="R43" s="74"/>
    </row>
    <row r="44" spans="1:21" s="79" customFormat="1" x14ac:dyDescent="0.25">
      <c r="A44" s="87"/>
      <c r="B44" s="31" t="str">
        <f t="shared" si="5"/>
        <v/>
      </c>
      <c r="C44" s="32"/>
      <c r="D44" s="32"/>
      <c r="E44" s="32"/>
      <c r="F44" s="32"/>
      <c r="G44" s="74"/>
      <c r="H44" s="88">
        <v>39</v>
      </c>
      <c r="I44" s="89" t="str">
        <f t="shared" si="1"/>
        <v/>
      </c>
      <c r="J44" s="89" t="e">
        <f t="shared" si="2"/>
        <v>#NUM!</v>
      </c>
      <c r="K44" s="88" t="e">
        <f t="shared" si="3"/>
        <v>#NUM!</v>
      </c>
      <c r="L44" s="88"/>
      <c r="M44" s="90">
        <f t="shared" si="4"/>
        <v>0</v>
      </c>
      <c r="N44" s="74"/>
      <c r="O44" s="74"/>
      <c r="P44" s="74"/>
      <c r="Q44" s="74"/>
      <c r="R44" s="74"/>
    </row>
    <row r="45" spans="1:21" s="79" customFormat="1" x14ac:dyDescent="0.25">
      <c r="A45" s="91"/>
      <c r="B45" s="37" t="str">
        <f t="shared" si="5"/>
        <v/>
      </c>
      <c r="C45" s="38"/>
      <c r="D45" s="38"/>
      <c r="E45" s="38"/>
      <c r="F45" s="38"/>
      <c r="G45" s="74"/>
      <c r="H45" s="92">
        <v>40</v>
      </c>
      <c r="I45" s="93" t="str">
        <f t="shared" si="1"/>
        <v/>
      </c>
      <c r="J45" s="93" t="e">
        <f t="shared" si="2"/>
        <v>#NUM!</v>
      </c>
      <c r="K45" s="92" t="e">
        <f t="shared" si="3"/>
        <v>#NUM!</v>
      </c>
      <c r="L45" s="92"/>
      <c r="M45" s="94">
        <f t="shared" si="4"/>
        <v>0</v>
      </c>
      <c r="N45" s="74"/>
      <c r="O45" s="74"/>
      <c r="P45" s="74"/>
      <c r="Q45" s="74"/>
      <c r="R45" s="74"/>
    </row>
    <row r="46" spans="1:21" s="79" customFormat="1" x14ac:dyDescent="0.25">
      <c r="A46" s="87"/>
      <c r="B46" s="31" t="str">
        <f t="shared" si="5"/>
        <v/>
      </c>
      <c r="C46" s="32"/>
      <c r="D46" s="32"/>
      <c r="E46" s="32"/>
      <c r="F46" s="32"/>
      <c r="G46" s="74"/>
      <c r="H46" s="88">
        <v>41</v>
      </c>
      <c r="I46" s="89" t="str">
        <f t="shared" si="1"/>
        <v/>
      </c>
      <c r="J46" s="89" t="e">
        <f t="shared" si="2"/>
        <v>#NUM!</v>
      </c>
      <c r="K46" s="88" t="e">
        <f t="shared" si="3"/>
        <v>#NUM!</v>
      </c>
      <c r="L46" s="88"/>
      <c r="M46" s="90">
        <f t="shared" si="4"/>
        <v>0</v>
      </c>
      <c r="N46" s="74"/>
      <c r="O46" s="74"/>
      <c r="P46" s="74"/>
      <c r="Q46" s="74"/>
      <c r="R46" s="74" t="e">
        <f>LOG($H$2,2)</f>
        <v>#NUM!</v>
      </c>
      <c r="T46" s="79">
        <f>LOG(H38,2)</f>
        <v>5.0443941193584534</v>
      </c>
      <c r="U46" s="79" t="e">
        <f>R46-T46</f>
        <v>#NUM!</v>
      </c>
    </row>
    <row r="47" spans="1:21" s="79" customFormat="1" x14ac:dyDescent="0.25">
      <c r="A47" s="91"/>
      <c r="B47" s="37" t="str">
        <f t="shared" si="5"/>
        <v/>
      </c>
      <c r="C47" s="38"/>
      <c r="D47" s="38"/>
      <c r="E47" s="38"/>
      <c r="F47" s="38"/>
      <c r="G47" s="74"/>
      <c r="H47" s="92">
        <v>42</v>
      </c>
      <c r="I47" s="93" t="str">
        <f t="shared" si="1"/>
        <v/>
      </c>
      <c r="J47" s="93" t="e">
        <f t="shared" si="2"/>
        <v>#NUM!</v>
      </c>
      <c r="K47" s="92" t="e">
        <f t="shared" si="3"/>
        <v>#NUM!</v>
      </c>
      <c r="L47" s="92"/>
      <c r="M47" s="94">
        <f t="shared" si="4"/>
        <v>0</v>
      </c>
      <c r="N47" s="74"/>
      <c r="O47" s="74"/>
      <c r="P47" s="74"/>
      <c r="Q47" s="74"/>
      <c r="R47" s="74"/>
    </row>
    <row r="48" spans="1:21" s="79" customFormat="1" x14ac:dyDescent="0.25">
      <c r="A48" s="87"/>
      <c r="B48" s="31" t="str">
        <f t="shared" si="5"/>
        <v/>
      </c>
      <c r="C48" s="32"/>
      <c r="D48" s="32"/>
      <c r="E48" s="32"/>
      <c r="F48" s="32"/>
      <c r="G48" s="74"/>
      <c r="H48" s="88">
        <v>43</v>
      </c>
      <c r="I48" s="89" t="str">
        <f t="shared" si="1"/>
        <v/>
      </c>
      <c r="J48" s="89" t="e">
        <f t="shared" si="2"/>
        <v>#NUM!</v>
      </c>
      <c r="K48" s="88" t="e">
        <f t="shared" si="3"/>
        <v>#NUM!</v>
      </c>
      <c r="L48" s="88"/>
      <c r="M48" s="90">
        <f t="shared" si="4"/>
        <v>0</v>
      </c>
      <c r="N48" s="74"/>
      <c r="O48" s="74"/>
      <c r="P48" s="74"/>
      <c r="Q48" s="74"/>
      <c r="R48" s="74"/>
    </row>
    <row r="49" spans="1:38" s="74" customFormat="1" x14ac:dyDescent="0.25">
      <c r="A49" s="91"/>
      <c r="B49" s="37" t="str">
        <f t="shared" si="5"/>
        <v/>
      </c>
      <c r="C49" s="38"/>
      <c r="D49" s="38"/>
      <c r="E49" s="38"/>
      <c r="F49" s="38"/>
      <c r="H49" s="92">
        <v>44</v>
      </c>
      <c r="I49" s="93" t="str">
        <f t="shared" si="1"/>
        <v/>
      </c>
      <c r="J49" s="93" t="e">
        <f t="shared" si="2"/>
        <v>#NUM!</v>
      </c>
      <c r="K49" s="92" t="e">
        <f t="shared" si="3"/>
        <v>#NUM!</v>
      </c>
      <c r="L49" s="92"/>
      <c r="M49" s="94">
        <f t="shared" si="4"/>
        <v>0</v>
      </c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</row>
    <row r="50" spans="1:38" s="74" customFormat="1" x14ac:dyDescent="0.25">
      <c r="A50" s="87"/>
      <c r="B50" s="31" t="str">
        <f t="shared" si="5"/>
        <v/>
      </c>
      <c r="C50" s="32"/>
      <c r="D50" s="32"/>
      <c r="E50" s="32"/>
      <c r="F50" s="32"/>
      <c r="H50" s="88">
        <v>45</v>
      </c>
      <c r="I50" s="89" t="str">
        <f t="shared" si="1"/>
        <v/>
      </c>
      <c r="J50" s="89" t="e">
        <f t="shared" si="2"/>
        <v>#NUM!</v>
      </c>
      <c r="K50" s="88" t="e">
        <f t="shared" si="3"/>
        <v>#NUM!</v>
      </c>
      <c r="L50" s="88"/>
      <c r="M50" s="90">
        <f t="shared" si="4"/>
        <v>0</v>
      </c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</row>
    <row r="51" spans="1:38" s="74" customFormat="1" x14ac:dyDescent="0.25">
      <c r="A51" s="91"/>
      <c r="B51" s="37" t="str">
        <f t="shared" si="5"/>
        <v/>
      </c>
      <c r="C51" s="38"/>
      <c r="D51" s="38"/>
      <c r="E51" s="38"/>
      <c r="F51" s="38"/>
      <c r="H51" s="92">
        <v>46</v>
      </c>
      <c r="I51" s="93" t="str">
        <f t="shared" si="1"/>
        <v/>
      </c>
      <c r="J51" s="93" t="e">
        <f t="shared" si="2"/>
        <v>#NUM!</v>
      </c>
      <c r="K51" s="92" t="e">
        <f t="shared" si="3"/>
        <v>#NUM!</v>
      </c>
      <c r="L51" s="92"/>
      <c r="M51" s="94">
        <f t="shared" si="4"/>
        <v>0</v>
      </c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</row>
    <row r="52" spans="1:38" s="74" customFormat="1" x14ac:dyDescent="0.25">
      <c r="A52" s="87"/>
      <c r="B52" s="31" t="str">
        <f t="shared" si="5"/>
        <v/>
      </c>
      <c r="C52" s="32"/>
      <c r="D52" s="32"/>
      <c r="E52" s="32"/>
      <c r="F52" s="32"/>
      <c r="H52" s="88">
        <v>47</v>
      </c>
      <c r="I52" s="89" t="str">
        <f t="shared" si="1"/>
        <v/>
      </c>
      <c r="J52" s="89" t="e">
        <f t="shared" si="2"/>
        <v>#NUM!</v>
      </c>
      <c r="K52" s="88" t="e">
        <f t="shared" si="3"/>
        <v>#NUM!</v>
      </c>
      <c r="L52" s="88"/>
      <c r="M52" s="90">
        <f t="shared" si="4"/>
        <v>0</v>
      </c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</row>
    <row r="53" spans="1:38" s="74" customFormat="1" x14ac:dyDescent="0.25">
      <c r="A53" s="91"/>
      <c r="B53" s="37" t="str">
        <f t="shared" si="5"/>
        <v/>
      </c>
      <c r="C53" s="38"/>
      <c r="D53" s="38"/>
      <c r="E53" s="38"/>
      <c r="F53" s="38"/>
      <c r="H53" s="92">
        <v>48</v>
      </c>
      <c r="I53" s="93" t="str">
        <f t="shared" si="1"/>
        <v/>
      </c>
      <c r="J53" s="93" t="e">
        <f t="shared" si="2"/>
        <v>#NUM!</v>
      </c>
      <c r="K53" s="92" t="e">
        <f t="shared" si="3"/>
        <v>#NUM!</v>
      </c>
      <c r="L53" s="92"/>
      <c r="M53" s="94">
        <f t="shared" si="4"/>
        <v>0</v>
      </c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</row>
    <row r="54" spans="1:38" s="74" customFormat="1" x14ac:dyDescent="0.25">
      <c r="A54" s="87"/>
      <c r="B54" s="31" t="str">
        <f t="shared" si="5"/>
        <v/>
      </c>
      <c r="C54" s="32"/>
      <c r="D54" s="32"/>
      <c r="E54" s="32"/>
      <c r="F54" s="32"/>
      <c r="H54" s="88">
        <v>49</v>
      </c>
      <c r="I54" s="89" t="str">
        <f t="shared" si="1"/>
        <v/>
      </c>
      <c r="J54" s="89" t="e">
        <f t="shared" si="2"/>
        <v>#NUM!</v>
      </c>
      <c r="K54" s="88" t="e">
        <f t="shared" si="3"/>
        <v>#NUM!</v>
      </c>
      <c r="L54" s="88"/>
      <c r="M54" s="90">
        <f t="shared" si="4"/>
        <v>0</v>
      </c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</row>
    <row r="55" spans="1:38" s="74" customFormat="1" x14ac:dyDescent="0.25">
      <c r="A55" s="91"/>
      <c r="B55" s="37" t="str">
        <f t="shared" si="5"/>
        <v/>
      </c>
      <c r="C55" s="38"/>
      <c r="D55" s="38"/>
      <c r="E55" s="38"/>
      <c r="F55" s="38"/>
      <c r="H55" s="92">
        <v>50</v>
      </c>
      <c r="I55" s="93" t="str">
        <f t="shared" si="1"/>
        <v/>
      </c>
      <c r="J55" s="93" t="e">
        <f t="shared" si="2"/>
        <v>#NUM!</v>
      </c>
      <c r="K55" s="92" t="e">
        <f t="shared" si="3"/>
        <v>#NUM!</v>
      </c>
      <c r="L55" s="92"/>
      <c r="M55" s="94">
        <f t="shared" si="4"/>
        <v>0</v>
      </c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</row>
    <row r="56" spans="1:38" s="74" customFormat="1" x14ac:dyDescent="0.25">
      <c r="A56" s="87"/>
      <c r="B56" s="31" t="str">
        <f t="shared" si="5"/>
        <v/>
      </c>
      <c r="C56" s="32"/>
      <c r="D56" s="32"/>
      <c r="E56" s="32"/>
      <c r="F56" s="32"/>
      <c r="H56" s="88">
        <v>51</v>
      </c>
      <c r="I56" s="89" t="str">
        <f t="shared" si="1"/>
        <v/>
      </c>
      <c r="J56" s="89" t="e">
        <f t="shared" si="2"/>
        <v>#NUM!</v>
      </c>
      <c r="K56" s="88" t="e">
        <f t="shared" si="3"/>
        <v>#NUM!</v>
      </c>
      <c r="L56" s="88"/>
      <c r="M56" s="90">
        <f t="shared" si="4"/>
        <v>0</v>
      </c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</row>
    <row r="57" spans="1:38" s="74" customFormat="1" x14ac:dyDescent="0.25">
      <c r="A57" s="91"/>
      <c r="B57" s="37" t="str">
        <f t="shared" si="5"/>
        <v/>
      </c>
      <c r="C57" s="38"/>
      <c r="D57" s="38"/>
      <c r="E57" s="38"/>
      <c r="F57" s="38"/>
      <c r="H57" s="92">
        <v>52</v>
      </c>
      <c r="I57" s="93" t="str">
        <f t="shared" si="1"/>
        <v/>
      </c>
      <c r="J57" s="93" t="e">
        <f t="shared" si="2"/>
        <v>#NUM!</v>
      </c>
      <c r="K57" s="92" t="e">
        <f t="shared" si="3"/>
        <v>#NUM!</v>
      </c>
      <c r="L57" s="92"/>
      <c r="M57" s="94">
        <f t="shared" si="4"/>
        <v>0</v>
      </c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</row>
    <row r="58" spans="1:38" s="74" customFormat="1" x14ac:dyDescent="0.25">
      <c r="A58" s="87"/>
      <c r="B58" s="31" t="str">
        <f t="shared" si="5"/>
        <v/>
      </c>
      <c r="C58" s="32"/>
      <c r="D58" s="32"/>
      <c r="E58" s="32"/>
      <c r="F58" s="32"/>
      <c r="H58" s="88">
        <v>53</v>
      </c>
      <c r="I58" s="89" t="str">
        <f t="shared" si="1"/>
        <v/>
      </c>
      <c r="J58" s="89" t="e">
        <f t="shared" si="2"/>
        <v>#NUM!</v>
      </c>
      <c r="K58" s="88" t="e">
        <f t="shared" si="3"/>
        <v>#NUM!</v>
      </c>
      <c r="L58" s="88"/>
      <c r="M58" s="90">
        <f t="shared" si="4"/>
        <v>0</v>
      </c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</row>
    <row r="59" spans="1:38" s="74" customFormat="1" x14ac:dyDescent="0.25">
      <c r="A59" s="91"/>
      <c r="B59" s="37" t="str">
        <f t="shared" si="5"/>
        <v/>
      </c>
      <c r="C59" s="38"/>
      <c r="D59" s="38"/>
      <c r="E59" s="38"/>
      <c r="F59" s="38"/>
      <c r="H59" s="92">
        <v>54</v>
      </c>
      <c r="I59" s="93" t="str">
        <f t="shared" si="1"/>
        <v/>
      </c>
      <c r="J59" s="93" t="e">
        <f t="shared" si="2"/>
        <v>#NUM!</v>
      </c>
      <c r="K59" s="92" t="e">
        <f t="shared" si="3"/>
        <v>#NUM!</v>
      </c>
      <c r="L59" s="92"/>
      <c r="M59" s="94">
        <f t="shared" si="4"/>
        <v>0</v>
      </c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</row>
    <row r="60" spans="1:38" s="74" customFormat="1" x14ac:dyDescent="0.25">
      <c r="A60" s="87"/>
      <c r="B60" s="31" t="str">
        <f t="shared" si="5"/>
        <v/>
      </c>
      <c r="C60" s="32"/>
      <c r="D60" s="32"/>
      <c r="E60" s="32"/>
      <c r="F60" s="32"/>
      <c r="H60" s="88">
        <v>55</v>
      </c>
      <c r="I60" s="89" t="str">
        <f t="shared" si="1"/>
        <v/>
      </c>
      <c r="J60" s="89" t="e">
        <f t="shared" si="2"/>
        <v>#NUM!</v>
      </c>
      <c r="K60" s="88" t="e">
        <f t="shared" si="3"/>
        <v>#NUM!</v>
      </c>
      <c r="L60" s="88"/>
      <c r="M60" s="90">
        <f t="shared" si="4"/>
        <v>0</v>
      </c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</row>
    <row r="61" spans="1:38" s="74" customFormat="1" x14ac:dyDescent="0.25">
      <c r="A61" s="91"/>
      <c r="B61" s="37" t="str">
        <f t="shared" si="5"/>
        <v/>
      </c>
      <c r="C61" s="38"/>
      <c r="D61" s="38"/>
      <c r="E61" s="38"/>
      <c r="F61" s="38"/>
      <c r="H61" s="92">
        <v>56</v>
      </c>
      <c r="I61" s="93" t="str">
        <f t="shared" si="1"/>
        <v/>
      </c>
      <c r="J61" s="93" t="e">
        <f t="shared" si="2"/>
        <v>#NUM!</v>
      </c>
      <c r="K61" s="92" t="e">
        <f t="shared" si="3"/>
        <v>#NUM!</v>
      </c>
      <c r="L61" s="92"/>
      <c r="M61" s="94">
        <f t="shared" si="4"/>
        <v>0</v>
      </c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</row>
    <row r="62" spans="1:38" s="74" customFormat="1" x14ac:dyDescent="0.25">
      <c r="A62" s="87"/>
      <c r="B62" s="31" t="str">
        <f t="shared" si="5"/>
        <v/>
      </c>
      <c r="C62" s="32"/>
      <c r="D62" s="32"/>
      <c r="E62" s="32"/>
      <c r="F62" s="32"/>
      <c r="H62" s="88">
        <v>57</v>
      </c>
      <c r="I62" s="89" t="str">
        <f t="shared" si="1"/>
        <v/>
      </c>
      <c r="J62" s="89" t="e">
        <f t="shared" si="2"/>
        <v>#NUM!</v>
      </c>
      <c r="K62" s="88" t="e">
        <f t="shared" si="3"/>
        <v>#NUM!</v>
      </c>
      <c r="L62" s="88"/>
      <c r="M62" s="90">
        <f t="shared" si="4"/>
        <v>0</v>
      </c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</row>
    <row r="63" spans="1:38" s="74" customFormat="1" x14ac:dyDescent="0.25">
      <c r="A63" s="91"/>
      <c r="B63" s="37" t="str">
        <f t="shared" si="5"/>
        <v/>
      </c>
      <c r="C63" s="38"/>
      <c r="D63" s="38"/>
      <c r="E63" s="38"/>
      <c r="F63" s="38"/>
      <c r="H63" s="92">
        <v>58</v>
      </c>
      <c r="I63" s="93" t="str">
        <f t="shared" si="1"/>
        <v/>
      </c>
      <c r="J63" s="93" t="e">
        <f t="shared" si="2"/>
        <v>#NUM!</v>
      </c>
      <c r="K63" s="92" t="e">
        <f t="shared" si="3"/>
        <v>#NUM!</v>
      </c>
      <c r="L63" s="92"/>
      <c r="M63" s="94">
        <f t="shared" si="4"/>
        <v>0</v>
      </c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</row>
    <row r="64" spans="1:38" s="74" customFormat="1" x14ac:dyDescent="0.25">
      <c r="A64" s="87"/>
      <c r="B64" s="31" t="str">
        <f t="shared" si="5"/>
        <v/>
      </c>
      <c r="C64" s="32"/>
      <c r="D64" s="32"/>
      <c r="E64" s="32"/>
      <c r="F64" s="32"/>
      <c r="H64" s="88">
        <v>59</v>
      </c>
      <c r="I64" s="89" t="str">
        <f t="shared" si="1"/>
        <v/>
      </c>
      <c r="J64" s="89" t="e">
        <f t="shared" si="2"/>
        <v>#NUM!</v>
      </c>
      <c r="K64" s="88" t="e">
        <f t="shared" si="3"/>
        <v>#NUM!</v>
      </c>
      <c r="L64" s="88"/>
      <c r="M64" s="90">
        <f t="shared" si="4"/>
        <v>0</v>
      </c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</row>
    <row r="65" spans="1:38" s="74" customFormat="1" x14ac:dyDescent="0.25">
      <c r="A65" s="91"/>
      <c r="B65" s="37" t="str">
        <f t="shared" si="5"/>
        <v/>
      </c>
      <c r="C65" s="38"/>
      <c r="D65" s="38"/>
      <c r="E65" s="38"/>
      <c r="F65" s="38"/>
      <c r="H65" s="92">
        <v>60</v>
      </c>
      <c r="I65" s="93" t="str">
        <f t="shared" si="1"/>
        <v/>
      </c>
      <c r="J65" s="93" t="e">
        <f t="shared" si="2"/>
        <v>#NUM!</v>
      </c>
      <c r="K65" s="92" t="e">
        <f t="shared" si="3"/>
        <v>#NUM!</v>
      </c>
      <c r="L65" s="92"/>
      <c r="M65" s="94">
        <f t="shared" si="4"/>
        <v>0</v>
      </c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</row>
    <row r="66" spans="1:38" s="74" customFormat="1" x14ac:dyDescent="0.25">
      <c r="A66" s="106"/>
      <c r="B66" s="31"/>
      <c r="C66" s="105"/>
      <c r="D66" s="105"/>
      <c r="E66" s="105"/>
      <c r="F66" s="105"/>
      <c r="H66" s="88">
        <v>61</v>
      </c>
      <c r="I66" s="89" t="str">
        <f t="shared" si="1"/>
        <v/>
      </c>
      <c r="J66" s="89" t="e">
        <f t="shared" si="2"/>
        <v>#NUM!</v>
      </c>
      <c r="K66" s="88" t="e">
        <f t="shared" si="3"/>
        <v>#NUM!</v>
      </c>
      <c r="L66" s="88"/>
      <c r="M66" s="90">
        <f t="shared" si="4"/>
        <v>0</v>
      </c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</row>
    <row r="67" spans="1:38" s="74" customFormat="1" x14ac:dyDescent="0.25">
      <c r="A67" s="106"/>
      <c r="B67" s="37"/>
      <c r="C67" s="105"/>
      <c r="D67" s="105"/>
      <c r="E67" s="105"/>
      <c r="F67" s="105"/>
      <c r="H67" s="88">
        <v>62</v>
      </c>
      <c r="I67" s="89" t="str">
        <f t="shared" si="1"/>
        <v/>
      </c>
      <c r="J67" s="89" t="e">
        <f t="shared" si="2"/>
        <v>#NUM!</v>
      </c>
      <c r="K67" s="88" t="e">
        <f t="shared" si="3"/>
        <v>#NUM!</v>
      </c>
      <c r="L67" s="88"/>
      <c r="M67" s="90">
        <f t="shared" si="4"/>
        <v>0</v>
      </c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</row>
    <row r="68" spans="1:38" s="74" customFormat="1" x14ac:dyDescent="0.25">
      <c r="A68" s="106"/>
      <c r="B68" s="31"/>
      <c r="C68" s="105"/>
      <c r="D68" s="105"/>
      <c r="E68" s="105"/>
      <c r="F68" s="105"/>
      <c r="H68" s="88">
        <v>63</v>
      </c>
      <c r="I68" s="89" t="str">
        <f t="shared" si="1"/>
        <v/>
      </c>
      <c r="J68" s="89" t="e">
        <f t="shared" si="2"/>
        <v>#NUM!</v>
      </c>
      <c r="K68" s="88" t="e">
        <f t="shared" si="3"/>
        <v>#NUM!</v>
      </c>
      <c r="L68" s="88"/>
      <c r="M68" s="90">
        <f t="shared" si="4"/>
        <v>0</v>
      </c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</row>
    <row r="69" spans="1:38" s="74" customFormat="1" x14ac:dyDescent="0.25">
      <c r="A69" s="106"/>
      <c r="B69" s="37"/>
      <c r="C69" s="105"/>
      <c r="D69" s="105"/>
      <c r="E69" s="105"/>
      <c r="F69" s="105"/>
      <c r="H69" s="88">
        <v>64</v>
      </c>
      <c r="I69" s="89" t="str">
        <f t="shared" si="1"/>
        <v/>
      </c>
      <c r="J69" s="89" t="e">
        <f t="shared" si="2"/>
        <v>#NUM!</v>
      </c>
      <c r="K69" s="88" t="e">
        <f t="shared" si="3"/>
        <v>#NUM!</v>
      </c>
      <c r="L69" s="88"/>
      <c r="M69" s="90">
        <f t="shared" si="4"/>
        <v>0</v>
      </c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</row>
    <row r="70" spans="1:38" s="74" customFormat="1" x14ac:dyDescent="0.25">
      <c r="A70" s="106"/>
      <c r="B70" s="105"/>
      <c r="C70" s="105"/>
      <c r="D70" s="105"/>
      <c r="E70" s="105"/>
      <c r="F70" s="105"/>
      <c r="H70" s="88">
        <v>65</v>
      </c>
      <c r="I70" s="89" t="str">
        <f t="shared" ref="I70:I133" si="6">IF(H70&lt;$H$2+1,($I$2-($I$2-1)*(LOG(H70)/LOG($H$2))),"")</f>
        <v/>
      </c>
      <c r="J70" s="89" t="e">
        <f t="shared" ref="J70:J133" si="7">INT(LOG($H$2,2))-ROUNDUP(LOG(H70,2),0)+IF(OR($H$2=1,$H$2=2,$H$2=4,$H$2=8,$H$2=16,$H$2=32,$H$2=64,$H$2=128,$H$2=256),0,1)</f>
        <v>#NUM!</v>
      </c>
      <c r="K70" s="88" t="e">
        <f t="shared" ref="K70:K133" si="8">J70*$J$2</f>
        <v>#NUM!</v>
      </c>
      <c r="L70" s="88"/>
      <c r="M70" s="90">
        <f t="shared" ref="M70:M133" si="9">IF(I70&lt;&gt;"",K70+I70+L70,0)</f>
        <v>0</v>
      </c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</row>
    <row r="71" spans="1:38" s="74" customFormat="1" x14ac:dyDescent="0.25">
      <c r="A71" s="106"/>
      <c r="B71" s="105"/>
      <c r="C71" s="105"/>
      <c r="D71" s="105"/>
      <c r="E71" s="105"/>
      <c r="F71" s="105"/>
      <c r="H71" s="88">
        <v>66</v>
      </c>
      <c r="I71" s="89" t="str">
        <f t="shared" si="6"/>
        <v/>
      </c>
      <c r="J71" s="89" t="e">
        <f t="shared" si="7"/>
        <v>#NUM!</v>
      </c>
      <c r="K71" s="88" t="e">
        <f t="shared" si="8"/>
        <v>#NUM!</v>
      </c>
      <c r="L71" s="88"/>
      <c r="M71" s="90">
        <f t="shared" si="9"/>
        <v>0</v>
      </c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</row>
    <row r="72" spans="1:38" s="74" customFormat="1" x14ac:dyDescent="0.25">
      <c r="A72" s="106"/>
      <c r="B72" s="105"/>
      <c r="C72" s="105"/>
      <c r="D72" s="105"/>
      <c r="E72" s="105"/>
      <c r="F72" s="105"/>
      <c r="H72" s="88">
        <v>67</v>
      </c>
      <c r="I72" s="89" t="str">
        <f t="shared" si="6"/>
        <v/>
      </c>
      <c r="J72" s="89" t="e">
        <f t="shared" si="7"/>
        <v>#NUM!</v>
      </c>
      <c r="K72" s="88" t="e">
        <f t="shared" si="8"/>
        <v>#NUM!</v>
      </c>
      <c r="L72" s="88"/>
      <c r="M72" s="90">
        <f t="shared" si="9"/>
        <v>0</v>
      </c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</row>
    <row r="73" spans="1:38" s="74" customFormat="1" x14ac:dyDescent="0.25">
      <c r="A73" s="106"/>
      <c r="B73" s="105"/>
      <c r="C73" s="105"/>
      <c r="D73" s="105"/>
      <c r="E73" s="105"/>
      <c r="F73" s="105"/>
      <c r="H73" s="88">
        <v>68</v>
      </c>
      <c r="I73" s="89" t="str">
        <f t="shared" si="6"/>
        <v/>
      </c>
      <c r="J73" s="89" t="e">
        <f t="shared" si="7"/>
        <v>#NUM!</v>
      </c>
      <c r="K73" s="88" t="e">
        <f t="shared" si="8"/>
        <v>#NUM!</v>
      </c>
      <c r="L73" s="88"/>
      <c r="M73" s="90">
        <f t="shared" si="9"/>
        <v>0</v>
      </c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</row>
    <row r="74" spans="1:38" s="74" customFormat="1" x14ac:dyDescent="0.25">
      <c r="A74" s="106"/>
      <c r="B74" s="105"/>
      <c r="C74" s="105"/>
      <c r="D74" s="105"/>
      <c r="E74" s="105"/>
      <c r="F74" s="105"/>
      <c r="H74" s="88">
        <v>69</v>
      </c>
      <c r="I74" s="89" t="str">
        <f t="shared" si="6"/>
        <v/>
      </c>
      <c r="J74" s="89" t="e">
        <f t="shared" si="7"/>
        <v>#NUM!</v>
      </c>
      <c r="K74" s="88" t="e">
        <f t="shared" si="8"/>
        <v>#NUM!</v>
      </c>
      <c r="L74" s="88"/>
      <c r="M74" s="90">
        <f t="shared" si="9"/>
        <v>0</v>
      </c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</row>
    <row r="75" spans="1:38" s="74" customFormat="1" x14ac:dyDescent="0.25">
      <c r="A75" s="106"/>
      <c r="B75" s="105"/>
      <c r="C75" s="105"/>
      <c r="D75" s="105"/>
      <c r="E75" s="105"/>
      <c r="F75" s="105"/>
      <c r="H75" s="88">
        <v>70</v>
      </c>
      <c r="I75" s="89" t="str">
        <f t="shared" si="6"/>
        <v/>
      </c>
      <c r="J75" s="89" t="e">
        <f t="shared" si="7"/>
        <v>#NUM!</v>
      </c>
      <c r="K75" s="88" t="e">
        <f t="shared" si="8"/>
        <v>#NUM!</v>
      </c>
      <c r="L75" s="88"/>
      <c r="M75" s="90">
        <f t="shared" si="9"/>
        <v>0</v>
      </c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</row>
    <row r="76" spans="1:38" s="74" customFormat="1" x14ac:dyDescent="0.25">
      <c r="A76" s="106"/>
      <c r="B76" s="105"/>
      <c r="C76" s="105"/>
      <c r="D76" s="105"/>
      <c r="E76" s="105"/>
      <c r="F76" s="105"/>
      <c r="H76" s="88">
        <v>71</v>
      </c>
      <c r="I76" s="89" t="str">
        <f t="shared" si="6"/>
        <v/>
      </c>
      <c r="J76" s="89" t="e">
        <f t="shared" si="7"/>
        <v>#NUM!</v>
      </c>
      <c r="K76" s="88" t="e">
        <f t="shared" si="8"/>
        <v>#NUM!</v>
      </c>
      <c r="L76" s="88"/>
      <c r="M76" s="90">
        <f t="shared" si="9"/>
        <v>0</v>
      </c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</row>
    <row r="77" spans="1:38" s="74" customFormat="1" x14ac:dyDescent="0.25">
      <c r="A77" s="106"/>
      <c r="B77" s="105"/>
      <c r="C77" s="105"/>
      <c r="D77" s="105"/>
      <c r="E77" s="105"/>
      <c r="F77" s="105"/>
      <c r="H77" s="88">
        <v>72</v>
      </c>
      <c r="I77" s="89" t="str">
        <f t="shared" si="6"/>
        <v/>
      </c>
      <c r="J77" s="89" t="e">
        <f t="shared" si="7"/>
        <v>#NUM!</v>
      </c>
      <c r="K77" s="88" t="e">
        <f t="shared" si="8"/>
        <v>#NUM!</v>
      </c>
      <c r="L77" s="88"/>
      <c r="M77" s="90">
        <f t="shared" si="9"/>
        <v>0</v>
      </c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</row>
    <row r="78" spans="1:38" s="74" customFormat="1" x14ac:dyDescent="0.25">
      <c r="A78" s="106"/>
      <c r="B78" s="105"/>
      <c r="C78" s="105"/>
      <c r="D78" s="105"/>
      <c r="E78" s="105"/>
      <c r="F78" s="105"/>
      <c r="H78" s="88">
        <v>73</v>
      </c>
      <c r="I78" s="89" t="str">
        <f t="shared" si="6"/>
        <v/>
      </c>
      <c r="J78" s="89" t="e">
        <f t="shared" si="7"/>
        <v>#NUM!</v>
      </c>
      <c r="K78" s="88" t="e">
        <f t="shared" si="8"/>
        <v>#NUM!</v>
      </c>
      <c r="L78" s="88"/>
      <c r="M78" s="90">
        <f t="shared" si="9"/>
        <v>0</v>
      </c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</row>
    <row r="79" spans="1:38" s="74" customFormat="1" x14ac:dyDescent="0.25">
      <c r="A79" s="106"/>
      <c r="B79" s="105"/>
      <c r="C79" s="105"/>
      <c r="D79" s="105"/>
      <c r="E79" s="105"/>
      <c r="F79" s="105"/>
      <c r="H79" s="88">
        <v>74</v>
      </c>
      <c r="I79" s="89" t="str">
        <f t="shared" si="6"/>
        <v/>
      </c>
      <c r="J79" s="89" t="e">
        <f t="shared" si="7"/>
        <v>#NUM!</v>
      </c>
      <c r="K79" s="88" t="e">
        <f t="shared" si="8"/>
        <v>#NUM!</v>
      </c>
      <c r="L79" s="88"/>
      <c r="M79" s="90">
        <f t="shared" si="9"/>
        <v>0</v>
      </c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</row>
    <row r="80" spans="1:38" s="74" customFormat="1" x14ac:dyDescent="0.25">
      <c r="A80" s="106"/>
      <c r="B80" s="105"/>
      <c r="C80" s="105"/>
      <c r="D80" s="105"/>
      <c r="E80" s="105"/>
      <c r="F80" s="105"/>
      <c r="H80" s="88">
        <v>75</v>
      </c>
      <c r="I80" s="89" t="str">
        <f t="shared" si="6"/>
        <v/>
      </c>
      <c r="J80" s="89" t="e">
        <f t="shared" si="7"/>
        <v>#NUM!</v>
      </c>
      <c r="K80" s="88" t="e">
        <f t="shared" si="8"/>
        <v>#NUM!</v>
      </c>
      <c r="L80" s="88"/>
      <c r="M80" s="90">
        <f t="shared" si="9"/>
        <v>0</v>
      </c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</row>
    <row r="81" spans="1:38" s="74" customFormat="1" x14ac:dyDescent="0.25">
      <c r="A81" s="106"/>
      <c r="B81" s="105"/>
      <c r="C81" s="105"/>
      <c r="D81" s="105"/>
      <c r="E81" s="105"/>
      <c r="F81" s="105"/>
      <c r="H81" s="88">
        <v>76</v>
      </c>
      <c r="I81" s="89" t="str">
        <f t="shared" si="6"/>
        <v/>
      </c>
      <c r="J81" s="89" t="e">
        <f t="shared" si="7"/>
        <v>#NUM!</v>
      </c>
      <c r="K81" s="88" t="e">
        <f t="shared" si="8"/>
        <v>#NUM!</v>
      </c>
      <c r="L81" s="88"/>
      <c r="M81" s="90">
        <f t="shared" si="9"/>
        <v>0</v>
      </c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</row>
    <row r="82" spans="1:38" s="74" customFormat="1" x14ac:dyDescent="0.25">
      <c r="A82" s="106"/>
      <c r="B82" s="105"/>
      <c r="C82" s="105"/>
      <c r="D82" s="105"/>
      <c r="E82" s="105"/>
      <c r="F82" s="105"/>
      <c r="H82" s="88">
        <v>77</v>
      </c>
      <c r="I82" s="89" t="str">
        <f t="shared" si="6"/>
        <v/>
      </c>
      <c r="J82" s="89" t="e">
        <f t="shared" si="7"/>
        <v>#NUM!</v>
      </c>
      <c r="K82" s="88" t="e">
        <f t="shared" si="8"/>
        <v>#NUM!</v>
      </c>
      <c r="L82" s="88"/>
      <c r="M82" s="90">
        <f t="shared" si="9"/>
        <v>0</v>
      </c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</row>
    <row r="83" spans="1:38" s="74" customFormat="1" x14ac:dyDescent="0.25">
      <c r="A83" s="106"/>
      <c r="B83" s="105"/>
      <c r="C83" s="105"/>
      <c r="D83" s="105"/>
      <c r="E83" s="105"/>
      <c r="F83" s="105"/>
      <c r="H83" s="88">
        <v>78</v>
      </c>
      <c r="I83" s="89" t="str">
        <f t="shared" si="6"/>
        <v/>
      </c>
      <c r="J83" s="89" t="e">
        <f t="shared" si="7"/>
        <v>#NUM!</v>
      </c>
      <c r="K83" s="88" t="e">
        <f t="shared" si="8"/>
        <v>#NUM!</v>
      </c>
      <c r="L83" s="88"/>
      <c r="M83" s="90">
        <f t="shared" si="9"/>
        <v>0</v>
      </c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</row>
    <row r="84" spans="1:38" s="74" customFormat="1" x14ac:dyDescent="0.25">
      <c r="A84" s="106"/>
      <c r="B84" s="105"/>
      <c r="C84" s="105"/>
      <c r="D84" s="105"/>
      <c r="E84" s="105"/>
      <c r="F84" s="105"/>
      <c r="H84" s="88">
        <v>79</v>
      </c>
      <c r="I84" s="89" t="str">
        <f t="shared" si="6"/>
        <v/>
      </c>
      <c r="J84" s="89" t="e">
        <f t="shared" si="7"/>
        <v>#NUM!</v>
      </c>
      <c r="K84" s="88" t="e">
        <f t="shared" si="8"/>
        <v>#NUM!</v>
      </c>
      <c r="L84" s="88"/>
      <c r="M84" s="90">
        <f t="shared" si="9"/>
        <v>0</v>
      </c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</row>
    <row r="85" spans="1:38" s="74" customFormat="1" x14ac:dyDescent="0.25">
      <c r="A85" s="106"/>
      <c r="B85" s="105"/>
      <c r="C85" s="105"/>
      <c r="D85" s="105"/>
      <c r="E85" s="105"/>
      <c r="F85" s="105"/>
      <c r="H85" s="88">
        <v>80</v>
      </c>
      <c r="I85" s="89" t="str">
        <f t="shared" si="6"/>
        <v/>
      </c>
      <c r="J85" s="89" t="e">
        <f t="shared" si="7"/>
        <v>#NUM!</v>
      </c>
      <c r="K85" s="88" t="e">
        <f t="shared" si="8"/>
        <v>#NUM!</v>
      </c>
      <c r="L85" s="88"/>
      <c r="M85" s="90">
        <f t="shared" si="9"/>
        <v>0</v>
      </c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</row>
    <row r="86" spans="1:38" s="74" customFormat="1" x14ac:dyDescent="0.25">
      <c r="A86" s="106"/>
      <c r="B86" s="105"/>
      <c r="C86" s="105"/>
      <c r="D86" s="105"/>
      <c r="E86" s="105"/>
      <c r="F86" s="105"/>
      <c r="H86" s="88">
        <v>81</v>
      </c>
      <c r="I86" s="89" t="str">
        <f t="shared" si="6"/>
        <v/>
      </c>
      <c r="J86" s="89" t="e">
        <f t="shared" si="7"/>
        <v>#NUM!</v>
      </c>
      <c r="K86" s="88" t="e">
        <f t="shared" si="8"/>
        <v>#NUM!</v>
      </c>
      <c r="L86" s="88"/>
      <c r="M86" s="90">
        <f t="shared" si="9"/>
        <v>0</v>
      </c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</row>
    <row r="87" spans="1:38" s="74" customFormat="1" x14ac:dyDescent="0.25">
      <c r="A87" s="106"/>
      <c r="B87" s="105"/>
      <c r="C87" s="105"/>
      <c r="D87" s="105"/>
      <c r="E87" s="105"/>
      <c r="F87" s="105"/>
      <c r="H87" s="88">
        <v>82</v>
      </c>
      <c r="I87" s="89" t="str">
        <f t="shared" si="6"/>
        <v/>
      </c>
      <c r="J87" s="89" t="e">
        <f t="shared" si="7"/>
        <v>#NUM!</v>
      </c>
      <c r="K87" s="88" t="e">
        <f t="shared" si="8"/>
        <v>#NUM!</v>
      </c>
      <c r="L87" s="88"/>
      <c r="M87" s="90">
        <f t="shared" si="9"/>
        <v>0</v>
      </c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</row>
    <row r="88" spans="1:38" s="74" customFormat="1" x14ac:dyDescent="0.25">
      <c r="A88" s="106"/>
      <c r="B88" s="105"/>
      <c r="C88" s="105"/>
      <c r="D88" s="105"/>
      <c r="E88" s="105"/>
      <c r="F88" s="105"/>
      <c r="H88" s="88">
        <v>83</v>
      </c>
      <c r="I88" s="89" t="str">
        <f t="shared" si="6"/>
        <v/>
      </c>
      <c r="J88" s="89" t="e">
        <f t="shared" si="7"/>
        <v>#NUM!</v>
      </c>
      <c r="K88" s="88" t="e">
        <f t="shared" si="8"/>
        <v>#NUM!</v>
      </c>
      <c r="L88" s="88"/>
      <c r="M88" s="90">
        <f t="shared" si="9"/>
        <v>0</v>
      </c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</row>
    <row r="89" spans="1:38" s="74" customFormat="1" x14ac:dyDescent="0.25">
      <c r="A89" s="106"/>
      <c r="B89" s="105"/>
      <c r="C89" s="105"/>
      <c r="D89" s="105"/>
      <c r="E89" s="105"/>
      <c r="F89" s="105"/>
      <c r="H89" s="88">
        <v>84</v>
      </c>
      <c r="I89" s="89" t="str">
        <f t="shared" si="6"/>
        <v/>
      </c>
      <c r="J89" s="89" t="e">
        <f t="shared" si="7"/>
        <v>#NUM!</v>
      </c>
      <c r="K89" s="88" t="e">
        <f t="shared" si="8"/>
        <v>#NUM!</v>
      </c>
      <c r="L89" s="88"/>
      <c r="M89" s="90">
        <f t="shared" si="9"/>
        <v>0</v>
      </c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</row>
    <row r="90" spans="1:38" s="74" customFormat="1" x14ac:dyDescent="0.25">
      <c r="A90" s="106"/>
      <c r="B90" s="105"/>
      <c r="C90" s="105"/>
      <c r="D90" s="105"/>
      <c r="E90" s="105"/>
      <c r="F90" s="105"/>
      <c r="H90" s="88">
        <v>85</v>
      </c>
      <c r="I90" s="89" t="str">
        <f t="shared" si="6"/>
        <v/>
      </c>
      <c r="J90" s="89" t="e">
        <f t="shared" si="7"/>
        <v>#NUM!</v>
      </c>
      <c r="K90" s="88" t="e">
        <f t="shared" si="8"/>
        <v>#NUM!</v>
      </c>
      <c r="L90" s="88"/>
      <c r="M90" s="90">
        <f t="shared" si="9"/>
        <v>0</v>
      </c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</row>
    <row r="91" spans="1:38" s="74" customFormat="1" x14ac:dyDescent="0.25">
      <c r="A91" s="106"/>
      <c r="B91" s="105"/>
      <c r="C91" s="105"/>
      <c r="D91" s="105"/>
      <c r="E91" s="105"/>
      <c r="F91" s="105"/>
      <c r="H91" s="88">
        <v>86</v>
      </c>
      <c r="I91" s="89" t="str">
        <f t="shared" si="6"/>
        <v/>
      </c>
      <c r="J91" s="89" t="e">
        <f t="shared" si="7"/>
        <v>#NUM!</v>
      </c>
      <c r="K91" s="88" t="e">
        <f t="shared" si="8"/>
        <v>#NUM!</v>
      </c>
      <c r="L91" s="88"/>
      <c r="M91" s="90">
        <f t="shared" si="9"/>
        <v>0</v>
      </c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</row>
    <row r="92" spans="1:38" s="74" customFormat="1" x14ac:dyDescent="0.25">
      <c r="A92" s="106"/>
      <c r="B92" s="105"/>
      <c r="C92" s="105"/>
      <c r="D92" s="105"/>
      <c r="E92" s="105"/>
      <c r="F92" s="105"/>
      <c r="H92" s="88">
        <v>87</v>
      </c>
      <c r="I92" s="89" t="str">
        <f t="shared" si="6"/>
        <v/>
      </c>
      <c r="J92" s="89" t="e">
        <f t="shared" si="7"/>
        <v>#NUM!</v>
      </c>
      <c r="K92" s="88" t="e">
        <f t="shared" si="8"/>
        <v>#NUM!</v>
      </c>
      <c r="L92" s="88"/>
      <c r="M92" s="90">
        <f t="shared" si="9"/>
        <v>0</v>
      </c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</row>
    <row r="93" spans="1:38" s="74" customFormat="1" x14ac:dyDescent="0.25">
      <c r="A93" s="106"/>
      <c r="B93" s="105"/>
      <c r="C93" s="105"/>
      <c r="D93" s="105"/>
      <c r="E93" s="105"/>
      <c r="F93" s="105"/>
      <c r="H93" s="88">
        <v>88</v>
      </c>
      <c r="I93" s="89" t="str">
        <f t="shared" si="6"/>
        <v/>
      </c>
      <c r="J93" s="89" t="e">
        <f t="shared" si="7"/>
        <v>#NUM!</v>
      </c>
      <c r="K93" s="88" t="e">
        <f t="shared" si="8"/>
        <v>#NUM!</v>
      </c>
      <c r="L93" s="88"/>
      <c r="M93" s="90">
        <f t="shared" si="9"/>
        <v>0</v>
      </c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</row>
    <row r="94" spans="1:38" s="74" customFormat="1" x14ac:dyDescent="0.25">
      <c r="A94" s="106"/>
      <c r="B94" s="105"/>
      <c r="C94" s="105"/>
      <c r="D94" s="105"/>
      <c r="E94" s="105"/>
      <c r="F94" s="105"/>
      <c r="H94" s="88">
        <v>89</v>
      </c>
      <c r="I94" s="89" t="str">
        <f t="shared" si="6"/>
        <v/>
      </c>
      <c r="J94" s="89" t="e">
        <f t="shared" si="7"/>
        <v>#NUM!</v>
      </c>
      <c r="K94" s="88" t="e">
        <f t="shared" si="8"/>
        <v>#NUM!</v>
      </c>
      <c r="L94" s="88"/>
      <c r="M94" s="90">
        <f t="shared" si="9"/>
        <v>0</v>
      </c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</row>
    <row r="95" spans="1:38" s="74" customFormat="1" x14ac:dyDescent="0.25">
      <c r="A95" s="106"/>
      <c r="B95" s="105"/>
      <c r="C95" s="105"/>
      <c r="D95" s="105"/>
      <c r="E95" s="105"/>
      <c r="F95" s="105"/>
      <c r="H95" s="88">
        <v>90</v>
      </c>
      <c r="I95" s="89" t="str">
        <f t="shared" si="6"/>
        <v/>
      </c>
      <c r="J95" s="89" t="e">
        <f t="shared" si="7"/>
        <v>#NUM!</v>
      </c>
      <c r="K95" s="88" t="e">
        <f t="shared" si="8"/>
        <v>#NUM!</v>
      </c>
      <c r="L95" s="88"/>
      <c r="M95" s="90">
        <f t="shared" si="9"/>
        <v>0</v>
      </c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</row>
    <row r="96" spans="1:38" s="74" customFormat="1" x14ac:dyDescent="0.25">
      <c r="A96" s="106"/>
      <c r="B96" s="105"/>
      <c r="C96" s="105"/>
      <c r="D96" s="105"/>
      <c r="E96" s="105"/>
      <c r="F96" s="105"/>
      <c r="H96" s="88">
        <v>91</v>
      </c>
      <c r="I96" s="89" t="str">
        <f t="shared" si="6"/>
        <v/>
      </c>
      <c r="J96" s="89" t="e">
        <f t="shared" si="7"/>
        <v>#NUM!</v>
      </c>
      <c r="K96" s="88" t="e">
        <f t="shared" si="8"/>
        <v>#NUM!</v>
      </c>
      <c r="L96" s="88"/>
      <c r="M96" s="90">
        <f t="shared" si="9"/>
        <v>0</v>
      </c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</row>
    <row r="97" spans="1:38" s="74" customFormat="1" x14ac:dyDescent="0.25">
      <c r="A97" s="106"/>
      <c r="B97" s="105"/>
      <c r="C97" s="105"/>
      <c r="D97" s="105"/>
      <c r="E97" s="105"/>
      <c r="F97" s="105"/>
      <c r="H97" s="88">
        <v>92</v>
      </c>
      <c r="I97" s="89" t="str">
        <f t="shared" si="6"/>
        <v/>
      </c>
      <c r="J97" s="89" t="e">
        <f t="shared" si="7"/>
        <v>#NUM!</v>
      </c>
      <c r="K97" s="88" t="e">
        <f t="shared" si="8"/>
        <v>#NUM!</v>
      </c>
      <c r="L97" s="88"/>
      <c r="M97" s="90">
        <f t="shared" si="9"/>
        <v>0</v>
      </c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</row>
    <row r="98" spans="1:38" s="74" customFormat="1" x14ac:dyDescent="0.25">
      <c r="A98" s="106"/>
      <c r="B98" s="105"/>
      <c r="C98" s="105"/>
      <c r="D98" s="105"/>
      <c r="E98" s="105"/>
      <c r="F98" s="105"/>
      <c r="H98" s="88">
        <v>93</v>
      </c>
      <c r="I98" s="89" t="str">
        <f t="shared" si="6"/>
        <v/>
      </c>
      <c r="J98" s="89" t="e">
        <f t="shared" si="7"/>
        <v>#NUM!</v>
      </c>
      <c r="K98" s="88" t="e">
        <f t="shared" si="8"/>
        <v>#NUM!</v>
      </c>
      <c r="L98" s="88"/>
      <c r="M98" s="90">
        <f t="shared" si="9"/>
        <v>0</v>
      </c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</row>
    <row r="99" spans="1:38" s="74" customFormat="1" x14ac:dyDescent="0.25">
      <c r="A99" s="106"/>
      <c r="B99" s="105"/>
      <c r="C99" s="105"/>
      <c r="D99" s="105"/>
      <c r="E99" s="105"/>
      <c r="F99" s="105"/>
      <c r="H99" s="88">
        <v>94</v>
      </c>
      <c r="I99" s="89" t="str">
        <f t="shared" si="6"/>
        <v/>
      </c>
      <c r="J99" s="89" t="e">
        <f t="shared" si="7"/>
        <v>#NUM!</v>
      </c>
      <c r="K99" s="88" t="e">
        <f t="shared" si="8"/>
        <v>#NUM!</v>
      </c>
      <c r="L99" s="88"/>
      <c r="M99" s="90">
        <f t="shared" si="9"/>
        <v>0</v>
      </c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</row>
    <row r="100" spans="1:38" s="74" customFormat="1" x14ac:dyDescent="0.25">
      <c r="A100" s="106"/>
      <c r="B100" s="105"/>
      <c r="C100" s="105"/>
      <c r="D100" s="105"/>
      <c r="E100" s="105"/>
      <c r="F100" s="105"/>
      <c r="H100" s="88">
        <v>95</v>
      </c>
      <c r="I100" s="89" t="str">
        <f t="shared" si="6"/>
        <v/>
      </c>
      <c r="J100" s="89" t="e">
        <f t="shared" si="7"/>
        <v>#NUM!</v>
      </c>
      <c r="K100" s="88" t="e">
        <f t="shared" si="8"/>
        <v>#NUM!</v>
      </c>
      <c r="L100" s="88"/>
      <c r="M100" s="90">
        <f t="shared" si="9"/>
        <v>0</v>
      </c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</row>
    <row r="101" spans="1:38" s="74" customFormat="1" x14ac:dyDescent="0.25">
      <c r="A101" s="106"/>
      <c r="B101" s="105"/>
      <c r="C101" s="105"/>
      <c r="D101" s="105"/>
      <c r="E101" s="105"/>
      <c r="F101" s="105"/>
      <c r="H101" s="88">
        <v>96</v>
      </c>
      <c r="I101" s="89" t="str">
        <f t="shared" si="6"/>
        <v/>
      </c>
      <c r="J101" s="89" t="e">
        <f t="shared" si="7"/>
        <v>#NUM!</v>
      </c>
      <c r="K101" s="88" t="e">
        <f t="shared" si="8"/>
        <v>#NUM!</v>
      </c>
      <c r="L101" s="88"/>
      <c r="M101" s="90">
        <f t="shared" si="9"/>
        <v>0</v>
      </c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</row>
    <row r="102" spans="1:38" s="74" customFormat="1" x14ac:dyDescent="0.25">
      <c r="A102" s="106"/>
      <c r="B102" s="105"/>
      <c r="C102" s="105"/>
      <c r="D102" s="105"/>
      <c r="E102" s="105"/>
      <c r="F102" s="105"/>
      <c r="H102" s="88">
        <v>97</v>
      </c>
      <c r="I102" s="89" t="str">
        <f t="shared" si="6"/>
        <v/>
      </c>
      <c r="J102" s="89" t="e">
        <f t="shared" si="7"/>
        <v>#NUM!</v>
      </c>
      <c r="K102" s="88" t="e">
        <f t="shared" si="8"/>
        <v>#NUM!</v>
      </c>
      <c r="L102" s="88"/>
      <c r="M102" s="90">
        <f t="shared" si="9"/>
        <v>0</v>
      </c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</row>
    <row r="103" spans="1:38" s="74" customFormat="1" x14ac:dyDescent="0.25">
      <c r="A103" s="106"/>
      <c r="B103" s="105"/>
      <c r="C103" s="105"/>
      <c r="D103" s="105"/>
      <c r="E103" s="105"/>
      <c r="F103" s="105"/>
      <c r="H103" s="88">
        <v>98</v>
      </c>
      <c r="I103" s="89" t="str">
        <f t="shared" si="6"/>
        <v/>
      </c>
      <c r="J103" s="89" t="e">
        <f t="shared" si="7"/>
        <v>#NUM!</v>
      </c>
      <c r="K103" s="88" t="e">
        <f t="shared" si="8"/>
        <v>#NUM!</v>
      </c>
      <c r="L103" s="88"/>
      <c r="M103" s="90">
        <f t="shared" si="9"/>
        <v>0</v>
      </c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</row>
    <row r="104" spans="1:38" s="74" customFormat="1" x14ac:dyDescent="0.25">
      <c r="A104" s="106"/>
      <c r="B104" s="105"/>
      <c r="C104" s="105"/>
      <c r="D104" s="105"/>
      <c r="E104" s="105"/>
      <c r="F104" s="105"/>
      <c r="H104" s="88">
        <v>99</v>
      </c>
      <c r="I104" s="89" t="str">
        <f t="shared" si="6"/>
        <v/>
      </c>
      <c r="J104" s="89" t="e">
        <f t="shared" si="7"/>
        <v>#NUM!</v>
      </c>
      <c r="K104" s="88" t="e">
        <f t="shared" si="8"/>
        <v>#NUM!</v>
      </c>
      <c r="L104" s="88"/>
      <c r="M104" s="90">
        <f t="shared" si="9"/>
        <v>0</v>
      </c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</row>
    <row r="105" spans="1:38" s="74" customFormat="1" x14ac:dyDescent="0.25">
      <c r="A105" s="106"/>
      <c r="B105" s="105"/>
      <c r="C105" s="105"/>
      <c r="D105" s="105"/>
      <c r="E105" s="105"/>
      <c r="F105" s="105"/>
      <c r="H105" s="88">
        <v>100</v>
      </c>
      <c r="I105" s="89" t="str">
        <f t="shared" si="6"/>
        <v/>
      </c>
      <c r="J105" s="89" t="e">
        <f t="shared" si="7"/>
        <v>#NUM!</v>
      </c>
      <c r="K105" s="88" t="e">
        <f t="shared" si="8"/>
        <v>#NUM!</v>
      </c>
      <c r="L105" s="88"/>
      <c r="M105" s="90">
        <f t="shared" si="9"/>
        <v>0</v>
      </c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</row>
    <row r="106" spans="1:38" s="74" customFormat="1" x14ac:dyDescent="0.25">
      <c r="A106" s="106"/>
      <c r="B106" s="105"/>
      <c r="C106" s="105"/>
      <c r="D106" s="105"/>
      <c r="E106" s="105"/>
      <c r="F106" s="105"/>
      <c r="H106" s="88">
        <v>101</v>
      </c>
      <c r="I106" s="89" t="str">
        <f t="shared" si="6"/>
        <v/>
      </c>
      <c r="J106" s="89" t="e">
        <f t="shared" si="7"/>
        <v>#NUM!</v>
      </c>
      <c r="K106" s="88" t="e">
        <f t="shared" si="8"/>
        <v>#NUM!</v>
      </c>
      <c r="L106" s="88"/>
      <c r="M106" s="90">
        <f t="shared" si="9"/>
        <v>0</v>
      </c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</row>
    <row r="107" spans="1:38" s="74" customFormat="1" x14ac:dyDescent="0.25">
      <c r="A107" s="106"/>
      <c r="B107" s="105"/>
      <c r="C107" s="105"/>
      <c r="D107" s="105"/>
      <c r="E107" s="105"/>
      <c r="F107" s="105"/>
      <c r="H107" s="88">
        <v>102</v>
      </c>
      <c r="I107" s="89" t="str">
        <f t="shared" si="6"/>
        <v/>
      </c>
      <c r="J107" s="89" t="e">
        <f t="shared" si="7"/>
        <v>#NUM!</v>
      </c>
      <c r="K107" s="88" t="e">
        <f t="shared" si="8"/>
        <v>#NUM!</v>
      </c>
      <c r="L107" s="88"/>
      <c r="M107" s="90">
        <f t="shared" si="9"/>
        <v>0</v>
      </c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</row>
    <row r="108" spans="1:38" s="74" customFormat="1" x14ac:dyDescent="0.25">
      <c r="A108" s="106"/>
      <c r="B108" s="105"/>
      <c r="C108" s="105"/>
      <c r="D108" s="105"/>
      <c r="E108" s="105"/>
      <c r="F108" s="105"/>
      <c r="H108" s="88">
        <v>103</v>
      </c>
      <c r="I108" s="89" t="str">
        <f t="shared" si="6"/>
        <v/>
      </c>
      <c r="J108" s="89" t="e">
        <f t="shared" si="7"/>
        <v>#NUM!</v>
      </c>
      <c r="K108" s="88" t="e">
        <f t="shared" si="8"/>
        <v>#NUM!</v>
      </c>
      <c r="L108" s="88"/>
      <c r="M108" s="90">
        <f t="shared" si="9"/>
        <v>0</v>
      </c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</row>
    <row r="109" spans="1:38" s="74" customFormat="1" x14ac:dyDescent="0.25">
      <c r="A109" s="106"/>
      <c r="B109" s="105"/>
      <c r="C109" s="105"/>
      <c r="D109" s="105"/>
      <c r="E109" s="105"/>
      <c r="F109" s="105"/>
      <c r="H109" s="88">
        <v>104</v>
      </c>
      <c r="I109" s="89" t="str">
        <f t="shared" si="6"/>
        <v/>
      </c>
      <c r="J109" s="89" t="e">
        <f t="shared" si="7"/>
        <v>#NUM!</v>
      </c>
      <c r="K109" s="88" t="e">
        <f t="shared" si="8"/>
        <v>#NUM!</v>
      </c>
      <c r="L109" s="88"/>
      <c r="M109" s="90">
        <f t="shared" si="9"/>
        <v>0</v>
      </c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</row>
    <row r="110" spans="1:38" s="74" customFormat="1" x14ac:dyDescent="0.25">
      <c r="A110" s="106"/>
      <c r="B110" s="105"/>
      <c r="C110" s="105"/>
      <c r="D110" s="105"/>
      <c r="E110" s="105"/>
      <c r="F110" s="105"/>
      <c r="H110" s="88">
        <v>105</v>
      </c>
      <c r="I110" s="89" t="str">
        <f t="shared" si="6"/>
        <v/>
      </c>
      <c r="J110" s="89" t="e">
        <f t="shared" si="7"/>
        <v>#NUM!</v>
      </c>
      <c r="K110" s="88" t="e">
        <f t="shared" si="8"/>
        <v>#NUM!</v>
      </c>
      <c r="L110" s="88"/>
      <c r="M110" s="90">
        <f t="shared" si="9"/>
        <v>0</v>
      </c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</row>
    <row r="111" spans="1:38" s="74" customFormat="1" x14ac:dyDescent="0.25">
      <c r="A111" s="106"/>
      <c r="B111" s="105"/>
      <c r="C111" s="105"/>
      <c r="D111" s="105"/>
      <c r="E111" s="105"/>
      <c r="F111" s="105"/>
      <c r="H111" s="88">
        <v>106</v>
      </c>
      <c r="I111" s="89" t="str">
        <f t="shared" si="6"/>
        <v/>
      </c>
      <c r="J111" s="89" t="e">
        <f t="shared" si="7"/>
        <v>#NUM!</v>
      </c>
      <c r="K111" s="88" t="e">
        <f t="shared" si="8"/>
        <v>#NUM!</v>
      </c>
      <c r="L111" s="88"/>
      <c r="M111" s="90">
        <f t="shared" si="9"/>
        <v>0</v>
      </c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</row>
    <row r="112" spans="1:38" s="74" customFormat="1" x14ac:dyDescent="0.25">
      <c r="A112" s="106"/>
      <c r="B112" s="105"/>
      <c r="C112" s="105"/>
      <c r="D112" s="105"/>
      <c r="E112" s="105"/>
      <c r="F112" s="105"/>
      <c r="H112" s="88">
        <v>107</v>
      </c>
      <c r="I112" s="89" t="str">
        <f t="shared" si="6"/>
        <v/>
      </c>
      <c r="J112" s="89" t="e">
        <f t="shared" si="7"/>
        <v>#NUM!</v>
      </c>
      <c r="K112" s="88" t="e">
        <f t="shared" si="8"/>
        <v>#NUM!</v>
      </c>
      <c r="L112" s="88"/>
      <c r="M112" s="90">
        <f t="shared" si="9"/>
        <v>0</v>
      </c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</row>
    <row r="113" spans="1:38" s="74" customFormat="1" x14ac:dyDescent="0.25">
      <c r="A113" s="106"/>
      <c r="B113" s="105"/>
      <c r="C113" s="105"/>
      <c r="D113" s="105"/>
      <c r="E113" s="105"/>
      <c r="F113" s="105"/>
      <c r="H113" s="88">
        <v>108</v>
      </c>
      <c r="I113" s="89" t="str">
        <f t="shared" si="6"/>
        <v/>
      </c>
      <c r="J113" s="89" t="e">
        <f t="shared" si="7"/>
        <v>#NUM!</v>
      </c>
      <c r="K113" s="88" t="e">
        <f t="shared" si="8"/>
        <v>#NUM!</v>
      </c>
      <c r="L113" s="88"/>
      <c r="M113" s="90">
        <f t="shared" si="9"/>
        <v>0</v>
      </c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</row>
    <row r="114" spans="1:38" s="74" customFormat="1" x14ac:dyDescent="0.25">
      <c r="A114" s="106"/>
      <c r="B114" s="105"/>
      <c r="C114" s="105"/>
      <c r="D114" s="105"/>
      <c r="E114" s="105"/>
      <c r="F114" s="105"/>
      <c r="H114" s="88">
        <v>109</v>
      </c>
      <c r="I114" s="89" t="str">
        <f t="shared" si="6"/>
        <v/>
      </c>
      <c r="J114" s="89" t="e">
        <f t="shared" si="7"/>
        <v>#NUM!</v>
      </c>
      <c r="K114" s="88" t="e">
        <f t="shared" si="8"/>
        <v>#NUM!</v>
      </c>
      <c r="L114" s="88"/>
      <c r="M114" s="90">
        <f t="shared" si="9"/>
        <v>0</v>
      </c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</row>
    <row r="115" spans="1:38" s="74" customFormat="1" x14ac:dyDescent="0.25">
      <c r="A115" s="106"/>
      <c r="B115" s="105"/>
      <c r="C115" s="105"/>
      <c r="D115" s="105"/>
      <c r="E115" s="105"/>
      <c r="F115" s="105"/>
      <c r="H115" s="88">
        <v>110</v>
      </c>
      <c r="I115" s="89" t="str">
        <f t="shared" si="6"/>
        <v/>
      </c>
      <c r="J115" s="89" t="e">
        <f t="shared" si="7"/>
        <v>#NUM!</v>
      </c>
      <c r="K115" s="88" t="e">
        <f t="shared" si="8"/>
        <v>#NUM!</v>
      </c>
      <c r="L115" s="88"/>
      <c r="M115" s="90">
        <f t="shared" si="9"/>
        <v>0</v>
      </c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</row>
    <row r="116" spans="1:38" s="74" customFormat="1" x14ac:dyDescent="0.25">
      <c r="A116" s="106"/>
      <c r="B116" s="105"/>
      <c r="C116" s="105"/>
      <c r="D116" s="105"/>
      <c r="E116" s="105"/>
      <c r="F116" s="105"/>
      <c r="H116" s="88">
        <v>111</v>
      </c>
      <c r="I116" s="89" t="str">
        <f t="shared" si="6"/>
        <v/>
      </c>
      <c r="J116" s="89" t="e">
        <f t="shared" si="7"/>
        <v>#NUM!</v>
      </c>
      <c r="K116" s="88" t="e">
        <f t="shared" si="8"/>
        <v>#NUM!</v>
      </c>
      <c r="L116" s="88"/>
      <c r="M116" s="90">
        <f t="shared" si="9"/>
        <v>0</v>
      </c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</row>
    <row r="117" spans="1:38" s="74" customFormat="1" x14ac:dyDescent="0.25">
      <c r="A117" s="106"/>
      <c r="B117" s="105"/>
      <c r="C117" s="105"/>
      <c r="D117" s="105"/>
      <c r="E117" s="105"/>
      <c r="F117" s="105"/>
      <c r="H117" s="88">
        <v>112</v>
      </c>
      <c r="I117" s="89" t="str">
        <f t="shared" si="6"/>
        <v/>
      </c>
      <c r="J117" s="89" t="e">
        <f t="shared" si="7"/>
        <v>#NUM!</v>
      </c>
      <c r="K117" s="88" t="e">
        <f t="shared" si="8"/>
        <v>#NUM!</v>
      </c>
      <c r="L117" s="88"/>
      <c r="M117" s="90">
        <f t="shared" si="9"/>
        <v>0</v>
      </c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</row>
    <row r="118" spans="1:38" s="74" customFormat="1" x14ac:dyDescent="0.25">
      <c r="A118" s="106"/>
      <c r="B118" s="105"/>
      <c r="C118" s="105"/>
      <c r="D118" s="105"/>
      <c r="E118" s="105"/>
      <c r="F118" s="105"/>
      <c r="H118" s="88">
        <v>113</v>
      </c>
      <c r="I118" s="89" t="str">
        <f t="shared" si="6"/>
        <v/>
      </c>
      <c r="J118" s="89" t="e">
        <f t="shared" si="7"/>
        <v>#NUM!</v>
      </c>
      <c r="K118" s="88" t="e">
        <f t="shared" si="8"/>
        <v>#NUM!</v>
      </c>
      <c r="L118" s="88"/>
      <c r="M118" s="90">
        <f t="shared" si="9"/>
        <v>0</v>
      </c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</row>
    <row r="119" spans="1:38" s="74" customFormat="1" x14ac:dyDescent="0.25">
      <c r="A119" s="106"/>
      <c r="B119" s="105"/>
      <c r="C119" s="105"/>
      <c r="D119" s="105"/>
      <c r="E119" s="105"/>
      <c r="F119" s="105"/>
      <c r="H119" s="88">
        <v>114</v>
      </c>
      <c r="I119" s="89" t="str">
        <f t="shared" si="6"/>
        <v/>
      </c>
      <c r="J119" s="89" t="e">
        <f t="shared" si="7"/>
        <v>#NUM!</v>
      </c>
      <c r="K119" s="88" t="e">
        <f t="shared" si="8"/>
        <v>#NUM!</v>
      </c>
      <c r="L119" s="88"/>
      <c r="M119" s="90">
        <f t="shared" si="9"/>
        <v>0</v>
      </c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</row>
    <row r="120" spans="1:38" s="74" customFormat="1" x14ac:dyDescent="0.25">
      <c r="A120" s="106"/>
      <c r="B120" s="105"/>
      <c r="C120" s="105"/>
      <c r="D120" s="105"/>
      <c r="E120" s="105"/>
      <c r="F120" s="105"/>
      <c r="H120" s="88">
        <v>115</v>
      </c>
      <c r="I120" s="89" t="str">
        <f t="shared" si="6"/>
        <v/>
      </c>
      <c r="J120" s="89" t="e">
        <f t="shared" si="7"/>
        <v>#NUM!</v>
      </c>
      <c r="K120" s="88" t="e">
        <f t="shared" si="8"/>
        <v>#NUM!</v>
      </c>
      <c r="L120" s="88"/>
      <c r="M120" s="90">
        <f t="shared" si="9"/>
        <v>0</v>
      </c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</row>
    <row r="121" spans="1:38" s="74" customFormat="1" x14ac:dyDescent="0.25">
      <c r="A121" s="106"/>
      <c r="B121" s="105"/>
      <c r="C121" s="105"/>
      <c r="D121" s="105"/>
      <c r="E121" s="105"/>
      <c r="F121" s="105"/>
      <c r="H121" s="88">
        <v>116</v>
      </c>
      <c r="I121" s="89" t="str">
        <f t="shared" si="6"/>
        <v/>
      </c>
      <c r="J121" s="89" t="e">
        <f t="shared" si="7"/>
        <v>#NUM!</v>
      </c>
      <c r="K121" s="88" t="e">
        <f t="shared" si="8"/>
        <v>#NUM!</v>
      </c>
      <c r="L121" s="88"/>
      <c r="M121" s="90">
        <f t="shared" si="9"/>
        <v>0</v>
      </c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</row>
    <row r="122" spans="1:38" s="74" customFormat="1" x14ac:dyDescent="0.25">
      <c r="A122" s="106"/>
      <c r="B122" s="105"/>
      <c r="C122" s="105"/>
      <c r="D122" s="105"/>
      <c r="E122" s="105"/>
      <c r="F122" s="105"/>
      <c r="H122" s="88">
        <v>117</v>
      </c>
      <c r="I122" s="89" t="str">
        <f t="shared" si="6"/>
        <v/>
      </c>
      <c r="J122" s="89" t="e">
        <f t="shared" si="7"/>
        <v>#NUM!</v>
      </c>
      <c r="K122" s="88" t="e">
        <f t="shared" si="8"/>
        <v>#NUM!</v>
      </c>
      <c r="L122" s="88"/>
      <c r="M122" s="90">
        <f t="shared" si="9"/>
        <v>0</v>
      </c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</row>
    <row r="123" spans="1:38" s="74" customFormat="1" x14ac:dyDescent="0.25">
      <c r="A123" s="106"/>
      <c r="B123" s="105"/>
      <c r="C123" s="105"/>
      <c r="D123" s="105"/>
      <c r="E123" s="105"/>
      <c r="F123" s="105"/>
      <c r="H123" s="88">
        <v>118</v>
      </c>
      <c r="I123" s="89" t="str">
        <f t="shared" si="6"/>
        <v/>
      </c>
      <c r="J123" s="89" t="e">
        <f t="shared" si="7"/>
        <v>#NUM!</v>
      </c>
      <c r="K123" s="88" t="e">
        <f t="shared" si="8"/>
        <v>#NUM!</v>
      </c>
      <c r="L123" s="88"/>
      <c r="M123" s="90">
        <f t="shared" si="9"/>
        <v>0</v>
      </c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</row>
    <row r="124" spans="1:38" s="74" customFormat="1" x14ac:dyDescent="0.25">
      <c r="A124" s="106"/>
      <c r="B124" s="105"/>
      <c r="C124" s="105"/>
      <c r="D124" s="105"/>
      <c r="E124" s="105"/>
      <c r="F124" s="105"/>
      <c r="H124" s="88">
        <v>119</v>
      </c>
      <c r="I124" s="89" t="str">
        <f t="shared" si="6"/>
        <v/>
      </c>
      <c r="J124" s="89" t="e">
        <f t="shared" si="7"/>
        <v>#NUM!</v>
      </c>
      <c r="K124" s="88" t="e">
        <f t="shared" si="8"/>
        <v>#NUM!</v>
      </c>
      <c r="L124" s="88"/>
      <c r="M124" s="90">
        <f t="shared" si="9"/>
        <v>0</v>
      </c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</row>
    <row r="125" spans="1:38" s="74" customFormat="1" x14ac:dyDescent="0.25">
      <c r="A125" s="106"/>
      <c r="B125" s="105"/>
      <c r="C125" s="105"/>
      <c r="D125" s="105"/>
      <c r="E125" s="105"/>
      <c r="F125" s="105"/>
      <c r="H125" s="88">
        <v>120</v>
      </c>
      <c r="I125" s="89" t="str">
        <f t="shared" si="6"/>
        <v/>
      </c>
      <c r="J125" s="89" t="e">
        <f t="shared" si="7"/>
        <v>#NUM!</v>
      </c>
      <c r="K125" s="88" t="e">
        <f t="shared" si="8"/>
        <v>#NUM!</v>
      </c>
      <c r="L125" s="88"/>
      <c r="M125" s="90">
        <f t="shared" si="9"/>
        <v>0</v>
      </c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</row>
    <row r="126" spans="1:38" s="74" customFormat="1" x14ac:dyDescent="0.25">
      <c r="A126" s="106"/>
      <c r="B126" s="105"/>
      <c r="C126" s="105"/>
      <c r="D126" s="105"/>
      <c r="E126" s="105"/>
      <c r="F126" s="105"/>
      <c r="H126" s="88">
        <v>121</v>
      </c>
      <c r="I126" s="89" t="str">
        <f t="shared" si="6"/>
        <v/>
      </c>
      <c r="J126" s="89" t="e">
        <f t="shared" si="7"/>
        <v>#NUM!</v>
      </c>
      <c r="K126" s="88" t="e">
        <f t="shared" si="8"/>
        <v>#NUM!</v>
      </c>
      <c r="L126" s="88"/>
      <c r="M126" s="90">
        <f t="shared" si="9"/>
        <v>0</v>
      </c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</row>
    <row r="127" spans="1:38" s="74" customFormat="1" x14ac:dyDescent="0.25">
      <c r="A127" s="106"/>
      <c r="B127" s="105"/>
      <c r="C127" s="105"/>
      <c r="D127" s="105"/>
      <c r="E127" s="105"/>
      <c r="F127" s="105"/>
      <c r="H127" s="88">
        <v>122</v>
      </c>
      <c r="I127" s="89" t="str">
        <f t="shared" si="6"/>
        <v/>
      </c>
      <c r="J127" s="89" t="e">
        <f t="shared" si="7"/>
        <v>#NUM!</v>
      </c>
      <c r="K127" s="88" t="e">
        <f t="shared" si="8"/>
        <v>#NUM!</v>
      </c>
      <c r="L127" s="88"/>
      <c r="M127" s="90">
        <f t="shared" si="9"/>
        <v>0</v>
      </c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</row>
    <row r="128" spans="1:38" s="74" customFormat="1" x14ac:dyDescent="0.25">
      <c r="A128" s="106"/>
      <c r="B128" s="105"/>
      <c r="C128" s="105"/>
      <c r="D128" s="105"/>
      <c r="E128" s="105"/>
      <c r="F128" s="105"/>
      <c r="H128" s="88">
        <v>123</v>
      </c>
      <c r="I128" s="89" t="str">
        <f t="shared" si="6"/>
        <v/>
      </c>
      <c r="J128" s="89" t="e">
        <f t="shared" si="7"/>
        <v>#NUM!</v>
      </c>
      <c r="K128" s="88" t="e">
        <f t="shared" si="8"/>
        <v>#NUM!</v>
      </c>
      <c r="L128" s="88"/>
      <c r="M128" s="90">
        <f t="shared" si="9"/>
        <v>0</v>
      </c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</row>
    <row r="129" spans="1:38" s="74" customFormat="1" x14ac:dyDescent="0.25">
      <c r="A129" s="106"/>
      <c r="B129" s="105"/>
      <c r="C129" s="105"/>
      <c r="D129" s="105"/>
      <c r="E129" s="105"/>
      <c r="F129" s="105"/>
      <c r="H129" s="88">
        <v>124</v>
      </c>
      <c r="I129" s="89" t="str">
        <f t="shared" si="6"/>
        <v/>
      </c>
      <c r="J129" s="89" t="e">
        <f t="shared" si="7"/>
        <v>#NUM!</v>
      </c>
      <c r="K129" s="88" t="e">
        <f t="shared" si="8"/>
        <v>#NUM!</v>
      </c>
      <c r="L129" s="88"/>
      <c r="M129" s="90">
        <f t="shared" si="9"/>
        <v>0</v>
      </c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</row>
    <row r="130" spans="1:38" s="74" customFormat="1" x14ac:dyDescent="0.25">
      <c r="A130" s="106"/>
      <c r="B130" s="105"/>
      <c r="C130" s="105"/>
      <c r="D130" s="105"/>
      <c r="E130" s="105"/>
      <c r="F130" s="105"/>
      <c r="H130" s="88">
        <v>125</v>
      </c>
      <c r="I130" s="89" t="str">
        <f t="shared" si="6"/>
        <v/>
      </c>
      <c r="J130" s="89" t="e">
        <f t="shared" si="7"/>
        <v>#NUM!</v>
      </c>
      <c r="K130" s="88" t="e">
        <f t="shared" si="8"/>
        <v>#NUM!</v>
      </c>
      <c r="L130" s="88"/>
      <c r="M130" s="90">
        <f t="shared" si="9"/>
        <v>0</v>
      </c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</row>
    <row r="131" spans="1:38" s="74" customFormat="1" x14ac:dyDescent="0.25">
      <c r="A131" s="106"/>
      <c r="B131" s="105"/>
      <c r="C131" s="105"/>
      <c r="D131" s="105"/>
      <c r="E131" s="105"/>
      <c r="F131" s="105"/>
      <c r="H131" s="88">
        <v>126</v>
      </c>
      <c r="I131" s="89" t="str">
        <f t="shared" si="6"/>
        <v/>
      </c>
      <c r="J131" s="89" t="e">
        <f t="shared" si="7"/>
        <v>#NUM!</v>
      </c>
      <c r="K131" s="88" t="e">
        <f t="shared" si="8"/>
        <v>#NUM!</v>
      </c>
      <c r="L131" s="88"/>
      <c r="M131" s="90">
        <f t="shared" si="9"/>
        <v>0</v>
      </c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</row>
    <row r="132" spans="1:38" s="74" customFormat="1" x14ac:dyDescent="0.25">
      <c r="A132" s="106"/>
      <c r="B132" s="105"/>
      <c r="C132" s="105"/>
      <c r="D132" s="105"/>
      <c r="E132" s="105"/>
      <c r="F132" s="105"/>
      <c r="H132" s="88">
        <v>127</v>
      </c>
      <c r="I132" s="89" t="str">
        <f t="shared" si="6"/>
        <v/>
      </c>
      <c r="J132" s="89" t="e">
        <f t="shared" si="7"/>
        <v>#NUM!</v>
      </c>
      <c r="K132" s="88" t="e">
        <f t="shared" si="8"/>
        <v>#NUM!</v>
      </c>
      <c r="L132" s="88"/>
      <c r="M132" s="90">
        <f t="shared" si="9"/>
        <v>0</v>
      </c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</row>
    <row r="133" spans="1:38" s="74" customFormat="1" x14ac:dyDescent="0.25">
      <c r="A133" s="106"/>
      <c r="B133" s="105"/>
      <c r="C133" s="105"/>
      <c r="D133" s="105"/>
      <c r="E133" s="105"/>
      <c r="F133" s="105"/>
      <c r="H133" s="88">
        <v>128</v>
      </c>
      <c r="I133" s="89" t="str">
        <f t="shared" si="6"/>
        <v/>
      </c>
      <c r="J133" s="89" t="e">
        <f t="shared" si="7"/>
        <v>#NUM!</v>
      </c>
      <c r="K133" s="88" t="e">
        <f t="shared" si="8"/>
        <v>#NUM!</v>
      </c>
      <c r="L133" s="88"/>
      <c r="M133" s="90">
        <f t="shared" si="9"/>
        <v>0</v>
      </c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</row>
    <row r="134" spans="1:38" s="74" customFormat="1" x14ac:dyDescent="0.25">
      <c r="A134" s="106"/>
      <c r="B134" s="105"/>
      <c r="C134" s="105"/>
      <c r="D134" s="105"/>
      <c r="E134" s="105"/>
      <c r="F134" s="105"/>
      <c r="H134" s="88">
        <v>129</v>
      </c>
      <c r="I134" s="89" t="str">
        <f t="shared" ref="I134:I197" si="10">IF(H134&lt;$H$2+1,($I$2-($I$2-1)*(LOG(H134)/LOG($H$2))),"")</f>
        <v/>
      </c>
      <c r="J134" s="89" t="e">
        <f t="shared" ref="J134:J197" si="11">INT(LOG($H$2,2))-ROUNDUP(LOG(H134,2),0)+IF(OR($H$2=1,$H$2=2,$H$2=4,$H$2=8,$H$2=16,$H$2=32,$H$2=64,$H$2=128,$H$2=256),0,1)</f>
        <v>#NUM!</v>
      </c>
      <c r="K134" s="88" t="e">
        <f t="shared" ref="K134:K197" si="12">J134*$J$2</f>
        <v>#NUM!</v>
      </c>
      <c r="L134" s="88"/>
      <c r="M134" s="90">
        <f t="shared" ref="M134:M197" si="13">IF(I134&lt;&gt;"",K134+I134+L134,0)</f>
        <v>0</v>
      </c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</row>
    <row r="135" spans="1:38" s="74" customFormat="1" x14ac:dyDescent="0.25">
      <c r="A135" s="106"/>
      <c r="B135" s="105"/>
      <c r="C135" s="105"/>
      <c r="D135" s="105"/>
      <c r="E135" s="105"/>
      <c r="F135" s="105"/>
      <c r="H135" s="88">
        <v>130</v>
      </c>
      <c r="I135" s="89" t="str">
        <f t="shared" si="10"/>
        <v/>
      </c>
      <c r="J135" s="89" t="e">
        <f t="shared" si="11"/>
        <v>#NUM!</v>
      </c>
      <c r="K135" s="88" t="e">
        <f t="shared" si="12"/>
        <v>#NUM!</v>
      </c>
      <c r="L135" s="88"/>
      <c r="M135" s="90">
        <f t="shared" si="13"/>
        <v>0</v>
      </c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</row>
    <row r="136" spans="1:38" s="74" customFormat="1" x14ac:dyDescent="0.25">
      <c r="A136" s="106"/>
      <c r="B136" s="105"/>
      <c r="C136" s="105"/>
      <c r="D136" s="105"/>
      <c r="E136" s="105"/>
      <c r="F136" s="105"/>
      <c r="H136" s="88">
        <v>131</v>
      </c>
      <c r="I136" s="89" t="str">
        <f t="shared" si="10"/>
        <v/>
      </c>
      <c r="J136" s="89" t="e">
        <f t="shared" si="11"/>
        <v>#NUM!</v>
      </c>
      <c r="K136" s="88" t="e">
        <f t="shared" si="12"/>
        <v>#NUM!</v>
      </c>
      <c r="L136" s="88"/>
      <c r="M136" s="90">
        <f t="shared" si="13"/>
        <v>0</v>
      </c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</row>
    <row r="137" spans="1:38" s="74" customFormat="1" x14ac:dyDescent="0.25">
      <c r="A137" s="106"/>
      <c r="B137" s="105"/>
      <c r="C137" s="105"/>
      <c r="D137" s="105"/>
      <c r="E137" s="105"/>
      <c r="F137" s="105"/>
      <c r="H137" s="88">
        <v>132</v>
      </c>
      <c r="I137" s="89" t="str">
        <f t="shared" si="10"/>
        <v/>
      </c>
      <c r="J137" s="89" t="e">
        <f t="shared" si="11"/>
        <v>#NUM!</v>
      </c>
      <c r="K137" s="88" t="e">
        <f t="shared" si="12"/>
        <v>#NUM!</v>
      </c>
      <c r="L137" s="88"/>
      <c r="M137" s="90">
        <f t="shared" si="13"/>
        <v>0</v>
      </c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</row>
    <row r="138" spans="1:38" s="74" customFormat="1" x14ac:dyDescent="0.25">
      <c r="A138" s="106"/>
      <c r="B138" s="105"/>
      <c r="C138" s="105"/>
      <c r="D138" s="105"/>
      <c r="E138" s="105"/>
      <c r="F138" s="105"/>
      <c r="H138" s="88">
        <v>133</v>
      </c>
      <c r="I138" s="89" t="str">
        <f t="shared" si="10"/>
        <v/>
      </c>
      <c r="J138" s="89" t="e">
        <f t="shared" si="11"/>
        <v>#NUM!</v>
      </c>
      <c r="K138" s="88" t="e">
        <f t="shared" si="12"/>
        <v>#NUM!</v>
      </c>
      <c r="L138" s="88"/>
      <c r="M138" s="90">
        <f t="shared" si="13"/>
        <v>0</v>
      </c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</row>
    <row r="139" spans="1:38" s="74" customFormat="1" x14ac:dyDescent="0.25">
      <c r="A139" s="106"/>
      <c r="B139" s="105"/>
      <c r="C139" s="105"/>
      <c r="D139" s="105"/>
      <c r="E139" s="105"/>
      <c r="F139" s="105"/>
      <c r="H139" s="88">
        <v>134</v>
      </c>
      <c r="I139" s="89" t="str">
        <f t="shared" si="10"/>
        <v/>
      </c>
      <c r="J139" s="89" t="e">
        <f t="shared" si="11"/>
        <v>#NUM!</v>
      </c>
      <c r="K139" s="88" t="e">
        <f t="shared" si="12"/>
        <v>#NUM!</v>
      </c>
      <c r="L139" s="88"/>
      <c r="M139" s="90">
        <f t="shared" si="13"/>
        <v>0</v>
      </c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</row>
    <row r="140" spans="1:38" s="74" customFormat="1" x14ac:dyDescent="0.25">
      <c r="A140" s="106"/>
      <c r="B140" s="105"/>
      <c r="C140" s="105"/>
      <c r="D140" s="105"/>
      <c r="E140" s="105"/>
      <c r="F140" s="105"/>
      <c r="H140" s="88">
        <v>135</v>
      </c>
      <c r="I140" s="89" t="str">
        <f t="shared" si="10"/>
        <v/>
      </c>
      <c r="J140" s="89" t="e">
        <f t="shared" si="11"/>
        <v>#NUM!</v>
      </c>
      <c r="K140" s="88" t="e">
        <f t="shared" si="12"/>
        <v>#NUM!</v>
      </c>
      <c r="L140" s="88"/>
      <c r="M140" s="90">
        <f t="shared" si="13"/>
        <v>0</v>
      </c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</row>
    <row r="141" spans="1:38" s="74" customFormat="1" x14ac:dyDescent="0.25">
      <c r="A141" s="106"/>
      <c r="B141" s="105"/>
      <c r="C141" s="105"/>
      <c r="D141" s="105"/>
      <c r="E141" s="105"/>
      <c r="F141" s="105"/>
      <c r="H141" s="88">
        <v>136</v>
      </c>
      <c r="I141" s="89" t="str">
        <f t="shared" si="10"/>
        <v/>
      </c>
      <c r="J141" s="89" t="e">
        <f t="shared" si="11"/>
        <v>#NUM!</v>
      </c>
      <c r="K141" s="88" t="e">
        <f t="shared" si="12"/>
        <v>#NUM!</v>
      </c>
      <c r="L141" s="88"/>
      <c r="M141" s="90">
        <f t="shared" si="13"/>
        <v>0</v>
      </c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</row>
    <row r="142" spans="1:38" s="74" customFormat="1" x14ac:dyDescent="0.25">
      <c r="A142" s="106"/>
      <c r="B142" s="105"/>
      <c r="C142" s="105"/>
      <c r="D142" s="105"/>
      <c r="E142" s="105"/>
      <c r="F142" s="105"/>
      <c r="H142" s="88">
        <v>137</v>
      </c>
      <c r="I142" s="89" t="str">
        <f t="shared" si="10"/>
        <v/>
      </c>
      <c r="J142" s="89" t="e">
        <f t="shared" si="11"/>
        <v>#NUM!</v>
      </c>
      <c r="K142" s="88" t="e">
        <f t="shared" si="12"/>
        <v>#NUM!</v>
      </c>
      <c r="L142" s="88"/>
      <c r="M142" s="90">
        <f t="shared" si="13"/>
        <v>0</v>
      </c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</row>
    <row r="143" spans="1:38" s="74" customFormat="1" x14ac:dyDescent="0.25">
      <c r="A143" s="106"/>
      <c r="B143" s="105"/>
      <c r="C143" s="105"/>
      <c r="D143" s="105"/>
      <c r="E143" s="105"/>
      <c r="F143" s="105"/>
      <c r="H143" s="88">
        <v>138</v>
      </c>
      <c r="I143" s="89" t="str">
        <f t="shared" si="10"/>
        <v/>
      </c>
      <c r="J143" s="89" t="e">
        <f t="shared" si="11"/>
        <v>#NUM!</v>
      </c>
      <c r="K143" s="88" t="e">
        <f t="shared" si="12"/>
        <v>#NUM!</v>
      </c>
      <c r="L143" s="88"/>
      <c r="M143" s="90">
        <f t="shared" si="13"/>
        <v>0</v>
      </c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</row>
    <row r="144" spans="1:38" s="74" customFormat="1" x14ac:dyDescent="0.25">
      <c r="A144" s="106"/>
      <c r="B144" s="105"/>
      <c r="C144" s="105"/>
      <c r="D144" s="105"/>
      <c r="E144" s="105"/>
      <c r="F144" s="105"/>
      <c r="H144" s="88">
        <v>139</v>
      </c>
      <c r="I144" s="89" t="str">
        <f t="shared" si="10"/>
        <v/>
      </c>
      <c r="J144" s="89" t="e">
        <f t="shared" si="11"/>
        <v>#NUM!</v>
      </c>
      <c r="K144" s="88" t="e">
        <f t="shared" si="12"/>
        <v>#NUM!</v>
      </c>
      <c r="L144" s="88"/>
      <c r="M144" s="90">
        <f t="shared" si="13"/>
        <v>0</v>
      </c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</row>
    <row r="145" spans="1:38" s="74" customFormat="1" x14ac:dyDescent="0.25">
      <c r="A145" s="106"/>
      <c r="B145" s="105"/>
      <c r="C145" s="105"/>
      <c r="D145" s="105"/>
      <c r="E145" s="105"/>
      <c r="F145" s="105"/>
      <c r="H145" s="88">
        <v>140</v>
      </c>
      <c r="I145" s="89" t="str">
        <f t="shared" si="10"/>
        <v/>
      </c>
      <c r="J145" s="89" t="e">
        <f t="shared" si="11"/>
        <v>#NUM!</v>
      </c>
      <c r="K145" s="88" t="e">
        <f t="shared" si="12"/>
        <v>#NUM!</v>
      </c>
      <c r="L145" s="88"/>
      <c r="M145" s="90">
        <f t="shared" si="13"/>
        <v>0</v>
      </c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</row>
    <row r="146" spans="1:38" s="74" customFormat="1" x14ac:dyDescent="0.25">
      <c r="A146" s="106"/>
      <c r="B146" s="105"/>
      <c r="C146" s="105"/>
      <c r="D146" s="105"/>
      <c r="E146" s="105"/>
      <c r="F146" s="105"/>
      <c r="H146" s="88">
        <v>141</v>
      </c>
      <c r="I146" s="89" t="str">
        <f t="shared" si="10"/>
        <v/>
      </c>
      <c r="J146" s="89" t="e">
        <f t="shared" si="11"/>
        <v>#NUM!</v>
      </c>
      <c r="K146" s="88" t="e">
        <f t="shared" si="12"/>
        <v>#NUM!</v>
      </c>
      <c r="L146" s="88"/>
      <c r="M146" s="90">
        <f t="shared" si="13"/>
        <v>0</v>
      </c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</row>
    <row r="147" spans="1:38" s="74" customFormat="1" x14ac:dyDescent="0.25">
      <c r="A147" s="106"/>
      <c r="B147" s="105"/>
      <c r="C147" s="105"/>
      <c r="D147" s="105"/>
      <c r="E147" s="105"/>
      <c r="F147" s="105"/>
      <c r="H147" s="88">
        <v>142</v>
      </c>
      <c r="I147" s="89" t="str">
        <f t="shared" si="10"/>
        <v/>
      </c>
      <c r="J147" s="89" t="e">
        <f t="shared" si="11"/>
        <v>#NUM!</v>
      </c>
      <c r="K147" s="88" t="e">
        <f t="shared" si="12"/>
        <v>#NUM!</v>
      </c>
      <c r="L147" s="88"/>
      <c r="M147" s="90">
        <f t="shared" si="13"/>
        <v>0</v>
      </c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</row>
    <row r="148" spans="1:38" s="74" customFormat="1" x14ac:dyDescent="0.25">
      <c r="A148" s="106"/>
      <c r="B148" s="105"/>
      <c r="C148" s="105"/>
      <c r="D148" s="105"/>
      <c r="E148" s="105"/>
      <c r="F148" s="105"/>
      <c r="H148" s="88">
        <v>143</v>
      </c>
      <c r="I148" s="89" t="str">
        <f t="shared" si="10"/>
        <v/>
      </c>
      <c r="J148" s="89" t="e">
        <f t="shared" si="11"/>
        <v>#NUM!</v>
      </c>
      <c r="K148" s="88" t="e">
        <f t="shared" si="12"/>
        <v>#NUM!</v>
      </c>
      <c r="L148" s="88"/>
      <c r="M148" s="90">
        <f t="shared" si="13"/>
        <v>0</v>
      </c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</row>
    <row r="149" spans="1:38" s="74" customFormat="1" x14ac:dyDescent="0.25">
      <c r="A149" s="106"/>
      <c r="B149" s="105"/>
      <c r="C149" s="105"/>
      <c r="D149" s="105"/>
      <c r="E149" s="105"/>
      <c r="F149" s="105"/>
      <c r="H149" s="88">
        <v>144</v>
      </c>
      <c r="I149" s="89" t="str">
        <f t="shared" si="10"/>
        <v/>
      </c>
      <c r="J149" s="89" t="e">
        <f t="shared" si="11"/>
        <v>#NUM!</v>
      </c>
      <c r="K149" s="88" t="e">
        <f t="shared" si="12"/>
        <v>#NUM!</v>
      </c>
      <c r="L149" s="88"/>
      <c r="M149" s="90">
        <f t="shared" si="13"/>
        <v>0</v>
      </c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</row>
    <row r="150" spans="1:38" s="74" customFormat="1" x14ac:dyDescent="0.25">
      <c r="A150" s="106"/>
      <c r="B150" s="105"/>
      <c r="C150" s="105"/>
      <c r="D150" s="105"/>
      <c r="E150" s="105"/>
      <c r="F150" s="105"/>
      <c r="H150" s="88">
        <v>145</v>
      </c>
      <c r="I150" s="89" t="str">
        <f t="shared" si="10"/>
        <v/>
      </c>
      <c r="J150" s="89" t="e">
        <f t="shared" si="11"/>
        <v>#NUM!</v>
      </c>
      <c r="K150" s="88" t="e">
        <f t="shared" si="12"/>
        <v>#NUM!</v>
      </c>
      <c r="L150" s="88"/>
      <c r="M150" s="90">
        <f t="shared" si="13"/>
        <v>0</v>
      </c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</row>
    <row r="151" spans="1:38" s="74" customFormat="1" x14ac:dyDescent="0.25">
      <c r="A151" s="106"/>
      <c r="B151" s="105"/>
      <c r="C151" s="105"/>
      <c r="D151" s="105"/>
      <c r="E151" s="105"/>
      <c r="F151" s="105"/>
      <c r="H151" s="88">
        <v>146</v>
      </c>
      <c r="I151" s="89" t="str">
        <f t="shared" si="10"/>
        <v/>
      </c>
      <c r="J151" s="89" t="e">
        <f t="shared" si="11"/>
        <v>#NUM!</v>
      </c>
      <c r="K151" s="88" t="e">
        <f t="shared" si="12"/>
        <v>#NUM!</v>
      </c>
      <c r="L151" s="88"/>
      <c r="M151" s="90">
        <f t="shared" si="13"/>
        <v>0</v>
      </c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</row>
    <row r="152" spans="1:38" s="74" customFormat="1" x14ac:dyDescent="0.25">
      <c r="A152" s="106"/>
      <c r="B152" s="105"/>
      <c r="C152" s="105"/>
      <c r="D152" s="105"/>
      <c r="E152" s="105"/>
      <c r="F152" s="105"/>
      <c r="H152" s="88">
        <v>147</v>
      </c>
      <c r="I152" s="89" t="str">
        <f t="shared" si="10"/>
        <v/>
      </c>
      <c r="J152" s="89" t="e">
        <f t="shared" si="11"/>
        <v>#NUM!</v>
      </c>
      <c r="K152" s="88" t="e">
        <f t="shared" si="12"/>
        <v>#NUM!</v>
      </c>
      <c r="L152" s="88"/>
      <c r="M152" s="90">
        <f t="shared" si="13"/>
        <v>0</v>
      </c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</row>
    <row r="153" spans="1:38" s="74" customFormat="1" x14ac:dyDescent="0.25">
      <c r="A153" s="106"/>
      <c r="B153" s="105"/>
      <c r="C153" s="105"/>
      <c r="D153" s="105"/>
      <c r="E153" s="105"/>
      <c r="F153" s="105"/>
      <c r="H153" s="88">
        <v>148</v>
      </c>
      <c r="I153" s="89" t="str">
        <f t="shared" si="10"/>
        <v/>
      </c>
      <c r="J153" s="89" t="e">
        <f t="shared" si="11"/>
        <v>#NUM!</v>
      </c>
      <c r="K153" s="88" t="e">
        <f t="shared" si="12"/>
        <v>#NUM!</v>
      </c>
      <c r="L153" s="88"/>
      <c r="M153" s="90">
        <f t="shared" si="13"/>
        <v>0</v>
      </c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</row>
    <row r="154" spans="1:38" s="74" customFormat="1" x14ac:dyDescent="0.25">
      <c r="A154" s="106"/>
      <c r="B154" s="105"/>
      <c r="C154" s="105"/>
      <c r="D154" s="105"/>
      <c r="E154" s="105"/>
      <c r="F154" s="105"/>
      <c r="H154" s="88">
        <v>149</v>
      </c>
      <c r="I154" s="89" t="str">
        <f t="shared" si="10"/>
        <v/>
      </c>
      <c r="J154" s="89" t="e">
        <f t="shared" si="11"/>
        <v>#NUM!</v>
      </c>
      <c r="K154" s="88" t="e">
        <f t="shared" si="12"/>
        <v>#NUM!</v>
      </c>
      <c r="L154" s="88"/>
      <c r="M154" s="90">
        <f t="shared" si="13"/>
        <v>0</v>
      </c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</row>
    <row r="155" spans="1:38" s="74" customFormat="1" x14ac:dyDescent="0.25">
      <c r="A155" s="106"/>
      <c r="B155" s="105"/>
      <c r="C155" s="105"/>
      <c r="D155" s="105"/>
      <c r="E155" s="105"/>
      <c r="F155" s="105"/>
      <c r="H155" s="88">
        <v>150</v>
      </c>
      <c r="I155" s="89" t="str">
        <f t="shared" si="10"/>
        <v/>
      </c>
      <c r="J155" s="89" t="e">
        <f t="shared" si="11"/>
        <v>#NUM!</v>
      </c>
      <c r="K155" s="88" t="e">
        <f t="shared" si="12"/>
        <v>#NUM!</v>
      </c>
      <c r="L155" s="88"/>
      <c r="M155" s="90">
        <f t="shared" si="13"/>
        <v>0</v>
      </c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</row>
    <row r="156" spans="1:38" s="74" customFormat="1" x14ac:dyDescent="0.25">
      <c r="A156" s="106"/>
      <c r="B156" s="105"/>
      <c r="C156" s="105"/>
      <c r="D156" s="105"/>
      <c r="E156" s="105"/>
      <c r="F156" s="105"/>
      <c r="H156" s="88">
        <v>151</v>
      </c>
      <c r="I156" s="89" t="str">
        <f t="shared" si="10"/>
        <v/>
      </c>
      <c r="J156" s="89" t="e">
        <f t="shared" si="11"/>
        <v>#NUM!</v>
      </c>
      <c r="K156" s="88" t="e">
        <f t="shared" si="12"/>
        <v>#NUM!</v>
      </c>
      <c r="L156" s="88"/>
      <c r="M156" s="90">
        <f t="shared" si="13"/>
        <v>0</v>
      </c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</row>
    <row r="157" spans="1:38" s="74" customFormat="1" x14ac:dyDescent="0.25">
      <c r="A157" s="106"/>
      <c r="B157" s="105"/>
      <c r="C157" s="105"/>
      <c r="D157" s="105"/>
      <c r="E157" s="105"/>
      <c r="F157" s="105"/>
      <c r="H157" s="88">
        <v>152</v>
      </c>
      <c r="I157" s="89" t="str">
        <f t="shared" si="10"/>
        <v/>
      </c>
      <c r="J157" s="89" t="e">
        <f t="shared" si="11"/>
        <v>#NUM!</v>
      </c>
      <c r="K157" s="88" t="e">
        <f t="shared" si="12"/>
        <v>#NUM!</v>
      </c>
      <c r="L157" s="88"/>
      <c r="M157" s="90">
        <f t="shared" si="13"/>
        <v>0</v>
      </c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</row>
    <row r="158" spans="1:38" s="74" customFormat="1" x14ac:dyDescent="0.25">
      <c r="A158" s="106"/>
      <c r="B158" s="105"/>
      <c r="C158" s="105"/>
      <c r="D158" s="105"/>
      <c r="E158" s="105"/>
      <c r="F158" s="105"/>
      <c r="H158" s="88">
        <v>153</v>
      </c>
      <c r="I158" s="89" t="str">
        <f t="shared" si="10"/>
        <v/>
      </c>
      <c r="J158" s="89" t="e">
        <f t="shared" si="11"/>
        <v>#NUM!</v>
      </c>
      <c r="K158" s="88" t="e">
        <f t="shared" si="12"/>
        <v>#NUM!</v>
      </c>
      <c r="L158" s="88"/>
      <c r="M158" s="90">
        <f t="shared" si="13"/>
        <v>0</v>
      </c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</row>
    <row r="159" spans="1:38" s="74" customFormat="1" x14ac:dyDescent="0.25">
      <c r="A159" s="106"/>
      <c r="B159" s="105"/>
      <c r="C159" s="105"/>
      <c r="D159" s="105"/>
      <c r="E159" s="105"/>
      <c r="F159" s="105"/>
      <c r="H159" s="88">
        <v>154</v>
      </c>
      <c r="I159" s="89" t="str">
        <f t="shared" si="10"/>
        <v/>
      </c>
      <c r="J159" s="89" t="e">
        <f t="shared" si="11"/>
        <v>#NUM!</v>
      </c>
      <c r="K159" s="88" t="e">
        <f t="shared" si="12"/>
        <v>#NUM!</v>
      </c>
      <c r="L159" s="88"/>
      <c r="M159" s="90">
        <f t="shared" si="13"/>
        <v>0</v>
      </c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</row>
    <row r="160" spans="1:38" s="74" customFormat="1" x14ac:dyDescent="0.25">
      <c r="A160" s="106"/>
      <c r="B160" s="105"/>
      <c r="C160" s="105"/>
      <c r="D160" s="105"/>
      <c r="E160" s="105"/>
      <c r="F160" s="105"/>
      <c r="H160" s="88">
        <v>155</v>
      </c>
      <c r="I160" s="89" t="str">
        <f t="shared" si="10"/>
        <v/>
      </c>
      <c r="J160" s="89" t="e">
        <f t="shared" si="11"/>
        <v>#NUM!</v>
      </c>
      <c r="K160" s="88" t="e">
        <f t="shared" si="12"/>
        <v>#NUM!</v>
      </c>
      <c r="L160" s="88"/>
      <c r="M160" s="90">
        <f t="shared" si="13"/>
        <v>0</v>
      </c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</row>
    <row r="161" spans="1:38" s="74" customFormat="1" x14ac:dyDescent="0.25">
      <c r="A161" s="106"/>
      <c r="B161" s="105"/>
      <c r="C161" s="105"/>
      <c r="D161" s="105"/>
      <c r="E161" s="105"/>
      <c r="F161" s="105"/>
      <c r="H161" s="88">
        <v>156</v>
      </c>
      <c r="I161" s="89" t="str">
        <f t="shared" si="10"/>
        <v/>
      </c>
      <c r="J161" s="89" t="e">
        <f t="shared" si="11"/>
        <v>#NUM!</v>
      </c>
      <c r="K161" s="88" t="e">
        <f t="shared" si="12"/>
        <v>#NUM!</v>
      </c>
      <c r="L161" s="88"/>
      <c r="M161" s="90">
        <f t="shared" si="13"/>
        <v>0</v>
      </c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</row>
    <row r="162" spans="1:38" s="74" customFormat="1" x14ac:dyDescent="0.25">
      <c r="A162" s="106"/>
      <c r="B162" s="105"/>
      <c r="C162" s="105"/>
      <c r="D162" s="105"/>
      <c r="E162" s="105"/>
      <c r="F162" s="105"/>
      <c r="H162" s="88">
        <v>157</v>
      </c>
      <c r="I162" s="89" t="str">
        <f t="shared" si="10"/>
        <v/>
      </c>
      <c r="J162" s="89" t="e">
        <f t="shared" si="11"/>
        <v>#NUM!</v>
      </c>
      <c r="K162" s="88" t="e">
        <f t="shared" si="12"/>
        <v>#NUM!</v>
      </c>
      <c r="L162" s="88"/>
      <c r="M162" s="90">
        <f t="shared" si="13"/>
        <v>0</v>
      </c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</row>
    <row r="163" spans="1:38" s="74" customFormat="1" x14ac:dyDescent="0.25">
      <c r="A163" s="106"/>
      <c r="B163" s="105"/>
      <c r="C163" s="105"/>
      <c r="D163" s="105"/>
      <c r="E163" s="105"/>
      <c r="F163" s="105"/>
      <c r="H163" s="88">
        <v>158</v>
      </c>
      <c r="I163" s="89" t="str">
        <f t="shared" si="10"/>
        <v/>
      </c>
      <c r="J163" s="89" t="e">
        <f t="shared" si="11"/>
        <v>#NUM!</v>
      </c>
      <c r="K163" s="88" t="e">
        <f t="shared" si="12"/>
        <v>#NUM!</v>
      </c>
      <c r="L163" s="88"/>
      <c r="M163" s="90">
        <f t="shared" si="13"/>
        <v>0</v>
      </c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</row>
    <row r="164" spans="1:38" s="74" customFormat="1" x14ac:dyDescent="0.25">
      <c r="A164" s="106"/>
      <c r="B164" s="105"/>
      <c r="C164" s="105"/>
      <c r="D164" s="105"/>
      <c r="E164" s="105"/>
      <c r="F164" s="105"/>
      <c r="H164" s="88">
        <v>159</v>
      </c>
      <c r="I164" s="89" t="str">
        <f t="shared" si="10"/>
        <v/>
      </c>
      <c r="J164" s="89" t="e">
        <f t="shared" si="11"/>
        <v>#NUM!</v>
      </c>
      <c r="K164" s="88" t="e">
        <f t="shared" si="12"/>
        <v>#NUM!</v>
      </c>
      <c r="L164" s="88"/>
      <c r="M164" s="90">
        <f t="shared" si="13"/>
        <v>0</v>
      </c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</row>
    <row r="165" spans="1:38" s="74" customFormat="1" x14ac:dyDescent="0.25">
      <c r="A165" s="106"/>
      <c r="B165" s="105"/>
      <c r="C165" s="105"/>
      <c r="D165" s="105"/>
      <c r="E165" s="105"/>
      <c r="F165" s="105"/>
      <c r="H165" s="88">
        <v>160</v>
      </c>
      <c r="I165" s="89" t="str">
        <f t="shared" si="10"/>
        <v/>
      </c>
      <c r="J165" s="89" t="e">
        <f t="shared" si="11"/>
        <v>#NUM!</v>
      </c>
      <c r="K165" s="88" t="e">
        <f t="shared" si="12"/>
        <v>#NUM!</v>
      </c>
      <c r="L165" s="88"/>
      <c r="M165" s="90">
        <f t="shared" si="13"/>
        <v>0</v>
      </c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</row>
    <row r="166" spans="1:38" s="74" customFormat="1" x14ac:dyDescent="0.25">
      <c r="A166" s="106"/>
      <c r="B166" s="105"/>
      <c r="C166" s="105"/>
      <c r="D166" s="105"/>
      <c r="E166" s="105"/>
      <c r="F166" s="105"/>
      <c r="H166" s="88">
        <v>161</v>
      </c>
      <c r="I166" s="89" t="str">
        <f t="shared" si="10"/>
        <v/>
      </c>
      <c r="J166" s="89" t="e">
        <f t="shared" si="11"/>
        <v>#NUM!</v>
      </c>
      <c r="K166" s="88" t="e">
        <f t="shared" si="12"/>
        <v>#NUM!</v>
      </c>
      <c r="L166" s="88"/>
      <c r="M166" s="90">
        <f t="shared" si="13"/>
        <v>0</v>
      </c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</row>
    <row r="167" spans="1:38" s="74" customFormat="1" x14ac:dyDescent="0.25">
      <c r="A167" s="106"/>
      <c r="B167" s="105"/>
      <c r="C167" s="105"/>
      <c r="D167" s="105"/>
      <c r="E167" s="105"/>
      <c r="F167" s="105"/>
      <c r="H167" s="88">
        <v>162</v>
      </c>
      <c r="I167" s="89" t="str">
        <f t="shared" si="10"/>
        <v/>
      </c>
      <c r="J167" s="89" t="e">
        <f t="shared" si="11"/>
        <v>#NUM!</v>
      </c>
      <c r="K167" s="88" t="e">
        <f t="shared" si="12"/>
        <v>#NUM!</v>
      </c>
      <c r="L167" s="88"/>
      <c r="M167" s="90">
        <f t="shared" si="13"/>
        <v>0</v>
      </c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79"/>
    </row>
    <row r="168" spans="1:38" s="74" customFormat="1" x14ac:dyDescent="0.25">
      <c r="A168" s="106"/>
      <c r="B168" s="105"/>
      <c r="C168" s="105"/>
      <c r="D168" s="105"/>
      <c r="E168" s="105"/>
      <c r="F168" s="105"/>
      <c r="H168" s="88">
        <v>163</v>
      </c>
      <c r="I168" s="89" t="str">
        <f t="shared" si="10"/>
        <v/>
      </c>
      <c r="J168" s="89" t="e">
        <f t="shared" si="11"/>
        <v>#NUM!</v>
      </c>
      <c r="K168" s="88" t="e">
        <f t="shared" si="12"/>
        <v>#NUM!</v>
      </c>
      <c r="L168" s="88"/>
      <c r="M168" s="90">
        <f t="shared" si="13"/>
        <v>0</v>
      </c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</row>
    <row r="169" spans="1:38" s="74" customFormat="1" x14ac:dyDescent="0.25">
      <c r="A169" s="106"/>
      <c r="B169" s="105"/>
      <c r="C169" s="105" t="s">
        <v>34</v>
      </c>
      <c r="D169" s="105"/>
      <c r="E169" s="105"/>
      <c r="F169" s="105"/>
      <c r="H169" s="88">
        <v>164</v>
      </c>
      <c r="I169" s="89" t="str">
        <f t="shared" si="10"/>
        <v/>
      </c>
      <c r="J169" s="89" t="e">
        <f t="shared" si="11"/>
        <v>#NUM!</v>
      </c>
      <c r="K169" s="88" t="e">
        <f t="shared" si="12"/>
        <v>#NUM!</v>
      </c>
      <c r="L169" s="88"/>
      <c r="M169" s="90">
        <f t="shared" si="13"/>
        <v>0</v>
      </c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</row>
    <row r="170" spans="1:38" s="74" customFormat="1" x14ac:dyDescent="0.25">
      <c r="A170" s="106"/>
      <c r="B170" s="105"/>
      <c r="C170" s="105"/>
      <c r="D170" s="105"/>
      <c r="E170" s="105"/>
      <c r="F170" s="105"/>
      <c r="H170" s="88">
        <v>165</v>
      </c>
      <c r="I170" s="89" t="str">
        <f t="shared" si="10"/>
        <v/>
      </c>
      <c r="J170" s="89" t="e">
        <f t="shared" si="11"/>
        <v>#NUM!</v>
      </c>
      <c r="K170" s="88" t="e">
        <f t="shared" si="12"/>
        <v>#NUM!</v>
      </c>
      <c r="L170" s="88"/>
      <c r="M170" s="90">
        <f t="shared" si="13"/>
        <v>0</v>
      </c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</row>
    <row r="171" spans="1:38" s="74" customFormat="1" x14ac:dyDescent="0.25">
      <c r="A171" s="106"/>
      <c r="B171" s="105"/>
      <c r="C171" s="105"/>
      <c r="D171" s="105"/>
      <c r="E171" s="105"/>
      <c r="F171" s="105"/>
      <c r="H171" s="88">
        <v>166</v>
      </c>
      <c r="I171" s="89" t="str">
        <f t="shared" si="10"/>
        <v/>
      </c>
      <c r="J171" s="89" t="e">
        <f t="shared" si="11"/>
        <v>#NUM!</v>
      </c>
      <c r="K171" s="88" t="e">
        <f t="shared" si="12"/>
        <v>#NUM!</v>
      </c>
      <c r="L171" s="88"/>
      <c r="M171" s="90">
        <f t="shared" si="13"/>
        <v>0</v>
      </c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</row>
    <row r="172" spans="1:38" s="74" customFormat="1" x14ac:dyDescent="0.25">
      <c r="A172" s="106"/>
      <c r="B172" s="105"/>
      <c r="C172" s="105"/>
      <c r="D172" s="105"/>
      <c r="E172" s="105"/>
      <c r="F172" s="105"/>
      <c r="H172" s="88">
        <v>167</v>
      </c>
      <c r="I172" s="89" t="str">
        <f t="shared" si="10"/>
        <v/>
      </c>
      <c r="J172" s="89" t="e">
        <f t="shared" si="11"/>
        <v>#NUM!</v>
      </c>
      <c r="K172" s="88" t="e">
        <f t="shared" si="12"/>
        <v>#NUM!</v>
      </c>
      <c r="L172" s="88"/>
      <c r="M172" s="90">
        <f t="shared" si="13"/>
        <v>0</v>
      </c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</row>
    <row r="173" spans="1:38" s="74" customFormat="1" x14ac:dyDescent="0.25">
      <c r="A173" s="106"/>
      <c r="B173" s="105"/>
      <c r="C173" s="105"/>
      <c r="D173" s="105"/>
      <c r="E173" s="105"/>
      <c r="F173" s="105"/>
      <c r="H173" s="88">
        <v>168</v>
      </c>
      <c r="I173" s="89" t="str">
        <f t="shared" si="10"/>
        <v/>
      </c>
      <c r="J173" s="89" t="e">
        <f t="shared" si="11"/>
        <v>#NUM!</v>
      </c>
      <c r="K173" s="88" t="e">
        <f t="shared" si="12"/>
        <v>#NUM!</v>
      </c>
      <c r="L173" s="88"/>
      <c r="M173" s="90">
        <f t="shared" si="13"/>
        <v>0</v>
      </c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</row>
    <row r="174" spans="1:38" s="74" customFormat="1" x14ac:dyDescent="0.25">
      <c r="A174" s="106"/>
      <c r="B174" s="105"/>
      <c r="C174" s="105"/>
      <c r="D174" s="105"/>
      <c r="E174" s="105"/>
      <c r="F174" s="105"/>
      <c r="H174" s="88">
        <v>169</v>
      </c>
      <c r="I174" s="89" t="str">
        <f t="shared" si="10"/>
        <v/>
      </c>
      <c r="J174" s="89" t="e">
        <f t="shared" si="11"/>
        <v>#NUM!</v>
      </c>
      <c r="K174" s="88" t="e">
        <f t="shared" si="12"/>
        <v>#NUM!</v>
      </c>
      <c r="L174" s="88"/>
      <c r="M174" s="90">
        <f t="shared" si="13"/>
        <v>0</v>
      </c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</row>
    <row r="175" spans="1:38" s="74" customFormat="1" x14ac:dyDescent="0.25">
      <c r="A175" s="106"/>
      <c r="B175" s="105"/>
      <c r="C175" s="105"/>
      <c r="D175" s="105"/>
      <c r="E175" s="105"/>
      <c r="F175" s="105"/>
      <c r="H175" s="88">
        <v>170</v>
      </c>
      <c r="I175" s="89" t="str">
        <f t="shared" si="10"/>
        <v/>
      </c>
      <c r="J175" s="89" t="e">
        <f t="shared" si="11"/>
        <v>#NUM!</v>
      </c>
      <c r="K175" s="88" t="e">
        <f t="shared" si="12"/>
        <v>#NUM!</v>
      </c>
      <c r="L175" s="88"/>
      <c r="M175" s="90">
        <f t="shared" si="13"/>
        <v>0</v>
      </c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</row>
    <row r="176" spans="1:38" s="74" customFormat="1" x14ac:dyDescent="0.25">
      <c r="A176" s="106"/>
      <c r="B176" s="105"/>
      <c r="C176" s="105"/>
      <c r="D176" s="105"/>
      <c r="E176" s="105"/>
      <c r="F176" s="105"/>
      <c r="H176" s="88">
        <v>171</v>
      </c>
      <c r="I176" s="89" t="str">
        <f t="shared" si="10"/>
        <v/>
      </c>
      <c r="J176" s="89" t="e">
        <f t="shared" si="11"/>
        <v>#NUM!</v>
      </c>
      <c r="K176" s="88" t="e">
        <f t="shared" si="12"/>
        <v>#NUM!</v>
      </c>
      <c r="L176" s="88"/>
      <c r="M176" s="90">
        <f t="shared" si="13"/>
        <v>0</v>
      </c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</row>
    <row r="177" spans="1:38" s="74" customFormat="1" x14ac:dyDescent="0.25">
      <c r="A177" s="106"/>
      <c r="B177" s="105"/>
      <c r="C177" s="105"/>
      <c r="D177" s="105"/>
      <c r="E177" s="105"/>
      <c r="F177" s="105"/>
      <c r="H177" s="88">
        <v>172</v>
      </c>
      <c r="I177" s="89" t="str">
        <f t="shared" si="10"/>
        <v/>
      </c>
      <c r="J177" s="89" t="e">
        <f t="shared" si="11"/>
        <v>#NUM!</v>
      </c>
      <c r="K177" s="88" t="e">
        <f t="shared" si="12"/>
        <v>#NUM!</v>
      </c>
      <c r="L177" s="88"/>
      <c r="M177" s="90">
        <f t="shared" si="13"/>
        <v>0</v>
      </c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</row>
    <row r="178" spans="1:38" s="74" customFormat="1" x14ac:dyDescent="0.25">
      <c r="A178" s="106"/>
      <c r="B178" s="105"/>
      <c r="C178" s="105"/>
      <c r="D178" s="105"/>
      <c r="E178" s="105"/>
      <c r="F178" s="105"/>
      <c r="H178" s="88">
        <v>173</v>
      </c>
      <c r="I178" s="89" t="str">
        <f t="shared" si="10"/>
        <v/>
      </c>
      <c r="J178" s="89" t="e">
        <f t="shared" si="11"/>
        <v>#NUM!</v>
      </c>
      <c r="K178" s="88" t="e">
        <f t="shared" si="12"/>
        <v>#NUM!</v>
      </c>
      <c r="L178" s="88"/>
      <c r="M178" s="90">
        <f t="shared" si="13"/>
        <v>0</v>
      </c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</row>
    <row r="179" spans="1:38" s="74" customFormat="1" x14ac:dyDescent="0.25">
      <c r="A179" s="106"/>
      <c r="B179" s="105"/>
      <c r="C179" s="105"/>
      <c r="D179" s="105"/>
      <c r="E179" s="105"/>
      <c r="F179" s="105"/>
      <c r="H179" s="88">
        <v>174</v>
      </c>
      <c r="I179" s="89" t="str">
        <f t="shared" si="10"/>
        <v/>
      </c>
      <c r="J179" s="89" t="e">
        <f t="shared" si="11"/>
        <v>#NUM!</v>
      </c>
      <c r="K179" s="88" t="e">
        <f t="shared" si="12"/>
        <v>#NUM!</v>
      </c>
      <c r="L179" s="88"/>
      <c r="M179" s="90">
        <f t="shared" si="13"/>
        <v>0</v>
      </c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</row>
    <row r="180" spans="1:38" s="74" customFormat="1" x14ac:dyDescent="0.25">
      <c r="A180" s="106"/>
      <c r="B180" s="105"/>
      <c r="C180" s="105"/>
      <c r="D180" s="105"/>
      <c r="E180" s="105"/>
      <c r="F180" s="105"/>
      <c r="H180" s="88">
        <v>175</v>
      </c>
      <c r="I180" s="89" t="str">
        <f t="shared" si="10"/>
        <v/>
      </c>
      <c r="J180" s="89" t="e">
        <f t="shared" si="11"/>
        <v>#NUM!</v>
      </c>
      <c r="K180" s="88" t="e">
        <f t="shared" si="12"/>
        <v>#NUM!</v>
      </c>
      <c r="L180" s="88"/>
      <c r="M180" s="90">
        <f t="shared" si="13"/>
        <v>0</v>
      </c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</row>
    <row r="181" spans="1:38" s="74" customFormat="1" x14ac:dyDescent="0.25">
      <c r="A181" s="106"/>
      <c r="B181" s="105"/>
      <c r="C181" s="105"/>
      <c r="D181" s="105"/>
      <c r="E181" s="105"/>
      <c r="F181" s="105"/>
      <c r="H181" s="88">
        <v>176</v>
      </c>
      <c r="I181" s="89" t="str">
        <f t="shared" si="10"/>
        <v/>
      </c>
      <c r="J181" s="89" t="e">
        <f t="shared" si="11"/>
        <v>#NUM!</v>
      </c>
      <c r="K181" s="88" t="e">
        <f t="shared" si="12"/>
        <v>#NUM!</v>
      </c>
      <c r="L181" s="88"/>
      <c r="M181" s="90">
        <f t="shared" si="13"/>
        <v>0</v>
      </c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</row>
    <row r="182" spans="1:38" s="74" customFormat="1" x14ac:dyDescent="0.25">
      <c r="A182" s="106"/>
      <c r="B182" s="105"/>
      <c r="C182" s="105"/>
      <c r="D182" s="105"/>
      <c r="E182" s="105"/>
      <c r="F182" s="105"/>
      <c r="H182" s="88">
        <v>177</v>
      </c>
      <c r="I182" s="89" t="str">
        <f t="shared" si="10"/>
        <v/>
      </c>
      <c r="J182" s="89" t="e">
        <f t="shared" si="11"/>
        <v>#NUM!</v>
      </c>
      <c r="K182" s="88" t="e">
        <f t="shared" si="12"/>
        <v>#NUM!</v>
      </c>
      <c r="L182" s="88"/>
      <c r="M182" s="90">
        <f t="shared" si="13"/>
        <v>0</v>
      </c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</row>
    <row r="183" spans="1:38" s="74" customFormat="1" x14ac:dyDescent="0.25">
      <c r="A183" s="106"/>
      <c r="B183" s="105"/>
      <c r="C183" s="105"/>
      <c r="D183" s="105"/>
      <c r="E183" s="105"/>
      <c r="F183" s="105"/>
      <c r="H183" s="88">
        <v>178</v>
      </c>
      <c r="I183" s="89" t="str">
        <f t="shared" si="10"/>
        <v/>
      </c>
      <c r="J183" s="89" t="e">
        <f t="shared" si="11"/>
        <v>#NUM!</v>
      </c>
      <c r="K183" s="88" t="e">
        <f t="shared" si="12"/>
        <v>#NUM!</v>
      </c>
      <c r="L183" s="88"/>
      <c r="M183" s="90">
        <f t="shared" si="13"/>
        <v>0</v>
      </c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</row>
    <row r="184" spans="1:38" s="74" customFormat="1" x14ac:dyDescent="0.25">
      <c r="A184" s="106"/>
      <c r="B184" s="105"/>
      <c r="C184" s="105"/>
      <c r="D184" s="105"/>
      <c r="E184" s="105"/>
      <c r="F184" s="105"/>
      <c r="H184" s="88">
        <v>179</v>
      </c>
      <c r="I184" s="89" t="str">
        <f t="shared" si="10"/>
        <v/>
      </c>
      <c r="J184" s="89" t="e">
        <f t="shared" si="11"/>
        <v>#NUM!</v>
      </c>
      <c r="K184" s="88" t="e">
        <f t="shared" si="12"/>
        <v>#NUM!</v>
      </c>
      <c r="L184" s="88"/>
      <c r="M184" s="90">
        <f t="shared" si="13"/>
        <v>0</v>
      </c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</row>
    <row r="185" spans="1:38" s="74" customFormat="1" x14ac:dyDescent="0.25">
      <c r="A185" s="106"/>
      <c r="B185" s="105"/>
      <c r="C185" s="105"/>
      <c r="D185" s="105"/>
      <c r="E185" s="105"/>
      <c r="F185" s="105"/>
      <c r="H185" s="88">
        <v>180</v>
      </c>
      <c r="I185" s="89" t="str">
        <f t="shared" si="10"/>
        <v/>
      </c>
      <c r="J185" s="89" t="e">
        <f t="shared" si="11"/>
        <v>#NUM!</v>
      </c>
      <c r="K185" s="88" t="e">
        <f t="shared" si="12"/>
        <v>#NUM!</v>
      </c>
      <c r="L185" s="88"/>
      <c r="M185" s="90">
        <f t="shared" si="13"/>
        <v>0</v>
      </c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</row>
    <row r="186" spans="1:38" s="74" customFormat="1" x14ac:dyDescent="0.25">
      <c r="A186" s="106"/>
      <c r="B186" s="105"/>
      <c r="C186" s="105"/>
      <c r="D186" s="105"/>
      <c r="E186" s="105"/>
      <c r="F186" s="105"/>
      <c r="H186" s="88">
        <v>181</v>
      </c>
      <c r="I186" s="89" t="str">
        <f t="shared" si="10"/>
        <v/>
      </c>
      <c r="J186" s="89" t="e">
        <f t="shared" si="11"/>
        <v>#NUM!</v>
      </c>
      <c r="K186" s="88" t="e">
        <f t="shared" si="12"/>
        <v>#NUM!</v>
      </c>
      <c r="L186" s="88"/>
      <c r="M186" s="90">
        <f t="shared" si="13"/>
        <v>0</v>
      </c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</row>
    <row r="187" spans="1:38" s="74" customFormat="1" x14ac:dyDescent="0.25">
      <c r="A187" s="106"/>
      <c r="B187" s="105"/>
      <c r="C187" s="105"/>
      <c r="D187" s="105"/>
      <c r="E187" s="105"/>
      <c r="F187" s="105"/>
      <c r="H187" s="88">
        <v>182</v>
      </c>
      <c r="I187" s="89" t="str">
        <f t="shared" si="10"/>
        <v/>
      </c>
      <c r="J187" s="89" t="e">
        <f t="shared" si="11"/>
        <v>#NUM!</v>
      </c>
      <c r="K187" s="88" t="e">
        <f t="shared" si="12"/>
        <v>#NUM!</v>
      </c>
      <c r="L187" s="88"/>
      <c r="M187" s="90">
        <f t="shared" si="13"/>
        <v>0</v>
      </c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79"/>
    </row>
    <row r="188" spans="1:38" s="74" customFormat="1" x14ac:dyDescent="0.25">
      <c r="A188" s="106"/>
      <c r="B188" s="105"/>
      <c r="C188" s="105"/>
      <c r="D188" s="105"/>
      <c r="E188" s="105"/>
      <c r="F188" s="105"/>
      <c r="H188" s="88">
        <v>183</v>
      </c>
      <c r="I188" s="89" t="str">
        <f t="shared" si="10"/>
        <v/>
      </c>
      <c r="J188" s="89" t="e">
        <f t="shared" si="11"/>
        <v>#NUM!</v>
      </c>
      <c r="K188" s="88" t="e">
        <f t="shared" si="12"/>
        <v>#NUM!</v>
      </c>
      <c r="L188" s="88"/>
      <c r="M188" s="90">
        <f t="shared" si="13"/>
        <v>0</v>
      </c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</row>
    <row r="189" spans="1:38" s="74" customFormat="1" x14ac:dyDescent="0.25">
      <c r="A189" s="106"/>
      <c r="B189" s="105"/>
      <c r="C189" s="105"/>
      <c r="D189" s="105"/>
      <c r="E189" s="105"/>
      <c r="F189" s="105"/>
      <c r="H189" s="88">
        <v>184</v>
      </c>
      <c r="I189" s="89" t="str">
        <f t="shared" si="10"/>
        <v/>
      </c>
      <c r="J189" s="89" t="e">
        <f t="shared" si="11"/>
        <v>#NUM!</v>
      </c>
      <c r="K189" s="88" t="e">
        <f t="shared" si="12"/>
        <v>#NUM!</v>
      </c>
      <c r="L189" s="88"/>
      <c r="M189" s="90">
        <f t="shared" si="13"/>
        <v>0</v>
      </c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</row>
    <row r="190" spans="1:38" s="74" customFormat="1" x14ac:dyDescent="0.25">
      <c r="A190" s="106"/>
      <c r="B190" s="105"/>
      <c r="C190" s="105"/>
      <c r="D190" s="105"/>
      <c r="E190" s="105"/>
      <c r="F190" s="105"/>
      <c r="H190" s="88">
        <v>185</v>
      </c>
      <c r="I190" s="89" t="str">
        <f t="shared" si="10"/>
        <v/>
      </c>
      <c r="J190" s="89" t="e">
        <f t="shared" si="11"/>
        <v>#NUM!</v>
      </c>
      <c r="K190" s="88" t="e">
        <f t="shared" si="12"/>
        <v>#NUM!</v>
      </c>
      <c r="L190" s="88"/>
      <c r="M190" s="90">
        <f t="shared" si="13"/>
        <v>0</v>
      </c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</row>
    <row r="191" spans="1:38" s="74" customFormat="1" x14ac:dyDescent="0.25">
      <c r="A191" s="106"/>
      <c r="B191" s="105"/>
      <c r="C191" s="105"/>
      <c r="D191" s="105"/>
      <c r="E191" s="105"/>
      <c r="F191" s="105"/>
      <c r="H191" s="88">
        <v>186</v>
      </c>
      <c r="I191" s="89" t="str">
        <f t="shared" si="10"/>
        <v/>
      </c>
      <c r="J191" s="89" t="e">
        <f t="shared" si="11"/>
        <v>#NUM!</v>
      </c>
      <c r="K191" s="88" t="e">
        <f t="shared" si="12"/>
        <v>#NUM!</v>
      </c>
      <c r="L191" s="88"/>
      <c r="M191" s="90">
        <f t="shared" si="13"/>
        <v>0</v>
      </c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</row>
    <row r="192" spans="1:38" s="74" customFormat="1" x14ac:dyDescent="0.25">
      <c r="A192" s="106"/>
      <c r="B192" s="105"/>
      <c r="C192" s="105"/>
      <c r="D192" s="105"/>
      <c r="E192" s="105"/>
      <c r="F192" s="105"/>
      <c r="H192" s="88">
        <v>187</v>
      </c>
      <c r="I192" s="89" t="str">
        <f t="shared" si="10"/>
        <v/>
      </c>
      <c r="J192" s="89" t="e">
        <f t="shared" si="11"/>
        <v>#NUM!</v>
      </c>
      <c r="K192" s="88" t="e">
        <f t="shared" si="12"/>
        <v>#NUM!</v>
      </c>
      <c r="L192" s="88"/>
      <c r="M192" s="90">
        <f t="shared" si="13"/>
        <v>0</v>
      </c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</row>
    <row r="193" spans="1:38" s="74" customFormat="1" x14ac:dyDescent="0.25">
      <c r="A193" s="106"/>
      <c r="B193" s="105"/>
      <c r="C193" s="105"/>
      <c r="D193" s="105"/>
      <c r="E193" s="105"/>
      <c r="F193" s="105"/>
      <c r="H193" s="88">
        <v>188</v>
      </c>
      <c r="I193" s="89" t="str">
        <f t="shared" si="10"/>
        <v/>
      </c>
      <c r="J193" s="89" t="e">
        <f t="shared" si="11"/>
        <v>#NUM!</v>
      </c>
      <c r="K193" s="88" t="e">
        <f t="shared" si="12"/>
        <v>#NUM!</v>
      </c>
      <c r="L193" s="88"/>
      <c r="M193" s="90">
        <f t="shared" si="13"/>
        <v>0</v>
      </c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</row>
    <row r="194" spans="1:38" s="74" customFormat="1" x14ac:dyDescent="0.25">
      <c r="A194" s="106"/>
      <c r="B194" s="105"/>
      <c r="C194" s="105"/>
      <c r="D194" s="105"/>
      <c r="E194" s="105"/>
      <c r="F194" s="105"/>
      <c r="H194" s="88">
        <v>189</v>
      </c>
      <c r="I194" s="89" t="str">
        <f t="shared" si="10"/>
        <v/>
      </c>
      <c r="J194" s="89" t="e">
        <f t="shared" si="11"/>
        <v>#NUM!</v>
      </c>
      <c r="K194" s="88" t="e">
        <f t="shared" si="12"/>
        <v>#NUM!</v>
      </c>
      <c r="L194" s="88"/>
      <c r="M194" s="90">
        <f t="shared" si="13"/>
        <v>0</v>
      </c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</row>
    <row r="195" spans="1:38" s="74" customFormat="1" x14ac:dyDescent="0.25">
      <c r="A195" s="106"/>
      <c r="B195" s="105"/>
      <c r="C195" s="105"/>
      <c r="D195" s="105"/>
      <c r="E195" s="105"/>
      <c r="F195" s="105"/>
      <c r="H195" s="88">
        <v>190</v>
      </c>
      <c r="I195" s="89" t="str">
        <f t="shared" si="10"/>
        <v/>
      </c>
      <c r="J195" s="89" t="e">
        <f t="shared" si="11"/>
        <v>#NUM!</v>
      </c>
      <c r="K195" s="88" t="e">
        <f t="shared" si="12"/>
        <v>#NUM!</v>
      </c>
      <c r="L195" s="88"/>
      <c r="M195" s="90">
        <f t="shared" si="13"/>
        <v>0</v>
      </c>
      <c r="S195" s="79"/>
      <c r="T195" s="79"/>
      <c r="U195" s="79"/>
      <c r="V195" s="79"/>
      <c r="W195" s="79"/>
      <c r="X195" s="79"/>
      <c r="Y195" s="79"/>
      <c r="Z195" s="79"/>
      <c r="AA195" s="79"/>
      <c r="AB195" s="79"/>
      <c r="AC195" s="79"/>
      <c r="AD195" s="79"/>
      <c r="AE195" s="79"/>
      <c r="AF195" s="79"/>
      <c r="AG195" s="79"/>
      <c r="AH195" s="79"/>
      <c r="AI195" s="79"/>
      <c r="AJ195" s="79"/>
      <c r="AK195" s="79"/>
      <c r="AL195" s="79"/>
    </row>
    <row r="196" spans="1:38" s="74" customFormat="1" x14ac:dyDescent="0.25">
      <c r="A196" s="106"/>
      <c r="B196" s="105"/>
      <c r="C196" s="105"/>
      <c r="D196" s="105"/>
      <c r="E196" s="105"/>
      <c r="F196" s="105"/>
      <c r="H196" s="88">
        <v>191</v>
      </c>
      <c r="I196" s="89" t="str">
        <f t="shared" si="10"/>
        <v/>
      </c>
      <c r="J196" s="89" t="e">
        <f t="shared" si="11"/>
        <v>#NUM!</v>
      </c>
      <c r="K196" s="88" t="e">
        <f t="shared" si="12"/>
        <v>#NUM!</v>
      </c>
      <c r="L196" s="88"/>
      <c r="M196" s="90">
        <f t="shared" si="13"/>
        <v>0</v>
      </c>
      <c r="S196" s="79"/>
      <c r="T196" s="79"/>
      <c r="U196" s="79"/>
      <c r="V196" s="79"/>
      <c r="W196" s="79"/>
      <c r="X196" s="79"/>
      <c r="Y196" s="79"/>
      <c r="Z196" s="79"/>
      <c r="AA196" s="79"/>
      <c r="AB196" s="79"/>
      <c r="AC196" s="79"/>
      <c r="AD196" s="79"/>
      <c r="AE196" s="79"/>
      <c r="AF196" s="79"/>
      <c r="AG196" s="79"/>
      <c r="AH196" s="79"/>
      <c r="AI196" s="79"/>
      <c r="AJ196" s="79"/>
      <c r="AK196" s="79"/>
      <c r="AL196" s="79"/>
    </row>
    <row r="197" spans="1:38" s="74" customFormat="1" x14ac:dyDescent="0.25">
      <c r="A197" s="106"/>
      <c r="B197" s="105"/>
      <c r="C197" s="105"/>
      <c r="D197" s="105"/>
      <c r="E197" s="105"/>
      <c r="F197" s="105"/>
      <c r="H197" s="88">
        <v>192</v>
      </c>
      <c r="I197" s="89" t="str">
        <f t="shared" si="10"/>
        <v/>
      </c>
      <c r="J197" s="89" t="e">
        <f t="shared" si="11"/>
        <v>#NUM!</v>
      </c>
      <c r="K197" s="88" t="e">
        <f t="shared" si="12"/>
        <v>#NUM!</v>
      </c>
      <c r="L197" s="88"/>
      <c r="M197" s="90">
        <f t="shared" si="13"/>
        <v>0</v>
      </c>
      <c r="S197" s="79"/>
      <c r="T197" s="79"/>
      <c r="U197" s="79"/>
      <c r="V197" s="79"/>
      <c r="W197" s="79"/>
      <c r="X197" s="79"/>
      <c r="Y197" s="79"/>
      <c r="Z197" s="79"/>
      <c r="AA197" s="79"/>
      <c r="AB197" s="79"/>
      <c r="AC197" s="79"/>
      <c r="AD197" s="79"/>
      <c r="AE197" s="79"/>
      <c r="AF197" s="79"/>
      <c r="AG197" s="79"/>
      <c r="AH197" s="79"/>
      <c r="AI197" s="79"/>
      <c r="AJ197" s="79"/>
      <c r="AK197" s="79"/>
      <c r="AL197" s="79"/>
    </row>
    <row r="198" spans="1:38" s="74" customFormat="1" x14ac:dyDescent="0.25">
      <c r="A198" s="106"/>
      <c r="B198" s="105"/>
      <c r="C198" s="105"/>
      <c r="D198" s="105"/>
      <c r="E198" s="105"/>
      <c r="F198" s="105"/>
      <c r="H198" s="88">
        <v>193</v>
      </c>
      <c r="I198" s="89" t="str">
        <f t="shared" ref="I198:I261" si="14">IF(H198&lt;$H$2+1,($I$2-($I$2-1)*(LOG(H198)/LOG($H$2))),"")</f>
        <v/>
      </c>
      <c r="J198" s="89" t="e">
        <f t="shared" ref="J198:J261" si="15">INT(LOG($H$2,2))-ROUNDUP(LOG(H198,2),0)+IF(OR($H$2=1,$H$2=2,$H$2=4,$H$2=8,$H$2=16,$H$2=32,$H$2=64,$H$2=128,$H$2=256),0,1)</f>
        <v>#NUM!</v>
      </c>
      <c r="K198" s="88" t="e">
        <f t="shared" ref="K198:K261" si="16">J198*$J$2</f>
        <v>#NUM!</v>
      </c>
      <c r="L198" s="88"/>
      <c r="M198" s="90">
        <f t="shared" ref="M198:M261" si="17">IF(I198&lt;&gt;"",K198+I198+L198,0)</f>
        <v>0</v>
      </c>
      <c r="S198" s="79"/>
      <c r="T198" s="79"/>
      <c r="U198" s="79"/>
      <c r="V198" s="79"/>
      <c r="W198" s="79"/>
      <c r="X198" s="79"/>
      <c r="Y198" s="79"/>
      <c r="Z198" s="79"/>
      <c r="AA198" s="79"/>
      <c r="AB198" s="79"/>
      <c r="AC198" s="79"/>
      <c r="AD198" s="79"/>
      <c r="AE198" s="79"/>
      <c r="AF198" s="79"/>
      <c r="AG198" s="79"/>
      <c r="AH198" s="79"/>
      <c r="AI198" s="79"/>
      <c r="AJ198" s="79"/>
      <c r="AK198" s="79"/>
      <c r="AL198" s="79"/>
    </row>
    <row r="199" spans="1:38" s="74" customFormat="1" x14ac:dyDescent="0.25">
      <c r="A199" s="106"/>
      <c r="B199" s="105"/>
      <c r="C199" s="105"/>
      <c r="D199" s="105"/>
      <c r="E199" s="105"/>
      <c r="F199" s="105"/>
      <c r="H199" s="88">
        <v>194</v>
      </c>
      <c r="I199" s="89" t="str">
        <f t="shared" si="14"/>
        <v/>
      </c>
      <c r="J199" s="89" t="e">
        <f t="shared" si="15"/>
        <v>#NUM!</v>
      </c>
      <c r="K199" s="88" t="e">
        <f t="shared" si="16"/>
        <v>#NUM!</v>
      </c>
      <c r="L199" s="88"/>
      <c r="M199" s="90">
        <f t="shared" si="17"/>
        <v>0</v>
      </c>
      <c r="S199" s="79"/>
      <c r="T199" s="79"/>
      <c r="U199" s="79"/>
      <c r="V199" s="79"/>
      <c r="W199" s="79"/>
      <c r="X199" s="79"/>
      <c r="Y199" s="79"/>
      <c r="Z199" s="79"/>
      <c r="AA199" s="79"/>
      <c r="AB199" s="79"/>
      <c r="AC199" s="79"/>
      <c r="AD199" s="79"/>
      <c r="AE199" s="79"/>
      <c r="AF199" s="79"/>
      <c r="AG199" s="79"/>
      <c r="AH199" s="79"/>
      <c r="AI199" s="79"/>
      <c r="AJ199" s="79"/>
      <c r="AK199" s="79"/>
      <c r="AL199" s="79"/>
    </row>
    <row r="200" spans="1:38" s="74" customFormat="1" x14ac:dyDescent="0.25">
      <c r="A200" s="106"/>
      <c r="B200" s="105"/>
      <c r="C200" s="105"/>
      <c r="D200" s="105"/>
      <c r="E200" s="105"/>
      <c r="F200" s="105"/>
      <c r="H200" s="88">
        <v>195</v>
      </c>
      <c r="I200" s="89" t="str">
        <f t="shared" si="14"/>
        <v/>
      </c>
      <c r="J200" s="89" t="e">
        <f t="shared" si="15"/>
        <v>#NUM!</v>
      </c>
      <c r="K200" s="88" t="e">
        <f t="shared" si="16"/>
        <v>#NUM!</v>
      </c>
      <c r="L200" s="88"/>
      <c r="M200" s="90">
        <f t="shared" si="17"/>
        <v>0</v>
      </c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</row>
    <row r="201" spans="1:38" s="74" customFormat="1" x14ac:dyDescent="0.25">
      <c r="A201" s="106"/>
      <c r="B201" s="105"/>
      <c r="C201" s="105"/>
      <c r="D201" s="105"/>
      <c r="E201" s="105"/>
      <c r="F201" s="105"/>
      <c r="H201" s="88">
        <v>196</v>
      </c>
      <c r="I201" s="89" t="str">
        <f t="shared" si="14"/>
        <v/>
      </c>
      <c r="J201" s="89" t="e">
        <f t="shared" si="15"/>
        <v>#NUM!</v>
      </c>
      <c r="K201" s="88" t="e">
        <f t="shared" si="16"/>
        <v>#NUM!</v>
      </c>
      <c r="L201" s="88"/>
      <c r="M201" s="90">
        <f t="shared" si="17"/>
        <v>0</v>
      </c>
      <c r="S201" s="79"/>
      <c r="T201" s="79"/>
      <c r="U201" s="79"/>
      <c r="V201" s="79"/>
      <c r="W201" s="79"/>
      <c r="X201" s="79"/>
      <c r="Y201" s="79"/>
      <c r="Z201" s="79"/>
      <c r="AA201" s="79"/>
      <c r="AB201" s="79"/>
      <c r="AC201" s="79"/>
      <c r="AD201" s="79"/>
      <c r="AE201" s="79"/>
      <c r="AF201" s="79"/>
      <c r="AG201" s="79"/>
      <c r="AH201" s="79"/>
      <c r="AI201" s="79"/>
      <c r="AJ201" s="79"/>
      <c r="AK201" s="79"/>
      <c r="AL201" s="79"/>
    </row>
    <row r="202" spans="1:38" s="74" customFormat="1" x14ac:dyDescent="0.25">
      <c r="A202" s="106"/>
      <c r="B202" s="105"/>
      <c r="C202" s="105"/>
      <c r="D202" s="105"/>
      <c r="E202" s="105"/>
      <c r="F202" s="105"/>
      <c r="H202" s="88">
        <v>197</v>
      </c>
      <c r="I202" s="89" t="str">
        <f t="shared" si="14"/>
        <v/>
      </c>
      <c r="J202" s="89" t="e">
        <f t="shared" si="15"/>
        <v>#NUM!</v>
      </c>
      <c r="K202" s="88" t="e">
        <f t="shared" si="16"/>
        <v>#NUM!</v>
      </c>
      <c r="L202" s="88"/>
      <c r="M202" s="90">
        <f t="shared" si="17"/>
        <v>0</v>
      </c>
      <c r="S202" s="79"/>
      <c r="T202" s="79"/>
      <c r="U202" s="79"/>
      <c r="V202" s="79"/>
      <c r="W202" s="79"/>
      <c r="X202" s="79"/>
      <c r="Y202" s="79"/>
      <c r="Z202" s="79"/>
      <c r="AA202" s="79"/>
      <c r="AB202" s="79"/>
      <c r="AC202" s="79"/>
      <c r="AD202" s="79"/>
      <c r="AE202" s="79"/>
      <c r="AF202" s="79"/>
      <c r="AG202" s="79"/>
      <c r="AH202" s="79"/>
      <c r="AI202" s="79"/>
      <c r="AJ202" s="79"/>
      <c r="AK202" s="79"/>
      <c r="AL202" s="79"/>
    </row>
    <row r="203" spans="1:38" s="74" customFormat="1" x14ac:dyDescent="0.25">
      <c r="A203" s="106"/>
      <c r="B203" s="105"/>
      <c r="C203" s="105"/>
      <c r="D203" s="105"/>
      <c r="E203" s="105"/>
      <c r="F203" s="105"/>
      <c r="H203" s="88">
        <v>198</v>
      </c>
      <c r="I203" s="89" t="str">
        <f t="shared" si="14"/>
        <v/>
      </c>
      <c r="J203" s="89" t="e">
        <f t="shared" si="15"/>
        <v>#NUM!</v>
      </c>
      <c r="K203" s="88" t="e">
        <f t="shared" si="16"/>
        <v>#NUM!</v>
      </c>
      <c r="L203" s="88"/>
      <c r="M203" s="90">
        <f t="shared" si="17"/>
        <v>0</v>
      </c>
      <c r="S203" s="79"/>
      <c r="T203" s="79"/>
      <c r="U203" s="79"/>
      <c r="V203" s="79"/>
      <c r="W203" s="79"/>
      <c r="X203" s="79"/>
      <c r="Y203" s="79"/>
      <c r="Z203" s="79"/>
      <c r="AA203" s="79"/>
      <c r="AB203" s="79"/>
      <c r="AC203" s="79"/>
      <c r="AD203" s="79"/>
      <c r="AE203" s="79"/>
      <c r="AF203" s="79"/>
      <c r="AG203" s="79"/>
      <c r="AH203" s="79"/>
      <c r="AI203" s="79"/>
      <c r="AJ203" s="79"/>
      <c r="AK203" s="79"/>
      <c r="AL203" s="79"/>
    </row>
    <row r="204" spans="1:38" s="74" customFormat="1" x14ac:dyDescent="0.25">
      <c r="A204" s="106"/>
      <c r="B204" s="105"/>
      <c r="C204" s="105"/>
      <c r="D204" s="105"/>
      <c r="E204" s="105"/>
      <c r="F204" s="105"/>
      <c r="H204" s="88">
        <v>199</v>
      </c>
      <c r="I204" s="89" t="str">
        <f t="shared" si="14"/>
        <v/>
      </c>
      <c r="J204" s="89" t="e">
        <f t="shared" si="15"/>
        <v>#NUM!</v>
      </c>
      <c r="K204" s="88" t="e">
        <f t="shared" si="16"/>
        <v>#NUM!</v>
      </c>
      <c r="L204" s="88"/>
      <c r="M204" s="90">
        <f t="shared" si="17"/>
        <v>0</v>
      </c>
      <c r="S204" s="79"/>
      <c r="T204" s="79"/>
      <c r="U204" s="79"/>
      <c r="V204" s="79"/>
      <c r="W204" s="79"/>
      <c r="X204" s="79"/>
      <c r="Y204" s="79"/>
      <c r="Z204" s="79"/>
      <c r="AA204" s="79"/>
      <c r="AB204" s="79"/>
      <c r="AC204" s="79"/>
      <c r="AD204" s="79"/>
      <c r="AE204" s="79"/>
      <c r="AF204" s="79"/>
      <c r="AG204" s="79"/>
      <c r="AH204" s="79"/>
      <c r="AI204" s="79"/>
      <c r="AJ204" s="79"/>
      <c r="AK204" s="79"/>
      <c r="AL204" s="79"/>
    </row>
    <row r="205" spans="1:38" s="74" customFormat="1" x14ac:dyDescent="0.25">
      <c r="A205" s="106"/>
      <c r="B205" s="105"/>
      <c r="C205" s="105"/>
      <c r="D205" s="105"/>
      <c r="E205" s="105"/>
      <c r="F205" s="105"/>
      <c r="H205" s="88">
        <v>200</v>
      </c>
      <c r="I205" s="89" t="str">
        <f t="shared" si="14"/>
        <v/>
      </c>
      <c r="J205" s="89" t="e">
        <f t="shared" si="15"/>
        <v>#NUM!</v>
      </c>
      <c r="K205" s="88" t="e">
        <f t="shared" si="16"/>
        <v>#NUM!</v>
      </c>
      <c r="L205" s="88"/>
      <c r="M205" s="90">
        <f t="shared" si="17"/>
        <v>0</v>
      </c>
      <c r="S205" s="79"/>
      <c r="T205" s="79"/>
      <c r="U205" s="79"/>
      <c r="V205" s="79"/>
      <c r="W205" s="79"/>
      <c r="X205" s="79"/>
      <c r="Y205" s="79"/>
      <c r="Z205" s="79"/>
      <c r="AA205" s="79"/>
      <c r="AB205" s="79"/>
      <c r="AC205" s="79"/>
      <c r="AD205" s="79"/>
      <c r="AE205" s="79"/>
      <c r="AF205" s="79"/>
      <c r="AG205" s="79"/>
      <c r="AH205" s="79"/>
      <c r="AI205" s="79"/>
      <c r="AJ205" s="79"/>
      <c r="AK205" s="79"/>
      <c r="AL205" s="79"/>
    </row>
    <row r="206" spans="1:38" s="74" customFormat="1" x14ac:dyDescent="0.25">
      <c r="A206" s="106"/>
      <c r="B206" s="105"/>
      <c r="C206" s="105"/>
      <c r="D206" s="105"/>
      <c r="E206" s="105"/>
      <c r="F206" s="105"/>
      <c r="H206" s="88">
        <v>201</v>
      </c>
      <c r="I206" s="89" t="str">
        <f t="shared" si="14"/>
        <v/>
      </c>
      <c r="J206" s="89" t="e">
        <f t="shared" si="15"/>
        <v>#NUM!</v>
      </c>
      <c r="K206" s="88" t="e">
        <f t="shared" si="16"/>
        <v>#NUM!</v>
      </c>
      <c r="L206" s="88"/>
      <c r="M206" s="90">
        <f t="shared" si="17"/>
        <v>0</v>
      </c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  <c r="AF206" s="79"/>
      <c r="AG206" s="79"/>
      <c r="AH206" s="79"/>
      <c r="AI206" s="79"/>
      <c r="AJ206" s="79"/>
      <c r="AK206" s="79"/>
      <c r="AL206" s="79"/>
    </row>
    <row r="207" spans="1:38" s="74" customFormat="1" x14ac:dyDescent="0.25">
      <c r="A207" s="106"/>
      <c r="B207" s="105"/>
      <c r="C207" s="105"/>
      <c r="D207" s="105"/>
      <c r="E207" s="105"/>
      <c r="F207" s="105"/>
      <c r="H207" s="88">
        <v>202</v>
      </c>
      <c r="I207" s="89" t="str">
        <f t="shared" si="14"/>
        <v/>
      </c>
      <c r="J207" s="89" t="e">
        <f t="shared" si="15"/>
        <v>#NUM!</v>
      </c>
      <c r="K207" s="88" t="e">
        <f t="shared" si="16"/>
        <v>#NUM!</v>
      </c>
      <c r="L207" s="88"/>
      <c r="M207" s="90">
        <f t="shared" si="17"/>
        <v>0</v>
      </c>
      <c r="S207" s="79"/>
      <c r="T207" s="79"/>
      <c r="U207" s="79"/>
      <c r="V207" s="79"/>
      <c r="W207" s="79"/>
      <c r="X207" s="79"/>
      <c r="Y207" s="79"/>
      <c r="Z207" s="79"/>
      <c r="AA207" s="79"/>
      <c r="AB207" s="79"/>
      <c r="AC207" s="79"/>
      <c r="AD207" s="79"/>
      <c r="AE207" s="79"/>
      <c r="AF207" s="79"/>
      <c r="AG207" s="79"/>
      <c r="AH207" s="79"/>
      <c r="AI207" s="79"/>
      <c r="AJ207" s="79"/>
      <c r="AK207" s="79"/>
      <c r="AL207" s="79"/>
    </row>
    <row r="208" spans="1:38" s="74" customFormat="1" x14ac:dyDescent="0.25">
      <c r="A208" s="106"/>
      <c r="B208" s="105"/>
      <c r="C208" s="105"/>
      <c r="D208" s="105"/>
      <c r="E208" s="105"/>
      <c r="F208" s="105"/>
      <c r="H208" s="88">
        <v>203</v>
      </c>
      <c r="I208" s="89" t="str">
        <f t="shared" si="14"/>
        <v/>
      </c>
      <c r="J208" s="89" t="e">
        <f t="shared" si="15"/>
        <v>#NUM!</v>
      </c>
      <c r="K208" s="88" t="e">
        <f t="shared" si="16"/>
        <v>#NUM!</v>
      </c>
      <c r="L208" s="88"/>
      <c r="M208" s="90">
        <f t="shared" si="17"/>
        <v>0</v>
      </c>
      <c r="S208" s="79"/>
      <c r="T208" s="79"/>
      <c r="U208" s="79"/>
      <c r="V208" s="79"/>
      <c r="W208" s="79"/>
      <c r="X208" s="79"/>
      <c r="Y208" s="79"/>
      <c r="Z208" s="79"/>
      <c r="AA208" s="79"/>
      <c r="AB208" s="79"/>
      <c r="AC208" s="79"/>
      <c r="AD208" s="79"/>
      <c r="AE208" s="79"/>
      <c r="AF208" s="79"/>
      <c r="AG208" s="79"/>
      <c r="AH208" s="79"/>
      <c r="AI208" s="79"/>
      <c r="AJ208" s="79"/>
      <c r="AK208" s="79"/>
      <c r="AL208" s="79"/>
    </row>
    <row r="209" spans="1:38" s="74" customFormat="1" x14ac:dyDescent="0.25">
      <c r="A209" s="106"/>
      <c r="B209" s="105"/>
      <c r="C209" s="105"/>
      <c r="D209" s="105"/>
      <c r="E209" s="105"/>
      <c r="F209" s="105"/>
      <c r="H209" s="88">
        <v>204</v>
      </c>
      <c r="I209" s="89" t="str">
        <f t="shared" si="14"/>
        <v/>
      </c>
      <c r="J209" s="89" t="e">
        <f t="shared" si="15"/>
        <v>#NUM!</v>
      </c>
      <c r="K209" s="88" t="e">
        <f t="shared" si="16"/>
        <v>#NUM!</v>
      </c>
      <c r="L209" s="88"/>
      <c r="M209" s="90">
        <f t="shared" si="17"/>
        <v>0</v>
      </c>
      <c r="S209" s="79"/>
      <c r="T209" s="79"/>
      <c r="U209" s="79"/>
      <c r="V209" s="79"/>
      <c r="W209" s="79"/>
      <c r="X209" s="79"/>
      <c r="Y209" s="79"/>
      <c r="Z209" s="79"/>
      <c r="AA209" s="79"/>
      <c r="AB209" s="79"/>
      <c r="AC209" s="79"/>
      <c r="AD209" s="79"/>
      <c r="AE209" s="79"/>
      <c r="AF209" s="79"/>
      <c r="AG209" s="79"/>
      <c r="AH209" s="79"/>
      <c r="AI209" s="79"/>
      <c r="AJ209" s="79"/>
      <c r="AK209" s="79"/>
      <c r="AL209" s="79"/>
    </row>
    <row r="210" spans="1:38" s="74" customFormat="1" x14ac:dyDescent="0.25">
      <c r="A210" s="106"/>
      <c r="B210" s="105"/>
      <c r="C210" s="105"/>
      <c r="D210" s="105"/>
      <c r="E210" s="105"/>
      <c r="F210" s="105"/>
      <c r="H210" s="88">
        <v>205</v>
      </c>
      <c r="I210" s="89" t="str">
        <f t="shared" si="14"/>
        <v/>
      </c>
      <c r="J210" s="89" t="e">
        <f t="shared" si="15"/>
        <v>#NUM!</v>
      </c>
      <c r="K210" s="88" t="e">
        <f t="shared" si="16"/>
        <v>#NUM!</v>
      </c>
      <c r="L210" s="88"/>
      <c r="M210" s="90">
        <f t="shared" si="17"/>
        <v>0</v>
      </c>
      <c r="S210" s="79"/>
      <c r="T210" s="79"/>
      <c r="U210" s="79"/>
      <c r="V210" s="79"/>
      <c r="W210" s="79"/>
      <c r="X210" s="79"/>
      <c r="Y210" s="79"/>
      <c r="Z210" s="79"/>
      <c r="AA210" s="79"/>
      <c r="AB210" s="79"/>
      <c r="AC210" s="79"/>
      <c r="AD210" s="79"/>
      <c r="AE210" s="79"/>
      <c r="AF210" s="79"/>
      <c r="AG210" s="79"/>
      <c r="AH210" s="79"/>
      <c r="AI210" s="79"/>
      <c r="AJ210" s="79"/>
      <c r="AK210" s="79"/>
      <c r="AL210" s="79"/>
    </row>
    <row r="211" spans="1:38" s="74" customFormat="1" x14ac:dyDescent="0.25">
      <c r="A211" s="106"/>
      <c r="B211" s="105"/>
      <c r="C211" s="105"/>
      <c r="D211" s="105"/>
      <c r="E211" s="105"/>
      <c r="F211" s="105"/>
      <c r="H211" s="88">
        <v>206</v>
      </c>
      <c r="I211" s="89" t="str">
        <f t="shared" si="14"/>
        <v/>
      </c>
      <c r="J211" s="89" t="e">
        <f t="shared" si="15"/>
        <v>#NUM!</v>
      </c>
      <c r="K211" s="88" t="e">
        <f t="shared" si="16"/>
        <v>#NUM!</v>
      </c>
      <c r="L211" s="88"/>
      <c r="M211" s="90">
        <f t="shared" si="17"/>
        <v>0</v>
      </c>
      <c r="S211" s="79"/>
      <c r="T211" s="79"/>
      <c r="U211" s="79"/>
      <c r="V211" s="79"/>
      <c r="W211" s="79"/>
      <c r="X211" s="79"/>
      <c r="Y211" s="79"/>
      <c r="Z211" s="79"/>
      <c r="AA211" s="79"/>
      <c r="AB211" s="79"/>
      <c r="AC211" s="79"/>
      <c r="AD211" s="79"/>
      <c r="AE211" s="79"/>
      <c r="AF211" s="79"/>
      <c r="AG211" s="79"/>
      <c r="AH211" s="79"/>
      <c r="AI211" s="79"/>
      <c r="AJ211" s="79"/>
      <c r="AK211" s="79"/>
      <c r="AL211" s="79"/>
    </row>
    <row r="212" spans="1:38" s="74" customFormat="1" x14ac:dyDescent="0.25">
      <c r="A212" s="106"/>
      <c r="B212" s="105"/>
      <c r="C212" s="105"/>
      <c r="D212" s="105"/>
      <c r="E212" s="105"/>
      <c r="F212" s="105"/>
      <c r="H212" s="88">
        <v>207</v>
      </c>
      <c r="I212" s="89" t="str">
        <f t="shared" si="14"/>
        <v/>
      </c>
      <c r="J212" s="89" t="e">
        <f t="shared" si="15"/>
        <v>#NUM!</v>
      </c>
      <c r="K212" s="88" t="e">
        <f t="shared" si="16"/>
        <v>#NUM!</v>
      </c>
      <c r="L212" s="88"/>
      <c r="M212" s="90">
        <f t="shared" si="17"/>
        <v>0</v>
      </c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</row>
    <row r="213" spans="1:38" s="74" customFormat="1" x14ac:dyDescent="0.25">
      <c r="A213" s="106"/>
      <c r="B213" s="105"/>
      <c r="C213" s="105"/>
      <c r="D213" s="105"/>
      <c r="E213" s="105"/>
      <c r="F213" s="105"/>
      <c r="H213" s="88">
        <v>208</v>
      </c>
      <c r="I213" s="89" t="str">
        <f t="shared" si="14"/>
        <v/>
      </c>
      <c r="J213" s="89" t="e">
        <f t="shared" si="15"/>
        <v>#NUM!</v>
      </c>
      <c r="K213" s="88" t="e">
        <f t="shared" si="16"/>
        <v>#NUM!</v>
      </c>
      <c r="L213" s="88"/>
      <c r="M213" s="90">
        <f t="shared" si="17"/>
        <v>0</v>
      </c>
      <c r="S213" s="79"/>
      <c r="T213" s="79"/>
      <c r="U213" s="79"/>
      <c r="V213" s="79"/>
      <c r="W213" s="79"/>
      <c r="X213" s="79"/>
      <c r="Y213" s="79"/>
      <c r="Z213" s="79"/>
      <c r="AA213" s="79"/>
      <c r="AB213" s="79"/>
      <c r="AC213" s="79"/>
      <c r="AD213" s="79"/>
      <c r="AE213" s="79"/>
      <c r="AF213" s="79"/>
      <c r="AG213" s="79"/>
      <c r="AH213" s="79"/>
      <c r="AI213" s="79"/>
      <c r="AJ213" s="79"/>
      <c r="AK213" s="79"/>
      <c r="AL213" s="79"/>
    </row>
    <row r="214" spans="1:38" s="74" customFormat="1" x14ac:dyDescent="0.25">
      <c r="A214" s="106"/>
      <c r="B214" s="105"/>
      <c r="C214" s="105"/>
      <c r="D214" s="105"/>
      <c r="E214" s="105"/>
      <c r="F214" s="105"/>
      <c r="H214" s="88">
        <v>209</v>
      </c>
      <c r="I214" s="89" t="str">
        <f t="shared" si="14"/>
        <v/>
      </c>
      <c r="J214" s="89" t="e">
        <f t="shared" si="15"/>
        <v>#NUM!</v>
      </c>
      <c r="K214" s="88" t="e">
        <f t="shared" si="16"/>
        <v>#NUM!</v>
      </c>
      <c r="L214" s="88"/>
      <c r="M214" s="90">
        <f t="shared" si="17"/>
        <v>0</v>
      </c>
      <c r="S214" s="79"/>
      <c r="T214" s="79"/>
      <c r="U214" s="79"/>
      <c r="V214" s="79"/>
      <c r="W214" s="79"/>
      <c r="X214" s="79"/>
      <c r="Y214" s="79"/>
      <c r="Z214" s="79"/>
      <c r="AA214" s="79"/>
      <c r="AB214" s="79"/>
      <c r="AC214" s="79"/>
      <c r="AD214" s="79"/>
      <c r="AE214" s="79"/>
      <c r="AF214" s="79"/>
      <c r="AG214" s="79"/>
      <c r="AH214" s="79"/>
      <c r="AI214" s="79"/>
      <c r="AJ214" s="79"/>
      <c r="AK214" s="79"/>
      <c r="AL214" s="79"/>
    </row>
    <row r="215" spans="1:38" s="74" customFormat="1" x14ac:dyDescent="0.25">
      <c r="A215" s="106"/>
      <c r="B215" s="105"/>
      <c r="C215" s="105"/>
      <c r="D215" s="105"/>
      <c r="E215" s="105"/>
      <c r="F215" s="105"/>
      <c r="H215" s="88">
        <v>210</v>
      </c>
      <c r="I215" s="89" t="str">
        <f t="shared" si="14"/>
        <v/>
      </c>
      <c r="J215" s="89" t="e">
        <f t="shared" si="15"/>
        <v>#NUM!</v>
      </c>
      <c r="K215" s="88" t="e">
        <f t="shared" si="16"/>
        <v>#NUM!</v>
      </c>
      <c r="L215" s="88"/>
      <c r="M215" s="90">
        <f t="shared" si="17"/>
        <v>0</v>
      </c>
      <c r="S215" s="79"/>
      <c r="T215" s="79"/>
      <c r="U215" s="79"/>
      <c r="V215" s="79"/>
      <c r="W215" s="79"/>
      <c r="X215" s="79"/>
      <c r="Y215" s="79"/>
      <c r="Z215" s="79"/>
      <c r="AA215" s="79"/>
      <c r="AB215" s="79"/>
      <c r="AC215" s="79"/>
      <c r="AD215" s="79"/>
      <c r="AE215" s="79"/>
      <c r="AF215" s="79"/>
      <c r="AG215" s="79"/>
      <c r="AH215" s="79"/>
      <c r="AI215" s="79"/>
      <c r="AJ215" s="79"/>
      <c r="AK215" s="79"/>
      <c r="AL215" s="79"/>
    </row>
    <row r="216" spans="1:38" s="74" customFormat="1" x14ac:dyDescent="0.25">
      <c r="A216" s="106"/>
      <c r="B216" s="105"/>
      <c r="C216" s="105"/>
      <c r="D216" s="105"/>
      <c r="E216" s="105"/>
      <c r="F216" s="105"/>
      <c r="H216" s="88">
        <v>211</v>
      </c>
      <c r="I216" s="89" t="str">
        <f t="shared" si="14"/>
        <v/>
      </c>
      <c r="J216" s="89" t="e">
        <f t="shared" si="15"/>
        <v>#NUM!</v>
      </c>
      <c r="K216" s="88" t="e">
        <f t="shared" si="16"/>
        <v>#NUM!</v>
      </c>
      <c r="L216" s="88"/>
      <c r="M216" s="90">
        <f t="shared" si="17"/>
        <v>0</v>
      </c>
      <c r="S216" s="79"/>
      <c r="T216" s="79"/>
      <c r="U216" s="79"/>
      <c r="V216" s="79"/>
      <c r="W216" s="79"/>
      <c r="X216" s="79"/>
      <c r="Y216" s="79"/>
      <c r="Z216" s="79"/>
      <c r="AA216" s="79"/>
      <c r="AB216" s="79"/>
      <c r="AC216" s="79"/>
      <c r="AD216" s="79"/>
      <c r="AE216" s="79"/>
      <c r="AF216" s="79"/>
      <c r="AG216" s="79"/>
      <c r="AH216" s="79"/>
      <c r="AI216" s="79"/>
      <c r="AJ216" s="79"/>
      <c r="AK216" s="79"/>
      <c r="AL216" s="79"/>
    </row>
    <row r="217" spans="1:38" s="74" customFormat="1" x14ac:dyDescent="0.25">
      <c r="A217" s="106"/>
      <c r="B217" s="105"/>
      <c r="C217" s="105"/>
      <c r="D217" s="105"/>
      <c r="E217" s="105"/>
      <c r="F217" s="105"/>
      <c r="H217" s="88">
        <v>212</v>
      </c>
      <c r="I217" s="89" t="str">
        <f t="shared" si="14"/>
        <v/>
      </c>
      <c r="J217" s="89" t="e">
        <f t="shared" si="15"/>
        <v>#NUM!</v>
      </c>
      <c r="K217" s="88" t="e">
        <f t="shared" si="16"/>
        <v>#NUM!</v>
      </c>
      <c r="L217" s="88"/>
      <c r="M217" s="90">
        <f t="shared" si="17"/>
        <v>0</v>
      </c>
      <c r="S217" s="79"/>
      <c r="T217" s="79"/>
      <c r="U217" s="79"/>
      <c r="V217" s="79"/>
      <c r="W217" s="79"/>
      <c r="X217" s="79"/>
      <c r="Y217" s="79"/>
      <c r="Z217" s="79"/>
      <c r="AA217" s="79"/>
      <c r="AB217" s="79"/>
      <c r="AC217" s="79"/>
      <c r="AD217" s="79"/>
      <c r="AE217" s="79"/>
      <c r="AF217" s="79"/>
      <c r="AG217" s="79"/>
      <c r="AH217" s="79"/>
      <c r="AI217" s="79"/>
      <c r="AJ217" s="79"/>
      <c r="AK217" s="79"/>
      <c r="AL217" s="79"/>
    </row>
    <row r="218" spans="1:38" s="74" customFormat="1" x14ac:dyDescent="0.25">
      <c r="A218" s="106"/>
      <c r="B218" s="105"/>
      <c r="C218" s="105"/>
      <c r="D218" s="105"/>
      <c r="E218" s="105"/>
      <c r="F218" s="105"/>
      <c r="H218" s="88">
        <v>213</v>
      </c>
      <c r="I218" s="89" t="str">
        <f t="shared" si="14"/>
        <v/>
      </c>
      <c r="J218" s="89" t="e">
        <f t="shared" si="15"/>
        <v>#NUM!</v>
      </c>
      <c r="K218" s="88" t="e">
        <f t="shared" si="16"/>
        <v>#NUM!</v>
      </c>
      <c r="L218" s="88"/>
      <c r="M218" s="90">
        <f t="shared" si="17"/>
        <v>0</v>
      </c>
      <c r="S218" s="79"/>
      <c r="T218" s="79"/>
      <c r="U218" s="79"/>
      <c r="V218" s="79"/>
      <c r="W218" s="79"/>
      <c r="X218" s="79"/>
      <c r="Y218" s="79"/>
      <c r="Z218" s="79"/>
      <c r="AA218" s="79"/>
      <c r="AB218" s="79"/>
      <c r="AC218" s="79"/>
      <c r="AD218" s="79"/>
      <c r="AE218" s="79"/>
      <c r="AF218" s="79"/>
      <c r="AG218" s="79"/>
      <c r="AH218" s="79"/>
      <c r="AI218" s="79"/>
      <c r="AJ218" s="79"/>
      <c r="AK218" s="79"/>
      <c r="AL218" s="79"/>
    </row>
    <row r="219" spans="1:38" s="74" customFormat="1" x14ac:dyDescent="0.25">
      <c r="A219" s="106"/>
      <c r="B219" s="105"/>
      <c r="C219" s="105"/>
      <c r="D219" s="105"/>
      <c r="E219" s="105"/>
      <c r="F219" s="105"/>
      <c r="H219" s="88">
        <v>214</v>
      </c>
      <c r="I219" s="89" t="str">
        <f t="shared" si="14"/>
        <v/>
      </c>
      <c r="J219" s="89" t="e">
        <f t="shared" si="15"/>
        <v>#NUM!</v>
      </c>
      <c r="K219" s="88" t="e">
        <f t="shared" si="16"/>
        <v>#NUM!</v>
      </c>
      <c r="L219" s="88"/>
      <c r="M219" s="90">
        <f t="shared" si="17"/>
        <v>0</v>
      </c>
      <c r="S219" s="79"/>
      <c r="T219" s="79"/>
      <c r="U219" s="79"/>
      <c r="V219" s="79"/>
      <c r="W219" s="79"/>
      <c r="X219" s="79"/>
      <c r="Y219" s="79"/>
      <c r="Z219" s="79"/>
      <c r="AA219" s="79"/>
      <c r="AB219" s="79"/>
      <c r="AC219" s="79"/>
      <c r="AD219" s="79"/>
      <c r="AE219" s="79"/>
      <c r="AF219" s="79"/>
      <c r="AG219" s="79"/>
      <c r="AH219" s="79"/>
      <c r="AI219" s="79"/>
      <c r="AJ219" s="79"/>
      <c r="AK219" s="79"/>
      <c r="AL219" s="79"/>
    </row>
    <row r="220" spans="1:38" s="74" customFormat="1" x14ac:dyDescent="0.25">
      <c r="A220" s="106"/>
      <c r="B220" s="105"/>
      <c r="C220" s="105"/>
      <c r="D220" s="105"/>
      <c r="E220" s="105"/>
      <c r="F220" s="105"/>
      <c r="H220" s="88">
        <v>215</v>
      </c>
      <c r="I220" s="89" t="str">
        <f t="shared" si="14"/>
        <v/>
      </c>
      <c r="J220" s="89" t="e">
        <f t="shared" si="15"/>
        <v>#NUM!</v>
      </c>
      <c r="K220" s="88" t="e">
        <f t="shared" si="16"/>
        <v>#NUM!</v>
      </c>
      <c r="L220" s="88"/>
      <c r="M220" s="90">
        <f t="shared" si="17"/>
        <v>0</v>
      </c>
      <c r="S220" s="79"/>
      <c r="T220" s="79"/>
      <c r="U220" s="79"/>
      <c r="V220" s="79"/>
      <c r="W220" s="79"/>
      <c r="X220" s="79"/>
      <c r="Y220" s="79"/>
      <c r="Z220" s="79"/>
      <c r="AA220" s="79"/>
      <c r="AB220" s="79"/>
      <c r="AC220" s="79"/>
      <c r="AD220" s="79"/>
      <c r="AE220" s="79"/>
      <c r="AF220" s="79"/>
      <c r="AG220" s="79"/>
      <c r="AH220" s="79"/>
      <c r="AI220" s="79"/>
      <c r="AJ220" s="79"/>
      <c r="AK220" s="79"/>
      <c r="AL220" s="79"/>
    </row>
    <row r="221" spans="1:38" s="74" customFormat="1" x14ac:dyDescent="0.25">
      <c r="A221" s="106"/>
      <c r="B221" s="105"/>
      <c r="C221" s="105"/>
      <c r="D221" s="105"/>
      <c r="E221" s="105"/>
      <c r="F221" s="105"/>
      <c r="H221" s="88">
        <v>216</v>
      </c>
      <c r="I221" s="89" t="str">
        <f t="shared" si="14"/>
        <v/>
      </c>
      <c r="J221" s="89" t="e">
        <f t="shared" si="15"/>
        <v>#NUM!</v>
      </c>
      <c r="K221" s="88" t="e">
        <f t="shared" si="16"/>
        <v>#NUM!</v>
      </c>
      <c r="L221" s="88"/>
      <c r="M221" s="90">
        <f t="shared" si="17"/>
        <v>0</v>
      </c>
      <c r="S221" s="79"/>
      <c r="T221" s="79"/>
      <c r="U221" s="79"/>
      <c r="V221" s="79"/>
      <c r="W221" s="79"/>
      <c r="X221" s="79"/>
      <c r="Y221" s="79"/>
      <c r="Z221" s="79"/>
      <c r="AA221" s="79"/>
      <c r="AB221" s="79"/>
      <c r="AC221" s="79"/>
      <c r="AD221" s="79"/>
      <c r="AE221" s="79"/>
      <c r="AF221" s="79"/>
      <c r="AG221" s="79"/>
      <c r="AH221" s="79"/>
      <c r="AI221" s="79"/>
      <c r="AJ221" s="79"/>
      <c r="AK221" s="79"/>
      <c r="AL221" s="79"/>
    </row>
    <row r="222" spans="1:38" s="74" customFormat="1" x14ac:dyDescent="0.25">
      <c r="A222" s="106"/>
      <c r="B222" s="105"/>
      <c r="C222" s="105"/>
      <c r="D222" s="105"/>
      <c r="E222" s="105"/>
      <c r="F222" s="105"/>
      <c r="H222" s="88">
        <v>217</v>
      </c>
      <c r="I222" s="89" t="str">
        <f t="shared" si="14"/>
        <v/>
      </c>
      <c r="J222" s="89" t="e">
        <f t="shared" si="15"/>
        <v>#NUM!</v>
      </c>
      <c r="K222" s="88" t="e">
        <f t="shared" si="16"/>
        <v>#NUM!</v>
      </c>
      <c r="L222" s="88"/>
      <c r="M222" s="90">
        <f t="shared" si="17"/>
        <v>0</v>
      </c>
      <c r="S222" s="79"/>
      <c r="T222" s="79"/>
      <c r="U222" s="79"/>
      <c r="V222" s="79"/>
      <c r="W222" s="79"/>
      <c r="X222" s="79"/>
      <c r="Y222" s="79"/>
      <c r="Z222" s="79"/>
      <c r="AA222" s="79"/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</row>
    <row r="223" spans="1:38" s="74" customFormat="1" x14ac:dyDescent="0.25">
      <c r="A223" s="106"/>
      <c r="B223" s="105"/>
      <c r="C223" s="105"/>
      <c r="D223" s="105"/>
      <c r="E223" s="105"/>
      <c r="F223" s="105"/>
      <c r="H223" s="88">
        <v>218</v>
      </c>
      <c r="I223" s="89" t="str">
        <f t="shared" si="14"/>
        <v/>
      </c>
      <c r="J223" s="89" t="e">
        <f t="shared" si="15"/>
        <v>#NUM!</v>
      </c>
      <c r="K223" s="88" t="e">
        <f t="shared" si="16"/>
        <v>#NUM!</v>
      </c>
      <c r="L223" s="88"/>
      <c r="M223" s="90">
        <f t="shared" si="17"/>
        <v>0</v>
      </c>
      <c r="S223" s="79"/>
      <c r="T223" s="79"/>
      <c r="U223" s="79"/>
      <c r="V223" s="79"/>
      <c r="W223" s="79"/>
      <c r="X223" s="79"/>
      <c r="Y223" s="79"/>
      <c r="Z223" s="79"/>
      <c r="AA223" s="79"/>
      <c r="AB223" s="79"/>
      <c r="AC223" s="79"/>
      <c r="AD223" s="79"/>
      <c r="AE223" s="79"/>
      <c r="AF223" s="79"/>
      <c r="AG223" s="79"/>
      <c r="AH223" s="79"/>
      <c r="AI223" s="79"/>
      <c r="AJ223" s="79"/>
      <c r="AK223" s="79"/>
      <c r="AL223" s="79"/>
    </row>
    <row r="224" spans="1:38" s="74" customFormat="1" x14ac:dyDescent="0.25">
      <c r="A224" s="106"/>
      <c r="B224" s="105"/>
      <c r="C224" s="105"/>
      <c r="D224" s="105"/>
      <c r="E224" s="105"/>
      <c r="F224" s="105"/>
      <c r="H224" s="88">
        <v>219</v>
      </c>
      <c r="I224" s="89" t="str">
        <f t="shared" si="14"/>
        <v/>
      </c>
      <c r="J224" s="89" t="e">
        <f t="shared" si="15"/>
        <v>#NUM!</v>
      </c>
      <c r="K224" s="88" t="e">
        <f t="shared" si="16"/>
        <v>#NUM!</v>
      </c>
      <c r="L224" s="88"/>
      <c r="M224" s="90">
        <f t="shared" si="17"/>
        <v>0</v>
      </c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</row>
    <row r="225" spans="1:38" s="74" customFormat="1" x14ac:dyDescent="0.25">
      <c r="A225" s="106"/>
      <c r="B225" s="105"/>
      <c r="C225" s="105"/>
      <c r="D225" s="105"/>
      <c r="E225" s="105"/>
      <c r="F225" s="105"/>
      <c r="H225" s="88">
        <v>220</v>
      </c>
      <c r="I225" s="89" t="str">
        <f t="shared" si="14"/>
        <v/>
      </c>
      <c r="J225" s="89" t="e">
        <f t="shared" si="15"/>
        <v>#NUM!</v>
      </c>
      <c r="K225" s="88" t="e">
        <f t="shared" si="16"/>
        <v>#NUM!</v>
      </c>
      <c r="L225" s="88"/>
      <c r="M225" s="90">
        <f t="shared" si="17"/>
        <v>0</v>
      </c>
      <c r="S225" s="79"/>
      <c r="T225" s="79"/>
      <c r="U225" s="79"/>
      <c r="V225" s="79"/>
      <c r="W225" s="79"/>
      <c r="X225" s="79"/>
      <c r="Y225" s="79"/>
      <c r="Z225" s="79"/>
      <c r="AA225" s="79"/>
      <c r="AB225" s="79"/>
      <c r="AC225" s="79"/>
      <c r="AD225" s="79"/>
      <c r="AE225" s="79"/>
      <c r="AF225" s="79"/>
      <c r="AG225" s="79"/>
      <c r="AH225" s="79"/>
      <c r="AI225" s="79"/>
      <c r="AJ225" s="79"/>
      <c r="AK225" s="79"/>
      <c r="AL225" s="79"/>
    </row>
    <row r="226" spans="1:38" s="74" customFormat="1" x14ac:dyDescent="0.25">
      <c r="A226" s="106"/>
      <c r="B226" s="105"/>
      <c r="C226" s="105"/>
      <c r="D226" s="105"/>
      <c r="E226" s="105"/>
      <c r="F226" s="105"/>
      <c r="H226" s="88">
        <v>221</v>
      </c>
      <c r="I226" s="89" t="str">
        <f t="shared" si="14"/>
        <v/>
      </c>
      <c r="J226" s="89" t="e">
        <f t="shared" si="15"/>
        <v>#NUM!</v>
      </c>
      <c r="K226" s="88" t="e">
        <f t="shared" si="16"/>
        <v>#NUM!</v>
      </c>
      <c r="L226" s="88"/>
      <c r="M226" s="90">
        <f t="shared" si="17"/>
        <v>0</v>
      </c>
      <c r="S226" s="79"/>
      <c r="T226" s="79"/>
      <c r="U226" s="79"/>
      <c r="V226" s="79"/>
      <c r="W226" s="79"/>
      <c r="X226" s="79"/>
      <c r="Y226" s="79"/>
      <c r="Z226" s="79"/>
      <c r="AA226" s="79"/>
      <c r="AB226" s="79"/>
      <c r="AC226" s="79"/>
      <c r="AD226" s="79"/>
      <c r="AE226" s="79"/>
      <c r="AF226" s="79"/>
      <c r="AG226" s="79"/>
      <c r="AH226" s="79"/>
      <c r="AI226" s="79"/>
      <c r="AJ226" s="79"/>
      <c r="AK226" s="79"/>
      <c r="AL226" s="79"/>
    </row>
    <row r="227" spans="1:38" s="74" customFormat="1" x14ac:dyDescent="0.25">
      <c r="A227" s="106"/>
      <c r="B227" s="105"/>
      <c r="C227" s="105"/>
      <c r="D227" s="105"/>
      <c r="E227" s="105"/>
      <c r="F227" s="105"/>
      <c r="H227" s="88">
        <v>222</v>
      </c>
      <c r="I227" s="89" t="str">
        <f t="shared" si="14"/>
        <v/>
      </c>
      <c r="J227" s="89" t="e">
        <f t="shared" si="15"/>
        <v>#NUM!</v>
      </c>
      <c r="K227" s="88" t="e">
        <f t="shared" si="16"/>
        <v>#NUM!</v>
      </c>
      <c r="L227" s="88"/>
      <c r="M227" s="90">
        <f t="shared" si="17"/>
        <v>0</v>
      </c>
      <c r="S227" s="79"/>
      <c r="T227" s="79"/>
      <c r="U227" s="79"/>
      <c r="V227" s="79"/>
      <c r="W227" s="79"/>
      <c r="X227" s="79"/>
      <c r="Y227" s="79"/>
      <c r="Z227" s="79"/>
      <c r="AA227" s="79"/>
      <c r="AB227" s="79"/>
      <c r="AC227" s="79"/>
      <c r="AD227" s="79"/>
      <c r="AE227" s="79"/>
      <c r="AF227" s="79"/>
      <c r="AG227" s="79"/>
      <c r="AH227" s="79"/>
      <c r="AI227" s="79"/>
      <c r="AJ227" s="79"/>
      <c r="AK227" s="79"/>
      <c r="AL227" s="79"/>
    </row>
    <row r="228" spans="1:38" s="74" customFormat="1" x14ac:dyDescent="0.25">
      <c r="A228" s="106"/>
      <c r="B228" s="105"/>
      <c r="C228" s="105"/>
      <c r="D228" s="105"/>
      <c r="E228" s="105"/>
      <c r="F228" s="105"/>
      <c r="H228" s="88">
        <v>223</v>
      </c>
      <c r="I228" s="89" t="str">
        <f t="shared" si="14"/>
        <v/>
      </c>
      <c r="J228" s="89" t="e">
        <f t="shared" si="15"/>
        <v>#NUM!</v>
      </c>
      <c r="K228" s="88" t="e">
        <f t="shared" si="16"/>
        <v>#NUM!</v>
      </c>
      <c r="L228" s="88"/>
      <c r="M228" s="90">
        <f t="shared" si="17"/>
        <v>0</v>
      </c>
      <c r="S228" s="79"/>
      <c r="T228" s="79"/>
      <c r="U228" s="79"/>
      <c r="V228" s="79"/>
      <c r="W228" s="79"/>
      <c r="X228" s="79"/>
      <c r="Y228" s="79"/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J228" s="79"/>
      <c r="AK228" s="79"/>
      <c r="AL228" s="79"/>
    </row>
    <row r="229" spans="1:38" s="74" customFormat="1" x14ac:dyDescent="0.25">
      <c r="A229" s="106"/>
      <c r="B229" s="105"/>
      <c r="C229" s="105"/>
      <c r="D229" s="105"/>
      <c r="E229" s="105"/>
      <c r="F229" s="105"/>
      <c r="H229" s="88">
        <v>224</v>
      </c>
      <c r="I229" s="89" t="str">
        <f t="shared" si="14"/>
        <v/>
      </c>
      <c r="J229" s="89" t="e">
        <f t="shared" si="15"/>
        <v>#NUM!</v>
      </c>
      <c r="K229" s="88" t="e">
        <f t="shared" si="16"/>
        <v>#NUM!</v>
      </c>
      <c r="L229" s="88"/>
      <c r="M229" s="90">
        <f t="shared" si="17"/>
        <v>0</v>
      </c>
      <c r="S229" s="79"/>
      <c r="T229" s="79"/>
      <c r="U229" s="79"/>
      <c r="V229" s="79"/>
      <c r="W229" s="79"/>
      <c r="X229" s="79"/>
      <c r="Y229" s="79"/>
      <c r="Z229" s="79"/>
      <c r="AA229" s="79"/>
      <c r="AB229" s="79"/>
      <c r="AC229" s="79"/>
      <c r="AD229" s="79"/>
      <c r="AE229" s="79"/>
      <c r="AF229" s="79"/>
      <c r="AG229" s="79"/>
      <c r="AH229" s="79"/>
      <c r="AI229" s="79"/>
      <c r="AJ229" s="79"/>
      <c r="AK229" s="79"/>
      <c r="AL229" s="79"/>
    </row>
    <row r="230" spans="1:38" s="74" customFormat="1" x14ac:dyDescent="0.25">
      <c r="A230" s="106"/>
      <c r="B230" s="105"/>
      <c r="C230" s="105"/>
      <c r="D230" s="105"/>
      <c r="E230" s="105"/>
      <c r="F230" s="105"/>
      <c r="H230" s="88">
        <v>225</v>
      </c>
      <c r="I230" s="89" t="str">
        <f t="shared" si="14"/>
        <v/>
      </c>
      <c r="J230" s="89" t="e">
        <f t="shared" si="15"/>
        <v>#NUM!</v>
      </c>
      <c r="K230" s="88" t="e">
        <f t="shared" si="16"/>
        <v>#NUM!</v>
      </c>
      <c r="L230" s="88"/>
      <c r="M230" s="90">
        <f t="shared" si="17"/>
        <v>0</v>
      </c>
      <c r="S230" s="79"/>
      <c r="T230" s="79"/>
      <c r="U230" s="79"/>
      <c r="V230" s="79"/>
      <c r="W230" s="79"/>
      <c r="X230" s="79"/>
      <c r="Y230" s="79"/>
      <c r="Z230" s="79"/>
      <c r="AA230" s="79"/>
      <c r="AB230" s="79"/>
      <c r="AC230" s="79"/>
      <c r="AD230" s="79"/>
      <c r="AE230" s="79"/>
      <c r="AF230" s="79"/>
      <c r="AG230" s="79"/>
      <c r="AH230" s="79"/>
      <c r="AI230" s="79"/>
      <c r="AJ230" s="79"/>
      <c r="AK230" s="79"/>
      <c r="AL230" s="79"/>
    </row>
    <row r="231" spans="1:38" s="74" customFormat="1" x14ac:dyDescent="0.25">
      <c r="A231" s="106"/>
      <c r="B231" s="105"/>
      <c r="C231" s="105"/>
      <c r="D231" s="105"/>
      <c r="E231" s="105"/>
      <c r="F231" s="105"/>
      <c r="H231" s="88">
        <v>226</v>
      </c>
      <c r="I231" s="89" t="str">
        <f t="shared" si="14"/>
        <v/>
      </c>
      <c r="J231" s="89" t="e">
        <f t="shared" si="15"/>
        <v>#NUM!</v>
      </c>
      <c r="K231" s="88" t="e">
        <f t="shared" si="16"/>
        <v>#NUM!</v>
      </c>
      <c r="L231" s="88"/>
      <c r="M231" s="90">
        <f t="shared" si="17"/>
        <v>0</v>
      </c>
      <c r="S231" s="79"/>
      <c r="T231" s="79"/>
      <c r="U231" s="79"/>
      <c r="V231" s="79"/>
      <c r="W231" s="79"/>
      <c r="X231" s="79"/>
      <c r="Y231" s="79"/>
      <c r="Z231" s="79"/>
      <c r="AA231" s="79"/>
      <c r="AB231" s="79"/>
      <c r="AC231" s="79"/>
      <c r="AD231" s="79"/>
      <c r="AE231" s="79"/>
      <c r="AF231" s="79"/>
      <c r="AG231" s="79"/>
      <c r="AH231" s="79"/>
      <c r="AI231" s="79"/>
      <c r="AJ231" s="79"/>
      <c r="AK231" s="79"/>
      <c r="AL231" s="79"/>
    </row>
    <row r="232" spans="1:38" s="74" customFormat="1" x14ac:dyDescent="0.25">
      <c r="A232" s="106"/>
      <c r="B232" s="105"/>
      <c r="C232" s="105"/>
      <c r="D232" s="105"/>
      <c r="E232" s="105"/>
      <c r="F232" s="105"/>
      <c r="H232" s="88">
        <v>227</v>
      </c>
      <c r="I232" s="89" t="str">
        <f t="shared" si="14"/>
        <v/>
      </c>
      <c r="J232" s="89" t="e">
        <f t="shared" si="15"/>
        <v>#NUM!</v>
      </c>
      <c r="K232" s="88" t="e">
        <f t="shared" si="16"/>
        <v>#NUM!</v>
      </c>
      <c r="L232" s="88"/>
      <c r="M232" s="90">
        <f t="shared" si="17"/>
        <v>0</v>
      </c>
      <c r="S232" s="79"/>
      <c r="T232" s="79"/>
      <c r="U232" s="79"/>
      <c r="V232" s="79"/>
      <c r="W232" s="79"/>
      <c r="X232" s="79"/>
      <c r="Y232" s="79"/>
      <c r="Z232" s="79"/>
      <c r="AA232" s="79"/>
      <c r="AB232" s="79"/>
      <c r="AC232" s="79"/>
      <c r="AD232" s="79"/>
      <c r="AE232" s="79"/>
      <c r="AF232" s="79"/>
      <c r="AG232" s="79"/>
      <c r="AH232" s="79"/>
      <c r="AI232" s="79"/>
      <c r="AJ232" s="79"/>
      <c r="AK232" s="79"/>
      <c r="AL232" s="79"/>
    </row>
    <row r="233" spans="1:38" s="74" customFormat="1" x14ac:dyDescent="0.25">
      <c r="A233" s="106"/>
      <c r="B233" s="105"/>
      <c r="C233" s="105"/>
      <c r="D233" s="105"/>
      <c r="E233" s="105"/>
      <c r="F233" s="105"/>
      <c r="H233" s="88">
        <v>228</v>
      </c>
      <c r="I233" s="89" t="str">
        <f t="shared" si="14"/>
        <v/>
      </c>
      <c r="J233" s="89" t="e">
        <f t="shared" si="15"/>
        <v>#NUM!</v>
      </c>
      <c r="K233" s="88" t="e">
        <f t="shared" si="16"/>
        <v>#NUM!</v>
      </c>
      <c r="L233" s="88"/>
      <c r="M233" s="90">
        <f t="shared" si="17"/>
        <v>0</v>
      </c>
      <c r="S233" s="79"/>
      <c r="T233" s="79"/>
      <c r="U233" s="79"/>
      <c r="V233" s="79"/>
      <c r="W233" s="79"/>
      <c r="X233" s="79"/>
      <c r="Y233" s="79"/>
      <c r="Z233" s="79"/>
      <c r="AA233" s="79"/>
      <c r="AB233" s="79"/>
      <c r="AC233" s="79"/>
      <c r="AD233" s="79"/>
      <c r="AE233" s="79"/>
      <c r="AF233" s="79"/>
      <c r="AG233" s="79"/>
      <c r="AH233" s="79"/>
      <c r="AI233" s="79"/>
      <c r="AJ233" s="79"/>
      <c r="AK233" s="79"/>
      <c r="AL233" s="79"/>
    </row>
    <row r="234" spans="1:38" s="74" customFormat="1" x14ac:dyDescent="0.25">
      <c r="A234" s="106"/>
      <c r="B234" s="105"/>
      <c r="C234" s="105"/>
      <c r="D234" s="105"/>
      <c r="E234" s="105"/>
      <c r="F234" s="105"/>
      <c r="H234" s="88">
        <v>229</v>
      </c>
      <c r="I234" s="89" t="str">
        <f t="shared" si="14"/>
        <v/>
      </c>
      <c r="J234" s="89" t="e">
        <f t="shared" si="15"/>
        <v>#NUM!</v>
      </c>
      <c r="K234" s="88" t="e">
        <f t="shared" si="16"/>
        <v>#NUM!</v>
      </c>
      <c r="L234" s="88"/>
      <c r="M234" s="90">
        <f t="shared" si="17"/>
        <v>0</v>
      </c>
      <c r="S234" s="79"/>
      <c r="T234" s="79"/>
      <c r="U234" s="79"/>
      <c r="V234" s="79"/>
      <c r="W234" s="79"/>
      <c r="X234" s="79"/>
      <c r="Y234" s="79"/>
      <c r="Z234" s="79"/>
      <c r="AA234" s="79"/>
      <c r="AB234" s="79"/>
      <c r="AC234" s="79"/>
      <c r="AD234" s="79"/>
      <c r="AE234" s="79"/>
      <c r="AF234" s="79"/>
      <c r="AG234" s="79"/>
      <c r="AH234" s="79"/>
      <c r="AI234" s="79"/>
      <c r="AJ234" s="79"/>
      <c r="AK234" s="79"/>
      <c r="AL234" s="79"/>
    </row>
    <row r="235" spans="1:38" s="74" customFormat="1" x14ac:dyDescent="0.25">
      <c r="A235" s="106"/>
      <c r="B235" s="105"/>
      <c r="C235" s="105"/>
      <c r="D235" s="105"/>
      <c r="E235" s="105"/>
      <c r="F235" s="105"/>
      <c r="H235" s="88">
        <v>230</v>
      </c>
      <c r="I235" s="89" t="str">
        <f t="shared" si="14"/>
        <v/>
      </c>
      <c r="J235" s="89" t="e">
        <f t="shared" si="15"/>
        <v>#NUM!</v>
      </c>
      <c r="K235" s="88" t="e">
        <f t="shared" si="16"/>
        <v>#NUM!</v>
      </c>
      <c r="L235" s="88"/>
      <c r="M235" s="90">
        <f t="shared" si="17"/>
        <v>0</v>
      </c>
      <c r="S235" s="79"/>
      <c r="T235" s="79"/>
      <c r="U235" s="79"/>
      <c r="V235" s="79"/>
      <c r="W235" s="79"/>
      <c r="X235" s="79"/>
      <c r="Y235" s="79"/>
      <c r="Z235" s="79"/>
      <c r="AA235" s="79"/>
      <c r="AB235" s="79"/>
      <c r="AC235" s="79"/>
      <c r="AD235" s="79"/>
      <c r="AE235" s="79"/>
      <c r="AF235" s="79"/>
      <c r="AG235" s="79"/>
      <c r="AH235" s="79"/>
      <c r="AI235" s="79"/>
      <c r="AJ235" s="79"/>
      <c r="AK235" s="79"/>
      <c r="AL235" s="79"/>
    </row>
    <row r="236" spans="1:38" s="74" customFormat="1" x14ac:dyDescent="0.25">
      <c r="A236" s="106"/>
      <c r="B236" s="105"/>
      <c r="C236" s="105"/>
      <c r="D236" s="105"/>
      <c r="E236" s="105"/>
      <c r="F236" s="105"/>
      <c r="H236" s="88">
        <v>231</v>
      </c>
      <c r="I236" s="89" t="str">
        <f t="shared" si="14"/>
        <v/>
      </c>
      <c r="J236" s="89" t="e">
        <f t="shared" si="15"/>
        <v>#NUM!</v>
      </c>
      <c r="K236" s="88" t="e">
        <f t="shared" si="16"/>
        <v>#NUM!</v>
      </c>
      <c r="L236" s="88"/>
      <c r="M236" s="90">
        <f t="shared" si="17"/>
        <v>0</v>
      </c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</row>
    <row r="237" spans="1:38" s="74" customFormat="1" x14ac:dyDescent="0.25">
      <c r="A237" s="106"/>
      <c r="B237" s="105"/>
      <c r="C237" s="105"/>
      <c r="D237" s="105"/>
      <c r="E237" s="105"/>
      <c r="F237" s="105"/>
      <c r="H237" s="88">
        <v>232</v>
      </c>
      <c r="I237" s="89" t="str">
        <f t="shared" si="14"/>
        <v/>
      </c>
      <c r="J237" s="89" t="e">
        <f t="shared" si="15"/>
        <v>#NUM!</v>
      </c>
      <c r="K237" s="88" t="e">
        <f t="shared" si="16"/>
        <v>#NUM!</v>
      </c>
      <c r="L237" s="88"/>
      <c r="M237" s="90">
        <f t="shared" si="17"/>
        <v>0</v>
      </c>
      <c r="S237" s="79"/>
      <c r="T237" s="79"/>
      <c r="U237" s="79"/>
      <c r="V237" s="79"/>
      <c r="W237" s="79"/>
      <c r="X237" s="79"/>
      <c r="Y237" s="79"/>
      <c r="Z237" s="79"/>
      <c r="AA237" s="79"/>
      <c r="AB237" s="79"/>
      <c r="AC237" s="79"/>
      <c r="AD237" s="79"/>
      <c r="AE237" s="79"/>
      <c r="AF237" s="79"/>
      <c r="AG237" s="79"/>
      <c r="AH237" s="79"/>
      <c r="AI237" s="79"/>
      <c r="AJ237" s="79"/>
      <c r="AK237" s="79"/>
      <c r="AL237" s="79"/>
    </row>
    <row r="238" spans="1:38" s="74" customFormat="1" x14ac:dyDescent="0.25">
      <c r="A238" s="106"/>
      <c r="B238" s="105"/>
      <c r="C238" s="105"/>
      <c r="D238" s="105"/>
      <c r="E238" s="105"/>
      <c r="F238" s="105"/>
      <c r="H238" s="88">
        <v>233</v>
      </c>
      <c r="I238" s="89" t="str">
        <f t="shared" si="14"/>
        <v/>
      </c>
      <c r="J238" s="89" t="e">
        <f t="shared" si="15"/>
        <v>#NUM!</v>
      </c>
      <c r="K238" s="88" t="e">
        <f t="shared" si="16"/>
        <v>#NUM!</v>
      </c>
      <c r="L238" s="88"/>
      <c r="M238" s="90">
        <f t="shared" si="17"/>
        <v>0</v>
      </c>
      <c r="S238" s="79"/>
      <c r="T238" s="79"/>
      <c r="U238" s="79"/>
      <c r="V238" s="79"/>
      <c r="W238" s="79"/>
      <c r="X238" s="79"/>
      <c r="Y238" s="79"/>
      <c r="Z238" s="79"/>
      <c r="AA238" s="79"/>
      <c r="AB238" s="79"/>
      <c r="AC238" s="79"/>
      <c r="AD238" s="79"/>
      <c r="AE238" s="79"/>
      <c r="AF238" s="79"/>
      <c r="AG238" s="79"/>
      <c r="AH238" s="79"/>
      <c r="AI238" s="79"/>
      <c r="AJ238" s="79"/>
      <c r="AK238" s="79"/>
      <c r="AL238" s="79"/>
    </row>
    <row r="239" spans="1:38" s="74" customFormat="1" x14ac:dyDescent="0.25">
      <c r="A239" s="106"/>
      <c r="B239" s="105"/>
      <c r="C239" s="105"/>
      <c r="D239" s="105"/>
      <c r="E239" s="105"/>
      <c r="F239" s="105"/>
      <c r="H239" s="88">
        <v>234</v>
      </c>
      <c r="I239" s="89" t="str">
        <f t="shared" si="14"/>
        <v/>
      </c>
      <c r="J239" s="89" t="e">
        <f t="shared" si="15"/>
        <v>#NUM!</v>
      </c>
      <c r="K239" s="88" t="e">
        <f t="shared" si="16"/>
        <v>#NUM!</v>
      </c>
      <c r="L239" s="88"/>
      <c r="M239" s="90">
        <f t="shared" si="17"/>
        <v>0</v>
      </c>
      <c r="S239" s="79"/>
      <c r="T239" s="79"/>
      <c r="U239" s="79"/>
      <c r="V239" s="79"/>
      <c r="W239" s="79"/>
      <c r="X239" s="79"/>
      <c r="Y239" s="79"/>
      <c r="Z239" s="79"/>
      <c r="AA239" s="79"/>
      <c r="AB239" s="79"/>
      <c r="AC239" s="79"/>
      <c r="AD239" s="79"/>
      <c r="AE239" s="79"/>
      <c r="AF239" s="79"/>
      <c r="AG239" s="79"/>
      <c r="AH239" s="79"/>
      <c r="AI239" s="79"/>
      <c r="AJ239" s="79"/>
      <c r="AK239" s="79"/>
      <c r="AL239" s="79"/>
    </row>
    <row r="240" spans="1:38" s="74" customFormat="1" x14ac:dyDescent="0.25">
      <c r="A240" s="106"/>
      <c r="B240" s="105"/>
      <c r="C240" s="105"/>
      <c r="D240" s="105"/>
      <c r="E240" s="105"/>
      <c r="F240" s="105"/>
      <c r="H240" s="88">
        <v>235</v>
      </c>
      <c r="I240" s="89" t="str">
        <f t="shared" si="14"/>
        <v/>
      </c>
      <c r="J240" s="89" t="e">
        <f t="shared" si="15"/>
        <v>#NUM!</v>
      </c>
      <c r="K240" s="88" t="e">
        <f t="shared" si="16"/>
        <v>#NUM!</v>
      </c>
      <c r="L240" s="88"/>
      <c r="M240" s="90">
        <f t="shared" si="17"/>
        <v>0</v>
      </c>
      <c r="S240" s="79"/>
      <c r="T240" s="79"/>
      <c r="U240" s="79"/>
      <c r="V240" s="79"/>
      <c r="W240" s="79"/>
      <c r="X240" s="79"/>
      <c r="Y240" s="79"/>
      <c r="Z240" s="79"/>
      <c r="AA240" s="79"/>
      <c r="AB240" s="79"/>
      <c r="AC240" s="79"/>
      <c r="AD240" s="79"/>
      <c r="AE240" s="79"/>
      <c r="AF240" s="79"/>
      <c r="AG240" s="79"/>
      <c r="AH240" s="79"/>
      <c r="AI240" s="79"/>
      <c r="AJ240" s="79"/>
      <c r="AK240" s="79"/>
      <c r="AL240" s="79"/>
    </row>
    <row r="241" spans="1:38" s="74" customFormat="1" x14ac:dyDescent="0.25">
      <c r="A241" s="106"/>
      <c r="B241" s="105"/>
      <c r="C241" s="105"/>
      <c r="D241" s="105"/>
      <c r="E241" s="105"/>
      <c r="F241" s="105"/>
      <c r="H241" s="88">
        <v>236</v>
      </c>
      <c r="I241" s="89" t="str">
        <f t="shared" si="14"/>
        <v/>
      </c>
      <c r="J241" s="89" t="e">
        <f t="shared" si="15"/>
        <v>#NUM!</v>
      </c>
      <c r="K241" s="88" t="e">
        <f t="shared" si="16"/>
        <v>#NUM!</v>
      </c>
      <c r="L241" s="88"/>
      <c r="M241" s="90">
        <f t="shared" si="17"/>
        <v>0</v>
      </c>
      <c r="S241" s="79"/>
      <c r="T241" s="79"/>
      <c r="U241" s="79"/>
      <c r="V241" s="79"/>
      <c r="W241" s="79"/>
      <c r="X241" s="79"/>
      <c r="Y241" s="79"/>
      <c r="Z241" s="79"/>
      <c r="AA241" s="79"/>
      <c r="AB241" s="79"/>
      <c r="AC241" s="79"/>
      <c r="AD241" s="79"/>
      <c r="AE241" s="79"/>
      <c r="AF241" s="79"/>
      <c r="AG241" s="79"/>
      <c r="AH241" s="79"/>
      <c r="AI241" s="79"/>
      <c r="AJ241" s="79"/>
      <c r="AK241" s="79"/>
      <c r="AL241" s="79"/>
    </row>
    <row r="242" spans="1:38" s="74" customFormat="1" x14ac:dyDescent="0.25">
      <c r="A242" s="106"/>
      <c r="B242" s="105"/>
      <c r="C242" s="105"/>
      <c r="D242" s="105"/>
      <c r="E242" s="105"/>
      <c r="F242" s="105"/>
      <c r="H242" s="88">
        <v>237</v>
      </c>
      <c r="I242" s="89" t="str">
        <f t="shared" si="14"/>
        <v/>
      </c>
      <c r="J242" s="89" t="e">
        <f t="shared" si="15"/>
        <v>#NUM!</v>
      </c>
      <c r="K242" s="88" t="e">
        <f t="shared" si="16"/>
        <v>#NUM!</v>
      </c>
      <c r="L242" s="88"/>
      <c r="M242" s="90">
        <f t="shared" si="17"/>
        <v>0</v>
      </c>
      <c r="S242" s="79"/>
      <c r="T242" s="79"/>
      <c r="U242" s="79"/>
      <c r="V242" s="79"/>
      <c r="W242" s="79"/>
      <c r="X242" s="79"/>
      <c r="Y242" s="79"/>
      <c r="Z242" s="79"/>
      <c r="AA242" s="79"/>
      <c r="AB242" s="79"/>
      <c r="AC242" s="79"/>
      <c r="AD242" s="79"/>
      <c r="AE242" s="79"/>
      <c r="AF242" s="79"/>
      <c r="AG242" s="79"/>
      <c r="AH242" s="79"/>
      <c r="AI242" s="79"/>
      <c r="AJ242" s="79"/>
      <c r="AK242" s="79"/>
      <c r="AL242" s="79"/>
    </row>
    <row r="243" spans="1:38" s="74" customFormat="1" x14ac:dyDescent="0.25">
      <c r="A243" s="106"/>
      <c r="B243" s="105"/>
      <c r="C243" s="105"/>
      <c r="D243" s="105"/>
      <c r="E243" s="105"/>
      <c r="F243" s="105"/>
      <c r="H243" s="88">
        <v>238</v>
      </c>
      <c r="I243" s="89" t="str">
        <f t="shared" si="14"/>
        <v/>
      </c>
      <c r="J243" s="89" t="e">
        <f t="shared" si="15"/>
        <v>#NUM!</v>
      </c>
      <c r="K243" s="88" t="e">
        <f t="shared" si="16"/>
        <v>#NUM!</v>
      </c>
      <c r="L243" s="88"/>
      <c r="M243" s="90">
        <f t="shared" si="17"/>
        <v>0</v>
      </c>
      <c r="S243" s="79"/>
      <c r="T243" s="79"/>
      <c r="U243" s="79"/>
      <c r="V243" s="79"/>
      <c r="W243" s="79"/>
      <c r="X243" s="79"/>
      <c r="Y243" s="79"/>
      <c r="Z243" s="79"/>
      <c r="AA243" s="79"/>
      <c r="AB243" s="79"/>
      <c r="AC243" s="79"/>
      <c r="AD243" s="79"/>
      <c r="AE243" s="79"/>
      <c r="AF243" s="79"/>
      <c r="AG243" s="79"/>
      <c r="AH243" s="79"/>
      <c r="AI243" s="79"/>
      <c r="AJ243" s="79"/>
      <c r="AK243" s="79"/>
      <c r="AL243" s="79"/>
    </row>
    <row r="244" spans="1:38" s="74" customFormat="1" x14ac:dyDescent="0.25">
      <c r="A244" s="106"/>
      <c r="B244" s="105"/>
      <c r="C244" s="105"/>
      <c r="D244" s="105"/>
      <c r="E244" s="105"/>
      <c r="F244" s="105"/>
      <c r="H244" s="88">
        <v>239</v>
      </c>
      <c r="I244" s="89" t="str">
        <f t="shared" si="14"/>
        <v/>
      </c>
      <c r="J244" s="89" t="e">
        <f t="shared" si="15"/>
        <v>#NUM!</v>
      </c>
      <c r="K244" s="88" t="e">
        <f t="shared" si="16"/>
        <v>#NUM!</v>
      </c>
      <c r="L244" s="88"/>
      <c r="M244" s="90">
        <f t="shared" si="17"/>
        <v>0</v>
      </c>
      <c r="S244" s="79"/>
      <c r="T244" s="79"/>
      <c r="U244" s="79"/>
      <c r="V244" s="79"/>
      <c r="W244" s="79"/>
      <c r="X244" s="79"/>
      <c r="Y244" s="79"/>
      <c r="Z244" s="79"/>
      <c r="AA244" s="79"/>
      <c r="AB244" s="79"/>
      <c r="AC244" s="79"/>
      <c r="AD244" s="79"/>
      <c r="AE244" s="79"/>
      <c r="AF244" s="79"/>
      <c r="AG244" s="79"/>
      <c r="AH244" s="79"/>
      <c r="AI244" s="79"/>
      <c r="AJ244" s="79"/>
      <c r="AK244" s="79"/>
      <c r="AL244" s="79"/>
    </row>
    <row r="245" spans="1:38" s="74" customFormat="1" x14ac:dyDescent="0.25">
      <c r="A245" s="106"/>
      <c r="B245" s="105"/>
      <c r="C245" s="105"/>
      <c r="D245" s="105"/>
      <c r="E245" s="105"/>
      <c r="F245" s="105"/>
      <c r="H245" s="88">
        <v>240</v>
      </c>
      <c r="I245" s="89" t="str">
        <f t="shared" si="14"/>
        <v/>
      </c>
      <c r="J245" s="89" t="e">
        <f t="shared" si="15"/>
        <v>#NUM!</v>
      </c>
      <c r="K245" s="88" t="e">
        <f t="shared" si="16"/>
        <v>#NUM!</v>
      </c>
      <c r="L245" s="88"/>
      <c r="M245" s="90">
        <f t="shared" si="17"/>
        <v>0</v>
      </c>
      <c r="S245" s="79"/>
      <c r="T245" s="79"/>
      <c r="U245" s="79"/>
      <c r="V245" s="79"/>
      <c r="W245" s="79"/>
      <c r="X245" s="79"/>
      <c r="Y245" s="79"/>
      <c r="Z245" s="79"/>
      <c r="AA245" s="79"/>
      <c r="AB245" s="79"/>
      <c r="AC245" s="79"/>
      <c r="AD245" s="79"/>
      <c r="AE245" s="79"/>
      <c r="AF245" s="79"/>
      <c r="AG245" s="79"/>
      <c r="AH245" s="79"/>
      <c r="AI245" s="79"/>
      <c r="AJ245" s="79"/>
      <c r="AK245" s="79"/>
      <c r="AL245" s="79"/>
    </row>
    <row r="246" spans="1:38" s="74" customFormat="1" x14ac:dyDescent="0.25">
      <c r="A246" s="106"/>
      <c r="B246" s="105"/>
      <c r="C246" s="105"/>
      <c r="D246" s="105"/>
      <c r="E246" s="105"/>
      <c r="F246" s="105"/>
      <c r="H246" s="88">
        <v>241</v>
      </c>
      <c r="I246" s="89" t="str">
        <f t="shared" si="14"/>
        <v/>
      </c>
      <c r="J246" s="89" t="e">
        <f t="shared" si="15"/>
        <v>#NUM!</v>
      </c>
      <c r="K246" s="88" t="e">
        <f t="shared" si="16"/>
        <v>#NUM!</v>
      </c>
      <c r="L246" s="88"/>
      <c r="M246" s="90">
        <f t="shared" si="17"/>
        <v>0</v>
      </c>
      <c r="S246" s="79"/>
      <c r="T246" s="79"/>
      <c r="U246" s="79"/>
      <c r="V246" s="79"/>
      <c r="W246" s="79"/>
      <c r="X246" s="79"/>
      <c r="Y246" s="79"/>
      <c r="Z246" s="79"/>
      <c r="AA246" s="79"/>
      <c r="AB246" s="79"/>
      <c r="AC246" s="79"/>
      <c r="AD246" s="79"/>
      <c r="AE246" s="79"/>
      <c r="AF246" s="79"/>
      <c r="AG246" s="79"/>
      <c r="AH246" s="79"/>
      <c r="AI246" s="79"/>
      <c r="AJ246" s="79"/>
      <c r="AK246" s="79"/>
      <c r="AL246" s="79"/>
    </row>
    <row r="247" spans="1:38" s="74" customFormat="1" x14ac:dyDescent="0.25">
      <c r="A247" s="106"/>
      <c r="B247" s="105"/>
      <c r="C247" s="105"/>
      <c r="D247" s="105"/>
      <c r="E247" s="105"/>
      <c r="F247" s="105"/>
      <c r="H247" s="88">
        <v>242</v>
      </c>
      <c r="I247" s="89" t="str">
        <f t="shared" si="14"/>
        <v/>
      </c>
      <c r="J247" s="89" t="e">
        <f t="shared" si="15"/>
        <v>#NUM!</v>
      </c>
      <c r="K247" s="88" t="e">
        <f t="shared" si="16"/>
        <v>#NUM!</v>
      </c>
      <c r="L247" s="88"/>
      <c r="M247" s="90">
        <f t="shared" si="17"/>
        <v>0</v>
      </c>
      <c r="S247" s="79"/>
      <c r="T247" s="79"/>
      <c r="U247" s="79"/>
      <c r="V247" s="79"/>
      <c r="W247" s="79"/>
      <c r="X247" s="79"/>
      <c r="Y247" s="79"/>
      <c r="Z247" s="79"/>
      <c r="AA247" s="79"/>
      <c r="AB247" s="79"/>
      <c r="AC247" s="79"/>
      <c r="AD247" s="79"/>
      <c r="AE247" s="79"/>
      <c r="AF247" s="79"/>
      <c r="AG247" s="79"/>
      <c r="AH247" s="79"/>
      <c r="AI247" s="79"/>
      <c r="AJ247" s="79"/>
      <c r="AK247" s="79"/>
      <c r="AL247" s="79"/>
    </row>
    <row r="248" spans="1:38" s="74" customFormat="1" x14ac:dyDescent="0.25">
      <c r="A248" s="106"/>
      <c r="B248" s="105"/>
      <c r="C248" s="105"/>
      <c r="D248" s="105"/>
      <c r="E248" s="105"/>
      <c r="F248" s="105"/>
      <c r="H248" s="88">
        <v>243</v>
      </c>
      <c r="I248" s="89" t="str">
        <f t="shared" si="14"/>
        <v/>
      </c>
      <c r="J248" s="89" t="e">
        <f t="shared" si="15"/>
        <v>#NUM!</v>
      </c>
      <c r="K248" s="88" t="e">
        <f t="shared" si="16"/>
        <v>#NUM!</v>
      </c>
      <c r="L248" s="88"/>
      <c r="M248" s="90">
        <f t="shared" si="17"/>
        <v>0</v>
      </c>
      <c r="S248" s="79"/>
      <c r="T248" s="79"/>
      <c r="U248" s="79"/>
      <c r="V248" s="79"/>
      <c r="W248" s="79"/>
      <c r="X248" s="79"/>
      <c r="Y248" s="79"/>
      <c r="Z248" s="79"/>
      <c r="AA248" s="79"/>
      <c r="AB248" s="79"/>
      <c r="AC248" s="79"/>
      <c r="AD248" s="79"/>
      <c r="AE248" s="79"/>
      <c r="AF248" s="79"/>
      <c r="AG248" s="79"/>
      <c r="AH248" s="79"/>
      <c r="AI248" s="79"/>
      <c r="AJ248" s="79"/>
      <c r="AK248" s="79"/>
      <c r="AL248" s="79"/>
    </row>
    <row r="249" spans="1:38" s="74" customFormat="1" x14ac:dyDescent="0.25">
      <c r="A249" s="106"/>
      <c r="B249" s="105"/>
      <c r="C249" s="105"/>
      <c r="D249" s="105"/>
      <c r="E249" s="105"/>
      <c r="F249" s="105"/>
      <c r="H249" s="88">
        <v>244</v>
      </c>
      <c r="I249" s="89" t="str">
        <f t="shared" si="14"/>
        <v/>
      </c>
      <c r="J249" s="89" t="e">
        <f t="shared" si="15"/>
        <v>#NUM!</v>
      </c>
      <c r="K249" s="88" t="e">
        <f t="shared" si="16"/>
        <v>#NUM!</v>
      </c>
      <c r="L249" s="88"/>
      <c r="M249" s="90">
        <f t="shared" si="17"/>
        <v>0</v>
      </c>
      <c r="S249" s="79"/>
      <c r="T249" s="79"/>
      <c r="U249" s="79"/>
      <c r="V249" s="79"/>
      <c r="W249" s="79"/>
      <c r="X249" s="79"/>
      <c r="Y249" s="79"/>
      <c r="Z249" s="79"/>
      <c r="AA249" s="79"/>
      <c r="AB249" s="79"/>
      <c r="AC249" s="79"/>
      <c r="AD249" s="79"/>
      <c r="AE249" s="79"/>
      <c r="AF249" s="79"/>
      <c r="AG249" s="79"/>
      <c r="AH249" s="79"/>
      <c r="AI249" s="79"/>
      <c r="AJ249" s="79"/>
      <c r="AK249" s="79"/>
      <c r="AL249" s="79"/>
    </row>
    <row r="250" spans="1:38" s="74" customFormat="1" x14ac:dyDescent="0.25">
      <c r="A250" s="106"/>
      <c r="B250" s="105"/>
      <c r="C250" s="105"/>
      <c r="D250" s="105"/>
      <c r="E250" s="105"/>
      <c r="F250" s="105"/>
      <c r="H250" s="88">
        <v>245</v>
      </c>
      <c r="I250" s="89" t="str">
        <f t="shared" si="14"/>
        <v/>
      </c>
      <c r="J250" s="89" t="e">
        <f t="shared" si="15"/>
        <v>#NUM!</v>
      </c>
      <c r="K250" s="88" t="e">
        <f t="shared" si="16"/>
        <v>#NUM!</v>
      </c>
      <c r="L250" s="88"/>
      <c r="M250" s="90">
        <f t="shared" si="17"/>
        <v>0</v>
      </c>
      <c r="S250" s="79"/>
      <c r="T250" s="79"/>
      <c r="U250" s="79"/>
      <c r="V250" s="79"/>
      <c r="W250" s="79"/>
      <c r="X250" s="79"/>
      <c r="Y250" s="79"/>
      <c r="Z250" s="79"/>
      <c r="AA250" s="79"/>
      <c r="AB250" s="79"/>
      <c r="AC250" s="79"/>
      <c r="AD250" s="79"/>
      <c r="AE250" s="79"/>
      <c r="AF250" s="79"/>
      <c r="AG250" s="79"/>
      <c r="AH250" s="79"/>
      <c r="AI250" s="79"/>
      <c r="AJ250" s="79"/>
      <c r="AK250" s="79"/>
      <c r="AL250" s="79"/>
    </row>
    <row r="251" spans="1:38" s="74" customFormat="1" x14ac:dyDescent="0.25">
      <c r="A251" s="106"/>
      <c r="B251" s="105"/>
      <c r="C251" s="105"/>
      <c r="D251" s="105"/>
      <c r="E251" s="105"/>
      <c r="F251" s="105"/>
      <c r="H251" s="88">
        <v>246</v>
      </c>
      <c r="I251" s="89" t="str">
        <f t="shared" si="14"/>
        <v/>
      </c>
      <c r="J251" s="89" t="e">
        <f t="shared" si="15"/>
        <v>#NUM!</v>
      </c>
      <c r="K251" s="88" t="e">
        <f t="shared" si="16"/>
        <v>#NUM!</v>
      </c>
      <c r="L251" s="88"/>
      <c r="M251" s="90">
        <f t="shared" si="17"/>
        <v>0</v>
      </c>
      <c r="S251" s="79"/>
      <c r="T251" s="79"/>
      <c r="U251" s="79"/>
      <c r="V251" s="79"/>
      <c r="W251" s="79"/>
      <c r="X251" s="79"/>
      <c r="Y251" s="79"/>
      <c r="Z251" s="79"/>
      <c r="AA251" s="79"/>
      <c r="AB251" s="79"/>
      <c r="AC251" s="79"/>
      <c r="AD251" s="79"/>
      <c r="AE251" s="79"/>
      <c r="AF251" s="79"/>
      <c r="AG251" s="79"/>
      <c r="AH251" s="79"/>
      <c r="AI251" s="79"/>
      <c r="AJ251" s="79"/>
      <c r="AK251" s="79"/>
      <c r="AL251" s="79"/>
    </row>
    <row r="252" spans="1:38" s="74" customFormat="1" x14ac:dyDescent="0.25">
      <c r="A252" s="106"/>
      <c r="B252" s="105"/>
      <c r="C252" s="105"/>
      <c r="D252" s="105"/>
      <c r="E252" s="105"/>
      <c r="F252" s="105"/>
      <c r="H252" s="88">
        <v>247</v>
      </c>
      <c r="I252" s="89" t="str">
        <f t="shared" si="14"/>
        <v/>
      </c>
      <c r="J252" s="89" t="e">
        <f t="shared" si="15"/>
        <v>#NUM!</v>
      </c>
      <c r="K252" s="88" t="e">
        <f t="shared" si="16"/>
        <v>#NUM!</v>
      </c>
      <c r="L252" s="88"/>
      <c r="M252" s="90">
        <f t="shared" si="17"/>
        <v>0</v>
      </c>
      <c r="S252" s="79"/>
      <c r="T252" s="79"/>
      <c r="U252" s="79"/>
      <c r="V252" s="79"/>
      <c r="W252" s="79"/>
      <c r="X252" s="79"/>
      <c r="Y252" s="79"/>
      <c r="Z252" s="79"/>
      <c r="AA252" s="79"/>
      <c r="AB252" s="79"/>
      <c r="AC252" s="79"/>
      <c r="AD252" s="79"/>
      <c r="AE252" s="79"/>
      <c r="AF252" s="79"/>
      <c r="AG252" s="79"/>
      <c r="AH252" s="79"/>
      <c r="AI252" s="79"/>
      <c r="AJ252" s="79"/>
      <c r="AK252" s="79"/>
      <c r="AL252" s="79"/>
    </row>
    <row r="253" spans="1:38" s="74" customFormat="1" x14ac:dyDescent="0.25">
      <c r="A253" s="106"/>
      <c r="B253" s="105"/>
      <c r="C253" s="105"/>
      <c r="D253" s="105"/>
      <c r="E253" s="105"/>
      <c r="F253" s="105"/>
      <c r="H253" s="88">
        <v>248</v>
      </c>
      <c r="I253" s="89" t="str">
        <f t="shared" si="14"/>
        <v/>
      </c>
      <c r="J253" s="89" t="e">
        <f t="shared" si="15"/>
        <v>#NUM!</v>
      </c>
      <c r="K253" s="88" t="e">
        <f t="shared" si="16"/>
        <v>#NUM!</v>
      </c>
      <c r="L253" s="88"/>
      <c r="M253" s="90">
        <f t="shared" si="17"/>
        <v>0</v>
      </c>
      <c r="S253" s="79"/>
      <c r="T253" s="79"/>
      <c r="U253" s="79"/>
      <c r="V253" s="79"/>
      <c r="W253" s="79"/>
      <c r="X253" s="79"/>
      <c r="Y253" s="79"/>
      <c r="Z253" s="79"/>
      <c r="AA253" s="79"/>
      <c r="AB253" s="79"/>
      <c r="AC253" s="79"/>
      <c r="AD253" s="79"/>
      <c r="AE253" s="79"/>
      <c r="AF253" s="79"/>
      <c r="AG253" s="79"/>
      <c r="AH253" s="79"/>
      <c r="AI253" s="79"/>
      <c r="AJ253" s="79"/>
      <c r="AK253" s="79"/>
      <c r="AL253" s="79"/>
    </row>
    <row r="254" spans="1:38" s="74" customFormat="1" x14ac:dyDescent="0.25">
      <c r="A254" s="106"/>
      <c r="B254" s="105"/>
      <c r="C254" s="105"/>
      <c r="D254" s="105"/>
      <c r="E254" s="105"/>
      <c r="F254" s="105"/>
      <c r="H254" s="88">
        <v>249</v>
      </c>
      <c r="I254" s="89" t="str">
        <f t="shared" si="14"/>
        <v/>
      </c>
      <c r="J254" s="89" t="e">
        <f t="shared" si="15"/>
        <v>#NUM!</v>
      </c>
      <c r="K254" s="88" t="e">
        <f t="shared" si="16"/>
        <v>#NUM!</v>
      </c>
      <c r="L254" s="88"/>
      <c r="M254" s="90">
        <f t="shared" si="17"/>
        <v>0</v>
      </c>
      <c r="S254" s="79"/>
      <c r="T254" s="79"/>
      <c r="U254" s="79"/>
      <c r="V254" s="79"/>
      <c r="W254" s="79"/>
      <c r="X254" s="79"/>
      <c r="Y254" s="79"/>
      <c r="Z254" s="79"/>
      <c r="AA254" s="79"/>
      <c r="AB254" s="79"/>
      <c r="AC254" s="79"/>
      <c r="AD254" s="79"/>
      <c r="AE254" s="79"/>
      <c r="AF254" s="79"/>
      <c r="AG254" s="79"/>
      <c r="AH254" s="79"/>
      <c r="AI254" s="79"/>
      <c r="AJ254" s="79"/>
      <c r="AK254" s="79"/>
      <c r="AL254" s="79"/>
    </row>
    <row r="255" spans="1:38" s="74" customFormat="1" x14ac:dyDescent="0.25">
      <c r="A255" s="106"/>
      <c r="B255" s="105"/>
      <c r="C255" s="105"/>
      <c r="D255" s="105"/>
      <c r="E255" s="105"/>
      <c r="F255" s="105"/>
      <c r="H255" s="88">
        <v>250</v>
      </c>
      <c r="I255" s="89" t="str">
        <f t="shared" si="14"/>
        <v/>
      </c>
      <c r="J255" s="89" t="e">
        <f t="shared" si="15"/>
        <v>#NUM!</v>
      </c>
      <c r="K255" s="88" t="e">
        <f t="shared" si="16"/>
        <v>#NUM!</v>
      </c>
      <c r="L255" s="88"/>
      <c r="M255" s="90">
        <f t="shared" si="17"/>
        <v>0</v>
      </c>
      <c r="S255" s="79"/>
      <c r="T255" s="79"/>
      <c r="U255" s="79"/>
      <c r="V255" s="79"/>
      <c r="W255" s="79"/>
      <c r="X255" s="79"/>
      <c r="Y255" s="79"/>
      <c r="Z255" s="79"/>
      <c r="AA255" s="79"/>
      <c r="AB255" s="79"/>
      <c r="AC255" s="79"/>
      <c r="AD255" s="79"/>
      <c r="AE255" s="79"/>
      <c r="AF255" s="79"/>
      <c r="AG255" s="79"/>
      <c r="AH255" s="79"/>
      <c r="AI255" s="79"/>
      <c r="AJ255" s="79"/>
      <c r="AK255" s="79"/>
      <c r="AL255" s="79"/>
    </row>
    <row r="256" spans="1:38" s="74" customFormat="1" x14ac:dyDescent="0.25">
      <c r="A256" s="106"/>
      <c r="B256" s="105"/>
      <c r="C256" s="105"/>
      <c r="D256" s="105"/>
      <c r="E256" s="105"/>
      <c r="F256" s="105"/>
      <c r="H256" s="88">
        <v>251</v>
      </c>
      <c r="I256" s="89" t="str">
        <f t="shared" si="14"/>
        <v/>
      </c>
      <c r="J256" s="89" t="e">
        <f t="shared" si="15"/>
        <v>#NUM!</v>
      </c>
      <c r="K256" s="88" t="e">
        <f t="shared" si="16"/>
        <v>#NUM!</v>
      </c>
      <c r="L256" s="88"/>
      <c r="M256" s="90">
        <f t="shared" si="17"/>
        <v>0</v>
      </c>
      <c r="S256" s="79"/>
      <c r="T256" s="79"/>
      <c r="U256" s="79"/>
      <c r="V256" s="79"/>
      <c r="W256" s="79"/>
      <c r="X256" s="79"/>
      <c r="Y256" s="79"/>
      <c r="Z256" s="79"/>
      <c r="AA256" s="79"/>
      <c r="AB256" s="79"/>
      <c r="AC256" s="79"/>
      <c r="AD256" s="79"/>
      <c r="AE256" s="79"/>
      <c r="AF256" s="79"/>
      <c r="AG256" s="79"/>
      <c r="AH256" s="79"/>
      <c r="AI256" s="79"/>
      <c r="AJ256" s="79"/>
      <c r="AK256" s="79"/>
      <c r="AL256" s="79"/>
    </row>
    <row r="257" spans="1:38" s="74" customFormat="1" x14ac:dyDescent="0.25">
      <c r="A257" s="106"/>
      <c r="B257" s="105"/>
      <c r="C257" s="105"/>
      <c r="D257" s="105"/>
      <c r="E257" s="105"/>
      <c r="F257" s="105"/>
      <c r="H257" s="88">
        <v>252</v>
      </c>
      <c r="I257" s="89" t="str">
        <f t="shared" si="14"/>
        <v/>
      </c>
      <c r="J257" s="89" t="e">
        <f t="shared" si="15"/>
        <v>#NUM!</v>
      </c>
      <c r="K257" s="88" t="e">
        <f t="shared" si="16"/>
        <v>#NUM!</v>
      </c>
      <c r="L257" s="88"/>
      <c r="M257" s="90">
        <f t="shared" si="17"/>
        <v>0</v>
      </c>
      <c r="S257" s="79"/>
      <c r="T257" s="79"/>
      <c r="U257" s="79"/>
      <c r="V257" s="79"/>
      <c r="W257" s="79"/>
      <c r="X257" s="79"/>
      <c r="Y257" s="79"/>
      <c r="Z257" s="79"/>
      <c r="AA257" s="79"/>
      <c r="AB257" s="79"/>
      <c r="AC257" s="79"/>
      <c r="AD257" s="79"/>
      <c r="AE257" s="79"/>
      <c r="AF257" s="79"/>
      <c r="AG257" s="79"/>
      <c r="AH257" s="79"/>
      <c r="AI257" s="79"/>
      <c r="AJ257" s="79"/>
      <c r="AK257" s="79"/>
      <c r="AL257" s="79"/>
    </row>
    <row r="258" spans="1:38" s="74" customFormat="1" x14ac:dyDescent="0.25">
      <c r="A258" s="106"/>
      <c r="B258" s="105"/>
      <c r="C258" s="105"/>
      <c r="D258" s="105"/>
      <c r="E258" s="105"/>
      <c r="F258" s="105"/>
      <c r="H258" s="88">
        <v>253</v>
      </c>
      <c r="I258" s="89" t="str">
        <f t="shared" si="14"/>
        <v/>
      </c>
      <c r="J258" s="89" t="e">
        <f t="shared" si="15"/>
        <v>#NUM!</v>
      </c>
      <c r="K258" s="88" t="e">
        <f t="shared" si="16"/>
        <v>#NUM!</v>
      </c>
      <c r="L258" s="88"/>
      <c r="M258" s="90">
        <f t="shared" si="17"/>
        <v>0</v>
      </c>
      <c r="S258" s="79"/>
      <c r="T258" s="79"/>
      <c r="U258" s="79"/>
      <c r="V258" s="79"/>
      <c r="W258" s="79"/>
      <c r="X258" s="79"/>
      <c r="Y258" s="79"/>
      <c r="Z258" s="79"/>
      <c r="AA258" s="79"/>
      <c r="AB258" s="79"/>
      <c r="AC258" s="79"/>
      <c r="AD258" s="79"/>
      <c r="AE258" s="79"/>
      <c r="AF258" s="79"/>
      <c r="AG258" s="79"/>
      <c r="AH258" s="79"/>
      <c r="AI258" s="79"/>
      <c r="AJ258" s="79"/>
      <c r="AK258" s="79"/>
      <c r="AL258" s="79"/>
    </row>
    <row r="259" spans="1:38" s="74" customFormat="1" x14ac:dyDescent="0.25">
      <c r="A259" s="106"/>
      <c r="B259" s="105"/>
      <c r="C259" s="105"/>
      <c r="D259" s="105"/>
      <c r="E259" s="105"/>
      <c r="F259" s="105"/>
      <c r="H259" s="88">
        <v>254</v>
      </c>
      <c r="I259" s="89" t="str">
        <f t="shared" si="14"/>
        <v/>
      </c>
      <c r="J259" s="89" t="e">
        <f t="shared" si="15"/>
        <v>#NUM!</v>
      </c>
      <c r="K259" s="88" t="e">
        <f t="shared" si="16"/>
        <v>#NUM!</v>
      </c>
      <c r="L259" s="88"/>
      <c r="M259" s="90">
        <f t="shared" si="17"/>
        <v>0</v>
      </c>
      <c r="S259" s="79"/>
      <c r="T259" s="79"/>
      <c r="U259" s="79"/>
      <c r="V259" s="79"/>
      <c r="W259" s="79"/>
      <c r="X259" s="79"/>
      <c r="Y259" s="79"/>
      <c r="Z259" s="79"/>
      <c r="AA259" s="79"/>
      <c r="AB259" s="79"/>
      <c r="AC259" s="79"/>
      <c r="AD259" s="79"/>
      <c r="AE259" s="79"/>
      <c r="AF259" s="79"/>
      <c r="AG259" s="79"/>
      <c r="AH259" s="79"/>
      <c r="AI259" s="79"/>
      <c r="AJ259" s="79"/>
      <c r="AK259" s="79"/>
      <c r="AL259" s="79"/>
    </row>
    <row r="260" spans="1:38" s="74" customFormat="1" x14ac:dyDescent="0.25">
      <c r="A260" s="106"/>
      <c r="B260" s="105"/>
      <c r="C260" s="105"/>
      <c r="D260" s="105"/>
      <c r="E260" s="105"/>
      <c r="F260" s="105"/>
      <c r="H260" s="88">
        <v>255</v>
      </c>
      <c r="I260" s="89" t="str">
        <f t="shared" si="14"/>
        <v/>
      </c>
      <c r="J260" s="89" t="e">
        <f t="shared" si="15"/>
        <v>#NUM!</v>
      </c>
      <c r="K260" s="88" t="e">
        <f t="shared" si="16"/>
        <v>#NUM!</v>
      </c>
      <c r="L260" s="88"/>
      <c r="M260" s="90">
        <f t="shared" si="17"/>
        <v>0</v>
      </c>
      <c r="S260" s="79"/>
      <c r="T260" s="79"/>
      <c r="U260" s="79"/>
      <c r="V260" s="79"/>
      <c r="W260" s="79"/>
      <c r="X260" s="79"/>
      <c r="Y260" s="79"/>
      <c r="Z260" s="79"/>
      <c r="AA260" s="79"/>
      <c r="AB260" s="79"/>
      <c r="AC260" s="79"/>
      <c r="AD260" s="79"/>
      <c r="AE260" s="79"/>
      <c r="AF260" s="79"/>
      <c r="AG260" s="79"/>
      <c r="AH260" s="79"/>
      <c r="AI260" s="79"/>
      <c r="AJ260" s="79"/>
      <c r="AK260" s="79"/>
      <c r="AL260" s="79"/>
    </row>
    <row r="261" spans="1:38" s="74" customFormat="1" x14ac:dyDescent="0.25">
      <c r="A261" s="106"/>
      <c r="B261" s="105"/>
      <c r="C261" s="105"/>
      <c r="D261" s="105"/>
      <c r="E261" s="105"/>
      <c r="F261" s="105"/>
      <c r="H261" s="88">
        <v>256</v>
      </c>
      <c r="I261" s="89" t="str">
        <f t="shared" si="14"/>
        <v/>
      </c>
      <c r="J261" s="89" t="e">
        <f t="shared" si="15"/>
        <v>#NUM!</v>
      </c>
      <c r="K261" s="88" t="e">
        <f t="shared" si="16"/>
        <v>#NUM!</v>
      </c>
      <c r="L261" s="88"/>
      <c r="M261" s="90">
        <f t="shared" si="17"/>
        <v>0</v>
      </c>
      <c r="S261" s="79"/>
      <c r="T261" s="79"/>
      <c r="U261" s="79"/>
      <c r="V261" s="79"/>
      <c r="W261" s="79"/>
      <c r="X261" s="79"/>
      <c r="Y261" s="79"/>
      <c r="Z261" s="79"/>
      <c r="AA261" s="79"/>
      <c r="AB261" s="79"/>
      <c r="AC261" s="79"/>
      <c r="AD261" s="79"/>
      <c r="AE261" s="79"/>
      <c r="AF261" s="79"/>
      <c r="AG261" s="79"/>
      <c r="AH261" s="79"/>
      <c r="AI261" s="79"/>
      <c r="AJ261" s="79"/>
      <c r="AK261" s="79"/>
      <c r="AL261" s="79"/>
    </row>
    <row r="262" spans="1:38" s="74" customFormat="1" x14ac:dyDescent="0.25">
      <c r="A262" s="106"/>
      <c r="B262" s="105"/>
      <c r="C262" s="105"/>
      <c r="D262" s="105"/>
      <c r="E262" s="105"/>
      <c r="F262" s="105"/>
      <c r="H262" s="88">
        <v>257</v>
      </c>
      <c r="I262" s="89" t="str">
        <f t="shared" ref="I262:I305" si="18">IF(H262&lt;$H$2+1,($I$2-($I$2-1)*(LOG(H262)/LOG($H$2))),"")</f>
        <v/>
      </c>
      <c r="J262" s="89" t="e">
        <f t="shared" ref="J262:J305" si="19">INT(LOG($H$2,2))-ROUNDUP(LOG(H262,2),0)+IF(OR($H$2=1,$H$2=2,$H$2=4,$H$2=8,$H$2=16,$H$2=32,$H$2=64,$H$2=128,$H$2=256),0,1)</f>
        <v>#NUM!</v>
      </c>
      <c r="K262" s="88" t="e">
        <f t="shared" ref="K262:K305" si="20">J262*$J$2</f>
        <v>#NUM!</v>
      </c>
      <c r="L262" s="88"/>
      <c r="M262" s="90">
        <f t="shared" ref="M262:M305" si="21">IF(I262&lt;&gt;"",K262+I262+L262,0)</f>
        <v>0</v>
      </c>
      <c r="S262" s="79"/>
      <c r="T262" s="79"/>
      <c r="U262" s="79"/>
      <c r="V262" s="79"/>
      <c r="W262" s="79"/>
      <c r="X262" s="79"/>
      <c r="Y262" s="79"/>
      <c r="Z262" s="79"/>
      <c r="AA262" s="79"/>
      <c r="AB262" s="79"/>
      <c r="AC262" s="79"/>
      <c r="AD262" s="79"/>
      <c r="AE262" s="79"/>
      <c r="AF262" s="79"/>
      <c r="AG262" s="79"/>
      <c r="AH262" s="79"/>
      <c r="AI262" s="79"/>
      <c r="AJ262" s="79"/>
      <c r="AK262" s="79"/>
      <c r="AL262" s="79"/>
    </row>
    <row r="263" spans="1:38" s="74" customFormat="1" x14ac:dyDescent="0.25">
      <c r="A263" s="106"/>
      <c r="B263" s="105"/>
      <c r="C263" s="105"/>
      <c r="D263" s="105"/>
      <c r="E263" s="105"/>
      <c r="F263" s="105"/>
      <c r="H263" s="88">
        <v>258</v>
      </c>
      <c r="I263" s="89" t="str">
        <f t="shared" si="18"/>
        <v/>
      </c>
      <c r="J263" s="89" t="e">
        <f t="shared" si="19"/>
        <v>#NUM!</v>
      </c>
      <c r="K263" s="88" t="e">
        <f t="shared" si="20"/>
        <v>#NUM!</v>
      </c>
      <c r="L263" s="88"/>
      <c r="M263" s="90">
        <f t="shared" si="21"/>
        <v>0</v>
      </c>
      <c r="S263" s="79"/>
      <c r="T263" s="79"/>
      <c r="U263" s="79"/>
      <c r="V263" s="79"/>
      <c r="W263" s="79"/>
      <c r="X263" s="79"/>
      <c r="Y263" s="79"/>
      <c r="Z263" s="79"/>
      <c r="AA263" s="79"/>
      <c r="AB263" s="79"/>
      <c r="AC263" s="79"/>
      <c r="AD263" s="79"/>
      <c r="AE263" s="79"/>
      <c r="AF263" s="79"/>
      <c r="AG263" s="79"/>
      <c r="AH263" s="79"/>
      <c r="AI263" s="79"/>
      <c r="AJ263" s="79"/>
      <c r="AK263" s="79"/>
      <c r="AL263" s="79"/>
    </row>
    <row r="264" spans="1:38" s="74" customFormat="1" x14ac:dyDescent="0.25">
      <c r="A264" s="106"/>
      <c r="B264" s="105"/>
      <c r="C264" s="105"/>
      <c r="D264" s="105"/>
      <c r="E264" s="105"/>
      <c r="F264" s="105"/>
      <c r="H264" s="88">
        <v>259</v>
      </c>
      <c r="I264" s="89" t="str">
        <f t="shared" si="18"/>
        <v/>
      </c>
      <c r="J264" s="89" t="e">
        <f t="shared" si="19"/>
        <v>#NUM!</v>
      </c>
      <c r="K264" s="88" t="e">
        <f t="shared" si="20"/>
        <v>#NUM!</v>
      </c>
      <c r="L264" s="88"/>
      <c r="M264" s="90">
        <f t="shared" si="21"/>
        <v>0</v>
      </c>
      <c r="S264" s="79"/>
      <c r="T264" s="79"/>
      <c r="U264" s="79"/>
      <c r="V264" s="79"/>
      <c r="W264" s="79"/>
      <c r="X264" s="79"/>
      <c r="Y264" s="79"/>
      <c r="Z264" s="79"/>
      <c r="AA264" s="79"/>
      <c r="AB264" s="79"/>
      <c r="AC264" s="79"/>
      <c r="AD264" s="79"/>
      <c r="AE264" s="79"/>
      <c r="AF264" s="79"/>
      <c r="AG264" s="79"/>
      <c r="AH264" s="79"/>
      <c r="AI264" s="79"/>
      <c r="AJ264" s="79"/>
      <c r="AK264" s="79"/>
      <c r="AL264" s="79"/>
    </row>
    <row r="265" spans="1:38" s="74" customFormat="1" x14ac:dyDescent="0.25">
      <c r="A265" s="106"/>
      <c r="B265" s="105"/>
      <c r="C265" s="105"/>
      <c r="D265" s="105"/>
      <c r="E265" s="105"/>
      <c r="F265" s="105"/>
      <c r="H265" s="88">
        <v>260</v>
      </c>
      <c r="I265" s="89" t="str">
        <f t="shared" si="18"/>
        <v/>
      </c>
      <c r="J265" s="89" t="e">
        <f t="shared" si="19"/>
        <v>#NUM!</v>
      </c>
      <c r="K265" s="88" t="e">
        <f t="shared" si="20"/>
        <v>#NUM!</v>
      </c>
      <c r="L265" s="88"/>
      <c r="M265" s="90">
        <f t="shared" si="21"/>
        <v>0</v>
      </c>
      <c r="S265" s="79"/>
      <c r="T265" s="79"/>
      <c r="U265" s="79"/>
      <c r="V265" s="79"/>
      <c r="W265" s="79"/>
      <c r="X265" s="79"/>
      <c r="Y265" s="79"/>
      <c r="Z265" s="79"/>
      <c r="AA265" s="79"/>
      <c r="AB265" s="79"/>
      <c r="AC265" s="79"/>
      <c r="AD265" s="79"/>
      <c r="AE265" s="79"/>
      <c r="AF265" s="79"/>
      <c r="AG265" s="79"/>
      <c r="AH265" s="79"/>
      <c r="AI265" s="79"/>
      <c r="AJ265" s="79"/>
      <c r="AK265" s="79"/>
      <c r="AL265" s="79"/>
    </row>
    <row r="266" spans="1:38" s="74" customFormat="1" x14ac:dyDescent="0.25">
      <c r="A266" s="106"/>
      <c r="B266" s="105"/>
      <c r="C266" s="105"/>
      <c r="D266" s="105"/>
      <c r="E266" s="105"/>
      <c r="F266" s="105"/>
      <c r="H266" s="88">
        <v>261</v>
      </c>
      <c r="I266" s="89" t="str">
        <f t="shared" si="18"/>
        <v/>
      </c>
      <c r="J266" s="89" t="e">
        <f t="shared" si="19"/>
        <v>#NUM!</v>
      </c>
      <c r="K266" s="88" t="e">
        <f t="shared" si="20"/>
        <v>#NUM!</v>
      </c>
      <c r="L266" s="88"/>
      <c r="M266" s="90">
        <f t="shared" si="21"/>
        <v>0</v>
      </c>
      <c r="S266" s="79"/>
      <c r="T266" s="79"/>
      <c r="U266" s="79"/>
      <c r="V266" s="79"/>
      <c r="W266" s="79"/>
      <c r="X266" s="79"/>
      <c r="Y266" s="79"/>
      <c r="Z266" s="79"/>
      <c r="AA266" s="79"/>
      <c r="AB266" s="79"/>
      <c r="AC266" s="79"/>
      <c r="AD266" s="79"/>
      <c r="AE266" s="79"/>
      <c r="AF266" s="79"/>
      <c r="AG266" s="79"/>
      <c r="AH266" s="79"/>
      <c r="AI266" s="79"/>
      <c r="AJ266" s="79"/>
      <c r="AK266" s="79"/>
      <c r="AL266" s="79"/>
    </row>
    <row r="267" spans="1:38" s="74" customFormat="1" x14ac:dyDescent="0.25">
      <c r="A267" s="106"/>
      <c r="B267" s="105"/>
      <c r="C267" s="105"/>
      <c r="D267" s="105"/>
      <c r="E267" s="105"/>
      <c r="F267" s="105"/>
      <c r="H267" s="88">
        <v>262</v>
      </c>
      <c r="I267" s="89" t="str">
        <f t="shared" si="18"/>
        <v/>
      </c>
      <c r="J267" s="89" t="e">
        <f t="shared" si="19"/>
        <v>#NUM!</v>
      </c>
      <c r="K267" s="88" t="e">
        <f t="shared" si="20"/>
        <v>#NUM!</v>
      </c>
      <c r="L267" s="88"/>
      <c r="M267" s="90">
        <f t="shared" si="21"/>
        <v>0</v>
      </c>
      <c r="S267" s="79"/>
      <c r="T267" s="79"/>
      <c r="U267" s="79"/>
      <c r="V267" s="79"/>
      <c r="W267" s="79"/>
      <c r="X267" s="79"/>
      <c r="Y267" s="79"/>
      <c r="Z267" s="79"/>
      <c r="AA267" s="79"/>
      <c r="AB267" s="79"/>
      <c r="AC267" s="79"/>
      <c r="AD267" s="79"/>
      <c r="AE267" s="79"/>
      <c r="AF267" s="79"/>
      <c r="AG267" s="79"/>
      <c r="AH267" s="79"/>
      <c r="AI267" s="79"/>
      <c r="AJ267" s="79"/>
      <c r="AK267" s="79"/>
      <c r="AL267" s="79"/>
    </row>
    <row r="268" spans="1:38" s="74" customFormat="1" x14ac:dyDescent="0.25">
      <c r="A268" s="106"/>
      <c r="B268" s="105"/>
      <c r="C268" s="105"/>
      <c r="D268" s="105"/>
      <c r="E268" s="105"/>
      <c r="F268" s="105"/>
      <c r="H268" s="88">
        <v>263</v>
      </c>
      <c r="I268" s="89" t="str">
        <f t="shared" si="18"/>
        <v/>
      </c>
      <c r="J268" s="89" t="e">
        <f t="shared" si="19"/>
        <v>#NUM!</v>
      </c>
      <c r="K268" s="88" t="e">
        <f t="shared" si="20"/>
        <v>#NUM!</v>
      </c>
      <c r="L268" s="88"/>
      <c r="M268" s="90">
        <f t="shared" si="21"/>
        <v>0</v>
      </c>
      <c r="S268" s="79"/>
      <c r="T268" s="79"/>
      <c r="U268" s="79"/>
      <c r="V268" s="79"/>
      <c r="W268" s="79"/>
      <c r="X268" s="79"/>
      <c r="Y268" s="79"/>
      <c r="Z268" s="79"/>
      <c r="AA268" s="79"/>
      <c r="AB268" s="79"/>
      <c r="AC268" s="79"/>
      <c r="AD268" s="79"/>
      <c r="AE268" s="79"/>
      <c r="AF268" s="79"/>
      <c r="AG268" s="79"/>
      <c r="AH268" s="79"/>
      <c r="AI268" s="79"/>
      <c r="AJ268" s="79"/>
      <c r="AK268" s="79"/>
      <c r="AL268" s="79"/>
    </row>
    <row r="269" spans="1:38" s="74" customFormat="1" x14ac:dyDescent="0.25">
      <c r="A269" s="106"/>
      <c r="B269" s="105"/>
      <c r="C269" s="105"/>
      <c r="D269" s="105"/>
      <c r="E269" s="105"/>
      <c r="F269" s="105"/>
      <c r="H269" s="88">
        <v>264</v>
      </c>
      <c r="I269" s="89" t="str">
        <f t="shared" si="18"/>
        <v/>
      </c>
      <c r="J269" s="89" t="e">
        <f t="shared" si="19"/>
        <v>#NUM!</v>
      </c>
      <c r="K269" s="88" t="e">
        <f t="shared" si="20"/>
        <v>#NUM!</v>
      </c>
      <c r="L269" s="88"/>
      <c r="M269" s="90">
        <f t="shared" si="21"/>
        <v>0</v>
      </c>
      <c r="S269" s="79"/>
      <c r="T269" s="79"/>
      <c r="U269" s="79"/>
      <c r="V269" s="79"/>
      <c r="W269" s="79"/>
      <c r="X269" s="79"/>
      <c r="Y269" s="79"/>
      <c r="Z269" s="79"/>
      <c r="AA269" s="79"/>
      <c r="AB269" s="79"/>
      <c r="AC269" s="79"/>
      <c r="AD269" s="79"/>
      <c r="AE269" s="79"/>
      <c r="AF269" s="79"/>
      <c r="AG269" s="79"/>
      <c r="AH269" s="79"/>
      <c r="AI269" s="79"/>
      <c r="AJ269" s="79"/>
      <c r="AK269" s="79"/>
      <c r="AL269" s="79"/>
    </row>
    <row r="270" spans="1:38" s="74" customFormat="1" x14ac:dyDescent="0.25">
      <c r="A270" s="106"/>
      <c r="B270" s="105"/>
      <c r="C270" s="105"/>
      <c r="D270" s="105"/>
      <c r="E270" s="105"/>
      <c r="F270" s="105"/>
      <c r="H270" s="88">
        <v>265</v>
      </c>
      <c r="I270" s="89" t="str">
        <f t="shared" si="18"/>
        <v/>
      </c>
      <c r="J270" s="89" t="e">
        <f t="shared" si="19"/>
        <v>#NUM!</v>
      </c>
      <c r="K270" s="88" t="e">
        <f t="shared" si="20"/>
        <v>#NUM!</v>
      </c>
      <c r="L270" s="88"/>
      <c r="M270" s="90">
        <f t="shared" si="21"/>
        <v>0</v>
      </c>
      <c r="S270" s="79"/>
      <c r="T270" s="79"/>
      <c r="U270" s="79"/>
      <c r="V270" s="79"/>
      <c r="W270" s="79"/>
      <c r="X270" s="79"/>
      <c r="Y270" s="79"/>
      <c r="Z270" s="79"/>
      <c r="AA270" s="79"/>
      <c r="AB270" s="79"/>
      <c r="AC270" s="79"/>
      <c r="AD270" s="79"/>
      <c r="AE270" s="79"/>
      <c r="AF270" s="79"/>
      <c r="AG270" s="79"/>
      <c r="AH270" s="79"/>
      <c r="AI270" s="79"/>
      <c r="AJ270" s="79"/>
      <c r="AK270" s="79"/>
      <c r="AL270" s="79"/>
    </row>
    <row r="271" spans="1:38" s="74" customFormat="1" x14ac:dyDescent="0.25">
      <c r="A271" s="106"/>
      <c r="B271" s="105"/>
      <c r="C271" s="105"/>
      <c r="D271" s="105"/>
      <c r="E271" s="105"/>
      <c r="F271" s="105"/>
      <c r="H271" s="88">
        <v>266</v>
      </c>
      <c r="I271" s="89" t="str">
        <f t="shared" si="18"/>
        <v/>
      </c>
      <c r="J271" s="89" t="e">
        <f t="shared" si="19"/>
        <v>#NUM!</v>
      </c>
      <c r="K271" s="88" t="e">
        <f t="shared" si="20"/>
        <v>#NUM!</v>
      </c>
      <c r="L271" s="88"/>
      <c r="M271" s="90">
        <f t="shared" si="21"/>
        <v>0</v>
      </c>
      <c r="S271" s="79"/>
      <c r="T271" s="79"/>
      <c r="U271" s="79"/>
      <c r="V271" s="79"/>
      <c r="W271" s="79"/>
      <c r="X271" s="79"/>
      <c r="Y271" s="79"/>
      <c r="Z271" s="79"/>
      <c r="AA271" s="79"/>
      <c r="AB271" s="79"/>
      <c r="AC271" s="79"/>
      <c r="AD271" s="79"/>
      <c r="AE271" s="79"/>
      <c r="AF271" s="79"/>
      <c r="AG271" s="79"/>
      <c r="AH271" s="79"/>
      <c r="AI271" s="79"/>
      <c r="AJ271" s="79"/>
      <c r="AK271" s="79"/>
      <c r="AL271" s="79"/>
    </row>
    <row r="272" spans="1:38" s="74" customFormat="1" x14ac:dyDescent="0.25">
      <c r="A272" s="106"/>
      <c r="B272" s="105"/>
      <c r="C272" s="105"/>
      <c r="D272" s="105"/>
      <c r="E272" s="105"/>
      <c r="F272" s="105"/>
      <c r="H272" s="88">
        <v>267</v>
      </c>
      <c r="I272" s="89" t="str">
        <f t="shared" si="18"/>
        <v/>
      </c>
      <c r="J272" s="89" t="e">
        <f t="shared" si="19"/>
        <v>#NUM!</v>
      </c>
      <c r="K272" s="88" t="e">
        <f t="shared" si="20"/>
        <v>#NUM!</v>
      </c>
      <c r="L272" s="88"/>
      <c r="M272" s="90">
        <f t="shared" si="21"/>
        <v>0</v>
      </c>
      <c r="S272" s="79"/>
      <c r="T272" s="79"/>
      <c r="U272" s="79"/>
      <c r="V272" s="79"/>
      <c r="W272" s="79"/>
      <c r="X272" s="79"/>
      <c r="Y272" s="79"/>
      <c r="Z272" s="79"/>
      <c r="AA272" s="79"/>
      <c r="AB272" s="79"/>
      <c r="AC272" s="79"/>
      <c r="AD272" s="79"/>
      <c r="AE272" s="79"/>
      <c r="AF272" s="79"/>
      <c r="AG272" s="79"/>
      <c r="AH272" s="79"/>
      <c r="AI272" s="79"/>
      <c r="AJ272" s="79"/>
      <c r="AK272" s="79"/>
      <c r="AL272" s="79"/>
    </row>
    <row r="273" spans="1:38" s="74" customFormat="1" x14ac:dyDescent="0.25">
      <c r="A273" s="106"/>
      <c r="B273" s="105"/>
      <c r="C273" s="105"/>
      <c r="D273" s="105"/>
      <c r="E273" s="105"/>
      <c r="F273" s="105"/>
      <c r="H273" s="88">
        <v>268</v>
      </c>
      <c r="I273" s="89" t="str">
        <f t="shared" si="18"/>
        <v/>
      </c>
      <c r="J273" s="89" t="e">
        <f t="shared" si="19"/>
        <v>#NUM!</v>
      </c>
      <c r="K273" s="88" t="e">
        <f t="shared" si="20"/>
        <v>#NUM!</v>
      </c>
      <c r="L273" s="88"/>
      <c r="M273" s="90">
        <f t="shared" si="21"/>
        <v>0</v>
      </c>
      <c r="S273" s="79"/>
      <c r="T273" s="79"/>
      <c r="U273" s="79"/>
      <c r="V273" s="79"/>
      <c r="W273" s="79"/>
      <c r="X273" s="79"/>
      <c r="Y273" s="79"/>
      <c r="Z273" s="79"/>
      <c r="AA273" s="79"/>
      <c r="AB273" s="79"/>
      <c r="AC273" s="79"/>
      <c r="AD273" s="79"/>
      <c r="AE273" s="79"/>
      <c r="AF273" s="79"/>
      <c r="AG273" s="79"/>
      <c r="AH273" s="79"/>
      <c r="AI273" s="79"/>
      <c r="AJ273" s="79"/>
      <c r="AK273" s="79"/>
      <c r="AL273" s="79"/>
    </row>
    <row r="274" spans="1:38" s="74" customFormat="1" x14ac:dyDescent="0.25">
      <c r="A274" s="106"/>
      <c r="B274" s="105"/>
      <c r="C274" s="105"/>
      <c r="D274" s="105"/>
      <c r="E274" s="105"/>
      <c r="F274" s="105"/>
      <c r="H274" s="88">
        <v>269</v>
      </c>
      <c r="I274" s="89" t="str">
        <f t="shared" si="18"/>
        <v/>
      </c>
      <c r="J274" s="89" t="e">
        <f t="shared" si="19"/>
        <v>#NUM!</v>
      </c>
      <c r="K274" s="88" t="e">
        <f t="shared" si="20"/>
        <v>#NUM!</v>
      </c>
      <c r="L274" s="88"/>
      <c r="M274" s="90">
        <f t="shared" si="21"/>
        <v>0</v>
      </c>
      <c r="S274" s="79"/>
      <c r="T274" s="79"/>
      <c r="U274" s="79"/>
      <c r="V274" s="79"/>
      <c r="W274" s="79"/>
      <c r="X274" s="79"/>
      <c r="Y274" s="79"/>
      <c r="Z274" s="79"/>
      <c r="AA274" s="79"/>
      <c r="AB274" s="79"/>
      <c r="AC274" s="79"/>
      <c r="AD274" s="79"/>
      <c r="AE274" s="79"/>
      <c r="AF274" s="79"/>
      <c r="AG274" s="79"/>
      <c r="AH274" s="79"/>
      <c r="AI274" s="79"/>
      <c r="AJ274" s="79"/>
      <c r="AK274" s="79"/>
      <c r="AL274" s="79"/>
    </row>
    <row r="275" spans="1:38" s="74" customFormat="1" x14ac:dyDescent="0.25">
      <c r="A275" s="106"/>
      <c r="B275" s="105"/>
      <c r="C275" s="105"/>
      <c r="D275" s="105"/>
      <c r="E275" s="105"/>
      <c r="F275" s="105"/>
      <c r="H275" s="88">
        <v>270</v>
      </c>
      <c r="I275" s="89" t="str">
        <f t="shared" si="18"/>
        <v/>
      </c>
      <c r="J275" s="89" t="e">
        <f t="shared" si="19"/>
        <v>#NUM!</v>
      </c>
      <c r="K275" s="88" t="e">
        <f t="shared" si="20"/>
        <v>#NUM!</v>
      </c>
      <c r="L275" s="88"/>
      <c r="M275" s="90">
        <f t="shared" si="21"/>
        <v>0</v>
      </c>
      <c r="S275" s="79"/>
      <c r="T275" s="79"/>
      <c r="U275" s="79"/>
      <c r="V275" s="79"/>
      <c r="W275" s="79"/>
      <c r="X275" s="79"/>
      <c r="Y275" s="79"/>
      <c r="Z275" s="79"/>
      <c r="AA275" s="79"/>
      <c r="AB275" s="79"/>
      <c r="AC275" s="79"/>
      <c r="AD275" s="79"/>
      <c r="AE275" s="79"/>
      <c r="AF275" s="79"/>
      <c r="AG275" s="79"/>
      <c r="AH275" s="79"/>
      <c r="AI275" s="79"/>
      <c r="AJ275" s="79"/>
      <c r="AK275" s="79"/>
      <c r="AL275" s="79"/>
    </row>
    <row r="276" spans="1:38" s="74" customFormat="1" x14ac:dyDescent="0.25">
      <c r="A276" s="106"/>
      <c r="B276" s="105"/>
      <c r="C276" s="105"/>
      <c r="D276" s="105"/>
      <c r="E276" s="105"/>
      <c r="F276" s="105"/>
      <c r="H276" s="88">
        <v>271</v>
      </c>
      <c r="I276" s="89" t="str">
        <f t="shared" si="18"/>
        <v/>
      </c>
      <c r="J276" s="89" t="e">
        <f t="shared" si="19"/>
        <v>#NUM!</v>
      </c>
      <c r="K276" s="88" t="e">
        <f t="shared" si="20"/>
        <v>#NUM!</v>
      </c>
      <c r="L276" s="88"/>
      <c r="M276" s="90">
        <f t="shared" si="21"/>
        <v>0</v>
      </c>
      <c r="S276" s="79"/>
      <c r="T276" s="79"/>
      <c r="U276" s="79"/>
      <c r="V276" s="79"/>
      <c r="W276" s="79"/>
      <c r="X276" s="79"/>
      <c r="Y276" s="79"/>
      <c r="Z276" s="79"/>
      <c r="AA276" s="79"/>
      <c r="AB276" s="79"/>
      <c r="AC276" s="79"/>
      <c r="AD276" s="79"/>
      <c r="AE276" s="79"/>
      <c r="AF276" s="79"/>
      <c r="AG276" s="79"/>
      <c r="AH276" s="79"/>
      <c r="AI276" s="79"/>
      <c r="AJ276" s="79"/>
      <c r="AK276" s="79"/>
      <c r="AL276" s="79"/>
    </row>
    <row r="277" spans="1:38" s="74" customFormat="1" x14ac:dyDescent="0.25">
      <c r="A277" s="106"/>
      <c r="B277" s="105"/>
      <c r="C277" s="105"/>
      <c r="D277" s="105"/>
      <c r="E277" s="105"/>
      <c r="F277" s="105"/>
      <c r="H277" s="88">
        <v>272</v>
      </c>
      <c r="I277" s="89" t="str">
        <f t="shared" si="18"/>
        <v/>
      </c>
      <c r="J277" s="89" t="e">
        <f t="shared" si="19"/>
        <v>#NUM!</v>
      </c>
      <c r="K277" s="88" t="e">
        <f t="shared" si="20"/>
        <v>#NUM!</v>
      </c>
      <c r="L277" s="88"/>
      <c r="M277" s="90">
        <f t="shared" si="21"/>
        <v>0</v>
      </c>
      <c r="S277" s="79"/>
      <c r="T277" s="79"/>
      <c r="U277" s="79"/>
      <c r="V277" s="79"/>
      <c r="W277" s="79"/>
      <c r="X277" s="79"/>
      <c r="Y277" s="79"/>
      <c r="Z277" s="79"/>
      <c r="AA277" s="79"/>
      <c r="AB277" s="79"/>
      <c r="AC277" s="79"/>
      <c r="AD277" s="79"/>
      <c r="AE277" s="79"/>
      <c r="AF277" s="79"/>
      <c r="AG277" s="79"/>
      <c r="AH277" s="79"/>
      <c r="AI277" s="79"/>
      <c r="AJ277" s="79"/>
      <c r="AK277" s="79"/>
      <c r="AL277" s="79"/>
    </row>
    <row r="278" spans="1:38" s="74" customFormat="1" x14ac:dyDescent="0.25">
      <c r="A278" s="106"/>
      <c r="B278" s="105"/>
      <c r="C278" s="105"/>
      <c r="D278" s="105"/>
      <c r="E278" s="105"/>
      <c r="F278" s="105"/>
      <c r="H278" s="88">
        <v>273</v>
      </c>
      <c r="I278" s="89" t="str">
        <f t="shared" si="18"/>
        <v/>
      </c>
      <c r="J278" s="89" t="e">
        <f t="shared" si="19"/>
        <v>#NUM!</v>
      </c>
      <c r="K278" s="88" t="e">
        <f t="shared" si="20"/>
        <v>#NUM!</v>
      </c>
      <c r="L278" s="88"/>
      <c r="M278" s="90">
        <f t="shared" si="21"/>
        <v>0</v>
      </c>
      <c r="S278" s="79"/>
      <c r="T278" s="79"/>
      <c r="U278" s="79"/>
      <c r="V278" s="79"/>
      <c r="W278" s="79"/>
      <c r="X278" s="79"/>
      <c r="Y278" s="79"/>
      <c r="Z278" s="79"/>
      <c r="AA278" s="79"/>
      <c r="AB278" s="79"/>
      <c r="AC278" s="79"/>
      <c r="AD278" s="79"/>
      <c r="AE278" s="79"/>
      <c r="AF278" s="79"/>
      <c r="AG278" s="79"/>
      <c r="AH278" s="79"/>
      <c r="AI278" s="79"/>
      <c r="AJ278" s="79"/>
      <c r="AK278" s="79"/>
      <c r="AL278" s="79"/>
    </row>
    <row r="279" spans="1:38" s="74" customFormat="1" x14ac:dyDescent="0.25">
      <c r="A279" s="106"/>
      <c r="B279" s="105"/>
      <c r="C279" s="105"/>
      <c r="D279" s="105"/>
      <c r="E279" s="105"/>
      <c r="F279" s="105"/>
      <c r="H279" s="88">
        <v>274</v>
      </c>
      <c r="I279" s="89" t="str">
        <f t="shared" si="18"/>
        <v/>
      </c>
      <c r="J279" s="89" t="e">
        <f t="shared" si="19"/>
        <v>#NUM!</v>
      </c>
      <c r="K279" s="88" t="e">
        <f t="shared" si="20"/>
        <v>#NUM!</v>
      </c>
      <c r="L279" s="88"/>
      <c r="M279" s="90">
        <f t="shared" si="21"/>
        <v>0</v>
      </c>
      <c r="S279" s="79"/>
      <c r="T279" s="79"/>
      <c r="U279" s="79"/>
      <c r="V279" s="79"/>
      <c r="W279" s="79"/>
      <c r="X279" s="79"/>
      <c r="Y279" s="79"/>
      <c r="Z279" s="79"/>
      <c r="AA279" s="79"/>
      <c r="AB279" s="79"/>
      <c r="AC279" s="79"/>
      <c r="AD279" s="79"/>
      <c r="AE279" s="79"/>
      <c r="AF279" s="79"/>
      <c r="AG279" s="79"/>
      <c r="AH279" s="79"/>
      <c r="AI279" s="79"/>
      <c r="AJ279" s="79"/>
      <c r="AK279" s="79"/>
      <c r="AL279" s="79"/>
    </row>
    <row r="280" spans="1:38" s="74" customFormat="1" x14ac:dyDescent="0.25">
      <c r="A280" s="106"/>
      <c r="B280" s="105"/>
      <c r="C280" s="105"/>
      <c r="D280" s="105"/>
      <c r="E280" s="105"/>
      <c r="F280" s="105"/>
      <c r="H280" s="88">
        <v>275</v>
      </c>
      <c r="I280" s="89" t="str">
        <f t="shared" si="18"/>
        <v/>
      </c>
      <c r="J280" s="89" t="e">
        <f t="shared" si="19"/>
        <v>#NUM!</v>
      </c>
      <c r="K280" s="88" t="e">
        <f t="shared" si="20"/>
        <v>#NUM!</v>
      </c>
      <c r="L280" s="88"/>
      <c r="M280" s="90">
        <f t="shared" si="21"/>
        <v>0</v>
      </c>
      <c r="S280" s="79"/>
      <c r="T280" s="79"/>
      <c r="U280" s="79"/>
      <c r="V280" s="79"/>
      <c r="W280" s="79"/>
      <c r="X280" s="79"/>
      <c r="Y280" s="79"/>
      <c r="Z280" s="79"/>
      <c r="AA280" s="79"/>
      <c r="AB280" s="79"/>
      <c r="AC280" s="79"/>
      <c r="AD280" s="79"/>
      <c r="AE280" s="79"/>
      <c r="AF280" s="79"/>
      <c r="AG280" s="79"/>
      <c r="AH280" s="79"/>
      <c r="AI280" s="79"/>
      <c r="AJ280" s="79"/>
      <c r="AK280" s="79"/>
      <c r="AL280" s="79"/>
    </row>
    <row r="281" spans="1:38" s="74" customFormat="1" x14ac:dyDescent="0.25">
      <c r="A281" s="106"/>
      <c r="B281" s="105"/>
      <c r="C281" s="105"/>
      <c r="D281" s="105"/>
      <c r="E281" s="105"/>
      <c r="F281" s="105"/>
      <c r="H281" s="88">
        <v>276</v>
      </c>
      <c r="I281" s="89" t="str">
        <f t="shared" si="18"/>
        <v/>
      </c>
      <c r="J281" s="89" t="e">
        <f t="shared" si="19"/>
        <v>#NUM!</v>
      </c>
      <c r="K281" s="88" t="e">
        <f t="shared" si="20"/>
        <v>#NUM!</v>
      </c>
      <c r="L281" s="88"/>
      <c r="M281" s="90">
        <f t="shared" si="21"/>
        <v>0</v>
      </c>
      <c r="S281" s="79"/>
      <c r="T281" s="79"/>
      <c r="U281" s="79"/>
      <c r="V281" s="79"/>
      <c r="W281" s="79"/>
      <c r="X281" s="79"/>
      <c r="Y281" s="79"/>
      <c r="Z281" s="79"/>
      <c r="AA281" s="79"/>
      <c r="AB281" s="79"/>
      <c r="AC281" s="79"/>
      <c r="AD281" s="79"/>
      <c r="AE281" s="79"/>
      <c r="AF281" s="79"/>
      <c r="AG281" s="79"/>
      <c r="AH281" s="79"/>
      <c r="AI281" s="79"/>
      <c r="AJ281" s="79"/>
      <c r="AK281" s="79"/>
      <c r="AL281" s="79"/>
    </row>
    <row r="282" spans="1:38" s="74" customFormat="1" x14ac:dyDescent="0.25">
      <c r="A282" s="106"/>
      <c r="B282" s="105"/>
      <c r="C282" s="105"/>
      <c r="D282" s="105"/>
      <c r="E282" s="105"/>
      <c r="F282" s="105"/>
      <c r="H282" s="88">
        <v>277</v>
      </c>
      <c r="I282" s="89" t="str">
        <f t="shared" si="18"/>
        <v/>
      </c>
      <c r="J282" s="89" t="e">
        <f t="shared" si="19"/>
        <v>#NUM!</v>
      </c>
      <c r="K282" s="88" t="e">
        <f t="shared" si="20"/>
        <v>#NUM!</v>
      </c>
      <c r="L282" s="88"/>
      <c r="M282" s="90">
        <f t="shared" si="21"/>
        <v>0</v>
      </c>
      <c r="S282" s="79"/>
      <c r="T282" s="79"/>
      <c r="U282" s="79"/>
      <c r="V282" s="79"/>
      <c r="W282" s="79"/>
      <c r="X282" s="79"/>
      <c r="Y282" s="79"/>
      <c r="Z282" s="79"/>
      <c r="AA282" s="79"/>
      <c r="AB282" s="79"/>
      <c r="AC282" s="79"/>
      <c r="AD282" s="79"/>
      <c r="AE282" s="79"/>
      <c r="AF282" s="79"/>
      <c r="AG282" s="79"/>
      <c r="AH282" s="79"/>
      <c r="AI282" s="79"/>
      <c r="AJ282" s="79"/>
      <c r="AK282" s="79"/>
      <c r="AL282" s="79"/>
    </row>
    <row r="283" spans="1:38" s="74" customFormat="1" x14ac:dyDescent="0.25">
      <c r="A283" s="106"/>
      <c r="B283" s="105"/>
      <c r="C283" s="105"/>
      <c r="D283" s="105"/>
      <c r="E283" s="105"/>
      <c r="F283" s="105"/>
      <c r="H283" s="88">
        <v>278</v>
      </c>
      <c r="I283" s="89" t="str">
        <f t="shared" si="18"/>
        <v/>
      </c>
      <c r="J283" s="89" t="e">
        <f t="shared" si="19"/>
        <v>#NUM!</v>
      </c>
      <c r="K283" s="88" t="e">
        <f t="shared" si="20"/>
        <v>#NUM!</v>
      </c>
      <c r="L283" s="88"/>
      <c r="M283" s="90">
        <f t="shared" si="21"/>
        <v>0</v>
      </c>
      <c r="S283" s="79"/>
      <c r="T283" s="79"/>
      <c r="U283" s="79"/>
      <c r="V283" s="79"/>
      <c r="W283" s="79"/>
      <c r="X283" s="79"/>
      <c r="Y283" s="79"/>
      <c r="Z283" s="79"/>
      <c r="AA283" s="79"/>
      <c r="AB283" s="79"/>
      <c r="AC283" s="79"/>
      <c r="AD283" s="79"/>
      <c r="AE283" s="79"/>
      <c r="AF283" s="79"/>
      <c r="AG283" s="79"/>
      <c r="AH283" s="79"/>
      <c r="AI283" s="79"/>
      <c r="AJ283" s="79"/>
      <c r="AK283" s="79"/>
      <c r="AL283" s="79"/>
    </row>
    <row r="284" spans="1:38" s="74" customFormat="1" x14ac:dyDescent="0.25">
      <c r="A284" s="106"/>
      <c r="B284" s="105"/>
      <c r="C284" s="105"/>
      <c r="D284" s="105"/>
      <c r="E284" s="105"/>
      <c r="F284" s="105"/>
      <c r="H284" s="88">
        <v>279</v>
      </c>
      <c r="I284" s="89" t="str">
        <f t="shared" si="18"/>
        <v/>
      </c>
      <c r="J284" s="89" t="e">
        <f t="shared" si="19"/>
        <v>#NUM!</v>
      </c>
      <c r="K284" s="88" t="e">
        <f t="shared" si="20"/>
        <v>#NUM!</v>
      </c>
      <c r="L284" s="88"/>
      <c r="M284" s="90">
        <f t="shared" si="21"/>
        <v>0</v>
      </c>
      <c r="S284" s="79"/>
      <c r="T284" s="79"/>
      <c r="U284" s="79"/>
      <c r="V284" s="79"/>
      <c r="W284" s="79"/>
      <c r="X284" s="79"/>
      <c r="Y284" s="79"/>
      <c r="Z284" s="79"/>
      <c r="AA284" s="79"/>
      <c r="AB284" s="79"/>
      <c r="AC284" s="79"/>
      <c r="AD284" s="79"/>
      <c r="AE284" s="79"/>
      <c r="AF284" s="79"/>
      <c r="AG284" s="79"/>
      <c r="AH284" s="79"/>
      <c r="AI284" s="79"/>
      <c r="AJ284" s="79"/>
      <c r="AK284" s="79"/>
      <c r="AL284" s="79"/>
    </row>
    <row r="285" spans="1:38" s="74" customFormat="1" x14ac:dyDescent="0.25">
      <c r="A285" s="106"/>
      <c r="B285" s="105"/>
      <c r="C285" s="105"/>
      <c r="D285" s="105"/>
      <c r="E285" s="105"/>
      <c r="F285" s="105"/>
      <c r="H285" s="88">
        <v>280</v>
      </c>
      <c r="I285" s="89" t="str">
        <f t="shared" si="18"/>
        <v/>
      </c>
      <c r="J285" s="89" t="e">
        <f t="shared" si="19"/>
        <v>#NUM!</v>
      </c>
      <c r="K285" s="88" t="e">
        <f t="shared" si="20"/>
        <v>#NUM!</v>
      </c>
      <c r="L285" s="88"/>
      <c r="M285" s="90">
        <f t="shared" si="21"/>
        <v>0</v>
      </c>
      <c r="S285" s="79"/>
      <c r="T285" s="79"/>
      <c r="U285" s="79"/>
      <c r="V285" s="79"/>
      <c r="W285" s="79"/>
      <c r="X285" s="79"/>
      <c r="Y285" s="79"/>
      <c r="Z285" s="79"/>
      <c r="AA285" s="79"/>
      <c r="AB285" s="79"/>
      <c r="AC285" s="79"/>
      <c r="AD285" s="79"/>
      <c r="AE285" s="79"/>
      <c r="AF285" s="79"/>
      <c r="AG285" s="79"/>
      <c r="AH285" s="79"/>
      <c r="AI285" s="79"/>
      <c r="AJ285" s="79"/>
      <c r="AK285" s="79"/>
      <c r="AL285" s="79"/>
    </row>
    <row r="286" spans="1:38" s="74" customFormat="1" x14ac:dyDescent="0.25">
      <c r="A286" s="106"/>
      <c r="B286" s="105"/>
      <c r="C286" s="105"/>
      <c r="D286" s="105"/>
      <c r="E286" s="105"/>
      <c r="F286" s="105"/>
      <c r="H286" s="88">
        <v>281</v>
      </c>
      <c r="I286" s="89" t="str">
        <f t="shared" si="18"/>
        <v/>
      </c>
      <c r="J286" s="89" t="e">
        <f t="shared" si="19"/>
        <v>#NUM!</v>
      </c>
      <c r="K286" s="88" t="e">
        <f t="shared" si="20"/>
        <v>#NUM!</v>
      </c>
      <c r="L286" s="88"/>
      <c r="M286" s="90">
        <f t="shared" si="21"/>
        <v>0</v>
      </c>
      <c r="S286" s="79"/>
      <c r="T286" s="79"/>
      <c r="U286" s="79"/>
      <c r="V286" s="79"/>
      <c r="W286" s="79"/>
      <c r="X286" s="79"/>
      <c r="Y286" s="79"/>
      <c r="Z286" s="79"/>
      <c r="AA286" s="79"/>
      <c r="AB286" s="79"/>
      <c r="AC286" s="79"/>
      <c r="AD286" s="79"/>
      <c r="AE286" s="79"/>
      <c r="AF286" s="79"/>
      <c r="AG286" s="79"/>
      <c r="AH286" s="79"/>
      <c r="AI286" s="79"/>
      <c r="AJ286" s="79"/>
      <c r="AK286" s="79"/>
      <c r="AL286" s="79"/>
    </row>
    <row r="287" spans="1:38" s="74" customFormat="1" x14ac:dyDescent="0.25">
      <c r="A287" s="106"/>
      <c r="B287" s="105"/>
      <c r="C287" s="105"/>
      <c r="D287" s="105"/>
      <c r="E287" s="105"/>
      <c r="F287" s="105"/>
      <c r="H287" s="88">
        <v>282</v>
      </c>
      <c r="I287" s="89" t="str">
        <f t="shared" si="18"/>
        <v/>
      </c>
      <c r="J287" s="89" t="e">
        <f t="shared" si="19"/>
        <v>#NUM!</v>
      </c>
      <c r="K287" s="88" t="e">
        <f t="shared" si="20"/>
        <v>#NUM!</v>
      </c>
      <c r="L287" s="88"/>
      <c r="M287" s="90">
        <f t="shared" si="21"/>
        <v>0</v>
      </c>
      <c r="S287" s="79"/>
      <c r="T287" s="79"/>
      <c r="U287" s="79"/>
      <c r="V287" s="79"/>
      <c r="W287" s="79"/>
      <c r="X287" s="79"/>
      <c r="Y287" s="79"/>
      <c r="Z287" s="79"/>
      <c r="AA287" s="79"/>
      <c r="AB287" s="79"/>
      <c r="AC287" s="79"/>
      <c r="AD287" s="79"/>
      <c r="AE287" s="79"/>
      <c r="AF287" s="79"/>
      <c r="AG287" s="79"/>
      <c r="AH287" s="79"/>
      <c r="AI287" s="79"/>
      <c r="AJ287" s="79"/>
      <c r="AK287" s="79"/>
      <c r="AL287" s="79"/>
    </row>
    <row r="288" spans="1:38" s="74" customFormat="1" x14ac:dyDescent="0.25">
      <c r="A288" s="106"/>
      <c r="B288" s="105"/>
      <c r="C288" s="105"/>
      <c r="D288" s="105"/>
      <c r="E288" s="105"/>
      <c r="F288" s="105"/>
      <c r="H288" s="88">
        <v>283</v>
      </c>
      <c r="I288" s="89" t="str">
        <f t="shared" si="18"/>
        <v/>
      </c>
      <c r="J288" s="89" t="e">
        <f t="shared" si="19"/>
        <v>#NUM!</v>
      </c>
      <c r="K288" s="88" t="e">
        <f t="shared" si="20"/>
        <v>#NUM!</v>
      </c>
      <c r="L288" s="88"/>
      <c r="M288" s="90">
        <f t="shared" si="21"/>
        <v>0</v>
      </c>
      <c r="S288" s="79"/>
      <c r="T288" s="79"/>
      <c r="U288" s="79"/>
      <c r="V288" s="79"/>
      <c r="W288" s="79"/>
      <c r="X288" s="79"/>
      <c r="Y288" s="79"/>
      <c r="Z288" s="79"/>
      <c r="AA288" s="79"/>
      <c r="AB288" s="79"/>
      <c r="AC288" s="79"/>
      <c r="AD288" s="79"/>
      <c r="AE288" s="79"/>
      <c r="AF288" s="79"/>
      <c r="AG288" s="79"/>
      <c r="AH288" s="79"/>
      <c r="AI288" s="79"/>
      <c r="AJ288" s="79"/>
      <c r="AK288" s="79"/>
      <c r="AL288" s="79"/>
    </row>
    <row r="289" spans="1:38" s="74" customFormat="1" x14ac:dyDescent="0.25">
      <c r="A289" s="106"/>
      <c r="B289" s="105"/>
      <c r="C289" s="105"/>
      <c r="D289" s="105"/>
      <c r="E289" s="105"/>
      <c r="F289" s="105"/>
      <c r="H289" s="88">
        <v>284</v>
      </c>
      <c r="I289" s="89" t="str">
        <f t="shared" si="18"/>
        <v/>
      </c>
      <c r="J289" s="89" t="e">
        <f t="shared" si="19"/>
        <v>#NUM!</v>
      </c>
      <c r="K289" s="88" t="e">
        <f t="shared" si="20"/>
        <v>#NUM!</v>
      </c>
      <c r="L289" s="88"/>
      <c r="M289" s="90">
        <f t="shared" si="21"/>
        <v>0</v>
      </c>
      <c r="S289" s="79"/>
      <c r="T289" s="79"/>
      <c r="U289" s="79"/>
      <c r="V289" s="79"/>
      <c r="W289" s="79"/>
      <c r="X289" s="79"/>
      <c r="Y289" s="79"/>
      <c r="Z289" s="79"/>
      <c r="AA289" s="79"/>
      <c r="AB289" s="79"/>
      <c r="AC289" s="79"/>
      <c r="AD289" s="79"/>
      <c r="AE289" s="79"/>
      <c r="AF289" s="79"/>
      <c r="AG289" s="79"/>
      <c r="AH289" s="79"/>
      <c r="AI289" s="79"/>
      <c r="AJ289" s="79"/>
      <c r="AK289" s="79"/>
      <c r="AL289" s="79"/>
    </row>
    <row r="290" spans="1:38" s="74" customFormat="1" x14ac:dyDescent="0.25">
      <c r="A290" s="106"/>
      <c r="B290" s="105"/>
      <c r="C290" s="105"/>
      <c r="D290" s="105"/>
      <c r="E290" s="105"/>
      <c r="F290" s="105"/>
      <c r="H290" s="88">
        <v>285</v>
      </c>
      <c r="I290" s="89" t="str">
        <f t="shared" si="18"/>
        <v/>
      </c>
      <c r="J290" s="89" t="e">
        <f t="shared" si="19"/>
        <v>#NUM!</v>
      </c>
      <c r="K290" s="88" t="e">
        <f t="shared" si="20"/>
        <v>#NUM!</v>
      </c>
      <c r="L290" s="88"/>
      <c r="M290" s="90">
        <f t="shared" si="21"/>
        <v>0</v>
      </c>
      <c r="S290" s="79"/>
      <c r="T290" s="79"/>
      <c r="U290" s="79"/>
      <c r="V290" s="79"/>
      <c r="W290" s="79"/>
      <c r="X290" s="79"/>
      <c r="Y290" s="79"/>
      <c r="Z290" s="79"/>
      <c r="AA290" s="79"/>
      <c r="AB290" s="79"/>
      <c r="AC290" s="79"/>
      <c r="AD290" s="79"/>
      <c r="AE290" s="79"/>
      <c r="AF290" s="79"/>
      <c r="AG290" s="79"/>
      <c r="AH290" s="79"/>
      <c r="AI290" s="79"/>
      <c r="AJ290" s="79"/>
      <c r="AK290" s="79"/>
      <c r="AL290" s="79"/>
    </row>
    <row r="291" spans="1:38" s="74" customFormat="1" x14ac:dyDescent="0.25">
      <c r="A291" s="106"/>
      <c r="B291" s="105"/>
      <c r="C291" s="105"/>
      <c r="D291" s="105"/>
      <c r="E291" s="105"/>
      <c r="F291" s="105"/>
      <c r="H291" s="88">
        <v>286</v>
      </c>
      <c r="I291" s="89" t="str">
        <f t="shared" si="18"/>
        <v/>
      </c>
      <c r="J291" s="89" t="e">
        <f t="shared" si="19"/>
        <v>#NUM!</v>
      </c>
      <c r="K291" s="88" t="e">
        <f t="shared" si="20"/>
        <v>#NUM!</v>
      </c>
      <c r="L291" s="88"/>
      <c r="M291" s="90">
        <f t="shared" si="21"/>
        <v>0</v>
      </c>
      <c r="S291" s="79"/>
      <c r="T291" s="79"/>
      <c r="U291" s="79"/>
      <c r="V291" s="79"/>
      <c r="W291" s="79"/>
      <c r="X291" s="79"/>
      <c r="Y291" s="79"/>
      <c r="Z291" s="79"/>
      <c r="AA291" s="79"/>
      <c r="AB291" s="79"/>
      <c r="AC291" s="79"/>
      <c r="AD291" s="79"/>
      <c r="AE291" s="79"/>
      <c r="AF291" s="79"/>
      <c r="AG291" s="79"/>
      <c r="AH291" s="79"/>
      <c r="AI291" s="79"/>
      <c r="AJ291" s="79"/>
      <c r="AK291" s="79"/>
      <c r="AL291" s="79"/>
    </row>
    <row r="292" spans="1:38" s="74" customFormat="1" x14ac:dyDescent="0.25">
      <c r="A292" s="106"/>
      <c r="B292" s="105"/>
      <c r="C292" s="105"/>
      <c r="D292" s="105"/>
      <c r="E292" s="105"/>
      <c r="F292" s="105"/>
      <c r="H292" s="88">
        <v>287</v>
      </c>
      <c r="I292" s="89" t="str">
        <f t="shared" si="18"/>
        <v/>
      </c>
      <c r="J292" s="89" t="e">
        <f t="shared" si="19"/>
        <v>#NUM!</v>
      </c>
      <c r="K292" s="88" t="e">
        <f t="shared" si="20"/>
        <v>#NUM!</v>
      </c>
      <c r="L292" s="88"/>
      <c r="M292" s="90">
        <f t="shared" si="21"/>
        <v>0</v>
      </c>
      <c r="S292" s="79"/>
      <c r="T292" s="79"/>
      <c r="U292" s="79"/>
      <c r="V292" s="79"/>
      <c r="W292" s="79"/>
      <c r="X292" s="79"/>
      <c r="Y292" s="79"/>
      <c r="Z292" s="79"/>
      <c r="AA292" s="79"/>
      <c r="AB292" s="79"/>
      <c r="AC292" s="79"/>
      <c r="AD292" s="79"/>
      <c r="AE292" s="79"/>
      <c r="AF292" s="79"/>
      <c r="AG292" s="79"/>
      <c r="AH292" s="79"/>
      <c r="AI292" s="79"/>
      <c r="AJ292" s="79"/>
      <c r="AK292" s="79"/>
      <c r="AL292" s="79"/>
    </row>
    <row r="293" spans="1:38" s="74" customFormat="1" x14ac:dyDescent="0.25">
      <c r="A293" s="106"/>
      <c r="B293" s="105"/>
      <c r="C293" s="105"/>
      <c r="D293" s="105"/>
      <c r="E293" s="105"/>
      <c r="F293" s="105"/>
      <c r="H293" s="88">
        <v>288</v>
      </c>
      <c r="I293" s="89" t="str">
        <f t="shared" si="18"/>
        <v/>
      </c>
      <c r="J293" s="89" t="e">
        <f t="shared" si="19"/>
        <v>#NUM!</v>
      </c>
      <c r="K293" s="88" t="e">
        <f t="shared" si="20"/>
        <v>#NUM!</v>
      </c>
      <c r="L293" s="88"/>
      <c r="M293" s="90">
        <f t="shared" si="21"/>
        <v>0</v>
      </c>
      <c r="S293" s="79"/>
      <c r="T293" s="79"/>
      <c r="U293" s="79"/>
      <c r="V293" s="79"/>
      <c r="W293" s="79"/>
      <c r="X293" s="79"/>
      <c r="Y293" s="79"/>
      <c r="Z293" s="79"/>
      <c r="AA293" s="79"/>
      <c r="AB293" s="79"/>
      <c r="AC293" s="79"/>
      <c r="AD293" s="79"/>
      <c r="AE293" s="79"/>
      <c r="AF293" s="79"/>
      <c r="AG293" s="79"/>
      <c r="AH293" s="79"/>
      <c r="AI293" s="79"/>
      <c r="AJ293" s="79"/>
      <c r="AK293" s="79"/>
      <c r="AL293" s="79"/>
    </row>
    <row r="294" spans="1:38" s="74" customFormat="1" x14ac:dyDescent="0.25">
      <c r="A294" s="106"/>
      <c r="B294" s="105"/>
      <c r="C294" s="105"/>
      <c r="D294" s="105"/>
      <c r="E294" s="105"/>
      <c r="F294" s="105"/>
      <c r="H294" s="88">
        <v>289</v>
      </c>
      <c r="I294" s="89" t="str">
        <f t="shared" si="18"/>
        <v/>
      </c>
      <c r="J294" s="89" t="e">
        <f t="shared" si="19"/>
        <v>#NUM!</v>
      </c>
      <c r="K294" s="88" t="e">
        <f t="shared" si="20"/>
        <v>#NUM!</v>
      </c>
      <c r="L294" s="88"/>
      <c r="M294" s="90">
        <f t="shared" si="21"/>
        <v>0</v>
      </c>
      <c r="S294" s="79"/>
      <c r="T294" s="79"/>
      <c r="U294" s="79"/>
      <c r="V294" s="79"/>
      <c r="W294" s="79"/>
      <c r="X294" s="79"/>
      <c r="Y294" s="79"/>
      <c r="Z294" s="79"/>
      <c r="AA294" s="79"/>
      <c r="AB294" s="79"/>
      <c r="AC294" s="79"/>
      <c r="AD294" s="79"/>
      <c r="AE294" s="79"/>
      <c r="AF294" s="79"/>
      <c r="AG294" s="79"/>
      <c r="AH294" s="79"/>
      <c r="AI294" s="79"/>
      <c r="AJ294" s="79"/>
      <c r="AK294" s="79"/>
      <c r="AL294" s="79"/>
    </row>
    <row r="295" spans="1:38" s="74" customFormat="1" x14ac:dyDescent="0.25">
      <c r="A295" s="106"/>
      <c r="B295" s="105"/>
      <c r="C295" s="105"/>
      <c r="D295" s="105"/>
      <c r="E295" s="105"/>
      <c r="F295" s="105"/>
      <c r="H295" s="88">
        <v>290</v>
      </c>
      <c r="I295" s="89" t="str">
        <f t="shared" si="18"/>
        <v/>
      </c>
      <c r="J295" s="89" t="e">
        <f t="shared" si="19"/>
        <v>#NUM!</v>
      </c>
      <c r="K295" s="88" t="e">
        <f t="shared" si="20"/>
        <v>#NUM!</v>
      </c>
      <c r="L295" s="88"/>
      <c r="M295" s="90">
        <f t="shared" si="21"/>
        <v>0</v>
      </c>
      <c r="S295" s="79"/>
      <c r="T295" s="79"/>
      <c r="U295" s="79"/>
      <c r="V295" s="79"/>
      <c r="W295" s="79"/>
      <c r="X295" s="79"/>
      <c r="Y295" s="79"/>
      <c r="Z295" s="79"/>
      <c r="AA295" s="79"/>
      <c r="AB295" s="79"/>
      <c r="AC295" s="79"/>
      <c r="AD295" s="79"/>
      <c r="AE295" s="79"/>
      <c r="AF295" s="79"/>
      <c r="AG295" s="79"/>
      <c r="AH295" s="79"/>
      <c r="AI295" s="79"/>
      <c r="AJ295" s="79"/>
      <c r="AK295" s="79"/>
      <c r="AL295" s="79"/>
    </row>
    <row r="296" spans="1:38" s="74" customFormat="1" x14ac:dyDescent="0.25">
      <c r="A296" s="106"/>
      <c r="B296" s="105"/>
      <c r="C296" s="105"/>
      <c r="D296" s="105"/>
      <c r="E296" s="105"/>
      <c r="F296" s="105"/>
      <c r="H296" s="88">
        <v>291</v>
      </c>
      <c r="I296" s="89" t="str">
        <f t="shared" si="18"/>
        <v/>
      </c>
      <c r="J296" s="89" t="e">
        <f t="shared" si="19"/>
        <v>#NUM!</v>
      </c>
      <c r="K296" s="88" t="e">
        <f t="shared" si="20"/>
        <v>#NUM!</v>
      </c>
      <c r="L296" s="88"/>
      <c r="M296" s="90">
        <f t="shared" si="21"/>
        <v>0</v>
      </c>
      <c r="S296" s="79"/>
      <c r="T296" s="79"/>
      <c r="U296" s="79"/>
      <c r="V296" s="79"/>
      <c r="W296" s="79"/>
      <c r="X296" s="79"/>
      <c r="Y296" s="79"/>
      <c r="Z296" s="79"/>
      <c r="AA296" s="79"/>
      <c r="AB296" s="79"/>
      <c r="AC296" s="79"/>
      <c r="AD296" s="79"/>
      <c r="AE296" s="79"/>
      <c r="AF296" s="79"/>
      <c r="AG296" s="79"/>
      <c r="AH296" s="79"/>
      <c r="AI296" s="79"/>
      <c r="AJ296" s="79"/>
      <c r="AK296" s="79"/>
      <c r="AL296" s="79"/>
    </row>
    <row r="297" spans="1:38" s="74" customFormat="1" x14ac:dyDescent="0.25">
      <c r="A297" s="106"/>
      <c r="B297" s="105"/>
      <c r="C297" s="105"/>
      <c r="D297" s="105"/>
      <c r="E297" s="105"/>
      <c r="F297" s="105"/>
      <c r="H297" s="88">
        <v>292</v>
      </c>
      <c r="I297" s="89" t="str">
        <f t="shared" si="18"/>
        <v/>
      </c>
      <c r="J297" s="89" t="e">
        <f t="shared" si="19"/>
        <v>#NUM!</v>
      </c>
      <c r="K297" s="88" t="e">
        <f t="shared" si="20"/>
        <v>#NUM!</v>
      </c>
      <c r="L297" s="88"/>
      <c r="M297" s="90">
        <f t="shared" si="21"/>
        <v>0</v>
      </c>
      <c r="S297" s="79"/>
      <c r="T297" s="79"/>
      <c r="U297" s="79"/>
      <c r="V297" s="79"/>
      <c r="W297" s="79"/>
      <c r="X297" s="79"/>
      <c r="Y297" s="79"/>
      <c r="Z297" s="79"/>
      <c r="AA297" s="79"/>
      <c r="AB297" s="79"/>
      <c r="AC297" s="79"/>
      <c r="AD297" s="79"/>
      <c r="AE297" s="79"/>
      <c r="AF297" s="79"/>
      <c r="AG297" s="79"/>
      <c r="AH297" s="79"/>
      <c r="AI297" s="79"/>
      <c r="AJ297" s="79"/>
      <c r="AK297" s="79"/>
      <c r="AL297" s="79"/>
    </row>
    <row r="298" spans="1:38" s="74" customFormat="1" x14ac:dyDescent="0.25">
      <c r="A298" s="106"/>
      <c r="B298" s="105"/>
      <c r="C298" s="105"/>
      <c r="D298" s="105"/>
      <c r="E298" s="105"/>
      <c r="F298" s="105"/>
      <c r="H298" s="88">
        <v>293</v>
      </c>
      <c r="I298" s="89" t="str">
        <f t="shared" si="18"/>
        <v/>
      </c>
      <c r="J298" s="89" t="e">
        <f t="shared" si="19"/>
        <v>#NUM!</v>
      </c>
      <c r="K298" s="88" t="e">
        <f t="shared" si="20"/>
        <v>#NUM!</v>
      </c>
      <c r="L298" s="88"/>
      <c r="M298" s="90">
        <f t="shared" si="21"/>
        <v>0</v>
      </c>
      <c r="S298" s="79"/>
      <c r="T298" s="79"/>
      <c r="U298" s="79"/>
      <c r="V298" s="79"/>
      <c r="W298" s="79"/>
      <c r="X298" s="79"/>
      <c r="Y298" s="79"/>
      <c r="Z298" s="79"/>
      <c r="AA298" s="79"/>
      <c r="AB298" s="79"/>
      <c r="AC298" s="79"/>
      <c r="AD298" s="79"/>
      <c r="AE298" s="79"/>
      <c r="AF298" s="79"/>
      <c r="AG298" s="79"/>
      <c r="AH298" s="79"/>
      <c r="AI298" s="79"/>
      <c r="AJ298" s="79"/>
      <c r="AK298" s="79"/>
      <c r="AL298" s="79"/>
    </row>
    <row r="299" spans="1:38" s="74" customFormat="1" x14ac:dyDescent="0.25">
      <c r="A299" s="106"/>
      <c r="B299" s="105"/>
      <c r="C299" s="105"/>
      <c r="D299" s="105"/>
      <c r="E299" s="105"/>
      <c r="F299" s="105"/>
      <c r="H299" s="88">
        <v>294</v>
      </c>
      <c r="I299" s="89" t="str">
        <f t="shared" si="18"/>
        <v/>
      </c>
      <c r="J299" s="89" t="e">
        <f t="shared" si="19"/>
        <v>#NUM!</v>
      </c>
      <c r="K299" s="88" t="e">
        <f t="shared" si="20"/>
        <v>#NUM!</v>
      </c>
      <c r="L299" s="88"/>
      <c r="M299" s="90">
        <f t="shared" si="21"/>
        <v>0</v>
      </c>
      <c r="S299" s="79"/>
      <c r="T299" s="79"/>
      <c r="U299" s="79"/>
      <c r="V299" s="79"/>
      <c r="W299" s="79"/>
      <c r="X299" s="79"/>
      <c r="Y299" s="79"/>
      <c r="Z299" s="79"/>
      <c r="AA299" s="79"/>
      <c r="AB299" s="79"/>
      <c r="AC299" s="79"/>
      <c r="AD299" s="79"/>
      <c r="AE299" s="79"/>
      <c r="AF299" s="79"/>
      <c r="AG299" s="79"/>
      <c r="AH299" s="79"/>
      <c r="AI299" s="79"/>
      <c r="AJ299" s="79"/>
      <c r="AK299" s="79"/>
      <c r="AL299" s="79"/>
    </row>
    <row r="300" spans="1:38" s="74" customFormat="1" x14ac:dyDescent="0.25">
      <c r="A300" s="106"/>
      <c r="B300" s="105"/>
      <c r="C300" s="105"/>
      <c r="D300" s="105"/>
      <c r="E300" s="105"/>
      <c r="F300" s="105"/>
      <c r="H300" s="88">
        <v>295</v>
      </c>
      <c r="I300" s="89" t="str">
        <f t="shared" si="18"/>
        <v/>
      </c>
      <c r="J300" s="89" t="e">
        <f t="shared" si="19"/>
        <v>#NUM!</v>
      </c>
      <c r="K300" s="88" t="e">
        <f t="shared" si="20"/>
        <v>#NUM!</v>
      </c>
      <c r="L300" s="88"/>
      <c r="M300" s="90">
        <f t="shared" si="21"/>
        <v>0</v>
      </c>
      <c r="S300" s="79"/>
      <c r="T300" s="79"/>
      <c r="U300" s="79"/>
      <c r="V300" s="79"/>
      <c r="W300" s="79"/>
      <c r="X300" s="79"/>
      <c r="Y300" s="79"/>
      <c r="Z300" s="79"/>
      <c r="AA300" s="79"/>
      <c r="AB300" s="79"/>
      <c r="AC300" s="79"/>
      <c r="AD300" s="79"/>
      <c r="AE300" s="79"/>
      <c r="AF300" s="79"/>
      <c r="AG300" s="79"/>
      <c r="AH300" s="79"/>
      <c r="AI300" s="79"/>
      <c r="AJ300" s="79"/>
      <c r="AK300" s="79"/>
      <c r="AL300" s="79"/>
    </row>
    <row r="301" spans="1:38" s="74" customFormat="1" x14ac:dyDescent="0.25">
      <c r="A301" s="106"/>
      <c r="B301" s="105"/>
      <c r="C301" s="105"/>
      <c r="D301" s="105"/>
      <c r="E301" s="105"/>
      <c r="F301" s="105"/>
      <c r="H301" s="88">
        <v>296</v>
      </c>
      <c r="I301" s="89" t="str">
        <f t="shared" si="18"/>
        <v/>
      </c>
      <c r="J301" s="89" t="e">
        <f t="shared" si="19"/>
        <v>#NUM!</v>
      </c>
      <c r="K301" s="88" t="e">
        <f t="shared" si="20"/>
        <v>#NUM!</v>
      </c>
      <c r="L301" s="88"/>
      <c r="M301" s="90">
        <f t="shared" si="21"/>
        <v>0</v>
      </c>
      <c r="S301" s="79"/>
      <c r="T301" s="79"/>
      <c r="U301" s="79"/>
      <c r="V301" s="79"/>
      <c r="W301" s="79"/>
      <c r="X301" s="79"/>
      <c r="Y301" s="79"/>
      <c r="Z301" s="79"/>
      <c r="AA301" s="79"/>
      <c r="AB301" s="79"/>
      <c r="AC301" s="79"/>
      <c r="AD301" s="79"/>
      <c r="AE301" s="79"/>
      <c r="AF301" s="79"/>
      <c r="AG301" s="79"/>
      <c r="AH301" s="79"/>
      <c r="AI301" s="79"/>
      <c r="AJ301" s="79"/>
      <c r="AK301" s="79"/>
      <c r="AL301" s="79"/>
    </row>
    <row r="302" spans="1:38" s="74" customFormat="1" x14ac:dyDescent="0.25">
      <c r="A302" s="106"/>
      <c r="B302" s="105"/>
      <c r="C302" s="105"/>
      <c r="D302" s="105"/>
      <c r="E302" s="105"/>
      <c r="F302" s="105"/>
      <c r="H302" s="88">
        <v>297</v>
      </c>
      <c r="I302" s="89" t="str">
        <f t="shared" si="18"/>
        <v/>
      </c>
      <c r="J302" s="89" t="e">
        <f t="shared" si="19"/>
        <v>#NUM!</v>
      </c>
      <c r="K302" s="88" t="e">
        <f t="shared" si="20"/>
        <v>#NUM!</v>
      </c>
      <c r="L302" s="88"/>
      <c r="M302" s="90">
        <f t="shared" si="21"/>
        <v>0</v>
      </c>
      <c r="S302" s="79"/>
      <c r="T302" s="79"/>
      <c r="U302" s="79"/>
      <c r="V302" s="79"/>
      <c r="W302" s="79"/>
      <c r="X302" s="79"/>
      <c r="Y302" s="79"/>
      <c r="Z302" s="79"/>
      <c r="AA302" s="79"/>
      <c r="AB302" s="79"/>
      <c r="AC302" s="79"/>
      <c r="AD302" s="79"/>
      <c r="AE302" s="79"/>
      <c r="AF302" s="79"/>
      <c r="AG302" s="79"/>
      <c r="AH302" s="79"/>
      <c r="AI302" s="79"/>
      <c r="AJ302" s="79"/>
      <c r="AK302" s="79"/>
      <c r="AL302" s="79"/>
    </row>
    <row r="303" spans="1:38" s="74" customFormat="1" x14ac:dyDescent="0.25">
      <c r="A303" s="106"/>
      <c r="B303" s="105"/>
      <c r="C303" s="105"/>
      <c r="D303" s="105"/>
      <c r="E303" s="105"/>
      <c r="F303" s="105"/>
      <c r="H303" s="88">
        <v>298</v>
      </c>
      <c r="I303" s="89" t="str">
        <f t="shared" si="18"/>
        <v/>
      </c>
      <c r="J303" s="89" t="e">
        <f t="shared" si="19"/>
        <v>#NUM!</v>
      </c>
      <c r="K303" s="88" t="e">
        <f t="shared" si="20"/>
        <v>#NUM!</v>
      </c>
      <c r="L303" s="88"/>
      <c r="M303" s="90">
        <f t="shared" si="21"/>
        <v>0</v>
      </c>
      <c r="S303" s="79"/>
      <c r="T303" s="79"/>
      <c r="U303" s="79"/>
      <c r="V303" s="79"/>
      <c r="W303" s="79"/>
      <c r="X303" s="79"/>
      <c r="Y303" s="79"/>
      <c r="Z303" s="79"/>
      <c r="AA303" s="79"/>
      <c r="AB303" s="79"/>
      <c r="AC303" s="79"/>
      <c r="AD303" s="79"/>
      <c r="AE303" s="79"/>
      <c r="AF303" s="79"/>
      <c r="AG303" s="79"/>
      <c r="AH303" s="79"/>
      <c r="AI303" s="79"/>
      <c r="AJ303" s="79"/>
      <c r="AK303" s="79"/>
      <c r="AL303" s="79"/>
    </row>
    <row r="304" spans="1:38" s="74" customFormat="1" x14ac:dyDescent="0.25">
      <c r="A304" s="106"/>
      <c r="B304" s="105"/>
      <c r="C304" s="105"/>
      <c r="D304" s="105"/>
      <c r="E304" s="105"/>
      <c r="F304" s="105"/>
      <c r="H304" s="88">
        <v>299</v>
      </c>
      <c r="I304" s="89" t="str">
        <f t="shared" si="18"/>
        <v/>
      </c>
      <c r="J304" s="89" t="e">
        <f t="shared" si="19"/>
        <v>#NUM!</v>
      </c>
      <c r="K304" s="88" t="e">
        <f t="shared" si="20"/>
        <v>#NUM!</v>
      </c>
      <c r="L304" s="88"/>
      <c r="M304" s="90">
        <f t="shared" si="21"/>
        <v>0</v>
      </c>
      <c r="S304" s="79"/>
      <c r="T304" s="79"/>
      <c r="U304" s="79"/>
      <c r="V304" s="79"/>
      <c r="W304" s="79"/>
      <c r="X304" s="79"/>
      <c r="Y304" s="79"/>
      <c r="Z304" s="79"/>
      <c r="AA304" s="79"/>
      <c r="AB304" s="79"/>
      <c r="AC304" s="79"/>
      <c r="AD304" s="79"/>
      <c r="AE304" s="79"/>
      <c r="AF304" s="79"/>
      <c r="AG304" s="79"/>
      <c r="AH304" s="79"/>
      <c r="AI304" s="79"/>
      <c r="AJ304" s="79"/>
      <c r="AK304" s="79"/>
      <c r="AL304" s="79"/>
    </row>
    <row r="305" spans="1:38" s="74" customFormat="1" x14ac:dyDescent="0.25">
      <c r="A305" s="106"/>
      <c r="B305" s="105"/>
      <c r="C305" s="105"/>
      <c r="D305" s="105"/>
      <c r="E305" s="105"/>
      <c r="F305" s="105"/>
      <c r="H305" s="88">
        <v>300</v>
      </c>
      <c r="I305" s="89" t="str">
        <f t="shared" si="18"/>
        <v/>
      </c>
      <c r="J305" s="89" t="e">
        <f t="shared" si="19"/>
        <v>#NUM!</v>
      </c>
      <c r="K305" s="88" t="e">
        <f t="shared" si="20"/>
        <v>#NUM!</v>
      </c>
      <c r="L305" s="88"/>
      <c r="M305" s="90">
        <f t="shared" si="21"/>
        <v>0</v>
      </c>
      <c r="S305" s="79"/>
      <c r="T305" s="79"/>
      <c r="U305" s="79"/>
      <c r="V305" s="79"/>
      <c r="W305" s="79"/>
      <c r="X305" s="79"/>
      <c r="Y305" s="79"/>
      <c r="Z305" s="79"/>
      <c r="AA305" s="79"/>
      <c r="AB305" s="79"/>
      <c r="AC305" s="79"/>
      <c r="AD305" s="79"/>
      <c r="AE305" s="79"/>
      <c r="AF305" s="79"/>
      <c r="AG305" s="79"/>
      <c r="AH305" s="79"/>
      <c r="AI305" s="79"/>
      <c r="AJ305" s="79"/>
      <c r="AK305" s="79"/>
      <c r="AL305" s="79"/>
    </row>
    <row r="306" spans="1:38" s="74" customFormat="1" x14ac:dyDescent="0.25">
      <c r="A306" s="107"/>
      <c r="B306" s="105"/>
      <c r="C306" s="105"/>
      <c r="D306" s="105"/>
      <c r="E306" s="105"/>
      <c r="F306" s="105"/>
      <c r="G306" s="105"/>
      <c r="H306" s="108"/>
      <c r="I306" s="108"/>
      <c r="J306" s="108"/>
      <c r="K306" s="108"/>
      <c r="L306" s="108"/>
      <c r="M306" s="10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  <c r="AC306" s="79"/>
      <c r="AD306" s="79"/>
      <c r="AE306" s="79"/>
      <c r="AF306" s="79"/>
      <c r="AG306" s="79"/>
      <c r="AH306" s="79"/>
      <c r="AI306" s="79"/>
      <c r="AJ306" s="79"/>
      <c r="AK306" s="79"/>
      <c r="AL306" s="79"/>
    </row>
    <row r="314" spans="1:38" s="74" customFormat="1" x14ac:dyDescent="0.25">
      <c r="A314" s="105"/>
      <c r="B314" s="105"/>
      <c r="C314" s="105"/>
      <c r="D314" s="105"/>
      <c r="E314" s="105"/>
      <c r="F314" s="105"/>
      <c r="G314" s="105"/>
      <c r="H314" s="108"/>
      <c r="I314" s="108"/>
      <c r="J314" s="108"/>
      <c r="K314" s="108"/>
      <c r="L314" s="110"/>
      <c r="M314" s="109"/>
      <c r="P314" s="100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  <c r="AC314" s="79"/>
      <c r="AD314" s="79"/>
      <c r="AE314" s="79"/>
      <c r="AF314" s="79"/>
      <c r="AG314" s="79"/>
      <c r="AH314" s="79"/>
      <c r="AI314" s="79"/>
      <c r="AJ314" s="79"/>
      <c r="AK314" s="79"/>
      <c r="AL314" s="79"/>
    </row>
    <row r="315" spans="1:38" s="74" customFormat="1" x14ac:dyDescent="0.25">
      <c r="A315" s="105"/>
      <c r="B315" s="105"/>
      <c r="C315" s="105"/>
      <c r="D315" s="105"/>
      <c r="E315" s="105"/>
      <c r="F315" s="105"/>
      <c r="G315" s="105"/>
      <c r="H315" s="108"/>
      <c r="I315" s="108"/>
      <c r="J315" s="108"/>
      <c r="K315" s="108"/>
      <c r="L315" s="110"/>
      <c r="M315" s="109"/>
      <c r="P315" s="100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  <c r="AC315" s="79"/>
      <c r="AD315" s="79"/>
      <c r="AE315" s="79"/>
      <c r="AF315" s="79"/>
      <c r="AG315" s="79"/>
      <c r="AH315" s="79"/>
      <c r="AI315" s="79"/>
      <c r="AJ315" s="79"/>
      <c r="AK315" s="79"/>
      <c r="AL315" s="79"/>
    </row>
    <row r="316" spans="1:38" s="74" customFormat="1" x14ac:dyDescent="0.25">
      <c r="A316" s="105"/>
      <c r="B316" s="105"/>
      <c r="C316" s="105"/>
      <c r="D316" s="105"/>
      <c r="E316" s="105"/>
      <c r="F316" s="105"/>
      <c r="G316" s="105"/>
      <c r="H316" s="108"/>
      <c r="I316" s="108"/>
      <c r="J316" s="108"/>
      <c r="K316" s="108"/>
      <c r="L316" s="110"/>
      <c r="M316" s="109"/>
      <c r="P316" s="100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  <c r="AC316" s="79"/>
      <c r="AD316" s="79"/>
      <c r="AE316" s="79"/>
      <c r="AF316" s="79"/>
      <c r="AG316" s="79"/>
      <c r="AH316" s="79"/>
      <c r="AI316" s="79"/>
      <c r="AJ316" s="79"/>
      <c r="AK316" s="79"/>
      <c r="AL316" s="79"/>
    </row>
    <row r="317" spans="1:38" s="74" customFormat="1" x14ac:dyDescent="0.25">
      <c r="A317" s="105"/>
      <c r="B317" s="105"/>
      <c r="C317" s="105"/>
      <c r="D317" s="105"/>
      <c r="E317" s="105"/>
      <c r="F317" s="105"/>
      <c r="G317" s="105"/>
      <c r="H317" s="108"/>
      <c r="I317" s="108"/>
      <c r="J317" s="108"/>
      <c r="K317" s="108"/>
      <c r="L317" s="110"/>
      <c r="M317" s="109"/>
      <c r="P317" s="100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  <c r="AC317" s="79"/>
      <c r="AD317" s="79"/>
      <c r="AE317" s="79"/>
      <c r="AF317" s="79"/>
      <c r="AG317" s="79"/>
      <c r="AH317" s="79"/>
      <c r="AI317" s="79"/>
      <c r="AJ317" s="79"/>
      <c r="AK317" s="79"/>
      <c r="AL317" s="79"/>
    </row>
  </sheetData>
  <mergeCells count="2">
    <mergeCell ref="C2:D2"/>
    <mergeCell ref="C3:D3"/>
  </mergeCells>
  <conditionalFormatting sqref="J9:K9">
    <cfRule type="cellIs" dxfId="15" priority="1" operator="lessThanOrEqual">
      <formula>0</formula>
    </cfRule>
  </conditionalFormatting>
  <conditionalFormatting sqref="K6:K8 K10:K305">
    <cfRule type="cellIs" dxfId="14" priority="2" operator="lessThanOrEqual">
      <formula>0</formula>
    </cfRule>
  </conditionalFormatting>
  <dataValidations count="1">
    <dataValidation type="list" allowBlank="1" showInputMessage="1" showErrorMessage="1" sqref="C38:C69" xr:uid="{6AD866C8-B587-424F-894D-0C1A842802D8}">
      <formula1>#REF!</formula1>
    </dataValidation>
  </dataValidations>
  <hyperlinks>
    <hyperlink ref="C2:D2" r:id="rId1" display="Madrid" xr:uid="{16402691-5B90-4B67-AED7-8E3A050A3A47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85DB6-2409-490E-B928-03D74F3D0C5A}">
  <sheetPr>
    <tabColor rgb="FF92D050"/>
  </sheetPr>
  <dimension ref="A1:AL317"/>
  <sheetViews>
    <sheetView workbookViewId="0">
      <selection activeCell="C27" sqref="C27"/>
    </sheetView>
  </sheetViews>
  <sheetFormatPr defaultColWidth="8.875" defaultRowHeight="14.3" x14ac:dyDescent="0.25"/>
  <cols>
    <col min="1" max="1" width="8" style="105" customWidth="1"/>
    <col min="2" max="2" width="8.25" style="105" customWidth="1"/>
    <col min="3" max="3" width="34.75" style="105" customWidth="1"/>
    <col min="4" max="4" width="11.25" style="105" customWidth="1"/>
    <col min="5" max="6" width="8.875" style="105"/>
    <col min="7" max="7" width="0.875" style="105" customWidth="1"/>
    <col min="8" max="8" width="8.875" style="108"/>
    <col min="9" max="9" width="11" style="108" customWidth="1"/>
    <col min="10" max="10" width="15" style="108" customWidth="1"/>
    <col min="11" max="11" width="8.75" style="108" customWidth="1"/>
    <col min="12" max="12" width="11" style="108" customWidth="1"/>
    <col min="13" max="13" width="11.75" style="109" customWidth="1"/>
    <col min="14" max="15" width="13.875" style="74" customWidth="1"/>
    <col min="16" max="18" width="8.875" style="74"/>
    <col min="19" max="20" width="8.875" style="79"/>
    <col min="21" max="21" width="12.125" style="79" customWidth="1"/>
    <col min="22" max="22" width="27.375" style="79" customWidth="1"/>
    <col min="23" max="38" width="8.875" style="79"/>
    <col min="39" max="16384" width="8.875" style="105"/>
  </cols>
  <sheetData>
    <row r="1" spans="1:36" s="79" customFormat="1" x14ac:dyDescent="0.25">
      <c r="A1" s="74"/>
      <c r="B1" s="74"/>
      <c r="C1" s="74"/>
      <c r="D1" s="74"/>
      <c r="E1" s="74"/>
      <c r="F1" s="74"/>
      <c r="G1" s="74"/>
      <c r="H1" s="75" t="s">
        <v>13</v>
      </c>
      <c r="I1" s="76" t="s">
        <v>14</v>
      </c>
      <c r="J1" s="76" t="s">
        <v>15</v>
      </c>
      <c r="K1" s="77" t="s">
        <v>57</v>
      </c>
      <c r="L1" s="78"/>
      <c r="M1" s="78"/>
      <c r="N1" s="74"/>
      <c r="O1" s="74"/>
      <c r="P1" s="74"/>
      <c r="Q1" s="74"/>
      <c r="R1" s="74"/>
    </row>
    <row r="2" spans="1:36" s="79" customFormat="1" x14ac:dyDescent="0.25">
      <c r="A2" s="74"/>
      <c r="B2" s="17" t="s">
        <v>17</v>
      </c>
      <c r="C2" s="263" t="s">
        <v>60</v>
      </c>
      <c r="D2" s="263"/>
      <c r="E2" s="18"/>
      <c r="F2" s="18"/>
      <c r="G2" s="18"/>
      <c r="H2" s="80">
        <v>21</v>
      </c>
      <c r="I2" s="81">
        <v>50</v>
      </c>
      <c r="J2" s="81">
        <v>10</v>
      </c>
      <c r="K2" s="111">
        <f>3*H2^(1/3)</f>
        <v>8.2767725291433614</v>
      </c>
      <c r="L2" s="78"/>
      <c r="M2" s="78"/>
      <c r="N2" s="74"/>
      <c r="O2" s="74"/>
      <c r="P2" s="74"/>
      <c r="Q2" s="74"/>
      <c r="R2" s="74"/>
    </row>
    <row r="3" spans="1:36" s="79" customFormat="1" ht="14.45" customHeight="1" x14ac:dyDescent="0.25">
      <c r="A3" s="74"/>
      <c r="B3" s="82" t="s">
        <v>18</v>
      </c>
      <c r="C3" s="238" t="s">
        <v>95</v>
      </c>
      <c r="D3" s="238"/>
      <c r="E3" s="23"/>
      <c r="F3" s="23"/>
      <c r="G3" s="23"/>
      <c r="H3" s="78"/>
      <c r="I3" s="78"/>
      <c r="J3" s="78"/>
      <c r="K3" s="78"/>
      <c r="L3" s="78"/>
      <c r="M3" s="78"/>
      <c r="N3" s="74"/>
      <c r="O3" s="74"/>
      <c r="P3" s="74"/>
      <c r="Q3" s="74"/>
      <c r="R3" s="74"/>
    </row>
    <row r="4" spans="1:36" s="79" customFormat="1" ht="10.199999999999999" customHeight="1" x14ac:dyDescent="0.25">
      <c r="A4" s="25"/>
      <c r="B4" s="23"/>
      <c r="C4" s="25"/>
      <c r="D4" s="25"/>
      <c r="E4" s="25"/>
      <c r="F4" s="25"/>
      <c r="G4" s="25"/>
      <c r="H4" s="78"/>
      <c r="I4" s="78"/>
      <c r="J4" s="78"/>
      <c r="K4" s="78"/>
      <c r="L4" s="78"/>
      <c r="M4" s="78"/>
      <c r="N4" s="74"/>
      <c r="O4" s="74"/>
      <c r="P4" s="74"/>
      <c r="Q4" s="74"/>
      <c r="R4" s="74"/>
    </row>
    <row r="5" spans="1:36" s="79" customFormat="1" ht="34.65" x14ac:dyDescent="0.25">
      <c r="A5" s="1" t="s">
        <v>19</v>
      </c>
      <c r="B5" s="26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25"/>
      <c r="H5" s="84" t="s">
        <v>25</v>
      </c>
      <c r="I5" s="85" t="s">
        <v>26</v>
      </c>
      <c r="J5" s="85" t="s">
        <v>27</v>
      </c>
      <c r="K5" s="85" t="s">
        <v>28</v>
      </c>
      <c r="L5" s="85" t="s">
        <v>29</v>
      </c>
      <c r="M5" s="84" t="s">
        <v>30</v>
      </c>
      <c r="N5" s="74"/>
      <c r="O5" s="74"/>
      <c r="P5" s="74"/>
      <c r="Q5" s="74"/>
      <c r="R5" s="74"/>
    </row>
    <row r="6" spans="1:36" s="79" customFormat="1" ht="14.45" customHeight="1" x14ac:dyDescent="0.25">
      <c r="A6" s="87">
        <f t="shared" ref="A6:A69" si="0">M6</f>
        <v>124.83031758743009</v>
      </c>
      <c r="B6" s="31">
        <f>IF(H6&gt;$H$2,"",(ROW()-5))</f>
        <v>1</v>
      </c>
      <c r="C6" s="32" t="s">
        <v>34</v>
      </c>
      <c r="D6" s="32"/>
      <c r="E6" s="32"/>
      <c r="F6" s="32"/>
      <c r="G6" s="25"/>
      <c r="H6" s="88">
        <v>1</v>
      </c>
      <c r="I6" s="89">
        <f t="shared" ref="I6:I69" si="1">IF(H6&lt;$H$2+1,($I$2-($I$2-1)*(LOG(H6)/LOG($H$2))),"")</f>
        <v>50</v>
      </c>
      <c r="J6" s="89">
        <f t="shared" ref="J6:J69" si="2">INT(LOG($H$2,2))-ROUNDUP(LOG(H6,2),0)+IF(OR($H$2=1,$H$2=2,$H$2=4,$H$2=8,$H$2=16,$H$2=32,$H$2=64,$H$2=128,$H$2=256),0,1)</f>
        <v>5</v>
      </c>
      <c r="K6" s="88">
        <f t="shared" ref="K6:K69" si="3">J6*$J$2</f>
        <v>50</v>
      </c>
      <c r="L6" s="90">
        <f>3*K2</f>
        <v>24.830317587430084</v>
      </c>
      <c r="M6" s="90">
        <f t="shared" ref="M6:M69" si="4">IF(I6&lt;&gt;"",K6+I6+L6,0)</f>
        <v>124.83031758743009</v>
      </c>
      <c r="N6" s="74"/>
      <c r="O6" s="74"/>
      <c r="P6" s="74"/>
      <c r="Q6" s="74"/>
      <c r="R6" s="74"/>
    </row>
    <row r="7" spans="1:36" s="79" customFormat="1" ht="14.45" customHeight="1" x14ac:dyDescent="0.25">
      <c r="A7" s="91">
        <f t="shared" si="0"/>
        <v>95.397702872136023</v>
      </c>
      <c r="B7" s="37">
        <f>IF(H7&gt;$H$2,"",(ROW()-5))</f>
        <v>2</v>
      </c>
      <c r="C7" s="38" t="s">
        <v>34</v>
      </c>
      <c r="D7" s="38"/>
      <c r="E7" s="38"/>
      <c r="F7" s="38"/>
      <c r="G7" s="25"/>
      <c r="H7" s="92">
        <v>2</v>
      </c>
      <c r="I7" s="93">
        <f t="shared" si="1"/>
        <v>38.844157813849307</v>
      </c>
      <c r="J7" s="93">
        <f t="shared" si="2"/>
        <v>4</v>
      </c>
      <c r="K7" s="92">
        <f t="shared" si="3"/>
        <v>40</v>
      </c>
      <c r="L7" s="94">
        <f>2*K2</f>
        <v>16.553545058286723</v>
      </c>
      <c r="M7" s="94">
        <f t="shared" si="4"/>
        <v>95.397702872136023</v>
      </c>
      <c r="N7" s="74"/>
      <c r="O7" s="74"/>
      <c r="P7" s="74"/>
      <c r="Q7" s="74"/>
      <c r="R7" s="74"/>
    </row>
    <row r="8" spans="1:36" s="79" customFormat="1" ht="14.45" customHeight="1" x14ac:dyDescent="0.25">
      <c r="A8" s="87">
        <f t="shared" si="0"/>
        <v>70.595181000131376</v>
      </c>
      <c r="B8" s="31">
        <f>IF(H8&gt;$H$2,"",(ROW()-5))</f>
        <v>3</v>
      </c>
      <c r="C8" s="32" t="s">
        <v>10</v>
      </c>
      <c r="D8" s="32"/>
      <c r="E8" s="32"/>
      <c r="F8" s="32"/>
      <c r="G8" s="25"/>
      <c r="H8" s="88">
        <v>3</v>
      </c>
      <c r="I8" s="89">
        <f t="shared" si="1"/>
        <v>32.318408470988018</v>
      </c>
      <c r="J8" s="89">
        <f t="shared" si="2"/>
        <v>3</v>
      </c>
      <c r="K8" s="88">
        <f t="shared" si="3"/>
        <v>30</v>
      </c>
      <c r="L8" s="90">
        <f>K2</f>
        <v>8.2767725291433614</v>
      </c>
      <c r="M8" s="90">
        <f t="shared" si="4"/>
        <v>70.595181000131376</v>
      </c>
      <c r="N8" s="74"/>
      <c r="O8" s="74"/>
      <c r="P8" s="74"/>
      <c r="Q8" s="74"/>
      <c r="R8" s="74"/>
    </row>
    <row r="9" spans="1:36" s="79" customFormat="1" ht="14.45" customHeight="1" x14ac:dyDescent="0.25">
      <c r="A9" s="91">
        <f t="shared" si="0"/>
        <v>70.595181000131376</v>
      </c>
      <c r="B9" s="37">
        <f>IF(H9&gt;$H$2,"",3)</f>
        <v>3</v>
      </c>
      <c r="C9" s="38" t="s">
        <v>34</v>
      </c>
      <c r="D9" s="38"/>
      <c r="E9" s="38"/>
      <c r="F9" s="38"/>
      <c r="G9" s="25"/>
      <c r="H9" s="92">
        <v>3</v>
      </c>
      <c r="I9" s="93">
        <f t="shared" si="1"/>
        <v>32.318408470988018</v>
      </c>
      <c r="J9" s="92">
        <f t="shared" si="2"/>
        <v>3</v>
      </c>
      <c r="K9" s="92">
        <f t="shared" si="3"/>
        <v>30</v>
      </c>
      <c r="L9" s="94">
        <f>K2</f>
        <v>8.2767725291433614</v>
      </c>
      <c r="M9" s="94">
        <f t="shared" si="4"/>
        <v>70.595181000131376</v>
      </c>
      <c r="N9" s="74"/>
      <c r="O9" s="74"/>
      <c r="P9" s="74"/>
      <c r="Q9" s="74"/>
      <c r="R9" s="74"/>
      <c r="V9" s="95"/>
      <c r="Z9" s="96"/>
      <c r="AA9" s="96"/>
      <c r="AG9" s="97"/>
      <c r="AH9" s="79" t="s">
        <v>34</v>
      </c>
      <c r="AI9" s="79">
        <v>23</v>
      </c>
    </row>
    <row r="10" spans="1:36" s="79" customFormat="1" ht="14.45" customHeight="1" x14ac:dyDescent="0.25">
      <c r="A10" s="87">
        <f t="shared" si="0"/>
        <v>44.096936605847048</v>
      </c>
      <c r="B10" s="31">
        <f t="shared" ref="B10:B65" si="5">IF(H10&gt;$H$2,"",(ROW()-5))</f>
        <v>5</v>
      </c>
      <c r="C10" s="32" t="s">
        <v>34</v>
      </c>
      <c r="D10" s="32"/>
      <c r="E10" s="32"/>
      <c r="F10" s="32"/>
      <c r="G10" s="25"/>
      <c r="H10" s="88">
        <v>5</v>
      </c>
      <c r="I10" s="89">
        <f t="shared" si="1"/>
        <v>24.096936605847045</v>
      </c>
      <c r="J10" s="89">
        <f t="shared" si="2"/>
        <v>2</v>
      </c>
      <c r="K10" s="88">
        <f t="shared" si="3"/>
        <v>20</v>
      </c>
      <c r="L10" s="88"/>
      <c r="M10" s="90">
        <f t="shared" si="4"/>
        <v>44.096936605847048</v>
      </c>
      <c r="N10" s="74"/>
      <c r="O10" s="74"/>
      <c r="P10" s="74"/>
      <c r="Q10" s="74"/>
      <c r="R10" s="74"/>
      <c r="V10" s="95"/>
      <c r="Z10" s="96"/>
      <c r="AA10" s="96"/>
      <c r="AG10" s="97"/>
      <c r="AH10" s="79" t="s">
        <v>35</v>
      </c>
      <c r="AI10" s="79">
        <v>45</v>
      </c>
    </row>
    <row r="11" spans="1:36" s="79" customFormat="1" ht="14.45" customHeight="1" x14ac:dyDescent="0.25">
      <c r="A11" s="91">
        <f t="shared" si="0"/>
        <v>41.162566284837325</v>
      </c>
      <c r="B11" s="37">
        <f t="shared" si="5"/>
        <v>6</v>
      </c>
      <c r="C11" s="38" t="s">
        <v>34</v>
      </c>
      <c r="D11" s="38"/>
      <c r="E11" s="38"/>
      <c r="F11" s="38"/>
      <c r="G11" s="25"/>
      <c r="H11" s="92">
        <v>6</v>
      </c>
      <c r="I11" s="93">
        <f t="shared" si="1"/>
        <v>21.162566284837325</v>
      </c>
      <c r="J11" s="93">
        <f t="shared" si="2"/>
        <v>2</v>
      </c>
      <c r="K11" s="92">
        <f t="shared" si="3"/>
        <v>20</v>
      </c>
      <c r="L11" s="92"/>
      <c r="M11" s="94">
        <f t="shared" si="4"/>
        <v>41.162566284837325</v>
      </c>
      <c r="N11" s="74"/>
      <c r="O11" s="74"/>
      <c r="P11" s="74"/>
      <c r="Q11" s="74"/>
      <c r="R11" s="74"/>
      <c r="V11" s="98"/>
      <c r="Z11" s="96"/>
      <c r="AA11" s="96"/>
      <c r="AG11" s="97"/>
      <c r="AH11" s="79" t="s">
        <v>36</v>
      </c>
      <c r="AI11" s="79">
        <v>50</v>
      </c>
    </row>
    <row r="12" spans="1:36" s="79" customFormat="1" ht="14.45" customHeight="1" x14ac:dyDescent="0.25">
      <c r="A12" s="87">
        <f t="shared" si="0"/>
        <v>38.681591529011982</v>
      </c>
      <c r="B12" s="31">
        <f t="shared" si="5"/>
        <v>7</v>
      </c>
      <c r="C12" s="32" t="s">
        <v>34</v>
      </c>
      <c r="D12" s="32"/>
      <c r="E12" s="32"/>
      <c r="F12" s="32"/>
      <c r="G12" s="25"/>
      <c r="H12" s="88">
        <v>7</v>
      </c>
      <c r="I12" s="89">
        <f t="shared" si="1"/>
        <v>18.681591529011982</v>
      </c>
      <c r="J12" s="89">
        <f t="shared" si="2"/>
        <v>2</v>
      </c>
      <c r="K12" s="88">
        <f t="shared" si="3"/>
        <v>20</v>
      </c>
      <c r="L12" s="88"/>
      <c r="M12" s="90">
        <f t="shared" si="4"/>
        <v>38.681591529011982</v>
      </c>
      <c r="N12" s="74"/>
      <c r="O12" s="74"/>
      <c r="P12" s="74"/>
      <c r="Q12" s="74"/>
      <c r="R12" s="74"/>
      <c r="Z12" s="96"/>
      <c r="AA12" s="96"/>
      <c r="AG12" s="97"/>
      <c r="AH12" s="79" t="s">
        <v>37</v>
      </c>
      <c r="AI12" s="79">
        <f>AI11-1</f>
        <v>49</v>
      </c>
    </row>
    <row r="13" spans="1:36" s="79" customFormat="1" ht="14.45" customHeight="1" x14ac:dyDescent="0.25">
      <c r="A13" s="91">
        <f t="shared" si="0"/>
        <v>36.532473441547907</v>
      </c>
      <c r="B13" s="37">
        <f t="shared" si="5"/>
        <v>8</v>
      </c>
      <c r="C13" s="38" t="s">
        <v>34</v>
      </c>
      <c r="D13" s="38"/>
      <c r="E13" s="38"/>
      <c r="F13" s="38"/>
      <c r="G13" s="25"/>
      <c r="H13" s="92">
        <v>8</v>
      </c>
      <c r="I13" s="93">
        <f t="shared" si="1"/>
        <v>16.532473441547907</v>
      </c>
      <c r="J13" s="93">
        <f t="shared" si="2"/>
        <v>2</v>
      </c>
      <c r="K13" s="92">
        <f t="shared" si="3"/>
        <v>20</v>
      </c>
      <c r="L13" s="92"/>
      <c r="M13" s="94">
        <f t="shared" si="4"/>
        <v>36.532473441547907</v>
      </c>
      <c r="N13" s="74"/>
      <c r="O13" s="74"/>
      <c r="P13" s="74"/>
      <c r="Q13" s="74"/>
      <c r="R13" s="74"/>
      <c r="X13" s="95"/>
      <c r="AG13" s="97"/>
      <c r="AH13" s="79" t="s">
        <v>38</v>
      </c>
      <c r="AI13" s="79">
        <f>LOG(AI9)</f>
        <v>1.3617278360175928</v>
      </c>
    </row>
    <row r="14" spans="1:36" s="79" customFormat="1" x14ac:dyDescent="0.25">
      <c r="A14" s="87">
        <f t="shared" si="0"/>
        <v>24.636816941976043</v>
      </c>
      <c r="B14" s="31">
        <f t="shared" si="5"/>
        <v>9</v>
      </c>
      <c r="C14" s="32" t="s">
        <v>34</v>
      </c>
      <c r="D14" s="32"/>
      <c r="E14" s="32"/>
      <c r="F14" s="32"/>
      <c r="G14" s="25"/>
      <c r="H14" s="88">
        <v>9</v>
      </c>
      <c r="I14" s="89">
        <f t="shared" si="1"/>
        <v>14.636816941976043</v>
      </c>
      <c r="J14" s="89">
        <f t="shared" si="2"/>
        <v>1</v>
      </c>
      <c r="K14" s="88">
        <f t="shared" si="3"/>
        <v>10</v>
      </c>
      <c r="L14" s="88"/>
      <c r="M14" s="90">
        <f t="shared" si="4"/>
        <v>24.636816941976043</v>
      </c>
      <c r="N14" s="74"/>
      <c r="O14" s="74"/>
      <c r="P14" s="74"/>
      <c r="Q14" s="74"/>
      <c r="R14" s="74"/>
      <c r="X14" s="99"/>
      <c r="Z14" s="96"/>
      <c r="AA14" s="96"/>
      <c r="AG14" s="97"/>
      <c r="AH14" s="79" t="s">
        <v>39</v>
      </c>
      <c r="AI14" s="79">
        <f>LOG(AI10)</f>
        <v>1.6532125137753437</v>
      </c>
    </row>
    <row r="15" spans="1:36" s="79" customFormat="1" x14ac:dyDescent="0.25">
      <c r="A15" s="91">
        <f t="shared" si="0"/>
        <v>22.941094419696348</v>
      </c>
      <c r="B15" s="37">
        <f t="shared" si="5"/>
        <v>10</v>
      </c>
      <c r="C15" s="38" t="s">
        <v>34</v>
      </c>
      <c r="D15" s="38"/>
      <c r="E15" s="38"/>
      <c r="F15" s="38"/>
      <c r="G15" s="25"/>
      <c r="H15" s="92">
        <v>10</v>
      </c>
      <c r="I15" s="93">
        <f t="shared" si="1"/>
        <v>12.941094419696348</v>
      </c>
      <c r="J15" s="93">
        <f t="shared" si="2"/>
        <v>1</v>
      </c>
      <c r="K15" s="92">
        <f t="shared" si="3"/>
        <v>10</v>
      </c>
      <c r="L15" s="92"/>
      <c r="M15" s="94">
        <f t="shared" si="4"/>
        <v>22.941094419696348</v>
      </c>
      <c r="N15" s="74"/>
      <c r="O15" s="74"/>
      <c r="P15" s="74"/>
      <c r="Q15" s="74"/>
      <c r="R15" s="74"/>
      <c r="X15" s="95"/>
      <c r="Z15" s="96"/>
      <c r="AA15" s="96"/>
    </row>
    <row r="16" spans="1:36" s="79" customFormat="1" x14ac:dyDescent="0.25">
      <c r="A16" s="87">
        <f t="shared" si="0"/>
        <v>21.407126808702444</v>
      </c>
      <c r="B16" s="31">
        <f t="shared" si="5"/>
        <v>11</v>
      </c>
      <c r="C16" s="32" t="s">
        <v>34</v>
      </c>
      <c r="D16" s="32"/>
      <c r="E16" s="32"/>
      <c r="F16" s="32"/>
      <c r="G16" s="25"/>
      <c r="H16" s="88">
        <v>11</v>
      </c>
      <c r="I16" s="89">
        <f t="shared" si="1"/>
        <v>11.407126808702444</v>
      </c>
      <c r="J16" s="89">
        <f t="shared" si="2"/>
        <v>1</v>
      </c>
      <c r="K16" s="88">
        <f t="shared" si="3"/>
        <v>10</v>
      </c>
      <c r="L16" s="88"/>
      <c r="M16" s="90">
        <f t="shared" si="4"/>
        <v>21.407126808702444</v>
      </c>
      <c r="N16" s="74"/>
      <c r="O16" s="74"/>
      <c r="P16" s="74"/>
      <c r="Q16" s="74"/>
      <c r="R16" s="100"/>
      <c r="Z16" s="96"/>
      <c r="AA16" s="96"/>
      <c r="AH16" s="101" t="s">
        <v>40</v>
      </c>
      <c r="AI16" s="79">
        <f>AI11-AI12*AI13/AI14</f>
        <v>9.6393909380186855</v>
      </c>
      <c r="AJ16" s="79" t="s">
        <v>41</v>
      </c>
    </row>
    <row r="17" spans="1:19" s="79" customFormat="1" x14ac:dyDescent="0.25">
      <c r="A17" s="91">
        <f t="shared" si="0"/>
        <v>20.006724098686625</v>
      </c>
      <c r="B17" s="37">
        <f t="shared" si="5"/>
        <v>12</v>
      </c>
      <c r="C17" s="38" t="s">
        <v>34</v>
      </c>
      <c r="D17" s="38"/>
      <c r="E17" s="38"/>
      <c r="F17" s="38"/>
      <c r="G17" s="25"/>
      <c r="H17" s="92">
        <v>12</v>
      </c>
      <c r="I17" s="93">
        <f t="shared" si="1"/>
        <v>10.006724098686625</v>
      </c>
      <c r="J17" s="93">
        <f t="shared" si="2"/>
        <v>1</v>
      </c>
      <c r="K17" s="92">
        <f t="shared" si="3"/>
        <v>10</v>
      </c>
      <c r="L17" s="92"/>
      <c r="M17" s="94">
        <f t="shared" si="4"/>
        <v>20.006724098686625</v>
      </c>
      <c r="N17" s="74"/>
      <c r="O17" s="74"/>
      <c r="P17" s="74"/>
      <c r="Q17" s="74"/>
      <c r="R17" s="74"/>
    </row>
    <row r="18" spans="1:19" s="79" customFormat="1" x14ac:dyDescent="0.25">
      <c r="A18" s="87">
        <f t="shared" si="0"/>
        <v>18.718478485054014</v>
      </c>
      <c r="B18" s="31">
        <f t="shared" si="5"/>
        <v>13</v>
      </c>
      <c r="C18" s="32" t="s">
        <v>34</v>
      </c>
      <c r="D18" s="32"/>
      <c r="E18" s="32"/>
      <c r="F18" s="32"/>
      <c r="G18" s="25"/>
      <c r="H18" s="88">
        <v>13</v>
      </c>
      <c r="I18" s="89">
        <f t="shared" si="1"/>
        <v>8.718478485054014</v>
      </c>
      <c r="J18" s="89">
        <f t="shared" si="2"/>
        <v>1</v>
      </c>
      <c r="K18" s="88">
        <f t="shared" si="3"/>
        <v>10</v>
      </c>
      <c r="L18" s="88"/>
      <c r="M18" s="90">
        <f t="shared" si="4"/>
        <v>18.718478485054014</v>
      </c>
      <c r="N18" s="74"/>
      <c r="O18" s="74"/>
      <c r="P18" s="74"/>
      <c r="Q18" s="74"/>
      <c r="R18" s="74"/>
    </row>
    <row r="19" spans="1:19" s="79" customFormat="1" x14ac:dyDescent="0.25">
      <c r="A19" s="91">
        <f t="shared" si="0"/>
        <v>17.525749342861289</v>
      </c>
      <c r="B19" s="37">
        <f t="shared" si="5"/>
        <v>14</v>
      </c>
      <c r="C19" s="38" t="s">
        <v>34</v>
      </c>
      <c r="D19" s="38"/>
      <c r="E19" s="38"/>
      <c r="F19" s="38"/>
      <c r="G19" s="25"/>
      <c r="H19" s="92">
        <v>14</v>
      </c>
      <c r="I19" s="93">
        <f t="shared" si="1"/>
        <v>7.5257493428612889</v>
      </c>
      <c r="J19" s="93">
        <f t="shared" si="2"/>
        <v>1</v>
      </c>
      <c r="K19" s="92">
        <f t="shared" si="3"/>
        <v>10</v>
      </c>
      <c r="L19" s="92"/>
      <c r="M19" s="94">
        <f t="shared" si="4"/>
        <v>17.525749342861289</v>
      </c>
      <c r="N19" s="74"/>
      <c r="O19" s="74"/>
      <c r="P19" s="74"/>
      <c r="Q19" s="74"/>
      <c r="R19" s="74"/>
    </row>
    <row r="20" spans="1:19" s="79" customFormat="1" x14ac:dyDescent="0.25">
      <c r="A20" s="87">
        <f t="shared" si="0"/>
        <v>16.41534507683506</v>
      </c>
      <c r="B20" s="31">
        <f t="shared" si="5"/>
        <v>15</v>
      </c>
      <c r="C20" s="32" t="s">
        <v>34</v>
      </c>
      <c r="D20" s="32"/>
      <c r="E20" s="32"/>
      <c r="F20" s="32"/>
      <c r="G20" s="25"/>
      <c r="H20" s="88">
        <v>15</v>
      </c>
      <c r="I20" s="89">
        <f t="shared" si="1"/>
        <v>6.4153450768350595</v>
      </c>
      <c r="J20" s="89">
        <f t="shared" si="2"/>
        <v>1</v>
      </c>
      <c r="K20" s="88">
        <f t="shared" si="3"/>
        <v>10</v>
      </c>
      <c r="L20" s="88"/>
      <c r="M20" s="90">
        <f t="shared" si="4"/>
        <v>16.41534507683506</v>
      </c>
      <c r="N20" s="74"/>
      <c r="O20" s="74"/>
      <c r="P20" s="74"/>
      <c r="Q20" s="74"/>
      <c r="R20" s="102"/>
      <c r="S20" s="103"/>
    </row>
    <row r="21" spans="1:19" s="79" customFormat="1" x14ac:dyDescent="0.25">
      <c r="A21" s="91">
        <f t="shared" si="0"/>
        <v>15.376631255397214</v>
      </c>
      <c r="B21" s="37">
        <f t="shared" si="5"/>
        <v>16</v>
      </c>
      <c r="C21" s="38" t="s">
        <v>34</v>
      </c>
      <c r="D21" s="38"/>
      <c r="E21" s="38"/>
      <c r="F21" s="38"/>
      <c r="G21" s="25"/>
      <c r="H21" s="92">
        <v>16</v>
      </c>
      <c r="I21" s="93">
        <f t="shared" si="1"/>
        <v>5.3766312553972142</v>
      </c>
      <c r="J21" s="93">
        <f t="shared" si="2"/>
        <v>1</v>
      </c>
      <c r="K21" s="92">
        <f t="shared" si="3"/>
        <v>10</v>
      </c>
      <c r="L21" s="92"/>
      <c r="M21" s="94">
        <f t="shared" si="4"/>
        <v>15.376631255397214</v>
      </c>
      <c r="N21" s="74"/>
      <c r="O21" s="74"/>
      <c r="P21" s="74"/>
      <c r="Q21" s="74"/>
      <c r="R21" s="74"/>
    </row>
    <row r="22" spans="1:19" s="79" customFormat="1" x14ac:dyDescent="0.25">
      <c r="A22" s="87">
        <f t="shared" si="0"/>
        <v>4.4009096012560747</v>
      </c>
      <c r="B22" s="31">
        <f t="shared" si="5"/>
        <v>17</v>
      </c>
      <c r="C22" s="32" t="s">
        <v>34</v>
      </c>
      <c r="D22" s="32"/>
      <c r="E22" s="32"/>
      <c r="F22" s="32"/>
      <c r="G22" s="25"/>
      <c r="H22" s="88">
        <v>17</v>
      </c>
      <c r="I22" s="89">
        <f t="shared" si="1"/>
        <v>4.4009096012560747</v>
      </c>
      <c r="J22" s="89">
        <f t="shared" si="2"/>
        <v>0</v>
      </c>
      <c r="K22" s="88">
        <f t="shared" si="3"/>
        <v>0</v>
      </c>
      <c r="L22" s="88"/>
      <c r="M22" s="90">
        <f t="shared" si="4"/>
        <v>4.4009096012560747</v>
      </c>
      <c r="N22" s="74"/>
      <c r="O22" s="74"/>
      <c r="P22" s="74"/>
      <c r="Q22" s="74"/>
      <c r="R22" s="74"/>
    </row>
    <row r="23" spans="1:19" s="79" customFormat="1" x14ac:dyDescent="0.25">
      <c r="A23" s="91">
        <f t="shared" si="0"/>
        <v>3.4809747558253505</v>
      </c>
      <c r="B23" s="37">
        <f t="shared" si="5"/>
        <v>18</v>
      </c>
      <c r="C23" s="38" t="s">
        <v>34</v>
      </c>
      <c r="D23" s="38"/>
      <c r="E23" s="38"/>
      <c r="F23" s="38"/>
      <c r="G23" s="25"/>
      <c r="H23" s="92">
        <v>18</v>
      </c>
      <c r="I23" s="93">
        <f t="shared" si="1"/>
        <v>3.4809747558253505</v>
      </c>
      <c r="J23" s="93">
        <f t="shared" si="2"/>
        <v>0</v>
      </c>
      <c r="K23" s="92">
        <f t="shared" si="3"/>
        <v>0</v>
      </c>
      <c r="L23" s="92"/>
      <c r="M23" s="94">
        <f t="shared" si="4"/>
        <v>3.4809747558253505</v>
      </c>
      <c r="N23" s="74"/>
      <c r="O23" s="74"/>
      <c r="P23" s="74"/>
      <c r="Q23" s="74"/>
      <c r="R23" s="74"/>
    </row>
    <row r="24" spans="1:19" s="79" customFormat="1" x14ac:dyDescent="0.25">
      <c r="A24" s="87">
        <f t="shared" si="0"/>
        <v>2.6107910418158227</v>
      </c>
      <c r="B24" s="31">
        <f t="shared" si="5"/>
        <v>19</v>
      </c>
      <c r="C24" s="32" t="s">
        <v>34</v>
      </c>
      <c r="D24" s="32"/>
      <c r="E24" s="32"/>
      <c r="F24" s="32"/>
      <c r="G24" s="25"/>
      <c r="H24" s="88">
        <v>19</v>
      </c>
      <c r="I24" s="89">
        <f t="shared" si="1"/>
        <v>2.6107910418158227</v>
      </c>
      <c r="J24" s="89">
        <f t="shared" si="2"/>
        <v>0</v>
      </c>
      <c r="K24" s="88">
        <f t="shared" si="3"/>
        <v>0</v>
      </c>
      <c r="L24" s="88"/>
      <c r="M24" s="90">
        <f t="shared" si="4"/>
        <v>2.6107910418158227</v>
      </c>
      <c r="N24" s="74"/>
      <c r="O24" s="74"/>
      <c r="P24" s="74"/>
      <c r="Q24" s="74"/>
      <c r="R24" s="102"/>
      <c r="S24" s="103"/>
    </row>
    <row r="25" spans="1:19" s="79" customFormat="1" x14ac:dyDescent="0.25">
      <c r="A25" s="91">
        <f t="shared" si="0"/>
        <v>1.7852522335456484</v>
      </c>
      <c r="B25" s="37">
        <f t="shared" si="5"/>
        <v>20</v>
      </c>
      <c r="C25" s="38" t="s">
        <v>34</v>
      </c>
      <c r="D25" s="38"/>
      <c r="E25" s="38"/>
      <c r="F25" s="38"/>
      <c r="G25" s="25"/>
      <c r="H25" s="92">
        <v>20</v>
      </c>
      <c r="I25" s="93">
        <f t="shared" si="1"/>
        <v>1.7852522335456484</v>
      </c>
      <c r="J25" s="93">
        <f t="shared" si="2"/>
        <v>0</v>
      </c>
      <c r="K25" s="92">
        <f t="shared" si="3"/>
        <v>0</v>
      </c>
      <c r="L25" s="92"/>
      <c r="M25" s="94">
        <f t="shared" si="4"/>
        <v>1.7852522335456484</v>
      </c>
      <c r="N25" s="74"/>
      <c r="O25" s="74"/>
      <c r="P25" s="74"/>
      <c r="Q25" s="74"/>
      <c r="R25" s="74"/>
    </row>
    <row r="26" spans="1:19" s="79" customFormat="1" x14ac:dyDescent="0.25">
      <c r="A26" s="87">
        <f t="shared" si="0"/>
        <v>1</v>
      </c>
      <c r="B26" s="31">
        <f t="shared" si="5"/>
        <v>21</v>
      </c>
      <c r="C26" s="32" t="s">
        <v>34</v>
      </c>
      <c r="D26" s="32"/>
      <c r="E26" s="32"/>
      <c r="F26" s="32"/>
      <c r="G26" s="25"/>
      <c r="H26" s="88">
        <v>21</v>
      </c>
      <c r="I26" s="89">
        <f t="shared" si="1"/>
        <v>1</v>
      </c>
      <c r="J26" s="89">
        <f t="shared" si="2"/>
        <v>0</v>
      </c>
      <c r="K26" s="88">
        <f t="shared" si="3"/>
        <v>0</v>
      </c>
      <c r="L26" s="88"/>
      <c r="M26" s="90">
        <f t="shared" si="4"/>
        <v>1</v>
      </c>
      <c r="N26" s="74"/>
      <c r="O26" s="74"/>
      <c r="P26" s="74"/>
      <c r="Q26" s="74"/>
      <c r="R26" s="74"/>
    </row>
    <row r="27" spans="1:19" s="79" customFormat="1" x14ac:dyDescent="0.25">
      <c r="A27" s="91">
        <f t="shared" si="0"/>
        <v>0</v>
      </c>
      <c r="B27" s="37" t="str">
        <f t="shared" si="5"/>
        <v/>
      </c>
      <c r="C27" s="38"/>
      <c r="D27" s="38"/>
      <c r="E27" s="38"/>
      <c r="F27" s="38"/>
      <c r="G27" s="25"/>
      <c r="H27" s="92">
        <v>22</v>
      </c>
      <c r="I27" s="93" t="str">
        <f t="shared" si="1"/>
        <v/>
      </c>
      <c r="J27" s="93">
        <f t="shared" si="2"/>
        <v>0</v>
      </c>
      <c r="K27" s="92">
        <f t="shared" si="3"/>
        <v>0</v>
      </c>
      <c r="L27" s="92"/>
      <c r="M27" s="94">
        <f t="shared" si="4"/>
        <v>0</v>
      </c>
      <c r="N27" s="74"/>
      <c r="O27" s="74"/>
      <c r="P27" s="74"/>
      <c r="Q27" s="74"/>
      <c r="R27" s="74"/>
    </row>
    <row r="28" spans="1:19" s="79" customFormat="1" x14ac:dyDescent="0.25">
      <c r="A28" s="87">
        <f t="shared" si="0"/>
        <v>0</v>
      </c>
      <c r="B28" s="31" t="str">
        <f t="shared" si="5"/>
        <v/>
      </c>
      <c r="C28" s="32"/>
      <c r="D28" s="32"/>
      <c r="E28" s="32"/>
      <c r="F28" s="32"/>
      <c r="G28" s="25"/>
      <c r="H28" s="88">
        <v>23</v>
      </c>
      <c r="I28" s="89" t="str">
        <f t="shared" si="1"/>
        <v/>
      </c>
      <c r="J28" s="89">
        <f t="shared" si="2"/>
        <v>0</v>
      </c>
      <c r="K28" s="88">
        <f t="shared" si="3"/>
        <v>0</v>
      </c>
      <c r="L28" s="88"/>
      <c r="M28" s="90">
        <f t="shared" si="4"/>
        <v>0</v>
      </c>
      <c r="N28" s="74"/>
      <c r="O28" s="74"/>
      <c r="P28" s="74"/>
      <c r="Q28" s="74"/>
      <c r="R28" s="102"/>
      <c r="S28" s="103"/>
    </row>
    <row r="29" spans="1:19" s="79" customFormat="1" x14ac:dyDescent="0.25">
      <c r="A29" s="91">
        <f t="shared" si="0"/>
        <v>0</v>
      </c>
      <c r="B29" s="37" t="str">
        <f t="shared" si="5"/>
        <v/>
      </c>
      <c r="C29" s="38"/>
      <c r="D29" s="38"/>
      <c r="E29" s="38"/>
      <c r="F29" s="38"/>
      <c r="G29" s="74"/>
      <c r="H29" s="92">
        <v>24</v>
      </c>
      <c r="I29" s="93" t="str">
        <f t="shared" si="1"/>
        <v/>
      </c>
      <c r="J29" s="93">
        <f t="shared" si="2"/>
        <v>0</v>
      </c>
      <c r="K29" s="92">
        <f t="shared" si="3"/>
        <v>0</v>
      </c>
      <c r="L29" s="92"/>
      <c r="M29" s="94">
        <f t="shared" si="4"/>
        <v>0</v>
      </c>
      <c r="N29" s="74"/>
      <c r="O29" s="74"/>
      <c r="P29" s="74"/>
      <c r="Q29" s="74"/>
      <c r="R29" s="74"/>
    </row>
    <row r="30" spans="1:19" s="79" customFormat="1" x14ac:dyDescent="0.25">
      <c r="A30" s="87">
        <f t="shared" si="0"/>
        <v>0</v>
      </c>
      <c r="B30" s="31" t="str">
        <f t="shared" si="5"/>
        <v/>
      </c>
      <c r="C30" s="32"/>
      <c r="D30" s="32"/>
      <c r="E30" s="32"/>
      <c r="F30" s="32"/>
      <c r="G30" s="74"/>
      <c r="H30" s="88">
        <v>25</v>
      </c>
      <c r="I30" s="89" t="str">
        <f t="shared" si="1"/>
        <v/>
      </c>
      <c r="J30" s="89">
        <f t="shared" si="2"/>
        <v>0</v>
      </c>
      <c r="K30" s="88">
        <f t="shared" si="3"/>
        <v>0</v>
      </c>
      <c r="L30" s="88"/>
      <c r="M30" s="90">
        <f t="shared" si="4"/>
        <v>0</v>
      </c>
      <c r="N30" s="74"/>
      <c r="O30" s="74"/>
      <c r="P30" s="74"/>
      <c r="Q30" s="74"/>
      <c r="R30" s="74"/>
    </row>
    <row r="31" spans="1:19" s="79" customFormat="1" x14ac:dyDescent="0.25">
      <c r="A31" s="91">
        <f t="shared" si="0"/>
        <v>0</v>
      </c>
      <c r="B31" s="37" t="str">
        <f t="shared" si="5"/>
        <v/>
      </c>
      <c r="C31" s="38"/>
      <c r="D31" s="38"/>
      <c r="E31" s="38"/>
      <c r="F31" s="38"/>
      <c r="G31" s="74"/>
      <c r="H31" s="92">
        <v>26</v>
      </c>
      <c r="I31" s="93" t="str">
        <f t="shared" si="1"/>
        <v/>
      </c>
      <c r="J31" s="93">
        <f t="shared" si="2"/>
        <v>0</v>
      </c>
      <c r="K31" s="92">
        <f t="shared" si="3"/>
        <v>0</v>
      </c>
      <c r="L31" s="92"/>
      <c r="M31" s="94">
        <f t="shared" si="4"/>
        <v>0</v>
      </c>
      <c r="N31" s="74"/>
      <c r="O31" s="74"/>
      <c r="P31" s="74"/>
      <c r="Q31" s="74"/>
      <c r="R31" s="74"/>
    </row>
    <row r="32" spans="1:19" s="79" customFormat="1" x14ac:dyDescent="0.25">
      <c r="A32" s="87">
        <f t="shared" si="0"/>
        <v>0</v>
      </c>
      <c r="B32" s="31" t="str">
        <f t="shared" si="5"/>
        <v/>
      </c>
      <c r="C32" s="32"/>
      <c r="D32" s="32"/>
      <c r="E32" s="32"/>
      <c r="F32" s="32"/>
      <c r="G32" s="74"/>
      <c r="H32" s="88">
        <v>27</v>
      </c>
      <c r="I32" s="89" t="str">
        <f t="shared" si="1"/>
        <v/>
      </c>
      <c r="J32" s="89">
        <f t="shared" si="2"/>
        <v>0</v>
      </c>
      <c r="K32" s="88">
        <f t="shared" si="3"/>
        <v>0</v>
      </c>
      <c r="L32" s="88"/>
      <c r="M32" s="90">
        <f t="shared" si="4"/>
        <v>0</v>
      </c>
      <c r="N32" s="74"/>
      <c r="O32" s="74"/>
      <c r="P32" s="74"/>
      <c r="Q32" s="74"/>
      <c r="R32" s="102"/>
      <c r="S32" s="103"/>
    </row>
    <row r="33" spans="1:21" s="79" customFormat="1" x14ac:dyDescent="0.25">
      <c r="A33" s="91">
        <f t="shared" si="0"/>
        <v>0</v>
      </c>
      <c r="B33" s="37" t="str">
        <f t="shared" si="5"/>
        <v/>
      </c>
      <c r="C33" s="38"/>
      <c r="D33" s="38"/>
      <c r="E33" s="38"/>
      <c r="F33" s="38"/>
      <c r="G33" s="74"/>
      <c r="H33" s="92">
        <v>28</v>
      </c>
      <c r="I33" s="93" t="str">
        <f t="shared" si="1"/>
        <v/>
      </c>
      <c r="J33" s="93">
        <f t="shared" si="2"/>
        <v>0</v>
      </c>
      <c r="K33" s="92">
        <f t="shared" si="3"/>
        <v>0</v>
      </c>
      <c r="L33" s="92"/>
      <c r="M33" s="94">
        <f t="shared" si="4"/>
        <v>0</v>
      </c>
      <c r="N33" s="74"/>
      <c r="O33" s="74"/>
      <c r="P33" s="74"/>
      <c r="Q33" s="74"/>
      <c r="R33" s="74"/>
    </row>
    <row r="34" spans="1:21" s="79" customFormat="1" x14ac:dyDescent="0.25">
      <c r="A34" s="87">
        <f t="shared" si="0"/>
        <v>0</v>
      </c>
      <c r="B34" s="31" t="str">
        <f t="shared" si="5"/>
        <v/>
      </c>
      <c r="C34" s="32"/>
      <c r="D34" s="32"/>
      <c r="E34" s="32"/>
      <c r="F34" s="32"/>
      <c r="G34" s="74"/>
      <c r="H34" s="88">
        <v>29</v>
      </c>
      <c r="I34" s="89" t="str">
        <f t="shared" si="1"/>
        <v/>
      </c>
      <c r="J34" s="89">
        <f t="shared" si="2"/>
        <v>0</v>
      </c>
      <c r="K34" s="88">
        <f t="shared" si="3"/>
        <v>0</v>
      </c>
      <c r="L34" s="88"/>
      <c r="M34" s="90">
        <f t="shared" si="4"/>
        <v>0</v>
      </c>
      <c r="N34" s="74"/>
      <c r="O34" s="74"/>
      <c r="P34" s="74"/>
      <c r="Q34" s="74"/>
      <c r="R34" s="74"/>
    </row>
    <row r="35" spans="1:21" s="79" customFormat="1" x14ac:dyDescent="0.25">
      <c r="A35" s="91">
        <f t="shared" si="0"/>
        <v>0</v>
      </c>
      <c r="B35" s="37" t="str">
        <f t="shared" si="5"/>
        <v/>
      </c>
      <c r="C35" s="38"/>
      <c r="D35" s="38"/>
      <c r="E35" s="38"/>
      <c r="F35" s="38"/>
      <c r="G35" s="74"/>
      <c r="H35" s="92">
        <v>30</v>
      </c>
      <c r="I35" s="93" t="str">
        <f t="shared" si="1"/>
        <v/>
      </c>
      <c r="J35" s="93">
        <f t="shared" si="2"/>
        <v>0</v>
      </c>
      <c r="K35" s="92">
        <f t="shared" si="3"/>
        <v>0</v>
      </c>
      <c r="L35" s="92"/>
      <c r="M35" s="94">
        <f t="shared" si="4"/>
        <v>0</v>
      </c>
      <c r="N35" s="74"/>
      <c r="O35" s="74"/>
      <c r="P35" s="74"/>
      <c r="Q35" s="74"/>
      <c r="R35" s="74"/>
    </row>
    <row r="36" spans="1:21" s="79" customFormat="1" x14ac:dyDescent="0.25">
      <c r="A36" s="87">
        <f t="shared" si="0"/>
        <v>0</v>
      </c>
      <c r="B36" s="31" t="str">
        <f t="shared" si="5"/>
        <v/>
      </c>
      <c r="C36" s="32"/>
      <c r="D36" s="32"/>
      <c r="E36" s="32"/>
      <c r="F36" s="32"/>
      <c r="G36" s="74"/>
      <c r="H36" s="88">
        <v>31</v>
      </c>
      <c r="I36" s="89" t="str">
        <f t="shared" si="1"/>
        <v/>
      </c>
      <c r="J36" s="89">
        <f t="shared" si="2"/>
        <v>0</v>
      </c>
      <c r="K36" s="88">
        <f t="shared" si="3"/>
        <v>0</v>
      </c>
      <c r="L36" s="88"/>
      <c r="M36" s="90">
        <f t="shared" si="4"/>
        <v>0</v>
      </c>
      <c r="N36" s="74"/>
      <c r="O36" s="74"/>
      <c r="P36" s="74"/>
      <c r="Q36" s="74"/>
      <c r="R36" s="102"/>
      <c r="S36" s="103"/>
    </row>
    <row r="37" spans="1:21" s="79" customFormat="1" x14ac:dyDescent="0.25">
      <c r="A37" s="91">
        <f t="shared" si="0"/>
        <v>0</v>
      </c>
      <c r="B37" s="37" t="str">
        <f t="shared" si="5"/>
        <v/>
      </c>
      <c r="C37" s="38"/>
      <c r="D37" s="38"/>
      <c r="E37" s="38"/>
      <c r="F37" s="38"/>
      <c r="G37" s="74"/>
      <c r="H37" s="92">
        <v>32</v>
      </c>
      <c r="I37" s="93" t="str">
        <f t="shared" si="1"/>
        <v/>
      </c>
      <c r="J37" s="93">
        <f t="shared" si="2"/>
        <v>0</v>
      </c>
      <c r="K37" s="92">
        <f t="shared" si="3"/>
        <v>0</v>
      </c>
      <c r="L37" s="92"/>
      <c r="M37" s="94">
        <f t="shared" si="4"/>
        <v>0</v>
      </c>
      <c r="N37" s="74"/>
      <c r="O37" s="74"/>
      <c r="P37" s="74"/>
      <c r="Q37" s="74"/>
      <c r="R37" s="74"/>
    </row>
    <row r="38" spans="1:21" s="79" customFormat="1" x14ac:dyDescent="0.25">
      <c r="A38" s="91">
        <f t="shared" si="0"/>
        <v>0</v>
      </c>
      <c r="B38" s="31" t="str">
        <f t="shared" si="5"/>
        <v/>
      </c>
      <c r="C38" s="32"/>
      <c r="D38" s="32"/>
      <c r="E38" s="32"/>
      <c r="F38" s="32"/>
      <c r="G38" s="74"/>
      <c r="H38" s="88">
        <v>33</v>
      </c>
      <c r="I38" s="89" t="str">
        <f t="shared" si="1"/>
        <v/>
      </c>
      <c r="J38" s="89">
        <f t="shared" si="2"/>
        <v>-1</v>
      </c>
      <c r="K38" s="88">
        <f t="shared" si="3"/>
        <v>-10</v>
      </c>
      <c r="L38" s="88"/>
      <c r="M38" s="90">
        <f t="shared" si="4"/>
        <v>0</v>
      </c>
      <c r="N38" s="74"/>
      <c r="O38" s="74"/>
      <c r="P38" s="74"/>
      <c r="Q38" s="74"/>
      <c r="R38" s="74"/>
    </row>
    <row r="39" spans="1:21" s="79" customFormat="1" x14ac:dyDescent="0.25">
      <c r="A39" s="91">
        <f t="shared" si="0"/>
        <v>0</v>
      </c>
      <c r="B39" s="37" t="str">
        <f t="shared" si="5"/>
        <v/>
      </c>
      <c r="C39" s="38"/>
      <c r="D39" s="38"/>
      <c r="E39" s="38"/>
      <c r="F39" s="38"/>
      <c r="G39" s="74"/>
      <c r="H39" s="92">
        <v>34</v>
      </c>
      <c r="I39" s="93" t="str">
        <f t="shared" si="1"/>
        <v/>
      </c>
      <c r="J39" s="93">
        <f t="shared" si="2"/>
        <v>-1</v>
      </c>
      <c r="K39" s="92">
        <f t="shared" si="3"/>
        <v>-10</v>
      </c>
      <c r="L39" s="92"/>
      <c r="M39" s="94">
        <f t="shared" si="4"/>
        <v>0</v>
      </c>
      <c r="N39" s="74"/>
      <c r="O39" s="74"/>
      <c r="P39" s="74"/>
      <c r="Q39" s="74"/>
      <c r="R39" s="74"/>
    </row>
    <row r="40" spans="1:21" s="79" customFormat="1" x14ac:dyDescent="0.25">
      <c r="A40" s="91">
        <f t="shared" si="0"/>
        <v>0</v>
      </c>
      <c r="B40" s="31" t="str">
        <f t="shared" si="5"/>
        <v/>
      </c>
      <c r="C40" s="32"/>
      <c r="D40" s="32"/>
      <c r="E40" s="32"/>
      <c r="F40" s="32"/>
      <c r="G40" s="74"/>
      <c r="H40" s="88">
        <v>35</v>
      </c>
      <c r="I40" s="89" t="str">
        <f t="shared" si="1"/>
        <v/>
      </c>
      <c r="J40" s="89">
        <f t="shared" si="2"/>
        <v>-1</v>
      </c>
      <c r="K40" s="88">
        <f t="shared" si="3"/>
        <v>-10</v>
      </c>
      <c r="L40" s="88"/>
      <c r="M40" s="90">
        <f t="shared" si="4"/>
        <v>0</v>
      </c>
      <c r="N40" s="74"/>
      <c r="O40" s="74"/>
      <c r="P40" s="74"/>
      <c r="Q40" s="74"/>
      <c r="R40" s="74"/>
    </row>
    <row r="41" spans="1:21" s="79" customFormat="1" x14ac:dyDescent="0.25">
      <c r="A41" s="91">
        <f t="shared" si="0"/>
        <v>0</v>
      </c>
      <c r="B41" s="37" t="str">
        <f t="shared" si="5"/>
        <v/>
      </c>
      <c r="C41" s="38"/>
      <c r="D41" s="38"/>
      <c r="E41" s="38"/>
      <c r="F41" s="38"/>
      <c r="G41" s="74"/>
      <c r="H41" s="92">
        <v>36</v>
      </c>
      <c r="I41" s="93" t="str">
        <f t="shared" si="1"/>
        <v/>
      </c>
      <c r="J41" s="93">
        <f t="shared" si="2"/>
        <v>-1</v>
      </c>
      <c r="K41" s="92">
        <f t="shared" si="3"/>
        <v>-10</v>
      </c>
      <c r="L41" s="92"/>
      <c r="M41" s="94">
        <f t="shared" si="4"/>
        <v>0</v>
      </c>
      <c r="N41" s="74"/>
      <c r="O41" s="74"/>
      <c r="P41" s="74"/>
      <c r="Q41" s="74"/>
      <c r="R41" s="74"/>
      <c r="S41" s="104"/>
    </row>
    <row r="42" spans="1:21" s="79" customFormat="1" x14ac:dyDescent="0.25">
      <c r="A42" s="91">
        <f t="shared" si="0"/>
        <v>0</v>
      </c>
      <c r="B42" s="31" t="str">
        <f t="shared" si="5"/>
        <v/>
      </c>
      <c r="C42" s="32"/>
      <c r="D42" s="32"/>
      <c r="E42" s="32"/>
      <c r="F42" s="32"/>
      <c r="G42" s="74"/>
      <c r="H42" s="88">
        <v>37</v>
      </c>
      <c r="I42" s="89" t="str">
        <f t="shared" si="1"/>
        <v/>
      </c>
      <c r="J42" s="89">
        <f t="shared" si="2"/>
        <v>-1</v>
      </c>
      <c r="K42" s="88">
        <f t="shared" si="3"/>
        <v>-10</v>
      </c>
      <c r="L42" s="88"/>
      <c r="M42" s="90">
        <f t="shared" si="4"/>
        <v>0</v>
      </c>
      <c r="N42" s="74"/>
      <c r="O42" s="74"/>
      <c r="P42" s="74"/>
      <c r="Q42" s="74"/>
      <c r="R42" s="74"/>
    </row>
    <row r="43" spans="1:21" s="79" customFormat="1" x14ac:dyDescent="0.25">
      <c r="A43" s="91">
        <f t="shared" si="0"/>
        <v>0</v>
      </c>
      <c r="B43" s="37" t="str">
        <f t="shared" si="5"/>
        <v/>
      </c>
      <c r="C43" s="38"/>
      <c r="D43" s="38"/>
      <c r="E43" s="38"/>
      <c r="F43" s="38"/>
      <c r="G43" s="74"/>
      <c r="H43" s="92">
        <v>38</v>
      </c>
      <c r="I43" s="93" t="str">
        <f t="shared" si="1"/>
        <v/>
      </c>
      <c r="J43" s="93">
        <f t="shared" si="2"/>
        <v>-1</v>
      </c>
      <c r="K43" s="92">
        <f t="shared" si="3"/>
        <v>-10</v>
      </c>
      <c r="L43" s="92"/>
      <c r="M43" s="94">
        <f t="shared" si="4"/>
        <v>0</v>
      </c>
      <c r="N43" s="74"/>
      <c r="O43" s="74"/>
      <c r="P43" s="74"/>
      <c r="Q43" s="74"/>
      <c r="R43" s="74"/>
    </row>
    <row r="44" spans="1:21" s="79" customFormat="1" x14ac:dyDescent="0.25">
      <c r="A44" s="91">
        <f t="shared" si="0"/>
        <v>0</v>
      </c>
      <c r="B44" s="31" t="str">
        <f t="shared" si="5"/>
        <v/>
      </c>
      <c r="C44" s="32"/>
      <c r="D44" s="32"/>
      <c r="E44" s="32"/>
      <c r="F44" s="32"/>
      <c r="G44" s="74"/>
      <c r="H44" s="88">
        <v>39</v>
      </c>
      <c r="I44" s="89" t="str">
        <f t="shared" si="1"/>
        <v/>
      </c>
      <c r="J44" s="89">
        <f t="shared" si="2"/>
        <v>-1</v>
      </c>
      <c r="K44" s="88">
        <f t="shared" si="3"/>
        <v>-10</v>
      </c>
      <c r="L44" s="88"/>
      <c r="M44" s="90">
        <f t="shared" si="4"/>
        <v>0</v>
      </c>
      <c r="N44" s="74"/>
      <c r="O44" s="74"/>
      <c r="P44" s="74"/>
      <c r="Q44" s="74"/>
      <c r="R44" s="74"/>
    </row>
    <row r="45" spans="1:21" s="79" customFormat="1" x14ac:dyDescent="0.25">
      <c r="A45" s="91">
        <f t="shared" si="0"/>
        <v>0</v>
      </c>
      <c r="B45" s="37" t="str">
        <f t="shared" si="5"/>
        <v/>
      </c>
      <c r="C45" s="38"/>
      <c r="D45" s="38"/>
      <c r="E45" s="38"/>
      <c r="F45" s="38"/>
      <c r="G45" s="74"/>
      <c r="H45" s="92">
        <v>40</v>
      </c>
      <c r="I45" s="93" t="str">
        <f t="shared" si="1"/>
        <v/>
      </c>
      <c r="J45" s="93">
        <f t="shared" si="2"/>
        <v>-1</v>
      </c>
      <c r="K45" s="92">
        <f t="shared" si="3"/>
        <v>-10</v>
      </c>
      <c r="L45" s="92"/>
      <c r="M45" s="94">
        <f t="shared" si="4"/>
        <v>0</v>
      </c>
      <c r="N45" s="74"/>
      <c r="O45" s="74"/>
      <c r="P45" s="74"/>
      <c r="Q45" s="74"/>
      <c r="R45" s="74"/>
    </row>
    <row r="46" spans="1:21" s="79" customFormat="1" x14ac:dyDescent="0.25">
      <c r="A46" s="91">
        <f t="shared" si="0"/>
        <v>0</v>
      </c>
      <c r="B46" s="31" t="str">
        <f t="shared" si="5"/>
        <v/>
      </c>
      <c r="C46" s="32"/>
      <c r="D46" s="32"/>
      <c r="E46" s="32"/>
      <c r="F46" s="32"/>
      <c r="G46" s="74"/>
      <c r="H46" s="88">
        <v>41</v>
      </c>
      <c r="I46" s="89" t="str">
        <f t="shared" si="1"/>
        <v/>
      </c>
      <c r="J46" s="89">
        <f t="shared" si="2"/>
        <v>-1</v>
      </c>
      <c r="K46" s="88">
        <f t="shared" si="3"/>
        <v>-10</v>
      </c>
      <c r="L46" s="88"/>
      <c r="M46" s="90">
        <f t="shared" si="4"/>
        <v>0</v>
      </c>
      <c r="N46" s="74"/>
      <c r="O46" s="74"/>
      <c r="P46" s="74"/>
      <c r="Q46" s="74"/>
      <c r="R46" s="74">
        <f>LOG($H$2,2)</f>
        <v>4.3923174227787607</v>
      </c>
      <c r="T46" s="79">
        <f>LOG(H38,2)</f>
        <v>5.0443941193584534</v>
      </c>
      <c r="U46" s="79">
        <f>R46-T46</f>
        <v>-0.65207669657969269</v>
      </c>
    </row>
    <row r="47" spans="1:21" s="79" customFormat="1" x14ac:dyDescent="0.25">
      <c r="A47" s="91">
        <f t="shared" si="0"/>
        <v>0</v>
      </c>
      <c r="B47" s="37" t="str">
        <f t="shared" si="5"/>
        <v/>
      </c>
      <c r="C47" s="38"/>
      <c r="D47" s="38"/>
      <c r="E47" s="38"/>
      <c r="F47" s="38"/>
      <c r="G47" s="74"/>
      <c r="H47" s="92">
        <v>42</v>
      </c>
      <c r="I47" s="93" t="str">
        <f t="shared" si="1"/>
        <v/>
      </c>
      <c r="J47" s="93">
        <f t="shared" si="2"/>
        <v>-1</v>
      </c>
      <c r="K47" s="92">
        <f t="shared" si="3"/>
        <v>-10</v>
      </c>
      <c r="L47" s="92"/>
      <c r="M47" s="94">
        <f t="shared" si="4"/>
        <v>0</v>
      </c>
      <c r="N47" s="74"/>
      <c r="O47" s="74"/>
      <c r="P47" s="74"/>
      <c r="Q47" s="74"/>
      <c r="R47" s="74"/>
    </row>
    <row r="48" spans="1:21" s="79" customFormat="1" x14ac:dyDescent="0.25">
      <c r="A48" s="91">
        <f t="shared" si="0"/>
        <v>0</v>
      </c>
      <c r="B48" s="31" t="str">
        <f t="shared" si="5"/>
        <v/>
      </c>
      <c r="C48" s="32"/>
      <c r="D48" s="32"/>
      <c r="E48" s="32"/>
      <c r="F48" s="32"/>
      <c r="G48" s="74"/>
      <c r="H48" s="88">
        <v>43</v>
      </c>
      <c r="I48" s="89" t="str">
        <f t="shared" si="1"/>
        <v/>
      </c>
      <c r="J48" s="89">
        <f t="shared" si="2"/>
        <v>-1</v>
      </c>
      <c r="K48" s="88">
        <f t="shared" si="3"/>
        <v>-10</v>
      </c>
      <c r="L48" s="88"/>
      <c r="M48" s="90">
        <f t="shared" si="4"/>
        <v>0</v>
      </c>
      <c r="N48" s="74"/>
      <c r="O48" s="74"/>
      <c r="P48" s="74"/>
      <c r="Q48" s="74"/>
      <c r="R48" s="74"/>
    </row>
    <row r="49" spans="1:38" s="74" customFormat="1" x14ac:dyDescent="0.25">
      <c r="A49" s="91">
        <f t="shared" si="0"/>
        <v>0</v>
      </c>
      <c r="B49" s="37" t="str">
        <f t="shared" si="5"/>
        <v/>
      </c>
      <c r="C49" s="38"/>
      <c r="D49" s="38"/>
      <c r="E49" s="38"/>
      <c r="F49" s="38"/>
      <c r="H49" s="92">
        <v>44</v>
      </c>
      <c r="I49" s="93" t="str">
        <f t="shared" si="1"/>
        <v/>
      </c>
      <c r="J49" s="93">
        <f t="shared" si="2"/>
        <v>-1</v>
      </c>
      <c r="K49" s="92">
        <f t="shared" si="3"/>
        <v>-10</v>
      </c>
      <c r="L49" s="92"/>
      <c r="M49" s="94">
        <f t="shared" si="4"/>
        <v>0</v>
      </c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</row>
    <row r="50" spans="1:38" s="74" customFormat="1" x14ac:dyDescent="0.25">
      <c r="A50" s="91">
        <f t="shared" si="0"/>
        <v>0</v>
      </c>
      <c r="B50" s="31" t="str">
        <f t="shared" si="5"/>
        <v/>
      </c>
      <c r="C50" s="32"/>
      <c r="D50" s="32"/>
      <c r="E50" s="32"/>
      <c r="F50" s="32"/>
      <c r="H50" s="88">
        <v>45</v>
      </c>
      <c r="I50" s="89" t="str">
        <f t="shared" si="1"/>
        <v/>
      </c>
      <c r="J50" s="89">
        <f t="shared" si="2"/>
        <v>-1</v>
      </c>
      <c r="K50" s="88">
        <f t="shared" si="3"/>
        <v>-10</v>
      </c>
      <c r="L50" s="88"/>
      <c r="M50" s="90">
        <f t="shared" si="4"/>
        <v>0</v>
      </c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</row>
    <row r="51" spans="1:38" s="74" customFormat="1" x14ac:dyDescent="0.25">
      <c r="A51" s="91">
        <f t="shared" si="0"/>
        <v>0</v>
      </c>
      <c r="B51" s="37" t="str">
        <f t="shared" si="5"/>
        <v/>
      </c>
      <c r="C51" s="38"/>
      <c r="D51" s="38"/>
      <c r="E51" s="38"/>
      <c r="F51" s="38"/>
      <c r="H51" s="92">
        <v>46</v>
      </c>
      <c r="I51" s="93" t="str">
        <f t="shared" si="1"/>
        <v/>
      </c>
      <c r="J51" s="93">
        <f t="shared" si="2"/>
        <v>-1</v>
      </c>
      <c r="K51" s="92">
        <f t="shared" si="3"/>
        <v>-10</v>
      </c>
      <c r="L51" s="92"/>
      <c r="M51" s="94">
        <f t="shared" si="4"/>
        <v>0</v>
      </c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</row>
    <row r="52" spans="1:38" s="74" customFormat="1" x14ac:dyDescent="0.25">
      <c r="A52" s="91">
        <f t="shared" si="0"/>
        <v>0</v>
      </c>
      <c r="B52" s="31" t="str">
        <f t="shared" si="5"/>
        <v/>
      </c>
      <c r="C52" s="32"/>
      <c r="D52" s="32"/>
      <c r="E52" s="32"/>
      <c r="F52" s="32"/>
      <c r="H52" s="88">
        <v>47</v>
      </c>
      <c r="I52" s="89" t="str">
        <f t="shared" si="1"/>
        <v/>
      </c>
      <c r="J52" s="89">
        <f t="shared" si="2"/>
        <v>-1</v>
      </c>
      <c r="K52" s="88">
        <f t="shared" si="3"/>
        <v>-10</v>
      </c>
      <c r="L52" s="88"/>
      <c r="M52" s="90">
        <f t="shared" si="4"/>
        <v>0</v>
      </c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</row>
    <row r="53" spans="1:38" s="74" customFormat="1" x14ac:dyDescent="0.25">
      <c r="A53" s="91">
        <f t="shared" si="0"/>
        <v>0</v>
      </c>
      <c r="B53" s="37" t="str">
        <f t="shared" si="5"/>
        <v/>
      </c>
      <c r="C53" s="38"/>
      <c r="D53" s="38"/>
      <c r="E53" s="38"/>
      <c r="F53" s="38"/>
      <c r="H53" s="92">
        <v>48</v>
      </c>
      <c r="I53" s="93" t="str">
        <f t="shared" si="1"/>
        <v/>
      </c>
      <c r="J53" s="93">
        <f t="shared" si="2"/>
        <v>-1</v>
      </c>
      <c r="K53" s="92">
        <f t="shared" si="3"/>
        <v>-10</v>
      </c>
      <c r="L53" s="92"/>
      <c r="M53" s="94">
        <f t="shared" si="4"/>
        <v>0</v>
      </c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</row>
    <row r="54" spans="1:38" s="74" customFormat="1" x14ac:dyDescent="0.25">
      <c r="A54" s="91">
        <f t="shared" si="0"/>
        <v>0</v>
      </c>
      <c r="B54" s="31" t="str">
        <f t="shared" si="5"/>
        <v/>
      </c>
      <c r="C54" s="32"/>
      <c r="D54" s="32"/>
      <c r="E54" s="32"/>
      <c r="F54" s="32"/>
      <c r="H54" s="88">
        <v>49</v>
      </c>
      <c r="I54" s="89" t="str">
        <f t="shared" si="1"/>
        <v/>
      </c>
      <c r="J54" s="89">
        <f t="shared" si="2"/>
        <v>-1</v>
      </c>
      <c r="K54" s="88">
        <f t="shared" si="3"/>
        <v>-10</v>
      </c>
      <c r="L54" s="88"/>
      <c r="M54" s="90">
        <f t="shared" si="4"/>
        <v>0</v>
      </c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</row>
    <row r="55" spans="1:38" s="74" customFormat="1" x14ac:dyDescent="0.25">
      <c r="A55" s="91">
        <f t="shared" si="0"/>
        <v>0</v>
      </c>
      <c r="B55" s="37" t="str">
        <f t="shared" si="5"/>
        <v/>
      </c>
      <c r="C55" s="38"/>
      <c r="D55" s="38"/>
      <c r="E55" s="38"/>
      <c r="F55" s="38"/>
      <c r="H55" s="92">
        <v>50</v>
      </c>
      <c r="I55" s="93" t="str">
        <f t="shared" si="1"/>
        <v/>
      </c>
      <c r="J55" s="93">
        <f t="shared" si="2"/>
        <v>-1</v>
      </c>
      <c r="K55" s="92">
        <f t="shared" si="3"/>
        <v>-10</v>
      </c>
      <c r="L55" s="92"/>
      <c r="M55" s="94">
        <f t="shared" si="4"/>
        <v>0</v>
      </c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</row>
    <row r="56" spans="1:38" s="74" customFormat="1" x14ac:dyDescent="0.25">
      <c r="A56" s="91">
        <f t="shared" si="0"/>
        <v>0</v>
      </c>
      <c r="B56" s="31" t="str">
        <f t="shared" si="5"/>
        <v/>
      </c>
      <c r="C56" s="32"/>
      <c r="D56" s="32"/>
      <c r="E56" s="32"/>
      <c r="F56" s="32"/>
      <c r="H56" s="88">
        <v>51</v>
      </c>
      <c r="I56" s="89" t="str">
        <f t="shared" si="1"/>
        <v/>
      </c>
      <c r="J56" s="89">
        <f t="shared" si="2"/>
        <v>-1</v>
      </c>
      <c r="K56" s="88">
        <f t="shared" si="3"/>
        <v>-10</v>
      </c>
      <c r="L56" s="88"/>
      <c r="M56" s="90">
        <f t="shared" si="4"/>
        <v>0</v>
      </c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</row>
    <row r="57" spans="1:38" s="74" customFormat="1" x14ac:dyDescent="0.25">
      <c r="A57" s="91">
        <f t="shared" si="0"/>
        <v>0</v>
      </c>
      <c r="B57" s="37" t="str">
        <f t="shared" si="5"/>
        <v/>
      </c>
      <c r="C57" s="38"/>
      <c r="D57" s="38"/>
      <c r="E57" s="38"/>
      <c r="F57" s="38"/>
      <c r="H57" s="92">
        <v>52</v>
      </c>
      <c r="I57" s="93" t="str">
        <f t="shared" si="1"/>
        <v/>
      </c>
      <c r="J57" s="93">
        <f t="shared" si="2"/>
        <v>-1</v>
      </c>
      <c r="K57" s="92">
        <f t="shared" si="3"/>
        <v>-10</v>
      </c>
      <c r="L57" s="92"/>
      <c r="M57" s="94">
        <f t="shared" si="4"/>
        <v>0</v>
      </c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</row>
    <row r="58" spans="1:38" s="74" customFormat="1" x14ac:dyDescent="0.25">
      <c r="A58" s="91">
        <f t="shared" si="0"/>
        <v>0</v>
      </c>
      <c r="B58" s="31" t="str">
        <f t="shared" si="5"/>
        <v/>
      </c>
      <c r="C58" s="32"/>
      <c r="D58" s="32"/>
      <c r="E58" s="32"/>
      <c r="F58" s="32"/>
      <c r="H58" s="88">
        <v>53</v>
      </c>
      <c r="I58" s="89" t="str">
        <f t="shared" si="1"/>
        <v/>
      </c>
      <c r="J58" s="89">
        <f t="shared" si="2"/>
        <v>-1</v>
      </c>
      <c r="K58" s="88">
        <f t="shared" si="3"/>
        <v>-10</v>
      </c>
      <c r="L58" s="88"/>
      <c r="M58" s="90">
        <f t="shared" si="4"/>
        <v>0</v>
      </c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</row>
    <row r="59" spans="1:38" s="74" customFormat="1" x14ac:dyDescent="0.25">
      <c r="A59" s="91">
        <f t="shared" si="0"/>
        <v>0</v>
      </c>
      <c r="B59" s="37" t="str">
        <f t="shared" si="5"/>
        <v/>
      </c>
      <c r="C59" s="38"/>
      <c r="D59" s="38"/>
      <c r="E59" s="38"/>
      <c r="F59" s="38"/>
      <c r="H59" s="92">
        <v>54</v>
      </c>
      <c r="I59" s="93" t="str">
        <f t="shared" si="1"/>
        <v/>
      </c>
      <c r="J59" s="93">
        <f t="shared" si="2"/>
        <v>-1</v>
      </c>
      <c r="K59" s="92">
        <f t="shared" si="3"/>
        <v>-10</v>
      </c>
      <c r="L59" s="92"/>
      <c r="M59" s="94">
        <f t="shared" si="4"/>
        <v>0</v>
      </c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</row>
    <row r="60" spans="1:38" s="74" customFormat="1" x14ac:dyDescent="0.25">
      <c r="A60" s="91">
        <f t="shared" si="0"/>
        <v>0</v>
      </c>
      <c r="B60" s="31" t="str">
        <f t="shared" si="5"/>
        <v/>
      </c>
      <c r="C60" s="32"/>
      <c r="D60" s="32"/>
      <c r="E60" s="32"/>
      <c r="F60" s="32"/>
      <c r="H60" s="88">
        <v>55</v>
      </c>
      <c r="I60" s="89" t="str">
        <f t="shared" si="1"/>
        <v/>
      </c>
      <c r="J60" s="89">
        <f t="shared" si="2"/>
        <v>-1</v>
      </c>
      <c r="K60" s="88">
        <f t="shared" si="3"/>
        <v>-10</v>
      </c>
      <c r="L60" s="88"/>
      <c r="M60" s="90">
        <f t="shared" si="4"/>
        <v>0</v>
      </c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</row>
    <row r="61" spans="1:38" s="74" customFormat="1" x14ac:dyDescent="0.25">
      <c r="A61" s="91">
        <f t="shared" si="0"/>
        <v>0</v>
      </c>
      <c r="B61" s="37" t="str">
        <f t="shared" si="5"/>
        <v/>
      </c>
      <c r="C61" s="38"/>
      <c r="D61" s="38"/>
      <c r="E61" s="38"/>
      <c r="F61" s="38"/>
      <c r="H61" s="92">
        <v>56</v>
      </c>
      <c r="I61" s="93" t="str">
        <f t="shared" si="1"/>
        <v/>
      </c>
      <c r="J61" s="93">
        <f t="shared" si="2"/>
        <v>-1</v>
      </c>
      <c r="K61" s="92">
        <f t="shared" si="3"/>
        <v>-10</v>
      </c>
      <c r="L61" s="92"/>
      <c r="M61" s="94">
        <f t="shared" si="4"/>
        <v>0</v>
      </c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</row>
    <row r="62" spans="1:38" s="74" customFormat="1" x14ac:dyDescent="0.25">
      <c r="A62" s="91">
        <f t="shared" si="0"/>
        <v>0</v>
      </c>
      <c r="B62" s="31" t="str">
        <f t="shared" si="5"/>
        <v/>
      </c>
      <c r="C62" s="32"/>
      <c r="D62" s="32"/>
      <c r="E62" s="32"/>
      <c r="F62" s="32"/>
      <c r="H62" s="88">
        <v>57</v>
      </c>
      <c r="I62" s="89" t="str">
        <f t="shared" si="1"/>
        <v/>
      </c>
      <c r="J62" s="89">
        <f t="shared" si="2"/>
        <v>-1</v>
      </c>
      <c r="K62" s="88">
        <f t="shared" si="3"/>
        <v>-10</v>
      </c>
      <c r="L62" s="88"/>
      <c r="M62" s="90">
        <f t="shared" si="4"/>
        <v>0</v>
      </c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</row>
    <row r="63" spans="1:38" s="74" customFormat="1" x14ac:dyDescent="0.25">
      <c r="A63" s="91">
        <f t="shared" si="0"/>
        <v>0</v>
      </c>
      <c r="B63" s="37" t="str">
        <f t="shared" si="5"/>
        <v/>
      </c>
      <c r="C63" s="38"/>
      <c r="D63" s="38"/>
      <c r="E63" s="38"/>
      <c r="F63" s="38"/>
      <c r="H63" s="92">
        <v>58</v>
      </c>
      <c r="I63" s="93" t="str">
        <f t="shared" si="1"/>
        <v/>
      </c>
      <c r="J63" s="93">
        <f t="shared" si="2"/>
        <v>-1</v>
      </c>
      <c r="K63" s="92">
        <f t="shared" si="3"/>
        <v>-10</v>
      </c>
      <c r="L63" s="92"/>
      <c r="M63" s="94">
        <f t="shared" si="4"/>
        <v>0</v>
      </c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</row>
    <row r="64" spans="1:38" s="74" customFormat="1" x14ac:dyDescent="0.25">
      <c r="A64" s="91">
        <f t="shared" si="0"/>
        <v>0</v>
      </c>
      <c r="B64" s="31" t="str">
        <f t="shared" si="5"/>
        <v/>
      </c>
      <c r="C64" s="32"/>
      <c r="D64" s="32"/>
      <c r="E64" s="32"/>
      <c r="F64" s="32"/>
      <c r="H64" s="88">
        <v>59</v>
      </c>
      <c r="I64" s="89" t="str">
        <f t="shared" si="1"/>
        <v/>
      </c>
      <c r="J64" s="89">
        <f t="shared" si="2"/>
        <v>-1</v>
      </c>
      <c r="K64" s="88">
        <f t="shared" si="3"/>
        <v>-10</v>
      </c>
      <c r="L64" s="88"/>
      <c r="M64" s="90">
        <f t="shared" si="4"/>
        <v>0</v>
      </c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</row>
    <row r="65" spans="1:38" s="74" customFormat="1" x14ac:dyDescent="0.25">
      <c r="A65" s="91">
        <f t="shared" si="0"/>
        <v>0</v>
      </c>
      <c r="B65" s="37" t="str">
        <f t="shared" si="5"/>
        <v/>
      </c>
      <c r="C65" s="38"/>
      <c r="D65" s="38"/>
      <c r="E65" s="38"/>
      <c r="F65" s="38"/>
      <c r="H65" s="92">
        <v>60</v>
      </c>
      <c r="I65" s="93" t="str">
        <f t="shared" si="1"/>
        <v/>
      </c>
      <c r="J65" s="93">
        <f t="shared" si="2"/>
        <v>-1</v>
      </c>
      <c r="K65" s="92">
        <f t="shared" si="3"/>
        <v>-10</v>
      </c>
      <c r="L65" s="92"/>
      <c r="M65" s="94">
        <f t="shared" si="4"/>
        <v>0</v>
      </c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</row>
    <row r="66" spans="1:38" s="74" customFormat="1" x14ac:dyDescent="0.25">
      <c r="A66" s="91">
        <f t="shared" si="0"/>
        <v>0</v>
      </c>
      <c r="B66" s="31"/>
      <c r="C66" s="105"/>
      <c r="D66" s="105"/>
      <c r="E66" s="105"/>
      <c r="F66" s="105"/>
      <c r="H66" s="88">
        <v>61</v>
      </c>
      <c r="I66" s="89" t="str">
        <f t="shared" si="1"/>
        <v/>
      </c>
      <c r="J66" s="89">
        <f t="shared" si="2"/>
        <v>-1</v>
      </c>
      <c r="K66" s="88">
        <f t="shared" si="3"/>
        <v>-10</v>
      </c>
      <c r="L66" s="88"/>
      <c r="M66" s="90">
        <f t="shared" si="4"/>
        <v>0</v>
      </c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</row>
    <row r="67" spans="1:38" s="74" customFormat="1" x14ac:dyDescent="0.25">
      <c r="A67" s="91">
        <f t="shared" si="0"/>
        <v>0</v>
      </c>
      <c r="B67" s="37"/>
      <c r="C67" s="105"/>
      <c r="D67" s="105"/>
      <c r="E67" s="105"/>
      <c r="F67" s="105"/>
      <c r="H67" s="88">
        <v>62</v>
      </c>
      <c r="I67" s="89" t="str">
        <f t="shared" si="1"/>
        <v/>
      </c>
      <c r="J67" s="89">
        <f t="shared" si="2"/>
        <v>-1</v>
      </c>
      <c r="K67" s="88">
        <f t="shared" si="3"/>
        <v>-10</v>
      </c>
      <c r="L67" s="88"/>
      <c r="M67" s="90">
        <f t="shared" si="4"/>
        <v>0</v>
      </c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</row>
    <row r="68" spans="1:38" s="74" customFormat="1" x14ac:dyDescent="0.25">
      <c r="A68" s="91">
        <f t="shared" si="0"/>
        <v>0</v>
      </c>
      <c r="B68" s="31"/>
      <c r="C68" s="105"/>
      <c r="D68" s="105"/>
      <c r="E68" s="105"/>
      <c r="F68" s="105"/>
      <c r="H68" s="88">
        <v>63</v>
      </c>
      <c r="I68" s="89" t="str">
        <f t="shared" si="1"/>
        <v/>
      </c>
      <c r="J68" s="89">
        <f t="shared" si="2"/>
        <v>-1</v>
      </c>
      <c r="K68" s="88">
        <f t="shared" si="3"/>
        <v>-10</v>
      </c>
      <c r="L68" s="88"/>
      <c r="M68" s="90">
        <f t="shared" si="4"/>
        <v>0</v>
      </c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</row>
    <row r="69" spans="1:38" s="74" customFormat="1" x14ac:dyDescent="0.25">
      <c r="A69" s="91">
        <f t="shared" si="0"/>
        <v>0</v>
      </c>
      <c r="B69" s="37"/>
      <c r="C69" s="105"/>
      <c r="D69" s="105"/>
      <c r="E69" s="105"/>
      <c r="F69" s="105"/>
      <c r="H69" s="88">
        <v>64</v>
      </c>
      <c r="I69" s="89" t="str">
        <f t="shared" si="1"/>
        <v/>
      </c>
      <c r="J69" s="89">
        <f t="shared" si="2"/>
        <v>-1</v>
      </c>
      <c r="K69" s="88">
        <f t="shared" si="3"/>
        <v>-10</v>
      </c>
      <c r="L69" s="88"/>
      <c r="M69" s="90">
        <f t="shared" si="4"/>
        <v>0</v>
      </c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</row>
    <row r="70" spans="1:38" s="74" customFormat="1" x14ac:dyDescent="0.25">
      <c r="A70" s="91">
        <f t="shared" ref="A70:A79" si="6">M70</f>
        <v>0</v>
      </c>
      <c r="B70" s="105"/>
      <c r="C70" s="105"/>
      <c r="D70" s="105"/>
      <c r="E70" s="105"/>
      <c r="F70" s="105"/>
      <c r="H70" s="88">
        <v>65</v>
      </c>
      <c r="I70" s="89" t="str">
        <f t="shared" ref="I70:I133" si="7">IF(H70&lt;$H$2+1,($I$2-($I$2-1)*(LOG(H70)/LOG($H$2))),"")</f>
        <v/>
      </c>
      <c r="J70" s="89">
        <f t="shared" ref="J70:J133" si="8">INT(LOG($H$2,2))-ROUNDUP(LOG(H70,2),0)+IF(OR($H$2=1,$H$2=2,$H$2=4,$H$2=8,$H$2=16,$H$2=32,$H$2=64,$H$2=128,$H$2=256),0,1)</f>
        <v>-2</v>
      </c>
      <c r="K70" s="88">
        <f t="shared" ref="K70:K133" si="9">J70*$J$2</f>
        <v>-20</v>
      </c>
      <c r="L70" s="88"/>
      <c r="M70" s="90">
        <f t="shared" ref="M70:M133" si="10">IF(I70&lt;&gt;"",K70+I70+L70,0)</f>
        <v>0</v>
      </c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</row>
    <row r="71" spans="1:38" s="74" customFormat="1" x14ac:dyDescent="0.25">
      <c r="A71" s="91">
        <f t="shared" si="6"/>
        <v>0</v>
      </c>
      <c r="B71" s="105"/>
      <c r="C71" s="105"/>
      <c r="D71" s="105"/>
      <c r="E71" s="105"/>
      <c r="F71" s="105"/>
      <c r="H71" s="88">
        <v>66</v>
      </c>
      <c r="I71" s="89" t="str">
        <f t="shared" si="7"/>
        <v/>
      </c>
      <c r="J71" s="89">
        <f t="shared" si="8"/>
        <v>-2</v>
      </c>
      <c r="K71" s="88">
        <f t="shared" si="9"/>
        <v>-20</v>
      </c>
      <c r="L71" s="88"/>
      <c r="M71" s="90">
        <f t="shared" si="10"/>
        <v>0</v>
      </c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</row>
    <row r="72" spans="1:38" s="74" customFormat="1" x14ac:dyDescent="0.25">
      <c r="A72" s="91">
        <f t="shared" si="6"/>
        <v>0</v>
      </c>
      <c r="B72" s="105"/>
      <c r="C72" s="105"/>
      <c r="D72" s="105"/>
      <c r="E72" s="105"/>
      <c r="F72" s="105"/>
      <c r="H72" s="88">
        <v>67</v>
      </c>
      <c r="I72" s="89" t="str">
        <f t="shared" si="7"/>
        <v/>
      </c>
      <c r="J72" s="89">
        <f t="shared" si="8"/>
        <v>-2</v>
      </c>
      <c r="K72" s="88">
        <f t="shared" si="9"/>
        <v>-20</v>
      </c>
      <c r="L72" s="88"/>
      <c r="M72" s="90">
        <f t="shared" si="10"/>
        <v>0</v>
      </c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</row>
    <row r="73" spans="1:38" s="74" customFormat="1" x14ac:dyDescent="0.25">
      <c r="A73" s="91">
        <f t="shared" si="6"/>
        <v>0</v>
      </c>
      <c r="B73" s="105"/>
      <c r="C73" s="105"/>
      <c r="D73" s="105"/>
      <c r="E73" s="105"/>
      <c r="F73" s="105"/>
      <c r="H73" s="88">
        <v>68</v>
      </c>
      <c r="I73" s="89" t="str">
        <f t="shared" si="7"/>
        <v/>
      </c>
      <c r="J73" s="89">
        <f t="shared" si="8"/>
        <v>-2</v>
      </c>
      <c r="K73" s="88">
        <f t="shared" si="9"/>
        <v>-20</v>
      </c>
      <c r="L73" s="88"/>
      <c r="M73" s="90">
        <f t="shared" si="10"/>
        <v>0</v>
      </c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</row>
    <row r="74" spans="1:38" s="74" customFormat="1" x14ac:dyDescent="0.25">
      <c r="A74" s="91">
        <f t="shared" si="6"/>
        <v>0</v>
      </c>
      <c r="B74" s="105"/>
      <c r="C74" s="105"/>
      <c r="D74" s="105"/>
      <c r="E74" s="105"/>
      <c r="F74" s="105"/>
      <c r="H74" s="88">
        <v>69</v>
      </c>
      <c r="I74" s="89" t="str">
        <f t="shared" si="7"/>
        <v/>
      </c>
      <c r="J74" s="89">
        <f t="shared" si="8"/>
        <v>-2</v>
      </c>
      <c r="K74" s="88">
        <f t="shared" si="9"/>
        <v>-20</v>
      </c>
      <c r="L74" s="88"/>
      <c r="M74" s="90">
        <f t="shared" si="10"/>
        <v>0</v>
      </c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</row>
    <row r="75" spans="1:38" s="74" customFormat="1" x14ac:dyDescent="0.25">
      <c r="A75" s="91">
        <f t="shared" si="6"/>
        <v>0</v>
      </c>
      <c r="B75" s="105"/>
      <c r="C75" s="105"/>
      <c r="D75" s="105"/>
      <c r="E75" s="105"/>
      <c r="F75" s="105"/>
      <c r="H75" s="88">
        <v>70</v>
      </c>
      <c r="I75" s="89" t="str">
        <f t="shared" si="7"/>
        <v/>
      </c>
      <c r="J75" s="89">
        <f t="shared" si="8"/>
        <v>-2</v>
      </c>
      <c r="K75" s="88">
        <f t="shared" si="9"/>
        <v>-20</v>
      </c>
      <c r="L75" s="88"/>
      <c r="M75" s="90">
        <f t="shared" si="10"/>
        <v>0</v>
      </c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</row>
    <row r="76" spans="1:38" s="74" customFormat="1" x14ac:dyDescent="0.25">
      <c r="A76" s="91">
        <f t="shared" si="6"/>
        <v>0</v>
      </c>
      <c r="B76" s="105"/>
      <c r="C76" s="105"/>
      <c r="D76" s="105"/>
      <c r="E76" s="105"/>
      <c r="F76" s="105"/>
      <c r="H76" s="88">
        <v>71</v>
      </c>
      <c r="I76" s="89" t="str">
        <f t="shared" si="7"/>
        <v/>
      </c>
      <c r="J76" s="89">
        <f t="shared" si="8"/>
        <v>-2</v>
      </c>
      <c r="K76" s="88">
        <f t="shared" si="9"/>
        <v>-20</v>
      </c>
      <c r="L76" s="88"/>
      <c r="M76" s="90">
        <f t="shared" si="10"/>
        <v>0</v>
      </c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</row>
    <row r="77" spans="1:38" s="74" customFormat="1" x14ac:dyDescent="0.25">
      <c r="A77" s="91">
        <f t="shared" si="6"/>
        <v>0</v>
      </c>
      <c r="B77" s="105"/>
      <c r="C77" s="105"/>
      <c r="D77" s="105"/>
      <c r="E77" s="105"/>
      <c r="F77" s="105"/>
      <c r="H77" s="88">
        <v>72</v>
      </c>
      <c r="I77" s="89" t="str">
        <f t="shared" si="7"/>
        <v/>
      </c>
      <c r="J77" s="89">
        <f t="shared" si="8"/>
        <v>-2</v>
      </c>
      <c r="K77" s="88">
        <f t="shared" si="9"/>
        <v>-20</v>
      </c>
      <c r="L77" s="88"/>
      <c r="M77" s="90">
        <f t="shared" si="10"/>
        <v>0</v>
      </c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</row>
    <row r="78" spans="1:38" s="74" customFormat="1" x14ac:dyDescent="0.25">
      <c r="A78" s="91">
        <f t="shared" si="6"/>
        <v>0</v>
      </c>
      <c r="B78" s="105"/>
      <c r="C78" s="105"/>
      <c r="D78" s="105"/>
      <c r="E78" s="105"/>
      <c r="F78" s="105"/>
      <c r="H78" s="88">
        <v>73</v>
      </c>
      <c r="I78" s="89" t="str">
        <f t="shared" si="7"/>
        <v/>
      </c>
      <c r="J78" s="89">
        <f t="shared" si="8"/>
        <v>-2</v>
      </c>
      <c r="K78" s="88">
        <f t="shared" si="9"/>
        <v>-20</v>
      </c>
      <c r="L78" s="88"/>
      <c r="M78" s="90">
        <f t="shared" si="10"/>
        <v>0</v>
      </c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</row>
    <row r="79" spans="1:38" s="74" customFormat="1" x14ac:dyDescent="0.25">
      <c r="A79" s="91">
        <f t="shared" si="6"/>
        <v>0</v>
      </c>
      <c r="B79" s="105"/>
      <c r="C79" s="105"/>
      <c r="D79" s="105"/>
      <c r="E79" s="105"/>
      <c r="F79" s="105"/>
      <c r="H79" s="88">
        <v>74</v>
      </c>
      <c r="I79" s="89" t="str">
        <f t="shared" si="7"/>
        <v/>
      </c>
      <c r="J79" s="89">
        <f t="shared" si="8"/>
        <v>-2</v>
      </c>
      <c r="K79" s="88">
        <f t="shared" si="9"/>
        <v>-20</v>
      </c>
      <c r="L79" s="88"/>
      <c r="M79" s="90">
        <f t="shared" si="10"/>
        <v>0</v>
      </c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</row>
    <row r="80" spans="1:38" s="74" customFormat="1" x14ac:dyDescent="0.25">
      <c r="A80" s="87"/>
      <c r="B80" s="105"/>
      <c r="C80" s="105"/>
      <c r="D80" s="105"/>
      <c r="E80" s="105"/>
      <c r="F80" s="105"/>
      <c r="H80" s="88">
        <v>75</v>
      </c>
      <c r="I80" s="89" t="str">
        <f t="shared" si="7"/>
        <v/>
      </c>
      <c r="J80" s="89">
        <f t="shared" si="8"/>
        <v>-2</v>
      </c>
      <c r="K80" s="88">
        <f t="shared" si="9"/>
        <v>-20</v>
      </c>
      <c r="L80" s="88"/>
      <c r="M80" s="90">
        <f t="shared" si="10"/>
        <v>0</v>
      </c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</row>
    <row r="81" spans="1:38" s="74" customFormat="1" x14ac:dyDescent="0.25">
      <c r="A81" s="106"/>
      <c r="B81" s="105"/>
      <c r="C81" s="105"/>
      <c r="D81" s="105"/>
      <c r="E81" s="105"/>
      <c r="F81" s="105"/>
      <c r="H81" s="88">
        <v>76</v>
      </c>
      <c r="I81" s="89" t="str">
        <f t="shared" si="7"/>
        <v/>
      </c>
      <c r="J81" s="89">
        <f t="shared" si="8"/>
        <v>-2</v>
      </c>
      <c r="K81" s="88">
        <f t="shared" si="9"/>
        <v>-20</v>
      </c>
      <c r="L81" s="88"/>
      <c r="M81" s="90">
        <f t="shared" si="10"/>
        <v>0</v>
      </c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</row>
    <row r="82" spans="1:38" s="74" customFormat="1" x14ac:dyDescent="0.25">
      <c r="A82" s="106"/>
      <c r="B82" s="105"/>
      <c r="C82" s="105"/>
      <c r="D82" s="105"/>
      <c r="E82" s="105"/>
      <c r="F82" s="105"/>
      <c r="H82" s="88">
        <v>77</v>
      </c>
      <c r="I82" s="89" t="str">
        <f t="shared" si="7"/>
        <v/>
      </c>
      <c r="J82" s="89">
        <f t="shared" si="8"/>
        <v>-2</v>
      </c>
      <c r="K82" s="88">
        <f t="shared" si="9"/>
        <v>-20</v>
      </c>
      <c r="L82" s="88"/>
      <c r="M82" s="90">
        <f t="shared" si="10"/>
        <v>0</v>
      </c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</row>
    <row r="83" spans="1:38" s="74" customFormat="1" x14ac:dyDescent="0.25">
      <c r="A83" s="106"/>
      <c r="B83" s="105"/>
      <c r="C83" s="105"/>
      <c r="D83" s="105"/>
      <c r="E83" s="105"/>
      <c r="F83" s="105"/>
      <c r="H83" s="88">
        <v>78</v>
      </c>
      <c r="I83" s="89" t="str">
        <f t="shared" si="7"/>
        <v/>
      </c>
      <c r="J83" s="89">
        <f t="shared" si="8"/>
        <v>-2</v>
      </c>
      <c r="K83" s="88">
        <f t="shared" si="9"/>
        <v>-20</v>
      </c>
      <c r="L83" s="88"/>
      <c r="M83" s="90">
        <f t="shared" si="10"/>
        <v>0</v>
      </c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</row>
    <row r="84" spans="1:38" s="74" customFormat="1" x14ac:dyDescent="0.25">
      <c r="A84" s="106"/>
      <c r="B84" s="105"/>
      <c r="C84" s="105"/>
      <c r="D84" s="105"/>
      <c r="E84" s="105"/>
      <c r="F84" s="105"/>
      <c r="H84" s="88">
        <v>79</v>
      </c>
      <c r="I84" s="89" t="str">
        <f t="shared" si="7"/>
        <v/>
      </c>
      <c r="J84" s="89">
        <f t="shared" si="8"/>
        <v>-2</v>
      </c>
      <c r="K84" s="88">
        <f t="shared" si="9"/>
        <v>-20</v>
      </c>
      <c r="L84" s="88"/>
      <c r="M84" s="90">
        <f t="shared" si="10"/>
        <v>0</v>
      </c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</row>
    <row r="85" spans="1:38" s="74" customFormat="1" x14ac:dyDescent="0.25">
      <c r="A85" s="106"/>
      <c r="B85" s="105"/>
      <c r="C85" s="105"/>
      <c r="D85" s="105"/>
      <c r="E85" s="105"/>
      <c r="F85" s="105"/>
      <c r="H85" s="88">
        <v>80</v>
      </c>
      <c r="I85" s="89" t="str">
        <f t="shared" si="7"/>
        <v/>
      </c>
      <c r="J85" s="89">
        <f t="shared" si="8"/>
        <v>-2</v>
      </c>
      <c r="K85" s="88">
        <f t="shared" si="9"/>
        <v>-20</v>
      </c>
      <c r="L85" s="88"/>
      <c r="M85" s="90">
        <f t="shared" si="10"/>
        <v>0</v>
      </c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</row>
    <row r="86" spans="1:38" s="74" customFormat="1" x14ac:dyDescent="0.25">
      <c r="A86" s="106"/>
      <c r="B86" s="105"/>
      <c r="C86" s="105"/>
      <c r="D86" s="105"/>
      <c r="E86" s="105"/>
      <c r="F86" s="105"/>
      <c r="H86" s="88">
        <v>81</v>
      </c>
      <c r="I86" s="89" t="str">
        <f t="shared" si="7"/>
        <v/>
      </c>
      <c r="J86" s="89">
        <f t="shared" si="8"/>
        <v>-2</v>
      </c>
      <c r="K86" s="88">
        <f t="shared" si="9"/>
        <v>-20</v>
      </c>
      <c r="L86" s="88"/>
      <c r="M86" s="90">
        <f t="shared" si="10"/>
        <v>0</v>
      </c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</row>
    <row r="87" spans="1:38" s="74" customFormat="1" x14ac:dyDescent="0.25">
      <c r="A87" s="106"/>
      <c r="B87" s="105"/>
      <c r="C87" s="105"/>
      <c r="D87" s="105"/>
      <c r="E87" s="105"/>
      <c r="F87" s="105"/>
      <c r="H87" s="88">
        <v>82</v>
      </c>
      <c r="I87" s="89" t="str">
        <f t="shared" si="7"/>
        <v/>
      </c>
      <c r="J87" s="89">
        <f t="shared" si="8"/>
        <v>-2</v>
      </c>
      <c r="K87" s="88">
        <f t="shared" si="9"/>
        <v>-20</v>
      </c>
      <c r="L87" s="88"/>
      <c r="M87" s="90">
        <f t="shared" si="10"/>
        <v>0</v>
      </c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</row>
    <row r="88" spans="1:38" s="74" customFormat="1" x14ac:dyDescent="0.25">
      <c r="A88" s="106"/>
      <c r="B88" s="105"/>
      <c r="C88" s="105"/>
      <c r="D88" s="105"/>
      <c r="E88" s="105"/>
      <c r="F88" s="105"/>
      <c r="H88" s="88">
        <v>83</v>
      </c>
      <c r="I88" s="89" t="str">
        <f t="shared" si="7"/>
        <v/>
      </c>
      <c r="J88" s="89">
        <f t="shared" si="8"/>
        <v>-2</v>
      </c>
      <c r="K88" s="88">
        <f t="shared" si="9"/>
        <v>-20</v>
      </c>
      <c r="L88" s="88"/>
      <c r="M88" s="90">
        <f t="shared" si="10"/>
        <v>0</v>
      </c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</row>
    <row r="89" spans="1:38" s="74" customFormat="1" x14ac:dyDescent="0.25">
      <c r="A89" s="106"/>
      <c r="B89" s="105"/>
      <c r="C89" s="105"/>
      <c r="D89" s="105"/>
      <c r="E89" s="105"/>
      <c r="F89" s="105"/>
      <c r="H89" s="88">
        <v>84</v>
      </c>
      <c r="I89" s="89" t="str">
        <f t="shared" si="7"/>
        <v/>
      </c>
      <c r="J89" s="89">
        <f t="shared" si="8"/>
        <v>-2</v>
      </c>
      <c r="K89" s="88">
        <f t="shared" si="9"/>
        <v>-20</v>
      </c>
      <c r="L89" s="88"/>
      <c r="M89" s="90">
        <f t="shared" si="10"/>
        <v>0</v>
      </c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</row>
    <row r="90" spans="1:38" s="74" customFormat="1" x14ac:dyDescent="0.25">
      <c r="A90" s="106"/>
      <c r="B90" s="105"/>
      <c r="C90" s="105"/>
      <c r="D90" s="105"/>
      <c r="E90" s="105"/>
      <c r="F90" s="105"/>
      <c r="H90" s="88">
        <v>85</v>
      </c>
      <c r="I90" s="89" t="str">
        <f t="shared" si="7"/>
        <v/>
      </c>
      <c r="J90" s="89">
        <f t="shared" si="8"/>
        <v>-2</v>
      </c>
      <c r="K90" s="88">
        <f t="shared" si="9"/>
        <v>-20</v>
      </c>
      <c r="L90" s="88"/>
      <c r="M90" s="90">
        <f t="shared" si="10"/>
        <v>0</v>
      </c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</row>
    <row r="91" spans="1:38" s="74" customFormat="1" x14ac:dyDescent="0.25">
      <c r="A91" s="106"/>
      <c r="B91" s="105"/>
      <c r="C91" s="105"/>
      <c r="D91" s="105"/>
      <c r="E91" s="105"/>
      <c r="F91" s="105"/>
      <c r="H91" s="88">
        <v>86</v>
      </c>
      <c r="I91" s="89" t="str">
        <f t="shared" si="7"/>
        <v/>
      </c>
      <c r="J91" s="89">
        <f t="shared" si="8"/>
        <v>-2</v>
      </c>
      <c r="K91" s="88">
        <f t="shared" si="9"/>
        <v>-20</v>
      </c>
      <c r="L91" s="88"/>
      <c r="M91" s="90">
        <f t="shared" si="10"/>
        <v>0</v>
      </c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</row>
    <row r="92" spans="1:38" s="74" customFormat="1" x14ac:dyDescent="0.25">
      <c r="A92" s="106"/>
      <c r="B92" s="105"/>
      <c r="C92" s="105"/>
      <c r="D92" s="105"/>
      <c r="E92" s="105"/>
      <c r="F92" s="105"/>
      <c r="H92" s="88">
        <v>87</v>
      </c>
      <c r="I92" s="89" t="str">
        <f t="shared" si="7"/>
        <v/>
      </c>
      <c r="J92" s="89">
        <f t="shared" si="8"/>
        <v>-2</v>
      </c>
      <c r="K92" s="88">
        <f t="shared" si="9"/>
        <v>-20</v>
      </c>
      <c r="L92" s="88"/>
      <c r="M92" s="90">
        <f t="shared" si="10"/>
        <v>0</v>
      </c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</row>
    <row r="93" spans="1:38" s="74" customFormat="1" x14ac:dyDescent="0.25">
      <c r="A93" s="106"/>
      <c r="B93" s="105"/>
      <c r="C93" s="105"/>
      <c r="D93" s="105"/>
      <c r="E93" s="105"/>
      <c r="F93" s="105"/>
      <c r="H93" s="88">
        <v>88</v>
      </c>
      <c r="I93" s="89" t="str">
        <f t="shared" si="7"/>
        <v/>
      </c>
      <c r="J93" s="89">
        <f t="shared" si="8"/>
        <v>-2</v>
      </c>
      <c r="K93" s="88">
        <f t="shared" si="9"/>
        <v>-20</v>
      </c>
      <c r="L93" s="88"/>
      <c r="M93" s="90">
        <f t="shared" si="10"/>
        <v>0</v>
      </c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</row>
    <row r="94" spans="1:38" s="74" customFormat="1" x14ac:dyDescent="0.25">
      <c r="A94" s="106"/>
      <c r="B94" s="105"/>
      <c r="C94" s="105"/>
      <c r="D94" s="105"/>
      <c r="E94" s="105"/>
      <c r="F94" s="105"/>
      <c r="H94" s="88">
        <v>89</v>
      </c>
      <c r="I94" s="89" t="str">
        <f t="shared" si="7"/>
        <v/>
      </c>
      <c r="J94" s="89">
        <f t="shared" si="8"/>
        <v>-2</v>
      </c>
      <c r="K94" s="88">
        <f t="shared" si="9"/>
        <v>-20</v>
      </c>
      <c r="L94" s="88"/>
      <c r="M94" s="90">
        <f t="shared" si="10"/>
        <v>0</v>
      </c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</row>
    <row r="95" spans="1:38" s="74" customFormat="1" x14ac:dyDescent="0.25">
      <c r="A95" s="106"/>
      <c r="B95" s="105"/>
      <c r="C95" s="105"/>
      <c r="D95" s="105"/>
      <c r="E95" s="105"/>
      <c r="F95" s="105"/>
      <c r="H95" s="88">
        <v>90</v>
      </c>
      <c r="I95" s="89" t="str">
        <f t="shared" si="7"/>
        <v/>
      </c>
      <c r="J95" s="89">
        <f t="shared" si="8"/>
        <v>-2</v>
      </c>
      <c r="K95" s="88">
        <f t="shared" si="9"/>
        <v>-20</v>
      </c>
      <c r="L95" s="88"/>
      <c r="M95" s="90">
        <f t="shared" si="10"/>
        <v>0</v>
      </c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</row>
    <row r="96" spans="1:38" s="74" customFormat="1" x14ac:dyDescent="0.25">
      <c r="A96" s="106"/>
      <c r="B96" s="105"/>
      <c r="C96" s="105"/>
      <c r="D96" s="105"/>
      <c r="E96" s="105"/>
      <c r="F96" s="105"/>
      <c r="H96" s="88">
        <v>91</v>
      </c>
      <c r="I96" s="89" t="str">
        <f t="shared" si="7"/>
        <v/>
      </c>
      <c r="J96" s="89">
        <f t="shared" si="8"/>
        <v>-2</v>
      </c>
      <c r="K96" s="88">
        <f t="shared" si="9"/>
        <v>-20</v>
      </c>
      <c r="L96" s="88"/>
      <c r="M96" s="90">
        <f t="shared" si="10"/>
        <v>0</v>
      </c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</row>
    <row r="97" spans="1:38" s="74" customFormat="1" x14ac:dyDescent="0.25">
      <c r="A97" s="106"/>
      <c r="B97" s="105"/>
      <c r="C97" s="105"/>
      <c r="D97" s="105"/>
      <c r="E97" s="105"/>
      <c r="F97" s="105"/>
      <c r="H97" s="88">
        <v>92</v>
      </c>
      <c r="I97" s="89" t="str">
        <f t="shared" si="7"/>
        <v/>
      </c>
      <c r="J97" s="89">
        <f t="shared" si="8"/>
        <v>-2</v>
      </c>
      <c r="K97" s="88">
        <f t="shared" si="9"/>
        <v>-20</v>
      </c>
      <c r="L97" s="88"/>
      <c r="M97" s="90">
        <f t="shared" si="10"/>
        <v>0</v>
      </c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</row>
    <row r="98" spans="1:38" s="74" customFormat="1" x14ac:dyDescent="0.25">
      <c r="A98" s="106"/>
      <c r="B98" s="105"/>
      <c r="C98" s="105"/>
      <c r="D98" s="105"/>
      <c r="E98" s="105"/>
      <c r="F98" s="105"/>
      <c r="H98" s="88">
        <v>93</v>
      </c>
      <c r="I98" s="89" t="str">
        <f t="shared" si="7"/>
        <v/>
      </c>
      <c r="J98" s="89">
        <f t="shared" si="8"/>
        <v>-2</v>
      </c>
      <c r="K98" s="88">
        <f t="shared" si="9"/>
        <v>-20</v>
      </c>
      <c r="L98" s="88"/>
      <c r="M98" s="90">
        <f t="shared" si="10"/>
        <v>0</v>
      </c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</row>
    <row r="99" spans="1:38" s="74" customFormat="1" x14ac:dyDescent="0.25">
      <c r="A99" s="106"/>
      <c r="B99" s="105"/>
      <c r="C99" s="105"/>
      <c r="D99" s="105"/>
      <c r="E99" s="105"/>
      <c r="F99" s="105"/>
      <c r="H99" s="88">
        <v>94</v>
      </c>
      <c r="I99" s="89" t="str">
        <f t="shared" si="7"/>
        <v/>
      </c>
      <c r="J99" s="89">
        <f t="shared" si="8"/>
        <v>-2</v>
      </c>
      <c r="K99" s="88">
        <f t="shared" si="9"/>
        <v>-20</v>
      </c>
      <c r="L99" s="88"/>
      <c r="M99" s="90">
        <f t="shared" si="10"/>
        <v>0</v>
      </c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</row>
    <row r="100" spans="1:38" s="74" customFormat="1" x14ac:dyDescent="0.25">
      <c r="A100" s="106"/>
      <c r="B100" s="105"/>
      <c r="C100" s="105"/>
      <c r="D100" s="105"/>
      <c r="E100" s="105"/>
      <c r="F100" s="105"/>
      <c r="H100" s="88">
        <v>95</v>
      </c>
      <c r="I100" s="89" t="str">
        <f t="shared" si="7"/>
        <v/>
      </c>
      <c r="J100" s="89">
        <f t="shared" si="8"/>
        <v>-2</v>
      </c>
      <c r="K100" s="88">
        <f t="shared" si="9"/>
        <v>-20</v>
      </c>
      <c r="L100" s="88"/>
      <c r="M100" s="90">
        <f t="shared" si="10"/>
        <v>0</v>
      </c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</row>
    <row r="101" spans="1:38" s="74" customFormat="1" x14ac:dyDescent="0.25">
      <c r="A101" s="106"/>
      <c r="B101" s="105"/>
      <c r="C101" s="105"/>
      <c r="D101" s="105"/>
      <c r="E101" s="105"/>
      <c r="F101" s="105"/>
      <c r="H101" s="88">
        <v>96</v>
      </c>
      <c r="I101" s="89" t="str">
        <f t="shared" si="7"/>
        <v/>
      </c>
      <c r="J101" s="89">
        <f t="shared" si="8"/>
        <v>-2</v>
      </c>
      <c r="K101" s="88">
        <f t="shared" si="9"/>
        <v>-20</v>
      </c>
      <c r="L101" s="88"/>
      <c r="M101" s="90">
        <f t="shared" si="10"/>
        <v>0</v>
      </c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</row>
    <row r="102" spans="1:38" s="74" customFormat="1" x14ac:dyDescent="0.25">
      <c r="A102" s="106"/>
      <c r="B102" s="105"/>
      <c r="C102" s="105"/>
      <c r="D102" s="105"/>
      <c r="E102" s="105"/>
      <c r="F102" s="105"/>
      <c r="H102" s="88">
        <v>97</v>
      </c>
      <c r="I102" s="89" t="str">
        <f t="shared" si="7"/>
        <v/>
      </c>
      <c r="J102" s="89">
        <f t="shared" si="8"/>
        <v>-2</v>
      </c>
      <c r="K102" s="88">
        <f t="shared" si="9"/>
        <v>-20</v>
      </c>
      <c r="L102" s="88"/>
      <c r="M102" s="90">
        <f t="shared" si="10"/>
        <v>0</v>
      </c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</row>
    <row r="103" spans="1:38" s="74" customFormat="1" x14ac:dyDescent="0.25">
      <c r="A103" s="106"/>
      <c r="B103" s="105"/>
      <c r="C103" s="105"/>
      <c r="D103" s="105"/>
      <c r="E103" s="105"/>
      <c r="F103" s="105"/>
      <c r="H103" s="88">
        <v>98</v>
      </c>
      <c r="I103" s="89" t="str">
        <f t="shared" si="7"/>
        <v/>
      </c>
      <c r="J103" s="89">
        <f t="shared" si="8"/>
        <v>-2</v>
      </c>
      <c r="K103" s="88">
        <f t="shared" si="9"/>
        <v>-20</v>
      </c>
      <c r="L103" s="88"/>
      <c r="M103" s="90">
        <f t="shared" si="10"/>
        <v>0</v>
      </c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</row>
    <row r="104" spans="1:38" s="74" customFormat="1" x14ac:dyDescent="0.25">
      <c r="A104" s="106"/>
      <c r="B104" s="105"/>
      <c r="C104" s="105"/>
      <c r="D104" s="105"/>
      <c r="E104" s="105"/>
      <c r="F104" s="105"/>
      <c r="H104" s="88">
        <v>99</v>
      </c>
      <c r="I104" s="89" t="str">
        <f t="shared" si="7"/>
        <v/>
      </c>
      <c r="J104" s="89">
        <f t="shared" si="8"/>
        <v>-2</v>
      </c>
      <c r="K104" s="88">
        <f t="shared" si="9"/>
        <v>-20</v>
      </c>
      <c r="L104" s="88"/>
      <c r="M104" s="90">
        <f t="shared" si="10"/>
        <v>0</v>
      </c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</row>
    <row r="105" spans="1:38" s="74" customFormat="1" x14ac:dyDescent="0.25">
      <c r="A105" s="106"/>
      <c r="B105" s="105"/>
      <c r="C105" s="105"/>
      <c r="D105" s="105"/>
      <c r="E105" s="105"/>
      <c r="F105" s="105"/>
      <c r="H105" s="88">
        <v>100</v>
      </c>
      <c r="I105" s="89" t="str">
        <f t="shared" si="7"/>
        <v/>
      </c>
      <c r="J105" s="89">
        <f t="shared" si="8"/>
        <v>-2</v>
      </c>
      <c r="K105" s="88">
        <f t="shared" si="9"/>
        <v>-20</v>
      </c>
      <c r="L105" s="88"/>
      <c r="M105" s="90">
        <f t="shared" si="10"/>
        <v>0</v>
      </c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</row>
    <row r="106" spans="1:38" s="74" customFormat="1" x14ac:dyDescent="0.25">
      <c r="A106" s="106"/>
      <c r="B106" s="105"/>
      <c r="C106" s="105"/>
      <c r="D106" s="105"/>
      <c r="E106" s="105"/>
      <c r="F106" s="105"/>
      <c r="H106" s="88">
        <v>101</v>
      </c>
      <c r="I106" s="89" t="str">
        <f t="shared" si="7"/>
        <v/>
      </c>
      <c r="J106" s="89">
        <f t="shared" si="8"/>
        <v>-2</v>
      </c>
      <c r="K106" s="88">
        <f t="shared" si="9"/>
        <v>-20</v>
      </c>
      <c r="L106" s="88"/>
      <c r="M106" s="90">
        <f t="shared" si="10"/>
        <v>0</v>
      </c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</row>
    <row r="107" spans="1:38" s="74" customFormat="1" x14ac:dyDescent="0.25">
      <c r="A107" s="106"/>
      <c r="B107" s="105"/>
      <c r="C107" s="105"/>
      <c r="D107" s="105"/>
      <c r="E107" s="105"/>
      <c r="F107" s="105"/>
      <c r="H107" s="88">
        <v>102</v>
      </c>
      <c r="I107" s="89" t="str">
        <f t="shared" si="7"/>
        <v/>
      </c>
      <c r="J107" s="89">
        <f t="shared" si="8"/>
        <v>-2</v>
      </c>
      <c r="K107" s="88">
        <f t="shared" si="9"/>
        <v>-20</v>
      </c>
      <c r="L107" s="88"/>
      <c r="M107" s="90">
        <f t="shared" si="10"/>
        <v>0</v>
      </c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</row>
    <row r="108" spans="1:38" s="74" customFormat="1" x14ac:dyDescent="0.25">
      <c r="A108" s="106"/>
      <c r="B108" s="105"/>
      <c r="C108" s="105"/>
      <c r="D108" s="105"/>
      <c r="E108" s="105"/>
      <c r="F108" s="105"/>
      <c r="H108" s="88">
        <v>103</v>
      </c>
      <c r="I108" s="89" t="str">
        <f t="shared" si="7"/>
        <v/>
      </c>
      <c r="J108" s="89">
        <f t="shared" si="8"/>
        <v>-2</v>
      </c>
      <c r="K108" s="88">
        <f t="shared" si="9"/>
        <v>-20</v>
      </c>
      <c r="L108" s="88"/>
      <c r="M108" s="90">
        <f t="shared" si="10"/>
        <v>0</v>
      </c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</row>
    <row r="109" spans="1:38" s="74" customFormat="1" x14ac:dyDescent="0.25">
      <c r="A109" s="106"/>
      <c r="B109" s="105"/>
      <c r="C109" s="105"/>
      <c r="D109" s="105"/>
      <c r="E109" s="105"/>
      <c r="F109" s="105"/>
      <c r="H109" s="88">
        <v>104</v>
      </c>
      <c r="I109" s="89" t="str">
        <f t="shared" si="7"/>
        <v/>
      </c>
      <c r="J109" s="89">
        <f t="shared" si="8"/>
        <v>-2</v>
      </c>
      <c r="K109" s="88">
        <f t="shared" si="9"/>
        <v>-20</v>
      </c>
      <c r="L109" s="88"/>
      <c r="M109" s="90">
        <f t="shared" si="10"/>
        <v>0</v>
      </c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</row>
    <row r="110" spans="1:38" s="74" customFormat="1" x14ac:dyDescent="0.25">
      <c r="A110" s="106"/>
      <c r="B110" s="105"/>
      <c r="C110" s="105"/>
      <c r="D110" s="105"/>
      <c r="E110" s="105"/>
      <c r="F110" s="105"/>
      <c r="H110" s="88">
        <v>105</v>
      </c>
      <c r="I110" s="89" t="str">
        <f t="shared" si="7"/>
        <v/>
      </c>
      <c r="J110" s="89">
        <f t="shared" si="8"/>
        <v>-2</v>
      </c>
      <c r="K110" s="88">
        <f t="shared" si="9"/>
        <v>-20</v>
      </c>
      <c r="L110" s="88"/>
      <c r="M110" s="90">
        <f t="shared" si="10"/>
        <v>0</v>
      </c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</row>
    <row r="111" spans="1:38" s="74" customFormat="1" x14ac:dyDescent="0.25">
      <c r="A111" s="106"/>
      <c r="B111" s="105"/>
      <c r="C111" s="105"/>
      <c r="D111" s="105"/>
      <c r="E111" s="105"/>
      <c r="F111" s="105"/>
      <c r="H111" s="88">
        <v>106</v>
      </c>
      <c r="I111" s="89" t="str">
        <f t="shared" si="7"/>
        <v/>
      </c>
      <c r="J111" s="89">
        <f t="shared" si="8"/>
        <v>-2</v>
      </c>
      <c r="K111" s="88">
        <f t="shared" si="9"/>
        <v>-20</v>
      </c>
      <c r="L111" s="88"/>
      <c r="M111" s="90">
        <f t="shared" si="10"/>
        <v>0</v>
      </c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</row>
    <row r="112" spans="1:38" s="74" customFormat="1" x14ac:dyDescent="0.25">
      <c r="A112" s="106"/>
      <c r="B112" s="105"/>
      <c r="C112" s="105"/>
      <c r="D112" s="105"/>
      <c r="E112" s="105"/>
      <c r="F112" s="105"/>
      <c r="H112" s="88">
        <v>107</v>
      </c>
      <c r="I112" s="89" t="str">
        <f t="shared" si="7"/>
        <v/>
      </c>
      <c r="J112" s="89">
        <f t="shared" si="8"/>
        <v>-2</v>
      </c>
      <c r="K112" s="88">
        <f t="shared" si="9"/>
        <v>-20</v>
      </c>
      <c r="L112" s="88"/>
      <c r="M112" s="90">
        <f t="shared" si="10"/>
        <v>0</v>
      </c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</row>
    <row r="113" spans="1:38" s="74" customFormat="1" x14ac:dyDescent="0.25">
      <c r="A113" s="106"/>
      <c r="B113" s="105"/>
      <c r="C113" s="105"/>
      <c r="D113" s="105"/>
      <c r="E113" s="105"/>
      <c r="F113" s="105"/>
      <c r="H113" s="88">
        <v>108</v>
      </c>
      <c r="I113" s="89" t="str">
        <f t="shared" si="7"/>
        <v/>
      </c>
      <c r="J113" s="89">
        <f t="shared" si="8"/>
        <v>-2</v>
      </c>
      <c r="K113" s="88">
        <f t="shared" si="9"/>
        <v>-20</v>
      </c>
      <c r="L113" s="88"/>
      <c r="M113" s="90">
        <f t="shared" si="10"/>
        <v>0</v>
      </c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</row>
    <row r="114" spans="1:38" s="74" customFormat="1" x14ac:dyDescent="0.25">
      <c r="A114" s="106"/>
      <c r="B114" s="105"/>
      <c r="C114" s="105"/>
      <c r="D114" s="105"/>
      <c r="E114" s="105"/>
      <c r="F114" s="105"/>
      <c r="H114" s="88">
        <v>109</v>
      </c>
      <c r="I114" s="89" t="str">
        <f t="shared" si="7"/>
        <v/>
      </c>
      <c r="J114" s="89">
        <f t="shared" si="8"/>
        <v>-2</v>
      </c>
      <c r="K114" s="88">
        <f t="shared" si="9"/>
        <v>-20</v>
      </c>
      <c r="L114" s="88"/>
      <c r="M114" s="90">
        <f t="shared" si="10"/>
        <v>0</v>
      </c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</row>
    <row r="115" spans="1:38" s="74" customFormat="1" x14ac:dyDescent="0.25">
      <c r="A115" s="106"/>
      <c r="B115" s="105"/>
      <c r="C115" s="105"/>
      <c r="D115" s="105"/>
      <c r="E115" s="105"/>
      <c r="F115" s="105"/>
      <c r="H115" s="88">
        <v>110</v>
      </c>
      <c r="I115" s="89" t="str">
        <f t="shared" si="7"/>
        <v/>
      </c>
      <c r="J115" s="89">
        <f t="shared" si="8"/>
        <v>-2</v>
      </c>
      <c r="K115" s="88">
        <f t="shared" si="9"/>
        <v>-20</v>
      </c>
      <c r="L115" s="88"/>
      <c r="M115" s="90">
        <f t="shared" si="10"/>
        <v>0</v>
      </c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</row>
    <row r="116" spans="1:38" s="74" customFormat="1" x14ac:dyDescent="0.25">
      <c r="A116" s="106"/>
      <c r="B116" s="105"/>
      <c r="C116" s="105"/>
      <c r="D116" s="105"/>
      <c r="E116" s="105"/>
      <c r="F116" s="105"/>
      <c r="H116" s="88">
        <v>111</v>
      </c>
      <c r="I116" s="89" t="str">
        <f t="shared" si="7"/>
        <v/>
      </c>
      <c r="J116" s="89">
        <f t="shared" si="8"/>
        <v>-2</v>
      </c>
      <c r="K116" s="88">
        <f t="shared" si="9"/>
        <v>-20</v>
      </c>
      <c r="L116" s="88"/>
      <c r="M116" s="90">
        <f t="shared" si="10"/>
        <v>0</v>
      </c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</row>
    <row r="117" spans="1:38" s="74" customFormat="1" x14ac:dyDescent="0.25">
      <c r="A117" s="106"/>
      <c r="B117" s="105"/>
      <c r="C117" s="105"/>
      <c r="D117" s="105"/>
      <c r="E117" s="105"/>
      <c r="F117" s="105"/>
      <c r="H117" s="88">
        <v>112</v>
      </c>
      <c r="I117" s="89" t="str">
        <f t="shared" si="7"/>
        <v/>
      </c>
      <c r="J117" s="89">
        <f t="shared" si="8"/>
        <v>-2</v>
      </c>
      <c r="K117" s="88">
        <f t="shared" si="9"/>
        <v>-20</v>
      </c>
      <c r="L117" s="88"/>
      <c r="M117" s="90">
        <f t="shared" si="10"/>
        <v>0</v>
      </c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</row>
    <row r="118" spans="1:38" s="74" customFormat="1" x14ac:dyDescent="0.25">
      <c r="A118" s="106"/>
      <c r="B118" s="105"/>
      <c r="C118" s="105"/>
      <c r="D118" s="105"/>
      <c r="E118" s="105"/>
      <c r="F118" s="105"/>
      <c r="H118" s="88">
        <v>113</v>
      </c>
      <c r="I118" s="89" t="str">
        <f t="shared" si="7"/>
        <v/>
      </c>
      <c r="J118" s="89">
        <f t="shared" si="8"/>
        <v>-2</v>
      </c>
      <c r="K118" s="88">
        <f t="shared" si="9"/>
        <v>-20</v>
      </c>
      <c r="L118" s="88"/>
      <c r="M118" s="90">
        <f t="shared" si="10"/>
        <v>0</v>
      </c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</row>
    <row r="119" spans="1:38" s="74" customFormat="1" x14ac:dyDescent="0.25">
      <c r="A119" s="106"/>
      <c r="B119" s="105"/>
      <c r="C119" s="105"/>
      <c r="D119" s="105"/>
      <c r="E119" s="105"/>
      <c r="F119" s="105"/>
      <c r="H119" s="88">
        <v>114</v>
      </c>
      <c r="I119" s="89" t="str">
        <f t="shared" si="7"/>
        <v/>
      </c>
      <c r="J119" s="89">
        <f t="shared" si="8"/>
        <v>-2</v>
      </c>
      <c r="K119" s="88">
        <f t="shared" si="9"/>
        <v>-20</v>
      </c>
      <c r="L119" s="88"/>
      <c r="M119" s="90">
        <f t="shared" si="10"/>
        <v>0</v>
      </c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</row>
    <row r="120" spans="1:38" s="74" customFormat="1" x14ac:dyDescent="0.25">
      <c r="A120" s="106"/>
      <c r="B120" s="105"/>
      <c r="C120" s="105"/>
      <c r="D120" s="105"/>
      <c r="E120" s="105"/>
      <c r="F120" s="105"/>
      <c r="H120" s="88">
        <v>115</v>
      </c>
      <c r="I120" s="89" t="str">
        <f t="shared" si="7"/>
        <v/>
      </c>
      <c r="J120" s="89">
        <f t="shared" si="8"/>
        <v>-2</v>
      </c>
      <c r="K120" s="88">
        <f t="shared" si="9"/>
        <v>-20</v>
      </c>
      <c r="L120" s="88"/>
      <c r="M120" s="90">
        <f t="shared" si="10"/>
        <v>0</v>
      </c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</row>
    <row r="121" spans="1:38" s="74" customFormat="1" x14ac:dyDescent="0.25">
      <c r="A121" s="106"/>
      <c r="B121" s="105"/>
      <c r="C121" s="105"/>
      <c r="D121" s="105"/>
      <c r="E121" s="105"/>
      <c r="F121" s="105"/>
      <c r="H121" s="88">
        <v>116</v>
      </c>
      <c r="I121" s="89" t="str">
        <f t="shared" si="7"/>
        <v/>
      </c>
      <c r="J121" s="89">
        <f t="shared" si="8"/>
        <v>-2</v>
      </c>
      <c r="K121" s="88">
        <f t="shared" si="9"/>
        <v>-20</v>
      </c>
      <c r="L121" s="88"/>
      <c r="M121" s="90">
        <f t="shared" si="10"/>
        <v>0</v>
      </c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</row>
    <row r="122" spans="1:38" s="74" customFormat="1" x14ac:dyDescent="0.25">
      <c r="A122" s="106"/>
      <c r="B122" s="105"/>
      <c r="C122" s="105"/>
      <c r="D122" s="105"/>
      <c r="E122" s="105"/>
      <c r="F122" s="105"/>
      <c r="H122" s="88">
        <v>117</v>
      </c>
      <c r="I122" s="89" t="str">
        <f t="shared" si="7"/>
        <v/>
      </c>
      <c r="J122" s="89">
        <f t="shared" si="8"/>
        <v>-2</v>
      </c>
      <c r="K122" s="88">
        <f t="shared" si="9"/>
        <v>-20</v>
      </c>
      <c r="L122" s="88"/>
      <c r="M122" s="90">
        <f t="shared" si="10"/>
        <v>0</v>
      </c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</row>
    <row r="123" spans="1:38" s="74" customFormat="1" x14ac:dyDescent="0.25">
      <c r="A123" s="106"/>
      <c r="B123" s="105"/>
      <c r="C123" s="105"/>
      <c r="D123" s="105"/>
      <c r="E123" s="105"/>
      <c r="F123" s="105"/>
      <c r="H123" s="88">
        <v>118</v>
      </c>
      <c r="I123" s="89" t="str">
        <f t="shared" si="7"/>
        <v/>
      </c>
      <c r="J123" s="89">
        <f t="shared" si="8"/>
        <v>-2</v>
      </c>
      <c r="K123" s="88">
        <f t="shared" si="9"/>
        <v>-20</v>
      </c>
      <c r="L123" s="88"/>
      <c r="M123" s="90">
        <f t="shared" si="10"/>
        <v>0</v>
      </c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</row>
    <row r="124" spans="1:38" s="74" customFormat="1" x14ac:dyDescent="0.25">
      <c r="A124" s="106"/>
      <c r="B124" s="105"/>
      <c r="C124" s="105"/>
      <c r="D124" s="105"/>
      <c r="E124" s="105"/>
      <c r="F124" s="105"/>
      <c r="H124" s="88">
        <v>119</v>
      </c>
      <c r="I124" s="89" t="str">
        <f t="shared" si="7"/>
        <v/>
      </c>
      <c r="J124" s="89">
        <f t="shared" si="8"/>
        <v>-2</v>
      </c>
      <c r="K124" s="88">
        <f t="shared" si="9"/>
        <v>-20</v>
      </c>
      <c r="L124" s="88"/>
      <c r="M124" s="90">
        <f t="shared" si="10"/>
        <v>0</v>
      </c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</row>
    <row r="125" spans="1:38" s="74" customFormat="1" x14ac:dyDescent="0.25">
      <c r="A125" s="106"/>
      <c r="B125" s="105"/>
      <c r="C125" s="105"/>
      <c r="D125" s="105"/>
      <c r="E125" s="105"/>
      <c r="F125" s="105"/>
      <c r="H125" s="88">
        <v>120</v>
      </c>
      <c r="I125" s="89" t="str">
        <f t="shared" si="7"/>
        <v/>
      </c>
      <c r="J125" s="89">
        <f t="shared" si="8"/>
        <v>-2</v>
      </c>
      <c r="K125" s="88">
        <f t="shared" si="9"/>
        <v>-20</v>
      </c>
      <c r="L125" s="88"/>
      <c r="M125" s="90">
        <f t="shared" si="10"/>
        <v>0</v>
      </c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</row>
    <row r="126" spans="1:38" s="74" customFormat="1" x14ac:dyDescent="0.25">
      <c r="A126" s="106"/>
      <c r="B126" s="105"/>
      <c r="C126" s="105"/>
      <c r="D126" s="105"/>
      <c r="E126" s="105"/>
      <c r="F126" s="105"/>
      <c r="H126" s="88">
        <v>121</v>
      </c>
      <c r="I126" s="89" t="str">
        <f t="shared" si="7"/>
        <v/>
      </c>
      <c r="J126" s="89">
        <f t="shared" si="8"/>
        <v>-2</v>
      </c>
      <c r="K126" s="88">
        <f t="shared" si="9"/>
        <v>-20</v>
      </c>
      <c r="L126" s="88"/>
      <c r="M126" s="90">
        <f t="shared" si="10"/>
        <v>0</v>
      </c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</row>
    <row r="127" spans="1:38" s="74" customFormat="1" x14ac:dyDescent="0.25">
      <c r="A127" s="106"/>
      <c r="B127" s="105"/>
      <c r="C127" s="105"/>
      <c r="D127" s="105"/>
      <c r="E127" s="105"/>
      <c r="F127" s="105"/>
      <c r="H127" s="88">
        <v>122</v>
      </c>
      <c r="I127" s="89" t="str">
        <f t="shared" si="7"/>
        <v/>
      </c>
      <c r="J127" s="89">
        <f t="shared" si="8"/>
        <v>-2</v>
      </c>
      <c r="K127" s="88">
        <f t="shared" si="9"/>
        <v>-20</v>
      </c>
      <c r="L127" s="88"/>
      <c r="M127" s="90">
        <f t="shared" si="10"/>
        <v>0</v>
      </c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</row>
    <row r="128" spans="1:38" s="74" customFormat="1" x14ac:dyDescent="0.25">
      <c r="A128" s="106"/>
      <c r="B128" s="105"/>
      <c r="C128" s="105"/>
      <c r="D128" s="105"/>
      <c r="E128" s="105"/>
      <c r="F128" s="105"/>
      <c r="H128" s="88">
        <v>123</v>
      </c>
      <c r="I128" s="89" t="str">
        <f t="shared" si="7"/>
        <v/>
      </c>
      <c r="J128" s="89">
        <f t="shared" si="8"/>
        <v>-2</v>
      </c>
      <c r="K128" s="88">
        <f t="shared" si="9"/>
        <v>-20</v>
      </c>
      <c r="L128" s="88"/>
      <c r="M128" s="90">
        <f t="shared" si="10"/>
        <v>0</v>
      </c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</row>
    <row r="129" spans="1:38" s="74" customFormat="1" x14ac:dyDescent="0.25">
      <c r="A129" s="106"/>
      <c r="B129" s="105"/>
      <c r="C129" s="105"/>
      <c r="D129" s="105"/>
      <c r="E129" s="105"/>
      <c r="F129" s="105"/>
      <c r="H129" s="88">
        <v>124</v>
      </c>
      <c r="I129" s="89" t="str">
        <f t="shared" si="7"/>
        <v/>
      </c>
      <c r="J129" s="89">
        <f t="shared" si="8"/>
        <v>-2</v>
      </c>
      <c r="K129" s="88">
        <f t="shared" si="9"/>
        <v>-20</v>
      </c>
      <c r="L129" s="88"/>
      <c r="M129" s="90">
        <f t="shared" si="10"/>
        <v>0</v>
      </c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</row>
    <row r="130" spans="1:38" s="74" customFormat="1" x14ac:dyDescent="0.25">
      <c r="A130" s="106"/>
      <c r="B130" s="105"/>
      <c r="C130" s="105"/>
      <c r="D130" s="105"/>
      <c r="E130" s="105"/>
      <c r="F130" s="105"/>
      <c r="H130" s="88">
        <v>125</v>
      </c>
      <c r="I130" s="89" t="str">
        <f t="shared" si="7"/>
        <v/>
      </c>
      <c r="J130" s="89">
        <f t="shared" si="8"/>
        <v>-2</v>
      </c>
      <c r="K130" s="88">
        <f t="shared" si="9"/>
        <v>-20</v>
      </c>
      <c r="L130" s="88"/>
      <c r="M130" s="90">
        <f t="shared" si="10"/>
        <v>0</v>
      </c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</row>
    <row r="131" spans="1:38" s="74" customFormat="1" x14ac:dyDescent="0.25">
      <c r="A131" s="106"/>
      <c r="B131" s="105"/>
      <c r="C131" s="105"/>
      <c r="D131" s="105"/>
      <c r="E131" s="105"/>
      <c r="F131" s="105"/>
      <c r="H131" s="88">
        <v>126</v>
      </c>
      <c r="I131" s="89" t="str">
        <f t="shared" si="7"/>
        <v/>
      </c>
      <c r="J131" s="89">
        <f t="shared" si="8"/>
        <v>-2</v>
      </c>
      <c r="K131" s="88">
        <f t="shared" si="9"/>
        <v>-20</v>
      </c>
      <c r="L131" s="88"/>
      <c r="M131" s="90">
        <f t="shared" si="10"/>
        <v>0</v>
      </c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</row>
    <row r="132" spans="1:38" s="74" customFormat="1" x14ac:dyDescent="0.25">
      <c r="A132" s="106"/>
      <c r="B132" s="105"/>
      <c r="C132" s="105"/>
      <c r="D132" s="105"/>
      <c r="E132" s="105"/>
      <c r="F132" s="105"/>
      <c r="H132" s="88">
        <v>127</v>
      </c>
      <c r="I132" s="89" t="str">
        <f t="shared" si="7"/>
        <v/>
      </c>
      <c r="J132" s="89">
        <f t="shared" si="8"/>
        <v>-2</v>
      </c>
      <c r="K132" s="88">
        <f t="shared" si="9"/>
        <v>-20</v>
      </c>
      <c r="L132" s="88"/>
      <c r="M132" s="90">
        <f t="shared" si="10"/>
        <v>0</v>
      </c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</row>
    <row r="133" spans="1:38" s="74" customFormat="1" x14ac:dyDescent="0.25">
      <c r="A133" s="106"/>
      <c r="B133" s="105"/>
      <c r="C133" s="105"/>
      <c r="D133" s="105"/>
      <c r="E133" s="105"/>
      <c r="F133" s="105"/>
      <c r="H133" s="88">
        <v>128</v>
      </c>
      <c r="I133" s="89" t="str">
        <f t="shared" si="7"/>
        <v/>
      </c>
      <c r="J133" s="89">
        <f t="shared" si="8"/>
        <v>-2</v>
      </c>
      <c r="K133" s="88">
        <f t="shared" si="9"/>
        <v>-20</v>
      </c>
      <c r="L133" s="88"/>
      <c r="M133" s="90">
        <f t="shared" si="10"/>
        <v>0</v>
      </c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</row>
    <row r="134" spans="1:38" s="74" customFormat="1" x14ac:dyDescent="0.25">
      <c r="A134" s="106"/>
      <c r="B134" s="105"/>
      <c r="C134" s="105"/>
      <c r="D134" s="105"/>
      <c r="E134" s="105"/>
      <c r="F134" s="105"/>
      <c r="H134" s="88">
        <v>129</v>
      </c>
      <c r="I134" s="89" t="str">
        <f t="shared" ref="I134:I197" si="11">IF(H134&lt;$H$2+1,($I$2-($I$2-1)*(LOG(H134)/LOG($H$2))),"")</f>
        <v/>
      </c>
      <c r="J134" s="89">
        <f t="shared" ref="J134:J197" si="12">INT(LOG($H$2,2))-ROUNDUP(LOG(H134,2),0)+IF(OR($H$2=1,$H$2=2,$H$2=4,$H$2=8,$H$2=16,$H$2=32,$H$2=64,$H$2=128,$H$2=256),0,1)</f>
        <v>-3</v>
      </c>
      <c r="K134" s="88">
        <f t="shared" ref="K134:K197" si="13">J134*$J$2</f>
        <v>-30</v>
      </c>
      <c r="L134" s="88"/>
      <c r="M134" s="90">
        <f t="shared" ref="M134:M197" si="14">IF(I134&lt;&gt;"",K134+I134+L134,0)</f>
        <v>0</v>
      </c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</row>
    <row r="135" spans="1:38" s="74" customFormat="1" x14ac:dyDescent="0.25">
      <c r="A135" s="106"/>
      <c r="B135" s="105"/>
      <c r="C135" s="105"/>
      <c r="D135" s="105"/>
      <c r="E135" s="105"/>
      <c r="F135" s="105"/>
      <c r="H135" s="88">
        <v>130</v>
      </c>
      <c r="I135" s="89" t="str">
        <f t="shared" si="11"/>
        <v/>
      </c>
      <c r="J135" s="89">
        <f t="shared" si="12"/>
        <v>-3</v>
      </c>
      <c r="K135" s="88">
        <f t="shared" si="13"/>
        <v>-30</v>
      </c>
      <c r="L135" s="88"/>
      <c r="M135" s="90">
        <f t="shared" si="14"/>
        <v>0</v>
      </c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</row>
    <row r="136" spans="1:38" s="74" customFormat="1" x14ac:dyDescent="0.25">
      <c r="A136" s="106"/>
      <c r="B136" s="105"/>
      <c r="C136" s="105"/>
      <c r="D136" s="105"/>
      <c r="E136" s="105"/>
      <c r="F136" s="105"/>
      <c r="H136" s="88">
        <v>131</v>
      </c>
      <c r="I136" s="89" t="str">
        <f t="shared" si="11"/>
        <v/>
      </c>
      <c r="J136" s="89">
        <f t="shared" si="12"/>
        <v>-3</v>
      </c>
      <c r="K136" s="88">
        <f t="shared" si="13"/>
        <v>-30</v>
      </c>
      <c r="L136" s="88"/>
      <c r="M136" s="90">
        <f t="shared" si="14"/>
        <v>0</v>
      </c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</row>
    <row r="137" spans="1:38" s="74" customFormat="1" x14ac:dyDescent="0.25">
      <c r="A137" s="106"/>
      <c r="B137" s="105"/>
      <c r="C137" s="105"/>
      <c r="D137" s="105"/>
      <c r="E137" s="105"/>
      <c r="F137" s="105"/>
      <c r="H137" s="88">
        <v>132</v>
      </c>
      <c r="I137" s="89" t="str">
        <f t="shared" si="11"/>
        <v/>
      </c>
      <c r="J137" s="89">
        <f t="shared" si="12"/>
        <v>-3</v>
      </c>
      <c r="K137" s="88">
        <f t="shared" si="13"/>
        <v>-30</v>
      </c>
      <c r="L137" s="88"/>
      <c r="M137" s="90">
        <f t="shared" si="14"/>
        <v>0</v>
      </c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</row>
    <row r="138" spans="1:38" s="74" customFormat="1" x14ac:dyDescent="0.25">
      <c r="A138" s="106"/>
      <c r="B138" s="105"/>
      <c r="C138" s="105"/>
      <c r="D138" s="105"/>
      <c r="E138" s="105"/>
      <c r="F138" s="105"/>
      <c r="H138" s="88">
        <v>133</v>
      </c>
      <c r="I138" s="89" t="str">
        <f t="shared" si="11"/>
        <v/>
      </c>
      <c r="J138" s="89">
        <f t="shared" si="12"/>
        <v>-3</v>
      </c>
      <c r="K138" s="88">
        <f t="shared" si="13"/>
        <v>-30</v>
      </c>
      <c r="L138" s="88"/>
      <c r="M138" s="90">
        <f t="shared" si="14"/>
        <v>0</v>
      </c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</row>
    <row r="139" spans="1:38" s="74" customFormat="1" x14ac:dyDescent="0.25">
      <c r="A139" s="106"/>
      <c r="B139" s="105"/>
      <c r="C139" s="105"/>
      <c r="D139" s="105"/>
      <c r="E139" s="105"/>
      <c r="F139" s="105"/>
      <c r="H139" s="88">
        <v>134</v>
      </c>
      <c r="I139" s="89" t="str">
        <f t="shared" si="11"/>
        <v/>
      </c>
      <c r="J139" s="89">
        <f t="shared" si="12"/>
        <v>-3</v>
      </c>
      <c r="K139" s="88">
        <f t="shared" si="13"/>
        <v>-30</v>
      </c>
      <c r="L139" s="88"/>
      <c r="M139" s="90">
        <f t="shared" si="14"/>
        <v>0</v>
      </c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</row>
    <row r="140" spans="1:38" s="74" customFormat="1" x14ac:dyDescent="0.25">
      <c r="A140" s="106"/>
      <c r="B140" s="105"/>
      <c r="C140" s="105"/>
      <c r="D140" s="105"/>
      <c r="E140" s="105"/>
      <c r="F140" s="105"/>
      <c r="H140" s="88">
        <v>135</v>
      </c>
      <c r="I140" s="89" t="str">
        <f t="shared" si="11"/>
        <v/>
      </c>
      <c r="J140" s="89">
        <f t="shared" si="12"/>
        <v>-3</v>
      </c>
      <c r="K140" s="88">
        <f t="shared" si="13"/>
        <v>-30</v>
      </c>
      <c r="L140" s="88"/>
      <c r="M140" s="90">
        <f t="shared" si="14"/>
        <v>0</v>
      </c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</row>
    <row r="141" spans="1:38" s="74" customFormat="1" x14ac:dyDescent="0.25">
      <c r="A141" s="106"/>
      <c r="B141" s="105"/>
      <c r="C141" s="105"/>
      <c r="D141" s="105"/>
      <c r="E141" s="105"/>
      <c r="F141" s="105"/>
      <c r="H141" s="88">
        <v>136</v>
      </c>
      <c r="I141" s="89" t="str">
        <f t="shared" si="11"/>
        <v/>
      </c>
      <c r="J141" s="89">
        <f t="shared" si="12"/>
        <v>-3</v>
      </c>
      <c r="K141" s="88">
        <f t="shared" si="13"/>
        <v>-30</v>
      </c>
      <c r="L141" s="88"/>
      <c r="M141" s="90">
        <f t="shared" si="14"/>
        <v>0</v>
      </c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</row>
    <row r="142" spans="1:38" s="74" customFormat="1" x14ac:dyDescent="0.25">
      <c r="A142" s="106"/>
      <c r="B142" s="105"/>
      <c r="C142" s="105"/>
      <c r="D142" s="105"/>
      <c r="E142" s="105"/>
      <c r="F142" s="105"/>
      <c r="H142" s="88">
        <v>137</v>
      </c>
      <c r="I142" s="89" t="str">
        <f t="shared" si="11"/>
        <v/>
      </c>
      <c r="J142" s="89">
        <f t="shared" si="12"/>
        <v>-3</v>
      </c>
      <c r="K142" s="88">
        <f t="shared" si="13"/>
        <v>-30</v>
      </c>
      <c r="L142" s="88"/>
      <c r="M142" s="90">
        <f t="shared" si="14"/>
        <v>0</v>
      </c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</row>
    <row r="143" spans="1:38" s="74" customFormat="1" x14ac:dyDescent="0.25">
      <c r="A143" s="106"/>
      <c r="B143" s="105"/>
      <c r="C143" s="105"/>
      <c r="D143" s="105"/>
      <c r="E143" s="105"/>
      <c r="F143" s="105"/>
      <c r="H143" s="88">
        <v>138</v>
      </c>
      <c r="I143" s="89" t="str">
        <f t="shared" si="11"/>
        <v/>
      </c>
      <c r="J143" s="89">
        <f t="shared" si="12"/>
        <v>-3</v>
      </c>
      <c r="K143" s="88">
        <f t="shared" si="13"/>
        <v>-30</v>
      </c>
      <c r="L143" s="88"/>
      <c r="M143" s="90">
        <f t="shared" si="14"/>
        <v>0</v>
      </c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</row>
    <row r="144" spans="1:38" s="74" customFormat="1" x14ac:dyDescent="0.25">
      <c r="A144" s="106"/>
      <c r="B144" s="105"/>
      <c r="C144" s="105"/>
      <c r="D144" s="105"/>
      <c r="E144" s="105"/>
      <c r="F144" s="105"/>
      <c r="H144" s="88">
        <v>139</v>
      </c>
      <c r="I144" s="89" t="str">
        <f t="shared" si="11"/>
        <v/>
      </c>
      <c r="J144" s="89">
        <f t="shared" si="12"/>
        <v>-3</v>
      </c>
      <c r="K144" s="88">
        <f t="shared" si="13"/>
        <v>-30</v>
      </c>
      <c r="L144" s="88"/>
      <c r="M144" s="90">
        <f t="shared" si="14"/>
        <v>0</v>
      </c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</row>
    <row r="145" spans="1:38" s="74" customFormat="1" x14ac:dyDescent="0.25">
      <c r="A145" s="106"/>
      <c r="B145" s="105"/>
      <c r="C145" s="105"/>
      <c r="D145" s="105"/>
      <c r="E145" s="105"/>
      <c r="F145" s="105"/>
      <c r="H145" s="88">
        <v>140</v>
      </c>
      <c r="I145" s="89" t="str">
        <f t="shared" si="11"/>
        <v/>
      </c>
      <c r="J145" s="89">
        <f t="shared" si="12"/>
        <v>-3</v>
      </c>
      <c r="K145" s="88">
        <f t="shared" si="13"/>
        <v>-30</v>
      </c>
      <c r="L145" s="88"/>
      <c r="M145" s="90">
        <f t="shared" si="14"/>
        <v>0</v>
      </c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</row>
    <row r="146" spans="1:38" s="74" customFormat="1" x14ac:dyDescent="0.25">
      <c r="A146" s="106"/>
      <c r="B146" s="105"/>
      <c r="C146" s="105"/>
      <c r="D146" s="105"/>
      <c r="E146" s="105"/>
      <c r="F146" s="105"/>
      <c r="H146" s="88">
        <v>141</v>
      </c>
      <c r="I146" s="89" t="str">
        <f t="shared" si="11"/>
        <v/>
      </c>
      <c r="J146" s="89">
        <f t="shared" si="12"/>
        <v>-3</v>
      </c>
      <c r="K146" s="88">
        <f t="shared" si="13"/>
        <v>-30</v>
      </c>
      <c r="L146" s="88"/>
      <c r="M146" s="90">
        <f t="shared" si="14"/>
        <v>0</v>
      </c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</row>
    <row r="147" spans="1:38" s="74" customFormat="1" x14ac:dyDescent="0.25">
      <c r="A147" s="106"/>
      <c r="B147" s="105"/>
      <c r="C147" s="105"/>
      <c r="D147" s="105"/>
      <c r="E147" s="105"/>
      <c r="F147" s="105"/>
      <c r="H147" s="88">
        <v>142</v>
      </c>
      <c r="I147" s="89" t="str">
        <f t="shared" si="11"/>
        <v/>
      </c>
      <c r="J147" s="89">
        <f t="shared" si="12"/>
        <v>-3</v>
      </c>
      <c r="K147" s="88">
        <f t="shared" si="13"/>
        <v>-30</v>
      </c>
      <c r="L147" s="88"/>
      <c r="M147" s="90">
        <f t="shared" si="14"/>
        <v>0</v>
      </c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</row>
    <row r="148" spans="1:38" s="74" customFormat="1" x14ac:dyDescent="0.25">
      <c r="A148" s="106"/>
      <c r="B148" s="105"/>
      <c r="C148" s="105"/>
      <c r="D148" s="105"/>
      <c r="E148" s="105"/>
      <c r="F148" s="105"/>
      <c r="H148" s="88">
        <v>143</v>
      </c>
      <c r="I148" s="89" t="str">
        <f t="shared" si="11"/>
        <v/>
      </c>
      <c r="J148" s="89">
        <f t="shared" si="12"/>
        <v>-3</v>
      </c>
      <c r="K148" s="88">
        <f t="shared" si="13"/>
        <v>-30</v>
      </c>
      <c r="L148" s="88"/>
      <c r="M148" s="90">
        <f t="shared" si="14"/>
        <v>0</v>
      </c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</row>
    <row r="149" spans="1:38" s="74" customFormat="1" x14ac:dyDescent="0.25">
      <c r="A149" s="106"/>
      <c r="B149" s="105"/>
      <c r="C149" s="105"/>
      <c r="D149" s="105"/>
      <c r="E149" s="105"/>
      <c r="F149" s="105"/>
      <c r="H149" s="88">
        <v>144</v>
      </c>
      <c r="I149" s="89" t="str">
        <f t="shared" si="11"/>
        <v/>
      </c>
      <c r="J149" s="89">
        <f t="shared" si="12"/>
        <v>-3</v>
      </c>
      <c r="K149" s="88">
        <f t="shared" si="13"/>
        <v>-30</v>
      </c>
      <c r="L149" s="88"/>
      <c r="M149" s="90">
        <f t="shared" si="14"/>
        <v>0</v>
      </c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</row>
    <row r="150" spans="1:38" s="74" customFormat="1" x14ac:dyDescent="0.25">
      <c r="A150" s="106"/>
      <c r="B150" s="105"/>
      <c r="C150" s="105"/>
      <c r="D150" s="105"/>
      <c r="E150" s="105"/>
      <c r="F150" s="105"/>
      <c r="H150" s="88">
        <v>145</v>
      </c>
      <c r="I150" s="89" t="str">
        <f t="shared" si="11"/>
        <v/>
      </c>
      <c r="J150" s="89">
        <f t="shared" si="12"/>
        <v>-3</v>
      </c>
      <c r="K150" s="88">
        <f t="shared" si="13"/>
        <v>-30</v>
      </c>
      <c r="L150" s="88"/>
      <c r="M150" s="90">
        <f t="shared" si="14"/>
        <v>0</v>
      </c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</row>
    <row r="151" spans="1:38" s="74" customFormat="1" x14ac:dyDescent="0.25">
      <c r="A151" s="106"/>
      <c r="B151" s="105"/>
      <c r="C151" s="105"/>
      <c r="D151" s="105"/>
      <c r="E151" s="105"/>
      <c r="F151" s="105"/>
      <c r="H151" s="88">
        <v>146</v>
      </c>
      <c r="I151" s="89" t="str">
        <f t="shared" si="11"/>
        <v/>
      </c>
      <c r="J151" s="89">
        <f t="shared" si="12"/>
        <v>-3</v>
      </c>
      <c r="K151" s="88">
        <f t="shared" si="13"/>
        <v>-30</v>
      </c>
      <c r="L151" s="88"/>
      <c r="M151" s="90">
        <f t="shared" si="14"/>
        <v>0</v>
      </c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</row>
    <row r="152" spans="1:38" s="74" customFormat="1" x14ac:dyDescent="0.25">
      <c r="A152" s="106"/>
      <c r="B152" s="105"/>
      <c r="C152" s="105"/>
      <c r="D152" s="105"/>
      <c r="E152" s="105"/>
      <c r="F152" s="105"/>
      <c r="H152" s="88">
        <v>147</v>
      </c>
      <c r="I152" s="89" t="str">
        <f t="shared" si="11"/>
        <v/>
      </c>
      <c r="J152" s="89">
        <f t="shared" si="12"/>
        <v>-3</v>
      </c>
      <c r="K152" s="88">
        <f t="shared" si="13"/>
        <v>-30</v>
      </c>
      <c r="L152" s="88"/>
      <c r="M152" s="90">
        <f t="shared" si="14"/>
        <v>0</v>
      </c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</row>
    <row r="153" spans="1:38" s="74" customFormat="1" x14ac:dyDescent="0.25">
      <c r="A153" s="106"/>
      <c r="B153" s="105"/>
      <c r="C153" s="105"/>
      <c r="D153" s="105"/>
      <c r="E153" s="105"/>
      <c r="F153" s="105"/>
      <c r="H153" s="88">
        <v>148</v>
      </c>
      <c r="I153" s="89" t="str">
        <f t="shared" si="11"/>
        <v/>
      </c>
      <c r="J153" s="89">
        <f t="shared" si="12"/>
        <v>-3</v>
      </c>
      <c r="K153" s="88">
        <f t="shared" si="13"/>
        <v>-30</v>
      </c>
      <c r="L153" s="88"/>
      <c r="M153" s="90">
        <f t="shared" si="14"/>
        <v>0</v>
      </c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</row>
    <row r="154" spans="1:38" s="74" customFormat="1" x14ac:dyDescent="0.25">
      <c r="A154" s="106"/>
      <c r="B154" s="105"/>
      <c r="C154" s="105"/>
      <c r="D154" s="105"/>
      <c r="E154" s="105"/>
      <c r="F154" s="105"/>
      <c r="H154" s="88">
        <v>149</v>
      </c>
      <c r="I154" s="89" t="str">
        <f t="shared" si="11"/>
        <v/>
      </c>
      <c r="J154" s="89">
        <f t="shared" si="12"/>
        <v>-3</v>
      </c>
      <c r="K154" s="88">
        <f t="shared" si="13"/>
        <v>-30</v>
      </c>
      <c r="L154" s="88"/>
      <c r="M154" s="90">
        <f t="shared" si="14"/>
        <v>0</v>
      </c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</row>
    <row r="155" spans="1:38" s="74" customFormat="1" x14ac:dyDescent="0.25">
      <c r="A155" s="106"/>
      <c r="B155" s="105"/>
      <c r="C155" s="105"/>
      <c r="D155" s="105"/>
      <c r="E155" s="105"/>
      <c r="F155" s="105"/>
      <c r="H155" s="88">
        <v>150</v>
      </c>
      <c r="I155" s="89" t="str">
        <f t="shared" si="11"/>
        <v/>
      </c>
      <c r="J155" s="89">
        <f t="shared" si="12"/>
        <v>-3</v>
      </c>
      <c r="K155" s="88">
        <f t="shared" si="13"/>
        <v>-30</v>
      </c>
      <c r="L155" s="88"/>
      <c r="M155" s="90">
        <f t="shared" si="14"/>
        <v>0</v>
      </c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</row>
    <row r="156" spans="1:38" s="74" customFormat="1" x14ac:dyDescent="0.25">
      <c r="A156" s="106"/>
      <c r="B156" s="105"/>
      <c r="C156" s="105"/>
      <c r="D156" s="105"/>
      <c r="E156" s="105"/>
      <c r="F156" s="105"/>
      <c r="H156" s="88">
        <v>151</v>
      </c>
      <c r="I156" s="89" t="str">
        <f t="shared" si="11"/>
        <v/>
      </c>
      <c r="J156" s="89">
        <f t="shared" si="12"/>
        <v>-3</v>
      </c>
      <c r="K156" s="88">
        <f t="shared" si="13"/>
        <v>-30</v>
      </c>
      <c r="L156" s="88"/>
      <c r="M156" s="90">
        <f t="shared" si="14"/>
        <v>0</v>
      </c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</row>
    <row r="157" spans="1:38" s="74" customFormat="1" x14ac:dyDescent="0.25">
      <c r="A157" s="106"/>
      <c r="B157" s="105"/>
      <c r="C157" s="105"/>
      <c r="D157" s="105"/>
      <c r="E157" s="105"/>
      <c r="F157" s="105"/>
      <c r="H157" s="88">
        <v>152</v>
      </c>
      <c r="I157" s="89" t="str">
        <f t="shared" si="11"/>
        <v/>
      </c>
      <c r="J157" s="89">
        <f t="shared" si="12"/>
        <v>-3</v>
      </c>
      <c r="K157" s="88">
        <f t="shared" si="13"/>
        <v>-30</v>
      </c>
      <c r="L157" s="88"/>
      <c r="M157" s="90">
        <f t="shared" si="14"/>
        <v>0</v>
      </c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</row>
    <row r="158" spans="1:38" s="74" customFormat="1" x14ac:dyDescent="0.25">
      <c r="A158" s="106"/>
      <c r="B158" s="105"/>
      <c r="C158" s="105"/>
      <c r="D158" s="105"/>
      <c r="E158" s="105"/>
      <c r="F158" s="105"/>
      <c r="H158" s="88">
        <v>153</v>
      </c>
      <c r="I158" s="89" t="str">
        <f t="shared" si="11"/>
        <v/>
      </c>
      <c r="J158" s="89">
        <f t="shared" si="12"/>
        <v>-3</v>
      </c>
      <c r="K158" s="88">
        <f t="shared" si="13"/>
        <v>-30</v>
      </c>
      <c r="L158" s="88"/>
      <c r="M158" s="90">
        <f t="shared" si="14"/>
        <v>0</v>
      </c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</row>
    <row r="159" spans="1:38" s="74" customFormat="1" x14ac:dyDescent="0.25">
      <c r="A159" s="106"/>
      <c r="B159" s="105"/>
      <c r="C159" s="105"/>
      <c r="D159" s="105"/>
      <c r="E159" s="105"/>
      <c r="F159" s="105"/>
      <c r="H159" s="88">
        <v>154</v>
      </c>
      <c r="I159" s="89" t="str">
        <f t="shared" si="11"/>
        <v/>
      </c>
      <c r="J159" s="89">
        <f t="shared" si="12"/>
        <v>-3</v>
      </c>
      <c r="K159" s="88">
        <f t="shared" si="13"/>
        <v>-30</v>
      </c>
      <c r="L159" s="88"/>
      <c r="M159" s="90">
        <f t="shared" si="14"/>
        <v>0</v>
      </c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</row>
    <row r="160" spans="1:38" s="74" customFormat="1" x14ac:dyDescent="0.25">
      <c r="A160" s="106"/>
      <c r="B160" s="105"/>
      <c r="C160" s="105"/>
      <c r="D160" s="105"/>
      <c r="E160" s="105"/>
      <c r="F160" s="105"/>
      <c r="H160" s="88">
        <v>155</v>
      </c>
      <c r="I160" s="89" t="str">
        <f t="shared" si="11"/>
        <v/>
      </c>
      <c r="J160" s="89">
        <f t="shared" si="12"/>
        <v>-3</v>
      </c>
      <c r="K160" s="88">
        <f t="shared" si="13"/>
        <v>-30</v>
      </c>
      <c r="L160" s="88"/>
      <c r="M160" s="90">
        <f t="shared" si="14"/>
        <v>0</v>
      </c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</row>
    <row r="161" spans="1:38" s="74" customFormat="1" x14ac:dyDescent="0.25">
      <c r="A161" s="106"/>
      <c r="B161" s="105"/>
      <c r="C161" s="105"/>
      <c r="D161" s="105"/>
      <c r="E161" s="105"/>
      <c r="F161" s="105"/>
      <c r="H161" s="88">
        <v>156</v>
      </c>
      <c r="I161" s="89" t="str">
        <f t="shared" si="11"/>
        <v/>
      </c>
      <c r="J161" s="89">
        <f t="shared" si="12"/>
        <v>-3</v>
      </c>
      <c r="K161" s="88">
        <f t="shared" si="13"/>
        <v>-30</v>
      </c>
      <c r="L161" s="88"/>
      <c r="M161" s="90">
        <f t="shared" si="14"/>
        <v>0</v>
      </c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</row>
    <row r="162" spans="1:38" s="74" customFormat="1" x14ac:dyDescent="0.25">
      <c r="A162" s="106"/>
      <c r="B162" s="105"/>
      <c r="C162" s="105"/>
      <c r="D162" s="105"/>
      <c r="E162" s="105"/>
      <c r="F162" s="105"/>
      <c r="H162" s="88">
        <v>157</v>
      </c>
      <c r="I162" s="89" t="str">
        <f t="shared" si="11"/>
        <v/>
      </c>
      <c r="J162" s="89">
        <f t="shared" si="12"/>
        <v>-3</v>
      </c>
      <c r="K162" s="88">
        <f t="shared" si="13"/>
        <v>-30</v>
      </c>
      <c r="L162" s="88"/>
      <c r="M162" s="90">
        <f t="shared" si="14"/>
        <v>0</v>
      </c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</row>
    <row r="163" spans="1:38" s="74" customFormat="1" x14ac:dyDescent="0.25">
      <c r="A163" s="106"/>
      <c r="B163" s="105"/>
      <c r="C163" s="105"/>
      <c r="D163" s="105"/>
      <c r="E163" s="105"/>
      <c r="F163" s="105"/>
      <c r="H163" s="88">
        <v>158</v>
      </c>
      <c r="I163" s="89" t="str">
        <f t="shared" si="11"/>
        <v/>
      </c>
      <c r="J163" s="89">
        <f t="shared" si="12"/>
        <v>-3</v>
      </c>
      <c r="K163" s="88">
        <f t="shared" si="13"/>
        <v>-30</v>
      </c>
      <c r="L163" s="88"/>
      <c r="M163" s="90">
        <f t="shared" si="14"/>
        <v>0</v>
      </c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</row>
    <row r="164" spans="1:38" s="74" customFormat="1" x14ac:dyDescent="0.25">
      <c r="A164" s="106"/>
      <c r="B164" s="105"/>
      <c r="C164" s="105"/>
      <c r="D164" s="105"/>
      <c r="E164" s="105"/>
      <c r="F164" s="105"/>
      <c r="H164" s="88">
        <v>159</v>
      </c>
      <c r="I164" s="89" t="str">
        <f t="shared" si="11"/>
        <v/>
      </c>
      <c r="J164" s="89">
        <f t="shared" si="12"/>
        <v>-3</v>
      </c>
      <c r="K164" s="88">
        <f t="shared" si="13"/>
        <v>-30</v>
      </c>
      <c r="L164" s="88"/>
      <c r="M164" s="90">
        <f t="shared" si="14"/>
        <v>0</v>
      </c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</row>
    <row r="165" spans="1:38" s="74" customFormat="1" x14ac:dyDescent="0.25">
      <c r="A165" s="106"/>
      <c r="B165" s="105"/>
      <c r="C165" s="105"/>
      <c r="D165" s="105"/>
      <c r="E165" s="105"/>
      <c r="F165" s="105"/>
      <c r="H165" s="88">
        <v>160</v>
      </c>
      <c r="I165" s="89" t="str">
        <f t="shared" si="11"/>
        <v/>
      </c>
      <c r="J165" s="89">
        <f t="shared" si="12"/>
        <v>-3</v>
      </c>
      <c r="K165" s="88">
        <f t="shared" si="13"/>
        <v>-30</v>
      </c>
      <c r="L165" s="88"/>
      <c r="M165" s="90">
        <f t="shared" si="14"/>
        <v>0</v>
      </c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</row>
    <row r="166" spans="1:38" s="74" customFormat="1" x14ac:dyDescent="0.25">
      <c r="A166" s="106"/>
      <c r="B166" s="105"/>
      <c r="C166" s="105"/>
      <c r="D166" s="105"/>
      <c r="E166" s="105"/>
      <c r="F166" s="105"/>
      <c r="H166" s="88">
        <v>161</v>
      </c>
      <c r="I166" s="89" t="str">
        <f t="shared" si="11"/>
        <v/>
      </c>
      <c r="J166" s="89">
        <f t="shared" si="12"/>
        <v>-3</v>
      </c>
      <c r="K166" s="88">
        <f t="shared" si="13"/>
        <v>-30</v>
      </c>
      <c r="L166" s="88"/>
      <c r="M166" s="90">
        <f t="shared" si="14"/>
        <v>0</v>
      </c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</row>
    <row r="167" spans="1:38" s="74" customFormat="1" x14ac:dyDescent="0.25">
      <c r="A167" s="106"/>
      <c r="B167" s="105"/>
      <c r="C167" s="105"/>
      <c r="D167" s="105"/>
      <c r="E167" s="105"/>
      <c r="F167" s="105"/>
      <c r="H167" s="88">
        <v>162</v>
      </c>
      <c r="I167" s="89" t="str">
        <f t="shared" si="11"/>
        <v/>
      </c>
      <c r="J167" s="89">
        <f t="shared" si="12"/>
        <v>-3</v>
      </c>
      <c r="K167" s="88">
        <f t="shared" si="13"/>
        <v>-30</v>
      </c>
      <c r="L167" s="88"/>
      <c r="M167" s="90">
        <f t="shared" si="14"/>
        <v>0</v>
      </c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79"/>
    </row>
    <row r="168" spans="1:38" s="74" customFormat="1" x14ac:dyDescent="0.25">
      <c r="A168" s="106"/>
      <c r="B168" s="105"/>
      <c r="C168" s="105"/>
      <c r="D168" s="105"/>
      <c r="E168" s="105"/>
      <c r="F168" s="105"/>
      <c r="H168" s="88">
        <v>163</v>
      </c>
      <c r="I168" s="89" t="str">
        <f t="shared" si="11"/>
        <v/>
      </c>
      <c r="J168" s="89">
        <f t="shared" si="12"/>
        <v>-3</v>
      </c>
      <c r="K168" s="88">
        <f t="shared" si="13"/>
        <v>-30</v>
      </c>
      <c r="L168" s="88"/>
      <c r="M168" s="90">
        <f t="shared" si="14"/>
        <v>0</v>
      </c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</row>
    <row r="169" spans="1:38" s="74" customFormat="1" x14ac:dyDescent="0.25">
      <c r="A169" s="106"/>
      <c r="B169" s="105"/>
      <c r="C169" s="105" t="s">
        <v>34</v>
      </c>
      <c r="D169" s="105"/>
      <c r="E169" s="105"/>
      <c r="F169" s="105"/>
      <c r="H169" s="88">
        <v>164</v>
      </c>
      <c r="I169" s="89" t="str">
        <f t="shared" si="11"/>
        <v/>
      </c>
      <c r="J169" s="89">
        <f t="shared" si="12"/>
        <v>-3</v>
      </c>
      <c r="K169" s="88">
        <f t="shared" si="13"/>
        <v>-30</v>
      </c>
      <c r="L169" s="88"/>
      <c r="M169" s="90">
        <f t="shared" si="14"/>
        <v>0</v>
      </c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</row>
    <row r="170" spans="1:38" s="74" customFormat="1" x14ac:dyDescent="0.25">
      <c r="A170" s="106"/>
      <c r="B170" s="105"/>
      <c r="C170" s="105"/>
      <c r="D170" s="105"/>
      <c r="E170" s="105"/>
      <c r="F170" s="105"/>
      <c r="H170" s="88">
        <v>165</v>
      </c>
      <c r="I170" s="89" t="str">
        <f t="shared" si="11"/>
        <v/>
      </c>
      <c r="J170" s="89">
        <f t="shared" si="12"/>
        <v>-3</v>
      </c>
      <c r="K170" s="88">
        <f t="shared" si="13"/>
        <v>-30</v>
      </c>
      <c r="L170" s="88"/>
      <c r="M170" s="90">
        <f t="shared" si="14"/>
        <v>0</v>
      </c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</row>
    <row r="171" spans="1:38" s="74" customFormat="1" x14ac:dyDescent="0.25">
      <c r="A171" s="106"/>
      <c r="B171" s="105"/>
      <c r="C171" s="105"/>
      <c r="D171" s="105"/>
      <c r="E171" s="105"/>
      <c r="F171" s="105"/>
      <c r="H171" s="88">
        <v>166</v>
      </c>
      <c r="I171" s="89" t="str">
        <f t="shared" si="11"/>
        <v/>
      </c>
      <c r="J171" s="89">
        <f t="shared" si="12"/>
        <v>-3</v>
      </c>
      <c r="K171" s="88">
        <f t="shared" si="13"/>
        <v>-30</v>
      </c>
      <c r="L171" s="88"/>
      <c r="M171" s="90">
        <f t="shared" si="14"/>
        <v>0</v>
      </c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</row>
    <row r="172" spans="1:38" s="74" customFormat="1" x14ac:dyDescent="0.25">
      <c r="A172" s="106"/>
      <c r="B172" s="105"/>
      <c r="C172" s="105"/>
      <c r="D172" s="105"/>
      <c r="E172" s="105"/>
      <c r="F172" s="105"/>
      <c r="H172" s="88">
        <v>167</v>
      </c>
      <c r="I172" s="89" t="str">
        <f t="shared" si="11"/>
        <v/>
      </c>
      <c r="J172" s="89">
        <f t="shared" si="12"/>
        <v>-3</v>
      </c>
      <c r="K172" s="88">
        <f t="shared" si="13"/>
        <v>-30</v>
      </c>
      <c r="L172" s="88"/>
      <c r="M172" s="90">
        <f t="shared" si="14"/>
        <v>0</v>
      </c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</row>
    <row r="173" spans="1:38" s="74" customFormat="1" x14ac:dyDescent="0.25">
      <c r="A173" s="106"/>
      <c r="B173" s="105"/>
      <c r="C173" s="105"/>
      <c r="D173" s="105"/>
      <c r="E173" s="105"/>
      <c r="F173" s="105"/>
      <c r="H173" s="88">
        <v>168</v>
      </c>
      <c r="I173" s="89" t="str">
        <f t="shared" si="11"/>
        <v/>
      </c>
      <c r="J173" s="89">
        <f t="shared" si="12"/>
        <v>-3</v>
      </c>
      <c r="K173" s="88">
        <f t="shared" si="13"/>
        <v>-30</v>
      </c>
      <c r="L173" s="88"/>
      <c r="M173" s="90">
        <f t="shared" si="14"/>
        <v>0</v>
      </c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</row>
    <row r="174" spans="1:38" s="74" customFormat="1" x14ac:dyDescent="0.25">
      <c r="A174" s="106"/>
      <c r="B174" s="105"/>
      <c r="C174" s="105"/>
      <c r="D174" s="105"/>
      <c r="E174" s="105"/>
      <c r="F174" s="105"/>
      <c r="H174" s="88">
        <v>169</v>
      </c>
      <c r="I174" s="89" t="str">
        <f t="shared" si="11"/>
        <v/>
      </c>
      <c r="J174" s="89">
        <f t="shared" si="12"/>
        <v>-3</v>
      </c>
      <c r="K174" s="88">
        <f t="shared" si="13"/>
        <v>-30</v>
      </c>
      <c r="L174" s="88"/>
      <c r="M174" s="90">
        <f t="shared" si="14"/>
        <v>0</v>
      </c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</row>
    <row r="175" spans="1:38" s="74" customFormat="1" x14ac:dyDescent="0.25">
      <c r="A175" s="106"/>
      <c r="B175" s="105"/>
      <c r="C175" s="105"/>
      <c r="D175" s="105"/>
      <c r="E175" s="105"/>
      <c r="F175" s="105"/>
      <c r="H175" s="88">
        <v>170</v>
      </c>
      <c r="I175" s="89" t="str">
        <f t="shared" si="11"/>
        <v/>
      </c>
      <c r="J175" s="89">
        <f t="shared" si="12"/>
        <v>-3</v>
      </c>
      <c r="K175" s="88">
        <f t="shared" si="13"/>
        <v>-30</v>
      </c>
      <c r="L175" s="88"/>
      <c r="M175" s="90">
        <f t="shared" si="14"/>
        <v>0</v>
      </c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</row>
    <row r="176" spans="1:38" s="74" customFormat="1" x14ac:dyDescent="0.25">
      <c r="A176" s="106"/>
      <c r="B176" s="105"/>
      <c r="C176" s="105"/>
      <c r="D176" s="105"/>
      <c r="E176" s="105"/>
      <c r="F176" s="105"/>
      <c r="H176" s="88">
        <v>171</v>
      </c>
      <c r="I176" s="89" t="str">
        <f t="shared" si="11"/>
        <v/>
      </c>
      <c r="J176" s="89">
        <f t="shared" si="12"/>
        <v>-3</v>
      </c>
      <c r="K176" s="88">
        <f t="shared" si="13"/>
        <v>-30</v>
      </c>
      <c r="L176" s="88"/>
      <c r="M176" s="90">
        <f t="shared" si="14"/>
        <v>0</v>
      </c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</row>
    <row r="177" spans="1:38" s="74" customFormat="1" x14ac:dyDescent="0.25">
      <c r="A177" s="106"/>
      <c r="B177" s="105"/>
      <c r="C177" s="105"/>
      <c r="D177" s="105"/>
      <c r="E177" s="105"/>
      <c r="F177" s="105"/>
      <c r="H177" s="88">
        <v>172</v>
      </c>
      <c r="I177" s="89" t="str">
        <f t="shared" si="11"/>
        <v/>
      </c>
      <c r="J177" s="89">
        <f t="shared" si="12"/>
        <v>-3</v>
      </c>
      <c r="K177" s="88">
        <f t="shared" si="13"/>
        <v>-30</v>
      </c>
      <c r="L177" s="88"/>
      <c r="M177" s="90">
        <f t="shared" si="14"/>
        <v>0</v>
      </c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</row>
    <row r="178" spans="1:38" s="74" customFormat="1" x14ac:dyDescent="0.25">
      <c r="A178" s="106"/>
      <c r="B178" s="105"/>
      <c r="C178" s="105"/>
      <c r="D178" s="105"/>
      <c r="E178" s="105"/>
      <c r="F178" s="105"/>
      <c r="H178" s="88">
        <v>173</v>
      </c>
      <c r="I178" s="89" t="str">
        <f t="shared" si="11"/>
        <v/>
      </c>
      <c r="J178" s="89">
        <f t="shared" si="12"/>
        <v>-3</v>
      </c>
      <c r="K178" s="88">
        <f t="shared" si="13"/>
        <v>-30</v>
      </c>
      <c r="L178" s="88"/>
      <c r="M178" s="90">
        <f t="shared" si="14"/>
        <v>0</v>
      </c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</row>
    <row r="179" spans="1:38" s="74" customFormat="1" x14ac:dyDescent="0.25">
      <c r="A179" s="106"/>
      <c r="B179" s="105"/>
      <c r="C179" s="105"/>
      <c r="D179" s="105"/>
      <c r="E179" s="105"/>
      <c r="F179" s="105"/>
      <c r="H179" s="88">
        <v>174</v>
      </c>
      <c r="I179" s="89" t="str">
        <f t="shared" si="11"/>
        <v/>
      </c>
      <c r="J179" s="89">
        <f t="shared" si="12"/>
        <v>-3</v>
      </c>
      <c r="K179" s="88">
        <f t="shared" si="13"/>
        <v>-30</v>
      </c>
      <c r="L179" s="88"/>
      <c r="M179" s="90">
        <f t="shared" si="14"/>
        <v>0</v>
      </c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</row>
    <row r="180" spans="1:38" s="74" customFormat="1" x14ac:dyDescent="0.25">
      <c r="A180" s="106"/>
      <c r="B180" s="105"/>
      <c r="C180" s="105"/>
      <c r="D180" s="105"/>
      <c r="E180" s="105"/>
      <c r="F180" s="105"/>
      <c r="H180" s="88">
        <v>175</v>
      </c>
      <c r="I180" s="89" t="str">
        <f t="shared" si="11"/>
        <v/>
      </c>
      <c r="J180" s="89">
        <f t="shared" si="12"/>
        <v>-3</v>
      </c>
      <c r="K180" s="88">
        <f t="shared" si="13"/>
        <v>-30</v>
      </c>
      <c r="L180" s="88"/>
      <c r="M180" s="90">
        <f t="shared" si="14"/>
        <v>0</v>
      </c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</row>
    <row r="181" spans="1:38" s="74" customFormat="1" x14ac:dyDescent="0.25">
      <c r="A181" s="106"/>
      <c r="B181" s="105"/>
      <c r="C181" s="105"/>
      <c r="D181" s="105"/>
      <c r="E181" s="105"/>
      <c r="F181" s="105"/>
      <c r="H181" s="88">
        <v>176</v>
      </c>
      <c r="I181" s="89" t="str">
        <f t="shared" si="11"/>
        <v/>
      </c>
      <c r="J181" s="89">
        <f t="shared" si="12"/>
        <v>-3</v>
      </c>
      <c r="K181" s="88">
        <f t="shared" si="13"/>
        <v>-30</v>
      </c>
      <c r="L181" s="88"/>
      <c r="M181" s="90">
        <f t="shared" si="14"/>
        <v>0</v>
      </c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</row>
    <row r="182" spans="1:38" s="74" customFormat="1" x14ac:dyDescent="0.25">
      <c r="A182" s="106"/>
      <c r="B182" s="105"/>
      <c r="C182" s="105"/>
      <c r="D182" s="105"/>
      <c r="E182" s="105"/>
      <c r="F182" s="105"/>
      <c r="H182" s="88">
        <v>177</v>
      </c>
      <c r="I182" s="89" t="str">
        <f t="shared" si="11"/>
        <v/>
      </c>
      <c r="J182" s="89">
        <f t="shared" si="12"/>
        <v>-3</v>
      </c>
      <c r="K182" s="88">
        <f t="shared" si="13"/>
        <v>-30</v>
      </c>
      <c r="L182" s="88"/>
      <c r="M182" s="90">
        <f t="shared" si="14"/>
        <v>0</v>
      </c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</row>
    <row r="183" spans="1:38" s="74" customFormat="1" x14ac:dyDescent="0.25">
      <c r="A183" s="106"/>
      <c r="B183" s="105"/>
      <c r="C183" s="105"/>
      <c r="D183" s="105"/>
      <c r="E183" s="105"/>
      <c r="F183" s="105"/>
      <c r="H183" s="88">
        <v>178</v>
      </c>
      <c r="I183" s="89" t="str">
        <f t="shared" si="11"/>
        <v/>
      </c>
      <c r="J183" s="89">
        <f t="shared" si="12"/>
        <v>-3</v>
      </c>
      <c r="K183" s="88">
        <f t="shared" si="13"/>
        <v>-30</v>
      </c>
      <c r="L183" s="88"/>
      <c r="M183" s="90">
        <f t="shared" si="14"/>
        <v>0</v>
      </c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</row>
    <row r="184" spans="1:38" s="74" customFormat="1" x14ac:dyDescent="0.25">
      <c r="A184" s="106"/>
      <c r="B184" s="105"/>
      <c r="C184" s="105"/>
      <c r="D184" s="105"/>
      <c r="E184" s="105"/>
      <c r="F184" s="105"/>
      <c r="H184" s="88">
        <v>179</v>
      </c>
      <c r="I184" s="89" t="str">
        <f t="shared" si="11"/>
        <v/>
      </c>
      <c r="J184" s="89">
        <f t="shared" si="12"/>
        <v>-3</v>
      </c>
      <c r="K184" s="88">
        <f t="shared" si="13"/>
        <v>-30</v>
      </c>
      <c r="L184" s="88"/>
      <c r="M184" s="90">
        <f t="shared" si="14"/>
        <v>0</v>
      </c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</row>
    <row r="185" spans="1:38" s="74" customFormat="1" x14ac:dyDescent="0.25">
      <c r="A185" s="106"/>
      <c r="B185" s="105"/>
      <c r="C185" s="105"/>
      <c r="D185" s="105"/>
      <c r="E185" s="105"/>
      <c r="F185" s="105"/>
      <c r="H185" s="88">
        <v>180</v>
      </c>
      <c r="I185" s="89" t="str">
        <f t="shared" si="11"/>
        <v/>
      </c>
      <c r="J185" s="89">
        <f t="shared" si="12"/>
        <v>-3</v>
      </c>
      <c r="K185" s="88">
        <f t="shared" si="13"/>
        <v>-30</v>
      </c>
      <c r="L185" s="88"/>
      <c r="M185" s="90">
        <f t="shared" si="14"/>
        <v>0</v>
      </c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</row>
    <row r="186" spans="1:38" s="74" customFormat="1" x14ac:dyDescent="0.25">
      <c r="A186" s="106"/>
      <c r="B186" s="105"/>
      <c r="C186" s="105"/>
      <c r="D186" s="105"/>
      <c r="E186" s="105"/>
      <c r="F186" s="105"/>
      <c r="H186" s="88">
        <v>181</v>
      </c>
      <c r="I186" s="89" t="str">
        <f t="shared" si="11"/>
        <v/>
      </c>
      <c r="J186" s="89">
        <f t="shared" si="12"/>
        <v>-3</v>
      </c>
      <c r="K186" s="88">
        <f t="shared" si="13"/>
        <v>-30</v>
      </c>
      <c r="L186" s="88"/>
      <c r="M186" s="90">
        <f t="shared" si="14"/>
        <v>0</v>
      </c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</row>
    <row r="187" spans="1:38" s="74" customFormat="1" x14ac:dyDescent="0.25">
      <c r="A187" s="106"/>
      <c r="B187" s="105"/>
      <c r="C187" s="105"/>
      <c r="D187" s="105"/>
      <c r="E187" s="105"/>
      <c r="F187" s="105"/>
      <c r="H187" s="88">
        <v>182</v>
      </c>
      <c r="I187" s="89" t="str">
        <f t="shared" si="11"/>
        <v/>
      </c>
      <c r="J187" s="89">
        <f t="shared" si="12"/>
        <v>-3</v>
      </c>
      <c r="K187" s="88">
        <f t="shared" si="13"/>
        <v>-30</v>
      </c>
      <c r="L187" s="88"/>
      <c r="M187" s="90">
        <f t="shared" si="14"/>
        <v>0</v>
      </c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79"/>
    </row>
    <row r="188" spans="1:38" s="74" customFormat="1" x14ac:dyDescent="0.25">
      <c r="A188" s="106"/>
      <c r="B188" s="105"/>
      <c r="C188" s="105"/>
      <c r="D188" s="105"/>
      <c r="E188" s="105"/>
      <c r="F188" s="105"/>
      <c r="H188" s="88">
        <v>183</v>
      </c>
      <c r="I188" s="89" t="str">
        <f t="shared" si="11"/>
        <v/>
      </c>
      <c r="J188" s="89">
        <f t="shared" si="12"/>
        <v>-3</v>
      </c>
      <c r="K188" s="88">
        <f t="shared" si="13"/>
        <v>-30</v>
      </c>
      <c r="L188" s="88"/>
      <c r="M188" s="90">
        <f t="shared" si="14"/>
        <v>0</v>
      </c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</row>
    <row r="189" spans="1:38" s="74" customFormat="1" x14ac:dyDescent="0.25">
      <c r="A189" s="106"/>
      <c r="B189" s="105"/>
      <c r="C189" s="105"/>
      <c r="D189" s="105"/>
      <c r="E189" s="105"/>
      <c r="F189" s="105"/>
      <c r="H189" s="88">
        <v>184</v>
      </c>
      <c r="I189" s="89" t="str">
        <f t="shared" si="11"/>
        <v/>
      </c>
      <c r="J189" s="89">
        <f t="shared" si="12"/>
        <v>-3</v>
      </c>
      <c r="K189" s="88">
        <f t="shared" si="13"/>
        <v>-30</v>
      </c>
      <c r="L189" s="88"/>
      <c r="M189" s="90">
        <f t="shared" si="14"/>
        <v>0</v>
      </c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</row>
    <row r="190" spans="1:38" s="74" customFormat="1" x14ac:dyDescent="0.25">
      <c r="A190" s="106"/>
      <c r="B190" s="105"/>
      <c r="C190" s="105"/>
      <c r="D190" s="105"/>
      <c r="E190" s="105"/>
      <c r="F190" s="105"/>
      <c r="H190" s="88">
        <v>185</v>
      </c>
      <c r="I190" s="89" t="str">
        <f t="shared" si="11"/>
        <v/>
      </c>
      <c r="J190" s="89">
        <f t="shared" si="12"/>
        <v>-3</v>
      </c>
      <c r="K190" s="88">
        <f t="shared" si="13"/>
        <v>-30</v>
      </c>
      <c r="L190" s="88"/>
      <c r="M190" s="90">
        <f t="shared" si="14"/>
        <v>0</v>
      </c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</row>
    <row r="191" spans="1:38" s="74" customFormat="1" x14ac:dyDescent="0.25">
      <c r="A191" s="106"/>
      <c r="B191" s="105"/>
      <c r="C191" s="105"/>
      <c r="D191" s="105"/>
      <c r="E191" s="105"/>
      <c r="F191" s="105"/>
      <c r="H191" s="88">
        <v>186</v>
      </c>
      <c r="I191" s="89" t="str">
        <f t="shared" si="11"/>
        <v/>
      </c>
      <c r="J191" s="89">
        <f t="shared" si="12"/>
        <v>-3</v>
      </c>
      <c r="K191" s="88">
        <f t="shared" si="13"/>
        <v>-30</v>
      </c>
      <c r="L191" s="88"/>
      <c r="M191" s="90">
        <f t="shared" si="14"/>
        <v>0</v>
      </c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</row>
    <row r="192" spans="1:38" s="74" customFormat="1" x14ac:dyDescent="0.25">
      <c r="A192" s="106"/>
      <c r="B192" s="105"/>
      <c r="C192" s="105"/>
      <c r="D192" s="105"/>
      <c r="E192" s="105"/>
      <c r="F192" s="105"/>
      <c r="H192" s="88">
        <v>187</v>
      </c>
      <c r="I192" s="89" t="str">
        <f t="shared" si="11"/>
        <v/>
      </c>
      <c r="J192" s="89">
        <f t="shared" si="12"/>
        <v>-3</v>
      </c>
      <c r="K192" s="88">
        <f t="shared" si="13"/>
        <v>-30</v>
      </c>
      <c r="L192" s="88"/>
      <c r="M192" s="90">
        <f t="shared" si="14"/>
        <v>0</v>
      </c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</row>
    <row r="193" spans="1:38" s="74" customFormat="1" x14ac:dyDescent="0.25">
      <c r="A193" s="106"/>
      <c r="B193" s="105"/>
      <c r="C193" s="105"/>
      <c r="D193" s="105"/>
      <c r="E193" s="105"/>
      <c r="F193" s="105"/>
      <c r="H193" s="88">
        <v>188</v>
      </c>
      <c r="I193" s="89" t="str">
        <f t="shared" si="11"/>
        <v/>
      </c>
      <c r="J193" s="89">
        <f t="shared" si="12"/>
        <v>-3</v>
      </c>
      <c r="K193" s="88">
        <f t="shared" si="13"/>
        <v>-30</v>
      </c>
      <c r="L193" s="88"/>
      <c r="M193" s="90">
        <f t="shared" si="14"/>
        <v>0</v>
      </c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</row>
    <row r="194" spans="1:38" s="74" customFormat="1" x14ac:dyDescent="0.25">
      <c r="A194" s="106"/>
      <c r="B194" s="105"/>
      <c r="C194" s="105"/>
      <c r="D194" s="105"/>
      <c r="E194" s="105"/>
      <c r="F194" s="105"/>
      <c r="H194" s="88">
        <v>189</v>
      </c>
      <c r="I194" s="89" t="str">
        <f t="shared" si="11"/>
        <v/>
      </c>
      <c r="J194" s="89">
        <f t="shared" si="12"/>
        <v>-3</v>
      </c>
      <c r="K194" s="88">
        <f t="shared" si="13"/>
        <v>-30</v>
      </c>
      <c r="L194" s="88"/>
      <c r="M194" s="90">
        <f t="shared" si="14"/>
        <v>0</v>
      </c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</row>
    <row r="195" spans="1:38" s="74" customFormat="1" x14ac:dyDescent="0.25">
      <c r="A195" s="106"/>
      <c r="B195" s="105"/>
      <c r="C195" s="105"/>
      <c r="D195" s="105"/>
      <c r="E195" s="105"/>
      <c r="F195" s="105"/>
      <c r="H195" s="88">
        <v>190</v>
      </c>
      <c r="I195" s="89" t="str">
        <f t="shared" si="11"/>
        <v/>
      </c>
      <c r="J195" s="89">
        <f t="shared" si="12"/>
        <v>-3</v>
      </c>
      <c r="K195" s="88">
        <f t="shared" si="13"/>
        <v>-30</v>
      </c>
      <c r="L195" s="88"/>
      <c r="M195" s="90">
        <f t="shared" si="14"/>
        <v>0</v>
      </c>
      <c r="S195" s="79"/>
      <c r="T195" s="79"/>
      <c r="U195" s="79"/>
      <c r="V195" s="79"/>
      <c r="W195" s="79"/>
      <c r="X195" s="79"/>
      <c r="Y195" s="79"/>
      <c r="Z195" s="79"/>
      <c r="AA195" s="79"/>
      <c r="AB195" s="79"/>
      <c r="AC195" s="79"/>
      <c r="AD195" s="79"/>
      <c r="AE195" s="79"/>
      <c r="AF195" s="79"/>
      <c r="AG195" s="79"/>
      <c r="AH195" s="79"/>
      <c r="AI195" s="79"/>
      <c r="AJ195" s="79"/>
      <c r="AK195" s="79"/>
      <c r="AL195" s="79"/>
    </row>
    <row r="196" spans="1:38" s="74" customFormat="1" x14ac:dyDescent="0.25">
      <c r="A196" s="106"/>
      <c r="B196" s="105"/>
      <c r="C196" s="105"/>
      <c r="D196" s="105"/>
      <c r="E196" s="105"/>
      <c r="F196" s="105"/>
      <c r="H196" s="88">
        <v>191</v>
      </c>
      <c r="I196" s="89" t="str">
        <f t="shared" si="11"/>
        <v/>
      </c>
      <c r="J196" s="89">
        <f t="shared" si="12"/>
        <v>-3</v>
      </c>
      <c r="K196" s="88">
        <f t="shared" si="13"/>
        <v>-30</v>
      </c>
      <c r="L196" s="88"/>
      <c r="M196" s="90">
        <f t="shared" si="14"/>
        <v>0</v>
      </c>
      <c r="S196" s="79"/>
      <c r="T196" s="79"/>
      <c r="U196" s="79"/>
      <c r="V196" s="79"/>
      <c r="W196" s="79"/>
      <c r="X196" s="79"/>
      <c r="Y196" s="79"/>
      <c r="Z196" s="79"/>
      <c r="AA196" s="79"/>
      <c r="AB196" s="79"/>
      <c r="AC196" s="79"/>
      <c r="AD196" s="79"/>
      <c r="AE196" s="79"/>
      <c r="AF196" s="79"/>
      <c r="AG196" s="79"/>
      <c r="AH196" s="79"/>
      <c r="AI196" s="79"/>
      <c r="AJ196" s="79"/>
      <c r="AK196" s="79"/>
      <c r="AL196" s="79"/>
    </row>
    <row r="197" spans="1:38" s="74" customFormat="1" x14ac:dyDescent="0.25">
      <c r="A197" s="106"/>
      <c r="B197" s="105"/>
      <c r="C197" s="105"/>
      <c r="D197" s="105"/>
      <c r="E197" s="105"/>
      <c r="F197" s="105"/>
      <c r="H197" s="88">
        <v>192</v>
      </c>
      <c r="I197" s="89" t="str">
        <f t="shared" si="11"/>
        <v/>
      </c>
      <c r="J197" s="89">
        <f t="shared" si="12"/>
        <v>-3</v>
      </c>
      <c r="K197" s="88">
        <f t="shared" si="13"/>
        <v>-30</v>
      </c>
      <c r="L197" s="88"/>
      <c r="M197" s="90">
        <f t="shared" si="14"/>
        <v>0</v>
      </c>
      <c r="S197" s="79"/>
      <c r="T197" s="79"/>
      <c r="U197" s="79"/>
      <c r="V197" s="79"/>
      <c r="W197" s="79"/>
      <c r="X197" s="79"/>
      <c r="Y197" s="79"/>
      <c r="Z197" s="79"/>
      <c r="AA197" s="79"/>
      <c r="AB197" s="79"/>
      <c r="AC197" s="79"/>
      <c r="AD197" s="79"/>
      <c r="AE197" s="79"/>
      <c r="AF197" s="79"/>
      <c r="AG197" s="79"/>
      <c r="AH197" s="79"/>
      <c r="AI197" s="79"/>
      <c r="AJ197" s="79"/>
      <c r="AK197" s="79"/>
      <c r="AL197" s="79"/>
    </row>
    <row r="198" spans="1:38" s="74" customFormat="1" x14ac:dyDescent="0.25">
      <c r="A198" s="106"/>
      <c r="B198" s="105"/>
      <c r="C198" s="105"/>
      <c r="D198" s="105"/>
      <c r="E198" s="105"/>
      <c r="F198" s="105"/>
      <c r="H198" s="88">
        <v>193</v>
      </c>
      <c r="I198" s="89" t="str">
        <f t="shared" ref="I198:I261" si="15">IF(H198&lt;$H$2+1,($I$2-($I$2-1)*(LOG(H198)/LOG($H$2))),"")</f>
        <v/>
      </c>
      <c r="J198" s="89">
        <f t="shared" ref="J198:J261" si="16">INT(LOG($H$2,2))-ROUNDUP(LOG(H198,2),0)+IF(OR($H$2=1,$H$2=2,$H$2=4,$H$2=8,$H$2=16,$H$2=32,$H$2=64,$H$2=128,$H$2=256),0,1)</f>
        <v>-3</v>
      </c>
      <c r="K198" s="88">
        <f t="shared" ref="K198:K261" si="17">J198*$J$2</f>
        <v>-30</v>
      </c>
      <c r="L198" s="88"/>
      <c r="M198" s="90">
        <f t="shared" ref="M198:M261" si="18">IF(I198&lt;&gt;"",K198+I198+L198,0)</f>
        <v>0</v>
      </c>
      <c r="S198" s="79"/>
      <c r="T198" s="79"/>
      <c r="U198" s="79"/>
      <c r="V198" s="79"/>
      <c r="W198" s="79"/>
      <c r="X198" s="79"/>
      <c r="Y198" s="79"/>
      <c r="Z198" s="79"/>
      <c r="AA198" s="79"/>
      <c r="AB198" s="79"/>
      <c r="AC198" s="79"/>
      <c r="AD198" s="79"/>
      <c r="AE198" s="79"/>
      <c r="AF198" s="79"/>
      <c r="AG198" s="79"/>
      <c r="AH198" s="79"/>
      <c r="AI198" s="79"/>
      <c r="AJ198" s="79"/>
      <c r="AK198" s="79"/>
      <c r="AL198" s="79"/>
    </row>
    <row r="199" spans="1:38" s="74" customFormat="1" x14ac:dyDescent="0.25">
      <c r="A199" s="106"/>
      <c r="B199" s="105"/>
      <c r="C199" s="105"/>
      <c r="D199" s="105"/>
      <c r="E199" s="105"/>
      <c r="F199" s="105"/>
      <c r="H199" s="88">
        <v>194</v>
      </c>
      <c r="I199" s="89" t="str">
        <f t="shared" si="15"/>
        <v/>
      </c>
      <c r="J199" s="89">
        <f t="shared" si="16"/>
        <v>-3</v>
      </c>
      <c r="K199" s="88">
        <f t="shared" si="17"/>
        <v>-30</v>
      </c>
      <c r="L199" s="88"/>
      <c r="M199" s="90">
        <f t="shared" si="18"/>
        <v>0</v>
      </c>
      <c r="S199" s="79"/>
      <c r="T199" s="79"/>
      <c r="U199" s="79"/>
      <c r="V199" s="79"/>
      <c r="W199" s="79"/>
      <c r="X199" s="79"/>
      <c r="Y199" s="79"/>
      <c r="Z199" s="79"/>
      <c r="AA199" s="79"/>
      <c r="AB199" s="79"/>
      <c r="AC199" s="79"/>
      <c r="AD199" s="79"/>
      <c r="AE199" s="79"/>
      <c r="AF199" s="79"/>
      <c r="AG199" s="79"/>
      <c r="AH199" s="79"/>
      <c r="AI199" s="79"/>
      <c r="AJ199" s="79"/>
      <c r="AK199" s="79"/>
      <c r="AL199" s="79"/>
    </row>
    <row r="200" spans="1:38" s="74" customFormat="1" x14ac:dyDescent="0.25">
      <c r="A200" s="106"/>
      <c r="B200" s="105"/>
      <c r="C200" s="105"/>
      <c r="D200" s="105"/>
      <c r="E200" s="105"/>
      <c r="F200" s="105"/>
      <c r="H200" s="88">
        <v>195</v>
      </c>
      <c r="I200" s="89" t="str">
        <f t="shared" si="15"/>
        <v/>
      </c>
      <c r="J200" s="89">
        <f t="shared" si="16"/>
        <v>-3</v>
      </c>
      <c r="K200" s="88">
        <f t="shared" si="17"/>
        <v>-30</v>
      </c>
      <c r="L200" s="88"/>
      <c r="M200" s="90">
        <f t="shared" si="18"/>
        <v>0</v>
      </c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</row>
    <row r="201" spans="1:38" s="74" customFormat="1" x14ac:dyDescent="0.25">
      <c r="A201" s="106"/>
      <c r="B201" s="105"/>
      <c r="C201" s="105"/>
      <c r="D201" s="105"/>
      <c r="E201" s="105"/>
      <c r="F201" s="105"/>
      <c r="H201" s="88">
        <v>196</v>
      </c>
      <c r="I201" s="89" t="str">
        <f t="shared" si="15"/>
        <v/>
      </c>
      <c r="J201" s="89">
        <f t="shared" si="16"/>
        <v>-3</v>
      </c>
      <c r="K201" s="88">
        <f t="shared" si="17"/>
        <v>-30</v>
      </c>
      <c r="L201" s="88"/>
      <c r="M201" s="90">
        <f t="shared" si="18"/>
        <v>0</v>
      </c>
      <c r="S201" s="79"/>
      <c r="T201" s="79"/>
      <c r="U201" s="79"/>
      <c r="V201" s="79"/>
      <c r="W201" s="79"/>
      <c r="X201" s="79"/>
      <c r="Y201" s="79"/>
      <c r="Z201" s="79"/>
      <c r="AA201" s="79"/>
      <c r="AB201" s="79"/>
      <c r="AC201" s="79"/>
      <c r="AD201" s="79"/>
      <c r="AE201" s="79"/>
      <c r="AF201" s="79"/>
      <c r="AG201" s="79"/>
      <c r="AH201" s="79"/>
      <c r="AI201" s="79"/>
      <c r="AJ201" s="79"/>
      <c r="AK201" s="79"/>
      <c r="AL201" s="79"/>
    </row>
    <row r="202" spans="1:38" s="74" customFormat="1" x14ac:dyDescent="0.25">
      <c r="A202" s="106"/>
      <c r="B202" s="105"/>
      <c r="C202" s="105"/>
      <c r="D202" s="105"/>
      <c r="E202" s="105"/>
      <c r="F202" s="105"/>
      <c r="H202" s="88">
        <v>197</v>
      </c>
      <c r="I202" s="89" t="str">
        <f t="shared" si="15"/>
        <v/>
      </c>
      <c r="J202" s="89">
        <f t="shared" si="16"/>
        <v>-3</v>
      </c>
      <c r="K202" s="88">
        <f t="shared" si="17"/>
        <v>-30</v>
      </c>
      <c r="L202" s="88"/>
      <c r="M202" s="90">
        <f t="shared" si="18"/>
        <v>0</v>
      </c>
      <c r="S202" s="79"/>
      <c r="T202" s="79"/>
      <c r="U202" s="79"/>
      <c r="V202" s="79"/>
      <c r="W202" s="79"/>
      <c r="X202" s="79"/>
      <c r="Y202" s="79"/>
      <c r="Z202" s="79"/>
      <c r="AA202" s="79"/>
      <c r="AB202" s="79"/>
      <c r="AC202" s="79"/>
      <c r="AD202" s="79"/>
      <c r="AE202" s="79"/>
      <c r="AF202" s="79"/>
      <c r="AG202" s="79"/>
      <c r="AH202" s="79"/>
      <c r="AI202" s="79"/>
      <c r="AJ202" s="79"/>
      <c r="AK202" s="79"/>
      <c r="AL202" s="79"/>
    </row>
    <row r="203" spans="1:38" s="74" customFormat="1" x14ac:dyDescent="0.25">
      <c r="A203" s="106"/>
      <c r="B203" s="105"/>
      <c r="C203" s="105"/>
      <c r="D203" s="105"/>
      <c r="E203" s="105"/>
      <c r="F203" s="105"/>
      <c r="H203" s="88">
        <v>198</v>
      </c>
      <c r="I203" s="89" t="str">
        <f t="shared" si="15"/>
        <v/>
      </c>
      <c r="J203" s="89">
        <f t="shared" si="16"/>
        <v>-3</v>
      </c>
      <c r="K203" s="88">
        <f t="shared" si="17"/>
        <v>-30</v>
      </c>
      <c r="L203" s="88"/>
      <c r="M203" s="90">
        <f t="shared" si="18"/>
        <v>0</v>
      </c>
      <c r="S203" s="79"/>
      <c r="T203" s="79"/>
      <c r="U203" s="79"/>
      <c r="V203" s="79"/>
      <c r="W203" s="79"/>
      <c r="X203" s="79"/>
      <c r="Y203" s="79"/>
      <c r="Z203" s="79"/>
      <c r="AA203" s="79"/>
      <c r="AB203" s="79"/>
      <c r="AC203" s="79"/>
      <c r="AD203" s="79"/>
      <c r="AE203" s="79"/>
      <c r="AF203" s="79"/>
      <c r="AG203" s="79"/>
      <c r="AH203" s="79"/>
      <c r="AI203" s="79"/>
      <c r="AJ203" s="79"/>
      <c r="AK203" s="79"/>
      <c r="AL203" s="79"/>
    </row>
    <row r="204" spans="1:38" s="74" customFormat="1" x14ac:dyDescent="0.25">
      <c r="A204" s="106"/>
      <c r="B204" s="105"/>
      <c r="C204" s="105"/>
      <c r="D204" s="105"/>
      <c r="E204" s="105"/>
      <c r="F204" s="105"/>
      <c r="H204" s="88">
        <v>199</v>
      </c>
      <c r="I204" s="89" t="str">
        <f t="shared" si="15"/>
        <v/>
      </c>
      <c r="J204" s="89">
        <f t="shared" si="16"/>
        <v>-3</v>
      </c>
      <c r="K204" s="88">
        <f t="shared" si="17"/>
        <v>-30</v>
      </c>
      <c r="L204" s="88"/>
      <c r="M204" s="90">
        <f t="shared" si="18"/>
        <v>0</v>
      </c>
      <c r="S204" s="79"/>
      <c r="T204" s="79"/>
      <c r="U204" s="79"/>
      <c r="V204" s="79"/>
      <c r="W204" s="79"/>
      <c r="X204" s="79"/>
      <c r="Y204" s="79"/>
      <c r="Z204" s="79"/>
      <c r="AA204" s="79"/>
      <c r="AB204" s="79"/>
      <c r="AC204" s="79"/>
      <c r="AD204" s="79"/>
      <c r="AE204" s="79"/>
      <c r="AF204" s="79"/>
      <c r="AG204" s="79"/>
      <c r="AH204" s="79"/>
      <c r="AI204" s="79"/>
      <c r="AJ204" s="79"/>
      <c r="AK204" s="79"/>
      <c r="AL204" s="79"/>
    </row>
    <row r="205" spans="1:38" s="74" customFormat="1" x14ac:dyDescent="0.25">
      <c r="A205" s="106"/>
      <c r="B205" s="105"/>
      <c r="C205" s="105"/>
      <c r="D205" s="105"/>
      <c r="E205" s="105"/>
      <c r="F205" s="105"/>
      <c r="H205" s="88">
        <v>200</v>
      </c>
      <c r="I205" s="89" t="str">
        <f t="shared" si="15"/>
        <v/>
      </c>
      <c r="J205" s="89">
        <f t="shared" si="16"/>
        <v>-3</v>
      </c>
      <c r="K205" s="88">
        <f t="shared" si="17"/>
        <v>-30</v>
      </c>
      <c r="L205" s="88"/>
      <c r="M205" s="90">
        <f t="shared" si="18"/>
        <v>0</v>
      </c>
      <c r="S205" s="79"/>
      <c r="T205" s="79"/>
      <c r="U205" s="79"/>
      <c r="V205" s="79"/>
      <c r="W205" s="79"/>
      <c r="X205" s="79"/>
      <c r="Y205" s="79"/>
      <c r="Z205" s="79"/>
      <c r="AA205" s="79"/>
      <c r="AB205" s="79"/>
      <c r="AC205" s="79"/>
      <c r="AD205" s="79"/>
      <c r="AE205" s="79"/>
      <c r="AF205" s="79"/>
      <c r="AG205" s="79"/>
      <c r="AH205" s="79"/>
      <c r="AI205" s="79"/>
      <c r="AJ205" s="79"/>
      <c r="AK205" s="79"/>
      <c r="AL205" s="79"/>
    </row>
    <row r="206" spans="1:38" s="74" customFormat="1" x14ac:dyDescent="0.25">
      <c r="A206" s="106"/>
      <c r="B206" s="105"/>
      <c r="C206" s="105"/>
      <c r="D206" s="105"/>
      <c r="E206" s="105"/>
      <c r="F206" s="105"/>
      <c r="H206" s="88">
        <v>201</v>
      </c>
      <c r="I206" s="89" t="str">
        <f t="shared" si="15"/>
        <v/>
      </c>
      <c r="J206" s="89">
        <f t="shared" si="16"/>
        <v>-3</v>
      </c>
      <c r="K206" s="88">
        <f t="shared" si="17"/>
        <v>-30</v>
      </c>
      <c r="L206" s="88"/>
      <c r="M206" s="90">
        <f t="shared" si="18"/>
        <v>0</v>
      </c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  <c r="AF206" s="79"/>
      <c r="AG206" s="79"/>
      <c r="AH206" s="79"/>
      <c r="AI206" s="79"/>
      <c r="AJ206" s="79"/>
      <c r="AK206" s="79"/>
      <c r="AL206" s="79"/>
    </row>
    <row r="207" spans="1:38" s="74" customFormat="1" x14ac:dyDescent="0.25">
      <c r="A207" s="106"/>
      <c r="B207" s="105"/>
      <c r="C207" s="105"/>
      <c r="D207" s="105"/>
      <c r="E207" s="105"/>
      <c r="F207" s="105"/>
      <c r="H207" s="88">
        <v>202</v>
      </c>
      <c r="I207" s="89" t="str">
        <f t="shared" si="15"/>
        <v/>
      </c>
      <c r="J207" s="89">
        <f t="shared" si="16"/>
        <v>-3</v>
      </c>
      <c r="K207" s="88">
        <f t="shared" si="17"/>
        <v>-30</v>
      </c>
      <c r="L207" s="88"/>
      <c r="M207" s="90">
        <f t="shared" si="18"/>
        <v>0</v>
      </c>
      <c r="S207" s="79"/>
      <c r="T207" s="79"/>
      <c r="U207" s="79"/>
      <c r="V207" s="79"/>
      <c r="W207" s="79"/>
      <c r="X207" s="79"/>
      <c r="Y207" s="79"/>
      <c r="Z207" s="79"/>
      <c r="AA207" s="79"/>
      <c r="AB207" s="79"/>
      <c r="AC207" s="79"/>
      <c r="AD207" s="79"/>
      <c r="AE207" s="79"/>
      <c r="AF207" s="79"/>
      <c r="AG207" s="79"/>
      <c r="AH207" s="79"/>
      <c r="AI207" s="79"/>
      <c r="AJ207" s="79"/>
      <c r="AK207" s="79"/>
      <c r="AL207" s="79"/>
    </row>
    <row r="208" spans="1:38" s="74" customFormat="1" x14ac:dyDescent="0.25">
      <c r="A208" s="106"/>
      <c r="B208" s="105"/>
      <c r="C208" s="105"/>
      <c r="D208" s="105"/>
      <c r="E208" s="105"/>
      <c r="F208" s="105"/>
      <c r="H208" s="88">
        <v>203</v>
      </c>
      <c r="I208" s="89" t="str">
        <f t="shared" si="15"/>
        <v/>
      </c>
      <c r="J208" s="89">
        <f t="shared" si="16"/>
        <v>-3</v>
      </c>
      <c r="K208" s="88">
        <f t="shared" si="17"/>
        <v>-30</v>
      </c>
      <c r="L208" s="88"/>
      <c r="M208" s="90">
        <f t="shared" si="18"/>
        <v>0</v>
      </c>
      <c r="S208" s="79"/>
      <c r="T208" s="79"/>
      <c r="U208" s="79"/>
      <c r="V208" s="79"/>
      <c r="W208" s="79"/>
      <c r="X208" s="79"/>
      <c r="Y208" s="79"/>
      <c r="Z208" s="79"/>
      <c r="AA208" s="79"/>
      <c r="AB208" s="79"/>
      <c r="AC208" s="79"/>
      <c r="AD208" s="79"/>
      <c r="AE208" s="79"/>
      <c r="AF208" s="79"/>
      <c r="AG208" s="79"/>
      <c r="AH208" s="79"/>
      <c r="AI208" s="79"/>
      <c r="AJ208" s="79"/>
      <c r="AK208" s="79"/>
      <c r="AL208" s="79"/>
    </row>
    <row r="209" spans="1:38" s="74" customFormat="1" x14ac:dyDescent="0.25">
      <c r="A209" s="106"/>
      <c r="B209" s="105"/>
      <c r="C209" s="105"/>
      <c r="D209" s="105"/>
      <c r="E209" s="105"/>
      <c r="F209" s="105"/>
      <c r="H209" s="88">
        <v>204</v>
      </c>
      <c r="I209" s="89" t="str">
        <f t="shared" si="15"/>
        <v/>
      </c>
      <c r="J209" s="89">
        <f t="shared" si="16"/>
        <v>-3</v>
      </c>
      <c r="K209" s="88">
        <f t="shared" si="17"/>
        <v>-30</v>
      </c>
      <c r="L209" s="88"/>
      <c r="M209" s="90">
        <f t="shared" si="18"/>
        <v>0</v>
      </c>
      <c r="S209" s="79"/>
      <c r="T209" s="79"/>
      <c r="U209" s="79"/>
      <c r="V209" s="79"/>
      <c r="W209" s="79"/>
      <c r="X209" s="79"/>
      <c r="Y209" s="79"/>
      <c r="Z209" s="79"/>
      <c r="AA209" s="79"/>
      <c r="AB209" s="79"/>
      <c r="AC209" s="79"/>
      <c r="AD209" s="79"/>
      <c r="AE209" s="79"/>
      <c r="AF209" s="79"/>
      <c r="AG209" s="79"/>
      <c r="AH209" s="79"/>
      <c r="AI209" s="79"/>
      <c r="AJ209" s="79"/>
      <c r="AK209" s="79"/>
      <c r="AL209" s="79"/>
    </row>
    <row r="210" spans="1:38" s="74" customFormat="1" x14ac:dyDescent="0.25">
      <c r="A210" s="106"/>
      <c r="B210" s="105"/>
      <c r="C210" s="105"/>
      <c r="D210" s="105"/>
      <c r="E210" s="105"/>
      <c r="F210" s="105"/>
      <c r="H210" s="88">
        <v>205</v>
      </c>
      <c r="I210" s="89" t="str">
        <f t="shared" si="15"/>
        <v/>
      </c>
      <c r="J210" s="89">
        <f t="shared" si="16"/>
        <v>-3</v>
      </c>
      <c r="K210" s="88">
        <f t="shared" si="17"/>
        <v>-30</v>
      </c>
      <c r="L210" s="88"/>
      <c r="M210" s="90">
        <f t="shared" si="18"/>
        <v>0</v>
      </c>
      <c r="S210" s="79"/>
      <c r="T210" s="79"/>
      <c r="U210" s="79"/>
      <c r="V210" s="79"/>
      <c r="W210" s="79"/>
      <c r="X210" s="79"/>
      <c r="Y210" s="79"/>
      <c r="Z210" s="79"/>
      <c r="AA210" s="79"/>
      <c r="AB210" s="79"/>
      <c r="AC210" s="79"/>
      <c r="AD210" s="79"/>
      <c r="AE210" s="79"/>
      <c r="AF210" s="79"/>
      <c r="AG210" s="79"/>
      <c r="AH210" s="79"/>
      <c r="AI210" s="79"/>
      <c r="AJ210" s="79"/>
      <c r="AK210" s="79"/>
      <c r="AL210" s="79"/>
    </row>
    <row r="211" spans="1:38" s="74" customFormat="1" x14ac:dyDescent="0.25">
      <c r="A211" s="106"/>
      <c r="B211" s="105"/>
      <c r="C211" s="105"/>
      <c r="D211" s="105"/>
      <c r="E211" s="105"/>
      <c r="F211" s="105"/>
      <c r="H211" s="88">
        <v>206</v>
      </c>
      <c r="I211" s="89" t="str">
        <f t="shared" si="15"/>
        <v/>
      </c>
      <c r="J211" s="89">
        <f t="shared" si="16"/>
        <v>-3</v>
      </c>
      <c r="K211" s="88">
        <f t="shared" si="17"/>
        <v>-30</v>
      </c>
      <c r="L211" s="88"/>
      <c r="M211" s="90">
        <f t="shared" si="18"/>
        <v>0</v>
      </c>
      <c r="S211" s="79"/>
      <c r="T211" s="79"/>
      <c r="U211" s="79"/>
      <c r="V211" s="79"/>
      <c r="W211" s="79"/>
      <c r="X211" s="79"/>
      <c r="Y211" s="79"/>
      <c r="Z211" s="79"/>
      <c r="AA211" s="79"/>
      <c r="AB211" s="79"/>
      <c r="AC211" s="79"/>
      <c r="AD211" s="79"/>
      <c r="AE211" s="79"/>
      <c r="AF211" s="79"/>
      <c r="AG211" s="79"/>
      <c r="AH211" s="79"/>
      <c r="AI211" s="79"/>
      <c r="AJ211" s="79"/>
      <c r="AK211" s="79"/>
      <c r="AL211" s="79"/>
    </row>
    <row r="212" spans="1:38" s="74" customFormat="1" x14ac:dyDescent="0.25">
      <c r="A212" s="106"/>
      <c r="B212" s="105"/>
      <c r="C212" s="105"/>
      <c r="D212" s="105"/>
      <c r="E212" s="105"/>
      <c r="F212" s="105"/>
      <c r="H212" s="88">
        <v>207</v>
      </c>
      <c r="I212" s="89" t="str">
        <f t="shared" si="15"/>
        <v/>
      </c>
      <c r="J212" s="89">
        <f t="shared" si="16"/>
        <v>-3</v>
      </c>
      <c r="K212" s="88">
        <f t="shared" si="17"/>
        <v>-30</v>
      </c>
      <c r="L212" s="88"/>
      <c r="M212" s="90">
        <f t="shared" si="18"/>
        <v>0</v>
      </c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</row>
    <row r="213" spans="1:38" s="74" customFormat="1" x14ac:dyDescent="0.25">
      <c r="A213" s="106"/>
      <c r="B213" s="105"/>
      <c r="C213" s="105"/>
      <c r="D213" s="105"/>
      <c r="E213" s="105"/>
      <c r="F213" s="105"/>
      <c r="H213" s="88">
        <v>208</v>
      </c>
      <c r="I213" s="89" t="str">
        <f t="shared" si="15"/>
        <v/>
      </c>
      <c r="J213" s="89">
        <f t="shared" si="16"/>
        <v>-3</v>
      </c>
      <c r="K213" s="88">
        <f t="shared" si="17"/>
        <v>-30</v>
      </c>
      <c r="L213" s="88"/>
      <c r="M213" s="90">
        <f t="shared" si="18"/>
        <v>0</v>
      </c>
      <c r="S213" s="79"/>
      <c r="T213" s="79"/>
      <c r="U213" s="79"/>
      <c r="V213" s="79"/>
      <c r="W213" s="79"/>
      <c r="X213" s="79"/>
      <c r="Y213" s="79"/>
      <c r="Z213" s="79"/>
      <c r="AA213" s="79"/>
      <c r="AB213" s="79"/>
      <c r="AC213" s="79"/>
      <c r="AD213" s="79"/>
      <c r="AE213" s="79"/>
      <c r="AF213" s="79"/>
      <c r="AG213" s="79"/>
      <c r="AH213" s="79"/>
      <c r="AI213" s="79"/>
      <c r="AJ213" s="79"/>
      <c r="AK213" s="79"/>
      <c r="AL213" s="79"/>
    </row>
    <row r="214" spans="1:38" s="74" customFormat="1" x14ac:dyDescent="0.25">
      <c r="A214" s="106"/>
      <c r="B214" s="105"/>
      <c r="C214" s="105"/>
      <c r="D214" s="105"/>
      <c r="E214" s="105"/>
      <c r="F214" s="105"/>
      <c r="H214" s="88">
        <v>209</v>
      </c>
      <c r="I214" s="89" t="str">
        <f t="shared" si="15"/>
        <v/>
      </c>
      <c r="J214" s="89">
        <f t="shared" si="16"/>
        <v>-3</v>
      </c>
      <c r="K214" s="88">
        <f t="shared" si="17"/>
        <v>-30</v>
      </c>
      <c r="L214" s="88"/>
      <c r="M214" s="90">
        <f t="shared" si="18"/>
        <v>0</v>
      </c>
      <c r="S214" s="79"/>
      <c r="T214" s="79"/>
      <c r="U214" s="79"/>
      <c r="V214" s="79"/>
      <c r="W214" s="79"/>
      <c r="X214" s="79"/>
      <c r="Y214" s="79"/>
      <c r="Z214" s="79"/>
      <c r="AA214" s="79"/>
      <c r="AB214" s="79"/>
      <c r="AC214" s="79"/>
      <c r="AD214" s="79"/>
      <c r="AE214" s="79"/>
      <c r="AF214" s="79"/>
      <c r="AG214" s="79"/>
      <c r="AH214" s="79"/>
      <c r="AI214" s="79"/>
      <c r="AJ214" s="79"/>
      <c r="AK214" s="79"/>
      <c r="AL214" s="79"/>
    </row>
    <row r="215" spans="1:38" s="74" customFormat="1" x14ac:dyDescent="0.25">
      <c r="A215" s="106"/>
      <c r="B215" s="105"/>
      <c r="C215" s="105"/>
      <c r="D215" s="105"/>
      <c r="E215" s="105"/>
      <c r="F215" s="105"/>
      <c r="H215" s="88">
        <v>210</v>
      </c>
      <c r="I215" s="89" t="str">
        <f t="shared" si="15"/>
        <v/>
      </c>
      <c r="J215" s="89">
        <f t="shared" si="16"/>
        <v>-3</v>
      </c>
      <c r="K215" s="88">
        <f t="shared" si="17"/>
        <v>-30</v>
      </c>
      <c r="L215" s="88"/>
      <c r="M215" s="90">
        <f t="shared" si="18"/>
        <v>0</v>
      </c>
      <c r="S215" s="79"/>
      <c r="T215" s="79"/>
      <c r="U215" s="79"/>
      <c r="V215" s="79"/>
      <c r="W215" s="79"/>
      <c r="X215" s="79"/>
      <c r="Y215" s="79"/>
      <c r="Z215" s="79"/>
      <c r="AA215" s="79"/>
      <c r="AB215" s="79"/>
      <c r="AC215" s="79"/>
      <c r="AD215" s="79"/>
      <c r="AE215" s="79"/>
      <c r="AF215" s="79"/>
      <c r="AG215" s="79"/>
      <c r="AH215" s="79"/>
      <c r="AI215" s="79"/>
      <c r="AJ215" s="79"/>
      <c r="AK215" s="79"/>
      <c r="AL215" s="79"/>
    </row>
    <row r="216" spans="1:38" s="74" customFormat="1" x14ac:dyDescent="0.25">
      <c r="A216" s="106"/>
      <c r="B216" s="105"/>
      <c r="C216" s="105"/>
      <c r="D216" s="105"/>
      <c r="E216" s="105"/>
      <c r="F216" s="105"/>
      <c r="H216" s="88">
        <v>211</v>
      </c>
      <c r="I216" s="89" t="str">
        <f t="shared" si="15"/>
        <v/>
      </c>
      <c r="J216" s="89">
        <f t="shared" si="16"/>
        <v>-3</v>
      </c>
      <c r="K216" s="88">
        <f t="shared" si="17"/>
        <v>-30</v>
      </c>
      <c r="L216" s="88"/>
      <c r="M216" s="90">
        <f t="shared" si="18"/>
        <v>0</v>
      </c>
      <c r="S216" s="79"/>
      <c r="T216" s="79"/>
      <c r="U216" s="79"/>
      <c r="V216" s="79"/>
      <c r="W216" s="79"/>
      <c r="X216" s="79"/>
      <c r="Y216" s="79"/>
      <c r="Z216" s="79"/>
      <c r="AA216" s="79"/>
      <c r="AB216" s="79"/>
      <c r="AC216" s="79"/>
      <c r="AD216" s="79"/>
      <c r="AE216" s="79"/>
      <c r="AF216" s="79"/>
      <c r="AG216" s="79"/>
      <c r="AH216" s="79"/>
      <c r="AI216" s="79"/>
      <c r="AJ216" s="79"/>
      <c r="AK216" s="79"/>
      <c r="AL216" s="79"/>
    </row>
    <row r="217" spans="1:38" s="74" customFormat="1" x14ac:dyDescent="0.25">
      <c r="A217" s="106"/>
      <c r="B217" s="105"/>
      <c r="C217" s="105"/>
      <c r="D217" s="105"/>
      <c r="E217" s="105"/>
      <c r="F217" s="105"/>
      <c r="H217" s="88">
        <v>212</v>
      </c>
      <c r="I217" s="89" t="str">
        <f t="shared" si="15"/>
        <v/>
      </c>
      <c r="J217" s="89">
        <f t="shared" si="16"/>
        <v>-3</v>
      </c>
      <c r="K217" s="88">
        <f t="shared" si="17"/>
        <v>-30</v>
      </c>
      <c r="L217" s="88"/>
      <c r="M217" s="90">
        <f t="shared" si="18"/>
        <v>0</v>
      </c>
      <c r="S217" s="79"/>
      <c r="T217" s="79"/>
      <c r="U217" s="79"/>
      <c r="V217" s="79"/>
      <c r="W217" s="79"/>
      <c r="X217" s="79"/>
      <c r="Y217" s="79"/>
      <c r="Z217" s="79"/>
      <c r="AA217" s="79"/>
      <c r="AB217" s="79"/>
      <c r="AC217" s="79"/>
      <c r="AD217" s="79"/>
      <c r="AE217" s="79"/>
      <c r="AF217" s="79"/>
      <c r="AG217" s="79"/>
      <c r="AH217" s="79"/>
      <c r="AI217" s="79"/>
      <c r="AJ217" s="79"/>
      <c r="AK217" s="79"/>
      <c r="AL217" s="79"/>
    </row>
    <row r="218" spans="1:38" s="74" customFormat="1" x14ac:dyDescent="0.25">
      <c r="A218" s="106"/>
      <c r="B218" s="105"/>
      <c r="C218" s="105"/>
      <c r="D218" s="105"/>
      <c r="E218" s="105"/>
      <c r="F218" s="105"/>
      <c r="H218" s="88">
        <v>213</v>
      </c>
      <c r="I218" s="89" t="str">
        <f t="shared" si="15"/>
        <v/>
      </c>
      <c r="J218" s="89">
        <f t="shared" si="16"/>
        <v>-3</v>
      </c>
      <c r="K218" s="88">
        <f t="shared" si="17"/>
        <v>-30</v>
      </c>
      <c r="L218" s="88"/>
      <c r="M218" s="90">
        <f t="shared" si="18"/>
        <v>0</v>
      </c>
      <c r="S218" s="79"/>
      <c r="T218" s="79"/>
      <c r="U218" s="79"/>
      <c r="V218" s="79"/>
      <c r="W218" s="79"/>
      <c r="X218" s="79"/>
      <c r="Y218" s="79"/>
      <c r="Z218" s="79"/>
      <c r="AA218" s="79"/>
      <c r="AB218" s="79"/>
      <c r="AC218" s="79"/>
      <c r="AD218" s="79"/>
      <c r="AE218" s="79"/>
      <c r="AF218" s="79"/>
      <c r="AG218" s="79"/>
      <c r="AH218" s="79"/>
      <c r="AI218" s="79"/>
      <c r="AJ218" s="79"/>
      <c r="AK218" s="79"/>
      <c r="AL218" s="79"/>
    </row>
    <row r="219" spans="1:38" s="74" customFormat="1" x14ac:dyDescent="0.25">
      <c r="A219" s="106"/>
      <c r="B219" s="105"/>
      <c r="C219" s="105"/>
      <c r="D219" s="105"/>
      <c r="E219" s="105"/>
      <c r="F219" s="105"/>
      <c r="H219" s="88">
        <v>214</v>
      </c>
      <c r="I219" s="89" t="str">
        <f t="shared" si="15"/>
        <v/>
      </c>
      <c r="J219" s="89">
        <f t="shared" si="16"/>
        <v>-3</v>
      </c>
      <c r="K219" s="88">
        <f t="shared" si="17"/>
        <v>-30</v>
      </c>
      <c r="L219" s="88"/>
      <c r="M219" s="90">
        <f t="shared" si="18"/>
        <v>0</v>
      </c>
      <c r="S219" s="79"/>
      <c r="T219" s="79"/>
      <c r="U219" s="79"/>
      <c r="V219" s="79"/>
      <c r="W219" s="79"/>
      <c r="X219" s="79"/>
      <c r="Y219" s="79"/>
      <c r="Z219" s="79"/>
      <c r="AA219" s="79"/>
      <c r="AB219" s="79"/>
      <c r="AC219" s="79"/>
      <c r="AD219" s="79"/>
      <c r="AE219" s="79"/>
      <c r="AF219" s="79"/>
      <c r="AG219" s="79"/>
      <c r="AH219" s="79"/>
      <c r="AI219" s="79"/>
      <c r="AJ219" s="79"/>
      <c r="AK219" s="79"/>
      <c r="AL219" s="79"/>
    </row>
    <row r="220" spans="1:38" s="74" customFormat="1" x14ac:dyDescent="0.25">
      <c r="A220" s="106"/>
      <c r="B220" s="105"/>
      <c r="C220" s="105"/>
      <c r="D220" s="105"/>
      <c r="E220" s="105"/>
      <c r="F220" s="105"/>
      <c r="H220" s="88">
        <v>215</v>
      </c>
      <c r="I220" s="89" t="str">
        <f t="shared" si="15"/>
        <v/>
      </c>
      <c r="J220" s="89">
        <f t="shared" si="16"/>
        <v>-3</v>
      </c>
      <c r="K220" s="88">
        <f t="shared" si="17"/>
        <v>-30</v>
      </c>
      <c r="L220" s="88"/>
      <c r="M220" s="90">
        <f t="shared" si="18"/>
        <v>0</v>
      </c>
      <c r="S220" s="79"/>
      <c r="T220" s="79"/>
      <c r="U220" s="79"/>
      <c r="V220" s="79"/>
      <c r="W220" s="79"/>
      <c r="X220" s="79"/>
      <c r="Y220" s="79"/>
      <c r="Z220" s="79"/>
      <c r="AA220" s="79"/>
      <c r="AB220" s="79"/>
      <c r="AC220" s="79"/>
      <c r="AD220" s="79"/>
      <c r="AE220" s="79"/>
      <c r="AF220" s="79"/>
      <c r="AG220" s="79"/>
      <c r="AH220" s="79"/>
      <c r="AI220" s="79"/>
      <c r="AJ220" s="79"/>
      <c r="AK220" s="79"/>
      <c r="AL220" s="79"/>
    </row>
    <row r="221" spans="1:38" s="74" customFormat="1" x14ac:dyDescent="0.25">
      <c r="A221" s="106"/>
      <c r="B221" s="105"/>
      <c r="C221" s="105"/>
      <c r="D221" s="105"/>
      <c r="E221" s="105"/>
      <c r="F221" s="105"/>
      <c r="H221" s="88">
        <v>216</v>
      </c>
      <c r="I221" s="89" t="str">
        <f t="shared" si="15"/>
        <v/>
      </c>
      <c r="J221" s="89">
        <f t="shared" si="16"/>
        <v>-3</v>
      </c>
      <c r="K221" s="88">
        <f t="shared" si="17"/>
        <v>-30</v>
      </c>
      <c r="L221" s="88"/>
      <c r="M221" s="90">
        <f t="shared" si="18"/>
        <v>0</v>
      </c>
      <c r="S221" s="79"/>
      <c r="T221" s="79"/>
      <c r="U221" s="79"/>
      <c r="V221" s="79"/>
      <c r="W221" s="79"/>
      <c r="X221" s="79"/>
      <c r="Y221" s="79"/>
      <c r="Z221" s="79"/>
      <c r="AA221" s="79"/>
      <c r="AB221" s="79"/>
      <c r="AC221" s="79"/>
      <c r="AD221" s="79"/>
      <c r="AE221" s="79"/>
      <c r="AF221" s="79"/>
      <c r="AG221" s="79"/>
      <c r="AH221" s="79"/>
      <c r="AI221" s="79"/>
      <c r="AJ221" s="79"/>
      <c r="AK221" s="79"/>
      <c r="AL221" s="79"/>
    </row>
    <row r="222" spans="1:38" s="74" customFormat="1" x14ac:dyDescent="0.25">
      <c r="A222" s="106"/>
      <c r="B222" s="105"/>
      <c r="C222" s="105"/>
      <c r="D222" s="105"/>
      <c r="E222" s="105"/>
      <c r="F222" s="105"/>
      <c r="H222" s="88">
        <v>217</v>
      </c>
      <c r="I222" s="89" t="str">
        <f t="shared" si="15"/>
        <v/>
      </c>
      <c r="J222" s="89">
        <f t="shared" si="16"/>
        <v>-3</v>
      </c>
      <c r="K222" s="88">
        <f t="shared" si="17"/>
        <v>-30</v>
      </c>
      <c r="L222" s="88"/>
      <c r="M222" s="90">
        <f t="shared" si="18"/>
        <v>0</v>
      </c>
      <c r="S222" s="79"/>
      <c r="T222" s="79"/>
      <c r="U222" s="79"/>
      <c r="V222" s="79"/>
      <c r="W222" s="79"/>
      <c r="X222" s="79"/>
      <c r="Y222" s="79"/>
      <c r="Z222" s="79"/>
      <c r="AA222" s="79"/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</row>
    <row r="223" spans="1:38" s="74" customFormat="1" x14ac:dyDescent="0.25">
      <c r="A223" s="106"/>
      <c r="B223" s="105"/>
      <c r="C223" s="105"/>
      <c r="D223" s="105"/>
      <c r="E223" s="105"/>
      <c r="F223" s="105"/>
      <c r="H223" s="88">
        <v>218</v>
      </c>
      <c r="I223" s="89" t="str">
        <f t="shared" si="15"/>
        <v/>
      </c>
      <c r="J223" s="89">
        <f t="shared" si="16"/>
        <v>-3</v>
      </c>
      <c r="K223" s="88">
        <f t="shared" si="17"/>
        <v>-30</v>
      </c>
      <c r="L223" s="88"/>
      <c r="M223" s="90">
        <f t="shared" si="18"/>
        <v>0</v>
      </c>
      <c r="S223" s="79"/>
      <c r="T223" s="79"/>
      <c r="U223" s="79"/>
      <c r="V223" s="79"/>
      <c r="W223" s="79"/>
      <c r="X223" s="79"/>
      <c r="Y223" s="79"/>
      <c r="Z223" s="79"/>
      <c r="AA223" s="79"/>
      <c r="AB223" s="79"/>
      <c r="AC223" s="79"/>
      <c r="AD223" s="79"/>
      <c r="AE223" s="79"/>
      <c r="AF223" s="79"/>
      <c r="AG223" s="79"/>
      <c r="AH223" s="79"/>
      <c r="AI223" s="79"/>
      <c r="AJ223" s="79"/>
      <c r="AK223" s="79"/>
      <c r="AL223" s="79"/>
    </row>
    <row r="224" spans="1:38" s="74" customFormat="1" x14ac:dyDescent="0.25">
      <c r="A224" s="106"/>
      <c r="B224" s="105"/>
      <c r="C224" s="105"/>
      <c r="D224" s="105"/>
      <c r="E224" s="105"/>
      <c r="F224" s="105"/>
      <c r="H224" s="88">
        <v>219</v>
      </c>
      <c r="I224" s="89" t="str">
        <f t="shared" si="15"/>
        <v/>
      </c>
      <c r="J224" s="89">
        <f t="shared" si="16"/>
        <v>-3</v>
      </c>
      <c r="K224" s="88">
        <f t="shared" si="17"/>
        <v>-30</v>
      </c>
      <c r="L224" s="88"/>
      <c r="M224" s="90">
        <f t="shared" si="18"/>
        <v>0</v>
      </c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</row>
    <row r="225" spans="1:38" s="74" customFormat="1" x14ac:dyDescent="0.25">
      <c r="A225" s="106"/>
      <c r="B225" s="105"/>
      <c r="C225" s="105"/>
      <c r="D225" s="105"/>
      <c r="E225" s="105"/>
      <c r="F225" s="105"/>
      <c r="H225" s="88">
        <v>220</v>
      </c>
      <c r="I225" s="89" t="str">
        <f t="shared" si="15"/>
        <v/>
      </c>
      <c r="J225" s="89">
        <f t="shared" si="16"/>
        <v>-3</v>
      </c>
      <c r="K225" s="88">
        <f t="shared" si="17"/>
        <v>-30</v>
      </c>
      <c r="L225" s="88"/>
      <c r="M225" s="90">
        <f t="shared" si="18"/>
        <v>0</v>
      </c>
      <c r="S225" s="79"/>
      <c r="T225" s="79"/>
      <c r="U225" s="79"/>
      <c r="V225" s="79"/>
      <c r="W225" s="79"/>
      <c r="X225" s="79"/>
      <c r="Y225" s="79"/>
      <c r="Z225" s="79"/>
      <c r="AA225" s="79"/>
      <c r="AB225" s="79"/>
      <c r="AC225" s="79"/>
      <c r="AD225" s="79"/>
      <c r="AE225" s="79"/>
      <c r="AF225" s="79"/>
      <c r="AG225" s="79"/>
      <c r="AH225" s="79"/>
      <c r="AI225" s="79"/>
      <c r="AJ225" s="79"/>
      <c r="AK225" s="79"/>
      <c r="AL225" s="79"/>
    </row>
    <row r="226" spans="1:38" s="74" customFormat="1" x14ac:dyDescent="0.25">
      <c r="A226" s="106"/>
      <c r="B226" s="105"/>
      <c r="C226" s="105"/>
      <c r="D226" s="105"/>
      <c r="E226" s="105"/>
      <c r="F226" s="105"/>
      <c r="H226" s="88">
        <v>221</v>
      </c>
      <c r="I226" s="89" t="str">
        <f t="shared" si="15"/>
        <v/>
      </c>
      <c r="J226" s="89">
        <f t="shared" si="16"/>
        <v>-3</v>
      </c>
      <c r="K226" s="88">
        <f t="shared" si="17"/>
        <v>-30</v>
      </c>
      <c r="L226" s="88"/>
      <c r="M226" s="90">
        <f t="shared" si="18"/>
        <v>0</v>
      </c>
      <c r="S226" s="79"/>
      <c r="T226" s="79"/>
      <c r="U226" s="79"/>
      <c r="V226" s="79"/>
      <c r="W226" s="79"/>
      <c r="X226" s="79"/>
      <c r="Y226" s="79"/>
      <c r="Z226" s="79"/>
      <c r="AA226" s="79"/>
      <c r="AB226" s="79"/>
      <c r="AC226" s="79"/>
      <c r="AD226" s="79"/>
      <c r="AE226" s="79"/>
      <c r="AF226" s="79"/>
      <c r="AG226" s="79"/>
      <c r="AH226" s="79"/>
      <c r="AI226" s="79"/>
      <c r="AJ226" s="79"/>
      <c r="AK226" s="79"/>
      <c r="AL226" s="79"/>
    </row>
    <row r="227" spans="1:38" s="74" customFormat="1" x14ac:dyDescent="0.25">
      <c r="A227" s="106"/>
      <c r="B227" s="105"/>
      <c r="C227" s="105"/>
      <c r="D227" s="105"/>
      <c r="E227" s="105"/>
      <c r="F227" s="105"/>
      <c r="H227" s="88">
        <v>222</v>
      </c>
      <c r="I227" s="89" t="str">
        <f t="shared" si="15"/>
        <v/>
      </c>
      <c r="J227" s="89">
        <f t="shared" si="16"/>
        <v>-3</v>
      </c>
      <c r="K227" s="88">
        <f t="shared" si="17"/>
        <v>-30</v>
      </c>
      <c r="L227" s="88"/>
      <c r="M227" s="90">
        <f t="shared" si="18"/>
        <v>0</v>
      </c>
      <c r="S227" s="79"/>
      <c r="T227" s="79"/>
      <c r="U227" s="79"/>
      <c r="V227" s="79"/>
      <c r="W227" s="79"/>
      <c r="X227" s="79"/>
      <c r="Y227" s="79"/>
      <c r="Z227" s="79"/>
      <c r="AA227" s="79"/>
      <c r="AB227" s="79"/>
      <c r="AC227" s="79"/>
      <c r="AD227" s="79"/>
      <c r="AE227" s="79"/>
      <c r="AF227" s="79"/>
      <c r="AG227" s="79"/>
      <c r="AH227" s="79"/>
      <c r="AI227" s="79"/>
      <c r="AJ227" s="79"/>
      <c r="AK227" s="79"/>
      <c r="AL227" s="79"/>
    </row>
    <row r="228" spans="1:38" s="74" customFormat="1" x14ac:dyDescent="0.25">
      <c r="A228" s="106"/>
      <c r="B228" s="105"/>
      <c r="C228" s="105"/>
      <c r="D228" s="105"/>
      <c r="E228" s="105"/>
      <c r="F228" s="105"/>
      <c r="H228" s="88">
        <v>223</v>
      </c>
      <c r="I228" s="89" t="str">
        <f t="shared" si="15"/>
        <v/>
      </c>
      <c r="J228" s="89">
        <f t="shared" si="16"/>
        <v>-3</v>
      </c>
      <c r="K228" s="88">
        <f t="shared" si="17"/>
        <v>-30</v>
      </c>
      <c r="L228" s="88"/>
      <c r="M228" s="90">
        <f t="shared" si="18"/>
        <v>0</v>
      </c>
      <c r="S228" s="79"/>
      <c r="T228" s="79"/>
      <c r="U228" s="79"/>
      <c r="V228" s="79"/>
      <c r="W228" s="79"/>
      <c r="X228" s="79"/>
      <c r="Y228" s="79"/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J228" s="79"/>
      <c r="AK228" s="79"/>
      <c r="AL228" s="79"/>
    </row>
    <row r="229" spans="1:38" s="74" customFormat="1" x14ac:dyDescent="0.25">
      <c r="A229" s="106"/>
      <c r="B229" s="105"/>
      <c r="C229" s="105"/>
      <c r="D229" s="105"/>
      <c r="E229" s="105"/>
      <c r="F229" s="105"/>
      <c r="H229" s="88">
        <v>224</v>
      </c>
      <c r="I229" s="89" t="str">
        <f t="shared" si="15"/>
        <v/>
      </c>
      <c r="J229" s="89">
        <f t="shared" si="16"/>
        <v>-3</v>
      </c>
      <c r="K229" s="88">
        <f t="shared" si="17"/>
        <v>-30</v>
      </c>
      <c r="L229" s="88"/>
      <c r="M229" s="90">
        <f t="shared" si="18"/>
        <v>0</v>
      </c>
      <c r="S229" s="79"/>
      <c r="T229" s="79"/>
      <c r="U229" s="79"/>
      <c r="V229" s="79"/>
      <c r="W229" s="79"/>
      <c r="X229" s="79"/>
      <c r="Y229" s="79"/>
      <c r="Z229" s="79"/>
      <c r="AA229" s="79"/>
      <c r="AB229" s="79"/>
      <c r="AC229" s="79"/>
      <c r="AD229" s="79"/>
      <c r="AE229" s="79"/>
      <c r="AF229" s="79"/>
      <c r="AG229" s="79"/>
      <c r="AH229" s="79"/>
      <c r="AI229" s="79"/>
      <c r="AJ229" s="79"/>
      <c r="AK229" s="79"/>
      <c r="AL229" s="79"/>
    </row>
    <row r="230" spans="1:38" s="74" customFormat="1" x14ac:dyDescent="0.25">
      <c r="A230" s="106"/>
      <c r="B230" s="105"/>
      <c r="C230" s="105"/>
      <c r="D230" s="105"/>
      <c r="E230" s="105"/>
      <c r="F230" s="105"/>
      <c r="H230" s="88">
        <v>225</v>
      </c>
      <c r="I230" s="89" t="str">
        <f t="shared" si="15"/>
        <v/>
      </c>
      <c r="J230" s="89">
        <f t="shared" si="16"/>
        <v>-3</v>
      </c>
      <c r="K230" s="88">
        <f t="shared" si="17"/>
        <v>-30</v>
      </c>
      <c r="L230" s="88"/>
      <c r="M230" s="90">
        <f t="shared" si="18"/>
        <v>0</v>
      </c>
      <c r="S230" s="79"/>
      <c r="T230" s="79"/>
      <c r="U230" s="79"/>
      <c r="V230" s="79"/>
      <c r="W230" s="79"/>
      <c r="X230" s="79"/>
      <c r="Y230" s="79"/>
      <c r="Z230" s="79"/>
      <c r="AA230" s="79"/>
      <c r="AB230" s="79"/>
      <c r="AC230" s="79"/>
      <c r="AD230" s="79"/>
      <c r="AE230" s="79"/>
      <c r="AF230" s="79"/>
      <c r="AG230" s="79"/>
      <c r="AH230" s="79"/>
      <c r="AI230" s="79"/>
      <c r="AJ230" s="79"/>
      <c r="AK230" s="79"/>
      <c r="AL230" s="79"/>
    </row>
    <row r="231" spans="1:38" s="74" customFormat="1" x14ac:dyDescent="0.25">
      <c r="A231" s="106"/>
      <c r="B231" s="105"/>
      <c r="C231" s="105"/>
      <c r="D231" s="105"/>
      <c r="E231" s="105"/>
      <c r="F231" s="105"/>
      <c r="H231" s="88">
        <v>226</v>
      </c>
      <c r="I231" s="89" t="str">
        <f t="shared" si="15"/>
        <v/>
      </c>
      <c r="J231" s="89">
        <f t="shared" si="16"/>
        <v>-3</v>
      </c>
      <c r="K231" s="88">
        <f t="shared" si="17"/>
        <v>-30</v>
      </c>
      <c r="L231" s="88"/>
      <c r="M231" s="90">
        <f t="shared" si="18"/>
        <v>0</v>
      </c>
      <c r="S231" s="79"/>
      <c r="T231" s="79"/>
      <c r="U231" s="79"/>
      <c r="V231" s="79"/>
      <c r="W231" s="79"/>
      <c r="X231" s="79"/>
      <c r="Y231" s="79"/>
      <c r="Z231" s="79"/>
      <c r="AA231" s="79"/>
      <c r="AB231" s="79"/>
      <c r="AC231" s="79"/>
      <c r="AD231" s="79"/>
      <c r="AE231" s="79"/>
      <c r="AF231" s="79"/>
      <c r="AG231" s="79"/>
      <c r="AH231" s="79"/>
      <c r="AI231" s="79"/>
      <c r="AJ231" s="79"/>
      <c r="AK231" s="79"/>
      <c r="AL231" s="79"/>
    </row>
    <row r="232" spans="1:38" s="74" customFormat="1" x14ac:dyDescent="0.25">
      <c r="A232" s="106"/>
      <c r="B232" s="105"/>
      <c r="C232" s="105"/>
      <c r="D232" s="105"/>
      <c r="E232" s="105"/>
      <c r="F232" s="105"/>
      <c r="H232" s="88">
        <v>227</v>
      </c>
      <c r="I232" s="89" t="str">
        <f t="shared" si="15"/>
        <v/>
      </c>
      <c r="J232" s="89">
        <f t="shared" si="16"/>
        <v>-3</v>
      </c>
      <c r="K232" s="88">
        <f t="shared" si="17"/>
        <v>-30</v>
      </c>
      <c r="L232" s="88"/>
      <c r="M232" s="90">
        <f t="shared" si="18"/>
        <v>0</v>
      </c>
      <c r="S232" s="79"/>
      <c r="T232" s="79"/>
      <c r="U232" s="79"/>
      <c r="V232" s="79"/>
      <c r="W232" s="79"/>
      <c r="X232" s="79"/>
      <c r="Y232" s="79"/>
      <c r="Z232" s="79"/>
      <c r="AA232" s="79"/>
      <c r="AB232" s="79"/>
      <c r="AC232" s="79"/>
      <c r="AD232" s="79"/>
      <c r="AE232" s="79"/>
      <c r="AF232" s="79"/>
      <c r="AG232" s="79"/>
      <c r="AH232" s="79"/>
      <c r="AI232" s="79"/>
      <c r="AJ232" s="79"/>
      <c r="AK232" s="79"/>
      <c r="AL232" s="79"/>
    </row>
    <row r="233" spans="1:38" s="74" customFormat="1" x14ac:dyDescent="0.25">
      <c r="A233" s="106"/>
      <c r="B233" s="105"/>
      <c r="C233" s="105"/>
      <c r="D233" s="105"/>
      <c r="E233" s="105"/>
      <c r="F233" s="105"/>
      <c r="H233" s="88">
        <v>228</v>
      </c>
      <c r="I233" s="89" t="str">
        <f t="shared" si="15"/>
        <v/>
      </c>
      <c r="J233" s="89">
        <f t="shared" si="16"/>
        <v>-3</v>
      </c>
      <c r="K233" s="88">
        <f t="shared" si="17"/>
        <v>-30</v>
      </c>
      <c r="L233" s="88"/>
      <c r="M233" s="90">
        <f t="shared" si="18"/>
        <v>0</v>
      </c>
      <c r="S233" s="79"/>
      <c r="T233" s="79"/>
      <c r="U233" s="79"/>
      <c r="V233" s="79"/>
      <c r="W233" s="79"/>
      <c r="X233" s="79"/>
      <c r="Y233" s="79"/>
      <c r="Z233" s="79"/>
      <c r="AA233" s="79"/>
      <c r="AB233" s="79"/>
      <c r="AC233" s="79"/>
      <c r="AD233" s="79"/>
      <c r="AE233" s="79"/>
      <c r="AF233" s="79"/>
      <c r="AG233" s="79"/>
      <c r="AH233" s="79"/>
      <c r="AI233" s="79"/>
      <c r="AJ233" s="79"/>
      <c r="AK233" s="79"/>
      <c r="AL233" s="79"/>
    </row>
    <row r="234" spans="1:38" s="74" customFormat="1" x14ac:dyDescent="0.25">
      <c r="A234" s="106"/>
      <c r="B234" s="105"/>
      <c r="C234" s="105"/>
      <c r="D234" s="105"/>
      <c r="E234" s="105"/>
      <c r="F234" s="105"/>
      <c r="H234" s="88">
        <v>229</v>
      </c>
      <c r="I234" s="89" t="str">
        <f t="shared" si="15"/>
        <v/>
      </c>
      <c r="J234" s="89">
        <f t="shared" si="16"/>
        <v>-3</v>
      </c>
      <c r="K234" s="88">
        <f t="shared" si="17"/>
        <v>-30</v>
      </c>
      <c r="L234" s="88"/>
      <c r="M234" s="90">
        <f t="shared" si="18"/>
        <v>0</v>
      </c>
      <c r="S234" s="79"/>
      <c r="T234" s="79"/>
      <c r="U234" s="79"/>
      <c r="V234" s="79"/>
      <c r="W234" s="79"/>
      <c r="X234" s="79"/>
      <c r="Y234" s="79"/>
      <c r="Z234" s="79"/>
      <c r="AA234" s="79"/>
      <c r="AB234" s="79"/>
      <c r="AC234" s="79"/>
      <c r="AD234" s="79"/>
      <c r="AE234" s="79"/>
      <c r="AF234" s="79"/>
      <c r="AG234" s="79"/>
      <c r="AH234" s="79"/>
      <c r="AI234" s="79"/>
      <c r="AJ234" s="79"/>
      <c r="AK234" s="79"/>
      <c r="AL234" s="79"/>
    </row>
    <row r="235" spans="1:38" s="74" customFormat="1" x14ac:dyDescent="0.25">
      <c r="A235" s="106"/>
      <c r="B235" s="105"/>
      <c r="C235" s="105"/>
      <c r="D235" s="105"/>
      <c r="E235" s="105"/>
      <c r="F235" s="105"/>
      <c r="H235" s="88">
        <v>230</v>
      </c>
      <c r="I235" s="89" t="str">
        <f t="shared" si="15"/>
        <v/>
      </c>
      <c r="J235" s="89">
        <f t="shared" si="16"/>
        <v>-3</v>
      </c>
      <c r="K235" s="88">
        <f t="shared" si="17"/>
        <v>-30</v>
      </c>
      <c r="L235" s="88"/>
      <c r="M235" s="90">
        <f t="shared" si="18"/>
        <v>0</v>
      </c>
      <c r="S235" s="79"/>
      <c r="T235" s="79"/>
      <c r="U235" s="79"/>
      <c r="V235" s="79"/>
      <c r="W235" s="79"/>
      <c r="X235" s="79"/>
      <c r="Y235" s="79"/>
      <c r="Z235" s="79"/>
      <c r="AA235" s="79"/>
      <c r="AB235" s="79"/>
      <c r="AC235" s="79"/>
      <c r="AD235" s="79"/>
      <c r="AE235" s="79"/>
      <c r="AF235" s="79"/>
      <c r="AG235" s="79"/>
      <c r="AH235" s="79"/>
      <c r="AI235" s="79"/>
      <c r="AJ235" s="79"/>
      <c r="AK235" s="79"/>
      <c r="AL235" s="79"/>
    </row>
    <row r="236" spans="1:38" s="74" customFormat="1" x14ac:dyDescent="0.25">
      <c r="A236" s="106"/>
      <c r="B236" s="105"/>
      <c r="C236" s="105"/>
      <c r="D236" s="105"/>
      <c r="E236" s="105"/>
      <c r="F236" s="105"/>
      <c r="H236" s="88">
        <v>231</v>
      </c>
      <c r="I236" s="89" t="str">
        <f t="shared" si="15"/>
        <v/>
      </c>
      <c r="J236" s="89">
        <f t="shared" si="16"/>
        <v>-3</v>
      </c>
      <c r="K236" s="88">
        <f t="shared" si="17"/>
        <v>-30</v>
      </c>
      <c r="L236" s="88"/>
      <c r="M236" s="90">
        <f t="shared" si="18"/>
        <v>0</v>
      </c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</row>
    <row r="237" spans="1:38" s="74" customFormat="1" x14ac:dyDescent="0.25">
      <c r="A237" s="106"/>
      <c r="B237" s="105"/>
      <c r="C237" s="105"/>
      <c r="D237" s="105"/>
      <c r="E237" s="105"/>
      <c r="F237" s="105"/>
      <c r="H237" s="88">
        <v>232</v>
      </c>
      <c r="I237" s="89" t="str">
        <f t="shared" si="15"/>
        <v/>
      </c>
      <c r="J237" s="89">
        <f t="shared" si="16"/>
        <v>-3</v>
      </c>
      <c r="K237" s="88">
        <f t="shared" si="17"/>
        <v>-30</v>
      </c>
      <c r="L237" s="88"/>
      <c r="M237" s="90">
        <f t="shared" si="18"/>
        <v>0</v>
      </c>
      <c r="S237" s="79"/>
      <c r="T237" s="79"/>
      <c r="U237" s="79"/>
      <c r="V237" s="79"/>
      <c r="W237" s="79"/>
      <c r="X237" s="79"/>
      <c r="Y237" s="79"/>
      <c r="Z237" s="79"/>
      <c r="AA237" s="79"/>
      <c r="AB237" s="79"/>
      <c r="AC237" s="79"/>
      <c r="AD237" s="79"/>
      <c r="AE237" s="79"/>
      <c r="AF237" s="79"/>
      <c r="AG237" s="79"/>
      <c r="AH237" s="79"/>
      <c r="AI237" s="79"/>
      <c r="AJ237" s="79"/>
      <c r="AK237" s="79"/>
      <c r="AL237" s="79"/>
    </row>
    <row r="238" spans="1:38" s="74" customFormat="1" x14ac:dyDescent="0.25">
      <c r="A238" s="106"/>
      <c r="B238" s="105"/>
      <c r="C238" s="105"/>
      <c r="D238" s="105"/>
      <c r="E238" s="105"/>
      <c r="F238" s="105"/>
      <c r="H238" s="88">
        <v>233</v>
      </c>
      <c r="I238" s="89" t="str">
        <f t="shared" si="15"/>
        <v/>
      </c>
      <c r="J238" s="89">
        <f t="shared" si="16"/>
        <v>-3</v>
      </c>
      <c r="K238" s="88">
        <f t="shared" si="17"/>
        <v>-30</v>
      </c>
      <c r="L238" s="88"/>
      <c r="M238" s="90">
        <f t="shared" si="18"/>
        <v>0</v>
      </c>
      <c r="S238" s="79"/>
      <c r="T238" s="79"/>
      <c r="U238" s="79"/>
      <c r="V238" s="79"/>
      <c r="W238" s="79"/>
      <c r="X238" s="79"/>
      <c r="Y238" s="79"/>
      <c r="Z238" s="79"/>
      <c r="AA238" s="79"/>
      <c r="AB238" s="79"/>
      <c r="AC238" s="79"/>
      <c r="AD238" s="79"/>
      <c r="AE238" s="79"/>
      <c r="AF238" s="79"/>
      <c r="AG238" s="79"/>
      <c r="AH238" s="79"/>
      <c r="AI238" s="79"/>
      <c r="AJ238" s="79"/>
      <c r="AK238" s="79"/>
      <c r="AL238" s="79"/>
    </row>
    <row r="239" spans="1:38" s="74" customFormat="1" x14ac:dyDescent="0.25">
      <c r="A239" s="106"/>
      <c r="B239" s="105"/>
      <c r="C239" s="105"/>
      <c r="D239" s="105"/>
      <c r="E239" s="105"/>
      <c r="F239" s="105"/>
      <c r="H239" s="88">
        <v>234</v>
      </c>
      <c r="I239" s="89" t="str">
        <f t="shared" si="15"/>
        <v/>
      </c>
      <c r="J239" s="89">
        <f t="shared" si="16"/>
        <v>-3</v>
      </c>
      <c r="K239" s="88">
        <f t="shared" si="17"/>
        <v>-30</v>
      </c>
      <c r="L239" s="88"/>
      <c r="M239" s="90">
        <f t="shared" si="18"/>
        <v>0</v>
      </c>
      <c r="S239" s="79"/>
      <c r="T239" s="79"/>
      <c r="U239" s="79"/>
      <c r="V239" s="79"/>
      <c r="W239" s="79"/>
      <c r="X239" s="79"/>
      <c r="Y239" s="79"/>
      <c r="Z239" s="79"/>
      <c r="AA239" s="79"/>
      <c r="AB239" s="79"/>
      <c r="AC239" s="79"/>
      <c r="AD239" s="79"/>
      <c r="AE239" s="79"/>
      <c r="AF239" s="79"/>
      <c r="AG239" s="79"/>
      <c r="AH239" s="79"/>
      <c r="AI239" s="79"/>
      <c r="AJ239" s="79"/>
      <c r="AK239" s="79"/>
      <c r="AL239" s="79"/>
    </row>
    <row r="240" spans="1:38" s="74" customFormat="1" x14ac:dyDescent="0.25">
      <c r="A240" s="106"/>
      <c r="B240" s="105"/>
      <c r="C240" s="105"/>
      <c r="D240" s="105"/>
      <c r="E240" s="105"/>
      <c r="F240" s="105"/>
      <c r="H240" s="88">
        <v>235</v>
      </c>
      <c r="I240" s="89" t="str">
        <f t="shared" si="15"/>
        <v/>
      </c>
      <c r="J240" s="89">
        <f t="shared" si="16"/>
        <v>-3</v>
      </c>
      <c r="K240" s="88">
        <f t="shared" si="17"/>
        <v>-30</v>
      </c>
      <c r="L240" s="88"/>
      <c r="M240" s="90">
        <f t="shared" si="18"/>
        <v>0</v>
      </c>
      <c r="S240" s="79"/>
      <c r="T240" s="79"/>
      <c r="U240" s="79"/>
      <c r="V240" s="79"/>
      <c r="W240" s="79"/>
      <c r="X240" s="79"/>
      <c r="Y240" s="79"/>
      <c r="Z240" s="79"/>
      <c r="AA240" s="79"/>
      <c r="AB240" s="79"/>
      <c r="AC240" s="79"/>
      <c r="AD240" s="79"/>
      <c r="AE240" s="79"/>
      <c r="AF240" s="79"/>
      <c r="AG240" s="79"/>
      <c r="AH240" s="79"/>
      <c r="AI240" s="79"/>
      <c r="AJ240" s="79"/>
      <c r="AK240" s="79"/>
      <c r="AL240" s="79"/>
    </row>
    <row r="241" spans="1:38" s="74" customFormat="1" x14ac:dyDescent="0.25">
      <c r="A241" s="106"/>
      <c r="B241" s="105"/>
      <c r="C241" s="105"/>
      <c r="D241" s="105"/>
      <c r="E241" s="105"/>
      <c r="F241" s="105"/>
      <c r="H241" s="88">
        <v>236</v>
      </c>
      <c r="I241" s="89" t="str">
        <f t="shared" si="15"/>
        <v/>
      </c>
      <c r="J241" s="89">
        <f t="shared" si="16"/>
        <v>-3</v>
      </c>
      <c r="K241" s="88">
        <f t="shared" si="17"/>
        <v>-30</v>
      </c>
      <c r="L241" s="88"/>
      <c r="M241" s="90">
        <f t="shared" si="18"/>
        <v>0</v>
      </c>
      <c r="S241" s="79"/>
      <c r="T241" s="79"/>
      <c r="U241" s="79"/>
      <c r="V241" s="79"/>
      <c r="W241" s="79"/>
      <c r="X241" s="79"/>
      <c r="Y241" s="79"/>
      <c r="Z241" s="79"/>
      <c r="AA241" s="79"/>
      <c r="AB241" s="79"/>
      <c r="AC241" s="79"/>
      <c r="AD241" s="79"/>
      <c r="AE241" s="79"/>
      <c r="AF241" s="79"/>
      <c r="AG241" s="79"/>
      <c r="AH241" s="79"/>
      <c r="AI241" s="79"/>
      <c r="AJ241" s="79"/>
      <c r="AK241" s="79"/>
      <c r="AL241" s="79"/>
    </row>
    <row r="242" spans="1:38" s="74" customFormat="1" x14ac:dyDescent="0.25">
      <c r="A242" s="106"/>
      <c r="B242" s="105"/>
      <c r="C242" s="105"/>
      <c r="D242" s="105"/>
      <c r="E242" s="105"/>
      <c r="F242" s="105"/>
      <c r="H242" s="88">
        <v>237</v>
      </c>
      <c r="I242" s="89" t="str">
        <f t="shared" si="15"/>
        <v/>
      </c>
      <c r="J242" s="89">
        <f t="shared" si="16"/>
        <v>-3</v>
      </c>
      <c r="K242" s="88">
        <f t="shared" si="17"/>
        <v>-30</v>
      </c>
      <c r="L242" s="88"/>
      <c r="M242" s="90">
        <f t="shared" si="18"/>
        <v>0</v>
      </c>
      <c r="S242" s="79"/>
      <c r="T242" s="79"/>
      <c r="U242" s="79"/>
      <c r="V242" s="79"/>
      <c r="W242" s="79"/>
      <c r="X242" s="79"/>
      <c r="Y242" s="79"/>
      <c r="Z242" s="79"/>
      <c r="AA242" s="79"/>
      <c r="AB242" s="79"/>
      <c r="AC242" s="79"/>
      <c r="AD242" s="79"/>
      <c r="AE242" s="79"/>
      <c r="AF242" s="79"/>
      <c r="AG242" s="79"/>
      <c r="AH242" s="79"/>
      <c r="AI242" s="79"/>
      <c r="AJ242" s="79"/>
      <c r="AK242" s="79"/>
      <c r="AL242" s="79"/>
    </row>
    <row r="243" spans="1:38" s="74" customFormat="1" x14ac:dyDescent="0.25">
      <c r="A243" s="106"/>
      <c r="B243" s="105"/>
      <c r="C243" s="105"/>
      <c r="D243" s="105"/>
      <c r="E243" s="105"/>
      <c r="F243" s="105"/>
      <c r="H243" s="88">
        <v>238</v>
      </c>
      <c r="I243" s="89" t="str">
        <f t="shared" si="15"/>
        <v/>
      </c>
      <c r="J243" s="89">
        <f t="shared" si="16"/>
        <v>-3</v>
      </c>
      <c r="K243" s="88">
        <f t="shared" si="17"/>
        <v>-30</v>
      </c>
      <c r="L243" s="88"/>
      <c r="M243" s="90">
        <f t="shared" si="18"/>
        <v>0</v>
      </c>
      <c r="S243" s="79"/>
      <c r="T243" s="79"/>
      <c r="U243" s="79"/>
      <c r="V243" s="79"/>
      <c r="W243" s="79"/>
      <c r="X243" s="79"/>
      <c r="Y243" s="79"/>
      <c r="Z243" s="79"/>
      <c r="AA243" s="79"/>
      <c r="AB243" s="79"/>
      <c r="AC243" s="79"/>
      <c r="AD243" s="79"/>
      <c r="AE243" s="79"/>
      <c r="AF243" s="79"/>
      <c r="AG243" s="79"/>
      <c r="AH243" s="79"/>
      <c r="AI243" s="79"/>
      <c r="AJ243" s="79"/>
      <c r="AK243" s="79"/>
      <c r="AL243" s="79"/>
    </row>
    <row r="244" spans="1:38" s="74" customFormat="1" x14ac:dyDescent="0.25">
      <c r="A244" s="106"/>
      <c r="B244" s="105"/>
      <c r="C244" s="105"/>
      <c r="D244" s="105"/>
      <c r="E244" s="105"/>
      <c r="F244" s="105"/>
      <c r="H244" s="88">
        <v>239</v>
      </c>
      <c r="I244" s="89" t="str">
        <f t="shared" si="15"/>
        <v/>
      </c>
      <c r="J244" s="89">
        <f t="shared" si="16"/>
        <v>-3</v>
      </c>
      <c r="K244" s="88">
        <f t="shared" si="17"/>
        <v>-30</v>
      </c>
      <c r="L244" s="88"/>
      <c r="M244" s="90">
        <f t="shared" si="18"/>
        <v>0</v>
      </c>
      <c r="S244" s="79"/>
      <c r="T244" s="79"/>
      <c r="U244" s="79"/>
      <c r="V244" s="79"/>
      <c r="W244" s="79"/>
      <c r="X244" s="79"/>
      <c r="Y244" s="79"/>
      <c r="Z244" s="79"/>
      <c r="AA244" s="79"/>
      <c r="AB244" s="79"/>
      <c r="AC244" s="79"/>
      <c r="AD244" s="79"/>
      <c r="AE244" s="79"/>
      <c r="AF244" s="79"/>
      <c r="AG244" s="79"/>
      <c r="AH244" s="79"/>
      <c r="AI244" s="79"/>
      <c r="AJ244" s="79"/>
      <c r="AK244" s="79"/>
      <c r="AL244" s="79"/>
    </row>
    <row r="245" spans="1:38" s="74" customFormat="1" x14ac:dyDescent="0.25">
      <c r="A245" s="106"/>
      <c r="B245" s="105"/>
      <c r="C245" s="105"/>
      <c r="D245" s="105"/>
      <c r="E245" s="105"/>
      <c r="F245" s="105"/>
      <c r="H245" s="88">
        <v>240</v>
      </c>
      <c r="I245" s="89" t="str">
        <f t="shared" si="15"/>
        <v/>
      </c>
      <c r="J245" s="89">
        <f t="shared" si="16"/>
        <v>-3</v>
      </c>
      <c r="K245" s="88">
        <f t="shared" si="17"/>
        <v>-30</v>
      </c>
      <c r="L245" s="88"/>
      <c r="M245" s="90">
        <f t="shared" si="18"/>
        <v>0</v>
      </c>
      <c r="S245" s="79"/>
      <c r="T245" s="79"/>
      <c r="U245" s="79"/>
      <c r="V245" s="79"/>
      <c r="W245" s="79"/>
      <c r="X245" s="79"/>
      <c r="Y245" s="79"/>
      <c r="Z245" s="79"/>
      <c r="AA245" s="79"/>
      <c r="AB245" s="79"/>
      <c r="AC245" s="79"/>
      <c r="AD245" s="79"/>
      <c r="AE245" s="79"/>
      <c r="AF245" s="79"/>
      <c r="AG245" s="79"/>
      <c r="AH245" s="79"/>
      <c r="AI245" s="79"/>
      <c r="AJ245" s="79"/>
      <c r="AK245" s="79"/>
      <c r="AL245" s="79"/>
    </row>
    <row r="246" spans="1:38" s="74" customFormat="1" x14ac:dyDescent="0.25">
      <c r="A246" s="106"/>
      <c r="B246" s="105"/>
      <c r="C246" s="105"/>
      <c r="D246" s="105"/>
      <c r="E246" s="105"/>
      <c r="F246" s="105"/>
      <c r="H246" s="88">
        <v>241</v>
      </c>
      <c r="I246" s="89" t="str">
        <f t="shared" si="15"/>
        <v/>
      </c>
      <c r="J246" s="89">
        <f t="shared" si="16"/>
        <v>-3</v>
      </c>
      <c r="K246" s="88">
        <f t="shared" si="17"/>
        <v>-30</v>
      </c>
      <c r="L246" s="88"/>
      <c r="M246" s="90">
        <f t="shared" si="18"/>
        <v>0</v>
      </c>
      <c r="S246" s="79"/>
      <c r="T246" s="79"/>
      <c r="U246" s="79"/>
      <c r="V246" s="79"/>
      <c r="W246" s="79"/>
      <c r="X246" s="79"/>
      <c r="Y246" s="79"/>
      <c r="Z246" s="79"/>
      <c r="AA246" s="79"/>
      <c r="AB246" s="79"/>
      <c r="AC246" s="79"/>
      <c r="AD246" s="79"/>
      <c r="AE246" s="79"/>
      <c r="AF246" s="79"/>
      <c r="AG246" s="79"/>
      <c r="AH246" s="79"/>
      <c r="AI246" s="79"/>
      <c r="AJ246" s="79"/>
      <c r="AK246" s="79"/>
      <c r="AL246" s="79"/>
    </row>
    <row r="247" spans="1:38" s="74" customFormat="1" x14ac:dyDescent="0.25">
      <c r="A247" s="106"/>
      <c r="B247" s="105"/>
      <c r="C247" s="105"/>
      <c r="D247" s="105"/>
      <c r="E247" s="105"/>
      <c r="F247" s="105"/>
      <c r="H247" s="88">
        <v>242</v>
      </c>
      <c r="I247" s="89" t="str">
        <f t="shared" si="15"/>
        <v/>
      </c>
      <c r="J247" s="89">
        <f t="shared" si="16"/>
        <v>-3</v>
      </c>
      <c r="K247" s="88">
        <f t="shared" si="17"/>
        <v>-30</v>
      </c>
      <c r="L247" s="88"/>
      <c r="M247" s="90">
        <f t="shared" si="18"/>
        <v>0</v>
      </c>
      <c r="S247" s="79"/>
      <c r="T247" s="79"/>
      <c r="U247" s="79"/>
      <c r="V247" s="79"/>
      <c r="W247" s="79"/>
      <c r="X247" s="79"/>
      <c r="Y247" s="79"/>
      <c r="Z247" s="79"/>
      <c r="AA247" s="79"/>
      <c r="AB247" s="79"/>
      <c r="AC247" s="79"/>
      <c r="AD247" s="79"/>
      <c r="AE247" s="79"/>
      <c r="AF247" s="79"/>
      <c r="AG247" s="79"/>
      <c r="AH247" s="79"/>
      <c r="AI247" s="79"/>
      <c r="AJ247" s="79"/>
      <c r="AK247" s="79"/>
      <c r="AL247" s="79"/>
    </row>
    <row r="248" spans="1:38" s="74" customFormat="1" x14ac:dyDescent="0.25">
      <c r="A248" s="106"/>
      <c r="B248" s="105"/>
      <c r="C248" s="105"/>
      <c r="D248" s="105"/>
      <c r="E248" s="105"/>
      <c r="F248" s="105"/>
      <c r="H248" s="88">
        <v>243</v>
      </c>
      <c r="I248" s="89" t="str">
        <f t="shared" si="15"/>
        <v/>
      </c>
      <c r="J248" s="89">
        <f t="shared" si="16"/>
        <v>-3</v>
      </c>
      <c r="K248" s="88">
        <f t="shared" si="17"/>
        <v>-30</v>
      </c>
      <c r="L248" s="88"/>
      <c r="M248" s="90">
        <f t="shared" si="18"/>
        <v>0</v>
      </c>
      <c r="S248" s="79"/>
      <c r="T248" s="79"/>
      <c r="U248" s="79"/>
      <c r="V248" s="79"/>
      <c r="W248" s="79"/>
      <c r="X248" s="79"/>
      <c r="Y248" s="79"/>
      <c r="Z248" s="79"/>
      <c r="AA248" s="79"/>
      <c r="AB248" s="79"/>
      <c r="AC248" s="79"/>
      <c r="AD248" s="79"/>
      <c r="AE248" s="79"/>
      <c r="AF248" s="79"/>
      <c r="AG248" s="79"/>
      <c r="AH248" s="79"/>
      <c r="AI248" s="79"/>
      <c r="AJ248" s="79"/>
      <c r="AK248" s="79"/>
      <c r="AL248" s="79"/>
    </row>
    <row r="249" spans="1:38" s="74" customFormat="1" x14ac:dyDescent="0.25">
      <c r="A249" s="106"/>
      <c r="B249" s="105"/>
      <c r="C249" s="105"/>
      <c r="D249" s="105"/>
      <c r="E249" s="105"/>
      <c r="F249" s="105"/>
      <c r="H249" s="88">
        <v>244</v>
      </c>
      <c r="I249" s="89" t="str">
        <f t="shared" si="15"/>
        <v/>
      </c>
      <c r="J249" s="89">
        <f t="shared" si="16"/>
        <v>-3</v>
      </c>
      <c r="K249" s="88">
        <f t="shared" si="17"/>
        <v>-30</v>
      </c>
      <c r="L249" s="88"/>
      <c r="M249" s="90">
        <f t="shared" si="18"/>
        <v>0</v>
      </c>
      <c r="S249" s="79"/>
      <c r="T249" s="79"/>
      <c r="U249" s="79"/>
      <c r="V249" s="79"/>
      <c r="W249" s="79"/>
      <c r="X249" s="79"/>
      <c r="Y249" s="79"/>
      <c r="Z249" s="79"/>
      <c r="AA249" s="79"/>
      <c r="AB249" s="79"/>
      <c r="AC249" s="79"/>
      <c r="AD249" s="79"/>
      <c r="AE249" s="79"/>
      <c r="AF249" s="79"/>
      <c r="AG249" s="79"/>
      <c r="AH249" s="79"/>
      <c r="AI249" s="79"/>
      <c r="AJ249" s="79"/>
      <c r="AK249" s="79"/>
      <c r="AL249" s="79"/>
    </row>
    <row r="250" spans="1:38" s="74" customFormat="1" x14ac:dyDescent="0.25">
      <c r="A250" s="106"/>
      <c r="B250" s="105"/>
      <c r="C250" s="105"/>
      <c r="D250" s="105"/>
      <c r="E250" s="105"/>
      <c r="F250" s="105"/>
      <c r="H250" s="88">
        <v>245</v>
      </c>
      <c r="I250" s="89" t="str">
        <f t="shared" si="15"/>
        <v/>
      </c>
      <c r="J250" s="89">
        <f t="shared" si="16"/>
        <v>-3</v>
      </c>
      <c r="K250" s="88">
        <f t="shared" si="17"/>
        <v>-30</v>
      </c>
      <c r="L250" s="88"/>
      <c r="M250" s="90">
        <f t="shared" si="18"/>
        <v>0</v>
      </c>
      <c r="S250" s="79"/>
      <c r="T250" s="79"/>
      <c r="U250" s="79"/>
      <c r="V250" s="79"/>
      <c r="W250" s="79"/>
      <c r="X250" s="79"/>
      <c r="Y250" s="79"/>
      <c r="Z250" s="79"/>
      <c r="AA250" s="79"/>
      <c r="AB250" s="79"/>
      <c r="AC250" s="79"/>
      <c r="AD250" s="79"/>
      <c r="AE250" s="79"/>
      <c r="AF250" s="79"/>
      <c r="AG250" s="79"/>
      <c r="AH250" s="79"/>
      <c r="AI250" s="79"/>
      <c r="AJ250" s="79"/>
      <c r="AK250" s="79"/>
      <c r="AL250" s="79"/>
    </row>
    <row r="251" spans="1:38" s="74" customFormat="1" x14ac:dyDescent="0.25">
      <c r="A251" s="106"/>
      <c r="B251" s="105"/>
      <c r="C251" s="105"/>
      <c r="D251" s="105"/>
      <c r="E251" s="105"/>
      <c r="F251" s="105"/>
      <c r="H251" s="88">
        <v>246</v>
      </c>
      <c r="I251" s="89" t="str">
        <f t="shared" si="15"/>
        <v/>
      </c>
      <c r="J251" s="89">
        <f t="shared" si="16"/>
        <v>-3</v>
      </c>
      <c r="K251" s="88">
        <f t="shared" si="17"/>
        <v>-30</v>
      </c>
      <c r="L251" s="88"/>
      <c r="M251" s="90">
        <f t="shared" si="18"/>
        <v>0</v>
      </c>
      <c r="S251" s="79"/>
      <c r="T251" s="79"/>
      <c r="U251" s="79"/>
      <c r="V251" s="79"/>
      <c r="W251" s="79"/>
      <c r="X251" s="79"/>
      <c r="Y251" s="79"/>
      <c r="Z251" s="79"/>
      <c r="AA251" s="79"/>
      <c r="AB251" s="79"/>
      <c r="AC251" s="79"/>
      <c r="AD251" s="79"/>
      <c r="AE251" s="79"/>
      <c r="AF251" s="79"/>
      <c r="AG251" s="79"/>
      <c r="AH251" s="79"/>
      <c r="AI251" s="79"/>
      <c r="AJ251" s="79"/>
      <c r="AK251" s="79"/>
      <c r="AL251" s="79"/>
    </row>
    <row r="252" spans="1:38" s="74" customFormat="1" x14ac:dyDescent="0.25">
      <c r="A252" s="106"/>
      <c r="B252" s="105"/>
      <c r="C252" s="105"/>
      <c r="D252" s="105"/>
      <c r="E252" s="105"/>
      <c r="F252" s="105"/>
      <c r="H252" s="88">
        <v>247</v>
      </c>
      <c r="I252" s="89" t="str">
        <f t="shared" si="15"/>
        <v/>
      </c>
      <c r="J252" s="89">
        <f t="shared" si="16"/>
        <v>-3</v>
      </c>
      <c r="K252" s="88">
        <f t="shared" si="17"/>
        <v>-30</v>
      </c>
      <c r="L252" s="88"/>
      <c r="M252" s="90">
        <f t="shared" si="18"/>
        <v>0</v>
      </c>
      <c r="S252" s="79"/>
      <c r="T252" s="79"/>
      <c r="U252" s="79"/>
      <c r="V252" s="79"/>
      <c r="W252" s="79"/>
      <c r="X252" s="79"/>
      <c r="Y252" s="79"/>
      <c r="Z252" s="79"/>
      <c r="AA252" s="79"/>
      <c r="AB252" s="79"/>
      <c r="AC252" s="79"/>
      <c r="AD252" s="79"/>
      <c r="AE252" s="79"/>
      <c r="AF252" s="79"/>
      <c r="AG252" s="79"/>
      <c r="AH252" s="79"/>
      <c r="AI252" s="79"/>
      <c r="AJ252" s="79"/>
      <c r="AK252" s="79"/>
      <c r="AL252" s="79"/>
    </row>
    <row r="253" spans="1:38" s="74" customFormat="1" x14ac:dyDescent="0.25">
      <c r="A253" s="106"/>
      <c r="B253" s="105"/>
      <c r="C253" s="105"/>
      <c r="D253" s="105"/>
      <c r="E253" s="105"/>
      <c r="F253" s="105"/>
      <c r="H253" s="88">
        <v>248</v>
      </c>
      <c r="I253" s="89" t="str">
        <f t="shared" si="15"/>
        <v/>
      </c>
      <c r="J253" s="89">
        <f t="shared" si="16"/>
        <v>-3</v>
      </c>
      <c r="K253" s="88">
        <f t="shared" si="17"/>
        <v>-30</v>
      </c>
      <c r="L253" s="88"/>
      <c r="M253" s="90">
        <f t="shared" si="18"/>
        <v>0</v>
      </c>
      <c r="S253" s="79"/>
      <c r="T253" s="79"/>
      <c r="U253" s="79"/>
      <c r="V253" s="79"/>
      <c r="W253" s="79"/>
      <c r="X253" s="79"/>
      <c r="Y253" s="79"/>
      <c r="Z253" s="79"/>
      <c r="AA253" s="79"/>
      <c r="AB253" s="79"/>
      <c r="AC253" s="79"/>
      <c r="AD253" s="79"/>
      <c r="AE253" s="79"/>
      <c r="AF253" s="79"/>
      <c r="AG253" s="79"/>
      <c r="AH253" s="79"/>
      <c r="AI253" s="79"/>
      <c r="AJ253" s="79"/>
      <c r="AK253" s="79"/>
      <c r="AL253" s="79"/>
    </row>
    <row r="254" spans="1:38" s="74" customFormat="1" x14ac:dyDescent="0.25">
      <c r="A254" s="106"/>
      <c r="B254" s="105"/>
      <c r="C254" s="105"/>
      <c r="D254" s="105"/>
      <c r="E254" s="105"/>
      <c r="F254" s="105"/>
      <c r="H254" s="88">
        <v>249</v>
      </c>
      <c r="I254" s="89" t="str">
        <f t="shared" si="15"/>
        <v/>
      </c>
      <c r="J254" s="89">
        <f t="shared" si="16"/>
        <v>-3</v>
      </c>
      <c r="K254" s="88">
        <f t="shared" si="17"/>
        <v>-30</v>
      </c>
      <c r="L254" s="88"/>
      <c r="M254" s="90">
        <f t="shared" si="18"/>
        <v>0</v>
      </c>
      <c r="S254" s="79"/>
      <c r="T254" s="79"/>
      <c r="U254" s="79"/>
      <c r="V254" s="79"/>
      <c r="W254" s="79"/>
      <c r="X254" s="79"/>
      <c r="Y254" s="79"/>
      <c r="Z254" s="79"/>
      <c r="AA254" s="79"/>
      <c r="AB254" s="79"/>
      <c r="AC254" s="79"/>
      <c r="AD254" s="79"/>
      <c r="AE254" s="79"/>
      <c r="AF254" s="79"/>
      <c r="AG254" s="79"/>
      <c r="AH254" s="79"/>
      <c r="AI254" s="79"/>
      <c r="AJ254" s="79"/>
      <c r="AK254" s="79"/>
      <c r="AL254" s="79"/>
    </row>
    <row r="255" spans="1:38" s="74" customFormat="1" x14ac:dyDescent="0.25">
      <c r="A255" s="106"/>
      <c r="B255" s="105"/>
      <c r="C255" s="105"/>
      <c r="D255" s="105"/>
      <c r="E255" s="105"/>
      <c r="F255" s="105"/>
      <c r="H255" s="88">
        <v>250</v>
      </c>
      <c r="I255" s="89" t="str">
        <f t="shared" si="15"/>
        <v/>
      </c>
      <c r="J255" s="89">
        <f t="shared" si="16"/>
        <v>-3</v>
      </c>
      <c r="K255" s="88">
        <f t="shared" si="17"/>
        <v>-30</v>
      </c>
      <c r="L255" s="88"/>
      <c r="M255" s="90">
        <f t="shared" si="18"/>
        <v>0</v>
      </c>
      <c r="S255" s="79"/>
      <c r="T255" s="79"/>
      <c r="U255" s="79"/>
      <c r="V255" s="79"/>
      <c r="W255" s="79"/>
      <c r="X255" s="79"/>
      <c r="Y255" s="79"/>
      <c r="Z255" s="79"/>
      <c r="AA255" s="79"/>
      <c r="AB255" s="79"/>
      <c r="AC255" s="79"/>
      <c r="AD255" s="79"/>
      <c r="AE255" s="79"/>
      <c r="AF255" s="79"/>
      <c r="AG255" s="79"/>
      <c r="AH255" s="79"/>
      <c r="AI255" s="79"/>
      <c r="AJ255" s="79"/>
      <c r="AK255" s="79"/>
      <c r="AL255" s="79"/>
    </row>
    <row r="256" spans="1:38" s="74" customFormat="1" x14ac:dyDescent="0.25">
      <c r="A256" s="106"/>
      <c r="B256" s="105"/>
      <c r="C256" s="105"/>
      <c r="D256" s="105"/>
      <c r="E256" s="105"/>
      <c r="F256" s="105"/>
      <c r="H256" s="88">
        <v>251</v>
      </c>
      <c r="I256" s="89" t="str">
        <f t="shared" si="15"/>
        <v/>
      </c>
      <c r="J256" s="89">
        <f t="shared" si="16"/>
        <v>-3</v>
      </c>
      <c r="K256" s="88">
        <f t="shared" si="17"/>
        <v>-30</v>
      </c>
      <c r="L256" s="88"/>
      <c r="M256" s="90">
        <f t="shared" si="18"/>
        <v>0</v>
      </c>
      <c r="S256" s="79"/>
      <c r="T256" s="79"/>
      <c r="U256" s="79"/>
      <c r="V256" s="79"/>
      <c r="W256" s="79"/>
      <c r="X256" s="79"/>
      <c r="Y256" s="79"/>
      <c r="Z256" s="79"/>
      <c r="AA256" s="79"/>
      <c r="AB256" s="79"/>
      <c r="AC256" s="79"/>
      <c r="AD256" s="79"/>
      <c r="AE256" s="79"/>
      <c r="AF256" s="79"/>
      <c r="AG256" s="79"/>
      <c r="AH256" s="79"/>
      <c r="AI256" s="79"/>
      <c r="AJ256" s="79"/>
      <c r="AK256" s="79"/>
      <c r="AL256" s="79"/>
    </row>
    <row r="257" spans="1:38" s="74" customFormat="1" x14ac:dyDescent="0.25">
      <c r="A257" s="106"/>
      <c r="B257" s="105"/>
      <c r="C257" s="105"/>
      <c r="D257" s="105"/>
      <c r="E257" s="105"/>
      <c r="F257" s="105"/>
      <c r="H257" s="88">
        <v>252</v>
      </c>
      <c r="I257" s="89" t="str">
        <f t="shared" si="15"/>
        <v/>
      </c>
      <c r="J257" s="89">
        <f t="shared" si="16"/>
        <v>-3</v>
      </c>
      <c r="K257" s="88">
        <f t="shared" si="17"/>
        <v>-30</v>
      </c>
      <c r="L257" s="88"/>
      <c r="M257" s="90">
        <f t="shared" si="18"/>
        <v>0</v>
      </c>
      <c r="S257" s="79"/>
      <c r="T257" s="79"/>
      <c r="U257" s="79"/>
      <c r="V257" s="79"/>
      <c r="W257" s="79"/>
      <c r="X257" s="79"/>
      <c r="Y257" s="79"/>
      <c r="Z257" s="79"/>
      <c r="AA257" s="79"/>
      <c r="AB257" s="79"/>
      <c r="AC257" s="79"/>
      <c r="AD257" s="79"/>
      <c r="AE257" s="79"/>
      <c r="AF257" s="79"/>
      <c r="AG257" s="79"/>
      <c r="AH257" s="79"/>
      <c r="AI257" s="79"/>
      <c r="AJ257" s="79"/>
      <c r="AK257" s="79"/>
      <c r="AL257" s="79"/>
    </row>
    <row r="258" spans="1:38" s="74" customFormat="1" x14ac:dyDescent="0.25">
      <c r="A258" s="106"/>
      <c r="B258" s="105"/>
      <c r="C258" s="105"/>
      <c r="D258" s="105"/>
      <c r="E258" s="105"/>
      <c r="F258" s="105"/>
      <c r="H258" s="88">
        <v>253</v>
      </c>
      <c r="I258" s="89" t="str">
        <f t="shared" si="15"/>
        <v/>
      </c>
      <c r="J258" s="89">
        <f t="shared" si="16"/>
        <v>-3</v>
      </c>
      <c r="K258" s="88">
        <f t="shared" si="17"/>
        <v>-30</v>
      </c>
      <c r="L258" s="88"/>
      <c r="M258" s="90">
        <f t="shared" si="18"/>
        <v>0</v>
      </c>
      <c r="S258" s="79"/>
      <c r="T258" s="79"/>
      <c r="U258" s="79"/>
      <c r="V258" s="79"/>
      <c r="W258" s="79"/>
      <c r="X258" s="79"/>
      <c r="Y258" s="79"/>
      <c r="Z258" s="79"/>
      <c r="AA258" s="79"/>
      <c r="AB258" s="79"/>
      <c r="AC258" s="79"/>
      <c r="AD258" s="79"/>
      <c r="AE258" s="79"/>
      <c r="AF258" s="79"/>
      <c r="AG258" s="79"/>
      <c r="AH258" s="79"/>
      <c r="AI258" s="79"/>
      <c r="AJ258" s="79"/>
      <c r="AK258" s="79"/>
      <c r="AL258" s="79"/>
    </row>
    <row r="259" spans="1:38" s="74" customFormat="1" x14ac:dyDescent="0.25">
      <c r="A259" s="106"/>
      <c r="B259" s="105"/>
      <c r="C259" s="105"/>
      <c r="D259" s="105"/>
      <c r="E259" s="105"/>
      <c r="F259" s="105"/>
      <c r="H259" s="88">
        <v>254</v>
      </c>
      <c r="I259" s="89" t="str">
        <f t="shared" si="15"/>
        <v/>
      </c>
      <c r="J259" s="89">
        <f t="shared" si="16"/>
        <v>-3</v>
      </c>
      <c r="K259" s="88">
        <f t="shared" si="17"/>
        <v>-30</v>
      </c>
      <c r="L259" s="88"/>
      <c r="M259" s="90">
        <f t="shared" si="18"/>
        <v>0</v>
      </c>
      <c r="S259" s="79"/>
      <c r="T259" s="79"/>
      <c r="U259" s="79"/>
      <c r="V259" s="79"/>
      <c r="W259" s="79"/>
      <c r="X259" s="79"/>
      <c r="Y259" s="79"/>
      <c r="Z259" s="79"/>
      <c r="AA259" s="79"/>
      <c r="AB259" s="79"/>
      <c r="AC259" s="79"/>
      <c r="AD259" s="79"/>
      <c r="AE259" s="79"/>
      <c r="AF259" s="79"/>
      <c r="AG259" s="79"/>
      <c r="AH259" s="79"/>
      <c r="AI259" s="79"/>
      <c r="AJ259" s="79"/>
      <c r="AK259" s="79"/>
      <c r="AL259" s="79"/>
    </row>
    <row r="260" spans="1:38" s="74" customFormat="1" x14ac:dyDescent="0.25">
      <c r="A260" s="106"/>
      <c r="B260" s="105"/>
      <c r="C260" s="105"/>
      <c r="D260" s="105"/>
      <c r="E260" s="105"/>
      <c r="F260" s="105"/>
      <c r="H260" s="88">
        <v>255</v>
      </c>
      <c r="I260" s="89" t="str">
        <f t="shared" si="15"/>
        <v/>
      </c>
      <c r="J260" s="89">
        <f t="shared" si="16"/>
        <v>-3</v>
      </c>
      <c r="K260" s="88">
        <f t="shared" si="17"/>
        <v>-30</v>
      </c>
      <c r="L260" s="88"/>
      <c r="M260" s="90">
        <f t="shared" si="18"/>
        <v>0</v>
      </c>
      <c r="S260" s="79"/>
      <c r="T260" s="79"/>
      <c r="U260" s="79"/>
      <c r="V260" s="79"/>
      <c r="W260" s="79"/>
      <c r="X260" s="79"/>
      <c r="Y260" s="79"/>
      <c r="Z260" s="79"/>
      <c r="AA260" s="79"/>
      <c r="AB260" s="79"/>
      <c r="AC260" s="79"/>
      <c r="AD260" s="79"/>
      <c r="AE260" s="79"/>
      <c r="AF260" s="79"/>
      <c r="AG260" s="79"/>
      <c r="AH260" s="79"/>
      <c r="AI260" s="79"/>
      <c r="AJ260" s="79"/>
      <c r="AK260" s="79"/>
      <c r="AL260" s="79"/>
    </row>
    <row r="261" spans="1:38" s="74" customFormat="1" x14ac:dyDescent="0.25">
      <c r="A261" s="106"/>
      <c r="B261" s="105"/>
      <c r="C261" s="105"/>
      <c r="D261" s="105"/>
      <c r="E261" s="105"/>
      <c r="F261" s="105"/>
      <c r="H261" s="88">
        <v>256</v>
      </c>
      <c r="I261" s="89" t="str">
        <f t="shared" si="15"/>
        <v/>
      </c>
      <c r="J261" s="89">
        <f t="shared" si="16"/>
        <v>-3</v>
      </c>
      <c r="K261" s="88">
        <f t="shared" si="17"/>
        <v>-30</v>
      </c>
      <c r="L261" s="88"/>
      <c r="M261" s="90">
        <f t="shared" si="18"/>
        <v>0</v>
      </c>
      <c r="S261" s="79"/>
      <c r="T261" s="79"/>
      <c r="U261" s="79"/>
      <c r="V261" s="79"/>
      <c r="W261" s="79"/>
      <c r="X261" s="79"/>
      <c r="Y261" s="79"/>
      <c r="Z261" s="79"/>
      <c r="AA261" s="79"/>
      <c r="AB261" s="79"/>
      <c r="AC261" s="79"/>
      <c r="AD261" s="79"/>
      <c r="AE261" s="79"/>
      <c r="AF261" s="79"/>
      <c r="AG261" s="79"/>
      <c r="AH261" s="79"/>
      <c r="AI261" s="79"/>
      <c r="AJ261" s="79"/>
      <c r="AK261" s="79"/>
      <c r="AL261" s="79"/>
    </row>
    <row r="262" spans="1:38" s="74" customFormat="1" x14ac:dyDescent="0.25">
      <c r="A262" s="106"/>
      <c r="B262" s="105"/>
      <c r="C262" s="105"/>
      <c r="D262" s="105"/>
      <c r="E262" s="105"/>
      <c r="F262" s="105"/>
      <c r="H262" s="88">
        <v>257</v>
      </c>
      <c r="I262" s="89" t="str">
        <f t="shared" ref="I262:I305" si="19">IF(H262&lt;$H$2+1,($I$2-($I$2-1)*(LOG(H262)/LOG($H$2))),"")</f>
        <v/>
      </c>
      <c r="J262" s="89">
        <f t="shared" ref="J262:J305" si="20">INT(LOG($H$2,2))-ROUNDUP(LOG(H262,2),0)+IF(OR($H$2=1,$H$2=2,$H$2=4,$H$2=8,$H$2=16,$H$2=32,$H$2=64,$H$2=128,$H$2=256),0,1)</f>
        <v>-4</v>
      </c>
      <c r="K262" s="88">
        <f t="shared" ref="K262:K305" si="21">J262*$J$2</f>
        <v>-40</v>
      </c>
      <c r="L262" s="88"/>
      <c r="M262" s="90">
        <f t="shared" ref="M262:M305" si="22">IF(I262&lt;&gt;"",K262+I262+L262,0)</f>
        <v>0</v>
      </c>
      <c r="S262" s="79"/>
      <c r="T262" s="79"/>
      <c r="U262" s="79"/>
      <c r="V262" s="79"/>
      <c r="W262" s="79"/>
      <c r="X262" s="79"/>
      <c r="Y262" s="79"/>
      <c r="Z262" s="79"/>
      <c r="AA262" s="79"/>
      <c r="AB262" s="79"/>
      <c r="AC262" s="79"/>
      <c r="AD262" s="79"/>
      <c r="AE262" s="79"/>
      <c r="AF262" s="79"/>
      <c r="AG262" s="79"/>
      <c r="AH262" s="79"/>
      <c r="AI262" s="79"/>
      <c r="AJ262" s="79"/>
      <c r="AK262" s="79"/>
      <c r="AL262" s="79"/>
    </row>
    <row r="263" spans="1:38" s="74" customFormat="1" x14ac:dyDescent="0.25">
      <c r="A263" s="106"/>
      <c r="B263" s="105"/>
      <c r="C263" s="105"/>
      <c r="D263" s="105"/>
      <c r="E263" s="105"/>
      <c r="F263" s="105"/>
      <c r="H263" s="88">
        <v>258</v>
      </c>
      <c r="I263" s="89" t="str">
        <f t="shared" si="19"/>
        <v/>
      </c>
      <c r="J263" s="89">
        <f t="shared" si="20"/>
        <v>-4</v>
      </c>
      <c r="K263" s="88">
        <f t="shared" si="21"/>
        <v>-40</v>
      </c>
      <c r="L263" s="88"/>
      <c r="M263" s="90">
        <f t="shared" si="22"/>
        <v>0</v>
      </c>
      <c r="S263" s="79"/>
      <c r="T263" s="79"/>
      <c r="U263" s="79"/>
      <c r="V263" s="79"/>
      <c r="W263" s="79"/>
      <c r="X263" s="79"/>
      <c r="Y263" s="79"/>
      <c r="Z263" s="79"/>
      <c r="AA263" s="79"/>
      <c r="AB263" s="79"/>
      <c r="AC263" s="79"/>
      <c r="AD263" s="79"/>
      <c r="AE263" s="79"/>
      <c r="AF263" s="79"/>
      <c r="AG263" s="79"/>
      <c r="AH263" s="79"/>
      <c r="AI263" s="79"/>
      <c r="AJ263" s="79"/>
      <c r="AK263" s="79"/>
      <c r="AL263" s="79"/>
    </row>
    <row r="264" spans="1:38" s="74" customFormat="1" x14ac:dyDescent="0.25">
      <c r="A264" s="106"/>
      <c r="B264" s="105"/>
      <c r="C264" s="105"/>
      <c r="D264" s="105"/>
      <c r="E264" s="105"/>
      <c r="F264" s="105"/>
      <c r="H264" s="88">
        <v>259</v>
      </c>
      <c r="I264" s="89" t="str">
        <f t="shared" si="19"/>
        <v/>
      </c>
      <c r="J264" s="89">
        <f t="shared" si="20"/>
        <v>-4</v>
      </c>
      <c r="K264" s="88">
        <f t="shared" si="21"/>
        <v>-40</v>
      </c>
      <c r="L264" s="88"/>
      <c r="M264" s="90">
        <f t="shared" si="22"/>
        <v>0</v>
      </c>
      <c r="S264" s="79"/>
      <c r="T264" s="79"/>
      <c r="U264" s="79"/>
      <c r="V264" s="79"/>
      <c r="W264" s="79"/>
      <c r="X264" s="79"/>
      <c r="Y264" s="79"/>
      <c r="Z264" s="79"/>
      <c r="AA264" s="79"/>
      <c r="AB264" s="79"/>
      <c r="AC264" s="79"/>
      <c r="AD264" s="79"/>
      <c r="AE264" s="79"/>
      <c r="AF264" s="79"/>
      <c r="AG264" s="79"/>
      <c r="AH264" s="79"/>
      <c r="AI264" s="79"/>
      <c r="AJ264" s="79"/>
      <c r="AK264" s="79"/>
      <c r="AL264" s="79"/>
    </row>
    <row r="265" spans="1:38" s="74" customFormat="1" x14ac:dyDescent="0.25">
      <c r="A265" s="106"/>
      <c r="B265" s="105"/>
      <c r="C265" s="105"/>
      <c r="D265" s="105"/>
      <c r="E265" s="105"/>
      <c r="F265" s="105"/>
      <c r="H265" s="88">
        <v>260</v>
      </c>
      <c r="I265" s="89" t="str">
        <f t="shared" si="19"/>
        <v/>
      </c>
      <c r="J265" s="89">
        <f t="shared" si="20"/>
        <v>-4</v>
      </c>
      <c r="K265" s="88">
        <f t="shared" si="21"/>
        <v>-40</v>
      </c>
      <c r="L265" s="88"/>
      <c r="M265" s="90">
        <f t="shared" si="22"/>
        <v>0</v>
      </c>
      <c r="S265" s="79"/>
      <c r="T265" s="79"/>
      <c r="U265" s="79"/>
      <c r="V265" s="79"/>
      <c r="W265" s="79"/>
      <c r="X265" s="79"/>
      <c r="Y265" s="79"/>
      <c r="Z265" s="79"/>
      <c r="AA265" s="79"/>
      <c r="AB265" s="79"/>
      <c r="AC265" s="79"/>
      <c r="AD265" s="79"/>
      <c r="AE265" s="79"/>
      <c r="AF265" s="79"/>
      <c r="AG265" s="79"/>
      <c r="AH265" s="79"/>
      <c r="AI265" s="79"/>
      <c r="AJ265" s="79"/>
      <c r="AK265" s="79"/>
      <c r="AL265" s="79"/>
    </row>
    <row r="266" spans="1:38" s="74" customFormat="1" x14ac:dyDescent="0.25">
      <c r="A266" s="106"/>
      <c r="B266" s="105"/>
      <c r="C266" s="105"/>
      <c r="D266" s="105"/>
      <c r="E266" s="105"/>
      <c r="F266" s="105"/>
      <c r="H266" s="88">
        <v>261</v>
      </c>
      <c r="I266" s="89" t="str">
        <f t="shared" si="19"/>
        <v/>
      </c>
      <c r="J266" s="89">
        <f t="shared" si="20"/>
        <v>-4</v>
      </c>
      <c r="K266" s="88">
        <f t="shared" si="21"/>
        <v>-40</v>
      </c>
      <c r="L266" s="88"/>
      <c r="M266" s="90">
        <f t="shared" si="22"/>
        <v>0</v>
      </c>
      <c r="S266" s="79"/>
      <c r="T266" s="79"/>
      <c r="U266" s="79"/>
      <c r="V266" s="79"/>
      <c r="W266" s="79"/>
      <c r="X266" s="79"/>
      <c r="Y266" s="79"/>
      <c r="Z266" s="79"/>
      <c r="AA266" s="79"/>
      <c r="AB266" s="79"/>
      <c r="AC266" s="79"/>
      <c r="AD266" s="79"/>
      <c r="AE266" s="79"/>
      <c r="AF266" s="79"/>
      <c r="AG266" s="79"/>
      <c r="AH266" s="79"/>
      <c r="AI266" s="79"/>
      <c r="AJ266" s="79"/>
      <c r="AK266" s="79"/>
      <c r="AL266" s="79"/>
    </row>
    <row r="267" spans="1:38" s="74" customFormat="1" x14ac:dyDescent="0.25">
      <c r="A267" s="106"/>
      <c r="B267" s="105"/>
      <c r="C267" s="105"/>
      <c r="D267" s="105"/>
      <c r="E267" s="105"/>
      <c r="F267" s="105"/>
      <c r="H267" s="88">
        <v>262</v>
      </c>
      <c r="I267" s="89" t="str">
        <f t="shared" si="19"/>
        <v/>
      </c>
      <c r="J267" s="89">
        <f t="shared" si="20"/>
        <v>-4</v>
      </c>
      <c r="K267" s="88">
        <f t="shared" si="21"/>
        <v>-40</v>
      </c>
      <c r="L267" s="88"/>
      <c r="M267" s="90">
        <f t="shared" si="22"/>
        <v>0</v>
      </c>
      <c r="S267" s="79"/>
      <c r="T267" s="79"/>
      <c r="U267" s="79"/>
      <c r="V267" s="79"/>
      <c r="W267" s="79"/>
      <c r="X267" s="79"/>
      <c r="Y267" s="79"/>
      <c r="Z267" s="79"/>
      <c r="AA267" s="79"/>
      <c r="AB267" s="79"/>
      <c r="AC267" s="79"/>
      <c r="AD267" s="79"/>
      <c r="AE267" s="79"/>
      <c r="AF267" s="79"/>
      <c r="AG267" s="79"/>
      <c r="AH267" s="79"/>
      <c r="AI267" s="79"/>
      <c r="AJ267" s="79"/>
      <c r="AK267" s="79"/>
      <c r="AL267" s="79"/>
    </row>
    <row r="268" spans="1:38" s="74" customFormat="1" x14ac:dyDescent="0.25">
      <c r="A268" s="106"/>
      <c r="B268" s="105"/>
      <c r="C268" s="105"/>
      <c r="D268" s="105"/>
      <c r="E268" s="105"/>
      <c r="F268" s="105"/>
      <c r="H268" s="88">
        <v>263</v>
      </c>
      <c r="I268" s="89" t="str">
        <f t="shared" si="19"/>
        <v/>
      </c>
      <c r="J268" s="89">
        <f t="shared" si="20"/>
        <v>-4</v>
      </c>
      <c r="K268" s="88">
        <f t="shared" si="21"/>
        <v>-40</v>
      </c>
      <c r="L268" s="88"/>
      <c r="M268" s="90">
        <f t="shared" si="22"/>
        <v>0</v>
      </c>
      <c r="S268" s="79"/>
      <c r="T268" s="79"/>
      <c r="U268" s="79"/>
      <c r="V268" s="79"/>
      <c r="W268" s="79"/>
      <c r="X268" s="79"/>
      <c r="Y268" s="79"/>
      <c r="Z268" s="79"/>
      <c r="AA268" s="79"/>
      <c r="AB268" s="79"/>
      <c r="AC268" s="79"/>
      <c r="AD268" s="79"/>
      <c r="AE268" s="79"/>
      <c r="AF268" s="79"/>
      <c r="AG268" s="79"/>
      <c r="AH268" s="79"/>
      <c r="AI268" s="79"/>
      <c r="AJ268" s="79"/>
      <c r="AK268" s="79"/>
      <c r="AL268" s="79"/>
    </row>
    <row r="269" spans="1:38" s="74" customFormat="1" x14ac:dyDescent="0.25">
      <c r="A269" s="106"/>
      <c r="B269" s="105"/>
      <c r="C269" s="105"/>
      <c r="D269" s="105"/>
      <c r="E269" s="105"/>
      <c r="F269" s="105"/>
      <c r="H269" s="88">
        <v>264</v>
      </c>
      <c r="I269" s="89" t="str">
        <f t="shared" si="19"/>
        <v/>
      </c>
      <c r="J269" s="89">
        <f t="shared" si="20"/>
        <v>-4</v>
      </c>
      <c r="K269" s="88">
        <f t="shared" si="21"/>
        <v>-40</v>
      </c>
      <c r="L269" s="88"/>
      <c r="M269" s="90">
        <f t="shared" si="22"/>
        <v>0</v>
      </c>
      <c r="S269" s="79"/>
      <c r="T269" s="79"/>
      <c r="U269" s="79"/>
      <c r="V269" s="79"/>
      <c r="W269" s="79"/>
      <c r="X269" s="79"/>
      <c r="Y269" s="79"/>
      <c r="Z269" s="79"/>
      <c r="AA269" s="79"/>
      <c r="AB269" s="79"/>
      <c r="AC269" s="79"/>
      <c r="AD269" s="79"/>
      <c r="AE269" s="79"/>
      <c r="AF269" s="79"/>
      <c r="AG269" s="79"/>
      <c r="AH269" s="79"/>
      <c r="AI269" s="79"/>
      <c r="AJ269" s="79"/>
      <c r="AK269" s="79"/>
      <c r="AL269" s="79"/>
    </row>
    <row r="270" spans="1:38" s="74" customFormat="1" x14ac:dyDescent="0.25">
      <c r="A270" s="106"/>
      <c r="B270" s="105"/>
      <c r="C270" s="105"/>
      <c r="D270" s="105"/>
      <c r="E270" s="105"/>
      <c r="F270" s="105"/>
      <c r="H270" s="88">
        <v>265</v>
      </c>
      <c r="I270" s="89" t="str">
        <f t="shared" si="19"/>
        <v/>
      </c>
      <c r="J270" s="89">
        <f t="shared" si="20"/>
        <v>-4</v>
      </c>
      <c r="K270" s="88">
        <f t="shared" si="21"/>
        <v>-40</v>
      </c>
      <c r="L270" s="88"/>
      <c r="M270" s="90">
        <f t="shared" si="22"/>
        <v>0</v>
      </c>
      <c r="S270" s="79"/>
      <c r="T270" s="79"/>
      <c r="U270" s="79"/>
      <c r="V270" s="79"/>
      <c r="W270" s="79"/>
      <c r="X270" s="79"/>
      <c r="Y270" s="79"/>
      <c r="Z270" s="79"/>
      <c r="AA270" s="79"/>
      <c r="AB270" s="79"/>
      <c r="AC270" s="79"/>
      <c r="AD270" s="79"/>
      <c r="AE270" s="79"/>
      <c r="AF270" s="79"/>
      <c r="AG270" s="79"/>
      <c r="AH270" s="79"/>
      <c r="AI270" s="79"/>
      <c r="AJ270" s="79"/>
      <c r="AK270" s="79"/>
      <c r="AL270" s="79"/>
    </row>
    <row r="271" spans="1:38" s="74" customFormat="1" x14ac:dyDescent="0.25">
      <c r="A271" s="106"/>
      <c r="B271" s="105"/>
      <c r="C271" s="105"/>
      <c r="D271" s="105"/>
      <c r="E271" s="105"/>
      <c r="F271" s="105"/>
      <c r="H271" s="88">
        <v>266</v>
      </c>
      <c r="I271" s="89" t="str">
        <f t="shared" si="19"/>
        <v/>
      </c>
      <c r="J271" s="89">
        <f t="shared" si="20"/>
        <v>-4</v>
      </c>
      <c r="K271" s="88">
        <f t="shared" si="21"/>
        <v>-40</v>
      </c>
      <c r="L271" s="88"/>
      <c r="M271" s="90">
        <f t="shared" si="22"/>
        <v>0</v>
      </c>
      <c r="S271" s="79"/>
      <c r="T271" s="79"/>
      <c r="U271" s="79"/>
      <c r="V271" s="79"/>
      <c r="W271" s="79"/>
      <c r="X271" s="79"/>
      <c r="Y271" s="79"/>
      <c r="Z271" s="79"/>
      <c r="AA271" s="79"/>
      <c r="AB271" s="79"/>
      <c r="AC271" s="79"/>
      <c r="AD271" s="79"/>
      <c r="AE271" s="79"/>
      <c r="AF271" s="79"/>
      <c r="AG271" s="79"/>
      <c r="AH271" s="79"/>
      <c r="AI271" s="79"/>
      <c r="AJ271" s="79"/>
      <c r="AK271" s="79"/>
      <c r="AL271" s="79"/>
    </row>
    <row r="272" spans="1:38" s="74" customFormat="1" x14ac:dyDescent="0.25">
      <c r="A272" s="106"/>
      <c r="B272" s="105"/>
      <c r="C272" s="105"/>
      <c r="D272" s="105"/>
      <c r="E272" s="105"/>
      <c r="F272" s="105"/>
      <c r="H272" s="88">
        <v>267</v>
      </c>
      <c r="I272" s="89" t="str">
        <f t="shared" si="19"/>
        <v/>
      </c>
      <c r="J272" s="89">
        <f t="shared" si="20"/>
        <v>-4</v>
      </c>
      <c r="K272" s="88">
        <f t="shared" si="21"/>
        <v>-40</v>
      </c>
      <c r="L272" s="88"/>
      <c r="M272" s="90">
        <f t="shared" si="22"/>
        <v>0</v>
      </c>
      <c r="S272" s="79"/>
      <c r="T272" s="79"/>
      <c r="U272" s="79"/>
      <c r="V272" s="79"/>
      <c r="W272" s="79"/>
      <c r="X272" s="79"/>
      <c r="Y272" s="79"/>
      <c r="Z272" s="79"/>
      <c r="AA272" s="79"/>
      <c r="AB272" s="79"/>
      <c r="AC272" s="79"/>
      <c r="AD272" s="79"/>
      <c r="AE272" s="79"/>
      <c r="AF272" s="79"/>
      <c r="AG272" s="79"/>
      <c r="AH272" s="79"/>
      <c r="AI272" s="79"/>
      <c r="AJ272" s="79"/>
      <c r="AK272" s="79"/>
      <c r="AL272" s="79"/>
    </row>
    <row r="273" spans="1:38" s="74" customFormat="1" x14ac:dyDescent="0.25">
      <c r="A273" s="106"/>
      <c r="B273" s="105"/>
      <c r="C273" s="105"/>
      <c r="D273" s="105"/>
      <c r="E273" s="105"/>
      <c r="F273" s="105"/>
      <c r="H273" s="88">
        <v>268</v>
      </c>
      <c r="I273" s="89" t="str">
        <f t="shared" si="19"/>
        <v/>
      </c>
      <c r="J273" s="89">
        <f t="shared" si="20"/>
        <v>-4</v>
      </c>
      <c r="K273" s="88">
        <f t="shared" si="21"/>
        <v>-40</v>
      </c>
      <c r="L273" s="88"/>
      <c r="M273" s="90">
        <f t="shared" si="22"/>
        <v>0</v>
      </c>
      <c r="S273" s="79"/>
      <c r="T273" s="79"/>
      <c r="U273" s="79"/>
      <c r="V273" s="79"/>
      <c r="W273" s="79"/>
      <c r="X273" s="79"/>
      <c r="Y273" s="79"/>
      <c r="Z273" s="79"/>
      <c r="AA273" s="79"/>
      <c r="AB273" s="79"/>
      <c r="AC273" s="79"/>
      <c r="AD273" s="79"/>
      <c r="AE273" s="79"/>
      <c r="AF273" s="79"/>
      <c r="AG273" s="79"/>
      <c r="AH273" s="79"/>
      <c r="AI273" s="79"/>
      <c r="AJ273" s="79"/>
      <c r="AK273" s="79"/>
      <c r="AL273" s="79"/>
    </row>
    <row r="274" spans="1:38" s="74" customFormat="1" x14ac:dyDescent="0.25">
      <c r="A274" s="106"/>
      <c r="B274" s="105"/>
      <c r="C274" s="105"/>
      <c r="D274" s="105"/>
      <c r="E274" s="105"/>
      <c r="F274" s="105"/>
      <c r="H274" s="88">
        <v>269</v>
      </c>
      <c r="I274" s="89" t="str">
        <f t="shared" si="19"/>
        <v/>
      </c>
      <c r="J274" s="89">
        <f t="shared" si="20"/>
        <v>-4</v>
      </c>
      <c r="K274" s="88">
        <f t="shared" si="21"/>
        <v>-40</v>
      </c>
      <c r="L274" s="88"/>
      <c r="M274" s="90">
        <f t="shared" si="22"/>
        <v>0</v>
      </c>
      <c r="S274" s="79"/>
      <c r="T274" s="79"/>
      <c r="U274" s="79"/>
      <c r="V274" s="79"/>
      <c r="W274" s="79"/>
      <c r="X274" s="79"/>
      <c r="Y274" s="79"/>
      <c r="Z274" s="79"/>
      <c r="AA274" s="79"/>
      <c r="AB274" s="79"/>
      <c r="AC274" s="79"/>
      <c r="AD274" s="79"/>
      <c r="AE274" s="79"/>
      <c r="AF274" s="79"/>
      <c r="AG274" s="79"/>
      <c r="AH274" s="79"/>
      <c r="AI274" s="79"/>
      <c r="AJ274" s="79"/>
      <c r="AK274" s="79"/>
      <c r="AL274" s="79"/>
    </row>
    <row r="275" spans="1:38" s="74" customFormat="1" x14ac:dyDescent="0.25">
      <c r="A275" s="106"/>
      <c r="B275" s="105"/>
      <c r="C275" s="105"/>
      <c r="D275" s="105"/>
      <c r="E275" s="105"/>
      <c r="F275" s="105"/>
      <c r="H275" s="88">
        <v>270</v>
      </c>
      <c r="I275" s="89" t="str">
        <f t="shared" si="19"/>
        <v/>
      </c>
      <c r="J275" s="89">
        <f t="shared" si="20"/>
        <v>-4</v>
      </c>
      <c r="K275" s="88">
        <f t="shared" si="21"/>
        <v>-40</v>
      </c>
      <c r="L275" s="88"/>
      <c r="M275" s="90">
        <f t="shared" si="22"/>
        <v>0</v>
      </c>
      <c r="S275" s="79"/>
      <c r="T275" s="79"/>
      <c r="U275" s="79"/>
      <c r="V275" s="79"/>
      <c r="W275" s="79"/>
      <c r="X275" s="79"/>
      <c r="Y275" s="79"/>
      <c r="Z275" s="79"/>
      <c r="AA275" s="79"/>
      <c r="AB275" s="79"/>
      <c r="AC275" s="79"/>
      <c r="AD275" s="79"/>
      <c r="AE275" s="79"/>
      <c r="AF275" s="79"/>
      <c r="AG275" s="79"/>
      <c r="AH275" s="79"/>
      <c r="AI275" s="79"/>
      <c r="AJ275" s="79"/>
      <c r="AK275" s="79"/>
      <c r="AL275" s="79"/>
    </row>
    <row r="276" spans="1:38" s="74" customFormat="1" x14ac:dyDescent="0.25">
      <c r="A276" s="106"/>
      <c r="B276" s="105"/>
      <c r="C276" s="105"/>
      <c r="D276" s="105"/>
      <c r="E276" s="105"/>
      <c r="F276" s="105"/>
      <c r="H276" s="88">
        <v>271</v>
      </c>
      <c r="I276" s="89" t="str">
        <f t="shared" si="19"/>
        <v/>
      </c>
      <c r="J276" s="89">
        <f t="shared" si="20"/>
        <v>-4</v>
      </c>
      <c r="K276" s="88">
        <f t="shared" si="21"/>
        <v>-40</v>
      </c>
      <c r="L276" s="88"/>
      <c r="M276" s="90">
        <f t="shared" si="22"/>
        <v>0</v>
      </c>
      <c r="S276" s="79"/>
      <c r="T276" s="79"/>
      <c r="U276" s="79"/>
      <c r="V276" s="79"/>
      <c r="W276" s="79"/>
      <c r="X276" s="79"/>
      <c r="Y276" s="79"/>
      <c r="Z276" s="79"/>
      <c r="AA276" s="79"/>
      <c r="AB276" s="79"/>
      <c r="AC276" s="79"/>
      <c r="AD276" s="79"/>
      <c r="AE276" s="79"/>
      <c r="AF276" s="79"/>
      <c r="AG276" s="79"/>
      <c r="AH276" s="79"/>
      <c r="AI276" s="79"/>
      <c r="AJ276" s="79"/>
      <c r="AK276" s="79"/>
      <c r="AL276" s="79"/>
    </row>
    <row r="277" spans="1:38" s="74" customFormat="1" x14ac:dyDescent="0.25">
      <c r="A277" s="106"/>
      <c r="B277" s="105"/>
      <c r="C277" s="105"/>
      <c r="D277" s="105"/>
      <c r="E277" s="105"/>
      <c r="F277" s="105"/>
      <c r="H277" s="88">
        <v>272</v>
      </c>
      <c r="I277" s="89" t="str">
        <f t="shared" si="19"/>
        <v/>
      </c>
      <c r="J277" s="89">
        <f t="shared" si="20"/>
        <v>-4</v>
      </c>
      <c r="K277" s="88">
        <f t="shared" si="21"/>
        <v>-40</v>
      </c>
      <c r="L277" s="88"/>
      <c r="M277" s="90">
        <f t="shared" si="22"/>
        <v>0</v>
      </c>
      <c r="S277" s="79"/>
      <c r="T277" s="79"/>
      <c r="U277" s="79"/>
      <c r="V277" s="79"/>
      <c r="W277" s="79"/>
      <c r="X277" s="79"/>
      <c r="Y277" s="79"/>
      <c r="Z277" s="79"/>
      <c r="AA277" s="79"/>
      <c r="AB277" s="79"/>
      <c r="AC277" s="79"/>
      <c r="AD277" s="79"/>
      <c r="AE277" s="79"/>
      <c r="AF277" s="79"/>
      <c r="AG277" s="79"/>
      <c r="AH277" s="79"/>
      <c r="AI277" s="79"/>
      <c r="AJ277" s="79"/>
      <c r="AK277" s="79"/>
      <c r="AL277" s="79"/>
    </row>
    <row r="278" spans="1:38" s="74" customFormat="1" x14ac:dyDescent="0.25">
      <c r="A278" s="106"/>
      <c r="B278" s="105"/>
      <c r="C278" s="105"/>
      <c r="D278" s="105"/>
      <c r="E278" s="105"/>
      <c r="F278" s="105"/>
      <c r="H278" s="88">
        <v>273</v>
      </c>
      <c r="I278" s="89" t="str">
        <f t="shared" si="19"/>
        <v/>
      </c>
      <c r="J278" s="89">
        <f t="shared" si="20"/>
        <v>-4</v>
      </c>
      <c r="K278" s="88">
        <f t="shared" si="21"/>
        <v>-40</v>
      </c>
      <c r="L278" s="88"/>
      <c r="M278" s="90">
        <f t="shared" si="22"/>
        <v>0</v>
      </c>
      <c r="S278" s="79"/>
      <c r="T278" s="79"/>
      <c r="U278" s="79"/>
      <c r="V278" s="79"/>
      <c r="W278" s="79"/>
      <c r="X278" s="79"/>
      <c r="Y278" s="79"/>
      <c r="Z278" s="79"/>
      <c r="AA278" s="79"/>
      <c r="AB278" s="79"/>
      <c r="AC278" s="79"/>
      <c r="AD278" s="79"/>
      <c r="AE278" s="79"/>
      <c r="AF278" s="79"/>
      <c r="AG278" s="79"/>
      <c r="AH278" s="79"/>
      <c r="AI278" s="79"/>
      <c r="AJ278" s="79"/>
      <c r="AK278" s="79"/>
      <c r="AL278" s="79"/>
    </row>
    <row r="279" spans="1:38" s="74" customFormat="1" x14ac:dyDescent="0.25">
      <c r="A279" s="106"/>
      <c r="B279" s="105"/>
      <c r="C279" s="105"/>
      <c r="D279" s="105"/>
      <c r="E279" s="105"/>
      <c r="F279" s="105"/>
      <c r="H279" s="88">
        <v>274</v>
      </c>
      <c r="I279" s="89" t="str">
        <f t="shared" si="19"/>
        <v/>
      </c>
      <c r="J279" s="89">
        <f t="shared" si="20"/>
        <v>-4</v>
      </c>
      <c r="K279" s="88">
        <f t="shared" si="21"/>
        <v>-40</v>
      </c>
      <c r="L279" s="88"/>
      <c r="M279" s="90">
        <f t="shared" si="22"/>
        <v>0</v>
      </c>
      <c r="S279" s="79"/>
      <c r="T279" s="79"/>
      <c r="U279" s="79"/>
      <c r="V279" s="79"/>
      <c r="W279" s="79"/>
      <c r="X279" s="79"/>
      <c r="Y279" s="79"/>
      <c r="Z279" s="79"/>
      <c r="AA279" s="79"/>
      <c r="AB279" s="79"/>
      <c r="AC279" s="79"/>
      <c r="AD279" s="79"/>
      <c r="AE279" s="79"/>
      <c r="AF279" s="79"/>
      <c r="AG279" s="79"/>
      <c r="AH279" s="79"/>
      <c r="AI279" s="79"/>
      <c r="AJ279" s="79"/>
      <c r="AK279" s="79"/>
      <c r="AL279" s="79"/>
    </row>
    <row r="280" spans="1:38" s="74" customFormat="1" x14ac:dyDescent="0.25">
      <c r="A280" s="106"/>
      <c r="B280" s="105"/>
      <c r="C280" s="105"/>
      <c r="D280" s="105"/>
      <c r="E280" s="105"/>
      <c r="F280" s="105"/>
      <c r="H280" s="88">
        <v>275</v>
      </c>
      <c r="I280" s="89" t="str">
        <f t="shared" si="19"/>
        <v/>
      </c>
      <c r="J280" s="89">
        <f t="shared" si="20"/>
        <v>-4</v>
      </c>
      <c r="K280" s="88">
        <f t="shared" si="21"/>
        <v>-40</v>
      </c>
      <c r="L280" s="88"/>
      <c r="M280" s="90">
        <f t="shared" si="22"/>
        <v>0</v>
      </c>
      <c r="S280" s="79"/>
      <c r="T280" s="79"/>
      <c r="U280" s="79"/>
      <c r="V280" s="79"/>
      <c r="W280" s="79"/>
      <c r="X280" s="79"/>
      <c r="Y280" s="79"/>
      <c r="Z280" s="79"/>
      <c r="AA280" s="79"/>
      <c r="AB280" s="79"/>
      <c r="AC280" s="79"/>
      <c r="AD280" s="79"/>
      <c r="AE280" s="79"/>
      <c r="AF280" s="79"/>
      <c r="AG280" s="79"/>
      <c r="AH280" s="79"/>
      <c r="AI280" s="79"/>
      <c r="AJ280" s="79"/>
      <c r="AK280" s="79"/>
      <c r="AL280" s="79"/>
    </row>
    <row r="281" spans="1:38" s="74" customFormat="1" x14ac:dyDescent="0.25">
      <c r="A281" s="106"/>
      <c r="B281" s="105"/>
      <c r="C281" s="105"/>
      <c r="D281" s="105"/>
      <c r="E281" s="105"/>
      <c r="F281" s="105"/>
      <c r="H281" s="88">
        <v>276</v>
      </c>
      <c r="I281" s="89" t="str">
        <f t="shared" si="19"/>
        <v/>
      </c>
      <c r="J281" s="89">
        <f t="shared" si="20"/>
        <v>-4</v>
      </c>
      <c r="K281" s="88">
        <f t="shared" si="21"/>
        <v>-40</v>
      </c>
      <c r="L281" s="88"/>
      <c r="M281" s="90">
        <f t="shared" si="22"/>
        <v>0</v>
      </c>
      <c r="S281" s="79"/>
      <c r="T281" s="79"/>
      <c r="U281" s="79"/>
      <c r="V281" s="79"/>
      <c r="W281" s="79"/>
      <c r="X281" s="79"/>
      <c r="Y281" s="79"/>
      <c r="Z281" s="79"/>
      <c r="AA281" s="79"/>
      <c r="AB281" s="79"/>
      <c r="AC281" s="79"/>
      <c r="AD281" s="79"/>
      <c r="AE281" s="79"/>
      <c r="AF281" s="79"/>
      <c r="AG281" s="79"/>
      <c r="AH281" s="79"/>
      <c r="AI281" s="79"/>
      <c r="AJ281" s="79"/>
      <c r="AK281" s="79"/>
      <c r="AL281" s="79"/>
    </row>
    <row r="282" spans="1:38" s="74" customFormat="1" x14ac:dyDescent="0.25">
      <c r="A282" s="106"/>
      <c r="B282" s="105"/>
      <c r="C282" s="105"/>
      <c r="D282" s="105"/>
      <c r="E282" s="105"/>
      <c r="F282" s="105"/>
      <c r="H282" s="88">
        <v>277</v>
      </c>
      <c r="I282" s="89" t="str">
        <f t="shared" si="19"/>
        <v/>
      </c>
      <c r="J282" s="89">
        <f t="shared" si="20"/>
        <v>-4</v>
      </c>
      <c r="K282" s="88">
        <f t="shared" si="21"/>
        <v>-40</v>
      </c>
      <c r="L282" s="88"/>
      <c r="M282" s="90">
        <f t="shared" si="22"/>
        <v>0</v>
      </c>
      <c r="S282" s="79"/>
      <c r="T282" s="79"/>
      <c r="U282" s="79"/>
      <c r="V282" s="79"/>
      <c r="W282" s="79"/>
      <c r="X282" s="79"/>
      <c r="Y282" s="79"/>
      <c r="Z282" s="79"/>
      <c r="AA282" s="79"/>
      <c r="AB282" s="79"/>
      <c r="AC282" s="79"/>
      <c r="AD282" s="79"/>
      <c r="AE282" s="79"/>
      <c r="AF282" s="79"/>
      <c r="AG282" s="79"/>
      <c r="AH282" s="79"/>
      <c r="AI282" s="79"/>
      <c r="AJ282" s="79"/>
      <c r="AK282" s="79"/>
      <c r="AL282" s="79"/>
    </row>
    <row r="283" spans="1:38" s="74" customFormat="1" x14ac:dyDescent="0.25">
      <c r="A283" s="106"/>
      <c r="B283" s="105"/>
      <c r="C283" s="105"/>
      <c r="D283" s="105"/>
      <c r="E283" s="105"/>
      <c r="F283" s="105"/>
      <c r="H283" s="88">
        <v>278</v>
      </c>
      <c r="I283" s="89" t="str">
        <f t="shared" si="19"/>
        <v/>
      </c>
      <c r="J283" s="89">
        <f t="shared" si="20"/>
        <v>-4</v>
      </c>
      <c r="K283" s="88">
        <f t="shared" si="21"/>
        <v>-40</v>
      </c>
      <c r="L283" s="88"/>
      <c r="M283" s="90">
        <f t="shared" si="22"/>
        <v>0</v>
      </c>
      <c r="S283" s="79"/>
      <c r="T283" s="79"/>
      <c r="U283" s="79"/>
      <c r="V283" s="79"/>
      <c r="W283" s="79"/>
      <c r="X283" s="79"/>
      <c r="Y283" s="79"/>
      <c r="Z283" s="79"/>
      <c r="AA283" s="79"/>
      <c r="AB283" s="79"/>
      <c r="AC283" s="79"/>
      <c r="AD283" s="79"/>
      <c r="AE283" s="79"/>
      <c r="AF283" s="79"/>
      <c r="AG283" s="79"/>
      <c r="AH283" s="79"/>
      <c r="AI283" s="79"/>
      <c r="AJ283" s="79"/>
      <c r="AK283" s="79"/>
      <c r="AL283" s="79"/>
    </row>
    <row r="284" spans="1:38" s="74" customFormat="1" x14ac:dyDescent="0.25">
      <c r="A284" s="106"/>
      <c r="B284" s="105"/>
      <c r="C284" s="105"/>
      <c r="D284" s="105"/>
      <c r="E284" s="105"/>
      <c r="F284" s="105"/>
      <c r="H284" s="88">
        <v>279</v>
      </c>
      <c r="I284" s="89" t="str">
        <f t="shared" si="19"/>
        <v/>
      </c>
      <c r="J284" s="89">
        <f t="shared" si="20"/>
        <v>-4</v>
      </c>
      <c r="K284" s="88">
        <f t="shared" si="21"/>
        <v>-40</v>
      </c>
      <c r="L284" s="88"/>
      <c r="M284" s="90">
        <f t="shared" si="22"/>
        <v>0</v>
      </c>
      <c r="S284" s="79"/>
      <c r="T284" s="79"/>
      <c r="U284" s="79"/>
      <c r="V284" s="79"/>
      <c r="W284" s="79"/>
      <c r="X284" s="79"/>
      <c r="Y284" s="79"/>
      <c r="Z284" s="79"/>
      <c r="AA284" s="79"/>
      <c r="AB284" s="79"/>
      <c r="AC284" s="79"/>
      <c r="AD284" s="79"/>
      <c r="AE284" s="79"/>
      <c r="AF284" s="79"/>
      <c r="AG284" s="79"/>
      <c r="AH284" s="79"/>
      <c r="AI284" s="79"/>
      <c r="AJ284" s="79"/>
      <c r="AK284" s="79"/>
      <c r="AL284" s="79"/>
    </row>
    <row r="285" spans="1:38" s="74" customFormat="1" x14ac:dyDescent="0.25">
      <c r="A285" s="106"/>
      <c r="B285" s="105"/>
      <c r="C285" s="105"/>
      <c r="D285" s="105"/>
      <c r="E285" s="105"/>
      <c r="F285" s="105"/>
      <c r="H285" s="88">
        <v>280</v>
      </c>
      <c r="I285" s="89" t="str">
        <f t="shared" si="19"/>
        <v/>
      </c>
      <c r="J285" s="89">
        <f t="shared" si="20"/>
        <v>-4</v>
      </c>
      <c r="K285" s="88">
        <f t="shared" si="21"/>
        <v>-40</v>
      </c>
      <c r="L285" s="88"/>
      <c r="M285" s="90">
        <f t="shared" si="22"/>
        <v>0</v>
      </c>
      <c r="S285" s="79"/>
      <c r="T285" s="79"/>
      <c r="U285" s="79"/>
      <c r="V285" s="79"/>
      <c r="W285" s="79"/>
      <c r="X285" s="79"/>
      <c r="Y285" s="79"/>
      <c r="Z285" s="79"/>
      <c r="AA285" s="79"/>
      <c r="AB285" s="79"/>
      <c r="AC285" s="79"/>
      <c r="AD285" s="79"/>
      <c r="AE285" s="79"/>
      <c r="AF285" s="79"/>
      <c r="AG285" s="79"/>
      <c r="AH285" s="79"/>
      <c r="AI285" s="79"/>
      <c r="AJ285" s="79"/>
      <c r="AK285" s="79"/>
      <c r="AL285" s="79"/>
    </row>
    <row r="286" spans="1:38" s="74" customFormat="1" x14ac:dyDescent="0.25">
      <c r="A286" s="106"/>
      <c r="B286" s="105"/>
      <c r="C286" s="105"/>
      <c r="D286" s="105"/>
      <c r="E286" s="105"/>
      <c r="F286" s="105"/>
      <c r="H286" s="88">
        <v>281</v>
      </c>
      <c r="I286" s="89" t="str">
        <f t="shared" si="19"/>
        <v/>
      </c>
      <c r="J286" s="89">
        <f t="shared" si="20"/>
        <v>-4</v>
      </c>
      <c r="K286" s="88">
        <f t="shared" si="21"/>
        <v>-40</v>
      </c>
      <c r="L286" s="88"/>
      <c r="M286" s="90">
        <f t="shared" si="22"/>
        <v>0</v>
      </c>
      <c r="S286" s="79"/>
      <c r="T286" s="79"/>
      <c r="U286" s="79"/>
      <c r="V286" s="79"/>
      <c r="W286" s="79"/>
      <c r="X286" s="79"/>
      <c r="Y286" s="79"/>
      <c r="Z286" s="79"/>
      <c r="AA286" s="79"/>
      <c r="AB286" s="79"/>
      <c r="AC286" s="79"/>
      <c r="AD286" s="79"/>
      <c r="AE286" s="79"/>
      <c r="AF286" s="79"/>
      <c r="AG286" s="79"/>
      <c r="AH286" s="79"/>
      <c r="AI286" s="79"/>
      <c r="AJ286" s="79"/>
      <c r="AK286" s="79"/>
      <c r="AL286" s="79"/>
    </row>
    <row r="287" spans="1:38" s="74" customFormat="1" x14ac:dyDescent="0.25">
      <c r="A287" s="106"/>
      <c r="B287" s="105"/>
      <c r="C287" s="105"/>
      <c r="D287" s="105"/>
      <c r="E287" s="105"/>
      <c r="F287" s="105"/>
      <c r="H287" s="88">
        <v>282</v>
      </c>
      <c r="I287" s="89" t="str">
        <f t="shared" si="19"/>
        <v/>
      </c>
      <c r="J287" s="89">
        <f t="shared" si="20"/>
        <v>-4</v>
      </c>
      <c r="K287" s="88">
        <f t="shared" si="21"/>
        <v>-40</v>
      </c>
      <c r="L287" s="88"/>
      <c r="M287" s="90">
        <f t="shared" si="22"/>
        <v>0</v>
      </c>
      <c r="S287" s="79"/>
      <c r="T287" s="79"/>
      <c r="U287" s="79"/>
      <c r="V287" s="79"/>
      <c r="W287" s="79"/>
      <c r="X287" s="79"/>
      <c r="Y287" s="79"/>
      <c r="Z287" s="79"/>
      <c r="AA287" s="79"/>
      <c r="AB287" s="79"/>
      <c r="AC287" s="79"/>
      <c r="AD287" s="79"/>
      <c r="AE287" s="79"/>
      <c r="AF287" s="79"/>
      <c r="AG287" s="79"/>
      <c r="AH287" s="79"/>
      <c r="AI287" s="79"/>
      <c r="AJ287" s="79"/>
      <c r="AK287" s="79"/>
      <c r="AL287" s="79"/>
    </row>
    <row r="288" spans="1:38" s="74" customFormat="1" x14ac:dyDescent="0.25">
      <c r="A288" s="106"/>
      <c r="B288" s="105"/>
      <c r="C288" s="105"/>
      <c r="D288" s="105"/>
      <c r="E288" s="105"/>
      <c r="F288" s="105"/>
      <c r="H288" s="88">
        <v>283</v>
      </c>
      <c r="I288" s="89" t="str">
        <f t="shared" si="19"/>
        <v/>
      </c>
      <c r="J288" s="89">
        <f t="shared" si="20"/>
        <v>-4</v>
      </c>
      <c r="K288" s="88">
        <f t="shared" si="21"/>
        <v>-40</v>
      </c>
      <c r="L288" s="88"/>
      <c r="M288" s="90">
        <f t="shared" si="22"/>
        <v>0</v>
      </c>
      <c r="S288" s="79"/>
      <c r="T288" s="79"/>
      <c r="U288" s="79"/>
      <c r="V288" s="79"/>
      <c r="W288" s="79"/>
      <c r="X288" s="79"/>
      <c r="Y288" s="79"/>
      <c r="Z288" s="79"/>
      <c r="AA288" s="79"/>
      <c r="AB288" s="79"/>
      <c r="AC288" s="79"/>
      <c r="AD288" s="79"/>
      <c r="AE288" s="79"/>
      <c r="AF288" s="79"/>
      <c r="AG288" s="79"/>
      <c r="AH288" s="79"/>
      <c r="AI288" s="79"/>
      <c r="AJ288" s="79"/>
      <c r="AK288" s="79"/>
      <c r="AL288" s="79"/>
    </row>
    <row r="289" spans="1:38" s="74" customFormat="1" x14ac:dyDescent="0.25">
      <c r="A289" s="106"/>
      <c r="B289" s="105"/>
      <c r="C289" s="105"/>
      <c r="D289" s="105"/>
      <c r="E289" s="105"/>
      <c r="F289" s="105"/>
      <c r="H289" s="88">
        <v>284</v>
      </c>
      <c r="I289" s="89" t="str">
        <f t="shared" si="19"/>
        <v/>
      </c>
      <c r="J289" s="89">
        <f t="shared" si="20"/>
        <v>-4</v>
      </c>
      <c r="K289" s="88">
        <f t="shared" si="21"/>
        <v>-40</v>
      </c>
      <c r="L289" s="88"/>
      <c r="M289" s="90">
        <f t="shared" si="22"/>
        <v>0</v>
      </c>
      <c r="S289" s="79"/>
      <c r="T289" s="79"/>
      <c r="U289" s="79"/>
      <c r="V289" s="79"/>
      <c r="W289" s="79"/>
      <c r="X289" s="79"/>
      <c r="Y289" s="79"/>
      <c r="Z289" s="79"/>
      <c r="AA289" s="79"/>
      <c r="AB289" s="79"/>
      <c r="AC289" s="79"/>
      <c r="AD289" s="79"/>
      <c r="AE289" s="79"/>
      <c r="AF289" s="79"/>
      <c r="AG289" s="79"/>
      <c r="AH289" s="79"/>
      <c r="AI289" s="79"/>
      <c r="AJ289" s="79"/>
      <c r="AK289" s="79"/>
      <c r="AL289" s="79"/>
    </row>
    <row r="290" spans="1:38" s="74" customFormat="1" x14ac:dyDescent="0.25">
      <c r="A290" s="106"/>
      <c r="B290" s="105"/>
      <c r="C290" s="105"/>
      <c r="D290" s="105"/>
      <c r="E290" s="105"/>
      <c r="F290" s="105"/>
      <c r="H290" s="88">
        <v>285</v>
      </c>
      <c r="I290" s="89" t="str">
        <f t="shared" si="19"/>
        <v/>
      </c>
      <c r="J290" s="89">
        <f t="shared" si="20"/>
        <v>-4</v>
      </c>
      <c r="K290" s="88">
        <f t="shared" si="21"/>
        <v>-40</v>
      </c>
      <c r="L290" s="88"/>
      <c r="M290" s="90">
        <f t="shared" si="22"/>
        <v>0</v>
      </c>
      <c r="S290" s="79"/>
      <c r="T290" s="79"/>
      <c r="U290" s="79"/>
      <c r="V290" s="79"/>
      <c r="W290" s="79"/>
      <c r="X290" s="79"/>
      <c r="Y290" s="79"/>
      <c r="Z290" s="79"/>
      <c r="AA290" s="79"/>
      <c r="AB290" s="79"/>
      <c r="AC290" s="79"/>
      <c r="AD290" s="79"/>
      <c r="AE290" s="79"/>
      <c r="AF290" s="79"/>
      <c r="AG290" s="79"/>
      <c r="AH290" s="79"/>
      <c r="AI290" s="79"/>
      <c r="AJ290" s="79"/>
      <c r="AK290" s="79"/>
      <c r="AL290" s="79"/>
    </row>
    <row r="291" spans="1:38" s="74" customFormat="1" x14ac:dyDescent="0.25">
      <c r="A291" s="106"/>
      <c r="B291" s="105"/>
      <c r="C291" s="105"/>
      <c r="D291" s="105"/>
      <c r="E291" s="105"/>
      <c r="F291" s="105"/>
      <c r="H291" s="88">
        <v>286</v>
      </c>
      <c r="I291" s="89" t="str">
        <f t="shared" si="19"/>
        <v/>
      </c>
      <c r="J291" s="89">
        <f t="shared" si="20"/>
        <v>-4</v>
      </c>
      <c r="K291" s="88">
        <f t="shared" si="21"/>
        <v>-40</v>
      </c>
      <c r="L291" s="88"/>
      <c r="M291" s="90">
        <f t="shared" si="22"/>
        <v>0</v>
      </c>
      <c r="S291" s="79"/>
      <c r="T291" s="79"/>
      <c r="U291" s="79"/>
      <c r="V291" s="79"/>
      <c r="W291" s="79"/>
      <c r="X291" s="79"/>
      <c r="Y291" s="79"/>
      <c r="Z291" s="79"/>
      <c r="AA291" s="79"/>
      <c r="AB291" s="79"/>
      <c r="AC291" s="79"/>
      <c r="AD291" s="79"/>
      <c r="AE291" s="79"/>
      <c r="AF291" s="79"/>
      <c r="AG291" s="79"/>
      <c r="AH291" s="79"/>
      <c r="AI291" s="79"/>
      <c r="AJ291" s="79"/>
      <c r="AK291" s="79"/>
      <c r="AL291" s="79"/>
    </row>
    <row r="292" spans="1:38" s="74" customFormat="1" x14ac:dyDescent="0.25">
      <c r="A292" s="106"/>
      <c r="B292" s="105"/>
      <c r="C292" s="105"/>
      <c r="D292" s="105"/>
      <c r="E292" s="105"/>
      <c r="F292" s="105"/>
      <c r="H292" s="88">
        <v>287</v>
      </c>
      <c r="I292" s="89" t="str">
        <f t="shared" si="19"/>
        <v/>
      </c>
      <c r="J292" s="89">
        <f t="shared" si="20"/>
        <v>-4</v>
      </c>
      <c r="K292" s="88">
        <f t="shared" si="21"/>
        <v>-40</v>
      </c>
      <c r="L292" s="88"/>
      <c r="M292" s="90">
        <f t="shared" si="22"/>
        <v>0</v>
      </c>
      <c r="S292" s="79"/>
      <c r="T292" s="79"/>
      <c r="U292" s="79"/>
      <c r="V292" s="79"/>
      <c r="W292" s="79"/>
      <c r="X292" s="79"/>
      <c r="Y292" s="79"/>
      <c r="Z292" s="79"/>
      <c r="AA292" s="79"/>
      <c r="AB292" s="79"/>
      <c r="AC292" s="79"/>
      <c r="AD292" s="79"/>
      <c r="AE292" s="79"/>
      <c r="AF292" s="79"/>
      <c r="AG292" s="79"/>
      <c r="AH292" s="79"/>
      <c r="AI292" s="79"/>
      <c r="AJ292" s="79"/>
      <c r="AK292" s="79"/>
      <c r="AL292" s="79"/>
    </row>
    <row r="293" spans="1:38" s="74" customFormat="1" x14ac:dyDescent="0.25">
      <c r="A293" s="106"/>
      <c r="B293" s="105"/>
      <c r="C293" s="105"/>
      <c r="D293" s="105"/>
      <c r="E293" s="105"/>
      <c r="F293" s="105"/>
      <c r="H293" s="88">
        <v>288</v>
      </c>
      <c r="I293" s="89" t="str">
        <f t="shared" si="19"/>
        <v/>
      </c>
      <c r="J293" s="89">
        <f t="shared" si="20"/>
        <v>-4</v>
      </c>
      <c r="K293" s="88">
        <f t="shared" si="21"/>
        <v>-40</v>
      </c>
      <c r="L293" s="88"/>
      <c r="M293" s="90">
        <f t="shared" si="22"/>
        <v>0</v>
      </c>
      <c r="S293" s="79"/>
      <c r="T293" s="79"/>
      <c r="U293" s="79"/>
      <c r="V293" s="79"/>
      <c r="W293" s="79"/>
      <c r="X293" s="79"/>
      <c r="Y293" s="79"/>
      <c r="Z293" s="79"/>
      <c r="AA293" s="79"/>
      <c r="AB293" s="79"/>
      <c r="AC293" s="79"/>
      <c r="AD293" s="79"/>
      <c r="AE293" s="79"/>
      <c r="AF293" s="79"/>
      <c r="AG293" s="79"/>
      <c r="AH293" s="79"/>
      <c r="AI293" s="79"/>
      <c r="AJ293" s="79"/>
      <c r="AK293" s="79"/>
      <c r="AL293" s="79"/>
    </row>
    <row r="294" spans="1:38" s="74" customFormat="1" x14ac:dyDescent="0.25">
      <c r="A294" s="106"/>
      <c r="B294" s="105"/>
      <c r="C294" s="105"/>
      <c r="D294" s="105"/>
      <c r="E294" s="105"/>
      <c r="F294" s="105"/>
      <c r="H294" s="88">
        <v>289</v>
      </c>
      <c r="I294" s="89" t="str">
        <f t="shared" si="19"/>
        <v/>
      </c>
      <c r="J294" s="89">
        <f t="shared" si="20"/>
        <v>-4</v>
      </c>
      <c r="K294" s="88">
        <f t="shared" si="21"/>
        <v>-40</v>
      </c>
      <c r="L294" s="88"/>
      <c r="M294" s="90">
        <f t="shared" si="22"/>
        <v>0</v>
      </c>
      <c r="S294" s="79"/>
      <c r="T294" s="79"/>
      <c r="U294" s="79"/>
      <c r="V294" s="79"/>
      <c r="W294" s="79"/>
      <c r="X294" s="79"/>
      <c r="Y294" s="79"/>
      <c r="Z294" s="79"/>
      <c r="AA294" s="79"/>
      <c r="AB294" s="79"/>
      <c r="AC294" s="79"/>
      <c r="AD294" s="79"/>
      <c r="AE294" s="79"/>
      <c r="AF294" s="79"/>
      <c r="AG294" s="79"/>
      <c r="AH294" s="79"/>
      <c r="AI294" s="79"/>
      <c r="AJ294" s="79"/>
      <c r="AK294" s="79"/>
      <c r="AL294" s="79"/>
    </row>
    <row r="295" spans="1:38" s="74" customFormat="1" x14ac:dyDescent="0.25">
      <c r="A295" s="106"/>
      <c r="B295" s="105"/>
      <c r="C295" s="105"/>
      <c r="D295" s="105"/>
      <c r="E295" s="105"/>
      <c r="F295" s="105"/>
      <c r="H295" s="88">
        <v>290</v>
      </c>
      <c r="I295" s="89" t="str">
        <f t="shared" si="19"/>
        <v/>
      </c>
      <c r="J295" s="89">
        <f t="shared" si="20"/>
        <v>-4</v>
      </c>
      <c r="K295" s="88">
        <f t="shared" si="21"/>
        <v>-40</v>
      </c>
      <c r="L295" s="88"/>
      <c r="M295" s="90">
        <f t="shared" si="22"/>
        <v>0</v>
      </c>
      <c r="S295" s="79"/>
      <c r="T295" s="79"/>
      <c r="U295" s="79"/>
      <c r="V295" s="79"/>
      <c r="W295" s="79"/>
      <c r="X295" s="79"/>
      <c r="Y295" s="79"/>
      <c r="Z295" s="79"/>
      <c r="AA295" s="79"/>
      <c r="AB295" s="79"/>
      <c r="AC295" s="79"/>
      <c r="AD295" s="79"/>
      <c r="AE295" s="79"/>
      <c r="AF295" s="79"/>
      <c r="AG295" s="79"/>
      <c r="AH295" s="79"/>
      <c r="AI295" s="79"/>
      <c r="AJ295" s="79"/>
      <c r="AK295" s="79"/>
      <c r="AL295" s="79"/>
    </row>
    <row r="296" spans="1:38" s="74" customFormat="1" x14ac:dyDescent="0.25">
      <c r="A296" s="106"/>
      <c r="B296" s="105"/>
      <c r="C296" s="105"/>
      <c r="D296" s="105"/>
      <c r="E296" s="105"/>
      <c r="F296" s="105"/>
      <c r="H296" s="88">
        <v>291</v>
      </c>
      <c r="I296" s="89" t="str">
        <f t="shared" si="19"/>
        <v/>
      </c>
      <c r="J296" s="89">
        <f t="shared" si="20"/>
        <v>-4</v>
      </c>
      <c r="K296" s="88">
        <f t="shared" si="21"/>
        <v>-40</v>
      </c>
      <c r="L296" s="88"/>
      <c r="M296" s="90">
        <f t="shared" si="22"/>
        <v>0</v>
      </c>
      <c r="S296" s="79"/>
      <c r="T296" s="79"/>
      <c r="U296" s="79"/>
      <c r="V296" s="79"/>
      <c r="W296" s="79"/>
      <c r="X296" s="79"/>
      <c r="Y296" s="79"/>
      <c r="Z296" s="79"/>
      <c r="AA296" s="79"/>
      <c r="AB296" s="79"/>
      <c r="AC296" s="79"/>
      <c r="AD296" s="79"/>
      <c r="AE296" s="79"/>
      <c r="AF296" s="79"/>
      <c r="AG296" s="79"/>
      <c r="AH296" s="79"/>
      <c r="AI296" s="79"/>
      <c r="AJ296" s="79"/>
      <c r="AK296" s="79"/>
      <c r="AL296" s="79"/>
    </row>
    <row r="297" spans="1:38" s="74" customFormat="1" x14ac:dyDescent="0.25">
      <c r="A297" s="106"/>
      <c r="B297" s="105"/>
      <c r="C297" s="105"/>
      <c r="D297" s="105"/>
      <c r="E297" s="105"/>
      <c r="F297" s="105"/>
      <c r="H297" s="88">
        <v>292</v>
      </c>
      <c r="I297" s="89" t="str">
        <f t="shared" si="19"/>
        <v/>
      </c>
      <c r="J297" s="89">
        <f t="shared" si="20"/>
        <v>-4</v>
      </c>
      <c r="K297" s="88">
        <f t="shared" si="21"/>
        <v>-40</v>
      </c>
      <c r="L297" s="88"/>
      <c r="M297" s="90">
        <f t="shared" si="22"/>
        <v>0</v>
      </c>
      <c r="S297" s="79"/>
      <c r="T297" s="79"/>
      <c r="U297" s="79"/>
      <c r="V297" s="79"/>
      <c r="W297" s="79"/>
      <c r="X297" s="79"/>
      <c r="Y297" s="79"/>
      <c r="Z297" s="79"/>
      <c r="AA297" s="79"/>
      <c r="AB297" s="79"/>
      <c r="AC297" s="79"/>
      <c r="AD297" s="79"/>
      <c r="AE297" s="79"/>
      <c r="AF297" s="79"/>
      <c r="AG297" s="79"/>
      <c r="AH297" s="79"/>
      <c r="AI297" s="79"/>
      <c r="AJ297" s="79"/>
      <c r="AK297" s="79"/>
      <c r="AL297" s="79"/>
    </row>
    <row r="298" spans="1:38" s="74" customFormat="1" x14ac:dyDescent="0.25">
      <c r="A298" s="106"/>
      <c r="B298" s="105"/>
      <c r="C298" s="105"/>
      <c r="D298" s="105"/>
      <c r="E298" s="105"/>
      <c r="F298" s="105"/>
      <c r="H298" s="88">
        <v>293</v>
      </c>
      <c r="I298" s="89" t="str">
        <f t="shared" si="19"/>
        <v/>
      </c>
      <c r="J298" s="89">
        <f t="shared" si="20"/>
        <v>-4</v>
      </c>
      <c r="K298" s="88">
        <f t="shared" si="21"/>
        <v>-40</v>
      </c>
      <c r="L298" s="88"/>
      <c r="M298" s="90">
        <f t="shared" si="22"/>
        <v>0</v>
      </c>
      <c r="S298" s="79"/>
      <c r="T298" s="79"/>
      <c r="U298" s="79"/>
      <c r="V298" s="79"/>
      <c r="W298" s="79"/>
      <c r="X298" s="79"/>
      <c r="Y298" s="79"/>
      <c r="Z298" s="79"/>
      <c r="AA298" s="79"/>
      <c r="AB298" s="79"/>
      <c r="AC298" s="79"/>
      <c r="AD298" s="79"/>
      <c r="AE298" s="79"/>
      <c r="AF298" s="79"/>
      <c r="AG298" s="79"/>
      <c r="AH298" s="79"/>
      <c r="AI298" s="79"/>
      <c r="AJ298" s="79"/>
      <c r="AK298" s="79"/>
      <c r="AL298" s="79"/>
    </row>
    <row r="299" spans="1:38" s="74" customFormat="1" x14ac:dyDescent="0.25">
      <c r="A299" s="106"/>
      <c r="B299" s="105"/>
      <c r="C299" s="105"/>
      <c r="D299" s="105"/>
      <c r="E299" s="105"/>
      <c r="F299" s="105"/>
      <c r="H299" s="88">
        <v>294</v>
      </c>
      <c r="I299" s="89" t="str">
        <f t="shared" si="19"/>
        <v/>
      </c>
      <c r="J299" s="89">
        <f t="shared" si="20"/>
        <v>-4</v>
      </c>
      <c r="K299" s="88">
        <f t="shared" si="21"/>
        <v>-40</v>
      </c>
      <c r="L299" s="88"/>
      <c r="M299" s="90">
        <f t="shared" si="22"/>
        <v>0</v>
      </c>
      <c r="S299" s="79"/>
      <c r="T299" s="79"/>
      <c r="U299" s="79"/>
      <c r="V299" s="79"/>
      <c r="W299" s="79"/>
      <c r="X299" s="79"/>
      <c r="Y299" s="79"/>
      <c r="Z299" s="79"/>
      <c r="AA299" s="79"/>
      <c r="AB299" s="79"/>
      <c r="AC299" s="79"/>
      <c r="AD299" s="79"/>
      <c r="AE299" s="79"/>
      <c r="AF299" s="79"/>
      <c r="AG299" s="79"/>
      <c r="AH299" s="79"/>
      <c r="AI299" s="79"/>
      <c r="AJ299" s="79"/>
      <c r="AK299" s="79"/>
      <c r="AL299" s="79"/>
    </row>
    <row r="300" spans="1:38" s="74" customFormat="1" x14ac:dyDescent="0.25">
      <c r="A300" s="106"/>
      <c r="B300" s="105"/>
      <c r="C300" s="105"/>
      <c r="D300" s="105"/>
      <c r="E300" s="105"/>
      <c r="F300" s="105"/>
      <c r="H300" s="88">
        <v>295</v>
      </c>
      <c r="I300" s="89" t="str">
        <f t="shared" si="19"/>
        <v/>
      </c>
      <c r="J300" s="89">
        <f t="shared" si="20"/>
        <v>-4</v>
      </c>
      <c r="K300" s="88">
        <f t="shared" si="21"/>
        <v>-40</v>
      </c>
      <c r="L300" s="88"/>
      <c r="M300" s="90">
        <f t="shared" si="22"/>
        <v>0</v>
      </c>
      <c r="S300" s="79"/>
      <c r="T300" s="79"/>
      <c r="U300" s="79"/>
      <c r="V300" s="79"/>
      <c r="W300" s="79"/>
      <c r="X300" s="79"/>
      <c r="Y300" s="79"/>
      <c r="Z300" s="79"/>
      <c r="AA300" s="79"/>
      <c r="AB300" s="79"/>
      <c r="AC300" s="79"/>
      <c r="AD300" s="79"/>
      <c r="AE300" s="79"/>
      <c r="AF300" s="79"/>
      <c r="AG300" s="79"/>
      <c r="AH300" s="79"/>
      <c r="AI300" s="79"/>
      <c r="AJ300" s="79"/>
      <c r="AK300" s="79"/>
      <c r="AL300" s="79"/>
    </row>
    <row r="301" spans="1:38" s="74" customFormat="1" x14ac:dyDescent="0.25">
      <c r="A301" s="106"/>
      <c r="B301" s="105"/>
      <c r="C301" s="105"/>
      <c r="D301" s="105"/>
      <c r="E301" s="105"/>
      <c r="F301" s="105"/>
      <c r="H301" s="88">
        <v>296</v>
      </c>
      <c r="I301" s="89" t="str">
        <f t="shared" si="19"/>
        <v/>
      </c>
      <c r="J301" s="89">
        <f t="shared" si="20"/>
        <v>-4</v>
      </c>
      <c r="K301" s="88">
        <f t="shared" si="21"/>
        <v>-40</v>
      </c>
      <c r="L301" s="88"/>
      <c r="M301" s="90">
        <f t="shared" si="22"/>
        <v>0</v>
      </c>
      <c r="S301" s="79"/>
      <c r="T301" s="79"/>
      <c r="U301" s="79"/>
      <c r="V301" s="79"/>
      <c r="W301" s="79"/>
      <c r="X301" s="79"/>
      <c r="Y301" s="79"/>
      <c r="Z301" s="79"/>
      <c r="AA301" s="79"/>
      <c r="AB301" s="79"/>
      <c r="AC301" s="79"/>
      <c r="AD301" s="79"/>
      <c r="AE301" s="79"/>
      <c r="AF301" s="79"/>
      <c r="AG301" s="79"/>
      <c r="AH301" s="79"/>
      <c r="AI301" s="79"/>
      <c r="AJ301" s="79"/>
      <c r="AK301" s="79"/>
      <c r="AL301" s="79"/>
    </row>
    <row r="302" spans="1:38" s="74" customFormat="1" x14ac:dyDescent="0.25">
      <c r="A302" s="106"/>
      <c r="B302" s="105"/>
      <c r="C302" s="105"/>
      <c r="D302" s="105"/>
      <c r="E302" s="105"/>
      <c r="F302" s="105"/>
      <c r="H302" s="88">
        <v>297</v>
      </c>
      <c r="I302" s="89" t="str">
        <f t="shared" si="19"/>
        <v/>
      </c>
      <c r="J302" s="89">
        <f t="shared" si="20"/>
        <v>-4</v>
      </c>
      <c r="K302" s="88">
        <f t="shared" si="21"/>
        <v>-40</v>
      </c>
      <c r="L302" s="88"/>
      <c r="M302" s="90">
        <f t="shared" si="22"/>
        <v>0</v>
      </c>
      <c r="S302" s="79"/>
      <c r="T302" s="79"/>
      <c r="U302" s="79"/>
      <c r="V302" s="79"/>
      <c r="W302" s="79"/>
      <c r="X302" s="79"/>
      <c r="Y302" s="79"/>
      <c r="Z302" s="79"/>
      <c r="AA302" s="79"/>
      <c r="AB302" s="79"/>
      <c r="AC302" s="79"/>
      <c r="AD302" s="79"/>
      <c r="AE302" s="79"/>
      <c r="AF302" s="79"/>
      <c r="AG302" s="79"/>
      <c r="AH302" s="79"/>
      <c r="AI302" s="79"/>
      <c r="AJ302" s="79"/>
      <c r="AK302" s="79"/>
      <c r="AL302" s="79"/>
    </row>
    <row r="303" spans="1:38" s="74" customFormat="1" x14ac:dyDescent="0.25">
      <c r="A303" s="106"/>
      <c r="B303" s="105"/>
      <c r="C303" s="105"/>
      <c r="D303" s="105"/>
      <c r="E303" s="105"/>
      <c r="F303" s="105"/>
      <c r="H303" s="88">
        <v>298</v>
      </c>
      <c r="I303" s="89" t="str">
        <f t="shared" si="19"/>
        <v/>
      </c>
      <c r="J303" s="89">
        <f t="shared" si="20"/>
        <v>-4</v>
      </c>
      <c r="K303" s="88">
        <f t="shared" si="21"/>
        <v>-40</v>
      </c>
      <c r="L303" s="88"/>
      <c r="M303" s="90">
        <f t="shared" si="22"/>
        <v>0</v>
      </c>
      <c r="S303" s="79"/>
      <c r="T303" s="79"/>
      <c r="U303" s="79"/>
      <c r="V303" s="79"/>
      <c r="W303" s="79"/>
      <c r="X303" s="79"/>
      <c r="Y303" s="79"/>
      <c r="Z303" s="79"/>
      <c r="AA303" s="79"/>
      <c r="AB303" s="79"/>
      <c r="AC303" s="79"/>
      <c r="AD303" s="79"/>
      <c r="AE303" s="79"/>
      <c r="AF303" s="79"/>
      <c r="AG303" s="79"/>
      <c r="AH303" s="79"/>
      <c r="AI303" s="79"/>
      <c r="AJ303" s="79"/>
      <c r="AK303" s="79"/>
      <c r="AL303" s="79"/>
    </row>
    <row r="304" spans="1:38" s="74" customFormat="1" x14ac:dyDescent="0.25">
      <c r="A304" s="106"/>
      <c r="B304" s="105"/>
      <c r="C304" s="105"/>
      <c r="D304" s="105"/>
      <c r="E304" s="105"/>
      <c r="F304" s="105"/>
      <c r="H304" s="88">
        <v>299</v>
      </c>
      <c r="I304" s="89" t="str">
        <f t="shared" si="19"/>
        <v/>
      </c>
      <c r="J304" s="89">
        <f t="shared" si="20"/>
        <v>-4</v>
      </c>
      <c r="K304" s="88">
        <f t="shared" si="21"/>
        <v>-40</v>
      </c>
      <c r="L304" s="88"/>
      <c r="M304" s="90">
        <f t="shared" si="22"/>
        <v>0</v>
      </c>
      <c r="S304" s="79"/>
      <c r="T304" s="79"/>
      <c r="U304" s="79"/>
      <c r="V304" s="79"/>
      <c r="W304" s="79"/>
      <c r="X304" s="79"/>
      <c r="Y304" s="79"/>
      <c r="Z304" s="79"/>
      <c r="AA304" s="79"/>
      <c r="AB304" s="79"/>
      <c r="AC304" s="79"/>
      <c r="AD304" s="79"/>
      <c r="AE304" s="79"/>
      <c r="AF304" s="79"/>
      <c r="AG304" s="79"/>
      <c r="AH304" s="79"/>
      <c r="AI304" s="79"/>
      <c r="AJ304" s="79"/>
      <c r="AK304" s="79"/>
      <c r="AL304" s="79"/>
    </row>
    <row r="305" spans="1:38" s="74" customFormat="1" x14ac:dyDescent="0.25">
      <c r="A305" s="106"/>
      <c r="B305" s="105"/>
      <c r="C305" s="105"/>
      <c r="D305" s="105"/>
      <c r="E305" s="105"/>
      <c r="F305" s="105"/>
      <c r="H305" s="88">
        <v>300</v>
      </c>
      <c r="I305" s="89" t="str">
        <f t="shared" si="19"/>
        <v/>
      </c>
      <c r="J305" s="89">
        <f t="shared" si="20"/>
        <v>-4</v>
      </c>
      <c r="K305" s="88">
        <f t="shared" si="21"/>
        <v>-40</v>
      </c>
      <c r="L305" s="88"/>
      <c r="M305" s="90">
        <f t="shared" si="22"/>
        <v>0</v>
      </c>
      <c r="S305" s="79"/>
      <c r="T305" s="79"/>
      <c r="U305" s="79"/>
      <c r="V305" s="79"/>
      <c r="W305" s="79"/>
      <c r="X305" s="79"/>
      <c r="Y305" s="79"/>
      <c r="Z305" s="79"/>
      <c r="AA305" s="79"/>
      <c r="AB305" s="79"/>
      <c r="AC305" s="79"/>
      <c r="AD305" s="79"/>
      <c r="AE305" s="79"/>
      <c r="AF305" s="79"/>
      <c r="AG305" s="79"/>
      <c r="AH305" s="79"/>
      <c r="AI305" s="79"/>
      <c r="AJ305" s="79"/>
      <c r="AK305" s="79"/>
      <c r="AL305" s="79"/>
    </row>
    <row r="306" spans="1:38" s="74" customFormat="1" x14ac:dyDescent="0.25">
      <c r="A306" s="107"/>
      <c r="B306" s="105"/>
      <c r="C306" s="105"/>
      <c r="D306" s="105"/>
      <c r="E306" s="105"/>
      <c r="F306" s="105"/>
      <c r="G306" s="105"/>
      <c r="H306" s="108"/>
      <c r="I306" s="108"/>
      <c r="J306" s="108"/>
      <c r="K306" s="108"/>
      <c r="L306" s="108"/>
      <c r="M306" s="10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  <c r="AC306" s="79"/>
      <c r="AD306" s="79"/>
      <c r="AE306" s="79"/>
      <c r="AF306" s="79"/>
      <c r="AG306" s="79"/>
      <c r="AH306" s="79"/>
      <c r="AI306" s="79"/>
      <c r="AJ306" s="79"/>
      <c r="AK306" s="79"/>
      <c r="AL306" s="79"/>
    </row>
    <row r="314" spans="1:38" s="74" customFormat="1" x14ac:dyDescent="0.25">
      <c r="A314" s="105"/>
      <c r="B314" s="105"/>
      <c r="C314" s="105"/>
      <c r="D314" s="105"/>
      <c r="E314" s="105"/>
      <c r="F314" s="105"/>
      <c r="G314" s="105"/>
      <c r="H314" s="108"/>
      <c r="I314" s="108"/>
      <c r="J314" s="108"/>
      <c r="K314" s="108"/>
      <c r="L314" s="110"/>
      <c r="M314" s="109"/>
      <c r="P314" s="100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  <c r="AC314" s="79"/>
      <c r="AD314" s="79"/>
      <c r="AE314" s="79"/>
      <c r="AF314" s="79"/>
      <c r="AG314" s="79"/>
      <c r="AH314" s="79"/>
      <c r="AI314" s="79"/>
      <c r="AJ314" s="79"/>
      <c r="AK314" s="79"/>
      <c r="AL314" s="79"/>
    </row>
    <row r="315" spans="1:38" s="74" customFormat="1" x14ac:dyDescent="0.25">
      <c r="A315" s="105"/>
      <c r="B315" s="105"/>
      <c r="C315" s="105"/>
      <c r="D315" s="105"/>
      <c r="E315" s="105"/>
      <c r="F315" s="105"/>
      <c r="G315" s="105"/>
      <c r="H315" s="108"/>
      <c r="I315" s="108"/>
      <c r="J315" s="108"/>
      <c r="K315" s="108"/>
      <c r="L315" s="110"/>
      <c r="M315" s="109"/>
      <c r="P315" s="100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  <c r="AC315" s="79"/>
      <c r="AD315" s="79"/>
      <c r="AE315" s="79"/>
      <c r="AF315" s="79"/>
      <c r="AG315" s="79"/>
      <c r="AH315" s="79"/>
      <c r="AI315" s="79"/>
      <c r="AJ315" s="79"/>
      <c r="AK315" s="79"/>
      <c r="AL315" s="79"/>
    </row>
    <row r="316" spans="1:38" s="74" customFormat="1" x14ac:dyDescent="0.25">
      <c r="A316" s="105"/>
      <c r="B316" s="105"/>
      <c r="C316" s="105"/>
      <c r="D316" s="105"/>
      <c r="E316" s="105"/>
      <c r="F316" s="105"/>
      <c r="G316" s="105"/>
      <c r="H316" s="108"/>
      <c r="I316" s="108"/>
      <c r="J316" s="108"/>
      <c r="K316" s="108"/>
      <c r="L316" s="110"/>
      <c r="M316" s="109"/>
      <c r="P316" s="100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  <c r="AC316" s="79"/>
      <c r="AD316" s="79"/>
      <c r="AE316" s="79"/>
      <c r="AF316" s="79"/>
      <c r="AG316" s="79"/>
      <c r="AH316" s="79"/>
      <c r="AI316" s="79"/>
      <c r="AJ316" s="79"/>
      <c r="AK316" s="79"/>
      <c r="AL316" s="79"/>
    </row>
    <row r="317" spans="1:38" s="74" customFormat="1" x14ac:dyDescent="0.25">
      <c r="A317" s="105"/>
      <c r="B317" s="105"/>
      <c r="C317" s="105"/>
      <c r="D317" s="105"/>
      <c r="E317" s="105"/>
      <c r="F317" s="105"/>
      <c r="G317" s="105"/>
      <c r="H317" s="108"/>
      <c r="I317" s="108"/>
      <c r="J317" s="108"/>
      <c r="K317" s="108"/>
      <c r="L317" s="110"/>
      <c r="M317" s="109"/>
      <c r="P317" s="100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  <c r="AC317" s="79"/>
      <c r="AD317" s="79"/>
      <c r="AE317" s="79"/>
      <c r="AF317" s="79"/>
      <c r="AG317" s="79"/>
      <c r="AH317" s="79"/>
      <c r="AI317" s="79"/>
      <c r="AJ317" s="79"/>
      <c r="AK317" s="79"/>
      <c r="AL317" s="79"/>
    </row>
  </sheetData>
  <mergeCells count="2">
    <mergeCell ref="C2:D2"/>
    <mergeCell ref="C3:D3"/>
  </mergeCells>
  <conditionalFormatting sqref="J9:K9">
    <cfRule type="cellIs" dxfId="13" priority="1" operator="lessThanOrEqual">
      <formula>0</formula>
    </cfRule>
  </conditionalFormatting>
  <conditionalFormatting sqref="K6:K8 K10:K305">
    <cfRule type="cellIs" dxfId="12" priority="2" operator="lessThanOrEqual">
      <formula>0</formula>
    </cfRule>
  </conditionalFormatting>
  <hyperlinks>
    <hyperlink ref="C2:D2" r:id="rId1" display="Munich" xr:uid="{59DF0ADE-4923-40F0-AF12-1C381F6BBB9E}"/>
  </hyperlinks>
  <pageMargins left="0.7" right="0.7" top="0.75" bottom="0.75" header="0.3" footer="0.3"/>
  <pageSetup paperSize="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6281B-A859-442F-962C-1B26772BACD0}">
  <sheetPr>
    <tabColor rgb="FF92D050"/>
  </sheetPr>
  <dimension ref="A1:AL317"/>
  <sheetViews>
    <sheetView workbookViewId="0">
      <selection activeCell="E22" sqref="E22"/>
    </sheetView>
  </sheetViews>
  <sheetFormatPr defaultColWidth="8.875" defaultRowHeight="14.3" x14ac:dyDescent="0.25"/>
  <cols>
    <col min="1" max="1" width="8" style="181" customWidth="1"/>
    <col min="2" max="2" width="8.25" style="181" customWidth="1"/>
    <col min="3" max="3" width="34.75" style="181" customWidth="1"/>
    <col min="4" max="4" width="11.25" style="181" customWidth="1"/>
    <col min="5" max="6" width="8.875" style="181"/>
    <col min="7" max="7" width="0.875" style="181" customWidth="1"/>
    <col min="8" max="8" width="8.875" style="184"/>
    <col min="9" max="9" width="11" style="184" customWidth="1"/>
    <col min="10" max="10" width="15" style="184" customWidth="1"/>
    <col min="11" max="11" width="8.75" style="184" customWidth="1"/>
    <col min="12" max="12" width="11" style="184" customWidth="1"/>
    <col min="13" max="13" width="11.75" style="185" customWidth="1"/>
    <col min="14" max="15" width="13.875" style="153" customWidth="1"/>
    <col min="16" max="18" width="8.875" style="153"/>
    <col min="19" max="20" width="8.875" style="158"/>
    <col min="21" max="21" width="12.125" style="158" customWidth="1"/>
    <col min="22" max="22" width="27.375" style="158" customWidth="1"/>
    <col min="23" max="38" width="8.875" style="158"/>
    <col min="39" max="16384" width="8.875" style="181"/>
  </cols>
  <sheetData>
    <row r="1" spans="1:36" x14ac:dyDescent="0.25">
      <c r="A1" s="153"/>
      <c r="B1" s="153"/>
      <c r="C1" s="153"/>
      <c r="D1" s="153"/>
      <c r="E1" s="153"/>
      <c r="F1" s="153"/>
      <c r="G1" s="153"/>
      <c r="H1" s="154" t="s">
        <v>13</v>
      </c>
      <c r="I1" s="155" t="s">
        <v>14</v>
      </c>
      <c r="J1" s="155" t="s">
        <v>15</v>
      </c>
      <c r="K1" s="156" t="s">
        <v>57</v>
      </c>
      <c r="L1" s="157"/>
      <c r="M1" s="157"/>
    </row>
    <row r="2" spans="1:36" x14ac:dyDescent="0.25">
      <c r="A2" s="153"/>
      <c r="B2" s="17" t="s">
        <v>17</v>
      </c>
      <c r="C2" s="206" t="s">
        <v>62</v>
      </c>
      <c r="D2" s="213"/>
      <c r="E2" s="18"/>
      <c r="F2" s="18"/>
      <c r="G2" s="18"/>
      <c r="H2" s="159">
        <v>0</v>
      </c>
      <c r="I2" s="160">
        <v>50</v>
      </c>
      <c r="J2" s="160">
        <v>10</v>
      </c>
      <c r="K2" s="161">
        <f>3*H2^(1/3)</f>
        <v>0</v>
      </c>
      <c r="L2" s="157"/>
      <c r="M2" s="157"/>
    </row>
    <row r="3" spans="1:36" ht="14.45" customHeight="1" x14ac:dyDescent="0.25">
      <c r="A3" s="153"/>
      <c r="B3" s="162" t="s">
        <v>18</v>
      </c>
      <c r="C3" s="210" t="s">
        <v>97</v>
      </c>
      <c r="D3" s="210"/>
      <c r="E3" s="23"/>
      <c r="F3" s="23"/>
      <c r="G3" s="23"/>
      <c r="H3" s="157"/>
      <c r="I3" s="157"/>
      <c r="J3" s="157"/>
      <c r="K3" s="157"/>
      <c r="L3" s="157"/>
      <c r="M3" s="157"/>
    </row>
    <row r="4" spans="1:36" ht="10.199999999999999" customHeight="1" x14ac:dyDescent="0.25">
      <c r="A4" s="25"/>
      <c r="B4" s="23"/>
      <c r="C4" s="25"/>
      <c r="D4" s="25"/>
      <c r="E4" s="25"/>
      <c r="F4" s="25"/>
      <c r="G4" s="25"/>
      <c r="H4" s="157"/>
      <c r="I4" s="157"/>
      <c r="J4" s="157"/>
      <c r="K4" s="157"/>
      <c r="L4" s="157"/>
      <c r="M4" s="157"/>
    </row>
    <row r="5" spans="1:36" ht="34.65" x14ac:dyDescent="0.25">
      <c r="A5" s="1" t="s">
        <v>19</v>
      </c>
      <c r="B5" s="26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25"/>
      <c r="H5" s="163" t="s">
        <v>25</v>
      </c>
      <c r="I5" s="164" t="s">
        <v>26</v>
      </c>
      <c r="J5" s="164" t="s">
        <v>27</v>
      </c>
      <c r="K5" s="164" t="s">
        <v>28</v>
      </c>
      <c r="L5" s="164" t="s">
        <v>29</v>
      </c>
      <c r="M5" s="163" t="s">
        <v>30</v>
      </c>
    </row>
    <row r="6" spans="1:36" ht="14.45" customHeight="1" x14ac:dyDescent="0.25">
      <c r="A6" s="87">
        <f>M6</f>
        <v>0</v>
      </c>
      <c r="B6" s="31" t="str">
        <f t="shared" ref="B6:B65" si="0">IF(H6&gt;$H$2,"",(ROW()-5))</f>
        <v/>
      </c>
      <c r="C6" s="32"/>
      <c r="D6" s="32"/>
      <c r="E6" s="32"/>
      <c r="F6" s="32"/>
      <c r="G6" s="25"/>
      <c r="H6" s="165">
        <v>1</v>
      </c>
      <c r="I6" s="166" t="str">
        <f t="shared" ref="I6:I69" si="1">IF(H6&lt;$H$2+1,($I$2-($I$2-1)*(LOG(H6)/LOG($H$2))),"")</f>
        <v/>
      </c>
      <c r="J6" s="166" t="e">
        <f>INT(LOG($H$2,2))-ROUNDUP(LOG(H6,2),0)+IF(OR($H$2=1,$H$2=2,$H$2=4,$H$2=8,$H$2=16,$H$2=32,$H$2=64,$H$2=128,$H$2=256),0,1)</f>
        <v>#NUM!</v>
      </c>
      <c r="K6" s="165" t="e">
        <f t="shared" ref="K6:K69" si="2">J6*$J$2</f>
        <v>#NUM!</v>
      </c>
      <c r="L6" s="167">
        <f>3*K2</f>
        <v>0</v>
      </c>
      <c r="M6" s="167">
        <f t="shared" ref="M6:M69" si="3">IF(I6&lt;&gt;"",K6+I6+L6,0)</f>
        <v>0</v>
      </c>
    </row>
    <row r="7" spans="1:36" ht="14.45" customHeight="1" x14ac:dyDescent="0.25">
      <c r="A7" s="91">
        <f t="shared" ref="A7:A70" si="4">M7</f>
        <v>0</v>
      </c>
      <c r="B7" s="37" t="str">
        <f t="shared" si="0"/>
        <v/>
      </c>
      <c r="C7" s="38"/>
      <c r="D7" s="38"/>
      <c r="E7" s="38"/>
      <c r="F7" s="38"/>
      <c r="G7" s="25"/>
      <c r="H7" s="168">
        <v>2</v>
      </c>
      <c r="I7" s="169" t="str">
        <f t="shared" si="1"/>
        <v/>
      </c>
      <c r="J7" s="169" t="e">
        <f t="shared" ref="J7:J70" si="5">INT(LOG($H$2,2))-ROUNDUP(LOG(H7,2),0)+IF(OR($H$2=1,$H$2=2,$H$2=4,$H$2=8,$H$2=16,$H$2=32,$H$2=64,$H$2=128,$H$2=256),0,1)</f>
        <v>#NUM!</v>
      </c>
      <c r="K7" s="168" t="e">
        <f t="shared" si="2"/>
        <v>#NUM!</v>
      </c>
      <c r="L7" s="170">
        <f>2*K2</f>
        <v>0</v>
      </c>
      <c r="M7" s="170">
        <f t="shared" si="3"/>
        <v>0</v>
      </c>
    </row>
    <row r="8" spans="1:36" ht="14.45" customHeight="1" x14ac:dyDescent="0.25">
      <c r="A8" s="87">
        <f t="shared" si="4"/>
        <v>0</v>
      </c>
      <c r="B8" s="31" t="str">
        <f t="shared" si="0"/>
        <v/>
      </c>
      <c r="C8" s="205"/>
      <c r="D8" s="32"/>
      <c r="E8" s="32"/>
      <c r="F8" s="32"/>
      <c r="G8" s="25"/>
      <c r="H8" s="165">
        <v>3</v>
      </c>
      <c r="I8" s="166" t="str">
        <f t="shared" si="1"/>
        <v/>
      </c>
      <c r="J8" s="166" t="e">
        <f t="shared" si="5"/>
        <v>#NUM!</v>
      </c>
      <c r="K8" s="165" t="e">
        <f t="shared" si="2"/>
        <v>#NUM!</v>
      </c>
      <c r="L8" s="167">
        <f>K2</f>
        <v>0</v>
      </c>
      <c r="M8" s="167">
        <f t="shared" si="3"/>
        <v>0</v>
      </c>
    </row>
    <row r="9" spans="1:36" s="158" customFormat="1" ht="14.45" customHeight="1" x14ac:dyDescent="0.25">
      <c r="A9" s="91">
        <f t="shared" si="4"/>
        <v>0</v>
      </c>
      <c r="B9" s="37" t="str">
        <f>IF(H9&gt;$H$2,"",3)</f>
        <v/>
      </c>
      <c r="C9" s="38"/>
      <c r="D9" s="38"/>
      <c r="E9" s="38"/>
      <c r="F9" s="38"/>
      <c r="G9" s="25"/>
      <c r="H9" s="168">
        <v>3</v>
      </c>
      <c r="I9" s="169" t="str">
        <f t="shared" si="1"/>
        <v/>
      </c>
      <c r="J9" s="168" t="e">
        <f t="shared" si="5"/>
        <v>#NUM!</v>
      </c>
      <c r="K9" s="168" t="e">
        <f t="shared" si="2"/>
        <v>#NUM!</v>
      </c>
      <c r="L9" s="170">
        <f>K2</f>
        <v>0</v>
      </c>
      <c r="M9" s="170">
        <f t="shared" si="3"/>
        <v>0</v>
      </c>
      <c r="N9" s="153"/>
      <c r="O9" s="153"/>
      <c r="P9" s="153"/>
      <c r="Q9" s="153"/>
      <c r="R9" s="153"/>
      <c r="V9" s="171"/>
      <c r="Z9" s="172"/>
      <c r="AA9" s="172"/>
      <c r="AG9" s="173"/>
      <c r="AH9" s="158" t="s">
        <v>34</v>
      </c>
      <c r="AI9" s="158">
        <v>23</v>
      </c>
    </row>
    <row r="10" spans="1:36" ht="14.45" customHeight="1" x14ac:dyDescent="0.25">
      <c r="A10" s="87">
        <f t="shared" si="4"/>
        <v>0</v>
      </c>
      <c r="B10" s="31" t="str">
        <f t="shared" si="0"/>
        <v/>
      </c>
      <c r="C10" s="32"/>
      <c r="D10" s="32"/>
      <c r="E10" s="32"/>
      <c r="F10" s="32"/>
      <c r="G10" s="25"/>
      <c r="H10" s="165">
        <v>5</v>
      </c>
      <c r="I10" s="166" t="str">
        <f t="shared" si="1"/>
        <v/>
      </c>
      <c r="J10" s="166" t="e">
        <f t="shared" si="5"/>
        <v>#NUM!</v>
      </c>
      <c r="K10" s="165" t="e">
        <f t="shared" si="2"/>
        <v>#NUM!</v>
      </c>
      <c r="L10" s="165"/>
      <c r="M10" s="167">
        <f t="shared" si="3"/>
        <v>0</v>
      </c>
      <c r="V10" s="171"/>
      <c r="Z10" s="172"/>
      <c r="AA10" s="172"/>
      <c r="AG10" s="173"/>
      <c r="AH10" s="158" t="s">
        <v>35</v>
      </c>
      <c r="AI10" s="158">
        <v>45</v>
      </c>
    </row>
    <row r="11" spans="1:36" ht="14.45" customHeight="1" x14ac:dyDescent="0.25">
      <c r="A11" s="91">
        <f t="shared" si="4"/>
        <v>0</v>
      </c>
      <c r="B11" s="37" t="str">
        <f t="shared" si="0"/>
        <v/>
      </c>
      <c r="C11" s="38"/>
      <c r="D11" s="38"/>
      <c r="E11" s="38"/>
      <c r="F11" s="38"/>
      <c r="G11" s="25"/>
      <c r="H11" s="168">
        <v>6</v>
      </c>
      <c r="I11" s="169" t="str">
        <f t="shared" si="1"/>
        <v/>
      </c>
      <c r="J11" s="169" t="e">
        <f t="shared" si="5"/>
        <v>#NUM!</v>
      </c>
      <c r="K11" s="168" t="e">
        <f t="shared" si="2"/>
        <v>#NUM!</v>
      </c>
      <c r="L11" s="168"/>
      <c r="M11" s="170">
        <f t="shared" si="3"/>
        <v>0</v>
      </c>
      <c r="V11" s="174"/>
      <c r="Z11" s="172"/>
      <c r="AA11" s="172"/>
      <c r="AG11" s="173"/>
      <c r="AH11" s="158" t="s">
        <v>36</v>
      </c>
      <c r="AI11" s="158">
        <v>50</v>
      </c>
    </row>
    <row r="12" spans="1:36" ht="14.45" customHeight="1" x14ac:dyDescent="0.25">
      <c r="A12" s="87">
        <f t="shared" si="4"/>
        <v>0</v>
      </c>
      <c r="B12" s="31" t="str">
        <f t="shared" si="0"/>
        <v/>
      </c>
      <c r="C12" s="32"/>
      <c r="D12" s="32"/>
      <c r="E12" s="32"/>
      <c r="F12" s="32"/>
      <c r="G12" s="25"/>
      <c r="H12" s="165">
        <v>7</v>
      </c>
      <c r="I12" s="166" t="str">
        <f t="shared" si="1"/>
        <v/>
      </c>
      <c r="J12" s="166" t="e">
        <f t="shared" si="5"/>
        <v>#NUM!</v>
      </c>
      <c r="K12" s="165" t="e">
        <f t="shared" si="2"/>
        <v>#NUM!</v>
      </c>
      <c r="L12" s="165"/>
      <c r="M12" s="167">
        <f t="shared" si="3"/>
        <v>0</v>
      </c>
      <c r="Z12" s="172"/>
      <c r="AA12" s="172"/>
      <c r="AG12" s="173"/>
      <c r="AH12" s="158" t="s">
        <v>37</v>
      </c>
      <c r="AI12" s="158">
        <f>AI11-1</f>
        <v>49</v>
      </c>
    </row>
    <row r="13" spans="1:36" ht="14.45" customHeight="1" x14ac:dyDescent="0.25">
      <c r="A13" s="91">
        <f t="shared" si="4"/>
        <v>0</v>
      </c>
      <c r="B13" s="37" t="str">
        <f t="shared" si="0"/>
        <v/>
      </c>
      <c r="C13" s="38"/>
      <c r="D13" s="38"/>
      <c r="E13" s="38"/>
      <c r="F13" s="38"/>
      <c r="G13" s="25"/>
      <c r="H13" s="168">
        <v>8</v>
      </c>
      <c r="I13" s="169" t="str">
        <f t="shared" si="1"/>
        <v/>
      </c>
      <c r="J13" s="169" t="e">
        <f t="shared" si="5"/>
        <v>#NUM!</v>
      </c>
      <c r="K13" s="168" t="e">
        <f t="shared" si="2"/>
        <v>#NUM!</v>
      </c>
      <c r="L13" s="168"/>
      <c r="M13" s="170">
        <f t="shared" si="3"/>
        <v>0</v>
      </c>
      <c r="X13" s="171"/>
      <c r="AG13" s="173"/>
      <c r="AH13" s="158" t="s">
        <v>38</v>
      </c>
      <c r="AI13" s="158">
        <f>LOG(AI9)</f>
        <v>1.3617278360175928</v>
      </c>
    </row>
    <row r="14" spans="1:36" x14ac:dyDescent="0.25">
      <c r="A14" s="87">
        <f t="shared" si="4"/>
        <v>0</v>
      </c>
      <c r="B14" s="31" t="str">
        <f t="shared" si="0"/>
        <v/>
      </c>
      <c r="C14" s="32"/>
      <c r="D14" s="32"/>
      <c r="E14" s="32"/>
      <c r="F14" s="32"/>
      <c r="G14" s="25"/>
      <c r="H14" s="165">
        <v>9</v>
      </c>
      <c r="I14" s="166" t="str">
        <f t="shared" si="1"/>
        <v/>
      </c>
      <c r="J14" s="166" t="e">
        <f t="shared" si="5"/>
        <v>#NUM!</v>
      </c>
      <c r="K14" s="165" t="e">
        <f t="shared" si="2"/>
        <v>#NUM!</v>
      </c>
      <c r="L14" s="165"/>
      <c r="M14" s="167">
        <f t="shared" si="3"/>
        <v>0</v>
      </c>
      <c r="X14" s="175"/>
      <c r="Z14" s="172"/>
      <c r="AA14" s="172"/>
      <c r="AG14" s="173"/>
      <c r="AH14" s="158" t="s">
        <v>39</v>
      </c>
      <c r="AI14" s="158">
        <f>LOG(AI10)</f>
        <v>1.6532125137753437</v>
      </c>
    </row>
    <row r="15" spans="1:36" x14ac:dyDescent="0.25">
      <c r="A15" s="91">
        <f t="shared" si="4"/>
        <v>0</v>
      </c>
      <c r="B15" s="37" t="str">
        <f t="shared" si="0"/>
        <v/>
      </c>
      <c r="C15" s="38"/>
      <c r="D15" s="38"/>
      <c r="E15" s="38"/>
      <c r="F15" s="38"/>
      <c r="G15" s="25"/>
      <c r="H15" s="168">
        <v>10</v>
      </c>
      <c r="I15" s="169" t="str">
        <f t="shared" si="1"/>
        <v/>
      </c>
      <c r="J15" s="169" t="e">
        <f t="shared" si="5"/>
        <v>#NUM!</v>
      </c>
      <c r="K15" s="168" t="e">
        <f t="shared" si="2"/>
        <v>#NUM!</v>
      </c>
      <c r="L15" s="168"/>
      <c r="M15" s="170">
        <f t="shared" si="3"/>
        <v>0</v>
      </c>
      <c r="X15" s="171"/>
      <c r="Z15" s="172"/>
      <c r="AA15" s="172"/>
    </row>
    <row r="16" spans="1:36" x14ac:dyDescent="0.25">
      <c r="A16" s="87">
        <f t="shared" si="4"/>
        <v>0</v>
      </c>
      <c r="B16" s="31" t="str">
        <f t="shared" si="0"/>
        <v/>
      </c>
      <c r="C16" s="32"/>
      <c r="D16" s="32"/>
      <c r="E16" s="32"/>
      <c r="F16" s="32"/>
      <c r="G16" s="25"/>
      <c r="H16" s="165">
        <v>11</v>
      </c>
      <c r="I16" s="166" t="str">
        <f t="shared" si="1"/>
        <v/>
      </c>
      <c r="J16" s="166" t="e">
        <f t="shared" si="5"/>
        <v>#NUM!</v>
      </c>
      <c r="K16" s="165" t="e">
        <f t="shared" si="2"/>
        <v>#NUM!</v>
      </c>
      <c r="L16" s="165"/>
      <c r="M16" s="167">
        <f t="shared" si="3"/>
        <v>0</v>
      </c>
      <c r="R16" s="176"/>
      <c r="Z16" s="172"/>
      <c r="AA16" s="172"/>
      <c r="AH16" s="177" t="s">
        <v>40</v>
      </c>
      <c r="AI16" s="158">
        <f>AI11-AI12*AI13/AI14</f>
        <v>9.6393909380186855</v>
      </c>
      <c r="AJ16" s="158" t="s">
        <v>41</v>
      </c>
    </row>
    <row r="17" spans="1:19" x14ac:dyDescent="0.25">
      <c r="A17" s="91">
        <f t="shared" si="4"/>
        <v>0</v>
      </c>
      <c r="B17" s="37" t="str">
        <f t="shared" si="0"/>
        <v/>
      </c>
      <c r="C17" s="38"/>
      <c r="D17" s="38"/>
      <c r="E17" s="38"/>
      <c r="F17" s="38"/>
      <c r="G17" s="25"/>
      <c r="H17" s="168">
        <v>12</v>
      </c>
      <c r="I17" s="169" t="str">
        <f t="shared" si="1"/>
        <v/>
      </c>
      <c r="J17" s="169" t="e">
        <f t="shared" si="5"/>
        <v>#NUM!</v>
      </c>
      <c r="K17" s="168" t="e">
        <f t="shared" si="2"/>
        <v>#NUM!</v>
      </c>
      <c r="L17" s="168"/>
      <c r="M17" s="170">
        <f t="shared" si="3"/>
        <v>0</v>
      </c>
    </row>
    <row r="18" spans="1:19" x14ac:dyDescent="0.25">
      <c r="A18" s="87">
        <f t="shared" si="4"/>
        <v>0</v>
      </c>
      <c r="B18" s="31" t="str">
        <f t="shared" si="0"/>
        <v/>
      </c>
      <c r="C18" s="32"/>
      <c r="D18" s="32"/>
      <c r="E18" s="32"/>
      <c r="F18" s="32"/>
      <c r="G18" s="25"/>
      <c r="H18" s="165">
        <v>13</v>
      </c>
      <c r="I18" s="166" t="str">
        <f t="shared" si="1"/>
        <v/>
      </c>
      <c r="J18" s="166" t="e">
        <f t="shared" si="5"/>
        <v>#NUM!</v>
      </c>
      <c r="K18" s="165" t="e">
        <f t="shared" si="2"/>
        <v>#NUM!</v>
      </c>
      <c r="L18" s="165"/>
      <c r="M18" s="167">
        <f t="shared" si="3"/>
        <v>0</v>
      </c>
    </row>
    <row r="19" spans="1:19" x14ac:dyDescent="0.25">
      <c r="A19" s="91">
        <f t="shared" si="4"/>
        <v>0</v>
      </c>
      <c r="B19" s="37" t="str">
        <f t="shared" si="0"/>
        <v/>
      </c>
      <c r="C19" s="38"/>
      <c r="D19" s="38"/>
      <c r="E19" s="38"/>
      <c r="F19" s="38"/>
      <c r="G19" s="25"/>
      <c r="H19" s="168">
        <v>14</v>
      </c>
      <c r="I19" s="169" t="str">
        <f t="shared" si="1"/>
        <v/>
      </c>
      <c r="J19" s="169" t="e">
        <f t="shared" si="5"/>
        <v>#NUM!</v>
      </c>
      <c r="K19" s="168" t="e">
        <f t="shared" si="2"/>
        <v>#NUM!</v>
      </c>
      <c r="L19" s="168"/>
      <c r="M19" s="170">
        <f t="shared" si="3"/>
        <v>0</v>
      </c>
    </row>
    <row r="20" spans="1:19" x14ac:dyDescent="0.25">
      <c r="A20" s="87">
        <f t="shared" si="4"/>
        <v>0</v>
      </c>
      <c r="B20" s="31" t="str">
        <f t="shared" si="0"/>
        <v/>
      </c>
      <c r="C20" s="32"/>
      <c r="D20" s="32"/>
      <c r="E20" s="32"/>
      <c r="F20" s="32"/>
      <c r="G20" s="25"/>
      <c r="H20" s="165">
        <v>15</v>
      </c>
      <c r="I20" s="166" t="str">
        <f t="shared" si="1"/>
        <v/>
      </c>
      <c r="J20" s="166" t="e">
        <f t="shared" si="5"/>
        <v>#NUM!</v>
      </c>
      <c r="K20" s="165" t="e">
        <f t="shared" si="2"/>
        <v>#NUM!</v>
      </c>
      <c r="L20" s="165"/>
      <c r="M20" s="167">
        <f t="shared" si="3"/>
        <v>0</v>
      </c>
      <c r="R20" s="178"/>
      <c r="S20" s="179"/>
    </row>
    <row r="21" spans="1:19" x14ac:dyDescent="0.25">
      <c r="A21" s="91">
        <f t="shared" si="4"/>
        <v>0</v>
      </c>
      <c r="B21" s="37" t="str">
        <f t="shared" si="0"/>
        <v/>
      </c>
      <c r="C21" s="38"/>
      <c r="D21" s="38"/>
      <c r="E21" s="38"/>
      <c r="F21" s="38"/>
      <c r="G21" s="25"/>
      <c r="H21" s="168">
        <v>16</v>
      </c>
      <c r="I21" s="169" t="str">
        <f t="shared" si="1"/>
        <v/>
      </c>
      <c r="J21" s="169" t="e">
        <f t="shared" si="5"/>
        <v>#NUM!</v>
      </c>
      <c r="K21" s="168" t="e">
        <f t="shared" si="2"/>
        <v>#NUM!</v>
      </c>
      <c r="L21" s="168"/>
      <c r="M21" s="170">
        <f t="shared" si="3"/>
        <v>0</v>
      </c>
    </row>
    <row r="22" spans="1:19" x14ac:dyDescent="0.25">
      <c r="A22" s="87">
        <f t="shared" si="4"/>
        <v>0</v>
      </c>
      <c r="B22" s="31" t="str">
        <f t="shared" si="0"/>
        <v/>
      </c>
      <c r="C22" s="32"/>
      <c r="D22" s="32"/>
      <c r="E22" s="32"/>
      <c r="F22" s="32"/>
      <c r="G22" s="25"/>
      <c r="H22" s="165">
        <v>17</v>
      </c>
      <c r="I22" s="166" t="str">
        <f t="shared" si="1"/>
        <v/>
      </c>
      <c r="J22" s="166" t="e">
        <f t="shared" si="5"/>
        <v>#NUM!</v>
      </c>
      <c r="K22" s="165" t="e">
        <f t="shared" si="2"/>
        <v>#NUM!</v>
      </c>
      <c r="L22" s="165"/>
      <c r="M22" s="167">
        <f t="shared" si="3"/>
        <v>0</v>
      </c>
    </row>
    <row r="23" spans="1:19" x14ac:dyDescent="0.25">
      <c r="A23" s="91">
        <f t="shared" si="4"/>
        <v>0</v>
      </c>
      <c r="B23" s="37" t="str">
        <f t="shared" si="0"/>
        <v/>
      </c>
      <c r="C23" s="38"/>
      <c r="D23" s="38"/>
      <c r="E23" s="38"/>
      <c r="F23" s="38"/>
      <c r="G23" s="25"/>
      <c r="H23" s="168">
        <v>18</v>
      </c>
      <c r="I23" s="169" t="str">
        <f t="shared" si="1"/>
        <v/>
      </c>
      <c r="J23" s="169" t="e">
        <f t="shared" si="5"/>
        <v>#NUM!</v>
      </c>
      <c r="K23" s="168" t="e">
        <f t="shared" si="2"/>
        <v>#NUM!</v>
      </c>
      <c r="L23" s="168"/>
      <c r="M23" s="170">
        <f t="shared" si="3"/>
        <v>0</v>
      </c>
    </row>
    <row r="24" spans="1:19" x14ac:dyDescent="0.25">
      <c r="A24" s="87">
        <f t="shared" si="4"/>
        <v>0</v>
      </c>
      <c r="B24" s="31" t="str">
        <f t="shared" si="0"/>
        <v/>
      </c>
      <c r="C24" s="32"/>
      <c r="D24" s="32"/>
      <c r="E24" s="32"/>
      <c r="F24" s="32"/>
      <c r="G24" s="25"/>
      <c r="H24" s="165">
        <v>19</v>
      </c>
      <c r="I24" s="166" t="str">
        <f t="shared" si="1"/>
        <v/>
      </c>
      <c r="J24" s="166" t="e">
        <f t="shared" si="5"/>
        <v>#NUM!</v>
      </c>
      <c r="K24" s="165" t="e">
        <f t="shared" si="2"/>
        <v>#NUM!</v>
      </c>
      <c r="L24" s="165"/>
      <c r="M24" s="167">
        <f t="shared" si="3"/>
        <v>0</v>
      </c>
      <c r="R24" s="178"/>
      <c r="S24" s="179"/>
    </row>
    <row r="25" spans="1:19" x14ac:dyDescent="0.25">
      <c r="A25" s="91">
        <f t="shared" si="4"/>
        <v>0</v>
      </c>
      <c r="B25" s="37" t="str">
        <f t="shared" si="0"/>
        <v/>
      </c>
      <c r="C25" s="38"/>
      <c r="D25" s="38"/>
      <c r="E25" s="38"/>
      <c r="F25" s="38"/>
      <c r="G25" s="25"/>
      <c r="H25" s="168">
        <v>20</v>
      </c>
      <c r="I25" s="169" t="str">
        <f t="shared" si="1"/>
        <v/>
      </c>
      <c r="J25" s="169" t="e">
        <f t="shared" si="5"/>
        <v>#NUM!</v>
      </c>
      <c r="K25" s="168" t="e">
        <f t="shared" si="2"/>
        <v>#NUM!</v>
      </c>
      <c r="L25" s="168"/>
      <c r="M25" s="170">
        <f t="shared" si="3"/>
        <v>0</v>
      </c>
    </row>
    <row r="26" spans="1:19" x14ac:dyDescent="0.25">
      <c r="A26" s="87">
        <f t="shared" si="4"/>
        <v>0</v>
      </c>
      <c r="B26" s="31" t="str">
        <f t="shared" si="0"/>
        <v/>
      </c>
      <c r="C26" s="32"/>
      <c r="D26" s="32"/>
      <c r="E26" s="32"/>
      <c r="F26" s="32"/>
      <c r="G26" s="25"/>
      <c r="H26" s="165">
        <v>21</v>
      </c>
      <c r="I26" s="166" t="str">
        <f t="shared" si="1"/>
        <v/>
      </c>
      <c r="J26" s="166" t="e">
        <f t="shared" si="5"/>
        <v>#NUM!</v>
      </c>
      <c r="K26" s="165" t="e">
        <f t="shared" si="2"/>
        <v>#NUM!</v>
      </c>
      <c r="L26" s="165"/>
      <c r="M26" s="167">
        <f t="shared" si="3"/>
        <v>0</v>
      </c>
    </row>
    <row r="27" spans="1:19" x14ac:dyDescent="0.25">
      <c r="A27" s="91">
        <f t="shared" si="4"/>
        <v>0</v>
      </c>
      <c r="B27" s="37" t="str">
        <f t="shared" si="0"/>
        <v/>
      </c>
      <c r="C27" s="38"/>
      <c r="D27" s="38"/>
      <c r="E27" s="38"/>
      <c r="F27" s="38"/>
      <c r="G27" s="25"/>
      <c r="H27" s="168">
        <v>22</v>
      </c>
      <c r="I27" s="169" t="str">
        <f t="shared" si="1"/>
        <v/>
      </c>
      <c r="J27" s="169" t="e">
        <f t="shared" si="5"/>
        <v>#NUM!</v>
      </c>
      <c r="K27" s="168" t="e">
        <f t="shared" si="2"/>
        <v>#NUM!</v>
      </c>
      <c r="L27" s="168"/>
      <c r="M27" s="170">
        <f t="shared" si="3"/>
        <v>0</v>
      </c>
    </row>
    <row r="28" spans="1:19" x14ac:dyDescent="0.25">
      <c r="A28" s="87">
        <f t="shared" si="4"/>
        <v>0</v>
      </c>
      <c r="B28" s="31" t="str">
        <f t="shared" si="0"/>
        <v/>
      </c>
      <c r="C28" s="32"/>
      <c r="D28" s="32"/>
      <c r="E28" s="32"/>
      <c r="F28" s="32"/>
      <c r="G28" s="25"/>
      <c r="H28" s="165">
        <v>23</v>
      </c>
      <c r="I28" s="166" t="str">
        <f t="shared" si="1"/>
        <v/>
      </c>
      <c r="J28" s="166" t="e">
        <f t="shared" si="5"/>
        <v>#NUM!</v>
      </c>
      <c r="K28" s="165" t="e">
        <f t="shared" si="2"/>
        <v>#NUM!</v>
      </c>
      <c r="L28" s="165"/>
      <c r="M28" s="167">
        <f t="shared" si="3"/>
        <v>0</v>
      </c>
      <c r="R28" s="178"/>
      <c r="S28" s="179"/>
    </row>
    <row r="29" spans="1:19" x14ac:dyDescent="0.25">
      <c r="A29" s="91">
        <f t="shared" si="4"/>
        <v>0</v>
      </c>
      <c r="B29" s="37" t="str">
        <f t="shared" si="0"/>
        <v/>
      </c>
      <c r="C29" s="38"/>
      <c r="D29" s="38"/>
      <c r="E29" s="38"/>
      <c r="F29" s="38"/>
      <c r="G29" s="153"/>
      <c r="H29" s="168">
        <v>24</v>
      </c>
      <c r="I29" s="169" t="str">
        <f t="shared" si="1"/>
        <v/>
      </c>
      <c r="J29" s="169" t="e">
        <f t="shared" si="5"/>
        <v>#NUM!</v>
      </c>
      <c r="K29" s="168" t="e">
        <f t="shared" si="2"/>
        <v>#NUM!</v>
      </c>
      <c r="L29" s="168"/>
      <c r="M29" s="170">
        <f t="shared" si="3"/>
        <v>0</v>
      </c>
    </row>
    <row r="30" spans="1:19" x14ac:dyDescent="0.25">
      <c r="A30" s="87">
        <f t="shared" si="4"/>
        <v>0</v>
      </c>
      <c r="B30" s="31" t="str">
        <f t="shared" si="0"/>
        <v/>
      </c>
      <c r="C30" s="32"/>
      <c r="D30" s="32"/>
      <c r="E30" s="32"/>
      <c r="F30" s="32"/>
      <c r="G30" s="153"/>
      <c r="H30" s="165">
        <v>25</v>
      </c>
      <c r="I30" s="166" t="str">
        <f t="shared" si="1"/>
        <v/>
      </c>
      <c r="J30" s="166" t="e">
        <f t="shared" si="5"/>
        <v>#NUM!</v>
      </c>
      <c r="K30" s="165" t="e">
        <f t="shared" si="2"/>
        <v>#NUM!</v>
      </c>
      <c r="L30" s="165"/>
      <c r="M30" s="167">
        <f t="shared" si="3"/>
        <v>0</v>
      </c>
    </row>
    <row r="31" spans="1:19" x14ac:dyDescent="0.25">
      <c r="A31" s="91">
        <f t="shared" si="4"/>
        <v>0</v>
      </c>
      <c r="B31" s="37" t="str">
        <f t="shared" si="0"/>
        <v/>
      </c>
      <c r="C31" s="38"/>
      <c r="D31" s="38"/>
      <c r="E31" s="38"/>
      <c r="F31" s="38"/>
      <c r="G31" s="153"/>
      <c r="H31" s="168">
        <v>26</v>
      </c>
      <c r="I31" s="169" t="str">
        <f t="shared" si="1"/>
        <v/>
      </c>
      <c r="J31" s="169" t="e">
        <f t="shared" si="5"/>
        <v>#NUM!</v>
      </c>
      <c r="K31" s="168" t="e">
        <f t="shared" si="2"/>
        <v>#NUM!</v>
      </c>
      <c r="L31" s="168"/>
      <c r="M31" s="170">
        <f t="shared" si="3"/>
        <v>0</v>
      </c>
    </row>
    <row r="32" spans="1:19" x14ac:dyDescent="0.25">
      <c r="A32" s="87">
        <f t="shared" si="4"/>
        <v>0</v>
      </c>
      <c r="B32" s="31" t="str">
        <f t="shared" si="0"/>
        <v/>
      </c>
      <c r="C32" s="32"/>
      <c r="D32" s="32"/>
      <c r="E32" s="32"/>
      <c r="F32" s="32"/>
      <c r="G32" s="153"/>
      <c r="H32" s="165">
        <v>27</v>
      </c>
      <c r="I32" s="166" t="str">
        <f t="shared" si="1"/>
        <v/>
      </c>
      <c r="J32" s="166" t="e">
        <f t="shared" si="5"/>
        <v>#NUM!</v>
      </c>
      <c r="K32" s="165" t="e">
        <f t="shared" si="2"/>
        <v>#NUM!</v>
      </c>
      <c r="L32" s="165"/>
      <c r="M32" s="167">
        <f t="shared" si="3"/>
        <v>0</v>
      </c>
      <c r="R32" s="178"/>
      <c r="S32" s="179"/>
    </row>
    <row r="33" spans="1:21" x14ac:dyDescent="0.25">
      <c r="A33" s="91">
        <f t="shared" si="4"/>
        <v>0</v>
      </c>
      <c r="B33" s="37" t="str">
        <f t="shared" si="0"/>
        <v/>
      </c>
      <c r="C33" s="38"/>
      <c r="D33" s="38"/>
      <c r="E33" s="38"/>
      <c r="F33" s="38"/>
      <c r="G33" s="153"/>
      <c r="H33" s="168">
        <v>28</v>
      </c>
      <c r="I33" s="169" t="str">
        <f t="shared" si="1"/>
        <v/>
      </c>
      <c r="J33" s="169" t="e">
        <f t="shared" si="5"/>
        <v>#NUM!</v>
      </c>
      <c r="K33" s="168" t="e">
        <f t="shared" si="2"/>
        <v>#NUM!</v>
      </c>
      <c r="L33" s="168"/>
      <c r="M33" s="170">
        <f t="shared" si="3"/>
        <v>0</v>
      </c>
    </row>
    <row r="34" spans="1:21" x14ac:dyDescent="0.25">
      <c r="A34" s="87">
        <f t="shared" si="4"/>
        <v>0</v>
      </c>
      <c r="B34" s="31" t="str">
        <f t="shared" si="0"/>
        <v/>
      </c>
      <c r="C34" s="32"/>
      <c r="D34" s="32"/>
      <c r="E34" s="32"/>
      <c r="F34" s="32"/>
      <c r="G34" s="153"/>
      <c r="H34" s="165">
        <v>29</v>
      </c>
      <c r="I34" s="166" t="str">
        <f t="shared" si="1"/>
        <v/>
      </c>
      <c r="J34" s="166" t="e">
        <f t="shared" si="5"/>
        <v>#NUM!</v>
      </c>
      <c r="K34" s="165" t="e">
        <f t="shared" si="2"/>
        <v>#NUM!</v>
      </c>
      <c r="L34" s="165"/>
      <c r="M34" s="167">
        <f t="shared" si="3"/>
        <v>0</v>
      </c>
    </row>
    <row r="35" spans="1:21" x14ac:dyDescent="0.25">
      <c r="A35" s="91">
        <f t="shared" si="4"/>
        <v>0</v>
      </c>
      <c r="B35" s="37" t="str">
        <f t="shared" si="0"/>
        <v/>
      </c>
      <c r="C35" s="38"/>
      <c r="D35" s="38"/>
      <c r="E35" s="38"/>
      <c r="F35" s="38"/>
      <c r="G35" s="153"/>
      <c r="H35" s="168">
        <v>30</v>
      </c>
      <c r="I35" s="169" t="str">
        <f t="shared" si="1"/>
        <v/>
      </c>
      <c r="J35" s="169" t="e">
        <f t="shared" si="5"/>
        <v>#NUM!</v>
      </c>
      <c r="K35" s="168" t="e">
        <f t="shared" si="2"/>
        <v>#NUM!</v>
      </c>
      <c r="L35" s="168"/>
      <c r="M35" s="170">
        <f t="shared" si="3"/>
        <v>0</v>
      </c>
    </row>
    <row r="36" spans="1:21" x14ac:dyDescent="0.25">
      <c r="A36" s="87">
        <f t="shared" si="4"/>
        <v>0</v>
      </c>
      <c r="B36" s="31" t="str">
        <f t="shared" si="0"/>
        <v/>
      </c>
      <c r="C36" s="32"/>
      <c r="D36" s="32"/>
      <c r="E36" s="32"/>
      <c r="F36" s="32"/>
      <c r="G36" s="153"/>
      <c r="H36" s="165">
        <v>31</v>
      </c>
      <c r="I36" s="166" t="str">
        <f t="shared" si="1"/>
        <v/>
      </c>
      <c r="J36" s="166" t="e">
        <f t="shared" si="5"/>
        <v>#NUM!</v>
      </c>
      <c r="K36" s="165" t="e">
        <f t="shared" si="2"/>
        <v>#NUM!</v>
      </c>
      <c r="L36" s="165"/>
      <c r="M36" s="167">
        <f t="shared" si="3"/>
        <v>0</v>
      </c>
      <c r="R36" s="178"/>
      <c r="S36" s="179"/>
    </row>
    <row r="37" spans="1:21" x14ac:dyDescent="0.25">
      <c r="A37" s="91">
        <f t="shared" si="4"/>
        <v>0</v>
      </c>
      <c r="B37" s="37" t="str">
        <f t="shared" si="0"/>
        <v/>
      </c>
      <c r="C37" s="38"/>
      <c r="D37" s="38"/>
      <c r="E37" s="38"/>
      <c r="F37" s="38"/>
      <c r="G37" s="153"/>
      <c r="H37" s="168">
        <v>32</v>
      </c>
      <c r="I37" s="169" t="str">
        <f t="shared" si="1"/>
        <v/>
      </c>
      <c r="J37" s="169" t="e">
        <f t="shared" si="5"/>
        <v>#NUM!</v>
      </c>
      <c r="K37" s="168" t="e">
        <f t="shared" si="2"/>
        <v>#NUM!</v>
      </c>
      <c r="L37" s="168"/>
      <c r="M37" s="170">
        <f t="shared" si="3"/>
        <v>0</v>
      </c>
    </row>
    <row r="38" spans="1:21" x14ac:dyDescent="0.25">
      <c r="A38" s="91">
        <f t="shared" si="4"/>
        <v>0</v>
      </c>
      <c r="B38" s="31" t="str">
        <f t="shared" si="0"/>
        <v/>
      </c>
      <c r="C38" s="32"/>
      <c r="D38" s="32"/>
      <c r="E38" s="32"/>
      <c r="F38" s="32"/>
      <c r="G38" s="153"/>
      <c r="H38" s="165">
        <v>33</v>
      </c>
      <c r="I38" s="166" t="str">
        <f t="shared" si="1"/>
        <v/>
      </c>
      <c r="J38" s="166" t="e">
        <f t="shared" si="5"/>
        <v>#NUM!</v>
      </c>
      <c r="K38" s="165" t="e">
        <f t="shared" si="2"/>
        <v>#NUM!</v>
      </c>
      <c r="L38" s="165"/>
      <c r="M38" s="167">
        <f t="shared" si="3"/>
        <v>0</v>
      </c>
    </row>
    <row r="39" spans="1:21" x14ac:dyDescent="0.25">
      <c r="A39" s="91">
        <f t="shared" si="4"/>
        <v>0</v>
      </c>
      <c r="B39" s="37" t="str">
        <f t="shared" si="0"/>
        <v/>
      </c>
      <c r="C39" s="38"/>
      <c r="D39" s="38"/>
      <c r="E39" s="38"/>
      <c r="F39" s="38"/>
      <c r="G39" s="153"/>
      <c r="H39" s="168">
        <v>34</v>
      </c>
      <c r="I39" s="169" t="str">
        <f t="shared" si="1"/>
        <v/>
      </c>
      <c r="J39" s="169" t="e">
        <f t="shared" si="5"/>
        <v>#NUM!</v>
      </c>
      <c r="K39" s="168" t="e">
        <f t="shared" si="2"/>
        <v>#NUM!</v>
      </c>
      <c r="L39" s="168"/>
      <c r="M39" s="170">
        <f t="shared" si="3"/>
        <v>0</v>
      </c>
    </row>
    <row r="40" spans="1:21" x14ac:dyDescent="0.25">
      <c r="A40" s="91">
        <f t="shared" si="4"/>
        <v>0</v>
      </c>
      <c r="B40" s="31" t="str">
        <f t="shared" si="0"/>
        <v/>
      </c>
      <c r="C40" s="32"/>
      <c r="D40" s="32"/>
      <c r="E40" s="32"/>
      <c r="F40" s="32"/>
      <c r="G40" s="153"/>
      <c r="H40" s="165">
        <v>35</v>
      </c>
      <c r="I40" s="166" t="str">
        <f t="shared" si="1"/>
        <v/>
      </c>
      <c r="J40" s="166" t="e">
        <f t="shared" si="5"/>
        <v>#NUM!</v>
      </c>
      <c r="K40" s="165" t="e">
        <f t="shared" si="2"/>
        <v>#NUM!</v>
      </c>
      <c r="L40" s="165"/>
      <c r="M40" s="167">
        <f t="shared" si="3"/>
        <v>0</v>
      </c>
    </row>
    <row r="41" spans="1:21" x14ac:dyDescent="0.25">
      <c r="A41" s="91">
        <f t="shared" si="4"/>
        <v>0</v>
      </c>
      <c r="B41" s="37" t="str">
        <f t="shared" si="0"/>
        <v/>
      </c>
      <c r="C41" s="38"/>
      <c r="D41" s="38"/>
      <c r="E41" s="38"/>
      <c r="F41" s="38"/>
      <c r="G41" s="153"/>
      <c r="H41" s="168">
        <v>36</v>
      </c>
      <c r="I41" s="169" t="str">
        <f t="shared" si="1"/>
        <v/>
      </c>
      <c r="J41" s="169" t="e">
        <f t="shared" si="5"/>
        <v>#NUM!</v>
      </c>
      <c r="K41" s="168" t="e">
        <f t="shared" si="2"/>
        <v>#NUM!</v>
      </c>
      <c r="L41" s="168"/>
      <c r="M41" s="170">
        <f t="shared" si="3"/>
        <v>0</v>
      </c>
      <c r="S41" s="180"/>
    </row>
    <row r="42" spans="1:21" x14ac:dyDescent="0.25">
      <c r="A42" s="91">
        <f t="shared" si="4"/>
        <v>0</v>
      </c>
      <c r="B42" s="31" t="str">
        <f t="shared" si="0"/>
        <v/>
      </c>
      <c r="C42" s="32"/>
      <c r="D42" s="32"/>
      <c r="E42" s="32"/>
      <c r="F42" s="32"/>
      <c r="G42" s="153"/>
      <c r="H42" s="165">
        <v>37</v>
      </c>
      <c r="I42" s="166" t="str">
        <f t="shared" si="1"/>
        <v/>
      </c>
      <c r="J42" s="166" t="e">
        <f t="shared" si="5"/>
        <v>#NUM!</v>
      </c>
      <c r="K42" s="165" t="e">
        <f t="shared" si="2"/>
        <v>#NUM!</v>
      </c>
      <c r="L42" s="165"/>
      <c r="M42" s="167">
        <f t="shared" si="3"/>
        <v>0</v>
      </c>
    </row>
    <row r="43" spans="1:21" x14ac:dyDescent="0.25">
      <c r="A43" s="91">
        <f t="shared" si="4"/>
        <v>0</v>
      </c>
      <c r="B43" s="37" t="str">
        <f t="shared" si="0"/>
        <v/>
      </c>
      <c r="C43" s="38"/>
      <c r="D43" s="38"/>
      <c r="E43" s="38"/>
      <c r="F43" s="38"/>
      <c r="G43" s="153"/>
      <c r="H43" s="168">
        <v>38</v>
      </c>
      <c r="I43" s="169" t="str">
        <f t="shared" si="1"/>
        <v/>
      </c>
      <c r="J43" s="169" t="e">
        <f t="shared" si="5"/>
        <v>#NUM!</v>
      </c>
      <c r="K43" s="168" t="e">
        <f t="shared" si="2"/>
        <v>#NUM!</v>
      </c>
      <c r="L43" s="168"/>
      <c r="M43" s="170">
        <f t="shared" si="3"/>
        <v>0</v>
      </c>
    </row>
    <row r="44" spans="1:21" x14ac:dyDescent="0.25">
      <c r="A44" s="91">
        <f t="shared" si="4"/>
        <v>0</v>
      </c>
      <c r="B44" s="31" t="str">
        <f t="shared" si="0"/>
        <v/>
      </c>
      <c r="C44" s="32"/>
      <c r="D44" s="32"/>
      <c r="E44" s="32"/>
      <c r="F44" s="32"/>
      <c r="G44" s="153"/>
      <c r="H44" s="165">
        <v>39</v>
      </c>
      <c r="I44" s="166" t="str">
        <f t="shared" si="1"/>
        <v/>
      </c>
      <c r="J44" s="166" t="e">
        <f t="shared" si="5"/>
        <v>#NUM!</v>
      </c>
      <c r="K44" s="165" t="e">
        <f t="shared" si="2"/>
        <v>#NUM!</v>
      </c>
      <c r="L44" s="165"/>
      <c r="M44" s="167">
        <f t="shared" si="3"/>
        <v>0</v>
      </c>
    </row>
    <row r="45" spans="1:21" x14ac:dyDescent="0.25">
      <c r="A45" s="91">
        <f t="shared" si="4"/>
        <v>0</v>
      </c>
      <c r="B45" s="37" t="str">
        <f t="shared" si="0"/>
        <v/>
      </c>
      <c r="C45" s="38"/>
      <c r="D45" s="38"/>
      <c r="E45" s="38"/>
      <c r="F45" s="38"/>
      <c r="G45" s="153"/>
      <c r="H45" s="168">
        <v>40</v>
      </c>
      <c r="I45" s="169" t="str">
        <f t="shared" si="1"/>
        <v/>
      </c>
      <c r="J45" s="169" t="e">
        <f t="shared" si="5"/>
        <v>#NUM!</v>
      </c>
      <c r="K45" s="168" t="e">
        <f t="shared" si="2"/>
        <v>#NUM!</v>
      </c>
      <c r="L45" s="168"/>
      <c r="M45" s="170">
        <f t="shared" si="3"/>
        <v>0</v>
      </c>
    </row>
    <row r="46" spans="1:21" x14ac:dyDescent="0.25">
      <c r="A46" s="91">
        <f t="shared" si="4"/>
        <v>0</v>
      </c>
      <c r="B46" s="31" t="str">
        <f t="shared" si="0"/>
        <v/>
      </c>
      <c r="C46" s="32"/>
      <c r="D46" s="32"/>
      <c r="E46" s="32"/>
      <c r="F46" s="32"/>
      <c r="G46" s="153"/>
      <c r="H46" s="165">
        <v>41</v>
      </c>
      <c r="I46" s="166" t="str">
        <f t="shared" si="1"/>
        <v/>
      </c>
      <c r="J46" s="166" t="e">
        <f t="shared" si="5"/>
        <v>#NUM!</v>
      </c>
      <c r="K46" s="165" t="e">
        <f t="shared" si="2"/>
        <v>#NUM!</v>
      </c>
      <c r="L46" s="165"/>
      <c r="M46" s="167">
        <f t="shared" si="3"/>
        <v>0</v>
      </c>
      <c r="R46" s="153" t="e">
        <f>LOG($H$2,2)</f>
        <v>#NUM!</v>
      </c>
      <c r="T46" s="158">
        <f>LOG(H38,2)</f>
        <v>5.0443941193584534</v>
      </c>
      <c r="U46" s="158" t="e">
        <f>R46-T46</f>
        <v>#NUM!</v>
      </c>
    </row>
    <row r="47" spans="1:21" x14ac:dyDescent="0.25">
      <c r="A47" s="91">
        <f t="shared" si="4"/>
        <v>0</v>
      </c>
      <c r="B47" s="37" t="str">
        <f t="shared" si="0"/>
        <v/>
      </c>
      <c r="C47" s="38"/>
      <c r="D47" s="38"/>
      <c r="E47" s="38"/>
      <c r="F47" s="38"/>
      <c r="G47" s="153"/>
      <c r="H47" s="168">
        <v>42</v>
      </c>
      <c r="I47" s="169" t="str">
        <f t="shared" si="1"/>
        <v/>
      </c>
      <c r="J47" s="169" t="e">
        <f t="shared" si="5"/>
        <v>#NUM!</v>
      </c>
      <c r="K47" s="168" t="e">
        <f t="shared" si="2"/>
        <v>#NUM!</v>
      </c>
      <c r="L47" s="168"/>
      <c r="M47" s="170">
        <f t="shared" si="3"/>
        <v>0</v>
      </c>
    </row>
    <row r="48" spans="1:21" x14ac:dyDescent="0.25">
      <c r="A48" s="91">
        <f t="shared" si="4"/>
        <v>0</v>
      </c>
      <c r="B48" s="31" t="str">
        <f t="shared" si="0"/>
        <v/>
      </c>
      <c r="C48" s="32"/>
      <c r="D48" s="32"/>
      <c r="E48" s="32"/>
      <c r="F48" s="32"/>
      <c r="G48" s="153"/>
      <c r="H48" s="165">
        <v>43</v>
      </c>
      <c r="I48" s="166" t="str">
        <f t="shared" si="1"/>
        <v/>
      </c>
      <c r="J48" s="166" t="e">
        <f t="shared" si="5"/>
        <v>#NUM!</v>
      </c>
      <c r="K48" s="165" t="e">
        <f t="shared" si="2"/>
        <v>#NUM!</v>
      </c>
      <c r="L48" s="165"/>
      <c r="M48" s="167">
        <f t="shared" si="3"/>
        <v>0</v>
      </c>
    </row>
    <row r="49" spans="1:13" x14ac:dyDescent="0.25">
      <c r="A49" s="91">
        <f t="shared" si="4"/>
        <v>0</v>
      </c>
      <c r="B49" s="37" t="str">
        <f t="shared" si="0"/>
        <v/>
      </c>
      <c r="C49" s="38"/>
      <c r="D49" s="38"/>
      <c r="E49" s="38"/>
      <c r="F49" s="38"/>
      <c r="G49" s="153"/>
      <c r="H49" s="168">
        <v>44</v>
      </c>
      <c r="I49" s="169" t="str">
        <f t="shared" si="1"/>
        <v/>
      </c>
      <c r="J49" s="169" t="e">
        <f t="shared" si="5"/>
        <v>#NUM!</v>
      </c>
      <c r="K49" s="168" t="e">
        <f t="shared" si="2"/>
        <v>#NUM!</v>
      </c>
      <c r="L49" s="168"/>
      <c r="M49" s="170">
        <f t="shared" si="3"/>
        <v>0</v>
      </c>
    </row>
    <row r="50" spans="1:13" x14ac:dyDescent="0.25">
      <c r="A50" s="91">
        <f t="shared" si="4"/>
        <v>0</v>
      </c>
      <c r="B50" s="31" t="str">
        <f t="shared" si="0"/>
        <v/>
      </c>
      <c r="C50" s="32"/>
      <c r="D50" s="32"/>
      <c r="E50" s="32"/>
      <c r="F50" s="32"/>
      <c r="G50" s="153"/>
      <c r="H50" s="165">
        <v>45</v>
      </c>
      <c r="I50" s="166" t="str">
        <f t="shared" si="1"/>
        <v/>
      </c>
      <c r="J50" s="166" t="e">
        <f t="shared" si="5"/>
        <v>#NUM!</v>
      </c>
      <c r="K50" s="165" t="e">
        <f t="shared" si="2"/>
        <v>#NUM!</v>
      </c>
      <c r="L50" s="165"/>
      <c r="M50" s="167">
        <f t="shared" si="3"/>
        <v>0</v>
      </c>
    </row>
    <row r="51" spans="1:13" x14ac:dyDescent="0.25">
      <c r="A51" s="91">
        <f t="shared" si="4"/>
        <v>0</v>
      </c>
      <c r="B51" s="37" t="str">
        <f t="shared" si="0"/>
        <v/>
      </c>
      <c r="C51" s="38"/>
      <c r="D51" s="38"/>
      <c r="E51" s="38"/>
      <c r="F51" s="38"/>
      <c r="G51" s="153"/>
      <c r="H51" s="168">
        <v>46</v>
      </c>
      <c r="I51" s="169" t="str">
        <f t="shared" si="1"/>
        <v/>
      </c>
      <c r="J51" s="169" t="e">
        <f t="shared" si="5"/>
        <v>#NUM!</v>
      </c>
      <c r="K51" s="168" t="e">
        <f t="shared" si="2"/>
        <v>#NUM!</v>
      </c>
      <c r="L51" s="168"/>
      <c r="M51" s="170">
        <f t="shared" si="3"/>
        <v>0</v>
      </c>
    </row>
    <row r="52" spans="1:13" x14ac:dyDescent="0.25">
      <c r="A52" s="91">
        <f t="shared" si="4"/>
        <v>0</v>
      </c>
      <c r="B52" s="31" t="str">
        <f t="shared" si="0"/>
        <v/>
      </c>
      <c r="C52" s="32"/>
      <c r="D52" s="32"/>
      <c r="E52" s="32"/>
      <c r="F52" s="32"/>
      <c r="G52" s="153"/>
      <c r="H52" s="165">
        <v>47</v>
      </c>
      <c r="I52" s="166" t="str">
        <f t="shared" si="1"/>
        <v/>
      </c>
      <c r="J52" s="166" t="e">
        <f t="shared" si="5"/>
        <v>#NUM!</v>
      </c>
      <c r="K52" s="165" t="e">
        <f t="shared" si="2"/>
        <v>#NUM!</v>
      </c>
      <c r="L52" s="165"/>
      <c r="M52" s="167">
        <f t="shared" si="3"/>
        <v>0</v>
      </c>
    </row>
    <row r="53" spans="1:13" x14ac:dyDescent="0.25">
      <c r="A53" s="91">
        <f t="shared" si="4"/>
        <v>0</v>
      </c>
      <c r="B53" s="37" t="str">
        <f t="shared" si="0"/>
        <v/>
      </c>
      <c r="C53" s="38"/>
      <c r="D53" s="38"/>
      <c r="E53" s="38"/>
      <c r="F53" s="38"/>
      <c r="G53" s="153"/>
      <c r="H53" s="168">
        <v>48</v>
      </c>
      <c r="I53" s="169" t="str">
        <f t="shared" si="1"/>
        <v/>
      </c>
      <c r="J53" s="169" t="e">
        <f t="shared" si="5"/>
        <v>#NUM!</v>
      </c>
      <c r="K53" s="168" t="e">
        <f t="shared" si="2"/>
        <v>#NUM!</v>
      </c>
      <c r="L53" s="168"/>
      <c r="M53" s="170">
        <f t="shared" si="3"/>
        <v>0</v>
      </c>
    </row>
    <row r="54" spans="1:13" x14ac:dyDescent="0.25">
      <c r="A54" s="91">
        <f t="shared" si="4"/>
        <v>0</v>
      </c>
      <c r="B54" s="31" t="str">
        <f t="shared" si="0"/>
        <v/>
      </c>
      <c r="C54" s="32"/>
      <c r="D54" s="32"/>
      <c r="E54" s="32"/>
      <c r="F54" s="32"/>
      <c r="G54" s="153"/>
      <c r="H54" s="165">
        <v>49</v>
      </c>
      <c r="I54" s="166" t="str">
        <f t="shared" si="1"/>
        <v/>
      </c>
      <c r="J54" s="166" t="e">
        <f t="shared" si="5"/>
        <v>#NUM!</v>
      </c>
      <c r="K54" s="165" t="e">
        <f t="shared" si="2"/>
        <v>#NUM!</v>
      </c>
      <c r="L54" s="165"/>
      <c r="M54" s="167">
        <f t="shared" si="3"/>
        <v>0</v>
      </c>
    </row>
    <row r="55" spans="1:13" x14ac:dyDescent="0.25">
      <c r="A55" s="91">
        <f t="shared" si="4"/>
        <v>0</v>
      </c>
      <c r="B55" s="37" t="str">
        <f t="shared" si="0"/>
        <v/>
      </c>
      <c r="C55" s="38"/>
      <c r="D55" s="38"/>
      <c r="E55" s="38"/>
      <c r="F55" s="38"/>
      <c r="G55" s="153"/>
      <c r="H55" s="168">
        <v>50</v>
      </c>
      <c r="I55" s="169" t="str">
        <f t="shared" si="1"/>
        <v/>
      </c>
      <c r="J55" s="169" t="e">
        <f t="shared" si="5"/>
        <v>#NUM!</v>
      </c>
      <c r="K55" s="168" t="e">
        <f t="shared" si="2"/>
        <v>#NUM!</v>
      </c>
      <c r="L55" s="168"/>
      <c r="M55" s="170">
        <f t="shared" si="3"/>
        <v>0</v>
      </c>
    </row>
    <row r="56" spans="1:13" x14ac:dyDescent="0.25">
      <c r="A56" s="91">
        <f t="shared" si="4"/>
        <v>0</v>
      </c>
      <c r="B56" s="31" t="str">
        <f t="shared" si="0"/>
        <v/>
      </c>
      <c r="C56" s="32"/>
      <c r="D56" s="32"/>
      <c r="E56" s="32"/>
      <c r="F56" s="32"/>
      <c r="G56" s="153"/>
      <c r="H56" s="165">
        <v>51</v>
      </c>
      <c r="I56" s="166" t="str">
        <f t="shared" si="1"/>
        <v/>
      </c>
      <c r="J56" s="166" t="e">
        <f t="shared" si="5"/>
        <v>#NUM!</v>
      </c>
      <c r="K56" s="165" t="e">
        <f t="shared" si="2"/>
        <v>#NUM!</v>
      </c>
      <c r="L56" s="165"/>
      <c r="M56" s="167">
        <f t="shared" si="3"/>
        <v>0</v>
      </c>
    </row>
    <row r="57" spans="1:13" x14ac:dyDescent="0.25">
      <c r="A57" s="91">
        <f t="shared" si="4"/>
        <v>0</v>
      </c>
      <c r="B57" s="37" t="str">
        <f t="shared" si="0"/>
        <v/>
      </c>
      <c r="C57" s="38"/>
      <c r="D57" s="38"/>
      <c r="E57" s="38"/>
      <c r="F57" s="38"/>
      <c r="G57" s="153"/>
      <c r="H57" s="168">
        <v>52</v>
      </c>
      <c r="I57" s="169" t="str">
        <f t="shared" si="1"/>
        <v/>
      </c>
      <c r="J57" s="169" t="e">
        <f t="shared" si="5"/>
        <v>#NUM!</v>
      </c>
      <c r="K57" s="168" t="e">
        <f t="shared" si="2"/>
        <v>#NUM!</v>
      </c>
      <c r="L57" s="168"/>
      <c r="M57" s="170">
        <f t="shared" si="3"/>
        <v>0</v>
      </c>
    </row>
    <row r="58" spans="1:13" x14ac:dyDescent="0.25">
      <c r="A58" s="91">
        <f t="shared" si="4"/>
        <v>0</v>
      </c>
      <c r="B58" s="31" t="str">
        <f t="shared" si="0"/>
        <v/>
      </c>
      <c r="C58" s="32"/>
      <c r="D58" s="32"/>
      <c r="E58" s="32"/>
      <c r="F58" s="32"/>
      <c r="G58" s="153"/>
      <c r="H58" s="165">
        <v>53</v>
      </c>
      <c r="I58" s="166" t="str">
        <f t="shared" si="1"/>
        <v/>
      </c>
      <c r="J58" s="166" t="e">
        <f t="shared" si="5"/>
        <v>#NUM!</v>
      </c>
      <c r="K58" s="165" t="e">
        <f t="shared" si="2"/>
        <v>#NUM!</v>
      </c>
      <c r="L58" s="165"/>
      <c r="M58" s="167">
        <f t="shared" si="3"/>
        <v>0</v>
      </c>
    </row>
    <row r="59" spans="1:13" x14ac:dyDescent="0.25">
      <c r="A59" s="91">
        <f t="shared" si="4"/>
        <v>0</v>
      </c>
      <c r="B59" s="37" t="str">
        <f t="shared" si="0"/>
        <v/>
      </c>
      <c r="C59" s="38"/>
      <c r="D59" s="38"/>
      <c r="E59" s="38"/>
      <c r="F59" s="38"/>
      <c r="G59" s="153"/>
      <c r="H59" s="168">
        <v>54</v>
      </c>
      <c r="I59" s="169" t="str">
        <f t="shared" si="1"/>
        <v/>
      </c>
      <c r="J59" s="169" t="e">
        <f t="shared" si="5"/>
        <v>#NUM!</v>
      </c>
      <c r="K59" s="168" t="e">
        <f t="shared" si="2"/>
        <v>#NUM!</v>
      </c>
      <c r="L59" s="168"/>
      <c r="M59" s="170">
        <f t="shared" si="3"/>
        <v>0</v>
      </c>
    </row>
    <row r="60" spans="1:13" x14ac:dyDescent="0.25">
      <c r="A60" s="91">
        <f t="shared" si="4"/>
        <v>0</v>
      </c>
      <c r="B60" s="31" t="str">
        <f t="shared" si="0"/>
        <v/>
      </c>
      <c r="C60" s="32"/>
      <c r="D60" s="32"/>
      <c r="E60" s="32"/>
      <c r="F60" s="32"/>
      <c r="G60" s="153"/>
      <c r="H60" s="165">
        <v>55</v>
      </c>
      <c r="I60" s="166" t="str">
        <f t="shared" si="1"/>
        <v/>
      </c>
      <c r="J60" s="166" t="e">
        <f t="shared" si="5"/>
        <v>#NUM!</v>
      </c>
      <c r="K60" s="165" t="e">
        <f t="shared" si="2"/>
        <v>#NUM!</v>
      </c>
      <c r="L60" s="165"/>
      <c r="M60" s="167">
        <f t="shared" si="3"/>
        <v>0</v>
      </c>
    </row>
    <row r="61" spans="1:13" x14ac:dyDescent="0.25">
      <c r="A61" s="91">
        <f t="shared" si="4"/>
        <v>0</v>
      </c>
      <c r="B61" s="37" t="str">
        <f t="shared" si="0"/>
        <v/>
      </c>
      <c r="C61" s="38"/>
      <c r="D61" s="38"/>
      <c r="E61" s="38"/>
      <c r="F61" s="38"/>
      <c r="G61" s="153"/>
      <c r="H61" s="168">
        <v>56</v>
      </c>
      <c r="I61" s="169" t="str">
        <f t="shared" si="1"/>
        <v/>
      </c>
      <c r="J61" s="169" t="e">
        <f t="shared" si="5"/>
        <v>#NUM!</v>
      </c>
      <c r="K61" s="168" t="e">
        <f t="shared" si="2"/>
        <v>#NUM!</v>
      </c>
      <c r="L61" s="168"/>
      <c r="M61" s="170">
        <f t="shared" si="3"/>
        <v>0</v>
      </c>
    </row>
    <row r="62" spans="1:13" x14ac:dyDescent="0.25">
      <c r="A62" s="91">
        <f t="shared" si="4"/>
        <v>0</v>
      </c>
      <c r="B62" s="31" t="str">
        <f t="shared" si="0"/>
        <v/>
      </c>
      <c r="C62" s="32"/>
      <c r="D62" s="32"/>
      <c r="E62" s="32"/>
      <c r="F62" s="32"/>
      <c r="G62" s="153"/>
      <c r="H62" s="165">
        <v>57</v>
      </c>
      <c r="I62" s="166" t="str">
        <f t="shared" si="1"/>
        <v/>
      </c>
      <c r="J62" s="166" t="e">
        <f t="shared" si="5"/>
        <v>#NUM!</v>
      </c>
      <c r="K62" s="165" t="e">
        <f t="shared" si="2"/>
        <v>#NUM!</v>
      </c>
      <c r="L62" s="165"/>
      <c r="M62" s="167">
        <f t="shared" si="3"/>
        <v>0</v>
      </c>
    </row>
    <row r="63" spans="1:13" x14ac:dyDescent="0.25">
      <c r="A63" s="91">
        <f t="shared" si="4"/>
        <v>0</v>
      </c>
      <c r="B63" s="37" t="str">
        <f t="shared" si="0"/>
        <v/>
      </c>
      <c r="C63" s="38"/>
      <c r="D63" s="38"/>
      <c r="E63" s="38"/>
      <c r="F63" s="38"/>
      <c r="G63" s="153"/>
      <c r="H63" s="168">
        <v>58</v>
      </c>
      <c r="I63" s="169" t="str">
        <f t="shared" si="1"/>
        <v/>
      </c>
      <c r="J63" s="169" t="e">
        <f t="shared" si="5"/>
        <v>#NUM!</v>
      </c>
      <c r="K63" s="168" t="e">
        <f t="shared" si="2"/>
        <v>#NUM!</v>
      </c>
      <c r="L63" s="168"/>
      <c r="M63" s="170">
        <f t="shared" si="3"/>
        <v>0</v>
      </c>
    </row>
    <row r="64" spans="1:13" x14ac:dyDescent="0.25">
      <c r="A64" s="91">
        <f t="shared" si="4"/>
        <v>0</v>
      </c>
      <c r="B64" s="31" t="str">
        <f t="shared" si="0"/>
        <v/>
      </c>
      <c r="C64" s="32"/>
      <c r="D64" s="32"/>
      <c r="E64" s="32"/>
      <c r="F64" s="32"/>
      <c r="G64" s="153"/>
      <c r="H64" s="165">
        <v>59</v>
      </c>
      <c r="I64" s="166" t="str">
        <f t="shared" si="1"/>
        <v/>
      </c>
      <c r="J64" s="166" t="e">
        <f t="shared" si="5"/>
        <v>#NUM!</v>
      </c>
      <c r="K64" s="165" t="e">
        <f t="shared" si="2"/>
        <v>#NUM!</v>
      </c>
      <c r="L64" s="165"/>
      <c r="M64" s="167">
        <f t="shared" si="3"/>
        <v>0</v>
      </c>
    </row>
    <row r="65" spans="1:13" x14ac:dyDescent="0.25">
      <c r="A65" s="91">
        <f t="shared" si="4"/>
        <v>0</v>
      </c>
      <c r="B65" s="37" t="str">
        <f t="shared" si="0"/>
        <v/>
      </c>
      <c r="C65" s="38"/>
      <c r="D65" s="38"/>
      <c r="E65" s="38"/>
      <c r="F65" s="38"/>
      <c r="G65" s="153"/>
      <c r="H65" s="168">
        <v>60</v>
      </c>
      <c r="I65" s="169" t="str">
        <f t="shared" si="1"/>
        <v/>
      </c>
      <c r="J65" s="169" t="e">
        <f t="shared" si="5"/>
        <v>#NUM!</v>
      </c>
      <c r="K65" s="168" t="e">
        <f t="shared" si="2"/>
        <v>#NUM!</v>
      </c>
      <c r="L65" s="168"/>
      <c r="M65" s="170">
        <f t="shared" si="3"/>
        <v>0</v>
      </c>
    </row>
    <row r="66" spans="1:13" x14ac:dyDescent="0.25">
      <c r="A66" s="91">
        <f t="shared" si="4"/>
        <v>0</v>
      </c>
      <c r="B66" s="31"/>
      <c r="G66" s="153"/>
      <c r="H66" s="165">
        <v>61</v>
      </c>
      <c r="I66" s="166" t="str">
        <f t="shared" si="1"/>
        <v/>
      </c>
      <c r="J66" s="166" t="e">
        <f t="shared" si="5"/>
        <v>#NUM!</v>
      </c>
      <c r="K66" s="165" t="e">
        <f t="shared" si="2"/>
        <v>#NUM!</v>
      </c>
      <c r="L66" s="165"/>
      <c r="M66" s="167">
        <f t="shared" si="3"/>
        <v>0</v>
      </c>
    </row>
    <row r="67" spans="1:13" x14ac:dyDescent="0.25">
      <c r="A67" s="91">
        <f t="shared" si="4"/>
        <v>0</v>
      </c>
      <c r="B67" s="37"/>
      <c r="G67" s="153"/>
      <c r="H67" s="165">
        <v>62</v>
      </c>
      <c r="I67" s="166" t="str">
        <f t="shared" si="1"/>
        <v/>
      </c>
      <c r="J67" s="166" t="e">
        <f t="shared" si="5"/>
        <v>#NUM!</v>
      </c>
      <c r="K67" s="165" t="e">
        <f t="shared" si="2"/>
        <v>#NUM!</v>
      </c>
      <c r="L67" s="165"/>
      <c r="M67" s="167">
        <f t="shared" si="3"/>
        <v>0</v>
      </c>
    </row>
    <row r="68" spans="1:13" x14ac:dyDescent="0.25">
      <c r="A68" s="91">
        <f t="shared" si="4"/>
        <v>0</v>
      </c>
      <c r="B68" s="31"/>
      <c r="G68" s="153"/>
      <c r="H68" s="165">
        <v>63</v>
      </c>
      <c r="I68" s="166" t="str">
        <f t="shared" si="1"/>
        <v/>
      </c>
      <c r="J68" s="166" t="e">
        <f t="shared" si="5"/>
        <v>#NUM!</v>
      </c>
      <c r="K68" s="165" t="e">
        <f t="shared" si="2"/>
        <v>#NUM!</v>
      </c>
      <c r="L68" s="165"/>
      <c r="M68" s="167">
        <f t="shared" si="3"/>
        <v>0</v>
      </c>
    </row>
    <row r="69" spans="1:13" x14ac:dyDescent="0.25">
      <c r="A69" s="91">
        <f t="shared" si="4"/>
        <v>0</v>
      </c>
      <c r="B69" s="37"/>
      <c r="G69" s="153"/>
      <c r="H69" s="165">
        <v>64</v>
      </c>
      <c r="I69" s="166" t="str">
        <f t="shared" si="1"/>
        <v/>
      </c>
      <c r="J69" s="166" t="e">
        <f t="shared" si="5"/>
        <v>#NUM!</v>
      </c>
      <c r="K69" s="165" t="e">
        <f t="shared" si="2"/>
        <v>#NUM!</v>
      </c>
      <c r="L69" s="165"/>
      <c r="M69" s="167">
        <f t="shared" si="3"/>
        <v>0</v>
      </c>
    </row>
    <row r="70" spans="1:13" x14ac:dyDescent="0.25">
      <c r="A70" s="91">
        <f t="shared" si="4"/>
        <v>0</v>
      </c>
      <c r="G70" s="153"/>
      <c r="H70" s="165">
        <v>65</v>
      </c>
      <c r="I70" s="166" t="str">
        <f t="shared" ref="I70:I133" si="6">IF(H70&lt;$H$2+1,($I$2-($I$2-1)*(LOG(H70)/LOG($H$2))),"")</f>
        <v/>
      </c>
      <c r="J70" s="166" t="e">
        <f t="shared" si="5"/>
        <v>#NUM!</v>
      </c>
      <c r="K70" s="165" t="e">
        <f t="shared" ref="K70:K133" si="7">J70*$J$2</f>
        <v>#NUM!</v>
      </c>
      <c r="L70" s="165"/>
      <c r="M70" s="167">
        <f t="shared" ref="M70:M133" si="8">IF(I70&lt;&gt;"",K70+I70+L70,0)</f>
        <v>0</v>
      </c>
    </row>
    <row r="71" spans="1:13" x14ac:dyDescent="0.25">
      <c r="A71" s="91">
        <f t="shared" ref="A71:A79" si="9">M71</f>
        <v>0</v>
      </c>
      <c r="G71" s="153"/>
      <c r="H71" s="165">
        <v>66</v>
      </c>
      <c r="I71" s="166" t="str">
        <f t="shared" si="6"/>
        <v/>
      </c>
      <c r="J71" s="166" t="e">
        <f t="shared" ref="J71:J134" si="10">INT(LOG($H$2,2))-ROUNDUP(LOG(H71,2),0)+IF(OR($H$2=1,$H$2=2,$H$2=4,$H$2=8,$H$2=16,$H$2=32,$H$2=64,$H$2=128,$H$2=256),0,1)</f>
        <v>#NUM!</v>
      </c>
      <c r="K71" s="165" t="e">
        <f t="shared" si="7"/>
        <v>#NUM!</v>
      </c>
      <c r="L71" s="165"/>
      <c r="M71" s="167">
        <f t="shared" si="8"/>
        <v>0</v>
      </c>
    </row>
    <row r="72" spans="1:13" x14ac:dyDescent="0.25">
      <c r="A72" s="91">
        <f t="shared" si="9"/>
        <v>0</v>
      </c>
      <c r="G72" s="153"/>
      <c r="H72" s="165">
        <v>67</v>
      </c>
      <c r="I72" s="166" t="str">
        <f t="shared" si="6"/>
        <v/>
      </c>
      <c r="J72" s="166" t="e">
        <f t="shared" si="10"/>
        <v>#NUM!</v>
      </c>
      <c r="K72" s="165" t="e">
        <f t="shared" si="7"/>
        <v>#NUM!</v>
      </c>
      <c r="L72" s="165"/>
      <c r="M72" s="167">
        <f t="shared" si="8"/>
        <v>0</v>
      </c>
    </row>
    <row r="73" spans="1:13" x14ac:dyDescent="0.25">
      <c r="A73" s="91">
        <f t="shared" si="9"/>
        <v>0</v>
      </c>
      <c r="G73" s="153"/>
      <c r="H73" s="165">
        <v>68</v>
      </c>
      <c r="I73" s="166" t="str">
        <f t="shared" si="6"/>
        <v/>
      </c>
      <c r="J73" s="166" t="e">
        <f t="shared" si="10"/>
        <v>#NUM!</v>
      </c>
      <c r="K73" s="165" t="e">
        <f t="shared" si="7"/>
        <v>#NUM!</v>
      </c>
      <c r="L73" s="165"/>
      <c r="M73" s="167">
        <f t="shared" si="8"/>
        <v>0</v>
      </c>
    </row>
    <row r="74" spans="1:13" x14ac:dyDescent="0.25">
      <c r="A74" s="91">
        <f t="shared" si="9"/>
        <v>0</v>
      </c>
      <c r="G74" s="153"/>
      <c r="H74" s="165">
        <v>69</v>
      </c>
      <c r="I74" s="166" t="str">
        <f t="shared" si="6"/>
        <v/>
      </c>
      <c r="J74" s="166" t="e">
        <f t="shared" si="10"/>
        <v>#NUM!</v>
      </c>
      <c r="K74" s="165" t="e">
        <f t="shared" si="7"/>
        <v>#NUM!</v>
      </c>
      <c r="L74" s="165"/>
      <c r="M74" s="167">
        <f t="shared" si="8"/>
        <v>0</v>
      </c>
    </row>
    <row r="75" spans="1:13" x14ac:dyDescent="0.25">
      <c r="A75" s="91">
        <f t="shared" si="9"/>
        <v>0</v>
      </c>
      <c r="G75" s="153"/>
      <c r="H75" s="165">
        <v>70</v>
      </c>
      <c r="I75" s="166" t="str">
        <f t="shared" si="6"/>
        <v/>
      </c>
      <c r="J75" s="166" t="e">
        <f t="shared" si="10"/>
        <v>#NUM!</v>
      </c>
      <c r="K75" s="165" t="e">
        <f t="shared" si="7"/>
        <v>#NUM!</v>
      </c>
      <c r="L75" s="165"/>
      <c r="M75" s="167">
        <f t="shared" si="8"/>
        <v>0</v>
      </c>
    </row>
    <row r="76" spans="1:13" x14ac:dyDescent="0.25">
      <c r="A76" s="91">
        <f t="shared" si="9"/>
        <v>0</v>
      </c>
      <c r="G76" s="153"/>
      <c r="H76" s="165">
        <v>71</v>
      </c>
      <c r="I76" s="166" t="str">
        <f t="shared" si="6"/>
        <v/>
      </c>
      <c r="J76" s="166" t="e">
        <f t="shared" si="10"/>
        <v>#NUM!</v>
      </c>
      <c r="K76" s="165" t="e">
        <f t="shared" si="7"/>
        <v>#NUM!</v>
      </c>
      <c r="L76" s="165"/>
      <c r="M76" s="167">
        <f t="shared" si="8"/>
        <v>0</v>
      </c>
    </row>
    <row r="77" spans="1:13" x14ac:dyDescent="0.25">
      <c r="A77" s="91">
        <f t="shared" si="9"/>
        <v>0</v>
      </c>
      <c r="G77" s="153"/>
      <c r="H77" s="165">
        <v>72</v>
      </c>
      <c r="I77" s="166" t="str">
        <f t="shared" si="6"/>
        <v/>
      </c>
      <c r="J77" s="166" t="e">
        <f t="shared" si="10"/>
        <v>#NUM!</v>
      </c>
      <c r="K77" s="165" t="e">
        <f t="shared" si="7"/>
        <v>#NUM!</v>
      </c>
      <c r="L77" s="165"/>
      <c r="M77" s="167">
        <f t="shared" si="8"/>
        <v>0</v>
      </c>
    </row>
    <row r="78" spans="1:13" x14ac:dyDescent="0.25">
      <c r="A78" s="91">
        <f t="shared" si="9"/>
        <v>0</v>
      </c>
      <c r="G78" s="153"/>
      <c r="H78" s="165">
        <v>73</v>
      </c>
      <c r="I78" s="166" t="str">
        <f t="shared" si="6"/>
        <v/>
      </c>
      <c r="J78" s="166" t="e">
        <f t="shared" si="10"/>
        <v>#NUM!</v>
      </c>
      <c r="K78" s="165" t="e">
        <f t="shared" si="7"/>
        <v>#NUM!</v>
      </c>
      <c r="L78" s="165"/>
      <c r="M78" s="167">
        <f t="shared" si="8"/>
        <v>0</v>
      </c>
    </row>
    <row r="79" spans="1:13" x14ac:dyDescent="0.25">
      <c r="A79" s="91">
        <f t="shared" si="9"/>
        <v>0</v>
      </c>
      <c r="G79" s="153"/>
      <c r="H79" s="165">
        <v>74</v>
      </c>
      <c r="I79" s="166" t="str">
        <f t="shared" si="6"/>
        <v/>
      </c>
      <c r="J79" s="166" t="e">
        <f t="shared" si="10"/>
        <v>#NUM!</v>
      </c>
      <c r="K79" s="165" t="e">
        <f t="shared" si="7"/>
        <v>#NUM!</v>
      </c>
      <c r="L79" s="165"/>
      <c r="M79" s="167">
        <f t="shared" si="8"/>
        <v>0</v>
      </c>
    </row>
    <row r="80" spans="1:13" x14ac:dyDescent="0.25">
      <c r="A80" s="87"/>
      <c r="G80" s="153"/>
      <c r="H80" s="165">
        <v>75</v>
      </c>
      <c r="I80" s="166" t="str">
        <f t="shared" si="6"/>
        <v/>
      </c>
      <c r="J80" s="166" t="e">
        <f t="shared" si="10"/>
        <v>#NUM!</v>
      </c>
      <c r="K80" s="165" t="e">
        <f t="shared" si="7"/>
        <v>#NUM!</v>
      </c>
      <c r="L80" s="165"/>
      <c r="M80" s="167">
        <f t="shared" si="8"/>
        <v>0</v>
      </c>
    </row>
    <row r="81" spans="1:13" x14ac:dyDescent="0.25">
      <c r="A81" s="182"/>
      <c r="G81" s="153"/>
      <c r="H81" s="165">
        <v>76</v>
      </c>
      <c r="I81" s="166" t="str">
        <f t="shared" si="6"/>
        <v/>
      </c>
      <c r="J81" s="166" t="e">
        <f t="shared" si="10"/>
        <v>#NUM!</v>
      </c>
      <c r="K81" s="165" t="e">
        <f t="shared" si="7"/>
        <v>#NUM!</v>
      </c>
      <c r="L81" s="165"/>
      <c r="M81" s="167">
        <f t="shared" si="8"/>
        <v>0</v>
      </c>
    </row>
    <row r="82" spans="1:13" x14ac:dyDescent="0.25">
      <c r="A82" s="182"/>
      <c r="G82" s="153"/>
      <c r="H82" s="165">
        <v>77</v>
      </c>
      <c r="I82" s="166" t="str">
        <f t="shared" si="6"/>
        <v/>
      </c>
      <c r="J82" s="166" t="e">
        <f t="shared" si="10"/>
        <v>#NUM!</v>
      </c>
      <c r="K82" s="165" t="e">
        <f t="shared" si="7"/>
        <v>#NUM!</v>
      </c>
      <c r="L82" s="165"/>
      <c r="M82" s="167">
        <f t="shared" si="8"/>
        <v>0</v>
      </c>
    </row>
    <row r="83" spans="1:13" x14ac:dyDescent="0.25">
      <c r="A83" s="182"/>
      <c r="G83" s="153"/>
      <c r="H83" s="165">
        <v>78</v>
      </c>
      <c r="I83" s="166" t="str">
        <f t="shared" si="6"/>
        <v/>
      </c>
      <c r="J83" s="166" t="e">
        <f t="shared" si="10"/>
        <v>#NUM!</v>
      </c>
      <c r="K83" s="165" t="e">
        <f t="shared" si="7"/>
        <v>#NUM!</v>
      </c>
      <c r="L83" s="165"/>
      <c r="M83" s="167">
        <f t="shared" si="8"/>
        <v>0</v>
      </c>
    </row>
    <row r="84" spans="1:13" x14ac:dyDescent="0.25">
      <c r="A84" s="182"/>
      <c r="G84" s="153"/>
      <c r="H84" s="165">
        <v>79</v>
      </c>
      <c r="I84" s="166" t="str">
        <f t="shared" si="6"/>
        <v/>
      </c>
      <c r="J84" s="166" t="e">
        <f t="shared" si="10"/>
        <v>#NUM!</v>
      </c>
      <c r="K84" s="165" t="e">
        <f t="shared" si="7"/>
        <v>#NUM!</v>
      </c>
      <c r="L84" s="165"/>
      <c r="M84" s="167">
        <f t="shared" si="8"/>
        <v>0</v>
      </c>
    </row>
    <row r="85" spans="1:13" x14ac:dyDescent="0.25">
      <c r="A85" s="182"/>
      <c r="G85" s="153"/>
      <c r="H85" s="165">
        <v>80</v>
      </c>
      <c r="I85" s="166" t="str">
        <f t="shared" si="6"/>
        <v/>
      </c>
      <c r="J85" s="166" t="e">
        <f t="shared" si="10"/>
        <v>#NUM!</v>
      </c>
      <c r="K85" s="165" t="e">
        <f t="shared" si="7"/>
        <v>#NUM!</v>
      </c>
      <c r="L85" s="165"/>
      <c r="M85" s="167">
        <f t="shared" si="8"/>
        <v>0</v>
      </c>
    </row>
    <row r="86" spans="1:13" x14ac:dyDescent="0.25">
      <c r="A86" s="182"/>
      <c r="G86" s="153"/>
      <c r="H86" s="165">
        <v>81</v>
      </c>
      <c r="I86" s="166" t="str">
        <f t="shared" si="6"/>
        <v/>
      </c>
      <c r="J86" s="166" t="e">
        <f t="shared" si="10"/>
        <v>#NUM!</v>
      </c>
      <c r="K86" s="165" t="e">
        <f t="shared" si="7"/>
        <v>#NUM!</v>
      </c>
      <c r="L86" s="165"/>
      <c r="M86" s="167">
        <f t="shared" si="8"/>
        <v>0</v>
      </c>
    </row>
    <row r="87" spans="1:13" x14ac:dyDescent="0.25">
      <c r="A87" s="182"/>
      <c r="G87" s="153"/>
      <c r="H87" s="165">
        <v>82</v>
      </c>
      <c r="I87" s="166" t="str">
        <f t="shared" si="6"/>
        <v/>
      </c>
      <c r="J87" s="166" t="e">
        <f t="shared" si="10"/>
        <v>#NUM!</v>
      </c>
      <c r="K87" s="165" t="e">
        <f t="shared" si="7"/>
        <v>#NUM!</v>
      </c>
      <c r="L87" s="165"/>
      <c r="M87" s="167">
        <f t="shared" si="8"/>
        <v>0</v>
      </c>
    </row>
    <row r="88" spans="1:13" x14ac:dyDescent="0.25">
      <c r="A88" s="182"/>
      <c r="G88" s="153"/>
      <c r="H88" s="165">
        <v>83</v>
      </c>
      <c r="I88" s="166" t="str">
        <f t="shared" si="6"/>
        <v/>
      </c>
      <c r="J88" s="166" t="e">
        <f t="shared" si="10"/>
        <v>#NUM!</v>
      </c>
      <c r="K88" s="165" t="e">
        <f t="shared" si="7"/>
        <v>#NUM!</v>
      </c>
      <c r="L88" s="165"/>
      <c r="M88" s="167">
        <f t="shared" si="8"/>
        <v>0</v>
      </c>
    </row>
    <row r="89" spans="1:13" x14ac:dyDescent="0.25">
      <c r="A89" s="182"/>
      <c r="G89" s="153"/>
      <c r="H89" s="165">
        <v>84</v>
      </c>
      <c r="I89" s="166" t="str">
        <f t="shared" si="6"/>
        <v/>
      </c>
      <c r="J89" s="166" t="e">
        <f t="shared" si="10"/>
        <v>#NUM!</v>
      </c>
      <c r="K89" s="165" t="e">
        <f t="shared" si="7"/>
        <v>#NUM!</v>
      </c>
      <c r="L89" s="165"/>
      <c r="M89" s="167">
        <f t="shared" si="8"/>
        <v>0</v>
      </c>
    </row>
    <row r="90" spans="1:13" x14ac:dyDescent="0.25">
      <c r="A90" s="182"/>
      <c r="G90" s="153"/>
      <c r="H90" s="165">
        <v>85</v>
      </c>
      <c r="I90" s="166" t="str">
        <f t="shared" si="6"/>
        <v/>
      </c>
      <c r="J90" s="166" t="e">
        <f t="shared" si="10"/>
        <v>#NUM!</v>
      </c>
      <c r="K90" s="165" t="e">
        <f t="shared" si="7"/>
        <v>#NUM!</v>
      </c>
      <c r="L90" s="165"/>
      <c r="M90" s="167">
        <f t="shared" si="8"/>
        <v>0</v>
      </c>
    </row>
    <row r="91" spans="1:13" x14ac:dyDescent="0.25">
      <c r="A91" s="182"/>
      <c r="G91" s="153"/>
      <c r="H91" s="165">
        <v>86</v>
      </c>
      <c r="I91" s="166" t="str">
        <f t="shared" si="6"/>
        <v/>
      </c>
      <c r="J91" s="166" t="e">
        <f t="shared" si="10"/>
        <v>#NUM!</v>
      </c>
      <c r="K91" s="165" t="e">
        <f t="shared" si="7"/>
        <v>#NUM!</v>
      </c>
      <c r="L91" s="165"/>
      <c r="M91" s="167">
        <f t="shared" si="8"/>
        <v>0</v>
      </c>
    </row>
    <row r="92" spans="1:13" x14ac:dyDescent="0.25">
      <c r="A92" s="182"/>
      <c r="G92" s="153"/>
      <c r="H92" s="165">
        <v>87</v>
      </c>
      <c r="I92" s="166" t="str">
        <f t="shared" si="6"/>
        <v/>
      </c>
      <c r="J92" s="166" t="e">
        <f t="shared" si="10"/>
        <v>#NUM!</v>
      </c>
      <c r="K92" s="165" t="e">
        <f t="shared" si="7"/>
        <v>#NUM!</v>
      </c>
      <c r="L92" s="165"/>
      <c r="M92" s="167">
        <f t="shared" si="8"/>
        <v>0</v>
      </c>
    </row>
    <row r="93" spans="1:13" x14ac:dyDescent="0.25">
      <c r="A93" s="182"/>
      <c r="G93" s="153"/>
      <c r="H93" s="165">
        <v>88</v>
      </c>
      <c r="I93" s="166" t="str">
        <f t="shared" si="6"/>
        <v/>
      </c>
      <c r="J93" s="166" t="e">
        <f t="shared" si="10"/>
        <v>#NUM!</v>
      </c>
      <c r="K93" s="165" t="e">
        <f t="shared" si="7"/>
        <v>#NUM!</v>
      </c>
      <c r="L93" s="165"/>
      <c r="M93" s="167">
        <f t="shared" si="8"/>
        <v>0</v>
      </c>
    </row>
    <row r="94" spans="1:13" x14ac:dyDescent="0.25">
      <c r="A94" s="182"/>
      <c r="G94" s="153"/>
      <c r="H94" s="165">
        <v>89</v>
      </c>
      <c r="I94" s="166" t="str">
        <f t="shared" si="6"/>
        <v/>
      </c>
      <c r="J94" s="166" t="e">
        <f t="shared" si="10"/>
        <v>#NUM!</v>
      </c>
      <c r="K94" s="165" t="e">
        <f t="shared" si="7"/>
        <v>#NUM!</v>
      </c>
      <c r="L94" s="165"/>
      <c r="M94" s="167">
        <f t="shared" si="8"/>
        <v>0</v>
      </c>
    </row>
    <row r="95" spans="1:13" x14ac:dyDescent="0.25">
      <c r="A95" s="182"/>
      <c r="G95" s="153"/>
      <c r="H95" s="165">
        <v>90</v>
      </c>
      <c r="I95" s="166" t="str">
        <f t="shared" si="6"/>
        <v/>
      </c>
      <c r="J95" s="166" t="e">
        <f t="shared" si="10"/>
        <v>#NUM!</v>
      </c>
      <c r="K95" s="165" t="e">
        <f t="shared" si="7"/>
        <v>#NUM!</v>
      </c>
      <c r="L95" s="165"/>
      <c r="M95" s="167">
        <f t="shared" si="8"/>
        <v>0</v>
      </c>
    </row>
    <row r="96" spans="1:13" x14ac:dyDescent="0.25">
      <c r="A96" s="182"/>
      <c r="G96" s="153"/>
      <c r="H96" s="165">
        <v>91</v>
      </c>
      <c r="I96" s="166" t="str">
        <f t="shared" si="6"/>
        <v/>
      </c>
      <c r="J96" s="166" t="e">
        <f t="shared" si="10"/>
        <v>#NUM!</v>
      </c>
      <c r="K96" s="165" t="e">
        <f t="shared" si="7"/>
        <v>#NUM!</v>
      </c>
      <c r="L96" s="165"/>
      <c r="M96" s="167">
        <f t="shared" si="8"/>
        <v>0</v>
      </c>
    </row>
    <row r="97" spans="1:13" x14ac:dyDescent="0.25">
      <c r="A97" s="182"/>
      <c r="G97" s="153"/>
      <c r="H97" s="165">
        <v>92</v>
      </c>
      <c r="I97" s="166" t="str">
        <f t="shared" si="6"/>
        <v/>
      </c>
      <c r="J97" s="166" t="e">
        <f t="shared" si="10"/>
        <v>#NUM!</v>
      </c>
      <c r="K97" s="165" t="e">
        <f t="shared" si="7"/>
        <v>#NUM!</v>
      </c>
      <c r="L97" s="165"/>
      <c r="M97" s="167">
        <f t="shared" si="8"/>
        <v>0</v>
      </c>
    </row>
    <row r="98" spans="1:13" x14ac:dyDescent="0.25">
      <c r="A98" s="182"/>
      <c r="G98" s="153"/>
      <c r="H98" s="165">
        <v>93</v>
      </c>
      <c r="I98" s="166" t="str">
        <f t="shared" si="6"/>
        <v/>
      </c>
      <c r="J98" s="166" t="e">
        <f t="shared" si="10"/>
        <v>#NUM!</v>
      </c>
      <c r="K98" s="165" t="e">
        <f t="shared" si="7"/>
        <v>#NUM!</v>
      </c>
      <c r="L98" s="165"/>
      <c r="M98" s="167">
        <f t="shared" si="8"/>
        <v>0</v>
      </c>
    </row>
    <row r="99" spans="1:13" x14ac:dyDescent="0.25">
      <c r="A99" s="182"/>
      <c r="G99" s="153"/>
      <c r="H99" s="165">
        <v>94</v>
      </c>
      <c r="I99" s="166" t="str">
        <f t="shared" si="6"/>
        <v/>
      </c>
      <c r="J99" s="166" t="e">
        <f t="shared" si="10"/>
        <v>#NUM!</v>
      </c>
      <c r="K99" s="165" t="e">
        <f t="shared" si="7"/>
        <v>#NUM!</v>
      </c>
      <c r="L99" s="165"/>
      <c r="M99" s="167">
        <f t="shared" si="8"/>
        <v>0</v>
      </c>
    </row>
    <row r="100" spans="1:13" x14ac:dyDescent="0.25">
      <c r="A100" s="182"/>
      <c r="G100" s="153"/>
      <c r="H100" s="165">
        <v>95</v>
      </c>
      <c r="I100" s="166" t="str">
        <f t="shared" si="6"/>
        <v/>
      </c>
      <c r="J100" s="166" t="e">
        <f t="shared" si="10"/>
        <v>#NUM!</v>
      </c>
      <c r="K100" s="165" t="e">
        <f t="shared" si="7"/>
        <v>#NUM!</v>
      </c>
      <c r="L100" s="165"/>
      <c r="M100" s="167">
        <f t="shared" si="8"/>
        <v>0</v>
      </c>
    </row>
    <row r="101" spans="1:13" x14ac:dyDescent="0.25">
      <c r="A101" s="182"/>
      <c r="G101" s="153"/>
      <c r="H101" s="165">
        <v>96</v>
      </c>
      <c r="I101" s="166" t="str">
        <f t="shared" si="6"/>
        <v/>
      </c>
      <c r="J101" s="166" t="e">
        <f t="shared" si="10"/>
        <v>#NUM!</v>
      </c>
      <c r="K101" s="165" t="e">
        <f t="shared" si="7"/>
        <v>#NUM!</v>
      </c>
      <c r="L101" s="165"/>
      <c r="M101" s="167">
        <f t="shared" si="8"/>
        <v>0</v>
      </c>
    </row>
    <row r="102" spans="1:13" x14ac:dyDescent="0.25">
      <c r="A102" s="182"/>
      <c r="G102" s="153"/>
      <c r="H102" s="165">
        <v>97</v>
      </c>
      <c r="I102" s="166" t="str">
        <f t="shared" si="6"/>
        <v/>
      </c>
      <c r="J102" s="166" t="e">
        <f t="shared" si="10"/>
        <v>#NUM!</v>
      </c>
      <c r="K102" s="165" t="e">
        <f t="shared" si="7"/>
        <v>#NUM!</v>
      </c>
      <c r="L102" s="165"/>
      <c r="M102" s="167">
        <f t="shared" si="8"/>
        <v>0</v>
      </c>
    </row>
    <row r="103" spans="1:13" x14ac:dyDescent="0.25">
      <c r="A103" s="182"/>
      <c r="G103" s="153"/>
      <c r="H103" s="165">
        <v>98</v>
      </c>
      <c r="I103" s="166" t="str">
        <f t="shared" si="6"/>
        <v/>
      </c>
      <c r="J103" s="166" t="e">
        <f t="shared" si="10"/>
        <v>#NUM!</v>
      </c>
      <c r="K103" s="165" t="e">
        <f t="shared" si="7"/>
        <v>#NUM!</v>
      </c>
      <c r="L103" s="165"/>
      <c r="M103" s="167">
        <f t="shared" si="8"/>
        <v>0</v>
      </c>
    </row>
    <row r="104" spans="1:13" x14ac:dyDescent="0.25">
      <c r="A104" s="182"/>
      <c r="G104" s="153"/>
      <c r="H104" s="165">
        <v>99</v>
      </c>
      <c r="I104" s="166" t="str">
        <f t="shared" si="6"/>
        <v/>
      </c>
      <c r="J104" s="166" t="e">
        <f t="shared" si="10"/>
        <v>#NUM!</v>
      </c>
      <c r="K104" s="165" t="e">
        <f t="shared" si="7"/>
        <v>#NUM!</v>
      </c>
      <c r="L104" s="165"/>
      <c r="M104" s="167">
        <f t="shared" si="8"/>
        <v>0</v>
      </c>
    </row>
    <row r="105" spans="1:13" x14ac:dyDescent="0.25">
      <c r="A105" s="182"/>
      <c r="G105" s="153"/>
      <c r="H105" s="165">
        <v>100</v>
      </c>
      <c r="I105" s="166" t="str">
        <f t="shared" si="6"/>
        <v/>
      </c>
      <c r="J105" s="166" t="e">
        <f t="shared" si="10"/>
        <v>#NUM!</v>
      </c>
      <c r="K105" s="165" t="e">
        <f t="shared" si="7"/>
        <v>#NUM!</v>
      </c>
      <c r="L105" s="165"/>
      <c r="M105" s="167">
        <f t="shared" si="8"/>
        <v>0</v>
      </c>
    </row>
    <row r="106" spans="1:13" x14ac:dyDescent="0.25">
      <c r="A106" s="182"/>
      <c r="G106" s="153"/>
      <c r="H106" s="165">
        <v>101</v>
      </c>
      <c r="I106" s="166" t="str">
        <f t="shared" si="6"/>
        <v/>
      </c>
      <c r="J106" s="166" t="e">
        <f t="shared" si="10"/>
        <v>#NUM!</v>
      </c>
      <c r="K106" s="165" t="e">
        <f t="shared" si="7"/>
        <v>#NUM!</v>
      </c>
      <c r="L106" s="165"/>
      <c r="M106" s="167">
        <f t="shared" si="8"/>
        <v>0</v>
      </c>
    </row>
    <row r="107" spans="1:13" x14ac:dyDescent="0.25">
      <c r="A107" s="182"/>
      <c r="G107" s="153"/>
      <c r="H107" s="165">
        <v>102</v>
      </c>
      <c r="I107" s="166" t="str">
        <f t="shared" si="6"/>
        <v/>
      </c>
      <c r="J107" s="166" t="e">
        <f t="shared" si="10"/>
        <v>#NUM!</v>
      </c>
      <c r="K107" s="165" t="e">
        <f t="shared" si="7"/>
        <v>#NUM!</v>
      </c>
      <c r="L107" s="165"/>
      <c r="M107" s="167">
        <f t="shared" si="8"/>
        <v>0</v>
      </c>
    </row>
    <row r="108" spans="1:13" x14ac:dyDescent="0.25">
      <c r="A108" s="182"/>
      <c r="G108" s="153"/>
      <c r="H108" s="165">
        <v>103</v>
      </c>
      <c r="I108" s="166" t="str">
        <f t="shared" si="6"/>
        <v/>
      </c>
      <c r="J108" s="166" t="e">
        <f t="shared" si="10"/>
        <v>#NUM!</v>
      </c>
      <c r="K108" s="165" t="e">
        <f t="shared" si="7"/>
        <v>#NUM!</v>
      </c>
      <c r="L108" s="165"/>
      <c r="M108" s="167">
        <f t="shared" si="8"/>
        <v>0</v>
      </c>
    </row>
    <row r="109" spans="1:13" x14ac:dyDescent="0.25">
      <c r="A109" s="182"/>
      <c r="G109" s="153"/>
      <c r="H109" s="165">
        <v>104</v>
      </c>
      <c r="I109" s="166" t="str">
        <f t="shared" si="6"/>
        <v/>
      </c>
      <c r="J109" s="166" t="e">
        <f t="shared" si="10"/>
        <v>#NUM!</v>
      </c>
      <c r="K109" s="165" t="e">
        <f t="shared" si="7"/>
        <v>#NUM!</v>
      </c>
      <c r="L109" s="165"/>
      <c r="M109" s="167">
        <f t="shared" si="8"/>
        <v>0</v>
      </c>
    </row>
    <row r="110" spans="1:13" x14ac:dyDescent="0.25">
      <c r="A110" s="182"/>
      <c r="G110" s="153"/>
      <c r="H110" s="165">
        <v>105</v>
      </c>
      <c r="I110" s="166" t="str">
        <f t="shared" si="6"/>
        <v/>
      </c>
      <c r="J110" s="166" t="e">
        <f t="shared" si="10"/>
        <v>#NUM!</v>
      </c>
      <c r="K110" s="165" t="e">
        <f t="shared" si="7"/>
        <v>#NUM!</v>
      </c>
      <c r="L110" s="165"/>
      <c r="M110" s="167">
        <f t="shared" si="8"/>
        <v>0</v>
      </c>
    </row>
    <row r="111" spans="1:13" x14ac:dyDescent="0.25">
      <c r="A111" s="182"/>
      <c r="G111" s="153"/>
      <c r="H111" s="165">
        <v>106</v>
      </c>
      <c r="I111" s="166" t="str">
        <f t="shared" si="6"/>
        <v/>
      </c>
      <c r="J111" s="166" t="e">
        <f t="shared" si="10"/>
        <v>#NUM!</v>
      </c>
      <c r="K111" s="165" t="e">
        <f t="shared" si="7"/>
        <v>#NUM!</v>
      </c>
      <c r="L111" s="165"/>
      <c r="M111" s="167">
        <f t="shared" si="8"/>
        <v>0</v>
      </c>
    </row>
    <row r="112" spans="1:13" x14ac:dyDescent="0.25">
      <c r="A112" s="182"/>
      <c r="G112" s="153"/>
      <c r="H112" s="165">
        <v>107</v>
      </c>
      <c r="I112" s="166" t="str">
        <f t="shared" si="6"/>
        <v/>
      </c>
      <c r="J112" s="166" t="e">
        <f t="shared" si="10"/>
        <v>#NUM!</v>
      </c>
      <c r="K112" s="165" t="e">
        <f t="shared" si="7"/>
        <v>#NUM!</v>
      </c>
      <c r="L112" s="165"/>
      <c r="M112" s="167">
        <f t="shared" si="8"/>
        <v>0</v>
      </c>
    </row>
    <row r="113" spans="1:13" x14ac:dyDescent="0.25">
      <c r="A113" s="182"/>
      <c r="G113" s="153"/>
      <c r="H113" s="165">
        <v>108</v>
      </c>
      <c r="I113" s="166" t="str">
        <f t="shared" si="6"/>
        <v/>
      </c>
      <c r="J113" s="166" t="e">
        <f t="shared" si="10"/>
        <v>#NUM!</v>
      </c>
      <c r="K113" s="165" t="e">
        <f t="shared" si="7"/>
        <v>#NUM!</v>
      </c>
      <c r="L113" s="165"/>
      <c r="M113" s="167">
        <f t="shared" si="8"/>
        <v>0</v>
      </c>
    </row>
    <row r="114" spans="1:13" x14ac:dyDescent="0.25">
      <c r="A114" s="182"/>
      <c r="G114" s="153"/>
      <c r="H114" s="165">
        <v>109</v>
      </c>
      <c r="I114" s="166" t="str">
        <f t="shared" si="6"/>
        <v/>
      </c>
      <c r="J114" s="166" t="e">
        <f t="shared" si="10"/>
        <v>#NUM!</v>
      </c>
      <c r="K114" s="165" t="e">
        <f t="shared" si="7"/>
        <v>#NUM!</v>
      </c>
      <c r="L114" s="165"/>
      <c r="M114" s="167">
        <f t="shared" si="8"/>
        <v>0</v>
      </c>
    </row>
    <row r="115" spans="1:13" x14ac:dyDescent="0.25">
      <c r="A115" s="182"/>
      <c r="G115" s="153"/>
      <c r="H115" s="165">
        <v>110</v>
      </c>
      <c r="I115" s="166" t="str">
        <f t="shared" si="6"/>
        <v/>
      </c>
      <c r="J115" s="166" t="e">
        <f t="shared" si="10"/>
        <v>#NUM!</v>
      </c>
      <c r="K115" s="165" t="e">
        <f t="shared" si="7"/>
        <v>#NUM!</v>
      </c>
      <c r="L115" s="165"/>
      <c r="M115" s="167">
        <f t="shared" si="8"/>
        <v>0</v>
      </c>
    </row>
    <row r="116" spans="1:13" x14ac:dyDescent="0.25">
      <c r="A116" s="182"/>
      <c r="G116" s="153"/>
      <c r="H116" s="165">
        <v>111</v>
      </c>
      <c r="I116" s="166" t="str">
        <f t="shared" si="6"/>
        <v/>
      </c>
      <c r="J116" s="166" t="e">
        <f t="shared" si="10"/>
        <v>#NUM!</v>
      </c>
      <c r="K116" s="165" t="e">
        <f t="shared" si="7"/>
        <v>#NUM!</v>
      </c>
      <c r="L116" s="165"/>
      <c r="M116" s="167">
        <f t="shared" si="8"/>
        <v>0</v>
      </c>
    </row>
    <row r="117" spans="1:13" x14ac:dyDescent="0.25">
      <c r="A117" s="182"/>
      <c r="G117" s="153"/>
      <c r="H117" s="165">
        <v>112</v>
      </c>
      <c r="I117" s="166" t="str">
        <f t="shared" si="6"/>
        <v/>
      </c>
      <c r="J117" s="166" t="e">
        <f t="shared" si="10"/>
        <v>#NUM!</v>
      </c>
      <c r="K117" s="165" t="e">
        <f t="shared" si="7"/>
        <v>#NUM!</v>
      </c>
      <c r="L117" s="165"/>
      <c r="M117" s="167">
        <f t="shared" si="8"/>
        <v>0</v>
      </c>
    </row>
    <row r="118" spans="1:13" x14ac:dyDescent="0.25">
      <c r="A118" s="182"/>
      <c r="G118" s="153"/>
      <c r="H118" s="165">
        <v>113</v>
      </c>
      <c r="I118" s="166" t="str">
        <f t="shared" si="6"/>
        <v/>
      </c>
      <c r="J118" s="166" t="e">
        <f t="shared" si="10"/>
        <v>#NUM!</v>
      </c>
      <c r="K118" s="165" t="e">
        <f t="shared" si="7"/>
        <v>#NUM!</v>
      </c>
      <c r="L118" s="165"/>
      <c r="M118" s="167">
        <f t="shared" si="8"/>
        <v>0</v>
      </c>
    </row>
    <row r="119" spans="1:13" x14ac:dyDescent="0.25">
      <c r="A119" s="182"/>
      <c r="G119" s="153"/>
      <c r="H119" s="165">
        <v>114</v>
      </c>
      <c r="I119" s="166" t="str">
        <f t="shared" si="6"/>
        <v/>
      </c>
      <c r="J119" s="166" t="e">
        <f t="shared" si="10"/>
        <v>#NUM!</v>
      </c>
      <c r="K119" s="165" t="e">
        <f t="shared" si="7"/>
        <v>#NUM!</v>
      </c>
      <c r="L119" s="165"/>
      <c r="M119" s="167">
        <f t="shared" si="8"/>
        <v>0</v>
      </c>
    </row>
    <row r="120" spans="1:13" x14ac:dyDescent="0.25">
      <c r="A120" s="182"/>
      <c r="G120" s="153"/>
      <c r="H120" s="165">
        <v>115</v>
      </c>
      <c r="I120" s="166" t="str">
        <f t="shared" si="6"/>
        <v/>
      </c>
      <c r="J120" s="166" t="e">
        <f t="shared" si="10"/>
        <v>#NUM!</v>
      </c>
      <c r="K120" s="165" t="e">
        <f t="shared" si="7"/>
        <v>#NUM!</v>
      </c>
      <c r="L120" s="165"/>
      <c r="M120" s="167">
        <f t="shared" si="8"/>
        <v>0</v>
      </c>
    </row>
    <row r="121" spans="1:13" x14ac:dyDescent="0.25">
      <c r="A121" s="182"/>
      <c r="G121" s="153"/>
      <c r="H121" s="165">
        <v>116</v>
      </c>
      <c r="I121" s="166" t="str">
        <f t="shared" si="6"/>
        <v/>
      </c>
      <c r="J121" s="166" t="e">
        <f t="shared" si="10"/>
        <v>#NUM!</v>
      </c>
      <c r="K121" s="165" t="e">
        <f t="shared" si="7"/>
        <v>#NUM!</v>
      </c>
      <c r="L121" s="165"/>
      <c r="M121" s="167">
        <f t="shared" si="8"/>
        <v>0</v>
      </c>
    </row>
    <row r="122" spans="1:13" x14ac:dyDescent="0.25">
      <c r="A122" s="182"/>
      <c r="G122" s="153"/>
      <c r="H122" s="165">
        <v>117</v>
      </c>
      <c r="I122" s="166" t="str">
        <f t="shared" si="6"/>
        <v/>
      </c>
      <c r="J122" s="166" t="e">
        <f t="shared" si="10"/>
        <v>#NUM!</v>
      </c>
      <c r="K122" s="165" t="e">
        <f t="shared" si="7"/>
        <v>#NUM!</v>
      </c>
      <c r="L122" s="165"/>
      <c r="M122" s="167">
        <f t="shared" si="8"/>
        <v>0</v>
      </c>
    </row>
    <row r="123" spans="1:13" x14ac:dyDescent="0.25">
      <c r="A123" s="182"/>
      <c r="G123" s="153"/>
      <c r="H123" s="165">
        <v>118</v>
      </c>
      <c r="I123" s="166" t="str">
        <f t="shared" si="6"/>
        <v/>
      </c>
      <c r="J123" s="166" t="e">
        <f t="shared" si="10"/>
        <v>#NUM!</v>
      </c>
      <c r="K123" s="165" t="e">
        <f t="shared" si="7"/>
        <v>#NUM!</v>
      </c>
      <c r="L123" s="165"/>
      <c r="M123" s="167">
        <f t="shared" si="8"/>
        <v>0</v>
      </c>
    </row>
    <row r="124" spans="1:13" x14ac:dyDescent="0.25">
      <c r="A124" s="182"/>
      <c r="G124" s="153"/>
      <c r="H124" s="165">
        <v>119</v>
      </c>
      <c r="I124" s="166" t="str">
        <f t="shared" si="6"/>
        <v/>
      </c>
      <c r="J124" s="166" t="e">
        <f t="shared" si="10"/>
        <v>#NUM!</v>
      </c>
      <c r="K124" s="165" t="e">
        <f t="shared" si="7"/>
        <v>#NUM!</v>
      </c>
      <c r="L124" s="165"/>
      <c r="M124" s="167">
        <f t="shared" si="8"/>
        <v>0</v>
      </c>
    </row>
    <row r="125" spans="1:13" x14ac:dyDescent="0.25">
      <c r="A125" s="182"/>
      <c r="G125" s="153"/>
      <c r="H125" s="165">
        <v>120</v>
      </c>
      <c r="I125" s="166" t="str">
        <f t="shared" si="6"/>
        <v/>
      </c>
      <c r="J125" s="166" t="e">
        <f t="shared" si="10"/>
        <v>#NUM!</v>
      </c>
      <c r="K125" s="165" t="e">
        <f t="shared" si="7"/>
        <v>#NUM!</v>
      </c>
      <c r="L125" s="165"/>
      <c r="M125" s="167">
        <f t="shared" si="8"/>
        <v>0</v>
      </c>
    </row>
    <row r="126" spans="1:13" x14ac:dyDescent="0.25">
      <c r="A126" s="182"/>
      <c r="G126" s="153"/>
      <c r="H126" s="165">
        <v>121</v>
      </c>
      <c r="I126" s="166" t="str">
        <f t="shared" si="6"/>
        <v/>
      </c>
      <c r="J126" s="166" t="e">
        <f t="shared" si="10"/>
        <v>#NUM!</v>
      </c>
      <c r="K126" s="165" t="e">
        <f t="shared" si="7"/>
        <v>#NUM!</v>
      </c>
      <c r="L126" s="165"/>
      <c r="M126" s="167">
        <f t="shared" si="8"/>
        <v>0</v>
      </c>
    </row>
    <row r="127" spans="1:13" x14ac:dyDescent="0.25">
      <c r="A127" s="182"/>
      <c r="G127" s="153"/>
      <c r="H127" s="165">
        <v>122</v>
      </c>
      <c r="I127" s="166" t="str">
        <f t="shared" si="6"/>
        <v/>
      </c>
      <c r="J127" s="166" t="e">
        <f t="shared" si="10"/>
        <v>#NUM!</v>
      </c>
      <c r="K127" s="165" t="e">
        <f t="shared" si="7"/>
        <v>#NUM!</v>
      </c>
      <c r="L127" s="165"/>
      <c r="M127" s="167">
        <f t="shared" si="8"/>
        <v>0</v>
      </c>
    </row>
    <row r="128" spans="1:13" x14ac:dyDescent="0.25">
      <c r="A128" s="182"/>
      <c r="G128" s="153"/>
      <c r="H128" s="165">
        <v>123</v>
      </c>
      <c r="I128" s="166" t="str">
        <f t="shared" si="6"/>
        <v/>
      </c>
      <c r="J128" s="166" t="e">
        <f t="shared" si="10"/>
        <v>#NUM!</v>
      </c>
      <c r="K128" s="165" t="e">
        <f t="shared" si="7"/>
        <v>#NUM!</v>
      </c>
      <c r="L128" s="165"/>
      <c r="M128" s="167">
        <f t="shared" si="8"/>
        <v>0</v>
      </c>
    </row>
    <row r="129" spans="1:13" x14ac:dyDescent="0.25">
      <c r="A129" s="182"/>
      <c r="G129" s="153"/>
      <c r="H129" s="165">
        <v>124</v>
      </c>
      <c r="I129" s="166" t="str">
        <f t="shared" si="6"/>
        <v/>
      </c>
      <c r="J129" s="166" t="e">
        <f t="shared" si="10"/>
        <v>#NUM!</v>
      </c>
      <c r="K129" s="165" t="e">
        <f t="shared" si="7"/>
        <v>#NUM!</v>
      </c>
      <c r="L129" s="165"/>
      <c r="M129" s="167">
        <f t="shared" si="8"/>
        <v>0</v>
      </c>
    </row>
    <row r="130" spans="1:13" x14ac:dyDescent="0.25">
      <c r="A130" s="182"/>
      <c r="G130" s="153"/>
      <c r="H130" s="165">
        <v>125</v>
      </c>
      <c r="I130" s="166" t="str">
        <f t="shared" si="6"/>
        <v/>
      </c>
      <c r="J130" s="166" t="e">
        <f t="shared" si="10"/>
        <v>#NUM!</v>
      </c>
      <c r="K130" s="165" t="e">
        <f t="shared" si="7"/>
        <v>#NUM!</v>
      </c>
      <c r="L130" s="165"/>
      <c r="M130" s="167">
        <f t="shared" si="8"/>
        <v>0</v>
      </c>
    </row>
    <row r="131" spans="1:13" x14ac:dyDescent="0.25">
      <c r="A131" s="182"/>
      <c r="G131" s="153"/>
      <c r="H131" s="165">
        <v>126</v>
      </c>
      <c r="I131" s="166" t="str">
        <f t="shared" si="6"/>
        <v/>
      </c>
      <c r="J131" s="166" t="e">
        <f t="shared" si="10"/>
        <v>#NUM!</v>
      </c>
      <c r="K131" s="165" t="e">
        <f t="shared" si="7"/>
        <v>#NUM!</v>
      </c>
      <c r="L131" s="165"/>
      <c r="M131" s="167">
        <f t="shared" si="8"/>
        <v>0</v>
      </c>
    </row>
    <row r="132" spans="1:13" x14ac:dyDescent="0.25">
      <c r="A132" s="182"/>
      <c r="G132" s="153"/>
      <c r="H132" s="165">
        <v>127</v>
      </c>
      <c r="I132" s="166" t="str">
        <f t="shared" si="6"/>
        <v/>
      </c>
      <c r="J132" s="166" t="e">
        <f t="shared" si="10"/>
        <v>#NUM!</v>
      </c>
      <c r="K132" s="165" t="e">
        <f t="shared" si="7"/>
        <v>#NUM!</v>
      </c>
      <c r="L132" s="165"/>
      <c r="M132" s="167">
        <f t="shared" si="8"/>
        <v>0</v>
      </c>
    </row>
    <row r="133" spans="1:13" x14ac:dyDescent="0.25">
      <c r="A133" s="182"/>
      <c r="G133" s="153"/>
      <c r="H133" s="165">
        <v>128</v>
      </c>
      <c r="I133" s="166" t="str">
        <f t="shared" si="6"/>
        <v/>
      </c>
      <c r="J133" s="166" t="e">
        <f t="shared" si="10"/>
        <v>#NUM!</v>
      </c>
      <c r="K133" s="165" t="e">
        <f t="shared" si="7"/>
        <v>#NUM!</v>
      </c>
      <c r="L133" s="165"/>
      <c r="M133" s="167">
        <f t="shared" si="8"/>
        <v>0</v>
      </c>
    </row>
    <row r="134" spans="1:13" x14ac:dyDescent="0.25">
      <c r="A134" s="182"/>
      <c r="G134" s="153"/>
      <c r="H134" s="165">
        <v>129</v>
      </c>
      <c r="I134" s="166" t="str">
        <f t="shared" ref="I134:I197" si="11">IF(H134&lt;$H$2+1,($I$2-($I$2-1)*(LOG(H134)/LOG($H$2))),"")</f>
        <v/>
      </c>
      <c r="J134" s="166" t="e">
        <f t="shared" si="10"/>
        <v>#NUM!</v>
      </c>
      <c r="K134" s="165" t="e">
        <f t="shared" ref="K134:K197" si="12">J134*$J$2</f>
        <v>#NUM!</v>
      </c>
      <c r="L134" s="165"/>
      <c r="M134" s="167">
        <f t="shared" ref="M134:M197" si="13">IF(I134&lt;&gt;"",K134+I134+L134,0)</f>
        <v>0</v>
      </c>
    </row>
    <row r="135" spans="1:13" x14ac:dyDescent="0.25">
      <c r="A135" s="182"/>
      <c r="G135" s="153"/>
      <c r="H135" s="165">
        <v>130</v>
      </c>
      <c r="I135" s="166" t="str">
        <f t="shared" si="11"/>
        <v/>
      </c>
      <c r="J135" s="166" t="e">
        <f t="shared" ref="J135:J198" si="14">INT(LOG($H$2,2))-ROUNDUP(LOG(H135,2),0)+IF(OR($H$2=1,$H$2=2,$H$2=4,$H$2=8,$H$2=16,$H$2=32,$H$2=64,$H$2=128,$H$2=256),0,1)</f>
        <v>#NUM!</v>
      </c>
      <c r="K135" s="165" t="e">
        <f t="shared" si="12"/>
        <v>#NUM!</v>
      </c>
      <c r="L135" s="165"/>
      <c r="M135" s="167">
        <f t="shared" si="13"/>
        <v>0</v>
      </c>
    </row>
    <row r="136" spans="1:13" x14ac:dyDescent="0.25">
      <c r="A136" s="182"/>
      <c r="G136" s="153"/>
      <c r="H136" s="165">
        <v>131</v>
      </c>
      <c r="I136" s="166" t="str">
        <f t="shared" si="11"/>
        <v/>
      </c>
      <c r="J136" s="166" t="e">
        <f t="shared" si="14"/>
        <v>#NUM!</v>
      </c>
      <c r="K136" s="165" t="e">
        <f t="shared" si="12"/>
        <v>#NUM!</v>
      </c>
      <c r="L136" s="165"/>
      <c r="M136" s="167">
        <f t="shared" si="13"/>
        <v>0</v>
      </c>
    </row>
    <row r="137" spans="1:13" x14ac:dyDescent="0.25">
      <c r="A137" s="182"/>
      <c r="G137" s="153"/>
      <c r="H137" s="165">
        <v>132</v>
      </c>
      <c r="I137" s="166" t="str">
        <f t="shared" si="11"/>
        <v/>
      </c>
      <c r="J137" s="166" t="e">
        <f t="shared" si="14"/>
        <v>#NUM!</v>
      </c>
      <c r="K137" s="165" t="e">
        <f t="shared" si="12"/>
        <v>#NUM!</v>
      </c>
      <c r="L137" s="165"/>
      <c r="M137" s="167">
        <f t="shared" si="13"/>
        <v>0</v>
      </c>
    </row>
    <row r="138" spans="1:13" x14ac:dyDescent="0.25">
      <c r="A138" s="182"/>
      <c r="G138" s="153"/>
      <c r="H138" s="165">
        <v>133</v>
      </c>
      <c r="I138" s="166" t="str">
        <f t="shared" si="11"/>
        <v/>
      </c>
      <c r="J138" s="166" t="e">
        <f t="shared" si="14"/>
        <v>#NUM!</v>
      </c>
      <c r="K138" s="165" t="e">
        <f t="shared" si="12"/>
        <v>#NUM!</v>
      </c>
      <c r="L138" s="165"/>
      <c r="M138" s="167">
        <f t="shared" si="13"/>
        <v>0</v>
      </c>
    </row>
    <row r="139" spans="1:13" x14ac:dyDescent="0.25">
      <c r="A139" s="182"/>
      <c r="G139" s="153"/>
      <c r="H139" s="165">
        <v>134</v>
      </c>
      <c r="I139" s="166" t="str">
        <f t="shared" si="11"/>
        <v/>
      </c>
      <c r="J139" s="166" t="e">
        <f t="shared" si="14"/>
        <v>#NUM!</v>
      </c>
      <c r="K139" s="165" t="e">
        <f t="shared" si="12"/>
        <v>#NUM!</v>
      </c>
      <c r="L139" s="165"/>
      <c r="M139" s="167">
        <f t="shared" si="13"/>
        <v>0</v>
      </c>
    </row>
    <row r="140" spans="1:13" x14ac:dyDescent="0.25">
      <c r="A140" s="182"/>
      <c r="G140" s="153"/>
      <c r="H140" s="165">
        <v>135</v>
      </c>
      <c r="I140" s="166" t="str">
        <f t="shared" si="11"/>
        <v/>
      </c>
      <c r="J140" s="166" t="e">
        <f t="shared" si="14"/>
        <v>#NUM!</v>
      </c>
      <c r="K140" s="165" t="e">
        <f t="shared" si="12"/>
        <v>#NUM!</v>
      </c>
      <c r="L140" s="165"/>
      <c r="M140" s="167">
        <f t="shared" si="13"/>
        <v>0</v>
      </c>
    </row>
    <row r="141" spans="1:13" x14ac:dyDescent="0.25">
      <c r="A141" s="182"/>
      <c r="G141" s="153"/>
      <c r="H141" s="165">
        <v>136</v>
      </c>
      <c r="I141" s="166" t="str">
        <f t="shared" si="11"/>
        <v/>
      </c>
      <c r="J141" s="166" t="e">
        <f t="shared" si="14"/>
        <v>#NUM!</v>
      </c>
      <c r="K141" s="165" t="e">
        <f t="shared" si="12"/>
        <v>#NUM!</v>
      </c>
      <c r="L141" s="165"/>
      <c r="M141" s="167">
        <f t="shared" si="13"/>
        <v>0</v>
      </c>
    </row>
    <row r="142" spans="1:13" x14ac:dyDescent="0.25">
      <c r="A142" s="182"/>
      <c r="G142" s="153"/>
      <c r="H142" s="165">
        <v>137</v>
      </c>
      <c r="I142" s="166" t="str">
        <f t="shared" si="11"/>
        <v/>
      </c>
      <c r="J142" s="166" t="e">
        <f t="shared" si="14"/>
        <v>#NUM!</v>
      </c>
      <c r="K142" s="165" t="e">
        <f t="shared" si="12"/>
        <v>#NUM!</v>
      </c>
      <c r="L142" s="165"/>
      <c r="M142" s="167">
        <f t="shared" si="13"/>
        <v>0</v>
      </c>
    </row>
    <row r="143" spans="1:13" x14ac:dyDescent="0.25">
      <c r="A143" s="182"/>
      <c r="G143" s="153"/>
      <c r="H143" s="165">
        <v>138</v>
      </c>
      <c r="I143" s="166" t="str">
        <f t="shared" si="11"/>
        <v/>
      </c>
      <c r="J143" s="166" t="e">
        <f t="shared" si="14"/>
        <v>#NUM!</v>
      </c>
      <c r="K143" s="165" t="e">
        <f t="shared" si="12"/>
        <v>#NUM!</v>
      </c>
      <c r="L143" s="165"/>
      <c r="M143" s="167">
        <f t="shared" si="13"/>
        <v>0</v>
      </c>
    </row>
    <row r="144" spans="1:13" x14ac:dyDescent="0.25">
      <c r="A144" s="182"/>
      <c r="G144" s="153"/>
      <c r="H144" s="165">
        <v>139</v>
      </c>
      <c r="I144" s="166" t="str">
        <f t="shared" si="11"/>
        <v/>
      </c>
      <c r="J144" s="166" t="e">
        <f t="shared" si="14"/>
        <v>#NUM!</v>
      </c>
      <c r="K144" s="165" t="e">
        <f t="shared" si="12"/>
        <v>#NUM!</v>
      </c>
      <c r="L144" s="165"/>
      <c r="M144" s="167">
        <f t="shared" si="13"/>
        <v>0</v>
      </c>
    </row>
    <row r="145" spans="1:13" x14ac:dyDescent="0.25">
      <c r="A145" s="182"/>
      <c r="G145" s="153"/>
      <c r="H145" s="165">
        <v>140</v>
      </c>
      <c r="I145" s="166" t="str">
        <f t="shared" si="11"/>
        <v/>
      </c>
      <c r="J145" s="166" t="e">
        <f t="shared" si="14"/>
        <v>#NUM!</v>
      </c>
      <c r="K145" s="165" t="e">
        <f t="shared" si="12"/>
        <v>#NUM!</v>
      </c>
      <c r="L145" s="165"/>
      <c r="M145" s="167">
        <f t="shared" si="13"/>
        <v>0</v>
      </c>
    </row>
    <row r="146" spans="1:13" x14ac:dyDescent="0.25">
      <c r="A146" s="182"/>
      <c r="G146" s="153"/>
      <c r="H146" s="165">
        <v>141</v>
      </c>
      <c r="I146" s="166" t="str">
        <f t="shared" si="11"/>
        <v/>
      </c>
      <c r="J146" s="166" t="e">
        <f t="shared" si="14"/>
        <v>#NUM!</v>
      </c>
      <c r="K146" s="165" t="e">
        <f t="shared" si="12"/>
        <v>#NUM!</v>
      </c>
      <c r="L146" s="165"/>
      <c r="M146" s="167">
        <f t="shared" si="13"/>
        <v>0</v>
      </c>
    </row>
    <row r="147" spans="1:13" x14ac:dyDescent="0.25">
      <c r="A147" s="182"/>
      <c r="G147" s="153"/>
      <c r="H147" s="165">
        <v>142</v>
      </c>
      <c r="I147" s="166" t="str">
        <f t="shared" si="11"/>
        <v/>
      </c>
      <c r="J147" s="166" t="e">
        <f t="shared" si="14"/>
        <v>#NUM!</v>
      </c>
      <c r="K147" s="165" t="e">
        <f t="shared" si="12"/>
        <v>#NUM!</v>
      </c>
      <c r="L147" s="165"/>
      <c r="M147" s="167">
        <f t="shared" si="13"/>
        <v>0</v>
      </c>
    </row>
    <row r="148" spans="1:13" x14ac:dyDescent="0.25">
      <c r="A148" s="182"/>
      <c r="G148" s="153"/>
      <c r="H148" s="165">
        <v>143</v>
      </c>
      <c r="I148" s="166" t="str">
        <f t="shared" si="11"/>
        <v/>
      </c>
      <c r="J148" s="166" t="e">
        <f t="shared" si="14"/>
        <v>#NUM!</v>
      </c>
      <c r="K148" s="165" t="e">
        <f t="shared" si="12"/>
        <v>#NUM!</v>
      </c>
      <c r="L148" s="165"/>
      <c r="M148" s="167">
        <f t="shared" si="13"/>
        <v>0</v>
      </c>
    </row>
    <row r="149" spans="1:13" x14ac:dyDescent="0.25">
      <c r="A149" s="182"/>
      <c r="G149" s="153"/>
      <c r="H149" s="165">
        <v>144</v>
      </c>
      <c r="I149" s="166" t="str">
        <f t="shared" si="11"/>
        <v/>
      </c>
      <c r="J149" s="166" t="e">
        <f t="shared" si="14"/>
        <v>#NUM!</v>
      </c>
      <c r="K149" s="165" t="e">
        <f t="shared" si="12"/>
        <v>#NUM!</v>
      </c>
      <c r="L149" s="165"/>
      <c r="M149" s="167">
        <f t="shared" si="13"/>
        <v>0</v>
      </c>
    </row>
    <row r="150" spans="1:13" x14ac:dyDescent="0.25">
      <c r="A150" s="182"/>
      <c r="G150" s="153"/>
      <c r="H150" s="165">
        <v>145</v>
      </c>
      <c r="I150" s="166" t="str">
        <f t="shared" si="11"/>
        <v/>
      </c>
      <c r="J150" s="166" t="e">
        <f t="shared" si="14"/>
        <v>#NUM!</v>
      </c>
      <c r="K150" s="165" t="e">
        <f t="shared" si="12"/>
        <v>#NUM!</v>
      </c>
      <c r="L150" s="165"/>
      <c r="M150" s="167">
        <f t="shared" si="13"/>
        <v>0</v>
      </c>
    </row>
    <row r="151" spans="1:13" x14ac:dyDescent="0.25">
      <c r="A151" s="182"/>
      <c r="G151" s="153"/>
      <c r="H151" s="165">
        <v>146</v>
      </c>
      <c r="I151" s="166" t="str">
        <f t="shared" si="11"/>
        <v/>
      </c>
      <c r="J151" s="166" t="e">
        <f t="shared" si="14"/>
        <v>#NUM!</v>
      </c>
      <c r="K151" s="165" t="e">
        <f t="shared" si="12"/>
        <v>#NUM!</v>
      </c>
      <c r="L151" s="165"/>
      <c r="M151" s="167">
        <f t="shared" si="13"/>
        <v>0</v>
      </c>
    </row>
    <row r="152" spans="1:13" x14ac:dyDescent="0.25">
      <c r="A152" s="182"/>
      <c r="G152" s="153"/>
      <c r="H152" s="165">
        <v>147</v>
      </c>
      <c r="I152" s="166" t="str">
        <f t="shared" si="11"/>
        <v/>
      </c>
      <c r="J152" s="166" t="e">
        <f t="shared" si="14"/>
        <v>#NUM!</v>
      </c>
      <c r="K152" s="165" t="e">
        <f t="shared" si="12"/>
        <v>#NUM!</v>
      </c>
      <c r="L152" s="165"/>
      <c r="M152" s="167">
        <f t="shared" si="13"/>
        <v>0</v>
      </c>
    </row>
    <row r="153" spans="1:13" x14ac:dyDescent="0.25">
      <c r="A153" s="182"/>
      <c r="G153" s="153"/>
      <c r="H153" s="165">
        <v>148</v>
      </c>
      <c r="I153" s="166" t="str">
        <f t="shared" si="11"/>
        <v/>
      </c>
      <c r="J153" s="166" t="e">
        <f t="shared" si="14"/>
        <v>#NUM!</v>
      </c>
      <c r="K153" s="165" t="e">
        <f t="shared" si="12"/>
        <v>#NUM!</v>
      </c>
      <c r="L153" s="165"/>
      <c r="M153" s="167">
        <f t="shared" si="13"/>
        <v>0</v>
      </c>
    </row>
    <row r="154" spans="1:13" x14ac:dyDescent="0.25">
      <c r="A154" s="182"/>
      <c r="G154" s="153"/>
      <c r="H154" s="165">
        <v>149</v>
      </c>
      <c r="I154" s="166" t="str">
        <f t="shared" si="11"/>
        <v/>
      </c>
      <c r="J154" s="166" t="e">
        <f t="shared" si="14"/>
        <v>#NUM!</v>
      </c>
      <c r="K154" s="165" t="e">
        <f t="shared" si="12"/>
        <v>#NUM!</v>
      </c>
      <c r="L154" s="165"/>
      <c r="M154" s="167">
        <f t="shared" si="13"/>
        <v>0</v>
      </c>
    </row>
    <row r="155" spans="1:13" x14ac:dyDescent="0.25">
      <c r="A155" s="182"/>
      <c r="G155" s="153"/>
      <c r="H155" s="165">
        <v>150</v>
      </c>
      <c r="I155" s="166" t="str">
        <f t="shared" si="11"/>
        <v/>
      </c>
      <c r="J155" s="166" t="e">
        <f t="shared" si="14"/>
        <v>#NUM!</v>
      </c>
      <c r="K155" s="165" t="e">
        <f t="shared" si="12"/>
        <v>#NUM!</v>
      </c>
      <c r="L155" s="165"/>
      <c r="M155" s="167">
        <f t="shared" si="13"/>
        <v>0</v>
      </c>
    </row>
    <row r="156" spans="1:13" x14ac:dyDescent="0.25">
      <c r="A156" s="182"/>
      <c r="G156" s="153"/>
      <c r="H156" s="165">
        <v>151</v>
      </c>
      <c r="I156" s="166" t="str">
        <f t="shared" si="11"/>
        <v/>
      </c>
      <c r="J156" s="166" t="e">
        <f t="shared" si="14"/>
        <v>#NUM!</v>
      </c>
      <c r="K156" s="165" t="e">
        <f t="shared" si="12"/>
        <v>#NUM!</v>
      </c>
      <c r="L156" s="165"/>
      <c r="M156" s="167">
        <f t="shared" si="13"/>
        <v>0</v>
      </c>
    </row>
    <row r="157" spans="1:13" x14ac:dyDescent="0.25">
      <c r="A157" s="182"/>
      <c r="G157" s="153"/>
      <c r="H157" s="165">
        <v>152</v>
      </c>
      <c r="I157" s="166" t="str">
        <f t="shared" si="11"/>
        <v/>
      </c>
      <c r="J157" s="166" t="e">
        <f t="shared" si="14"/>
        <v>#NUM!</v>
      </c>
      <c r="K157" s="165" t="e">
        <f t="shared" si="12"/>
        <v>#NUM!</v>
      </c>
      <c r="L157" s="165"/>
      <c r="M157" s="167">
        <f t="shared" si="13"/>
        <v>0</v>
      </c>
    </row>
    <row r="158" spans="1:13" x14ac:dyDescent="0.25">
      <c r="A158" s="182"/>
      <c r="G158" s="153"/>
      <c r="H158" s="165">
        <v>153</v>
      </c>
      <c r="I158" s="166" t="str">
        <f t="shared" si="11"/>
        <v/>
      </c>
      <c r="J158" s="166" t="e">
        <f t="shared" si="14"/>
        <v>#NUM!</v>
      </c>
      <c r="K158" s="165" t="e">
        <f t="shared" si="12"/>
        <v>#NUM!</v>
      </c>
      <c r="L158" s="165"/>
      <c r="M158" s="167">
        <f t="shared" si="13"/>
        <v>0</v>
      </c>
    </row>
    <row r="159" spans="1:13" x14ac:dyDescent="0.25">
      <c r="A159" s="182"/>
      <c r="G159" s="153"/>
      <c r="H159" s="165">
        <v>154</v>
      </c>
      <c r="I159" s="166" t="str">
        <f t="shared" si="11"/>
        <v/>
      </c>
      <c r="J159" s="166" t="e">
        <f t="shared" si="14"/>
        <v>#NUM!</v>
      </c>
      <c r="K159" s="165" t="e">
        <f t="shared" si="12"/>
        <v>#NUM!</v>
      </c>
      <c r="L159" s="165"/>
      <c r="M159" s="167">
        <f t="shared" si="13"/>
        <v>0</v>
      </c>
    </row>
    <row r="160" spans="1:13" x14ac:dyDescent="0.25">
      <c r="A160" s="182"/>
      <c r="G160" s="153"/>
      <c r="H160" s="165">
        <v>155</v>
      </c>
      <c r="I160" s="166" t="str">
        <f t="shared" si="11"/>
        <v/>
      </c>
      <c r="J160" s="166" t="e">
        <f t="shared" si="14"/>
        <v>#NUM!</v>
      </c>
      <c r="K160" s="165" t="e">
        <f t="shared" si="12"/>
        <v>#NUM!</v>
      </c>
      <c r="L160" s="165"/>
      <c r="M160" s="167">
        <f t="shared" si="13"/>
        <v>0</v>
      </c>
    </row>
    <row r="161" spans="1:13" x14ac:dyDescent="0.25">
      <c r="A161" s="182"/>
      <c r="G161" s="153"/>
      <c r="H161" s="165">
        <v>156</v>
      </c>
      <c r="I161" s="166" t="str">
        <f t="shared" si="11"/>
        <v/>
      </c>
      <c r="J161" s="166" t="e">
        <f t="shared" si="14"/>
        <v>#NUM!</v>
      </c>
      <c r="K161" s="165" t="e">
        <f t="shared" si="12"/>
        <v>#NUM!</v>
      </c>
      <c r="L161" s="165"/>
      <c r="M161" s="167">
        <f t="shared" si="13"/>
        <v>0</v>
      </c>
    </row>
    <row r="162" spans="1:13" x14ac:dyDescent="0.25">
      <c r="A162" s="182"/>
      <c r="G162" s="153"/>
      <c r="H162" s="165">
        <v>157</v>
      </c>
      <c r="I162" s="166" t="str">
        <f t="shared" si="11"/>
        <v/>
      </c>
      <c r="J162" s="166" t="e">
        <f t="shared" si="14"/>
        <v>#NUM!</v>
      </c>
      <c r="K162" s="165" t="e">
        <f t="shared" si="12"/>
        <v>#NUM!</v>
      </c>
      <c r="L162" s="165"/>
      <c r="M162" s="167">
        <f t="shared" si="13"/>
        <v>0</v>
      </c>
    </row>
    <row r="163" spans="1:13" x14ac:dyDescent="0.25">
      <c r="A163" s="182"/>
      <c r="G163" s="153"/>
      <c r="H163" s="165">
        <v>158</v>
      </c>
      <c r="I163" s="166" t="str">
        <f t="shared" si="11"/>
        <v/>
      </c>
      <c r="J163" s="166" t="e">
        <f t="shared" si="14"/>
        <v>#NUM!</v>
      </c>
      <c r="K163" s="165" t="e">
        <f t="shared" si="12"/>
        <v>#NUM!</v>
      </c>
      <c r="L163" s="165"/>
      <c r="M163" s="167">
        <f t="shared" si="13"/>
        <v>0</v>
      </c>
    </row>
    <row r="164" spans="1:13" x14ac:dyDescent="0.25">
      <c r="A164" s="182"/>
      <c r="G164" s="153"/>
      <c r="H164" s="165">
        <v>159</v>
      </c>
      <c r="I164" s="166" t="str">
        <f t="shared" si="11"/>
        <v/>
      </c>
      <c r="J164" s="166" t="e">
        <f t="shared" si="14"/>
        <v>#NUM!</v>
      </c>
      <c r="K164" s="165" t="e">
        <f t="shared" si="12"/>
        <v>#NUM!</v>
      </c>
      <c r="L164" s="165"/>
      <c r="M164" s="167">
        <f t="shared" si="13"/>
        <v>0</v>
      </c>
    </row>
    <row r="165" spans="1:13" x14ac:dyDescent="0.25">
      <c r="A165" s="182"/>
      <c r="G165" s="153"/>
      <c r="H165" s="165">
        <v>160</v>
      </c>
      <c r="I165" s="166" t="str">
        <f t="shared" si="11"/>
        <v/>
      </c>
      <c r="J165" s="166" t="e">
        <f t="shared" si="14"/>
        <v>#NUM!</v>
      </c>
      <c r="K165" s="165" t="e">
        <f t="shared" si="12"/>
        <v>#NUM!</v>
      </c>
      <c r="L165" s="165"/>
      <c r="M165" s="167">
        <f t="shared" si="13"/>
        <v>0</v>
      </c>
    </row>
    <row r="166" spans="1:13" x14ac:dyDescent="0.25">
      <c r="A166" s="182"/>
      <c r="G166" s="153"/>
      <c r="H166" s="165">
        <v>161</v>
      </c>
      <c r="I166" s="166" t="str">
        <f t="shared" si="11"/>
        <v/>
      </c>
      <c r="J166" s="166" t="e">
        <f t="shared" si="14"/>
        <v>#NUM!</v>
      </c>
      <c r="K166" s="165" t="e">
        <f t="shared" si="12"/>
        <v>#NUM!</v>
      </c>
      <c r="L166" s="165"/>
      <c r="M166" s="167">
        <f t="shared" si="13"/>
        <v>0</v>
      </c>
    </row>
    <row r="167" spans="1:13" x14ac:dyDescent="0.25">
      <c r="A167" s="182"/>
      <c r="G167" s="153"/>
      <c r="H167" s="165">
        <v>162</v>
      </c>
      <c r="I167" s="166" t="str">
        <f t="shared" si="11"/>
        <v/>
      </c>
      <c r="J167" s="166" t="e">
        <f t="shared" si="14"/>
        <v>#NUM!</v>
      </c>
      <c r="K167" s="165" t="e">
        <f t="shared" si="12"/>
        <v>#NUM!</v>
      </c>
      <c r="L167" s="165"/>
      <c r="M167" s="167">
        <f t="shared" si="13"/>
        <v>0</v>
      </c>
    </row>
    <row r="168" spans="1:13" x14ac:dyDescent="0.25">
      <c r="A168" s="182"/>
      <c r="G168" s="153"/>
      <c r="H168" s="165">
        <v>163</v>
      </c>
      <c r="I168" s="166" t="str">
        <f t="shared" si="11"/>
        <v/>
      </c>
      <c r="J168" s="166" t="e">
        <f t="shared" si="14"/>
        <v>#NUM!</v>
      </c>
      <c r="K168" s="165" t="e">
        <f t="shared" si="12"/>
        <v>#NUM!</v>
      </c>
      <c r="L168" s="165"/>
      <c r="M168" s="167">
        <f t="shared" si="13"/>
        <v>0</v>
      </c>
    </row>
    <row r="169" spans="1:13" x14ac:dyDescent="0.25">
      <c r="A169" s="182"/>
      <c r="C169" s="181" t="s">
        <v>34</v>
      </c>
      <c r="G169" s="153"/>
      <c r="H169" s="165">
        <v>164</v>
      </c>
      <c r="I169" s="166" t="str">
        <f t="shared" si="11"/>
        <v/>
      </c>
      <c r="J169" s="166" t="e">
        <f t="shared" si="14"/>
        <v>#NUM!</v>
      </c>
      <c r="K169" s="165" t="e">
        <f t="shared" si="12"/>
        <v>#NUM!</v>
      </c>
      <c r="L169" s="165"/>
      <c r="M169" s="167">
        <f t="shared" si="13"/>
        <v>0</v>
      </c>
    </row>
    <row r="170" spans="1:13" x14ac:dyDescent="0.25">
      <c r="A170" s="182"/>
      <c r="G170" s="153"/>
      <c r="H170" s="165">
        <v>165</v>
      </c>
      <c r="I170" s="166" t="str">
        <f t="shared" si="11"/>
        <v/>
      </c>
      <c r="J170" s="166" t="e">
        <f t="shared" si="14"/>
        <v>#NUM!</v>
      </c>
      <c r="K170" s="165" t="e">
        <f t="shared" si="12"/>
        <v>#NUM!</v>
      </c>
      <c r="L170" s="165"/>
      <c r="M170" s="167">
        <f t="shared" si="13"/>
        <v>0</v>
      </c>
    </row>
    <row r="171" spans="1:13" x14ac:dyDescent="0.25">
      <c r="A171" s="182"/>
      <c r="G171" s="153"/>
      <c r="H171" s="165">
        <v>166</v>
      </c>
      <c r="I171" s="166" t="str">
        <f t="shared" si="11"/>
        <v/>
      </c>
      <c r="J171" s="166" t="e">
        <f t="shared" si="14"/>
        <v>#NUM!</v>
      </c>
      <c r="K171" s="165" t="e">
        <f t="shared" si="12"/>
        <v>#NUM!</v>
      </c>
      <c r="L171" s="165"/>
      <c r="M171" s="167">
        <f t="shared" si="13"/>
        <v>0</v>
      </c>
    </row>
    <row r="172" spans="1:13" x14ac:dyDescent="0.25">
      <c r="A172" s="182"/>
      <c r="G172" s="153"/>
      <c r="H172" s="165">
        <v>167</v>
      </c>
      <c r="I172" s="166" t="str">
        <f t="shared" si="11"/>
        <v/>
      </c>
      <c r="J172" s="166" t="e">
        <f t="shared" si="14"/>
        <v>#NUM!</v>
      </c>
      <c r="K172" s="165" t="e">
        <f t="shared" si="12"/>
        <v>#NUM!</v>
      </c>
      <c r="L172" s="165"/>
      <c r="M172" s="167">
        <f t="shared" si="13"/>
        <v>0</v>
      </c>
    </row>
    <row r="173" spans="1:13" x14ac:dyDescent="0.25">
      <c r="A173" s="182"/>
      <c r="G173" s="153"/>
      <c r="H173" s="165">
        <v>168</v>
      </c>
      <c r="I173" s="166" t="str">
        <f t="shared" si="11"/>
        <v/>
      </c>
      <c r="J173" s="166" t="e">
        <f t="shared" si="14"/>
        <v>#NUM!</v>
      </c>
      <c r="K173" s="165" t="e">
        <f t="shared" si="12"/>
        <v>#NUM!</v>
      </c>
      <c r="L173" s="165"/>
      <c r="M173" s="167">
        <f t="shared" si="13"/>
        <v>0</v>
      </c>
    </row>
    <row r="174" spans="1:13" x14ac:dyDescent="0.25">
      <c r="A174" s="182"/>
      <c r="G174" s="153"/>
      <c r="H174" s="165">
        <v>169</v>
      </c>
      <c r="I174" s="166" t="str">
        <f t="shared" si="11"/>
        <v/>
      </c>
      <c r="J174" s="166" t="e">
        <f t="shared" si="14"/>
        <v>#NUM!</v>
      </c>
      <c r="K174" s="165" t="e">
        <f t="shared" si="12"/>
        <v>#NUM!</v>
      </c>
      <c r="L174" s="165"/>
      <c r="M174" s="167">
        <f t="shared" si="13"/>
        <v>0</v>
      </c>
    </row>
    <row r="175" spans="1:13" x14ac:dyDescent="0.25">
      <c r="A175" s="182"/>
      <c r="G175" s="153"/>
      <c r="H175" s="165">
        <v>170</v>
      </c>
      <c r="I175" s="166" t="str">
        <f t="shared" si="11"/>
        <v/>
      </c>
      <c r="J175" s="166" t="e">
        <f t="shared" si="14"/>
        <v>#NUM!</v>
      </c>
      <c r="K175" s="165" t="e">
        <f t="shared" si="12"/>
        <v>#NUM!</v>
      </c>
      <c r="L175" s="165"/>
      <c r="M175" s="167">
        <f t="shared" si="13"/>
        <v>0</v>
      </c>
    </row>
    <row r="176" spans="1:13" x14ac:dyDescent="0.25">
      <c r="A176" s="182"/>
      <c r="G176" s="153"/>
      <c r="H176" s="165">
        <v>171</v>
      </c>
      <c r="I176" s="166" t="str">
        <f t="shared" si="11"/>
        <v/>
      </c>
      <c r="J176" s="166" t="e">
        <f t="shared" si="14"/>
        <v>#NUM!</v>
      </c>
      <c r="K176" s="165" t="e">
        <f t="shared" si="12"/>
        <v>#NUM!</v>
      </c>
      <c r="L176" s="165"/>
      <c r="M176" s="167">
        <f t="shared" si="13"/>
        <v>0</v>
      </c>
    </row>
    <row r="177" spans="1:13" x14ac:dyDescent="0.25">
      <c r="A177" s="182"/>
      <c r="G177" s="153"/>
      <c r="H177" s="165">
        <v>172</v>
      </c>
      <c r="I177" s="166" t="str">
        <f t="shared" si="11"/>
        <v/>
      </c>
      <c r="J177" s="166" t="e">
        <f t="shared" si="14"/>
        <v>#NUM!</v>
      </c>
      <c r="K177" s="165" t="e">
        <f t="shared" si="12"/>
        <v>#NUM!</v>
      </c>
      <c r="L177" s="165"/>
      <c r="M177" s="167">
        <f t="shared" si="13"/>
        <v>0</v>
      </c>
    </row>
    <row r="178" spans="1:13" x14ac:dyDescent="0.25">
      <c r="A178" s="182"/>
      <c r="G178" s="153"/>
      <c r="H178" s="165">
        <v>173</v>
      </c>
      <c r="I178" s="166" t="str">
        <f t="shared" si="11"/>
        <v/>
      </c>
      <c r="J178" s="166" t="e">
        <f t="shared" si="14"/>
        <v>#NUM!</v>
      </c>
      <c r="K178" s="165" t="e">
        <f t="shared" si="12"/>
        <v>#NUM!</v>
      </c>
      <c r="L178" s="165"/>
      <c r="M178" s="167">
        <f t="shared" si="13"/>
        <v>0</v>
      </c>
    </row>
    <row r="179" spans="1:13" x14ac:dyDescent="0.25">
      <c r="A179" s="182"/>
      <c r="G179" s="153"/>
      <c r="H179" s="165">
        <v>174</v>
      </c>
      <c r="I179" s="166" t="str">
        <f t="shared" si="11"/>
        <v/>
      </c>
      <c r="J179" s="166" t="e">
        <f t="shared" si="14"/>
        <v>#NUM!</v>
      </c>
      <c r="K179" s="165" t="e">
        <f t="shared" si="12"/>
        <v>#NUM!</v>
      </c>
      <c r="L179" s="165"/>
      <c r="M179" s="167">
        <f t="shared" si="13"/>
        <v>0</v>
      </c>
    </row>
    <row r="180" spans="1:13" x14ac:dyDescent="0.25">
      <c r="A180" s="182"/>
      <c r="G180" s="153"/>
      <c r="H180" s="165">
        <v>175</v>
      </c>
      <c r="I180" s="166" t="str">
        <f t="shared" si="11"/>
        <v/>
      </c>
      <c r="J180" s="166" t="e">
        <f t="shared" si="14"/>
        <v>#NUM!</v>
      </c>
      <c r="K180" s="165" t="e">
        <f t="shared" si="12"/>
        <v>#NUM!</v>
      </c>
      <c r="L180" s="165"/>
      <c r="M180" s="167">
        <f t="shared" si="13"/>
        <v>0</v>
      </c>
    </row>
    <row r="181" spans="1:13" x14ac:dyDescent="0.25">
      <c r="A181" s="182"/>
      <c r="G181" s="153"/>
      <c r="H181" s="165">
        <v>176</v>
      </c>
      <c r="I181" s="166" t="str">
        <f t="shared" si="11"/>
        <v/>
      </c>
      <c r="J181" s="166" t="e">
        <f t="shared" si="14"/>
        <v>#NUM!</v>
      </c>
      <c r="K181" s="165" t="e">
        <f t="shared" si="12"/>
        <v>#NUM!</v>
      </c>
      <c r="L181" s="165"/>
      <c r="M181" s="167">
        <f t="shared" si="13"/>
        <v>0</v>
      </c>
    </row>
    <row r="182" spans="1:13" x14ac:dyDescent="0.25">
      <c r="A182" s="182"/>
      <c r="G182" s="153"/>
      <c r="H182" s="165">
        <v>177</v>
      </c>
      <c r="I182" s="166" t="str">
        <f t="shared" si="11"/>
        <v/>
      </c>
      <c r="J182" s="166" t="e">
        <f t="shared" si="14"/>
        <v>#NUM!</v>
      </c>
      <c r="K182" s="165" t="e">
        <f t="shared" si="12"/>
        <v>#NUM!</v>
      </c>
      <c r="L182" s="165"/>
      <c r="M182" s="167">
        <f t="shared" si="13"/>
        <v>0</v>
      </c>
    </row>
    <row r="183" spans="1:13" x14ac:dyDescent="0.25">
      <c r="A183" s="182"/>
      <c r="G183" s="153"/>
      <c r="H183" s="165">
        <v>178</v>
      </c>
      <c r="I183" s="166" t="str">
        <f t="shared" si="11"/>
        <v/>
      </c>
      <c r="J183" s="166" t="e">
        <f t="shared" si="14"/>
        <v>#NUM!</v>
      </c>
      <c r="K183" s="165" t="e">
        <f t="shared" si="12"/>
        <v>#NUM!</v>
      </c>
      <c r="L183" s="165"/>
      <c r="M183" s="167">
        <f t="shared" si="13"/>
        <v>0</v>
      </c>
    </row>
    <row r="184" spans="1:13" x14ac:dyDescent="0.25">
      <c r="A184" s="182"/>
      <c r="G184" s="153"/>
      <c r="H184" s="165">
        <v>179</v>
      </c>
      <c r="I184" s="166" t="str">
        <f t="shared" si="11"/>
        <v/>
      </c>
      <c r="J184" s="166" t="e">
        <f t="shared" si="14"/>
        <v>#NUM!</v>
      </c>
      <c r="K184" s="165" t="e">
        <f t="shared" si="12"/>
        <v>#NUM!</v>
      </c>
      <c r="L184" s="165"/>
      <c r="M184" s="167">
        <f t="shared" si="13"/>
        <v>0</v>
      </c>
    </row>
    <row r="185" spans="1:13" x14ac:dyDescent="0.25">
      <c r="A185" s="182"/>
      <c r="G185" s="153"/>
      <c r="H185" s="165">
        <v>180</v>
      </c>
      <c r="I185" s="166" t="str">
        <f t="shared" si="11"/>
        <v/>
      </c>
      <c r="J185" s="166" t="e">
        <f t="shared" si="14"/>
        <v>#NUM!</v>
      </c>
      <c r="K185" s="165" t="e">
        <f t="shared" si="12"/>
        <v>#NUM!</v>
      </c>
      <c r="L185" s="165"/>
      <c r="M185" s="167">
        <f t="shared" si="13"/>
        <v>0</v>
      </c>
    </row>
    <row r="186" spans="1:13" x14ac:dyDescent="0.25">
      <c r="A186" s="182"/>
      <c r="G186" s="153"/>
      <c r="H186" s="165">
        <v>181</v>
      </c>
      <c r="I186" s="166" t="str">
        <f t="shared" si="11"/>
        <v/>
      </c>
      <c r="J186" s="166" t="e">
        <f t="shared" si="14"/>
        <v>#NUM!</v>
      </c>
      <c r="K186" s="165" t="e">
        <f t="shared" si="12"/>
        <v>#NUM!</v>
      </c>
      <c r="L186" s="165"/>
      <c r="M186" s="167">
        <f t="shared" si="13"/>
        <v>0</v>
      </c>
    </row>
    <row r="187" spans="1:13" x14ac:dyDescent="0.25">
      <c r="A187" s="182"/>
      <c r="G187" s="153"/>
      <c r="H187" s="165">
        <v>182</v>
      </c>
      <c r="I187" s="166" t="str">
        <f t="shared" si="11"/>
        <v/>
      </c>
      <c r="J187" s="166" t="e">
        <f t="shared" si="14"/>
        <v>#NUM!</v>
      </c>
      <c r="K187" s="165" t="e">
        <f t="shared" si="12"/>
        <v>#NUM!</v>
      </c>
      <c r="L187" s="165"/>
      <c r="M187" s="167">
        <f t="shared" si="13"/>
        <v>0</v>
      </c>
    </row>
    <row r="188" spans="1:13" x14ac:dyDescent="0.25">
      <c r="A188" s="182"/>
      <c r="G188" s="153"/>
      <c r="H188" s="165">
        <v>183</v>
      </c>
      <c r="I188" s="166" t="str">
        <f t="shared" si="11"/>
        <v/>
      </c>
      <c r="J188" s="166" t="e">
        <f t="shared" si="14"/>
        <v>#NUM!</v>
      </c>
      <c r="K188" s="165" t="e">
        <f t="shared" si="12"/>
        <v>#NUM!</v>
      </c>
      <c r="L188" s="165"/>
      <c r="M188" s="167">
        <f t="shared" si="13"/>
        <v>0</v>
      </c>
    </row>
    <row r="189" spans="1:13" x14ac:dyDescent="0.25">
      <c r="A189" s="182"/>
      <c r="G189" s="153"/>
      <c r="H189" s="165">
        <v>184</v>
      </c>
      <c r="I189" s="166" t="str">
        <f t="shared" si="11"/>
        <v/>
      </c>
      <c r="J189" s="166" t="e">
        <f t="shared" si="14"/>
        <v>#NUM!</v>
      </c>
      <c r="K189" s="165" t="e">
        <f t="shared" si="12"/>
        <v>#NUM!</v>
      </c>
      <c r="L189" s="165"/>
      <c r="M189" s="167">
        <f t="shared" si="13"/>
        <v>0</v>
      </c>
    </row>
    <row r="190" spans="1:13" x14ac:dyDescent="0.25">
      <c r="A190" s="182"/>
      <c r="G190" s="153"/>
      <c r="H190" s="165">
        <v>185</v>
      </c>
      <c r="I190" s="166" t="str">
        <f t="shared" si="11"/>
        <v/>
      </c>
      <c r="J190" s="166" t="e">
        <f t="shared" si="14"/>
        <v>#NUM!</v>
      </c>
      <c r="K190" s="165" t="e">
        <f t="shared" si="12"/>
        <v>#NUM!</v>
      </c>
      <c r="L190" s="165"/>
      <c r="M190" s="167">
        <f t="shared" si="13"/>
        <v>0</v>
      </c>
    </row>
    <row r="191" spans="1:13" x14ac:dyDescent="0.25">
      <c r="A191" s="182"/>
      <c r="G191" s="153"/>
      <c r="H191" s="165">
        <v>186</v>
      </c>
      <c r="I191" s="166" t="str">
        <f t="shared" si="11"/>
        <v/>
      </c>
      <c r="J191" s="166" t="e">
        <f t="shared" si="14"/>
        <v>#NUM!</v>
      </c>
      <c r="K191" s="165" t="e">
        <f t="shared" si="12"/>
        <v>#NUM!</v>
      </c>
      <c r="L191" s="165"/>
      <c r="M191" s="167">
        <f t="shared" si="13"/>
        <v>0</v>
      </c>
    </row>
    <row r="192" spans="1:13" x14ac:dyDescent="0.25">
      <c r="A192" s="182"/>
      <c r="G192" s="153"/>
      <c r="H192" s="165">
        <v>187</v>
      </c>
      <c r="I192" s="166" t="str">
        <f t="shared" si="11"/>
        <v/>
      </c>
      <c r="J192" s="166" t="e">
        <f t="shared" si="14"/>
        <v>#NUM!</v>
      </c>
      <c r="K192" s="165" t="e">
        <f t="shared" si="12"/>
        <v>#NUM!</v>
      </c>
      <c r="L192" s="165"/>
      <c r="M192" s="167">
        <f t="shared" si="13"/>
        <v>0</v>
      </c>
    </row>
    <row r="193" spans="1:13" x14ac:dyDescent="0.25">
      <c r="A193" s="182"/>
      <c r="G193" s="153"/>
      <c r="H193" s="165">
        <v>188</v>
      </c>
      <c r="I193" s="166" t="str">
        <f t="shared" si="11"/>
        <v/>
      </c>
      <c r="J193" s="166" t="e">
        <f t="shared" si="14"/>
        <v>#NUM!</v>
      </c>
      <c r="K193" s="165" t="e">
        <f t="shared" si="12"/>
        <v>#NUM!</v>
      </c>
      <c r="L193" s="165"/>
      <c r="M193" s="167">
        <f t="shared" si="13"/>
        <v>0</v>
      </c>
    </row>
    <row r="194" spans="1:13" x14ac:dyDescent="0.25">
      <c r="A194" s="182"/>
      <c r="G194" s="153"/>
      <c r="H194" s="165">
        <v>189</v>
      </c>
      <c r="I194" s="166" t="str">
        <f t="shared" si="11"/>
        <v/>
      </c>
      <c r="J194" s="166" t="e">
        <f t="shared" si="14"/>
        <v>#NUM!</v>
      </c>
      <c r="K194" s="165" t="e">
        <f t="shared" si="12"/>
        <v>#NUM!</v>
      </c>
      <c r="L194" s="165"/>
      <c r="M194" s="167">
        <f t="shared" si="13"/>
        <v>0</v>
      </c>
    </row>
    <row r="195" spans="1:13" x14ac:dyDescent="0.25">
      <c r="A195" s="182"/>
      <c r="G195" s="153"/>
      <c r="H195" s="165">
        <v>190</v>
      </c>
      <c r="I195" s="166" t="str">
        <f t="shared" si="11"/>
        <v/>
      </c>
      <c r="J195" s="166" t="e">
        <f t="shared" si="14"/>
        <v>#NUM!</v>
      </c>
      <c r="K195" s="165" t="e">
        <f t="shared" si="12"/>
        <v>#NUM!</v>
      </c>
      <c r="L195" s="165"/>
      <c r="M195" s="167">
        <f t="shared" si="13"/>
        <v>0</v>
      </c>
    </row>
    <row r="196" spans="1:13" x14ac:dyDescent="0.25">
      <c r="A196" s="182"/>
      <c r="G196" s="153"/>
      <c r="H196" s="165">
        <v>191</v>
      </c>
      <c r="I196" s="166" t="str">
        <f t="shared" si="11"/>
        <v/>
      </c>
      <c r="J196" s="166" t="e">
        <f t="shared" si="14"/>
        <v>#NUM!</v>
      </c>
      <c r="K196" s="165" t="e">
        <f t="shared" si="12"/>
        <v>#NUM!</v>
      </c>
      <c r="L196" s="165"/>
      <c r="M196" s="167">
        <f t="shared" si="13"/>
        <v>0</v>
      </c>
    </row>
    <row r="197" spans="1:13" x14ac:dyDescent="0.25">
      <c r="A197" s="182"/>
      <c r="G197" s="153"/>
      <c r="H197" s="165">
        <v>192</v>
      </c>
      <c r="I197" s="166" t="str">
        <f t="shared" si="11"/>
        <v/>
      </c>
      <c r="J197" s="166" t="e">
        <f t="shared" si="14"/>
        <v>#NUM!</v>
      </c>
      <c r="K197" s="165" t="e">
        <f t="shared" si="12"/>
        <v>#NUM!</v>
      </c>
      <c r="L197" s="165"/>
      <c r="M197" s="167">
        <f t="shared" si="13"/>
        <v>0</v>
      </c>
    </row>
    <row r="198" spans="1:13" x14ac:dyDescent="0.25">
      <c r="A198" s="182"/>
      <c r="G198" s="153"/>
      <c r="H198" s="165">
        <v>193</v>
      </c>
      <c r="I198" s="166" t="str">
        <f t="shared" ref="I198:I261" si="15">IF(H198&lt;$H$2+1,($I$2-($I$2-1)*(LOG(H198)/LOG($H$2))),"")</f>
        <v/>
      </c>
      <c r="J198" s="166" t="e">
        <f t="shared" si="14"/>
        <v>#NUM!</v>
      </c>
      <c r="K198" s="165" t="e">
        <f t="shared" ref="K198:K261" si="16">J198*$J$2</f>
        <v>#NUM!</v>
      </c>
      <c r="L198" s="165"/>
      <c r="M198" s="167">
        <f t="shared" ref="M198:M261" si="17">IF(I198&lt;&gt;"",K198+I198+L198,0)</f>
        <v>0</v>
      </c>
    </row>
    <row r="199" spans="1:13" x14ac:dyDescent="0.25">
      <c r="A199" s="182"/>
      <c r="G199" s="153"/>
      <c r="H199" s="165">
        <v>194</v>
      </c>
      <c r="I199" s="166" t="str">
        <f t="shared" si="15"/>
        <v/>
      </c>
      <c r="J199" s="166" t="e">
        <f t="shared" ref="J199:J262" si="18">INT(LOG($H$2,2))-ROUNDUP(LOG(H199,2),0)+IF(OR($H$2=1,$H$2=2,$H$2=4,$H$2=8,$H$2=16,$H$2=32,$H$2=64,$H$2=128,$H$2=256),0,1)</f>
        <v>#NUM!</v>
      </c>
      <c r="K199" s="165" t="e">
        <f t="shared" si="16"/>
        <v>#NUM!</v>
      </c>
      <c r="L199" s="165"/>
      <c r="M199" s="167">
        <f t="shared" si="17"/>
        <v>0</v>
      </c>
    </row>
    <row r="200" spans="1:13" x14ac:dyDescent="0.25">
      <c r="A200" s="182"/>
      <c r="G200" s="153"/>
      <c r="H200" s="165">
        <v>195</v>
      </c>
      <c r="I200" s="166" t="str">
        <f t="shared" si="15"/>
        <v/>
      </c>
      <c r="J200" s="166" t="e">
        <f t="shared" si="18"/>
        <v>#NUM!</v>
      </c>
      <c r="K200" s="165" t="e">
        <f t="shared" si="16"/>
        <v>#NUM!</v>
      </c>
      <c r="L200" s="165"/>
      <c r="M200" s="167">
        <f t="shared" si="17"/>
        <v>0</v>
      </c>
    </row>
    <row r="201" spans="1:13" x14ac:dyDescent="0.25">
      <c r="A201" s="182"/>
      <c r="G201" s="153"/>
      <c r="H201" s="165">
        <v>196</v>
      </c>
      <c r="I201" s="166" t="str">
        <f t="shared" si="15"/>
        <v/>
      </c>
      <c r="J201" s="166" t="e">
        <f t="shared" si="18"/>
        <v>#NUM!</v>
      </c>
      <c r="K201" s="165" t="e">
        <f t="shared" si="16"/>
        <v>#NUM!</v>
      </c>
      <c r="L201" s="165"/>
      <c r="M201" s="167">
        <f t="shared" si="17"/>
        <v>0</v>
      </c>
    </row>
    <row r="202" spans="1:13" x14ac:dyDescent="0.25">
      <c r="A202" s="182"/>
      <c r="G202" s="153"/>
      <c r="H202" s="165">
        <v>197</v>
      </c>
      <c r="I202" s="166" t="str">
        <f t="shared" si="15"/>
        <v/>
      </c>
      <c r="J202" s="166" t="e">
        <f t="shared" si="18"/>
        <v>#NUM!</v>
      </c>
      <c r="K202" s="165" t="e">
        <f t="shared" si="16"/>
        <v>#NUM!</v>
      </c>
      <c r="L202" s="165"/>
      <c r="M202" s="167">
        <f t="shared" si="17"/>
        <v>0</v>
      </c>
    </row>
    <row r="203" spans="1:13" x14ac:dyDescent="0.25">
      <c r="A203" s="182"/>
      <c r="G203" s="153"/>
      <c r="H203" s="165">
        <v>198</v>
      </c>
      <c r="I203" s="166" t="str">
        <f t="shared" si="15"/>
        <v/>
      </c>
      <c r="J203" s="166" t="e">
        <f t="shared" si="18"/>
        <v>#NUM!</v>
      </c>
      <c r="K203" s="165" t="e">
        <f t="shared" si="16"/>
        <v>#NUM!</v>
      </c>
      <c r="L203" s="165"/>
      <c r="M203" s="167">
        <f t="shared" si="17"/>
        <v>0</v>
      </c>
    </row>
    <row r="204" spans="1:13" x14ac:dyDescent="0.25">
      <c r="A204" s="182"/>
      <c r="G204" s="153"/>
      <c r="H204" s="165">
        <v>199</v>
      </c>
      <c r="I204" s="166" t="str">
        <f t="shared" si="15"/>
        <v/>
      </c>
      <c r="J204" s="166" t="e">
        <f t="shared" si="18"/>
        <v>#NUM!</v>
      </c>
      <c r="K204" s="165" t="e">
        <f t="shared" si="16"/>
        <v>#NUM!</v>
      </c>
      <c r="L204" s="165"/>
      <c r="M204" s="167">
        <f t="shared" si="17"/>
        <v>0</v>
      </c>
    </row>
    <row r="205" spans="1:13" x14ac:dyDescent="0.25">
      <c r="A205" s="182"/>
      <c r="G205" s="153"/>
      <c r="H205" s="165">
        <v>200</v>
      </c>
      <c r="I205" s="166" t="str">
        <f t="shared" si="15"/>
        <v/>
      </c>
      <c r="J205" s="166" t="e">
        <f t="shared" si="18"/>
        <v>#NUM!</v>
      </c>
      <c r="K205" s="165" t="e">
        <f t="shared" si="16"/>
        <v>#NUM!</v>
      </c>
      <c r="L205" s="165"/>
      <c r="M205" s="167">
        <f t="shared" si="17"/>
        <v>0</v>
      </c>
    </row>
    <row r="206" spans="1:13" x14ac:dyDescent="0.25">
      <c r="A206" s="182"/>
      <c r="G206" s="153"/>
      <c r="H206" s="165">
        <v>201</v>
      </c>
      <c r="I206" s="166" t="str">
        <f t="shared" si="15"/>
        <v/>
      </c>
      <c r="J206" s="166" t="e">
        <f t="shared" si="18"/>
        <v>#NUM!</v>
      </c>
      <c r="K206" s="165" t="e">
        <f t="shared" si="16"/>
        <v>#NUM!</v>
      </c>
      <c r="L206" s="165"/>
      <c r="M206" s="167">
        <f t="shared" si="17"/>
        <v>0</v>
      </c>
    </row>
    <row r="207" spans="1:13" x14ac:dyDescent="0.25">
      <c r="A207" s="182"/>
      <c r="G207" s="153"/>
      <c r="H207" s="165">
        <v>202</v>
      </c>
      <c r="I207" s="166" t="str">
        <f t="shared" si="15"/>
        <v/>
      </c>
      <c r="J207" s="166" t="e">
        <f t="shared" si="18"/>
        <v>#NUM!</v>
      </c>
      <c r="K207" s="165" t="e">
        <f t="shared" si="16"/>
        <v>#NUM!</v>
      </c>
      <c r="L207" s="165"/>
      <c r="M207" s="167">
        <f t="shared" si="17"/>
        <v>0</v>
      </c>
    </row>
    <row r="208" spans="1:13" x14ac:dyDescent="0.25">
      <c r="A208" s="182"/>
      <c r="G208" s="153"/>
      <c r="H208" s="165">
        <v>203</v>
      </c>
      <c r="I208" s="166" t="str">
        <f t="shared" si="15"/>
        <v/>
      </c>
      <c r="J208" s="166" t="e">
        <f t="shared" si="18"/>
        <v>#NUM!</v>
      </c>
      <c r="K208" s="165" t="e">
        <f t="shared" si="16"/>
        <v>#NUM!</v>
      </c>
      <c r="L208" s="165"/>
      <c r="M208" s="167">
        <f t="shared" si="17"/>
        <v>0</v>
      </c>
    </row>
    <row r="209" spans="1:13" x14ac:dyDescent="0.25">
      <c r="A209" s="182"/>
      <c r="G209" s="153"/>
      <c r="H209" s="165">
        <v>204</v>
      </c>
      <c r="I209" s="166" t="str">
        <f t="shared" si="15"/>
        <v/>
      </c>
      <c r="J209" s="166" t="e">
        <f t="shared" si="18"/>
        <v>#NUM!</v>
      </c>
      <c r="K209" s="165" t="e">
        <f t="shared" si="16"/>
        <v>#NUM!</v>
      </c>
      <c r="L209" s="165"/>
      <c r="M209" s="167">
        <f t="shared" si="17"/>
        <v>0</v>
      </c>
    </row>
    <row r="210" spans="1:13" x14ac:dyDescent="0.25">
      <c r="A210" s="182"/>
      <c r="G210" s="153"/>
      <c r="H210" s="165">
        <v>205</v>
      </c>
      <c r="I210" s="166" t="str">
        <f t="shared" si="15"/>
        <v/>
      </c>
      <c r="J210" s="166" t="e">
        <f t="shared" si="18"/>
        <v>#NUM!</v>
      </c>
      <c r="K210" s="165" t="e">
        <f t="shared" si="16"/>
        <v>#NUM!</v>
      </c>
      <c r="L210" s="165"/>
      <c r="M210" s="167">
        <f t="shared" si="17"/>
        <v>0</v>
      </c>
    </row>
    <row r="211" spans="1:13" x14ac:dyDescent="0.25">
      <c r="A211" s="182"/>
      <c r="G211" s="153"/>
      <c r="H211" s="165">
        <v>206</v>
      </c>
      <c r="I211" s="166" t="str">
        <f t="shared" si="15"/>
        <v/>
      </c>
      <c r="J211" s="166" t="e">
        <f t="shared" si="18"/>
        <v>#NUM!</v>
      </c>
      <c r="K211" s="165" t="e">
        <f t="shared" si="16"/>
        <v>#NUM!</v>
      </c>
      <c r="L211" s="165"/>
      <c r="M211" s="167">
        <f t="shared" si="17"/>
        <v>0</v>
      </c>
    </row>
    <row r="212" spans="1:13" x14ac:dyDescent="0.25">
      <c r="A212" s="182"/>
      <c r="G212" s="153"/>
      <c r="H212" s="165">
        <v>207</v>
      </c>
      <c r="I212" s="166" t="str">
        <f t="shared" si="15"/>
        <v/>
      </c>
      <c r="J212" s="166" t="e">
        <f t="shared" si="18"/>
        <v>#NUM!</v>
      </c>
      <c r="K212" s="165" t="e">
        <f t="shared" si="16"/>
        <v>#NUM!</v>
      </c>
      <c r="L212" s="165"/>
      <c r="M212" s="167">
        <f t="shared" si="17"/>
        <v>0</v>
      </c>
    </row>
    <row r="213" spans="1:13" x14ac:dyDescent="0.25">
      <c r="A213" s="182"/>
      <c r="G213" s="153"/>
      <c r="H213" s="165">
        <v>208</v>
      </c>
      <c r="I213" s="166" t="str">
        <f t="shared" si="15"/>
        <v/>
      </c>
      <c r="J213" s="166" t="e">
        <f t="shared" si="18"/>
        <v>#NUM!</v>
      </c>
      <c r="K213" s="165" t="e">
        <f t="shared" si="16"/>
        <v>#NUM!</v>
      </c>
      <c r="L213" s="165"/>
      <c r="M213" s="167">
        <f t="shared" si="17"/>
        <v>0</v>
      </c>
    </row>
    <row r="214" spans="1:13" x14ac:dyDescent="0.25">
      <c r="A214" s="182"/>
      <c r="G214" s="153"/>
      <c r="H214" s="165">
        <v>209</v>
      </c>
      <c r="I214" s="166" t="str">
        <f t="shared" si="15"/>
        <v/>
      </c>
      <c r="J214" s="166" t="e">
        <f t="shared" si="18"/>
        <v>#NUM!</v>
      </c>
      <c r="K214" s="165" t="e">
        <f t="shared" si="16"/>
        <v>#NUM!</v>
      </c>
      <c r="L214" s="165"/>
      <c r="M214" s="167">
        <f t="shared" si="17"/>
        <v>0</v>
      </c>
    </row>
    <row r="215" spans="1:13" x14ac:dyDescent="0.25">
      <c r="A215" s="182"/>
      <c r="G215" s="153"/>
      <c r="H215" s="165">
        <v>210</v>
      </c>
      <c r="I215" s="166" t="str">
        <f t="shared" si="15"/>
        <v/>
      </c>
      <c r="J215" s="166" t="e">
        <f t="shared" si="18"/>
        <v>#NUM!</v>
      </c>
      <c r="K215" s="165" t="e">
        <f t="shared" si="16"/>
        <v>#NUM!</v>
      </c>
      <c r="L215" s="165"/>
      <c r="M215" s="167">
        <f t="shared" si="17"/>
        <v>0</v>
      </c>
    </row>
    <row r="216" spans="1:13" x14ac:dyDescent="0.25">
      <c r="A216" s="182"/>
      <c r="G216" s="153"/>
      <c r="H216" s="165">
        <v>211</v>
      </c>
      <c r="I216" s="166" t="str">
        <f t="shared" si="15"/>
        <v/>
      </c>
      <c r="J216" s="166" t="e">
        <f t="shared" si="18"/>
        <v>#NUM!</v>
      </c>
      <c r="K216" s="165" t="e">
        <f t="shared" si="16"/>
        <v>#NUM!</v>
      </c>
      <c r="L216" s="165"/>
      <c r="M216" s="167">
        <f t="shared" si="17"/>
        <v>0</v>
      </c>
    </row>
    <row r="217" spans="1:13" x14ac:dyDescent="0.25">
      <c r="A217" s="182"/>
      <c r="G217" s="153"/>
      <c r="H217" s="165">
        <v>212</v>
      </c>
      <c r="I217" s="166" t="str">
        <f t="shared" si="15"/>
        <v/>
      </c>
      <c r="J217" s="166" t="e">
        <f t="shared" si="18"/>
        <v>#NUM!</v>
      </c>
      <c r="K217" s="165" t="e">
        <f t="shared" si="16"/>
        <v>#NUM!</v>
      </c>
      <c r="L217" s="165"/>
      <c r="M217" s="167">
        <f t="shared" si="17"/>
        <v>0</v>
      </c>
    </row>
    <row r="218" spans="1:13" x14ac:dyDescent="0.25">
      <c r="A218" s="182"/>
      <c r="G218" s="153"/>
      <c r="H218" s="165">
        <v>213</v>
      </c>
      <c r="I218" s="166" t="str">
        <f t="shared" si="15"/>
        <v/>
      </c>
      <c r="J218" s="166" t="e">
        <f t="shared" si="18"/>
        <v>#NUM!</v>
      </c>
      <c r="K218" s="165" t="e">
        <f t="shared" si="16"/>
        <v>#NUM!</v>
      </c>
      <c r="L218" s="165"/>
      <c r="M218" s="167">
        <f t="shared" si="17"/>
        <v>0</v>
      </c>
    </row>
    <row r="219" spans="1:13" x14ac:dyDescent="0.25">
      <c r="A219" s="182"/>
      <c r="G219" s="153"/>
      <c r="H219" s="165">
        <v>214</v>
      </c>
      <c r="I219" s="166" t="str">
        <f t="shared" si="15"/>
        <v/>
      </c>
      <c r="J219" s="166" t="e">
        <f t="shared" si="18"/>
        <v>#NUM!</v>
      </c>
      <c r="K219" s="165" t="e">
        <f t="shared" si="16"/>
        <v>#NUM!</v>
      </c>
      <c r="L219" s="165"/>
      <c r="M219" s="167">
        <f t="shared" si="17"/>
        <v>0</v>
      </c>
    </row>
    <row r="220" spans="1:13" x14ac:dyDescent="0.25">
      <c r="A220" s="182"/>
      <c r="G220" s="153"/>
      <c r="H220" s="165">
        <v>215</v>
      </c>
      <c r="I220" s="166" t="str">
        <f t="shared" si="15"/>
        <v/>
      </c>
      <c r="J220" s="166" t="e">
        <f t="shared" si="18"/>
        <v>#NUM!</v>
      </c>
      <c r="K220" s="165" t="e">
        <f t="shared" si="16"/>
        <v>#NUM!</v>
      </c>
      <c r="L220" s="165"/>
      <c r="M220" s="167">
        <f t="shared" si="17"/>
        <v>0</v>
      </c>
    </row>
    <row r="221" spans="1:13" x14ac:dyDescent="0.25">
      <c r="A221" s="182"/>
      <c r="G221" s="153"/>
      <c r="H221" s="165">
        <v>216</v>
      </c>
      <c r="I221" s="166" t="str">
        <f t="shared" si="15"/>
        <v/>
      </c>
      <c r="J221" s="166" t="e">
        <f t="shared" si="18"/>
        <v>#NUM!</v>
      </c>
      <c r="K221" s="165" t="e">
        <f t="shared" si="16"/>
        <v>#NUM!</v>
      </c>
      <c r="L221" s="165"/>
      <c r="M221" s="167">
        <f t="shared" si="17"/>
        <v>0</v>
      </c>
    </row>
    <row r="222" spans="1:13" x14ac:dyDescent="0.25">
      <c r="A222" s="182"/>
      <c r="G222" s="153"/>
      <c r="H222" s="165">
        <v>217</v>
      </c>
      <c r="I222" s="166" t="str">
        <f t="shared" si="15"/>
        <v/>
      </c>
      <c r="J222" s="166" t="e">
        <f t="shared" si="18"/>
        <v>#NUM!</v>
      </c>
      <c r="K222" s="165" t="e">
        <f t="shared" si="16"/>
        <v>#NUM!</v>
      </c>
      <c r="L222" s="165"/>
      <c r="M222" s="167">
        <f t="shared" si="17"/>
        <v>0</v>
      </c>
    </row>
    <row r="223" spans="1:13" x14ac:dyDescent="0.25">
      <c r="A223" s="182"/>
      <c r="G223" s="153"/>
      <c r="H223" s="165">
        <v>218</v>
      </c>
      <c r="I223" s="166" t="str">
        <f t="shared" si="15"/>
        <v/>
      </c>
      <c r="J223" s="166" t="e">
        <f t="shared" si="18"/>
        <v>#NUM!</v>
      </c>
      <c r="K223" s="165" t="e">
        <f t="shared" si="16"/>
        <v>#NUM!</v>
      </c>
      <c r="L223" s="165"/>
      <c r="M223" s="167">
        <f t="shared" si="17"/>
        <v>0</v>
      </c>
    </row>
    <row r="224" spans="1:13" x14ac:dyDescent="0.25">
      <c r="A224" s="182"/>
      <c r="G224" s="153"/>
      <c r="H224" s="165">
        <v>219</v>
      </c>
      <c r="I224" s="166" t="str">
        <f t="shared" si="15"/>
        <v/>
      </c>
      <c r="J224" s="166" t="e">
        <f t="shared" si="18"/>
        <v>#NUM!</v>
      </c>
      <c r="K224" s="165" t="e">
        <f t="shared" si="16"/>
        <v>#NUM!</v>
      </c>
      <c r="L224" s="165"/>
      <c r="M224" s="167">
        <f t="shared" si="17"/>
        <v>0</v>
      </c>
    </row>
    <row r="225" spans="1:13" x14ac:dyDescent="0.25">
      <c r="A225" s="182"/>
      <c r="G225" s="153"/>
      <c r="H225" s="165">
        <v>220</v>
      </c>
      <c r="I225" s="166" t="str">
        <f t="shared" si="15"/>
        <v/>
      </c>
      <c r="J225" s="166" t="e">
        <f t="shared" si="18"/>
        <v>#NUM!</v>
      </c>
      <c r="K225" s="165" t="e">
        <f t="shared" si="16"/>
        <v>#NUM!</v>
      </c>
      <c r="L225" s="165"/>
      <c r="M225" s="167">
        <f t="shared" si="17"/>
        <v>0</v>
      </c>
    </row>
    <row r="226" spans="1:13" x14ac:dyDescent="0.25">
      <c r="A226" s="182"/>
      <c r="G226" s="153"/>
      <c r="H226" s="165">
        <v>221</v>
      </c>
      <c r="I226" s="166" t="str">
        <f t="shared" si="15"/>
        <v/>
      </c>
      <c r="J226" s="166" t="e">
        <f t="shared" si="18"/>
        <v>#NUM!</v>
      </c>
      <c r="K226" s="165" t="e">
        <f t="shared" si="16"/>
        <v>#NUM!</v>
      </c>
      <c r="L226" s="165"/>
      <c r="M226" s="167">
        <f t="shared" si="17"/>
        <v>0</v>
      </c>
    </row>
    <row r="227" spans="1:13" x14ac:dyDescent="0.25">
      <c r="A227" s="182"/>
      <c r="G227" s="153"/>
      <c r="H227" s="165">
        <v>222</v>
      </c>
      <c r="I227" s="166" t="str">
        <f t="shared" si="15"/>
        <v/>
      </c>
      <c r="J227" s="166" t="e">
        <f t="shared" si="18"/>
        <v>#NUM!</v>
      </c>
      <c r="K227" s="165" t="e">
        <f t="shared" si="16"/>
        <v>#NUM!</v>
      </c>
      <c r="L227" s="165"/>
      <c r="M227" s="167">
        <f t="shared" si="17"/>
        <v>0</v>
      </c>
    </row>
    <row r="228" spans="1:13" x14ac:dyDescent="0.25">
      <c r="A228" s="182"/>
      <c r="G228" s="153"/>
      <c r="H228" s="165">
        <v>223</v>
      </c>
      <c r="I228" s="166" t="str">
        <f t="shared" si="15"/>
        <v/>
      </c>
      <c r="J228" s="166" t="e">
        <f t="shared" si="18"/>
        <v>#NUM!</v>
      </c>
      <c r="K228" s="165" t="e">
        <f t="shared" si="16"/>
        <v>#NUM!</v>
      </c>
      <c r="L228" s="165"/>
      <c r="M228" s="167">
        <f t="shared" si="17"/>
        <v>0</v>
      </c>
    </row>
    <row r="229" spans="1:13" x14ac:dyDescent="0.25">
      <c r="A229" s="182"/>
      <c r="G229" s="153"/>
      <c r="H229" s="165">
        <v>224</v>
      </c>
      <c r="I229" s="166" t="str">
        <f t="shared" si="15"/>
        <v/>
      </c>
      <c r="J229" s="166" t="e">
        <f t="shared" si="18"/>
        <v>#NUM!</v>
      </c>
      <c r="K229" s="165" t="e">
        <f t="shared" si="16"/>
        <v>#NUM!</v>
      </c>
      <c r="L229" s="165"/>
      <c r="M229" s="167">
        <f t="shared" si="17"/>
        <v>0</v>
      </c>
    </row>
    <row r="230" spans="1:13" x14ac:dyDescent="0.25">
      <c r="A230" s="182"/>
      <c r="G230" s="153"/>
      <c r="H230" s="165">
        <v>225</v>
      </c>
      <c r="I230" s="166" t="str">
        <f t="shared" si="15"/>
        <v/>
      </c>
      <c r="J230" s="166" t="e">
        <f t="shared" si="18"/>
        <v>#NUM!</v>
      </c>
      <c r="K230" s="165" t="e">
        <f t="shared" si="16"/>
        <v>#NUM!</v>
      </c>
      <c r="L230" s="165"/>
      <c r="M230" s="167">
        <f t="shared" si="17"/>
        <v>0</v>
      </c>
    </row>
    <row r="231" spans="1:13" x14ac:dyDescent="0.25">
      <c r="A231" s="182"/>
      <c r="G231" s="153"/>
      <c r="H231" s="165">
        <v>226</v>
      </c>
      <c r="I231" s="166" t="str">
        <f t="shared" si="15"/>
        <v/>
      </c>
      <c r="J231" s="166" t="e">
        <f t="shared" si="18"/>
        <v>#NUM!</v>
      </c>
      <c r="K231" s="165" t="e">
        <f t="shared" si="16"/>
        <v>#NUM!</v>
      </c>
      <c r="L231" s="165"/>
      <c r="M231" s="167">
        <f t="shared" si="17"/>
        <v>0</v>
      </c>
    </row>
    <row r="232" spans="1:13" x14ac:dyDescent="0.25">
      <c r="A232" s="182"/>
      <c r="G232" s="153"/>
      <c r="H232" s="165">
        <v>227</v>
      </c>
      <c r="I232" s="166" t="str">
        <f t="shared" si="15"/>
        <v/>
      </c>
      <c r="J232" s="166" t="e">
        <f t="shared" si="18"/>
        <v>#NUM!</v>
      </c>
      <c r="K232" s="165" t="e">
        <f t="shared" si="16"/>
        <v>#NUM!</v>
      </c>
      <c r="L232" s="165"/>
      <c r="M232" s="167">
        <f t="shared" si="17"/>
        <v>0</v>
      </c>
    </row>
    <row r="233" spans="1:13" x14ac:dyDescent="0.25">
      <c r="A233" s="182"/>
      <c r="G233" s="153"/>
      <c r="H233" s="165">
        <v>228</v>
      </c>
      <c r="I233" s="166" t="str">
        <f t="shared" si="15"/>
        <v/>
      </c>
      <c r="J233" s="166" t="e">
        <f t="shared" si="18"/>
        <v>#NUM!</v>
      </c>
      <c r="K233" s="165" t="e">
        <f t="shared" si="16"/>
        <v>#NUM!</v>
      </c>
      <c r="L233" s="165"/>
      <c r="M233" s="167">
        <f t="shared" si="17"/>
        <v>0</v>
      </c>
    </row>
    <row r="234" spans="1:13" x14ac:dyDescent="0.25">
      <c r="A234" s="182"/>
      <c r="G234" s="153"/>
      <c r="H234" s="165">
        <v>229</v>
      </c>
      <c r="I234" s="166" t="str">
        <f t="shared" si="15"/>
        <v/>
      </c>
      <c r="J234" s="166" t="e">
        <f t="shared" si="18"/>
        <v>#NUM!</v>
      </c>
      <c r="K234" s="165" t="e">
        <f t="shared" si="16"/>
        <v>#NUM!</v>
      </c>
      <c r="L234" s="165"/>
      <c r="M234" s="167">
        <f t="shared" si="17"/>
        <v>0</v>
      </c>
    </row>
    <row r="235" spans="1:13" x14ac:dyDescent="0.25">
      <c r="A235" s="182"/>
      <c r="G235" s="153"/>
      <c r="H235" s="165">
        <v>230</v>
      </c>
      <c r="I235" s="166" t="str">
        <f t="shared" si="15"/>
        <v/>
      </c>
      <c r="J235" s="166" t="e">
        <f t="shared" si="18"/>
        <v>#NUM!</v>
      </c>
      <c r="K235" s="165" t="e">
        <f t="shared" si="16"/>
        <v>#NUM!</v>
      </c>
      <c r="L235" s="165"/>
      <c r="M235" s="167">
        <f t="shared" si="17"/>
        <v>0</v>
      </c>
    </row>
    <row r="236" spans="1:13" x14ac:dyDescent="0.25">
      <c r="A236" s="182"/>
      <c r="G236" s="153"/>
      <c r="H236" s="165">
        <v>231</v>
      </c>
      <c r="I236" s="166" t="str">
        <f t="shared" si="15"/>
        <v/>
      </c>
      <c r="J236" s="166" t="e">
        <f t="shared" si="18"/>
        <v>#NUM!</v>
      </c>
      <c r="K236" s="165" t="e">
        <f t="shared" si="16"/>
        <v>#NUM!</v>
      </c>
      <c r="L236" s="165"/>
      <c r="M236" s="167">
        <f t="shared" si="17"/>
        <v>0</v>
      </c>
    </row>
    <row r="237" spans="1:13" x14ac:dyDescent="0.25">
      <c r="A237" s="182"/>
      <c r="G237" s="153"/>
      <c r="H237" s="165">
        <v>232</v>
      </c>
      <c r="I237" s="166" t="str">
        <f t="shared" si="15"/>
        <v/>
      </c>
      <c r="J237" s="166" t="e">
        <f t="shared" si="18"/>
        <v>#NUM!</v>
      </c>
      <c r="K237" s="165" t="e">
        <f t="shared" si="16"/>
        <v>#NUM!</v>
      </c>
      <c r="L237" s="165"/>
      <c r="M237" s="167">
        <f t="shared" si="17"/>
        <v>0</v>
      </c>
    </row>
    <row r="238" spans="1:13" x14ac:dyDescent="0.25">
      <c r="A238" s="182"/>
      <c r="G238" s="153"/>
      <c r="H238" s="165">
        <v>233</v>
      </c>
      <c r="I238" s="166" t="str">
        <f t="shared" si="15"/>
        <v/>
      </c>
      <c r="J238" s="166" t="e">
        <f t="shared" si="18"/>
        <v>#NUM!</v>
      </c>
      <c r="K238" s="165" t="e">
        <f t="shared" si="16"/>
        <v>#NUM!</v>
      </c>
      <c r="L238" s="165"/>
      <c r="M238" s="167">
        <f t="shared" si="17"/>
        <v>0</v>
      </c>
    </row>
    <row r="239" spans="1:13" x14ac:dyDescent="0.25">
      <c r="A239" s="182"/>
      <c r="G239" s="153"/>
      <c r="H239" s="165">
        <v>234</v>
      </c>
      <c r="I239" s="166" t="str">
        <f t="shared" si="15"/>
        <v/>
      </c>
      <c r="J239" s="166" t="e">
        <f t="shared" si="18"/>
        <v>#NUM!</v>
      </c>
      <c r="K239" s="165" t="e">
        <f t="shared" si="16"/>
        <v>#NUM!</v>
      </c>
      <c r="L239" s="165"/>
      <c r="M239" s="167">
        <f t="shared" si="17"/>
        <v>0</v>
      </c>
    </row>
    <row r="240" spans="1:13" x14ac:dyDescent="0.25">
      <c r="A240" s="182"/>
      <c r="G240" s="153"/>
      <c r="H240" s="165">
        <v>235</v>
      </c>
      <c r="I240" s="166" t="str">
        <f t="shared" si="15"/>
        <v/>
      </c>
      <c r="J240" s="166" t="e">
        <f t="shared" si="18"/>
        <v>#NUM!</v>
      </c>
      <c r="K240" s="165" t="e">
        <f t="shared" si="16"/>
        <v>#NUM!</v>
      </c>
      <c r="L240" s="165"/>
      <c r="M240" s="167">
        <f t="shared" si="17"/>
        <v>0</v>
      </c>
    </row>
    <row r="241" spans="1:13" x14ac:dyDescent="0.25">
      <c r="A241" s="182"/>
      <c r="G241" s="153"/>
      <c r="H241" s="165">
        <v>236</v>
      </c>
      <c r="I241" s="166" t="str">
        <f t="shared" si="15"/>
        <v/>
      </c>
      <c r="J241" s="166" t="e">
        <f t="shared" si="18"/>
        <v>#NUM!</v>
      </c>
      <c r="K241" s="165" t="e">
        <f t="shared" si="16"/>
        <v>#NUM!</v>
      </c>
      <c r="L241" s="165"/>
      <c r="M241" s="167">
        <f t="shared" si="17"/>
        <v>0</v>
      </c>
    </row>
    <row r="242" spans="1:13" x14ac:dyDescent="0.25">
      <c r="A242" s="182"/>
      <c r="G242" s="153"/>
      <c r="H242" s="165">
        <v>237</v>
      </c>
      <c r="I242" s="166" t="str">
        <f t="shared" si="15"/>
        <v/>
      </c>
      <c r="J242" s="166" t="e">
        <f t="shared" si="18"/>
        <v>#NUM!</v>
      </c>
      <c r="K242" s="165" t="e">
        <f t="shared" si="16"/>
        <v>#NUM!</v>
      </c>
      <c r="L242" s="165"/>
      <c r="M242" s="167">
        <f t="shared" si="17"/>
        <v>0</v>
      </c>
    </row>
    <row r="243" spans="1:13" x14ac:dyDescent="0.25">
      <c r="A243" s="182"/>
      <c r="G243" s="153"/>
      <c r="H243" s="165">
        <v>238</v>
      </c>
      <c r="I243" s="166" t="str">
        <f t="shared" si="15"/>
        <v/>
      </c>
      <c r="J243" s="166" t="e">
        <f t="shared" si="18"/>
        <v>#NUM!</v>
      </c>
      <c r="K243" s="165" t="e">
        <f t="shared" si="16"/>
        <v>#NUM!</v>
      </c>
      <c r="L243" s="165"/>
      <c r="M243" s="167">
        <f t="shared" si="17"/>
        <v>0</v>
      </c>
    </row>
    <row r="244" spans="1:13" x14ac:dyDescent="0.25">
      <c r="A244" s="182"/>
      <c r="G244" s="153"/>
      <c r="H244" s="165">
        <v>239</v>
      </c>
      <c r="I244" s="166" t="str">
        <f t="shared" si="15"/>
        <v/>
      </c>
      <c r="J244" s="166" t="e">
        <f t="shared" si="18"/>
        <v>#NUM!</v>
      </c>
      <c r="K244" s="165" t="e">
        <f t="shared" si="16"/>
        <v>#NUM!</v>
      </c>
      <c r="L244" s="165"/>
      <c r="M244" s="167">
        <f t="shared" si="17"/>
        <v>0</v>
      </c>
    </row>
    <row r="245" spans="1:13" x14ac:dyDescent="0.25">
      <c r="A245" s="182"/>
      <c r="G245" s="153"/>
      <c r="H245" s="165">
        <v>240</v>
      </c>
      <c r="I245" s="166" t="str">
        <f t="shared" si="15"/>
        <v/>
      </c>
      <c r="J245" s="166" t="e">
        <f t="shared" si="18"/>
        <v>#NUM!</v>
      </c>
      <c r="K245" s="165" t="e">
        <f t="shared" si="16"/>
        <v>#NUM!</v>
      </c>
      <c r="L245" s="165"/>
      <c r="M245" s="167">
        <f t="shared" si="17"/>
        <v>0</v>
      </c>
    </row>
    <row r="246" spans="1:13" x14ac:dyDescent="0.25">
      <c r="A246" s="182"/>
      <c r="G246" s="153"/>
      <c r="H246" s="165">
        <v>241</v>
      </c>
      <c r="I246" s="166" t="str">
        <f t="shared" si="15"/>
        <v/>
      </c>
      <c r="J246" s="166" t="e">
        <f t="shared" si="18"/>
        <v>#NUM!</v>
      </c>
      <c r="K246" s="165" t="e">
        <f t="shared" si="16"/>
        <v>#NUM!</v>
      </c>
      <c r="L246" s="165"/>
      <c r="M246" s="167">
        <f t="shared" si="17"/>
        <v>0</v>
      </c>
    </row>
    <row r="247" spans="1:13" x14ac:dyDescent="0.25">
      <c r="A247" s="182"/>
      <c r="G247" s="153"/>
      <c r="H247" s="165">
        <v>242</v>
      </c>
      <c r="I247" s="166" t="str">
        <f t="shared" si="15"/>
        <v/>
      </c>
      <c r="J247" s="166" t="e">
        <f t="shared" si="18"/>
        <v>#NUM!</v>
      </c>
      <c r="K247" s="165" t="e">
        <f t="shared" si="16"/>
        <v>#NUM!</v>
      </c>
      <c r="L247" s="165"/>
      <c r="M247" s="167">
        <f t="shared" si="17"/>
        <v>0</v>
      </c>
    </row>
    <row r="248" spans="1:13" x14ac:dyDescent="0.25">
      <c r="A248" s="182"/>
      <c r="G248" s="153"/>
      <c r="H248" s="165">
        <v>243</v>
      </c>
      <c r="I248" s="166" t="str">
        <f t="shared" si="15"/>
        <v/>
      </c>
      <c r="J248" s="166" t="e">
        <f t="shared" si="18"/>
        <v>#NUM!</v>
      </c>
      <c r="K248" s="165" t="e">
        <f t="shared" si="16"/>
        <v>#NUM!</v>
      </c>
      <c r="L248" s="165"/>
      <c r="M248" s="167">
        <f t="shared" si="17"/>
        <v>0</v>
      </c>
    </row>
    <row r="249" spans="1:13" x14ac:dyDescent="0.25">
      <c r="A249" s="182"/>
      <c r="G249" s="153"/>
      <c r="H249" s="165">
        <v>244</v>
      </c>
      <c r="I249" s="166" t="str">
        <f t="shared" si="15"/>
        <v/>
      </c>
      <c r="J249" s="166" t="e">
        <f t="shared" si="18"/>
        <v>#NUM!</v>
      </c>
      <c r="K249" s="165" t="e">
        <f t="shared" si="16"/>
        <v>#NUM!</v>
      </c>
      <c r="L249" s="165"/>
      <c r="M249" s="167">
        <f t="shared" si="17"/>
        <v>0</v>
      </c>
    </row>
    <row r="250" spans="1:13" x14ac:dyDescent="0.25">
      <c r="A250" s="182"/>
      <c r="G250" s="153"/>
      <c r="H250" s="165">
        <v>245</v>
      </c>
      <c r="I250" s="166" t="str">
        <f t="shared" si="15"/>
        <v/>
      </c>
      <c r="J250" s="166" t="e">
        <f t="shared" si="18"/>
        <v>#NUM!</v>
      </c>
      <c r="K250" s="165" t="e">
        <f t="shared" si="16"/>
        <v>#NUM!</v>
      </c>
      <c r="L250" s="165"/>
      <c r="M250" s="167">
        <f t="shared" si="17"/>
        <v>0</v>
      </c>
    </row>
    <row r="251" spans="1:13" x14ac:dyDescent="0.25">
      <c r="A251" s="182"/>
      <c r="G251" s="153"/>
      <c r="H251" s="165">
        <v>246</v>
      </c>
      <c r="I251" s="166" t="str">
        <f t="shared" si="15"/>
        <v/>
      </c>
      <c r="J251" s="166" t="e">
        <f t="shared" si="18"/>
        <v>#NUM!</v>
      </c>
      <c r="K251" s="165" t="e">
        <f t="shared" si="16"/>
        <v>#NUM!</v>
      </c>
      <c r="L251" s="165"/>
      <c r="M251" s="167">
        <f t="shared" si="17"/>
        <v>0</v>
      </c>
    </row>
    <row r="252" spans="1:13" x14ac:dyDescent="0.25">
      <c r="A252" s="182"/>
      <c r="G252" s="153"/>
      <c r="H252" s="165">
        <v>247</v>
      </c>
      <c r="I252" s="166" t="str">
        <f t="shared" si="15"/>
        <v/>
      </c>
      <c r="J252" s="166" t="e">
        <f t="shared" si="18"/>
        <v>#NUM!</v>
      </c>
      <c r="K252" s="165" t="e">
        <f t="shared" si="16"/>
        <v>#NUM!</v>
      </c>
      <c r="L252" s="165"/>
      <c r="M252" s="167">
        <f t="shared" si="17"/>
        <v>0</v>
      </c>
    </row>
    <row r="253" spans="1:13" x14ac:dyDescent="0.25">
      <c r="A253" s="182"/>
      <c r="G253" s="153"/>
      <c r="H253" s="165">
        <v>248</v>
      </c>
      <c r="I253" s="166" t="str">
        <f t="shared" si="15"/>
        <v/>
      </c>
      <c r="J253" s="166" t="e">
        <f t="shared" si="18"/>
        <v>#NUM!</v>
      </c>
      <c r="K253" s="165" t="e">
        <f t="shared" si="16"/>
        <v>#NUM!</v>
      </c>
      <c r="L253" s="165"/>
      <c r="M253" s="167">
        <f t="shared" si="17"/>
        <v>0</v>
      </c>
    </row>
    <row r="254" spans="1:13" x14ac:dyDescent="0.25">
      <c r="A254" s="182"/>
      <c r="G254" s="153"/>
      <c r="H254" s="165">
        <v>249</v>
      </c>
      <c r="I254" s="166" t="str">
        <f t="shared" si="15"/>
        <v/>
      </c>
      <c r="J254" s="166" t="e">
        <f t="shared" si="18"/>
        <v>#NUM!</v>
      </c>
      <c r="K254" s="165" t="e">
        <f t="shared" si="16"/>
        <v>#NUM!</v>
      </c>
      <c r="L254" s="165"/>
      <c r="M254" s="167">
        <f t="shared" si="17"/>
        <v>0</v>
      </c>
    </row>
    <row r="255" spans="1:13" x14ac:dyDescent="0.25">
      <c r="A255" s="182"/>
      <c r="G255" s="153"/>
      <c r="H255" s="165">
        <v>250</v>
      </c>
      <c r="I255" s="166" t="str">
        <f t="shared" si="15"/>
        <v/>
      </c>
      <c r="J255" s="166" t="e">
        <f t="shared" si="18"/>
        <v>#NUM!</v>
      </c>
      <c r="K255" s="165" t="e">
        <f t="shared" si="16"/>
        <v>#NUM!</v>
      </c>
      <c r="L255" s="165"/>
      <c r="M255" s="167">
        <f t="shared" si="17"/>
        <v>0</v>
      </c>
    </row>
    <row r="256" spans="1:13" x14ac:dyDescent="0.25">
      <c r="A256" s="182"/>
      <c r="G256" s="153"/>
      <c r="H256" s="165">
        <v>251</v>
      </c>
      <c r="I256" s="166" t="str">
        <f t="shared" si="15"/>
        <v/>
      </c>
      <c r="J256" s="166" t="e">
        <f t="shared" si="18"/>
        <v>#NUM!</v>
      </c>
      <c r="K256" s="165" t="e">
        <f t="shared" si="16"/>
        <v>#NUM!</v>
      </c>
      <c r="L256" s="165"/>
      <c r="M256" s="167">
        <f t="shared" si="17"/>
        <v>0</v>
      </c>
    </row>
    <row r="257" spans="1:13" x14ac:dyDescent="0.25">
      <c r="A257" s="182"/>
      <c r="G257" s="153"/>
      <c r="H257" s="165">
        <v>252</v>
      </c>
      <c r="I257" s="166" t="str">
        <f t="shared" si="15"/>
        <v/>
      </c>
      <c r="J257" s="166" t="e">
        <f t="shared" si="18"/>
        <v>#NUM!</v>
      </c>
      <c r="K257" s="165" t="e">
        <f t="shared" si="16"/>
        <v>#NUM!</v>
      </c>
      <c r="L257" s="165"/>
      <c r="M257" s="167">
        <f t="shared" si="17"/>
        <v>0</v>
      </c>
    </row>
    <row r="258" spans="1:13" x14ac:dyDescent="0.25">
      <c r="A258" s="182"/>
      <c r="G258" s="153"/>
      <c r="H258" s="165">
        <v>253</v>
      </c>
      <c r="I258" s="166" t="str">
        <f t="shared" si="15"/>
        <v/>
      </c>
      <c r="J258" s="166" t="e">
        <f t="shared" si="18"/>
        <v>#NUM!</v>
      </c>
      <c r="K258" s="165" t="e">
        <f t="shared" si="16"/>
        <v>#NUM!</v>
      </c>
      <c r="L258" s="165"/>
      <c r="M258" s="167">
        <f t="shared" si="17"/>
        <v>0</v>
      </c>
    </row>
    <row r="259" spans="1:13" x14ac:dyDescent="0.25">
      <c r="A259" s="182"/>
      <c r="G259" s="153"/>
      <c r="H259" s="165">
        <v>254</v>
      </c>
      <c r="I259" s="166" t="str">
        <f t="shared" si="15"/>
        <v/>
      </c>
      <c r="J259" s="166" t="e">
        <f t="shared" si="18"/>
        <v>#NUM!</v>
      </c>
      <c r="K259" s="165" t="e">
        <f t="shared" si="16"/>
        <v>#NUM!</v>
      </c>
      <c r="L259" s="165"/>
      <c r="M259" s="167">
        <f t="shared" si="17"/>
        <v>0</v>
      </c>
    </row>
    <row r="260" spans="1:13" x14ac:dyDescent="0.25">
      <c r="A260" s="182"/>
      <c r="G260" s="153"/>
      <c r="H260" s="165">
        <v>255</v>
      </c>
      <c r="I260" s="166" t="str">
        <f t="shared" si="15"/>
        <v/>
      </c>
      <c r="J260" s="166" t="e">
        <f t="shared" si="18"/>
        <v>#NUM!</v>
      </c>
      <c r="K260" s="165" t="e">
        <f t="shared" si="16"/>
        <v>#NUM!</v>
      </c>
      <c r="L260" s="165"/>
      <c r="M260" s="167">
        <f t="shared" si="17"/>
        <v>0</v>
      </c>
    </row>
    <row r="261" spans="1:13" x14ac:dyDescent="0.25">
      <c r="A261" s="182"/>
      <c r="G261" s="153"/>
      <c r="H261" s="165">
        <v>256</v>
      </c>
      <c r="I261" s="166" t="str">
        <f t="shared" si="15"/>
        <v/>
      </c>
      <c r="J261" s="166" t="e">
        <f t="shared" si="18"/>
        <v>#NUM!</v>
      </c>
      <c r="K261" s="165" t="e">
        <f t="shared" si="16"/>
        <v>#NUM!</v>
      </c>
      <c r="L261" s="165"/>
      <c r="M261" s="167">
        <f t="shared" si="17"/>
        <v>0</v>
      </c>
    </row>
    <row r="262" spans="1:13" x14ac:dyDescent="0.25">
      <c r="A262" s="182"/>
      <c r="G262" s="153"/>
      <c r="H262" s="165">
        <v>257</v>
      </c>
      <c r="I262" s="166" t="str">
        <f t="shared" ref="I262:I305" si="19">IF(H262&lt;$H$2+1,($I$2-($I$2-1)*(LOG(H262)/LOG($H$2))),"")</f>
        <v/>
      </c>
      <c r="J262" s="166" t="e">
        <f t="shared" si="18"/>
        <v>#NUM!</v>
      </c>
      <c r="K262" s="165" t="e">
        <f t="shared" ref="K262:K305" si="20">J262*$J$2</f>
        <v>#NUM!</v>
      </c>
      <c r="L262" s="165"/>
      <c r="M262" s="167">
        <f t="shared" ref="M262:M305" si="21">IF(I262&lt;&gt;"",K262+I262+L262,0)</f>
        <v>0</v>
      </c>
    </row>
    <row r="263" spans="1:13" x14ac:dyDescent="0.25">
      <c r="A263" s="182"/>
      <c r="G263" s="153"/>
      <c r="H263" s="165">
        <v>258</v>
      </c>
      <c r="I263" s="166" t="str">
        <f t="shared" si="19"/>
        <v/>
      </c>
      <c r="J263" s="166" t="e">
        <f t="shared" ref="J263:J305" si="22">INT(LOG($H$2,2))-ROUNDUP(LOG(H263,2),0)+IF(OR($H$2=1,$H$2=2,$H$2=4,$H$2=8,$H$2=16,$H$2=32,$H$2=64,$H$2=128,$H$2=256),0,1)</f>
        <v>#NUM!</v>
      </c>
      <c r="K263" s="165" t="e">
        <f t="shared" si="20"/>
        <v>#NUM!</v>
      </c>
      <c r="L263" s="165"/>
      <c r="M263" s="167">
        <f t="shared" si="21"/>
        <v>0</v>
      </c>
    </row>
    <row r="264" spans="1:13" x14ac:dyDescent="0.25">
      <c r="A264" s="182"/>
      <c r="G264" s="153"/>
      <c r="H264" s="165">
        <v>259</v>
      </c>
      <c r="I264" s="166" t="str">
        <f t="shared" si="19"/>
        <v/>
      </c>
      <c r="J264" s="166" t="e">
        <f t="shared" si="22"/>
        <v>#NUM!</v>
      </c>
      <c r="K264" s="165" t="e">
        <f t="shared" si="20"/>
        <v>#NUM!</v>
      </c>
      <c r="L264" s="165"/>
      <c r="M264" s="167">
        <f t="shared" si="21"/>
        <v>0</v>
      </c>
    </row>
    <row r="265" spans="1:13" x14ac:dyDescent="0.25">
      <c r="A265" s="182"/>
      <c r="G265" s="153"/>
      <c r="H265" s="165">
        <v>260</v>
      </c>
      <c r="I265" s="166" t="str">
        <f t="shared" si="19"/>
        <v/>
      </c>
      <c r="J265" s="166" t="e">
        <f t="shared" si="22"/>
        <v>#NUM!</v>
      </c>
      <c r="K265" s="165" t="e">
        <f t="shared" si="20"/>
        <v>#NUM!</v>
      </c>
      <c r="L265" s="165"/>
      <c r="M265" s="167">
        <f t="shared" si="21"/>
        <v>0</v>
      </c>
    </row>
    <row r="266" spans="1:13" x14ac:dyDescent="0.25">
      <c r="A266" s="182"/>
      <c r="G266" s="153"/>
      <c r="H266" s="165">
        <v>261</v>
      </c>
      <c r="I266" s="166" t="str">
        <f t="shared" si="19"/>
        <v/>
      </c>
      <c r="J266" s="166" t="e">
        <f t="shared" si="22"/>
        <v>#NUM!</v>
      </c>
      <c r="K266" s="165" t="e">
        <f t="shared" si="20"/>
        <v>#NUM!</v>
      </c>
      <c r="L266" s="165"/>
      <c r="M266" s="167">
        <f t="shared" si="21"/>
        <v>0</v>
      </c>
    </row>
    <row r="267" spans="1:13" x14ac:dyDescent="0.25">
      <c r="A267" s="182"/>
      <c r="G267" s="153"/>
      <c r="H267" s="165">
        <v>262</v>
      </c>
      <c r="I267" s="166" t="str">
        <f t="shared" si="19"/>
        <v/>
      </c>
      <c r="J267" s="166" t="e">
        <f t="shared" si="22"/>
        <v>#NUM!</v>
      </c>
      <c r="K267" s="165" t="e">
        <f t="shared" si="20"/>
        <v>#NUM!</v>
      </c>
      <c r="L267" s="165"/>
      <c r="M267" s="167">
        <f t="shared" si="21"/>
        <v>0</v>
      </c>
    </row>
    <row r="268" spans="1:13" x14ac:dyDescent="0.25">
      <c r="A268" s="182"/>
      <c r="G268" s="153"/>
      <c r="H268" s="165">
        <v>263</v>
      </c>
      <c r="I268" s="166" t="str">
        <f t="shared" si="19"/>
        <v/>
      </c>
      <c r="J268" s="166" t="e">
        <f t="shared" si="22"/>
        <v>#NUM!</v>
      </c>
      <c r="K268" s="165" t="e">
        <f t="shared" si="20"/>
        <v>#NUM!</v>
      </c>
      <c r="L268" s="165"/>
      <c r="M268" s="167">
        <f t="shared" si="21"/>
        <v>0</v>
      </c>
    </row>
    <row r="269" spans="1:13" x14ac:dyDescent="0.25">
      <c r="A269" s="182"/>
      <c r="G269" s="153"/>
      <c r="H269" s="165">
        <v>264</v>
      </c>
      <c r="I269" s="166" t="str">
        <f t="shared" si="19"/>
        <v/>
      </c>
      <c r="J269" s="166" t="e">
        <f t="shared" si="22"/>
        <v>#NUM!</v>
      </c>
      <c r="K269" s="165" t="e">
        <f t="shared" si="20"/>
        <v>#NUM!</v>
      </c>
      <c r="L269" s="165"/>
      <c r="M269" s="167">
        <f t="shared" si="21"/>
        <v>0</v>
      </c>
    </row>
    <row r="270" spans="1:13" x14ac:dyDescent="0.25">
      <c r="A270" s="182"/>
      <c r="G270" s="153"/>
      <c r="H270" s="165">
        <v>265</v>
      </c>
      <c r="I270" s="166" t="str">
        <f t="shared" si="19"/>
        <v/>
      </c>
      <c r="J270" s="166" t="e">
        <f t="shared" si="22"/>
        <v>#NUM!</v>
      </c>
      <c r="K270" s="165" t="e">
        <f t="shared" si="20"/>
        <v>#NUM!</v>
      </c>
      <c r="L270" s="165"/>
      <c r="M270" s="167">
        <f t="shared" si="21"/>
        <v>0</v>
      </c>
    </row>
    <row r="271" spans="1:13" x14ac:dyDescent="0.25">
      <c r="A271" s="182"/>
      <c r="G271" s="153"/>
      <c r="H271" s="165">
        <v>266</v>
      </c>
      <c r="I271" s="166" t="str">
        <f t="shared" si="19"/>
        <v/>
      </c>
      <c r="J271" s="166" t="e">
        <f t="shared" si="22"/>
        <v>#NUM!</v>
      </c>
      <c r="K271" s="165" t="e">
        <f t="shared" si="20"/>
        <v>#NUM!</v>
      </c>
      <c r="L271" s="165"/>
      <c r="M271" s="167">
        <f t="shared" si="21"/>
        <v>0</v>
      </c>
    </row>
    <row r="272" spans="1:13" x14ac:dyDescent="0.25">
      <c r="A272" s="182"/>
      <c r="G272" s="153"/>
      <c r="H272" s="165">
        <v>267</v>
      </c>
      <c r="I272" s="166" t="str">
        <f t="shared" si="19"/>
        <v/>
      </c>
      <c r="J272" s="166" t="e">
        <f t="shared" si="22"/>
        <v>#NUM!</v>
      </c>
      <c r="K272" s="165" t="e">
        <f t="shared" si="20"/>
        <v>#NUM!</v>
      </c>
      <c r="L272" s="165"/>
      <c r="M272" s="167">
        <f t="shared" si="21"/>
        <v>0</v>
      </c>
    </row>
    <row r="273" spans="1:13" x14ac:dyDescent="0.25">
      <c r="A273" s="182"/>
      <c r="G273" s="153"/>
      <c r="H273" s="165">
        <v>268</v>
      </c>
      <c r="I273" s="166" t="str">
        <f t="shared" si="19"/>
        <v/>
      </c>
      <c r="J273" s="166" t="e">
        <f t="shared" si="22"/>
        <v>#NUM!</v>
      </c>
      <c r="K273" s="165" t="e">
        <f t="shared" si="20"/>
        <v>#NUM!</v>
      </c>
      <c r="L273" s="165"/>
      <c r="M273" s="167">
        <f t="shared" si="21"/>
        <v>0</v>
      </c>
    </row>
    <row r="274" spans="1:13" x14ac:dyDescent="0.25">
      <c r="A274" s="182"/>
      <c r="G274" s="153"/>
      <c r="H274" s="165">
        <v>269</v>
      </c>
      <c r="I274" s="166" t="str">
        <f t="shared" si="19"/>
        <v/>
      </c>
      <c r="J274" s="166" t="e">
        <f t="shared" si="22"/>
        <v>#NUM!</v>
      </c>
      <c r="K274" s="165" t="e">
        <f t="shared" si="20"/>
        <v>#NUM!</v>
      </c>
      <c r="L274" s="165"/>
      <c r="M274" s="167">
        <f t="shared" si="21"/>
        <v>0</v>
      </c>
    </row>
    <row r="275" spans="1:13" x14ac:dyDescent="0.25">
      <c r="A275" s="182"/>
      <c r="G275" s="153"/>
      <c r="H275" s="165">
        <v>270</v>
      </c>
      <c r="I275" s="166" t="str">
        <f t="shared" si="19"/>
        <v/>
      </c>
      <c r="J275" s="166" t="e">
        <f t="shared" si="22"/>
        <v>#NUM!</v>
      </c>
      <c r="K275" s="165" t="e">
        <f t="shared" si="20"/>
        <v>#NUM!</v>
      </c>
      <c r="L275" s="165"/>
      <c r="M275" s="167">
        <f t="shared" si="21"/>
        <v>0</v>
      </c>
    </row>
    <row r="276" spans="1:13" x14ac:dyDescent="0.25">
      <c r="A276" s="182"/>
      <c r="G276" s="153"/>
      <c r="H276" s="165">
        <v>271</v>
      </c>
      <c r="I276" s="166" t="str">
        <f t="shared" si="19"/>
        <v/>
      </c>
      <c r="J276" s="166" t="e">
        <f t="shared" si="22"/>
        <v>#NUM!</v>
      </c>
      <c r="K276" s="165" t="e">
        <f t="shared" si="20"/>
        <v>#NUM!</v>
      </c>
      <c r="L276" s="165"/>
      <c r="M276" s="167">
        <f t="shared" si="21"/>
        <v>0</v>
      </c>
    </row>
    <row r="277" spans="1:13" x14ac:dyDescent="0.25">
      <c r="A277" s="182"/>
      <c r="G277" s="153"/>
      <c r="H277" s="165">
        <v>272</v>
      </c>
      <c r="I277" s="166" t="str">
        <f t="shared" si="19"/>
        <v/>
      </c>
      <c r="J277" s="166" t="e">
        <f t="shared" si="22"/>
        <v>#NUM!</v>
      </c>
      <c r="K277" s="165" t="e">
        <f t="shared" si="20"/>
        <v>#NUM!</v>
      </c>
      <c r="L277" s="165"/>
      <c r="M277" s="167">
        <f t="shared" si="21"/>
        <v>0</v>
      </c>
    </row>
    <row r="278" spans="1:13" x14ac:dyDescent="0.25">
      <c r="A278" s="182"/>
      <c r="G278" s="153"/>
      <c r="H278" s="165">
        <v>273</v>
      </c>
      <c r="I278" s="166" t="str">
        <f t="shared" si="19"/>
        <v/>
      </c>
      <c r="J278" s="166" t="e">
        <f t="shared" si="22"/>
        <v>#NUM!</v>
      </c>
      <c r="K278" s="165" t="e">
        <f t="shared" si="20"/>
        <v>#NUM!</v>
      </c>
      <c r="L278" s="165"/>
      <c r="M278" s="167">
        <f t="shared" si="21"/>
        <v>0</v>
      </c>
    </row>
    <row r="279" spans="1:13" x14ac:dyDescent="0.25">
      <c r="A279" s="182"/>
      <c r="G279" s="153"/>
      <c r="H279" s="165">
        <v>274</v>
      </c>
      <c r="I279" s="166" t="str">
        <f t="shared" si="19"/>
        <v/>
      </c>
      <c r="J279" s="166" t="e">
        <f t="shared" si="22"/>
        <v>#NUM!</v>
      </c>
      <c r="K279" s="165" t="e">
        <f t="shared" si="20"/>
        <v>#NUM!</v>
      </c>
      <c r="L279" s="165"/>
      <c r="M279" s="167">
        <f t="shared" si="21"/>
        <v>0</v>
      </c>
    </row>
    <row r="280" spans="1:13" x14ac:dyDescent="0.25">
      <c r="A280" s="182"/>
      <c r="G280" s="153"/>
      <c r="H280" s="165">
        <v>275</v>
      </c>
      <c r="I280" s="166" t="str">
        <f t="shared" si="19"/>
        <v/>
      </c>
      <c r="J280" s="166" t="e">
        <f t="shared" si="22"/>
        <v>#NUM!</v>
      </c>
      <c r="K280" s="165" t="e">
        <f t="shared" si="20"/>
        <v>#NUM!</v>
      </c>
      <c r="L280" s="165"/>
      <c r="M280" s="167">
        <f t="shared" si="21"/>
        <v>0</v>
      </c>
    </row>
    <row r="281" spans="1:13" x14ac:dyDescent="0.25">
      <c r="A281" s="182"/>
      <c r="G281" s="153"/>
      <c r="H281" s="165">
        <v>276</v>
      </c>
      <c r="I281" s="166" t="str">
        <f t="shared" si="19"/>
        <v/>
      </c>
      <c r="J281" s="166" t="e">
        <f t="shared" si="22"/>
        <v>#NUM!</v>
      </c>
      <c r="K281" s="165" t="e">
        <f t="shared" si="20"/>
        <v>#NUM!</v>
      </c>
      <c r="L281" s="165"/>
      <c r="M281" s="167">
        <f t="shared" si="21"/>
        <v>0</v>
      </c>
    </row>
    <row r="282" spans="1:13" x14ac:dyDescent="0.25">
      <c r="A282" s="182"/>
      <c r="G282" s="153"/>
      <c r="H282" s="165">
        <v>277</v>
      </c>
      <c r="I282" s="166" t="str">
        <f t="shared" si="19"/>
        <v/>
      </c>
      <c r="J282" s="166" t="e">
        <f t="shared" si="22"/>
        <v>#NUM!</v>
      </c>
      <c r="K282" s="165" t="e">
        <f t="shared" si="20"/>
        <v>#NUM!</v>
      </c>
      <c r="L282" s="165"/>
      <c r="M282" s="167">
        <f t="shared" si="21"/>
        <v>0</v>
      </c>
    </row>
    <row r="283" spans="1:13" x14ac:dyDescent="0.25">
      <c r="A283" s="182"/>
      <c r="G283" s="153"/>
      <c r="H283" s="165">
        <v>278</v>
      </c>
      <c r="I283" s="166" t="str">
        <f t="shared" si="19"/>
        <v/>
      </c>
      <c r="J283" s="166" t="e">
        <f t="shared" si="22"/>
        <v>#NUM!</v>
      </c>
      <c r="K283" s="165" t="e">
        <f t="shared" si="20"/>
        <v>#NUM!</v>
      </c>
      <c r="L283" s="165"/>
      <c r="M283" s="167">
        <f t="shared" si="21"/>
        <v>0</v>
      </c>
    </row>
    <row r="284" spans="1:13" x14ac:dyDescent="0.25">
      <c r="A284" s="182"/>
      <c r="G284" s="153"/>
      <c r="H284" s="165">
        <v>279</v>
      </c>
      <c r="I284" s="166" t="str">
        <f t="shared" si="19"/>
        <v/>
      </c>
      <c r="J284" s="166" t="e">
        <f t="shared" si="22"/>
        <v>#NUM!</v>
      </c>
      <c r="K284" s="165" t="e">
        <f t="shared" si="20"/>
        <v>#NUM!</v>
      </c>
      <c r="L284" s="165"/>
      <c r="M284" s="167">
        <f t="shared" si="21"/>
        <v>0</v>
      </c>
    </row>
    <row r="285" spans="1:13" x14ac:dyDescent="0.25">
      <c r="A285" s="182"/>
      <c r="G285" s="153"/>
      <c r="H285" s="165">
        <v>280</v>
      </c>
      <c r="I285" s="166" t="str">
        <f t="shared" si="19"/>
        <v/>
      </c>
      <c r="J285" s="166" t="e">
        <f t="shared" si="22"/>
        <v>#NUM!</v>
      </c>
      <c r="K285" s="165" t="e">
        <f t="shared" si="20"/>
        <v>#NUM!</v>
      </c>
      <c r="L285" s="165"/>
      <c r="M285" s="167">
        <f t="shared" si="21"/>
        <v>0</v>
      </c>
    </row>
    <row r="286" spans="1:13" x14ac:dyDescent="0.25">
      <c r="A286" s="182"/>
      <c r="G286" s="153"/>
      <c r="H286" s="165">
        <v>281</v>
      </c>
      <c r="I286" s="166" t="str">
        <f t="shared" si="19"/>
        <v/>
      </c>
      <c r="J286" s="166" t="e">
        <f t="shared" si="22"/>
        <v>#NUM!</v>
      </c>
      <c r="K286" s="165" t="e">
        <f t="shared" si="20"/>
        <v>#NUM!</v>
      </c>
      <c r="L286" s="165"/>
      <c r="M286" s="167">
        <f t="shared" si="21"/>
        <v>0</v>
      </c>
    </row>
    <row r="287" spans="1:13" x14ac:dyDescent="0.25">
      <c r="A287" s="182"/>
      <c r="G287" s="153"/>
      <c r="H287" s="165">
        <v>282</v>
      </c>
      <c r="I287" s="166" t="str">
        <f t="shared" si="19"/>
        <v/>
      </c>
      <c r="J287" s="166" t="e">
        <f t="shared" si="22"/>
        <v>#NUM!</v>
      </c>
      <c r="K287" s="165" t="e">
        <f t="shared" si="20"/>
        <v>#NUM!</v>
      </c>
      <c r="L287" s="165"/>
      <c r="M287" s="167">
        <f t="shared" si="21"/>
        <v>0</v>
      </c>
    </row>
    <row r="288" spans="1:13" x14ac:dyDescent="0.25">
      <c r="A288" s="182"/>
      <c r="G288" s="153"/>
      <c r="H288" s="165">
        <v>283</v>
      </c>
      <c r="I288" s="166" t="str">
        <f t="shared" si="19"/>
        <v/>
      </c>
      <c r="J288" s="166" t="e">
        <f t="shared" si="22"/>
        <v>#NUM!</v>
      </c>
      <c r="K288" s="165" t="e">
        <f t="shared" si="20"/>
        <v>#NUM!</v>
      </c>
      <c r="L288" s="165"/>
      <c r="M288" s="167">
        <f t="shared" si="21"/>
        <v>0</v>
      </c>
    </row>
    <row r="289" spans="1:13" x14ac:dyDescent="0.25">
      <c r="A289" s="182"/>
      <c r="G289" s="153"/>
      <c r="H289" s="165">
        <v>284</v>
      </c>
      <c r="I289" s="166" t="str">
        <f t="shared" si="19"/>
        <v/>
      </c>
      <c r="J289" s="166" t="e">
        <f t="shared" si="22"/>
        <v>#NUM!</v>
      </c>
      <c r="K289" s="165" t="e">
        <f t="shared" si="20"/>
        <v>#NUM!</v>
      </c>
      <c r="L289" s="165"/>
      <c r="M289" s="167">
        <f t="shared" si="21"/>
        <v>0</v>
      </c>
    </row>
    <row r="290" spans="1:13" x14ac:dyDescent="0.25">
      <c r="A290" s="182"/>
      <c r="G290" s="153"/>
      <c r="H290" s="165">
        <v>285</v>
      </c>
      <c r="I290" s="166" t="str">
        <f t="shared" si="19"/>
        <v/>
      </c>
      <c r="J290" s="166" t="e">
        <f t="shared" si="22"/>
        <v>#NUM!</v>
      </c>
      <c r="K290" s="165" t="e">
        <f t="shared" si="20"/>
        <v>#NUM!</v>
      </c>
      <c r="L290" s="165"/>
      <c r="M290" s="167">
        <f t="shared" si="21"/>
        <v>0</v>
      </c>
    </row>
    <row r="291" spans="1:13" x14ac:dyDescent="0.25">
      <c r="A291" s="182"/>
      <c r="G291" s="153"/>
      <c r="H291" s="165">
        <v>286</v>
      </c>
      <c r="I291" s="166" t="str">
        <f t="shared" si="19"/>
        <v/>
      </c>
      <c r="J291" s="166" t="e">
        <f t="shared" si="22"/>
        <v>#NUM!</v>
      </c>
      <c r="K291" s="165" t="e">
        <f t="shared" si="20"/>
        <v>#NUM!</v>
      </c>
      <c r="L291" s="165"/>
      <c r="M291" s="167">
        <f t="shared" si="21"/>
        <v>0</v>
      </c>
    </row>
    <row r="292" spans="1:13" x14ac:dyDescent="0.25">
      <c r="A292" s="182"/>
      <c r="G292" s="153"/>
      <c r="H292" s="165">
        <v>287</v>
      </c>
      <c r="I292" s="166" t="str">
        <f t="shared" si="19"/>
        <v/>
      </c>
      <c r="J292" s="166" t="e">
        <f t="shared" si="22"/>
        <v>#NUM!</v>
      </c>
      <c r="K292" s="165" t="e">
        <f t="shared" si="20"/>
        <v>#NUM!</v>
      </c>
      <c r="L292" s="165"/>
      <c r="M292" s="167">
        <f t="shared" si="21"/>
        <v>0</v>
      </c>
    </row>
    <row r="293" spans="1:13" x14ac:dyDescent="0.25">
      <c r="A293" s="182"/>
      <c r="G293" s="153"/>
      <c r="H293" s="165">
        <v>288</v>
      </c>
      <c r="I293" s="166" t="str">
        <f t="shared" si="19"/>
        <v/>
      </c>
      <c r="J293" s="166" t="e">
        <f t="shared" si="22"/>
        <v>#NUM!</v>
      </c>
      <c r="K293" s="165" t="e">
        <f t="shared" si="20"/>
        <v>#NUM!</v>
      </c>
      <c r="L293" s="165"/>
      <c r="M293" s="167">
        <f t="shared" si="21"/>
        <v>0</v>
      </c>
    </row>
    <row r="294" spans="1:13" x14ac:dyDescent="0.25">
      <c r="A294" s="182"/>
      <c r="G294" s="153"/>
      <c r="H294" s="165">
        <v>289</v>
      </c>
      <c r="I294" s="166" t="str">
        <f t="shared" si="19"/>
        <v/>
      </c>
      <c r="J294" s="166" t="e">
        <f t="shared" si="22"/>
        <v>#NUM!</v>
      </c>
      <c r="K294" s="165" t="e">
        <f t="shared" si="20"/>
        <v>#NUM!</v>
      </c>
      <c r="L294" s="165"/>
      <c r="M294" s="167">
        <f t="shared" si="21"/>
        <v>0</v>
      </c>
    </row>
    <row r="295" spans="1:13" x14ac:dyDescent="0.25">
      <c r="A295" s="182"/>
      <c r="G295" s="153"/>
      <c r="H295" s="165">
        <v>290</v>
      </c>
      <c r="I295" s="166" t="str">
        <f t="shared" si="19"/>
        <v/>
      </c>
      <c r="J295" s="166" t="e">
        <f t="shared" si="22"/>
        <v>#NUM!</v>
      </c>
      <c r="K295" s="165" t="e">
        <f t="shared" si="20"/>
        <v>#NUM!</v>
      </c>
      <c r="L295" s="165"/>
      <c r="M295" s="167">
        <f t="shared" si="21"/>
        <v>0</v>
      </c>
    </row>
    <row r="296" spans="1:13" x14ac:dyDescent="0.25">
      <c r="A296" s="182"/>
      <c r="G296" s="153"/>
      <c r="H296" s="165">
        <v>291</v>
      </c>
      <c r="I296" s="166" t="str">
        <f t="shared" si="19"/>
        <v/>
      </c>
      <c r="J296" s="166" t="e">
        <f t="shared" si="22"/>
        <v>#NUM!</v>
      </c>
      <c r="K296" s="165" t="e">
        <f t="shared" si="20"/>
        <v>#NUM!</v>
      </c>
      <c r="L296" s="165"/>
      <c r="M296" s="167">
        <f t="shared" si="21"/>
        <v>0</v>
      </c>
    </row>
    <row r="297" spans="1:13" x14ac:dyDescent="0.25">
      <c r="A297" s="182"/>
      <c r="G297" s="153"/>
      <c r="H297" s="165">
        <v>292</v>
      </c>
      <c r="I297" s="166" t="str">
        <f t="shared" si="19"/>
        <v/>
      </c>
      <c r="J297" s="166" t="e">
        <f t="shared" si="22"/>
        <v>#NUM!</v>
      </c>
      <c r="K297" s="165" t="e">
        <f t="shared" si="20"/>
        <v>#NUM!</v>
      </c>
      <c r="L297" s="165"/>
      <c r="M297" s="167">
        <f t="shared" si="21"/>
        <v>0</v>
      </c>
    </row>
    <row r="298" spans="1:13" x14ac:dyDescent="0.25">
      <c r="A298" s="182"/>
      <c r="G298" s="153"/>
      <c r="H298" s="165">
        <v>293</v>
      </c>
      <c r="I298" s="166" t="str">
        <f t="shared" si="19"/>
        <v/>
      </c>
      <c r="J298" s="166" t="e">
        <f t="shared" si="22"/>
        <v>#NUM!</v>
      </c>
      <c r="K298" s="165" t="e">
        <f t="shared" si="20"/>
        <v>#NUM!</v>
      </c>
      <c r="L298" s="165"/>
      <c r="M298" s="167">
        <f t="shared" si="21"/>
        <v>0</v>
      </c>
    </row>
    <row r="299" spans="1:13" x14ac:dyDescent="0.25">
      <c r="A299" s="182"/>
      <c r="G299" s="153"/>
      <c r="H299" s="165">
        <v>294</v>
      </c>
      <c r="I299" s="166" t="str">
        <f t="shared" si="19"/>
        <v/>
      </c>
      <c r="J299" s="166" t="e">
        <f t="shared" si="22"/>
        <v>#NUM!</v>
      </c>
      <c r="K299" s="165" t="e">
        <f t="shared" si="20"/>
        <v>#NUM!</v>
      </c>
      <c r="L299" s="165"/>
      <c r="M299" s="167">
        <f t="shared" si="21"/>
        <v>0</v>
      </c>
    </row>
    <row r="300" spans="1:13" x14ac:dyDescent="0.25">
      <c r="A300" s="182"/>
      <c r="G300" s="153"/>
      <c r="H300" s="165">
        <v>295</v>
      </c>
      <c r="I300" s="166" t="str">
        <f t="shared" si="19"/>
        <v/>
      </c>
      <c r="J300" s="166" t="e">
        <f t="shared" si="22"/>
        <v>#NUM!</v>
      </c>
      <c r="K300" s="165" t="e">
        <f t="shared" si="20"/>
        <v>#NUM!</v>
      </c>
      <c r="L300" s="165"/>
      <c r="M300" s="167">
        <f t="shared" si="21"/>
        <v>0</v>
      </c>
    </row>
    <row r="301" spans="1:13" x14ac:dyDescent="0.25">
      <c r="A301" s="182"/>
      <c r="G301" s="153"/>
      <c r="H301" s="165">
        <v>296</v>
      </c>
      <c r="I301" s="166" t="str">
        <f t="shared" si="19"/>
        <v/>
      </c>
      <c r="J301" s="166" t="e">
        <f t="shared" si="22"/>
        <v>#NUM!</v>
      </c>
      <c r="K301" s="165" t="e">
        <f t="shared" si="20"/>
        <v>#NUM!</v>
      </c>
      <c r="L301" s="165"/>
      <c r="M301" s="167">
        <f t="shared" si="21"/>
        <v>0</v>
      </c>
    </row>
    <row r="302" spans="1:13" x14ac:dyDescent="0.25">
      <c r="A302" s="182"/>
      <c r="G302" s="153"/>
      <c r="H302" s="165">
        <v>297</v>
      </c>
      <c r="I302" s="166" t="str">
        <f t="shared" si="19"/>
        <v/>
      </c>
      <c r="J302" s="166" t="e">
        <f t="shared" si="22"/>
        <v>#NUM!</v>
      </c>
      <c r="K302" s="165" t="e">
        <f t="shared" si="20"/>
        <v>#NUM!</v>
      </c>
      <c r="L302" s="165"/>
      <c r="M302" s="167">
        <f t="shared" si="21"/>
        <v>0</v>
      </c>
    </row>
    <row r="303" spans="1:13" x14ac:dyDescent="0.25">
      <c r="A303" s="182"/>
      <c r="G303" s="153"/>
      <c r="H303" s="165">
        <v>298</v>
      </c>
      <c r="I303" s="166" t="str">
        <f t="shared" si="19"/>
        <v/>
      </c>
      <c r="J303" s="166" t="e">
        <f t="shared" si="22"/>
        <v>#NUM!</v>
      </c>
      <c r="K303" s="165" t="e">
        <f t="shared" si="20"/>
        <v>#NUM!</v>
      </c>
      <c r="L303" s="165"/>
      <c r="M303" s="167">
        <f t="shared" si="21"/>
        <v>0</v>
      </c>
    </row>
    <row r="304" spans="1:13" x14ac:dyDescent="0.25">
      <c r="A304" s="182"/>
      <c r="G304" s="153"/>
      <c r="H304" s="165">
        <v>299</v>
      </c>
      <c r="I304" s="166" t="str">
        <f t="shared" si="19"/>
        <v/>
      </c>
      <c r="J304" s="166" t="e">
        <f t="shared" si="22"/>
        <v>#NUM!</v>
      </c>
      <c r="K304" s="165" t="e">
        <f t="shared" si="20"/>
        <v>#NUM!</v>
      </c>
      <c r="L304" s="165"/>
      <c r="M304" s="167">
        <f t="shared" si="21"/>
        <v>0</v>
      </c>
    </row>
    <row r="305" spans="1:16" x14ac:dyDescent="0.25">
      <c r="A305" s="182"/>
      <c r="G305" s="153"/>
      <c r="H305" s="165">
        <v>300</v>
      </c>
      <c r="I305" s="166" t="str">
        <f t="shared" si="19"/>
        <v/>
      </c>
      <c r="J305" s="166" t="e">
        <f t="shared" si="22"/>
        <v>#NUM!</v>
      </c>
      <c r="K305" s="165" t="e">
        <f t="shared" si="20"/>
        <v>#NUM!</v>
      </c>
      <c r="L305" s="165"/>
      <c r="M305" s="167">
        <f t="shared" si="21"/>
        <v>0</v>
      </c>
    </row>
    <row r="306" spans="1:16" x14ac:dyDescent="0.25">
      <c r="A306" s="183"/>
    </row>
    <row r="314" spans="1:16" x14ac:dyDescent="0.25">
      <c r="L314" s="186"/>
      <c r="P314" s="176"/>
    </row>
    <row r="315" spans="1:16" x14ac:dyDescent="0.25">
      <c r="L315" s="186"/>
      <c r="P315" s="176"/>
    </row>
    <row r="316" spans="1:16" x14ac:dyDescent="0.25">
      <c r="L316" s="186"/>
      <c r="P316" s="176"/>
    </row>
    <row r="317" spans="1:16" x14ac:dyDescent="0.25">
      <c r="L317" s="186"/>
      <c r="P317" s="176"/>
    </row>
  </sheetData>
  <conditionalFormatting sqref="J9:K9">
    <cfRule type="cellIs" dxfId="11" priority="1" operator="lessThanOrEqual">
      <formula>0</formula>
    </cfRule>
  </conditionalFormatting>
  <conditionalFormatting sqref="K6:K8 K10:K305">
    <cfRule type="cellIs" dxfId="10" priority="2" operator="lessThanOrEqual">
      <formula>0</formula>
    </cfRule>
  </conditionalFormatting>
  <hyperlinks>
    <hyperlink ref="C2" r:id="rId1" xr:uid="{D83A3785-5931-4111-AA9F-E9DEA66FF8A4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E2400-C74D-4D40-97C5-B173186576C4}">
  <sheetPr>
    <tabColor rgb="FF92D050"/>
  </sheetPr>
  <dimension ref="A1:AL374"/>
  <sheetViews>
    <sheetView zoomScaleNormal="100" workbookViewId="0">
      <selection activeCell="E23" sqref="E23"/>
    </sheetView>
  </sheetViews>
  <sheetFormatPr defaultColWidth="8.875" defaultRowHeight="14.3" x14ac:dyDescent="0.25"/>
  <cols>
    <col min="1" max="1" width="8" style="181" customWidth="1"/>
    <col min="2" max="2" width="8.25" style="181" customWidth="1"/>
    <col min="3" max="3" width="34.75" style="181" customWidth="1"/>
    <col min="4" max="4" width="11.25" style="181" customWidth="1"/>
    <col min="5" max="6" width="8.875" style="181"/>
    <col min="7" max="7" width="0.875" style="181" customWidth="1"/>
    <col min="8" max="8" width="8.875" style="184"/>
    <col min="9" max="9" width="11" style="184" customWidth="1"/>
    <col min="10" max="10" width="15.25" style="184" customWidth="1"/>
    <col min="11" max="11" width="8.75" style="184" customWidth="1"/>
    <col min="12" max="12" width="11" style="184" customWidth="1"/>
    <col min="13" max="13" width="12.25" style="185" customWidth="1"/>
    <col min="14" max="15" width="13.875" style="153" customWidth="1"/>
    <col min="16" max="18" width="8.875" style="153"/>
    <col min="19" max="20" width="8.875" style="158"/>
    <col min="21" max="21" width="12.125" style="158" customWidth="1"/>
    <col min="22" max="22" width="27.375" style="158" customWidth="1"/>
    <col min="23" max="38" width="8.875" style="158"/>
    <col min="39" max="16384" width="8.875" style="181"/>
  </cols>
  <sheetData>
    <row r="1" spans="1:36" x14ac:dyDescent="0.25">
      <c r="A1" s="153"/>
      <c r="B1" s="153"/>
      <c r="C1" s="153"/>
      <c r="D1" s="153"/>
      <c r="E1" s="153"/>
      <c r="F1" s="153"/>
      <c r="G1" s="153"/>
      <c r="H1" s="154" t="s">
        <v>13</v>
      </c>
      <c r="I1" s="155" t="s">
        <v>14</v>
      </c>
      <c r="J1" s="155" t="s">
        <v>15</v>
      </c>
      <c r="K1" s="156" t="s">
        <v>57</v>
      </c>
      <c r="L1" s="157"/>
      <c r="M1" s="157"/>
    </row>
    <row r="2" spans="1:36" x14ac:dyDescent="0.25">
      <c r="A2" s="153"/>
      <c r="B2" s="17" t="s">
        <v>17</v>
      </c>
      <c r="C2" s="213" t="s">
        <v>63</v>
      </c>
      <c r="D2" s="209"/>
      <c r="E2" s="18"/>
      <c r="F2" s="18"/>
      <c r="G2" s="18"/>
      <c r="H2" s="159">
        <v>0</v>
      </c>
      <c r="I2" s="160">
        <v>50</v>
      </c>
      <c r="J2" s="160">
        <v>10</v>
      </c>
      <c r="K2" s="187">
        <f>3*H2^(1/3)</f>
        <v>0</v>
      </c>
      <c r="L2" s="157"/>
      <c r="M2" s="157"/>
    </row>
    <row r="3" spans="1:36" x14ac:dyDescent="0.25">
      <c r="A3" s="153"/>
      <c r="B3" s="162" t="s">
        <v>18</v>
      </c>
      <c r="C3" s="210" t="s">
        <v>99</v>
      </c>
      <c r="D3" s="210"/>
      <c r="E3" s="23"/>
      <c r="F3" s="23"/>
      <c r="G3" s="23"/>
      <c r="H3" s="157"/>
      <c r="I3" s="157"/>
      <c r="J3" s="188"/>
      <c r="K3" s="157"/>
      <c r="L3" s="157"/>
      <c r="M3" s="157"/>
    </row>
    <row r="4" spans="1:36" ht="10.199999999999999" customHeight="1" x14ac:dyDescent="0.25">
      <c r="A4" s="25"/>
      <c r="B4" s="23"/>
      <c r="C4" s="25"/>
      <c r="D4" s="25"/>
      <c r="E4" s="25"/>
      <c r="F4" s="25"/>
      <c r="G4" s="25"/>
      <c r="H4" s="157"/>
      <c r="I4" s="157"/>
      <c r="J4" s="188"/>
      <c r="K4" s="157"/>
      <c r="L4" s="157"/>
      <c r="M4" s="157"/>
    </row>
    <row r="5" spans="1:36" ht="34.65" x14ac:dyDescent="0.25">
      <c r="A5" s="1" t="s">
        <v>19</v>
      </c>
      <c r="B5" s="26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25"/>
      <c r="H5" s="163" t="s">
        <v>25</v>
      </c>
      <c r="I5" s="164" t="s">
        <v>26</v>
      </c>
      <c r="J5" s="189" t="s">
        <v>27</v>
      </c>
      <c r="K5" s="164" t="s">
        <v>28</v>
      </c>
      <c r="L5" s="164" t="s">
        <v>29</v>
      </c>
      <c r="M5" s="163" t="s">
        <v>30</v>
      </c>
    </row>
    <row r="6" spans="1:36" ht="14.45" customHeight="1" x14ac:dyDescent="0.25">
      <c r="A6" s="87">
        <f>M6</f>
        <v>0</v>
      </c>
      <c r="B6" s="31" t="str">
        <f>IF(H6&gt;$H$2,"",(ROW()-5))</f>
        <v/>
      </c>
      <c r="C6" s="32"/>
      <c r="D6" s="32"/>
      <c r="E6" s="32"/>
      <c r="F6" s="32" t="s">
        <v>64</v>
      </c>
      <c r="G6" s="25"/>
      <c r="H6" s="165">
        <v>1</v>
      </c>
      <c r="I6" s="166" t="str">
        <f t="shared" ref="I6:I69" si="0">IF(H6&lt;$H$2+1,($I$2-($I$2-1)*(LOG(H6)/LOG($H$2))),"")</f>
        <v/>
      </c>
      <c r="J6" s="165" t="e">
        <f>INT(LOG($H$2,2))-ROUNDUP(LOG(H6,2),0)+IF(OR($H$2=1,$H$2=2,$H$2=4,$H$2=8,$H$2=16,$H$2=32,$H$2=64,$H$2=128,$H$2=256),0,1)</f>
        <v>#NUM!</v>
      </c>
      <c r="K6" s="165" t="e">
        <f t="shared" ref="K6:K69" si="1">J6*$J$2</f>
        <v>#NUM!</v>
      </c>
      <c r="L6" s="167">
        <f>3*K2</f>
        <v>0</v>
      </c>
      <c r="M6" s="167">
        <f t="shared" ref="M6:M69" si="2">IF(I6&lt;&gt;"",K6+I6+L6,0)</f>
        <v>0</v>
      </c>
    </row>
    <row r="7" spans="1:36" ht="14.45" customHeight="1" x14ac:dyDescent="0.25">
      <c r="A7" s="91">
        <f t="shared" ref="A7:A37" si="3">M7</f>
        <v>0</v>
      </c>
      <c r="B7" s="37" t="str">
        <f t="shared" ref="B7:B65" si="4">IF(H7&gt;$H$2,"",(ROW()-5))</f>
        <v/>
      </c>
      <c r="C7" s="38"/>
      <c r="D7" s="38"/>
      <c r="E7" s="38"/>
      <c r="F7" s="38" t="s">
        <v>64</v>
      </c>
      <c r="G7" s="25"/>
      <c r="H7" s="168">
        <v>2</v>
      </c>
      <c r="I7" s="169" t="str">
        <f t="shared" si="0"/>
        <v/>
      </c>
      <c r="J7" s="168" t="e">
        <f t="shared" ref="J7:J70" si="5">INT(LOG($H$2,2))-ROUNDUP(LOG(H7,2),0)+IF(OR($H$2=1,$H$2=2,$H$2=4,$H$2=8,$H$2=16,$H$2=32,$H$2=64,$H$2=128,$H$2=256),0,1)</f>
        <v>#NUM!</v>
      </c>
      <c r="K7" s="168" t="e">
        <f t="shared" si="1"/>
        <v>#NUM!</v>
      </c>
      <c r="L7" s="170">
        <f>2*K2</f>
        <v>0</v>
      </c>
      <c r="M7" s="170">
        <f t="shared" si="2"/>
        <v>0</v>
      </c>
    </row>
    <row r="8" spans="1:36" ht="14.45" customHeight="1" x14ac:dyDescent="0.25">
      <c r="A8" s="87">
        <f t="shared" si="3"/>
        <v>0</v>
      </c>
      <c r="B8" s="31" t="str">
        <f t="shared" si="4"/>
        <v/>
      </c>
      <c r="C8" s="32"/>
      <c r="D8" s="32"/>
      <c r="E8" s="32"/>
      <c r="F8" s="32" t="s">
        <v>64</v>
      </c>
      <c r="G8" s="25"/>
      <c r="H8" s="165">
        <v>3</v>
      </c>
      <c r="I8" s="166" t="str">
        <f t="shared" si="0"/>
        <v/>
      </c>
      <c r="J8" s="165" t="e">
        <f t="shared" si="5"/>
        <v>#NUM!</v>
      </c>
      <c r="K8" s="165" t="e">
        <f t="shared" si="1"/>
        <v>#NUM!</v>
      </c>
      <c r="L8" s="167">
        <f>K2</f>
        <v>0</v>
      </c>
      <c r="M8" s="167">
        <f t="shared" si="2"/>
        <v>0</v>
      </c>
    </row>
    <row r="9" spans="1:36" s="158" customFormat="1" ht="14.45" customHeight="1" x14ac:dyDescent="0.25">
      <c r="A9" s="91">
        <f t="shared" si="3"/>
        <v>0</v>
      </c>
      <c r="B9" s="37" t="str">
        <f>IF(H9&gt;$H$2,"",3)</f>
        <v/>
      </c>
      <c r="C9" s="38"/>
      <c r="D9" s="38"/>
      <c r="E9" s="38"/>
      <c r="F9" s="38"/>
      <c r="G9" s="25"/>
      <c r="H9" s="168">
        <v>3</v>
      </c>
      <c r="I9" s="169" t="str">
        <f t="shared" si="0"/>
        <v/>
      </c>
      <c r="J9" s="168" t="e">
        <f t="shared" si="5"/>
        <v>#NUM!</v>
      </c>
      <c r="K9" s="168" t="e">
        <f t="shared" si="1"/>
        <v>#NUM!</v>
      </c>
      <c r="L9" s="170">
        <f>K2</f>
        <v>0</v>
      </c>
      <c r="M9" s="170">
        <f t="shared" si="2"/>
        <v>0</v>
      </c>
      <c r="N9" s="153"/>
      <c r="O9" s="153"/>
      <c r="P9" s="153"/>
      <c r="Q9" s="153"/>
      <c r="R9" s="153"/>
      <c r="V9" s="171"/>
      <c r="Z9" s="172"/>
      <c r="AA9" s="172"/>
      <c r="AG9" s="173"/>
      <c r="AH9" s="158" t="s">
        <v>34</v>
      </c>
      <c r="AI9" s="158">
        <v>23</v>
      </c>
    </row>
    <row r="10" spans="1:36" ht="14.45" customHeight="1" x14ac:dyDescent="0.25">
      <c r="A10" s="87">
        <f t="shared" si="3"/>
        <v>0</v>
      </c>
      <c r="B10" s="31" t="str">
        <f t="shared" si="4"/>
        <v/>
      </c>
      <c r="C10" s="32"/>
      <c r="D10" s="32"/>
      <c r="E10" s="32"/>
      <c r="F10" s="32"/>
      <c r="G10" s="25"/>
      <c r="H10" s="165">
        <v>5</v>
      </c>
      <c r="I10" s="166" t="str">
        <f t="shared" si="0"/>
        <v/>
      </c>
      <c r="J10" s="165" t="e">
        <f t="shared" si="5"/>
        <v>#NUM!</v>
      </c>
      <c r="K10" s="165" t="e">
        <f t="shared" si="1"/>
        <v>#NUM!</v>
      </c>
      <c r="L10" s="165"/>
      <c r="M10" s="167">
        <f t="shared" si="2"/>
        <v>0</v>
      </c>
      <c r="V10" s="171"/>
      <c r="Z10" s="172"/>
      <c r="AA10" s="172"/>
      <c r="AG10" s="173"/>
      <c r="AH10" s="158" t="s">
        <v>35</v>
      </c>
      <c r="AI10" s="158">
        <v>45</v>
      </c>
    </row>
    <row r="11" spans="1:36" ht="14.45" customHeight="1" x14ac:dyDescent="0.25">
      <c r="A11" s="91">
        <f t="shared" si="3"/>
        <v>0</v>
      </c>
      <c r="B11" s="37" t="str">
        <f t="shared" si="4"/>
        <v/>
      </c>
      <c r="C11" s="38"/>
      <c r="D11" s="38"/>
      <c r="E11" s="38"/>
      <c r="F11" s="38"/>
      <c r="G11" s="25"/>
      <c r="H11" s="168">
        <v>6</v>
      </c>
      <c r="I11" s="169" t="str">
        <f t="shared" si="0"/>
        <v/>
      </c>
      <c r="J11" s="168" t="e">
        <f t="shared" si="5"/>
        <v>#NUM!</v>
      </c>
      <c r="K11" s="168" t="e">
        <f t="shared" si="1"/>
        <v>#NUM!</v>
      </c>
      <c r="L11" s="168"/>
      <c r="M11" s="170">
        <f t="shared" si="2"/>
        <v>0</v>
      </c>
      <c r="V11" s="174"/>
      <c r="Z11" s="172"/>
      <c r="AA11" s="172"/>
      <c r="AG11" s="173"/>
      <c r="AH11" s="158" t="s">
        <v>36</v>
      </c>
      <c r="AI11" s="158">
        <v>50</v>
      </c>
    </row>
    <row r="12" spans="1:36" ht="14.45" customHeight="1" x14ac:dyDescent="0.25">
      <c r="A12" s="87">
        <f t="shared" si="3"/>
        <v>0</v>
      </c>
      <c r="B12" s="31" t="str">
        <f t="shared" si="4"/>
        <v/>
      </c>
      <c r="C12" s="32"/>
      <c r="D12" s="32"/>
      <c r="E12" s="32"/>
      <c r="F12" s="32"/>
      <c r="G12" s="25"/>
      <c r="H12" s="165">
        <v>7</v>
      </c>
      <c r="I12" s="166" t="str">
        <f t="shared" si="0"/>
        <v/>
      </c>
      <c r="J12" s="165" t="e">
        <f t="shared" si="5"/>
        <v>#NUM!</v>
      </c>
      <c r="K12" s="165" t="e">
        <f t="shared" si="1"/>
        <v>#NUM!</v>
      </c>
      <c r="L12" s="165"/>
      <c r="M12" s="167">
        <f t="shared" si="2"/>
        <v>0</v>
      </c>
      <c r="Z12" s="172"/>
      <c r="AA12" s="172"/>
      <c r="AG12" s="173"/>
      <c r="AH12" s="158" t="s">
        <v>37</v>
      </c>
      <c r="AI12" s="158">
        <f>AI11-1</f>
        <v>49</v>
      </c>
    </row>
    <row r="13" spans="1:36" ht="14.45" customHeight="1" x14ac:dyDescent="0.25">
      <c r="A13" s="91">
        <f t="shared" si="3"/>
        <v>0</v>
      </c>
      <c r="B13" s="37" t="str">
        <f t="shared" si="4"/>
        <v/>
      </c>
      <c r="C13" s="38"/>
      <c r="D13" s="38"/>
      <c r="E13" s="38"/>
      <c r="F13" s="38"/>
      <c r="G13" s="25"/>
      <c r="H13" s="168">
        <v>8</v>
      </c>
      <c r="I13" s="169" t="str">
        <f t="shared" si="0"/>
        <v/>
      </c>
      <c r="J13" s="168" t="e">
        <f t="shared" si="5"/>
        <v>#NUM!</v>
      </c>
      <c r="K13" s="168" t="e">
        <f t="shared" si="1"/>
        <v>#NUM!</v>
      </c>
      <c r="L13" s="168"/>
      <c r="M13" s="170">
        <f t="shared" si="2"/>
        <v>0</v>
      </c>
      <c r="X13" s="171"/>
      <c r="AG13" s="173"/>
      <c r="AH13" s="158" t="s">
        <v>38</v>
      </c>
      <c r="AI13" s="158">
        <f>LOG(AI9)</f>
        <v>1.3617278360175928</v>
      </c>
    </row>
    <row r="14" spans="1:36" x14ac:dyDescent="0.25">
      <c r="A14" s="87">
        <f t="shared" si="3"/>
        <v>0</v>
      </c>
      <c r="B14" s="31" t="str">
        <f t="shared" si="4"/>
        <v/>
      </c>
      <c r="C14" s="32"/>
      <c r="D14" s="32"/>
      <c r="E14" s="32"/>
      <c r="F14" s="32"/>
      <c r="G14" s="25"/>
      <c r="H14" s="165">
        <v>9</v>
      </c>
      <c r="I14" s="166" t="str">
        <f t="shared" si="0"/>
        <v/>
      </c>
      <c r="J14" s="165" t="e">
        <f t="shared" si="5"/>
        <v>#NUM!</v>
      </c>
      <c r="K14" s="165" t="e">
        <f t="shared" si="1"/>
        <v>#NUM!</v>
      </c>
      <c r="L14" s="165"/>
      <c r="M14" s="167">
        <f t="shared" si="2"/>
        <v>0</v>
      </c>
      <c r="X14" s="175"/>
      <c r="Z14" s="172"/>
      <c r="AA14" s="172"/>
      <c r="AG14" s="173"/>
      <c r="AH14" s="158" t="s">
        <v>39</v>
      </c>
      <c r="AI14" s="158">
        <f>LOG(AI10)</f>
        <v>1.6532125137753437</v>
      </c>
    </row>
    <row r="15" spans="1:36" x14ac:dyDescent="0.25">
      <c r="A15" s="91">
        <f t="shared" si="3"/>
        <v>0</v>
      </c>
      <c r="B15" s="37" t="str">
        <f t="shared" si="4"/>
        <v/>
      </c>
      <c r="C15" s="38"/>
      <c r="D15" s="38"/>
      <c r="E15" s="38"/>
      <c r="F15" s="38"/>
      <c r="G15" s="25"/>
      <c r="H15" s="168">
        <v>10</v>
      </c>
      <c r="I15" s="169" t="str">
        <f t="shared" si="0"/>
        <v/>
      </c>
      <c r="J15" s="168" t="e">
        <f t="shared" si="5"/>
        <v>#NUM!</v>
      </c>
      <c r="K15" s="168" t="e">
        <f t="shared" si="1"/>
        <v>#NUM!</v>
      </c>
      <c r="L15" s="168"/>
      <c r="M15" s="170">
        <f t="shared" si="2"/>
        <v>0</v>
      </c>
      <c r="X15" s="171"/>
      <c r="Z15" s="172"/>
      <c r="AA15" s="172"/>
    </row>
    <row r="16" spans="1:36" x14ac:dyDescent="0.25">
      <c r="A16" s="87">
        <f t="shared" si="3"/>
        <v>0</v>
      </c>
      <c r="B16" s="31" t="str">
        <f t="shared" si="4"/>
        <v/>
      </c>
      <c r="C16" s="32"/>
      <c r="D16" s="32"/>
      <c r="E16" s="32"/>
      <c r="F16" s="32"/>
      <c r="G16" s="25"/>
      <c r="H16" s="165">
        <v>11</v>
      </c>
      <c r="I16" s="166" t="str">
        <f t="shared" si="0"/>
        <v/>
      </c>
      <c r="J16" s="165" t="e">
        <f t="shared" si="5"/>
        <v>#NUM!</v>
      </c>
      <c r="K16" s="165" t="e">
        <f t="shared" si="1"/>
        <v>#NUM!</v>
      </c>
      <c r="L16" s="165"/>
      <c r="M16" s="167">
        <f t="shared" si="2"/>
        <v>0</v>
      </c>
      <c r="R16" s="176"/>
      <c r="Z16" s="172"/>
      <c r="AA16" s="172"/>
      <c r="AH16" s="177" t="s">
        <v>40</v>
      </c>
      <c r="AI16" s="158">
        <f>AI11-AI12*AI13/AI14</f>
        <v>9.6393909380186855</v>
      </c>
      <c r="AJ16" s="158" t="s">
        <v>41</v>
      </c>
    </row>
    <row r="17" spans="1:19" x14ac:dyDescent="0.25">
      <c r="A17" s="91">
        <f t="shared" si="3"/>
        <v>0</v>
      </c>
      <c r="B17" s="37" t="str">
        <f t="shared" si="4"/>
        <v/>
      </c>
      <c r="C17" s="38"/>
      <c r="D17" s="38"/>
      <c r="E17" s="38"/>
      <c r="F17" s="38"/>
      <c r="G17" s="25"/>
      <c r="H17" s="168">
        <v>12</v>
      </c>
      <c r="I17" s="169" t="str">
        <f t="shared" si="0"/>
        <v/>
      </c>
      <c r="J17" s="168" t="e">
        <f t="shared" si="5"/>
        <v>#NUM!</v>
      </c>
      <c r="K17" s="168" t="e">
        <f t="shared" si="1"/>
        <v>#NUM!</v>
      </c>
      <c r="L17" s="168"/>
      <c r="M17" s="170">
        <f t="shared" si="2"/>
        <v>0</v>
      </c>
    </row>
    <row r="18" spans="1:19" x14ac:dyDescent="0.25">
      <c r="A18" s="87">
        <f t="shared" si="3"/>
        <v>0</v>
      </c>
      <c r="B18" s="31" t="str">
        <f t="shared" si="4"/>
        <v/>
      </c>
      <c r="C18" s="32"/>
      <c r="D18" s="32"/>
      <c r="E18" s="32"/>
      <c r="F18" s="32"/>
      <c r="G18" s="25"/>
      <c r="H18" s="165">
        <v>13</v>
      </c>
      <c r="I18" s="166" t="str">
        <f t="shared" si="0"/>
        <v/>
      </c>
      <c r="J18" s="165" t="e">
        <f t="shared" si="5"/>
        <v>#NUM!</v>
      </c>
      <c r="K18" s="165" t="e">
        <f t="shared" si="1"/>
        <v>#NUM!</v>
      </c>
      <c r="L18" s="165"/>
      <c r="M18" s="167">
        <f t="shared" si="2"/>
        <v>0</v>
      </c>
    </row>
    <row r="19" spans="1:19" x14ac:dyDescent="0.25">
      <c r="A19" s="91">
        <f t="shared" si="3"/>
        <v>0</v>
      </c>
      <c r="B19" s="37" t="str">
        <f t="shared" si="4"/>
        <v/>
      </c>
      <c r="C19" s="38"/>
      <c r="D19" s="38"/>
      <c r="E19" s="38"/>
      <c r="F19" s="38"/>
      <c r="G19" s="25"/>
      <c r="H19" s="168">
        <v>14</v>
      </c>
      <c r="I19" s="169" t="str">
        <f t="shared" si="0"/>
        <v/>
      </c>
      <c r="J19" s="168" t="e">
        <f t="shared" si="5"/>
        <v>#NUM!</v>
      </c>
      <c r="K19" s="168" t="e">
        <f t="shared" si="1"/>
        <v>#NUM!</v>
      </c>
      <c r="L19" s="168"/>
      <c r="M19" s="170">
        <f t="shared" si="2"/>
        <v>0</v>
      </c>
    </row>
    <row r="20" spans="1:19" x14ac:dyDescent="0.25">
      <c r="A20" s="87">
        <f t="shared" si="3"/>
        <v>0</v>
      </c>
      <c r="B20" s="31" t="str">
        <f t="shared" si="4"/>
        <v/>
      </c>
      <c r="C20" s="32"/>
      <c r="D20" s="32"/>
      <c r="E20" s="32"/>
      <c r="F20" s="32"/>
      <c r="G20" s="25"/>
      <c r="H20" s="165">
        <v>15</v>
      </c>
      <c r="I20" s="166" t="str">
        <f t="shared" si="0"/>
        <v/>
      </c>
      <c r="J20" s="165" t="e">
        <f t="shared" si="5"/>
        <v>#NUM!</v>
      </c>
      <c r="K20" s="165" t="e">
        <f t="shared" si="1"/>
        <v>#NUM!</v>
      </c>
      <c r="L20" s="165"/>
      <c r="M20" s="167">
        <f t="shared" si="2"/>
        <v>0</v>
      </c>
      <c r="R20" s="178"/>
      <c r="S20" s="179"/>
    </row>
    <row r="21" spans="1:19" x14ac:dyDescent="0.25">
      <c r="A21" s="91">
        <f t="shared" si="3"/>
        <v>0</v>
      </c>
      <c r="B21" s="37" t="str">
        <f t="shared" si="4"/>
        <v/>
      </c>
      <c r="C21" s="38"/>
      <c r="D21" s="38"/>
      <c r="E21" s="38"/>
      <c r="F21" s="38"/>
      <c r="G21" s="25"/>
      <c r="H21" s="168">
        <v>16</v>
      </c>
      <c r="I21" s="169" t="str">
        <f t="shared" si="0"/>
        <v/>
      </c>
      <c r="J21" s="168" t="e">
        <f t="shared" si="5"/>
        <v>#NUM!</v>
      </c>
      <c r="K21" s="168" t="e">
        <f t="shared" si="1"/>
        <v>#NUM!</v>
      </c>
      <c r="L21" s="168"/>
      <c r="M21" s="170">
        <f t="shared" si="2"/>
        <v>0</v>
      </c>
    </row>
    <row r="22" spans="1:19" x14ac:dyDescent="0.25">
      <c r="A22" s="87">
        <f t="shared" si="3"/>
        <v>0</v>
      </c>
      <c r="B22" s="31" t="str">
        <f t="shared" si="4"/>
        <v/>
      </c>
      <c r="C22" s="32"/>
      <c r="D22" s="32"/>
      <c r="E22" s="32"/>
      <c r="F22" s="32"/>
      <c r="G22" s="25"/>
      <c r="H22" s="165">
        <v>17</v>
      </c>
      <c r="I22" s="166" t="str">
        <f t="shared" si="0"/>
        <v/>
      </c>
      <c r="J22" s="165" t="e">
        <f t="shared" si="5"/>
        <v>#NUM!</v>
      </c>
      <c r="K22" s="165" t="e">
        <f t="shared" si="1"/>
        <v>#NUM!</v>
      </c>
      <c r="L22" s="165"/>
      <c r="M22" s="167">
        <f t="shared" si="2"/>
        <v>0</v>
      </c>
    </row>
    <row r="23" spans="1:19" x14ac:dyDescent="0.25">
      <c r="A23" s="91">
        <f t="shared" si="3"/>
        <v>0</v>
      </c>
      <c r="B23" s="37" t="str">
        <f t="shared" si="4"/>
        <v/>
      </c>
      <c r="C23" s="38"/>
      <c r="D23" s="38"/>
      <c r="E23" s="38"/>
      <c r="F23" s="38"/>
      <c r="G23" s="25"/>
      <c r="H23" s="168">
        <v>18</v>
      </c>
      <c r="I23" s="169" t="str">
        <f t="shared" si="0"/>
        <v/>
      </c>
      <c r="J23" s="168" t="e">
        <f t="shared" si="5"/>
        <v>#NUM!</v>
      </c>
      <c r="K23" s="168" t="e">
        <f t="shared" si="1"/>
        <v>#NUM!</v>
      </c>
      <c r="L23" s="168"/>
      <c r="M23" s="170">
        <f t="shared" si="2"/>
        <v>0</v>
      </c>
    </row>
    <row r="24" spans="1:19" x14ac:dyDescent="0.25">
      <c r="A24" s="87">
        <f t="shared" si="3"/>
        <v>0</v>
      </c>
      <c r="B24" s="31" t="str">
        <f t="shared" si="4"/>
        <v/>
      </c>
      <c r="C24" s="32"/>
      <c r="D24" s="32"/>
      <c r="E24" s="32"/>
      <c r="F24" s="32"/>
      <c r="G24" s="25"/>
      <c r="H24" s="165">
        <v>19</v>
      </c>
      <c r="I24" s="166" t="str">
        <f t="shared" si="0"/>
        <v/>
      </c>
      <c r="J24" s="165" t="e">
        <f t="shared" si="5"/>
        <v>#NUM!</v>
      </c>
      <c r="K24" s="165" t="e">
        <f t="shared" si="1"/>
        <v>#NUM!</v>
      </c>
      <c r="L24" s="165"/>
      <c r="M24" s="167">
        <f t="shared" si="2"/>
        <v>0</v>
      </c>
      <c r="R24" s="178"/>
      <c r="S24" s="179"/>
    </row>
    <row r="25" spans="1:19" x14ac:dyDescent="0.25">
      <c r="A25" s="91">
        <f t="shared" si="3"/>
        <v>0</v>
      </c>
      <c r="B25" s="37" t="str">
        <f t="shared" si="4"/>
        <v/>
      </c>
      <c r="C25" s="38"/>
      <c r="D25" s="38"/>
      <c r="E25" s="38"/>
      <c r="F25" s="38"/>
      <c r="G25" s="25"/>
      <c r="H25" s="168">
        <v>20</v>
      </c>
      <c r="I25" s="169" t="str">
        <f t="shared" si="0"/>
        <v/>
      </c>
      <c r="J25" s="168" t="e">
        <f t="shared" si="5"/>
        <v>#NUM!</v>
      </c>
      <c r="K25" s="168" t="e">
        <f t="shared" si="1"/>
        <v>#NUM!</v>
      </c>
      <c r="L25" s="168"/>
      <c r="M25" s="170">
        <f t="shared" si="2"/>
        <v>0</v>
      </c>
    </row>
    <row r="26" spans="1:19" x14ac:dyDescent="0.25">
      <c r="A26" s="87">
        <f t="shared" si="3"/>
        <v>0</v>
      </c>
      <c r="B26" s="31" t="str">
        <f t="shared" si="4"/>
        <v/>
      </c>
      <c r="C26" s="32"/>
      <c r="D26" s="32"/>
      <c r="E26" s="32"/>
      <c r="F26" s="32"/>
      <c r="G26" s="25"/>
      <c r="H26" s="165">
        <v>21</v>
      </c>
      <c r="I26" s="166" t="str">
        <f t="shared" si="0"/>
        <v/>
      </c>
      <c r="J26" s="165" t="e">
        <f t="shared" si="5"/>
        <v>#NUM!</v>
      </c>
      <c r="K26" s="165" t="e">
        <f t="shared" si="1"/>
        <v>#NUM!</v>
      </c>
      <c r="L26" s="165"/>
      <c r="M26" s="167">
        <f t="shared" si="2"/>
        <v>0</v>
      </c>
    </row>
    <row r="27" spans="1:19" x14ac:dyDescent="0.25">
      <c r="A27" s="91">
        <f t="shared" si="3"/>
        <v>0</v>
      </c>
      <c r="B27" s="37" t="str">
        <f t="shared" si="4"/>
        <v/>
      </c>
      <c r="C27" s="38"/>
      <c r="D27" s="38"/>
      <c r="E27" s="38"/>
      <c r="F27" s="38"/>
      <c r="G27" s="25"/>
      <c r="H27" s="168">
        <v>22</v>
      </c>
      <c r="I27" s="169" t="str">
        <f t="shared" si="0"/>
        <v/>
      </c>
      <c r="J27" s="168" t="e">
        <f t="shared" si="5"/>
        <v>#NUM!</v>
      </c>
      <c r="K27" s="168" t="e">
        <f t="shared" si="1"/>
        <v>#NUM!</v>
      </c>
      <c r="L27" s="168"/>
      <c r="M27" s="170">
        <f t="shared" si="2"/>
        <v>0</v>
      </c>
    </row>
    <row r="28" spans="1:19" x14ac:dyDescent="0.25">
      <c r="A28" s="87">
        <f t="shared" si="3"/>
        <v>0</v>
      </c>
      <c r="B28" s="31" t="str">
        <f t="shared" si="4"/>
        <v/>
      </c>
      <c r="C28" s="32"/>
      <c r="D28" s="32"/>
      <c r="E28" s="32"/>
      <c r="F28" s="32"/>
      <c r="G28" s="25"/>
      <c r="H28" s="165">
        <v>23</v>
      </c>
      <c r="I28" s="166" t="str">
        <f t="shared" si="0"/>
        <v/>
      </c>
      <c r="J28" s="165" t="e">
        <f t="shared" si="5"/>
        <v>#NUM!</v>
      </c>
      <c r="K28" s="165" t="e">
        <f t="shared" si="1"/>
        <v>#NUM!</v>
      </c>
      <c r="L28" s="165"/>
      <c r="M28" s="167">
        <f t="shared" si="2"/>
        <v>0</v>
      </c>
      <c r="R28" s="178"/>
      <c r="S28" s="179"/>
    </row>
    <row r="29" spans="1:19" x14ac:dyDescent="0.25">
      <c r="A29" s="91">
        <f t="shared" si="3"/>
        <v>0</v>
      </c>
      <c r="B29" s="37" t="str">
        <f t="shared" si="4"/>
        <v/>
      </c>
      <c r="C29" s="38"/>
      <c r="D29" s="38"/>
      <c r="E29" s="38"/>
      <c r="F29" s="38"/>
      <c r="G29" s="153"/>
      <c r="H29" s="168">
        <v>24</v>
      </c>
      <c r="I29" s="169" t="str">
        <f t="shared" si="0"/>
        <v/>
      </c>
      <c r="J29" s="168" t="e">
        <f t="shared" si="5"/>
        <v>#NUM!</v>
      </c>
      <c r="K29" s="168" t="e">
        <f t="shared" si="1"/>
        <v>#NUM!</v>
      </c>
      <c r="L29" s="168"/>
      <c r="M29" s="170">
        <f t="shared" si="2"/>
        <v>0</v>
      </c>
    </row>
    <row r="30" spans="1:19" x14ac:dyDescent="0.25">
      <c r="A30" s="87">
        <f t="shared" si="3"/>
        <v>0</v>
      </c>
      <c r="B30" s="31" t="str">
        <f t="shared" si="4"/>
        <v/>
      </c>
      <c r="C30" s="32"/>
      <c r="D30" s="32"/>
      <c r="E30" s="32"/>
      <c r="F30" s="32"/>
      <c r="G30" s="153"/>
      <c r="H30" s="165">
        <v>25</v>
      </c>
      <c r="I30" s="166" t="str">
        <f t="shared" si="0"/>
        <v/>
      </c>
      <c r="J30" s="165" t="e">
        <f t="shared" si="5"/>
        <v>#NUM!</v>
      </c>
      <c r="K30" s="165" t="e">
        <f t="shared" si="1"/>
        <v>#NUM!</v>
      </c>
      <c r="L30" s="165"/>
      <c r="M30" s="167">
        <f t="shared" si="2"/>
        <v>0</v>
      </c>
    </row>
    <row r="31" spans="1:19" x14ac:dyDescent="0.25">
      <c r="A31" s="91">
        <f t="shared" si="3"/>
        <v>0</v>
      </c>
      <c r="B31" s="37" t="str">
        <f t="shared" si="4"/>
        <v/>
      </c>
      <c r="C31" s="38"/>
      <c r="D31" s="38"/>
      <c r="E31" s="38"/>
      <c r="F31" s="38"/>
      <c r="G31" s="153"/>
      <c r="H31" s="168">
        <v>26</v>
      </c>
      <c r="I31" s="169" t="str">
        <f t="shared" si="0"/>
        <v/>
      </c>
      <c r="J31" s="168" t="e">
        <f t="shared" si="5"/>
        <v>#NUM!</v>
      </c>
      <c r="K31" s="168" t="e">
        <f t="shared" si="1"/>
        <v>#NUM!</v>
      </c>
      <c r="L31" s="168"/>
      <c r="M31" s="170">
        <f t="shared" si="2"/>
        <v>0</v>
      </c>
    </row>
    <row r="32" spans="1:19" x14ac:dyDescent="0.25">
      <c r="A32" s="87">
        <f t="shared" si="3"/>
        <v>0</v>
      </c>
      <c r="B32" s="31" t="str">
        <f t="shared" si="4"/>
        <v/>
      </c>
      <c r="C32" s="32"/>
      <c r="D32" s="32"/>
      <c r="E32" s="32"/>
      <c r="F32" s="32"/>
      <c r="G32" s="153"/>
      <c r="H32" s="165">
        <v>27</v>
      </c>
      <c r="I32" s="166" t="str">
        <f t="shared" si="0"/>
        <v/>
      </c>
      <c r="J32" s="165" t="e">
        <f t="shared" si="5"/>
        <v>#NUM!</v>
      </c>
      <c r="K32" s="165" t="e">
        <f t="shared" si="1"/>
        <v>#NUM!</v>
      </c>
      <c r="L32" s="165"/>
      <c r="M32" s="167">
        <f t="shared" si="2"/>
        <v>0</v>
      </c>
      <c r="R32" s="178"/>
      <c r="S32" s="179"/>
    </row>
    <row r="33" spans="1:21" x14ac:dyDescent="0.25">
      <c r="A33" s="91">
        <f t="shared" si="3"/>
        <v>0</v>
      </c>
      <c r="B33" s="37" t="str">
        <f t="shared" si="4"/>
        <v/>
      </c>
      <c r="C33" s="38"/>
      <c r="D33" s="38"/>
      <c r="E33" s="38"/>
      <c r="F33" s="38"/>
      <c r="G33" s="153"/>
      <c r="H33" s="168">
        <v>28</v>
      </c>
      <c r="I33" s="169" t="str">
        <f t="shared" si="0"/>
        <v/>
      </c>
      <c r="J33" s="168" t="e">
        <f t="shared" si="5"/>
        <v>#NUM!</v>
      </c>
      <c r="K33" s="168" t="e">
        <f t="shared" si="1"/>
        <v>#NUM!</v>
      </c>
      <c r="L33" s="168"/>
      <c r="M33" s="170">
        <f t="shared" si="2"/>
        <v>0</v>
      </c>
    </row>
    <row r="34" spans="1:21" x14ac:dyDescent="0.25">
      <c r="A34" s="87">
        <f t="shared" si="3"/>
        <v>0</v>
      </c>
      <c r="B34" s="31" t="str">
        <f t="shared" si="4"/>
        <v/>
      </c>
      <c r="C34" s="32"/>
      <c r="D34" s="32"/>
      <c r="E34" s="32"/>
      <c r="F34" s="32"/>
      <c r="G34" s="153"/>
      <c r="H34" s="165">
        <v>29</v>
      </c>
      <c r="I34" s="166" t="str">
        <f t="shared" si="0"/>
        <v/>
      </c>
      <c r="J34" s="165" t="e">
        <f t="shared" si="5"/>
        <v>#NUM!</v>
      </c>
      <c r="K34" s="165" t="e">
        <f t="shared" si="1"/>
        <v>#NUM!</v>
      </c>
      <c r="L34" s="165"/>
      <c r="M34" s="167">
        <f t="shared" si="2"/>
        <v>0</v>
      </c>
    </row>
    <row r="35" spans="1:21" x14ac:dyDescent="0.25">
      <c r="A35" s="91">
        <f t="shared" si="3"/>
        <v>0</v>
      </c>
      <c r="B35" s="37" t="str">
        <f t="shared" si="4"/>
        <v/>
      </c>
      <c r="C35" s="38"/>
      <c r="D35" s="38"/>
      <c r="E35" s="38"/>
      <c r="F35" s="38"/>
      <c r="G35" s="153"/>
      <c r="H35" s="168">
        <v>30</v>
      </c>
      <c r="I35" s="169" t="str">
        <f t="shared" si="0"/>
        <v/>
      </c>
      <c r="J35" s="168" t="e">
        <f t="shared" si="5"/>
        <v>#NUM!</v>
      </c>
      <c r="K35" s="168" t="e">
        <f t="shared" si="1"/>
        <v>#NUM!</v>
      </c>
      <c r="L35" s="168"/>
      <c r="M35" s="170">
        <f t="shared" si="2"/>
        <v>0</v>
      </c>
    </row>
    <row r="36" spans="1:21" x14ac:dyDescent="0.25">
      <c r="A36" s="87">
        <f t="shared" si="3"/>
        <v>0</v>
      </c>
      <c r="B36" s="31" t="str">
        <f t="shared" si="4"/>
        <v/>
      </c>
      <c r="C36" s="32"/>
      <c r="D36" s="32"/>
      <c r="E36" s="32"/>
      <c r="F36" s="32"/>
      <c r="G36" s="153"/>
      <c r="H36" s="165">
        <v>31</v>
      </c>
      <c r="I36" s="166" t="str">
        <f t="shared" si="0"/>
        <v/>
      </c>
      <c r="J36" s="165" t="e">
        <f t="shared" si="5"/>
        <v>#NUM!</v>
      </c>
      <c r="K36" s="165" t="e">
        <f t="shared" si="1"/>
        <v>#NUM!</v>
      </c>
      <c r="L36" s="165"/>
      <c r="M36" s="167">
        <f t="shared" si="2"/>
        <v>0</v>
      </c>
      <c r="R36" s="178"/>
      <c r="S36" s="179"/>
    </row>
    <row r="37" spans="1:21" x14ac:dyDescent="0.25">
      <c r="A37" s="91">
        <f t="shared" si="3"/>
        <v>0</v>
      </c>
      <c r="B37" s="37" t="str">
        <f t="shared" si="4"/>
        <v/>
      </c>
      <c r="C37" s="38"/>
      <c r="D37" s="38"/>
      <c r="E37" s="38"/>
      <c r="F37" s="38"/>
      <c r="G37" s="153"/>
      <c r="H37" s="168">
        <v>32</v>
      </c>
      <c r="I37" s="169" t="str">
        <f t="shared" si="0"/>
        <v/>
      </c>
      <c r="J37" s="168" t="e">
        <f t="shared" si="5"/>
        <v>#NUM!</v>
      </c>
      <c r="K37" s="168" t="e">
        <f t="shared" si="1"/>
        <v>#NUM!</v>
      </c>
      <c r="L37" s="168"/>
      <c r="M37" s="170">
        <f t="shared" si="2"/>
        <v>0</v>
      </c>
    </row>
    <row r="38" spans="1:21" x14ac:dyDescent="0.25">
      <c r="A38" s="87"/>
      <c r="B38" s="31" t="str">
        <f t="shared" si="4"/>
        <v/>
      </c>
      <c r="C38" s="32"/>
      <c r="D38" s="32"/>
      <c r="E38" s="32"/>
      <c r="F38" s="32"/>
      <c r="G38" s="153"/>
      <c r="H38" s="165">
        <v>33</v>
      </c>
      <c r="I38" s="166" t="str">
        <f t="shared" si="0"/>
        <v/>
      </c>
      <c r="J38" s="165" t="e">
        <f t="shared" si="5"/>
        <v>#NUM!</v>
      </c>
      <c r="K38" s="165" t="e">
        <f t="shared" si="1"/>
        <v>#NUM!</v>
      </c>
      <c r="L38" s="165"/>
      <c r="M38" s="167">
        <f t="shared" si="2"/>
        <v>0</v>
      </c>
    </row>
    <row r="39" spans="1:21" x14ac:dyDescent="0.25">
      <c r="A39" s="91"/>
      <c r="B39" s="37" t="str">
        <f t="shared" si="4"/>
        <v/>
      </c>
      <c r="C39" s="38"/>
      <c r="D39" s="38"/>
      <c r="E39" s="38"/>
      <c r="F39" s="38"/>
      <c r="G39" s="153"/>
      <c r="H39" s="168">
        <v>34</v>
      </c>
      <c r="I39" s="169" t="str">
        <f t="shared" si="0"/>
        <v/>
      </c>
      <c r="J39" s="168" t="e">
        <f t="shared" si="5"/>
        <v>#NUM!</v>
      </c>
      <c r="K39" s="168" t="e">
        <f t="shared" si="1"/>
        <v>#NUM!</v>
      </c>
      <c r="L39" s="168"/>
      <c r="M39" s="170">
        <f t="shared" si="2"/>
        <v>0</v>
      </c>
    </row>
    <row r="40" spans="1:21" x14ac:dyDescent="0.25">
      <c r="A40" s="87"/>
      <c r="B40" s="31" t="str">
        <f t="shared" si="4"/>
        <v/>
      </c>
      <c r="C40" s="32"/>
      <c r="D40" s="32"/>
      <c r="E40" s="32"/>
      <c r="F40" s="32"/>
      <c r="G40" s="153"/>
      <c r="H40" s="165">
        <v>35</v>
      </c>
      <c r="I40" s="166" t="str">
        <f t="shared" si="0"/>
        <v/>
      </c>
      <c r="J40" s="165" t="e">
        <f t="shared" si="5"/>
        <v>#NUM!</v>
      </c>
      <c r="K40" s="165" t="e">
        <f t="shared" si="1"/>
        <v>#NUM!</v>
      </c>
      <c r="L40" s="165"/>
      <c r="M40" s="167">
        <f t="shared" si="2"/>
        <v>0</v>
      </c>
    </row>
    <row r="41" spans="1:21" x14ac:dyDescent="0.25">
      <c r="A41" s="91"/>
      <c r="B41" s="37" t="str">
        <f t="shared" si="4"/>
        <v/>
      </c>
      <c r="C41" s="38"/>
      <c r="D41" s="38"/>
      <c r="E41" s="38"/>
      <c r="F41" s="38"/>
      <c r="G41" s="153"/>
      <c r="H41" s="168">
        <v>36</v>
      </c>
      <c r="I41" s="169" t="str">
        <f t="shared" si="0"/>
        <v/>
      </c>
      <c r="J41" s="168" t="e">
        <f t="shared" si="5"/>
        <v>#NUM!</v>
      </c>
      <c r="K41" s="168" t="e">
        <f t="shared" si="1"/>
        <v>#NUM!</v>
      </c>
      <c r="L41" s="168"/>
      <c r="M41" s="170">
        <f t="shared" si="2"/>
        <v>0</v>
      </c>
      <c r="S41" s="180"/>
    </row>
    <row r="42" spans="1:21" x14ac:dyDescent="0.25">
      <c r="A42" s="87"/>
      <c r="B42" s="31" t="str">
        <f t="shared" si="4"/>
        <v/>
      </c>
      <c r="C42" s="32"/>
      <c r="D42" s="32"/>
      <c r="E42" s="32"/>
      <c r="F42" s="32"/>
      <c r="G42" s="153"/>
      <c r="H42" s="165">
        <v>37</v>
      </c>
      <c r="I42" s="166" t="str">
        <f t="shared" si="0"/>
        <v/>
      </c>
      <c r="J42" s="165" t="e">
        <f t="shared" si="5"/>
        <v>#NUM!</v>
      </c>
      <c r="K42" s="165" t="e">
        <f t="shared" si="1"/>
        <v>#NUM!</v>
      </c>
      <c r="L42" s="165"/>
      <c r="M42" s="167">
        <f t="shared" si="2"/>
        <v>0</v>
      </c>
    </row>
    <row r="43" spans="1:21" x14ac:dyDescent="0.25">
      <c r="A43" s="91"/>
      <c r="B43" s="37" t="str">
        <f t="shared" si="4"/>
        <v/>
      </c>
      <c r="C43" s="38"/>
      <c r="D43" s="38"/>
      <c r="E43" s="38"/>
      <c r="F43" s="38"/>
      <c r="G43" s="153"/>
      <c r="H43" s="168">
        <v>38</v>
      </c>
      <c r="I43" s="169" t="str">
        <f t="shared" si="0"/>
        <v/>
      </c>
      <c r="J43" s="168" t="e">
        <f t="shared" si="5"/>
        <v>#NUM!</v>
      </c>
      <c r="K43" s="168" t="e">
        <f t="shared" si="1"/>
        <v>#NUM!</v>
      </c>
      <c r="L43" s="168"/>
      <c r="M43" s="170">
        <f t="shared" si="2"/>
        <v>0</v>
      </c>
    </row>
    <row r="44" spans="1:21" x14ac:dyDescent="0.25">
      <c r="A44" s="87"/>
      <c r="B44" s="31" t="str">
        <f t="shared" si="4"/>
        <v/>
      </c>
      <c r="C44" s="32"/>
      <c r="D44" s="32"/>
      <c r="E44" s="32"/>
      <c r="F44" s="32"/>
      <c r="G44" s="153"/>
      <c r="H44" s="165">
        <v>39</v>
      </c>
      <c r="I44" s="166" t="str">
        <f t="shared" si="0"/>
        <v/>
      </c>
      <c r="J44" s="165" t="e">
        <f t="shared" si="5"/>
        <v>#NUM!</v>
      </c>
      <c r="K44" s="165" t="e">
        <f t="shared" si="1"/>
        <v>#NUM!</v>
      </c>
      <c r="L44" s="165"/>
      <c r="M44" s="167">
        <f t="shared" si="2"/>
        <v>0</v>
      </c>
    </row>
    <row r="45" spans="1:21" x14ac:dyDescent="0.25">
      <c r="A45" s="91"/>
      <c r="B45" s="37" t="str">
        <f t="shared" si="4"/>
        <v/>
      </c>
      <c r="C45" s="38"/>
      <c r="D45" s="38"/>
      <c r="E45" s="38"/>
      <c r="F45" s="38"/>
      <c r="G45" s="153"/>
      <c r="H45" s="168">
        <v>40</v>
      </c>
      <c r="I45" s="169" t="str">
        <f t="shared" si="0"/>
        <v/>
      </c>
      <c r="J45" s="168" t="e">
        <f t="shared" si="5"/>
        <v>#NUM!</v>
      </c>
      <c r="K45" s="168" t="e">
        <f t="shared" si="1"/>
        <v>#NUM!</v>
      </c>
      <c r="L45" s="168"/>
      <c r="M45" s="170">
        <f t="shared" si="2"/>
        <v>0</v>
      </c>
    </row>
    <row r="46" spans="1:21" x14ac:dyDescent="0.25">
      <c r="A46" s="87"/>
      <c r="B46" s="31" t="str">
        <f t="shared" si="4"/>
        <v/>
      </c>
      <c r="C46" s="32"/>
      <c r="D46" s="32"/>
      <c r="E46" s="32"/>
      <c r="F46" s="32"/>
      <c r="G46" s="153"/>
      <c r="H46" s="165">
        <v>41</v>
      </c>
      <c r="I46" s="166" t="str">
        <f t="shared" si="0"/>
        <v/>
      </c>
      <c r="J46" s="165" t="e">
        <f t="shared" si="5"/>
        <v>#NUM!</v>
      </c>
      <c r="K46" s="165" t="e">
        <f t="shared" si="1"/>
        <v>#NUM!</v>
      </c>
      <c r="L46" s="165"/>
      <c r="M46" s="167">
        <f t="shared" si="2"/>
        <v>0</v>
      </c>
      <c r="R46" s="153" t="e">
        <f>LOG($H$2,2)</f>
        <v>#NUM!</v>
      </c>
      <c r="T46" s="158">
        <f>LOG(H38,2)</f>
        <v>5.0443941193584534</v>
      </c>
      <c r="U46" s="158" t="e">
        <f>R46-T46</f>
        <v>#NUM!</v>
      </c>
    </row>
    <row r="47" spans="1:21" x14ac:dyDescent="0.25">
      <c r="A47" s="91"/>
      <c r="B47" s="37" t="str">
        <f t="shared" si="4"/>
        <v/>
      </c>
      <c r="C47" s="38"/>
      <c r="D47" s="38"/>
      <c r="E47" s="38"/>
      <c r="F47" s="38"/>
      <c r="G47" s="153"/>
      <c r="H47" s="168">
        <v>42</v>
      </c>
      <c r="I47" s="169" t="str">
        <f t="shared" si="0"/>
        <v/>
      </c>
      <c r="J47" s="168" t="e">
        <f t="shared" si="5"/>
        <v>#NUM!</v>
      </c>
      <c r="K47" s="168" t="e">
        <f t="shared" si="1"/>
        <v>#NUM!</v>
      </c>
      <c r="L47" s="168"/>
      <c r="M47" s="170">
        <f t="shared" si="2"/>
        <v>0</v>
      </c>
    </row>
    <row r="48" spans="1:21" x14ac:dyDescent="0.25">
      <c r="A48" s="87"/>
      <c r="B48" s="31" t="str">
        <f t="shared" si="4"/>
        <v/>
      </c>
      <c r="C48" s="32"/>
      <c r="D48" s="32"/>
      <c r="E48" s="32"/>
      <c r="F48" s="32"/>
      <c r="G48" s="153"/>
      <c r="H48" s="165">
        <v>43</v>
      </c>
      <c r="I48" s="166" t="str">
        <f t="shared" si="0"/>
        <v/>
      </c>
      <c r="J48" s="165" t="e">
        <f t="shared" si="5"/>
        <v>#NUM!</v>
      </c>
      <c r="K48" s="165" t="e">
        <f t="shared" si="1"/>
        <v>#NUM!</v>
      </c>
      <c r="L48" s="165"/>
      <c r="M48" s="167">
        <f t="shared" si="2"/>
        <v>0</v>
      </c>
    </row>
    <row r="49" spans="1:13" x14ac:dyDescent="0.25">
      <c r="A49" s="91"/>
      <c r="B49" s="37" t="str">
        <f t="shared" si="4"/>
        <v/>
      </c>
      <c r="C49" s="38"/>
      <c r="D49" s="38"/>
      <c r="E49" s="38"/>
      <c r="F49" s="38"/>
      <c r="G49" s="153"/>
      <c r="H49" s="168">
        <v>44</v>
      </c>
      <c r="I49" s="169" t="str">
        <f t="shared" si="0"/>
        <v/>
      </c>
      <c r="J49" s="168" t="e">
        <f t="shared" si="5"/>
        <v>#NUM!</v>
      </c>
      <c r="K49" s="168" t="e">
        <f t="shared" si="1"/>
        <v>#NUM!</v>
      </c>
      <c r="L49" s="168"/>
      <c r="M49" s="170">
        <f t="shared" si="2"/>
        <v>0</v>
      </c>
    </row>
    <row r="50" spans="1:13" x14ac:dyDescent="0.25">
      <c r="A50" s="87"/>
      <c r="B50" s="31" t="str">
        <f t="shared" si="4"/>
        <v/>
      </c>
      <c r="C50" s="32"/>
      <c r="D50" s="32"/>
      <c r="E50" s="32"/>
      <c r="F50" s="32"/>
      <c r="G50" s="153"/>
      <c r="H50" s="165">
        <v>45</v>
      </c>
      <c r="I50" s="166" t="str">
        <f t="shared" si="0"/>
        <v/>
      </c>
      <c r="J50" s="165" t="e">
        <f t="shared" si="5"/>
        <v>#NUM!</v>
      </c>
      <c r="K50" s="165" t="e">
        <f t="shared" si="1"/>
        <v>#NUM!</v>
      </c>
      <c r="L50" s="165"/>
      <c r="M50" s="167">
        <f t="shared" si="2"/>
        <v>0</v>
      </c>
    </row>
    <row r="51" spans="1:13" x14ac:dyDescent="0.25">
      <c r="A51" s="91"/>
      <c r="B51" s="37" t="str">
        <f t="shared" si="4"/>
        <v/>
      </c>
      <c r="C51" s="38"/>
      <c r="D51" s="38"/>
      <c r="E51" s="38"/>
      <c r="F51" s="38"/>
      <c r="G51" s="153"/>
      <c r="H51" s="168">
        <v>46</v>
      </c>
      <c r="I51" s="169" t="str">
        <f t="shared" si="0"/>
        <v/>
      </c>
      <c r="J51" s="168" t="e">
        <f t="shared" si="5"/>
        <v>#NUM!</v>
      </c>
      <c r="K51" s="168" t="e">
        <f t="shared" si="1"/>
        <v>#NUM!</v>
      </c>
      <c r="L51" s="168"/>
      <c r="M51" s="170">
        <f t="shared" si="2"/>
        <v>0</v>
      </c>
    </row>
    <row r="52" spans="1:13" x14ac:dyDescent="0.25">
      <c r="A52" s="87"/>
      <c r="B52" s="31" t="str">
        <f t="shared" si="4"/>
        <v/>
      </c>
      <c r="C52" s="32"/>
      <c r="D52" s="32"/>
      <c r="E52" s="32"/>
      <c r="F52" s="32"/>
      <c r="G52" s="153"/>
      <c r="H52" s="165">
        <v>47</v>
      </c>
      <c r="I52" s="166" t="str">
        <f t="shared" si="0"/>
        <v/>
      </c>
      <c r="J52" s="165" t="e">
        <f t="shared" si="5"/>
        <v>#NUM!</v>
      </c>
      <c r="K52" s="165" t="e">
        <f t="shared" si="1"/>
        <v>#NUM!</v>
      </c>
      <c r="L52" s="165"/>
      <c r="M52" s="167">
        <f t="shared" si="2"/>
        <v>0</v>
      </c>
    </row>
    <row r="53" spans="1:13" x14ac:dyDescent="0.25">
      <c r="A53" s="91"/>
      <c r="B53" s="37" t="str">
        <f t="shared" si="4"/>
        <v/>
      </c>
      <c r="C53" s="38"/>
      <c r="D53" s="38"/>
      <c r="E53" s="38"/>
      <c r="F53" s="38"/>
      <c r="G53" s="153"/>
      <c r="H53" s="168">
        <v>48</v>
      </c>
      <c r="I53" s="169" t="str">
        <f t="shared" si="0"/>
        <v/>
      </c>
      <c r="J53" s="168" t="e">
        <f t="shared" si="5"/>
        <v>#NUM!</v>
      </c>
      <c r="K53" s="168" t="e">
        <f t="shared" si="1"/>
        <v>#NUM!</v>
      </c>
      <c r="L53" s="168"/>
      <c r="M53" s="170">
        <f t="shared" si="2"/>
        <v>0</v>
      </c>
    </row>
    <row r="54" spans="1:13" x14ac:dyDescent="0.25">
      <c r="A54" s="87"/>
      <c r="B54" s="31" t="str">
        <f t="shared" si="4"/>
        <v/>
      </c>
      <c r="C54" s="32"/>
      <c r="D54" s="32"/>
      <c r="E54" s="32"/>
      <c r="F54" s="32"/>
      <c r="G54" s="153"/>
      <c r="H54" s="165">
        <v>49</v>
      </c>
      <c r="I54" s="166" t="str">
        <f t="shared" si="0"/>
        <v/>
      </c>
      <c r="J54" s="165" t="e">
        <f t="shared" si="5"/>
        <v>#NUM!</v>
      </c>
      <c r="K54" s="165" t="e">
        <f t="shared" si="1"/>
        <v>#NUM!</v>
      </c>
      <c r="L54" s="165"/>
      <c r="M54" s="167">
        <f t="shared" si="2"/>
        <v>0</v>
      </c>
    </row>
    <row r="55" spans="1:13" x14ac:dyDescent="0.25">
      <c r="A55" s="91"/>
      <c r="B55" s="37" t="str">
        <f t="shared" si="4"/>
        <v/>
      </c>
      <c r="C55" s="38"/>
      <c r="D55" s="38"/>
      <c r="E55" s="38"/>
      <c r="F55" s="38"/>
      <c r="G55" s="153"/>
      <c r="H55" s="168">
        <v>50</v>
      </c>
      <c r="I55" s="169" t="str">
        <f t="shared" si="0"/>
        <v/>
      </c>
      <c r="J55" s="168" t="e">
        <f t="shared" si="5"/>
        <v>#NUM!</v>
      </c>
      <c r="K55" s="168" t="e">
        <f t="shared" si="1"/>
        <v>#NUM!</v>
      </c>
      <c r="L55" s="168"/>
      <c r="M55" s="170">
        <f t="shared" si="2"/>
        <v>0</v>
      </c>
    </row>
    <row r="56" spans="1:13" x14ac:dyDescent="0.25">
      <c r="A56" s="87"/>
      <c r="B56" s="31" t="str">
        <f t="shared" si="4"/>
        <v/>
      </c>
      <c r="C56" s="32"/>
      <c r="D56" s="32"/>
      <c r="E56" s="32"/>
      <c r="F56" s="32"/>
      <c r="G56" s="153"/>
      <c r="H56" s="165">
        <v>51</v>
      </c>
      <c r="I56" s="166" t="str">
        <f t="shared" si="0"/>
        <v/>
      </c>
      <c r="J56" s="165" t="e">
        <f t="shared" si="5"/>
        <v>#NUM!</v>
      </c>
      <c r="K56" s="165" t="e">
        <f t="shared" si="1"/>
        <v>#NUM!</v>
      </c>
      <c r="L56" s="165"/>
      <c r="M56" s="167">
        <f t="shared" si="2"/>
        <v>0</v>
      </c>
    </row>
    <row r="57" spans="1:13" x14ac:dyDescent="0.25">
      <c r="A57" s="91"/>
      <c r="B57" s="37" t="str">
        <f t="shared" si="4"/>
        <v/>
      </c>
      <c r="C57" s="38"/>
      <c r="D57" s="38"/>
      <c r="E57" s="38"/>
      <c r="F57" s="38"/>
      <c r="G57" s="153"/>
      <c r="H57" s="168">
        <v>52</v>
      </c>
      <c r="I57" s="169" t="str">
        <f t="shared" si="0"/>
        <v/>
      </c>
      <c r="J57" s="168" t="e">
        <f t="shared" si="5"/>
        <v>#NUM!</v>
      </c>
      <c r="K57" s="168" t="e">
        <f t="shared" si="1"/>
        <v>#NUM!</v>
      </c>
      <c r="L57" s="168"/>
      <c r="M57" s="170">
        <f t="shared" si="2"/>
        <v>0</v>
      </c>
    </row>
    <row r="58" spans="1:13" x14ac:dyDescent="0.25">
      <c r="A58" s="87"/>
      <c r="B58" s="31" t="str">
        <f t="shared" si="4"/>
        <v/>
      </c>
      <c r="C58" s="32"/>
      <c r="D58" s="32"/>
      <c r="E58" s="32"/>
      <c r="F58" s="32"/>
      <c r="G58" s="153"/>
      <c r="H58" s="165">
        <v>53</v>
      </c>
      <c r="I58" s="166" t="str">
        <f t="shared" si="0"/>
        <v/>
      </c>
      <c r="J58" s="165" t="e">
        <f t="shared" si="5"/>
        <v>#NUM!</v>
      </c>
      <c r="K58" s="165" t="e">
        <f t="shared" si="1"/>
        <v>#NUM!</v>
      </c>
      <c r="L58" s="165"/>
      <c r="M58" s="167">
        <f t="shared" si="2"/>
        <v>0</v>
      </c>
    </row>
    <row r="59" spans="1:13" x14ac:dyDescent="0.25">
      <c r="A59" s="91"/>
      <c r="B59" s="37" t="str">
        <f t="shared" si="4"/>
        <v/>
      </c>
      <c r="C59" s="38"/>
      <c r="D59" s="38"/>
      <c r="E59" s="38"/>
      <c r="F59" s="38"/>
      <c r="G59" s="153"/>
      <c r="H59" s="168">
        <v>54</v>
      </c>
      <c r="I59" s="169" t="str">
        <f t="shared" si="0"/>
        <v/>
      </c>
      <c r="J59" s="168" t="e">
        <f t="shared" si="5"/>
        <v>#NUM!</v>
      </c>
      <c r="K59" s="168" t="e">
        <f t="shared" si="1"/>
        <v>#NUM!</v>
      </c>
      <c r="L59" s="168"/>
      <c r="M59" s="170">
        <f t="shared" si="2"/>
        <v>0</v>
      </c>
    </row>
    <row r="60" spans="1:13" x14ac:dyDescent="0.25">
      <c r="A60" s="87"/>
      <c r="B60" s="31" t="str">
        <f t="shared" si="4"/>
        <v/>
      </c>
      <c r="C60" s="32"/>
      <c r="D60" s="32"/>
      <c r="E60" s="32"/>
      <c r="F60" s="32"/>
      <c r="G60" s="153"/>
      <c r="H60" s="165">
        <v>55</v>
      </c>
      <c r="I60" s="166" t="str">
        <f t="shared" si="0"/>
        <v/>
      </c>
      <c r="J60" s="165" t="e">
        <f t="shared" si="5"/>
        <v>#NUM!</v>
      </c>
      <c r="K60" s="165" t="e">
        <f t="shared" si="1"/>
        <v>#NUM!</v>
      </c>
      <c r="L60" s="165"/>
      <c r="M60" s="167">
        <f t="shared" si="2"/>
        <v>0</v>
      </c>
    </row>
    <row r="61" spans="1:13" x14ac:dyDescent="0.25">
      <c r="A61" s="91"/>
      <c r="B61" s="37" t="str">
        <f t="shared" si="4"/>
        <v/>
      </c>
      <c r="C61" s="38"/>
      <c r="D61" s="38"/>
      <c r="E61" s="38"/>
      <c r="F61" s="38"/>
      <c r="G61" s="153"/>
      <c r="H61" s="168">
        <v>56</v>
      </c>
      <c r="I61" s="169" t="str">
        <f t="shared" si="0"/>
        <v/>
      </c>
      <c r="J61" s="168" t="e">
        <f t="shared" si="5"/>
        <v>#NUM!</v>
      </c>
      <c r="K61" s="168" t="e">
        <f t="shared" si="1"/>
        <v>#NUM!</v>
      </c>
      <c r="L61" s="168"/>
      <c r="M61" s="170">
        <f t="shared" si="2"/>
        <v>0</v>
      </c>
    </row>
    <row r="62" spans="1:13" x14ac:dyDescent="0.25">
      <c r="A62" s="87"/>
      <c r="B62" s="31" t="str">
        <f t="shared" si="4"/>
        <v/>
      </c>
      <c r="C62" s="32"/>
      <c r="D62" s="32"/>
      <c r="E62" s="32"/>
      <c r="F62" s="32"/>
      <c r="G62" s="153"/>
      <c r="H62" s="165">
        <v>57</v>
      </c>
      <c r="I62" s="166" t="str">
        <f t="shared" si="0"/>
        <v/>
      </c>
      <c r="J62" s="165" t="e">
        <f t="shared" si="5"/>
        <v>#NUM!</v>
      </c>
      <c r="K62" s="165" t="e">
        <f t="shared" si="1"/>
        <v>#NUM!</v>
      </c>
      <c r="L62" s="165"/>
      <c r="M62" s="167">
        <f t="shared" si="2"/>
        <v>0</v>
      </c>
    </row>
    <row r="63" spans="1:13" x14ac:dyDescent="0.25">
      <c r="A63" s="91"/>
      <c r="B63" s="37" t="str">
        <f t="shared" si="4"/>
        <v/>
      </c>
      <c r="C63" s="38"/>
      <c r="D63" s="38"/>
      <c r="E63" s="38"/>
      <c r="F63" s="38"/>
      <c r="G63" s="153"/>
      <c r="H63" s="168">
        <v>58</v>
      </c>
      <c r="I63" s="169" t="str">
        <f t="shared" si="0"/>
        <v/>
      </c>
      <c r="J63" s="168" t="e">
        <f t="shared" si="5"/>
        <v>#NUM!</v>
      </c>
      <c r="K63" s="168" t="e">
        <f t="shared" si="1"/>
        <v>#NUM!</v>
      </c>
      <c r="L63" s="168"/>
      <c r="M63" s="170">
        <f t="shared" si="2"/>
        <v>0</v>
      </c>
    </row>
    <row r="64" spans="1:13" x14ac:dyDescent="0.25">
      <c r="A64" s="87"/>
      <c r="B64" s="31" t="str">
        <f t="shared" si="4"/>
        <v/>
      </c>
      <c r="C64" s="32"/>
      <c r="D64" s="32"/>
      <c r="E64" s="32"/>
      <c r="F64" s="32"/>
      <c r="G64" s="153"/>
      <c r="H64" s="165">
        <v>59</v>
      </c>
      <c r="I64" s="166" t="str">
        <f t="shared" si="0"/>
        <v/>
      </c>
      <c r="J64" s="165" t="e">
        <f t="shared" si="5"/>
        <v>#NUM!</v>
      </c>
      <c r="K64" s="165" t="e">
        <f t="shared" si="1"/>
        <v>#NUM!</v>
      </c>
      <c r="L64" s="165"/>
      <c r="M64" s="167">
        <f t="shared" si="2"/>
        <v>0</v>
      </c>
    </row>
    <row r="65" spans="1:13" x14ac:dyDescent="0.25">
      <c r="A65" s="91"/>
      <c r="B65" s="37" t="str">
        <f t="shared" si="4"/>
        <v/>
      </c>
      <c r="C65" s="38"/>
      <c r="D65" s="38"/>
      <c r="E65" s="38"/>
      <c r="F65" s="38"/>
      <c r="G65" s="153"/>
      <c r="H65" s="168">
        <v>60</v>
      </c>
      <c r="I65" s="169" t="str">
        <f t="shared" si="0"/>
        <v/>
      </c>
      <c r="J65" s="168" t="e">
        <f t="shared" si="5"/>
        <v>#NUM!</v>
      </c>
      <c r="K65" s="168" t="e">
        <f t="shared" si="1"/>
        <v>#NUM!</v>
      </c>
      <c r="L65" s="168"/>
      <c r="M65" s="170">
        <f t="shared" si="2"/>
        <v>0</v>
      </c>
    </row>
    <row r="66" spans="1:13" x14ac:dyDescent="0.25">
      <c r="A66" s="190"/>
      <c r="B66" s="31"/>
      <c r="G66" s="153"/>
      <c r="H66" s="165">
        <v>61</v>
      </c>
      <c r="I66" s="166" t="str">
        <f t="shared" si="0"/>
        <v/>
      </c>
      <c r="J66" s="165" t="e">
        <f t="shared" si="5"/>
        <v>#NUM!</v>
      </c>
      <c r="K66" s="165" t="e">
        <f t="shared" si="1"/>
        <v>#NUM!</v>
      </c>
      <c r="L66" s="165"/>
      <c r="M66" s="167">
        <f t="shared" si="2"/>
        <v>0</v>
      </c>
    </row>
    <row r="67" spans="1:13" x14ac:dyDescent="0.25">
      <c r="A67" s="190"/>
      <c r="B67" s="37"/>
      <c r="G67" s="153"/>
      <c r="H67" s="165">
        <v>62</v>
      </c>
      <c r="I67" s="166" t="str">
        <f t="shared" si="0"/>
        <v/>
      </c>
      <c r="J67" s="165" t="e">
        <f t="shared" si="5"/>
        <v>#NUM!</v>
      </c>
      <c r="K67" s="165" t="e">
        <f t="shared" si="1"/>
        <v>#NUM!</v>
      </c>
      <c r="L67" s="165"/>
      <c r="M67" s="167">
        <f t="shared" si="2"/>
        <v>0</v>
      </c>
    </row>
    <row r="68" spans="1:13" x14ac:dyDescent="0.25">
      <c r="A68" s="190"/>
      <c r="B68" s="31"/>
      <c r="G68" s="153"/>
      <c r="H68" s="165">
        <v>63</v>
      </c>
      <c r="I68" s="166" t="str">
        <f t="shared" si="0"/>
        <v/>
      </c>
      <c r="J68" s="165" t="e">
        <f t="shared" si="5"/>
        <v>#NUM!</v>
      </c>
      <c r="K68" s="165" t="e">
        <f t="shared" si="1"/>
        <v>#NUM!</v>
      </c>
      <c r="L68" s="165"/>
      <c r="M68" s="167">
        <f t="shared" si="2"/>
        <v>0</v>
      </c>
    </row>
    <row r="69" spans="1:13" x14ac:dyDescent="0.25">
      <c r="A69" s="190"/>
      <c r="B69" s="37"/>
      <c r="G69" s="153"/>
      <c r="H69" s="165">
        <v>64</v>
      </c>
      <c r="I69" s="166" t="str">
        <f t="shared" si="0"/>
        <v/>
      </c>
      <c r="J69" s="165" t="e">
        <f t="shared" si="5"/>
        <v>#NUM!</v>
      </c>
      <c r="K69" s="165" t="e">
        <f t="shared" si="1"/>
        <v>#NUM!</v>
      </c>
      <c r="L69" s="165"/>
      <c r="M69" s="167">
        <f t="shared" si="2"/>
        <v>0</v>
      </c>
    </row>
    <row r="70" spans="1:13" x14ac:dyDescent="0.25">
      <c r="A70" s="190"/>
      <c r="G70" s="153"/>
      <c r="H70" s="165">
        <v>65</v>
      </c>
      <c r="I70" s="166" t="str">
        <f t="shared" ref="I70:I133" si="6">IF(H70&lt;$H$2+1,($I$2-($I$2-1)*(LOG(H70)/LOG($H$2))),"")</f>
        <v/>
      </c>
      <c r="J70" s="165" t="e">
        <f t="shared" si="5"/>
        <v>#NUM!</v>
      </c>
      <c r="K70" s="165" t="e">
        <f t="shared" ref="K70:K133" si="7">J70*$J$2</f>
        <v>#NUM!</v>
      </c>
      <c r="L70" s="165"/>
      <c r="M70" s="167">
        <f t="shared" ref="M70:M133" si="8">IF(I70&lt;&gt;"",K70+I70+L70,0)</f>
        <v>0</v>
      </c>
    </row>
    <row r="71" spans="1:13" x14ac:dyDescent="0.25">
      <c r="A71" s="190"/>
      <c r="G71" s="153"/>
      <c r="H71" s="165">
        <v>66</v>
      </c>
      <c r="I71" s="166" t="str">
        <f t="shared" si="6"/>
        <v/>
      </c>
      <c r="J71" s="165" t="e">
        <f t="shared" ref="J71:J134" si="9">INT(LOG($H$2,2))-ROUNDUP(LOG(H71,2),0)+IF(OR($H$2=1,$H$2=2,$H$2=4,$H$2=8,$H$2=16,$H$2=32,$H$2=64,$H$2=128,$H$2=256),0,1)</f>
        <v>#NUM!</v>
      </c>
      <c r="K71" s="165" t="e">
        <f t="shared" si="7"/>
        <v>#NUM!</v>
      </c>
      <c r="L71" s="165"/>
      <c r="M71" s="167">
        <f t="shared" si="8"/>
        <v>0</v>
      </c>
    </row>
    <row r="72" spans="1:13" x14ac:dyDescent="0.25">
      <c r="A72" s="190"/>
      <c r="G72" s="153"/>
      <c r="H72" s="165">
        <v>67</v>
      </c>
      <c r="I72" s="166" t="str">
        <f t="shared" si="6"/>
        <v/>
      </c>
      <c r="J72" s="165" t="e">
        <f t="shared" si="9"/>
        <v>#NUM!</v>
      </c>
      <c r="K72" s="165" t="e">
        <f t="shared" si="7"/>
        <v>#NUM!</v>
      </c>
      <c r="L72" s="165"/>
      <c r="M72" s="167">
        <f t="shared" si="8"/>
        <v>0</v>
      </c>
    </row>
    <row r="73" spans="1:13" x14ac:dyDescent="0.25">
      <c r="A73" s="190"/>
      <c r="G73" s="153"/>
      <c r="H73" s="165">
        <v>68</v>
      </c>
      <c r="I73" s="166" t="str">
        <f t="shared" si="6"/>
        <v/>
      </c>
      <c r="J73" s="165" t="e">
        <f t="shared" si="9"/>
        <v>#NUM!</v>
      </c>
      <c r="K73" s="165" t="e">
        <f t="shared" si="7"/>
        <v>#NUM!</v>
      </c>
      <c r="L73" s="165"/>
      <c r="M73" s="167">
        <f t="shared" si="8"/>
        <v>0</v>
      </c>
    </row>
    <row r="74" spans="1:13" x14ac:dyDescent="0.25">
      <c r="A74" s="190"/>
      <c r="G74" s="153"/>
      <c r="H74" s="165">
        <v>69</v>
      </c>
      <c r="I74" s="166" t="str">
        <f t="shared" si="6"/>
        <v/>
      </c>
      <c r="J74" s="165" t="e">
        <f t="shared" si="9"/>
        <v>#NUM!</v>
      </c>
      <c r="K74" s="165" t="e">
        <f t="shared" si="7"/>
        <v>#NUM!</v>
      </c>
      <c r="L74" s="165"/>
      <c r="M74" s="167">
        <f t="shared" si="8"/>
        <v>0</v>
      </c>
    </row>
    <row r="75" spans="1:13" x14ac:dyDescent="0.25">
      <c r="A75" s="190"/>
      <c r="G75" s="153"/>
      <c r="H75" s="165">
        <v>70</v>
      </c>
      <c r="I75" s="166" t="str">
        <f t="shared" si="6"/>
        <v/>
      </c>
      <c r="J75" s="165" t="e">
        <f t="shared" si="9"/>
        <v>#NUM!</v>
      </c>
      <c r="K75" s="165" t="e">
        <f t="shared" si="7"/>
        <v>#NUM!</v>
      </c>
      <c r="L75" s="165"/>
      <c r="M75" s="167">
        <f t="shared" si="8"/>
        <v>0</v>
      </c>
    </row>
    <row r="76" spans="1:13" x14ac:dyDescent="0.25">
      <c r="A76" s="190"/>
      <c r="G76" s="153"/>
      <c r="H76" s="165">
        <v>71</v>
      </c>
      <c r="I76" s="166" t="str">
        <f t="shared" si="6"/>
        <v/>
      </c>
      <c r="J76" s="165" t="e">
        <f t="shared" si="9"/>
        <v>#NUM!</v>
      </c>
      <c r="K76" s="165" t="e">
        <f t="shared" si="7"/>
        <v>#NUM!</v>
      </c>
      <c r="L76" s="165"/>
      <c r="M76" s="167">
        <f t="shared" si="8"/>
        <v>0</v>
      </c>
    </row>
    <row r="77" spans="1:13" x14ac:dyDescent="0.25">
      <c r="A77" s="190"/>
      <c r="G77" s="153"/>
      <c r="H77" s="165">
        <v>72</v>
      </c>
      <c r="I77" s="166" t="str">
        <f t="shared" si="6"/>
        <v/>
      </c>
      <c r="J77" s="165" t="e">
        <f t="shared" si="9"/>
        <v>#NUM!</v>
      </c>
      <c r="K77" s="165" t="e">
        <f t="shared" si="7"/>
        <v>#NUM!</v>
      </c>
      <c r="L77" s="165"/>
      <c r="M77" s="167">
        <f t="shared" si="8"/>
        <v>0</v>
      </c>
    </row>
    <row r="78" spans="1:13" x14ac:dyDescent="0.25">
      <c r="A78" s="190"/>
      <c r="G78" s="153"/>
      <c r="H78" s="165">
        <v>73</v>
      </c>
      <c r="I78" s="166" t="str">
        <f t="shared" si="6"/>
        <v/>
      </c>
      <c r="J78" s="165" t="e">
        <f t="shared" si="9"/>
        <v>#NUM!</v>
      </c>
      <c r="K78" s="165" t="e">
        <f t="shared" si="7"/>
        <v>#NUM!</v>
      </c>
      <c r="L78" s="165"/>
      <c r="M78" s="167">
        <f t="shared" si="8"/>
        <v>0</v>
      </c>
    </row>
    <row r="79" spans="1:13" x14ac:dyDescent="0.25">
      <c r="A79" s="190"/>
      <c r="G79" s="153"/>
      <c r="H79" s="165">
        <v>74</v>
      </c>
      <c r="I79" s="166" t="str">
        <f t="shared" si="6"/>
        <v/>
      </c>
      <c r="J79" s="165" t="e">
        <f t="shared" si="9"/>
        <v>#NUM!</v>
      </c>
      <c r="K79" s="165" t="e">
        <f t="shared" si="7"/>
        <v>#NUM!</v>
      </c>
      <c r="L79" s="165"/>
      <c r="M79" s="167">
        <f t="shared" si="8"/>
        <v>0</v>
      </c>
    </row>
    <row r="80" spans="1:13" x14ac:dyDescent="0.25">
      <c r="A80" s="190"/>
      <c r="G80" s="153"/>
      <c r="H80" s="165">
        <v>75</v>
      </c>
      <c r="I80" s="166" t="str">
        <f t="shared" si="6"/>
        <v/>
      </c>
      <c r="J80" s="165" t="e">
        <f t="shared" si="9"/>
        <v>#NUM!</v>
      </c>
      <c r="K80" s="165" t="e">
        <f t="shared" si="7"/>
        <v>#NUM!</v>
      </c>
      <c r="L80" s="165"/>
      <c r="M80" s="167">
        <f t="shared" si="8"/>
        <v>0</v>
      </c>
    </row>
    <row r="81" spans="1:13" x14ac:dyDescent="0.25">
      <c r="A81" s="190"/>
      <c r="G81" s="153"/>
      <c r="H81" s="165">
        <v>76</v>
      </c>
      <c r="I81" s="166" t="str">
        <f t="shared" si="6"/>
        <v/>
      </c>
      <c r="J81" s="165" t="e">
        <f t="shared" si="9"/>
        <v>#NUM!</v>
      </c>
      <c r="K81" s="165" t="e">
        <f t="shared" si="7"/>
        <v>#NUM!</v>
      </c>
      <c r="L81" s="165"/>
      <c r="M81" s="167">
        <f t="shared" si="8"/>
        <v>0</v>
      </c>
    </row>
    <row r="82" spans="1:13" x14ac:dyDescent="0.25">
      <c r="A82" s="190"/>
      <c r="G82" s="153"/>
      <c r="H82" s="165">
        <v>77</v>
      </c>
      <c r="I82" s="166" t="str">
        <f t="shared" si="6"/>
        <v/>
      </c>
      <c r="J82" s="165" t="e">
        <f t="shared" si="9"/>
        <v>#NUM!</v>
      </c>
      <c r="K82" s="165" t="e">
        <f t="shared" si="7"/>
        <v>#NUM!</v>
      </c>
      <c r="L82" s="165"/>
      <c r="M82" s="167">
        <f t="shared" si="8"/>
        <v>0</v>
      </c>
    </row>
    <row r="83" spans="1:13" x14ac:dyDescent="0.25">
      <c r="A83" s="190"/>
      <c r="G83" s="153"/>
      <c r="H83" s="165">
        <v>78</v>
      </c>
      <c r="I83" s="166" t="str">
        <f t="shared" si="6"/>
        <v/>
      </c>
      <c r="J83" s="165" t="e">
        <f t="shared" si="9"/>
        <v>#NUM!</v>
      </c>
      <c r="K83" s="165" t="e">
        <f t="shared" si="7"/>
        <v>#NUM!</v>
      </c>
      <c r="L83" s="165"/>
      <c r="M83" s="167">
        <f t="shared" si="8"/>
        <v>0</v>
      </c>
    </row>
    <row r="84" spans="1:13" x14ac:dyDescent="0.25">
      <c r="A84" s="190"/>
      <c r="G84" s="153"/>
      <c r="H84" s="165">
        <v>79</v>
      </c>
      <c r="I84" s="166" t="str">
        <f t="shared" si="6"/>
        <v/>
      </c>
      <c r="J84" s="165" t="e">
        <f t="shared" si="9"/>
        <v>#NUM!</v>
      </c>
      <c r="K84" s="165" t="e">
        <f t="shared" si="7"/>
        <v>#NUM!</v>
      </c>
      <c r="L84" s="165"/>
      <c r="M84" s="167">
        <f t="shared" si="8"/>
        <v>0</v>
      </c>
    </row>
    <row r="85" spans="1:13" x14ac:dyDescent="0.25">
      <c r="A85" s="190"/>
      <c r="G85" s="153"/>
      <c r="H85" s="165">
        <v>80</v>
      </c>
      <c r="I85" s="166" t="str">
        <f t="shared" si="6"/>
        <v/>
      </c>
      <c r="J85" s="165" t="e">
        <f t="shared" si="9"/>
        <v>#NUM!</v>
      </c>
      <c r="K85" s="165" t="e">
        <f t="shared" si="7"/>
        <v>#NUM!</v>
      </c>
      <c r="L85" s="165"/>
      <c r="M85" s="167">
        <f t="shared" si="8"/>
        <v>0</v>
      </c>
    </row>
    <row r="86" spans="1:13" x14ac:dyDescent="0.25">
      <c r="A86" s="190"/>
      <c r="G86" s="153"/>
      <c r="H86" s="165">
        <v>81</v>
      </c>
      <c r="I86" s="166" t="str">
        <f t="shared" si="6"/>
        <v/>
      </c>
      <c r="J86" s="165" t="e">
        <f t="shared" si="9"/>
        <v>#NUM!</v>
      </c>
      <c r="K86" s="165" t="e">
        <f t="shared" si="7"/>
        <v>#NUM!</v>
      </c>
      <c r="L86" s="165"/>
      <c r="M86" s="167">
        <f t="shared" si="8"/>
        <v>0</v>
      </c>
    </row>
    <row r="87" spans="1:13" x14ac:dyDescent="0.25">
      <c r="A87" s="190"/>
      <c r="G87" s="153"/>
      <c r="H87" s="165">
        <v>82</v>
      </c>
      <c r="I87" s="166" t="str">
        <f t="shared" si="6"/>
        <v/>
      </c>
      <c r="J87" s="165" t="e">
        <f t="shared" si="9"/>
        <v>#NUM!</v>
      </c>
      <c r="K87" s="165" t="e">
        <f t="shared" si="7"/>
        <v>#NUM!</v>
      </c>
      <c r="L87" s="165"/>
      <c r="M87" s="167">
        <f t="shared" si="8"/>
        <v>0</v>
      </c>
    </row>
    <row r="88" spans="1:13" x14ac:dyDescent="0.25">
      <c r="A88" s="190"/>
      <c r="G88" s="153"/>
      <c r="H88" s="165">
        <v>83</v>
      </c>
      <c r="I88" s="166" t="str">
        <f t="shared" si="6"/>
        <v/>
      </c>
      <c r="J88" s="165" t="e">
        <f t="shared" si="9"/>
        <v>#NUM!</v>
      </c>
      <c r="K88" s="165" t="e">
        <f t="shared" si="7"/>
        <v>#NUM!</v>
      </c>
      <c r="L88" s="165"/>
      <c r="M88" s="167">
        <f t="shared" si="8"/>
        <v>0</v>
      </c>
    </row>
    <row r="89" spans="1:13" x14ac:dyDescent="0.25">
      <c r="A89" s="190"/>
      <c r="G89" s="153"/>
      <c r="H89" s="165">
        <v>84</v>
      </c>
      <c r="I89" s="166" t="str">
        <f t="shared" si="6"/>
        <v/>
      </c>
      <c r="J89" s="165" t="e">
        <f t="shared" si="9"/>
        <v>#NUM!</v>
      </c>
      <c r="K89" s="165" t="e">
        <f t="shared" si="7"/>
        <v>#NUM!</v>
      </c>
      <c r="L89" s="165"/>
      <c r="M89" s="167">
        <f t="shared" si="8"/>
        <v>0</v>
      </c>
    </row>
    <row r="90" spans="1:13" x14ac:dyDescent="0.25">
      <c r="A90" s="190"/>
      <c r="G90" s="153"/>
      <c r="H90" s="165">
        <v>85</v>
      </c>
      <c r="I90" s="166" t="str">
        <f t="shared" si="6"/>
        <v/>
      </c>
      <c r="J90" s="165" t="e">
        <f t="shared" si="9"/>
        <v>#NUM!</v>
      </c>
      <c r="K90" s="165" t="e">
        <f t="shared" si="7"/>
        <v>#NUM!</v>
      </c>
      <c r="L90" s="165"/>
      <c r="M90" s="167">
        <f t="shared" si="8"/>
        <v>0</v>
      </c>
    </row>
    <row r="91" spans="1:13" x14ac:dyDescent="0.25">
      <c r="A91" s="190"/>
      <c r="G91" s="153"/>
      <c r="H91" s="165">
        <v>86</v>
      </c>
      <c r="I91" s="166" t="str">
        <f t="shared" si="6"/>
        <v/>
      </c>
      <c r="J91" s="165" t="e">
        <f t="shared" si="9"/>
        <v>#NUM!</v>
      </c>
      <c r="K91" s="165" t="e">
        <f t="shared" si="7"/>
        <v>#NUM!</v>
      </c>
      <c r="L91" s="165"/>
      <c r="M91" s="167">
        <f t="shared" si="8"/>
        <v>0</v>
      </c>
    </row>
    <row r="92" spans="1:13" x14ac:dyDescent="0.25">
      <c r="A92" s="190"/>
      <c r="G92" s="153"/>
      <c r="H92" s="165">
        <v>87</v>
      </c>
      <c r="I92" s="166" t="str">
        <f t="shared" si="6"/>
        <v/>
      </c>
      <c r="J92" s="165" t="e">
        <f t="shared" si="9"/>
        <v>#NUM!</v>
      </c>
      <c r="K92" s="165" t="e">
        <f t="shared" si="7"/>
        <v>#NUM!</v>
      </c>
      <c r="L92" s="165"/>
      <c r="M92" s="167">
        <f t="shared" si="8"/>
        <v>0</v>
      </c>
    </row>
    <row r="93" spans="1:13" x14ac:dyDescent="0.25">
      <c r="A93" s="190"/>
      <c r="G93" s="153"/>
      <c r="H93" s="165">
        <v>88</v>
      </c>
      <c r="I93" s="166" t="str">
        <f t="shared" si="6"/>
        <v/>
      </c>
      <c r="J93" s="165" t="e">
        <f t="shared" si="9"/>
        <v>#NUM!</v>
      </c>
      <c r="K93" s="165" t="e">
        <f t="shared" si="7"/>
        <v>#NUM!</v>
      </c>
      <c r="L93" s="165"/>
      <c r="M93" s="167">
        <f t="shared" si="8"/>
        <v>0</v>
      </c>
    </row>
    <row r="94" spans="1:13" x14ac:dyDescent="0.25">
      <c r="A94" s="190"/>
      <c r="G94" s="153"/>
      <c r="H94" s="165">
        <v>89</v>
      </c>
      <c r="I94" s="166" t="str">
        <f t="shared" si="6"/>
        <v/>
      </c>
      <c r="J94" s="165" t="e">
        <f t="shared" si="9"/>
        <v>#NUM!</v>
      </c>
      <c r="K94" s="165" t="e">
        <f t="shared" si="7"/>
        <v>#NUM!</v>
      </c>
      <c r="L94" s="165"/>
      <c r="M94" s="167">
        <f t="shared" si="8"/>
        <v>0</v>
      </c>
    </row>
    <row r="95" spans="1:13" x14ac:dyDescent="0.25">
      <c r="A95" s="190"/>
      <c r="G95" s="153"/>
      <c r="H95" s="165">
        <v>90</v>
      </c>
      <c r="I95" s="166" t="str">
        <f t="shared" si="6"/>
        <v/>
      </c>
      <c r="J95" s="165" t="e">
        <f t="shared" si="9"/>
        <v>#NUM!</v>
      </c>
      <c r="K95" s="165" t="e">
        <f t="shared" si="7"/>
        <v>#NUM!</v>
      </c>
      <c r="L95" s="165"/>
      <c r="M95" s="167">
        <f t="shared" si="8"/>
        <v>0</v>
      </c>
    </row>
    <row r="96" spans="1:13" x14ac:dyDescent="0.25">
      <c r="A96" s="190"/>
      <c r="G96" s="153"/>
      <c r="H96" s="165">
        <v>91</v>
      </c>
      <c r="I96" s="166" t="str">
        <f t="shared" si="6"/>
        <v/>
      </c>
      <c r="J96" s="165" t="e">
        <f t="shared" si="9"/>
        <v>#NUM!</v>
      </c>
      <c r="K96" s="165" t="e">
        <f t="shared" si="7"/>
        <v>#NUM!</v>
      </c>
      <c r="L96" s="165"/>
      <c r="M96" s="167">
        <f t="shared" si="8"/>
        <v>0</v>
      </c>
    </row>
    <row r="97" spans="1:13" x14ac:dyDescent="0.25">
      <c r="A97" s="190"/>
      <c r="G97" s="153"/>
      <c r="H97" s="165">
        <v>92</v>
      </c>
      <c r="I97" s="166" t="str">
        <f t="shared" si="6"/>
        <v/>
      </c>
      <c r="J97" s="165" t="e">
        <f t="shared" si="9"/>
        <v>#NUM!</v>
      </c>
      <c r="K97" s="165" t="e">
        <f t="shared" si="7"/>
        <v>#NUM!</v>
      </c>
      <c r="L97" s="165"/>
      <c r="M97" s="167">
        <f t="shared" si="8"/>
        <v>0</v>
      </c>
    </row>
    <row r="98" spans="1:13" x14ac:dyDescent="0.25">
      <c r="A98" s="190"/>
      <c r="G98" s="153"/>
      <c r="H98" s="165">
        <v>93</v>
      </c>
      <c r="I98" s="166" t="str">
        <f t="shared" si="6"/>
        <v/>
      </c>
      <c r="J98" s="165" t="e">
        <f t="shared" si="9"/>
        <v>#NUM!</v>
      </c>
      <c r="K98" s="165" t="e">
        <f t="shared" si="7"/>
        <v>#NUM!</v>
      </c>
      <c r="L98" s="165"/>
      <c r="M98" s="167">
        <f t="shared" si="8"/>
        <v>0</v>
      </c>
    </row>
    <row r="99" spans="1:13" x14ac:dyDescent="0.25">
      <c r="A99" s="190"/>
      <c r="G99" s="153"/>
      <c r="H99" s="165">
        <v>94</v>
      </c>
      <c r="I99" s="166" t="str">
        <f t="shared" si="6"/>
        <v/>
      </c>
      <c r="J99" s="165" t="e">
        <f t="shared" si="9"/>
        <v>#NUM!</v>
      </c>
      <c r="K99" s="165" t="e">
        <f t="shared" si="7"/>
        <v>#NUM!</v>
      </c>
      <c r="L99" s="165"/>
      <c r="M99" s="167">
        <f t="shared" si="8"/>
        <v>0</v>
      </c>
    </row>
    <row r="100" spans="1:13" x14ac:dyDescent="0.25">
      <c r="A100" s="190"/>
      <c r="G100" s="153"/>
      <c r="H100" s="165">
        <v>95</v>
      </c>
      <c r="I100" s="166" t="str">
        <f t="shared" si="6"/>
        <v/>
      </c>
      <c r="J100" s="165" t="e">
        <f t="shared" si="9"/>
        <v>#NUM!</v>
      </c>
      <c r="K100" s="165" t="e">
        <f t="shared" si="7"/>
        <v>#NUM!</v>
      </c>
      <c r="L100" s="165"/>
      <c r="M100" s="167">
        <f t="shared" si="8"/>
        <v>0</v>
      </c>
    </row>
    <row r="101" spans="1:13" x14ac:dyDescent="0.25">
      <c r="A101" s="182"/>
      <c r="G101" s="153"/>
      <c r="H101" s="165">
        <v>96</v>
      </c>
      <c r="I101" s="166" t="str">
        <f t="shared" si="6"/>
        <v/>
      </c>
      <c r="J101" s="165" t="e">
        <f t="shared" si="9"/>
        <v>#NUM!</v>
      </c>
      <c r="K101" s="165" t="e">
        <f t="shared" si="7"/>
        <v>#NUM!</v>
      </c>
      <c r="L101" s="165"/>
      <c r="M101" s="167">
        <f t="shared" si="8"/>
        <v>0</v>
      </c>
    </row>
    <row r="102" spans="1:13" x14ac:dyDescent="0.25">
      <c r="A102" s="182"/>
      <c r="G102" s="153"/>
      <c r="H102" s="165">
        <v>97</v>
      </c>
      <c r="I102" s="166" t="str">
        <f t="shared" si="6"/>
        <v/>
      </c>
      <c r="J102" s="165" t="e">
        <f t="shared" si="9"/>
        <v>#NUM!</v>
      </c>
      <c r="K102" s="165" t="e">
        <f t="shared" si="7"/>
        <v>#NUM!</v>
      </c>
      <c r="L102" s="165"/>
      <c r="M102" s="167">
        <f t="shared" si="8"/>
        <v>0</v>
      </c>
    </row>
    <row r="103" spans="1:13" x14ac:dyDescent="0.25">
      <c r="A103" s="182"/>
      <c r="G103" s="153"/>
      <c r="H103" s="165">
        <v>98</v>
      </c>
      <c r="I103" s="166" t="str">
        <f t="shared" si="6"/>
        <v/>
      </c>
      <c r="J103" s="165" t="e">
        <f t="shared" si="9"/>
        <v>#NUM!</v>
      </c>
      <c r="K103" s="165" t="e">
        <f t="shared" si="7"/>
        <v>#NUM!</v>
      </c>
      <c r="L103" s="165"/>
      <c r="M103" s="167">
        <f t="shared" si="8"/>
        <v>0</v>
      </c>
    </row>
    <row r="104" spans="1:13" x14ac:dyDescent="0.25">
      <c r="A104" s="182"/>
      <c r="G104" s="153"/>
      <c r="H104" s="165">
        <v>99</v>
      </c>
      <c r="I104" s="166" t="str">
        <f t="shared" si="6"/>
        <v/>
      </c>
      <c r="J104" s="165" t="e">
        <f t="shared" si="9"/>
        <v>#NUM!</v>
      </c>
      <c r="K104" s="165" t="e">
        <f t="shared" si="7"/>
        <v>#NUM!</v>
      </c>
      <c r="L104" s="165"/>
      <c r="M104" s="167">
        <f t="shared" si="8"/>
        <v>0</v>
      </c>
    </row>
    <row r="105" spans="1:13" x14ac:dyDescent="0.25">
      <c r="A105" s="182"/>
      <c r="G105" s="153"/>
      <c r="H105" s="165">
        <v>100</v>
      </c>
      <c r="I105" s="166" t="str">
        <f t="shared" si="6"/>
        <v/>
      </c>
      <c r="J105" s="165" t="e">
        <f t="shared" si="9"/>
        <v>#NUM!</v>
      </c>
      <c r="K105" s="165" t="e">
        <f t="shared" si="7"/>
        <v>#NUM!</v>
      </c>
      <c r="L105" s="165"/>
      <c r="M105" s="167">
        <f t="shared" si="8"/>
        <v>0</v>
      </c>
    </row>
    <row r="106" spans="1:13" x14ac:dyDescent="0.25">
      <c r="A106" s="182"/>
      <c r="G106" s="153"/>
      <c r="H106" s="165">
        <v>101</v>
      </c>
      <c r="I106" s="166" t="str">
        <f t="shared" si="6"/>
        <v/>
      </c>
      <c r="J106" s="165" t="e">
        <f t="shared" si="9"/>
        <v>#NUM!</v>
      </c>
      <c r="K106" s="165" t="e">
        <f t="shared" si="7"/>
        <v>#NUM!</v>
      </c>
      <c r="L106" s="165"/>
      <c r="M106" s="167">
        <f t="shared" si="8"/>
        <v>0</v>
      </c>
    </row>
    <row r="107" spans="1:13" x14ac:dyDescent="0.25">
      <c r="A107" s="182"/>
      <c r="G107" s="153"/>
      <c r="H107" s="165">
        <v>102</v>
      </c>
      <c r="I107" s="166" t="str">
        <f t="shared" si="6"/>
        <v/>
      </c>
      <c r="J107" s="165" t="e">
        <f t="shared" si="9"/>
        <v>#NUM!</v>
      </c>
      <c r="K107" s="165" t="e">
        <f t="shared" si="7"/>
        <v>#NUM!</v>
      </c>
      <c r="L107" s="165"/>
      <c r="M107" s="167">
        <f t="shared" si="8"/>
        <v>0</v>
      </c>
    </row>
    <row r="108" spans="1:13" x14ac:dyDescent="0.25">
      <c r="A108" s="182"/>
      <c r="G108" s="153"/>
      <c r="H108" s="165">
        <v>103</v>
      </c>
      <c r="I108" s="166" t="str">
        <f t="shared" si="6"/>
        <v/>
      </c>
      <c r="J108" s="165" t="e">
        <f t="shared" si="9"/>
        <v>#NUM!</v>
      </c>
      <c r="K108" s="165" t="e">
        <f t="shared" si="7"/>
        <v>#NUM!</v>
      </c>
      <c r="L108" s="165"/>
      <c r="M108" s="167">
        <f t="shared" si="8"/>
        <v>0</v>
      </c>
    </row>
    <row r="109" spans="1:13" x14ac:dyDescent="0.25">
      <c r="A109" s="182"/>
      <c r="G109" s="153"/>
      <c r="H109" s="165">
        <v>104</v>
      </c>
      <c r="I109" s="166" t="str">
        <f t="shared" si="6"/>
        <v/>
      </c>
      <c r="J109" s="165" t="e">
        <f t="shared" si="9"/>
        <v>#NUM!</v>
      </c>
      <c r="K109" s="165" t="e">
        <f t="shared" si="7"/>
        <v>#NUM!</v>
      </c>
      <c r="L109" s="165"/>
      <c r="M109" s="167">
        <f t="shared" si="8"/>
        <v>0</v>
      </c>
    </row>
    <row r="110" spans="1:13" x14ac:dyDescent="0.25">
      <c r="A110" s="182"/>
      <c r="G110" s="153"/>
      <c r="H110" s="165">
        <v>105</v>
      </c>
      <c r="I110" s="166" t="str">
        <f t="shared" si="6"/>
        <v/>
      </c>
      <c r="J110" s="165" t="e">
        <f t="shared" si="9"/>
        <v>#NUM!</v>
      </c>
      <c r="K110" s="165" t="e">
        <f t="shared" si="7"/>
        <v>#NUM!</v>
      </c>
      <c r="L110" s="165"/>
      <c r="M110" s="167">
        <f t="shared" si="8"/>
        <v>0</v>
      </c>
    </row>
    <row r="111" spans="1:13" x14ac:dyDescent="0.25">
      <c r="A111" s="182"/>
      <c r="G111" s="153"/>
      <c r="H111" s="165">
        <v>106</v>
      </c>
      <c r="I111" s="166" t="str">
        <f t="shared" si="6"/>
        <v/>
      </c>
      <c r="J111" s="165" t="e">
        <f t="shared" si="9"/>
        <v>#NUM!</v>
      </c>
      <c r="K111" s="165" t="e">
        <f t="shared" si="7"/>
        <v>#NUM!</v>
      </c>
      <c r="L111" s="165"/>
      <c r="M111" s="167">
        <f t="shared" si="8"/>
        <v>0</v>
      </c>
    </row>
    <row r="112" spans="1:13" x14ac:dyDescent="0.25">
      <c r="A112" s="182"/>
      <c r="G112" s="153"/>
      <c r="H112" s="165">
        <v>107</v>
      </c>
      <c r="I112" s="166" t="str">
        <f t="shared" si="6"/>
        <v/>
      </c>
      <c r="J112" s="165" t="e">
        <f t="shared" si="9"/>
        <v>#NUM!</v>
      </c>
      <c r="K112" s="165" t="e">
        <f t="shared" si="7"/>
        <v>#NUM!</v>
      </c>
      <c r="L112" s="165"/>
      <c r="M112" s="167">
        <f t="shared" si="8"/>
        <v>0</v>
      </c>
    </row>
    <row r="113" spans="1:13" x14ac:dyDescent="0.25">
      <c r="A113" s="182"/>
      <c r="G113" s="153"/>
      <c r="H113" s="165">
        <v>108</v>
      </c>
      <c r="I113" s="166" t="str">
        <f t="shared" si="6"/>
        <v/>
      </c>
      <c r="J113" s="165" t="e">
        <f t="shared" si="9"/>
        <v>#NUM!</v>
      </c>
      <c r="K113" s="165" t="e">
        <f t="shared" si="7"/>
        <v>#NUM!</v>
      </c>
      <c r="L113" s="165"/>
      <c r="M113" s="167">
        <f t="shared" si="8"/>
        <v>0</v>
      </c>
    </row>
    <row r="114" spans="1:13" x14ac:dyDescent="0.25">
      <c r="A114" s="182"/>
      <c r="G114" s="153"/>
      <c r="H114" s="165">
        <v>109</v>
      </c>
      <c r="I114" s="166" t="str">
        <f t="shared" si="6"/>
        <v/>
      </c>
      <c r="J114" s="165" t="e">
        <f t="shared" si="9"/>
        <v>#NUM!</v>
      </c>
      <c r="K114" s="165" t="e">
        <f t="shared" si="7"/>
        <v>#NUM!</v>
      </c>
      <c r="L114" s="165"/>
      <c r="M114" s="167">
        <f t="shared" si="8"/>
        <v>0</v>
      </c>
    </row>
    <row r="115" spans="1:13" x14ac:dyDescent="0.25">
      <c r="A115" s="182"/>
      <c r="G115" s="153"/>
      <c r="H115" s="165">
        <v>110</v>
      </c>
      <c r="I115" s="166" t="str">
        <f t="shared" si="6"/>
        <v/>
      </c>
      <c r="J115" s="165" t="e">
        <f t="shared" si="9"/>
        <v>#NUM!</v>
      </c>
      <c r="K115" s="165" t="e">
        <f t="shared" si="7"/>
        <v>#NUM!</v>
      </c>
      <c r="L115" s="165"/>
      <c r="M115" s="167">
        <f t="shared" si="8"/>
        <v>0</v>
      </c>
    </row>
    <row r="116" spans="1:13" x14ac:dyDescent="0.25">
      <c r="A116" s="182"/>
      <c r="G116" s="153"/>
      <c r="H116" s="165">
        <v>111</v>
      </c>
      <c r="I116" s="166" t="str">
        <f t="shared" si="6"/>
        <v/>
      </c>
      <c r="J116" s="165" t="e">
        <f t="shared" si="9"/>
        <v>#NUM!</v>
      </c>
      <c r="K116" s="165" t="e">
        <f t="shared" si="7"/>
        <v>#NUM!</v>
      </c>
      <c r="L116" s="165"/>
      <c r="M116" s="167">
        <f t="shared" si="8"/>
        <v>0</v>
      </c>
    </row>
    <row r="117" spans="1:13" x14ac:dyDescent="0.25">
      <c r="A117" s="182"/>
      <c r="G117" s="153"/>
      <c r="H117" s="165">
        <v>112</v>
      </c>
      <c r="I117" s="166" t="str">
        <f t="shared" si="6"/>
        <v/>
      </c>
      <c r="J117" s="165" t="e">
        <f t="shared" si="9"/>
        <v>#NUM!</v>
      </c>
      <c r="K117" s="165" t="e">
        <f t="shared" si="7"/>
        <v>#NUM!</v>
      </c>
      <c r="L117" s="165"/>
      <c r="M117" s="167">
        <f t="shared" si="8"/>
        <v>0</v>
      </c>
    </row>
    <row r="118" spans="1:13" x14ac:dyDescent="0.25">
      <c r="A118" s="182"/>
      <c r="G118" s="153"/>
      <c r="H118" s="165">
        <v>113</v>
      </c>
      <c r="I118" s="166" t="str">
        <f t="shared" si="6"/>
        <v/>
      </c>
      <c r="J118" s="165" t="e">
        <f t="shared" si="9"/>
        <v>#NUM!</v>
      </c>
      <c r="K118" s="165" t="e">
        <f t="shared" si="7"/>
        <v>#NUM!</v>
      </c>
      <c r="L118" s="165"/>
      <c r="M118" s="167">
        <f t="shared" si="8"/>
        <v>0</v>
      </c>
    </row>
    <row r="119" spans="1:13" x14ac:dyDescent="0.25">
      <c r="A119" s="182"/>
      <c r="G119" s="153"/>
      <c r="H119" s="165">
        <v>114</v>
      </c>
      <c r="I119" s="166" t="str">
        <f t="shared" si="6"/>
        <v/>
      </c>
      <c r="J119" s="165" t="e">
        <f t="shared" si="9"/>
        <v>#NUM!</v>
      </c>
      <c r="K119" s="165" t="e">
        <f t="shared" si="7"/>
        <v>#NUM!</v>
      </c>
      <c r="L119" s="165"/>
      <c r="M119" s="167">
        <f t="shared" si="8"/>
        <v>0</v>
      </c>
    </row>
    <row r="120" spans="1:13" x14ac:dyDescent="0.25">
      <c r="A120" s="182"/>
      <c r="G120" s="153"/>
      <c r="H120" s="165">
        <v>115</v>
      </c>
      <c r="I120" s="166" t="str">
        <f t="shared" si="6"/>
        <v/>
      </c>
      <c r="J120" s="165" t="e">
        <f t="shared" si="9"/>
        <v>#NUM!</v>
      </c>
      <c r="K120" s="165" t="e">
        <f t="shared" si="7"/>
        <v>#NUM!</v>
      </c>
      <c r="L120" s="165"/>
      <c r="M120" s="167">
        <f t="shared" si="8"/>
        <v>0</v>
      </c>
    </row>
    <row r="121" spans="1:13" x14ac:dyDescent="0.25">
      <c r="A121" s="182"/>
      <c r="G121" s="153"/>
      <c r="H121" s="165">
        <v>116</v>
      </c>
      <c r="I121" s="166" t="str">
        <f t="shared" si="6"/>
        <v/>
      </c>
      <c r="J121" s="165" t="e">
        <f t="shared" si="9"/>
        <v>#NUM!</v>
      </c>
      <c r="K121" s="165" t="e">
        <f t="shared" si="7"/>
        <v>#NUM!</v>
      </c>
      <c r="L121" s="165"/>
      <c r="M121" s="167">
        <f t="shared" si="8"/>
        <v>0</v>
      </c>
    </row>
    <row r="122" spans="1:13" x14ac:dyDescent="0.25">
      <c r="A122" s="182"/>
      <c r="G122" s="153"/>
      <c r="H122" s="165">
        <v>117</v>
      </c>
      <c r="I122" s="166" t="str">
        <f t="shared" si="6"/>
        <v/>
      </c>
      <c r="J122" s="165" t="e">
        <f t="shared" si="9"/>
        <v>#NUM!</v>
      </c>
      <c r="K122" s="165" t="e">
        <f t="shared" si="7"/>
        <v>#NUM!</v>
      </c>
      <c r="L122" s="165"/>
      <c r="M122" s="167">
        <f t="shared" si="8"/>
        <v>0</v>
      </c>
    </row>
    <row r="123" spans="1:13" x14ac:dyDescent="0.25">
      <c r="A123" s="182"/>
      <c r="G123" s="153"/>
      <c r="H123" s="165">
        <v>118</v>
      </c>
      <c r="I123" s="166" t="str">
        <f t="shared" si="6"/>
        <v/>
      </c>
      <c r="J123" s="165" t="e">
        <f t="shared" si="9"/>
        <v>#NUM!</v>
      </c>
      <c r="K123" s="165" t="e">
        <f t="shared" si="7"/>
        <v>#NUM!</v>
      </c>
      <c r="L123" s="165"/>
      <c r="M123" s="167">
        <f t="shared" si="8"/>
        <v>0</v>
      </c>
    </row>
    <row r="124" spans="1:13" x14ac:dyDescent="0.25">
      <c r="A124" s="182"/>
      <c r="G124" s="153"/>
      <c r="H124" s="165">
        <v>119</v>
      </c>
      <c r="I124" s="166" t="str">
        <f t="shared" si="6"/>
        <v/>
      </c>
      <c r="J124" s="165" t="e">
        <f t="shared" si="9"/>
        <v>#NUM!</v>
      </c>
      <c r="K124" s="165" t="e">
        <f t="shared" si="7"/>
        <v>#NUM!</v>
      </c>
      <c r="L124" s="165"/>
      <c r="M124" s="167">
        <f t="shared" si="8"/>
        <v>0</v>
      </c>
    </row>
    <row r="125" spans="1:13" x14ac:dyDescent="0.25">
      <c r="A125" s="182"/>
      <c r="G125" s="153"/>
      <c r="H125" s="165">
        <v>120</v>
      </c>
      <c r="I125" s="166" t="str">
        <f t="shared" si="6"/>
        <v/>
      </c>
      <c r="J125" s="165" t="e">
        <f t="shared" si="9"/>
        <v>#NUM!</v>
      </c>
      <c r="K125" s="165" t="e">
        <f t="shared" si="7"/>
        <v>#NUM!</v>
      </c>
      <c r="L125" s="165"/>
      <c r="M125" s="167">
        <f t="shared" si="8"/>
        <v>0</v>
      </c>
    </row>
    <row r="126" spans="1:13" x14ac:dyDescent="0.25">
      <c r="A126" s="182"/>
      <c r="G126" s="153"/>
      <c r="H126" s="165">
        <v>121</v>
      </c>
      <c r="I126" s="166" t="str">
        <f t="shared" si="6"/>
        <v/>
      </c>
      <c r="J126" s="165" t="e">
        <f t="shared" si="9"/>
        <v>#NUM!</v>
      </c>
      <c r="K126" s="165" t="e">
        <f t="shared" si="7"/>
        <v>#NUM!</v>
      </c>
      <c r="L126" s="165"/>
      <c r="M126" s="167">
        <f t="shared" si="8"/>
        <v>0</v>
      </c>
    </row>
    <row r="127" spans="1:13" x14ac:dyDescent="0.25">
      <c r="A127" s="182"/>
      <c r="G127" s="153"/>
      <c r="H127" s="165">
        <v>122</v>
      </c>
      <c r="I127" s="166" t="str">
        <f t="shared" si="6"/>
        <v/>
      </c>
      <c r="J127" s="165" t="e">
        <f t="shared" si="9"/>
        <v>#NUM!</v>
      </c>
      <c r="K127" s="165" t="e">
        <f t="shared" si="7"/>
        <v>#NUM!</v>
      </c>
      <c r="L127" s="165"/>
      <c r="M127" s="167">
        <f t="shared" si="8"/>
        <v>0</v>
      </c>
    </row>
    <row r="128" spans="1:13" x14ac:dyDescent="0.25">
      <c r="A128" s="182"/>
      <c r="G128" s="153"/>
      <c r="H128" s="165">
        <v>123</v>
      </c>
      <c r="I128" s="166" t="str">
        <f t="shared" si="6"/>
        <v/>
      </c>
      <c r="J128" s="165" t="e">
        <f t="shared" si="9"/>
        <v>#NUM!</v>
      </c>
      <c r="K128" s="165" t="e">
        <f t="shared" si="7"/>
        <v>#NUM!</v>
      </c>
      <c r="L128" s="165"/>
      <c r="M128" s="167">
        <f t="shared" si="8"/>
        <v>0</v>
      </c>
    </row>
    <row r="129" spans="1:13" x14ac:dyDescent="0.25">
      <c r="A129" s="182"/>
      <c r="G129" s="153"/>
      <c r="H129" s="165">
        <v>124</v>
      </c>
      <c r="I129" s="166" t="str">
        <f t="shared" si="6"/>
        <v/>
      </c>
      <c r="J129" s="165" t="e">
        <f t="shared" si="9"/>
        <v>#NUM!</v>
      </c>
      <c r="K129" s="165" t="e">
        <f t="shared" si="7"/>
        <v>#NUM!</v>
      </c>
      <c r="L129" s="165"/>
      <c r="M129" s="167">
        <f t="shared" si="8"/>
        <v>0</v>
      </c>
    </row>
    <row r="130" spans="1:13" x14ac:dyDescent="0.25">
      <c r="A130" s="182"/>
      <c r="G130" s="153"/>
      <c r="H130" s="165">
        <v>125</v>
      </c>
      <c r="I130" s="166" t="str">
        <f t="shared" si="6"/>
        <v/>
      </c>
      <c r="J130" s="165" t="e">
        <f t="shared" si="9"/>
        <v>#NUM!</v>
      </c>
      <c r="K130" s="165" t="e">
        <f t="shared" si="7"/>
        <v>#NUM!</v>
      </c>
      <c r="L130" s="165"/>
      <c r="M130" s="167">
        <f t="shared" si="8"/>
        <v>0</v>
      </c>
    </row>
    <row r="131" spans="1:13" x14ac:dyDescent="0.25">
      <c r="A131" s="182"/>
      <c r="G131" s="153"/>
      <c r="H131" s="165">
        <v>126</v>
      </c>
      <c r="I131" s="166" t="str">
        <f t="shared" si="6"/>
        <v/>
      </c>
      <c r="J131" s="165" t="e">
        <f t="shared" si="9"/>
        <v>#NUM!</v>
      </c>
      <c r="K131" s="165" t="e">
        <f t="shared" si="7"/>
        <v>#NUM!</v>
      </c>
      <c r="L131" s="165"/>
      <c r="M131" s="167">
        <f t="shared" si="8"/>
        <v>0</v>
      </c>
    </row>
    <row r="132" spans="1:13" x14ac:dyDescent="0.25">
      <c r="A132" s="182"/>
      <c r="G132" s="153"/>
      <c r="H132" s="165">
        <v>127</v>
      </c>
      <c r="I132" s="166" t="str">
        <f t="shared" si="6"/>
        <v/>
      </c>
      <c r="J132" s="165" t="e">
        <f t="shared" si="9"/>
        <v>#NUM!</v>
      </c>
      <c r="K132" s="165" t="e">
        <f t="shared" si="7"/>
        <v>#NUM!</v>
      </c>
      <c r="L132" s="165"/>
      <c r="M132" s="167">
        <f t="shared" si="8"/>
        <v>0</v>
      </c>
    </row>
    <row r="133" spans="1:13" x14ac:dyDescent="0.25">
      <c r="A133" s="182"/>
      <c r="G133" s="153"/>
      <c r="H133" s="165">
        <v>128</v>
      </c>
      <c r="I133" s="166" t="str">
        <f t="shared" si="6"/>
        <v/>
      </c>
      <c r="J133" s="165" t="e">
        <f t="shared" si="9"/>
        <v>#NUM!</v>
      </c>
      <c r="K133" s="165" t="e">
        <f t="shared" si="7"/>
        <v>#NUM!</v>
      </c>
      <c r="L133" s="165"/>
      <c r="M133" s="167">
        <f t="shared" si="8"/>
        <v>0</v>
      </c>
    </row>
    <row r="134" spans="1:13" x14ac:dyDescent="0.25">
      <c r="A134" s="182"/>
      <c r="G134" s="153"/>
      <c r="H134" s="165">
        <v>129</v>
      </c>
      <c r="I134" s="166" t="str">
        <f t="shared" ref="I134:I197" si="10">IF(H134&lt;$H$2+1,($I$2-($I$2-1)*(LOG(H134)/LOG($H$2))),"")</f>
        <v/>
      </c>
      <c r="J134" s="165" t="e">
        <f t="shared" si="9"/>
        <v>#NUM!</v>
      </c>
      <c r="K134" s="165" t="e">
        <f t="shared" ref="K134:K197" si="11">J134*$J$2</f>
        <v>#NUM!</v>
      </c>
      <c r="L134" s="165"/>
      <c r="M134" s="167">
        <f t="shared" ref="M134:M197" si="12">IF(I134&lt;&gt;"",K134+I134+L134,0)</f>
        <v>0</v>
      </c>
    </row>
    <row r="135" spans="1:13" x14ac:dyDescent="0.25">
      <c r="A135" s="182"/>
      <c r="G135" s="153"/>
      <c r="H135" s="165">
        <v>130</v>
      </c>
      <c r="I135" s="166" t="str">
        <f t="shared" si="10"/>
        <v/>
      </c>
      <c r="J135" s="165" t="e">
        <f t="shared" ref="J135:J198" si="13">INT(LOG($H$2,2))-ROUNDUP(LOG(H135,2),0)+IF(OR($H$2=1,$H$2=2,$H$2=4,$H$2=8,$H$2=16,$H$2=32,$H$2=64,$H$2=128,$H$2=256),0,1)</f>
        <v>#NUM!</v>
      </c>
      <c r="K135" s="165" t="e">
        <f t="shared" si="11"/>
        <v>#NUM!</v>
      </c>
      <c r="L135" s="165"/>
      <c r="M135" s="167">
        <f t="shared" si="12"/>
        <v>0</v>
      </c>
    </row>
    <row r="136" spans="1:13" x14ac:dyDescent="0.25">
      <c r="A136" s="182"/>
      <c r="G136" s="153"/>
      <c r="H136" s="165">
        <v>131</v>
      </c>
      <c r="I136" s="166" t="str">
        <f t="shared" si="10"/>
        <v/>
      </c>
      <c r="J136" s="165" t="e">
        <f t="shared" si="13"/>
        <v>#NUM!</v>
      </c>
      <c r="K136" s="165" t="e">
        <f t="shared" si="11"/>
        <v>#NUM!</v>
      </c>
      <c r="L136" s="165"/>
      <c r="M136" s="167">
        <f t="shared" si="12"/>
        <v>0</v>
      </c>
    </row>
    <row r="137" spans="1:13" x14ac:dyDescent="0.25">
      <c r="A137" s="182"/>
      <c r="G137" s="153"/>
      <c r="H137" s="165">
        <v>132</v>
      </c>
      <c r="I137" s="166" t="str">
        <f t="shared" si="10"/>
        <v/>
      </c>
      <c r="J137" s="165" t="e">
        <f t="shared" si="13"/>
        <v>#NUM!</v>
      </c>
      <c r="K137" s="165" t="e">
        <f t="shared" si="11"/>
        <v>#NUM!</v>
      </c>
      <c r="L137" s="165"/>
      <c r="M137" s="167">
        <f t="shared" si="12"/>
        <v>0</v>
      </c>
    </row>
    <row r="138" spans="1:13" x14ac:dyDescent="0.25">
      <c r="A138" s="182"/>
      <c r="G138" s="153"/>
      <c r="H138" s="165">
        <v>133</v>
      </c>
      <c r="I138" s="166" t="str">
        <f t="shared" si="10"/>
        <v/>
      </c>
      <c r="J138" s="165" t="e">
        <f t="shared" si="13"/>
        <v>#NUM!</v>
      </c>
      <c r="K138" s="165" t="e">
        <f t="shared" si="11"/>
        <v>#NUM!</v>
      </c>
      <c r="L138" s="165"/>
      <c r="M138" s="167">
        <f t="shared" si="12"/>
        <v>0</v>
      </c>
    </row>
    <row r="139" spans="1:13" x14ac:dyDescent="0.25">
      <c r="A139" s="182"/>
      <c r="G139" s="153"/>
      <c r="H139" s="165">
        <v>134</v>
      </c>
      <c r="I139" s="166" t="str">
        <f t="shared" si="10"/>
        <v/>
      </c>
      <c r="J139" s="165" t="e">
        <f t="shared" si="13"/>
        <v>#NUM!</v>
      </c>
      <c r="K139" s="165" t="e">
        <f t="shared" si="11"/>
        <v>#NUM!</v>
      </c>
      <c r="L139" s="165"/>
      <c r="M139" s="167">
        <f t="shared" si="12"/>
        <v>0</v>
      </c>
    </row>
    <row r="140" spans="1:13" x14ac:dyDescent="0.25">
      <c r="A140" s="182"/>
      <c r="G140" s="153"/>
      <c r="H140" s="165">
        <v>135</v>
      </c>
      <c r="I140" s="166" t="str">
        <f t="shared" si="10"/>
        <v/>
      </c>
      <c r="J140" s="165" t="e">
        <f t="shared" si="13"/>
        <v>#NUM!</v>
      </c>
      <c r="K140" s="165" t="e">
        <f t="shared" si="11"/>
        <v>#NUM!</v>
      </c>
      <c r="L140" s="165"/>
      <c r="M140" s="167">
        <f t="shared" si="12"/>
        <v>0</v>
      </c>
    </row>
    <row r="141" spans="1:13" x14ac:dyDescent="0.25">
      <c r="A141" s="182"/>
      <c r="G141" s="153"/>
      <c r="H141" s="165">
        <v>136</v>
      </c>
      <c r="I141" s="166" t="str">
        <f t="shared" si="10"/>
        <v/>
      </c>
      <c r="J141" s="165" t="e">
        <f t="shared" si="13"/>
        <v>#NUM!</v>
      </c>
      <c r="K141" s="165" t="e">
        <f t="shared" si="11"/>
        <v>#NUM!</v>
      </c>
      <c r="L141" s="165"/>
      <c r="M141" s="167">
        <f t="shared" si="12"/>
        <v>0</v>
      </c>
    </row>
    <row r="142" spans="1:13" x14ac:dyDescent="0.25">
      <c r="A142" s="182"/>
      <c r="G142" s="153"/>
      <c r="H142" s="165">
        <v>137</v>
      </c>
      <c r="I142" s="166" t="str">
        <f t="shared" si="10"/>
        <v/>
      </c>
      <c r="J142" s="165" t="e">
        <f t="shared" si="13"/>
        <v>#NUM!</v>
      </c>
      <c r="K142" s="165" t="e">
        <f t="shared" si="11"/>
        <v>#NUM!</v>
      </c>
      <c r="L142" s="165"/>
      <c r="M142" s="167">
        <f t="shared" si="12"/>
        <v>0</v>
      </c>
    </row>
    <row r="143" spans="1:13" x14ac:dyDescent="0.25">
      <c r="A143" s="182"/>
      <c r="G143" s="153"/>
      <c r="H143" s="165">
        <v>138</v>
      </c>
      <c r="I143" s="166" t="str">
        <f t="shared" si="10"/>
        <v/>
      </c>
      <c r="J143" s="165" t="e">
        <f t="shared" si="13"/>
        <v>#NUM!</v>
      </c>
      <c r="K143" s="165" t="e">
        <f t="shared" si="11"/>
        <v>#NUM!</v>
      </c>
      <c r="L143" s="165"/>
      <c r="M143" s="167">
        <f t="shared" si="12"/>
        <v>0</v>
      </c>
    </row>
    <row r="144" spans="1:13" x14ac:dyDescent="0.25">
      <c r="A144" s="182"/>
      <c r="G144" s="153"/>
      <c r="H144" s="165">
        <v>139</v>
      </c>
      <c r="I144" s="166" t="str">
        <f t="shared" si="10"/>
        <v/>
      </c>
      <c r="J144" s="165" t="e">
        <f t="shared" si="13"/>
        <v>#NUM!</v>
      </c>
      <c r="K144" s="165" t="e">
        <f t="shared" si="11"/>
        <v>#NUM!</v>
      </c>
      <c r="L144" s="165"/>
      <c r="M144" s="167">
        <f t="shared" si="12"/>
        <v>0</v>
      </c>
    </row>
    <row r="145" spans="1:13" x14ac:dyDescent="0.25">
      <c r="A145" s="182"/>
      <c r="G145" s="153"/>
      <c r="H145" s="165">
        <v>140</v>
      </c>
      <c r="I145" s="166" t="str">
        <f t="shared" si="10"/>
        <v/>
      </c>
      <c r="J145" s="165" t="e">
        <f t="shared" si="13"/>
        <v>#NUM!</v>
      </c>
      <c r="K145" s="165" t="e">
        <f t="shared" si="11"/>
        <v>#NUM!</v>
      </c>
      <c r="L145" s="165"/>
      <c r="M145" s="167">
        <f t="shared" si="12"/>
        <v>0</v>
      </c>
    </row>
    <row r="146" spans="1:13" x14ac:dyDescent="0.25">
      <c r="A146" s="182"/>
      <c r="G146" s="153"/>
      <c r="H146" s="165">
        <v>141</v>
      </c>
      <c r="I146" s="166" t="str">
        <f t="shared" si="10"/>
        <v/>
      </c>
      <c r="J146" s="165" t="e">
        <f t="shared" si="13"/>
        <v>#NUM!</v>
      </c>
      <c r="K146" s="165" t="e">
        <f t="shared" si="11"/>
        <v>#NUM!</v>
      </c>
      <c r="L146" s="165"/>
      <c r="M146" s="167">
        <f t="shared" si="12"/>
        <v>0</v>
      </c>
    </row>
    <row r="147" spans="1:13" x14ac:dyDescent="0.25">
      <c r="A147" s="182"/>
      <c r="G147" s="153"/>
      <c r="H147" s="165">
        <v>142</v>
      </c>
      <c r="I147" s="166" t="str">
        <f t="shared" si="10"/>
        <v/>
      </c>
      <c r="J147" s="165" t="e">
        <f t="shared" si="13"/>
        <v>#NUM!</v>
      </c>
      <c r="K147" s="165" t="e">
        <f t="shared" si="11"/>
        <v>#NUM!</v>
      </c>
      <c r="L147" s="165"/>
      <c r="M147" s="167">
        <f t="shared" si="12"/>
        <v>0</v>
      </c>
    </row>
    <row r="148" spans="1:13" x14ac:dyDescent="0.25">
      <c r="A148" s="182"/>
      <c r="G148" s="153"/>
      <c r="H148" s="165">
        <v>143</v>
      </c>
      <c r="I148" s="166" t="str">
        <f t="shared" si="10"/>
        <v/>
      </c>
      <c r="J148" s="165" t="e">
        <f t="shared" si="13"/>
        <v>#NUM!</v>
      </c>
      <c r="K148" s="165" t="e">
        <f t="shared" si="11"/>
        <v>#NUM!</v>
      </c>
      <c r="L148" s="165"/>
      <c r="M148" s="167">
        <f t="shared" si="12"/>
        <v>0</v>
      </c>
    </row>
    <row r="149" spans="1:13" x14ac:dyDescent="0.25">
      <c r="A149" s="182"/>
      <c r="G149" s="153"/>
      <c r="H149" s="165">
        <v>144</v>
      </c>
      <c r="I149" s="166" t="str">
        <f t="shared" si="10"/>
        <v/>
      </c>
      <c r="J149" s="165" t="e">
        <f t="shared" si="13"/>
        <v>#NUM!</v>
      </c>
      <c r="K149" s="165" t="e">
        <f t="shared" si="11"/>
        <v>#NUM!</v>
      </c>
      <c r="L149" s="165"/>
      <c r="M149" s="167">
        <f t="shared" si="12"/>
        <v>0</v>
      </c>
    </row>
    <row r="150" spans="1:13" x14ac:dyDescent="0.25">
      <c r="A150" s="182"/>
      <c r="G150" s="153"/>
      <c r="H150" s="165">
        <v>145</v>
      </c>
      <c r="I150" s="166" t="str">
        <f t="shared" si="10"/>
        <v/>
      </c>
      <c r="J150" s="165" t="e">
        <f t="shared" si="13"/>
        <v>#NUM!</v>
      </c>
      <c r="K150" s="165" t="e">
        <f t="shared" si="11"/>
        <v>#NUM!</v>
      </c>
      <c r="L150" s="165"/>
      <c r="M150" s="167">
        <f t="shared" si="12"/>
        <v>0</v>
      </c>
    </row>
    <row r="151" spans="1:13" x14ac:dyDescent="0.25">
      <c r="A151" s="182"/>
      <c r="G151" s="153"/>
      <c r="H151" s="165">
        <v>146</v>
      </c>
      <c r="I151" s="166" t="str">
        <f t="shared" si="10"/>
        <v/>
      </c>
      <c r="J151" s="165" t="e">
        <f t="shared" si="13"/>
        <v>#NUM!</v>
      </c>
      <c r="K151" s="165" t="e">
        <f t="shared" si="11"/>
        <v>#NUM!</v>
      </c>
      <c r="L151" s="165"/>
      <c r="M151" s="167">
        <f t="shared" si="12"/>
        <v>0</v>
      </c>
    </row>
    <row r="152" spans="1:13" x14ac:dyDescent="0.25">
      <c r="A152" s="182"/>
      <c r="G152" s="153"/>
      <c r="H152" s="165">
        <v>147</v>
      </c>
      <c r="I152" s="166" t="str">
        <f t="shared" si="10"/>
        <v/>
      </c>
      <c r="J152" s="165" t="e">
        <f t="shared" si="13"/>
        <v>#NUM!</v>
      </c>
      <c r="K152" s="165" t="e">
        <f t="shared" si="11"/>
        <v>#NUM!</v>
      </c>
      <c r="L152" s="165"/>
      <c r="M152" s="167">
        <f t="shared" si="12"/>
        <v>0</v>
      </c>
    </row>
    <row r="153" spans="1:13" x14ac:dyDescent="0.25">
      <c r="A153" s="182"/>
      <c r="G153" s="153"/>
      <c r="H153" s="165">
        <v>148</v>
      </c>
      <c r="I153" s="166" t="str">
        <f t="shared" si="10"/>
        <v/>
      </c>
      <c r="J153" s="165" t="e">
        <f t="shared" si="13"/>
        <v>#NUM!</v>
      </c>
      <c r="K153" s="165" t="e">
        <f t="shared" si="11"/>
        <v>#NUM!</v>
      </c>
      <c r="L153" s="165"/>
      <c r="M153" s="167">
        <f t="shared" si="12"/>
        <v>0</v>
      </c>
    </row>
    <row r="154" spans="1:13" x14ac:dyDescent="0.25">
      <c r="A154" s="182"/>
      <c r="G154" s="153"/>
      <c r="H154" s="165">
        <v>149</v>
      </c>
      <c r="I154" s="166" t="str">
        <f t="shared" si="10"/>
        <v/>
      </c>
      <c r="J154" s="165" t="e">
        <f t="shared" si="13"/>
        <v>#NUM!</v>
      </c>
      <c r="K154" s="165" t="e">
        <f t="shared" si="11"/>
        <v>#NUM!</v>
      </c>
      <c r="L154" s="165"/>
      <c r="M154" s="167">
        <f t="shared" si="12"/>
        <v>0</v>
      </c>
    </row>
    <row r="155" spans="1:13" x14ac:dyDescent="0.25">
      <c r="A155" s="182"/>
      <c r="G155" s="153"/>
      <c r="H155" s="165">
        <v>150</v>
      </c>
      <c r="I155" s="166" t="str">
        <f t="shared" si="10"/>
        <v/>
      </c>
      <c r="J155" s="165" t="e">
        <f t="shared" si="13"/>
        <v>#NUM!</v>
      </c>
      <c r="K155" s="165" t="e">
        <f t="shared" si="11"/>
        <v>#NUM!</v>
      </c>
      <c r="L155" s="165"/>
      <c r="M155" s="167">
        <f t="shared" si="12"/>
        <v>0</v>
      </c>
    </row>
    <row r="156" spans="1:13" x14ac:dyDescent="0.25">
      <c r="A156" s="182"/>
      <c r="G156" s="153"/>
      <c r="H156" s="165">
        <v>151</v>
      </c>
      <c r="I156" s="166" t="str">
        <f t="shared" si="10"/>
        <v/>
      </c>
      <c r="J156" s="165" t="e">
        <f t="shared" si="13"/>
        <v>#NUM!</v>
      </c>
      <c r="K156" s="165" t="e">
        <f t="shared" si="11"/>
        <v>#NUM!</v>
      </c>
      <c r="L156" s="165"/>
      <c r="M156" s="167">
        <f t="shared" si="12"/>
        <v>0</v>
      </c>
    </row>
    <row r="157" spans="1:13" x14ac:dyDescent="0.25">
      <c r="A157" s="182"/>
      <c r="G157" s="153"/>
      <c r="H157" s="165">
        <v>152</v>
      </c>
      <c r="I157" s="166" t="str">
        <f t="shared" si="10"/>
        <v/>
      </c>
      <c r="J157" s="165" t="e">
        <f t="shared" si="13"/>
        <v>#NUM!</v>
      </c>
      <c r="K157" s="165" t="e">
        <f t="shared" si="11"/>
        <v>#NUM!</v>
      </c>
      <c r="L157" s="165"/>
      <c r="M157" s="167">
        <f t="shared" si="12"/>
        <v>0</v>
      </c>
    </row>
    <row r="158" spans="1:13" x14ac:dyDescent="0.25">
      <c r="A158" s="182"/>
      <c r="G158" s="153"/>
      <c r="H158" s="165">
        <v>153</v>
      </c>
      <c r="I158" s="166" t="str">
        <f t="shared" si="10"/>
        <v/>
      </c>
      <c r="J158" s="165" t="e">
        <f t="shared" si="13"/>
        <v>#NUM!</v>
      </c>
      <c r="K158" s="165" t="e">
        <f t="shared" si="11"/>
        <v>#NUM!</v>
      </c>
      <c r="L158" s="165"/>
      <c r="M158" s="167">
        <f t="shared" si="12"/>
        <v>0</v>
      </c>
    </row>
    <row r="159" spans="1:13" x14ac:dyDescent="0.25">
      <c r="A159" s="182"/>
      <c r="G159" s="153"/>
      <c r="H159" s="165">
        <v>154</v>
      </c>
      <c r="I159" s="166" t="str">
        <f t="shared" si="10"/>
        <v/>
      </c>
      <c r="J159" s="165" t="e">
        <f t="shared" si="13"/>
        <v>#NUM!</v>
      </c>
      <c r="K159" s="165" t="e">
        <f t="shared" si="11"/>
        <v>#NUM!</v>
      </c>
      <c r="L159" s="165"/>
      <c r="M159" s="167">
        <f t="shared" si="12"/>
        <v>0</v>
      </c>
    </row>
    <row r="160" spans="1:13" x14ac:dyDescent="0.25">
      <c r="A160" s="182"/>
      <c r="G160" s="153"/>
      <c r="H160" s="165">
        <v>155</v>
      </c>
      <c r="I160" s="166" t="str">
        <f t="shared" si="10"/>
        <v/>
      </c>
      <c r="J160" s="165" t="e">
        <f t="shared" si="13"/>
        <v>#NUM!</v>
      </c>
      <c r="K160" s="165" t="e">
        <f t="shared" si="11"/>
        <v>#NUM!</v>
      </c>
      <c r="L160" s="165"/>
      <c r="M160" s="167">
        <f t="shared" si="12"/>
        <v>0</v>
      </c>
    </row>
    <row r="161" spans="1:13" x14ac:dyDescent="0.25">
      <c r="A161" s="182"/>
      <c r="G161" s="153"/>
      <c r="H161" s="165">
        <v>156</v>
      </c>
      <c r="I161" s="166" t="str">
        <f t="shared" si="10"/>
        <v/>
      </c>
      <c r="J161" s="165" t="e">
        <f t="shared" si="13"/>
        <v>#NUM!</v>
      </c>
      <c r="K161" s="165" t="e">
        <f t="shared" si="11"/>
        <v>#NUM!</v>
      </c>
      <c r="L161" s="165"/>
      <c r="M161" s="167">
        <f t="shared" si="12"/>
        <v>0</v>
      </c>
    </row>
    <row r="162" spans="1:13" x14ac:dyDescent="0.25">
      <c r="A162" s="182"/>
      <c r="G162" s="153"/>
      <c r="H162" s="165">
        <v>157</v>
      </c>
      <c r="I162" s="166" t="str">
        <f t="shared" si="10"/>
        <v/>
      </c>
      <c r="J162" s="165" t="e">
        <f t="shared" si="13"/>
        <v>#NUM!</v>
      </c>
      <c r="K162" s="165" t="e">
        <f t="shared" si="11"/>
        <v>#NUM!</v>
      </c>
      <c r="L162" s="165"/>
      <c r="M162" s="167">
        <f t="shared" si="12"/>
        <v>0</v>
      </c>
    </row>
    <row r="163" spans="1:13" x14ac:dyDescent="0.25">
      <c r="A163" s="182"/>
      <c r="G163" s="153"/>
      <c r="H163" s="165">
        <v>158</v>
      </c>
      <c r="I163" s="166" t="str">
        <f t="shared" si="10"/>
        <v/>
      </c>
      <c r="J163" s="165" t="e">
        <f t="shared" si="13"/>
        <v>#NUM!</v>
      </c>
      <c r="K163" s="165" t="e">
        <f t="shared" si="11"/>
        <v>#NUM!</v>
      </c>
      <c r="L163" s="165"/>
      <c r="M163" s="167">
        <f t="shared" si="12"/>
        <v>0</v>
      </c>
    </row>
    <row r="164" spans="1:13" x14ac:dyDescent="0.25">
      <c r="A164" s="182"/>
      <c r="G164" s="153"/>
      <c r="H164" s="165">
        <v>159</v>
      </c>
      <c r="I164" s="166" t="str">
        <f t="shared" si="10"/>
        <v/>
      </c>
      <c r="J164" s="165" t="e">
        <f t="shared" si="13"/>
        <v>#NUM!</v>
      </c>
      <c r="K164" s="165" t="e">
        <f t="shared" si="11"/>
        <v>#NUM!</v>
      </c>
      <c r="L164" s="165"/>
      <c r="M164" s="167">
        <f t="shared" si="12"/>
        <v>0</v>
      </c>
    </row>
    <row r="165" spans="1:13" x14ac:dyDescent="0.25">
      <c r="A165" s="182"/>
      <c r="G165" s="153"/>
      <c r="H165" s="165">
        <v>160</v>
      </c>
      <c r="I165" s="166" t="str">
        <f t="shared" si="10"/>
        <v/>
      </c>
      <c r="J165" s="165" t="e">
        <f t="shared" si="13"/>
        <v>#NUM!</v>
      </c>
      <c r="K165" s="165" t="e">
        <f t="shared" si="11"/>
        <v>#NUM!</v>
      </c>
      <c r="L165" s="165"/>
      <c r="M165" s="167">
        <f t="shared" si="12"/>
        <v>0</v>
      </c>
    </row>
    <row r="166" spans="1:13" x14ac:dyDescent="0.25">
      <c r="A166" s="182"/>
      <c r="G166" s="153"/>
      <c r="H166" s="165">
        <v>161</v>
      </c>
      <c r="I166" s="166" t="str">
        <f t="shared" si="10"/>
        <v/>
      </c>
      <c r="J166" s="165" t="e">
        <f t="shared" si="13"/>
        <v>#NUM!</v>
      </c>
      <c r="K166" s="165" t="e">
        <f t="shared" si="11"/>
        <v>#NUM!</v>
      </c>
      <c r="L166" s="165"/>
      <c r="M166" s="167">
        <f t="shared" si="12"/>
        <v>0</v>
      </c>
    </row>
    <row r="167" spans="1:13" x14ac:dyDescent="0.25">
      <c r="A167" s="182"/>
      <c r="G167" s="153"/>
      <c r="H167" s="165">
        <v>162</v>
      </c>
      <c r="I167" s="166" t="str">
        <f t="shared" si="10"/>
        <v/>
      </c>
      <c r="J167" s="165" t="e">
        <f t="shared" si="13"/>
        <v>#NUM!</v>
      </c>
      <c r="K167" s="165" t="e">
        <f t="shared" si="11"/>
        <v>#NUM!</v>
      </c>
      <c r="L167" s="165"/>
      <c r="M167" s="167">
        <f t="shared" si="12"/>
        <v>0</v>
      </c>
    </row>
    <row r="168" spans="1:13" x14ac:dyDescent="0.25">
      <c r="A168" s="182"/>
      <c r="G168" s="153"/>
      <c r="H168" s="165">
        <v>163</v>
      </c>
      <c r="I168" s="166" t="str">
        <f t="shared" si="10"/>
        <v/>
      </c>
      <c r="J168" s="165" t="e">
        <f t="shared" si="13"/>
        <v>#NUM!</v>
      </c>
      <c r="K168" s="165" t="e">
        <f t="shared" si="11"/>
        <v>#NUM!</v>
      </c>
      <c r="L168" s="165"/>
      <c r="M168" s="167">
        <f t="shared" si="12"/>
        <v>0</v>
      </c>
    </row>
    <row r="169" spans="1:13" x14ac:dyDescent="0.25">
      <c r="A169" s="182"/>
      <c r="C169" s="181" t="s">
        <v>34</v>
      </c>
      <c r="G169" s="153"/>
      <c r="H169" s="165">
        <v>164</v>
      </c>
      <c r="I169" s="166" t="str">
        <f t="shared" si="10"/>
        <v/>
      </c>
      <c r="J169" s="165" t="e">
        <f t="shared" si="13"/>
        <v>#NUM!</v>
      </c>
      <c r="K169" s="165" t="e">
        <f t="shared" si="11"/>
        <v>#NUM!</v>
      </c>
      <c r="L169" s="165"/>
      <c r="M169" s="167">
        <f t="shared" si="12"/>
        <v>0</v>
      </c>
    </row>
    <row r="170" spans="1:13" x14ac:dyDescent="0.25">
      <c r="A170" s="182"/>
      <c r="G170" s="153"/>
      <c r="H170" s="165">
        <v>165</v>
      </c>
      <c r="I170" s="166" t="str">
        <f t="shared" si="10"/>
        <v/>
      </c>
      <c r="J170" s="165" t="e">
        <f t="shared" si="13"/>
        <v>#NUM!</v>
      </c>
      <c r="K170" s="165" t="e">
        <f t="shared" si="11"/>
        <v>#NUM!</v>
      </c>
      <c r="L170" s="165"/>
      <c r="M170" s="167">
        <f t="shared" si="12"/>
        <v>0</v>
      </c>
    </row>
    <row r="171" spans="1:13" x14ac:dyDescent="0.25">
      <c r="A171" s="182"/>
      <c r="G171" s="153"/>
      <c r="H171" s="165">
        <v>166</v>
      </c>
      <c r="I171" s="166" t="str">
        <f t="shared" si="10"/>
        <v/>
      </c>
      <c r="J171" s="165" t="e">
        <f t="shared" si="13"/>
        <v>#NUM!</v>
      </c>
      <c r="K171" s="165" t="e">
        <f t="shared" si="11"/>
        <v>#NUM!</v>
      </c>
      <c r="L171" s="165"/>
      <c r="M171" s="167">
        <f t="shared" si="12"/>
        <v>0</v>
      </c>
    </row>
    <row r="172" spans="1:13" x14ac:dyDescent="0.25">
      <c r="A172" s="182"/>
      <c r="G172" s="153"/>
      <c r="H172" s="165">
        <v>167</v>
      </c>
      <c r="I172" s="166" t="str">
        <f t="shared" si="10"/>
        <v/>
      </c>
      <c r="J172" s="165" t="e">
        <f t="shared" si="13"/>
        <v>#NUM!</v>
      </c>
      <c r="K172" s="165" t="e">
        <f t="shared" si="11"/>
        <v>#NUM!</v>
      </c>
      <c r="L172" s="165"/>
      <c r="M172" s="167">
        <f t="shared" si="12"/>
        <v>0</v>
      </c>
    </row>
    <row r="173" spans="1:13" x14ac:dyDescent="0.25">
      <c r="A173" s="182"/>
      <c r="G173" s="153"/>
      <c r="H173" s="165">
        <v>168</v>
      </c>
      <c r="I173" s="166" t="str">
        <f t="shared" si="10"/>
        <v/>
      </c>
      <c r="J173" s="165" t="e">
        <f t="shared" si="13"/>
        <v>#NUM!</v>
      </c>
      <c r="K173" s="165" t="e">
        <f t="shared" si="11"/>
        <v>#NUM!</v>
      </c>
      <c r="L173" s="165"/>
      <c r="M173" s="167">
        <f t="shared" si="12"/>
        <v>0</v>
      </c>
    </row>
    <row r="174" spans="1:13" x14ac:dyDescent="0.25">
      <c r="A174" s="182"/>
      <c r="G174" s="153"/>
      <c r="H174" s="165">
        <v>169</v>
      </c>
      <c r="I174" s="166" t="str">
        <f t="shared" si="10"/>
        <v/>
      </c>
      <c r="J174" s="165" t="e">
        <f t="shared" si="13"/>
        <v>#NUM!</v>
      </c>
      <c r="K174" s="165" t="e">
        <f t="shared" si="11"/>
        <v>#NUM!</v>
      </c>
      <c r="L174" s="165"/>
      <c r="M174" s="167">
        <f t="shared" si="12"/>
        <v>0</v>
      </c>
    </row>
    <row r="175" spans="1:13" x14ac:dyDescent="0.25">
      <c r="A175" s="182"/>
      <c r="G175" s="153"/>
      <c r="H175" s="165">
        <v>170</v>
      </c>
      <c r="I175" s="166" t="str">
        <f t="shared" si="10"/>
        <v/>
      </c>
      <c r="J175" s="165" t="e">
        <f t="shared" si="13"/>
        <v>#NUM!</v>
      </c>
      <c r="K175" s="165" t="e">
        <f t="shared" si="11"/>
        <v>#NUM!</v>
      </c>
      <c r="L175" s="165"/>
      <c r="M175" s="167">
        <f t="shared" si="12"/>
        <v>0</v>
      </c>
    </row>
    <row r="176" spans="1:13" x14ac:dyDescent="0.25">
      <c r="A176" s="182"/>
      <c r="G176" s="153"/>
      <c r="H176" s="165">
        <v>171</v>
      </c>
      <c r="I176" s="166" t="str">
        <f t="shared" si="10"/>
        <v/>
      </c>
      <c r="J176" s="165" t="e">
        <f t="shared" si="13"/>
        <v>#NUM!</v>
      </c>
      <c r="K176" s="165" t="e">
        <f t="shared" si="11"/>
        <v>#NUM!</v>
      </c>
      <c r="L176" s="165"/>
      <c r="M176" s="167">
        <f t="shared" si="12"/>
        <v>0</v>
      </c>
    </row>
    <row r="177" spans="1:13" x14ac:dyDescent="0.25">
      <c r="A177" s="182"/>
      <c r="G177" s="153"/>
      <c r="H177" s="165">
        <v>172</v>
      </c>
      <c r="I177" s="166" t="str">
        <f t="shared" si="10"/>
        <v/>
      </c>
      <c r="J177" s="165" t="e">
        <f t="shared" si="13"/>
        <v>#NUM!</v>
      </c>
      <c r="K177" s="165" t="e">
        <f t="shared" si="11"/>
        <v>#NUM!</v>
      </c>
      <c r="L177" s="165"/>
      <c r="M177" s="167">
        <f t="shared" si="12"/>
        <v>0</v>
      </c>
    </row>
    <row r="178" spans="1:13" x14ac:dyDescent="0.25">
      <c r="A178" s="182"/>
      <c r="G178" s="153"/>
      <c r="H178" s="165">
        <v>173</v>
      </c>
      <c r="I178" s="166" t="str">
        <f t="shared" si="10"/>
        <v/>
      </c>
      <c r="J178" s="165" t="e">
        <f t="shared" si="13"/>
        <v>#NUM!</v>
      </c>
      <c r="K178" s="165" t="e">
        <f t="shared" si="11"/>
        <v>#NUM!</v>
      </c>
      <c r="L178" s="165"/>
      <c r="M178" s="167">
        <f t="shared" si="12"/>
        <v>0</v>
      </c>
    </row>
    <row r="179" spans="1:13" x14ac:dyDescent="0.25">
      <c r="A179" s="182"/>
      <c r="G179" s="153"/>
      <c r="H179" s="165">
        <v>174</v>
      </c>
      <c r="I179" s="166" t="str">
        <f t="shared" si="10"/>
        <v/>
      </c>
      <c r="J179" s="165" t="e">
        <f t="shared" si="13"/>
        <v>#NUM!</v>
      </c>
      <c r="K179" s="165" t="e">
        <f t="shared" si="11"/>
        <v>#NUM!</v>
      </c>
      <c r="L179" s="165"/>
      <c r="M179" s="167">
        <f t="shared" si="12"/>
        <v>0</v>
      </c>
    </row>
    <row r="180" spans="1:13" x14ac:dyDescent="0.25">
      <c r="A180" s="182"/>
      <c r="G180" s="153"/>
      <c r="H180" s="165">
        <v>175</v>
      </c>
      <c r="I180" s="166" t="str">
        <f t="shared" si="10"/>
        <v/>
      </c>
      <c r="J180" s="165" t="e">
        <f t="shared" si="13"/>
        <v>#NUM!</v>
      </c>
      <c r="K180" s="165" t="e">
        <f t="shared" si="11"/>
        <v>#NUM!</v>
      </c>
      <c r="L180" s="165"/>
      <c r="M180" s="167">
        <f t="shared" si="12"/>
        <v>0</v>
      </c>
    </row>
    <row r="181" spans="1:13" x14ac:dyDescent="0.25">
      <c r="A181" s="182"/>
      <c r="G181" s="153"/>
      <c r="H181" s="165">
        <v>176</v>
      </c>
      <c r="I181" s="166" t="str">
        <f t="shared" si="10"/>
        <v/>
      </c>
      <c r="J181" s="165" t="e">
        <f t="shared" si="13"/>
        <v>#NUM!</v>
      </c>
      <c r="K181" s="165" t="e">
        <f t="shared" si="11"/>
        <v>#NUM!</v>
      </c>
      <c r="L181" s="165"/>
      <c r="M181" s="167">
        <f t="shared" si="12"/>
        <v>0</v>
      </c>
    </row>
    <row r="182" spans="1:13" x14ac:dyDescent="0.25">
      <c r="A182" s="182"/>
      <c r="G182" s="153"/>
      <c r="H182" s="165">
        <v>177</v>
      </c>
      <c r="I182" s="166" t="str">
        <f t="shared" si="10"/>
        <v/>
      </c>
      <c r="J182" s="165" t="e">
        <f t="shared" si="13"/>
        <v>#NUM!</v>
      </c>
      <c r="K182" s="165" t="e">
        <f t="shared" si="11"/>
        <v>#NUM!</v>
      </c>
      <c r="L182" s="165"/>
      <c r="M182" s="167">
        <f t="shared" si="12"/>
        <v>0</v>
      </c>
    </row>
    <row r="183" spans="1:13" x14ac:dyDescent="0.25">
      <c r="A183" s="182"/>
      <c r="G183" s="153"/>
      <c r="H183" s="165">
        <v>178</v>
      </c>
      <c r="I183" s="166" t="str">
        <f t="shared" si="10"/>
        <v/>
      </c>
      <c r="J183" s="165" t="e">
        <f t="shared" si="13"/>
        <v>#NUM!</v>
      </c>
      <c r="K183" s="165" t="e">
        <f t="shared" si="11"/>
        <v>#NUM!</v>
      </c>
      <c r="L183" s="165"/>
      <c r="M183" s="167">
        <f t="shared" si="12"/>
        <v>0</v>
      </c>
    </row>
    <row r="184" spans="1:13" x14ac:dyDescent="0.25">
      <c r="A184" s="182"/>
      <c r="G184" s="153"/>
      <c r="H184" s="165">
        <v>179</v>
      </c>
      <c r="I184" s="166" t="str">
        <f t="shared" si="10"/>
        <v/>
      </c>
      <c r="J184" s="165" t="e">
        <f t="shared" si="13"/>
        <v>#NUM!</v>
      </c>
      <c r="K184" s="165" t="e">
        <f t="shared" si="11"/>
        <v>#NUM!</v>
      </c>
      <c r="L184" s="165"/>
      <c r="M184" s="167">
        <f t="shared" si="12"/>
        <v>0</v>
      </c>
    </row>
    <row r="185" spans="1:13" x14ac:dyDescent="0.25">
      <c r="A185" s="182"/>
      <c r="G185" s="153"/>
      <c r="H185" s="165">
        <v>180</v>
      </c>
      <c r="I185" s="166" t="str">
        <f t="shared" si="10"/>
        <v/>
      </c>
      <c r="J185" s="165" t="e">
        <f t="shared" si="13"/>
        <v>#NUM!</v>
      </c>
      <c r="K185" s="165" t="e">
        <f t="shared" si="11"/>
        <v>#NUM!</v>
      </c>
      <c r="L185" s="165"/>
      <c r="M185" s="167">
        <f t="shared" si="12"/>
        <v>0</v>
      </c>
    </row>
    <row r="186" spans="1:13" x14ac:dyDescent="0.25">
      <c r="A186" s="182"/>
      <c r="G186" s="153"/>
      <c r="H186" s="165">
        <v>181</v>
      </c>
      <c r="I186" s="166" t="str">
        <f t="shared" si="10"/>
        <v/>
      </c>
      <c r="J186" s="165" t="e">
        <f t="shared" si="13"/>
        <v>#NUM!</v>
      </c>
      <c r="K186" s="165" t="e">
        <f t="shared" si="11"/>
        <v>#NUM!</v>
      </c>
      <c r="L186" s="165"/>
      <c r="M186" s="167">
        <f t="shared" si="12"/>
        <v>0</v>
      </c>
    </row>
    <row r="187" spans="1:13" x14ac:dyDescent="0.25">
      <c r="A187" s="182"/>
      <c r="G187" s="153"/>
      <c r="H187" s="165">
        <v>182</v>
      </c>
      <c r="I187" s="166" t="str">
        <f t="shared" si="10"/>
        <v/>
      </c>
      <c r="J187" s="165" t="e">
        <f t="shared" si="13"/>
        <v>#NUM!</v>
      </c>
      <c r="K187" s="165" t="e">
        <f t="shared" si="11"/>
        <v>#NUM!</v>
      </c>
      <c r="L187" s="165"/>
      <c r="M187" s="167">
        <f t="shared" si="12"/>
        <v>0</v>
      </c>
    </row>
    <row r="188" spans="1:13" x14ac:dyDescent="0.25">
      <c r="A188" s="182"/>
      <c r="G188" s="153"/>
      <c r="H188" s="165">
        <v>183</v>
      </c>
      <c r="I188" s="166" t="str">
        <f t="shared" si="10"/>
        <v/>
      </c>
      <c r="J188" s="165" t="e">
        <f t="shared" si="13"/>
        <v>#NUM!</v>
      </c>
      <c r="K188" s="165" t="e">
        <f t="shared" si="11"/>
        <v>#NUM!</v>
      </c>
      <c r="L188" s="165"/>
      <c r="M188" s="167">
        <f t="shared" si="12"/>
        <v>0</v>
      </c>
    </row>
    <row r="189" spans="1:13" x14ac:dyDescent="0.25">
      <c r="A189" s="182"/>
      <c r="G189" s="153"/>
      <c r="H189" s="165">
        <v>184</v>
      </c>
      <c r="I189" s="166" t="str">
        <f t="shared" si="10"/>
        <v/>
      </c>
      <c r="J189" s="165" t="e">
        <f t="shared" si="13"/>
        <v>#NUM!</v>
      </c>
      <c r="K189" s="165" t="e">
        <f t="shared" si="11"/>
        <v>#NUM!</v>
      </c>
      <c r="L189" s="165"/>
      <c r="M189" s="167">
        <f t="shared" si="12"/>
        <v>0</v>
      </c>
    </row>
    <row r="190" spans="1:13" x14ac:dyDescent="0.25">
      <c r="A190" s="182"/>
      <c r="G190" s="153"/>
      <c r="H190" s="165">
        <v>185</v>
      </c>
      <c r="I190" s="166" t="str">
        <f t="shared" si="10"/>
        <v/>
      </c>
      <c r="J190" s="165" t="e">
        <f t="shared" si="13"/>
        <v>#NUM!</v>
      </c>
      <c r="K190" s="165" t="e">
        <f t="shared" si="11"/>
        <v>#NUM!</v>
      </c>
      <c r="L190" s="165"/>
      <c r="M190" s="167">
        <f t="shared" si="12"/>
        <v>0</v>
      </c>
    </row>
    <row r="191" spans="1:13" x14ac:dyDescent="0.25">
      <c r="A191" s="182"/>
      <c r="G191" s="153"/>
      <c r="H191" s="165">
        <v>186</v>
      </c>
      <c r="I191" s="166" t="str">
        <f t="shared" si="10"/>
        <v/>
      </c>
      <c r="J191" s="165" t="e">
        <f t="shared" si="13"/>
        <v>#NUM!</v>
      </c>
      <c r="K191" s="165" t="e">
        <f t="shared" si="11"/>
        <v>#NUM!</v>
      </c>
      <c r="L191" s="165"/>
      <c r="M191" s="167">
        <f t="shared" si="12"/>
        <v>0</v>
      </c>
    </row>
    <row r="192" spans="1:13" x14ac:dyDescent="0.25">
      <c r="A192" s="182"/>
      <c r="G192" s="153"/>
      <c r="H192" s="165">
        <v>187</v>
      </c>
      <c r="I192" s="166" t="str">
        <f t="shared" si="10"/>
        <v/>
      </c>
      <c r="J192" s="165" t="e">
        <f t="shared" si="13"/>
        <v>#NUM!</v>
      </c>
      <c r="K192" s="165" t="e">
        <f t="shared" si="11"/>
        <v>#NUM!</v>
      </c>
      <c r="L192" s="165"/>
      <c r="M192" s="167">
        <f t="shared" si="12"/>
        <v>0</v>
      </c>
    </row>
    <row r="193" spans="1:13" x14ac:dyDescent="0.25">
      <c r="A193" s="182"/>
      <c r="G193" s="153"/>
      <c r="H193" s="165">
        <v>188</v>
      </c>
      <c r="I193" s="166" t="str">
        <f t="shared" si="10"/>
        <v/>
      </c>
      <c r="J193" s="165" t="e">
        <f t="shared" si="13"/>
        <v>#NUM!</v>
      </c>
      <c r="K193" s="165" t="e">
        <f t="shared" si="11"/>
        <v>#NUM!</v>
      </c>
      <c r="L193" s="165"/>
      <c r="M193" s="167">
        <f t="shared" si="12"/>
        <v>0</v>
      </c>
    </row>
    <row r="194" spans="1:13" x14ac:dyDescent="0.25">
      <c r="A194" s="182"/>
      <c r="G194" s="153"/>
      <c r="H194" s="165">
        <v>189</v>
      </c>
      <c r="I194" s="166" t="str">
        <f t="shared" si="10"/>
        <v/>
      </c>
      <c r="J194" s="165" t="e">
        <f t="shared" si="13"/>
        <v>#NUM!</v>
      </c>
      <c r="K194" s="165" t="e">
        <f t="shared" si="11"/>
        <v>#NUM!</v>
      </c>
      <c r="L194" s="165"/>
      <c r="M194" s="167">
        <f t="shared" si="12"/>
        <v>0</v>
      </c>
    </row>
    <row r="195" spans="1:13" x14ac:dyDescent="0.25">
      <c r="A195" s="182"/>
      <c r="G195" s="153"/>
      <c r="H195" s="165">
        <v>190</v>
      </c>
      <c r="I195" s="166" t="str">
        <f t="shared" si="10"/>
        <v/>
      </c>
      <c r="J195" s="165" t="e">
        <f t="shared" si="13"/>
        <v>#NUM!</v>
      </c>
      <c r="K195" s="165" t="e">
        <f t="shared" si="11"/>
        <v>#NUM!</v>
      </c>
      <c r="L195" s="165"/>
      <c r="M195" s="167">
        <f t="shared" si="12"/>
        <v>0</v>
      </c>
    </row>
    <row r="196" spans="1:13" x14ac:dyDescent="0.25">
      <c r="A196" s="182"/>
      <c r="G196" s="153"/>
      <c r="H196" s="165">
        <v>191</v>
      </c>
      <c r="I196" s="166" t="str">
        <f t="shared" si="10"/>
        <v/>
      </c>
      <c r="J196" s="165" t="e">
        <f t="shared" si="13"/>
        <v>#NUM!</v>
      </c>
      <c r="K196" s="165" t="e">
        <f t="shared" si="11"/>
        <v>#NUM!</v>
      </c>
      <c r="L196" s="165"/>
      <c r="M196" s="167">
        <f t="shared" si="12"/>
        <v>0</v>
      </c>
    </row>
    <row r="197" spans="1:13" x14ac:dyDescent="0.25">
      <c r="A197" s="182"/>
      <c r="G197" s="153"/>
      <c r="H197" s="165">
        <v>192</v>
      </c>
      <c r="I197" s="166" t="str">
        <f t="shared" si="10"/>
        <v/>
      </c>
      <c r="J197" s="165" t="e">
        <f t="shared" si="13"/>
        <v>#NUM!</v>
      </c>
      <c r="K197" s="165" t="e">
        <f t="shared" si="11"/>
        <v>#NUM!</v>
      </c>
      <c r="L197" s="165"/>
      <c r="M197" s="167">
        <f t="shared" si="12"/>
        <v>0</v>
      </c>
    </row>
    <row r="198" spans="1:13" x14ac:dyDescent="0.25">
      <c r="A198" s="182"/>
      <c r="G198" s="153"/>
      <c r="H198" s="165">
        <v>193</v>
      </c>
      <c r="I198" s="166" t="str">
        <f t="shared" ref="I198:I261" si="14">IF(H198&lt;$H$2+1,($I$2-($I$2-1)*(LOG(H198)/LOG($H$2))),"")</f>
        <v/>
      </c>
      <c r="J198" s="165" t="e">
        <f t="shared" si="13"/>
        <v>#NUM!</v>
      </c>
      <c r="K198" s="165" t="e">
        <f t="shared" ref="K198:K261" si="15">J198*$J$2</f>
        <v>#NUM!</v>
      </c>
      <c r="L198" s="165"/>
      <c r="M198" s="167">
        <f t="shared" ref="M198:M261" si="16">IF(I198&lt;&gt;"",K198+I198+L198,0)</f>
        <v>0</v>
      </c>
    </row>
    <row r="199" spans="1:13" x14ac:dyDescent="0.25">
      <c r="A199" s="182"/>
      <c r="G199" s="153"/>
      <c r="H199" s="165">
        <v>194</v>
      </c>
      <c r="I199" s="166" t="str">
        <f t="shared" si="14"/>
        <v/>
      </c>
      <c r="J199" s="165" t="e">
        <f t="shared" ref="J199:J262" si="17">INT(LOG($H$2,2))-ROUNDUP(LOG(H199,2),0)+IF(OR($H$2=1,$H$2=2,$H$2=4,$H$2=8,$H$2=16,$H$2=32,$H$2=64,$H$2=128,$H$2=256),0,1)</f>
        <v>#NUM!</v>
      </c>
      <c r="K199" s="165" t="e">
        <f t="shared" si="15"/>
        <v>#NUM!</v>
      </c>
      <c r="L199" s="165"/>
      <c r="M199" s="167">
        <f t="shared" si="16"/>
        <v>0</v>
      </c>
    </row>
    <row r="200" spans="1:13" x14ac:dyDescent="0.25">
      <c r="A200" s="182"/>
      <c r="G200" s="153"/>
      <c r="H200" s="165">
        <v>195</v>
      </c>
      <c r="I200" s="166" t="str">
        <f t="shared" si="14"/>
        <v/>
      </c>
      <c r="J200" s="165" t="e">
        <f t="shared" si="17"/>
        <v>#NUM!</v>
      </c>
      <c r="K200" s="165" t="e">
        <f t="shared" si="15"/>
        <v>#NUM!</v>
      </c>
      <c r="L200" s="165"/>
      <c r="M200" s="167">
        <f t="shared" si="16"/>
        <v>0</v>
      </c>
    </row>
    <row r="201" spans="1:13" x14ac:dyDescent="0.25">
      <c r="A201" s="182"/>
      <c r="G201" s="153"/>
      <c r="H201" s="165">
        <v>196</v>
      </c>
      <c r="I201" s="166" t="str">
        <f t="shared" si="14"/>
        <v/>
      </c>
      <c r="J201" s="165" t="e">
        <f t="shared" si="17"/>
        <v>#NUM!</v>
      </c>
      <c r="K201" s="165" t="e">
        <f t="shared" si="15"/>
        <v>#NUM!</v>
      </c>
      <c r="L201" s="165"/>
      <c r="M201" s="167">
        <f t="shared" si="16"/>
        <v>0</v>
      </c>
    </row>
    <row r="202" spans="1:13" x14ac:dyDescent="0.25">
      <c r="A202" s="182"/>
      <c r="G202" s="153"/>
      <c r="H202" s="165">
        <v>197</v>
      </c>
      <c r="I202" s="166" t="str">
        <f t="shared" si="14"/>
        <v/>
      </c>
      <c r="J202" s="165" t="e">
        <f t="shared" si="17"/>
        <v>#NUM!</v>
      </c>
      <c r="K202" s="165" t="e">
        <f t="shared" si="15"/>
        <v>#NUM!</v>
      </c>
      <c r="L202" s="165"/>
      <c r="M202" s="167">
        <f t="shared" si="16"/>
        <v>0</v>
      </c>
    </row>
    <row r="203" spans="1:13" x14ac:dyDescent="0.25">
      <c r="A203" s="182"/>
      <c r="G203" s="153"/>
      <c r="H203" s="165">
        <v>198</v>
      </c>
      <c r="I203" s="166" t="str">
        <f t="shared" si="14"/>
        <v/>
      </c>
      <c r="J203" s="165" t="e">
        <f t="shared" si="17"/>
        <v>#NUM!</v>
      </c>
      <c r="K203" s="165" t="e">
        <f t="shared" si="15"/>
        <v>#NUM!</v>
      </c>
      <c r="L203" s="165"/>
      <c r="M203" s="167">
        <f t="shared" si="16"/>
        <v>0</v>
      </c>
    </row>
    <row r="204" spans="1:13" x14ac:dyDescent="0.25">
      <c r="A204" s="182"/>
      <c r="G204" s="153"/>
      <c r="H204" s="165">
        <v>199</v>
      </c>
      <c r="I204" s="166" t="str">
        <f t="shared" si="14"/>
        <v/>
      </c>
      <c r="J204" s="165" t="e">
        <f t="shared" si="17"/>
        <v>#NUM!</v>
      </c>
      <c r="K204" s="165" t="e">
        <f t="shared" si="15"/>
        <v>#NUM!</v>
      </c>
      <c r="L204" s="165"/>
      <c r="M204" s="167">
        <f t="shared" si="16"/>
        <v>0</v>
      </c>
    </row>
    <row r="205" spans="1:13" x14ac:dyDescent="0.25">
      <c r="A205" s="182"/>
      <c r="G205" s="153"/>
      <c r="H205" s="165">
        <v>200</v>
      </c>
      <c r="I205" s="166" t="str">
        <f t="shared" si="14"/>
        <v/>
      </c>
      <c r="J205" s="165" t="e">
        <f t="shared" si="17"/>
        <v>#NUM!</v>
      </c>
      <c r="K205" s="165" t="e">
        <f t="shared" si="15"/>
        <v>#NUM!</v>
      </c>
      <c r="L205" s="165"/>
      <c r="M205" s="167">
        <f t="shared" si="16"/>
        <v>0</v>
      </c>
    </row>
    <row r="206" spans="1:13" x14ac:dyDescent="0.25">
      <c r="A206" s="182"/>
      <c r="G206" s="153"/>
      <c r="H206" s="165">
        <v>201</v>
      </c>
      <c r="I206" s="166" t="str">
        <f t="shared" si="14"/>
        <v/>
      </c>
      <c r="J206" s="165" t="e">
        <f t="shared" si="17"/>
        <v>#NUM!</v>
      </c>
      <c r="K206" s="165" t="e">
        <f t="shared" si="15"/>
        <v>#NUM!</v>
      </c>
      <c r="L206" s="165"/>
      <c r="M206" s="167">
        <f t="shared" si="16"/>
        <v>0</v>
      </c>
    </row>
    <row r="207" spans="1:13" x14ac:dyDescent="0.25">
      <c r="A207" s="182"/>
      <c r="G207" s="153"/>
      <c r="H207" s="165">
        <v>202</v>
      </c>
      <c r="I207" s="166" t="str">
        <f t="shared" si="14"/>
        <v/>
      </c>
      <c r="J207" s="165" t="e">
        <f t="shared" si="17"/>
        <v>#NUM!</v>
      </c>
      <c r="K207" s="165" t="e">
        <f t="shared" si="15"/>
        <v>#NUM!</v>
      </c>
      <c r="L207" s="165"/>
      <c r="M207" s="167">
        <f t="shared" si="16"/>
        <v>0</v>
      </c>
    </row>
    <row r="208" spans="1:13" x14ac:dyDescent="0.25">
      <c r="A208" s="182"/>
      <c r="G208" s="153"/>
      <c r="H208" s="165">
        <v>203</v>
      </c>
      <c r="I208" s="166" t="str">
        <f t="shared" si="14"/>
        <v/>
      </c>
      <c r="J208" s="165" t="e">
        <f t="shared" si="17"/>
        <v>#NUM!</v>
      </c>
      <c r="K208" s="165" t="e">
        <f t="shared" si="15"/>
        <v>#NUM!</v>
      </c>
      <c r="L208" s="165"/>
      <c r="M208" s="167">
        <f t="shared" si="16"/>
        <v>0</v>
      </c>
    </row>
    <row r="209" spans="1:13" x14ac:dyDescent="0.25">
      <c r="A209" s="182"/>
      <c r="G209" s="153"/>
      <c r="H209" s="165">
        <v>204</v>
      </c>
      <c r="I209" s="166" t="str">
        <f t="shared" si="14"/>
        <v/>
      </c>
      <c r="J209" s="165" t="e">
        <f t="shared" si="17"/>
        <v>#NUM!</v>
      </c>
      <c r="K209" s="165" t="e">
        <f t="shared" si="15"/>
        <v>#NUM!</v>
      </c>
      <c r="L209" s="165"/>
      <c r="M209" s="167">
        <f t="shared" si="16"/>
        <v>0</v>
      </c>
    </row>
    <row r="210" spans="1:13" x14ac:dyDescent="0.25">
      <c r="A210" s="182"/>
      <c r="G210" s="153"/>
      <c r="H210" s="165">
        <v>205</v>
      </c>
      <c r="I210" s="166" t="str">
        <f t="shared" si="14"/>
        <v/>
      </c>
      <c r="J210" s="165" t="e">
        <f t="shared" si="17"/>
        <v>#NUM!</v>
      </c>
      <c r="K210" s="165" t="e">
        <f t="shared" si="15"/>
        <v>#NUM!</v>
      </c>
      <c r="L210" s="165"/>
      <c r="M210" s="167">
        <f t="shared" si="16"/>
        <v>0</v>
      </c>
    </row>
    <row r="211" spans="1:13" x14ac:dyDescent="0.25">
      <c r="A211" s="182"/>
      <c r="G211" s="153"/>
      <c r="H211" s="165">
        <v>206</v>
      </c>
      <c r="I211" s="166" t="str">
        <f t="shared" si="14"/>
        <v/>
      </c>
      <c r="J211" s="165" t="e">
        <f t="shared" si="17"/>
        <v>#NUM!</v>
      </c>
      <c r="K211" s="165" t="e">
        <f t="shared" si="15"/>
        <v>#NUM!</v>
      </c>
      <c r="L211" s="165"/>
      <c r="M211" s="167">
        <f t="shared" si="16"/>
        <v>0</v>
      </c>
    </row>
    <row r="212" spans="1:13" x14ac:dyDescent="0.25">
      <c r="A212" s="182"/>
      <c r="G212" s="153"/>
      <c r="H212" s="165">
        <v>207</v>
      </c>
      <c r="I212" s="166" t="str">
        <f t="shared" si="14"/>
        <v/>
      </c>
      <c r="J212" s="165" t="e">
        <f t="shared" si="17"/>
        <v>#NUM!</v>
      </c>
      <c r="K212" s="165" t="e">
        <f t="shared" si="15"/>
        <v>#NUM!</v>
      </c>
      <c r="L212" s="165"/>
      <c r="M212" s="167">
        <f t="shared" si="16"/>
        <v>0</v>
      </c>
    </row>
    <row r="213" spans="1:13" x14ac:dyDescent="0.25">
      <c r="A213" s="182"/>
      <c r="G213" s="153"/>
      <c r="H213" s="165">
        <v>208</v>
      </c>
      <c r="I213" s="166" t="str">
        <f t="shared" si="14"/>
        <v/>
      </c>
      <c r="J213" s="165" t="e">
        <f t="shared" si="17"/>
        <v>#NUM!</v>
      </c>
      <c r="K213" s="165" t="e">
        <f t="shared" si="15"/>
        <v>#NUM!</v>
      </c>
      <c r="L213" s="165"/>
      <c r="M213" s="167">
        <f t="shared" si="16"/>
        <v>0</v>
      </c>
    </row>
    <row r="214" spans="1:13" x14ac:dyDescent="0.25">
      <c r="A214" s="182"/>
      <c r="G214" s="153"/>
      <c r="H214" s="165">
        <v>209</v>
      </c>
      <c r="I214" s="166" t="str">
        <f t="shared" si="14"/>
        <v/>
      </c>
      <c r="J214" s="165" t="e">
        <f t="shared" si="17"/>
        <v>#NUM!</v>
      </c>
      <c r="K214" s="165" t="e">
        <f t="shared" si="15"/>
        <v>#NUM!</v>
      </c>
      <c r="L214" s="165"/>
      <c r="M214" s="167">
        <f t="shared" si="16"/>
        <v>0</v>
      </c>
    </row>
    <row r="215" spans="1:13" x14ac:dyDescent="0.25">
      <c r="A215" s="182"/>
      <c r="G215" s="153"/>
      <c r="H215" s="165">
        <v>210</v>
      </c>
      <c r="I215" s="166" t="str">
        <f t="shared" si="14"/>
        <v/>
      </c>
      <c r="J215" s="165" t="e">
        <f t="shared" si="17"/>
        <v>#NUM!</v>
      </c>
      <c r="K215" s="165" t="e">
        <f t="shared" si="15"/>
        <v>#NUM!</v>
      </c>
      <c r="L215" s="165"/>
      <c r="M215" s="167">
        <f t="shared" si="16"/>
        <v>0</v>
      </c>
    </row>
    <row r="216" spans="1:13" x14ac:dyDescent="0.25">
      <c r="A216" s="182"/>
      <c r="G216" s="153"/>
      <c r="H216" s="165">
        <v>211</v>
      </c>
      <c r="I216" s="166" t="str">
        <f t="shared" si="14"/>
        <v/>
      </c>
      <c r="J216" s="165" t="e">
        <f t="shared" si="17"/>
        <v>#NUM!</v>
      </c>
      <c r="K216" s="165" t="e">
        <f t="shared" si="15"/>
        <v>#NUM!</v>
      </c>
      <c r="L216" s="165"/>
      <c r="M216" s="167">
        <f t="shared" si="16"/>
        <v>0</v>
      </c>
    </row>
    <row r="217" spans="1:13" x14ac:dyDescent="0.25">
      <c r="A217" s="182"/>
      <c r="G217" s="153"/>
      <c r="H217" s="165">
        <v>212</v>
      </c>
      <c r="I217" s="166" t="str">
        <f t="shared" si="14"/>
        <v/>
      </c>
      <c r="J217" s="165" t="e">
        <f t="shared" si="17"/>
        <v>#NUM!</v>
      </c>
      <c r="K217" s="165" t="e">
        <f t="shared" si="15"/>
        <v>#NUM!</v>
      </c>
      <c r="L217" s="165"/>
      <c r="M217" s="167">
        <f t="shared" si="16"/>
        <v>0</v>
      </c>
    </row>
    <row r="218" spans="1:13" x14ac:dyDescent="0.25">
      <c r="A218" s="182"/>
      <c r="G218" s="153"/>
      <c r="H218" s="165">
        <v>213</v>
      </c>
      <c r="I218" s="166" t="str">
        <f t="shared" si="14"/>
        <v/>
      </c>
      <c r="J218" s="165" t="e">
        <f t="shared" si="17"/>
        <v>#NUM!</v>
      </c>
      <c r="K218" s="165" t="e">
        <f t="shared" si="15"/>
        <v>#NUM!</v>
      </c>
      <c r="L218" s="165"/>
      <c r="M218" s="167">
        <f t="shared" si="16"/>
        <v>0</v>
      </c>
    </row>
    <row r="219" spans="1:13" x14ac:dyDescent="0.25">
      <c r="A219" s="182"/>
      <c r="G219" s="153"/>
      <c r="H219" s="165">
        <v>214</v>
      </c>
      <c r="I219" s="166" t="str">
        <f t="shared" si="14"/>
        <v/>
      </c>
      <c r="J219" s="165" t="e">
        <f t="shared" si="17"/>
        <v>#NUM!</v>
      </c>
      <c r="K219" s="165" t="e">
        <f t="shared" si="15"/>
        <v>#NUM!</v>
      </c>
      <c r="L219" s="165"/>
      <c r="M219" s="167">
        <f t="shared" si="16"/>
        <v>0</v>
      </c>
    </row>
    <row r="220" spans="1:13" x14ac:dyDescent="0.25">
      <c r="A220" s="182"/>
      <c r="G220" s="153"/>
      <c r="H220" s="165">
        <v>215</v>
      </c>
      <c r="I220" s="166" t="str">
        <f t="shared" si="14"/>
        <v/>
      </c>
      <c r="J220" s="165" t="e">
        <f t="shared" si="17"/>
        <v>#NUM!</v>
      </c>
      <c r="K220" s="165" t="e">
        <f t="shared" si="15"/>
        <v>#NUM!</v>
      </c>
      <c r="L220" s="165"/>
      <c r="M220" s="167">
        <f t="shared" si="16"/>
        <v>0</v>
      </c>
    </row>
    <row r="221" spans="1:13" x14ac:dyDescent="0.25">
      <c r="A221" s="182"/>
      <c r="G221" s="153"/>
      <c r="H221" s="165">
        <v>216</v>
      </c>
      <c r="I221" s="166" t="str">
        <f t="shared" si="14"/>
        <v/>
      </c>
      <c r="J221" s="165" t="e">
        <f t="shared" si="17"/>
        <v>#NUM!</v>
      </c>
      <c r="K221" s="165" t="e">
        <f t="shared" si="15"/>
        <v>#NUM!</v>
      </c>
      <c r="L221" s="165"/>
      <c r="M221" s="167">
        <f t="shared" si="16"/>
        <v>0</v>
      </c>
    </row>
    <row r="222" spans="1:13" x14ac:dyDescent="0.25">
      <c r="A222" s="182"/>
      <c r="G222" s="153"/>
      <c r="H222" s="165">
        <v>217</v>
      </c>
      <c r="I222" s="166" t="str">
        <f t="shared" si="14"/>
        <v/>
      </c>
      <c r="J222" s="165" t="e">
        <f t="shared" si="17"/>
        <v>#NUM!</v>
      </c>
      <c r="K222" s="165" t="e">
        <f t="shared" si="15"/>
        <v>#NUM!</v>
      </c>
      <c r="L222" s="165"/>
      <c r="M222" s="167">
        <f t="shared" si="16"/>
        <v>0</v>
      </c>
    </row>
    <row r="223" spans="1:13" x14ac:dyDescent="0.25">
      <c r="A223" s="182"/>
      <c r="G223" s="153"/>
      <c r="H223" s="165">
        <v>218</v>
      </c>
      <c r="I223" s="166" t="str">
        <f t="shared" si="14"/>
        <v/>
      </c>
      <c r="J223" s="165" t="e">
        <f t="shared" si="17"/>
        <v>#NUM!</v>
      </c>
      <c r="K223" s="165" t="e">
        <f t="shared" si="15"/>
        <v>#NUM!</v>
      </c>
      <c r="L223" s="165"/>
      <c r="M223" s="167">
        <f t="shared" si="16"/>
        <v>0</v>
      </c>
    </row>
    <row r="224" spans="1:13" x14ac:dyDescent="0.25">
      <c r="A224" s="182"/>
      <c r="G224" s="153"/>
      <c r="H224" s="165">
        <v>219</v>
      </c>
      <c r="I224" s="166" t="str">
        <f t="shared" si="14"/>
        <v/>
      </c>
      <c r="J224" s="165" t="e">
        <f t="shared" si="17"/>
        <v>#NUM!</v>
      </c>
      <c r="K224" s="165" t="e">
        <f t="shared" si="15"/>
        <v>#NUM!</v>
      </c>
      <c r="L224" s="165"/>
      <c r="M224" s="167">
        <f t="shared" si="16"/>
        <v>0</v>
      </c>
    </row>
    <row r="225" spans="1:13" x14ac:dyDescent="0.25">
      <c r="A225" s="182"/>
      <c r="G225" s="153"/>
      <c r="H225" s="165">
        <v>220</v>
      </c>
      <c r="I225" s="166" t="str">
        <f t="shared" si="14"/>
        <v/>
      </c>
      <c r="J225" s="165" t="e">
        <f t="shared" si="17"/>
        <v>#NUM!</v>
      </c>
      <c r="K225" s="165" t="e">
        <f t="shared" si="15"/>
        <v>#NUM!</v>
      </c>
      <c r="L225" s="165"/>
      <c r="M225" s="167">
        <f t="shared" si="16"/>
        <v>0</v>
      </c>
    </row>
    <row r="226" spans="1:13" x14ac:dyDescent="0.25">
      <c r="A226" s="182"/>
      <c r="G226" s="153"/>
      <c r="H226" s="165">
        <v>221</v>
      </c>
      <c r="I226" s="166" t="str">
        <f t="shared" si="14"/>
        <v/>
      </c>
      <c r="J226" s="165" t="e">
        <f t="shared" si="17"/>
        <v>#NUM!</v>
      </c>
      <c r="K226" s="165" t="e">
        <f t="shared" si="15"/>
        <v>#NUM!</v>
      </c>
      <c r="L226" s="165"/>
      <c r="M226" s="167">
        <f t="shared" si="16"/>
        <v>0</v>
      </c>
    </row>
    <row r="227" spans="1:13" x14ac:dyDescent="0.25">
      <c r="A227" s="182"/>
      <c r="G227" s="153"/>
      <c r="H227" s="165">
        <v>222</v>
      </c>
      <c r="I227" s="166" t="str">
        <f t="shared" si="14"/>
        <v/>
      </c>
      <c r="J227" s="165" t="e">
        <f t="shared" si="17"/>
        <v>#NUM!</v>
      </c>
      <c r="K227" s="165" t="e">
        <f t="shared" si="15"/>
        <v>#NUM!</v>
      </c>
      <c r="L227" s="165"/>
      <c r="M227" s="167">
        <f t="shared" si="16"/>
        <v>0</v>
      </c>
    </row>
    <row r="228" spans="1:13" x14ac:dyDescent="0.25">
      <c r="A228" s="182"/>
      <c r="G228" s="153"/>
      <c r="H228" s="165">
        <v>223</v>
      </c>
      <c r="I228" s="166" t="str">
        <f t="shared" si="14"/>
        <v/>
      </c>
      <c r="J228" s="165" t="e">
        <f t="shared" si="17"/>
        <v>#NUM!</v>
      </c>
      <c r="K228" s="165" t="e">
        <f t="shared" si="15"/>
        <v>#NUM!</v>
      </c>
      <c r="L228" s="165"/>
      <c r="M228" s="167">
        <f t="shared" si="16"/>
        <v>0</v>
      </c>
    </row>
    <row r="229" spans="1:13" x14ac:dyDescent="0.25">
      <c r="A229" s="182"/>
      <c r="G229" s="153"/>
      <c r="H229" s="165">
        <v>224</v>
      </c>
      <c r="I229" s="166" t="str">
        <f t="shared" si="14"/>
        <v/>
      </c>
      <c r="J229" s="165" t="e">
        <f t="shared" si="17"/>
        <v>#NUM!</v>
      </c>
      <c r="K229" s="165" t="e">
        <f t="shared" si="15"/>
        <v>#NUM!</v>
      </c>
      <c r="L229" s="165"/>
      <c r="M229" s="167">
        <f t="shared" si="16"/>
        <v>0</v>
      </c>
    </row>
    <row r="230" spans="1:13" x14ac:dyDescent="0.25">
      <c r="A230" s="182"/>
      <c r="G230" s="153"/>
      <c r="H230" s="165">
        <v>225</v>
      </c>
      <c r="I230" s="166" t="str">
        <f t="shared" si="14"/>
        <v/>
      </c>
      <c r="J230" s="165" t="e">
        <f t="shared" si="17"/>
        <v>#NUM!</v>
      </c>
      <c r="K230" s="165" t="e">
        <f t="shared" si="15"/>
        <v>#NUM!</v>
      </c>
      <c r="L230" s="165"/>
      <c r="M230" s="167">
        <f t="shared" si="16"/>
        <v>0</v>
      </c>
    </row>
    <row r="231" spans="1:13" x14ac:dyDescent="0.25">
      <c r="A231" s="182"/>
      <c r="G231" s="153"/>
      <c r="H231" s="165">
        <v>226</v>
      </c>
      <c r="I231" s="166" t="str">
        <f t="shared" si="14"/>
        <v/>
      </c>
      <c r="J231" s="165" t="e">
        <f t="shared" si="17"/>
        <v>#NUM!</v>
      </c>
      <c r="K231" s="165" t="e">
        <f t="shared" si="15"/>
        <v>#NUM!</v>
      </c>
      <c r="L231" s="165"/>
      <c r="M231" s="167">
        <f t="shared" si="16"/>
        <v>0</v>
      </c>
    </row>
    <row r="232" spans="1:13" x14ac:dyDescent="0.25">
      <c r="A232" s="182"/>
      <c r="G232" s="153"/>
      <c r="H232" s="165">
        <v>227</v>
      </c>
      <c r="I232" s="166" t="str">
        <f t="shared" si="14"/>
        <v/>
      </c>
      <c r="J232" s="165" t="e">
        <f t="shared" si="17"/>
        <v>#NUM!</v>
      </c>
      <c r="K232" s="165" t="e">
        <f t="shared" si="15"/>
        <v>#NUM!</v>
      </c>
      <c r="L232" s="165"/>
      <c r="M232" s="167">
        <f t="shared" si="16"/>
        <v>0</v>
      </c>
    </row>
    <row r="233" spans="1:13" x14ac:dyDescent="0.25">
      <c r="A233" s="182"/>
      <c r="G233" s="153"/>
      <c r="H233" s="165">
        <v>228</v>
      </c>
      <c r="I233" s="166" t="str">
        <f t="shared" si="14"/>
        <v/>
      </c>
      <c r="J233" s="165" t="e">
        <f t="shared" si="17"/>
        <v>#NUM!</v>
      </c>
      <c r="K233" s="165" t="e">
        <f t="shared" si="15"/>
        <v>#NUM!</v>
      </c>
      <c r="L233" s="165"/>
      <c r="M233" s="167">
        <f t="shared" si="16"/>
        <v>0</v>
      </c>
    </row>
    <row r="234" spans="1:13" x14ac:dyDescent="0.25">
      <c r="A234" s="182"/>
      <c r="G234" s="153"/>
      <c r="H234" s="165">
        <v>229</v>
      </c>
      <c r="I234" s="166" t="str">
        <f t="shared" si="14"/>
        <v/>
      </c>
      <c r="J234" s="165" t="e">
        <f t="shared" si="17"/>
        <v>#NUM!</v>
      </c>
      <c r="K234" s="165" t="e">
        <f t="shared" si="15"/>
        <v>#NUM!</v>
      </c>
      <c r="L234" s="165"/>
      <c r="M234" s="167">
        <f t="shared" si="16"/>
        <v>0</v>
      </c>
    </row>
    <row r="235" spans="1:13" x14ac:dyDescent="0.25">
      <c r="A235" s="182"/>
      <c r="G235" s="153"/>
      <c r="H235" s="165">
        <v>230</v>
      </c>
      <c r="I235" s="166" t="str">
        <f t="shared" si="14"/>
        <v/>
      </c>
      <c r="J235" s="165" t="e">
        <f t="shared" si="17"/>
        <v>#NUM!</v>
      </c>
      <c r="K235" s="165" t="e">
        <f t="shared" si="15"/>
        <v>#NUM!</v>
      </c>
      <c r="L235" s="165"/>
      <c r="M235" s="167">
        <f t="shared" si="16"/>
        <v>0</v>
      </c>
    </row>
    <row r="236" spans="1:13" x14ac:dyDescent="0.25">
      <c r="A236" s="182"/>
      <c r="G236" s="153"/>
      <c r="H236" s="165">
        <v>231</v>
      </c>
      <c r="I236" s="166" t="str">
        <f t="shared" si="14"/>
        <v/>
      </c>
      <c r="J236" s="165" t="e">
        <f t="shared" si="17"/>
        <v>#NUM!</v>
      </c>
      <c r="K236" s="165" t="e">
        <f t="shared" si="15"/>
        <v>#NUM!</v>
      </c>
      <c r="L236" s="165"/>
      <c r="M236" s="167">
        <f t="shared" si="16"/>
        <v>0</v>
      </c>
    </row>
    <row r="237" spans="1:13" x14ac:dyDescent="0.25">
      <c r="A237" s="182"/>
      <c r="G237" s="153"/>
      <c r="H237" s="165">
        <v>232</v>
      </c>
      <c r="I237" s="166" t="str">
        <f t="shared" si="14"/>
        <v/>
      </c>
      <c r="J237" s="165" t="e">
        <f t="shared" si="17"/>
        <v>#NUM!</v>
      </c>
      <c r="K237" s="165" t="e">
        <f t="shared" si="15"/>
        <v>#NUM!</v>
      </c>
      <c r="L237" s="165"/>
      <c r="M237" s="167">
        <f t="shared" si="16"/>
        <v>0</v>
      </c>
    </row>
    <row r="238" spans="1:13" x14ac:dyDescent="0.25">
      <c r="A238" s="182"/>
      <c r="G238" s="153"/>
      <c r="H238" s="165">
        <v>233</v>
      </c>
      <c r="I238" s="166" t="str">
        <f t="shared" si="14"/>
        <v/>
      </c>
      <c r="J238" s="165" t="e">
        <f t="shared" si="17"/>
        <v>#NUM!</v>
      </c>
      <c r="K238" s="165" t="e">
        <f t="shared" si="15"/>
        <v>#NUM!</v>
      </c>
      <c r="L238" s="165"/>
      <c r="M238" s="167">
        <f t="shared" si="16"/>
        <v>0</v>
      </c>
    </row>
    <row r="239" spans="1:13" x14ac:dyDescent="0.25">
      <c r="A239" s="182"/>
      <c r="G239" s="153"/>
      <c r="H239" s="165">
        <v>234</v>
      </c>
      <c r="I239" s="166" t="str">
        <f t="shared" si="14"/>
        <v/>
      </c>
      <c r="J239" s="165" t="e">
        <f t="shared" si="17"/>
        <v>#NUM!</v>
      </c>
      <c r="K239" s="165" t="e">
        <f t="shared" si="15"/>
        <v>#NUM!</v>
      </c>
      <c r="L239" s="165"/>
      <c r="M239" s="167">
        <f t="shared" si="16"/>
        <v>0</v>
      </c>
    </row>
    <row r="240" spans="1:13" x14ac:dyDescent="0.25">
      <c r="A240" s="182"/>
      <c r="G240" s="153"/>
      <c r="H240" s="165">
        <v>235</v>
      </c>
      <c r="I240" s="166" t="str">
        <f t="shared" si="14"/>
        <v/>
      </c>
      <c r="J240" s="165" t="e">
        <f t="shared" si="17"/>
        <v>#NUM!</v>
      </c>
      <c r="K240" s="165" t="e">
        <f t="shared" si="15"/>
        <v>#NUM!</v>
      </c>
      <c r="L240" s="165"/>
      <c r="M240" s="167">
        <f t="shared" si="16"/>
        <v>0</v>
      </c>
    </row>
    <row r="241" spans="1:13" x14ac:dyDescent="0.25">
      <c r="A241" s="182"/>
      <c r="G241" s="153"/>
      <c r="H241" s="165">
        <v>236</v>
      </c>
      <c r="I241" s="166" t="str">
        <f t="shared" si="14"/>
        <v/>
      </c>
      <c r="J241" s="165" t="e">
        <f t="shared" si="17"/>
        <v>#NUM!</v>
      </c>
      <c r="K241" s="165" t="e">
        <f t="shared" si="15"/>
        <v>#NUM!</v>
      </c>
      <c r="L241" s="165"/>
      <c r="M241" s="167">
        <f t="shared" si="16"/>
        <v>0</v>
      </c>
    </row>
    <row r="242" spans="1:13" x14ac:dyDescent="0.25">
      <c r="A242" s="182"/>
      <c r="G242" s="153"/>
      <c r="H242" s="165">
        <v>237</v>
      </c>
      <c r="I242" s="166" t="str">
        <f t="shared" si="14"/>
        <v/>
      </c>
      <c r="J242" s="165" t="e">
        <f t="shared" si="17"/>
        <v>#NUM!</v>
      </c>
      <c r="K242" s="165" t="e">
        <f t="shared" si="15"/>
        <v>#NUM!</v>
      </c>
      <c r="L242" s="165"/>
      <c r="M242" s="167">
        <f t="shared" si="16"/>
        <v>0</v>
      </c>
    </row>
    <row r="243" spans="1:13" x14ac:dyDescent="0.25">
      <c r="A243" s="182"/>
      <c r="G243" s="153"/>
      <c r="H243" s="165">
        <v>238</v>
      </c>
      <c r="I243" s="166" t="str">
        <f t="shared" si="14"/>
        <v/>
      </c>
      <c r="J243" s="165" t="e">
        <f t="shared" si="17"/>
        <v>#NUM!</v>
      </c>
      <c r="K243" s="165" t="e">
        <f t="shared" si="15"/>
        <v>#NUM!</v>
      </c>
      <c r="L243" s="165"/>
      <c r="M243" s="167">
        <f t="shared" si="16"/>
        <v>0</v>
      </c>
    </row>
    <row r="244" spans="1:13" x14ac:dyDescent="0.25">
      <c r="A244" s="182"/>
      <c r="G244" s="153"/>
      <c r="H244" s="165">
        <v>239</v>
      </c>
      <c r="I244" s="166" t="str">
        <f t="shared" si="14"/>
        <v/>
      </c>
      <c r="J244" s="165" t="e">
        <f t="shared" si="17"/>
        <v>#NUM!</v>
      </c>
      <c r="K244" s="165" t="e">
        <f t="shared" si="15"/>
        <v>#NUM!</v>
      </c>
      <c r="L244" s="165"/>
      <c r="M244" s="167">
        <f t="shared" si="16"/>
        <v>0</v>
      </c>
    </row>
    <row r="245" spans="1:13" x14ac:dyDescent="0.25">
      <c r="A245" s="182"/>
      <c r="G245" s="153"/>
      <c r="H245" s="165">
        <v>240</v>
      </c>
      <c r="I245" s="166" t="str">
        <f t="shared" si="14"/>
        <v/>
      </c>
      <c r="J245" s="165" t="e">
        <f t="shared" si="17"/>
        <v>#NUM!</v>
      </c>
      <c r="K245" s="165" t="e">
        <f t="shared" si="15"/>
        <v>#NUM!</v>
      </c>
      <c r="L245" s="165"/>
      <c r="M245" s="167">
        <f t="shared" si="16"/>
        <v>0</v>
      </c>
    </row>
    <row r="246" spans="1:13" x14ac:dyDescent="0.25">
      <c r="A246" s="182"/>
      <c r="G246" s="153"/>
      <c r="H246" s="165">
        <v>241</v>
      </c>
      <c r="I246" s="166" t="str">
        <f t="shared" si="14"/>
        <v/>
      </c>
      <c r="J246" s="165" t="e">
        <f t="shared" si="17"/>
        <v>#NUM!</v>
      </c>
      <c r="K246" s="165" t="e">
        <f t="shared" si="15"/>
        <v>#NUM!</v>
      </c>
      <c r="L246" s="165"/>
      <c r="M246" s="167">
        <f t="shared" si="16"/>
        <v>0</v>
      </c>
    </row>
    <row r="247" spans="1:13" x14ac:dyDescent="0.25">
      <c r="A247" s="182"/>
      <c r="G247" s="153"/>
      <c r="H247" s="165">
        <v>242</v>
      </c>
      <c r="I247" s="166" t="str">
        <f t="shared" si="14"/>
        <v/>
      </c>
      <c r="J247" s="165" t="e">
        <f t="shared" si="17"/>
        <v>#NUM!</v>
      </c>
      <c r="K247" s="165" t="e">
        <f t="shared" si="15"/>
        <v>#NUM!</v>
      </c>
      <c r="L247" s="165"/>
      <c r="M247" s="167">
        <f t="shared" si="16"/>
        <v>0</v>
      </c>
    </row>
    <row r="248" spans="1:13" x14ac:dyDescent="0.25">
      <c r="A248" s="182"/>
      <c r="G248" s="153"/>
      <c r="H248" s="165">
        <v>243</v>
      </c>
      <c r="I248" s="166" t="str">
        <f t="shared" si="14"/>
        <v/>
      </c>
      <c r="J248" s="165" t="e">
        <f t="shared" si="17"/>
        <v>#NUM!</v>
      </c>
      <c r="K248" s="165" t="e">
        <f t="shared" si="15"/>
        <v>#NUM!</v>
      </c>
      <c r="L248" s="165"/>
      <c r="M248" s="167">
        <f t="shared" si="16"/>
        <v>0</v>
      </c>
    </row>
    <row r="249" spans="1:13" x14ac:dyDescent="0.25">
      <c r="A249" s="182"/>
      <c r="G249" s="153"/>
      <c r="H249" s="165">
        <v>244</v>
      </c>
      <c r="I249" s="166" t="str">
        <f t="shared" si="14"/>
        <v/>
      </c>
      <c r="J249" s="165" t="e">
        <f t="shared" si="17"/>
        <v>#NUM!</v>
      </c>
      <c r="K249" s="165" t="e">
        <f t="shared" si="15"/>
        <v>#NUM!</v>
      </c>
      <c r="L249" s="165"/>
      <c r="M249" s="167">
        <f t="shared" si="16"/>
        <v>0</v>
      </c>
    </row>
    <row r="250" spans="1:13" x14ac:dyDescent="0.25">
      <c r="A250" s="182"/>
      <c r="G250" s="153"/>
      <c r="H250" s="165">
        <v>245</v>
      </c>
      <c r="I250" s="166" t="str">
        <f t="shared" si="14"/>
        <v/>
      </c>
      <c r="J250" s="165" t="e">
        <f t="shared" si="17"/>
        <v>#NUM!</v>
      </c>
      <c r="K250" s="165" t="e">
        <f t="shared" si="15"/>
        <v>#NUM!</v>
      </c>
      <c r="L250" s="165"/>
      <c r="M250" s="167">
        <f t="shared" si="16"/>
        <v>0</v>
      </c>
    </row>
    <row r="251" spans="1:13" x14ac:dyDescent="0.25">
      <c r="A251" s="182"/>
      <c r="G251" s="153"/>
      <c r="H251" s="165">
        <v>246</v>
      </c>
      <c r="I251" s="166" t="str">
        <f t="shared" si="14"/>
        <v/>
      </c>
      <c r="J251" s="165" t="e">
        <f t="shared" si="17"/>
        <v>#NUM!</v>
      </c>
      <c r="K251" s="165" t="e">
        <f t="shared" si="15"/>
        <v>#NUM!</v>
      </c>
      <c r="L251" s="165"/>
      <c r="M251" s="167">
        <f t="shared" si="16"/>
        <v>0</v>
      </c>
    </row>
    <row r="252" spans="1:13" x14ac:dyDescent="0.25">
      <c r="A252" s="182"/>
      <c r="G252" s="153"/>
      <c r="H252" s="165">
        <v>247</v>
      </c>
      <c r="I252" s="166" t="str">
        <f t="shared" si="14"/>
        <v/>
      </c>
      <c r="J252" s="165" t="e">
        <f t="shared" si="17"/>
        <v>#NUM!</v>
      </c>
      <c r="K252" s="165" t="e">
        <f t="shared" si="15"/>
        <v>#NUM!</v>
      </c>
      <c r="L252" s="165"/>
      <c r="M252" s="167">
        <f t="shared" si="16"/>
        <v>0</v>
      </c>
    </row>
    <row r="253" spans="1:13" x14ac:dyDescent="0.25">
      <c r="A253" s="182"/>
      <c r="G253" s="153"/>
      <c r="H253" s="165">
        <v>248</v>
      </c>
      <c r="I253" s="166" t="str">
        <f t="shared" si="14"/>
        <v/>
      </c>
      <c r="J253" s="165" t="e">
        <f t="shared" si="17"/>
        <v>#NUM!</v>
      </c>
      <c r="K253" s="165" t="e">
        <f t="shared" si="15"/>
        <v>#NUM!</v>
      </c>
      <c r="L253" s="165"/>
      <c r="M253" s="167">
        <f t="shared" si="16"/>
        <v>0</v>
      </c>
    </row>
    <row r="254" spans="1:13" x14ac:dyDescent="0.25">
      <c r="A254" s="182"/>
      <c r="G254" s="153"/>
      <c r="H254" s="165">
        <v>249</v>
      </c>
      <c r="I254" s="166" t="str">
        <f t="shared" si="14"/>
        <v/>
      </c>
      <c r="J254" s="165" t="e">
        <f t="shared" si="17"/>
        <v>#NUM!</v>
      </c>
      <c r="K254" s="165" t="e">
        <f t="shared" si="15"/>
        <v>#NUM!</v>
      </c>
      <c r="L254" s="165"/>
      <c r="M254" s="167">
        <f t="shared" si="16"/>
        <v>0</v>
      </c>
    </row>
    <row r="255" spans="1:13" x14ac:dyDescent="0.25">
      <c r="A255" s="182"/>
      <c r="G255" s="153"/>
      <c r="H255" s="165">
        <v>250</v>
      </c>
      <c r="I255" s="166" t="str">
        <f t="shared" si="14"/>
        <v/>
      </c>
      <c r="J255" s="165" t="e">
        <f t="shared" si="17"/>
        <v>#NUM!</v>
      </c>
      <c r="K255" s="165" t="e">
        <f t="shared" si="15"/>
        <v>#NUM!</v>
      </c>
      <c r="L255" s="165"/>
      <c r="M255" s="167">
        <f t="shared" si="16"/>
        <v>0</v>
      </c>
    </row>
    <row r="256" spans="1:13" x14ac:dyDescent="0.25">
      <c r="A256" s="182"/>
      <c r="G256" s="153"/>
      <c r="H256" s="165">
        <v>251</v>
      </c>
      <c r="I256" s="166" t="str">
        <f t="shared" si="14"/>
        <v/>
      </c>
      <c r="J256" s="165" t="e">
        <f t="shared" si="17"/>
        <v>#NUM!</v>
      </c>
      <c r="K256" s="165" t="e">
        <f t="shared" si="15"/>
        <v>#NUM!</v>
      </c>
      <c r="L256" s="165"/>
      <c r="M256" s="167">
        <f t="shared" si="16"/>
        <v>0</v>
      </c>
    </row>
    <row r="257" spans="1:13" x14ac:dyDescent="0.25">
      <c r="A257" s="182"/>
      <c r="G257" s="153"/>
      <c r="H257" s="165">
        <v>252</v>
      </c>
      <c r="I257" s="166" t="str">
        <f t="shared" si="14"/>
        <v/>
      </c>
      <c r="J257" s="165" t="e">
        <f t="shared" si="17"/>
        <v>#NUM!</v>
      </c>
      <c r="K257" s="165" t="e">
        <f t="shared" si="15"/>
        <v>#NUM!</v>
      </c>
      <c r="L257" s="165"/>
      <c r="M257" s="167">
        <f t="shared" si="16"/>
        <v>0</v>
      </c>
    </row>
    <row r="258" spans="1:13" x14ac:dyDescent="0.25">
      <c r="A258" s="182"/>
      <c r="G258" s="153"/>
      <c r="H258" s="165">
        <v>253</v>
      </c>
      <c r="I258" s="166" t="str">
        <f t="shared" si="14"/>
        <v/>
      </c>
      <c r="J258" s="165" t="e">
        <f t="shared" si="17"/>
        <v>#NUM!</v>
      </c>
      <c r="K258" s="165" t="e">
        <f t="shared" si="15"/>
        <v>#NUM!</v>
      </c>
      <c r="L258" s="165"/>
      <c r="M258" s="167">
        <f t="shared" si="16"/>
        <v>0</v>
      </c>
    </row>
    <row r="259" spans="1:13" x14ac:dyDescent="0.25">
      <c r="A259" s="182"/>
      <c r="G259" s="153"/>
      <c r="H259" s="165">
        <v>254</v>
      </c>
      <c r="I259" s="166" t="str">
        <f t="shared" si="14"/>
        <v/>
      </c>
      <c r="J259" s="165" t="e">
        <f t="shared" si="17"/>
        <v>#NUM!</v>
      </c>
      <c r="K259" s="165" t="e">
        <f t="shared" si="15"/>
        <v>#NUM!</v>
      </c>
      <c r="L259" s="165"/>
      <c r="M259" s="167">
        <f t="shared" si="16"/>
        <v>0</v>
      </c>
    </row>
    <row r="260" spans="1:13" x14ac:dyDescent="0.25">
      <c r="A260" s="182"/>
      <c r="G260" s="153"/>
      <c r="H260" s="165">
        <v>255</v>
      </c>
      <c r="I260" s="166" t="str">
        <f t="shared" si="14"/>
        <v/>
      </c>
      <c r="J260" s="165" t="e">
        <f t="shared" si="17"/>
        <v>#NUM!</v>
      </c>
      <c r="K260" s="165" t="e">
        <f t="shared" si="15"/>
        <v>#NUM!</v>
      </c>
      <c r="L260" s="165"/>
      <c r="M260" s="167">
        <f t="shared" si="16"/>
        <v>0</v>
      </c>
    </row>
    <row r="261" spans="1:13" x14ac:dyDescent="0.25">
      <c r="A261" s="182"/>
      <c r="G261" s="153"/>
      <c r="H261" s="165">
        <v>256</v>
      </c>
      <c r="I261" s="166" t="str">
        <f t="shared" si="14"/>
        <v/>
      </c>
      <c r="J261" s="165" t="e">
        <f t="shared" si="17"/>
        <v>#NUM!</v>
      </c>
      <c r="K261" s="165" t="e">
        <f t="shared" si="15"/>
        <v>#NUM!</v>
      </c>
      <c r="L261" s="165"/>
      <c r="M261" s="167">
        <f t="shared" si="16"/>
        <v>0</v>
      </c>
    </row>
    <row r="262" spans="1:13" x14ac:dyDescent="0.25">
      <c r="A262" s="182"/>
      <c r="G262" s="153"/>
      <c r="H262" s="165">
        <v>257</v>
      </c>
      <c r="I262" s="166" t="str">
        <f t="shared" ref="I262:I305" si="18">IF(H262&lt;$H$2+1,($I$2-($I$2-1)*(LOG(H262)/LOG($H$2))),"")</f>
        <v/>
      </c>
      <c r="J262" s="165" t="e">
        <f t="shared" si="17"/>
        <v>#NUM!</v>
      </c>
      <c r="K262" s="165" t="e">
        <f t="shared" ref="K262:K305" si="19">J262*$J$2</f>
        <v>#NUM!</v>
      </c>
      <c r="L262" s="165"/>
      <c r="M262" s="167">
        <f t="shared" ref="M262:M305" si="20">IF(I262&lt;&gt;"",K262+I262+L262,0)</f>
        <v>0</v>
      </c>
    </row>
    <row r="263" spans="1:13" x14ac:dyDescent="0.25">
      <c r="A263" s="182"/>
      <c r="G263" s="153"/>
      <c r="H263" s="165">
        <v>258</v>
      </c>
      <c r="I263" s="166" t="str">
        <f t="shared" si="18"/>
        <v/>
      </c>
      <c r="J263" s="165" t="e">
        <f t="shared" ref="J263:J326" si="21">INT(LOG($H$2,2))-ROUNDUP(LOG(H263,2),0)+IF(OR($H$2=1,$H$2=2,$H$2=4,$H$2=8,$H$2=16,$H$2=32,$H$2=64,$H$2=128,$H$2=256),0,1)</f>
        <v>#NUM!</v>
      </c>
      <c r="K263" s="165" t="e">
        <f t="shared" si="19"/>
        <v>#NUM!</v>
      </c>
      <c r="L263" s="165"/>
      <c r="M263" s="167">
        <f t="shared" si="20"/>
        <v>0</v>
      </c>
    </row>
    <row r="264" spans="1:13" x14ac:dyDescent="0.25">
      <c r="A264" s="182"/>
      <c r="G264" s="153"/>
      <c r="H264" s="165">
        <v>259</v>
      </c>
      <c r="I264" s="166" t="str">
        <f t="shared" si="18"/>
        <v/>
      </c>
      <c r="J264" s="165" t="e">
        <f t="shared" si="21"/>
        <v>#NUM!</v>
      </c>
      <c r="K264" s="165" t="e">
        <f t="shared" si="19"/>
        <v>#NUM!</v>
      </c>
      <c r="L264" s="165"/>
      <c r="M264" s="167">
        <f t="shared" si="20"/>
        <v>0</v>
      </c>
    </row>
    <row r="265" spans="1:13" x14ac:dyDescent="0.25">
      <c r="A265" s="182"/>
      <c r="G265" s="153"/>
      <c r="H265" s="165">
        <v>260</v>
      </c>
      <c r="I265" s="166" t="str">
        <f t="shared" si="18"/>
        <v/>
      </c>
      <c r="J265" s="165" t="e">
        <f t="shared" si="21"/>
        <v>#NUM!</v>
      </c>
      <c r="K265" s="165" t="e">
        <f t="shared" si="19"/>
        <v>#NUM!</v>
      </c>
      <c r="L265" s="165"/>
      <c r="M265" s="167">
        <f t="shared" si="20"/>
        <v>0</v>
      </c>
    </row>
    <row r="266" spans="1:13" x14ac:dyDescent="0.25">
      <c r="A266" s="182"/>
      <c r="G266" s="153"/>
      <c r="H266" s="165">
        <v>261</v>
      </c>
      <c r="I266" s="166" t="str">
        <f t="shared" si="18"/>
        <v/>
      </c>
      <c r="J266" s="165" t="e">
        <f t="shared" si="21"/>
        <v>#NUM!</v>
      </c>
      <c r="K266" s="165" t="e">
        <f t="shared" si="19"/>
        <v>#NUM!</v>
      </c>
      <c r="L266" s="165"/>
      <c r="M266" s="167">
        <f t="shared" si="20"/>
        <v>0</v>
      </c>
    </row>
    <row r="267" spans="1:13" x14ac:dyDescent="0.25">
      <c r="A267" s="182"/>
      <c r="G267" s="153"/>
      <c r="H267" s="165">
        <v>262</v>
      </c>
      <c r="I267" s="166" t="str">
        <f t="shared" si="18"/>
        <v/>
      </c>
      <c r="J267" s="165" t="e">
        <f t="shared" si="21"/>
        <v>#NUM!</v>
      </c>
      <c r="K267" s="165" t="e">
        <f t="shared" si="19"/>
        <v>#NUM!</v>
      </c>
      <c r="L267" s="165"/>
      <c r="M267" s="167">
        <f t="shared" si="20"/>
        <v>0</v>
      </c>
    </row>
    <row r="268" spans="1:13" x14ac:dyDescent="0.25">
      <c r="A268" s="182"/>
      <c r="G268" s="153"/>
      <c r="H268" s="165">
        <v>263</v>
      </c>
      <c r="I268" s="166" t="str">
        <f t="shared" si="18"/>
        <v/>
      </c>
      <c r="J268" s="165" t="e">
        <f t="shared" si="21"/>
        <v>#NUM!</v>
      </c>
      <c r="K268" s="165" t="e">
        <f t="shared" si="19"/>
        <v>#NUM!</v>
      </c>
      <c r="L268" s="165"/>
      <c r="M268" s="167">
        <f t="shared" si="20"/>
        <v>0</v>
      </c>
    </row>
    <row r="269" spans="1:13" x14ac:dyDescent="0.25">
      <c r="A269" s="182"/>
      <c r="G269" s="153"/>
      <c r="H269" s="165">
        <v>264</v>
      </c>
      <c r="I269" s="166" t="str">
        <f t="shared" si="18"/>
        <v/>
      </c>
      <c r="J269" s="165" t="e">
        <f t="shared" si="21"/>
        <v>#NUM!</v>
      </c>
      <c r="K269" s="165" t="e">
        <f t="shared" si="19"/>
        <v>#NUM!</v>
      </c>
      <c r="L269" s="165"/>
      <c r="M269" s="167">
        <f t="shared" si="20"/>
        <v>0</v>
      </c>
    </row>
    <row r="270" spans="1:13" x14ac:dyDescent="0.25">
      <c r="A270" s="182"/>
      <c r="G270" s="153"/>
      <c r="H270" s="165">
        <v>265</v>
      </c>
      <c r="I270" s="166" t="str">
        <f t="shared" si="18"/>
        <v/>
      </c>
      <c r="J270" s="165" t="e">
        <f t="shared" si="21"/>
        <v>#NUM!</v>
      </c>
      <c r="K270" s="165" t="e">
        <f t="shared" si="19"/>
        <v>#NUM!</v>
      </c>
      <c r="L270" s="165"/>
      <c r="M270" s="167">
        <f t="shared" si="20"/>
        <v>0</v>
      </c>
    </row>
    <row r="271" spans="1:13" x14ac:dyDescent="0.25">
      <c r="A271" s="182"/>
      <c r="G271" s="153"/>
      <c r="H271" s="165">
        <v>266</v>
      </c>
      <c r="I271" s="166" t="str">
        <f t="shared" si="18"/>
        <v/>
      </c>
      <c r="J271" s="165" t="e">
        <f t="shared" si="21"/>
        <v>#NUM!</v>
      </c>
      <c r="K271" s="165" t="e">
        <f t="shared" si="19"/>
        <v>#NUM!</v>
      </c>
      <c r="L271" s="165"/>
      <c r="M271" s="167">
        <f t="shared" si="20"/>
        <v>0</v>
      </c>
    </row>
    <row r="272" spans="1:13" x14ac:dyDescent="0.25">
      <c r="A272" s="182"/>
      <c r="G272" s="153"/>
      <c r="H272" s="165">
        <v>267</v>
      </c>
      <c r="I272" s="166" t="str">
        <f t="shared" si="18"/>
        <v/>
      </c>
      <c r="J272" s="165" t="e">
        <f t="shared" si="21"/>
        <v>#NUM!</v>
      </c>
      <c r="K272" s="165" t="e">
        <f t="shared" si="19"/>
        <v>#NUM!</v>
      </c>
      <c r="L272" s="165"/>
      <c r="M272" s="167">
        <f t="shared" si="20"/>
        <v>0</v>
      </c>
    </row>
    <row r="273" spans="1:13" x14ac:dyDescent="0.25">
      <c r="A273" s="182"/>
      <c r="G273" s="153"/>
      <c r="H273" s="165">
        <v>268</v>
      </c>
      <c r="I273" s="166" t="str">
        <f t="shared" si="18"/>
        <v/>
      </c>
      <c r="J273" s="165" t="e">
        <f t="shared" si="21"/>
        <v>#NUM!</v>
      </c>
      <c r="K273" s="165" t="e">
        <f t="shared" si="19"/>
        <v>#NUM!</v>
      </c>
      <c r="L273" s="165"/>
      <c r="M273" s="167">
        <f t="shared" si="20"/>
        <v>0</v>
      </c>
    </row>
    <row r="274" spans="1:13" x14ac:dyDescent="0.25">
      <c r="A274" s="182"/>
      <c r="G274" s="153"/>
      <c r="H274" s="165">
        <v>269</v>
      </c>
      <c r="I274" s="166" t="str">
        <f t="shared" si="18"/>
        <v/>
      </c>
      <c r="J274" s="165" t="e">
        <f t="shared" si="21"/>
        <v>#NUM!</v>
      </c>
      <c r="K274" s="165" t="e">
        <f t="shared" si="19"/>
        <v>#NUM!</v>
      </c>
      <c r="L274" s="165"/>
      <c r="M274" s="167">
        <f t="shared" si="20"/>
        <v>0</v>
      </c>
    </row>
    <row r="275" spans="1:13" x14ac:dyDescent="0.25">
      <c r="A275" s="182"/>
      <c r="G275" s="153"/>
      <c r="H275" s="165">
        <v>270</v>
      </c>
      <c r="I275" s="166" t="str">
        <f t="shared" si="18"/>
        <v/>
      </c>
      <c r="J275" s="165" t="e">
        <f t="shared" si="21"/>
        <v>#NUM!</v>
      </c>
      <c r="K275" s="165" t="e">
        <f t="shared" si="19"/>
        <v>#NUM!</v>
      </c>
      <c r="L275" s="165"/>
      <c r="M275" s="167">
        <f t="shared" si="20"/>
        <v>0</v>
      </c>
    </row>
    <row r="276" spans="1:13" x14ac:dyDescent="0.25">
      <c r="A276" s="182"/>
      <c r="G276" s="153"/>
      <c r="H276" s="165">
        <v>271</v>
      </c>
      <c r="I276" s="166" t="str">
        <f t="shared" si="18"/>
        <v/>
      </c>
      <c r="J276" s="165" t="e">
        <f t="shared" si="21"/>
        <v>#NUM!</v>
      </c>
      <c r="K276" s="165" t="e">
        <f t="shared" si="19"/>
        <v>#NUM!</v>
      </c>
      <c r="L276" s="165"/>
      <c r="M276" s="167">
        <f t="shared" si="20"/>
        <v>0</v>
      </c>
    </row>
    <row r="277" spans="1:13" x14ac:dyDescent="0.25">
      <c r="A277" s="182"/>
      <c r="G277" s="153"/>
      <c r="H277" s="165">
        <v>272</v>
      </c>
      <c r="I277" s="166" t="str">
        <f t="shared" si="18"/>
        <v/>
      </c>
      <c r="J277" s="165" t="e">
        <f t="shared" si="21"/>
        <v>#NUM!</v>
      </c>
      <c r="K277" s="165" t="e">
        <f t="shared" si="19"/>
        <v>#NUM!</v>
      </c>
      <c r="L277" s="165"/>
      <c r="M277" s="167">
        <f t="shared" si="20"/>
        <v>0</v>
      </c>
    </row>
    <row r="278" spans="1:13" x14ac:dyDescent="0.25">
      <c r="A278" s="182"/>
      <c r="G278" s="153"/>
      <c r="H278" s="165">
        <v>273</v>
      </c>
      <c r="I278" s="166" t="str">
        <f t="shared" si="18"/>
        <v/>
      </c>
      <c r="J278" s="165" t="e">
        <f t="shared" si="21"/>
        <v>#NUM!</v>
      </c>
      <c r="K278" s="165" t="e">
        <f t="shared" si="19"/>
        <v>#NUM!</v>
      </c>
      <c r="L278" s="165"/>
      <c r="M278" s="167">
        <f t="shared" si="20"/>
        <v>0</v>
      </c>
    </row>
    <row r="279" spans="1:13" x14ac:dyDescent="0.25">
      <c r="A279" s="182"/>
      <c r="G279" s="153"/>
      <c r="H279" s="165">
        <v>274</v>
      </c>
      <c r="I279" s="166" t="str">
        <f t="shared" si="18"/>
        <v/>
      </c>
      <c r="J279" s="165" t="e">
        <f t="shared" si="21"/>
        <v>#NUM!</v>
      </c>
      <c r="K279" s="165" t="e">
        <f t="shared" si="19"/>
        <v>#NUM!</v>
      </c>
      <c r="L279" s="165"/>
      <c r="M279" s="167">
        <f t="shared" si="20"/>
        <v>0</v>
      </c>
    </row>
    <row r="280" spans="1:13" x14ac:dyDescent="0.25">
      <c r="A280" s="182"/>
      <c r="G280" s="153"/>
      <c r="H280" s="165">
        <v>275</v>
      </c>
      <c r="I280" s="166" t="str">
        <f t="shared" si="18"/>
        <v/>
      </c>
      <c r="J280" s="165" t="e">
        <f t="shared" si="21"/>
        <v>#NUM!</v>
      </c>
      <c r="K280" s="165" t="e">
        <f t="shared" si="19"/>
        <v>#NUM!</v>
      </c>
      <c r="L280" s="165"/>
      <c r="M280" s="167">
        <f t="shared" si="20"/>
        <v>0</v>
      </c>
    </row>
    <row r="281" spans="1:13" x14ac:dyDescent="0.25">
      <c r="A281" s="182"/>
      <c r="G281" s="153"/>
      <c r="H281" s="165">
        <v>276</v>
      </c>
      <c r="I281" s="166" t="str">
        <f t="shared" si="18"/>
        <v/>
      </c>
      <c r="J281" s="165" t="e">
        <f t="shared" si="21"/>
        <v>#NUM!</v>
      </c>
      <c r="K281" s="165" t="e">
        <f t="shared" si="19"/>
        <v>#NUM!</v>
      </c>
      <c r="L281" s="165"/>
      <c r="M281" s="167">
        <f t="shared" si="20"/>
        <v>0</v>
      </c>
    </row>
    <row r="282" spans="1:13" x14ac:dyDescent="0.25">
      <c r="A282" s="182"/>
      <c r="G282" s="153"/>
      <c r="H282" s="165">
        <v>277</v>
      </c>
      <c r="I282" s="166" t="str">
        <f t="shared" si="18"/>
        <v/>
      </c>
      <c r="J282" s="165" t="e">
        <f t="shared" si="21"/>
        <v>#NUM!</v>
      </c>
      <c r="K282" s="165" t="e">
        <f t="shared" si="19"/>
        <v>#NUM!</v>
      </c>
      <c r="L282" s="165"/>
      <c r="M282" s="167">
        <f t="shared" si="20"/>
        <v>0</v>
      </c>
    </row>
    <row r="283" spans="1:13" x14ac:dyDescent="0.25">
      <c r="A283" s="182"/>
      <c r="G283" s="153"/>
      <c r="H283" s="165">
        <v>278</v>
      </c>
      <c r="I283" s="166" t="str">
        <f t="shared" si="18"/>
        <v/>
      </c>
      <c r="J283" s="165" t="e">
        <f t="shared" si="21"/>
        <v>#NUM!</v>
      </c>
      <c r="K283" s="165" t="e">
        <f t="shared" si="19"/>
        <v>#NUM!</v>
      </c>
      <c r="L283" s="165"/>
      <c r="M283" s="167">
        <f t="shared" si="20"/>
        <v>0</v>
      </c>
    </row>
    <row r="284" spans="1:13" x14ac:dyDescent="0.25">
      <c r="A284" s="182"/>
      <c r="G284" s="153"/>
      <c r="H284" s="165">
        <v>279</v>
      </c>
      <c r="I284" s="166" t="str">
        <f t="shared" si="18"/>
        <v/>
      </c>
      <c r="J284" s="165" t="e">
        <f t="shared" si="21"/>
        <v>#NUM!</v>
      </c>
      <c r="K284" s="165" t="e">
        <f t="shared" si="19"/>
        <v>#NUM!</v>
      </c>
      <c r="L284" s="165"/>
      <c r="M284" s="167">
        <f t="shared" si="20"/>
        <v>0</v>
      </c>
    </row>
    <row r="285" spans="1:13" x14ac:dyDescent="0.25">
      <c r="A285" s="182"/>
      <c r="G285" s="153"/>
      <c r="H285" s="165">
        <v>280</v>
      </c>
      <c r="I285" s="166" t="str">
        <f t="shared" si="18"/>
        <v/>
      </c>
      <c r="J285" s="165" t="e">
        <f t="shared" si="21"/>
        <v>#NUM!</v>
      </c>
      <c r="K285" s="165" t="e">
        <f t="shared" si="19"/>
        <v>#NUM!</v>
      </c>
      <c r="L285" s="165"/>
      <c r="M285" s="167">
        <f t="shared" si="20"/>
        <v>0</v>
      </c>
    </row>
    <row r="286" spans="1:13" x14ac:dyDescent="0.25">
      <c r="A286" s="182"/>
      <c r="G286" s="153"/>
      <c r="H286" s="165">
        <v>281</v>
      </c>
      <c r="I286" s="166" t="str">
        <f t="shared" si="18"/>
        <v/>
      </c>
      <c r="J286" s="165" t="e">
        <f t="shared" si="21"/>
        <v>#NUM!</v>
      </c>
      <c r="K286" s="165" t="e">
        <f t="shared" si="19"/>
        <v>#NUM!</v>
      </c>
      <c r="L286" s="165"/>
      <c r="M286" s="167">
        <f t="shared" si="20"/>
        <v>0</v>
      </c>
    </row>
    <row r="287" spans="1:13" x14ac:dyDescent="0.25">
      <c r="A287" s="182"/>
      <c r="G287" s="153"/>
      <c r="H287" s="165">
        <v>282</v>
      </c>
      <c r="I287" s="166" t="str">
        <f t="shared" si="18"/>
        <v/>
      </c>
      <c r="J287" s="165" t="e">
        <f t="shared" si="21"/>
        <v>#NUM!</v>
      </c>
      <c r="K287" s="165" t="e">
        <f t="shared" si="19"/>
        <v>#NUM!</v>
      </c>
      <c r="L287" s="165"/>
      <c r="M287" s="167">
        <f t="shared" si="20"/>
        <v>0</v>
      </c>
    </row>
    <row r="288" spans="1:13" x14ac:dyDescent="0.25">
      <c r="A288" s="182"/>
      <c r="G288" s="153"/>
      <c r="H288" s="165">
        <v>283</v>
      </c>
      <c r="I288" s="166" t="str">
        <f t="shared" si="18"/>
        <v/>
      </c>
      <c r="J288" s="165" t="e">
        <f t="shared" si="21"/>
        <v>#NUM!</v>
      </c>
      <c r="K288" s="165" t="e">
        <f t="shared" si="19"/>
        <v>#NUM!</v>
      </c>
      <c r="L288" s="165"/>
      <c r="M288" s="167">
        <f t="shared" si="20"/>
        <v>0</v>
      </c>
    </row>
    <row r="289" spans="1:13" x14ac:dyDescent="0.25">
      <c r="A289" s="182"/>
      <c r="G289" s="153"/>
      <c r="H289" s="165">
        <v>284</v>
      </c>
      <c r="I289" s="166" t="str">
        <f t="shared" si="18"/>
        <v/>
      </c>
      <c r="J289" s="165" t="e">
        <f t="shared" si="21"/>
        <v>#NUM!</v>
      </c>
      <c r="K289" s="165" t="e">
        <f t="shared" si="19"/>
        <v>#NUM!</v>
      </c>
      <c r="L289" s="165"/>
      <c r="M289" s="167">
        <f t="shared" si="20"/>
        <v>0</v>
      </c>
    </row>
    <row r="290" spans="1:13" x14ac:dyDescent="0.25">
      <c r="A290" s="182"/>
      <c r="G290" s="153"/>
      <c r="H290" s="165">
        <v>285</v>
      </c>
      <c r="I290" s="166" t="str">
        <f t="shared" si="18"/>
        <v/>
      </c>
      <c r="J290" s="165" t="e">
        <f t="shared" si="21"/>
        <v>#NUM!</v>
      </c>
      <c r="K290" s="165" t="e">
        <f t="shared" si="19"/>
        <v>#NUM!</v>
      </c>
      <c r="L290" s="165"/>
      <c r="M290" s="167">
        <f t="shared" si="20"/>
        <v>0</v>
      </c>
    </row>
    <row r="291" spans="1:13" x14ac:dyDescent="0.25">
      <c r="A291" s="182"/>
      <c r="G291" s="153"/>
      <c r="H291" s="165">
        <v>286</v>
      </c>
      <c r="I291" s="166" t="str">
        <f t="shared" si="18"/>
        <v/>
      </c>
      <c r="J291" s="165" t="e">
        <f t="shared" si="21"/>
        <v>#NUM!</v>
      </c>
      <c r="K291" s="165" t="e">
        <f t="shared" si="19"/>
        <v>#NUM!</v>
      </c>
      <c r="L291" s="165"/>
      <c r="M291" s="167">
        <f t="shared" si="20"/>
        <v>0</v>
      </c>
    </row>
    <row r="292" spans="1:13" x14ac:dyDescent="0.25">
      <c r="A292" s="182"/>
      <c r="G292" s="153"/>
      <c r="H292" s="165">
        <v>287</v>
      </c>
      <c r="I292" s="166" t="str">
        <f t="shared" si="18"/>
        <v/>
      </c>
      <c r="J292" s="165" t="e">
        <f t="shared" si="21"/>
        <v>#NUM!</v>
      </c>
      <c r="K292" s="165" t="e">
        <f t="shared" si="19"/>
        <v>#NUM!</v>
      </c>
      <c r="L292" s="165"/>
      <c r="M292" s="167">
        <f t="shared" si="20"/>
        <v>0</v>
      </c>
    </row>
    <row r="293" spans="1:13" x14ac:dyDescent="0.25">
      <c r="A293" s="182"/>
      <c r="G293" s="153"/>
      <c r="H293" s="165">
        <v>288</v>
      </c>
      <c r="I293" s="166" t="str">
        <f t="shared" si="18"/>
        <v/>
      </c>
      <c r="J293" s="165" t="e">
        <f t="shared" si="21"/>
        <v>#NUM!</v>
      </c>
      <c r="K293" s="165" t="e">
        <f t="shared" si="19"/>
        <v>#NUM!</v>
      </c>
      <c r="L293" s="165"/>
      <c r="M293" s="167">
        <f t="shared" si="20"/>
        <v>0</v>
      </c>
    </row>
    <row r="294" spans="1:13" x14ac:dyDescent="0.25">
      <c r="A294" s="182"/>
      <c r="G294" s="153"/>
      <c r="H294" s="165">
        <v>289</v>
      </c>
      <c r="I294" s="166" t="str">
        <f t="shared" si="18"/>
        <v/>
      </c>
      <c r="J294" s="165" t="e">
        <f t="shared" si="21"/>
        <v>#NUM!</v>
      </c>
      <c r="K294" s="165" t="e">
        <f t="shared" si="19"/>
        <v>#NUM!</v>
      </c>
      <c r="L294" s="165"/>
      <c r="M294" s="167">
        <f t="shared" si="20"/>
        <v>0</v>
      </c>
    </row>
    <row r="295" spans="1:13" x14ac:dyDescent="0.25">
      <c r="A295" s="182"/>
      <c r="G295" s="153"/>
      <c r="H295" s="165">
        <v>290</v>
      </c>
      <c r="I295" s="166" t="str">
        <f t="shared" si="18"/>
        <v/>
      </c>
      <c r="J295" s="165" t="e">
        <f t="shared" si="21"/>
        <v>#NUM!</v>
      </c>
      <c r="K295" s="165" t="e">
        <f t="shared" si="19"/>
        <v>#NUM!</v>
      </c>
      <c r="L295" s="165"/>
      <c r="M295" s="167">
        <f t="shared" si="20"/>
        <v>0</v>
      </c>
    </row>
    <row r="296" spans="1:13" x14ac:dyDescent="0.25">
      <c r="A296" s="182"/>
      <c r="G296" s="153"/>
      <c r="H296" s="165">
        <v>291</v>
      </c>
      <c r="I296" s="166" t="str">
        <f t="shared" si="18"/>
        <v/>
      </c>
      <c r="J296" s="165" t="e">
        <f t="shared" si="21"/>
        <v>#NUM!</v>
      </c>
      <c r="K296" s="165" t="e">
        <f t="shared" si="19"/>
        <v>#NUM!</v>
      </c>
      <c r="L296" s="165"/>
      <c r="M296" s="167">
        <f t="shared" si="20"/>
        <v>0</v>
      </c>
    </row>
    <row r="297" spans="1:13" x14ac:dyDescent="0.25">
      <c r="A297" s="182"/>
      <c r="G297" s="153"/>
      <c r="H297" s="165">
        <v>292</v>
      </c>
      <c r="I297" s="166" t="str">
        <f t="shared" si="18"/>
        <v/>
      </c>
      <c r="J297" s="165" t="e">
        <f t="shared" si="21"/>
        <v>#NUM!</v>
      </c>
      <c r="K297" s="165" t="e">
        <f t="shared" si="19"/>
        <v>#NUM!</v>
      </c>
      <c r="L297" s="165"/>
      <c r="M297" s="167">
        <f t="shared" si="20"/>
        <v>0</v>
      </c>
    </row>
    <row r="298" spans="1:13" x14ac:dyDescent="0.25">
      <c r="A298" s="182"/>
      <c r="G298" s="153"/>
      <c r="H298" s="165">
        <v>293</v>
      </c>
      <c r="I298" s="166" t="str">
        <f t="shared" si="18"/>
        <v/>
      </c>
      <c r="J298" s="165" t="e">
        <f t="shared" si="21"/>
        <v>#NUM!</v>
      </c>
      <c r="K298" s="165" t="e">
        <f t="shared" si="19"/>
        <v>#NUM!</v>
      </c>
      <c r="L298" s="165"/>
      <c r="M298" s="167">
        <f t="shared" si="20"/>
        <v>0</v>
      </c>
    </row>
    <row r="299" spans="1:13" x14ac:dyDescent="0.25">
      <c r="A299" s="182"/>
      <c r="G299" s="153"/>
      <c r="H299" s="165">
        <v>294</v>
      </c>
      <c r="I299" s="166" t="str">
        <f t="shared" si="18"/>
        <v/>
      </c>
      <c r="J299" s="165" t="e">
        <f t="shared" si="21"/>
        <v>#NUM!</v>
      </c>
      <c r="K299" s="165" t="e">
        <f t="shared" si="19"/>
        <v>#NUM!</v>
      </c>
      <c r="L299" s="165"/>
      <c r="M299" s="167">
        <f t="shared" si="20"/>
        <v>0</v>
      </c>
    </row>
    <row r="300" spans="1:13" x14ac:dyDescent="0.25">
      <c r="A300" s="182"/>
      <c r="G300" s="153"/>
      <c r="H300" s="165">
        <v>295</v>
      </c>
      <c r="I300" s="166" t="str">
        <f t="shared" si="18"/>
        <v/>
      </c>
      <c r="J300" s="165" t="e">
        <f t="shared" si="21"/>
        <v>#NUM!</v>
      </c>
      <c r="K300" s="165" t="e">
        <f t="shared" si="19"/>
        <v>#NUM!</v>
      </c>
      <c r="L300" s="165"/>
      <c r="M300" s="167">
        <f t="shared" si="20"/>
        <v>0</v>
      </c>
    </row>
    <row r="301" spans="1:13" x14ac:dyDescent="0.25">
      <c r="A301" s="182"/>
      <c r="G301" s="153"/>
      <c r="H301" s="165">
        <v>296</v>
      </c>
      <c r="I301" s="166" t="str">
        <f t="shared" si="18"/>
        <v/>
      </c>
      <c r="J301" s="165" t="e">
        <f t="shared" si="21"/>
        <v>#NUM!</v>
      </c>
      <c r="K301" s="165" t="e">
        <f t="shared" si="19"/>
        <v>#NUM!</v>
      </c>
      <c r="L301" s="165"/>
      <c r="M301" s="167">
        <f t="shared" si="20"/>
        <v>0</v>
      </c>
    </row>
    <row r="302" spans="1:13" x14ac:dyDescent="0.25">
      <c r="A302" s="182"/>
      <c r="G302" s="153"/>
      <c r="H302" s="165">
        <v>297</v>
      </c>
      <c r="I302" s="166" t="str">
        <f t="shared" si="18"/>
        <v/>
      </c>
      <c r="J302" s="165" t="e">
        <f t="shared" si="21"/>
        <v>#NUM!</v>
      </c>
      <c r="K302" s="165" t="e">
        <f t="shared" si="19"/>
        <v>#NUM!</v>
      </c>
      <c r="L302" s="165"/>
      <c r="M302" s="167">
        <f t="shared" si="20"/>
        <v>0</v>
      </c>
    </row>
    <row r="303" spans="1:13" x14ac:dyDescent="0.25">
      <c r="A303" s="182"/>
      <c r="G303" s="153"/>
      <c r="H303" s="165">
        <v>298</v>
      </c>
      <c r="I303" s="166" t="str">
        <f t="shared" si="18"/>
        <v/>
      </c>
      <c r="J303" s="165" t="e">
        <f t="shared" si="21"/>
        <v>#NUM!</v>
      </c>
      <c r="K303" s="165" t="e">
        <f t="shared" si="19"/>
        <v>#NUM!</v>
      </c>
      <c r="L303" s="165"/>
      <c r="M303" s="167">
        <f t="shared" si="20"/>
        <v>0</v>
      </c>
    </row>
    <row r="304" spans="1:13" x14ac:dyDescent="0.25">
      <c r="A304" s="182"/>
      <c r="G304" s="153"/>
      <c r="H304" s="165">
        <v>299</v>
      </c>
      <c r="I304" s="166" t="str">
        <f t="shared" si="18"/>
        <v/>
      </c>
      <c r="J304" s="165" t="e">
        <f t="shared" si="21"/>
        <v>#NUM!</v>
      </c>
      <c r="K304" s="165" t="e">
        <f t="shared" si="19"/>
        <v>#NUM!</v>
      </c>
      <c r="L304" s="165"/>
      <c r="M304" s="167">
        <f t="shared" si="20"/>
        <v>0</v>
      </c>
    </row>
    <row r="305" spans="1:16" x14ac:dyDescent="0.25">
      <c r="A305" s="182"/>
      <c r="G305" s="153"/>
      <c r="H305" s="165">
        <v>300</v>
      </c>
      <c r="I305" s="166" t="str">
        <f t="shared" si="18"/>
        <v/>
      </c>
      <c r="J305" s="165" t="e">
        <f t="shared" si="21"/>
        <v>#NUM!</v>
      </c>
      <c r="K305" s="165" t="e">
        <f t="shared" si="19"/>
        <v>#NUM!</v>
      </c>
      <c r="L305" s="165"/>
      <c r="M305" s="167">
        <f t="shared" si="20"/>
        <v>0</v>
      </c>
    </row>
    <row r="306" spans="1:16" x14ac:dyDescent="0.25">
      <c r="A306" s="183"/>
      <c r="J306" s="184" t="e">
        <f t="shared" si="21"/>
        <v>#NUM!</v>
      </c>
    </row>
    <row r="307" spans="1:16" x14ac:dyDescent="0.25">
      <c r="J307" s="184" t="e">
        <f t="shared" si="21"/>
        <v>#NUM!</v>
      </c>
    </row>
    <row r="308" spans="1:16" x14ac:dyDescent="0.25">
      <c r="J308" s="184" t="e">
        <f t="shared" si="21"/>
        <v>#NUM!</v>
      </c>
    </row>
    <row r="309" spans="1:16" x14ac:dyDescent="0.25">
      <c r="J309" s="184" t="e">
        <f t="shared" si="21"/>
        <v>#NUM!</v>
      </c>
    </row>
    <row r="310" spans="1:16" x14ac:dyDescent="0.25">
      <c r="J310" s="184" t="e">
        <f t="shared" si="21"/>
        <v>#NUM!</v>
      </c>
    </row>
    <row r="311" spans="1:16" x14ac:dyDescent="0.25">
      <c r="J311" s="184" t="e">
        <f t="shared" si="21"/>
        <v>#NUM!</v>
      </c>
    </row>
    <row r="312" spans="1:16" x14ac:dyDescent="0.25">
      <c r="J312" s="184" t="e">
        <f t="shared" si="21"/>
        <v>#NUM!</v>
      </c>
    </row>
    <row r="313" spans="1:16" x14ac:dyDescent="0.25">
      <c r="J313" s="184" t="e">
        <f t="shared" si="21"/>
        <v>#NUM!</v>
      </c>
    </row>
    <row r="314" spans="1:16" x14ac:dyDescent="0.25">
      <c r="J314" s="184" t="e">
        <f t="shared" si="21"/>
        <v>#NUM!</v>
      </c>
      <c r="L314" s="186"/>
      <c r="P314" s="176"/>
    </row>
    <row r="315" spans="1:16" x14ac:dyDescent="0.25">
      <c r="J315" s="184" t="e">
        <f t="shared" si="21"/>
        <v>#NUM!</v>
      </c>
      <c r="L315" s="186"/>
      <c r="P315" s="176"/>
    </row>
    <row r="316" spans="1:16" x14ac:dyDescent="0.25">
      <c r="J316" s="184" t="e">
        <f t="shared" si="21"/>
        <v>#NUM!</v>
      </c>
      <c r="L316" s="186"/>
      <c r="P316" s="176"/>
    </row>
    <row r="317" spans="1:16" x14ac:dyDescent="0.25">
      <c r="J317" s="184" t="e">
        <f t="shared" si="21"/>
        <v>#NUM!</v>
      </c>
      <c r="L317" s="186"/>
      <c r="P317" s="176"/>
    </row>
    <row r="318" spans="1:16" x14ac:dyDescent="0.25">
      <c r="J318" s="184" t="e">
        <f t="shared" si="21"/>
        <v>#NUM!</v>
      </c>
    </row>
    <row r="319" spans="1:16" x14ac:dyDescent="0.25">
      <c r="J319" s="184" t="e">
        <f t="shared" si="21"/>
        <v>#NUM!</v>
      </c>
    </row>
    <row r="320" spans="1:16" x14ac:dyDescent="0.25">
      <c r="J320" s="184" t="e">
        <f t="shared" si="21"/>
        <v>#NUM!</v>
      </c>
    </row>
    <row r="321" spans="10:10" x14ac:dyDescent="0.25">
      <c r="J321" s="184" t="e">
        <f t="shared" si="21"/>
        <v>#NUM!</v>
      </c>
    </row>
    <row r="322" spans="10:10" x14ac:dyDescent="0.25">
      <c r="J322" s="184" t="e">
        <f t="shared" si="21"/>
        <v>#NUM!</v>
      </c>
    </row>
    <row r="323" spans="10:10" x14ac:dyDescent="0.25">
      <c r="J323" s="184" t="e">
        <f t="shared" si="21"/>
        <v>#NUM!</v>
      </c>
    </row>
    <row r="324" spans="10:10" x14ac:dyDescent="0.25">
      <c r="J324" s="184" t="e">
        <f t="shared" si="21"/>
        <v>#NUM!</v>
      </c>
    </row>
    <row r="325" spans="10:10" x14ac:dyDescent="0.25">
      <c r="J325" s="184" t="e">
        <f t="shared" si="21"/>
        <v>#NUM!</v>
      </c>
    </row>
    <row r="326" spans="10:10" x14ac:dyDescent="0.25">
      <c r="J326" s="184" t="e">
        <f t="shared" si="21"/>
        <v>#NUM!</v>
      </c>
    </row>
    <row r="327" spans="10:10" x14ac:dyDescent="0.25">
      <c r="J327" s="184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84" t="e">
        <f t="shared" si="22"/>
        <v>#NUM!</v>
      </c>
    </row>
    <row r="329" spans="10:10" x14ac:dyDescent="0.25">
      <c r="J329" s="184" t="e">
        <f t="shared" si="22"/>
        <v>#NUM!</v>
      </c>
    </row>
    <row r="330" spans="10:10" x14ac:dyDescent="0.25">
      <c r="J330" s="184" t="e">
        <f t="shared" si="22"/>
        <v>#NUM!</v>
      </c>
    </row>
    <row r="331" spans="10:10" x14ac:dyDescent="0.25">
      <c r="J331" s="184" t="e">
        <f t="shared" si="22"/>
        <v>#NUM!</v>
      </c>
    </row>
    <row r="332" spans="10:10" x14ac:dyDescent="0.25">
      <c r="J332" s="184" t="e">
        <f t="shared" si="22"/>
        <v>#NUM!</v>
      </c>
    </row>
    <row r="333" spans="10:10" x14ac:dyDescent="0.25">
      <c r="J333" s="184" t="e">
        <f t="shared" si="22"/>
        <v>#NUM!</v>
      </c>
    </row>
    <row r="334" spans="10:10" x14ac:dyDescent="0.25">
      <c r="J334" s="184" t="e">
        <f t="shared" si="22"/>
        <v>#NUM!</v>
      </c>
    </row>
    <row r="335" spans="10:10" x14ac:dyDescent="0.25">
      <c r="J335" s="184" t="e">
        <f t="shared" si="22"/>
        <v>#NUM!</v>
      </c>
    </row>
    <row r="336" spans="10:10" x14ac:dyDescent="0.25">
      <c r="J336" s="184" t="e">
        <f t="shared" si="22"/>
        <v>#NUM!</v>
      </c>
    </row>
    <row r="337" spans="10:10" x14ac:dyDescent="0.25">
      <c r="J337" s="184" t="e">
        <f t="shared" si="22"/>
        <v>#NUM!</v>
      </c>
    </row>
    <row r="338" spans="10:10" x14ac:dyDescent="0.25">
      <c r="J338" s="184" t="e">
        <f t="shared" si="22"/>
        <v>#NUM!</v>
      </c>
    </row>
    <row r="339" spans="10:10" x14ac:dyDescent="0.25">
      <c r="J339" s="184" t="e">
        <f t="shared" si="22"/>
        <v>#NUM!</v>
      </c>
    </row>
    <row r="340" spans="10:10" x14ac:dyDescent="0.25">
      <c r="J340" s="184" t="e">
        <f t="shared" si="22"/>
        <v>#NUM!</v>
      </c>
    </row>
    <row r="341" spans="10:10" x14ac:dyDescent="0.25">
      <c r="J341" s="184" t="e">
        <f t="shared" si="22"/>
        <v>#NUM!</v>
      </c>
    </row>
    <row r="342" spans="10:10" x14ac:dyDescent="0.25">
      <c r="J342" s="184" t="e">
        <f t="shared" si="22"/>
        <v>#NUM!</v>
      </c>
    </row>
    <row r="343" spans="10:10" x14ac:dyDescent="0.25">
      <c r="J343" s="184" t="e">
        <f t="shared" si="22"/>
        <v>#NUM!</v>
      </c>
    </row>
    <row r="344" spans="10:10" x14ac:dyDescent="0.25">
      <c r="J344" s="184" t="e">
        <f t="shared" si="22"/>
        <v>#NUM!</v>
      </c>
    </row>
    <row r="345" spans="10:10" x14ac:dyDescent="0.25">
      <c r="J345" s="184" t="e">
        <f t="shared" si="22"/>
        <v>#NUM!</v>
      </c>
    </row>
    <row r="346" spans="10:10" x14ac:dyDescent="0.25">
      <c r="J346" s="184" t="e">
        <f t="shared" si="22"/>
        <v>#NUM!</v>
      </c>
    </row>
    <row r="347" spans="10:10" x14ac:dyDescent="0.25">
      <c r="J347" s="184" t="e">
        <f t="shared" si="22"/>
        <v>#NUM!</v>
      </c>
    </row>
    <row r="348" spans="10:10" x14ac:dyDescent="0.25">
      <c r="J348" s="184" t="e">
        <f t="shared" si="22"/>
        <v>#NUM!</v>
      </c>
    </row>
    <row r="349" spans="10:10" x14ac:dyDescent="0.25">
      <c r="J349" s="184" t="e">
        <f t="shared" si="22"/>
        <v>#NUM!</v>
      </c>
    </row>
    <row r="350" spans="10:10" x14ac:dyDescent="0.25">
      <c r="J350" s="184" t="e">
        <f t="shared" si="22"/>
        <v>#NUM!</v>
      </c>
    </row>
    <row r="351" spans="10:10" x14ac:dyDescent="0.25">
      <c r="J351" s="184" t="e">
        <f t="shared" si="22"/>
        <v>#NUM!</v>
      </c>
    </row>
    <row r="352" spans="10:10" x14ac:dyDescent="0.25">
      <c r="J352" s="184" t="e">
        <f t="shared" si="22"/>
        <v>#NUM!</v>
      </c>
    </row>
    <row r="353" spans="10:10" x14ac:dyDescent="0.25">
      <c r="J353" s="184" t="e">
        <f t="shared" si="22"/>
        <v>#NUM!</v>
      </c>
    </row>
    <row r="354" spans="10:10" x14ac:dyDescent="0.25">
      <c r="J354" s="184" t="e">
        <f t="shared" si="22"/>
        <v>#NUM!</v>
      </c>
    </row>
    <row r="355" spans="10:10" x14ac:dyDescent="0.25">
      <c r="J355" s="184" t="e">
        <f t="shared" si="22"/>
        <v>#NUM!</v>
      </c>
    </row>
    <row r="356" spans="10:10" x14ac:dyDescent="0.25">
      <c r="J356" s="184" t="e">
        <f t="shared" si="22"/>
        <v>#NUM!</v>
      </c>
    </row>
    <row r="357" spans="10:10" x14ac:dyDescent="0.25">
      <c r="J357" s="184" t="e">
        <f t="shared" si="22"/>
        <v>#NUM!</v>
      </c>
    </row>
    <row r="358" spans="10:10" x14ac:dyDescent="0.25">
      <c r="J358" s="184" t="e">
        <f t="shared" si="22"/>
        <v>#NUM!</v>
      </c>
    </row>
    <row r="359" spans="10:10" x14ac:dyDescent="0.25">
      <c r="J359" s="184" t="e">
        <f t="shared" si="22"/>
        <v>#NUM!</v>
      </c>
    </row>
    <row r="360" spans="10:10" x14ac:dyDescent="0.25">
      <c r="J360" s="184" t="e">
        <f t="shared" si="22"/>
        <v>#NUM!</v>
      </c>
    </row>
    <row r="361" spans="10:10" x14ac:dyDescent="0.25">
      <c r="J361" s="184" t="e">
        <f t="shared" si="22"/>
        <v>#NUM!</v>
      </c>
    </row>
    <row r="362" spans="10:10" x14ac:dyDescent="0.25">
      <c r="J362" s="184" t="e">
        <f t="shared" si="22"/>
        <v>#NUM!</v>
      </c>
    </row>
    <row r="363" spans="10:10" x14ac:dyDescent="0.25">
      <c r="J363" s="184" t="e">
        <f t="shared" si="22"/>
        <v>#NUM!</v>
      </c>
    </row>
    <row r="364" spans="10:10" x14ac:dyDescent="0.25">
      <c r="J364" s="184" t="e">
        <f t="shared" si="22"/>
        <v>#NUM!</v>
      </c>
    </row>
    <row r="365" spans="10:10" x14ac:dyDescent="0.25">
      <c r="J365" s="184" t="e">
        <f t="shared" si="22"/>
        <v>#NUM!</v>
      </c>
    </row>
    <row r="366" spans="10:10" x14ac:dyDescent="0.25">
      <c r="J366" s="184" t="e">
        <f t="shared" si="22"/>
        <v>#NUM!</v>
      </c>
    </row>
    <row r="367" spans="10:10" x14ac:dyDescent="0.25">
      <c r="J367" s="184" t="e">
        <f t="shared" si="22"/>
        <v>#NUM!</v>
      </c>
    </row>
    <row r="368" spans="10:10" x14ac:dyDescent="0.25">
      <c r="J368" s="184" t="e">
        <f t="shared" si="22"/>
        <v>#NUM!</v>
      </c>
    </row>
    <row r="369" spans="10:10" x14ac:dyDescent="0.25">
      <c r="J369" s="184" t="e">
        <f t="shared" si="22"/>
        <v>#NUM!</v>
      </c>
    </row>
    <row r="370" spans="10:10" x14ac:dyDescent="0.25">
      <c r="J370" s="184" t="e">
        <f t="shared" si="22"/>
        <v>#NUM!</v>
      </c>
    </row>
    <row r="371" spans="10:10" x14ac:dyDescent="0.25">
      <c r="J371" s="184" t="e">
        <f t="shared" si="22"/>
        <v>#NUM!</v>
      </c>
    </row>
    <row r="372" spans="10:10" x14ac:dyDescent="0.25">
      <c r="J372" s="184" t="e">
        <f t="shared" si="22"/>
        <v>#NUM!</v>
      </c>
    </row>
    <row r="373" spans="10:10" x14ac:dyDescent="0.25">
      <c r="J373" s="184" t="e">
        <f t="shared" si="22"/>
        <v>#NUM!</v>
      </c>
    </row>
    <row r="374" spans="10:10" x14ac:dyDescent="0.25">
      <c r="J374" s="184" t="e">
        <f t="shared" si="22"/>
        <v>#NUM!</v>
      </c>
    </row>
  </sheetData>
  <conditionalFormatting sqref="J9:K305">
    <cfRule type="cellIs" dxfId="9" priority="1" operator="lessThanOrEqual">
      <formula>0</formula>
    </cfRule>
  </conditionalFormatting>
  <hyperlinks>
    <hyperlink ref="C2" r:id="rId1" xr:uid="{936B2F33-87A9-4163-9DF5-4B33580977C3}"/>
  </hyperlinks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B5FA7-0957-40E9-AFFB-2F88F781F144}">
  <sheetPr>
    <tabColor rgb="FF92D050"/>
  </sheetPr>
  <dimension ref="A1:AL317"/>
  <sheetViews>
    <sheetView workbookViewId="0">
      <selection activeCell="C3" sqref="C3:D3"/>
    </sheetView>
  </sheetViews>
  <sheetFormatPr defaultColWidth="8.875" defaultRowHeight="14.3" x14ac:dyDescent="0.25"/>
  <cols>
    <col min="1" max="1" width="8" style="181" customWidth="1"/>
    <col min="2" max="2" width="8.25" style="181" customWidth="1"/>
    <col min="3" max="3" width="34.75" style="181" customWidth="1"/>
    <col min="4" max="4" width="11.25" style="181" customWidth="1"/>
    <col min="5" max="6" width="8.875" style="181"/>
    <col min="7" max="7" width="0.875" style="181" customWidth="1"/>
    <col min="8" max="8" width="8.875" style="184"/>
    <col min="9" max="9" width="11" style="184" customWidth="1"/>
    <col min="10" max="10" width="15" style="184" customWidth="1"/>
    <col min="11" max="11" width="8.75" style="184" customWidth="1"/>
    <col min="12" max="12" width="11" style="184" customWidth="1"/>
    <col min="13" max="13" width="11.75" style="185" customWidth="1"/>
    <col min="14" max="15" width="13.875" style="153" customWidth="1"/>
    <col min="16" max="18" width="8.875" style="153"/>
    <col min="19" max="20" width="8.875" style="158"/>
    <col min="21" max="21" width="12.125" style="158" customWidth="1"/>
    <col min="22" max="22" width="27.375" style="158" customWidth="1"/>
    <col min="23" max="38" width="8.875" style="158"/>
    <col min="39" max="16384" width="8.875" style="181"/>
  </cols>
  <sheetData>
    <row r="1" spans="1:36" x14ac:dyDescent="0.25">
      <c r="A1" s="153"/>
      <c r="B1" s="153"/>
      <c r="C1" s="153"/>
      <c r="D1" s="153"/>
      <c r="E1" s="153"/>
      <c r="F1" s="153"/>
      <c r="G1" s="153"/>
      <c r="H1" s="154" t="s">
        <v>13</v>
      </c>
      <c r="I1" s="155" t="s">
        <v>14</v>
      </c>
      <c r="J1" s="155" t="s">
        <v>15</v>
      </c>
      <c r="K1" s="156" t="s">
        <v>57</v>
      </c>
      <c r="L1" s="157"/>
      <c r="M1" s="157"/>
    </row>
    <row r="2" spans="1:36" x14ac:dyDescent="0.25">
      <c r="A2" s="153"/>
      <c r="B2" s="17" t="s">
        <v>17</v>
      </c>
      <c r="C2" s="263" t="s">
        <v>61</v>
      </c>
      <c r="D2" s="263"/>
      <c r="E2" s="18"/>
      <c r="F2" s="18"/>
      <c r="G2" s="18"/>
      <c r="H2" s="159">
        <v>17</v>
      </c>
      <c r="I2" s="160">
        <v>50</v>
      </c>
      <c r="J2" s="160">
        <v>10</v>
      </c>
      <c r="K2" s="161">
        <f>3*H2^(1/3)</f>
        <v>7.7138447719747054</v>
      </c>
      <c r="L2" s="157"/>
      <c r="M2" s="157"/>
    </row>
    <row r="3" spans="1:36" ht="14.45" customHeight="1" x14ac:dyDescent="0.25">
      <c r="A3" s="153"/>
      <c r="B3" s="162" t="s">
        <v>18</v>
      </c>
      <c r="C3" s="238" t="s">
        <v>101</v>
      </c>
      <c r="D3" s="238"/>
      <c r="E3" s="23"/>
      <c r="F3" s="23"/>
      <c r="G3" s="23"/>
      <c r="H3" s="157"/>
      <c r="I3" s="157"/>
      <c r="J3" s="157"/>
      <c r="K3" s="157"/>
      <c r="L3" s="157"/>
      <c r="M3" s="157"/>
    </row>
    <row r="4" spans="1:36" ht="10.199999999999999" customHeight="1" x14ac:dyDescent="0.25">
      <c r="A4" s="25"/>
      <c r="B4" s="23"/>
      <c r="C4" s="25"/>
      <c r="D4" s="25"/>
      <c r="E4" s="25"/>
      <c r="F4" s="25"/>
      <c r="G4" s="25"/>
      <c r="H4" s="157"/>
      <c r="I4" s="157"/>
      <c r="J4" s="157"/>
      <c r="K4" s="157"/>
      <c r="L4" s="157"/>
      <c r="M4" s="157"/>
    </row>
    <row r="5" spans="1:36" ht="34.65" x14ac:dyDescent="0.25">
      <c r="A5" s="1" t="s">
        <v>19</v>
      </c>
      <c r="B5" s="26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25"/>
      <c r="H5" s="163" t="s">
        <v>25</v>
      </c>
      <c r="I5" s="164" t="s">
        <v>26</v>
      </c>
      <c r="J5" s="164" t="s">
        <v>27</v>
      </c>
      <c r="K5" s="164" t="s">
        <v>28</v>
      </c>
      <c r="L5" s="164" t="s">
        <v>29</v>
      </c>
      <c r="M5" s="163" t="s">
        <v>30</v>
      </c>
    </row>
    <row r="6" spans="1:36" ht="14.45" customHeight="1" x14ac:dyDescent="0.25">
      <c r="A6" s="87">
        <f>M6</f>
        <v>123.14153431592412</v>
      </c>
      <c r="B6" s="31">
        <f t="shared" ref="B6:B65" si="0">IF(H6&gt;$H$2,"",(ROW()-5))</f>
        <v>1</v>
      </c>
      <c r="C6" s="32" t="s">
        <v>34</v>
      </c>
      <c r="D6" s="32"/>
      <c r="E6" s="32"/>
      <c r="F6" s="32"/>
      <c r="G6" s="25"/>
      <c r="H6" s="165">
        <v>1</v>
      </c>
      <c r="I6" s="166">
        <f t="shared" ref="I6:I69" si="1">IF(H6&lt;$H$2+1,($I$2-($I$2-1)*(LOG(H6)/LOG($H$2))),"")</f>
        <v>50</v>
      </c>
      <c r="J6" s="166">
        <f>INT(LOG($H$2,2))-ROUNDUP(LOG(H6,2),0)+IF(OR($H$2=1,$H$2=2,$H$2=4,$H$2=8,$H$2=16,$H$2=32,$H$2=64,$H$2=128,$H$2=256),0,1)</f>
        <v>5</v>
      </c>
      <c r="K6" s="165">
        <f t="shared" ref="K6:K69" si="2">J6*$J$2</f>
        <v>50</v>
      </c>
      <c r="L6" s="167">
        <f>3*K2</f>
        <v>23.141534315924115</v>
      </c>
      <c r="M6" s="167">
        <f t="shared" ref="M6:M69" si="3">IF(I6&lt;&gt;"",K6+I6+L6,0)</f>
        <v>123.14153431592412</v>
      </c>
    </row>
    <row r="7" spans="1:36" ht="14.45" customHeight="1" x14ac:dyDescent="0.25">
      <c r="A7" s="91">
        <f t="shared" ref="A7:A70" si="4">M7</f>
        <v>93.439812980156333</v>
      </c>
      <c r="B7" s="37">
        <f t="shared" si="0"/>
        <v>2</v>
      </c>
      <c r="C7" s="38" t="s">
        <v>34</v>
      </c>
      <c r="D7" s="38"/>
      <c r="E7" s="38"/>
      <c r="F7" s="38"/>
      <c r="G7" s="25"/>
      <c r="H7" s="168">
        <v>2</v>
      </c>
      <c r="I7" s="169">
        <f t="shared" si="1"/>
        <v>38.01212343620692</v>
      </c>
      <c r="J7" s="169">
        <f t="shared" ref="J7:J70" si="5">INT(LOG($H$2,2))-ROUNDUP(LOG(H7,2),0)+IF(OR($H$2=1,$H$2=2,$H$2=4,$H$2=8,$H$2=16,$H$2=32,$H$2=64,$H$2=128,$H$2=256),0,1)</f>
        <v>4</v>
      </c>
      <c r="K7" s="168">
        <f t="shared" si="2"/>
        <v>40</v>
      </c>
      <c r="L7" s="170">
        <f>2*K2</f>
        <v>15.427689543949411</v>
      </c>
      <c r="M7" s="170">
        <f t="shared" si="3"/>
        <v>93.439812980156333</v>
      </c>
    </row>
    <row r="8" spans="1:36" ht="14.45" customHeight="1" x14ac:dyDescent="0.25">
      <c r="A8" s="87">
        <f t="shared" si="4"/>
        <v>68.713509955088696</v>
      </c>
      <c r="B8" s="31">
        <f t="shared" si="0"/>
        <v>3</v>
      </c>
      <c r="C8" s="32" t="s">
        <v>34</v>
      </c>
      <c r="D8" s="32"/>
      <c r="E8" s="32"/>
      <c r="F8" s="32"/>
      <c r="G8" s="25"/>
      <c r="H8" s="165">
        <v>3</v>
      </c>
      <c r="I8" s="166">
        <f t="shared" si="1"/>
        <v>30.999665183113986</v>
      </c>
      <c r="J8" s="166">
        <f t="shared" si="5"/>
        <v>3</v>
      </c>
      <c r="K8" s="165">
        <f t="shared" si="2"/>
        <v>30</v>
      </c>
      <c r="L8" s="167">
        <f>K2</f>
        <v>7.7138447719747054</v>
      </c>
      <c r="M8" s="167">
        <f t="shared" si="3"/>
        <v>68.713509955088696</v>
      </c>
    </row>
    <row r="9" spans="1:36" s="158" customFormat="1" ht="14.45" customHeight="1" x14ac:dyDescent="0.25">
      <c r="A9" s="91">
        <f t="shared" si="4"/>
        <v>68.713509955088696</v>
      </c>
      <c r="B9" s="37">
        <f>IF(H9&gt;$H$2,"",3)</f>
        <v>3</v>
      </c>
      <c r="C9" s="38" t="s">
        <v>34</v>
      </c>
      <c r="D9" s="38"/>
      <c r="E9" s="38"/>
      <c r="F9" s="38"/>
      <c r="G9" s="25"/>
      <c r="H9" s="168">
        <v>3</v>
      </c>
      <c r="I9" s="169">
        <f t="shared" si="1"/>
        <v>30.999665183113986</v>
      </c>
      <c r="J9" s="168">
        <f t="shared" si="5"/>
        <v>3</v>
      </c>
      <c r="K9" s="168">
        <f t="shared" si="2"/>
        <v>30</v>
      </c>
      <c r="L9" s="170">
        <f>K2</f>
        <v>7.7138447719747054</v>
      </c>
      <c r="M9" s="170">
        <f t="shared" si="3"/>
        <v>68.713509955088696</v>
      </c>
      <c r="N9" s="153"/>
      <c r="O9" s="153"/>
      <c r="P9" s="153"/>
      <c r="Q9" s="153"/>
      <c r="R9" s="153"/>
      <c r="V9" s="171"/>
      <c r="Z9" s="172"/>
      <c r="AA9" s="172"/>
      <c r="AG9" s="173"/>
      <c r="AH9" s="158" t="s">
        <v>34</v>
      </c>
      <c r="AI9" s="158">
        <v>23</v>
      </c>
    </row>
    <row r="10" spans="1:36" ht="14.45" customHeight="1" x14ac:dyDescent="0.25">
      <c r="A10" s="87">
        <f t="shared" si="4"/>
        <v>42.165012608487082</v>
      </c>
      <c r="B10" s="31">
        <f t="shared" si="0"/>
        <v>5</v>
      </c>
      <c r="C10" s="32" t="s">
        <v>34</v>
      </c>
      <c r="D10" s="32"/>
      <c r="E10" s="32"/>
      <c r="F10" s="32"/>
      <c r="G10" s="25"/>
      <c r="H10" s="165">
        <v>5</v>
      </c>
      <c r="I10" s="166">
        <f t="shared" si="1"/>
        <v>22.165012608487082</v>
      </c>
      <c r="J10" s="166">
        <f t="shared" si="5"/>
        <v>2</v>
      </c>
      <c r="K10" s="165">
        <f t="shared" si="2"/>
        <v>20</v>
      </c>
      <c r="L10" s="165"/>
      <c r="M10" s="167">
        <f t="shared" si="3"/>
        <v>42.165012608487082</v>
      </c>
      <c r="V10" s="171"/>
      <c r="Z10" s="172"/>
      <c r="AA10" s="172"/>
      <c r="AG10" s="173"/>
      <c r="AH10" s="158" t="s">
        <v>35</v>
      </c>
      <c r="AI10" s="158">
        <v>45</v>
      </c>
    </row>
    <row r="11" spans="1:36" ht="14.45" customHeight="1" x14ac:dyDescent="0.25">
      <c r="A11" s="91">
        <f t="shared" si="4"/>
        <v>39.01178861932091</v>
      </c>
      <c r="B11" s="37">
        <f t="shared" si="0"/>
        <v>6</v>
      </c>
      <c r="C11" s="38" t="s">
        <v>34</v>
      </c>
      <c r="D11" s="38"/>
      <c r="E11" s="38"/>
      <c r="F11" s="38"/>
      <c r="G11" s="25"/>
      <c r="H11" s="168">
        <v>6</v>
      </c>
      <c r="I11" s="169">
        <f t="shared" si="1"/>
        <v>19.01178861932091</v>
      </c>
      <c r="J11" s="169">
        <f t="shared" si="5"/>
        <v>2</v>
      </c>
      <c r="K11" s="168">
        <f t="shared" si="2"/>
        <v>20</v>
      </c>
      <c r="L11" s="168"/>
      <c r="M11" s="170">
        <f t="shared" si="3"/>
        <v>39.01178861932091</v>
      </c>
      <c r="V11" s="174"/>
      <c r="Z11" s="172"/>
      <c r="AA11" s="172"/>
      <c r="AG11" s="173"/>
      <c r="AH11" s="158" t="s">
        <v>36</v>
      </c>
      <c r="AI11" s="158">
        <v>50</v>
      </c>
    </row>
    <row r="12" spans="1:36" ht="14.45" customHeight="1" x14ac:dyDescent="0.25">
      <c r="A12" s="87">
        <f t="shared" si="4"/>
        <v>36.345775723616512</v>
      </c>
      <c r="B12" s="31">
        <f t="shared" si="0"/>
        <v>7</v>
      </c>
      <c r="C12" s="32" t="s">
        <v>34</v>
      </c>
      <c r="D12" s="32"/>
      <c r="E12" s="32"/>
      <c r="F12" s="32"/>
      <c r="G12" s="25"/>
      <c r="H12" s="165">
        <v>7</v>
      </c>
      <c r="I12" s="166">
        <f t="shared" si="1"/>
        <v>16.345775723616512</v>
      </c>
      <c r="J12" s="166">
        <f t="shared" si="5"/>
        <v>2</v>
      </c>
      <c r="K12" s="165">
        <f t="shared" si="2"/>
        <v>20</v>
      </c>
      <c r="L12" s="165"/>
      <c r="M12" s="167">
        <f t="shared" si="3"/>
        <v>36.345775723616512</v>
      </c>
      <c r="Z12" s="172"/>
      <c r="AA12" s="172"/>
      <c r="AG12" s="173"/>
      <c r="AH12" s="158" t="s">
        <v>37</v>
      </c>
      <c r="AI12" s="158">
        <f>AI11-1</f>
        <v>49</v>
      </c>
    </row>
    <row r="13" spans="1:36" ht="14.45" customHeight="1" x14ac:dyDescent="0.25">
      <c r="A13" s="91">
        <f t="shared" si="4"/>
        <v>34.036370308620775</v>
      </c>
      <c r="B13" s="37">
        <f t="shared" si="0"/>
        <v>8</v>
      </c>
      <c r="C13" s="38" t="s">
        <v>34</v>
      </c>
      <c r="D13" s="38"/>
      <c r="E13" s="38"/>
      <c r="F13" s="38"/>
      <c r="G13" s="25"/>
      <c r="H13" s="168">
        <v>8</v>
      </c>
      <c r="I13" s="169">
        <f t="shared" si="1"/>
        <v>14.036370308620775</v>
      </c>
      <c r="J13" s="169">
        <f t="shared" si="5"/>
        <v>2</v>
      </c>
      <c r="K13" s="168">
        <f t="shared" si="2"/>
        <v>20</v>
      </c>
      <c r="L13" s="168"/>
      <c r="M13" s="170">
        <f t="shared" si="3"/>
        <v>34.036370308620775</v>
      </c>
      <c r="X13" s="171"/>
      <c r="AG13" s="173"/>
      <c r="AH13" s="158" t="s">
        <v>38</v>
      </c>
      <c r="AI13" s="158">
        <f>LOG(AI9)</f>
        <v>1.3617278360175928</v>
      </c>
    </row>
    <row r="14" spans="1:36" x14ac:dyDescent="0.25">
      <c r="A14" s="87">
        <f t="shared" si="4"/>
        <v>21.999330366227973</v>
      </c>
      <c r="B14" s="31">
        <f t="shared" si="0"/>
        <v>9</v>
      </c>
      <c r="C14" s="32" t="s">
        <v>9</v>
      </c>
      <c r="D14" s="32"/>
      <c r="E14" s="32"/>
      <c r="F14" s="32"/>
      <c r="G14" s="25"/>
      <c r="H14" s="165">
        <v>9</v>
      </c>
      <c r="I14" s="166">
        <f t="shared" si="1"/>
        <v>11.999330366227973</v>
      </c>
      <c r="J14" s="166">
        <f t="shared" si="5"/>
        <v>1</v>
      </c>
      <c r="K14" s="165">
        <f t="shared" si="2"/>
        <v>10</v>
      </c>
      <c r="L14" s="165"/>
      <c r="M14" s="167">
        <f t="shared" si="3"/>
        <v>21.999330366227973</v>
      </c>
      <c r="X14" s="175"/>
      <c r="Z14" s="172"/>
      <c r="AA14" s="172"/>
      <c r="AG14" s="173"/>
      <c r="AH14" s="158" t="s">
        <v>39</v>
      </c>
      <c r="AI14" s="158">
        <f>LOG(AI10)</f>
        <v>1.6532125137753437</v>
      </c>
    </row>
    <row r="15" spans="1:36" x14ac:dyDescent="0.25">
      <c r="A15" s="91">
        <f t="shared" si="4"/>
        <v>20.177136044694009</v>
      </c>
      <c r="B15" s="37">
        <f t="shared" si="0"/>
        <v>10</v>
      </c>
      <c r="C15" s="38" t="s">
        <v>34</v>
      </c>
      <c r="D15" s="38"/>
      <c r="E15" s="38"/>
      <c r="F15" s="38"/>
      <c r="G15" s="25"/>
      <c r="H15" s="168">
        <v>10</v>
      </c>
      <c r="I15" s="169">
        <f t="shared" si="1"/>
        <v>10.177136044694009</v>
      </c>
      <c r="J15" s="169">
        <f t="shared" si="5"/>
        <v>1</v>
      </c>
      <c r="K15" s="168">
        <f t="shared" si="2"/>
        <v>10</v>
      </c>
      <c r="L15" s="168"/>
      <c r="M15" s="170">
        <f t="shared" si="3"/>
        <v>20.177136044694009</v>
      </c>
      <c r="X15" s="171"/>
      <c r="Z15" s="172"/>
      <c r="AA15" s="172"/>
    </row>
    <row r="16" spans="1:36" x14ac:dyDescent="0.25">
      <c r="A16" s="87">
        <f t="shared" si="4"/>
        <v>18.528760774893193</v>
      </c>
      <c r="B16" s="31">
        <f t="shared" si="0"/>
        <v>11</v>
      </c>
      <c r="C16" s="32" t="s">
        <v>34</v>
      </c>
      <c r="D16" s="32"/>
      <c r="E16" s="32"/>
      <c r="F16" s="32"/>
      <c r="G16" s="25"/>
      <c r="H16" s="165">
        <v>11</v>
      </c>
      <c r="I16" s="166">
        <f t="shared" si="1"/>
        <v>8.5287607748931933</v>
      </c>
      <c r="J16" s="166">
        <f t="shared" si="5"/>
        <v>1</v>
      </c>
      <c r="K16" s="165">
        <f t="shared" si="2"/>
        <v>10</v>
      </c>
      <c r="L16" s="165"/>
      <c r="M16" s="167">
        <f t="shared" si="3"/>
        <v>18.528760774893193</v>
      </c>
      <c r="R16" s="176"/>
      <c r="Z16" s="172"/>
      <c r="AA16" s="172"/>
      <c r="AH16" s="177" t="s">
        <v>40</v>
      </c>
      <c r="AI16" s="158">
        <f>AI11-AI12*AI13/AI14</f>
        <v>9.6393909380186855</v>
      </c>
      <c r="AJ16" s="158" t="s">
        <v>41</v>
      </c>
    </row>
    <row r="17" spans="1:19" x14ac:dyDescent="0.25">
      <c r="A17" s="91">
        <f t="shared" si="4"/>
        <v>17.02391205552783</v>
      </c>
      <c r="B17" s="37">
        <f t="shared" si="0"/>
        <v>12</v>
      </c>
      <c r="C17" s="38" t="s">
        <v>34</v>
      </c>
      <c r="D17" s="38"/>
      <c r="E17" s="38"/>
      <c r="F17" s="38"/>
      <c r="G17" s="25"/>
      <c r="H17" s="168">
        <v>12</v>
      </c>
      <c r="I17" s="169">
        <f t="shared" si="1"/>
        <v>7.0239120555278305</v>
      </c>
      <c r="J17" s="169">
        <f t="shared" si="5"/>
        <v>1</v>
      </c>
      <c r="K17" s="168">
        <f t="shared" si="2"/>
        <v>10</v>
      </c>
      <c r="L17" s="168"/>
      <c r="M17" s="170">
        <f t="shared" si="3"/>
        <v>17.02391205552783</v>
      </c>
    </row>
    <row r="18" spans="1:19" x14ac:dyDescent="0.25">
      <c r="A18" s="87">
        <f t="shared" si="4"/>
        <v>15.639585427167347</v>
      </c>
      <c r="B18" s="31">
        <f t="shared" si="0"/>
        <v>13</v>
      </c>
      <c r="C18" s="32" t="s">
        <v>34</v>
      </c>
      <c r="D18" s="32"/>
      <c r="E18" s="32"/>
      <c r="F18" s="32"/>
      <c r="G18" s="25"/>
      <c r="H18" s="165">
        <v>13</v>
      </c>
      <c r="I18" s="166">
        <f t="shared" si="1"/>
        <v>5.6395854271673471</v>
      </c>
      <c r="J18" s="166">
        <f t="shared" si="5"/>
        <v>1</v>
      </c>
      <c r="K18" s="165">
        <f t="shared" si="2"/>
        <v>10</v>
      </c>
      <c r="L18" s="165"/>
      <c r="M18" s="167">
        <f t="shared" si="3"/>
        <v>15.639585427167347</v>
      </c>
    </row>
    <row r="19" spans="1:19" x14ac:dyDescent="0.25">
      <c r="A19" s="91">
        <f t="shared" si="4"/>
        <v>14.35789915982344</v>
      </c>
      <c r="B19" s="37">
        <f t="shared" si="0"/>
        <v>14</v>
      </c>
      <c r="C19" s="38" t="s">
        <v>34</v>
      </c>
      <c r="D19" s="38"/>
      <c r="E19" s="38"/>
      <c r="F19" s="38"/>
      <c r="G19" s="25"/>
      <c r="H19" s="168">
        <v>14</v>
      </c>
      <c r="I19" s="169">
        <f t="shared" si="1"/>
        <v>4.3578991598234396</v>
      </c>
      <c r="J19" s="169">
        <f t="shared" si="5"/>
        <v>1</v>
      </c>
      <c r="K19" s="168">
        <f t="shared" si="2"/>
        <v>10</v>
      </c>
      <c r="L19" s="168"/>
      <c r="M19" s="170">
        <f t="shared" si="3"/>
        <v>14.35789915982344</v>
      </c>
    </row>
    <row r="20" spans="1:19" x14ac:dyDescent="0.25">
      <c r="A20" s="87">
        <f t="shared" si="4"/>
        <v>13.164677791601065</v>
      </c>
      <c r="B20" s="31">
        <f t="shared" si="0"/>
        <v>15</v>
      </c>
      <c r="C20" s="32" t="s">
        <v>34</v>
      </c>
      <c r="D20" s="32"/>
      <c r="E20" s="32"/>
      <c r="F20" s="32"/>
      <c r="G20" s="25"/>
      <c r="H20" s="165">
        <v>15</v>
      </c>
      <c r="I20" s="166">
        <f t="shared" si="1"/>
        <v>3.1646777916010649</v>
      </c>
      <c r="J20" s="166">
        <f t="shared" si="5"/>
        <v>1</v>
      </c>
      <c r="K20" s="165">
        <f t="shared" si="2"/>
        <v>10</v>
      </c>
      <c r="L20" s="165"/>
      <c r="M20" s="167">
        <f t="shared" si="3"/>
        <v>13.164677791601065</v>
      </c>
      <c r="R20" s="178"/>
      <c r="S20" s="179"/>
    </row>
    <row r="21" spans="1:19" x14ac:dyDescent="0.25">
      <c r="A21" s="91">
        <f t="shared" si="4"/>
        <v>12.048493744827695</v>
      </c>
      <c r="B21" s="37">
        <f t="shared" si="0"/>
        <v>16</v>
      </c>
      <c r="C21" s="38" t="s">
        <v>34</v>
      </c>
      <c r="D21" s="38"/>
      <c r="E21" s="38"/>
      <c r="F21" s="38"/>
      <c r="G21" s="25"/>
      <c r="H21" s="168">
        <v>16</v>
      </c>
      <c r="I21" s="169">
        <f t="shared" si="1"/>
        <v>2.0484937448276952</v>
      </c>
      <c r="J21" s="169">
        <f t="shared" si="5"/>
        <v>1</v>
      </c>
      <c r="K21" s="168">
        <f t="shared" si="2"/>
        <v>10</v>
      </c>
      <c r="L21" s="168"/>
      <c r="M21" s="170">
        <f t="shared" si="3"/>
        <v>12.048493744827695</v>
      </c>
    </row>
    <row r="22" spans="1:19" x14ac:dyDescent="0.25">
      <c r="A22" s="87">
        <f t="shared" si="4"/>
        <v>1</v>
      </c>
      <c r="B22" s="31">
        <f t="shared" si="0"/>
        <v>17</v>
      </c>
      <c r="C22" s="32" t="s">
        <v>34</v>
      </c>
      <c r="D22" s="32"/>
      <c r="E22" s="32"/>
      <c r="F22" s="32"/>
      <c r="G22" s="25"/>
      <c r="H22" s="165">
        <v>17</v>
      </c>
      <c r="I22" s="166">
        <f t="shared" si="1"/>
        <v>1</v>
      </c>
      <c r="J22" s="166">
        <f t="shared" si="5"/>
        <v>0</v>
      </c>
      <c r="K22" s="165">
        <f t="shared" si="2"/>
        <v>0</v>
      </c>
      <c r="L22" s="165"/>
      <c r="M22" s="167">
        <f t="shared" si="3"/>
        <v>1</v>
      </c>
    </row>
    <row r="23" spans="1:19" x14ac:dyDescent="0.25">
      <c r="A23" s="91">
        <f t="shared" si="4"/>
        <v>0</v>
      </c>
      <c r="B23" s="37" t="str">
        <f t="shared" si="0"/>
        <v/>
      </c>
      <c r="C23" s="38"/>
      <c r="D23" s="38"/>
      <c r="E23" s="38"/>
      <c r="F23" s="38"/>
      <c r="G23" s="25"/>
      <c r="H23" s="168">
        <v>18</v>
      </c>
      <c r="I23" s="169" t="str">
        <f t="shared" si="1"/>
        <v/>
      </c>
      <c r="J23" s="169">
        <f t="shared" si="5"/>
        <v>0</v>
      </c>
      <c r="K23" s="168">
        <f t="shared" si="2"/>
        <v>0</v>
      </c>
      <c r="L23" s="168"/>
      <c r="M23" s="170">
        <f t="shared" si="3"/>
        <v>0</v>
      </c>
    </row>
    <row r="24" spans="1:19" x14ac:dyDescent="0.25">
      <c r="A24" s="87">
        <f t="shared" si="4"/>
        <v>0</v>
      </c>
      <c r="B24" s="31" t="str">
        <f t="shared" si="0"/>
        <v/>
      </c>
      <c r="C24" s="32"/>
      <c r="D24" s="32"/>
      <c r="E24" s="32"/>
      <c r="F24" s="32"/>
      <c r="G24" s="25"/>
      <c r="H24" s="165">
        <v>19</v>
      </c>
      <c r="I24" s="166" t="str">
        <f t="shared" si="1"/>
        <v/>
      </c>
      <c r="J24" s="166">
        <f t="shared" si="5"/>
        <v>0</v>
      </c>
      <c r="K24" s="165">
        <f t="shared" si="2"/>
        <v>0</v>
      </c>
      <c r="L24" s="165"/>
      <c r="M24" s="167">
        <f t="shared" si="3"/>
        <v>0</v>
      </c>
      <c r="R24" s="178"/>
      <c r="S24" s="179"/>
    </row>
    <row r="25" spans="1:19" x14ac:dyDescent="0.25">
      <c r="A25" s="91">
        <f t="shared" si="4"/>
        <v>0</v>
      </c>
      <c r="B25" s="37" t="str">
        <f t="shared" si="0"/>
        <v/>
      </c>
      <c r="C25" s="38"/>
      <c r="D25" s="38"/>
      <c r="E25" s="38"/>
      <c r="F25" s="38"/>
      <c r="G25" s="25"/>
      <c r="H25" s="168">
        <v>20</v>
      </c>
      <c r="I25" s="169" t="str">
        <f t="shared" si="1"/>
        <v/>
      </c>
      <c r="J25" s="169">
        <f t="shared" si="5"/>
        <v>0</v>
      </c>
      <c r="K25" s="168">
        <f t="shared" si="2"/>
        <v>0</v>
      </c>
      <c r="L25" s="168"/>
      <c r="M25" s="170">
        <f t="shared" si="3"/>
        <v>0</v>
      </c>
    </row>
    <row r="26" spans="1:19" x14ac:dyDescent="0.25">
      <c r="A26" s="87">
        <f t="shared" si="4"/>
        <v>0</v>
      </c>
      <c r="B26" s="31" t="str">
        <f t="shared" si="0"/>
        <v/>
      </c>
      <c r="C26" s="32"/>
      <c r="D26" s="32"/>
      <c r="E26" s="32"/>
      <c r="F26" s="32"/>
      <c r="G26" s="25"/>
      <c r="H26" s="165">
        <v>21</v>
      </c>
      <c r="I26" s="166" t="str">
        <f t="shared" si="1"/>
        <v/>
      </c>
      <c r="J26" s="166">
        <f t="shared" si="5"/>
        <v>0</v>
      </c>
      <c r="K26" s="165">
        <f t="shared" si="2"/>
        <v>0</v>
      </c>
      <c r="L26" s="165"/>
      <c r="M26" s="167">
        <f t="shared" si="3"/>
        <v>0</v>
      </c>
    </row>
    <row r="27" spans="1:19" x14ac:dyDescent="0.25">
      <c r="A27" s="91">
        <f t="shared" si="4"/>
        <v>0</v>
      </c>
      <c r="B27" s="37" t="str">
        <f t="shared" si="0"/>
        <v/>
      </c>
      <c r="C27" s="38"/>
      <c r="D27" s="38"/>
      <c r="E27" s="38"/>
      <c r="F27" s="38"/>
      <c r="G27" s="25"/>
      <c r="H27" s="168">
        <v>22</v>
      </c>
      <c r="I27" s="169" t="str">
        <f t="shared" si="1"/>
        <v/>
      </c>
      <c r="J27" s="169">
        <f t="shared" si="5"/>
        <v>0</v>
      </c>
      <c r="K27" s="168">
        <f t="shared" si="2"/>
        <v>0</v>
      </c>
      <c r="L27" s="168"/>
      <c r="M27" s="170">
        <f t="shared" si="3"/>
        <v>0</v>
      </c>
    </row>
    <row r="28" spans="1:19" x14ac:dyDescent="0.25">
      <c r="A28" s="87">
        <f t="shared" si="4"/>
        <v>0</v>
      </c>
      <c r="B28" s="31" t="str">
        <f t="shared" si="0"/>
        <v/>
      </c>
      <c r="C28" s="32"/>
      <c r="D28" s="32"/>
      <c r="E28" s="32"/>
      <c r="F28" s="32"/>
      <c r="G28" s="25"/>
      <c r="H28" s="165">
        <v>23</v>
      </c>
      <c r="I28" s="166" t="str">
        <f t="shared" si="1"/>
        <v/>
      </c>
      <c r="J28" s="166">
        <f t="shared" si="5"/>
        <v>0</v>
      </c>
      <c r="K28" s="165">
        <f t="shared" si="2"/>
        <v>0</v>
      </c>
      <c r="L28" s="165"/>
      <c r="M28" s="167">
        <f t="shared" si="3"/>
        <v>0</v>
      </c>
      <c r="R28" s="178"/>
      <c r="S28" s="179"/>
    </row>
    <row r="29" spans="1:19" x14ac:dyDescent="0.25">
      <c r="A29" s="91">
        <f t="shared" si="4"/>
        <v>0</v>
      </c>
      <c r="B29" s="37" t="str">
        <f t="shared" si="0"/>
        <v/>
      </c>
      <c r="C29" s="38"/>
      <c r="D29" s="38"/>
      <c r="E29" s="38"/>
      <c r="F29" s="38"/>
      <c r="G29" s="153"/>
      <c r="H29" s="168">
        <v>24</v>
      </c>
      <c r="I29" s="169" t="str">
        <f t="shared" si="1"/>
        <v/>
      </c>
      <c r="J29" s="169">
        <f t="shared" si="5"/>
        <v>0</v>
      </c>
      <c r="K29" s="168">
        <f t="shared" si="2"/>
        <v>0</v>
      </c>
      <c r="L29" s="168"/>
      <c r="M29" s="170">
        <f t="shared" si="3"/>
        <v>0</v>
      </c>
    </row>
    <row r="30" spans="1:19" x14ac:dyDescent="0.25">
      <c r="A30" s="87">
        <f t="shared" si="4"/>
        <v>0</v>
      </c>
      <c r="B30" s="31" t="str">
        <f t="shared" si="0"/>
        <v/>
      </c>
      <c r="C30" s="32"/>
      <c r="D30" s="32"/>
      <c r="E30" s="32"/>
      <c r="F30" s="32"/>
      <c r="G30" s="153"/>
      <c r="H30" s="165">
        <v>25</v>
      </c>
      <c r="I30" s="166" t="str">
        <f t="shared" si="1"/>
        <v/>
      </c>
      <c r="J30" s="166">
        <f t="shared" si="5"/>
        <v>0</v>
      </c>
      <c r="K30" s="165">
        <f t="shared" si="2"/>
        <v>0</v>
      </c>
      <c r="L30" s="165"/>
      <c r="M30" s="167">
        <f t="shared" si="3"/>
        <v>0</v>
      </c>
    </row>
    <row r="31" spans="1:19" x14ac:dyDescent="0.25">
      <c r="A31" s="91">
        <f t="shared" si="4"/>
        <v>0</v>
      </c>
      <c r="B31" s="37" t="str">
        <f t="shared" si="0"/>
        <v/>
      </c>
      <c r="C31" s="38"/>
      <c r="D31" s="38"/>
      <c r="E31" s="38"/>
      <c r="F31" s="38"/>
      <c r="G31" s="153"/>
      <c r="H31" s="168">
        <v>26</v>
      </c>
      <c r="I31" s="169" t="str">
        <f t="shared" si="1"/>
        <v/>
      </c>
      <c r="J31" s="169">
        <f t="shared" si="5"/>
        <v>0</v>
      </c>
      <c r="K31" s="168">
        <f t="shared" si="2"/>
        <v>0</v>
      </c>
      <c r="L31" s="168"/>
      <c r="M31" s="170">
        <f t="shared" si="3"/>
        <v>0</v>
      </c>
    </row>
    <row r="32" spans="1:19" x14ac:dyDescent="0.25">
      <c r="A32" s="87">
        <f t="shared" si="4"/>
        <v>0</v>
      </c>
      <c r="B32" s="31" t="str">
        <f t="shared" si="0"/>
        <v/>
      </c>
      <c r="C32" s="32"/>
      <c r="D32" s="32"/>
      <c r="E32" s="32"/>
      <c r="F32" s="32"/>
      <c r="G32" s="153"/>
      <c r="H32" s="165">
        <v>27</v>
      </c>
      <c r="I32" s="166" t="str">
        <f t="shared" si="1"/>
        <v/>
      </c>
      <c r="J32" s="166">
        <f t="shared" si="5"/>
        <v>0</v>
      </c>
      <c r="K32" s="165">
        <f t="shared" si="2"/>
        <v>0</v>
      </c>
      <c r="L32" s="165"/>
      <c r="M32" s="167">
        <f t="shared" si="3"/>
        <v>0</v>
      </c>
      <c r="R32" s="178"/>
      <c r="S32" s="179"/>
    </row>
    <row r="33" spans="1:21" x14ac:dyDescent="0.25">
      <c r="A33" s="91">
        <f t="shared" si="4"/>
        <v>0</v>
      </c>
      <c r="B33" s="37" t="str">
        <f t="shared" si="0"/>
        <v/>
      </c>
      <c r="C33" s="38"/>
      <c r="D33" s="38"/>
      <c r="E33" s="38"/>
      <c r="F33" s="38"/>
      <c r="G33" s="153"/>
      <c r="H33" s="168">
        <v>28</v>
      </c>
      <c r="I33" s="169" t="str">
        <f t="shared" si="1"/>
        <v/>
      </c>
      <c r="J33" s="169">
        <f t="shared" si="5"/>
        <v>0</v>
      </c>
      <c r="K33" s="168">
        <f t="shared" si="2"/>
        <v>0</v>
      </c>
      <c r="L33" s="168"/>
      <c r="M33" s="170">
        <f t="shared" si="3"/>
        <v>0</v>
      </c>
    </row>
    <row r="34" spans="1:21" x14ac:dyDescent="0.25">
      <c r="A34" s="87">
        <f t="shared" si="4"/>
        <v>0</v>
      </c>
      <c r="B34" s="31" t="str">
        <f t="shared" si="0"/>
        <v/>
      </c>
      <c r="C34" s="32"/>
      <c r="D34" s="32"/>
      <c r="E34" s="32"/>
      <c r="F34" s="32"/>
      <c r="G34" s="153"/>
      <c r="H34" s="165">
        <v>29</v>
      </c>
      <c r="I34" s="166" t="str">
        <f t="shared" si="1"/>
        <v/>
      </c>
      <c r="J34" s="166">
        <f t="shared" si="5"/>
        <v>0</v>
      </c>
      <c r="K34" s="165">
        <f t="shared" si="2"/>
        <v>0</v>
      </c>
      <c r="L34" s="165"/>
      <c r="M34" s="167">
        <f t="shared" si="3"/>
        <v>0</v>
      </c>
    </row>
    <row r="35" spans="1:21" x14ac:dyDescent="0.25">
      <c r="A35" s="91">
        <f t="shared" si="4"/>
        <v>0</v>
      </c>
      <c r="B35" s="37" t="str">
        <f t="shared" si="0"/>
        <v/>
      </c>
      <c r="C35" s="38"/>
      <c r="D35" s="38"/>
      <c r="E35" s="38"/>
      <c r="F35" s="38"/>
      <c r="G35" s="153"/>
      <c r="H35" s="168">
        <v>30</v>
      </c>
      <c r="I35" s="169" t="str">
        <f t="shared" si="1"/>
        <v/>
      </c>
      <c r="J35" s="169">
        <f t="shared" si="5"/>
        <v>0</v>
      </c>
      <c r="K35" s="168">
        <f t="shared" si="2"/>
        <v>0</v>
      </c>
      <c r="L35" s="168"/>
      <c r="M35" s="170">
        <f t="shared" si="3"/>
        <v>0</v>
      </c>
    </row>
    <row r="36" spans="1:21" x14ac:dyDescent="0.25">
      <c r="A36" s="87">
        <f t="shared" si="4"/>
        <v>0</v>
      </c>
      <c r="B36" s="31" t="str">
        <f t="shared" si="0"/>
        <v/>
      </c>
      <c r="C36" s="32"/>
      <c r="D36" s="32"/>
      <c r="E36" s="32"/>
      <c r="F36" s="32"/>
      <c r="G36" s="153"/>
      <c r="H36" s="165">
        <v>31</v>
      </c>
      <c r="I36" s="166" t="str">
        <f t="shared" si="1"/>
        <v/>
      </c>
      <c r="J36" s="166">
        <f t="shared" si="5"/>
        <v>0</v>
      </c>
      <c r="K36" s="165">
        <f t="shared" si="2"/>
        <v>0</v>
      </c>
      <c r="L36" s="165"/>
      <c r="M36" s="167">
        <f t="shared" si="3"/>
        <v>0</v>
      </c>
      <c r="R36" s="178"/>
      <c r="S36" s="179"/>
    </row>
    <row r="37" spans="1:21" x14ac:dyDescent="0.25">
      <c r="A37" s="91">
        <f t="shared" si="4"/>
        <v>0</v>
      </c>
      <c r="B37" s="37" t="str">
        <f t="shared" si="0"/>
        <v/>
      </c>
      <c r="C37" s="38"/>
      <c r="D37" s="38"/>
      <c r="E37" s="38"/>
      <c r="F37" s="38"/>
      <c r="G37" s="153"/>
      <c r="H37" s="168">
        <v>32</v>
      </c>
      <c r="I37" s="169" t="str">
        <f t="shared" si="1"/>
        <v/>
      </c>
      <c r="J37" s="169">
        <f t="shared" si="5"/>
        <v>0</v>
      </c>
      <c r="K37" s="168">
        <f t="shared" si="2"/>
        <v>0</v>
      </c>
      <c r="L37" s="168"/>
      <c r="M37" s="170">
        <f t="shared" si="3"/>
        <v>0</v>
      </c>
    </row>
    <row r="38" spans="1:21" x14ac:dyDescent="0.25">
      <c r="A38" s="91">
        <f t="shared" si="4"/>
        <v>0</v>
      </c>
      <c r="B38" s="31" t="str">
        <f t="shared" si="0"/>
        <v/>
      </c>
      <c r="C38" s="32"/>
      <c r="D38" s="32"/>
      <c r="E38" s="32"/>
      <c r="F38" s="32"/>
      <c r="G38" s="153"/>
      <c r="H38" s="165">
        <v>33</v>
      </c>
      <c r="I38" s="166" t="str">
        <f t="shared" si="1"/>
        <v/>
      </c>
      <c r="J38" s="166">
        <f t="shared" si="5"/>
        <v>-1</v>
      </c>
      <c r="K38" s="165">
        <f t="shared" si="2"/>
        <v>-10</v>
      </c>
      <c r="L38" s="165"/>
      <c r="M38" s="167">
        <f t="shared" si="3"/>
        <v>0</v>
      </c>
    </row>
    <row r="39" spans="1:21" x14ac:dyDescent="0.25">
      <c r="A39" s="91">
        <f t="shared" si="4"/>
        <v>0</v>
      </c>
      <c r="B39" s="37" t="str">
        <f t="shared" si="0"/>
        <v/>
      </c>
      <c r="C39" s="38"/>
      <c r="D39" s="38"/>
      <c r="E39" s="38"/>
      <c r="F39" s="38"/>
      <c r="G39" s="153"/>
      <c r="H39" s="168">
        <v>34</v>
      </c>
      <c r="I39" s="169" t="str">
        <f t="shared" si="1"/>
        <v/>
      </c>
      <c r="J39" s="169">
        <f t="shared" si="5"/>
        <v>-1</v>
      </c>
      <c r="K39" s="168">
        <f t="shared" si="2"/>
        <v>-10</v>
      </c>
      <c r="L39" s="168"/>
      <c r="M39" s="170">
        <f t="shared" si="3"/>
        <v>0</v>
      </c>
    </row>
    <row r="40" spans="1:21" x14ac:dyDescent="0.25">
      <c r="A40" s="91">
        <f t="shared" si="4"/>
        <v>0</v>
      </c>
      <c r="B40" s="31" t="str">
        <f t="shared" si="0"/>
        <v/>
      </c>
      <c r="C40" s="32"/>
      <c r="D40" s="32"/>
      <c r="E40" s="32"/>
      <c r="F40" s="32"/>
      <c r="G40" s="153"/>
      <c r="H40" s="165">
        <v>35</v>
      </c>
      <c r="I40" s="166" t="str">
        <f t="shared" si="1"/>
        <v/>
      </c>
      <c r="J40" s="166">
        <f t="shared" si="5"/>
        <v>-1</v>
      </c>
      <c r="K40" s="165">
        <f t="shared" si="2"/>
        <v>-10</v>
      </c>
      <c r="L40" s="165"/>
      <c r="M40" s="167">
        <f t="shared" si="3"/>
        <v>0</v>
      </c>
    </row>
    <row r="41" spans="1:21" x14ac:dyDescent="0.25">
      <c r="A41" s="91">
        <f t="shared" si="4"/>
        <v>0</v>
      </c>
      <c r="B41" s="37" t="str">
        <f t="shared" si="0"/>
        <v/>
      </c>
      <c r="C41" s="38"/>
      <c r="D41" s="38"/>
      <c r="E41" s="38"/>
      <c r="F41" s="38"/>
      <c r="G41" s="153"/>
      <c r="H41" s="168">
        <v>36</v>
      </c>
      <c r="I41" s="169" t="str">
        <f t="shared" si="1"/>
        <v/>
      </c>
      <c r="J41" s="169">
        <f t="shared" si="5"/>
        <v>-1</v>
      </c>
      <c r="K41" s="168">
        <f t="shared" si="2"/>
        <v>-10</v>
      </c>
      <c r="L41" s="168"/>
      <c r="M41" s="170">
        <f t="shared" si="3"/>
        <v>0</v>
      </c>
      <c r="S41" s="180"/>
    </row>
    <row r="42" spans="1:21" x14ac:dyDescent="0.25">
      <c r="A42" s="91">
        <f t="shared" si="4"/>
        <v>0</v>
      </c>
      <c r="B42" s="31" t="str">
        <f t="shared" si="0"/>
        <v/>
      </c>
      <c r="C42" s="32"/>
      <c r="D42" s="32"/>
      <c r="E42" s="32"/>
      <c r="F42" s="32"/>
      <c r="G42" s="153"/>
      <c r="H42" s="165">
        <v>37</v>
      </c>
      <c r="I42" s="166" t="str">
        <f t="shared" si="1"/>
        <v/>
      </c>
      <c r="J42" s="166">
        <f t="shared" si="5"/>
        <v>-1</v>
      </c>
      <c r="K42" s="165">
        <f t="shared" si="2"/>
        <v>-10</v>
      </c>
      <c r="L42" s="165"/>
      <c r="M42" s="167">
        <f t="shared" si="3"/>
        <v>0</v>
      </c>
    </row>
    <row r="43" spans="1:21" x14ac:dyDescent="0.25">
      <c r="A43" s="91">
        <f t="shared" si="4"/>
        <v>0</v>
      </c>
      <c r="B43" s="37" t="str">
        <f t="shared" si="0"/>
        <v/>
      </c>
      <c r="C43" s="38"/>
      <c r="D43" s="38"/>
      <c r="E43" s="38"/>
      <c r="F43" s="38"/>
      <c r="G43" s="153"/>
      <c r="H43" s="168">
        <v>38</v>
      </c>
      <c r="I43" s="169" t="str">
        <f t="shared" si="1"/>
        <v/>
      </c>
      <c r="J43" s="169">
        <f t="shared" si="5"/>
        <v>-1</v>
      </c>
      <c r="K43" s="168">
        <f t="shared" si="2"/>
        <v>-10</v>
      </c>
      <c r="L43" s="168"/>
      <c r="M43" s="170">
        <f t="shared" si="3"/>
        <v>0</v>
      </c>
    </row>
    <row r="44" spans="1:21" x14ac:dyDescent="0.25">
      <c r="A44" s="91">
        <f t="shared" si="4"/>
        <v>0</v>
      </c>
      <c r="B44" s="31" t="str">
        <f t="shared" si="0"/>
        <v/>
      </c>
      <c r="C44" s="32"/>
      <c r="D44" s="32"/>
      <c r="E44" s="32"/>
      <c r="F44" s="32"/>
      <c r="G44" s="153"/>
      <c r="H44" s="165">
        <v>39</v>
      </c>
      <c r="I44" s="166" t="str">
        <f t="shared" si="1"/>
        <v/>
      </c>
      <c r="J44" s="166">
        <f t="shared" si="5"/>
        <v>-1</v>
      </c>
      <c r="K44" s="165">
        <f t="shared" si="2"/>
        <v>-10</v>
      </c>
      <c r="L44" s="165"/>
      <c r="M44" s="167">
        <f t="shared" si="3"/>
        <v>0</v>
      </c>
    </row>
    <row r="45" spans="1:21" x14ac:dyDescent="0.25">
      <c r="A45" s="91">
        <f t="shared" si="4"/>
        <v>0</v>
      </c>
      <c r="B45" s="37" t="str">
        <f t="shared" si="0"/>
        <v/>
      </c>
      <c r="C45" s="38"/>
      <c r="D45" s="38"/>
      <c r="E45" s="38"/>
      <c r="F45" s="38"/>
      <c r="G45" s="153"/>
      <c r="H45" s="168">
        <v>40</v>
      </c>
      <c r="I45" s="169" t="str">
        <f t="shared" si="1"/>
        <v/>
      </c>
      <c r="J45" s="169">
        <f t="shared" si="5"/>
        <v>-1</v>
      </c>
      <c r="K45" s="168">
        <f t="shared" si="2"/>
        <v>-10</v>
      </c>
      <c r="L45" s="168"/>
      <c r="M45" s="170">
        <f t="shared" si="3"/>
        <v>0</v>
      </c>
    </row>
    <row r="46" spans="1:21" x14ac:dyDescent="0.25">
      <c r="A46" s="91">
        <f t="shared" si="4"/>
        <v>0</v>
      </c>
      <c r="B46" s="31" t="str">
        <f t="shared" si="0"/>
        <v/>
      </c>
      <c r="C46" s="32"/>
      <c r="D46" s="32"/>
      <c r="E46" s="32"/>
      <c r="F46" s="32"/>
      <c r="G46" s="153"/>
      <c r="H46" s="165">
        <v>41</v>
      </c>
      <c r="I46" s="166" t="str">
        <f t="shared" si="1"/>
        <v/>
      </c>
      <c r="J46" s="166">
        <f t="shared" si="5"/>
        <v>-1</v>
      </c>
      <c r="K46" s="165">
        <f t="shared" si="2"/>
        <v>-10</v>
      </c>
      <c r="L46" s="165"/>
      <c r="M46" s="167">
        <f t="shared" si="3"/>
        <v>0</v>
      </c>
      <c r="R46" s="153">
        <f>LOG($H$2,2)</f>
        <v>4.08746284125034</v>
      </c>
      <c r="T46" s="158">
        <f>LOG(H38,2)</f>
        <v>5.0443941193584534</v>
      </c>
      <c r="U46" s="158">
        <f>R46-T46</f>
        <v>-0.9569312781081134</v>
      </c>
    </row>
    <row r="47" spans="1:21" x14ac:dyDescent="0.25">
      <c r="A47" s="91">
        <f t="shared" si="4"/>
        <v>0</v>
      </c>
      <c r="B47" s="37" t="str">
        <f t="shared" si="0"/>
        <v/>
      </c>
      <c r="C47" s="38"/>
      <c r="D47" s="38"/>
      <c r="E47" s="38"/>
      <c r="F47" s="38"/>
      <c r="G47" s="153"/>
      <c r="H47" s="168">
        <v>42</v>
      </c>
      <c r="I47" s="169" t="str">
        <f t="shared" si="1"/>
        <v/>
      </c>
      <c r="J47" s="169">
        <f t="shared" si="5"/>
        <v>-1</v>
      </c>
      <c r="K47" s="168">
        <f t="shared" si="2"/>
        <v>-10</v>
      </c>
      <c r="L47" s="168"/>
      <c r="M47" s="170">
        <f t="shared" si="3"/>
        <v>0</v>
      </c>
    </row>
    <row r="48" spans="1:21" x14ac:dyDescent="0.25">
      <c r="A48" s="91">
        <f t="shared" si="4"/>
        <v>0</v>
      </c>
      <c r="B48" s="31" t="str">
        <f t="shared" si="0"/>
        <v/>
      </c>
      <c r="C48" s="32"/>
      <c r="D48" s="32"/>
      <c r="E48" s="32"/>
      <c r="F48" s="32"/>
      <c r="G48" s="153"/>
      <c r="H48" s="165">
        <v>43</v>
      </c>
      <c r="I48" s="166" t="str">
        <f t="shared" si="1"/>
        <v/>
      </c>
      <c r="J48" s="166">
        <f t="shared" si="5"/>
        <v>-1</v>
      </c>
      <c r="K48" s="165">
        <f t="shared" si="2"/>
        <v>-10</v>
      </c>
      <c r="L48" s="165"/>
      <c r="M48" s="167">
        <f t="shared" si="3"/>
        <v>0</v>
      </c>
    </row>
    <row r="49" spans="1:13" x14ac:dyDescent="0.25">
      <c r="A49" s="91">
        <f t="shared" si="4"/>
        <v>0</v>
      </c>
      <c r="B49" s="37" t="str">
        <f t="shared" si="0"/>
        <v/>
      </c>
      <c r="C49" s="38"/>
      <c r="D49" s="38"/>
      <c r="E49" s="38"/>
      <c r="F49" s="38"/>
      <c r="G49" s="153"/>
      <c r="H49" s="168">
        <v>44</v>
      </c>
      <c r="I49" s="169" t="str">
        <f t="shared" si="1"/>
        <v/>
      </c>
      <c r="J49" s="169">
        <f t="shared" si="5"/>
        <v>-1</v>
      </c>
      <c r="K49" s="168">
        <f t="shared" si="2"/>
        <v>-10</v>
      </c>
      <c r="L49" s="168"/>
      <c r="M49" s="170">
        <f t="shared" si="3"/>
        <v>0</v>
      </c>
    </row>
    <row r="50" spans="1:13" x14ac:dyDescent="0.25">
      <c r="A50" s="91">
        <f t="shared" si="4"/>
        <v>0</v>
      </c>
      <c r="B50" s="31" t="str">
        <f t="shared" si="0"/>
        <v/>
      </c>
      <c r="C50" s="32"/>
      <c r="D50" s="32"/>
      <c r="E50" s="32"/>
      <c r="F50" s="32"/>
      <c r="G50" s="153"/>
      <c r="H50" s="165">
        <v>45</v>
      </c>
      <c r="I50" s="166" t="str">
        <f t="shared" si="1"/>
        <v/>
      </c>
      <c r="J50" s="166">
        <f t="shared" si="5"/>
        <v>-1</v>
      </c>
      <c r="K50" s="165">
        <f t="shared" si="2"/>
        <v>-10</v>
      </c>
      <c r="L50" s="165"/>
      <c r="M50" s="167">
        <f t="shared" si="3"/>
        <v>0</v>
      </c>
    </row>
    <row r="51" spans="1:13" x14ac:dyDescent="0.25">
      <c r="A51" s="91">
        <f t="shared" si="4"/>
        <v>0</v>
      </c>
      <c r="B51" s="37" t="str">
        <f t="shared" si="0"/>
        <v/>
      </c>
      <c r="C51" s="38"/>
      <c r="D51" s="38"/>
      <c r="E51" s="38"/>
      <c r="F51" s="38"/>
      <c r="G51" s="153"/>
      <c r="H51" s="168">
        <v>46</v>
      </c>
      <c r="I51" s="169" t="str">
        <f t="shared" si="1"/>
        <v/>
      </c>
      <c r="J51" s="169">
        <f t="shared" si="5"/>
        <v>-1</v>
      </c>
      <c r="K51" s="168">
        <f t="shared" si="2"/>
        <v>-10</v>
      </c>
      <c r="L51" s="168"/>
      <c r="M51" s="170">
        <f t="shared" si="3"/>
        <v>0</v>
      </c>
    </row>
    <row r="52" spans="1:13" x14ac:dyDescent="0.25">
      <c r="A52" s="91">
        <f t="shared" si="4"/>
        <v>0</v>
      </c>
      <c r="B52" s="31" t="str">
        <f t="shared" si="0"/>
        <v/>
      </c>
      <c r="C52" s="32"/>
      <c r="D52" s="32"/>
      <c r="E52" s="32"/>
      <c r="F52" s="32"/>
      <c r="G52" s="153"/>
      <c r="H52" s="165">
        <v>47</v>
      </c>
      <c r="I52" s="166" t="str">
        <f t="shared" si="1"/>
        <v/>
      </c>
      <c r="J52" s="166">
        <f t="shared" si="5"/>
        <v>-1</v>
      </c>
      <c r="K52" s="165">
        <f t="shared" si="2"/>
        <v>-10</v>
      </c>
      <c r="L52" s="165"/>
      <c r="M52" s="167">
        <f t="shared" si="3"/>
        <v>0</v>
      </c>
    </row>
    <row r="53" spans="1:13" x14ac:dyDescent="0.25">
      <c r="A53" s="91">
        <f t="shared" si="4"/>
        <v>0</v>
      </c>
      <c r="B53" s="37" t="str">
        <f t="shared" si="0"/>
        <v/>
      </c>
      <c r="C53" s="38"/>
      <c r="D53" s="38"/>
      <c r="E53" s="38"/>
      <c r="F53" s="38"/>
      <c r="G53" s="153"/>
      <c r="H53" s="168">
        <v>48</v>
      </c>
      <c r="I53" s="169" t="str">
        <f t="shared" si="1"/>
        <v/>
      </c>
      <c r="J53" s="169">
        <f t="shared" si="5"/>
        <v>-1</v>
      </c>
      <c r="K53" s="168">
        <f t="shared" si="2"/>
        <v>-10</v>
      </c>
      <c r="L53" s="168"/>
      <c r="M53" s="170">
        <f t="shared" si="3"/>
        <v>0</v>
      </c>
    </row>
    <row r="54" spans="1:13" x14ac:dyDescent="0.25">
      <c r="A54" s="91">
        <f t="shared" si="4"/>
        <v>0</v>
      </c>
      <c r="B54" s="31" t="str">
        <f t="shared" si="0"/>
        <v/>
      </c>
      <c r="C54" s="32"/>
      <c r="D54" s="32"/>
      <c r="E54" s="32"/>
      <c r="F54" s="32"/>
      <c r="G54" s="153"/>
      <c r="H54" s="165">
        <v>49</v>
      </c>
      <c r="I54" s="166" t="str">
        <f t="shared" si="1"/>
        <v/>
      </c>
      <c r="J54" s="166">
        <f t="shared" si="5"/>
        <v>-1</v>
      </c>
      <c r="K54" s="165">
        <f t="shared" si="2"/>
        <v>-10</v>
      </c>
      <c r="L54" s="165"/>
      <c r="M54" s="167">
        <f t="shared" si="3"/>
        <v>0</v>
      </c>
    </row>
    <row r="55" spans="1:13" x14ac:dyDescent="0.25">
      <c r="A55" s="91">
        <f t="shared" si="4"/>
        <v>0</v>
      </c>
      <c r="B55" s="37" t="str">
        <f t="shared" si="0"/>
        <v/>
      </c>
      <c r="C55" s="38"/>
      <c r="D55" s="38"/>
      <c r="E55" s="38"/>
      <c r="F55" s="38"/>
      <c r="G55" s="153"/>
      <c r="H55" s="168">
        <v>50</v>
      </c>
      <c r="I55" s="169" t="str">
        <f t="shared" si="1"/>
        <v/>
      </c>
      <c r="J55" s="169">
        <f t="shared" si="5"/>
        <v>-1</v>
      </c>
      <c r="K55" s="168">
        <f t="shared" si="2"/>
        <v>-10</v>
      </c>
      <c r="L55" s="168"/>
      <c r="M55" s="170">
        <f t="shared" si="3"/>
        <v>0</v>
      </c>
    </row>
    <row r="56" spans="1:13" x14ac:dyDescent="0.25">
      <c r="A56" s="91">
        <f t="shared" si="4"/>
        <v>0</v>
      </c>
      <c r="B56" s="31" t="str">
        <f t="shared" si="0"/>
        <v/>
      </c>
      <c r="C56" s="32"/>
      <c r="D56" s="32"/>
      <c r="E56" s="32"/>
      <c r="F56" s="32"/>
      <c r="G56" s="153"/>
      <c r="H56" s="165">
        <v>51</v>
      </c>
      <c r="I56" s="166" t="str">
        <f t="shared" si="1"/>
        <v/>
      </c>
      <c r="J56" s="166">
        <f t="shared" si="5"/>
        <v>-1</v>
      </c>
      <c r="K56" s="165">
        <f t="shared" si="2"/>
        <v>-10</v>
      </c>
      <c r="L56" s="165"/>
      <c r="M56" s="167">
        <f t="shared" si="3"/>
        <v>0</v>
      </c>
    </row>
    <row r="57" spans="1:13" x14ac:dyDescent="0.25">
      <c r="A57" s="91">
        <f t="shared" si="4"/>
        <v>0</v>
      </c>
      <c r="B57" s="37" t="str">
        <f t="shared" si="0"/>
        <v/>
      </c>
      <c r="C57" s="38"/>
      <c r="D57" s="38"/>
      <c r="E57" s="38"/>
      <c r="F57" s="38"/>
      <c r="G57" s="153"/>
      <c r="H57" s="168">
        <v>52</v>
      </c>
      <c r="I57" s="169" t="str">
        <f t="shared" si="1"/>
        <v/>
      </c>
      <c r="J57" s="169">
        <f t="shared" si="5"/>
        <v>-1</v>
      </c>
      <c r="K57" s="168">
        <f t="shared" si="2"/>
        <v>-10</v>
      </c>
      <c r="L57" s="168"/>
      <c r="M57" s="170">
        <f t="shared" si="3"/>
        <v>0</v>
      </c>
    </row>
    <row r="58" spans="1:13" x14ac:dyDescent="0.25">
      <c r="A58" s="91">
        <f t="shared" si="4"/>
        <v>0</v>
      </c>
      <c r="B58" s="31" t="str">
        <f t="shared" si="0"/>
        <v/>
      </c>
      <c r="C58" s="32"/>
      <c r="D58" s="32"/>
      <c r="E58" s="32"/>
      <c r="F58" s="32"/>
      <c r="G58" s="153"/>
      <c r="H58" s="165">
        <v>53</v>
      </c>
      <c r="I58" s="166" t="str">
        <f t="shared" si="1"/>
        <v/>
      </c>
      <c r="J58" s="166">
        <f t="shared" si="5"/>
        <v>-1</v>
      </c>
      <c r="K58" s="165">
        <f t="shared" si="2"/>
        <v>-10</v>
      </c>
      <c r="L58" s="165"/>
      <c r="M58" s="167">
        <f t="shared" si="3"/>
        <v>0</v>
      </c>
    </row>
    <row r="59" spans="1:13" x14ac:dyDescent="0.25">
      <c r="A59" s="91">
        <f t="shared" si="4"/>
        <v>0</v>
      </c>
      <c r="B59" s="37" t="str">
        <f t="shared" si="0"/>
        <v/>
      </c>
      <c r="C59" s="38"/>
      <c r="D59" s="38"/>
      <c r="E59" s="38"/>
      <c r="F59" s="38"/>
      <c r="G59" s="153"/>
      <c r="H59" s="168">
        <v>54</v>
      </c>
      <c r="I59" s="169" t="str">
        <f t="shared" si="1"/>
        <v/>
      </c>
      <c r="J59" s="169">
        <f t="shared" si="5"/>
        <v>-1</v>
      </c>
      <c r="K59" s="168">
        <f t="shared" si="2"/>
        <v>-10</v>
      </c>
      <c r="L59" s="168"/>
      <c r="M59" s="170">
        <f t="shared" si="3"/>
        <v>0</v>
      </c>
    </row>
    <row r="60" spans="1:13" x14ac:dyDescent="0.25">
      <c r="A60" s="91">
        <f t="shared" si="4"/>
        <v>0</v>
      </c>
      <c r="B60" s="31" t="str">
        <f t="shared" si="0"/>
        <v/>
      </c>
      <c r="C60" s="32"/>
      <c r="D60" s="32"/>
      <c r="E60" s="32"/>
      <c r="F60" s="32"/>
      <c r="G60" s="153"/>
      <c r="H60" s="165">
        <v>55</v>
      </c>
      <c r="I60" s="166" t="str">
        <f t="shared" si="1"/>
        <v/>
      </c>
      <c r="J60" s="166">
        <f t="shared" si="5"/>
        <v>-1</v>
      </c>
      <c r="K60" s="165">
        <f t="shared" si="2"/>
        <v>-10</v>
      </c>
      <c r="L60" s="165"/>
      <c r="M60" s="167">
        <f t="shared" si="3"/>
        <v>0</v>
      </c>
    </row>
    <row r="61" spans="1:13" x14ac:dyDescent="0.25">
      <c r="A61" s="91">
        <f t="shared" si="4"/>
        <v>0</v>
      </c>
      <c r="B61" s="37" t="str">
        <f t="shared" si="0"/>
        <v/>
      </c>
      <c r="C61" s="38"/>
      <c r="D61" s="38"/>
      <c r="E61" s="38"/>
      <c r="F61" s="38"/>
      <c r="G61" s="153"/>
      <c r="H61" s="168">
        <v>56</v>
      </c>
      <c r="I61" s="169" t="str">
        <f t="shared" si="1"/>
        <v/>
      </c>
      <c r="J61" s="169">
        <f t="shared" si="5"/>
        <v>-1</v>
      </c>
      <c r="K61" s="168">
        <f t="shared" si="2"/>
        <v>-10</v>
      </c>
      <c r="L61" s="168"/>
      <c r="M61" s="170">
        <f t="shared" si="3"/>
        <v>0</v>
      </c>
    </row>
    <row r="62" spans="1:13" x14ac:dyDescent="0.25">
      <c r="A62" s="91">
        <f t="shared" si="4"/>
        <v>0</v>
      </c>
      <c r="B62" s="31" t="str">
        <f t="shared" si="0"/>
        <v/>
      </c>
      <c r="C62" s="32"/>
      <c r="D62" s="32"/>
      <c r="E62" s="32"/>
      <c r="F62" s="32"/>
      <c r="G62" s="153"/>
      <c r="H62" s="165">
        <v>57</v>
      </c>
      <c r="I62" s="166" t="str">
        <f t="shared" si="1"/>
        <v/>
      </c>
      <c r="J62" s="166">
        <f t="shared" si="5"/>
        <v>-1</v>
      </c>
      <c r="K62" s="165">
        <f t="shared" si="2"/>
        <v>-10</v>
      </c>
      <c r="L62" s="165"/>
      <c r="M62" s="167">
        <f t="shared" si="3"/>
        <v>0</v>
      </c>
    </row>
    <row r="63" spans="1:13" x14ac:dyDescent="0.25">
      <c r="A63" s="91">
        <f t="shared" si="4"/>
        <v>0</v>
      </c>
      <c r="B63" s="37" t="str">
        <f t="shared" si="0"/>
        <v/>
      </c>
      <c r="C63" s="38"/>
      <c r="D63" s="38"/>
      <c r="E63" s="38"/>
      <c r="F63" s="38"/>
      <c r="G63" s="153"/>
      <c r="H63" s="168">
        <v>58</v>
      </c>
      <c r="I63" s="169" t="str">
        <f t="shared" si="1"/>
        <v/>
      </c>
      <c r="J63" s="169">
        <f t="shared" si="5"/>
        <v>-1</v>
      </c>
      <c r="K63" s="168">
        <f t="shared" si="2"/>
        <v>-10</v>
      </c>
      <c r="L63" s="168"/>
      <c r="M63" s="170">
        <f t="shared" si="3"/>
        <v>0</v>
      </c>
    </row>
    <row r="64" spans="1:13" x14ac:dyDescent="0.25">
      <c r="A64" s="91">
        <f t="shared" si="4"/>
        <v>0</v>
      </c>
      <c r="B64" s="31" t="str">
        <f t="shared" si="0"/>
        <v/>
      </c>
      <c r="C64" s="32"/>
      <c r="D64" s="32"/>
      <c r="E64" s="32"/>
      <c r="F64" s="32"/>
      <c r="G64" s="153"/>
      <c r="H64" s="165">
        <v>59</v>
      </c>
      <c r="I64" s="166" t="str">
        <f t="shared" si="1"/>
        <v/>
      </c>
      <c r="J64" s="166">
        <f t="shared" si="5"/>
        <v>-1</v>
      </c>
      <c r="K64" s="165">
        <f t="shared" si="2"/>
        <v>-10</v>
      </c>
      <c r="L64" s="165"/>
      <c r="M64" s="167">
        <f t="shared" si="3"/>
        <v>0</v>
      </c>
    </row>
    <row r="65" spans="1:13" x14ac:dyDescent="0.25">
      <c r="A65" s="91">
        <f t="shared" si="4"/>
        <v>0</v>
      </c>
      <c r="B65" s="37" t="str">
        <f t="shared" si="0"/>
        <v/>
      </c>
      <c r="C65" s="38"/>
      <c r="D65" s="38"/>
      <c r="E65" s="38"/>
      <c r="F65" s="38"/>
      <c r="G65" s="153"/>
      <c r="H65" s="168">
        <v>60</v>
      </c>
      <c r="I65" s="169" t="str">
        <f t="shared" si="1"/>
        <v/>
      </c>
      <c r="J65" s="169">
        <f t="shared" si="5"/>
        <v>-1</v>
      </c>
      <c r="K65" s="168">
        <f t="shared" si="2"/>
        <v>-10</v>
      </c>
      <c r="L65" s="168"/>
      <c r="M65" s="170">
        <f t="shared" si="3"/>
        <v>0</v>
      </c>
    </row>
    <row r="66" spans="1:13" x14ac:dyDescent="0.25">
      <c r="A66" s="91">
        <f t="shared" si="4"/>
        <v>0</v>
      </c>
      <c r="B66" s="31"/>
      <c r="G66" s="153"/>
      <c r="H66" s="165">
        <v>61</v>
      </c>
      <c r="I66" s="166" t="str">
        <f t="shared" si="1"/>
        <v/>
      </c>
      <c r="J66" s="166">
        <f t="shared" si="5"/>
        <v>-1</v>
      </c>
      <c r="K66" s="165">
        <f t="shared" si="2"/>
        <v>-10</v>
      </c>
      <c r="L66" s="165"/>
      <c r="M66" s="167">
        <f t="shared" si="3"/>
        <v>0</v>
      </c>
    </row>
    <row r="67" spans="1:13" x14ac:dyDescent="0.25">
      <c r="A67" s="91">
        <f t="shared" si="4"/>
        <v>0</v>
      </c>
      <c r="B67" s="37"/>
      <c r="G67" s="153"/>
      <c r="H67" s="165">
        <v>62</v>
      </c>
      <c r="I67" s="166" t="str">
        <f t="shared" si="1"/>
        <v/>
      </c>
      <c r="J67" s="166">
        <f t="shared" si="5"/>
        <v>-1</v>
      </c>
      <c r="K67" s="165">
        <f t="shared" si="2"/>
        <v>-10</v>
      </c>
      <c r="L67" s="165"/>
      <c r="M67" s="167">
        <f t="shared" si="3"/>
        <v>0</v>
      </c>
    </row>
    <row r="68" spans="1:13" x14ac:dyDescent="0.25">
      <c r="A68" s="91">
        <f t="shared" si="4"/>
        <v>0</v>
      </c>
      <c r="B68" s="31"/>
      <c r="G68" s="153"/>
      <c r="H68" s="165">
        <v>63</v>
      </c>
      <c r="I68" s="166" t="str">
        <f t="shared" si="1"/>
        <v/>
      </c>
      <c r="J68" s="166">
        <f t="shared" si="5"/>
        <v>-1</v>
      </c>
      <c r="K68" s="165">
        <f t="shared" si="2"/>
        <v>-10</v>
      </c>
      <c r="L68" s="165"/>
      <c r="M68" s="167">
        <f t="shared" si="3"/>
        <v>0</v>
      </c>
    </row>
    <row r="69" spans="1:13" x14ac:dyDescent="0.25">
      <c r="A69" s="91">
        <f t="shared" si="4"/>
        <v>0</v>
      </c>
      <c r="B69" s="37"/>
      <c r="G69" s="153"/>
      <c r="H69" s="165">
        <v>64</v>
      </c>
      <c r="I69" s="166" t="str">
        <f t="shared" si="1"/>
        <v/>
      </c>
      <c r="J69" s="166">
        <f t="shared" si="5"/>
        <v>-1</v>
      </c>
      <c r="K69" s="165">
        <f t="shared" si="2"/>
        <v>-10</v>
      </c>
      <c r="L69" s="165"/>
      <c r="M69" s="167">
        <f t="shared" si="3"/>
        <v>0</v>
      </c>
    </row>
    <row r="70" spans="1:13" x14ac:dyDescent="0.25">
      <c r="A70" s="91">
        <f t="shared" si="4"/>
        <v>0</v>
      </c>
      <c r="G70" s="153"/>
      <c r="H70" s="165">
        <v>65</v>
      </c>
      <c r="I70" s="166" t="str">
        <f t="shared" ref="I70:I133" si="6">IF(H70&lt;$H$2+1,($I$2-($I$2-1)*(LOG(H70)/LOG($H$2))),"")</f>
        <v/>
      </c>
      <c r="J70" s="166">
        <f t="shared" si="5"/>
        <v>-2</v>
      </c>
      <c r="K70" s="165">
        <f t="shared" ref="K70:K133" si="7">J70*$J$2</f>
        <v>-20</v>
      </c>
      <c r="L70" s="165"/>
      <c r="M70" s="167">
        <f t="shared" ref="M70:M133" si="8">IF(I70&lt;&gt;"",K70+I70+L70,0)</f>
        <v>0</v>
      </c>
    </row>
    <row r="71" spans="1:13" x14ac:dyDescent="0.25">
      <c r="A71" s="91">
        <f t="shared" ref="A71:A79" si="9">M71</f>
        <v>0</v>
      </c>
      <c r="G71" s="153"/>
      <c r="H71" s="165">
        <v>66</v>
      </c>
      <c r="I71" s="166" t="str">
        <f t="shared" si="6"/>
        <v/>
      </c>
      <c r="J71" s="166">
        <f t="shared" ref="J71:J134" si="10">INT(LOG($H$2,2))-ROUNDUP(LOG(H71,2),0)+IF(OR($H$2=1,$H$2=2,$H$2=4,$H$2=8,$H$2=16,$H$2=32,$H$2=64,$H$2=128,$H$2=256),0,1)</f>
        <v>-2</v>
      </c>
      <c r="K71" s="165">
        <f t="shared" si="7"/>
        <v>-20</v>
      </c>
      <c r="L71" s="165"/>
      <c r="M71" s="167">
        <f t="shared" si="8"/>
        <v>0</v>
      </c>
    </row>
    <row r="72" spans="1:13" x14ac:dyDescent="0.25">
      <c r="A72" s="91">
        <f t="shared" si="9"/>
        <v>0</v>
      </c>
      <c r="G72" s="153"/>
      <c r="H72" s="165">
        <v>67</v>
      </c>
      <c r="I72" s="166" t="str">
        <f t="shared" si="6"/>
        <v/>
      </c>
      <c r="J72" s="166">
        <f t="shared" si="10"/>
        <v>-2</v>
      </c>
      <c r="K72" s="165">
        <f t="shared" si="7"/>
        <v>-20</v>
      </c>
      <c r="L72" s="165"/>
      <c r="M72" s="167">
        <f t="shared" si="8"/>
        <v>0</v>
      </c>
    </row>
    <row r="73" spans="1:13" x14ac:dyDescent="0.25">
      <c r="A73" s="91">
        <f t="shared" si="9"/>
        <v>0</v>
      </c>
      <c r="G73" s="153"/>
      <c r="H73" s="165">
        <v>68</v>
      </c>
      <c r="I73" s="166" t="str">
        <f t="shared" si="6"/>
        <v/>
      </c>
      <c r="J73" s="166">
        <f t="shared" si="10"/>
        <v>-2</v>
      </c>
      <c r="K73" s="165">
        <f t="shared" si="7"/>
        <v>-20</v>
      </c>
      <c r="L73" s="165"/>
      <c r="M73" s="167">
        <f t="shared" si="8"/>
        <v>0</v>
      </c>
    </row>
    <row r="74" spans="1:13" x14ac:dyDescent="0.25">
      <c r="A74" s="91">
        <f t="shared" si="9"/>
        <v>0</v>
      </c>
      <c r="G74" s="153"/>
      <c r="H74" s="165">
        <v>69</v>
      </c>
      <c r="I74" s="166" t="str">
        <f t="shared" si="6"/>
        <v/>
      </c>
      <c r="J74" s="166">
        <f t="shared" si="10"/>
        <v>-2</v>
      </c>
      <c r="K74" s="165">
        <f t="shared" si="7"/>
        <v>-20</v>
      </c>
      <c r="L74" s="165"/>
      <c r="M74" s="167">
        <f t="shared" si="8"/>
        <v>0</v>
      </c>
    </row>
    <row r="75" spans="1:13" x14ac:dyDescent="0.25">
      <c r="A75" s="91">
        <f t="shared" si="9"/>
        <v>0</v>
      </c>
      <c r="G75" s="153"/>
      <c r="H75" s="165">
        <v>70</v>
      </c>
      <c r="I75" s="166" t="str">
        <f t="shared" si="6"/>
        <v/>
      </c>
      <c r="J75" s="166">
        <f t="shared" si="10"/>
        <v>-2</v>
      </c>
      <c r="K75" s="165">
        <f t="shared" si="7"/>
        <v>-20</v>
      </c>
      <c r="L75" s="165"/>
      <c r="M75" s="167">
        <f t="shared" si="8"/>
        <v>0</v>
      </c>
    </row>
    <row r="76" spans="1:13" x14ac:dyDescent="0.25">
      <c r="A76" s="91">
        <f t="shared" si="9"/>
        <v>0</v>
      </c>
      <c r="G76" s="153"/>
      <c r="H76" s="165">
        <v>71</v>
      </c>
      <c r="I76" s="166" t="str">
        <f t="shared" si="6"/>
        <v/>
      </c>
      <c r="J76" s="166">
        <f t="shared" si="10"/>
        <v>-2</v>
      </c>
      <c r="K76" s="165">
        <f t="shared" si="7"/>
        <v>-20</v>
      </c>
      <c r="L76" s="165"/>
      <c r="M76" s="167">
        <f t="shared" si="8"/>
        <v>0</v>
      </c>
    </row>
    <row r="77" spans="1:13" x14ac:dyDescent="0.25">
      <c r="A77" s="91">
        <f t="shared" si="9"/>
        <v>0</v>
      </c>
      <c r="G77" s="153"/>
      <c r="H77" s="165">
        <v>72</v>
      </c>
      <c r="I77" s="166" t="str">
        <f t="shared" si="6"/>
        <v/>
      </c>
      <c r="J77" s="166">
        <f t="shared" si="10"/>
        <v>-2</v>
      </c>
      <c r="K77" s="165">
        <f t="shared" si="7"/>
        <v>-20</v>
      </c>
      <c r="L77" s="165"/>
      <c r="M77" s="167">
        <f t="shared" si="8"/>
        <v>0</v>
      </c>
    </row>
    <row r="78" spans="1:13" x14ac:dyDescent="0.25">
      <c r="A78" s="91">
        <f t="shared" si="9"/>
        <v>0</v>
      </c>
      <c r="G78" s="153"/>
      <c r="H78" s="165">
        <v>73</v>
      </c>
      <c r="I78" s="166" t="str">
        <f t="shared" si="6"/>
        <v/>
      </c>
      <c r="J78" s="166">
        <f t="shared" si="10"/>
        <v>-2</v>
      </c>
      <c r="K78" s="165">
        <f t="shared" si="7"/>
        <v>-20</v>
      </c>
      <c r="L78" s="165"/>
      <c r="M78" s="167">
        <f t="shared" si="8"/>
        <v>0</v>
      </c>
    </row>
    <row r="79" spans="1:13" x14ac:dyDescent="0.25">
      <c r="A79" s="91">
        <f t="shared" si="9"/>
        <v>0</v>
      </c>
      <c r="G79" s="153"/>
      <c r="H79" s="165">
        <v>74</v>
      </c>
      <c r="I79" s="166" t="str">
        <f t="shared" si="6"/>
        <v/>
      </c>
      <c r="J79" s="166">
        <f t="shared" si="10"/>
        <v>-2</v>
      </c>
      <c r="K79" s="165">
        <f t="shared" si="7"/>
        <v>-20</v>
      </c>
      <c r="L79" s="165"/>
      <c r="M79" s="167">
        <f t="shared" si="8"/>
        <v>0</v>
      </c>
    </row>
    <row r="80" spans="1:13" x14ac:dyDescent="0.25">
      <c r="A80" s="87"/>
      <c r="G80" s="153"/>
      <c r="H80" s="165">
        <v>75</v>
      </c>
      <c r="I80" s="166" t="str">
        <f t="shared" si="6"/>
        <v/>
      </c>
      <c r="J80" s="166">
        <f t="shared" si="10"/>
        <v>-2</v>
      </c>
      <c r="K80" s="165">
        <f t="shared" si="7"/>
        <v>-20</v>
      </c>
      <c r="L80" s="165"/>
      <c r="M80" s="167">
        <f t="shared" si="8"/>
        <v>0</v>
      </c>
    </row>
    <row r="81" spans="1:13" x14ac:dyDescent="0.25">
      <c r="A81" s="182"/>
      <c r="G81" s="153"/>
      <c r="H81" s="165">
        <v>76</v>
      </c>
      <c r="I81" s="166" t="str">
        <f t="shared" si="6"/>
        <v/>
      </c>
      <c r="J81" s="166">
        <f t="shared" si="10"/>
        <v>-2</v>
      </c>
      <c r="K81" s="165">
        <f t="shared" si="7"/>
        <v>-20</v>
      </c>
      <c r="L81" s="165"/>
      <c r="M81" s="167">
        <f t="shared" si="8"/>
        <v>0</v>
      </c>
    </row>
    <row r="82" spans="1:13" x14ac:dyDescent="0.25">
      <c r="A82" s="182"/>
      <c r="G82" s="153"/>
      <c r="H82" s="165">
        <v>77</v>
      </c>
      <c r="I82" s="166" t="str">
        <f t="shared" si="6"/>
        <v/>
      </c>
      <c r="J82" s="166">
        <f t="shared" si="10"/>
        <v>-2</v>
      </c>
      <c r="K82" s="165">
        <f t="shared" si="7"/>
        <v>-20</v>
      </c>
      <c r="L82" s="165"/>
      <c r="M82" s="167">
        <f t="shared" si="8"/>
        <v>0</v>
      </c>
    </row>
    <row r="83" spans="1:13" x14ac:dyDescent="0.25">
      <c r="A83" s="182"/>
      <c r="G83" s="153"/>
      <c r="H83" s="165">
        <v>78</v>
      </c>
      <c r="I83" s="166" t="str">
        <f t="shared" si="6"/>
        <v/>
      </c>
      <c r="J83" s="166">
        <f t="shared" si="10"/>
        <v>-2</v>
      </c>
      <c r="K83" s="165">
        <f t="shared" si="7"/>
        <v>-20</v>
      </c>
      <c r="L83" s="165"/>
      <c r="M83" s="167">
        <f t="shared" si="8"/>
        <v>0</v>
      </c>
    </row>
    <row r="84" spans="1:13" x14ac:dyDescent="0.25">
      <c r="A84" s="182"/>
      <c r="G84" s="153"/>
      <c r="H84" s="165">
        <v>79</v>
      </c>
      <c r="I84" s="166" t="str">
        <f t="shared" si="6"/>
        <v/>
      </c>
      <c r="J84" s="166">
        <f t="shared" si="10"/>
        <v>-2</v>
      </c>
      <c r="K84" s="165">
        <f t="shared" si="7"/>
        <v>-20</v>
      </c>
      <c r="L84" s="165"/>
      <c r="M84" s="167">
        <f t="shared" si="8"/>
        <v>0</v>
      </c>
    </row>
    <row r="85" spans="1:13" x14ac:dyDescent="0.25">
      <c r="A85" s="182"/>
      <c r="G85" s="153"/>
      <c r="H85" s="165">
        <v>80</v>
      </c>
      <c r="I85" s="166" t="str">
        <f t="shared" si="6"/>
        <v/>
      </c>
      <c r="J85" s="166">
        <f t="shared" si="10"/>
        <v>-2</v>
      </c>
      <c r="K85" s="165">
        <f t="shared" si="7"/>
        <v>-20</v>
      </c>
      <c r="L85" s="165"/>
      <c r="M85" s="167">
        <f t="shared" si="8"/>
        <v>0</v>
      </c>
    </row>
    <row r="86" spans="1:13" x14ac:dyDescent="0.25">
      <c r="A86" s="182"/>
      <c r="G86" s="153"/>
      <c r="H86" s="165">
        <v>81</v>
      </c>
      <c r="I86" s="166" t="str">
        <f t="shared" si="6"/>
        <v/>
      </c>
      <c r="J86" s="166">
        <f t="shared" si="10"/>
        <v>-2</v>
      </c>
      <c r="K86" s="165">
        <f t="shared" si="7"/>
        <v>-20</v>
      </c>
      <c r="L86" s="165"/>
      <c r="M86" s="167">
        <f t="shared" si="8"/>
        <v>0</v>
      </c>
    </row>
    <row r="87" spans="1:13" x14ac:dyDescent="0.25">
      <c r="A87" s="182"/>
      <c r="G87" s="153"/>
      <c r="H87" s="165">
        <v>82</v>
      </c>
      <c r="I87" s="166" t="str">
        <f t="shared" si="6"/>
        <v/>
      </c>
      <c r="J87" s="166">
        <f t="shared" si="10"/>
        <v>-2</v>
      </c>
      <c r="K87" s="165">
        <f t="shared" si="7"/>
        <v>-20</v>
      </c>
      <c r="L87" s="165"/>
      <c r="M87" s="167">
        <f t="shared" si="8"/>
        <v>0</v>
      </c>
    </row>
    <row r="88" spans="1:13" x14ac:dyDescent="0.25">
      <c r="A88" s="182"/>
      <c r="G88" s="153"/>
      <c r="H88" s="165">
        <v>83</v>
      </c>
      <c r="I88" s="166" t="str">
        <f t="shared" si="6"/>
        <v/>
      </c>
      <c r="J88" s="166">
        <f t="shared" si="10"/>
        <v>-2</v>
      </c>
      <c r="K88" s="165">
        <f t="shared" si="7"/>
        <v>-20</v>
      </c>
      <c r="L88" s="165"/>
      <c r="M88" s="167">
        <f t="shared" si="8"/>
        <v>0</v>
      </c>
    </row>
    <row r="89" spans="1:13" x14ac:dyDescent="0.25">
      <c r="A89" s="182"/>
      <c r="G89" s="153"/>
      <c r="H89" s="165">
        <v>84</v>
      </c>
      <c r="I89" s="166" t="str">
        <f t="shared" si="6"/>
        <v/>
      </c>
      <c r="J89" s="166">
        <f t="shared" si="10"/>
        <v>-2</v>
      </c>
      <c r="K89" s="165">
        <f t="shared" si="7"/>
        <v>-20</v>
      </c>
      <c r="L89" s="165"/>
      <c r="M89" s="167">
        <f t="shared" si="8"/>
        <v>0</v>
      </c>
    </row>
    <row r="90" spans="1:13" x14ac:dyDescent="0.25">
      <c r="A90" s="182"/>
      <c r="G90" s="153"/>
      <c r="H90" s="165">
        <v>85</v>
      </c>
      <c r="I90" s="166" t="str">
        <f t="shared" si="6"/>
        <v/>
      </c>
      <c r="J90" s="166">
        <f t="shared" si="10"/>
        <v>-2</v>
      </c>
      <c r="K90" s="165">
        <f t="shared" si="7"/>
        <v>-20</v>
      </c>
      <c r="L90" s="165"/>
      <c r="M90" s="167">
        <f t="shared" si="8"/>
        <v>0</v>
      </c>
    </row>
    <row r="91" spans="1:13" x14ac:dyDescent="0.25">
      <c r="A91" s="182"/>
      <c r="G91" s="153"/>
      <c r="H91" s="165">
        <v>86</v>
      </c>
      <c r="I91" s="166" t="str">
        <f t="shared" si="6"/>
        <v/>
      </c>
      <c r="J91" s="166">
        <f t="shared" si="10"/>
        <v>-2</v>
      </c>
      <c r="K91" s="165">
        <f t="shared" si="7"/>
        <v>-20</v>
      </c>
      <c r="L91" s="165"/>
      <c r="M91" s="167">
        <f t="shared" si="8"/>
        <v>0</v>
      </c>
    </row>
    <row r="92" spans="1:13" x14ac:dyDescent="0.25">
      <c r="A92" s="182"/>
      <c r="G92" s="153"/>
      <c r="H92" s="165">
        <v>87</v>
      </c>
      <c r="I92" s="166" t="str">
        <f t="shared" si="6"/>
        <v/>
      </c>
      <c r="J92" s="166">
        <f t="shared" si="10"/>
        <v>-2</v>
      </c>
      <c r="K92" s="165">
        <f t="shared" si="7"/>
        <v>-20</v>
      </c>
      <c r="L92" s="165"/>
      <c r="M92" s="167">
        <f t="shared" si="8"/>
        <v>0</v>
      </c>
    </row>
    <row r="93" spans="1:13" x14ac:dyDescent="0.25">
      <c r="A93" s="182"/>
      <c r="G93" s="153"/>
      <c r="H93" s="165">
        <v>88</v>
      </c>
      <c r="I93" s="166" t="str">
        <f t="shared" si="6"/>
        <v/>
      </c>
      <c r="J93" s="166">
        <f t="shared" si="10"/>
        <v>-2</v>
      </c>
      <c r="K93" s="165">
        <f t="shared" si="7"/>
        <v>-20</v>
      </c>
      <c r="L93" s="165"/>
      <c r="M93" s="167">
        <f t="shared" si="8"/>
        <v>0</v>
      </c>
    </row>
    <row r="94" spans="1:13" x14ac:dyDescent="0.25">
      <c r="A94" s="182"/>
      <c r="G94" s="153"/>
      <c r="H94" s="165">
        <v>89</v>
      </c>
      <c r="I94" s="166" t="str">
        <f t="shared" si="6"/>
        <v/>
      </c>
      <c r="J94" s="166">
        <f t="shared" si="10"/>
        <v>-2</v>
      </c>
      <c r="K94" s="165">
        <f t="shared" si="7"/>
        <v>-20</v>
      </c>
      <c r="L94" s="165"/>
      <c r="M94" s="167">
        <f t="shared" si="8"/>
        <v>0</v>
      </c>
    </row>
    <row r="95" spans="1:13" x14ac:dyDescent="0.25">
      <c r="A95" s="182"/>
      <c r="G95" s="153"/>
      <c r="H95" s="165">
        <v>90</v>
      </c>
      <c r="I95" s="166" t="str">
        <f t="shared" si="6"/>
        <v/>
      </c>
      <c r="J95" s="166">
        <f t="shared" si="10"/>
        <v>-2</v>
      </c>
      <c r="K95" s="165">
        <f t="shared" si="7"/>
        <v>-20</v>
      </c>
      <c r="L95" s="165"/>
      <c r="M95" s="167">
        <f t="shared" si="8"/>
        <v>0</v>
      </c>
    </row>
    <row r="96" spans="1:13" x14ac:dyDescent="0.25">
      <c r="A96" s="182"/>
      <c r="G96" s="153"/>
      <c r="H96" s="165">
        <v>91</v>
      </c>
      <c r="I96" s="166" t="str">
        <f t="shared" si="6"/>
        <v/>
      </c>
      <c r="J96" s="166">
        <f t="shared" si="10"/>
        <v>-2</v>
      </c>
      <c r="K96" s="165">
        <f t="shared" si="7"/>
        <v>-20</v>
      </c>
      <c r="L96" s="165"/>
      <c r="M96" s="167">
        <f t="shared" si="8"/>
        <v>0</v>
      </c>
    </row>
    <row r="97" spans="1:13" x14ac:dyDescent="0.25">
      <c r="A97" s="182"/>
      <c r="G97" s="153"/>
      <c r="H97" s="165">
        <v>92</v>
      </c>
      <c r="I97" s="166" t="str">
        <f t="shared" si="6"/>
        <v/>
      </c>
      <c r="J97" s="166">
        <f t="shared" si="10"/>
        <v>-2</v>
      </c>
      <c r="K97" s="165">
        <f t="shared" si="7"/>
        <v>-20</v>
      </c>
      <c r="L97" s="165"/>
      <c r="M97" s="167">
        <f t="shared" si="8"/>
        <v>0</v>
      </c>
    </row>
    <row r="98" spans="1:13" x14ac:dyDescent="0.25">
      <c r="A98" s="182"/>
      <c r="G98" s="153"/>
      <c r="H98" s="165">
        <v>93</v>
      </c>
      <c r="I98" s="166" t="str">
        <f t="shared" si="6"/>
        <v/>
      </c>
      <c r="J98" s="166">
        <f t="shared" si="10"/>
        <v>-2</v>
      </c>
      <c r="K98" s="165">
        <f t="shared" si="7"/>
        <v>-20</v>
      </c>
      <c r="L98" s="165"/>
      <c r="M98" s="167">
        <f t="shared" si="8"/>
        <v>0</v>
      </c>
    </row>
    <row r="99" spans="1:13" x14ac:dyDescent="0.25">
      <c r="A99" s="182"/>
      <c r="G99" s="153"/>
      <c r="H99" s="165">
        <v>94</v>
      </c>
      <c r="I99" s="166" t="str">
        <f t="shared" si="6"/>
        <v/>
      </c>
      <c r="J99" s="166">
        <f t="shared" si="10"/>
        <v>-2</v>
      </c>
      <c r="K99" s="165">
        <f t="shared" si="7"/>
        <v>-20</v>
      </c>
      <c r="L99" s="165"/>
      <c r="M99" s="167">
        <f t="shared" si="8"/>
        <v>0</v>
      </c>
    </row>
    <row r="100" spans="1:13" x14ac:dyDescent="0.25">
      <c r="A100" s="182"/>
      <c r="G100" s="153"/>
      <c r="H100" s="165">
        <v>95</v>
      </c>
      <c r="I100" s="166" t="str">
        <f t="shared" si="6"/>
        <v/>
      </c>
      <c r="J100" s="166">
        <f t="shared" si="10"/>
        <v>-2</v>
      </c>
      <c r="K100" s="165">
        <f t="shared" si="7"/>
        <v>-20</v>
      </c>
      <c r="L100" s="165"/>
      <c r="M100" s="167">
        <f t="shared" si="8"/>
        <v>0</v>
      </c>
    </row>
    <row r="101" spans="1:13" x14ac:dyDescent="0.25">
      <c r="A101" s="182"/>
      <c r="G101" s="153"/>
      <c r="H101" s="165">
        <v>96</v>
      </c>
      <c r="I101" s="166" t="str">
        <f t="shared" si="6"/>
        <v/>
      </c>
      <c r="J101" s="166">
        <f t="shared" si="10"/>
        <v>-2</v>
      </c>
      <c r="K101" s="165">
        <f t="shared" si="7"/>
        <v>-20</v>
      </c>
      <c r="L101" s="165"/>
      <c r="M101" s="167">
        <f t="shared" si="8"/>
        <v>0</v>
      </c>
    </row>
    <row r="102" spans="1:13" x14ac:dyDescent="0.25">
      <c r="A102" s="182"/>
      <c r="G102" s="153"/>
      <c r="H102" s="165">
        <v>97</v>
      </c>
      <c r="I102" s="166" t="str">
        <f t="shared" si="6"/>
        <v/>
      </c>
      <c r="J102" s="166">
        <f t="shared" si="10"/>
        <v>-2</v>
      </c>
      <c r="K102" s="165">
        <f t="shared" si="7"/>
        <v>-20</v>
      </c>
      <c r="L102" s="165"/>
      <c r="M102" s="167">
        <f t="shared" si="8"/>
        <v>0</v>
      </c>
    </row>
    <row r="103" spans="1:13" x14ac:dyDescent="0.25">
      <c r="A103" s="182"/>
      <c r="G103" s="153"/>
      <c r="H103" s="165">
        <v>98</v>
      </c>
      <c r="I103" s="166" t="str">
        <f t="shared" si="6"/>
        <v/>
      </c>
      <c r="J103" s="166">
        <f t="shared" si="10"/>
        <v>-2</v>
      </c>
      <c r="K103" s="165">
        <f t="shared" si="7"/>
        <v>-20</v>
      </c>
      <c r="L103" s="165"/>
      <c r="M103" s="167">
        <f t="shared" si="8"/>
        <v>0</v>
      </c>
    </row>
    <row r="104" spans="1:13" x14ac:dyDescent="0.25">
      <c r="A104" s="182"/>
      <c r="G104" s="153"/>
      <c r="H104" s="165">
        <v>99</v>
      </c>
      <c r="I104" s="166" t="str">
        <f t="shared" si="6"/>
        <v/>
      </c>
      <c r="J104" s="166">
        <f t="shared" si="10"/>
        <v>-2</v>
      </c>
      <c r="K104" s="165">
        <f t="shared" si="7"/>
        <v>-20</v>
      </c>
      <c r="L104" s="165"/>
      <c r="M104" s="167">
        <f t="shared" si="8"/>
        <v>0</v>
      </c>
    </row>
    <row r="105" spans="1:13" x14ac:dyDescent="0.25">
      <c r="A105" s="182"/>
      <c r="G105" s="153"/>
      <c r="H105" s="165">
        <v>100</v>
      </c>
      <c r="I105" s="166" t="str">
        <f t="shared" si="6"/>
        <v/>
      </c>
      <c r="J105" s="166">
        <f t="shared" si="10"/>
        <v>-2</v>
      </c>
      <c r="K105" s="165">
        <f t="shared" si="7"/>
        <v>-20</v>
      </c>
      <c r="L105" s="165"/>
      <c r="M105" s="167">
        <f t="shared" si="8"/>
        <v>0</v>
      </c>
    </row>
    <row r="106" spans="1:13" x14ac:dyDescent="0.25">
      <c r="A106" s="182"/>
      <c r="G106" s="153"/>
      <c r="H106" s="165">
        <v>101</v>
      </c>
      <c r="I106" s="166" t="str">
        <f t="shared" si="6"/>
        <v/>
      </c>
      <c r="J106" s="166">
        <f t="shared" si="10"/>
        <v>-2</v>
      </c>
      <c r="K106" s="165">
        <f t="shared" si="7"/>
        <v>-20</v>
      </c>
      <c r="L106" s="165"/>
      <c r="M106" s="167">
        <f t="shared" si="8"/>
        <v>0</v>
      </c>
    </row>
    <row r="107" spans="1:13" x14ac:dyDescent="0.25">
      <c r="A107" s="182"/>
      <c r="G107" s="153"/>
      <c r="H107" s="165">
        <v>102</v>
      </c>
      <c r="I107" s="166" t="str">
        <f t="shared" si="6"/>
        <v/>
      </c>
      <c r="J107" s="166">
        <f t="shared" si="10"/>
        <v>-2</v>
      </c>
      <c r="K107" s="165">
        <f t="shared" si="7"/>
        <v>-20</v>
      </c>
      <c r="L107" s="165"/>
      <c r="M107" s="167">
        <f t="shared" si="8"/>
        <v>0</v>
      </c>
    </row>
    <row r="108" spans="1:13" x14ac:dyDescent="0.25">
      <c r="A108" s="182"/>
      <c r="G108" s="153"/>
      <c r="H108" s="165">
        <v>103</v>
      </c>
      <c r="I108" s="166" t="str">
        <f t="shared" si="6"/>
        <v/>
      </c>
      <c r="J108" s="166">
        <f t="shared" si="10"/>
        <v>-2</v>
      </c>
      <c r="K108" s="165">
        <f t="shared" si="7"/>
        <v>-20</v>
      </c>
      <c r="L108" s="165"/>
      <c r="M108" s="167">
        <f t="shared" si="8"/>
        <v>0</v>
      </c>
    </row>
    <row r="109" spans="1:13" x14ac:dyDescent="0.25">
      <c r="A109" s="182"/>
      <c r="G109" s="153"/>
      <c r="H109" s="165">
        <v>104</v>
      </c>
      <c r="I109" s="166" t="str">
        <f t="shared" si="6"/>
        <v/>
      </c>
      <c r="J109" s="166">
        <f t="shared" si="10"/>
        <v>-2</v>
      </c>
      <c r="K109" s="165">
        <f t="shared" si="7"/>
        <v>-20</v>
      </c>
      <c r="L109" s="165"/>
      <c r="M109" s="167">
        <f t="shared" si="8"/>
        <v>0</v>
      </c>
    </row>
    <row r="110" spans="1:13" x14ac:dyDescent="0.25">
      <c r="A110" s="182"/>
      <c r="G110" s="153"/>
      <c r="H110" s="165">
        <v>105</v>
      </c>
      <c r="I110" s="166" t="str">
        <f t="shared" si="6"/>
        <v/>
      </c>
      <c r="J110" s="166">
        <f t="shared" si="10"/>
        <v>-2</v>
      </c>
      <c r="K110" s="165">
        <f t="shared" si="7"/>
        <v>-20</v>
      </c>
      <c r="L110" s="165"/>
      <c r="M110" s="167">
        <f t="shared" si="8"/>
        <v>0</v>
      </c>
    </row>
    <row r="111" spans="1:13" x14ac:dyDescent="0.25">
      <c r="A111" s="182"/>
      <c r="G111" s="153"/>
      <c r="H111" s="165">
        <v>106</v>
      </c>
      <c r="I111" s="166" t="str">
        <f t="shared" si="6"/>
        <v/>
      </c>
      <c r="J111" s="166">
        <f t="shared" si="10"/>
        <v>-2</v>
      </c>
      <c r="K111" s="165">
        <f t="shared" si="7"/>
        <v>-20</v>
      </c>
      <c r="L111" s="165"/>
      <c r="M111" s="167">
        <f t="shared" si="8"/>
        <v>0</v>
      </c>
    </row>
    <row r="112" spans="1:13" x14ac:dyDescent="0.25">
      <c r="A112" s="182"/>
      <c r="G112" s="153"/>
      <c r="H112" s="165">
        <v>107</v>
      </c>
      <c r="I112" s="166" t="str">
        <f t="shared" si="6"/>
        <v/>
      </c>
      <c r="J112" s="166">
        <f t="shared" si="10"/>
        <v>-2</v>
      </c>
      <c r="K112" s="165">
        <f t="shared" si="7"/>
        <v>-20</v>
      </c>
      <c r="L112" s="165"/>
      <c r="M112" s="167">
        <f t="shared" si="8"/>
        <v>0</v>
      </c>
    </row>
    <row r="113" spans="1:13" x14ac:dyDescent="0.25">
      <c r="A113" s="182"/>
      <c r="G113" s="153"/>
      <c r="H113" s="165">
        <v>108</v>
      </c>
      <c r="I113" s="166" t="str">
        <f t="shared" si="6"/>
        <v/>
      </c>
      <c r="J113" s="166">
        <f t="shared" si="10"/>
        <v>-2</v>
      </c>
      <c r="K113" s="165">
        <f t="shared" si="7"/>
        <v>-20</v>
      </c>
      <c r="L113" s="165"/>
      <c r="M113" s="167">
        <f t="shared" si="8"/>
        <v>0</v>
      </c>
    </row>
    <row r="114" spans="1:13" x14ac:dyDescent="0.25">
      <c r="A114" s="182"/>
      <c r="G114" s="153"/>
      <c r="H114" s="165">
        <v>109</v>
      </c>
      <c r="I114" s="166" t="str">
        <f t="shared" si="6"/>
        <v/>
      </c>
      <c r="J114" s="166">
        <f t="shared" si="10"/>
        <v>-2</v>
      </c>
      <c r="K114" s="165">
        <f t="shared" si="7"/>
        <v>-20</v>
      </c>
      <c r="L114" s="165"/>
      <c r="M114" s="167">
        <f t="shared" si="8"/>
        <v>0</v>
      </c>
    </row>
    <row r="115" spans="1:13" x14ac:dyDescent="0.25">
      <c r="A115" s="182"/>
      <c r="G115" s="153"/>
      <c r="H115" s="165">
        <v>110</v>
      </c>
      <c r="I115" s="166" t="str">
        <f t="shared" si="6"/>
        <v/>
      </c>
      <c r="J115" s="166">
        <f t="shared" si="10"/>
        <v>-2</v>
      </c>
      <c r="K115" s="165">
        <f t="shared" si="7"/>
        <v>-20</v>
      </c>
      <c r="L115" s="165"/>
      <c r="M115" s="167">
        <f t="shared" si="8"/>
        <v>0</v>
      </c>
    </row>
    <row r="116" spans="1:13" x14ac:dyDescent="0.25">
      <c r="A116" s="182"/>
      <c r="G116" s="153"/>
      <c r="H116" s="165">
        <v>111</v>
      </c>
      <c r="I116" s="166" t="str">
        <f t="shared" si="6"/>
        <v/>
      </c>
      <c r="J116" s="166">
        <f t="shared" si="10"/>
        <v>-2</v>
      </c>
      <c r="K116" s="165">
        <f t="shared" si="7"/>
        <v>-20</v>
      </c>
      <c r="L116" s="165"/>
      <c r="M116" s="167">
        <f t="shared" si="8"/>
        <v>0</v>
      </c>
    </row>
    <row r="117" spans="1:13" x14ac:dyDescent="0.25">
      <c r="A117" s="182"/>
      <c r="G117" s="153"/>
      <c r="H117" s="165">
        <v>112</v>
      </c>
      <c r="I117" s="166" t="str">
        <f t="shared" si="6"/>
        <v/>
      </c>
      <c r="J117" s="166">
        <f t="shared" si="10"/>
        <v>-2</v>
      </c>
      <c r="K117" s="165">
        <f t="shared" si="7"/>
        <v>-20</v>
      </c>
      <c r="L117" s="165"/>
      <c r="M117" s="167">
        <f t="shared" si="8"/>
        <v>0</v>
      </c>
    </row>
    <row r="118" spans="1:13" x14ac:dyDescent="0.25">
      <c r="A118" s="182"/>
      <c r="G118" s="153"/>
      <c r="H118" s="165">
        <v>113</v>
      </c>
      <c r="I118" s="166" t="str">
        <f t="shared" si="6"/>
        <v/>
      </c>
      <c r="J118" s="166">
        <f t="shared" si="10"/>
        <v>-2</v>
      </c>
      <c r="K118" s="165">
        <f t="shared" si="7"/>
        <v>-20</v>
      </c>
      <c r="L118" s="165"/>
      <c r="M118" s="167">
        <f t="shared" si="8"/>
        <v>0</v>
      </c>
    </row>
    <row r="119" spans="1:13" x14ac:dyDescent="0.25">
      <c r="A119" s="182"/>
      <c r="G119" s="153"/>
      <c r="H119" s="165">
        <v>114</v>
      </c>
      <c r="I119" s="166" t="str">
        <f t="shared" si="6"/>
        <v/>
      </c>
      <c r="J119" s="166">
        <f t="shared" si="10"/>
        <v>-2</v>
      </c>
      <c r="K119" s="165">
        <f t="shared" si="7"/>
        <v>-20</v>
      </c>
      <c r="L119" s="165"/>
      <c r="M119" s="167">
        <f t="shared" si="8"/>
        <v>0</v>
      </c>
    </row>
    <row r="120" spans="1:13" x14ac:dyDescent="0.25">
      <c r="A120" s="182"/>
      <c r="G120" s="153"/>
      <c r="H120" s="165">
        <v>115</v>
      </c>
      <c r="I120" s="166" t="str">
        <f t="shared" si="6"/>
        <v/>
      </c>
      <c r="J120" s="166">
        <f t="shared" si="10"/>
        <v>-2</v>
      </c>
      <c r="K120" s="165">
        <f t="shared" si="7"/>
        <v>-20</v>
      </c>
      <c r="L120" s="165"/>
      <c r="M120" s="167">
        <f t="shared" si="8"/>
        <v>0</v>
      </c>
    </row>
    <row r="121" spans="1:13" x14ac:dyDescent="0.25">
      <c r="A121" s="182"/>
      <c r="G121" s="153"/>
      <c r="H121" s="165">
        <v>116</v>
      </c>
      <c r="I121" s="166" t="str">
        <f t="shared" si="6"/>
        <v/>
      </c>
      <c r="J121" s="166">
        <f t="shared" si="10"/>
        <v>-2</v>
      </c>
      <c r="K121" s="165">
        <f t="shared" si="7"/>
        <v>-20</v>
      </c>
      <c r="L121" s="165"/>
      <c r="M121" s="167">
        <f t="shared" si="8"/>
        <v>0</v>
      </c>
    </row>
    <row r="122" spans="1:13" x14ac:dyDescent="0.25">
      <c r="A122" s="182"/>
      <c r="G122" s="153"/>
      <c r="H122" s="165">
        <v>117</v>
      </c>
      <c r="I122" s="166" t="str">
        <f t="shared" si="6"/>
        <v/>
      </c>
      <c r="J122" s="166">
        <f t="shared" si="10"/>
        <v>-2</v>
      </c>
      <c r="K122" s="165">
        <f t="shared" si="7"/>
        <v>-20</v>
      </c>
      <c r="L122" s="165"/>
      <c r="M122" s="167">
        <f t="shared" si="8"/>
        <v>0</v>
      </c>
    </row>
    <row r="123" spans="1:13" x14ac:dyDescent="0.25">
      <c r="A123" s="182"/>
      <c r="G123" s="153"/>
      <c r="H123" s="165">
        <v>118</v>
      </c>
      <c r="I123" s="166" t="str">
        <f t="shared" si="6"/>
        <v/>
      </c>
      <c r="J123" s="166">
        <f t="shared" si="10"/>
        <v>-2</v>
      </c>
      <c r="K123" s="165">
        <f t="shared" si="7"/>
        <v>-20</v>
      </c>
      <c r="L123" s="165"/>
      <c r="M123" s="167">
        <f t="shared" si="8"/>
        <v>0</v>
      </c>
    </row>
    <row r="124" spans="1:13" x14ac:dyDescent="0.25">
      <c r="A124" s="182"/>
      <c r="G124" s="153"/>
      <c r="H124" s="165">
        <v>119</v>
      </c>
      <c r="I124" s="166" t="str">
        <f t="shared" si="6"/>
        <v/>
      </c>
      <c r="J124" s="166">
        <f t="shared" si="10"/>
        <v>-2</v>
      </c>
      <c r="K124" s="165">
        <f t="shared" si="7"/>
        <v>-20</v>
      </c>
      <c r="L124" s="165"/>
      <c r="M124" s="167">
        <f t="shared" si="8"/>
        <v>0</v>
      </c>
    </row>
    <row r="125" spans="1:13" x14ac:dyDescent="0.25">
      <c r="A125" s="182"/>
      <c r="G125" s="153"/>
      <c r="H125" s="165">
        <v>120</v>
      </c>
      <c r="I125" s="166" t="str">
        <f t="shared" si="6"/>
        <v/>
      </c>
      <c r="J125" s="166">
        <f t="shared" si="10"/>
        <v>-2</v>
      </c>
      <c r="K125" s="165">
        <f t="shared" si="7"/>
        <v>-20</v>
      </c>
      <c r="L125" s="165"/>
      <c r="M125" s="167">
        <f t="shared" si="8"/>
        <v>0</v>
      </c>
    </row>
    <row r="126" spans="1:13" x14ac:dyDescent="0.25">
      <c r="A126" s="182"/>
      <c r="G126" s="153"/>
      <c r="H126" s="165">
        <v>121</v>
      </c>
      <c r="I126" s="166" t="str">
        <f t="shared" si="6"/>
        <v/>
      </c>
      <c r="J126" s="166">
        <f t="shared" si="10"/>
        <v>-2</v>
      </c>
      <c r="K126" s="165">
        <f t="shared" si="7"/>
        <v>-20</v>
      </c>
      <c r="L126" s="165"/>
      <c r="M126" s="167">
        <f t="shared" si="8"/>
        <v>0</v>
      </c>
    </row>
    <row r="127" spans="1:13" x14ac:dyDescent="0.25">
      <c r="A127" s="182"/>
      <c r="G127" s="153"/>
      <c r="H127" s="165">
        <v>122</v>
      </c>
      <c r="I127" s="166" t="str">
        <f t="shared" si="6"/>
        <v/>
      </c>
      <c r="J127" s="166">
        <f t="shared" si="10"/>
        <v>-2</v>
      </c>
      <c r="K127" s="165">
        <f t="shared" si="7"/>
        <v>-20</v>
      </c>
      <c r="L127" s="165"/>
      <c r="M127" s="167">
        <f t="shared" si="8"/>
        <v>0</v>
      </c>
    </row>
    <row r="128" spans="1:13" x14ac:dyDescent="0.25">
      <c r="A128" s="182"/>
      <c r="G128" s="153"/>
      <c r="H128" s="165">
        <v>123</v>
      </c>
      <c r="I128" s="166" t="str">
        <f t="shared" si="6"/>
        <v/>
      </c>
      <c r="J128" s="166">
        <f t="shared" si="10"/>
        <v>-2</v>
      </c>
      <c r="K128" s="165">
        <f t="shared" si="7"/>
        <v>-20</v>
      </c>
      <c r="L128" s="165"/>
      <c r="M128" s="167">
        <f t="shared" si="8"/>
        <v>0</v>
      </c>
    </row>
    <row r="129" spans="1:13" x14ac:dyDescent="0.25">
      <c r="A129" s="182"/>
      <c r="G129" s="153"/>
      <c r="H129" s="165">
        <v>124</v>
      </c>
      <c r="I129" s="166" t="str">
        <f t="shared" si="6"/>
        <v/>
      </c>
      <c r="J129" s="166">
        <f t="shared" si="10"/>
        <v>-2</v>
      </c>
      <c r="K129" s="165">
        <f t="shared" si="7"/>
        <v>-20</v>
      </c>
      <c r="L129" s="165"/>
      <c r="M129" s="167">
        <f t="shared" si="8"/>
        <v>0</v>
      </c>
    </row>
    <row r="130" spans="1:13" x14ac:dyDescent="0.25">
      <c r="A130" s="182"/>
      <c r="G130" s="153"/>
      <c r="H130" s="165">
        <v>125</v>
      </c>
      <c r="I130" s="166" t="str">
        <f t="shared" si="6"/>
        <v/>
      </c>
      <c r="J130" s="166">
        <f t="shared" si="10"/>
        <v>-2</v>
      </c>
      <c r="K130" s="165">
        <f t="shared" si="7"/>
        <v>-20</v>
      </c>
      <c r="L130" s="165"/>
      <c r="M130" s="167">
        <f t="shared" si="8"/>
        <v>0</v>
      </c>
    </row>
    <row r="131" spans="1:13" x14ac:dyDescent="0.25">
      <c r="A131" s="182"/>
      <c r="G131" s="153"/>
      <c r="H131" s="165">
        <v>126</v>
      </c>
      <c r="I131" s="166" t="str">
        <f t="shared" si="6"/>
        <v/>
      </c>
      <c r="J131" s="166">
        <f t="shared" si="10"/>
        <v>-2</v>
      </c>
      <c r="K131" s="165">
        <f t="shared" si="7"/>
        <v>-20</v>
      </c>
      <c r="L131" s="165"/>
      <c r="M131" s="167">
        <f t="shared" si="8"/>
        <v>0</v>
      </c>
    </row>
    <row r="132" spans="1:13" x14ac:dyDescent="0.25">
      <c r="A132" s="182"/>
      <c r="G132" s="153"/>
      <c r="H132" s="165">
        <v>127</v>
      </c>
      <c r="I132" s="166" t="str">
        <f t="shared" si="6"/>
        <v/>
      </c>
      <c r="J132" s="166">
        <f t="shared" si="10"/>
        <v>-2</v>
      </c>
      <c r="K132" s="165">
        <f t="shared" si="7"/>
        <v>-20</v>
      </c>
      <c r="L132" s="165"/>
      <c r="M132" s="167">
        <f t="shared" si="8"/>
        <v>0</v>
      </c>
    </row>
    <row r="133" spans="1:13" x14ac:dyDescent="0.25">
      <c r="A133" s="182"/>
      <c r="G133" s="153"/>
      <c r="H133" s="165">
        <v>128</v>
      </c>
      <c r="I133" s="166" t="str">
        <f t="shared" si="6"/>
        <v/>
      </c>
      <c r="J133" s="166">
        <f t="shared" si="10"/>
        <v>-2</v>
      </c>
      <c r="K133" s="165">
        <f t="shared" si="7"/>
        <v>-20</v>
      </c>
      <c r="L133" s="165"/>
      <c r="M133" s="167">
        <f t="shared" si="8"/>
        <v>0</v>
      </c>
    </row>
    <row r="134" spans="1:13" x14ac:dyDescent="0.25">
      <c r="A134" s="182"/>
      <c r="G134" s="153"/>
      <c r="H134" s="165">
        <v>129</v>
      </c>
      <c r="I134" s="166" t="str">
        <f t="shared" ref="I134:I197" si="11">IF(H134&lt;$H$2+1,($I$2-($I$2-1)*(LOG(H134)/LOG($H$2))),"")</f>
        <v/>
      </c>
      <c r="J134" s="166">
        <f t="shared" si="10"/>
        <v>-3</v>
      </c>
      <c r="K134" s="165">
        <f t="shared" ref="K134:K197" si="12">J134*$J$2</f>
        <v>-30</v>
      </c>
      <c r="L134" s="165"/>
      <c r="M134" s="167">
        <f t="shared" ref="M134:M197" si="13">IF(I134&lt;&gt;"",K134+I134+L134,0)</f>
        <v>0</v>
      </c>
    </row>
    <row r="135" spans="1:13" x14ac:dyDescent="0.25">
      <c r="A135" s="182"/>
      <c r="G135" s="153"/>
      <c r="H135" s="165">
        <v>130</v>
      </c>
      <c r="I135" s="166" t="str">
        <f t="shared" si="11"/>
        <v/>
      </c>
      <c r="J135" s="166">
        <f t="shared" ref="J135:J198" si="14">INT(LOG($H$2,2))-ROUNDUP(LOG(H135,2),0)+IF(OR($H$2=1,$H$2=2,$H$2=4,$H$2=8,$H$2=16,$H$2=32,$H$2=64,$H$2=128,$H$2=256),0,1)</f>
        <v>-3</v>
      </c>
      <c r="K135" s="165">
        <f t="shared" si="12"/>
        <v>-30</v>
      </c>
      <c r="L135" s="165"/>
      <c r="M135" s="167">
        <f t="shared" si="13"/>
        <v>0</v>
      </c>
    </row>
    <row r="136" spans="1:13" x14ac:dyDescent="0.25">
      <c r="A136" s="182"/>
      <c r="G136" s="153"/>
      <c r="H136" s="165">
        <v>131</v>
      </c>
      <c r="I136" s="166" t="str">
        <f t="shared" si="11"/>
        <v/>
      </c>
      <c r="J136" s="166">
        <f t="shared" si="14"/>
        <v>-3</v>
      </c>
      <c r="K136" s="165">
        <f t="shared" si="12"/>
        <v>-30</v>
      </c>
      <c r="L136" s="165"/>
      <c r="M136" s="167">
        <f t="shared" si="13"/>
        <v>0</v>
      </c>
    </row>
    <row r="137" spans="1:13" x14ac:dyDescent="0.25">
      <c r="A137" s="182"/>
      <c r="G137" s="153"/>
      <c r="H137" s="165">
        <v>132</v>
      </c>
      <c r="I137" s="166" t="str">
        <f t="shared" si="11"/>
        <v/>
      </c>
      <c r="J137" s="166">
        <f t="shared" si="14"/>
        <v>-3</v>
      </c>
      <c r="K137" s="165">
        <f t="shared" si="12"/>
        <v>-30</v>
      </c>
      <c r="L137" s="165"/>
      <c r="M137" s="167">
        <f t="shared" si="13"/>
        <v>0</v>
      </c>
    </row>
    <row r="138" spans="1:13" x14ac:dyDescent="0.25">
      <c r="A138" s="182"/>
      <c r="G138" s="153"/>
      <c r="H138" s="165">
        <v>133</v>
      </c>
      <c r="I138" s="166" t="str">
        <f t="shared" si="11"/>
        <v/>
      </c>
      <c r="J138" s="166">
        <f t="shared" si="14"/>
        <v>-3</v>
      </c>
      <c r="K138" s="165">
        <f t="shared" si="12"/>
        <v>-30</v>
      </c>
      <c r="L138" s="165"/>
      <c r="M138" s="167">
        <f t="shared" si="13"/>
        <v>0</v>
      </c>
    </row>
    <row r="139" spans="1:13" x14ac:dyDescent="0.25">
      <c r="A139" s="182"/>
      <c r="G139" s="153"/>
      <c r="H139" s="165">
        <v>134</v>
      </c>
      <c r="I139" s="166" t="str">
        <f t="shared" si="11"/>
        <v/>
      </c>
      <c r="J139" s="166">
        <f t="shared" si="14"/>
        <v>-3</v>
      </c>
      <c r="K139" s="165">
        <f t="shared" si="12"/>
        <v>-30</v>
      </c>
      <c r="L139" s="165"/>
      <c r="M139" s="167">
        <f t="shared" si="13"/>
        <v>0</v>
      </c>
    </row>
    <row r="140" spans="1:13" x14ac:dyDescent="0.25">
      <c r="A140" s="182"/>
      <c r="G140" s="153"/>
      <c r="H140" s="165">
        <v>135</v>
      </c>
      <c r="I140" s="166" t="str">
        <f t="shared" si="11"/>
        <v/>
      </c>
      <c r="J140" s="166">
        <f t="shared" si="14"/>
        <v>-3</v>
      </c>
      <c r="K140" s="165">
        <f t="shared" si="12"/>
        <v>-30</v>
      </c>
      <c r="L140" s="165"/>
      <c r="M140" s="167">
        <f t="shared" si="13"/>
        <v>0</v>
      </c>
    </row>
    <row r="141" spans="1:13" x14ac:dyDescent="0.25">
      <c r="A141" s="182"/>
      <c r="G141" s="153"/>
      <c r="H141" s="165">
        <v>136</v>
      </c>
      <c r="I141" s="166" t="str">
        <f t="shared" si="11"/>
        <v/>
      </c>
      <c r="J141" s="166">
        <f t="shared" si="14"/>
        <v>-3</v>
      </c>
      <c r="K141" s="165">
        <f t="shared" si="12"/>
        <v>-30</v>
      </c>
      <c r="L141" s="165"/>
      <c r="M141" s="167">
        <f t="shared" si="13"/>
        <v>0</v>
      </c>
    </row>
    <row r="142" spans="1:13" x14ac:dyDescent="0.25">
      <c r="A142" s="182"/>
      <c r="G142" s="153"/>
      <c r="H142" s="165">
        <v>137</v>
      </c>
      <c r="I142" s="166" t="str">
        <f t="shared" si="11"/>
        <v/>
      </c>
      <c r="J142" s="166">
        <f t="shared" si="14"/>
        <v>-3</v>
      </c>
      <c r="K142" s="165">
        <f t="shared" si="12"/>
        <v>-30</v>
      </c>
      <c r="L142" s="165"/>
      <c r="M142" s="167">
        <f t="shared" si="13"/>
        <v>0</v>
      </c>
    </row>
    <row r="143" spans="1:13" x14ac:dyDescent="0.25">
      <c r="A143" s="182"/>
      <c r="G143" s="153"/>
      <c r="H143" s="165">
        <v>138</v>
      </c>
      <c r="I143" s="166" t="str">
        <f t="shared" si="11"/>
        <v/>
      </c>
      <c r="J143" s="166">
        <f t="shared" si="14"/>
        <v>-3</v>
      </c>
      <c r="K143" s="165">
        <f t="shared" si="12"/>
        <v>-30</v>
      </c>
      <c r="L143" s="165"/>
      <c r="M143" s="167">
        <f t="shared" si="13"/>
        <v>0</v>
      </c>
    </row>
    <row r="144" spans="1:13" x14ac:dyDescent="0.25">
      <c r="A144" s="182"/>
      <c r="G144" s="153"/>
      <c r="H144" s="165">
        <v>139</v>
      </c>
      <c r="I144" s="166" t="str">
        <f t="shared" si="11"/>
        <v/>
      </c>
      <c r="J144" s="166">
        <f t="shared" si="14"/>
        <v>-3</v>
      </c>
      <c r="K144" s="165">
        <f t="shared" si="12"/>
        <v>-30</v>
      </c>
      <c r="L144" s="165"/>
      <c r="M144" s="167">
        <f t="shared" si="13"/>
        <v>0</v>
      </c>
    </row>
    <row r="145" spans="1:13" x14ac:dyDescent="0.25">
      <c r="A145" s="182"/>
      <c r="G145" s="153"/>
      <c r="H145" s="165">
        <v>140</v>
      </c>
      <c r="I145" s="166" t="str">
        <f t="shared" si="11"/>
        <v/>
      </c>
      <c r="J145" s="166">
        <f t="shared" si="14"/>
        <v>-3</v>
      </c>
      <c r="K145" s="165">
        <f t="shared" si="12"/>
        <v>-30</v>
      </c>
      <c r="L145" s="165"/>
      <c r="M145" s="167">
        <f t="shared" si="13"/>
        <v>0</v>
      </c>
    </row>
    <row r="146" spans="1:13" x14ac:dyDescent="0.25">
      <c r="A146" s="182"/>
      <c r="G146" s="153"/>
      <c r="H146" s="165">
        <v>141</v>
      </c>
      <c r="I146" s="166" t="str">
        <f t="shared" si="11"/>
        <v/>
      </c>
      <c r="J146" s="166">
        <f t="shared" si="14"/>
        <v>-3</v>
      </c>
      <c r="K146" s="165">
        <f t="shared" si="12"/>
        <v>-30</v>
      </c>
      <c r="L146" s="165"/>
      <c r="M146" s="167">
        <f t="shared" si="13"/>
        <v>0</v>
      </c>
    </row>
    <row r="147" spans="1:13" x14ac:dyDescent="0.25">
      <c r="A147" s="182"/>
      <c r="G147" s="153"/>
      <c r="H147" s="165">
        <v>142</v>
      </c>
      <c r="I147" s="166" t="str">
        <f t="shared" si="11"/>
        <v/>
      </c>
      <c r="J147" s="166">
        <f t="shared" si="14"/>
        <v>-3</v>
      </c>
      <c r="K147" s="165">
        <f t="shared" si="12"/>
        <v>-30</v>
      </c>
      <c r="L147" s="165"/>
      <c r="M147" s="167">
        <f t="shared" si="13"/>
        <v>0</v>
      </c>
    </row>
    <row r="148" spans="1:13" x14ac:dyDescent="0.25">
      <c r="A148" s="182"/>
      <c r="G148" s="153"/>
      <c r="H148" s="165">
        <v>143</v>
      </c>
      <c r="I148" s="166" t="str">
        <f t="shared" si="11"/>
        <v/>
      </c>
      <c r="J148" s="166">
        <f t="shared" si="14"/>
        <v>-3</v>
      </c>
      <c r="K148" s="165">
        <f t="shared" si="12"/>
        <v>-30</v>
      </c>
      <c r="L148" s="165"/>
      <c r="M148" s="167">
        <f t="shared" si="13"/>
        <v>0</v>
      </c>
    </row>
    <row r="149" spans="1:13" x14ac:dyDescent="0.25">
      <c r="A149" s="182"/>
      <c r="G149" s="153"/>
      <c r="H149" s="165">
        <v>144</v>
      </c>
      <c r="I149" s="166" t="str">
        <f t="shared" si="11"/>
        <v/>
      </c>
      <c r="J149" s="166">
        <f t="shared" si="14"/>
        <v>-3</v>
      </c>
      <c r="K149" s="165">
        <f t="shared" si="12"/>
        <v>-30</v>
      </c>
      <c r="L149" s="165"/>
      <c r="M149" s="167">
        <f t="shared" si="13"/>
        <v>0</v>
      </c>
    </row>
    <row r="150" spans="1:13" x14ac:dyDescent="0.25">
      <c r="A150" s="182"/>
      <c r="G150" s="153"/>
      <c r="H150" s="165">
        <v>145</v>
      </c>
      <c r="I150" s="166" t="str">
        <f t="shared" si="11"/>
        <v/>
      </c>
      <c r="J150" s="166">
        <f t="shared" si="14"/>
        <v>-3</v>
      </c>
      <c r="K150" s="165">
        <f t="shared" si="12"/>
        <v>-30</v>
      </c>
      <c r="L150" s="165"/>
      <c r="M150" s="167">
        <f t="shared" si="13"/>
        <v>0</v>
      </c>
    </row>
    <row r="151" spans="1:13" x14ac:dyDescent="0.25">
      <c r="A151" s="182"/>
      <c r="G151" s="153"/>
      <c r="H151" s="165">
        <v>146</v>
      </c>
      <c r="I151" s="166" t="str">
        <f t="shared" si="11"/>
        <v/>
      </c>
      <c r="J151" s="166">
        <f t="shared" si="14"/>
        <v>-3</v>
      </c>
      <c r="K151" s="165">
        <f t="shared" si="12"/>
        <v>-30</v>
      </c>
      <c r="L151" s="165"/>
      <c r="M151" s="167">
        <f t="shared" si="13"/>
        <v>0</v>
      </c>
    </row>
    <row r="152" spans="1:13" x14ac:dyDescent="0.25">
      <c r="A152" s="182"/>
      <c r="G152" s="153"/>
      <c r="H152" s="165">
        <v>147</v>
      </c>
      <c r="I152" s="166" t="str">
        <f t="shared" si="11"/>
        <v/>
      </c>
      <c r="J152" s="166">
        <f t="shared" si="14"/>
        <v>-3</v>
      </c>
      <c r="K152" s="165">
        <f t="shared" si="12"/>
        <v>-30</v>
      </c>
      <c r="L152" s="165"/>
      <c r="M152" s="167">
        <f t="shared" si="13"/>
        <v>0</v>
      </c>
    </row>
    <row r="153" spans="1:13" x14ac:dyDescent="0.25">
      <c r="A153" s="182"/>
      <c r="G153" s="153"/>
      <c r="H153" s="165">
        <v>148</v>
      </c>
      <c r="I153" s="166" t="str">
        <f t="shared" si="11"/>
        <v/>
      </c>
      <c r="J153" s="166">
        <f t="shared" si="14"/>
        <v>-3</v>
      </c>
      <c r="K153" s="165">
        <f t="shared" si="12"/>
        <v>-30</v>
      </c>
      <c r="L153" s="165"/>
      <c r="M153" s="167">
        <f t="shared" si="13"/>
        <v>0</v>
      </c>
    </row>
    <row r="154" spans="1:13" x14ac:dyDescent="0.25">
      <c r="A154" s="182"/>
      <c r="G154" s="153"/>
      <c r="H154" s="165">
        <v>149</v>
      </c>
      <c r="I154" s="166" t="str">
        <f t="shared" si="11"/>
        <v/>
      </c>
      <c r="J154" s="166">
        <f t="shared" si="14"/>
        <v>-3</v>
      </c>
      <c r="K154" s="165">
        <f t="shared" si="12"/>
        <v>-30</v>
      </c>
      <c r="L154" s="165"/>
      <c r="M154" s="167">
        <f t="shared" si="13"/>
        <v>0</v>
      </c>
    </row>
    <row r="155" spans="1:13" x14ac:dyDescent="0.25">
      <c r="A155" s="182"/>
      <c r="G155" s="153"/>
      <c r="H155" s="165">
        <v>150</v>
      </c>
      <c r="I155" s="166" t="str">
        <f t="shared" si="11"/>
        <v/>
      </c>
      <c r="J155" s="166">
        <f t="shared" si="14"/>
        <v>-3</v>
      </c>
      <c r="K155" s="165">
        <f t="shared" si="12"/>
        <v>-30</v>
      </c>
      <c r="L155" s="165"/>
      <c r="M155" s="167">
        <f t="shared" si="13"/>
        <v>0</v>
      </c>
    </row>
    <row r="156" spans="1:13" x14ac:dyDescent="0.25">
      <c r="A156" s="182"/>
      <c r="G156" s="153"/>
      <c r="H156" s="165">
        <v>151</v>
      </c>
      <c r="I156" s="166" t="str">
        <f t="shared" si="11"/>
        <v/>
      </c>
      <c r="J156" s="166">
        <f t="shared" si="14"/>
        <v>-3</v>
      </c>
      <c r="K156" s="165">
        <f t="shared" si="12"/>
        <v>-30</v>
      </c>
      <c r="L156" s="165"/>
      <c r="M156" s="167">
        <f t="shared" si="13"/>
        <v>0</v>
      </c>
    </row>
    <row r="157" spans="1:13" x14ac:dyDescent="0.25">
      <c r="A157" s="182"/>
      <c r="G157" s="153"/>
      <c r="H157" s="165">
        <v>152</v>
      </c>
      <c r="I157" s="166" t="str">
        <f t="shared" si="11"/>
        <v/>
      </c>
      <c r="J157" s="166">
        <f t="shared" si="14"/>
        <v>-3</v>
      </c>
      <c r="K157" s="165">
        <f t="shared" si="12"/>
        <v>-30</v>
      </c>
      <c r="L157" s="165"/>
      <c r="M157" s="167">
        <f t="shared" si="13"/>
        <v>0</v>
      </c>
    </row>
    <row r="158" spans="1:13" x14ac:dyDescent="0.25">
      <c r="A158" s="182"/>
      <c r="G158" s="153"/>
      <c r="H158" s="165">
        <v>153</v>
      </c>
      <c r="I158" s="166" t="str">
        <f t="shared" si="11"/>
        <v/>
      </c>
      <c r="J158" s="166">
        <f t="shared" si="14"/>
        <v>-3</v>
      </c>
      <c r="K158" s="165">
        <f t="shared" si="12"/>
        <v>-30</v>
      </c>
      <c r="L158" s="165"/>
      <c r="M158" s="167">
        <f t="shared" si="13"/>
        <v>0</v>
      </c>
    </row>
    <row r="159" spans="1:13" x14ac:dyDescent="0.25">
      <c r="A159" s="182"/>
      <c r="G159" s="153"/>
      <c r="H159" s="165">
        <v>154</v>
      </c>
      <c r="I159" s="166" t="str">
        <f t="shared" si="11"/>
        <v/>
      </c>
      <c r="J159" s="166">
        <f t="shared" si="14"/>
        <v>-3</v>
      </c>
      <c r="K159" s="165">
        <f t="shared" si="12"/>
        <v>-30</v>
      </c>
      <c r="L159" s="165"/>
      <c r="M159" s="167">
        <f t="shared" si="13"/>
        <v>0</v>
      </c>
    </row>
    <row r="160" spans="1:13" x14ac:dyDescent="0.25">
      <c r="A160" s="182"/>
      <c r="G160" s="153"/>
      <c r="H160" s="165">
        <v>155</v>
      </c>
      <c r="I160" s="166" t="str">
        <f t="shared" si="11"/>
        <v/>
      </c>
      <c r="J160" s="166">
        <f t="shared" si="14"/>
        <v>-3</v>
      </c>
      <c r="K160" s="165">
        <f t="shared" si="12"/>
        <v>-30</v>
      </c>
      <c r="L160" s="165"/>
      <c r="M160" s="167">
        <f t="shared" si="13"/>
        <v>0</v>
      </c>
    </row>
    <row r="161" spans="1:13" x14ac:dyDescent="0.25">
      <c r="A161" s="182"/>
      <c r="G161" s="153"/>
      <c r="H161" s="165">
        <v>156</v>
      </c>
      <c r="I161" s="166" t="str">
        <f t="shared" si="11"/>
        <v/>
      </c>
      <c r="J161" s="166">
        <f t="shared" si="14"/>
        <v>-3</v>
      </c>
      <c r="K161" s="165">
        <f t="shared" si="12"/>
        <v>-30</v>
      </c>
      <c r="L161" s="165"/>
      <c r="M161" s="167">
        <f t="shared" si="13"/>
        <v>0</v>
      </c>
    </row>
    <row r="162" spans="1:13" x14ac:dyDescent="0.25">
      <c r="A162" s="182"/>
      <c r="G162" s="153"/>
      <c r="H162" s="165">
        <v>157</v>
      </c>
      <c r="I162" s="166" t="str">
        <f t="shared" si="11"/>
        <v/>
      </c>
      <c r="J162" s="166">
        <f t="shared" si="14"/>
        <v>-3</v>
      </c>
      <c r="K162" s="165">
        <f t="shared" si="12"/>
        <v>-30</v>
      </c>
      <c r="L162" s="165"/>
      <c r="M162" s="167">
        <f t="shared" si="13"/>
        <v>0</v>
      </c>
    </row>
    <row r="163" spans="1:13" x14ac:dyDescent="0.25">
      <c r="A163" s="182"/>
      <c r="G163" s="153"/>
      <c r="H163" s="165">
        <v>158</v>
      </c>
      <c r="I163" s="166" t="str">
        <f t="shared" si="11"/>
        <v/>
      </c>
      <c r="J163" s="166">
        <f t="shared" si="14"/>
        <v>-3</v>
      </c>
      <c r="K163" s="165">
        <f t="shared" si="12"/>
        <v>-30</v>
      </c>
      <c r="L163" s="165"/>
      <c r="M163" s="167">
        <f t="shared" si="13"/>
        <v>0</v>
      </c>
    </row>
    <row r="164" spans="1:13" x14ac:dyDescent="0.25">
      <c r="A164" s="182"/>
      <c r="G164" s="153"/>
      <c r="H164" s="165">
        <v>159</v>
      </c>
      <c r="I164" s="166" t="str">
        <f t="shared" si="11"/>
        <v/>
      </c>
      <c r="J164" s="166">
        <f t="shared" si="14"/>
        <v>-3</v>
      </c>
      <c r="K164" s="165">
        <f t="shared" si="12"/>
        <v>-30</v>
      </c>
      <c r="L164" s="165"/>
      <c r="M164" s="167">
        <f t="shared" si="13"/>
        <v>0</v>
      </c>
    </row>
    <row r="165" spans="1:13" x14ac:dyDescent="0.25">
      <c r="A165" s="182"/>
      <c r="G165" s="153"/>
      <c r="H165" s="165">
        <v>160</v>
      </c>
      <c r="I165" s="166" t="str">
        <f t="shared" si="11"/>
        <v/>
      </c>
      <c r="J165" s="166">
        <f t="shared" si="14"/>
        <v>-3</v>
      </c>
      <c r="K165" s="165">
        <f t="shared" si="12"/>
        <v>-30</v>
      </c>
      <c r="L165" s="165"/>
      <c r="M165" s="167">
        <f t="shared" si="13"/>
        <v>0</v>
      </c>
    </row>
    <row r="166" spans="1:13" x14ac:dyDescent="0.25">
      <c r="A166" s="182"/>
      <c r="G166" s="153"/>
      <c r="H166" s="165">
        <v>161</v>
      </c>
      <c r="I166" s="166" t="str">
        <f t="shared" si="11"/>
        <v/>
      </c>
      <c r="J166" s="166">
        <f t="shared" si="14"/>
        <v>-3</v>
      </c>
      <c r="K166" s="165">
        <f t="shared" si="12"/>
        <v>-30</v>
      </c>
      <c r="L166" s="165"/>
      <c r="M166" s="167">
        <f t="shared" si="13"/>
        <v>0</v>
      </c>
    </row>
    <row r="167" spans="1:13" x14ac:dyDescent="0.25">
      <c r="A167" s="182"/>
      <c r="G167" s="153"/>
      <c r="H167" s="165">
        <v>162</v>
      </c>
      <c r="I167" s="166" t="str">
        <f t="shared" si="11"/>
        <v/>
      </c>
      <c r="J167" s="166">
        <f t="shared" si="14"/>
        <v>-3</v>
      </c>
      <c r="K167" s="165">
        <f t="shared" si="12"/>
        <v>-30</v>
      </c>
      <c r="L167" s="165"/>
      <c r="M167" s="167">
        <f t="shared" si="13"/>
        <v>0</v>
      </c>
    </row>
    <row r="168" spans="1:13" x14ac:dyDescent="0.25">
      <c r="A168" s="182"/>
      <c r="G168" s="153"/>
      <c r="H168" s="165">
        <v>163</v>
      </c>
      <c r="I168" s="166" t="str">
        <f t="shared" si="11"/>
        <v/>
      </c>
      <c r="J168" s="166">
        <f t="shared" si="14"/>
        <v>-3</v>
      </c>
      <c r="K168" s="165">
        <f t="shared" si="12"/>
        <v>-30</v>
      </c>
      <c r="L168" s="165"/>
      <c r="M168" s="167">
        <f t="shared" si="13"/>
        <v>0</v>
      </c>
    </row>
    <row r="169" spans="1:13" x14ac:dyDescent="0.25">
      <c r="A169" s="182"/>
      <c r="C169" s="181" t="s">
        <v>34</v>
      </c>
      <c r="G169" s="153"/>
      <c r="H169" s="165">
        <v>164</v>
      </c>
      <c r="I169" s="166" t="str">
        <f t="shared" si="11"/>
        <v/>
      </c>
      <c r="J169" s="166">
        <f t="shared" si="14"/>
        <v>-3</v>
      </c>
      <c r="K169" s="165">
        <f t="shared" si="12"/>
        <v>-30</v>
      </c>
      <c r="L169" s="165"/>
      <c r="M169" s="167">
        <f t="shared" si="13"/>
        <v>0</v>
      </c>
    </row>
    <row r="170" spans="1:13" x14ac:dyDescent="0.25">
      <c r="A170" s="182"/>
      <c r="G170" s="153"/>
      <c r="H170" s="165">
        <v>165</v>
      </c>
      <c r="I170" s="166" t="str">
        <f t="shared" si="11"/>
        <v/>
      </c>
      <c r="J170" s="166">
        <f t="shared" si="14"/>
        <v>-3</v>
      </c>
      <c r="K170" s="165">
        <f t="shared" si="12"/>
        <v>-30</v>
      </c>
      <c r="L170" s="165"/>
      <c r="M170" s="167">
        <f t="shared" si="13"/>
        <v>0</v>
      </c>
    </row>
    <row r="171" spans="1:13" x14ac:dyDescent="0.25">
      <c r="A171" s="182"/>
      <c r="G171" s="153"/>
      <c r="H171" s="165">
        <v>166</v>
      </c>
      <c r="I171" s="166" t="str">
        <f t="shared" si="11"/>
        <v/>
      </c>
      <c r="J171" s="166">
        <f t="shared" si="14"/>
        <v>-3</v>
      </c>
      <c r="K171" s="165">
        <f t="shared" si="12"/>
        <v>-30</v>
      </c>
      <c r="L171" s="165"/>
      <c r="M171" s="167">
        <f t="shared" si="13"/>
        <v>0</v>
      </c>
    </row>
    <row r="172" spans="1:13" x14ac:dyDescent="0.25">
      <c r="A172" s="182"/>
      <c r="G172" s="153"/>
      <c r="H172" s="165">
        <v>167</v>
      </c>
      <c r="I172" s="166" t="str">
        <f t="shared" si="11"/>
        <v/>
      </c>
      <c r="J172" s="166">
        <f t="shared" si="14"/>
        <v>-3</v>
      </c>
      <c r="K172" s="165">
        <f t="shared" si="12"/>
        <v>-30</v>
      </c>
      <c r="L172" s="165"/>
      <c r="M172" s="167">
        <f t="shared" si="13"/>
        <v>0</v>
      </c>
    </row>
    <row r="173" spans="1:13" x14ac:dyDescent="0.25">
      <c r="A173" s="182"/>
      <c r="G173" s="153"/>
      <c r="H173" s="165">
        <v>168</v>
      </c>
      <c r="I173" s="166" t="str">
        <f t="shared" si="11"/>
        <v/>
      </c>
      <c r="J173" s="166">
        <f t="shared" si="14"/>
        <v>-3</v>
      </c>
      <c r="K173" s="165">
        <f t="shared" si="12"/>
        <v>-30</v>
      </c>
      <c r="L173" s="165"/>
      <c r="M173" s="167">
        <f t="shared" si="13"/>
        <v>0</v>
      </c>
    </row>
    <row r="174" spans="1:13" x14ac:dyDescent="0.25">
      <c r="A174" s="182"/>
      <c r="G174" s="153"/>
      <c r="H174" s="165">
        <v>169</v>
      </c>
      <c r="I174" s="166" t="str">
        <f t="shared" si="11"/>
        <v/>
      </c>
      <c r="J174" s="166">
        <f t="shared" si="14"/>
        <v>-3</v>
      </c>
      <c r="K174" s="165">
        <f t="shared" si="12"/>
        <v>-30</v>
      </c>
      <c r="L174" s="165"/>
      <c r="M174" s="167">
        <f t="shared" si="13"/>
        <v>0</v>
      </c>
    </row>
    <row r="175" spans="1:13" x14ac:dyDescent="0.25">
      <c r="A175" s="182"/>
      <c r="G175" s="153"/>
      <c r="H175" s="165">
        <v>170</v>
      </c>
      <c r="I175" s="166" t="str">
        <f t="shared" si="11"/>
        <v/>
      </c>
      <c r="J175" s="166">
        <f t="shared" si="14"/>
        <v>-3</v>
      </c>
      <c r="K175" s="165">
        <f t="shared" si="12"/>
        <v>-30</v>
      </c>
      <c r="L175" s="165"/>
      <c r="M175" s="167">
        <f t="shared" si="13"/>
        <v>0</v>
      </c>
    </row>
    <row r="176" spans="1:13" x14ac:dyDescent="0.25">
      <c r="A176" s="182"/>
      <c r="G176" s="153"/>
      <c r="H176" s="165">
        <v>171</v>
      </c>
      <c r="I176" s="166" t="str">
        <f t="shared" si="11"/>
        <v/>
      </c>
      <c r="J176" s="166">
        <f t="shared" si="14"/>
        <v>-3</v>
      </c>
      <c r="K176" s="165">
        <f t="shared" si="12"/>
        <v>-30</v>
      </c>
      <c r="L176" s="165"/>
      <c r="M176" s="167">
        <f t="shared" si="13"/>
        <v>0</v>
      </c>
    </row>
    <row r="177" spans="1:13" x14ac:dyDescent="0.25">
      <c r="A177" s="182"/>
      <c r="G177" s="153"/>
      <c r="H177" s="165">
        <v>172</v>
      </c>
      <c r="I177" s="166" t="str">
        <f t="shared" si="11"/>
        <v/>
      </c>
      <c r="J177" s="166">
        <f t="shared" si="14"/>
        <v>-3</v>
      </c>
      <c r="K177" s="165">
        <f t="shared" si="12"/>
        <v>-30</v>
      </c>
      <c r="L177" s="165"/>
      <c r="M177" s="167">
        <f t="shared" si="13"/>
        <v>0</v>
      </c>
    </row>
    <row r="178" spans="1:13" x14ac:dyDescent="0.25">
      <c r="A178" s="182"/>
      <c r="G178" s="153"/>
      <c r="H178" s="165">
        <v>173</v>
      </c>
      <c r="I178" s="166" t="str">
        <f t="shared" si="11"/>
        <v/>
      </c>
      <c r="J178" s="166">
        <f t="shared" si="14"/>
        <v>-3</v>
      </c>
      <c r="K178" s="165">
        <f t="shared" si="12"/>
        <v>-30</v>
      </c>
      <c r="L178" s="165"/>
      <c r="M178" s="167">
        <f t="shared" si="13"/>
        <v>0</v>
      </c>
    </row>
    <row r="179" spans="1:13" x14ac:dyDescent="0.25">
      <c r="A179" s="182"/>
      <c r="G179" s="153"/>
      <c r="H179" s="165">
        <v>174</v>
      </c>
      <c r="I179" s="166" t="str">
        <f t="shared" si="11"/>
        <v/>
      </c>
      <c r="J179" s="166">
        <f t="shared" si="14"/>
        <v>-3</v>
      </c>
      <c r="K179" s="165">
        <f t="shared" si="12"/>
        <v>-30</v>
      </c>
      <c r="L179" s="165"/>
      <c r="M179" s="167">
        <f t="shared" si="13"/>
        <v>0</v>
      </c>
    </row>
    <row r="180" spans="1:13" x14ac:dyDescent="0.25">
      <c r="A180" s="182"/>
      <c r="G180" s="153"/>
      <c r="H180" s="165">
        <v>175</v>
      </c>
      <c r="I180" s="166" t="str">
        <f t="shared" si="11"/>
        <v/>
      </c>
      <c r="J180" s="166">
        <f t="shared" si="14"/>
        <v>-3</v>
      </c>
      <c r="K180" s="165">
        <f t="shared" si="12"/>
        <v>-30</v>
      </c>
      <c r="L180" s="165"/>
      <c r="M180" s="167">
        <f t="shared" si="13"/>
        <v>0</v>
      </c>
    </row>
    <row r="181" spans="1:13" x14ac:dyDescent="0.25">
      <c r="A181" s="182"/>
      <c r="G181" s="153"/>
      <c r="H181" s="165">
        <v>176</v>
      </c>
      <c r="I181" s="166" t="str">
        <f t="shared" si="11"/>
        <v/>
      </c>
      <c r="J181" s="166">
        <f t="shared" si="14"/>
        <v>-3</v>
      </c>
      <c r="K181" s="165">
        <f t="shared" si="12"/>
        <v>-30</v>
      </c>
      <c r="L181" s="165"/>
      <c r="M181" s="167">
        <f t="shared" si="13"/>
        <v>0</v>
      </c>
    </row>
    <row r="182" spans="1:13" x14ac:dyDescent="0.25">
      <c r="A182" s="182"/>
      <c r="G182" s="153"/>
      <c r="H182" s="165">
        <v>177</v>
      </c>
      <c r="I182" s="166" t="str">
        <f t="shared" si="11"/>
        <v/>
      </c>
      <c r="J182" s="166">
        <f t="shared" si="14"/>
        <v>-3</v>
      </c>
      <c r="K182" s="165">
        <f t="shared" si="12"/>
        <v>-30</v>
      </c>
      <c r="L182" s="165"/>
      <c r="M182" s="167">
        <f t="shared" si="13"/>
        <v>0</v>
      </c>
    </row>
    <row r="183" spans="1:13" x14ac:dyDescent="0.25">
      <c r="A183" s="182"/>
      <c r="G183" s="153"/>
      <c r="H183" s="165">
        <v>178</v>
      </c>
      <c r="I183" s="166" t="str">
        <f t="shared" si="11"/>
        <v/>
      </c>
      <c r="J183" s="166">
        <f t="shared" si="14"/>
        <v>-3</v>
      </c>
      <c r="K183" s="165">
        <f t="shared" si="12"/>
        <v>-30</v>
      </c>
      <c r="L183" s="165"/>
      <c r="M183" s="167">
        <f t="shared" si="13"/>
        <v>0</v>
      </c>
    </row>
    <row r="184" spans="1:13" x14ac:dyDescent="0.25">
      <c r="A184" s="182"/>
      <c r="G184" s="153"/>
      <c r="H184" s="165">
        <v>179</v>
      </c>
      <c r="I184" s="166" t="str">
        <f t="shared" si="11"/>
        <v/>
      </c>
      <c r="J184" s="166">
        <f t="shared" si="14"/>
        <v>-3</v>
      </c>
      <c r="K184" s="165">
        <f t="shared" si="12"/>
        <v>-30</v>
      </c>
      <c r="L184" s="165"/>
      <c r="M184" s="167">
        <f t="shared" si="13"/>
        <v>0</v>
      </c>
    </row>
    <row r="185" spans="1:13" x14ac:dyDescent="0.25">
      <c r="A185" s="182"/>
      <c r="G185" s="153"/>
      <c r="H185" s="165">
        <v>180</v>
      </c>
      <c r="I185" s="166" t="str">
        <f t="shared" si="11"/>
        <v/>
      </c>
      <c r="J185" s="166">
        <f t="shared" si="14"/>
        <v>-3</v>
      </c>
      <c r="K185" s="165">
        <f t="shared" si="12"/>
        <v>-30</v>
      </c>
      <c r="L185" s="165"/>
      <c r="M185" s="167">
        <f t="shared" si="13"/>
        <v>0</v>
      </c>
    </row>
    <row r="186" spans="1:13" x14ac:dyDescent="0.25">
      <c r="A186" s="182"/>
      <c r="G186" s="153"/>
      <c r="H186" s="165">
        <v>181</v>
      </c>
      <c r="I186" s="166" t="str">
        <f t="shared" si="11"/>
        <v/>
      </c>
      <c r="J186" s="166">
        <f t="shared" si="14"/>
        <v>-3</v>
      </c>
      <c r="K186" s="165">
        <f t="shared" si="12"/>
        <v>-30</v>
      </c>
      <c r="L186" s="165"/>
      <c r="M186" s="167">
        <f t="shared" si="13"/>
        <v>0</v>
      </c>
    </row>
    <row r="187" spans="1:13" x14ac:dyDescent="0.25">
      <c r="A187" s="182"/>
      <c r="G187" s="153"/>
      <c r="H187" s="165">
        <v>182</v>
      </c>
      <c r="I187" s="166" t="str">
        <f t="shared" si="11"/>
        <v/>
      </c>
      <c r="J187" s="166">
        <f t="shared" si="14"/>
        <v>-3</v>
      </c>
      <c r="K187" s="165">
        <f t="shared" si="12"/>
        <v>-30</v>
      </c>
      <c r="L187" s="165"/>
      <c r="M187" s="167">
        <f t="shared" si="13"/>
        <v>0</v>
      </c>
    </row>
    <row r="188" spans="1:13" x14ac:dyDescent="0.25">
      <c r="A188" s="182"/>
      <c r="G188" s="153"/>
      <c r="H188" s="165">
        <v>183</v>
      </c>
      <c r="I188" s="166" t="str">
        <f t="shared" si="11"/>
        <v/>
      </c>
      <c r="J188" s="166">
        <f t="shared" si="14"/>
        <v>-3</v>
      </c>
      <c r="K188" s="165">
        <f t="shared" si="12"/>
        <v>-30</v>
      </c>
      <c r="L188" s="165"/>
      <c r="M188" s="167">
        <f t="shared" si="13"/>
        <v>0</v>
      </c>
    </row>
    <row r="189" spans="1:13" x14ac:dyDescent="0.25">
      <c r="A189" s="182"/>
      <c r="G189" s="153"/>
      <c r="H189" s="165">
        <v>184</v>
      </c>
      <c r="I189" s="166" t="str">
        <f t="shared" si="11"/>
        <v/>
      </c>
      <c r="J189" s="166">
        <f t="shared" si="14"/>
        <v>-3</v>
      </c>
      <c r="K189" s="165">
        <f t="shared" si="12"/>
        <v>-30</v>
      </c>
      <c r="L189" s="165"/>
      <c r="M189" s="167">
        <f t="shared" si="13"/>
        <v>0</v>
      </c>
    </row>
    <row r="190" spans="1:13" x14ac:dyDescent="0.25">
      <c r="A190" s="182"/>
      <c r="G190" s="153"/>
      <c r="H190" s="165">
        <v>185</v>
      </c>
      <c r="I190" s="166" t="str">
        <f t="shared" si="11"/>
        <v/>
      </c>
      <c r="J190" s="166">
        <f t="shared" si="14"/>
        <v>-3</v>
      </c>
      <c r="K190" s="165">
        <f t="shared" si="12"/>
        <v>-30</v>
      </c>
      <c r="L190" s="165"/>
      <c r="M190" s="167">
        <f t="shared" si="13"/>
        <v>0</v>
      </c>
    </row>
    <row r="191" spans="1:13" x14ac:dyDescent="0.25">
      <c r="A191" s="182"/>
      <c r="G191" s="153"/>
      <c r="H191" s="165">
        <v>186</v>
      </c>
      <c r="I191" s="166" t="str">
        <f t="shared" si="11"/>
        <v/>
      </c>
      <c r="J191" s="166">
        <f t="shared" si="14"/>
        <v>-3</v>
      </c>
      <c r="K191" s="165">
        <f t="shared" si="12"/>
        <v>-30</v>
      </c>
      <c r="L191" s="165"/>
      <c r="M191" s="167">
        <f t="shared" si="13"/>
        <v>0</v>
      </c>
    </row>
    <row r="192" spans="1:13" x14ac:dyDescent="0.25">
      <c r="A192" s="182"/>
      <c r="G192" s="153"/>
      <c r="H192" s="165">
        <v>187</v>
      </c>
      <c r="I192" s="166" t="str">
        <f t="shared" si="11"/>
        <v/>
      </c>
      <c r="J192" s="166">
        <f t="shared" si="14"/>
        <v>-3</v>
      </c>
      <c r="K192" s="165">
        <f t="shared" si="12"/>
        <v>-30</v>
      </c>
      <c r="L192" s="165"/>
      <c r="M192" s="167">
        <f t="shared" si="13"/>
        <v>0</v>
      </c>
    </row>
    <row r="193" spans="1:13" x14ac:dyDescent="0.25">
      <c r="A193" s="182"/>
      <c r="G193" s="153"/>
      <c r="H193" s="165">
        <v>188</v>
      </c>
      <c r="I193" s="166" t="str">
        <f t="shared" si="11"/>
        <v/>
      </c>
      <c r="J193" s="166">
        <f t="shared" si="14"/>
        <v>-3</v>
      </c>
      <c r="K193" s="165">
        <f t="shared" si="12"/>
        <v>-30</v>
      </c>
      <c r="L193" s="165"/>
      <c r="M193" s="167">
        <f t="shared" si="13"/>
        <v>0</v>
      </c>
    </row>
    <row r="194" spans="1:13" x14ac:dyDescent="0.25">
      <c r="A194" s="182"/>
      <c r="G194" s="153"/>
      <c r="H194" s="165">
        <v>189</v>
      </c>
      <c r="I194" s="166" t="str">
        <f t="shared" si="11"/>
        <v/>
      </c>
      <c r="J194" s="166">
        <f t="shared" si="14"/>
        <v>-3</v>
      </c>
      <c r="K194" s="165">
        <f t="shared" si="12"/>
        <v>-30</v>
      </c>
      <c r="L194" s="165"/>
      <c r="M194" s="167">
        <f t="shared" si="13"/>
        <v>0</v>
      </c>
    </row>
    <row r="195" spans="1:13" x14ac:dyDescent="0.25">
      <c r="A195" s="182"/>
      <c r="G195" s="153"/>
      <c r="H195" s="165">
        <v>190</v>
      </c>
      <c r="I195" s="166" t="str">
        <f t="shared" si="11"/>
        <v/>
      </c>
      <c r="J195" s="166">
        <f t="shared" si="14"/>
        <v>-3</v>
      </c>
      <c r="K195" s="165">
        <f t="shared" si="12"/>
        <v>-30</v>
      </c>
      <c r="L195" s="165"/>
      <c r="M195" s="167">
        <f t="shared" si="13"/>
        <v>0</v>
      </c>
    </row>
    <row r="196" spans="1:13" x14ac:dyDescent="0.25">
      <c r="A196" s="182"/>
      <c r="G196" s="153"/>
      <c r="H196" s="165">
        <v>191</v>
      </c>
      <c r="I196" s="166" t="str">
        <f t="shared" si="11"/>
        <v/>
      </c>
      <c r="J196" s="166">
        <f t="shared" si="14"/>
        <v>-3</v>
      </c>
      <c r="K196" s="165">
        <f t="shared" si="12"/>
        <v>-30</v>
      </c>
      <c r="L196" s="165"/>
      <c r="M196" s="167">
        <f t="shared" si="13"/>
        <v>0</v>
      </c>
    </row>
    <row r="197" spans="1:13" x14ac:dyDescent="0.25">
      <c r="A197" s="182"/>
      <c r="G197" s="153"/>
      <c r="H197" s="165">
        <v>192</v>
      </c>
      <c r="I197" s="166" t="str">
        <f t="shared" si="11"/>
        <v/>
      </c>
      <c r="J197" s="166">
        <f t="shared" si="14"/>
        <v>-3</v>
      </c>
      <c r="K197" s="165">
        <f t="shared" si="12"/>
        <v>-30</v>
      </c>
      <c r="L197" s="165"/>
      <c r="M197" s="167">
        <f t="shared" si="13"/>
        <v>0</v>
      </c>
    </row>
    <row r="198" spans="1:13" x14ac:dyDescent="0.25">
      <c r="A198" s="182"/>
      <c r="G198" s="153"/>
      <c r="H198" s="165">
        <v>193</v>
      </c>
      <c r="I198" s="166" t="str">
        <f t="shared" ref="I198:I261" si="15">IF(H198&lt;$H$2+1,($I$2-($I$2-1)*(LOG(H198)/LOG($H$2))),"")</f>
        <v/>
      </c>
      <c r="J198" s="166">
        <f t="shared" si="14"/>
        <v>-3</v>
      </c>
      <c r="K198" s="165">
        <f t="shared" ref="K198:K261" si="16">J198*$J$2</f>
        <v>-30</v>
      </c>
      <c r="L198" s="165"/>
      <c r="M198" s="167">
        <f t="shared" ref="M198:M261" si="17">IF(I198&lt;&gt;"",K198+I198+L198,0)</f>
        <v>0</v>
      </c>
    </row>
    <row r="199" spans="1:13" x14ac:dyDescent="0.25">
      <c r="A199" s="182"/>
      <c r="G199" s="153"/>
      <c r="H199" s="165">
        <v>194</v>
      </c>
      <c r="I199" s="166" t="str">
        <f t="shared" si="15"/>
        <v/>
      </c>
      <c r="J199" s="166">
        <f t="shared" ref="J199:J262" si="18">INT(LOG($H$2,2))-ROUNDUP(LOG(H199,2),0)+IF(OR($H$2=1,$H$2=2,$H$2=4,$H$2=8,$H$2=16,$H$2=32,$H$2=64,$H$2=128,$H$2=256),0,1)</f>
        <v>-3</v>
      </c>
      <c r="K199" s="165">
        <f t="shared" si="16"/>
        <v>-30</v>
      </c>
      <c r="L199" s="165"/>
      <c r="M199" s="167">
        <f t="shared" si="17"/>
        <v>0</v>
      </c>
    </row>
    <row r="200" spans="1:13" x14ac:dyDescent="0.25">
      <c r="A200" s="182"/>
      <c r="G200" s="153"/>
      <c r="H200" s="165">
        <v>195</v>
      </c>
      <c r="I200" s="166" t="str">
        <f t="shared" si="15"/>
        <v/>
      </c>
      <c r="J200" s="166">
        <f t="shared" si="18"/>
        <v>-3</v>
      </c>
      <c r="K200" s="165">
        <f t="shared" si="16"/>
        <v>-30</v>
      </c>
      <c r="L200" s="165"/>
      <c r="M200" s="167">
        <f t="shared" si="17"/>
        <v>0</v>
      </c>
    </row>
    <row r="201" spans="1:13" x14ac:dyDescent="0.25">
      <c r="A201" s="182"/>
      <c r="G201" s="153"/>
      <c r="H201" s="165">
        <v>196</v>
      </c>
      <c r="I201" s="166" t="str">
        <f t="shared" si="15"/>
        <v/>
      </c>
      <c r="J201" s="166">
        <f t="shared" si="18"/>
        <v>-3</v>
      </c>
      <c r="K201" s="165">
        <f t="shared" si="16"/>
        <v>-30</v>
      </c>
      <c r="L201" s="165"/>
      <c r="M201" s="167">
        <f t="shared" si="17"/>
        <v>0</v>
      </c>
    </row>
    <row r="202" spans="1:13" x14ac:dyDescent="0.25">
      <c r="A202" s="182"/>
      <c r="G202" s="153"/>
      <c r="H202" s="165">
        <v>197</v>
      </c>
      <c r="I202" s="166" t="str">
        <f t="shared" si="15"/>
        <v/>
      </c>
      <c r="J202" s="166">
        <f t="shared" si="18"/>
        <v>-3</v>
      </c>
      <c r="K202" s="165">
        <f t="shared" si="16"/>
        <v>-30</v>
      </c>
      <c r="L202" s="165"/>
      <c r="M202" s="167">
        <f t="shared" si="17"/>
        <v>0</v>
      </c>
    </row>
    <row r="203" spans="1:13" x14ac:dyDescent="0.25">
      <c r="A203" s="182"/>
      <c r="G203" s="153"/>
      <c r="H203" s="165">
        <v>198</v>
      </c>
      <c r="I203" s="166" t="str">
        <f t="shared" si="15"/>
        <v/>
      </c>
      <c r="J203" s="166">
        <f t="shared" si="18"/>
        <v>-3</v>
      </c>
      <c r="K203" s="165">
        <f t="shared" si="16"/>
        <v>-30</v>
      </c>
      <c r="L203" s="165"/>
      <c r="M203" s="167">
        <f t="shared" si="17"/>
        <v>0</v>
      </c>
    </row>
    <row r="204" spans="1:13" x14ac:dyDescent="0.25">
      <c r="A204" s="182"/>
      <c r="G204" s="153"/>
      <c r="H204" s="165">
        <v>199</v>
      </c>
      <c r="I204" s="166" t="str">
        <f t="shared" si="15"/>
        <v/>
      </c>
      <c r="J204" s="166">
        <f t="shared" si="18"/>
        <v>-3</v>
      </c>
      <c r="K204" s="165">
        <f t="shared" si="16"/>
        <v>-30</v>
      </c>
      <c r="L204" s="165"/>
      <c r="M204" s="167">
        <f t="shared" si="17"/>
        <v>0</v>
      </c>
    </row>
    <row r="205" spans="1:13" x14ac:dyDescent="0.25">
      <c r="A205" s="182"/>
      <c r="G205" s="153"/>
      <c r="H205" s="165">
        <v>200</v>
      </c>
      <c r="I205" s="166" t="str">
        <f t="shared" si="15"/>
        <v/>
      </c>
      <c r="J205" s="166">
        <f t="shared" si="18"/>
        <v>-3</v>
      </c>
      <c r="K205" s="165">
        <f t="shared" si="16"/>
        <v>-30</v>
      </c>
      <c r="L205" s="165"/>
      <c r="M205" s="167">
        <f t="shared" si="17"/>
        <v>0</v>
      </c>
    </row>
    <row r="206" spans="1:13" x14ac:dyDescent="0.25">
      <c r="A206" s="182"/>
      <c r="G206" s="153"/>
      <c r="H206" s="165">
        <v>201</v>
      </c>
      <c r="I206" s="166" t="str">
        <f t="shared" si="15"/>
        <v/>
      </c>
      <c r="J206" s="166">
        <f t="shared" si="18"/>
        <v>-3</v>
      </c>
      <c r="K206" s="165">
        <f t="shared" si="16"/>
        <v>-30</v>
      </c>
      <c r="L206" s="165"/>
      <c r="M206" s="167">
        <f t="shared" si="17"/>
        <v>0</v>
      </c>
    </row>
    <row r="207" spans="1:13" x14ac:dyDescent="0.25">
      <c r="A207" s="182"/>
      <c r="G207" s="153"/>
      <c r="H207" s="165">
        <v>202</v>
      </c>
      <c r="I207" s="166" t="str">
        <f t="shared" si="15"/>
        <v/>
      </c>
      <c r="J207" s="166">
        <f t="shared" si="18"/>
        <v>-3</v>
      </c>
      <c r="K207" s="165">
        <f t="shared" si="16"/>
        <v>-30</v>
      </c>
      <c r="L207" s="165"/>
      <c r="M207" s="167">
        <f t="shared" si="17"/>
        <v>0</v>
      </c>
    </row>
    <row r="208" spans="1:13" x14ac:dyDescent="0.25">
      <c r="A208" s="182"/>
      <c r="G208" s="153"/>
      <c r="H208" s="165">
        <v>203</v>
      </c>
      <c r="I208" s="166" t="str">
        <f t="shared" si="15"/>
        <v/>
      </c>
      <c r="J208" s="166">
        <f t="shared" si="18"/>
        <v>-3</v>
      </c>
      <c r="K208" s="165">
        <f t="shared" si="16"/>
        <v>-30</v>
      </c>
      <c r="L208" s="165"/>
      <c r="M208" s="167">
        <f t="shared" si="17"/>
        <v>0</v>
      </c>
    </row>
    <row r="209" spans="1:13" x14ac:dyDescent="0.25">
      <c r="A209" s="182"/>
      <c r="G209" s="153"/>
      <c r="H209" s="165">
        <v>204</v>
      </c>
      <c r="I209" s="166" t="str">
        <f t="shared" si="15"/>
        <v/>
      </c>
      <c r="J209" s="166">
        <f t="shared" si="18"/>
        <v>-3</v>
      </c>
      <c r="K209" s="165">
        <f t="shared" si="16"/>
        <v>-30</v>
      </c>
      <c r="L209" s="165"/>
      <c r="M209" s="167">
        <f t="shared" si="17"/>
        <v>0</v>
      </c>
    </row>
    <row r="210" spans="1:13" x14ac:dyDescent="0.25">
      <c r="A210" s="182"/>
      <c r="G210" s="153"/>
      <c r="H210" s="165">
        <v>205</v>
      </c>
      <c r="I210" s="166" t="str">
        <f t="shared" si="15"/>
        <v/>
      </c>
      <c r="J210" s="166">
        <f t="shared" si="18"/>
        <v>-3</v>
      </c>
      <c r="K210" s="165">
        <f t="shared" si="16"/>
        <v>-30</v>
      </c>
      <c r="L210" s="165"/>
      <c r="M210" s="167">
        <f t="shared" si="17"/>
        <v>0</v>
      </c>
    </row>
    <row r="211" spans="1:13" x14ac:dyDescent="0.25">
      <c r="A211" s="182"/>
      <c r="G211" s="153"/>
      <c r="H211" s="165">
        <v>206</v>
      </c>
      <c r="I211" s="166" t="str">
        <f t="shared" si="15"/>
        <v/>
      </c>
      <c r="J211" s="166">
        <f t="shared" si="18"/>
        <v>-3</v>
      </c>
      <c r="K211" s="165">
        <f t="shared" si="16"/>
        <v>-30</v>
      </c>
      <c r="L211" s="165"/>
      <c r="M211" s="167">
        <f t="shared" si="17"/>
        <v>0</v>
      </c>
    </row>
    <row r="212" spans="1:13" x14ac:dyDescent="0.25">
      <c r="A212" s="182"/>
      <c r="G212" s="153"/>
      <c r="H212" s="165">
        <v>207</v>
      </c>
      <c r="I212" s="166" t="str">
        <f t="shared" si="15"/>
        <v/>
      </c>
      <c r="J212" s="166">
        <f t="shared" si="18"/>
        <v>-3</v>
      </c>
      <c r="K212" s="165">
        <f t="shared" si="16"/>
        <v>-30</v>
      </c>
      <c r="L212" s="165"/>
      <c r="M212" s="167">
        <f t="shared" si="17"/>
        <v>0</v>
      </c>
    </row>
    <row r="213" spans="1:13" x14ac:dyDescent="0.25">
      <c r="A213" s="182"/>
      <c r="G213" s="153"/>
      <c r="H213" s="165">
        <v>208</v>
      </c>
      <c r="I213" s="166" t="str">
        <f t="shared" si="15"/>
        <v/>
      </c>
      <c r="J213" s="166">
        <f t="shared" si="18"/>
        <v>-3</v>
      </c>
      <c r="K213" s="165">
        <f t="shared" si="16"/>
        <v>-30</v>
      </c>
      <c r="L213" s="165"/>
      <c r="M213" s="167">
        <f t="shared" si="17"/>
        <v>0</v>
      </c>
    </row>
    <row r="214" spans="1:13" x14ac:dyDescent="0.25">
      <c r="A214" s="182"/>
      <c r="G214" s="153"/>
      <c r="H214" s="165">
        <v>209</v>
      </c>
      <c r="I214" s="166" t="str">
        <f t="shared" si="15"/>
        <v/>
      </c>
      <c r="J214" s="166">
        <f t="shared" si="18"/>
        <v>-3</v>
      </c>
      <c r="K214" s="165">
        <f t="shared" si="16"/>
        <v>-30</v>
      </c>
      <c r="L214" s="165"/>
      <c r="M214" s="167">
        <f t="shared" si="17"/>
        <v>0</v>
      </c>
    </row>
    <row r="215" spans="1:13" x14ac:dyDescent="0.25">
      <c r="A215" s="182"/>
      <c r="G215" s="153"/>
      <c r="H215" s="165">
        <v>210</v>
      </c>
      <c r="I215" s="166" t="str">
        <f t="shared" si="15"/>
        <v/>
      </c>
      <c r="J215" s="166">
        <f t="shared" si="18"/>
        <v>-3</v>
      </c>
      <c r="K215" s="165">
        <f t="shared" si="16"/>
        <v>-30</v>
      </c>
      <c r="L215" s="165"/>
      <c r="M215" s="167">
        <f t="shared" si="17"/>
        <v>0</v>
      </c>
    </row>
    <row r="216" spans="1:13" x14ac:dyDescent="0.25">
      <c r="A216" s="182"/>
      <c r="G216" s="153"/>
      <c r="H216" s="165">
        <v>211</v>
      </c>
      <c r="I216" s="166" t="str">
        <f t="shared" si="15"/>
        <v/>
      </c>
      <c r="J216" s="166">
        <f t="shared" si="18"/>
        <v>-3</v>
      </c>
      <c r="K216" s="165">
        <f t="shared" si="16"/>
        <v>-30</v>
      </c>
      <c r="L216" s="165"/>
      <c r="M216" s="167">
        <f t="shared" si="17"/>
        <v>0</v>
      </c>
    </row>
    <row r="217" spans="1:13" x14ac:dyDescent="0.25">
      <c r="A217" s="182"/>
      <c r="G217" s="153"/>
      <c r="H217" s="165">
        <v>212</v>
      </c>
      <c r="I217" s="166" t="str">
        <f t="shared" si="15"/>
        <v/>
      </c>
      <c r="J217" s="166">
        <f t="shared" si="18"/>
        <v>-3</v>
      </c>
      <c r="K217" s="165">
        <f t="shared" si="16"/>
        <v>-30</v>
      </c>
      <c r="L217" s="165"/>
      <c r="M217" s="167">
        <f t="shared" si="17"/>
        <v>0</v>
      </c>
    </row>
    <row r="218" spans="1:13" x14ac:dyDescent="0.25">
      <c r="A218" s="182"/>
      <c r="G218" s="153"/>
      <c r="H218" s="165">
        <v>213</v>
      </c>
      <c r="I218" s="166" t="str">
        <f t="shared" si="15"/>
        <v/>
      </c>
      <c r="J218" s="166">
        <f t="shared" si="18"/>
        <v>-3</v>
      </c>
      <c r="K218" s="165">
        <f t="shared" si="16"/>
        <v>-30</v>
      </c>
      <c r="L218" s="165"/>
      <c r="M218" s="167">
        <f t="shared" si="17"/>
        <v>0</v>
      </c>
    </row>
    <row r="219" spans="1:13" x14ac:dyDescent="0.25">
      <c r="A219" s="182"/>
      <c r="G219" s="153"/>
      <c r="H219" s="165">
        <v>214</v>
      </c>
      <c r="I219" s="166" t="str">
        <f t="shared" si="15"/>
        <v/>
      </c>
      <c r="J219" s="166">
        <f t="shared" si="18"/>
        <v>-3</v>
      </c>
      <c r="K219" s="165">
        <f t="shared" si="16"/>
        <v>-30</v>
      </c>
      <c r="L219" s="165"/>
      <c r="M219" s="167">
        <f t="shared" si="17"/>
        <v>0</v>
      </c>
    </row>
    <row r="220" spans="1:13" x14ac:dyDescent="0.25">
      <c r="A220" s="182"/>
      <c r="G220" s="153"/>
      <c r="H220" s="165">
        <v>215</v>
      </c>
      <c r="I220" s="166" t="str">
        <f t="shared" si="15"/>
        <v/>
      </c>
      <c r="J220" s="166">
        <f t="shared" si="18"/>
        <v>-3</v>
      </c>
      <c r="K220" s="165">
        <f t="shared" si="16"/>
        <v>-30</v>
      </c>
      <c r="L220" s="165"/>
      <c r="M220" s="167">
        <f t="shared" si="17"/>
        <v>0</v>
      </c>
    </row>
    <row r="221" spans="1:13" x14ac:dyDescent="0.25">
      <c r="A221" s="182"/>
      <c r="G221" s="153"/>
      <c r="H221" s="165">
        <v>216</v>
      </c>
      <c r="I221" s="166" t="str">
        <f t="shared" si="15"/>
        <v/>
      </c>
      <c r="J221" s="166">
        <f t="shared" si="18"/>
        <v>-3</v>
      </c>
      <c r="K221" s="165">
        <f t="shared" si="16"/>
        <v>-30</v>
      </c>
      <c r="L221" s="165"/>
      <c r="M221" s="167">
        <f t="shared" si="17"/>
        <v>0</v>
      </c>
    </row>
    <row r="222" spans="1:13" x14ac:dyDescent="0.25">
      <c r="A222" s="182"/>
      <c r="G222" s="153"/>
      <c r="H222" s="165">
        <v>217</v>
      </c>
      <c r="I222" s="166" t="str">
        <f t="shared" si="15"/>
        <v/>
      </c>
      <c r="J222" s="166">
        <f t="shared" si="18"/>
        <v>-3</v>
      </c>
      <c r="K222" s="165">
        <f t="shared" si="16"/>
        <v>-30</v>
      </c>
      <c r="L222" s="165"/>
      <c r="M222" s="167">
        <f t="shared" si="17"/>
        <v>0</v>
      </c>
    </row>
    <row r="223" spans="1:13" x14ac:dyDescent="0.25">
      <c r="A223" s="182"/>
      <c r="G223" s="153"/>
      <c r="H223" s="165">
        <v>218</v>
      </c>
      <c r="I223" s="166" t="str">
        <f t="shared" si="15"/>
        <v/>
      </c>
      <c r="J223" s="166">
        <f t="shared" si="18"/>
        <v>-3</v>
      </c>
      <c r="K223" s="165">
        <f t="shared" si="16"/>
        <v>-30</v>
      </c>
      <c r="L223" s="165"/>
      <c r="M223" s="167">
        <f t="shared" si="17"/>
        <v>0</v>
      </c>
    </row>
    <row r="224" spans="1:13" x14ac:dyDescent="0.25">
      <c r="A224" s="182"/>
      <c r="G224" s="153"/>
      <c r="H224" s="165">
        <v>219</v>
      </c>
      <c r="I224" s="166" t="str">
        <f t="shared" si="15"/>
        <v/>
      </c>
      <c r="J224" s="166">
        <f t="shared" si="18"/>
        <v>-3</v>
      </c>
      <c r="K224" s="165">
        <f t="shared" si="16"/>
        <v>-30</v>
      </c>
      <c r="L224" s="165"/>
      <c r="M224" s="167">
        <f t="shared" si="17"/>
        <v>0</v>
      </c>
    </row>
    <row r="225" spans="1:13" x14ac:dyDescent="0.25">
      <c r="A225" s="182"/>
      <c r="G225" s="153"/>
      <c r="H225" s="165">
        <v>220</v>
      </c>
      <c r="I225" s="166" t="str">
        <f t="shared" si="15"/>
        <v/>
      </c>
      <c r="J225" s="166">
        <f t="shared" si="18"/>
        <v>-3</v>
      </c>
      <c r="K225" s="165">
        <f t="shared" si="16"/>
        <v>-30</v>
      </c>
      <c r="L225" s="165"/>
      <c r="M225" s="167">
        <f t="shared" si="17"/>
        <v>0</v>
      </c>
    </row>
    <row r="226" spans="1:13" x14ac:dyDescent="0.25">
      <c r="A226" s="182"/>
      <c r="G226" s="153"/>
      <c r="H226" s="165">
        <v>221</v>
      </c>
      <c r="I226" s="166" t="str">
        <f t="shared" si="15"/>
        <v/>
      </c>
      <c r="J226" s="166">
        <f t="shared" si="18"/>
        <v>-3</v>
      </c>
      <c r="K226" s="165">
        <f t="shared" si="16"/>
        <v>-30</v>
      </c>
      <c r="L226" s="165"/>
      <c r="M226" s="167">
        <f t="shared" si="17"/>
        <v>0</v>
      </c>
    </row>
    <row r="227" spans="1:13" x14ac:dyDescent="0.25">
      <c r="A227" s="182"/>
      <c r="G227" s="153"/>
      <c r="H227" s="165">
        <v>222</v>
      </c>
      <c r="I227" s="166" t="str">
        <f t="shared" si="15"/>
        <v/>
      </c>
      <c r="J227" s="166">
        <f t="shared" si="18"/>
        <v>-3</v>
      </c>
      <c r="K227" s="165">
        <f t="shared" si="16"/>
        <v>-30</v>
      </c>
      <c r="L227" s="165"/>
      <c r="M227" s="167">
        <f t="shared" si="17"/>
        <v>0</v>
      </c>
    </row>
    <row r="228" spans="1:13" x14ac:dyDescent="0.25">
      <c r="A228" s="182"/>
      <c r="G228" s="153"/>
      <c r="H228" s="165">
        <v>223</v>
      </c>
      <c r="I228" s="166" t="str">
        <f t="shared" si="15"/>
        <v/>
      </c>
      <c r="J228" s="166">
        <f t="shared" si="18"/>
        <v>-3</v>
      </c>
      <c r="K228" s="165">
        <f t="shared" si="16"/>
        <v>-30</v>
      </c>
      <c r="L228" s="165"/>
      <c r="M228" s="167">
        <f t="shared" si="17"/>
        <v>0</v>
      </c>
    </row>
    <row r="229" spans="1:13" x14ac:dyDescent="0.25">
      <c r="A229" s="182"/>
      <c r="G229" s="153"/>
      <c r="H229" s="165">
        <v>224</v>
      </c>
      <c r="I229" s="166" t="str">
        <f t="shared" si="15"/>
        <v/>
      </c>
      <c r="J229" s="166">
        <f t="shared" si="18"/>
        <v>-3</v>
      </c>
      <c r="K229" s="165">
        <f t="shared" si="16"/>
        <v>-30</v>
      </c>
      <c r="L229" s="165"/>
      <c r="M229" s="167">
        <f t="shared" si="17"/>
        <v>0</v>
      </c>
    </row>
    <row r="230" spans="1:13" x14ac:dyDescent="0.25">
      <c r="A230" s="182"/>
      <c r="G230" s="153"/>
      <c r="H230" s="165">
        <v>225</v>
      </c>
      <c r="I230" s="166" t="str">
        <f t="shared" si="15"/>
        <v/>
      </c>
      <c r="J230" s="166">
        <f t="shared" si="18"/>
        <v>-3</v>
      </c>
      <c r="K230" s="165">
        <f t="shared" si="16"/>
        <v>-30</v>
      </c>
      <c r="L230" s="165"/>
      <c r="M230" s="167">
        <f t="shared" si="17"/>
        <v>0</v>
      </c>
    </row>
    <row r="231" spans="1:13" x14ac:dyDescent="0.25">
      <c r="A231" s="182"/>
      <c r="G231" s="153"/>
      <c r="H231" s="165">
        <v>226</v>
      </c>
      <c r="I231" s="166" t="str">
        <f t="shared" si="15"/>
        <v/>
      </c>
      <c r="J231" s="166">
        <f t="shared" si="18"/>
        <v>-3</v>
      </c>
      <c r="K231" s="165">
        <f t="shared" si="16"/>
        <v>-30</v>
      </c>
      <c r="L231" s="165"/>
      <c r="M231" s="167">
        <f t="shared" si="17"/>
        <v>0</v>
      </c>
    </row>
    <row r="232" spans="1:13" x14ac:dyDescent="0.25">
      <c r="A232" s="182"/>
      <c r="G232" s="153"/>
      <c r="H232" s="165">
        <v>227</v>
      </c>
      <c r="I232" s="166" t="str">
        <f t="shared" si="15"/>
        <v/>
      </c>
      <c r="J232" s="166">
        <f t="shared" si="18"/>
        <v>-3</v>
      </c>
      <c r="K232" s="165">
        <f t="shared" si="16"/>
        <v>-30</v>
      </c>
      <c r="L232" s="165"/>
      <c r="M232" s="167">
        <f t="shared" si="17"/>
        <v>0</v>
      </c>
    </row>
    <row r="233" spans="1:13" x14ac:dyDescent="0.25">
      <c r="A233" s="182"/>
      <c r="G233" s="153"/>
      <c r="H233" s="165">
        <v>228</v>
      </c>
      <c r="I233" s="166" t="str">
        <f t="shared" si="15"/>
        <v/>
      </c>
      <c r="J233" s="166">
        <f t="shared" si="18"/>
        <v>-3</v>
      </c>
      <c r="K233" s="165">
        <f t="shared" si="16"/>
        <v>-30</v>
      </c>
      <c r="L233" s="165"/>
      <c r="M233" s="167">
        <f t="shared" si="17"/>
        <v>0</v>
      </c>
    </row>
    <row r="234" spans="1:13" x14ac:dyDescent="0.25">
      <c r="A234" s="182"/>
      <c r="G234" s="153"/>
      <c r="H234" s="165">
        <v>229</v>
      </c>
      <c r="I234" s="166" t="str">
        <f t="shared" si="15"/>
        <v/>
      </c>
      <c r="J234" s="166">
        <f t="shared" si="18"/>
        <v>-3</v>
      </c>
      <c r="K234" s="165">
        <f t="shared" si="16"/>
        <v>-30</v>
      </c>
      <c r="L234" s="165"/>
      <c r="M234" s="167">
        <f t="shared" si="17"/>
        <v>0</v>
      </c>
    </row>
    <row r="235" spans="1:13" x14ac:dyDescent="0.25">
      <c r="A235" s="182"/>
      <c r="G235" s="153"/>
      <c r="H235" s="165">
        <v>230</v>
      </c>
      <c r="I235" s="166" t="str">
        <f t="shared" si="15"/>
        <v/>
      </c>
      <c r="J235" s="166">
        <f t="shared" si="18"/>
        <v>-3</v>
      </c>
      <c r="K235" s="165">
        <f t="shared" si="16"/>
        <v>-30</v>
      </c>
      <c r="L235" s="165"/>
      <c r="M235" s="167">
        <f t="shared" si="17"/>
        <v>0</v>
      </c>
    </row>
    <row r="236" spans="1:13" x14ac:dyDescent="0.25">
      <c r="A236" s="182"/>
      <c r="G236" s="153"/>
      <c r="H236" s="165">
        <v>231</v>
      </c>
      <c r="I236" s="166" t="str">
        <f t="shared" si="15"/>
        <v/>
      </c>
      <c r="J236" s="166">
        <f t="shared" si="18"/>
        <v>-3</v>
      </c>
      <c r="K236" s="165">
        <f t="shared" si="16"/>
        <v>-30</v>
      </c>
      <c r="L236" s="165"/>
      <c r="M236" s="167">
        <f t="shared" si="17"/>
        <v>0</v>
      </c>
    </row>
    <row r="237" spans="1:13" x14ac:dyDescent="0.25">
      <c r="A237" s="182"/>
      <c r="G237" s="153"/>
      <c r="H237" s="165">
        <v>232</v>
      </c>
      <c r="I237" s="166" t="str">
        <f t="shared" si="15"/>
        <v/>
      </c>
      <c r="J237" s="166">
        <f t="shared" si="18"/>
        <v>-3</v>
      </c>
      <c r="K237" s="165">
        <f t="shared" si="16"/>
        <v>-30</v>
      </c>
      <c r="L237" s="165"/>
      <c r="M237" s="167">
        <f t="shared" si="17"/>
        <v>0</v>
      </c>
    </row>
    <row r="238" spans="1:13" x14ac:dyDescent="0.25">
      <c r="A238" s="182"/>
      <c r="G238" s="153"/>
      <c r="H238" s="165">
        <v>233</v>
      </c>
      <c r="I238" s="166" t="str">
        <f t="shared" si="15"/>
        <v/>
      </c>
      <c r="J238" s="166">
        <f t="shared" si="18"/>
        <v>-3</v>
      </c>
      <c r="K238" s="165">
        <f t="shared" si="16"/>
        <v>-30</v>
      </c>
      <c r="L238" s="165"/>
      <c r="M238" s="167">
        <f t="shared" si="17"/>
        <v>0</v>
      </c>
    </row>
    <row r="239" spans="1:13" x14ac:dyDescent="0.25">
      <c r="A239" s="182"/>
      <c r="G239" s="153"/>
      <c r="H239" s="165">
        <v>234</v>
      </c>
      <c r="I239" s="166" t="str">
        <f t="shared" si="15"/>
        <v/>
      </c>
      <c r="J239" s="166">
        <f t="shared" si="18"/>
        <v>-3</v>
      </c>
      <c r="K239" s="165">
        <f t="shared" si="16"/>
        <v>-30</v>
      </c>
      <c r="L239" s="165"/>
      <c r="M239" s="167">
        <f t="shared" si="17"/>
        <v>0</v>
      </c>
    </row>
    <row r="240" spans="1:13" x14ac:dyDescent="0.25">
      <c r="A240" s="182"/>
      <c r="G240" s="153"/>
      <c r="H240" s="165">
        <v>235</v>
      </c>
      <c r="I240" s="166" t="str">
        <f t="shared" si="15"/>
        <v/>
      </c>
      <c r="J240" s="166">
        <f t="shared" si="18"/>
        <v>-3</v>
      </c>
      <c r="K240" s="165">
        <f t="shared" si="16"/>
        <v>-30</v>
      </c>
      <c r="L240" s="165"/>
      <c r="M240" s="167">
        <f t="shared" si="17"/>
        <v>0</v>
      </c>
    </row>
    <row r="241" spans="1:13" x14ac:dyDescent="0.25">
      <c r="A241" s="182"/>
      <c r="G241" s="153"/>
      <c r="H241" s="165">
        <v>236</v>
      </c>
      <c r="I241" s="166" t="str">
        <f t="shared" si="15"/>
        <v/>
      </c>
      <c r="J241" s="166">
        <f t="shared" si="18"/>
        <v>-3</v>
      </c>
      <c r="K241" s="165">
        <f t="shared" si="16"/>
        <v>-30</v>
      </c>
      <c r="L241" s="165"/>
      <c r="M241" s="167">
        <f t="shared" si="17"/>
        <v>0</v>
      </c>
    </row>
    <row r="242" spans="1:13" x14ac:dyDescent="0.25">
      <c r="A242" s="182"/>
      <c r="G242" s="153"/>
      <c r="H242" s="165">
        <v>237</v>
      </c>
      <c r="I242" s="166" t="str">
        <f t="shared" si="15"/>
        <v/>
      </c>
      <c r="J242" s="166">
        <f t="shared" si="18"/>
        <v>-3</v>
      </c>
      <c r="K242" s="165">
        <f t="shared" si="16"/>
        <v>-30</v>
      </c>
      <c r="L242" s="165"/>
      <c r="M242" s="167">
        <f t="shared" si="17"/>
        <v>0</v>
      </c>
    </row>
    <row r="243" spans="1:13" x14ac:dyDescent="0.25">
      <c r="A243" s="182"/>
      <c r="G243" s="153"/>
      <c r="H243" s="165">
        <v>238</v>
      </c>
      <c r="I243" s="166" t="str">
        <f t="shared" si="15"/>
        <v/>
      </c>
      <c r="J243" s="166">
        <f t="shared" si="18"/>
        <v>-3</v>
      </c>
      <c r="K243" s="165">
        <f t="shared" si="16"/>
        <v>-30</v>
      </c>
      <c r="L243" s="165"/>
      <c r="M243" s="167">
        <f t="shared" si="17"/>
        <v>0</v>
      </c>
    </row>
    <row r="244" spans="1:13" x14ac:dyDescent="0.25">
      <c r="A244" s="182"/>
      <c r="G244" s="153"/>
      <c r="H244" s="165">
        <v>239</v>
      </c>
      <c r="I244" s="166" t="str">
        <f t="shared" si="15"/>
        <v/>
      </c>
      <c r="J244" s="166">
        <f t="shared" si="18"/>
        <v>-3</v>
      </c>
      <c r="K244" s="165">
        <f t="shared" si="16"/>
        <v>-30</v>
      </c>
      <c r="L244" s="165"/>
      <c r="M244" s="167">
        <f t="shared" si="17"/>
        <v>0</v>
      </c>
    </row>
    <row r="245" spans="1:13" x14ac:dyDescent="0.25">
      <c r="A245" s="182"/>
      <c r="G245" s="153"/>
      <c r="H245" s="165">
        <v>240</v>
      </c>
      <c r="I245" s="166" t="str">
        <f t="shared" si="15"/>
        <v/>
      </c>
      <c r="J245" s="166">
        <f t="shared" si="18"/>
        <v>-3</v>
      </c>
      <c r="K245" s="165">
        <f t="shared" si="16"/>
        <v>-30</v>
      </c>
      <c r="L245" s="165"/>
      <c r="M245" s="167">
        <f t="shared" si="17"/>
        <v>0</v>
      </c>
    </row>
    <row r="246" spans="1:13" x14ac:dyDescent="0.25">
      <c r="A246" s="182"/>
      <c r="G246" s="153"/>
      <c r="H246" s="165">
        <v>241</v>
      </c>
      <c r="I246" s="166" t="str">
        <f t="shared" si="15"/>
        <v/>
      </c>
      <c r="J246" s="166">
        <f t="shared" si="18"/>
        <v>-3</v>
      </c>
      <c r="K246" s="165">
        <f t="shared" si="16"/>
        <v>-30</v>
      </c>
      <c r="L246" s="165"/>
      <c r="M246" s="167">
        <f t="shared" si="17"/>
        <v>0</v>
      </c>
    </row>
    <row r="247" spans="1:13" x14ac:dyDescent="0.25">
      <c r="A247" s="182"/>
      <c r="G247" s="153"/>
      <c r="H247" s="165">
        <v>242</v>
      </c>
      <c r="I247" s="166" t="str">
        <f t="shared" si="15"/>
        <v/>
      </c>
      <c r="J247" s="166">
        <f t="shared" si="18"/>
        <v>-3</v>
      </c>
      <c r="K247" s="165">
        <f t="shared" si="16"/>
        <v>-30</v>
      </c>
      <c r="L247" s="165"/>
      <c r="M247" s="167">
        <f t="shared" si="17"/>
        <v>0</v>
      </c>
    </row>
    <row r="248" spans="1:13" x14ac:dyDescent="0.25">
      <c r="A248" s="182"/>
      <c r="G248" s="153"/>
      <c r="H248" s="165">
        <v>243</v>
      </c>
      <c r="I248" s="166" t="str">
        <f t="shared" si="15"/>
        <v/>
      </c>
      <c r="J248" s="166">
        <f t="shared" si="18"/>
        <v>-3</v>
      </c>
      <c r="K248" s="165">
        <f t="shared" si="16"/>
        <v>-30</v>
      </c>
      <c r="L248" s="165"/>
      <c r="M248" s="167">
        <f t="shared" si="17"/>
        <v>0</v>
      </c>
    </row>
    <row r="249" spans="1:13" x14ac:dyDescent="0.25">
      <c r="A249" s="182"/>
      <c r="G249" s="153"/>
      <c r="H249" s="165">
        <v>244</v>
      </c>
      <c r="I249" s="166" t="str">
        <f t="shared" si="15"/>
        <v/>
      </c>
      <c r="J249" s="166">
        <f t="shared" si="18"/>
        <v>-3</v>
      </c>
      <c r="K249" s="165">
        <f t="shared" si="16"/>
        <v>-30</v>
      </c>
      <c r="L249" s="165"/>
      <c r="M249" s="167">
        <f t="shared" si="17"/>
        <v>0</v>
      </c>
    </row>
    <row r="250" spans="1:13" x14ac:dyDescent="0.25">
      <c r="A250" s="182"/>
      <c r="G250" s="153"/>
      <c r="H250" s="165">
        <v>245</v>
      </c>
      <c r="I250" s="166" t="str">
        <f t="shared" si="15"/>
        <v/>
      </c>
      <c r="J250" s="166">
        <f t="shared" si="18"/>
        <v>-3</v>
      </c>
      <c r="K250" s="165">
        <f t="shared" si="16"/>
        <v>-30</v>
      </c>
      <c r="L250" s="165"/>
      <c r="M250" s="167">
        <f t="shared" si="17"/>
        <v>0</v>
      </c>
    </row>
    <row r="251" spans="1:13" x14ac:dyDescent="0.25">
      <c r="A251" s="182"/>
      <c r="G251" s="153"/>
      <c r="H251" s="165">
        <v>246</v>
      </c>
      <c r="I251" s="166" t="str">
        <f t="shared" si="15"/>
        <v/>
      </c>
      <c r="J251" s="166">
        <f t="shared" si="18"/>
        <v>-3</v>
      </c>
      <c r="K251" s="165">
        <f t="shared" si="16"/>
        <v>-30</v>
      </c>
      <c r="L251" s="165"/>
      <c r="M251" s="167">
        <f t="shared" si="17"/>
        <v>0</v>
      </c>
    </row>
    <row r="252" spans="1:13" x14ac:dyDescent="0.25">
      <c r="A252" s="182"/>
      <c r="G252" s="153"/>
      <c r="H252" s="165">
        <v>247</v>
      </c>
      <c r="I252" s="166" t="str">
        <f t="shared" si="15"/>
        <v/>
      </c>
      <c r="J252" s="166">
        <f t="shared" si="18"/>
        <v>-3</v>
      </c>
      <c r="K252" s="165">
        <f t="shared" si="16"/>
        <v>-30</v>
      </c>
      <c r="L252" s="165"/>
      <c r="M252" s="167">
        <f t="shared" si="17"/>
        <v>0</v>
      </c>
    </row>
    <row r="253" spans="1:13" x14ac:dyDescent="0.25">
      <c r="A253" s="182"/>
      <c r="G253" s="153"/>
      <c r="H253" s="165">
        <v>248</v>
      </c>
      <c r="I253" s="166" t="str">
        <f t="shared" si="15"/>
        <v/>
      </c>
      <c r="J253" s="166">
        <f t="shared" si="18"/>
        <v>-3</v>
      </c>
      <c r="K253" s="165">
        <f t="shared" si="16"/>
        <v>-30</v>
      </c>
      <c r="L253" s="165"/>
      <c r="M253" s="167">
        <f t="shared" si="17"/>
        <v>0</v>
      </c>
    </row>
    <row r="254" spans="1:13" x14ac:dyDescent="0.25">
      <c r="A254" s="182"/>
      <c r="G254" s="153"/>
      <c r="H254" s="165">
        <v>249</v>
      </c>
      <c r="I254" s="166" t="str">
        <f t="shared" si="15"/>
        <v/>
      </c>
      <c r="J254" s="166">
        <f t="shared" si="18"/>
        <v>-3</v>
      </c>
      <c r="K254" s="165">
        <f t="shared" si="16"/>
        <v>-30</v>
      </c>
      <c r="L254" s="165"/>
      <c r="M254" s="167">
        <f t="shared" si="17"/>
        <v>0</v>
      </c>
    </row>
    <row r="255" spans="1:13" x14ac:dyDescent="0.25">
      <c r="A255" s="182"/>
      <c r="G255" s="153"/>
      <c r="H255" s="165">
        <v>250</v>
      </c>
      <c r="I255" s="166" t="str">
        <f t="shared" si="15"/>
        <v/>
      </c>
      <c r="J255" s="166">
        <f t="shared" si="18"/>
        <v>-3</v>
      </c>
      <c r="K255" s="165">
        <f t="shared" si="16"/>
        <v>-30</v>
      </c>
      <c r="L255" s="165"/>
      <c r="M255" s="167">
        <f t="shared" si="17"/>
        <v>0</v>
      </c>
    </row>
    <row r="256" spans="1:13" x14ac:dyDescent="0.25">
      <c r="A256" s="182"/>
      <c r="G256" s="153"/>
      <c r="H256" s="165">
        <v>251</v>
      </c>
      <c r="I256" s="166" t="str">
        <f t="shared" si="15"/>
        <v/>
      </c>
      <c r="J256" s="166">
        <f t="shared" si="18"/>
        <v>-3</v>
      </c>
      <c r="K256" s="165">
        <f t="shared" si="16"/>
        <v>-30</v>
      </c>
      <c r="L256" s="165"/>
      <c r="M256" s="167">
        <f t="shared" si="17"/>
        <v>0</v>
      </c>
    </row>
    <row r="257" spans="1:13" x14ac:dyDescent="0.25">
      <c r="A257" s="182"/>
      <c r="G257" s="153"/>
      <c r="H257" s="165">
        <v>252</v>
      </c>
      <c r="I257" s="166" t="str">
        <f t="shared" si="15"/>
        <v/>
      </c>
      <c r="J257" s="166">
        <f t="shared" si="18"/>
        <v>-3</v>
      </c>
      <c r="K257" s="165">
        <f t="shared" si="16"/>
        <v>-30</v>
      </c>
      <c r="L257" s="165"/>
      <c r="M257" s="167">
        <f t="shared" si="17"/>
        <v>0</v>
      </c>
    </row>
    <row r="258" spans="1:13" x14ac:dyDescent="0.25">
      <c r="A258" s="182"/>
      <c r="G258" s="153"/>
      <c r="H258" s="165">
        <v>253</v>
      </c>
      <c r="I258" s="166" t="str">
        <f t="shared" si="15"/>
        <v/>
      </c>
      <c r="J258" s="166">
        <f t="shared" si="18"/>
        <v>-3</v>
      </c>
      <c r="K258" s="165">
        <f t="shared" si="16"/>
        <v>-30</v>
      </c>
      <c r="L258" s="165"/>
      <c r="M258" s="167">
        <f t="shared" si="17"/>
        <v>0</v>
      </c>
    </row>
    <row r="259" spans="1:13" x14ac:dyDescent="0.25">
      <c r="A259" s="182"/>
      <c r="G259" s="153"/>
      <c r="H259" s="165">
        <v>254</v>
      </c>
      <c r="I259" s="166" t="str">
        <f t="shared" si="15"/>
        <v/>
      </c>
      <c r="J259" s="166">
        <f t="shared" si="18"/>
        <v>-3</v>
      </c>
      <c r="K259" s="165">
        <f t="shared" si="16"/>
        <v>-30</v>
      </c>
      <c r="L259" s="165"/>
      <c r="M259" s="167">
        <f t="shared" si="17"/>
        <v>0</v>
      </c>
    </row>
    <row r="260" spans="1:13" x14ac:dyDescent="0.25">
      <c r="A260" s="182"/>
      <c r="G260" s="153"/>
      <c r="H260" s="165">
        <v>255</v>
      </c>
      <c r="I260" s="166" t="str">
        <f t="shared" si="15"/>
        <v/>
      </c>
      <c r="J260" s="166">
        <f t="shared" si="18"/>
        <v>-3</v>
      </c>
      <c r="K260" s="165">
        <f t="shared" si="16"/>
        <v>-30</v>
      </c>
      <c r="L260" s="165"/>
      <c r="M260" s="167">
        <f t="shared" si="17"/>
        <v>0</v>
      </c>
    </row>
    <row r="261" spans="1:13" x14ac:dyDescent="0.25">
      <c r="A261" s="182"/>
      <c r="G261" s="153"/>
      <c r="H261" s="165">
        <v>256</v>
      </c>
      <c r="I261" s="166" t="str">
        <f t="shared" si="15"/>
        <v/>
      </c>
      <c r="J261" s="166">
        <f t="shared" si="18"/>
        <v>-3</v>
      </c>
      <c r="K261" s="165">
        <f t="shared" si="16"/>
        <v>-30</v>
      </c>
      <c r="L261" s="165"/>
      <c r="M261" s="167">
        <f t="shared" si="17"/>
        <v>0</v>
      </c>
    </row>
    <row r="262" spans="1:13" x14ac:dyDescent="0.25">
      <c r="A262" s="182"/>
      <c r="G262" s="153"/>
      <c r="H262" s="165">
        <v>257</v>
      </c>
      <c r="I262" s="166" t="str">
        <f t="shared" ref="I262:I305" si="19">IF(H262&lt;$H$2+1,($I$2-($I$2-1)*(LOG(H262)/LOG($H$2))),"")</f>
        <v/>
      </c>
      <c r="J262" s="166">
        <f t="shared" si="18"/>
        <v>-4</v>
      </c>
      <c r="K262" s="165">
        <f t="shared" ref="K262:K305" si="20">J262*$J$2</f>
        <v>-40</v>
      </c>
      <c r="L262" s="165"/>
      <c r="M262" s="167">
        <f t="shared" ref="M262:M305" si="21">IF(I262&lt;&gt;"",K262+I262+L262,0)</f>
        <v>0</v>
      </c>
    </row>
    <row r="263" spans="1:13" x14ac:dyDescent="0.25">
      <c r="A263" s="182"/>
      <c r="G263" s="153"/>
      <c r="H263" s="165">
        <v>258</v>
      </c>
      <c r="I263" s="166" t="str">
        <f t="shared" si="19"/>
        <v/>
      </c>
      <c r="J263" s="166">
        <f t="shared" ref="J263:J305" si="22">INT(LOG($H$2,2))-ROUNDUP(LOG(H263,2),0)+IF(OR($H$2=1,$H$2=2,$H$2=4,$H$2=8,$H$2=16,$H$2=32,$H$2=64,$H$2=128,$H$2=256),0,1)</f>
        <v>-4</v>
      </c>
      <c r="K263" s="165">
        <f t="shared" si="20"/>
        <v>-40</v>
      </c>
      <c r="L263" s="165"/>
      <c r="M263" s="167">
        <f t="shared" si="21"/>
        <v>0</v>
      </c>
    </row>
    <row r="264" spans="1:13" x14ac:dyDescent="0.25">
      <c r="A264" s="182"/>
      <c r="G264" s="153"/>
      <c r="H264" s="165">
        <v>259</v>
      </c>
      <c r="I264" s="166" t="str">
        <f t="shared" si="19"/>
        <v/>
      </c>
      <c r="J264" s="166">
        <f t="shared" si="22"/>
        <v>-4</v>
      </c>
      <c r="K264" s="165">
        <f t="shared" si="20"/>
        <v>-40</v>
      </c>
      <c r="L264" s="165"/>
      <c r="M264" s="167">
        <f t="shared" si="21"/>
        <v>0</v>
      </c>
    </row>
    <row r="265" spans="1:13" x14ac:dyDescent="0.25">
      <c r="A265" s="182"/>
      <c r="G265" s="153"/>
      <c r="H265" s="165">
        <v>260</v>
      </c>
      <c r="I265" s="166" t="str">
        <f t="shared" si="19"/>
        <v/>
      </c>
      <c r="J265" s="166">
        <f t="shared" si="22"/>
        <v>-4</v>
      </c>
      <c r="K265" s="165">
        <f t="shared" si="20"/>
        <v>-40</v>
      </c>
      <c r="L265" s="165"/>
      <c r="M265" s="167">
        <f t="shared" si="21"/>
        <v>0</v>
      </c>
    </row>
    <row r="266" spans="1:13" x14ac:dyDescent="0.25">
      <c r="A266" s="182"/>
      <c r="G266" s="153"/>
      <c r="H266" s="165">
        <v>261</v>
      </c>
      <c r="I266" s="166" t="str">
        <f t="shared" si="19"/>
        <v/>
      </c>
      <c r="J266" s="166">
        <f t="shared" si="22"/>
        <v>-4</v>
      </c>
      <c r="K266" s="165">
        <f t="shared" si="20"/>
        <v>-40</v>
      </c>
      <c r="L266" s="165"/>
      <c r="M266" s="167">
        <f t="shared" si="21"/>
        <v>0</v>
      </c>
    </row>
    <row r="267" spans="1:13" x14ac:dyDescent="0.25">
      <c r="A267" s="182"/>
      <c r="G267" s="153"/>
      <c r="H267" s="165">
        <v>262</v>
      </c>
      <c r="I267" s="166" t="str">
        <f t="shared" si="19"/>
        <v/>
      </c>
      <c r="J267" s="166">
        <f t="shared" si="22"/>
        <v>-4</v>
      </c>
      <c r="K267" s="165">
        <f t="shared" si="20"/>
        <v>-40</v>
      </c>
      <c r="L267" s="165"/>
      <c r="M267" s="167">
        <f t="shared" si="21"/>
        <v>0</v>
      </c>
    </row>
    <row r="268" spans="1:13" x14ac:dyDescent="0.25">
      <c r="A268" s="182"/>
      <c r="G268" s="153"/>
      <c r="H268" s="165">
        <v>263</v>
      </c>
      <c r="I268" s="166" t="str">
        <f t="shared" si="19"/>
        <v/>
      </c>
      <c r="J268" s="166">
        <f t="shared" si="22"/>
        <v>-4</v>
      </c>
      <c r="K268" s="165">
        <f t="shared" si="20"/>
        <v>-40</v>
      </c>
      <c r="L268" s="165"/>
      <c r="M268" s="167">
        <f t="shared" si="21"/>
        <v>0</v>
      </c>
    </row>
    <row r="269" spans="1:13" x14ac:dyDescent="0.25">
      <c r="A269" s="182"/>
      <c r="G269" s="153"/>
      <c r="H269" s="165">
        <v>264</v>
      </c>
      <c r="I269" s="166" t="str">
        <f t="shared" si="19"/>
        <v/>
      </c>
      <c r="J269" s="166">
        <f t="shared" si="22"/>
        <v>-4</v>
      </c>
      <c r="K269" s="165">
        <f t="shared" si="20"/>
        <v>-40</v>
      </c>
      <c r="L269" s="165"/>
      <c r="M269" s="167">
        <f t="shared" si="21"/>
        <v>0</v>
      </c>
    </row>
    <row r="270" spans="1:13" x14ac:dyDescent="0.25">
      <c r="A270" s="182"/>
      <c r="G270" s="153"/>
      <c r="H270" s="165">
        <v>265</v>
      </c>
      <c r="I270" s="166" t="str">
        <f t="shared" si="19"/>
        <v/>
      </c>
      <c r="J270" s="166">
        <f t="shared" si="22"/>
        <v>-4</v>
      </c>
      <c r="K270" s="165">
        <f t="shared" si="20"/>
        <v>-40</v>
      </c>
      <c r="L270" s="165"/>
      <c r="M270" s="167">
        <f t="shared" si="21"/>
        <v>0</v>
      </c>
    </row>
    <row r="271" spans="1:13" x14ac:dyDescent="0.25">
      <c r="A271" s="182"/>
      <c r="G271" s="153"/>
      <c r="H271" s="165">
        <v>266</v>
      </c>
      <c r="I271" s="166" t="str">
        <f t="shared" si="19"/>
        <v/>
      </c>
      <c r="J271" s="166">
        <f t="shared" si="22"/>
        <v>-4</v>
      </c>
      <c r="K271" s="165">
        <f t="shared" si="20"/>
        <v>-40</v>
      </c>
      <c r="L271" s="165"/>
      <c r="M271" s="167">
        <f t="shared" si="21"/>
        <v>0</v>
      </c>
    </row>
    <row r="272" spans="1:13" x14ac:dyDescent="0.25">
      <c r="A272" s="182"/>
      <c r="G272" s="153"/>
      <c r="H272" s="165">
        <v>267</v>
      </c>
      <c r="I272" s="166" t="str">
        <f t="shared" si="19"/>
        <v/>
      </c>
      <c r="J272" s="166">
        <f t="shared" si="22"/>
        <v>-4</v>
      </c>
      <c r="K272" s="165">
        <f t="shared" si="20"/>
        <v>-40</v>
      </c>
      <c r="L272" s="165"/>
      <c r="M272" s="167">
        <f t="shared" si="21"/>
        <v>0</v>
      </c>
    </row>
    <row r="273" spans="1:13" x14ac:dyDescent="0.25">
      <c r="A273" s="182"/>
      <c r="G273" s="153"/>
      <c r="H273" s="165">
        <v>268</v>
      </c>
      <c r="I273" s="166" t="str">
        <f t="shared" si="19"/>
        <v/>
      </c>
      <c r="J273" s="166">
        <f t="shared" si="22"/>
        <v>-4</v>
      </c>
      <c r="K273" s="165">
        <f t="shared" si="20"/>
        <v>-40</v>
      </c>
      <c r="L273" s="165"/>
      <c r="M273" s="167">
        <f t="shared" si="21"/>
        <v>0</v>
      </c>
    </row>
    <row r="274" spans="1:13" x14ac:dyDescent="0.25">
      <c r="A274" s="182"/>
      <c r="G274" s="153"/>
      <c r="H274" s="165">
        <v>269</v>
      </c>
      <c r="I274" s="166" t="str">
        <f t="shared" si="19"/>
        <v/>
      </c>
      <c r="J274" s="166">
        <f t="shared" si="22"/>
        <v>-4</v>
      </c>
      <c r="K274" s="165">
        <f t="shared" si="20"/>
        <v>-40</v>
      </c>
      <c r="L274" s="165"/>
      <c r="M274" s="167">
        <f t="shared" si="21"/>
        <v>0</v>
      </c>
    </row>
    <row r="275" spans="1:13" x14ac:dyDescent="0.25">
      <c r="A275" s="182"/>
      <c r="G275" s="153"/>
      <c r="H275" s="165">
        <v>270</v>
      </c>
      <c r="I275" s="166" t="str">
        <f t="shared" si="19"/>
        <v/>
      </c>
      <c r="J275" s="166">
        <f t="shared" si="22"/>
        <v>-4</v>
      </c>
      <c r="K275" s="165">
        <f t="shared" si="20"/>
        <v>-40</v>
      </c>
      <c r="L275" s="165"/>
      <c r="M275" s="167">
        <f t="shared" si="21"/>
        <v>0</v>
      </c>
    </row>
    <row r="276" spans="1:13" x14ac:dyDescent="0.25">
      <c r="A276" s="182"/>
      <c r="G276" s="153"/>
      <c r="H276" s="165">
        <v>271</v>
      </c>
      <c r="I276" s="166" t="str">
        <f t="shared" si="19"/>
        <v/>
      </c>
      <c r="J276" s="166">
        <f t="shared" si="22"/>
        <v>-4</v>
      </c>
      <c r="K276" s="165">
        <f t="shared" si="20"/>
        <v>-40</v>
      </c>
      <c r="L276" s="165"/>
      <c r="M276" s="167">
        <f t="shared" si="21"/>
        <v>0</v>
      </c>
    </row>
    <row r="277" spans="1:13" x14ac:dyDescent="0.25">
      <c r="A277" s="182"/>
      <c r="G277" s="153"/>
      <c r="H277" s="165">
        <v>272</v>
      </c>
      <c r="I277" s="166" t="str">
        <f t="shared" si="19"/>
        <v/>
      </c>
      <c r="J277" s="166">
        <f t="shared" si="22"/>
        <v>-4</v>
      </c>
      <c r="K277" s="165">
        <f t="shared" si="20"/>
        <v>-40</v>
      </c>
      <c r="L277" s="165"/>
      <c r="M277" s="167">
        <f t="shared" si="21"/>
        <v>0</v>
      </c>
    </row>
    <row r="278" spans="1:13" x14ac:dyDescent="0.25">
      <c r="A278" s="182"/>
      <c r="G278" s="153"/>
      <c r="H278" s="165">
        <v>273</v>
      </c>
      <c r="I278" s="166" t="str">
        <f t="shared" si="19"/>
        <v/>
      </c>
      <c r="J278" s="166">
        <f t="shared" si="22"/>
        <v>-4</v>
      </c>
      <c r="K278" s="165">
        <f t="shared" si="20"/>
        <v>-40</v>
      </c>
      <c r="L278" s="165"/>
      <c r="M278" s="167">
        <f t="shared" si="21"/>
        <v>0</v>
      </c>
    </row>
    <row r="279" spans="1:13" x14ac:dyDescent="0.25">
      <c r="A279" s="182"/>
      <c r="G279" s="153"/>
      <c r="H279" s="165">
        <v>274</v>
      </c>
      <c r="I279" s="166" t="str">
        <f t="shared" si="19"/>
        <v/>
      </c>
      <c r="J279" s="166">
        <f t="shared" si="22"/>
        <v>-4</v>
      </c>
      <c r="K279" s="165">
        <f t="shared" si="20"/>
        <v>-40</v>
      </c>
      <c r="L279" s="165"/>
      <c r="M279" s="167">
        <f t="shared" si="21"/>
        <v>0</v>
      </c>
    </row>
    <row r="280" spans="1:13" x14ac:dyDescent="0.25">
      <c r="A280" s="182"/>
      <c r="G280" s="153"/>
      <c r="H280" s="165">
        <v>275</v>
      </c>
      <c r="I280" s="166" t="str">
        <f t="shared" si="19"/>
        <v/>
      </c>
      <c r="J280" s="166">
        <f t="shared" si="22"/>
        <v>-4</v>
      </c>
      <c r="K280" s="165">
        <f t="shared" si="20"/>
        <v>-40</v>
      </c>
      <c r="L280" s="165"/>
      <c r="M280" s="167">
        <f t="shared" si="21"/>
        <v>0</v>
      </c>
    </row>
    <row r="281" spans="1:13" x14ac:dyDescent="0.25">
      <c r="A281" s="182"/>
      <c r="G281" s="153"/>
      <c r="H281" s="165">
        <v>276</v>
      </c>
      <c r="I281" s="166" t="str">
        <f t="shared" si="19"/>
        <v/>
      </c>
      <c r="J281" s="166">
        <f t="shared" si="22"/>
        <v>-4</v>
      </c>
      <c r="K281" s="165">
        <f t="shared" si="20"/>
        <v>-40</v>
      </c>
      <c r="L281" s="165"/>
      <c r="M281" s="167">
        <f t="shared" si="21"/>
        <v>0</v>
      </c>
    </row>
    <row r="282" spans="1:13" x14ac:dyDescent="0.25">
      <c r="A282" s="182"/>
      <c r="G282" s="153"/>
      <c r="H282" s="165">
        <v>277</v>
      </c>
      <c r="I282" s="166" t="str">
        <f t="shared" si="19"/>
        <v/>
      </c>
      <c r="J282" s="166">
        <f t="shared" si="22"/>
        <v>-4</v>
      </c>
      <c r="K282" s="165">
        <f t="shared" si="20"/>
        <v>-40</v>
      </c>
      <c r="L282" s="165"/>
      <c r="M282" s="167">
        <f t="shared" si="21"/>
        <v>0</v>
      </c>
    </row>
    <row r="283" spans="1:13" x14ac:dyDescent="0.25">
      <c r="A283" s="182"/>
      <c r="G283" s="153"/>
      <c r="H283" s="165">
        <v>278</v>
      </c>
      <c r="I283" s="166" t="str">
        <f t="shared" si="19"/>
        <v/>
      </c>
      <c r="J283" s="166">
        <f t="shared" si="22"/>
        <v>-4</v>
      </c>
      <c r="K283" s="165">
        <f t="shared" si="20"/>
        <v>-40</v>
      </c>
      <c r="L283" s="165"/>
      <c r="M283" s="167">
        <f t="shared" si="21"/>
        <v>0</v>
      </c>
    </row>
    <row r="284" spans="1:13" x14ac:dyDescent="0.25">
      <c r="A284" s="182"/>
      <c r="G284" s="153"/>
      <c r="H284" s="165">
        <v>279</v>
      </c>
      <c r="I284" s="166" t="str">
        <f t="shared" si="19"/>
        <v/>
      </c>
      <c r="J284" s="166">
        <f t="shared" si="22"/>
        <v>-4</v>
      </c>
      <c r="K284" s="165">
        <f t="shared" si="20"/>
        <v>-40</v>
      </c>
      <c r="L284" s="165"/>
      <c r="M284" s="167">
        <f t="shared" si="21"/>
        <v>0</v>
      </c>
    </row>
    <row r="285" spans="1:13" x14ac:dyDescent="0.25">
      <c r="A285" s="182"/>
      <c r="G285" s="153"/>
      <c r="H285" s="165">
        <v>280</v>
      </c>
      <c r="I285" s="166" t="str">
        <f t="shared" si="19"/>
        <v/>
      </c>
      <c r="J285" s="166">
        <f t="shared" si="22"/>
        <v>-4</v>
      </c>
      <c r="K285" s="165">
        <f t="shared" si="20"/>
        <v>-40</v>
      </c>
      <c r="L285" s="165"/>
      <c r="M285" s="167">
        <f t="shared" si="21"/>
        <v>0</v>
      </c>
    </row>
    <row r="286" spans="1:13" x14ac:dyDescent="0.25">
      <c r="A286" s="182"/>
      <c r="G286" s="153"/>
      <c r="H286" s="165">
        <v>281</v>
      </c>
      <c r="I286" s="166" t="str">
        <f t="shared" si="19"/>
        <v/>
      </c>
      <c r="J286" s="166">
        <f t="shared" si="22"/>
        <v>-4</v>
      </c>
      <c r="K286" s="165">
        <f t="shared" si="20"/>
        <v>-40</v>
      </c>
      <c r="L286" s="165"/>
      <c r="M286" s="167">
        <f t="shared" si="21"/>
        <v>0</v>
      </c>
    </row>
    <row r="287" spans="1:13" x14ac:dyDescent="0.25">
      <c r="A287" s="182"/>
      <c r="G287" s="153"/>
      <c r="H287" s="165">
        <v>282</v>
      </c>
      <c r="I287" s="166" t="str">
        <f t="shared" si="19"/>
        <v/>
      </c>
      <c r="J287" s="166">
        <f t="shared" si="22"/>
        <v>-4</v>
      </c>
      <c r="K287" s="165">
        <f t="shared" si="20"/>
        <v>-40</v>
      </c>
      <c r="L287" s="165"/>
      <c r="M287" s="167">
        <f t="shared" si="21"/>
        <v>0</v>
      </c>
    </row>
    <row r="288" spans="1:13" x14ac:dyDescent="0.25">
      <c r="A288" s="182"/>
      <c r="G288" s="153"/>
      <c r="H288" s="165">
        <v>283</v>
      </c>
      <c r="I288" s="166" t="str">
        <f t="shared" si="19"/>
        <v/>
      </c>
      <c r="J288" s="166">
        <f t="shared" si="22"/>
        <v>-4</v>
      </c>
      <c r="K288" s="165">
        <f t="shared" si="20"/>
        <v>-40</v>
      </c>
      <c r="L288" s="165"/>
      <c r="M288" s="167">
        <f t="shared" si="21"/>
        <v>0</v>
      </c>
    </row>
    <row r="289" spans="1:13" x14ac:dyDescent="0.25">
      <c r="A289" s="182"/>
      <c r="G289" s="153"/>
      <c r="H289" s="165">
        <v>284</v>
      </c>
      <c r="I289" s="166" t="str">
        <f t="shared" si="19"/>
        <v/>
      </c>
      <c r="J289" s="166">
        <f t="shared" si="22"/>
        <v>-4</v>
      </c>
      <c r="K289" s="165">
        <f t="shared" si="20"/>
        <v>-40</v>
      </c>
      <c r="L289" s="165"/>
      <c r="M289" s="167">
        <f t="shared" si="21"/>
        <v>0</v>
      </c>
    </row>
    <row r="290" spans="1:13" x14ac:dyDescent="0.25">
      <c r="A290" s="182"/>
      <c r="G290" s="153"/>
      <c r="H290" s="165">
        <v>285</v>
      </c>
      <c r="I290" s="166" t="str">
        <f t="shared" si="19"/>
        <v/>
      </c>
      <c r="J290" s="166">
        <f t="shared" si="22"/>
        <v>-4</v>
      </c>
      <c r="K290" s="165">
        <f t="shared" si="20"/>
        <v>-40</v>
      </c>
      <c r="L290" s="165"/>
      <c r="M290" s="167">
        <f t="shared" si="21"/>
        <v>0</v>
      </c>
    </row>
    <row r="291" spans="1:13" x14ac:dyDescent="0.25">
      <c r="A291" s="182"/>
      <c r="G291" s="153"/>
      <c r="H291" s="165">
        <v>286</v>
      </c>
      <c r="I291" s="166" t="str">
        <f t="shared" si="19"/>
        <v/>
      </c>
      <c r="J291" s="166">
        <f t="shared" si="22"/>
        <v>-4</v>
      </c>
      <c r="K291" s="165">
        <f t="shared" si="20"/>
        <v>-40</v>
      </c>
      <c r="L291" s="165"/>
      <c r="M291" s="167">
        <f t="shared" si="21"/>
        <v>0</v>
      </c>
    </row>
    <row r="292" spans="1:13" x14ac:dyDescent="0.25">
      <c r="A292" s="182"/>
      <c r="G292" s="153"/>
      <c r="H292" s="165">
        <v>287</v>
      </c>
      <c r="I292" s="166" t="str">
        <f t="shared" si="19"/>
        <v/>
      </c>
      <c r="J292" s="166">
        <f t="shared" si="22"/>
        <v>-4</v>
      </c>
      <c r="K292" s="165">
        <f t="shared" si="20"/>
        <v>-40</v>
      </c>
      <c r="L292" s="165"/>
      <c r="M292" s="167">
        <f t="shared" si="21"/>
        <v>0</v>
      </c>
    </row>
    <row r="293" spans="1:13" x14ac:dyDescent="0.25">
      <c r="A293" s="182"/>
      <c r="G293" s="153"/>
      <c r="H293" s="165">
        <v>288</v>
      </c>
      <c r="I293" s="166" t="str">
        <f t="shared" si="19"/>
        <v/>
      </c>
      <c r="J293" s="166">
        <f t="shared" si="22"/>
        <v>-4</v>
      </c>
      <c r="K293" s="165">
        <f t="shared" si="20"/>
        <v>-40</v>
      </c>
      <c r="L293" s="165"/>
      <c r="M293" s="167">
        <f t="shared" si="21"/>
        <v>0</v>
      </c>
    </row>
    <row r="294" spans="1:13" x14ac:dyDescent="0.25">
      <c r="A294" s="182"/>
      <c r="G294" s="153"/>
      <c r="H294" s="165">
        <v>289</v>
      </c>
      <c r="I294" s="166" t="str">
        <f t="shared" si="19"/>
        <v/>
      </c>
      <c r="J294" s="166">
        <f t="shared" si="22"/>
        <v>-4</v>
      </c>
      <c r="K294" s="165">
        <f t="shared" si="20"/>
        <v>-40</v>
      </c>
      <c r="L294" s="165"/>
      <c r="M294" s="167">
        <f t="shared" si="21"/>
        <v>0</v>
      </c>
    </row>
    <row r="295" spans="1:13" x14ac:dyDescent="0.25">
      <c r="A295" s="182"/>
      <c r="G295" s="153"/>
      <c r="H295" s="165">
        <v>290</v>
      </c>
      <c r="I295" s="166" t="str">
        <f t="shared" si="19"/>
        <v/>
      </c>
      <c r="J295" s="166">
        <f t="shared" si="22"/>
        <v>-4</v>
      </c>
      <c r="K295" s="165">
        <f t="shared" si="20"/>
        <v>-40</v>
      </c>
      <c r="L295" s="165"/>
      <c r="M295" s="167">
        <f t="shared" si="21"/>
        <v>0</v>
      </c>
    </row>
    <row r="296" spans="1:13" x14ac:dyDescent="0.25">
      <c r="A296" s="182"/>
      <c r="G296" s="153"/>
      <c r="H296" s="165">
        <v>291</v>
      </c>
      <c r="I296" s="166" t="str">
        <f t="shared" si="19"/>
        <v/>
      </c>
      <c r="J296" s="166">
        <f t="shared" si="22"/>
        <v>-4</v>
      </c>
      <c r="K296" s="165">
        <f t="shared" si="20"/>
        <v>-40</v>
      </c>
      <c r="L296" s="165"/>
      <c r="M296" s="167">
        <f t="shared" si="21"/>
        <v>0</v>
      </c>
    </row>
    <row r="297" spans="1:13" x14ac:dyDescent="0.25">
      <c r="A297" s="182"/>
      <c r="G297" s="153"/>
      <c r="H297" s="165">
        <v>292</v>
      </c>
      <c r="I297" s="166" t="str">
        <f t="shared" si="19"/>
        <v/>
      </c>
      <c r="J297" s="166">
        <f t="shared" si="22"/>
        <v>-4</v>
      </c>
      <c r="K297" s="165">
        <f t="shared" si="20"/>
        <v>-40</v>
      </c>
      <c r="L297" s="165"/>
      <c r="M297" s="167">
        <f t="shared" si="21"/>
        <v>0</v>
      </c>
    </row>
    <row r="298" spans="1:13" x14ac:dyDescent="0.25">
      <c r="A298" s="182"/>
      <c r="G298" s="153"/>
      <c r="H298" s="165">
        <v>293</v>
      </c>
      <c r="I298" s="166" t="str">
        <f t="shared" si="19"/>
        <v/>
      </c>
      <c r="J298" s="166">
        <f t="shared" si="22"/>
        <v>-4</v>
      </c>
      <c r="K298" s="165">
        <f t="shared" si="20"/>
        <v>-40</v>
      </c>
      <c r="L298" s="165"/>
      <c r="M298" s="167">
        <f t="shared" si="21"/>
        <v>0</v>
      </c>
    </row>
    <row r="299" spans="1:13" x14ac:dyDescent="0.25">
      <c r="A299" s="182"/>
      <c r="G299" s="153"/>
      <c r="H299" s="165">
        <v>294</v>
      </c>
      <c r="I299" s="166" t="str">
        <f t="shared" si="19"/>
        <v/>
      </c>
      <c r="J299" s="166">
        <f t="shared" si="22"/>
        <v>-4</v>
      </c>
      <c r="K299" s="165">
        <f t="shared" si="20"/>
        <v>-40</v>
      </c>
      <c r="L299" s="165"/>
      <c r="M299" s="167">
        <f t="shared" si="21"/>
        <v>0</v>
      </c>
    </row>
    <row r="300" spans="1:13" x14ac:dyDescent="0.25">
      <c r="A300" s="182"/>
      <c r="G300" s="153"/>
      <c r="H300" s="165">
        <v>295</v>
      </c>
      <c r="I300" s="166" t="str">
        <f t="shared" si="19"/>
        <v/>
      </c>
      <c r="J300" s="166">
        <f t="shared" si="22"/>
        <v>-4</v>
      </c>
      <c r="K300" s="165">
        <f t="shared" si="20"/>
        <v>-40</v>
      </c>
      <c r="L300" s="165"/>
      <c r="M300" s="167">
        <f t="shared" si="21"/>
        <v>0</v>
      </c>
    </row>
    <row r="301" spans="1:13" x14ac:dyDescent="0.25">
      <c r="A301" s="182"/>
      <c r="G301" s="153"/>
      <c r="H301" s="165">
        <v>296</v>
      </c>
      <c r="I301" s="166" t="str">
        <f t="shared" si="19"/>
        <v/>
      </c>
      <c r="J301" s="166">
        <f t="shared" si="22"/>
        <v>-4</v>
      </c>
      <c r="K301" s="165">
        <f t="shared" si="20"/>
        <v>-40</v>
      </c>
      <c r="L301" s="165"/>
      <c r="M301" s="167">
        <f t="shared" si="21"/>
        <v>0</v>
      </c>
    </row>
    <row r="302" spans="1:13" x14ac:dyDescent="0.25">
      <c r="A302" s="182"/>
      <c r="G302" s="153"/>
      <c r="H302" s="165">
        <v>297</v>
      </c>
      <c r="I302" s="166" t="str">
        <f t="shared" si="19"/>
        <v/>
      </c>
      <c r="J302" s="166">
        <f t="shared" si="22"/>
        <v>-4</v>
      </c>
      <c r="K302" s="165">
        <f t="shared" si="20"/>
        <v>-40</v>
      </c>
      <c r="L302" s="165"/>
      <c r="M302" s="167">
        <f t="shared" si="21"/>
        <v>0</v>
      </c>
    </row>
    <row r="303" spans="1:13" x14ac:dyDescent="0.25">
      <c r="A303" s="182"/>
      <c r="G303" s="153"/>
      <c r="H303" s="165">
        <v>298</v>
      </c>
      <c r="I303" s="166" t="str">
        <f t="shared" si="19"/>
        <v/>
      </c>
      <c r="J303" s="166">
        <f t="shared" si="22"/>
        <v>-4</v>
      </c>
      <c r="K303" s="165">
        <f t="shared" si="20"/>
        <v>-40</v>
      </c>
      <c r="L303" s="165"/>
      <c r="M303" s="167">
        <f t="shared" si="21"/>
        <v>0</v>
      </c>
    </row>
    <row r="304" spans="1:13" x14ac:dyDescent="0.25">
      <c r="A304" s="182"/>
      <c r="G304" s="153"/>
      <c r="H304" s="165">
        <v>299</v>
      </c>
      <c r="I304" s="166" t="str">
        <f t="shared" si="19"/>
        <v/>
      </c>
      <c r="J304" s="166">
        <f t="shared" si="22"/>
        <v>-4</v>
      </c>
      <c r="K304" s="165">
        <f t="shared" si="20"/>
        <v>-40</v>
      </c>
      <c r="L304" s="165"/>
      <c r="M304" s="167">
        <f t="shared" si="21"/>
        <v>0</v>
      </c>
    </row>
    <row r="305" spans="1:16" x14ac:dyDescent="0.25">
      <c r="A305" s="182"/>
      <c r="G305" s="153"/>
      <c r="H305" s="165">
        <v>300</v>
      </c>
      <c r="I305" s="166" t="str">
        <f t="shared" si="19"/>
        <v/>
      </c>
      <c r="J305" s="166">
        <f t="shared" si="22"/>
        <v>-4</v>
      </c>
      <c r="K305" s="165">
        <f t="shared" si="20"/>
        <v>-40</v>
      </c>
      <c r="L305" s="165"/>
      <c r="M305" s="167">
        <f t="shared" si="21"/>
        <v>0</v>
      </c>
    </row>
    <row r="306" spans="1:16" x14ac:dyDescent="0.25">
      <c r="A306" s="183"/>
    </row>
    <row r="314" spans="1:16" x14ac:dyDescent="0.25">
      <c r="L314" s="186"/>
      <c r="P314" s="176"/>
    </row>
    <row r="315" spans="1:16" x14ac:dyDescent="0.25">
      <c r="L315" s="186"/>
      <c r="P315" s="176"/>
    </row>
    <row r="316" spans="1:16" x14ac:dyDescent="0.25">
      <c r="L316" s="186"/>
      <c r="P316" s="176"/>
    </row>
    <row r="317" spans="1:16" x14ac:dyDescent="0.25">
      <c r="L317" s="186"/>
      <c r="P317" s="176"/>
    </row>
  </sheetData>
  <mergeCells count="2">
    <mergeCell ref="C2:D2"/>
    <mergeCell ref="C3:D3"/>
  </mergeCells>
  <conditionalFormatting sqref="J9:K9">
    <cfRule type="cellIs" dxfId="8" priority="1" operator="lessThanOrEqual">
      <formula>0</formula>
    </cfRule>
  </conditionalFormatting>
  <conditionalFormatting sqref="K6:K8 K10:K305">
    <cfRule type="cellIs" dxfId="7" priority="2" operator="lessThanOrEqual">
      <formula>0</formula>
    </cfRule>
  </conditionalFormatting>
  <hyperlinks>
    <hyperlink ref="C2:D2" r:id="rId1" display="Terni" xr:uid="{9EB64206-0A06-42AB-959C-3320220753D2}"/>
  </hyperlinks>
  <pageMargins left="0.7" right="0.7" top="0.75" bottom="0.75" header="0.3" footer="0.3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6A851-9B52-4CBC-AD54-179E0B382D39}">
  <sheetPr>
    <tabColor rgb="FF92D050"/>
  </sheetPr>
  <dimension ref="A1:AL374"/>
  <sheetViews>
    <sheetView zoomScaleNormal="100" workbookViewId="0">
      <selection activeCell="C2" sqref="C2:C3"/>
    </sheetView>
  </sheetViews>
  <sheetFormatPr defaultColWidth="8.875" defaultRowHeight="14.3" x14ac:dyDescent="0.25"/>
  <cols>
    <col min="1" max="1" width="8" style="181" customWidth="1"/>
    <col min="2" max="2" width="8.25" style="181" customWidth="1"/>
    <col min="3" max="3" width="34.75" style="181" customWidth="1"/>
    <col min="4" max="4" width="11.25" style="181" customWidth="1"/>
    <col min="5" max="6" width="8.875" style="181"/>
    <col min="7" max="7" width="0.875" style="181" customWidth="1"/>
    <col min="8" max="8" width="8.875" style="184"/>
    <col min="9" max="9" width="11" style="184" customWidth="1"/>
    <col min="10" max="10" width="15.25" style="184" customWidth="1"/>
    <col min="11" max="11" width="8.75" style="184" customWidth="1"/>
    <col min="12" max="12" width="11" style="184" customWidth="1"/>
    <col min="13" max="13" width="12.25" style="185" customWidth="1"/>
    <col min="14" max="15" width="13.875" style="153" customWidth="1"/>
    <col min="16" max="18" width="8.875" style="153"/>
    <col min="19" max="20" width="8.875" style="158"/>
    <col min="21" max="21" width="12.125" style="158" customWidth="1"/>
    <col min="22" max="22" width="27.375" style="158" customWidth="1"/>
    <col min="23" max="38" width="8.875" style="158"/>
    <col min="39" max="16384" width="8.875" style="181"/>
  </cols>
  <sheetData>
    <row r="1" spans="1:36" x14ac:dyDescent="0.25">
      <c r="A1" s="153"/>
      <c r="B1" s="153"/>
      <c r="C1" s="153"/>
      <c r="D1" s="153"/>
      <c r="E1" s="153"/>
      <c r="F1" s="153"/>
      <c r="G1" s="153"/>
      <c r="H1" s="154" t="s">
        <v>13</v>
      </c>
      <c r="I1" s="155" t="s">
        <v>14</v>
      </c>
      <c r="J1" s="155" t="s">
        <v>15</v>
      </c>
      <c r="K1" s="156" t="s">
        <v>57</v>
      </c>
      <c r="L1" s="157"/>
      <c r="M1" s="157"/>
    </row>
    <row r="2" spans="1:36" x14ac:dyDescent="0.25">
      <c r="A2" s="153"/>
      <c r="B2" s="17" t="s">
        <v>17</v>
      </c>
      <c r="C2" s="213" t="s">
        <v>111</v>
      </c>
      <c r="D2" s="209"/>
      <c r="E2" s="18"/>
      <c r="F2" s="18"/>
      <c r="G2" s="18"/>
      <c r="H2" s="159">
        <v>14</v>
      </c>
      <c r="I2" s="160">
        <v>50</v>
      </c>
      <c r="J2" s="160">
        <v>10</v>
      </c>
      <c r="K2" s="187">
        <f>3*H2^(1/3)</f>
        <v>7.2304267925256891</v>
      </c>
      <c r="L2" s="157"/>
      <c r="M2" s="157"/>
    </row>
    <row r="3" spans="1:36" x14ac:dyDescent="0.25">
      <c r="A3" s="153"/>
      <c r="B3" s="162" t="s">
        <v>18</v>
      </c>
      <c r="C3" s="210" t="s">
        <v>112</v>
      </c>
      <c r="D3" s="210"/>
      <c r="E3" s="23"/>
      <c r="F3" s="23"/>
      <c r="G3" s="23"/>
      <c r="H3" s="157"/>
      <c r="I3" s="157"/>
      <c r="J3" s="188"/>
      <c r="K3" s="157"/>
      <c r="L3" s="157"/>
      <c r="M3" s="157"/>
    </row>
    <row r="4" spans="1:36" ht="10.199999999999999" customHeight="1" x14ac:dyDescent="0.25">
      <c r="A4" s="25"/>
      <c r="B4" s="23"/>
      <c r="C4" s="25"/>
      <c r="D4" s="25"/>
      <c r="E4" s="25"/>
      <c r="F4" s="25"/>
      <c r="G4" s="25"/>
      <c r="H4" s="157"/>
      <c r="I4" s="157"/>
      <c r="J4" s="188"/>
      <c r="K4" s="157"/>
      <c r="L4" s="157"/>
      <c r="M4" s="157"/>
    </row>
    <row r="5" spans="1:36" ht="34.65" x14ac:dyDescent="0.25">
      <c r="A5" s="1" t="s">
        <v>19</v>
      </c>
      <c r="B5" s="26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25"/>
      <c r="H5" s="163" t="s">
        <v>25</v>
      </c>
      <c r="I5" s="164" t="s">
        <v>26</v>
      </c>
      <c r="J5" s="189" t="s">
        <v>27</v>
      </c>
      <c r="K5" s="164" t="s">
        <v>28</v>
      </c>
      <c r="L5" s="164" t="s">
        <v>29</v>
      </c>
      <c r="M5" s="163" t="s">
        <v>30</v>
      </c>
    </row>
    <row r="6" spans="1:36" ht="14.45" customHeight="1" x14ac:dyDescent="0.25">
      <c r="A6" s="87">
        <f>M6</f>
        <v>111.69128037757707</v>
      </c>
      <c r="B6" s="31">
        <f t="shared" ref="B6:B65" si="0">IF(H6&gt;$H$2,"",(ROW()-5))</f>
        <v>1</v>
      </c>
      <c r="C6" s="32" t="s">
        <v>9</v>
      </c>
      <c r="D6" s="32" t="s">
        <v>48</v>
      </c>
      <c r="E6" s="32"/>
      <c r="F6" s="32"/>
      <c r="G6" s="25"/>
      <c r="H6" s="165">
        <v>1</v>
      </c>
      <c r="I6" s="166">
        <f t="shared" ref="I6:I69" si="1">IF(H6&lt;$H$2+1,($I$2-($I$2-1)*(LOG(H6)/LOG($H$2))),"")</f>
        <v>50</v>
      </c>
      <c r="J6" s="165">
        <f>INT(LOG($H$2,2))-ROUNDUP(LOG(H6,2),0)+IF(OR($H$2=1,$H$2=2,$H$2=4,$H$2=8,$H$2=16,$H$2=32,$H$2=64,$H$2=128,$H$2=256),0,1)</f>
        <v>4</v>
      </c>
      <c r="K6" s="165">
        <f t="shared" ref="K6:K69" si="2">J6*$J$2</f>
        <v>40</v>
      </c>
      <c r="L6" s="167">
        <f>3*K2</f>
        <v>21.691280377577066</v>
      </c>
      <c r="M6" s="167">
        <f t="shared" ref="M6:M69" si="3">IF(I6&lt;&gt;"",K6+I6+L6,0)</f>
        <v>111.69128037757707</v>
      </c>
    </row>
    <row r="7" spans="1:36" ht="14.45" customHeight="1" x14ac:dyDescent="0.25">
      <c r="A7" s="91">
        <f t="shared" ref="A7:A37" si="4">M7</f>
        <v>81.591026368228896</v>
      </c>
      <c r="B7" s="37">
        <f t="shared" si="0"/>
        <v>2</v>
      </c>
      <c r="C7" s="38" t="s">
        <v>113</v>
      </c>
      <c r="D7" s="38" t="s">
        <v>114</v>
      </c>
      <c r="E7" s="38"/>
      <c r="F7" s="38"/>
      <c r="G7" s="25"/>
      <c r="H7" s="168">
        <v>2</v>
      </c>
      <c r="I7" s="169">
        <f t="shared" si="1"/>
        <v>37.130172783177514</v>
      </c>
      <c r="J7" s="168">
        <f t="shared" ref="J7:J70" si="5">INT(LOG($H$2,2))-ROUNDUP(LOG(H7,2),0)+IF(OR($H$2=1,$H$2=2,$H$2=4,$H$2=8,$H$2=16,$H$2=32,$H$2=64,$H$2=128,$H$2=256),0,1)</f>
        <v>3</v>
      </c>
      <c r="K7" s="168">
        <f t="shared" si="2"/>
        <v>30</v>
      </c>
      <c r="L7" s="170">
        <f>2*K2</f>
        <v>14.460853585051378</v>
      </c>
      <c r="M7" s="170">
        <f t="shared" si="3"/>
        <v>81.591026368228896</v>
      </c>
    </row>
    <row r="8" spans="1:36" ht="14.45" customHeight="1" x14ac:dyDescent="0.25">
      <c r="A8" s="87">
        <f t="shared" si="4"/>
        <v>56.832233263101529</v>
      </c>
      <c r="B8" s="31">
        <f t="shared" si="0"/>
        <v>3</v>
      </c>
      <c r="C8" s="32" t="s">
        <v>115</v>
      </c>
      <c r="D8" s="32" t="s">
        <v>48</v>
      </c>
      <c r="E8" s="32"/>
      <c r="F8" s="32"/>
      <c r="G8" s="25"/>
      <c r="H8" s="165">
        <v>3</v>
      </c>
      <c r="I8" s="166">
        <f t="shared" si="1"/>
        <v>29.601806470575838</v>
      </c>
      <c r="J8" s="165">
        <f t="shared" si="5"/>
        <v>2</v>
      </c>
      <c r="K8" s="165">
        <f t="shared" si="2"/>
        <v>20</v>
      </c>
      <c r="L8" s="167">
        <f>K2</f>
        <v>7.2304267925256891</v>
      </c>
      <c r="M8" s="167">
        <f t="shared" si="3"/>
        <v>56.832233263101529</v>
      </c>
    </row>
    <row r="9" spans="1:36" s="158" customFormat="1" ht="14.45" customHeight="1" x14ac:dyDescent="0.25">
      <c r="A9" s="91">
        <f t="shared" si="4"/>
        <v>56.832233263101529</v>
      </c>
      <c r="B9" s="37">
        <v>3</v>
      </c>
      <c r="C9" s="38" t="s">
        <v>116</v>
      </c>
      <c r="D9" s="38" t="s">
        <v>117</v>
      </c>
      <c r="E9" s="38"/>
      <c r="F9" s="38"/>
      <c r="G9" s="25"/>
      <c r="H9" s="168">
        <v>3</v>
      </c>
      <c r="I9" s="169">
        <f t="shared" si="1"/>
        <v>29.601806470575838</v>
      </c>
      <c r="J9" s="168">
        <f t="shared" si="5"/>
        <v>2</v>
      </c>
      <c r="K9" s="168">
        <f t="shared" si="2"/>
        <v>20</v>
      </c>
      <c r="L9" s="170">
        <f>K2</f>
        <v>7.2304267925256891</v>
      </c>
      <c r="M9" s="170">
        <f t="shared" si="3"/>
        <v>56.832233263101529</v>
      </c>
      <c r="N9" s="153"/>
      <c r="O9" s="153"/>
      <c r="P9" s="153"/>
      <c r="Q9" s="153"/>
      <c r="R9" s="153"/>
      <c r="V9" s="171"/>
      <c r="Z9" s="172"/>
      <c r="AA9" s="172"/>
      <c r="AG9" s="173"/>
      <c r="AH9" s="158" t="s">
        <v>34</v>
      </c>
      <c r="AI9" s="158">
        <v>23</v>
      </c>
    </row>
    <row r="10" spans="1:36" ht="14.45" customHeight="1" x14ac:dyDescent="0.25">
      <c r="A10" s="87">
        <f t="shared" si="4"/>
        <v>30.11718660891384</v>
      </c>
      <c r="B10" s="31">
        <f t="shared" si="0"/>
        <v>5</v>
      </c>
      <c r="C10" s="32" t="s">
        <v>118</v>
      </c>
      <c r="D10" s="32" t="s">
        <v>114</v>
      </c>
      <c r="E10" s="32"/>
      <c r="F10" s="32"/>
      <c r="G10" s="25"/>
      <c r="H10" s="165">
        <v>5</v>
      </c>
      <c r="I10" s="166">
        <f t="shared" si="1"/>
        <v>20.11718660891384</v>
      </c>
      <c r="J10" s="165">
        <f t="shared" si="5"/>
        <v>1</v>
      </c>
      <c r="K10" s="165">
        <f t="shared" si="2"/>
        <v>10</v>
      </c>
      <c r="L10" s="165"/>
      <c r="M10" s="167">
        <f t="shared" si="3"/>
        <v>30.11718660891384</v>
      </c>
      <c r="V10" s="171"/>
      <c r="Z10" s="172"/>
      <c r="AA10" s="172"/>
      <c r="AG10" s="173"/>
      <c r="AH10" s="158" t="s">
        <v>35</v>
      </c>
      <c r="AI10" s="158">
        <v>45</v>
      </c>
    </row>
    <row r="11" spans="1:36" ht="14.45" customHeight="1" x14ac:dyDescent="0.25">
      <c r="A11" s="91">
        <f t="shared" si="4"/>
        <v>26.731979253753352</v>
      </c>
      <c r="B11" s="37">
        <f t="shared" si="0"/>
        <v>6</v>
      </c>
      <c r="C11" s="38" t="s">
        <v>119</v>
      </c>
      <c r="D11" s="38" t="s">
        <v>120</v>
      </c>
      <c r="E11" s="38"/>
      <c r="F11" s="38"/>
      <c r="G11" s="25"/>
      <c r="H11" s="168">
        <v>6</v>
      </c>
      <c r="I11" s="169">
        <f t="shared" si="1"/>
        <v>16.731979253753352</v>
      </c>
      <c r="J11" s="168">
        <f t="shared" si="5"/>
        <v>1</v>
      </c>
      <c r="K11" s="168">
        <f t="shared" si="2"/>
        <v>10</v>
      </c>
      <c r="L11" s="168"/>
      <c r="M11" s="170">
        <f t="shared" si="3"/>
        <v>26.731979253753352</v>
      </c>
      <c r="V11" s="174"/>
      <c r="Z11" s="172"/>
      <c r="AA11" s="172"/>
      <c r="AG11" s="173"/>
      <c r="AH11" s="158" t="s">
        <v>36</v>
      </c>
      <c r="AI11" s="158">
        <v>50</v>
      </c>
    </row>
    <row r="12" spans="1:36" ht="14.45" customHeight="1" x14ac:dyDescent="0.25">
      <c r="A12" s="87">
        <f t="shared" si="4"/>
        <v>23.869827216822486</v>
      </c>
      <c r="B12" s="31">
        <f t="shared" si="0"/>
        <v>7</v>
      </c>
      <c r="C12" s="32" t="s">
        <v>121</v>
      </c>
      <c r="D12" s="32" t="s">
        <v>122</v>
      </c>
      <c r="E12" s="32"/>
      <c r="F12" s="32"/>
      <c r="G12" s="25"/>
      <c r="H12" s="165">
        <v>7</v>
      </c>
      <c r="I12" s="166">
        <f t="shared" si="1"/>
        <v>13.869827216822486</v>
      </c>
      <c r="J12" s="165">
        <f t="shared" si="5"/>
        <v>1</v>
      </c>
      <c r="K12" s="165">
        <f t="shared" si="2"/>
        <v>10</v>
      </c>
      <c r="L12" s="165"/>
      <c r="M12" s="167">
        <f t="shared" si="3"/>
        <v>23.869827216822486</v>
      </c>
      <c r="Z12" s="172"/>
      <c r="AA12" s="172"/>
      <c r="AG12" s="173"/>
      <c r="AH12" s="158" t="s">
        <v>37</v>
      </c>
      <c r="AI12" s="158">
        <f>AI11-1</f>
        <v>49</v>
      </c>
    </row>
    <row r="13" spans="1:36" ht="14.45" customHeight="1" x14ac:dyDescent="0.25">
      <c r="A13" s="91">
        <f t="shared" si="4"/>
        <v>21.390518349532549</v>
      </c>
      <c r="B13" s="37">
        <f t="shared" si="0"/>
        <v>8</v>
      </c>
      <c r="C13" s="38" t="s">
        <v>123</v>
      </c>
      <c r="D13" s="38" t="s">
        <v>124</v>
      </c>
      <c r="E13" s="38"/>
      <c r="F13" s="38"/>
      <c r="G13" s="25"/>
      <c r="H13" s="168">
        <v>8</v>
      </c>
      <c r="I13" s="169">
        <f t="shared" si="1"/>
        <v>11.390518349532549</v>
      </c>
      <c r="J13" s="168">
        <f t="shared" si="5"/>
        <v>1</v>
      </c>
      <c r="K13" s="168">
        <f t="shared" si="2"/>
        <v>10</v>
      </c>
      <c r="L13" s="168"/>
      <c r="M13" s="170">
        <f t="shared" si="3"/>
        <v>21.390518349532549</v>
      </c>
      <c r="X13" s="171"/>
      <c r="AG13" s="173"/>
      <c r="AH13" s="158" t="s">
        <v>38</v>
      </c>
      <c r="AI13" s="158">
        <f>LOG(AI9)</f>
        <v>1.3617278360175928</v>
      </c>
    </row>
    <row r="14" spans="1:36" x14ac:dyDescent="0.25">
      <c r="A14" s="87">
        <f t="shared" si="4"/>
        <v>9.2036129411516754</v>
      </c>
      <c r="B14" s="31">
        <f t="shared" si="0"/>
        <v>9</v>
      </c>
      <c r="C14" s="32" t="s">
        <v>125</v>
      </c>
      <c r="D14" s="32" t="s">
        <v>126</v>
      </c>
      <c r="E14" s="32"/>
      <c r="F14" s="32"/>
      <c r="G14" s="25"/>
      <c r="H14" s="165">
        <v>9</v>
      </c>
      <c r="I14" s="166">
        <f t="shared" si="1"/>
        <v>9.2036129411516754</v>
      </c>
      <c r="J14" s="165">
        <f t="shared" si="5"/>
        <v>0</v>
      </c>
      <c r="K14" s="165">
        <f t="shared" si="2"/>
        <v>0</v>
      </c>
      <c r="L14" s="165"/>
      <c r="M14" s="167">
        <f t="shared" si="3"/>
        <v>9.2036129411516754</v>
      </c>
      <c r="X14" s="175"/>
      <c r="Z14" s="172"/>
      <c r="AA14" s="172"/>
      <c r="AG14" s="173"/>
      <c r="AH14" s="158" t="s">
        <v>39</v>
      </c>
      <c r="AI14" s="158">
        <f>LOG(AI10)</f>
        <v>1.6532125137753437</v>
      </c>
    </row>
    <row r="15" spans="1:36" x14ac:dyDescent="0.25">
      <c r="A15" s="91">
        <f t="shared" si="4"/>
        <v>7.2473593920913615</v>
      </c>
      <c r="B15" s="37">
        <f t="shared" si="0"/>
        <v>10</v>
      </c>
      <c r="C15" s="38" t="s">
        <v>127</v>
      </c>
      <c r="D15" s="38" t="s">
        <v>128</v>
      </c>
      <c r="E15" s="38"/>
      <c r="F15" s="38"/>
      <c r="G15" s="25"/>
      <c r="H15" s="168">
        <v>10</v>
      </c>
      <c r="I15" s="169">
        <f t="shared" si="1"/>
        <v>7.2473593920913615</v>
      </c>
      <c r="J15" s="168">
        <f t="shared" si="5"/>
        <v>0</v>
      </c>
      <c r="K15" s="168">
        <f t="shared" si="2"/>
        <v>0</v>
      </c>
      <c r="L15" s="168"/>
      <c r="M15" s="170">
        <f t="shared" si="3"/>
        <v>7.2473593920913615</v>
      </c>
      <c r="X15" s="171"/>
      <c r="Z15" s="172"/>
      <c r="AA15" s="172"/>
    </row>
    <row r="16" spans="1:36" x14ac:dyDescent="0.25">
      <c r="A16" s="87">
        <f t="shared" si="4"/>
        <v>5.4777127997254453</v>
      </c>
      <c r="B16" s="31">
        <f t="shared" si="0"/>
        <v>11</v>
      </c>
      <c r="C16" s="32" t="s">
        <v>129</v>
      </c>
      <c r="D16" s="32" t="s">
        <v>114</v>
      </c>
      <c r="E16" s="32"/>
      <c r="F16" s="32"/>
      <c r="G16" s="25"/>
      <c r="H16" s="165">
        <v>11</v>
      </c>
      <c r="I16" s="166">
        <f t="shared" si="1"/>
        <v>5.4777127997254453</v>
      </c>
      <c r="J16" s="165">
        <f t="shared" si="5"/>
        <v>0</v>
      </c>
      <c r="K16" s="165">
        <f t="shared" si="2"/>
        <v>0</v>
      </c>
      <c r="L16" s="165"/>
      <c r="M16" s="167">
        <f t="shared" si="3"/>
        <v>5.4777127997254453</v>
      </c>
      <c r="R16" s="176"/>
      <c r="Z16" s="172"/>
      <c r="AA16" s="172"/>
      <c r="AH16" s="177" t="s">
        <v>40</v>
      </c>
      <c r="AI16" s="158">
        <f>AI11-AI12*AI13/AI14</f>
        <v>9.6393909380186855</v>
      </c>
      <c r="AJ16" s="158" t="s">
        <v>41</v>
      </c>
    </row>
    <row r="17" spans="1:19" x14ac:dyDescent="0.25">
      <c r="A17" s="91">
        <f t="shared" si="4"/>
        <v>3.8621520369308655</v>
      </c>
      <c r="B17" s="37">
        <f t="shared" si="0"/>
        <v>12</v>
      </c>
      <c r="C17" s="38" t="s">
        <v>130</v>
      </c>
      <c r="D17" s="38" t="s">
        <v>120</v>
      </c>
      <c r="E17" s="38"/>
      <c r="F17" s="38"/>
      <c r="G17" s="25"/>
      <c r="H17" s="168">
        <v>12</v>
      </c>
      <c r="I17" s="169">
        <f t="shared" si="1"/>
        <v>3.8621520369308655</v>
      </c>
      <c r="J17" s="168">
        <f t="shared" si="5"/>
        <v>0</v>
      </c>
      <c r="K17" s="168">
        <f t="shared" si="2"/>
        <v>0</v>
      </c>
      <c r="L17" s="168"/>
      <c r="M17" s="170">
        <f t="shared" si="3"/>
        <v>3.8621520369308655</v>
      </c>
    </row>
    <row r="18" spans="1:19" x14ac:dyDescent="0.25">
      <c r="A18" s="87">
        <f t="shared" si="4"/>
        <v>2.3759802012568514</v>
      </c>
      <c r="B18" s="31">
        <f t="shared" si="0"/>
        <v>13</v>
      </c>
      <c r="C18" s="32" t="s">
        <v>11</v>
      </c>
      <c r="D18" s="32" t="s">
        <v>48</v>
      </c>
      <c r="E18" s="32"/>
      <c r="F18" s="32"/>
      <c r="G18" s="25"/>
      <c r="H18" s="165">
        <v>13</v>
      </c>
      <c r="I18" s="166">
        <f t="shared" si="1"/>
        <v>2.3759802012568514</v>
      </c>
      <c r="J18" s="165">
        <f t="shared" si="5"/>
        <v>0</v>
      </c>
      <c r="K18" s="165">
        <f t="shared" si="2"/>
        <v>0</v>
      </c>
      <c r="L18" s="165"/>
      <c r="M18" s="167">
        <f t="shared" si="3"/>
        <v>2.3759802012568514</v>
      </c>
    </row>
    <row r="19" spans="1:19" x14ac:dyDescent="0.25">
      <c r="A19" s="91">
        <f t="shared" si="4"/>
        <v>1</v>
      </c>
      <c r="B19" s="37">
        <f t="shared" si="0"/>
        <v>14</v>
      </c>
      <c r="C19" s="38" t="s">
        <v>131</v>
      </c>
      <c r="D19" s="38" t="s">
        <v>128</v>
      </c>
      <c r="E19" s="38"/>
      <c r="F19" s="38"/>
      <c r="G19" s="25"/>
      <c r="H19" s="168">
        <v>14</v>
      </c>
      <c r="I19" s="169">
        <f t="shared" si="1"/>
        <v>1</v>
      </c>
      <c r="J19" s="168">
        <f t="shared" si="5"/>
        <v>0</v>
      </c>
      <c r="K19" s="168">
        <f t="shared" si="2"/>
        <v>0</v>
      </c>
      <c r="L19" s="168"/>
      <c r="M19" s="170">
        <f t="shared" si="3"/>
        <v>1</v>
      </c>
    </row>
    <row r="20" spans="1:19" x14ac:dyDescent="0.25">
      <c r="A20" s="87">
        <f t="shared" si="4"/>
        <v>0</v>
      </c>
      <c r="B20" s="31" t="str">
        <f t="shared" si="0"/>
        <v/>
      </c>
      <c r="C20" s="32"/>
      <c r="D20" s="32"/>
      <c r="E20" s="32"/>
      <c r="F20" s="32"/>
      <c r="G20" s="25"/>
      <c r="H20" s="165">
        <v>15</v>
      </c>
      <c r="I20" s="166" t="str">
        <f t="shared" si="1"/>
        <v/>
      </c>
      <c r="J20" s="165">
        <f t="shared" si="5"/>
        <v>0</v>
      </c>
      <c r="K20" s="165">
        <f t="shared" si="2"/>
        <v>0</v>
      </c>
      <c r="L20" s="165"/>
      <c r="M20" s="167">
        <f t="shared" si="3"/>
        <v>0</v>
      </c>
      <c r="R20" s="178"/>
      <c r="S20" s="179"/>
    </row>
    <row r="21" spans="1:19" x14ac:dyDescent="0.25">
      <c r="A21" s="91">
        <f t="shared" si="4"/>
        <v>0</v>
      </c>
      <c r="B21" s="37" t="str">
        <f t="shared" si="0"/>
        <v/>
      </c>
      <c r="C21" s="38"/>
      <c r="D21" s="38"/>
      <c r="E21" s="38"/>
      <c r="F21" s="38"/>
      <c r="G21" s="25"/>
      <c r="H21" s="168">
        <v>16</v>
      </c>
      <c r="I21" s="169" t="str">
        <f t="shared" si="1"/>
        <v/>
      </c>
      <c r="J21" s="168">
        <f t="shared" si="5"/>
        <v>0</v>
      </c>
      <c r="K21" s="168">
        <f t="shared" si="2"/>
        <v>0</v>
      </c>
      <c r="L21" s="168"/>
      <c r="M21" s="170">
        <f t="shared" si="3"/>
        <v>0</v>
      </c>
    </row>
    <row r="22" spans="1:19" x14ac:dyDescent="0.25">
      <c r="A22" s="87">
        <f t="shared" si="4"/>
        <v>0</v>
      </c>
      <c r="B22" s="31" t="str">
        <f t="shared" si="0"/>
        <v/>
      </c>
      <c r="C22" s="32"/>
      <c r="D22" s="32"/>
      <c r="E22" s="32"/>
      <c r="F22" s="32"/>
      <c r="G22" s="25"/>
      <c r="H22" s="165">
        <v>17</v>
      </c>
      <c r="I22" s="166" t="str">
        <f t="shared" si="1"/>
        <v/>
      </c>
      <c r="J22" s="165">
        <f t="shared" si="5"/>
        <v>-1</v>
      </c>
      <c r="K22" s="165">
        <f t="shared" si="2"/>
        <v>-10</v>
      </c>
      <c r="L22" s="165"/>
      <c r="M22" s="167">
        <f t="shared" si="3"/>
        <v>0</v>
      </c>
    </row>
    <row r="23" spans="1:19" x14ac:dyDescent="0.25">
      <c r="A23" s="91">
        <f t="shared" si="4"/>
        <v>0</v>
      </c>
      <c r="B23" s="37" t="str">
        <f t="shared" si="0"/>
        <v/>
      </c>
      <c r="C23" s="38"/>
      <c r="D23" s="38"/>
      <c r="E23" s="38"/>
      <c r="F23" s="38"/>
      <c r="G23" s="25"/>
      <c r="H23" s="168">
        <v>18</v>
      </c>
      <c r="I23" s="169" t="str">
        <f t="shared" si="1"/>
        <v/>
      </c>
      <c r="J23" s="168">
        <f t="shared" si="5"/>
        <v>-1</v>
      </c>
      <c r="K23" s="168">
        <f t="shared" si="2"/>
        <v>-10</v>
      </c>
      <c r="L23" s="168"/>
      <c r="M23" s="170">
        <f t="shared" si="3"/>
        <v>0</v>
      </c>
    </row>
    <row r="24" spans="1:19" x14ac:dyDescent="0.25">
      <c r="A24" s="87">
        <f t="shared" si="4"/>
        <v>0</v>
      </c>
      <c r="B24" s="31" t="str">
        <f t="shared" si="0"/>
        <v/>
      </c>
      <c r="C24" s="32"/>
      <c r="D24" s="32"/>
      <c r="E24" s="32"/>
      <c r="F24" s="32"/>
      <c r="G24" s="25"/>
      <c r="H24" s="165">
        <v>19</v>
      </c>
      <c r="I24" s="166" t="str">
        <f t="shared" si="1"/>
        <v/>
      </c>
      <c r="J24" s="165">
        <f t="shared" si="5"/>
        <v>-1</v>
      </c>
      <c r="K24" s="165">
        <f t="shared" si="2"/>
        <v>-10</v>
      </c>
      <c r="L24" s="165"/>
      <c r="M24" s="167">
        <f t="shared" si="3"/>
        <v>0</v>
      </c>
      <c r="R24" s="178"/>
      <c r="S24" s="179"/>
    </row>
    <row r="25" spans="1:19" x14ac:dyDescent="0.25">
      <c r="A25" s="91">
        <f t="shared" si="4"/>
        <v>0</v>
      </c>
      <c r="B25" s="37" t="str">
        <f t="shared" si="0"/>
        <v/>
      </c>
      <c r="C25" s="38"/>
      <c r="D25" s="38"/>
      <c r="E25" s="38"/>
      <c r="F25" s="38"/>
      <c r="G25" s="25"/>
      <c r="H25" s="168">
        <v>20</v>
      </c>
      <c r="I25" s="169" t="str">
        <f t="shared" si="1"/>
        <v/>
      </c>
      <c r="J25" s="168">
        <f t="shared" si="5"/>
        <v>-1</v>
      </c>
      <c r="K25" s="168">
        <f t="shared" si="2"/>
        <v>-10</v>
      </c>
      <c r="L25" s="168"/>
      <c r="M25" s="170">
        <f t="shared" si="3"/>
        <v>0</v>
      </c>
    </row>
    <row r="26" spans="1:19" x14ac:dyDescent="0.25">
      <c r="A26" s="87">
        <f t="shared" si="4"/>
        <v>0</v>
      </c>
      <c r="B26" s="31" t="str">
        <f t="shared" si="0"/>
        <v/>
      </c>
      <c r="C26" s="32"/>
      <c r="D26" s="32"/>
      <c r="E26" s="32"/>
      <c r="F26" s="32"/>
      <c r="G26" s="25"/>
      <c r="H26" s="165">
        <v>21</v>
      </c>
      <c r="I26" s="166" t="str">
        <f t="shared" si="1"/>
        <v/>
      </c>
      <c r="J26" s="165">
        <f t="shared" si="5"/>
        <v>-1</v>
      </c>
      <c r="K26" s="165">
        <f t="shared" si="2"/>
        <v>-10</v>
      </c>
      <c r="L26" s="165"/>
      <c r="M26" s="167">
        <f t="shared" si="3"/>
        <v>0</v>
      </c>
    </row>
    <row r="27" spans="1:19" x14ac:dyDescent="0.25">
      <c r="A27" s="91">
        <f t="shared" si="4"/>
        <v>0</v>
      </c>
      <c r="B27" s="37" t="str">
        <f t="shared" si="0"/>
        <v/>
      </c>
      <c r="C27" s="38"/>
      <c r="D27" s="38"/>
      <c r="E27" s="38"/>
      <c r="F27" s="38"/>
      <c r="G27" s="25"/>
      <c r="H27" s="168">
        <v>22</v>
      </c>
      <c r="I27" s="169" t="str">
        <f t="shared" si="1"/>
        <v/>
      </c>
      <c r="J27" s="168">
        <f t="shared" si="5"/>
        <v>-1</v>
      </c>
      <c r="K27" s="168">
        <f t="shared" si="2"/>
        <v>-10</v>
      </c>
      <c r="L27" s="168"/>
      <c r="M27" s="170">
        <f t="shared" si="3"/>
        <v>0</v>
      </c>
    </row>
    <row r="28" spans="1:19" x14ac:dyDescent="0.25">
      <c r="A28" s="87">
        <f t="shared" si="4"/>
        <v>0</v>
      </c>
      <c r="B28" s="31" t="str">
        <f t="shared" si="0"/>
        <v/>
      </c>
      <c r="C28" s="32"/>
      <c r="D28" s="32"/>
      <c r="E28" s="32"/>
      <c r="F28" s="32"/>
      <c r="G28" s="25"/>
      <c r="H28" s="165">
        <v>23</v>
      </c>
      <c r="I28" s="166" t="str">
        <f t="shared" si="1"/>
        <v/>
      </c>
      <c r="J28" s="165">
        <f t="shared" si="5"/>
        <v>-1</v>
      </c>
      <c r="K28" s="165">
        <f t="shared" si="2"/>
        <v>-10</v>
      </c>
      <c r="L28" s="165"/>
      <c r="M28" s="167">
        <f t="shared" si="3"/>
        <v>0</v>
      </c>
      <c r="R28" s="178"/>
      <c r="S28" s="179"/>
    </row>
    <row r="29" spans="1:19" x14ac:dyDescent="0.25">
      <c r="A29" s="91">
        <f t="shared" si="4"/>
        <v>0</v>
      </c>
      <c r="B29" s="37" t="str">
        <f t="shared" si="0"/>
        <v/>
      </c>
      <c r="C29" s="38"/>
      <c r="D29" s="38"/>
      <c r="E29" s="38"/>
      <c r="F29" s="38"/>
      <c r="G29" s="153"/>
      <c r="H29" s="168">
        <v>24</v>
      </c>
      <c r="I29" s="169" t="str">
        <f t="shared" si="1"/>
        <v/>
      </c>
      <c r="J29" s="168">
        <f t="shared" si="5"/>
        <v>-1</v>
      </c>
      <c r="K29" s="168">
        <f t="shared" si="2"/>
        <v>-10</v>
      </c>
      <c r="L29" s="168"/>
      <c r="M29" s="170">
        <f t="shared" si="3"/>
        <v>0</v>
      </c>
    </row>
    <row r="30" spans="1:19" x14ac:dyDescent="0.25">
      <c r="A30" s="87">
        <f t="shared" si="4"/>
        <v>0</v>
      </c>
      <c r="B30" s="31" t="str">
        <f t="shared" si="0"/>
        <v/>
      </c>
      <c r="C30" s="32"/>
      <c r="D30" s="32"/>
      <c r="E30" s="32"/>
      <c r="F30" s="32"/>
      <c r="G30" s="153"/>
      <c r="H30" s="165">
        <v>25</v>
      </c>
      <c r="I30" s="166" t="str">
        <f t="shared" si="1"/>
        <v/>
      </c>
      <c r="J30" s="165">
        <f t="shared" si="5"/>
        <v>-1</v>
      </c>
      <c r="K30" s="165">
        <f t="shared" si="2"/>
        <v>-10</v>
      </c>
      <c r="L30" s="165"/>
      <c r="M30" s="167">
        <f t="shared" si="3"/>
        <v>0</v>
      </c>
    </row>
    <row r="31" spans="1:19" x14ac:dyDescent="0.25">
      <c r="A31" s="91">
        <f t="shared" si="4"/>
        <v>0</v>
      </c>
      <c r="B31" s="37" t="str">
        <f t="shared" si="0"/>
        <v/>
      </c>
      <c r="C31" s="38"/>
      <c r="D31" s="38"/>
      <c r="E31" s="38"/>
      <c r="F31" s="38"/>
      <c r="G31" s="153"/>
      <c r="H31" s="168">
        <v>26</v>
      </c>
      <c r="I31" s="169" t="str">
        <f t="shared" si="1"/>
        <v/>
      </c>
      <c r="J31" s="168">
        <f t="shared" si="5"/>
        <v>-1</v>
      </c>
      <c r="K31" s="168">
        <f t="shared" si="2"/>
        <v>-10</v>
      </c>
      <c r="L31" s="168"/>
      <c r="M31" s="170">
        <f t="shared" si="3"/>
        <v>0</v>
      </c>
    </row>
    <row r="32" spans="1:19" x14ac:dyDescent="0.25">
      <c r="A32" s="87">
        <f t="shared" si="4"/>
        <v>0</v>
      </c>
      <c r="B32" s="31" t="str">
        <f t="shared" si="0"/>
        <v/>
      </c>
      <c r="C32" s="32"/>
      <c r="D32" s="32"/>
      <c r="E32" s="32"/>
      <c r="F32" s="32"/>
      <c r="G32" s="153"/>
      <c r="H32" s="165">
        <v>27</v>
      </c>
      <c r="I32" s="166" t="str">
        <f t="shared" si="1"/>
        <v/>
      </c>
      <c r="J32" s="165">
        <f t="shared" si="5"/>
        <v>-1</v>
      </c>
      <c r="K32" s="165">
        <f t="shared" si="2"/>
        <v>-10</v>
      </c>
      <c r="L32" s="165"/>
      <c r="M32" s="167">
        <f t="shared" si="3"/>
        <v>0</v>
      </c>
      <c r="R32" s="178"/>
      <c r="S32" s="179"/>
    </row>
    <row r="33" spans="1:21" x14ac:dyDescent="0.25">
      <c r="A33" s="91">
        <f t="shared" si="4"/>
        <v>0</v>
      </c>
      <c r="B33" s="37" t="str">
        <f t="shared" si="0"/>
        <v/>
      </c>
      <c r="C33" s="38"/>
      <c r="D33" s="38"/>
      <c r="E33" s="38"/>
      <c r="F33" s="38"/>
      <c r="G33" s="153"/>
      <c r="H33" s="168">
        <v>28</v>
      </c>
      <c r="I33" s="169" t="str">
        <f t="shared" si="1"/>
        <v/>
      </c>
      <c r="J33" s="168">
        <f t="shared" si="5"/>
        <v>-1</v>
      </c>
      <c r="K33" s="168">
        <f t="shared" si="2"/>
        <v>-10</v>
      </c>
      <c r="L33" s="168"/>
      <c r="M33" s="170">
        <f t="shared" si="3"/>
        <v>0</v>
      </c>
    </row>
    <row r="34" spans="1:21" x14ac:dyDescent="0.25">
      <c r="A34" s="87">
        <f t="shared" si="4"/>
        <v>0</v>
      </c>
      <c r="B34" s="31" t="str">
        <f t="shared" si="0"/>
        <v/>
      </c>
      <c r="C34" s="32"/>
      <c r="D34" s="32"/>
      <c r="E34" s="32"/>
      <c r="F34" s="32"/>
      <c r="G34" s="153"/>
      <c r="H34" s="165">
        <v>29</v>
      </c>
      <c r="I34" s="166" t="str">
        <f t="shared" si="1"/>
        <v/>
      </c>
      <c r="J34" s="165">
        <f t="shared" si="5"/>
        <v>-1</v>
      </c>
      <c r="K34" s="165">
        <f t="shared" si="2"/>
        <v>-10</v>
      </c>
      <c r="L34" s="165"/>
      <c r="M34" s="167">
        <f t="shared" si="3"/>
        <v>0</v>
      </c>
    </row>
    <row r="35" spans="1:21" x14ac:dyDescent="0.25">
      <c r="A35" s="91">
        <f t="shared" si="4"/>
        <v>0</v>
      </c>
      <c r="B35" s="37" t="str">
        <f t="shared" si="0"/>
        <v/>
      </c>
      <c r="C35" s="38"/>
      <c r="D35" s="38"/>
      <c r="E35" s="38"/>
      <c r="F35" s="38"/>
      <c r="G35" s="153"/>
      <c r="H35" s="168">
        <v>30</v>
      </c>
      <c r="I35" s="169" t="str">
        <f t="shared" si="1"/>
        <v/>
      </c>
      <c r="J35" s="168">
        <f t="shared" si="5"/>
        <v>-1</v>
      </c>
      <c r="K35" s="168">
        <f t="shared" si="2"/>
        <v>-10</v>
      </c>
      <c r="L35" s="168"/>
      <c r="M35" s="170">
        <f t="shared" si="3"/>
        <v>0</v>
      </c>
    </row>
    <row r="36" spans="1:21" x14ac:dyDescent="0.25">
      <c r="A36" s="87">
        <f t="shared" si="4"/>
        <v>0</v>
      </c>
      <c r="B36" s="31" t="str">
        <f t="shared" si="0"/>
        <v/>
      </c>
      <c r="C36" s="32"/>
      <c r="D36" s="32"/>
      <c r="E36" s="32"/>
      <c r="F36" s="32"/>
      <c r="G36" s="153"/>
      <c r="H36" s="165">
        <v>31</v>
      </c>
      <c r="I36" s="166" t="str">
        <f t="shared" si="1"/>
        <v/>
      </c>
      <c r="J36" s="165">
        <f t="shared" si="5"/>
        <v>-1</v>
      </c>
      <c r="K36" s="165">
        <f t="shared" si="2"/>
        <v>-10</v>
      </c>
      <c r="L36" s="165"/>
      <c r="M36" s="167">
        <f t="shared" si="3"/>
        <v>0</v>
      </c>
      <c r="R36" s="178"/>
      <c r="S36" s="179"/>
    </row>
    <row r="37" spans="1:21" x14ac:dyDescent="0.25">
      <c r="A37" s="91">
        <f t="shared" si="4"/>
        <v>0</v>
      </c>
      <c r="B37" s="37" t="str">
        <f t="shared" si="0"/>
        <v/>
      </c>
      <c r="C37" s="38"/>
      <c r="D37" s="38"/>
      <c r="E37" s="38"/>
      <c r="F37" s="38"/>
      <c r="G37" s="153"/>
      <c r="H37" s="168">
        <v>32</v>
      </c>
      <c r="I37" s="169" t="str">
        <f t="shared" si="1"/>
        <v/>
      </c>
      <c r="J37" s="168">
        <f t="shared" si="5"/>
        <v>-1</v>
      </c>
      <c r="K37" s="168">
        <f t="shared" si="2"/>
        <v>-10</v>
      </c>
      <c r="L37" s="168"/>
      <c r="M37" s="170">
        <f t="shared" si="3"/>
        <v>0</v>
      </c>
    </row>
    <row r="38" spans="1:21" x14ac:dyDescent="0.25">
      <c r="A38" s="87"/>
      <c r="B38" s="31" t="str">
        <f t="shared" si="0"/>
        <v/>
      </c>
      <c r="C38" s="32"/>
      <c r="D38" s="32"/>
      <c r="E38" s="32"/>
      <c r="F38" s="32"/>
      <c r="G38" s="153"/>
      <c r="H38" s="165">
        <v>33</v>
      </c>
      <c r="I38" s="166" t="str">
        <f t="shared" si="1"/>
        <v/>
      </c>
      <c r="J38" s="165">
        <f t="shared" si="5"/>
        <v>-2</v>
      </c>
      <c r="K38" s="165">
        <f t="shared" si="2"/>
        <v>-20</v>
      </c>
      <c r="L38" s="165"/>
      <c r="M38" s="167">
        <f t="shared" si="3"/>
        <v>0</v>
      </c>
    </row>
    <row r="39" spans="1:21" x14ac:dyDescent="0.25">
      <c r="A39" s="91"/>
      <c r="B39" s="37" t="str">
        <f t="shared" si="0"/>
        <v/>
      </c>
      <c r="C39" s="38"/>
      <c r="D39" s="38"/>
      <c r="E39" s="38"/>
      <c r="F39" s="38"/>
      <c r="G39" s="153"/>
      <c r="H39" s="168">
        <v>34</v>
      </c>
      <c r="I39" s="169" t="str">
        <f t="shared" si="1"/>
        <v/>
      </c>
      <c r="J39" s="168">
        <f t="shared" si="5"/>
        <v>-2</v>
      </c>
      <c r="K39" s="168">
        <f t="shared" si="2"/>
        <v>-20</v>
      </c>
      <c r="L39" s="168"/>
      <c r="M39" s="170">
        <f t="shared" si="3"/>
        <v>0</v>
      </c>
    </row>
    <row r="40" spans="1:21" x14ac:dyDescent="0.25">
      <c r="A40" s="87"/>
      <c r="B40" s="31" t="str">
        <f t="shared" si="0"/>
        <v/>
      </c>
      <c r="C40" s="32"/>
      <c r="D40" s="32"/>
      <c r="E40" s="32"/>
      <c r="F40" s="32"/>
      <c r="G40" s="153"/>
      <c r="H40" s="165">
        <v>35</v>
      </c>
      <c r="I40" s="166" t="str">
        <f t="shared" si="1"/>
        <v/>
      </c>
      <c r="J40" s="165">
        <f t="shared" si="5"/>
        <v>-2</v>
      </c>
      <c r="K40" s="165">
        <f t="shared" si="2"/>
        <v>-20</v>
      </c>
      <c r="L40" s="165"/>
      <c r="M40" s="167">
        <f t="shared" si="3"/>
        <v>0</v>
      </c>
    </row>
    <row r="41" spans="1:21" x14ac:dyDescent="0.25">
      <c r="A41" s="91"/>
      <c r="B41" s="37" t="str">
        <f t="shared" si="0"/>
        <v/>
      </c>
      <c r="C41" s="38"/>
      <c r="D41" s="38"/>
      <c r="E41" s="38"/>
      <c r="F41" s="38"/>
      <c r="G41" s="153"/>
      <c r="H41" s="168">
        <v>36</v>
      </c>
      <c r="I41" s="169" t="str">
        <f t="shared" si="1"/>
        <v/>
      </c>
      <c r="J41" s="168">
        <f t="shared" si="5"/>
        <v>-2</v>
      </c>
      <c r="K41" s="168">
        <f t="shared" si="2"/>
        <v>-20</v>
      </c>
      <c r="L41" s="168"/>
      <c r="M41" s="170">
        <f t="shared" si="3"/>
        <v>0</v>
      </c>
      <c r="S41" s="180"/>
    </row>
    <row r="42" spans="1:21" x14ac:dyDescent="0.25">
      <c r="A42" s="87"/>
      <c r="B42" s="31" t="str">
        <f t="shared" si="0"/>
        <v/>
      </c>
      <c r="C42" s="32"/>
      <c r="D42" s="32"/>
      <c r="E42" s="32"/>
      <c r="F42" s="32"/>
      <c r="G42" s="153"/>
      <c r="H42" s="165">
        <v>37</v>
      </c>
      <c r="I42" s="166" t="str">
        <f t="shared" si="1"/>
        <v/>
      </c>
      <c r="J42" s="165">
        <f t="shared" si="5"/>
        <v>-2</v>
      </c>
      <c r="K42" s="165">
        <f t="shared" si="2"/>
        <v>-20</v>
      </c>
      <c r="L42" s="165"/>
      <c r="M42" s="167">
        <f t="shared" si="3"/>
        <v>0</v>
      </c>
    </row>
    <row r="43" spans="1:21" x14ac:dyDescent="0.25">
      <c r="A43" s="91"/>
      <c r="B43" s="37" t="str">
        <f t="shared" si="0"/>
        <v/>
      </c>
      <c r="C43" s="38"/>
      <c r="D43" s="38"/>
      <c r="E43" s="38"/>
      <c r="F43" s="38"/>
      <c r="G43" s="153"/>
      <c r="H43" s="168">
        <v>38</v>
      </c>
      <c r="I43" s="169" t="str">
        <f t="shared" si="1"/>
        <v/>
      </c>
      <c r="J43" s="168">
        <f t="shared" si="5"/>
        <v>-2</v>
      </c>
      <c r="K43" s="168">
        <f t="shared" si="2"/>
        <v>-20</v>
      </c>
      <c r="L43" s="168"/>
      <c r="M43" s="170">
        <f t="shared" si="3"/>
        <v>0</v>
      </c>
    </row>
    <row r="44" spans="1:21" x14ac:dyDescent="0.25">
      <c r="A44" s="87"/>
      <c r="B44" s="31" t="str">
        <f t="shared" si="0"/>
        <v/>
      </c>
      <c r="C44" s="32"/>
      <c r="D44" s="32"/>
      <c r="E44" s="32"/>
      <c r="F44" s="32"/>
      <c r="G44" s="153"/>
      <c r="H44" s="165">
        <v>39</v>
      </c>
      <c r="I44" s="166" t="str">
        <f t="shared" si="1"/>
        <v/>
      </c>
      <c r="J44" s="165">
        <f t="shared" si="5"/>
        <v>-2</v>
      </c>
      <c r="K44" s="165">
        <f t="shared" si="2"/>
        <v>-20</v>
      </c>
      <c r="L44" s="165"/>
      <c r="M44" s="167">
        <f t="shared" si="3"/>
        <v>0</v>
      </c>
    </row>
    <row r="45" spans="1:21" x14ac:dyDescent="0.25">
      <c r="A45" s="91"/>
      <c r="B45" s="37" t="str">
        <f t="shared" si="0"/>
        <v/>
      </c>
      <c r="C45" s="38"/>
      <c r="D45" s="38"/>
      <c r="E45" s="38"/>
      <c r="F45" s="38"/>
      <c r="G45" s="153"/>
      <c r="H45" s="168">
        <v>40</v>
      </c>
      <c r="I45" s="169" t="str">
        <f t="shared" si="1"/>
        <v/>
      </c>
      <c r="J45" s="168">
        <f t="shared" si="5"/>
        <v>-2</v>
      </c>
      <c r="K45" s="168">
        <f t="shared" si="2"/>
        <v>-20</v>
      </c>
      <c r="L45" s="168"/>
      <c r="M45" s="170">
        <f t="shared" si="3"/>
        <v>0</v>
      </c>
    </row>
    <row r="46" spans="1:21" x14ac:dyDescent="0.25">
      <c r="A46" s="87"/>
      <c r="B46" s="31" t="str">
        <f t="shared" si="0"/>
        <v/>
      </c>
      <c r="C46" s="32"/>
      <c r="D46" s="32"/>
      <c r="E46" s="32"/>
      <c r="F46" s="32"/>
      <c r="G46" s="153"/>
      <c r="H46" s="165">
        <v>41</v>
      </c>
      <c r="I46" s="166" t="str">
        <f t="shared" si="1"/>
        <v/>
      </c>
      <c r="J46" s="165">
        <f t="shared" si="5"/>
        <v>-2</v>
      </c>
      <c r="K46" s="165">
        <f t="shared" si="2"/>
        <v>-20</v>
      </c>
      <c r="L46" s="165"/>
      <c r="M46" s="167">
        <f t="shared" si="3"/>
        <v>0</v>
      </c>
      <c r="R46" s="153">
        <f>LOG($H$2,2)</f>
        <v>3.8073549220576037</v>
      </c>
      <c r="T46" s="158">
        <f>LOG(H38,2)</f>
        <v>5.0443941193584534</v>
      </c>
      <c r="U46" s="158">
        <f>R46-T46</f>
        <v>-1.2370391973008497</v>
      </c>
    </row>
    <row r="47" spans="1:21" x14ac:dyDescent="0.25">
      <c r="A47" s="91"/>
      <c r="B47" s="37" t="str">
        <f t="shared" si="0"/>
        <v/>
      </c>
      <c r="C47" s="38"/>
      <c r="D47" s="38"/>
      <c r="E47" s="38"/>
      <c r="F47" s="38"/>
      <c r="G47" s="153"/>
      <c r="H47" s="168">
        <v>42</v>
      </c>
      <c r="I47" s="169" t="str">
        <f t="shared" si="1"/>
        <v/>
      </c>
      <c r="J47" s="168">
        <f t="shared" si="5"/>
        <v>-2</v>
      </c>
      <c r="K47" s="168">
        <f t="shared" si="2"/>
        <v>-20</v>
      </c>
      <c r="L47" s="168"/>
      <c r="M47" s="170">
        <f t="shared" si="3"/>
        <v>0</v>
      </c>
    </row>
    <row r="48" spans="1:21" x14ac:dyDescent="0.25">
      <c r="A48" s="87"/>
      <c r="B48" s="31" t="str">
        <f t="shared" si="0"/>
        <v/>
      </c>
      <c r="C48" s="32"/>
      <c r="D48" s="32"/>
      <c r="E48" s="32"/>
      <c r="F48" s="32"/>
      <c r="G48" s="153"/>
      <c r="H48" s="165">
        <v>43</v>
      </c>
      <c r="I48" s="166" t="str">
        <f t="shared" si="1"/>
        <v/>
      </c>
      <c r="J48" s="165">
        <f t="shared" si="5"/>
        <v>-2</v>
      </c>
      <c r="K48" s="165">
        <f t="shared" si="2"/>
        <v>-20</v>
      </c>
      <c r="L48" s="165"/>
      <c r="M48" s="167">
        <f t="shared" si="3"/>
        <v>0</v>
      </c>
    </row>
    <row r="49" spans="1:13" x14ac:dyDescent="0.25">
      <c r="A49" s="91"/>
      <c r="B49" s="37" t="str">
        <f t="shared" si="0"/>
        <v/>
      </c>
      <c r="C49" s="38"/>
      <c r="D49" s="38"/>
      <c r="E49" s="38"/>
      <c r="F49" s="38"/>
      <c r="G49" s="153"/>
      <c r="H49" s="168">
        <v>44</v>
      </c>
      <c r="I49" s="169" t="str">
        <f t="shared" si="1"/>
        <v/>
      </c>
      <c r="J49" s="168">
        <f t="shared" si="5"/>
        <v>-2</v>
      </c>
      <c r="K49" s="168">
        <f t="shared" si="2"/>
        <v>-20</v>
      </c>
      <c r="L49" s="168"/>
      <c r="M49" s="170">
        <f t="shared" si="3"/>
        <v>0</v>
      </c>
    </row>
    <row r="50" spans="1:13" x14ac:dyDescent="0.25">
      <c r="A50" s="87"/>
      <c r="B50" s="31" t="str">
        <f t="shared" si="0"/>
        <v/>
      </c>
      <c r="C50" s="32"/>
      <c r="D50" s="32"/>
      <c r="E50" s="32"/>
      <c r="F50" s="32"/>
      <c r="G50" s="153"/>
      <c r="H50" s="165">
        <v>45</v>
      </c>
      <c r="I50" s="166" t="str">
        <f t="shared" si="1"/>
        <v/>
      </c>
      <c r="J50" s="165">
        <f t="shared" si="5"/>
        <v>-2</v>
      </c>
      <c r="K50" s="165">
        <f t="shared" si="2"/>
        <v>-20</v>
      </c>
      <c r="L50" s="165"/>
      <c r="M50" s="167">
        <f t="shared" si="3"/>
        <v>0</v>
      </c>
    </row>
    <row r="51" spans="1:13" x14ac:dyDescent="0.25">
      <c r="A51" s="91"/>
      <c r="B51" s="37" t="str">
        <f t="shared" si="0"/>
        <v/>
      </c>
      <c r="C51" s="38"/>
      <c r="D51" s="38"/>
      <c r="E51" s="38"/>
      <c r="F51" s="38"/>
      <c r="G51" s="153"/>
      <c r="H51" s="168">
        <v>46</v>
      </c>
      <c r="I51" s="169" t="str">
        <f t="shared" si="1"/>
        <v/>
      </c>
      <c r="J51" s="168">
        <f t="shared" si="5"/>
        <v>-2</v>
      </c>
      <c r="K51" s="168">
        <f t="shared" si="2"/>
        <v>-20</v>
      </c>
      <c r="L51" s="168"/>
      <c r="M51" s="170">
        <f t="shared" si="3"/>
        <v>0</v>
      </c>
    </row>
    <row r="52" spans="1:13" x14ac:dyDescent="0.25">
      <c r="A52" s="87"/>
      <c r="B52" s="31" t="str">
        <f t="shared" si="0"/>
        <v/>
      </c>
      <c r="C52" s="32"/>
      <c r="D52" s="32"/>
      <c r="E52" s="32"/>
      <c r="F52" s="32"/>
      <c r="G52" s="153"/>
      <c r="H52" s="165">
        <v>47</v>
      </c>
      <c r="I52" s="166" t="str">
        <f t="shared" si="1"/>
        <v/>
      </c>
      <c r="J52" s="165">
        <f t="shared" si="5"/>
        <v>-2</v>
      </c>
      <c r="K52" s="165">
        <f t="shared" si="2"/>
        <v>-20</v>
      </c>
      <c r="L52" s="165"/>
      <c r="M52" s="167">
        <f t="shared" si="3"/>
        <v>0</v>
      </c>
    </row>
    <row r="53" spans="1:13" x14ac:dyDescent="0.25">
      <c r="A53" s="91"/>
      <c r="B53" s="37" t="str">
        <f t="shared" si="0"/>
        <v/>
      </c>
      <c r="C53" s="38"/>
      <c r="D53" s="38"/>
      <c r="E53" s="38"/>
      <c r="F53" s="38"/>
      <c r="G53" s="153"/>
      <c r="H53" s="168">
        <v>48</v>
      </c>
      <c r="I53" s="169" t="str">
        <f t="shared" si="1"/>
        <v/>
      </c>
      <c r="J53" s="168">
        <f t="shared" si="5"/>
        <v>-2</v>
      </c>
      <c r="K53" s="168">
        <f t="shared" si="2"/>
        <v>-20</v>
      </c>
      <c r="L53" s="168"/>
      <c r="M53" s="170">
        <f t="shared" si="3"/>
        <v>0</v>
      </c>
    </row>
    <row r="54" spans="1:13" x14ac:dyDescent="0.25">
      <c r="A54" s="87"/>
      <c r="B54" s="31" t="str">
        <f t="shared" si="0"/>
        <v/>
      </c>
      <c r="C54" s="32"/>
      <c r="D54" s="32"/>
      <c r="E54" s="32"/>
      <c r="F54" s="32"/>
      <c r="G54" s="153"/>
      <c r="H54" s="165">
        <v>49</v>
      </c>
      <c r="I54" s="166" t="str">
        <f t="shared" si="1"/>
        <v/>
      </c>
      <c r="J54" s="165">
        <f t="shared" si="5"/>
        <v>-2</v>
      </c>
      <c r="K54" s="165">
        <f t="shared" si="2"/>
        <v>-20</v>
      </c>
      <c r="L54" s="165"/>
      <c r="M54" s="167">
        <f t="shared" si="3"/>
        <v>0</v>
      </c>
    </row>
    <row r="55" spans="1:13" x14ac:dyDescent="0.25">
      <c r="A55" s="91"/>
      <c r="B55" s="37" t="str">
        <f t="shared" si="0"/>
        <v/>
      </c>
      <c r="C55" s="38"/>
      <c r="D55" s="38"/>
      <c r="E55" s="38"/>
      <c r="F55" s="38"/>
      <c r="G55" s="153"/>
      <c r="H55" s="168">
        <v>50</v>
      </c>
      <c r="I55" s="169" t="str">
        <f t="shared" si="1"/>
        <v/>
      </c>
      <c r="J55" s="168">
        <f t="shared" si="5"/>
        <v>-2</v>
      </c>
      <c r="K55" s="168">
        <f t="shared" si="2"/>
        <v>-20</v>
      </c>
      <c r="L55" s="168"/>
      <c r="M55" s="170">
        <f t="shared" si="3"/>
        <v>0</v>
      </c>
    </row>
    <row r="56" spans="1:13" x14ac:dyDescent="0.25">
      <c r="A56" s="87"/>
      <c r="B56" s="31" t="str">
        <f t="shared" si="0"/>
        <v/>
      </c>
      <c r="C56" s="32"/>
      <c r="D56" s="32"/>
      <c r="E56" s="32"/>
      <c r="F56" s="32"/>
      <c r="G56" s="153"/>
      <c r="H56" s="165">
        <v>51</v>
      </c>
      <c r="I56" s="166" t="str">
        <f t="shared" si="1"/>
        <v/>
      </c>
      <c r="J56" s="165">
        <f t="shared" si="5"/>
        <v>-2</v>
      </c>
      <c r="K56" s="165">
        <f t="shared" si="2"/>
        <v>-20</v>
      </c>
      <c r="L56" s="165"/>
      <c r="M56" s="167">
        <f t="shared" si="3"/>
        <v>0</v>
      </c>
    </row>
    <row r="57" spans="1:13" x14ac:dyDescent="0.25">
      <c r="A57" s="91"/>
      <c r="B57" s="37" t="str">
        <f t="shared" si="0"/>
        <v/>
      </c>
      <c r="C57" s="38"/>
      <c r="D57" s="38"/>
      <c r="E57" s="38"/>
      <c r="F57" s="38"/>
      <c r="G57" s="153"/>
      <c r="H57" s="168">
        <v>52</v>
      </c>
      <c r="I57" s="169" t="str">
        <f t="shared" si="1"/>
        <v/>
      </c>
      <c r="J57" s="168">
        <f t="shared" si="5"/>
        <v>-2</v>
      </c>
      <c r="K57" s="168">
        <f t="shared" si="2"/>
        <v>-20</v>
      </c>
      <c r="L57" s="168"/>
      <c r="M57" s="170">
        <f t="shared" si="3"/>
        <v>0</v>
      </c>
    </row>
    <row r="58" spans="1:13" x14ac:dyDescent="0.25">
      <c r="A58" s="87"/>
      <c r="B58" s="31" t="str">
        <f t="shared" si="0"/>
        <v/>
      </c>
      <c r="C58" s="32"/>
      <c r="D58" s="32"/>
      <c r="E58" s="32"/>
      <c r="F58" s="32"/>
      <c r="G58" s="153"/>
      <c r="H58" s="165">
        <v>53</v>
      </c>
      <c r="I58" s="166" t="str">
        <f t="shared" si="1"/>
        <v/>
      </c>
      <c r="J58" s="165">
        <f t="shared" si="5"/>
        <v>-2</v>
      </c>
      <c r="K58" s="165">
        <f t="shared" si="2"/>
        <v>-20</v>
      </c>
      <c r="L58" s="165"/>
      <c r="M58" s="167">
        <f t="shared" si="3"/>
        <v>0</v>
      </c>
    </row>
    <row r="59" spans="1:13" x14ac:dyDescent="0.25">
      <c r="A59" s="91"/>
      <c r="B59" s="37" t="str">
        <f t="shared" si="0"/>
        <v/>
      </c>
      <c r="C59" s="38"/>
      <c r="D59" s="38"/>
      <c r="E59" s="38"/>
      <c r="F59" s="38"/>
      <c r="G59" s="153"/>
      <c r="H59" s="168">
        <v>54</v>
      </c>
      <c r="I59" s="169" t="str">
        <f t="shared" si="1"/>
        <v/>
      </c>
      <c r="J59" s="168">
        <f t="shared" si="5"/>
        <v>-2</v>
      </c>
      <c r="K59" s="168">
        <f t="shared" si="2"/>
        <v>-20</v>
      </c>
      <c r="L59" s="168"/>
      <c r="M59" s="170">
        <f t="shared" si="3"/>
        <v>0</v>
      </c>
    </row>
    <row r="60" spans="1:13" x14ac:dyDescent="0.25">
      <c r="A60" s="87"/>
      <c r="B60" s="31" t="str">
        <f t="shared" si="0"/>
        <v/>
      </c>
      <c r="C60" s="32"/>
      <c r="D60" s="32"/>
      <c r="E60" s="32"/>
      <c r="F60" s="32"/>
      <c r="G60" s="153"/>
      <c r="H60" s="165">
        <v>55</v>
      </c>
      <c r="I60" s="166" t="str">
        <f t="shared" si="1"/>
        <v/>
      </c>
      <c r="J60" s="165">
        <f t="shared" si="5"/>
        <v>-2</v>
      </c>
      <c r="K60" s="165">
        <f t="shared" si="2"/>
        <v>-20</v>
      </c>
      <c r="L60" s="165"/>
      <c r="M60" s="167">
        <f t="shared" si="3"/>
        <v>0</v>
      </c>
    </row>
    <row r="61" spans="1:13" x14ac:dyDescent="0.25">
      <c r="A61" s="91"/>
      <c r="B61" s="37" t="str">
        <f t="shared" si="0"/>
        <v/>
      </c>
      <c r="C61" s="38"/>
      <c r="D61" s="38"/>
      <c r="E61" s="38"/>
      <c r="F61" s="38"/>
      <c r="G61" s="153"/>
      <c r="H61" s="168">
        <v>56</v>
      </c>
      <c r="I61" s="169" t="str">
        <f t="shared" si="1"/>
        <v/>
      </c>
      <c r="J61" s="168">
        <f t="shared" si="5"/>
        <v>-2</v>
      </c>
      <c r="K61" s="168">
        <f t="shared" si="2"/>
        <v>-20</v>
      </c>
      <c r="L61" s="168"/>
      <c r="M61" s="170">
        <f t="shared" si="3"/>
        <v>0</v>
      </c>
    </row>
    <row r="62" spans="1:13" x14ac:dyDescent="0.25">
      <c r="A62" s="87"/>
      <c r="B62" s="31" t="str">
        <f t="shared" si="0"/>
        <v/>
      </c>
      <c r="C62" s="32"/>
      <c r="D62" s="32"/>
      <c r="E62" s="32"/>
      <c r="F62" s="32"/>
      <c r="G62" s="153"/>
      <c r="H62" s="165">
        <v>57</v>
      </c>
      <c r="I62" s="166" t="str">
        <f t="shared" si="1"/>
        <v/>
      </c>
      <c r="J62" s="165">
        <f t="shared" si="5"/>
        <v>-2</v>
      </c>
      <c r="K62" s="165">
        <f t="shared" si="2"/>
        <v>-20</v>
      </c>
      <c r="L62" s="165"/>
      <c r="M62" s="167">
        <f t="shared" si="3"/>
        <v>0</v>
      </c>
    </row>
    <row r="63" spans="1:13" x14ac:dyDescent="0.25">
      <c r="A63" s="91"/>
      <c r="B63" s="37" t="str">
        <f t="shared" si="0"/>
        <v/>
      </c>
      <c r="C63" s="38"/>
      <c r="D63" s="38"/>
      <c r="E63" s="38"/>
      <c r="F63" s="38"/>
      <c r="G63" s="153"/>
      <c r="H63" s="168">
        <v>58</v>
      </c>
      <c r="I63" s="169" t="str">
        <f t="shared" si="1"/>
        <v/>
      </c>
      <c r="J63" s="168">
        <f t="shared" si="5"/>
        <v>-2</v>
      </c>
      <c r="K63" s="168">
        <f t="shared" si="2"/>
        <v>-20</v>
      </c>
      <c r="L63" s="168"/>
      <c r="M63" s="170">
        <f t="shared" si="3"/>
        <v>0</v>
      </c>
    </row>
    <row r="64" spans="1:13" x14ac:dyDescent="0.25">
      <c r="A64" s="87"/>
      <c r="B64" s="31" t="str">
        <f t="shared" si="0"/>
        <v/>
      </c>
      <c r="C64" s="32"/>
      <c r="D64" s="32"/>
      <c r="E64" s="32"/>
      <c r="F64" s="32"/>
      <c r="G64" s="153"/>
      <c r="H64" s="165">
        <v>59</v>
      </c>
      <c r="I64" s="166" t="str">
        <f t="shared" si="1"/>
        <v/>
      </c>
      <c r="J64" s="165">
        <f t="shared" si="5"/>
        <v>-2</v>
      </c>
      <c r="K64" s="165">
        <f t="shared" si="2"/>
        <v>-20</v>
      </c>
      <c r="L64" s="165"/>
      <c r="M64" s="167">
        <f t="shared" si="3"/>
        <v>0</v>
      </c>
    </row>
    <row r="65" spans="1:13" x14ac:dyDescent="0.25">
      <c r="A65" s="91"/>
      <c r="B65" s="37" t="str">
        <f t="shared" si="0"/>
        <v/>
      </c>
      <c r="C65" s="38"/>
      <c r="D65" s="38"/>
      <c r="E65" s="38"/>
      <c r="F65" s="38"/>
      <c r="G65" s="153"/>
      <c r="H65" s="168">
        <v>60</v>
      </c>
      <c r="I65" s="169" t="str">
        <f t="shared" si="1"/>
        <v/>
      </c>
      <c r="J65" s="168">
        <f t="shared" si="5"/>
        <v>-2</v>
      </c>
      <c r="K65" s="168">
        <f t="shared" si="2"/>
        <v>-20</v>
      </c>
      <c r="L65" s="168"/>
      <c r="M65" s="170">
        <f t="shared" si="3"/>
        <v>0</v>
      </c>
    </row>
    <row r="66" spans="1:13" x14ac:dyDescent="0.25">
      <c r="A66" s="190"/>
      <c r="B66" s="31"/>
      <c r="G66" s="153"/>
      <c r="H66" s="165">
        <v>61</v>
      </c>
      <c r="I66" s="166" t="str">
        <f t="shared" si="1"/>
        <v/>
      </c>
      <c r="J66" s="165">
        <f t="shared" si="5"/>
        <v>-2</v>
      </c>
      <c r="K66" s="165">
        <f t="shared" si="2"/>
        <v>-20</v>
      </c>
      <c r="L66" s="165"/>
      <c r="M66" s="167">
        <f t="shared" si="3"/>
        <v>0</v>
      </c>
    </row>
    <row r="67" spans="1:13" x14ac:dyDescent="0.25">
      <c r="A67" s="190"/>
      <c r="B67" s="37"/>
      <c r="G67" s="153"/>
      <c r="H67" s="165">
        <v>62</v>
      </c>
      <c r="I67" s="166" t="str">
        <f t="shared" si="1"/>
        <v/>
      </c>
      <c r="J67" s="165">
        <f t="shared" si="5"/>
        <v>-2</v>
      </c>
      <c r="K67" s="165">
        <f t="shared" si="2"/>
        <v>-20</v>
      </c>
      <c r="L67" s="165"/>
      <c r="M67" s="167">
        <f t="shared" si="3"/>
        <v>0</v>
      </c>
    </row>
    <row r="68" spans="1:13" x14ac:dyDescent="0.25">
      <c r="A68" s="190"/>
      <c r="B68" s="31"/>
      <c r="G68" s="153"/>
      <c r="H68" s="165">
        <v>63</v>
      </c>
      <c r="I68" s="166" t="str">
        <f t="shared" si="1"/>
        <v/>
      </c>
      <c r="J68" s="165">
        <f t="shared" si="5"/>
        <v>-2</v>
      </c>
      <c r="K68" s="165">
        <f t="shared" si="2"/>
        <v>-20</v>
      </c>
      <c r="L68" s="165"/>
      <c r="M68" s="167">
        <f t="shared" si="3"/>
        <v>0</v>
      </c>
    </row>
    <row r="69" spans="1:13" x14ac:dyDescent="0.25">
      <c r="A69" s="190"/>
      <c r="B69" s="37"/>
      <c r="G69" s="153"/>
      <c r="H69" s="165">
        <v>64</v>
      </c>
      <c r="I69" s="166" t="str">
        <f t="shared" si="1"/>
        <v/>
      </c>
      <c r="J69" s="165">
        <f t="shared" si="5"/>
        <v>-2</v>
      </c>
      <c r="K69" s="165">
        <f t="shared" si="2"/>
        <v>-20</v>
      </c>
      <c r="L69" s="165"/>
      <c r="M69" s="167">
        <f t="shared" si="3"/>
        <v>0</v>
      </c>
    </row>
    <row r="70" spans="1:13" x14ac:dyDescent="0.25">
      <c r="A70" s="190"/>
      <c r="G70" s="153"/>
      <c r="H70" s="165">
        <v>65</v>
      </c>
      <c r="I70" s="166" t="str">
        <f t="shared" ref="I70:I133" si="6">IF(H70&lt;$H$2+1,($I$2-($I$2-1)*(LOG(H70)/LOG($H$2))),"")</f>
        <v/>
      </c>
      <c r="J70" s="165">
        <f t="shared" si="5"/>
        <v>-3</v>
      </c>
      <c r="K70" s="165">
        <f t="shared" ref="K70:K133" si="7">J70*$J$2</f>
        <v>-30</v>
      </c>
      <c r="L70" s="165"/>
      <c r="M70" s="167">
        <f t="shared" ref="M70:M133" si="8">IF(I70&lt;&gt;"",K70+I70+L70,0)</f>
        <v>0</v>
      </c>
    </row>
    <row r="71" spans="1:13" x14ac:dyDescent="0.25">
      <c r="A71" s="190"/>
      <c r="G71" s="153"/>
      <c r="H71" s="165">
        <v>66</v>
      </c>
      <c r="I71" s="166" t="str">
        <f t="shared" si="6"/>
        <v/>
      </c>
      <c r="J71" s="165">
        <f t="shared" ref="J71:J134" si="9">INT(LOG($H$2,2))-ROUNDUP(LOG(H71,2),0)+IF(OR($H$2=1,$H$2=2,$H$2=4,$H$2=8,$H$2=16,$H$2=32,$H$2=64,$H$2=128,$H$2=256),0,1)</f>
        <v>-3</v>
      </c>
      <c r="K71" s="165">
        <f t="shared" si="7"/>
        <v>-30</v>
      </c>
      <c r="L71" s="165"/>
      <c r="M71" s="167">
        <f t="shared" si="8"/>
        <v>0</v>
      </c>
    </row>
    <row r="72" spans="1:13" x14ac:dyDescent="0.25">
      <c r="A72" s="190"/>
      <c r="G72" s="153"/>
      <c r="H72" s="165">
        <v>67</v>
      </c>
      <c r="I72" s="166" t="str">
        <f t="shared" si="6"/>
        <v/>
      </c>
      <c r="J72" s="165">
        <f t="shared" si="9"/>
        <v>-3</v>
      </c>
      <c r="K72" s="165">
        <f t="shared" si="7"/>
        <v>-30</v>
      </c>
      <c r="L72" s="165"/>
      <c r="M72" s="167">
        <f t="shared" si="8"/>
        <v>0</v>
      </c>
    </row>
    <row r="73" spans="1:13" x14ac:dyDescent="0.25">
      <c r="A73" s="190"/>
      <c r="G73" s="153"/>
      <c r="H73" s="165">
        <v>68</v>
      </c>
      <c r="I73" s="166" t="str">
        <f t="shared" si="6"/>
        <v/>
      </c>
      <c r="J73" s="165">
        <f t="shared" si="9"/>
        <v>-3</v>
      </c>
      <c r="K73" s="165">
        <f t="shared" si="7"/>
        <v>-30</v>
      </c>
      <c r="L73" s="165"/>
      <c r="M73" s="167">
        <f t="shared" si="8"/>
        <v>0</v>
      </c>
    </row>
    <row r="74" spans="1:13" x14ac:dyDescent="0.25">
      <c r="A74" s="190"/>
      <c r="G74" s="153"/>
      <c r="H74" s="165">
        <v>69</v>
      </c>
      <c r="I74" s="166" t="str">
        <f t="shared" si="6"/>
        <v/>
      </c>
      <c r="J74" s="165">
        <f t="shared" si="9"/>
        <v>-3</v>
      </c>
      <c r="K74" s="165">
        <f t="shared" si="7"/>
        <v>-30</v>
      </c>
      <c r="L74" s="165"/>
      <c r="M74" s="167">
        <f t="shared" si="8"/>
        <v>0</v>
      </c>
    </row>
    <row r="75" spans="1:13" x14ac:dyDescent="0.25">
      <c r="A75" s="190"/>
      <c r="G75" s="153"/>
      <c r="H75" s="165">
        <v>70</v>
      </c>
      <c r="I75" s="166" t="str">
        <f t="shared" si="6"/>
        <v/>
      </c>
      <c r="J75" s="165">
        <f t="shared" si="9"/>
        <v>-3</v>
      </c>
      <c r="K75" s="165">
        <f t="shared" si="7"/>
        <v>-30</v>
      </c>
      <c r="L75" s="165"/>
      <c r="M75" s="167">
        <f t="shared" si="8"/>
        <v>0</v>
      </c>
    </row>
    <row r="76" spans="1:13" x14ac:dyDescent="0.25">
      <c r="A76" s="190"/>
      <c r="G76" s="153"/>
      <c r="H76" s="165">
        <v>71</v>
      </c>
      <c r="I76" s="166" t="str">
        <f t="shared" si="6"/>
        <v/>
      </c>
      <c r="J76" s="165">
        <f t="shared" si="9"/>
        <v>-3</v>
      </c>
      <c r="K76" s="165">
        <f t="shared" si="7"/>
        <v>-30</v>
      </c>
      <c r="L76" s="165"/>
      <c r="M76" s="167">
        <f t="shared" si="8"/>
        <v>0</v>
      </c>
    </row>
    <row r="77" spans="1:13" x14ac:dyDescent="0.25">
      <c r="A77" s="190"/>
      <c r="G77" s="153"/>
      <c r="H77" s="165">
        <v>72</v>
      </c>
      <c r="I77" s="166" t="str">
        <f t="shared" si="6"/>
        <v/>
      </c>
      <c r="J77" s="165">
        <f t="shared" si="9"/>
        <v>-3</v>
      </c>
      <c r="K77" s="165">
        <f t="shared" si="7"/>
        <v>-30</v>
      </c>
      <c r="L77" s="165"/>
      <c r="M77" s="167">
        <f t="shared" si="8"/>
        <v>0</v>
      </c>
    </row>
    <row r="78" spans="1:13" x14ac:dyDescent="0.25">
      <c r="A78" s="190"/>
      <c r="G78" s="153"/>
      <c r="H78" s="165">
        <v>73</v>
      </c>
      <c r="I78" s="166" t="str">
        <f t="shared" si="6"/>
        <v/>
      </c>
      <c r="J78" s="165">
        <f t="shared" si="9"/>
        <v>-3</v>
      </c>
      <c r="K78" s="165">
        <f t="shared" si="7"/>
        <v>-30</v>
      </c>
      <c r="L78" s="165"/>
      <c r="M78" s="167">
        <f t="shared" si="8"/>
        <v>0</v>
      </c>
    </row>
    <row r="79" spans="1:13" x14ac:dyDescent="0.25">
      <c r="A79" s="190"/>
      <c r="G79" s="153"/>
      <c r="H79" s="165">
        <v>74</v>
      </c>
      <c r="I79" s="166" t="str">
        <f t="shared" si="6"/>
        <v/>
      </c>
      <c r="J79" s="165">
        <f t="shared" si="9"/>
        <v>-3</v>
      </c>
      <c r="K79" s="165">
        <f t="shared" si="7"/>
        <v>-30</v>
      </c>
      <c r="L79" s="165"/>
      <c r="M79" s="167">
        <f t="shared" si="8"/>
        <v>0</v>
      </c>
    </row>
    <row r="80" spans="1:13" x14ac:dyDescent="0.25">
      <c r="A80" s="190"/>
      <c r="G80" s="153"/>
      <c r="H80" s="165">
        <v>75</v>
      </c>
      <c r="I80" s="166" t="str">
        <f t="shared" si="6"/>
        <v/>
      </c>
      <c r="J80" s="165">
        <f t="shared" si="9"/>
        <v>-3</v>
      </c>
      <c r="K80" s="165">
        <f t="shared" si="7"/>
        <v>-30</v>
      </c>
      <c r="L80" s="165"/>
      <c r="M80" s="167">
        <f t="shared" si="8"/>
        <v>0</v>
      </c>
    </row>
    <row r="81" spans="1:13" x14ac:dyDescent="0.25">
      <c r="A81" s="190"/>
      <c r="G81" s="153"/>
      <c r="H81" s="165">
        <v>76</v>
      </c>
      <c r="I81" s="166" t="str">
        <f t="shared" si="6"/>
        <v/>
      </c>
      <c r="J81" s="165">
        <f t="shared" si="9"/>
        <v>-3</v>
      </c>
      <c r="K81" s="165">
        <f t="shared" si="7"/>
        <v>-30</v>
      </c>
      <c r="L81" s="165"/>
      <c r="M81" s="167">
        <f t="shared" si="8"/>
        <v>0</v>
      </c>
    </row>
    <row r="82" spans="1:13" x14ac:dyDescent="0.25">
      <c r="A82" s="190"/>
      <c r="G82" s="153"/>
      <c r="H82" s="165">
        <v>77</v>
      </c>
      <c r="I82" s="166" t="str">
        <f t="shared" si="6"/>
        <v/>
      </c>
      <c r="J82" s="165">
        <f t="shared" si="9"/>
        <v>-3</v>
      </c>
      <c r="K82" s="165">
        <f t="shared" si="7"/>
        <v>-30</v>
      </c>
      <c r="L82" s="165"/>
      <c r="M82" s="167">
        <f t="shared" si="8"/>
        <v>0</v>
      </c>
    </row>
    <row r="83" spans="1:13" x14ac:dyDescent="0.25">
      <c r="A83" s="190"/>
      <c r="G83" s="153"/>
      <c r="H83" s="165">
        <v>78</v>
      </c>
      <c r="I83" s="166" t="str">
        <f t="shared" si="6"/>
        <v/>
      </c>
      <c r="J83" s="165">
        <f t="shared" si="9"/>
        <v>-3</v>
      </c>
      <c r="K83" s="165">
        <f t="shared" si="7"/>
        <v>-30</v>
      </c>
      <c r="L83" s="165"/>
      <c r="M83" s="167">
        <f t="shared" si="8"/>
        <v>0</v>
      </c>
    </row>
    <row r="84" spans="1:13" x14ac:dyDescent="0.25">
      <c r="A84" s="190"/>
      <c r="G84" s="153"/>
      <c r="H84" s="165">
        <v>79</v>
      </c>
      <c r="I84" s="166" t="str">
        <f t="shared" si="6"/>
        <v/>
      </c>
      <c r="J84" s="165">
        <f t="shared" si="9"/>
        <v>-3</v>
      </c>
      <c r="K84" s="165">
        <f t="shared" si="7"/>
        <v>-30</v>
      </c>
      <c r="L84" s="165"/>
      <c r="M84" s="167">
        <f t="shared" si="8"/>
        <v>0</v>
      </c>
    </row>
    <row r="85" spans="1:13" x14ac:dyDescent="0.25">
      <c r="A85" s="190"/>
      <c r="G85" s="153"/>
      <c r="H85" s="165">
        <v>80</v>
      </c>
      <c r="I85" s="166" t="str">
        <f t="shared" si="6"/>
        <v/>
      </c>
      <c r="J85" s="165">
        <f t="shared" si="9"/>
        <v>-3</v>
      </c>
      <c r="K85" s="165">
        <f t="shared" si="7"/>
        <v>-30</v>
      </c>
      <c r="L85" s="165"/>
      <c r="M85" s="167">
        <f t="shared" si="8"/>
        <v>0</v>
      </c>
    </row>
    <row r="86" spans="1:13" x14ac:dyDescent="0.25">
      <c r="A86" s="190"/>
      <c r="G86" s="153"/>
      <c r="H86" s="165">
        <v>81</v>
      </c>
      <c r="I86" s="166" t="str">
        <f t="shared" si="6"/>
        <v/>
      </c>
      <c r="J86" s="165">
        <f t="shared" si="9"/>
        <v>-3</v>
      </c>
      <c r="K86" s="165">
        <f t="shared" si="7"/>
        <v>-30</v>
      </c>
      <c r="L86" s="165"/>
      <c r="M86" s="167">
        <f t="shared" si="8"/>
        <v>0</v>
      </c>
    </row>
    <row r="87" spans="1:13" x14ac:dyDescent="0.25">
      <c r="A87" s="190"/>
      <c r="G87" s="153"/>
      <c r="H87" s="165">
        <v>82</v>
      </c>
      <c r="I87" s="166" t="str">
        <f t="shared" si="6"/>
        <v/>
      </c>
      <c r="J87" s="165">
        <f t="shared" si="9"/>
        <v>-3</v>
      </c>
      <c r="K87" s="165">
        <f t="shared" si="7"/>
        <v>-30</v>
      </c>
      <c r="L87" s="165"/>
      <c r="M87" s="167">
        <f t="shared" si="8"/>
        <v>0</v>
      </c>
    </row>
    <row r="88" spans="1:13" x14ac:dyDescent="0.25">
      <c r="A88" s="190"/>
      <c r="G88" s="153"/>
      <c r="H88" s="165">
        <v>83</v>
      </c>
      <c r="I88" s="166" t="str">
        <f t="shared" si="6"/>
        <v/>
      </c>
      <c r="J88" s="165">
        <f t="shared" si="9"/>
        <v>-3</v>
      </c>
      <c r="K88" s="165">
        <f t="shared" si="7"/>
        <v>-30</v>
      </c>
      <c r="L88" s="165"/>
      <c r="M88" s="167">
        <f t="shared" si="8"/>
        <v>0</v>
      </c>
    </row>
    <row r="89" spans="1:13" x14ac:dyDescent="0.25">
      <c r="A89" s="190"/>
      <c r="G89" s="153"/>
      <c r="H89" s="165">
        <v>84</v>
      </c>
      <c r="I89" s="166" t="str">
        <f t="shared" si="6"/>
        <v/>
      </c>
      <c r="J89" s="165">
        <f t="shared" si="9"/>
        <v>-3</v>
      </c>
      <c r="K89" s="165">
        <f t="shared" si="7"/>
        <v>-30</v>
      </c>
      <c r="L89" s="165"/>
      <c r="M89" s="167">
        <f t="shared" si="8"/>
        <v>0</v>
      </c>
    </row>
    <row r="90" spans="1:13" x14ac:dyDescent="0.25">
      <c r="A90" s="190"/>
      <c r="G90" s="153"/>
      <c r="H90" s="165">
        <v>85</v>
      </c>
      <c r="I90" s="166" t="str">
        <f t="shared" si="6"/>
        <v/>
      </c>
      <c r="J90" s="165">
        <f t="shared" si="9"/>
        <v>-3</v>
      </c>
      <c r="K90" s="165">
        <f t="shared" si="7"/>
        <v>-30</v>
      </c>
      <c r="L90" s="165"/>
      <c r="M90" s="167">
        <f t="shared" si="8"/>
        <v>0</v>
      </c>
    </row>
    <row r="91" spans="1:13" x14ac:dyDescent="0.25">
      <c r="A91" s="190"/>
      <c r="G91" s="153"/>
      <c r="H91" s="165">
        <v>86</v>
      </c>
      <c r="I91" s="166" t="str">
        <f t="shared" si="6"/>
        <v/>
      </c>
      <c r="J91" s="165">
        <f t="shared" si="9"/>
        <v>-3</v>
      </c>
      <c r="K91" s="165">
        <f t="shared" si="7"/>
        <v>-30</v>
      </c>
      <c r="L91" s="165"/>
      <c r="M91" s="167">
        <f t="shared" si="8"/>
        <v>0</v>
      </c>
    </row>
    <row r="92" spans="1:13" x14ac:dyDescent="0.25">
      <c r="A92" s="190"/>
      <c r="G92" s="153"/>
      <c r="H92" s="165">
        <v>87</v>
      </c>
      <c r="I92" s="166" t="str">
        <f t="shared" si="6"/>
        <v/>
      </c>
      <c r="J92" s="165">
        <f t="shared" si="9"/>
        <v>-3</v>
      </c>
      <c r="K92" s="165">
        <f t="shared" si="7"/>
        <v>-30</v>
      </c>
      <c r="L92" s="165"/>
      <c r="M92" s="167">
        <f t="shared" si="8"/>
        <v>0</v>
      </c>
    </row>
    <row r="93" spans="1:13" x14ac:dyDescent="0.25">
      <c r="A93" s="190"/>
      <c r="G93" s="153"/>
      <c r="H93" s="165">
        <v>88</v>
      </c>
      <c r="I93" s="166" t="str">
        <f t="shared" si="6"/>
        <v/>
      </c>
      <c r="J93" s="165">
        <f t="shared" si="9"/>
        <v>-3</v>
      </c>
      <c r="K93" s="165">
        <f t="shared" si="7"/>
        <v>-30</v>
      </c>
      <c r="L93" s="165"/>
      <c r="M93" s="167">
        <f t="shared" si="8"/>
        <v>0</v>
      </c>
    </row>
    <row r="94" spans="1:13" x14ac:dyDescent="0.25">
      <c r="A94" s="190"/>
      <c r="G94" s="153"/>
      <c r="H94" s="165">
        <v>89</v>
      </c>
      <c r="I94" s="166" t="str">
        <f t="shared" si="6"/>
        <v/>
      </c>
      <c r="J94" s="165">
        <f t="shared" si="9"/>
        <v>-3</v>
      </c>
      <c r="K94" s="165">
        <f t="shared" si="7"/>
        <v>-30</v>
      </c>
      <c r="L94" s="165"/>
      <c r="M94" s="167">
        <f t="shared" si="8"/>
        <v>0</v>
      </c>
    </row>
    <row r="95" spans="1:13" x14ac:dyDescent="0.25">
      <c r="A95" s="190"/>
      <c r="G95" s="153"/>
      <c r="H95" s="165">
        <v>90</v>
      </c>
      <c r="I95" s="166" t="str">
        <f t="shared" si="6"/>
        <v/>
      </c>
      <c r="J95" s="165">
        <f t="shared" si="9"/>
        <v>-3</v>
      </c>
      <c r="K95" s="165">
        <f t="shared" si="7"/>
        <v>-30</v>
      </c>
      <c r="L95" s="165"/>
      <c r="M95" s="167">
        <f t="shared" si="8"/>
        <v>0</v>
      </c>
    </row>
    <row r="96" spans="1:13" x14ac:dyDescent="0.25">
      <c r="A96" s="190"/>
      <c r="G96" s="153"/>
      <c r="H96" s="165">
        <v>91</v>
      </c>
      <c r="I96" s="166" t="str">
        <f t="shared" si="6"/>
        <v/>
      </c>
      <c r="J96" s="165">
        <f t="shared" si="9"/>
        <v>-3</v>
      </c>
      <c r="K96" s="165">
        <f t="shared" si="7"/>
        <v>-30</v>
      </c>
      <c r="L96" s="165"/>
      <c r="M96" s="167">
        <f t="shared" si="8"/>
        <v>0</v>
      </c>
    </row>
    <row r="97" spans="1:13" x14ac:dyDescent="0.25">
      <c r="A97" s="190"/>
      <c r="G97" s="153"/>
      <c r="H97" s="165">
        <v>92</v>
      </c>
      <c r="I97" s="166" t="str">
        <f t="shared" si="6"/>
        <v/>
      </c>
      <c r="J97" s="165">
        <f t="shared" si="9"/>
        <v>-3</v>
      </c>
      <c r="K97" s="165">
        <f t="shared" si="7"/>
        <v>-30</v>
      </c>
      <c r="L97" s="165"/>
      <c r="M97" s="167">
        <f t="shared" si="8"/>
        <v>0</v>
      </c>
    </row>
    <row r="98" spans="1:13" x14ac:dyDescent="0.25">
      <c r="A98" s="190"/>
      <c r="G98" s="153"/>
      <c r="H98" s="165">
        <v>93</v>
      </c>
      <c r="I98" s="166" t="str">
        <f t="shared" si="6"/>
        <v/>
      </c>
      <c r="J98" s="165">
        <f t="shared" si="9"/>
        <v>-3</v>
      </c>
      <c r="K98" s="165">
        <f t="shared" si="7"/>
        <v>-30</v>
      </c>
      <c r="L98" s="165"/>
      <c r="M98" s="167">
        <f t="shared" si="8"/>
        <v>0</v>
      </c>
    </row>
    <row r="99" spans="1:13" x14ac:dyDescent="0.25">
      <c r="A99" s="190"/>
      <c r="G99" s="153"/>
      <c r="H99" s="165">
        <v>94</v>
      </c>
      <c r="I99" s="166" t="str">
        <f t="shared" si="6"/>
        <v/>
      </c>
      <c r="J99" s="165">
        <f t="shared" si="9"/>
        <v>-3</v>
      </c>
      <c r="K99" s="165">
        <f t="shared" si="7"/>
        <v>-30</v>
      </c>
      <c r="L99" s="165"/>
      <c r="M99" s="167">
        <f t="shared" si="8"/>
        <v>0</v>
      </c>
    </row>
    <row r="100" spans="1:13" x14ac:dyDescent="0.25">
      <c r="A100" s="190"/>
      <c r="G100" s="153"/>
      <c r="H100" s="165">
        <v>95</v>
      </c>
      <c r="I100" s="166" t="str">
        <f t="shared" si="6"/>
        <v/>
      </c>
      <c r="J100" s="165">
        <f t="shared" si="9"/>
        <v>-3</v>
      </c>
      <c r="K100" s="165">
        <f t="shared" si="7"/>
        <v>-30</v>
      </c>
      <c r="L100" s="165"/>
      <c r="M100" s="167">
        <f t="shared" si="8"/>
        <v>0</v>
      </c>
    </row>
    <row r="101" spans="1:13" x14ac:dyDescent="0.25">
      <c r="A101" s="182"/>
      <c r="G101" s="153"/>
      <c r="H101" s="165">
        <v>96</v>
      </c>
      <c r="I101" s="166" t="str">
        <f t="shared" si="6"/>
        <v/>
      </c>
      <c r="J101" s="165">
        <f t="shared" si="9"/>
        <v>-3</v>
      </c>
      <c r="K101" s="165">
        <f t="shared" si="7"/>
        <v>-30</v>
      </c>
      <c r="L101" s="165"/>
      <c r="M101" s="167">
        <f t="shared" si="8"/>
        <v>0</v>
      </c>
    </row>
    <row r="102" spans="1:13" x14ac:dyDescent="0.25">
      <c r="A102" s="182"/>
      <c r="G102" s="153"/>
      <c r="H102" s="165">
        <v>97</v>
      </c>
      <c r="I102" s="166" t="str">
        <f t="shared" si="6"/>
        <v/>
      </c>
      <c r="J102" s="165">
        <f t="shared" si="9"/>
        <v>-3</v>
      </c>
      <c r="K102" s="165">
        <f t="shared" si="7"/>
        <v>-30</v>
      </c>
      <c r="L102" s="165"/>
      <c r="M102" s="167">
        <f t="shared" si="8"/>
        <v>0</v>
      </c>
    </row>
    <row r="103" spans="1:13" x14ac:dyDescent="0.25">
      <c r="A103" s="182"/>
      <c r="G103" s="153"/>
      <c r="H103" s="165">
        <v>98</v>
      </c>
      <c r="I103" s="166" t="str">
        <f t="shared" si="6"/>
        <v/>
      </c>
      <c r="J103" s="165">
        <f t="shared" si="9"/>
        <v>-3</v>
      </c>
      <c r="K103" s="165">
        <f t="shared" si="7"/>
        <v>-30</v>
      </c>
      <c r="L103" s="165"/>
      <c r="M103" s="167">
        <f t="shared" si="8"/>
        <v>0</v>
      </c>
    </row>
    <row r="104" spans="1:13" x14ac:dyDescent="0.25">
      <c r="A104" s="182"/>
      <c r="G104" s="153"/>
      <c r="H104" s="165">
        <v>99</v>
      </c>
      <c r="I104" s="166" t="str">
        <f t="shared" si="6"/>
        <v/>
      </c>
      <c r="J104" s="165">
        <f t="shared" si="9"/>
        <v>-3</v>
      </c>
      <c r="K104" s="165">
        <f t="shared" si="7"/>
        <v>-30</v>
      </c>
      <c r="L104" s="165"/>
      <c r="M104" s="167">
        <f t="shared" si="8"/>
        <v>0</v>
      </c>
    </row>
    <row r="105" spans="1:13" x14ac:dyDescent="0.25">
      <c r="A105" s="182"/>
      <c r="G105" s="153"/>
      <c r="H105" s="165">
        <v>100</v>
      </c>
      <c r="I105" s="166" t="str">
        <f t="shared" si="6"/>
        <v/>
      </c>
      <c r="J105" s="165">
        <f t="shared" si="9"/>
        <v>-3</v>
      </c>
      <c r="K105" s="165">
        <f t="shared" si="7"/>
        <v>-30</v>
      </c>
      <c r="L105" s="165"/>
      <c r="M105" s="167">
        <f t="shared" si="8"/>
        <v>0</v>
      </c>
    </row>
    <row r="106" spans="1:13" x14ac:dyDescent="0.25">
      <c r="A106" s="182"/>
      <c r="G106" s="153"/>
      <c r="H106" s="165">
        <v>101</v>
      </c>
      <c r="I106" s="166" t="str">
        <f t="shared" si="6"/>
        <v/>
      </c>
      <c r="J106" s="165">
        <f t="shared" si="9"/>
        <v>-3</v>
      </c>
      <c r="K106" s="165">
        <f t="shared" si="7"/>
        <v>-30</v>
      </c>
      <c r="L106" s="165"/>
      <c r="M106" s="167">
        <f t="shared" si="8"/>
        <v>0</v>
      </c>
    </row>
    <row r="107" spans="1:13" x14ac:dyDescent="0.25">
      <c r="A107" s="182"/>
      <c r="G107" s="153"/>
      <c r="H107" s="165">
        <v>102</v>
      </c>
      <c r="I107" s="166" t="str">
        <f t="shared" si="6"/>
        <v/>
      </c>
      <c r="J107" s="165">
        <f t="shared" si="9"/>
        <v>-3</v>
      </c>
      <c r="K107" s="165">
        <f t="shared" si="7"/>
        <v>-30</v>
      </c>
      <c r="L107" s="165"/>
      <c r="M107" s="167">
        <f t="shared" si="8"/>
        <v>0</v>
      </c>
    </row>
    <row r="108" spans="1:13" x14ac:dyDescent="0.25">
      <c r="A108" s="182"/>
      <c r="G108" s="153"/>
      <c r="H108" s="165">
        <v>103</v>
      </c>
      <c r="I108" s="166" t="str">
        <f t="shared" si="6"/>
        <v/>
      </c>
      <c r="J108" s="165">
        <f t="shared" si="9"/>
        <v>-3</v>
      </c>
      <c r="K108" s="165">
        <f t="shared" si="7"/>
        <v>-30</v>
      </c>
      <c r="L108" s="165"/>
      <c r="M108" s="167">
        <f t="shared" si="8"/>
        <v>0</v>
      </c>
    </row>
    <row r="109" spans="1:13" x14ac:dyDescent="0.25">
      <c r="A109" s="182"/>
      <c r="G109" s="153"/>
      <c r="H109" s="165">
        <v>104</v>
      </c>
      <c r="I109" s="166" t="str">
        <f t="shared" si="6"/>
        <v/>
      </c>
      <c r="J109" s="165">
        <f t="shared" si="9"/>
        <v>-3</v>
      </c>
      <c r="K109" s="165">
        <f t="shared" si="7"/>
        <v>-30</v>
      </c>
      <c r="L109" s="165"/>
      <c r="M109" s="167">
        <f t="shared" si="8"/>
        <v>0</v>
      </c>
    </row>
    <row r="110" spans="1:13" x14ac:dyDescent="0.25">
      <c r="A110" s="182"/>
      <c r="G110" s="153"/>
      <c r="H110" s="165">
        <v>105</v>
      </c>
      <c r="I110" s="166" t="str">
        <f t="shared" si="6"/>
        <v/>
      </c>
      <c r="J110" s="165">
        <f t="shared" si="9"/>
        <v>-3</v>
      </c>
      <c r="K110" s="165">
        <f t="shared" si="7"/>
        <v>-30</v>
      </c>
      <c r="L110" s="165"/>
      <c r="M110" s="167">
        <f t="shared" si="8"/>
        <v>0</v>
      </c>
    </row>
    <row r="111" spans="1:13" x14ac:dyDescent="0.25">
      <c r="A111" s="182"/>
      <c r="G111" s="153"/>
      <c r="H111" s="165">
        <v>106</v>
      </c>
      <c r="I111" s="166" t="str">
        <f t="shared" si="6"/>
        <v/>
      </c>
      <c r="J111" s="165">
        <f t="shared" si="9"/>
        <v>-3</v>
      </c>
      <c r="K111" s="165">
        <f t="shared" si="7"/>
        <v>-30</v>
      </c>
      <c r="L111" s="165"/>
      <c r="M111" s="167">
        <f t="shared" si="8"/>
        <v>0</v>
      </c>
    </row>
    <row r="112" spans="1:13" x14ac:dyDescent="0.25">
      <c r="A112" s="182"/>
      <c r="G112" s="153"/>
      <c r="H112" s="165">
        <v>107</v>
      </c>
      <c r="I112" s="166" t="str">
        <f t="shared" si="6"/>
        <v/>
      </c>
      <c r="J112" s="165">
        <f t="shared" si="9"/>
        <v>-3</v>
      </c>
      <c r="K112" s="165">
        <f t="shared" si="7"/>
        <v>-30</v>
      </c>
      <c r="L112" s="165"/>
      <c r="M112" s="167">
        <f t="shared" si="8"/>
        <v>0</v>
      </c>
    </row>
    <row r="113" spans="1:13" x14ac:dyDescent="0.25">
      <c r="A113" s="182"/>
      <c r="G113" s="153"/>
      <c r="H113" s="165">
        <v>108</v>
      </c>
      <c r="I113" s="166" t="str">
        <f t="shared" si="6"/>
        <v/>
      </c>
      <c r="J113" s="165">
        <f t="shared" si="9"/>
        <v>-3</v>
      </c>
      <c r="K113" s="165">
        <f t="shared" si="7"/>
        <v>-30</v>
      </c>
      <c r="L113" s="165"/>
      <c r="M113" s="167">
        <f t="shared" si="8"/>
        <v>0</v>
      </c>
    </row>
    <row r="114" spans="1:13" x14ac:dyDescent="0.25">
      <c r="A114" s="182"/>
      <c r="G114" s="153"/>
      <c r="H114" s="165">
        <v>109</v>
      </c>
      <c r="I114" s="166" t="str">
        <f t="shared" si="6"/>
        <v/>
      </c>
      <c r="J114" s="165">
        <f t="shared" si="9"/>
        <v>-3</v>
      </c>
      <c r="K114" s="165">
        <f t="shared" si="7"/>
        <v>-30</v>
      </c>
      <c r="L114" s="165"/>
      <c r="M114" s="167">
        <f t="shared" si="8"/>
        <v>0</v>
      </c>
    </row>
    <row r="115" spans="1:13" x14ac:dyDescent="0.25">
      <c r="A115" s="182"/>
      <c r="G115" s="153"/>
      <c r="H115" s="165">
        <v>110</v>
      </c>
      <c r="I115" s="166" t="str">
        <f t="shared" si="6"/>
        <v/>
      </c>
      <c r="J115" s="165">
        <f t="shared" si="9"/>
        <v>-3</v>
      </c>
      <c r="K115" s="165">
        <f t="shared" si="7"/>
        <v>-30</v>
      </c>
      <c r="L115" s="165"/>
      <c r="M115" s="167">
        <f t="shared" si="8"/>
        <v>0</v>
      </c>
    </row>
    <row r="116" spans="1:13" x14ac:dyDescent="0.25">
      <c r="A116" s="182"/>
      <c r="G116" s="153"/>
      <c r="H116" s="165">
        <v>111</v>
      </c>
      <c r="I116" s="166" t="str">
        <f t="shared" si="6"/>
        <v/>
      </c>
      <c r="J116" s="165">
        <f t="shared" si="9"/>
        <v>-3</v>
      </c>
      <c r="K116" s="165">
        <f t="shared" si="7"/>
        <v>-30</v>
      </c>
      <c r="L116" s="165"/>
      <c r="M116" s="167">
        <f t="shared" si="8"/>
        <v>0</v>
      </c>
    </row>
    <row r="117" spans="1:13" x14ac:dyDescent="0.25">
      <c r="A117" s="182"/>
      <c r="G117" s="153"/>
      <c r="H117" s="165">
        <v>112</v>
      </c>
      <c r="I117" s="166" t="str">
        <f t="shared" si="6"/>
        <v/>
      </c>
      <c r="J117" s="165">
        <f t="shared" si="9"/>
        <v>-3</v>
      </c>
      <c r="K117" s="165">
        <f t="shared" si="7"/>
        <v>-30</v>
      </c>
      <c r="L117" s="165"/>
      <c r="M117" s="167">
        <f t="shared" si="8"/>
        <v>0</v>
      </c>
    </row>
    <row r="118" spans="1:13" x14ac:dyDescent="0.25">
      <c r="A118" s="182"/>
      <c r="G118" s="153"/>
      <c r="H118" s="165">
        <v>113</v>
      </c>
      <c r="I118" s="166" t="str">
        <f t="shared" si="6"/>
        <v/>
      </c>
      <c r="J118" s="165">
        <f t="shared" si="9"/>
        <v>-3</v>
      </c>
      <c r="K118" s="165">
        <f t="shared" si="7"/>
        <v>-30</v>
      </c>
      <c r="L118" s="165"/>
      <c r="M118" s="167">
        <f t="shared" si="8"/>
        <v>0</v>
      </c>
    </row>
    <row r="119" spans="1:13" x14ac:dyDescent="0.25">
      <c r="A119" s="182"/>
      <c r="G119" s="153"/>
      <c r="H119" s="165">
        <v>114</v>
      </c>
      <c r="I119" s="166" t="str">
        <f t="shared" si="6"/>
        <v/>
      </c>
      <c r="J119" s="165">
        <f t="shared" si="9"/>
        <v>-3</v>
      </c>
      <c r="K119" s="165">
        <f t="shared" si="7"/>
        <v>-30</v>
      </c>
      <c r="L119" s="165"/>
      <c r="M119" s="167">
        <f t="shared" si="8"/>
        <v>0</v>
      </c>
    </row>
    <row r="120" spans="1:13" x14ac:dyDescent="0.25">
      <c r="A120" s="182"/>
      <c r="G120" s="153"/>
      <c r="H120" s="165">
        <v>115</v>
      </c>
      <c r="I120" s="166" t="str">
        <f t="shared" si="6"/>
        <v/>
      </c>
      <c r="J120" s="165">
        <f t="shared" si="9"/>
        <v>-3</v>
      </c>
      <c r="K120" s="165">
        <f t="shared" si="7"/>
        <v>-30</v>
      </c>
      <c r="L120" s="165"/>
      <c r="M120" s="167">
        <f t="shared" si="8"/>
        <v>0</v>
      </c>
    </row>
    <row r="121" spans="1:13" x14ac:dyDescent="0.25">
      <c r="A121" s="182"/>
      <c r="G121" s="153"/>
      <c r="H121" s="165">
        <v>116</v>
      </c>
      <c r="I121" s="166" t="str">
        <f t="shared" si="6"/>
        <v/>
      </c>
      <c r="J121" s="165">
        <f t="shared" si="9"/>
        <v>-3</v>
      </c>
      <c r="K121" s="165">
        <f t="shared" si="7"/>
        <v>-30</v>
      </c>
      <c r="L121" s="165"/>
      <c r="M121" s="167">
        <f t="shared" si="8"/>
        <v>0</v>
      </c>
    </row>
    <row r="122" spans="1:13" x14ac:dyDescent="0.25">
      <c r="A122" s="182"/>
      <c r="G122" s="153"/>
      <c r="H122" s="165">
        <v>117</v>
      </c>
      <c r="I122" s="166" t="str">
        <f t="shared" si="6"/>
        <v/>
      </c>
      <c r="J122" s="165">
        <f t="shared" si="9"/>
        <v>-3</v>
      </c>
      <c r="K122" s="165">
        <f t="shared" si="7"/>
        <v>-30</v>
      </c>
      <c r="L122" s="165"/>
      <c r="M122" s="167">
        <f t="shared" si="8"/>
        <v>0</v>
      </c>
    </row>
    <row r="123" spans="1:13" x14ac:dyDescent="0.25">
      <c r="A123" s="182"/>
      <c r="G123" s="153"/>
      <c r="H123" s="165">
        <v>118</v>
      </c>
      <c r="I123" s="166" t="str">
        <f t="shared" si="6"/>
        <v/>
      </c>
      <c r="J123" s="165">
        <f t="shared" si="9"/>
        <v>-3</v>
      </c>
      <c r="K123" s="165">
        <f t="shared" si="7"/>
        <v>-30</v>
      </c>
      <c r="L123" s="165"/>
      <c r="M123" s="167">
        <f t="shared" si="8"/>
        <v>0</v>
      </c>
    </row>
    <row r="124" spans="1:13" x14ac:dyDescent="0.25">
      <c r="A124" s="182"/>
      <c r="G124" s="153"/>
      <c r="H124" s="165">
        <v>119</v>
      </c>
      <c r="I124" s="166" t="str">
        <f t="shared" si="6"/>
        <v/>
      </c>
      <c r="J124" s="165">
        <f t="shared" si="9"/>
        <v>-3</v>
      </c>
      <c r="K124" s="165">
        <f t="shared" si="7"/>
        <v>-30</v>
      </c>
      <c r="L124" s="165"/>
      <c r="M124" s="167">
        <f t="shared" si="8"/>
        <v>0</v>
      </c>
    </row>
    <row r="125" spans="1:13" x14ac:dyDescent="0.25">
      <c r="A125" s="182"/>
      <c r="G125" s="153"/>
      <c r="H125" s="165">
        <v>120</v>
      </c>
      <c r="I125" s="166" t="str">
        <f t="shared" si="6"/>
        <v/>
      </c>
      <c r="J125" s="165">
        <f t="shared" si="9"/>
        <v>-3</v>
      </c>
      <c r="K125" s="165">
        <f t="shared" si="7"/>
        <v>-30</v>
      </c>
      <c r="L125" s="165"/>
      <c r="M125" s="167">
        <f t="shared" si="8"/>
        <v>0</v>
      </c>
    </row>
    <row r="126" spans="1:13" x14ac:dyDescent="0.25">
      <c r="A126" s="182"/>
      <c r="G126" s="153"/>
      <c r="H126" s="165">
        <v>121</v>
      </c>
      <c r="I126" s="166" t="str">
        <f t="shared" si="6"/>
        <v/>
      </c>
      <c r="J126" s="165">
        <f t="shared" si="9"/>
        <v>-3</v>
      </c>
      <c r="K126" s="165">
        <f t="shared" si="7"/>
        <v>-30</v>
      </c>
      <c r="L126" s="165"/>
      <c r="M126" s="167">
        <f t="shared" si="8"/>
        <v>0</v>
      </c>
    </row>
    <row r="127" spans="1:13" x14ac:dyDescent="0.25">
      <c r="A127" s="182"/>
      <c r="G127" s="153"/>
      <c r="H127" s="165">
        <v>122</v>
      </c>
      <c r="I127" s="166" t="str">
        <f t="shared" si="6"/>
        <v/>
      </c>
      <c r="J127" s="165">
        <f t="shared" si="9"/>
        <v>-3</v>
      </c>
      <c r="K127" s="165">
        <f t="shared" si="7"/>
        <v>-30</v>
      </c>
      <c r="L127" s="165"/>
      <c r="M127" s="167">
        <f t="shared" si="8"/>
        <v>0</v>
      </c>
    </row>
    <row r="128" spans="1:13" x14ac:dyDescent="0.25">
      <c r="A128" s="182"/>
      <c r="G128" s="153"/>
      <c r="H128" s="165">
        <v>123</v>
      </c>
      <c r="I128" s="166" t="str">
        <f t="shared" si="6"/>
        <v/>
      </c>
      <c r="J128" s="165">
        <f t="shared" si="9"/>
        <v>-3</v>
      </c>
      <c r="K128" s="165">
        <f t="shared" si="7"/>
        <v>-30</v>
      </c>
      <c r="L128" s="165"/>
      <c r="M128" s="167">
        <f t="shared" si="8"/>
        <v>0</v>
      </c>
    </row>
    <row r="129" spans="1:13" x14ac:dyDescent="0.25">
      <c r="A129" s="182"/>
      <c r="G129" s="153"/>
      <c r="H129" s="165">
        <v>124</v>
      </c>
      <c r="I129" s="166" t="str">
        <f t="shared" si="6"/>
        <v/>
      </c>
      <c r="J129" s="165">
        <f t="shared" si="9"/>
        <v>-3</v>
      </c>
      <c r="K129" s="165">
        <f t="shared" si="7"/>
        <v>-30</v>
      </c>
      <c r="L129" s="165"/>
      <c r="M129" s="167">
        <f t="shared" si="8"/>
        <v>0</v>
      </c>
    </row>
    <row r="130" spans="1:13" x14ac:dyDescent="0.25">
      <c r="A130" s="182"/>
      <c r="G130" s="153"/>
      <c r="H130" s="165">
        <v>125</v>
      </c>
      <c r="I130" s="166" t="str">
        <f t="shared" si="6"/>
        <v/>
      </c>
      <c r="J130" s="165">
        <f t="shared" si="9"/>
        <v>-3</v>
      </c>
      <c r="K130" s="165">
        <f t="shared" si="7"/>
        <v>-30</v>
      </c>
      <c r="L130" s="165"/>
      <c r="M130" s="167">
        <f t="shared" si="8"/>
        <v>0</v>
      </c>
    </row>
    <row r="131" spans="1:13" x14ac:dyDescent="0.25">
      <c r="A131" s="182"/>
      <c r="G131" s="153"/>
      <c r="H131" s="165">
        <v>126</v>
      </c>
      <c r="I131" s="166" t="str">
        <f t="shared" si="6"/>
        <v/>
      </c>
      <c r="J131" s="165">
        <f t="shared" si="9"/>
        <v>-3</v>
      </c>
      <c r="K131" s="165">
        <f t="shared" si="7"/>
        <v>-30</v>
      </c>
      <c r="L131" s="165"/>
      <c r="M131" s="167">
        <f t="shared" si="8"/>
        <v>0</v>
      </c>
    </row>
    <row r="132" spans="1:13" x14ac:dyDescent="0.25">
      <c r="A132" s="182"/>
      <c r="G132" s="153"/>
      <c r="H132" s="165">
        <v>127</v>
      </c>
      <c r="I132" s="166" t="str">
        <f t="shared" si="6"/>
        <v/>
      </c>
      <c r="J132" s="165">
        <f t="shared" si="9"/>
        <v>-3</v>
      </c>
      <c r="K132" s="165">
        <f t="shared" si="7"/>
        <v>-30</v>
      </c>
      <c r="L132" s="165"/>
      <c r="M132" s="167">
        <f t="shared" si="8"/>
        <v>0</v>
      </c>
    </row>
    <row r="133" spans="1:13" x14ac:dyDescent="0.25">
      <c r="A133" s="182"/>
      <c r="G133" s="153"/>
      <c r="H133" s="165">
        <v>128</v>
      </c>
      <c r="I133" s="166" t="str">
        <f t="shared" si="6"/>
        <v/>
      </c>
      <c r="J133" s="165">
        <f t="shared" si="9"/>
        <v>-3</v>
      </c>
      <c r="K133" s="165">
        <f t="shared" si="7"/>
        <v>-30</v>
      </c>
      <c r="L133" s="165"/>
      <c r="M133" s="167">
        <f t="shared" si="8"/>
        <v>0</v>
      </c>
    </row>
    <row r="134" spans="1:13" x14ac:dyDescent="0.25">
      <c r="A134" s="182"/>
      <c r="G134" s="153"/>
      <c r="H134" s="165">
        <v>129</v>
      </c>
      <c r="I134" s="166" t="str">
        <f t="shared" ref="I134:I197" si="10">IF(H134&lt;$H$2+1,($I$2-($I$2-1)*(LOG(H134)/LOG($H$2))),"")</f>
        <v/>
      </c>
      <c r="J134" s="165">
        <f t="shared" si="9"/>
        <v>-4</v>
      </c>
      <c r="K134" s="165">
        <f t="shared" ref="K134:K197" si="11">J134*$J$2</f>
        <v>-40</v>
      </c>
      <c r="L134" s="165"/>
      <c r="M134" s="167">
        <f t="shared" ref="M134:M197" si="12">IF(I134&lt;&gt;"",K134+I134+L134,0)</f>
        <v>0</v>
      </c>
    </row>
    <row r="135" spans="1:13" x14ac:dyDescent="0.25">
      <c r="A135" s="182"/>
      <c r="G135" s="153"/>
      <c r="H135" s="165">
        <v>130</v>
      </c>
      <c r="I135" s="166" t="str">
        <f t="shared" si="10"/>
        <v/>
      </c>
      <c r="J135" s="165">
        <f t="shared" ref="J135:J198" si="13">INT(LOG($H$2,2))-ROUNDUP(LOG(H135,2),0)+IF(OR($H$2=1,$H$2=2,$H$2=4,$H$2=8,$H$2=16,$H$2=32,$H$2=64,$H$2=128,$H$2=256),0,1)</f>
        <v>-4</v>
      </c>
      <c r="K135" s="165">
        <f t="shared" si="11"/>
        <v>-40</v>
      </c>
      <c r="L135" s="165"/>
      <c r="M135" s="167">
        <f t="shared" si="12"/>
        <v>0</v>
      </c>
    </row>
    <row r="136" spans="1:13" x14ac:dyDescent="0.25">
      <c r="A136" s="182"/>
      <c r="G136" s="153"/>
      <c r="H136" s="165">
        <v>131</v>
      </c>
      <c r="I136" s="166" t="str">
        <f t="shared" si="10"/>
        <v/>
      </c>
      <c r="J136" s="165">
        <f t="shared" si="13"/>
        <v>-4</v>
      </c>
      <c r="K136" s="165">
        <f t="shared" si="11"/>
        <v>-40</v>
      </c>
      <c r="L136" s="165"/>
      <c r="M136" s="167">
        <f t="shared" si="12"/>
        <v>0</v>
      </c>
    </row>
    <row r="137" spans="1:13" x14ac:dyDescent="0.25">
      <c r="A137" s="182"/>
      <c r="G137" s="153"/>
      <c r="H137" s="165">
        <v>132</v>
      </c>
      <c r="I137" s="166" t="str">
        <f t="shared" si="10"/>
        <v/>
      </c>
      <c r="J137" s="165">
        <f t="shared" si="13"/>
        <v>-4</v>
      </c>
      <c r="K137" s="165">
        <f t="shared" si="11"/>
        <v>-40</v>
      </c>
      <c r="L137" s="165"/>
      <c r="M137" s="167">
        <f t="shared" si="12"/>
        <v>0</v>
      </c>
    </row>
    <row r="138" spans="1:13" x14ac:dyDescent="0.25">
      <c r="A138" s="182"/>
      <c r="G138" s="153"/>
      <c r="H138" s="165">
        <v>133</v>
      </c>
      <c r="I138" s="166" t="str">
        <f t="shared" si="10"/>
        <v/>
      </c>
      <c r="J138" s="165">
        <f t="shared" si="13"/>
        <v>-4</v>
      </c>
      <c r="K138" s="165">
        <f t="shared" si="11"/>
        <v>-40</v>
      </c>
      <c r="L138" s="165"/>
      <c r="M138" s="167">
        <f t="shared" si="12"/>
        <v>0</v>
      </c>
    </row>
    <row r="139" spans="1:13" x14ac:dyDescent="0.25">
      <c r="A139" s="182"/>
      <c r="G139" s="153"/>
      <c r="H139" s="165">
        <v>134</v>
      </c>
      <c r="I139" s="166" t="str">
        <f t="shared" si="10"/>
        <v/>
      </c>
      <c r="J139" s="165">
        <f t="shared" si="13"/>
        <v>-4</v>
      </c>
      <c r="K139" s="165">
        <f t="shared" si="11"/>
        <v>-40</v>
      </c>
      <c r="L139" s="165"/>
      <c r="M139" s="167">
        <f t="shared" si="12"/>
        <v>0</v>
      </c>
    </row>
    <row r="140" spans="1:13" x14ac:dyDescent="0.25">
      <c r="A140" s="182"/>
      <c r="G140" s="153"/>
      <c r="H140" s="165">
        <v>135</v>
      </c>
      <c r="I140" s="166" t="str">
        <f t="shared" si="10"/>
        <v/>
      </c>
      <c r="J140" s="165">
        <f t="shared" si="13"/>
        <v>-4</v>
      </c>
      <c r="K140" s="165">
        <f t="shared" si="11"/>
        <v>-40</v>
      </c>
      <c r="L140" s="165"/>
      <c r="M140" s="167">
        <f t="shared" si="12"/>
        <v>0</v>
      </c>
    </row>
    <row r="141" spans="1:13" x14ac:dyDescent="0.25">
      <c r="A141" s="182"/>
      <c r="G141" s="153"/>
      <c r="H141" s="165">
        <v>136</v>
      </c>
      <c r="I141" s="166" t="str">
        <f t="shared" si="10"/>
        <v/>
      </c>
      <c r="J141" s="165">
        <f t="shared" si="13"/>
        <v>-4</v>
      </c>
      <c r="K141" s="165">
        <f t="shared" si="11"/>
        <v>-40</v>
      </c>
      <c r="L141" s="165"/>
      <c r="M141" s="167">
        <f t="shared" si="12"/>
        <v>0</v>
      </c>
    </row>
    <row r="142" spans="1:13" x14ac:dyDescent="0.25">
      <c r="A142" s="182"/>
      <c r="G142" s="153"/>
      <c r="H142" s="165">
        <v>137</v>
      </c>
      <c r="I142" s="166" t="str">
        <f t="shared" si="10"/>
        <v/>
      </c>
      <c r="J142" s="165">
        <f t="shared" si="13"/>
        <v>-4</v>
      </c>
      <c r="K142" s="165">
        <f t="shared" si="11"/>
        <v>-40</v>
      </c>
      <c r="L142" s="165"/>
      <c r="M142" s="167">
        <f t="shared" si="12"/>
        <v>0</v>
      </c>
    </row>
    <row r="143" spans="1:13" x14ac:dyDescent="0.25">
      <c r="A143" s="182"/>
      <c r="G143" s="153"/>
      <c r="H143" s="165">
        <v>138</v>
      </c>
      <c r="I143" s="166" t="str">
        <f t="shared" si="10"/>
        <v/>
      </c>
      <c r="J143" s="165">
        <f t="shared" si="13"/>
        <v>-4</v>
      </c>
      <c r="K143" s="165">
        <f t="shared" si="11"/>
        <v>-40</v>
      </c>
      <c r="L143" s="165"/>
      <c r="M143" s="167">
        <f t="shared" si="12"/>
        <v>0</v>
      </c>
    </row>
    <row r="144" spans="1:13" x14ac:dyDescent="0.25">
      <c r="A144" s="182"/>
      <c r="G144" s="153"/>
      <c r="H144" s="165">
        <v>139</v>
      </c>
      <c r="I144" s="166" t="str">
        <f t="shared" si="10"/>
        <v/>
      </c>
      <c r="J144" s="165">
        <f t="shared" si="13"/>
        <v>-4</v>
      </c>
      <c r="K144" s="165">
        <f t="shared" si="11"/>
        <v>-40</v>
      </c>
      <c r="L144" s="165"/>
      <c r="M144" s="167">
        <f t="shared" si="12"/>
        <v>0</v>
      </c>
    </row>
    <row r="145" spans="1:13" x14ac:dyDescent="0.25">
      <c r="A145" s="182"/>
      <c r="G145" s="153"/>
      <c r="H145" s="165">
        <v>140</v>
      </c>
      <c r="I145" s="166" t="str">
        <f t="shared" si="10"/>
        <v/>
      </c>
      <c r="J145" s="165">
        <f t="shared" si="13"/>
        <v>-4</v>
      </c>
      <c r="K145" s="165">
        <f t="shared" si="11"/>
        <v>-40</v>
      </c>
      <c r="L145" s="165"/>
      <c r="M145" s="167">
        <f t="shared" si="12"/>
        <v>0</v>
      </c>
    </row>
    <row r="146" spans="1:13" x14ac:dyDescent="0.25">
      <c r="A146" s="182"/>
      <c r="G146" s="153"/>
      <c r="H146" s="165">
        <v>141</v>
      </c>
      <c r="I146" s="166" t="str">
        <f t="shared" si="10"/>
        <v/>
      </c>
      <c r="J146" s="165">
        <f t="shared" si="13"/>
        <v>-4</v>
      </c>
      <c r="K146" s="165">
        <f t="shared" si="11"/>
        <v>-40</v>
      </c>
      <c r="L146" s="165"/>
      <c r="M146" s="167">
        <f t="shared" si="12"/>
        <v>0</v>
      </c>
    </row>
    <row r="147" spans="1:13" x14ac:dyDescent="0.25">
      <c r="A147" s="182"/>
      <c r="G147" s="153"/>
      <c r="H147" s="165">
        <v>142</v>
      </c>
      <c r="I147" s="166" t="str">
        <f t="shared" si="10"/>
        <v/>
      </c>
      <c r="J147" s="165">
        <f t="shared" si="13"/>
        <v>-4</v>
      </c>
      <c r="K147" s="165">
        <f t="shared" si="11"/>
        <v>-40</v>
      </c>
      <c r="L147" s="165"/>
      <c r="M147" s="167">
        <f t="shared" si="12"/>
        <v>0</v>
      </c>
    </row>
    <row r="148" spans="1:13" x14ac:dyDescent="0.25">
      <c r="A148" s="182"/>
      <c r="G148" s="153"/>
      <c r="H148" s="165">
        <v>143</v>
      </c>
      <c r="I148" s="166" t="str">
        <f t="shared" si="10"/>
        <v/>
      </c>
      <c r="J148" s="165">
        <f t="shared" si="13"/>
        <v>-4</v>
      </c>
      <c r="K148" s="165">
        <f t="shared" si="11"/>
        <v>-40</v>
      </c>
      <c r="L148" s="165"/>
      <c r="M148" s="167">
        <f t="shared" si="12"/>
        <v>0</v>
      </c>
    </row>
    <row r="149" spans="1:13" x14ac:dyDescent="0.25">
      <c r="A149" s="182"/>
      <c r="G149" s="153"/>
      <c r="H149" s="165">
        <v>144</v>
      </c>
      <c r="I149" s="166" t="str">
        <f t="shared" si="10"/>
        <v/>
      </c>
      <c r="J149" s="165">
        <f t="shared" si="13"/>
        <v>-4</v>
      </c>
      <c r="K149" s="165">
        <f t="shared" si="11"/>
        <v>-40</v>
      </c>
      <c r="L149" s="165"/>
      <c r="M149" s="167">
        <f t="shared" si="12"/>
        <v>0</v>
      </c>
    </row>
    <row r="150" spans="1:13" x14ac:dyDescent="0.25">
      <c r="A150" s="182"/>
      <c r="G150" s="153"/>
      <c r="H150" s="165">
        <v>145</v>
      </c>
      <c r="I150" s="166" t="str">
        <f t="shared" si="10"/>
        <v/>
      </c>
      <c r="J150" s="165">
        <f t="shared" si="13"/>
        <v>-4</v>
      </c>
      <c r="K150" s="165">
        <f t="shared" si="11"/>
        <v>-40</v>
      </c>
      <c r="L150" s="165"/>
      <c r="M150" s="167">
        <f t="shared" si="12"/>
        <v>0</v>
      </c>
    </row>
    <row r="151" spans="1:13" x14ac:dyDescent="0.25">
      <c r="A151" s="182"/>
      <c r="G151" s="153"/>
      <c r="H151" s="165">
        <v>146</v>
      </c>
      <c r="I151" s="166" t="str">
        <f t="shared" si="10"/>
        <v/>
      </c>
      <c r="J151" s="165">
        <f t="shared" si="13"/>
        <v>-4</v>
      </c>
      <c r="K151" s="165">
        <f t="shared" si="11"/>
        <v>-40</v>
      </c>
      <c r="L151" s="165"/>
      <c r="M151" s="167">
        <f t="shared" si="12"/>
        <v>0</v>
      </c>
    </row>
    <row r="152" spans="1:13" x14ac:dyDescent="0.25">
      <c r="A152" s="182"/>
      <c r="G152" s="153"/>
      <c r="H152" s="165">
        <v>147</v>
      </c>
      <c r="I152" s="166" t="str">
        <f t="shared" si="10"/>
        <v/>
      </c>
      <c r="J152" s="165">
        <f t="shared" si="13"/>
        <v>-4</v>
      </c>
      <c r="K152" s="165">
        <f t="shared" si="11"/>
        <v>-40</v>
      </c>
      <c r="L152" s="165"/>
      <c r="M152" s="167">
        <f t="shared" si="12"/>
        <v>0</v>
      </c>
    </row>
    <row r="153" spans="1:13" x14ac:dyDescent="0.25">
      <c r="A153" s="182"/>
      <c r="G153" s="153"/>
      <c r="H153" s="165">
        <v>148</v>
      </c>
      <c r="I153" s="166" t="str">
        <f t="shared" si="10"/>
        <v/>
      </c>
      <c r="J153" s="165">
        <f t="shared" si="13"/>
        <v>-4</v>
      </c>
      <c r="K153" s="165">
        <f t="shared" si="11"/>
        <v>-40</v>
      </c>
      <c r="L153" s="165"/>
      <c r="M153" s="167">
        <f t="shared" si="12"/>
        <v>0</v>
      </c>
    </row>
    <row r="154" spans="1:13" x14ac:dyDescent="0.25">
      <c r="A154" s="182"/>
      <c r="G154" s="153"/>
      <c r="H154" s="165">
        <v>149</v>
      </c>
      <c r="I154" s="166" t="str">
        <f t="shared" si="10"/>
        <v/>
      </c>
      <c r="J154" s="165">
        <f t="shared" si="13"/>
        <v>-4</v>
      </c>
      <c r="K154" s="165">
        <f t="shared" si="11"/>
        <v>-40</v>
      </c>
      <c r="L154" s="165"/>
      <c r="M154" s="167">
        <f t="shared" si="12"/>
        <v>0</v>
      </c>
    </row>
    <row r="155" spans="1:13" x14ac:dyDescent="0.25">
      <c r="A155" s="182"/>
      <c r="G155" s="153"/>
      <c r="H155" s="165">
        <v>150</v>
      </c>
      <c r="I155" s="166" t="str">
        <f t="shared" si="10"/>
        <v/>
      </c>
      <c r="J155" s="165">
        <f t="shared" si="13"/>
        <v>-4</v>
      </c>
      <c r="K155" s="165">
        <f t="shared" si="11"/>
        <v>-40</v>
      </c>
      <c r="L155" s="165"/>
      <c r="M155" s="167">
        <f t="shared" si="12"/>
        <v>0</v>
      </c>
    </row>
    <row r="156" spans="1:13" x14ac:dyDescent="0.25">
      <c r="A156" s="182"/>
      <c r="G156" s="153"/>
      <c r="H156" s="165">
        <v>151</v>
      </c>
      <c r="I156" s="166" t="str">
        <f t="shared" si="10"/>
        <v/>
      </c>
      <c r="J156" s="165">
        <f t="shared" si="13"/>
        <v>-4</v>
      </c>
      <c r="K156" s="165">
        <f t="shared" si="11"/>
        <v>-40</v>
      </c>
      <c r="L156" s="165"/>
      <c r="M156" s="167">
        <f t="shared" si="12"/>
        <v>0</v>
      </c>
    </row>
    <row r="157" spans="1:13" x14ac:dyDescent="0.25">
      <c r="A157" s="182"/>
      <c r="G157" s="153"/>
      <c r="H157" s="165">
        <v>152</v>
      </c>
      <c r="I157" s="166" t="str">
        <f t="shared" si="10"/>
        <v/>
      </c>
      <c r="J157" s="165">
        <f t="shared" si="13"/>
        <v>-4</v>
      </c>
      <c r="K157" s="165">
        <f t="shared" si="11"/>
        <v>-40</v>
      </c>
      <c r="L157" s="165"/>
      <c r="M157" s="167">
        <f t="shared" si="12"/>
        <v>0</v>
      </c>
    </row>
    <row r="158" spans="1:13" x14ac:dyDescent="0.25">
      <c r="A158" s="182"/>
      <c r="G158" s="153"/>
      <c r="H158" s="165">
        <v>153</v>
      </c>
      <c r="I158" s="166" t="str">
        <f t="shared" si="10"/>
        <v/>
      </c>
      <c r="J158" s="165">
        <f t="shared" si="13"/>
        <v>-4</v>
      </c>
      <c r="K158" s="165">
        <f t="shared" si="11"/>
        <v>-40</v>
      </c>
      <c r="L158" s="165"/>
      <c r="M158" s="167">
        <f t="shared" si="12"/>
        <v>0</v>
      </c>
    </row>
    <row r="159" spans="1:13" x14ac:dyDescent="0.25">
      <c r="A159" s="182"/>
      <c r="G159" s="153"/>
      <c r="H159" s="165">
        <v>154</v>
      </c>
      <c r="I159" s="166" t="str">
        <f t="shared" si="10"/>
        <v/>
      </c>
      <c r="J159" s="165">
        <f t="shared" si="13"/>
        <v>-4</v>
      </c>
      <c r="K159" s="165">
        <f t="shared" si="11"/>
        <v>-40</v>
      </c>
      <c r="L159" s="165"/>
      <c r="M159" s="167">
        <f t="shared" si="12"/>
        <v>0</v>
      </c>
    </row>
    <row r="160" spans="1:13" x14ac:dyDescent="0.25">
      <c r="A160" s="182"/>
      <c r="G160" s="153"/>
      <c r="H160" s="165">
        <v>155</v>
      </c>
      <c r="I160" s="166" t="str">
        <f t="shared" si="10"/>
        <v/>
      </c>
      <c r="J160" s="165">
        <f t="shared" si="13"/>
        <v>-4</v>
      </c>
      <c r="K160" s="165">
        <f t="shared" si="11"/>
        <v>-40</v>
      </c>
      <c r="L160" s="165"/>
      <c r="M160" s="167">
        <f t="shared" si="12"/>
        <v>0</v>
      </c>
    </row>
    <row r="161" spans="1:13" x14ac:dyDescent="0.25">
      <c r="A161" s="182"/>
      <c r="G161" s="153"/>
      <c r="H161" s="165">
        <v>156</v>
      </c>
      <c r="I161" s="166" t="str">
        <f t="shared" si="10"/>
        <v/>
      </c>
      <c r="J161" s="165">
        <f t="shared" si="13"/>
        <v>-4</v>
      </c>
      <c r="K161" s="165">
        <f t="shared" si="11"/>
        <v>-40</v>
      </c>
      <c r="L161" s="165"/>
      <c r="M161" s="167">
        <f t="shared" si="12"/>
        <v>0</v>
      </c>
    </row>
    <row r="162" spans="1:13" x14ac:dyDescent="0.25">
      <c r="A162" s="182"/>
      <c r="G162" s="153"/>
      <c r="H162" s="165">
        <v>157</v>
      </c>
      <c r="I162" s="166" t="str">
        <f t="shared" si="10"/>
        <v/>
      </c>
      <c r="J162" s="165">
        <f t="shared" si="13"/>
        <v>-4</v>
      </c>
      <c r="K162" s="165">
        <f t="shared" si="11"/>
        <v>-40</v>
      </c>
      <c r="L162" s="165"/>
      <c r="M162" s="167">
        <f t="shared" si="12"/>
        <v>0</v>
      </c>
    </row>
    <row r="163" spans="1:13" x14ac:dyDescent="0.25">
      <c r="A163" s="182"/>
      <c r="G163" s="153"/>
      <c r="H163" s="165">
        <v>158</v>
      </c>
      <c r="I163" s="166" t="str">
        <f t="shared" si="10"/>
        <v/>
      </c>
      <c r="J163" s="165">
        <f t="shared" si="13"/>
        <v>-4</v>
      </c>
      <c r="K163" s="165">
        <f t="shared" si="11"/>
        <v>-40</v>
      </c>
      <c r="L163" s="165"/>
      <c r="M163" s="167">
        <f t="shared" si="12"/>
        <v>0</v>
      </c>
    </row>
    <row r="164" spans="1:13" x14ac:dyDescent="0.25">
      <c r="A164" s="182"/>
      <c r="G164" s="153"/>
      <c r="H164" s="165">
        <v>159</v>
      </c>
      <c r="I164" s="166" t="str">
        <f t="shared" si="10"/>
        <v/>
      </c>
      <c r="J164" s="165">
        <f t="shared" si="13"/>
        <v>-4</v>
      </c>
      <c r="K164" s="165">
        <f t="shared" si="11"/>
        <v>-40</v>
      </c>
      <c r="L164" s="165"/>
      <c r="M164" s="167">
        <f t="shared" si="12"/>
        <v>0</v>
      </c>
    </row>
    <row r="165" spans="1:13" x14ac:dyDescent="0.25">
      <c r="A165" s="182"/>
      <c r="G165" s="153"/>
      <c r="H165" s="165">
        <v>160</v>
      </c>
      <c r="I165" s="166" t="str">
        <f t="shared" si="10"/>
        <v/>
      </c>
      <c r="J165" s="165">
        <f t="shared" si="13"/>
        <v>-4</v>
      </c>
      <c r="K165" s="165">
        <f t="shared" si="11"/>
        <v>-40</v>
      </c>
      <c r="L165" s="165"/>
      <c r="M165" s="167">
        <f t="shared" si="12"/>
        <v>0</v>
      </c>
    </row>
    <row r="166" spans="1:13" x14ac:dyDescent="0.25">
      <c r="A166" s="182"/>
      <c r="G166" s="153"/>
      <c r="H166" s="165">
        <v>161</v>
      </c>
      <c r="I166" s="166" t="str">
        <f t="shared" si="10"/>
        <v/>
      </c>
      <c r="J166" s="165">
        <f t="shared" si="13"/>
        <v>-4</v>
      </c>
      <c r="K166" s="165">
        <f t="shared" si="11"/>
        <v>-40</v>
      </c>
      <c r="L166" s="165"/>
      <c r="M166" s="167">
        <f t="shared" si="12"/>
        <v>0</v>
      </c>
    </row>
    <row r="167" spans="1:13" x14ac:dyDescent="0.25">
      <c r="A167" s="182"/>
      <c r="G167" s="153"/>
      <c r="H167" s="165">
        <v>162</v>
      </c>
      <c r="I167" s="166" t="str">
        <f t="shared" si="10"/>
        <v/>
      </c>
      <c r="J167" s="165">
        <f t="shared" si="13"/>
        <v>-4</v>
      </c>
      <c r="K167" s="165">
        <f t="shared" si="11"/>
        <v>-40</v>
      </c>
      <c r="L167" s="165"/>
      <c r="M167" s="167">
        <f t="shared" si="12"/>
        <v>0</v>
      </c>
    </row>
    <row r="168" spans="1:13" x14ac:dyDescent="0.25">
      <c r="A168" s="182"/>
      <c r="G168" s="153"/>
      <c r="H168" s="165">
        <v>163</v>
      </c>
      <c r="I168" s="166" t="str">
        <f t="shared" si="10"/>
        <v/>
      </c>
      <c r="J168" s="165">
        <f t="shared" si="13"/>
        <v>-4</v>
      </c>
      <c r="K168" s="165">
        <f t="shared" si="11"/>
        <v>-40</v>
      </c>
      <c r="L168" s="165"/>
      <c r="M168" s="167">
        <f t="shared" si="12"/>
        <v>0</v>
      </c>
    </row>
    <row r="169" spans="1:13" x14ac:dyDescent="0.25">
      <c r="A169" s="182"/>
      <c r="C169" s="181" t="s">
        <v>34</v>
      </c>
      <c r="G169" s="153"/>
      <c r="H169" s="165">
        <v>164</v>
      </c>
      <c r="I169" s="166" t="str">
        <f t="shared" si="10"/>
        <v/>
      </c>
      <c r="J169" s="165">
        <f t="shared" si="13"/>
        <v>-4</v>
      </c>
      <c r="K169" s="165">
        <f t="shared" si="11"/>
        <v>-40</v>
      </c>
      <c r="L169" s="165"/>
      <c r="M169" s="167">
        <f t="shared" si="12"/>
        <v>0</v>
      </c>
    </row>
    <row r="170" spans="1:13" x14ac:dyDescent="0.25">
      <c r="A170" s="182"/>
      <c r="G170" s="153"/>
      <c r="H170" s="165">
        <v>165</v>
      </c>
      <c r="I170" s="166" t="str">
        <f t="shared" si="10"/>
        <v/>
      </c>
      <c r="J170" s="165">
        <f t="shared" si="13"/>
        <v>-4</v>
      </c>
      <c r="K170" s="165">
        <f t="shared" si="11"/>
        <v>-40</v>
      </c>
      <c r="L170" s="165"/>
      <c r="M170" s="167">
        <f t="shared" si="12"/>
        <v>0</v>
      </c>
    </row>
    <row r="171" spans="1:13" x14ac:dyDescent="0.25">
      <c r="A171" s="182"/>
      <c r="G171" s="153"/>
      <c r="H171" s="165">
        <v>166</v>
      </c>
      <c r="I171" s="166" t="str">
        <f t="shared" si="10"/>
        <v/>
      </c>
      <c r="J171" s="165">
        <f t="shared" si="13"/>
        <v>-4</v>
      </c>
      <c r="K171" s="165">
        <f t="shared" si="11"/>
        <v>-40</v>
      </c>
      <c r="L171" s="165"/>
      <c r="M171" s="167">
        <f t="shared" si="12"/>
        <v>0</v>
      </c>
    </row>
    <row r="172" spans="1:13" x14ac:dyDescent="0.25">
      <c r="A172" s="182"/>
      <c r="G172" s="153"/>
      <c r="H172" s="165">
        <v>167</v>
      </c>
      <c r="I172" s="166" t="str">
        <f t="shared" si="10"/>
        <v/>
      </c>
      <c r="J172" s="165">
        <f t="shared" si="13"/>
        <v>-4</v>
      </c>
      <c r="K172" s="165">
        <f t="shared" si="11"/>
        <v>-40</v>
      </c>
      <c r="L172" s="165"/>
      <c r="M172" s="167">
        <f t="shared" si="12"/>
        <v>0</v>
      </c>
    </row>
    <row r="173" spans="1:13" x14ac:dyDescent="0.25">
      <c r="A173" s="182"/>
      <c r="G173" s="153"/>
      <c r="H173" s="165">
        <v>168</v>
      </c>
      <c r="I173" s="166" t="str">
        <f t="shared" si="10"/>
        <v/>
      </c>
      <c r="J173" s="165">
        <f t="shared" si="13"/>
        <v>-4</v>
      </c>
      <c r="K173" s="165">
        <f t="shared" si="11"/>
        <v>-40</v>
      </c>
      <c r="L173" s="165"/>
      <c r="M173" s="167">
        <f t="shared" si="12"/>
        <v>0</v>
      </c>
    </row>
    <row r="174" spans="1:13" x14ac:dyDescent="0.25">
      <c r="A174" s="182"/>
      <c r="G174" s="153"/>
      <c r="H174" s="165">
        <v>169</v>
      </c>
      <c r="I174" s="166" t="str">
        <f t="shared" si="10"/>
        <v/>
      </c>
      <c r="J174" s="165">
        <f t="shared" si="13"/>
        <v>-4</v>
      </c>
      <c r="K174" s="165">
        <f t="shared" si="11"/>
        <v>-40</v>
      </c>
      <c r="L174" s="165"/>
      <c r="M174" s="167">
        <f t="shared" si="12"/>
        <v>0</v>
      </c>
    </row>
    <row r="175" spans="1:13" x14ac:dyDescent="0.25">
      <c r="A175" s="182"/>
      <c r="G175" s="153"/>
      <c r="H175" s="165">
        <v>170</v>
      </c>
      <c r="I175" s="166" t="str">
        <f t="shared" si="10"/>
        <v/>
      </c>
      <c r="J175" s="165">
        <f t="shared" si="13"/>
        <v>-4</v>
      </c>
      <c r="K175" s="165">
        <f t="shared" si="11"/>
        <v>-40</v>
      </c>
      <c r="L175" s="165"/>
      <c r="M175" s="167">
        <f t="shared" si="12"/>
        <v>0</v>
      </c>
    </row>
    <row r="176" spans="1:13" x14ac:dyDescent="0.25">
      <c r="A176" s="182"/>
      <c r="G176" s="153"/>
      <c r="H176" s="165">
        <v>171</v>
      </c>
      <c r="I176" s="166" t="str">
        <f t="shared" si="10"/>
        <v/>
      </c>
      <c r="J176" s="165">
        <f t="shared" si="13"/>
        <v>-4</v>
      </c>
      <c r="K176" s="165">
        <f t="shared" si="11"/>
        <v>-40</v>
      </c>
      <c r="L176" s="165"/>
      <c r="M176" s="167">
        <f t="shared" si="12"/>
        <v>0</v>
      </c>
    </row>
    <row r="177" spans="1:13" x14ac:dyDescent="0.25">
      <c r="A177" s="182"/>
      <c r="G177" s="153"/>
      <c r="H177" s="165">
        <v>172</v>
      </c>
      <c r="I177" s="166" t="str">
        <f t="shared" si="10"/>
        <v/>
      </c>
      <c r="J177" s="165">
        <f t="shared" si="13"/>
        <v>-4</v>
      </c>
      <c r="K177" s="165">
        <f t="shared" si="11"/>
        <v>-40</v>
      </c>
      <c r="L177" s="165"/>
      <c r="M177" s="167">
        <f t="shared" si="12"/>
        <v>0</v>
      </c>
    </row>
    <row r="178" spans="1:13" x14ac:dyDescent="0.25">
      <c r="A178" s="182"/>
      <c r="G178" s="153"/>
      <c r="H178" s="165">
        <v>173</v>
      </c>
      <c r="I178" s="166" t="str">
        <f t="shared" si="10"/>
        <v/>
      </c>
      <c r="J178" s="165">
        <f t="shared" si="13"/>
        <v>-4</v>
      </c>
      <c r="K178" s="165">
        <f t="shared" si="11"/>
        <v>-40</v>
      </c>
      <c r="L178" s="165"/>
      <c r="M178" s="167">
        <f t="shared" si="12"/>
        <v>0</v>
      </c>
    </row>
    <row r="179" spans="1:13" x14ac:dyDescent="0.25">
      <c r="A179" s="182"/>
      <c r="G179" s="153"/>
      <c r="H179" s="165">
        <v>174</v>
      </c>
      <c r="I179" s="166" t="str">
        <f t="shared" si="10"/>
        <v/>
      </c>
      <c r="J179" s="165">
        <f t="shared" si="13"/>
        <v>-4</v>
      </c>
      <c r="K179" s="165">
        <f t="shared" si="11"/>
        <v>-40</v>
      </c>
      <c r="L179" s="165"/>
      <c r="M179" s="167">
        <f t="shared" si="12"/>
        <v>0</v>
      </c>
    </row>
    <row r="180" spans="1:13" x14ac:dyDescent="0.25">
      <c r="A180" s="182"/>
      <c r="G180" s="153"/>
      <c r="H180" s="165">
        <v>175</v>
      </c>
      <c r="I180" s="166" t="str">
        <f t="shared" si="10"/>
        <v/>
      </c>
      <c r="J180" s="165">
        <f t="shared" si="13"/>
        <v>-4</v>
      </c>
      <c r="K180" s="165">
        <f t="shared" si="11"/>
        <v>-40</v>
      </c>
      <c r="L180" s="165"/>
      <c r="M180" s="167">
        <f t="shared" si="12"/>
        <v>0</v>
      </c>
    </row>
    <row r="181" spans="1:13" x14ac:dyDescent="0.25">
      <c r="A181" s="182"/>
      <c r="G181" s="153"/>
      <c r="H181" s="165">
        <v>176</v>
      </c>
      <c r="I181" s="166" t="str">
        <f t="shared" si="10"/>
        <v/>
      </c>
      <c r="J181" s="165">
        <f t="shared" si="13"/>
        <v>-4</v>
      </c>
      <c r="K181" s="165">
        <f t="shared" si="11"/>
        <v>-40</v>
      </c>
      <c r="L181" s="165"/>
      <c r="M181" s="167">
        <f t="shared" si="12"/>
        <v>0</v>
      </c>
    </row>
    <row r="182" spans="1:13" x14ac:dyDescent="0.25">
      <c r="A182" s="182"/>
      <c r="G182" s="153"/>
      <c r="H182" s="165">
        <v>177</v>
      </c>
      <c r="I182" s="166" t="str">
        <f t="shared" si="10"/>
        <v/>
      </c>
      <c r="J182" s="165">
        <f t="shared" si="13"/>
        <v>-4</v>
      </c>
      <c r="K182" s="165">
        <f t="shared" si="11"/>
        <v>-40</v>
      </c>
      <c r="L182" s="165"/>
      <c r="M182" s="167">
        <f t="shared" si="12"/>
        <v>0</v>
      </c>
    </row>
    <row r="183" spans="1:13" x14ac:dyDescent="0.25">
      <c r="A183" s="182"/>
      <c r="G183" s="153"/>
      <c r="H183" s="165">
        <v>178</v>
      </c>
      <c r="I183" s="166" t="str">
        <f t="shared" si="10"/>
        <v/>
      </c>
      <c r="J183" s="165">
        <f t="shared" si="13"/>
        <v>-4</v>
      </c>
      <c r="K183" s="165">
        <f t="shared" si="11"/>
        <v>-40</v>
      </c>
      <c r="L183" s="165"/>
      <c r="M183" s="167">
        <f t="shared" si="12"/>
        <v>0</v>
      </c>
    </row>
    <row r="184" spans="1:13" x14ac:dyDescent="0.25">
      <c r="A184" s="182"/>
      <c r="G184" s="153"/>
      <c r="H184" s="165">
        <v>179</v>
      </c>
      <c r="I184" s="166" t="str">
        <f t="shared" si="10"/>
        <v/>
      </c>
      <c r="J184" s="165">
        <f t="shared" si="13"/>
        <v>-4</v>
      </c>
      <c r="K184" s="165">
        <f t="shared" si="11"/>
        <v>-40</v>
      </c>
      <c r="L184" s="165"/>
      <c r="M184" s="167">
        <f t="shared" si="12"/>
        <v>0</v>
      </c>
    </row>
    <row r="185" spans="1:13" x14ac:dyDescent="0.25">
      <c r="A185" s="182"/>
      <c r="G185" s="153"/>
      <c r="H185" s="165">
        <v>180</v>
      </c>
      <c r="I185" s="166" t="str">
        <f t="shared" si="10"/>
        <v/>
      </c>
      <c r="J185" s="165">
        <f t="shared" si="13"/>
        <v>-4</v>
      </c>
      <c r="K185" s="165">
        <f t="shared" si="11"/>
        <v>-40</v>
      </c>
      <c r="L185" s="165"/>
      <c r="M185" s="167">
        <f t="shared" si="12"/>
        <v>0</v>
      </c>
    </row>
    <row r="186" spans="1:13" x14ac:dyDescent="0.25">
      <c r="A186" s="182"/>
      <c r="G186" s="153"/>
      <c r="H186" s="165">
        <v>181</v>
      </c>
      <c r="I186" s="166" t="str">
        <f t="shared" si="10"/>
        <v/>
      </c>
      <c r="J186" s="165">
        <f t="shared" si="13"/>
        <v>-4</v>
      </c>
      <c r="K186" s="165">
        <f t="shared" si="11"/>
        <v>-40</v>
      </c>
      <c r="L186" s="165"/>
      <c r="M186" s="167">
        <f t="shared" si="12"/>
        <v>0</v>
      </c>
    </row>
    <row r="187" spans="1:13" x14ac:dyDescent="0.25">
      <c r="A187" s="182"/>
      <c r="G187" s="153"/>
      <c r="H187" s="165">
        <v>182</v>
      </c>
      <c r="I187" s="166" t="str">
        <f t="shared" si="10"/>
        <v/>
      </c>
      <c r="J187" s="165">
        <f t="shared" si="13"/>
        <v>-4</v>
      </c>
      <c r="K187" s="165">
        <f t="shared" si="11"/>
        <v>-40</v>
      </c>
      <c r="L187" s="165"/>
      <c r="M187" s="167">
        <f t="shared" si="12"/>
        <v>0</v>
      </c>
    </row>
    <row r="188" spans="1:13" x14ac:dyDescent="0.25">
      <c r="A188" s="182"/>
      <c r="G188" s="153"/>
      <c r="H188" s="165">
        <v>183</v>
      </c>
      <c r="I188" s="166" t="str">
        <f t="shared" si="10"/>
        <v/>
      </c>
      <c r="J188" s="165">
        <f t="shared" si="13"/>
        <v>-4</v>
      </c>
      <c r="K188" s="165">
        <f t="shared" si="11"/>
        <v>-40</v>
      </c>
      <c r="L188" s="165"/>
      <c r="M188" s="167">
        <f t="shared" si="12"/>
        <v>0</v>
      </c>
    </row>
    <row r="189" spans="1:13" x14ac:dyDescent="0.25">
      <c r="A189" s="182"/>
      <c r="G189" s="153"/>
      <c r="H189" s="165">
        <v>184</v>
      </c>
      <c r="I189" s="166" t="str">
        <f t="shared" si="10"/>
        <v/>
      </c>
      <c r="J189" s="165">
        <f t="shared" si="13"/>
        <v>-4</v>
      </c>
      <c r="K189" s="165">
        <f t="shared" si="11"/>
        <v>-40</v>
      </c>
      <c r="L189" s="165"/>
      <c r="M189" s="167">
        <f t="shared" si="12"/>
        <v>0</v>
      </c>
    </row>
    <row r="190" spans="1:13" x14ac:dyDescent="0.25">
      <c r="A190" s="182"/>
      <c r="G190" s="153"/>
      <c r="H190" s="165">
        <v>185</v>
      </c>
      <c r="I190" s="166" t="str">
        <f t="shared" si="10"/>
        <v/>
      </c>
      <c r="J190" s="165">
        <f t="shared" si="13"/>
        <v>-4</v>
      </c>
      <c r="K190" s="165">
        <f t="shared" si="11"/>
        <v>-40</v>
      </c>
      <c r="L190" s="165"/>
      <c r="M190" s="167">
        <f t="shared" si="12"/>
        <v>0</v>
      </c>
    </row>
    <row r="191" spans="1:13" x14ac:dyDescent="0.25">
      <c r="A191" s="182"/>
      <c r="G191" s="153"/>
      <c r="H191" s="165">
        <v>186</v>
      </c>
      <c r="I191" s="166" t="str">
        <f t="shared" si="10"/>
        <v/>
      </c>
      <c r="J191" s="165">
        <f t="shared" si="13"/>
        <v>-4</v>
      </c>
      <c r="K191" s="165">
        <f t="shared" si="11"/>
        <v>-40</v>
      </c>
      <c r="L191" s="165"/>
      <c r="M191" s="167">
        <f t="shared" si="12"/>
        <v>0</v>
      </c>
    </row>
    <row r="192" spans="1:13" x14ac:dyDescent="0.25">
      <c r="A192" s="182"/>
      <c r="G192" s="153"/>
      <c r="H192" s="165">
        <v>187</v>
      </c>
      <c r="I192" s="166" t="str">
        <f t="shared" si="10"/>
        <v/>
      </c>
      <c r="J192" s="165">
        <f t="shared" si="13"/>
        <v>-4</v>
      </c>
      <c r="K192" s="165">
        <f t="shared" si="11"/>
        <v>-40</v>
      </c>
      <c r="L192" s="165"/>
      <c r="M192" s="167">
        <f t="shared" si="12"/>
        <v>0</v>
      </c>
    </row>
    <row r="193" spans="1:13" x14ac:dyDescent="0.25">
      <c r="A193" s="182"/>
      <c r="G193" s="153"/>
      <c r="H193" s="165">
        <v>188</v>
      </c>
      <c r="I193" s="166" t="str">
        <f t="shared" si="10"/>
        <v/>
      </c>
      <c r="J193" s="165">
        <f t="shared" si="13"/>
        <v>-4</v>
      </c>
      <c r="K193" s="165">
        <f t="shared" si="11"/>
        <v>-40</v>
      </c>
      <c r="L193" s="165"/>
      <c r="M193" s="167">
        <f t="shared" si="12"/>
        <v>0</v>
      </c>
    </row>
    <row r="194" spans="1:13" x14ac:dyDescent="0.25">
      <c r="A194" s="182"/>
      <c r="G194" s="153"/>
      <c r="H194" s="165">
        <v>189</v>
      </c>
      <c r="I194" s="166" t="str">
        <f t="shared" si="10"/>
        <v/>
      </c>
      <c r="J194" s="165">
        <f t="shared" si="13"/>
        <v>-4</v>
      </c>
      <c r="K194" s="165">
        <f t="shared" si="11"/>
        <v>-40</v>
      </c>
      <c r="L194" s="165"/>
      <c r="M194" s="167">
        <f t="shared" si="12"/>
        <v>0</v>
      </c>
    </row>
    <row r="195" spans="1:13" x14ac:dyDescent="0.25">
      <c r="A195" s="182"/>
      <c r="G195" s="153"/>
      <c r="H195" s="165">
        <v>190</v>
      </c>
      <c r="I195" s="166" t="str">
        <f t="shared" si="10"/>
        <v/>
      </c>
      <c r="J195" s="165">
        <f t="shared" si="13"/>
        <v>-4</v>
      </c>
      <c r="K195" s="165">
        <f t="shared" si="11"/>
        <v>-40</v>
      </c>
      <c r="L195" s="165"/>
      <c r="M195" s="167">
        <f t="shared" si="12"/>
        <v>0</v>
      </c>
    </row>
    <row r="196" spans="1:13" x14ac:dyDescent="0.25">
      <c r="A196" s="182"/>
      <c r="G196" s="153"/>
      <c r="H196" s="165">
        <v>191</v>
      </c>
      <c r="I196" s="166" t="str">
        <f t="shared" si="10"/>
        <v/>
      </c>
      <c r="J196" s="165">
        <f t="shared" si="13"/>
        <v>-4</v>
      </c>
      <c r="K196" s="165">
        <f t="shared" si="11"/>
        <v>-40</v>
      </c>
      <c r="L196" s="165"/>
      <c r="M196" s="167">
        <f t="shared" si="12"/>
        <v>0</v>
      </c>
    </row>
    <row r="197" spans="1:13" x14ac:dyDescent="0.25">
      <c r="A197" s="182"/>
      <c r="G197" s="153"/>
      <c r="H197" s="165">
        <v>192</v>
      </c>
      <c r="I197" s="166" t="str">
        <f t="shared" si="10"/>
        <v/>
      </c>
      <c r="J197" s="165">
        <f t="shared" si="13"/>
        <v>-4</v>
      </c>
      <c r="K197" s="165">
        <f t="shared" si="11"/>
        <v>-40</v>
      </c>
      <c r="L197" s="165"/>
      <c r="M197" s="167">
        <f t="shared" si="12"/>
        <v>0</v>
      </c>
    </row>
    <row r="198" spans="1:13" x14ac:dyDescent="0.25">
      <c r="A198" s="182"/>
      <c r="G198" s="153"/>
      <c r="H198" s="165">
        <v>193</v>
      </c>
      <c r="I198" s="166" t="str">
        <f t="shared" ref="I198:I261" si="14">IF(H198&lt;$H$2+1,($I$2-($I$2-1)*(LOG(H198)/LOG($H$2))),"")</f>
        <v/>
      </c>
      <c r="J198" s="165">
        <f t="shared" si="13"/>
        <v>-4</v>
      </c>
      <c r="K198" s="165">
        <f t="shared" ref="K198:K261" si="15">J198*$J$2</f>
        <v>-40</v>
      </c>
      <c r="L198" s="165"/>
      <c r="M198" s="167">
        <f t="shared" ref="M198:M261" si="16">IF(I198&lt;&gt;"",K198+I198+L198,0)</f>
        <v>0</v>
      </c>
    </row>
    <row r="199" spans="1:13" x14ac:dyDescent="0.25">
      <c r="A199" s="182"/>
      <c r="G199" s="153"/>
      <c r="H199" s="165">
        <v>194</v>
      </c>
      <c r="I199" s="166" t="str">
        <f t="shared" si="14"/>
        <v/>
      </c>
      <c r="J199" s="165">
        <f t="shared" ref="J199:J262" si="17">INT(LOG($H$2,2))-ROUNDUP(LOG(H199,2),0)+IF(OR($H$2=1,$H$2=2,$H$2=4,$H$2=8,$H$2=16,$H$2=32,$H$2=64,$H$2=128,$H$2=256),0,1)</f>
        <v>-4</v>
      </c>
      <c r="K199" s="165">
        <f t="shared" si="15"/>
        <v>-40</v>
      </c>
      <c r="L199" s="165"/>
      <c r="M199" s="167">
        <f t="shared" si="16"/>
        <v>0</v>
      </c>
    </row>
    <row r="200" spans="1:13" x14ac:dyDescent="0.25">
      <c r="A200" s="182"/>
      <c r="G200" s="153"/>
      <c r="H200" s="165">
        <v>195</v>
      </c>
      <c r="I200" s="166" t="str">
        <f t="shared" si="14"/>
        <v/>
      </c>
      <c r="J200" s="165">
        <f t="shared" si="17"/>
        <v>-4</v>
      </c>
      <c r="K200" s="165">
        <f t="shared" si="15"/>
        <v>-40</v>
      </c>
      <c r="L200" s="165"/>
      <c r="M200" s="167">
        <f t="shared" si="16"/>
        <v>0</v>
      </c>
    </row>
    <row r="201" spans="1:13" x14ac:dyDescent="0.25">
      <c r="A201" s="182"/>
      <c r="G201" s="153"/>
      <c r="H201" s="165">
        <v>196</v>
      </c>
      <c r="I201" s="166" t="str">
        <f t="shared" si="14"/>
        <v/>
      </c>
      <c r="J201" s="165">
        <f t="shared" si="17"/>
        <v>-4</v>
      </c>
      <c r="K201" s="165">
        <f t="shared" si="15"/>
        <v>-40</v>
      </c>
      <c r="L201" s="165"/>
      <c r="M201" s="167">
        <f t="shared" si="16"/>
        <v>0</v>
      </c>
    </row>
    <row r="202" spans="1:13" x14ac:dyDescent="0.25">
      <c r="A202" s="182"/>
      <c r="G202" s="153"/>
      <c r="H202" s="165">
        <v>197</v>
      </c>
      <c r="I202" s="166" t="str">
        <f t="shared" si="14"/>
        <v/>
      </c>
      <c r="J202" s="165">
        <f t="shared" si="17"/>
        <v>-4</v>
      </c>
      <c r="K202" s="165">
        <f t="shared" si="15"/>
        <v>-40</v>
      </c>
      <c r="L202" s="165"/>
      <c r="M202" s="167">
        <f t="shared" si="16"/>
        <v>0</v>
      </c>
    </row>
    <row r="203" spans="1:13" x14ac:dyDescent="0.25">
      <c r="A203" s="182"/>
      <c r="G203" s="153"/>
      <c r="H203" s="165">
        <v>198</v>
      </c>
      <c r="I203" s="166" t="str">
        <f t="shared" si="14"/>
        <v/>
      </c>
      <c r="J203" s="165">
        <f t="shared" si="17"/>
        <v>-4</v>
      </c>
      <c r="K203" s="165">
        <f t="shared" si="15"/>
        <v>-40</v>
      </c>
      <c r="L203" s="165"/>
      <c r="M203" s="167">
        <f t="shared" si="16"/>
        <v>0</v>
      </c>
    </row>
    <row r="204" spans="1:13" x14ac:dyDescent="0.25">
      <c r="A204" s="182"/>
      <c r="G204" s="153"/>
      <c r="H204" s="165">
        <v>199</v>
      </c>
      <c r="I204" s="166" t="str">
        <f t="shared" si="14"/>
        <v/>
      </c>
      <c r="J204" s="165">
        <f t="shared" si="17"/>
        <v>-4</v>
      </c>
      <c r="K204" s="165">
        <f t="shared" si="15"/>
        <v>-40</v>
      </c>
      <c r="L204" s="165"/>
      <c r="M204" s="167">
        <f t="shared" si="16"/>
        <v>0</v>
      </c>
    </row>
    <row r="205" spans="1:13" x14ac:dyDescent="0.25">
      <c r="A205" s="182"/>
      <c r="G205" s="153"/>
      <c r="H205" s="165">
        <v>200</v>
      </c>
      <c r="I205" s="166" t="str">
        <f t="shared" si="14"/>
        <v/>
      </c>
      <c r="J205" s="165">
        <f t="shared" si="17"/>
        <v>-4</v>
      </c>
      <c r="K205" s="165">
        <f t="shared" si="15"/>
        <v>-40</v>
      </c>
      <c r="L205" s="165"/>
      <c r="M205" s="167">
        <f t="shared" si="16"/>
        <v>0</v>
      </c>
    </row>
    <row r="206" spans="1:13" x14ac:dyDescent="0.25">
      <c r="A206" s="182"/>
      <c r="G206" s="153"/>
      <c r="H206" s="165">
        <v>201</v>
      </c>
      <c r="I206" s="166" t="str">
        <f t="shared" si="14"/>
        <v/>
      </c>
      <c r="J206" s="165">
        <f t="shared" si="17"/>
        <v>-4</v>
      </c>
      <c r="K206" s="165">
        <f t="shared" si="15"/>
        <v>-40</v>
      </c>
      <c r="L206" s="165"/>
      <c r="M206" s="167">
        <f t="shared" si="16"/>
        <v>0</v>
      </c>
    </row>
    <row r="207" spans="1:13" x14ac:dyDescent="0.25">
      <c r="A207" s="182"/>
      <c r="G207" s="153"/>
      <c r="H207" s="165">
        <v>202</v>
      </c>
      <c r="I207" s="166" t="str">
        <f t="shared" si="14"/>
        <v/>
      </c>
      <c r="J207" s="165">
        <f t="shared" si="17"/>
        <v>-4</v>
      </c>
      <c r="K207" s="165">
        <f t="shared" si="15"/>
        <v>-40</v>
      </c>
      <c r="L207" s="165"/>
      <c r="M207" s="167">
        <f t="shared" si="16"/>
        <v>0</v>
      </c>
    </row>
    <row r="208" spans="1:13" x14ac:dyDescent="0.25">
      <c r="A208" s="182"/>
      <c r="G208" s="153"/>
      <c r="H208" s="165">
        <v>203</v>
      </c>
      <c r="I208" s="166" t="str">
        <f t="shared" si="14"/>
        <v/>
      </c>
      <c r="J208" s="165">
        <f t="shared" si="17"/>
        <v>-4</v>
      </c>
      <c r="K208" s="165">
        <f t="shared" si="15"/>
        <v>-40</v>
      </c>
      <c r="L208" s="165"/>
      <c r="M208" s="167">
        <f t="shared" si="16"/>
        <v>0</v>
      </c>
    </row>
    <row r="209" spans="1:13" x14ac:dyDescent="0.25">
      <c r="A209" s="182"/>
      <c r="G209" s="153"/>
      <c r="H209" s="165">
        <v>204</v>
      </c>
      <c r="I209" s="166" t="str">
        <f t="shared" si="14"/>
        <v/>
      </c>
      <c r="J209" s="165">
        <f t="shared" si="17"/>
        <v>-4</v>
      </c>
      <c r="K209" s="165">
        <f t="shared" si="15"/>
        <v>-40</v>
      </c>
      <c r="L209" s="165"/>
      <c r="M209" s="167">
        <f t="shared" si="16"/>
        <v>0</v>
      </c>
    </row>
    <row r="210" spans="1:13" x14ac:dyDescent="0.25">
      <c r="A210" s="182"/>
      <c r="G210" s="153"/>
      <c r="H210" s="165">
        <v>205</v>
      </c>
      <c r="I210" s="166" t="str">
        <f t="shared" si="14"/>
        <v/>
      </c>
      <c r="J210" s="165">
        <f t="shared" si="17"/>
        <v>-4</v>
      </c>
      <c r="K210" s="165">
        <f t="shared" si="15"/>
        <v>-40</v>
      </c>
      <c r="L210" s="165"/>
      <c r="M210" s="167">
        <f t="shared" si="16"/>
        <v>0</v>
      </c>
    </row>
    <row r="211" spans="1:13" x14ac:dyDescent="0.25">
      <c r="A211" s="182"/>
      <c r="G211" s="153"/>
      <c r="H211" s="165">
        <v>206</v>
      </c>
      <c r="I211" s="166" t="str">
        <f t="shared" si="14"/>
        <v/>
      </c>
      <c r="J211" s="165">
        <f t="shared" si="17"/>
        <v>-4</v>
      </c>
      <c r="K211" s="165">
        <f t="shared" si="15"/>
        <v>-40</v>
      </c>
      <c r="L211" s="165"/>
      <c r="M211" s="167">
        <f t="shared" si="16"/>
        <v>0</v>
      </c>
    </row>
    <row r="212" spans="1:13" x14ac:dyDescent="0.25">
      <c r="A212" s="182"/>
      <c r="G212" s="153"/>
      <c r="H212" s="165">
        <v>207</v>
      </c>
      <c r="I212" s="166" t="str">
        <f t="shared" si="14"/>
        <v/>
      </c>
      <c r="J212" s="165">
        <f t="shared" si="17"/>
        <v>-4</v>
      </c>
      <c r="K212" s="165">
        <f t="shared" si="15"/>
        <v>-40</v>
      </c>
      <c r="L212" s="165"/>
      <c r="M212" s="167">
        <f t="shared" si="16"/>
        <v>0</v>
      </c>
    </row>
    <row r="213" spans="1:13" x14ac:dyDescent="0.25">
      <c r="A213" s="182"/>
      <c r="G213" s="153"/>
      <c r="H213" s="165">
        <v>208</v>
      </c>
      <c r="I213" s="166" t="str">
        <f t="shared" si="14"/>
        <v/>
      </c>
      <c r="J213" s="165">
        <f t="shared" si="17"/>
        <v>-4</v>
      </c>
      <c r="K213" s="165">
        <f t="shared" si="15"/>
        <v>-40</v>
      </c>
      <c r="L213" s="165"/>
      <c r="M213" s="167">
        <f t="shared" si="16"/>
        <v>0</v>
      </c>
    </row>
    <row r="214" spans="1:13" x14ac:dyDescent="0.25">
      <c r="A214" s="182"/>
      <c r="G214" s="153"/>
      <c r="H214" s="165">
        <v>209</v>
      </c>
      <c r="I214" s="166" t="str">
        <f t="shared" si="14"/>
        <v/>
      </c>
      <c r="J214" s="165">
        <f t="shared" si="17"/>
        <v>-4</v>
      </c>
      <c r="K214" s="165">
        <f t="shared" si="15"/>
        <v>-40</v>
      </c>
      <c r="L214" s="165"/>
      <c r="M214" s="167">
        <f t="shared" si="16"/>
        <v>0</v>
      </c>
    </row>
    <row r="215" spans="1:13" x14ac:dyDescent="0.25">
      <c r="A215" s="182"/>
      <c r="G215" s="153"/>
      <c r="H215" s="165">
        <v>210</v>
      </c>
      <c r="I215" s="166" t="str">
        <f t="shared" si="14"/>
        <v/>
      </c>
      <c r="J215" s="165">
        <f t="shared" si="17"/>
        <v>-4</v>
      </c>
      <c r="K215" s="165">
        <f t="shared" si="15"/>
        <v>-40</v>
      </c>
      <c r="L215" s="165"/>
      <c r="M215" s="167">
        <f t="shared" si="16"/>
        <v>0</v>
      </c>
    </row>
    <row r="216" spans="1:13" x14ac:dyDescent="0.25">
      <c r="A216" s="182"/>
      <c r="G216" s="153"/>
      <c r="H216" s="165">
        <v>211</v>
      </c>
      <c r="I216" s="166" t="str">
        <f t="shared" si="14"/>
        <v/>
      </c>
      <c r="J216" s="165">
        <f t="shared" si="17"/>
        <v>-4</v>
      </c>
      <c r="K216" s="165">
        <f t="shared" si="15"/>
        <v>-40</v>
      </c>
      <c r="L216" s="165"/>
      <c r="M216" s="167">
        <f t="shared" si="16"/>
        <v>0</v>
      </c>
    </row>
    <row r="217" spans="1:13" x14ac:dyDescent="0.25">
      <c r="A217" s="182"/>
      <c r="G217" s="153"/>
      <c r="H217" s="165">
        <v>212</v>
      </c>
      <c r="I217" s="166" t="str">
        <f t="shared" si="14"/>
        <v/>
      </c>
      <c r="J217" s="165">
        <f t="shared" si="17"/>
        <v>-4</v>
      </c>
      <c r="K217" s="165">
        <f t="shared" si="15"/>
        <v>-40</v>
      </c>
      <c r="L217" s="165"/>
      <c r="M217" s="167">
        <f t="shared" si="16"/>
        <v>0</v>
      </c>
    </row>
    <row r="218" spans="1:13" x14ac:dyDescent="0.25">
      <c r="A218" s="182"/>
      <c r="G218" s="153"/>
      <c r="H218" s="165">
        <v>213</v>
      </c>
      <c r="I218" s="166" t="str">
        <f t="shared" si="14"/>
        <v/>
      </c>
      <c r="J218" s="165">
        <f t="shared" si="17"/>
        <v>-4</v>
      </c>
      <c r="K218" s="165">
        <f t="shared" si="15"/>
        <v>-40</v>
      </c>
      <c r="L218" s="165"/>
      <c r="M218" s="167">
        <f t="shared" si="16"/>
        <v>0</v>
      </c>
    </row>
    <row r="219" spans="1:13" x14ac:dyDescent="0.25">
      <c r="A219" s="182"/>
      <c r="G219" s="153"/>
      <c r="H219" s="165">
        <v>214</v>
      </c>
      <c r="I219" s="166" t="str">
        <f t="shared" si="14"/>
        <v/>
      </c>
      <c r="J219" s="165">
        <f t="shared" si="17"/>
        <v>-4</v>
      </c>
      <c r="K219" s="165">
        <f t="shared" si="15"/>
        <v>-40</v>
      </c>
      <c r="L219" s="165"/>
      <c r="M219" s="167">
        <f t="shared" si="16"/>
        <v>0</v>
      </c>
    </row>
    <row r="220" spans="1:13" x14ac:dyDescent="0.25">
      <c r="A220" s="182"/>
      <c r="G220" s="153"/>
      <c r="H220" s="165">
        <v>215</v>
      </c>
      <c r="I220" s="166" t="str">
        <f t="shared" si="14"/>
        <v/>
      </c>
      <c r="J220" s="165">
        <f t="shared" si="17"/>
        <v>-4</v>
      </c>
      <c r="K220" s="165">
        <f t="shared" si="15"/>
        <v>-40</v>
      </c>
      <c r="L220" s="165"/>
      <c r="M220" s="167">
        <f t="shared" si="16"/>
        <v>0</v>
      </c>
    </row>
    <row r="221" spans="1:13" x14ac:dyDescent="0.25">
      <c r="A221" s="182"/>
      <c r="G221" s="153"/>
      <c r="H221" s="165">
        <v>216</v>
      </c>
      <c r="I221" s="166" t="str">
        <f t="shared" si="14"/>
        <v/>
      </c>
      <c r="J221" s="165">
        <f t="shared" si="17"/>
        <v>-4</v>
      </c>
      <c r="K221" s="165">
        <f t="shared" si="15"/>
        <v>-40</v>
      </c>
      <c r="L221" s="165"/>
      <c r="M221" s="167">
        <f t="shared" si="16"/>
        <v>0</v>
      </c>
    </row>
    <row r="222" spans="1:13" x14ac:dyDescent="0.25">
      <c r="A222" s="182"/>
      <c r="G222" s="153"/>
      <c r="H222" s="165">
        <v>217</v>
      </c>
      <c r="I222" s="166" t="str">
        <f t="shared" si="14"/>
        <v/>
      </c>
      <c r="J222" s="165">
        <f t="shared" si="17"/>
        <v>-4</v>
      </c>
      <c r="K222" s="165">
        <f t="shared" si="15"/>
        <v>-40</v>
      </c>
      <c r="L222" s="165"/>
      <c r="M222" s="167">
        <f t="shared" si="16"/>
        <v>0</v>
      </c>
    </row>
    <row r="223" spans="1:13" x14ac:dyDescent="0.25">
      <c r="A223" s="182"/>
      <c r="G223" s="153"/>
      <c r="H223" s="165">
        <v>218</v>
      </c>
      <c r="I223" s="166" t="str">
        <f t="shared" si="14"/>
        <v/>
      </c>
      <c r="J223" s="165">
        <f t="shared" si="17"/>
        <v>-4</v>
      </c>
      <c r="K223" s="165">
        <f t="shared" si="15"/>
        <v>-40</v>
      </c>
      <c r="L223" s="165"/>
      <c r="M223" s="167">
        <f t="shared" si="16"/>
        <v>0</v>
      </c>
    </row>
    <row r="224" spans="1:13" x14ac:dyDescent="0.25">
      <c r="A224" s="182"/>
      <c r="G224" s="153"/>
      <c r="H224" s="165">
        <v>219</v>
      </c>
      <c r="I224" s="166" t="str">
        <f t="shared" si="14"/>
        <v/>
      </c>
      <c r="J224" s="165">
        <f t="shared" si="17"/>
        <v>-4</v>
      </c>
      <c r="K224" s="165">
        <f t="shared" si="15"/>
        <v>-40</v>
      </c>
      <c r="L224" s="165"/>
      <c r="M224" s="167">
        <f t="shared" si="16"/>
        <v>0</v>
      </c>
    </row>
    <row r="225" spans="1:13" x14ac:dyDescent="0.25">
      <c r="A225" s="182"/>
      <c r="G225" s="153"/>
      <c r="H225" s="165">
        <v>220</v>
      </c>
      <c r="I225" s="166" t="str">
        <f t="shared" si="14"/>
        <v/>
      </c>
      <c r="J225" s="165">
        <f t="shared" si="17"/>
        <v>-4</v>
      </c>
      <c r="K225" s="165">
        <f t="shared" si="15"/>
        <v>-40</v>
      </c>
      <c r="L225" s="165"/>
      <c r="M225" s="167">
        <f t="shared" si="16"/>
        <v>0</v>
      </c>
    </row>
    <row r="226" spans="1:13" x14ac:dyDescent="0.25">
      <c r="A226" s="182"/>
      <c r="G226" s="153"/>
      <c r="H226" s="165">
        <v>221</v>
      </c>
      <c r="I226" s="166" t="str">
        <f t="shared" si="14"/>
        <v/>
      </c>
      <c r="J226" s="165">
        <f t="shared" si="17"/>
        <v>-4</v>
      </c>
      <c r="K226" s="165">
        <f t="shared" si="15"/>
        <v>-40</v>
      </c>
      <c r="L226" s="165"/>
      <c r="M226" s="167">
        <f t="shared" si="16"/>
        <v>0</v>
      </c>
    </row>
    <row r="227" spans="1:13" x14ac:dyDescent="0.25">
      <c r="A227" s="182"/>
      <c r="G227" s="153"/>
      <c r="H227" s="165">
        <v>222</v>
      </c>
      <c r="I227" s="166" t="str">
        <f t="shared" si="14"/>
        <v/>
      </c>
      <c r="J227" s="165">
        <f t="shared" si="17"/>
        <v>-4</v>
      </c>
      <c r="K227" s="165">
        <f t="shared" si="15"/>
        <v>-40</v>
      </c>
      <c r="L227" s="165"/>
      <c r="M227" s="167">
        <f t="shared" si="16"/>
        <v>0</v>
      </c>
    </row>
    <row r="228" spans="1:13" x14ac:dyDescent="0.25">
      <c r="A228" s="182"/>
      <c r="G228" s="153"/>
      <c r="H228" s="165">
        <v>223</v>
      </c>
      <c r="I228" s="166" t="str">
        <f t="shared" si="14"/>
        <v/>
      </c>
      <c r="J228" s="165">
        <f t="shared" si="17"/>
        <v>-4</v>
      </c>
      <c r="K228" s="165">
        <f t="shared" si="15"/>
        <v>-40</v>
      </c>
      <c r="L228" s="165"/>
      <c r="M228" s="167">
        <f t="shared" si="16"/>
        <v>0</v>
      </c>
    </row>
    <row r="229" spans="1:13" x14ac:dyDescent="0.25">
      <c r="A229" s="182"/>
      <c r="G229" s="153"/>
      <c r="H229" s="165">
        <v>224</v>
      </c>
      <c r="I229" s="166" t="str">
        <f t="shared" si="14"/>
        <v/>
      </c>
      <c r="J229" s="165">
        <f t="shared" si="17"/>
        <v>-4</v>
      </c>
      <c r="K229" s="165">
        <f t="shared" si="15"/>
        <v>-40</v>
      </c>
      <c r="L229" s="165"/>
      <c r="M229" s="167">
        <f t="shared" si="16"/>
        <v>0</v>
      </c>
    </row>
    <row r="230" spans="1:13" x14ac:dyDescent="0.25">
      <c r="A230" s="182"/>
      <c r="G230" s="153"/>
      <c r="H230" s="165">
        <v>225</v>
      </c>
      <c r="I230" s="166" t="str">
        <f t="shared" si="14"/>
        <v/>
      </c>
      <c r="J230" s="165">
        <f t="shared" si="17"/>
        <v>-4</v>
      </c>
      <c r="K230" s="165">
        <f t="shared" si="15"/>
        <v>-40</v>
      </c>
      <c r="L230" s="165"/>
      <c r="M230" s="167">
        <f t="shared" si="16"/>
        <v>0</v>
      </c>
    </row>
    <row r="231" spans="1:13" x14ac:dyDescent="0.25">
      <c r="A231" s="182"/>
      <c r="G231" s="153"/>
      <c r="H231" s="165">
        <v>226</v>
      </c>
      <c r="I231" s="166" t="str">
        <f t="shared" si="14"/>
        <v/>
      </c>
      <c r="J231" s="165">
        <f t="shared" si="17"/>
        <v>-4</v>
      </c>
      <c r="K231" s="165">
        <f t="shared" si="15"/>
        <v>-40</v>
      </c>
      <c r="L231" s="165"/>
      <c r="M231" s="167">
        <f t="shared" si="16"/>
        <v>0</v>
      </c>
    </row>
    <row r="232" spans="1:13" x14ac:dyDescent="0.25">
      <c r="A232" s="182"/>
      <c r="G232" s="153"/>
      <c r="H232" s="165">
        <v>227</v>
      </c>
      <c r="I232" s="166" t="str">
        <f t="shared" si="14"/>
        <v/>
      </c>
      <c r="J232" s="165">
        <f t="shared" si="17"/>
        <v>-4</v>
      </c>
      <c r="K232" s="165">
        <f t="shared" si="15"/>
        <v>-40</v>
      </c>
      <c r="L232" s="165"/>
      <c r="M232" s="167">
        <f t="shared" si="16"/>
        <v>0</v>
      </c>
    </row>
    <row r="233" spans="1:13" x14ac:dyDescent="0.25">
      <c r="A233" s="182"/>
      <c r="G233" s="153"/>
      <c r="H233" s="165">
        <v>228</v>
      </c>
      <c r="I233" s="166" t="str">
        <f t="shared" si="14"/>
        <v/>
      </c>
      <c r="J233" s="165">
        <f t="shared" si="17"/>
        <v>-4</v>
      </c>
      <c r="K233" s="165">
        <f t="shared" si="15"/>
        <v>-40</v>
      </c>
      <c r="L233" s="165"/>
      <c r="M233" s="167">
        <f t="shared" si="16"/>
        <v>0</v>
      </c>
    </row>
    <row r="234" spans="1:13" x14ac:dyDescent="0.25">
      <c r="A234" s="182"/>
      <c r="G234" s="153"/>
      <c r="H234" s="165">
        <v>229</v>
      </c>
      <c r="I234" s="166" t="str">
        <f t="shared" si="14"/>
        <v/>
      </c>
      <c r="J234" s="165">
        <f t="shared" si="17"/>
        <v>-4</v>
      </c>
      <c r="K234" s="165">
        <f t="shared" si="15"/>
        <v>-40</v>
      </c>
      <c r="L234" s="165"/>
      <c r="M234" s="167">
        <f t="shared" si="16"/>
        <v>0</v>
      </c>
    </row>
    <row r="235" spans="1:13" x14ac:dyDescent="0.25">
      <c r="A235" s="182"/>
      <c r="G235" s="153"/>
      <c r="H235" s="165">
        <v>230</v>
      </c>
      <c r="I235" s="166" t="str">
        <f t="shared" si="14"/>
        <v/>
      </c>
      <c r="J235" s="165">
        <f t="shared" si="17"/>
        <v>-4</v>
      </c>
      <c r="K235" s="165">
        <f t="shared" si="15"/>
        <v>-40</v>
      </c>
      <c r="L235" s="165"/>
      <c r="M235" s="167">
        <f t="shared" si="16"/>
        <v>0</v>
      </c>
    </row>
    <row r="236" spans="1:13" x14ac:dyDescent="0.25">
      <c r="A236" s="182"/>
      <c r="G236" s="153"/>
      <c r="H236" s="165">
        <v>231</v>
      </c>
      <c r="I236" s="166" t="str">
        <f t="shared" si="14"/>
        <v/>
      </c>
      <c r="J236" s="165">
        <f t="shared" si="17"/>
        <v>-4</v>
      </c>
      <c r="K236" s="165">
        <f t="shared" si="15"/>
        <v>-40</v>
      </c>
      <c r="L236" s="165"/>
      <c r="M236" s="167">
        <f t="shared" si="16"/>
        <v>0</v>
      </c>
    </row>
    <row r="237" spans="1:13" x14ac:dyDescent="0.25">
      <c r="A237" s="182"/>
      <c r="G237" s="153"/>
      <c r="H237" s="165">
        <v>232</v>
      </c>
      <c r="I237" s="166" t="str">
        <f t="shared" si="14"/>
        <v/>
      </c>
      <c r="J237" s="165">
        <f t="shared" si="17"/>
        <v>-4</v>
      </c>
      <c r="K237" s="165">
        <f t="shared" si="15"/>
        <v>-40</v>
      </c>
      <c r="L237" s="165"/>
      <c r="M237" s="167">
        <f t="shared" si="16"/>
        <v>0</v>
      </c>
    </row>
    <row r="238" spans="1:13" x14ac:dyDescent="0.25">
      <c r="A238" s="182"/>
      <c r="G238" s="153"/>
      <c r="H238" s="165">
        <v>233</v>
      </c>
      <c r="I238" s="166" t="str">
        <f t="shared" si="14"/>
        <v/>
      </c>
      <c r="J238" s="165">
        <f t="shared" si="17"/>
        <v>-4</v>
      </c>
      <c r="K238" s="165">
        <f t="shared" si="15"/>
        <v>-40</v>
      </c>
      <c r="L238" s="165"/>
      <c r="M238" s="167">
        <f t="shared" si="16"/>
        <v>0</v>
      </c>
    </row>
    <row r="239" spans="1:13" x14ac:dyDescent="0.25">
      <c r="A239" s="182"/>
      <c r="G239" s="153"/>
      <c r="H239" s="165">
        <v>234</v>
      </c>
      <c r="I239" s="166" t="str">
        <f t="shared" si="14"/>
        <v/>
      </c>
      <c r="J239" s="165">
        <f t="shared" si="17"/>
        <v>-4</v>
      </c>
      <c r="K239" s="165">
        <f t="shared" si="15"/>
        <v>-40</v>
      </c>
      <c r="L239" s="165"/>
      <c r="M239" s="167">
        <f t="shared" si="16"/>
        <v>0</v>
      </c>
    </row>
    <row r="240" spans="1:13" x14ac:dyDescent="0.25">
      <c r="A240" s="182"/>
      <c r="G240" s="153"/>
      <c r="H240" s="165">
        <v>235</v>
      </c>
      <c r="I240" s="166" t="str">
        <f t="shared" si="14"/>
        <v/>
      </c>
      <c r="J240" s="165">
        <f t="shared" si="17"/>
        <v>-4</v>
      </c>
      <c r="K240" s="165">
        <f t="shared" si="15"/>
        <v>-40</v>
      </c>
      <c r="L240" s="165"/>
      <c r="M240" s="167">
        <f t="shared" si="16"/>
        <v>0</v>
      </c>
    </row>
    <row r="241" spans="1:13" x14ac:dyDescent="0.25">
      <c r="A241" s="182"/>
      <c r="G241" s="153"/>
      <c r="H241" s="165">
        <v>236</v>
      </c>
      <c r="I241" s="166" t="str">
        <f t="shared" si="14"/>
        <v/>
      </c>
      <c r="J241" s="165">
        <f t="shared" si="17"/>
        <v>-4</v>
      </c>
      <c r="K241" s="165">
        <f t="shared" si="15"/>
        <v>-40</v>
      </c>
      <c r="L241" s="165"/>
      <c r="M241" s="167">
        <f t="shared" si="16"/>
        <v>0</v>
      </c>
    </row>
    <row r="242" spans="1:13" x14ac:dyDescent="0.25">
      <c r="A242" s="182"/>
      <c r="G242" s="153"/>
      <c r="H242" s="165">
        <v>237</v>
      </c>
      <c r="I242" s="166" t="str">
        <f t="shared" si="14"/>
        <v/>
      </c>
      <c r="J242" s="165">
        <f t="shared" si="17"/>
        <v>-4</v>
      </c>
      <c r="K242" s="165">
        <f t="shared" si="15"/>
        <v>-40</v>
      </c>
      <c r="L242" s="165"/>
      <c r="M242" s="167">
        <f t="shared" si="16"/>
        <v>0</v>
      </c>
    </row>
    <row r="243" spans="1:13" x14ac:dyDescent="0.25">
      <c r="A243" s="182"/>
      <c r="G243" s="153"/>
      <c r="H243" s="165">
        <v>238</v>
      </c>
      <c r="I243" s="166" t="str">
        <f t="shared" si="14"/>
        <v/>
      </c>
      <c r="J243" s="165">
        <f t="shared" si="17"/>
        <v>-4</v>
      </c>
      <c r="K243" s="165">
        <f t="shared" si="15"/>
        <v>-40</v>
      </c>
      <c r="L243" s="165"/>
      <c r="M243" s="167">
        <f t="shared" si="16"/>
        <v>0</v>
      </c>
    </row>
    <row r="244" spans="1:13" x14ac:dyDescent="0.25">
      <c r="A244" s="182"/>
      <c r="G244" s="153"/>
      <c r="H244" s="165">
        <v>239</v>
      </c>
      <c r="I244" s="166" t="str">
        <f t="shared" si="14"/>
        <v/>
      </c>
      <c r="J244" s="165">
        <f t="shared" si="17"/>
        <v>-4</v>
      </c>
      <c r="K244" s="165">
        <f t="shared" si="15"/>
        <v>-40</v>
      </c>
      <c r="L244" s="165"/>
      <c r="M244" s="167">
        <f t="shared" si="16"/>
        <v>0</v>
      </c>
    </row>
    <row r="245" spans="1:13" x14ac:dyDescent="0.25">
      <c r="A245" s="182"/>
      <c r="G245" s="153"/>
      <c r="H245" s="165">
        <v>240</v>
      </c>
      <c r="I245" s="166" t="str">
        <f t="shared" si="14"/>
        <v/>
      </c>
      <c r="J245" s="165">
        <f t="shared" si="17"/>
        <v>-4</v>
      </c>
      <c r="K245" s="165">
        <f t="shared" si="15"/>
        <v>-40</v>
      </c>
      <c r="L245" s="165"/>
      <c r="M245" s="167">
        <f t="shared" si="16"/>
        <v>0</v>
      </c>
    </row>
    <row r="246" spans="1:13" x14ac:dyDescent="0.25">
      <c r="A246" s="182"/>
      <c r="G246" s="153"/>
      <c r="H246" s="165">
        <v>241</v>
      </c>
      <c r="I246" s="166" t="str">
        <f t="shared" si="14"/>
        <v/>
      </c>
      <c r="J246" s="165">
        <f t="shared" si="17"/>
        <v>-4</v>
      </c>
      <c r="K246" s="165">
        <f t="shared" si="15"/>
        <v>-40</v>
      </c>
      <c r="L246" s="165"/>
      <c r="M246" s="167">
        <f t="shared" si="16"/>
        <v>0</v>
      </c>
    </row>
    <row r="247" spans="1:13" x14ac:dyDescent="0.25">
      <c r="A247" s="182"/>
      <c r="G247" s="153"/>
      <c r="H247" s="165">
        <v>242</v>
      </c>
      <c r="I247" s="166" t="str">
        <f t="shared" si="14"/>
        <v/>
      </c>
      <c r="J247" s="165">
        <f t="shared" si="17"/>
        <v>-4</v>
      </c>
      <c r="K247" s="165">
        <f t="shared" si="15"/>
        <v>-40</v>
      </c>
      <c r="L247" s="165"/>
      <c r="M247" s="167">
        <f t="shared" si="16"/>
        <v>0</v>
      </c>
    </row>
    <row r="248" spans="1:13" x14ac:dyDescent="0.25">
      <c r="A248" s="182"/>
      <c r="G248" s="153"/>
      <c r="H248" s="165">
        <v>243</v>
      </c>
      <c r="I248" s="166" t="str">
        <f t="shared" si="14"/>
        <v/>
      </c>
      <c r="J248" s="165">
        <f t="shared" si="17"/>
        <v>-4</v>
      </c>
      <c r="K248" s="165">
        <f t="shared" si="15"/>
        <v>-40</v>
      </c>
      <c r="L248" s="165"/>
      <c r="M248" s="167">
        <f t="shared" si="16"/>
        <v>0</v>
      </c>
    </row>
    <row r="249" spans="1:13" x14ac:dyDescent="0.25">
      <c r="A249" s="182"/>
      <c r="G249" s="153"/>
      <c r="H249" s="165">
        <v>244</v>
      </c>
      <c r="I249" s="166" t="str">
        <f t="shared" si="14"/>
        <v/>
      </c>
      <c r="J249" s="165">
        <f t="shared" si="17"/>
        <v>-4</v>
      </c>
      <c r="K249" s="165">
        <f t="shared" si="15"/>
        <v>-40</v>
      </c>
      <c r="L249" s="165"/>
      <c r="M249" s="167">
        <f t="shared" si="16"/>
        <v>0</v>
      </c>
    </row>
    <row r="250" spans="1:13" x14ac:dyDescent="0.25">
      <c r="A250" s="182"/>
      <c r="G250" s="153"/>
      <c r="H250" s="165">
        <v>245</v>
      </c>
      <c r="I250" s="166" t="str">
        <f t="shared" si="14"/>
        <v/>
      </c>
      <c r="J250" s="165">
        <f t="shared" si="17"/>
        <v>-4</v>
      </c>
      <c r="K250" s="165">
        <f t="shared" si="15"/>
        <v>-40</v>
      </c>
      <c r="L250" s="165"/>
      <c r="M250" s="167">
        <f t="shared" si="16"/>
        <v>0</v>
      </c>
    </row>
    <row r="251" spans="1:13" x14ac:dyDescent="0.25">
      <c r="A251" s="182"/>
      <c r="G251" s="153"/>
      <c r="H251" s="165">
        <v>246</v>
      </c>
      <c r="I251" s="166" t="str">
        <f t="shared" si="14"/>
        <v/>
      </c>
      <c r="J251" s="165">
        <f t="shared" si="17"/>
        <v>-4</v>
      </c>
      <c r="K251" s="165">
        <f t="shared" si="15"/>
        <v>-40</v>
      </c>
      <c r="L251" s="165"/>
      <c r="M251" s="167">
        <f t="shared" si="16"/>
        <v>0</v>
      </c>
    </row>
    <row r="252" spans="1:13" x14ac:dyDescent="0.25">
      <c r="A252" s="182"/>
      <c r="G252" s="153"/>
      <c r="H252" s="165">
        <v>247</v>
      </c>
      <c r="I252" s="166" t="str">
        <f t="shared" si="14"/>
        <v/>
      </c>
      <c r="J252" s="165">
        <f t="shared" si="17"/>
        <v>-4</v>
      </c>
      <c r="K252" s="165">
        <f t="shared" si="15"/>
        <v>-40</v>
      </c>
      <c r="L252" s="165"/>
      <c r="M252" s="167">
        <f t="shared" si="16"/>
        <v>0</v>
      </c>
    </row>
    <row r="253" spans="1:13" x14ac:dyDescent="0.25">
      <c r="A253" s="182"/>
      <c r="G253" s="153"/>
      <c r="H253" s="165">
        <v>248</v>
      </c>
      <c r="I253" s="166" t="str">
        <f t="shared" si="14"/>
        <v/>
      </c>
      <c r="J253" s="165">
        <f t="shared" si="17"/>
        <v>-4</v>
      </c>
      <c r="K253" s="165">
        <f t="shared" si="15"/>
        <v>-40</v>
      </c>
      <c r="L253" s="165"/>
      <c r="M253" s="167">
        <f t="shared" si="16"/>
        <v>0</v>
      </c>
    </row>
    <row r="254" spans="1:13" x14ac:dyDescent="0.25">
      <c r="A254" s="182"/>
      <c r="G254" s="153"/>
      <c r="H254" s="165">
        <v>249</v>
      </c>
      <c r="I254" s="166" t="str">
        <f t="shared" si="14"/>
        <v/>
      </c>
      <c r="J254" s="165">
        <f t="shared" si="17"/>
        <v>-4</v>
      </c>
      <c r="K254" s="165">
        <f t="shared" si="15"/>
        <v>-40</v>
      </c>
      <c r="L254" s="165"/>
      <c r="M254" s="167">
        <f t="shared" si="16"/>
        <v>0</v>
      </c>
    </row>
    <row r="255" spans="1:13" x14ac:dyDescent="0.25">
      <c r="A255" s="182"/>
      <c r="G255" s="153"/>
      <c r="H255" s="165">
        <v>250</v>
      </c>
      <c r="I255" s="166" t="str">
        <f t="shared" si="14"/>
        <v/>
      </c>
      <c r="J255" s="165">
        <f t="shared" si="17"/>
        <v>-4</v>
      </c>
      <c r="K255" s="165">
        <f t="shared" si="15"/>
        <v>-40</v>
      </c>
      <c r="L255" s="165"/>
      <c r="M255" s="167">
        <f t="shared" si="16"/>
        <v>0</v>
      </c>
    </row>
    <row r="256" spans="1:13" x14ac:dyDescent="0.25">
      <c r="A256" s="182"/>
      <c r="G256" s="153"/>
      <c r="H256" s="165">
        <v>251</v>
      </c>
      <c r="I256" s="166" t="str">
        <f t="shared" si="14"/>
        <v/>
      </c>
      <c r="J256" s="165">
        <f t="shared" si="17"/>
        <v>-4</v>
      </c>
      <c r="K256" s="165">
        <f t="shared" si="15"/>
        <v>-40</v>
      </c>
      <c r="L256" s="165"/>
      <c r="M256" s="167">
        <f t="shared" si="16"/>
        <v>0</v>
      </c>
    </row>
    <row r="257" spans="1:13" x14ac:dyDescent="0.25">
      <c r="A257" s="182"/>
      <c r="G257" s="153"/>
      <c r="H257" s="165">
        <v>252</v>
      </c>
      <c r="I257" s="166" t="str">
        <f t="shared" si="14"/>
        <v/>
      </c>
      <c r="J257" s="165">
        <f t="shared" si="17"/>
        <v>-4</v>
      </c>
      <c r="K257" s="165">
        <f t="shared" si="15"/>
        <v>-40</v>
      </c>
      <c r="L257" s="165"/>
      <c r="M257" s="167">
        <f t="shared" si="16"/>
        <v>0</v>
      </c>
    </row>
    <row r="258" spans="1:13" x14ac:dyDescent="0.25">
      <c r="A258" s="182"/>
      <c r="G258" s="153"/>
      <c r="H258" s="165">
        <v>253</v>
      </c>
      <c r="I258" s="166" t="str">
        <f t="shared" si="14"/>
        <v/>
      </c>
      <c r="J258" s="165">
        <f t="shared" si="17"/>
        <v>-4</v>
      </c>
      <c r="K258" s="165">
        <f t="shared" si="15"/>
        <v>-40</v>
      </c>
      <c r="L258" s="165"/>
      <c r="M258" s="167">
        <f t="shared" si="16"/>
        <v>0</v>
      </c>
    </row>
    <row r="259" spans="1:13" x14ac:dyDescent="0.25">
      <c r="A259" s="182"/>
      <c r="G259" s="153"/>
      <c r="H259" s="165">
        <v>254</v>
      </c>
      <c r="I259" s="166" t="str">
        <f t="shared" si="14"/>
        <v/>
      </c>
      <c r="J259" s="165">
        <f t="shared" si="17"/>
        <v>-4</v>
      </c>
      <c r="K259" s="165">
        <f t="shared" si="15"/>
        <v>-40</v>
      </c>
      <c r="L259" s="165"/>
      <c r="M259" s="167">
        <f t="shared" si="16"/>
        <v>0</v>
      </c>
    </row>
    <row r="260" spans="1:13" x14ac:dyDescent="0.25">
      <c r="A260" s="182"/>
      <c r="G260" s="153"/>
      <c r="H260" s="165">
        <v>255</v>
      </c>
      <c r="I260" s="166" t="str">
        <f t="shared" si="14"/>
        <v/>
      </c>
      <c r="J260" s="165">
        <f t="shared" si="17"/>
        <v>-4</v>
      </c>
      <c r="K260" s="165">
        <f t="shared" si="15"/>
        <v>-40</v>
      </c>
      <c r="L260" s="165"/>
      <c r="M260" s="167">
        <f t="shared" si="16"/>
        <v>0</v>
      </c>
    </row>
    <row r="261" spans="1:13" x14ac:dyDescent="0.25">
      <c r="A261" s="182"/>
      <c r="G261" s="153"/>
      <c r="H261" s="165">
        <v>256</v>
      </c>
      <c r="I261" s="166" t="str">
        <f t="shared" si="14"/>
        <v/>
      </c>
      <c r="J261" s="165">
        <f t="shared" si="17"/>
        <v>-4</v>
      </c>
      <c r="K261" s="165">
        <f t="shared" si="15"/>
        <v>-40</v>
      </c>
      <c r="L261" s="165"/>
      <c r="M261" s="167">
        <f t="shared" si="16"/>
        <v>0</v>
      </c>
    </row>
    <row r="262" spans="1:13" x14ac:dyDescent="0.25">
      <c r="A262" s="182"/>
      <c r="G262" s="153"/>
      <c r="H262" s="165">
        <v>257</v>
      </c>
      <c r="I262" s="166" t="str">
        <f t="shared" ref="I262:I305" si="18">IF(H262&lt;$H$2+1,($I$2-($I$2-1)*(LOG(H262)/LOG($H$2))),"")</f>
        <v/>
      </c>
      <c r="J262" s="165">
        <f t="shared" si="17"/>
        <v>-5</v>
      </c>
      <c r="K262" s="165">
        <f t="shared" ref="K262:K305" si="19">J262*$J$2</f>
        <v>-50</v>
      </c>
      <c r="L262" s="165"/>
      <c r="M262" s="167">
        <f t="shared" ref="M262:M305" si="20">IF(I262&lt;&gt;"",K262+I262+L262,0)</f>
        <v>0</v>
      </c>
    </row>
    <row r="263" spans="1:13" x14ac:dyDescent="0.25">
      <c r="A263" s="182"/>
      <c r="G263" s="153"/>
      <c r="H263" s="165">
        <v>258</v>
      </c>
      <c r="I263" s="166" t="str">
        <f t="shared" si="18"/>
        <v/>
      </c>
      <c r="J263" s="165">
        <f t="shared" ref="J263:J326" si="21">INT(LOG($H$2,2))-ROUNDUP(LOG(H263,2),0)+IF(OR($H$2=1,$H$2=2,$H$2=4,$H$2=8,$H$2=16,$H$2=32,$H$2=64,$H$2=128,$H$2=256),0,1)</f>
        <v>-5</v>
      </c>
      <c r="K263" s="165">
        <f t="shared" si="19"/>
        <v>-50</v>
      </c>
      <c r="L263" s="165"/>
      <c r="M263" s="167">
        <f t="shared" si="20"/>
        <v>0</v>
      </c>
    </row>
    <row r="264" spans="1:13" x14ac:dyDescent="0.25">
      <c r="A264" s="182"/>
      <c r="G264" s="153"/>
      <c r="H264" s="165">
        <v>259</v>
      </c>
      <c r="I264" s="166" t="str">
        <f t="shared" si="18"/>
        <v/>
      </c>
      <c r="J264" s="165">
        <f t="shared" si="21"/>
        <v>-5</v>
      </c>
      <c r="K264" s="165">
        <f t="shared" si="19"/>
        <v>-50</v>
      </c>
      <c r="L264" s="165"/>
      <c r="M264" s="167">
        <f t="shared" si="20"/>
        <v>0</v>
      </c>
    </row>
    <row r="265" spans="1:13" x14ac:dyDescent="0.25">
      <c r="A265" s="182"/>
      <c r="G265" s="153"/>
      <c r="H265" s="165">
        <v>260</v>
      </c>
      <c r="I265" s="166" t="str">
        <f t="shared" si="18"/>
        <v/>
      </c>
      <c r="J265" s="165">
        <f t="shared" si="21"/>
        <v>-5</v>
      </c>
      <c r="K265" s="165">
        <f t="shared" si="19"/>
        <v>-50</v>
      </c>
      <c r="L265" s="165"/>
      <c r="M265" s="167">
        <f t="shared" si="20"/>
        <v>0</v>
      </c>
    </row>
    <row r="266" spans="1:13" x14ac:dyDescent="0.25">
      <c r="A266" s="182"/>
      <c r="G266" s="153"/>
      <c r="H266" s="165">
        <v>261</v>
      </c>
      <c r="I266" s="166" t="str">
        <f t="shared" si="18"/>
        <v/>
      </c>
      <c r="J266" s="165">
        <f t="shared" si="21"/>
        <v>-5</v>
      </c>
      <c r="K266" s="165">
        <f t="shared" si="19"/>
        <v>-50</v>
      </c>
      <c r="L266" s="165"/>
      <c r="M266" s="167">
        <f t="shared" si="20"/>
        <v>0</v>
      </c>
    </row>
    <row r="267" spans="1:13" x14ac:dyDescent="0.25">
      <c r="A267" s="182"/>
      <c r="G267" s="153"/>
      <c r="H267" s="165">
        <v>262</v>
      </c>
      <c r="I267" s="166" t="str">
        <f t="shared" si="18"/>
        <v/>
      </c>
      <c r="J267" s="165">
        <f t="shared" si="21"/>
        <v>-5</v>
      </c>
      <c r="K267" s="165">
        <f t="shared" si="19"/>
        <v>-50</v>
      </c>
      <c r="L267" s="165"/>
      <c r="M267" s="167">
        <f t="shared" si="20"/>
        <v>0</v>
      </c>
    </row>
    <row r="268" spans="1:13" x14ac:dyDescent="0.25">
      <c r="A268" s="182"/>
      <c r="G268" s="153"/>
      <c r="H268" s="165">
        <v>263</v>
      </c>
      <c r="I268" s="166" t="str">
        <f t="shared" si="18"/>
        <v/>
      </c>
      <c r="J268" s="165">
        <f t="shared" si="21"/>
        <v>-5</v>
      </c>
      <c r="K268" s="165">
        <f t="shared" si="19"/>
        <v>-50</v>
      </c>
      <c r="L268" s="165"/>
      <c r="M268" s="167">
        <f t="shared" si="20"/>
        <v>0</v>
      </c>
    </row>
    <row r="269" spans="1:13" x14ac:dyDescent="0.25">
      <c r="A269" s="182"/>
      <c r="G269" s="153"/>
      <c r="H269" s="165">
        <v>264</v>
      </c>
      <c r="I269" s="166" t="str">
        <f t="shared" si="18"/>
        <v/>
      </c>
      <c r="J269" s="165">
        <f t="shared" si="21"/>
        <v>-5</v>
      </c>
      <c r="K269" s="165">
        <f t="shared" si="19"/>
        <v>-50</v>
      </c>
      <c r="L269" s="165"/>
      <c r="M269" s="167">
        <f t="shared" si="20"/>
        <v>0</v>
      </c>
    </row>
    <row r="270" spans="1:13" x14ac:dyDescent="0.25">
      <c r="A270" s="182"/>
      <c r="G270" s="153"/>
      <c r="H270" s="165">
        <v>265</v>
      </c>
      <c r="I270" s="166" t="str">
        <f t="shared" si="18"/>
        <v/>
      </c>
      <c r="J270" s="165">
        <f t="shared" si="21"/>
        <v>-5</v>
      </c>
      <c r="K270" s="165">
        <f t="shared" si="19"/>
        <v>-50</v>
      </c>
      <c r="L270" s="165"/>
      <c r="M270" s="167">
        <f t="shared" si="20"/>
        <v>0</v>
      </c>
    </row>
    <row r="271" spans="1:13" x14ac:dyDescent="0.25">
      <c r="A271" s="182"/>
      <c r="G271" s="153"/>
      <c r="H271" s="165">
        <v>266</v>
      </c>
      <c r="I271" s="166" t="str">
        <f t="shared" si="18"/>
        <v/>
      </c>
      <c r="J271" s="165">
        <f t="shared" si="21"/>
        <v>-5</v>
      </c>
      <c r="K271" s="165">
        <f t="shared" si="19"/>
        <v>-50</v>
      </c>
      <c r="L271" s="165"/>
      <c r="M271" s="167">
        <f t="shared" si="20"/>
        <v>0</v>
      </c>
    </row>
    <row r="272" spans="1:13" x14ac:dyDescent="0.25">
      <c r="A272" s="182"/>
      <c r="G272" s="153"/>
      <c r="H272" s="165">
        <v>267</v>
      </c>
      <c r="I272" s="166" t="str">
        <f t="shared" si="18"/>
        <v/>
      </c>
      <c r="J272" s="165">
        <f t="shared" si="21"/>
        <v>-5</v>
      </c>
      <c r="K272" s="165">
        <f t="shared" si="19"/>
        <v>-50</v>
      </c>
      <c r="L272" s="165"/>
      <c r="M272" s="167">
        <f t="shared" si="20"/>
        <v>0</v>
      </c>
    </row>
    <row r="273" spans="1:13" x14ac:dyDescent="0.25">
      <c r="A273" s="182"/>
      <c r="G273" s="153"/>
      <c r="H273" s="165">
        <v>268</v>
      </c>
      <c r="I273" s="166" t="str">
        <f t="shared" si="18"/>
        <v/>
      </c>
      <c r="J273" s="165">
        <f t="shared" si="21"/>
        <v>-5</v>
      </c>
      <c r="K273" s="165">
        <f t="shared" si="19"/>
        <v>-50</v>
      </c>
      <c r="L273" s="165"/>
      <c r="M273" s="167">
        <f t="shared" si="20"/>
        <v>0</v>
      </c>
    </row>
    <row r="274" spans="1:13" x14ac:dyDescent="0.25">
      <c r="A274" s="182"/>
      <c r="G274" s="153"/>
      <c r="H274" s="165">
        <v>269</v>
      </c>
      <c r="I274" s="166" t="str">
        <f t="shared" si="18"/>
        <v/>
      </c>
      <c r="J274" s="165">
        <f t="shared" si="21"/>
        <v>-5</v>
      </c>
      <c r="K274" s="165">
        <f t="shared" si="19"/>
        <v>-50</v>
      </c>
      <c r="L274" s="165"/>
      <c r="M274" s="167">
        <f t="shared" si="20"/>
        <v>0</v>
      </c>
    </row>
    <row r="275" spans="1:13" x14ac:dyDescent="0.25">
      <c r="A275" s="182"/>
      <c r="G275" s="153"/>
      <c r="H275" s="165">
        <v>270</v>
      </c>
      <c r="I275" s="166" t="str">
        <f t="shared" si="18"/>
        <v/>
      </c>
      <c r="J275" s="165">
        <f t="shared" si="21"/>
        <v>-5</v>
      </c>
      <c r="K275" s="165">
        <f t="shared" si="19"/>
        <v>-50</v>
      </c>
      <c r="L275" s="165"/>
      <c r="M275" s="167">
        <f t="shared" si="20"/>
        <v>0</v>
      </c>
    </row>
    <row r="276" spans="1:13" x14ac:dyDescent="0.25">
      <c r="A276" s="182"/>
      <c r="G276" s="153"/>
      <c r="H276" s="165">
        <v>271</v>
      </c>
      <c r="I276" s="166" t="str">
        <f t="shared" si="18"/>
        <v/>
      </c>
      <c r="J276" s="165">
        <f t="shared" si="21"/>
        <v>-5</v>
      </c>
      <c r="K276" s="165">
        <f t="shared" si="19"/>
        <v>-50</v>
      </c>
      <c r="L276" s="165"/>
      <c r="M276" s="167">
        <f t="shared" si="20"/>
        <v>0</v>
      </c>
    </row>
    <row r="277" spans="1:13" x14ac:dyDescent="0.25">
      <c r="A277" s="182"/>
      <c r="G277" s="153"/>
      <c r="H277" s="165">
        <v>272</v>
      </c>
      <c r="I277" s="166" t="str">
        <f t="shared" si="18"/>
        <v/>
      </c>
      <c r="J277" s="165">
        <f t="shared" si="21"/>
        <v>-5</v>
      </c>
      <c r="K277" s="165">
        <f t="shared" si="19"/>
        <v>-50</v>
      </c>
      <c r="L277" s="165"/>
      <c r="M277" s="167">
        <f t="shared" si="20"/>
        <v>0</v>
      </c>
    </row>
    <row r="278" spans="1:13" x14ac:dyDescent="0.25">
      <c r="A278" s="182"/>
      <c r="G278" s="153"/>
      <c r="H278" s="165">
        <v>273</v>
      </c>
      <c r="I278" s="166" t="str">
        <f t="shared" si="18"/>
        <v/>
      </c>
      <c r="J278" s="165">
        <f t="shared" si="21"/>
        <v>-5</v>
      </c>
      <c r="K278" s="165">
        <f t="shared" si="19"/>
        <v>-50</v>
      </c>
      <c r="L278" s="165"/>
      <c r="M278" s="167">
        <f t="shared" si="20"/>
        <v>0</v>
      </c>
    </row>
    <row r="279" spans="1:13" x14ac:dyDescent="0.25">
      <c r="A279" s="182"/>
      <c r="G279" s="153"/>
      <c r="H279" s="165">
        <v>274</v>
      </c>
      <c r="I279" s="166" t="str">
        <f t="shared" si="18"/>
        <v/>
      </c>
      <c r="J279" s="165">
        <f t="shared" si="21"/>
        <v>-5</v>
      </c>
      <c r="K279" s="165">
        <f t="shared" si="19"/>
        <v>-50</v>
      </c>
      <c r="L279" s="165"/>
      <c r="M279" s="167">
        <f t="shared" si="20"/>
        <v>0</v>
      </c>
    </row>
    <row r="280" spans="1:13" x14ac:dyDescent="0.25">
      <c r="A280" s="182"/>
      <c r="G280" s="153"/>
      <c r="H280" s="165">
        <v>275</v>
      </c>
      <c r="I280" s="166" t="str">
        <f t="shared" si="18"/>
        <v/>
      </c>
      <c r="J280" s="165">
        <f t="shared" si="21"/>
        <v>-5</v>
      </c>
      <c r="K280" s="165">
        <f t="shared" si="19"/>
        <v>-50</v>
      </c>
      <c r="L280" s="165"/>
      <c r="M280" s="167">
        <f t="shared" si="20"/>
        <v>0</v>
      </c>
    </row>
    <row r="281" spans="1:13" x14ac:dyDescent="0.25">
      <c r="A281" s="182"/>
      <c r="G281" s="153"/>
      <c r="H281" s="165">
        <v>276</v>
      </c>
      <c r="I281" s="166" t="str">
        <f t="shared" si="18"/>
        <v/>
      </c>
      <c r="J281" s="165">
        <f t="shared" si="21"/>
        <v>-5</v>
      </c>
      <c r="K281" s="165">
        <f t="shared" si="19"/>
        <v>-50</v>
      </c>
      <c r="L281" s="165"/>
      <c r="M281" s="167">
        <f t="shared" si="20"/>
        <v>0</v>
      </c>
    </row>
    <row r="282" spans="1:13" x14ac:dyDescent="0.25">
      <c r="A282" s="182"/>
      <c r="G282" s="153"/>
      <c r="H282" s="165">
        <v>277</v>
      </c>
      <c r="I282" s="166" t="str">
        <f t="shared" si="18"/>
        <v/>
      </c>
      <c r="J282" s="165">
        <f t="shared" si="21"/>
        <v>-5</v>
      </c>
      <c r="K282" s="165">
        <f t="shared" si="19"/>
        <v>-50</v>
      </c>
      <c r="L282" s="165"/>
      <c r="M282" s="167">
        <f t="shared" si="20"/>
        <v>0</v>
      </c>
    </row>
    <row r="283" spans="1:13" x14ac:dyDescent="0.25">
      <c r="A283" s="182"/>
      <c r="G283" s="153"/>
      <c r="H283" s="165">
        <v>278</v>
      </c>
      <c r="I283" s="166" t="str">
        <f t="shared" si="18"/>
        <v/>
      </c>
      <c r="J283" s="165">
        <f t="shared" si="21"/>
        <v>-5</v>
      </c>
      <c r="K283" s="165">
        <f t="shared" si="19"/>
        <v>-50</v>
      </c>
      <c r="L283" s="165"/>
      <c r="M283" s="167">
        <f t="shared" si="20"/>
        <v>0</v>
      </c>
    </row>
    <row r="284" spans="1:13" x14ac:dyDescent="0.25">
      <c r="A284" s="182"/>
      <c r="G284" s="153"/>
      <c r="H284" s="165">
        <v>279</v>
      </c>
      <c r="I284" s="166" t="str">
        <f t="shared" si="18"/>
        <v/>
      </c>
      <c r="J284" s="165">
        <f t="shared" si="21"/>
        <v>-5</v>
      </c>
      <c r="K284" s="165">
        <f t="shared" si="19"/>
        <v>-50</v>
      </c>
      <c r="L284" s="165"/>
      <c r="M284" s="167">
        <f t="shared" si="20"/>
        <v>0</v>
      </c>
    </row>
    <row r="285" spans="1:13" x14ac:dyDescent="0.25">
      <c r="A285" s="182"/>
      <c r="G285" s="153"/>
      <c r="H285" s="165">
        <v>280</v>
      </c>
      <c r="I285" s="166" t="str">
        <f t="shared" si="18"/>
        <v/>
      </c>
      <c r="J285" s="165">
        <f t="shared" si="21"/>
        <v>-5</v>
      </c>
      <c r="K285" s="165">
        <f t="shared" si="19"/>
        <v>-50</v>
      </c>
      <c r="L285" s="165"/>
      <c r="M285" s="167">
        <f t="shared" si="20"/>
        <v>0</v>
      </c>
    </row>
    <row r="286" spans="1:13" x14ac:dyDescent="0.25">
      <c r="A286" s="182"/>
      <c r="G286" s="153"/>
      <c r="H286" s="165">
        <v>281</v>
      </c>
      <c r="I286" s="166" t="str">
        <f t="shared" si="18"/>
        <v/>
      </c>
      <c r="J286" s="165">
        <f t="shared" si="21"/>
        <v>-5</v>
      </c>
      <c r="K286" s="165">
        <f t="shared" si="19"/>
        <v>-50</v>
      </c>
      <c r="L286" s="165"/>
      <c r="M286" s="167">
        <f t="shared" si="20"/>
        <v>0</v>
      </c>
    </row>
    <row r="287" spans="1:13" x14ac:dyDescent="0.25">
      <c r="A287" s="182"/>
      <c r="G287" s="153"/>
      <c r="H287" s="165">
        <v>282</v>
      </c>
      <c r="I287" s="166" t="str">
        <f t="shared" si="18"/>
        <v/>
      </c>
      <c r="J287" s="165">
        <f t="shared" si="21"/>
        <v>-5</v>
      </c>
      <c r="K287" s="165">
        <f t="shared" si="19"/>
        <v>-50</v>
      </c>
      <c r="L287" s="165"/>
      <c r="M287" s="167">
        <f t="shared" si="20"/>
        <v>0</v>
      </c>
    </row>
    <row r="288" spans="1:13" x14ac:dyDescent="0.25">
      <c r="A288" s="182"/>
      <c r="G288" s="153"/>
      <c r="H288" s="165">
        <v>283</v>
      </c>
      <c r="I288" s="166" t="str">
        <f t="shared" si="18"/>
        <v/>
      </c>
      <c r="J288" s="165">
        <f t="shared" si="21"/>
        <v>-5</v>
      </c>
      <c r="K288" s="165">
        <f t="shared" si="19"/>
        <v>-50</v>
      </c>
      <c r="L288" s="165"/>
      <c r="M288" s="167">
        <f t="shared" si="20"/>
        <v>0</v>
      </c>
    </row>
    <row r="289" spans="1:13" x14ac:dyDescent="0.25">
      <c r="A289" s="182"/>
      <c r="G289" s="153"/>
      <c r="H289" s="165">
        <v>284</v>
      </c>
      <c r="I289" s="166" t="str">
        <f t="shared" si="18"/>
        <v/>
      </c>
      <c r="J289" s="165">
        <f t="shared" si="21"/>
        <v>-5</v>
      </c>
      <c r="K289" s="165">
        <f t="shared" si="19"/>
        <v>-50</v>
      </c>
      <c r="L289" s="165"/>
      <c r="M289" s="167">
        <f t="shared" si="20"/>
        <v>0</v>
      </c>
    </row>
    <row r="290" spans="1:13" x14ac:dyDescent="0.25">
      <c r="A290" s="182"/>
      <c r="G290" s="153"/>
      <c r="H290" s="165">
        <v>285</v>
      </c>
      <c r="I290" s="166" t="str">
        <f t="shared" si="18"/>
        <v/>
      </c>
      <c r="J290" s="165">
        <f t="shared" si="21"/>
        <v>-5</v>
      </c>
      <c r="K290" s="165">
        <f t="shared" si="19"/>
        <v>-50</v>
      </c>
      <c r="L290" s="165"/>
      <c r="M290" s="167">
        <f t="shared" si="20"/>
        <v>0</v>
      </c>
    </row>
    <row r="291" spans="1:13" x14ac:dyDescent="0.25">
      <c r="A291" s="182"/>
      <c r="G291" s="153"/>
      <c r="H291" s="165">
        <v>286</v>
      </c>
      <c r="I291" s="166" t="str">
        <f t="shared" si="18"/>
        <v/>
      </c>
      <c r="J291" s="165">
        <f t="shared" si="21"/>
        <v>-5</v>
      </c>
      <c r="K291" s="165">
        <f t="shared" si="19"/>
        <v>-50</v>
      </c>
      <c r="L291" s="165"/>
      <c r="M291" s="167">
        <f t="shared" si="20"/>
        <v>0</v>
      </c>
    </row>
    <row r="292" spans="1:13" x14ac:dyDescent="0.25">
      <c r="A292" s="182"/>
      <c r="G292" s="153"/>
      <c r="H292" s="165">
        <v>287</v>
      </c>
      <c r="I292" s="166" t="str">
        <f t="shared" si="18"/>
        <v/>
      </c>
      <c r="J292" s="165">
        <f t="shared" si="21"/>
        <v>-5</v>
      </c>
      <c r="K292" s="165">
        <f t="shared" si="19"/>
        <v>-50</v>
      </c>
      <c r="L292" s="165"/>
      <c r="M292" s="167">
        <f t="shared" si="20"/>
        <v>0</v>
      </c>
    </row>
    <row r="293" spans="1:13" x14ac:dyDescent="0.25">
      <c r="A293" s="182"/>
      <c r="G293" s="153"/>
      <c r="H293" s="165">
        <v>288</v>
      </c>
      <c r="I293" s="166" t="str">
        <f t="shared" si="18"/>
        <v/>
      </c>
      <c r="J293" s="165">
        <f t="shared" si="21"/>
        <v>-5</v>
      </c>
      <c r="K293" s="165">
        <f t="shared" si="19"/>
        <v>-50</v>
      </c>
      <c r="L293" s="165"/>
      <c r="M293" s="167">
        <f t="shared" si="20"/>
        <v>0</v>
      </c>
    </row>
    <row r="294" spans="1:13" x14ac:dyDescent="0.25">
      <c r="A294" s="182"/>
      <c r="G294" s="153"/>
      <c r="H294" s="165">
        <v>289</v>
      </c>
      <c r="I294" s="166" t="str">
        <f t="shared" si="18"/>
        <v/>
      </c>
      <c r="J294" s="165">
        <f t="shared" si="21"/>
        <v>-5</v>
      </c>
      <c r="K294" s="165">
        <f t="shared" si="19"/>
        <v>-50</v>
      </c>
      <c r="L294" s="165"/>
      <c r="M294" s="167">
        <f t="shared" si="20"/>
        <v>0</v>
      </c>
    </row>
    <row r="295" spans="1:13" x14ac:dyDescent="0.25">
      <c r="A295" s="182"/>
      <c r="G295" s="153"/>
      <c r="H295" s="165">
        <v>290</v>
      </c>
      <c r="I295" s="166" t="str">
        <f t="shared" si="18"/>
        <v/>
      </c>
      <c r="J295" s="165">
        <f t="shared" si="21"/>
        <v>-5</v>
      </c>
      <c r="K295" s="165">
        <f t="shared" si="19"/>
        <v>-50</v>
      </c>
      <c r="L295" s="165"/>
      <c r="M295" s="167">
        <f t="shared" si="20"/>
        <v>0</v>
      </c>
    </row>
    <row r="296" spans="1:13" x14ac:dyDescent="0.25">
      <c r="A296" s="182"/>
      <c r="G296" s="153"/>
      <c r="H296" s="165">
        <v>291</v>
      </c>
      <c r="I296" s="166" t="str">
        <f t="shared" si="18"/>
        <v/>
      </c>
      <c r="J296" s="165">
        <f t="shared" si="21"/>
        <v>-5</v>
      </c>
      <c r="K296" s="165">
        <f t="shared" si="19"/>
        <v>-50</v>
      </c>
      <c r="L296" s="165"/>
      <c r="M296" s="167">
        <f t="shared" si="20"/>
        <v>0</v>
      </c>
    </row>
    <row r="297" spans="1:13" x14ac:dyDescent="0.25">
      <c r="A297" s="182"/>
      <c r="G297" s="153"/>
      <c r="H297" s="165">
        <v>292</v>
      </c>
      <c r="I297" s="166" t="str">
        <f t="shared" si="18"/>
        <v/>
      </c>
      <c r="J297" s="165">
        <f t="shared" si="21"/>
        <v>-5</v>
      </c>
      <c r="K297" s="165">
        <f t="shared" si="19"/>
        <v>-50</v>
      </c>
      <c r="L297" s="165"/>
      <c r="M297" s="167">
        <f t="shared" si="20"/>
        <v>0</v>
      </c>
    </row>
    <row r="298" spans="1:13" x14ac:dyDescent="0.25">
      <c r="A298" s="182"/>
      <c r="G298" s="153"/>
      <c r="H298" s="165">
        <v>293</v>
      </c>
      <c r="I298" s="166" t="str">
        <f t="shared" si="18"/>
        <v/>
      </c>
      <c r="J298" s="165">
        <f t="shared" si="21"/>
        <v>-5</v>
      </c>
      <c r="K298" s="165">
        <f t="shared" si="19"/>
        <v>-50</v>
      </c>
      <c r="L298" s="165"/>
      <c r="M298" s="167">
        <f t="shared" si="20"/>
        <v>0</v>
      </c>
    </row>
    <row r="299" spans="1:13" x14ac:dyDescent="0.25">
      <c r="A299" s="182"/>
      <c r="G299" s="153"/>
      <c r="H299" s="165">
        <v>294</v>
      </c>
      <c r="I299" s="166" t="str">
        <f t="shared" si="18"/>
        <v/>
      </c>
      <c r="J299" s="165">
        <f t="shared" si="21"/>
        <v>-5</v>
      </c>
      <c r="K299" s="165">
        <f t="shared" si="19"/>
        <v>-50</v>
      </c>
      <c r="L299" s="165"/>
      <c r="M299" s="167">
        <f t="shared" si="20"/>
        <v>0</v>
      </c>
    </row>
    <row r="300" spans="1:13" x14ac:dyDescent="0.25">
      <c r="A300" s="182"/>
      <c r="G300" s="153"/>
      <c r="H300" s="165">
        <v>295</v>
      </c>
      <c r="I300" s="166" t="str">
        <f t="shared" si="18"/>
        <v/>
      </c>
      <c r="J300" s="165">
        <f t="shared" si="21"/>
        <v>-5</v>
      </c>
      <c r="K300" s="165">
        <f t="shared" si="19"/>
        <v>-50</v>
      </c>
      <c r="L300" s="165"/>
      <c r="M300" s="167">
        <f t="shared" si="20"/>
        <v>0</v>
      </c>
    </row>
    <row r="301" spans="1:13" x14ac:dyDescent="0.25">
      <c r="A301" s="182"/>
      <c r="G301" s="153"/>
      <c r="H301" s="165">
        <v>296</v>
      </c>
      <c r="I301" s="166" t="str">
        <f t="shared" si="18"/>
        <v/>
      </c>
      <c r="J301" s="165">
        <f t="shared" si="21"/>
        <v>-5</v>
      </c>
      <c r="K301" s="165">
        <f t="shared" si="19"/>
        <v>-50</v>
      </c>
      <c r="L301" s="165"/>
      <c r="M301" s="167">
        <f t="shared" si="20"/>
        <v>0</v>
      </c>
    </row>
    <row r="302" spans="1:13" x14ac:dyDescent="0.25">
      <c r="A302" s="182"/>
      <c r="G302" s="153"/>
      <c r="H302" s="165">
        <v>297</v>
      </c>
      <c r="I302" s="166" t="str">
        <f t="shared" si="18"/>
        <v/>
      </c>
      <c r="J302" s="165">
        <f t="shared" si="21"/>
        <v>-5</v>
      </c>
      <c r="K302" s="165">
        <f t="shared" si="19"/>
        <v>-50</v>
      </c>
      <c r="L302" s="165"/>
      <c r="M302" s="167">
        <f t="shared" si="20"/>
        <v>0</v>
      </c>
    </row>
    <row r="303" spans="1:13" x14ac:dyDescent="0.25">
      <c r="A303" s="182"/>
      <c r="G303" s="153"/>
      <c r="H303" s="165">
        <v>298</v>
      </c>
      <c r="I303" s="166" t="str">
        <f t="shared" si="18"/>
        <v/>
      </c>
      <c r="J303" s="165">
        <f t="shared" si="21"/>
        <v>-5</v>
      </c>
      <c r="K303" s="165">
        <f t="shared" si="19"/>
        <v>-50</v>
      </c>
      <c r="L303" s="165"/>
      <c r="M303" s="167">
        <f t="shared" si="20"/>
        <v>0</v>
      </c>
    </row>
    <row r="304" spans="1:13" x14ac:dyDescent="0.25">
      <c r="A304" s="182"/>
      <c r="G304" s="153"/>
      <c r="H304" s="165">
        <v>299</v>
      </c>
      <c r="I304" s="166" t="str">
        <f t="shared" si="18"/>
        <v/>
      </c>
      <c r="J304" s="165">
        <f t="shared" si="21"/>
        <v>-5</v>
      </c>
      <c r="K304" s="165">
        <f t="shared" si="19"/>
        <v>-50</v>
      </c>
      <c r="L304" s="165"/>
      <c r="M304" s="167">
        <f t="shared" si="20"/>
        <v>0</v>
      </c>
    </row>
    <row r="305" spans="1:16" x14ac:dyDescent="0.25">
      <c r="A305" s="182"/>
      <c r="G305" s="153"/>
      <c r="H305" s="165">
        <v>300</v>
      </c>
      <c r="I305" s="166" t="str">
        <f t="shared" si="18"/>
        <v/>
      </c>
      <c r="J305" s="165">
        <f t="shared" si="21"/>
        <v>-5</v>
      </c>
      <c r="K305" s="165">
        <f t="shared" si="19"/>
        <v>-50</v>
      </c>
      <c r="L305" s="165"/>
      <c r="M305" s="167">
        <f t="shared" si="20"/>
        <v>0</v>
      </c>
    </row>
    <row r="306" spans="1:16" x14ac:dyDescent="0.25">
      <c r="A306" s="183"/>
      <c r="J306" s="184" t="e">
        <f t="shared" si="21"/>
        <v>#NUM!</v>
      </c>
    </row>
    <row r="307" spans="1:16" x14ac:dyDescent="0.25">
      <c r="J307" s="184" t="e">
        <f t="shared" si="21"/>
        <v>#NUM!</v>
      </c>
    </row>
    <row r="308" spans="1:16" x14ac:dyDescent="0.25">
      <c r="J308" s="184" t="e">
        <f t="shared" si="21"/>
        <v>#NUM!</v>
      </c>
    </row>
    <row r="309" spans="1:16" x14ac:dyDescent="0.25">
      <c r="J309" s="184" t="e">
        <f t="shared" si="21"/>
        <v>#NUM!</v>
      </c>
    </row>
    <row r="310" spans="1:16" x14ac:dyDescent="0.25">
      <c r="J310" s="184" t="e">
        <f t="shared" si="21"/>
        <v>#NUM!</v>
      </c>
    </row>
    <row r="311" spans="1:16" x14ac:dyDescent="0.25">
      <c r="J311" s="184" t="e">
        <f t="shared" si="21"/>
        <v>#NUM!</v>
      </c>
    </row>
    <row r="312" spans="1:16" x14ac:dyDescent="0.25">
      <c r="J312" s="184" t="e">
        <f t="shared" si="21"/>
        <v>#NUM!</v>
      </c>
    </row>
    <row r="313" spans="1:16" x14ac:dyDescent="0.25">
      <c r="J313" s="184" t="e">
        <f t="shared" si="21"/>
        <v>#NUM!</v>
      </c>
    </row>
    <row r="314" spans="1:16" x14ac:dyDescent="0.25">
      <c r="J314" s="184" t="e">
        <f t="shared" si="21"/>
        <v>#NUM!</v>
      </c>
      <c r="L314" s="186"/>
      <c r="P314" s="176"/>
    </row>
    <row r="315" spans="1:16" x14ac:dyDescent="0.25">
      <c r="J315" s="184" t="e">
        <f t="shared" si="21"/>
        <v>#NUM!</v>
      </c>
      <c r="L315" s="186"/>
      <c r="P315" s="176"/>
    </row>
    <row r="316" spans="1:16" x14ac:dyDescent="0.25">
      <c r="J316" s="184" t="e">
        <f t="shared" si="21"/>
        <v>#NUM!</v>
      </c>
      <c r="L316" s="186"/>
      <c r="P316" s="176"/>
    </row>
    <row r="317" spans="1:16" x14ac:dyDescent="0.25">
      <c r="J317" s="184" t="e">
        <f t="shared" si="21"/>
        <v>#NUM!</v>
      </c>
      <c r="L317" s="186"/>
      <c r="P317" s="176"/>
    </row>
    <row r="318" spans="1:16" x14ac:dyDescent="0.25">
      <c r="J318" s="184" t="e">
        <f t="shared" si="21"/>
        <v>#NUM!</v>
      </c>
    </row>
    <row r="319" spans="1:16" x14ac:dyDescent="0.25">
      <c r="J319" s="184" t="e">
        <f t="shared" si="21"/>
        <v>#NUM!</v>
      </c>
    </row>
    <row r="320" spans="1:16" x14ac:dyDescent="0.25">
      <c r="J320" s="184" t="e">
        <f t="shared" si="21"/>
        <v>#NUM!</v>
      </c>
    </row>
    <row r="321" spans="10:10" x14ac:dyDescent="0.25">
      <c r="J321" s="184" t="e">
        <f t="shared" si="21"/>
        <v>#NUM!</v>
      </c>
    </row>
    <row r="322" spans="10:10" x14ac:dyDescent="0.25">
      <c r="J322" s="184" t="e">
        <f t="shared" si="21"/>
        <v>#NUM!</v>
      </c>
    </row>
    <row r="323" spans="10:10" x14ac:dyDescent="0.25">
      <c r="J323" s="184" t="e">
        <f t="shared" si="21"/>
        <v>#NUM!</v>
      </c>
    </row>
    <row r="324" spans="10:10" x14ac:dyDescent="0.25">
      <c r="J324" s="184" t="e">
        <f t="shared" si="21"/>
        <v>#NUM!</v>
      </c>
    </row>
    <row r="325" spans="10:10" x14ac:dyDescent="0.25">
      <c r="J325" s="184" t="e">
        <f t="shared" si="21"/>
        <v>#NUM!</v>
      </c>
    </row>
    <row r="326" spans="10:10" x14ac:dyDescent="0.25">
      <c r="J326" s="184" t="e">
        <f t="shared" si="21"/>
        <v>#NUM!</v>
      </c>
    </row>
    <row r="327" spans="10:10" x14ac:dyDescent="0.25">
      <c r="J327" s="184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84" t="e">
        <f t="shared" si="22"/>
        <v>#NUM!</v>
      </c>
    </row>
    <row r="329" spans="10:10" x14ac:dyDescent="0.25">
      <c r="J329" s="184" t="e">
        <f t="shared" si="22"/>
        <v>#NUM!</v>
      </c>
    </row>
    <row r="330" spans="10:10" x14ac:dyDescent="0.25">
      <c r="J330" s="184" t="e">
        <f t="shared" si="22"/>
        <v>#NUM!</v>
      </c>
    </row>
    <row r="331" spans="10:10" x14ac:dyDescent="0.25">
      <c r="J331" s="184" t="e">
        <f t="shared" si="22"/>
        <v>#NUM!</v>
      </c>
    </row>
    <row r="332" spans="10:10" x14ac:dyDescent="0.25">
      <c r="J332" s="184" t="e">
        <f t="shared" si="22"/>
        <v>#NUM!</v>
      </c>
    </row>
    <row r="333" spans="10:10" x14ac:dyDescent="0.25">
      <c r="J333" s="184" t="e">
        <f t="shared" si="22"/>
        <v>#NUM!</v>
      </c>
    </row>
    <row r="334" spans="10:10" x14ac:dyDescent="0.25">
      <c r="J334" s="184" t="e">
        <f t="shared" si="22"/>
        <v>#NUM!</v>
      </c>
    </row>
    <row r="335" spans="10:10" x14ac:dyDescent="0.25">
      <c r="J335" s="184" t="e">
        <f t="shared" si="22"/>
        <v>#NUM!</v>
      </c>
    </row>
    <row r="336" spans="10:10" x14ac:dyDescent="0.25">
      <c r="J336" s="184" t="e">
        <f t="shared" si="22"/>
        <v>#NUM!</v>
      </c>
    </row>
    <row r="337" spans="10:10" x14ac:dyDescent="0.25">
      <c r="J337" s="184" t="e">
        <f t="shared" si="22"/>
        <v>#NUM!</v>
      </c>
    </row>
    <row r="338" spans="10:10" x14ac:dyDescent="0.25">
      <c r="J338" s="184" t="e">
        <f t="shared" si="22"/>
        <v>#NUM!</v>
      </c>
    </row>
    <row r="339" spans="10:10" x14ac:dyDescent="0.25">
      <c r="J339" s="184" t="e">
        <f t="shared" si="22"/>
        <v>#NUM!</v>
      </c>
    </row>
    <row r="340" spans="10:10" x14ac:dyDescent="0.25">
      <c r="J340" s="184" t="e">
        <f t="shared" si="22"/>
        <v>#NUM!</v>
      </c>
    </row>
    <row r="341" spans="10:10" x14ac:dyDescent="0.25">
      <c r="J341" s="184" t="e">
        <f t="shared" si="22"/>
        <v>#NUM!</v>
      </c>
    </row>
    <row r="342" spans="10:10" x14ac:dyDescent="0.25">
      <c r="J342" s="184" t="e">
        <f t="shared" si="22"/>
        <v>#NUM!</v>
      </c>
    </row>
    <row r="343" spans="10:10" x14ac:dyDescent="0.25">
      <c r="J343" s="184" t="e">
        <f t="shared" si="22"/>
        <v>#NUM!</v>
      </c>
    </row>
    <row r="344" spans="10:10" x14ac:dyDescent="0.25">
      <c r="J344" s="184" t="e">
        <f t="shared" si="22"/>
        <v>#NUM!</v>
      </c>
    </row>
    <row r="345" spans="10:10" x14ac:dyDescent="0.25">
      <c r="J345" s="184" t="e">
        <f t="shared" si="22"/>
        <v>#NUM!</v>
      </c>
    </row>
    <row r="346" spans="10:10" x14ac:dyDescent="0.25">
      <c r="J346" s="184" t="e">
        <f t="shared" si="22"/>
        <v>#NUM!</v>
      </c>
    </row>
    <row r="347" spans="10:10" x14ac:dyDescent="0.25">
      <c r="J347" s="184" t="e">
        <f t="shared" si="22"/>
        <v>#NUM!</v>
      </c>
    </row>
    <row r="348" spans="10:10" x14ac:dyDescent="0.25">
      <c r="J348" s="184" t="e">
        <f t="shared" si="22"/>
        <v>#NUM!</v>
      </c>
    </row>
    <row r="349" spans="10:10" x14ac:dyDescent="0.25">
      <c r="J349" s="184" t="e">
        <f t="shared" si="22"/>
        <v>#NUM!</v>
      </c>
    </row>
    <row r="350" spans="10:10" x14ac:dyDescent="0.25">
      <c r="J350" s="184" t="e">
        <f t="shared" si="22"/>
        <v>#NUM!</v>
      </c>
    </row>
    <row r="351" spans="10:10" x14ac:dyDescent="0.25">
      <c r="J351" s="184" t="e">
        <f t="shared" si="22"/>
        <v>#NUM!</v>
      </c>
    </row>
    <row r="352" spans="10:10" x14ac:dyDescent="0.25">
      <c r="J352" s="184" t="e">
        <f t="shared" si="22"/>
        <v>#NUM!</v>
      </c>
    </row>
    <row r="353" spans="10:10" x14ac:dyDescent="0.25">
      <c r="J353" s="184" t="e">
        <f t="shared" si="22"/>
        <v>#NUM!</v>
      </c>
    </row>
    <row r="354" spans="10:10" x14ac:dyDescent="0.25">
      <c r="J354" s="184" t="e">
        <f t="shared" si="22"/>
        <v>#NUM!</v>
      </c>
    </row>
    <row r="355" spans="10:10" x14ac:dyDescent="0.25">
      <c r="J355" s="184" t="e">
        <f t="shared" si="22"/>
        <v>#NUM!</v>
      </c>
    </row>
    <row r="356" spans="10:10" x14ac:dyDescent="0.25">
      <c r="J356" s="184" t="e">
        <f t="shared" si="22"/>
        <v>#NUM!</v>
      </c>
    </row>
    <row r="357" spans="10:10" x14ac:dyDescent="0.25">
      <c r="J357" s="184" t="e">
        <f t="shared" si="22"/>
        <v>#NUM!</v>
      </c>
    </row>
    <row r="358" spans="10:10" x14ac:dyDescent="0.25">
      <c r="J358" s="184" t="e">
        <f t="shared" si="22"/>
        <v>#NUM!</v>
      </c>
    </row>
    <row r="359" spans="10:10" x14ac:dyDescent="0.25">
      <c r="J359" s="184" t="e">
        <f t="shared" si="22"/>
        <v>#NUM!</v>
      </c>
    </row>
    <row r="360" spans="10:10" x14ac:dyDescent="0.25">
      <c r="J360" s="184" t="e">
        <f t="shared" si="22"/>
        <v>#NUM!</v>
      </c>
    </row>
    <row r="361" spans="10:10" x14ac:dyDescent="0.25">
      <c r="J361" s="184" t="e">
        <f t="shared" si="22"/>
        <v>#NUM!</v>
      </c>
    </row>
    <row r="362" spans="10:10" x14ac:dyDescent="0.25">
      <c r="J362" s="184" t="e">
        <f t="shared" si="22"/>
        <v>#NUM!</v>
      </c>
    </row>
    <row r="363" spans="10:10" x14ac:dyDescent="0.25">
      <c r="J363" s="184" t="e">
        <f t="shared" si="22"/>
        <v>#NUM!</v>
      </c>
    </row>
    <row r="364" spans="10:10" x14ac:dyDescent="0.25">
      <c r="J364" s="184" t="e">
        <f t="shared" si="22"/>
        <v>#NUM!</v>
      </c>
    </row>
    <row r="365" spans="10:10" x14ac:dyDescent="0.25">
      <c r="J365" s="184" t="e">
        <f t="shared" si="22"/>
        <v>#NUM!</v>
      </c>
    </row>
    <row r="366" spans="10:10" x14ac:dyDescent="0.25">
      <c r="J366" s="184" t="e">
        <f t="shared" si="22"/>
        <v>#NUM!</v>
      </c>
    </row>
    <row r="367" spans="10:10" x14ac:dyDescent="0.25">
      <c r="J367" s="184" t="e">
        <f t="shared" si="22"/>
        <v>#NUM!</v>
      </c>
    </row>
    <row r="368" spans="10:10" x14ac:dyDescent="0.25">
      <c r="J368" s="184" t="e">
        <f t="shared" si="22"/>
        <v>#NUM!</v>
      </c>
    </row>
    <row r="369" spans="10:10" x14ac:dyDescent="0.25">
      <c r="J369" s="184" t="e">
        <f t="shared" si="22"/>
        <v>#NUM!</v>
      </c>
    </row>
    <row r="370" spans="10:10" x14ac:dyDescent="0.25">
      <c r="J370" s="184" t="e">
        <f t="shared" si="22"/>
        <v>#NUM!</v>
      </c>
    </row>
    <row r="371" spans="10:10" x14ac:dyDescent="0.25">
      <c r="J371" s="184" t="e">
        <f t="shared" si="22"/>
        <v>#NUM!</v>
      </c>
    </row>
    <row r="372" spans="10:10" x14ac:dyDescent="0.25">
      <c r="J372" s="184" t="e">
        <f t="shared" si="22"/>
        <v>#NUM!</v>
      </c>
    </row>
    <row r="373" spans="10:10" x14ac:dyDescent="0.25">
      <c r="J373" s="184" t="e">
        <f t="shared" si="22"/>
        <v>#NUM!</v>
      </c>
    </row>
    <row r="374" spans="10:10" x14ac:dyDescent="0.25">
      <c r="J374" s="184" t="e">
        <f t="shared" si="22"/>
        <v>#NUM!</v>
      </c>
    </row>
  </sheetData>
  <conditionalFormatting sqref="J9:K305">
    <cfRule type="cellIs" dxfId="6" priority="1" operator="lessThanOrEqual">
      <formula>0</formula>
    </cfRule>
  </conditionalFormatting>
  <hyperlinks>
    <hyperlink ref="C2" r:id="rId1" xr:uid="{83EB9C71-FB0D-4028-A9A0-3B3748D7342E}"/>
  </hyperlinks>
  <pageMargins left="0.7" right="0.7" top="0.75" bottom="0.75" header="0.3" footer="0.3"/>
  <pageSetup paperSize="9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BCC12-4D91-449E-B0FD-1FE9E431235A}">
  <sheetPr>
    <tabColor rgb="FF92D050"/>
  </sheetPr>
  <dimension ref="A1:AL317"/>
  <sheetViews>
    <sheetView workbookViewId="0">
      <selection activeCell="C2" sqref="C2:C3"/>
    </sheetView>
  </sheetViews>
  <sheetFormatPr defaultColWidth="8.875" defaultRowHeight="14.3" x14ac:dyDescent="0.25"/>
  <cols>
    <col min="1" max="1" width="8" style="181" customWidth="1"/>
    <col min="2" max="2" width="8.25" style="181" customWidth="1"/>
    <col min="3" max="3" width="34.75" style="181" customWidth="1"/>
    <col min="4" max="4" width="11.25" style="181" customWidth="1"/>
    <col min="5" max="6" width="8.875" style="181"/>
    <col min="7" max="7" width="0.875" style="181" customWidth="1"/>
    <col min="8" max="8" width="8.875" style="184"/>
    <col min="9" max="9" width="11" style="184" customWidth="1"/>
    <col min="10" max="10" width="15.25" style="184" customWidth="1"/>
    <col min="11" max="11" width="8.75" style="184" customWidth="1"/>
    <col min="12" max="12" width="11" style="184" customWidth="1"/>
    <col min="13" max="13" width="12.25" style="185" customWidth="1"/>
    <col min="14" max="15" width="13.875" style="153" customWidth="1"/>
    <col min="16" max="18" width="8.875" style="153"/>
    <col min="19" max="20" width="8.875" style="158"/>
    <col min="21" max="21" width="12.125" style="158" customWidth="1"/>
    <col min="22" max="22" width="27.375" style="158" customWidth="1"/>
    <col min="23" max="38" width="8.875" style="158"/>
    <col min="39" max="16384" width="8.875" style="181"/>
  </cols>
  <sheetData>
    <row r="1" spans="1:36" x14ac:dyDescent="0.25">
      <c r="A1" s="153"/>
      <c r="B1" s="153"/>
      <c r="C1" s="153"/>
      <c r="D1" s="153"/>
      <c r="E1" s="153"/>
      <c r="F1" s="153"/>
      <c r="G1" s="153"/>
      <c r="H1" s="154" t="s">
        <v>13</v>
      </c>
      <c r="I1" s="155" t="s">
        <v>14</v>
      </c>
      <c r="J1" s="155" t="s">
        <v>15</v>
      </c>
      <c r="K1" s="156" t="s">
        <v>57</v>
      </c>
      <c r="L1" s="157"/>
      <c r="M1" s="157"/>
    </row>
    <row r="2" spans="1:36" x14ac:dyDescent="0.25">
      <c r="A2" s="153"/>
      <c r="B2" s="17" t="s">
        <v>17</v>
      </c>
      <c r="C2" s="206" t="s">
        <v>65</v>
      </c>
      <c r="D2" s="209"/>
      <c r="E2" s="18"/>
      <c r="F2" s="18"/>
      <c r="G2" s="18"/>
      <c r="H2" s="159">
        <v>0</v>
      </c>
      <c r="I2" s="160">
        <v>50</v>
      </c>
      <c r="J2" s="160">
        <v>10</v>
      </c>
      <c r="K2" s="161">
        <f>3*H2^(1/3)</f>
        <v>0</v>
      </c>
      <c r="L2" s="157"/>
      <c r="M2" s="157"/>
    </row>
    <row r="3" spans="1:36" x14ac:dyDescent="0.25">
      <c r="A3" s="153"/>
      <c r="B3" s="162" t="s">
        <v>18</v>
      </c>
      <c r="C3" s="210" t="s">
        <v>132</v>
      </c>
      <c r="D3" s="210"/>
      <c r="E3" s="23"/>
      <c r="F3" s="23"/>
      <c r="G3" s="23"/>
      <c r="H3" s="157"/>
      <c r="I3" s="157"/>
      <c r="J3" s="188"/>
      <c r="K3" s="157"/>
      <c r="L3" s="157"/>
      <c r="M3" s="157"/>
    </row>
    <row r="4" spans="1:36" ht="10.199999999999999" customHeight="1" x14ac:dyDescent="0.25">
      <c r="A4" s="25"/>
      <c r="B4" s="23"/>
      <c r="C4" s="25"/>
      <c r="D4" s="25"/>
      <c r="E4" s="25"/>
      <c r="F4" s="25"/>
      <c r="G4" s="25"/>
      <c r="H4" s="157"/>
      <c r="I4" s="157"/>
      <c r="J4" s="188"/>
      <c r="K4" s="157"/>
      <c r="L4" s="157"/>
      <c r="M4" s="157"/>
    </row>
    <row r="5" spans="1:36" ht="34.65" x14ac:dyDescent="0.25">
      <c r="A5" s="1" t="s">
        <v>19</v>
      </c>
      <c r="B5" s="26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25"/>
      <c r="H5" s="163" t="s">
        <v>25</v>
      </c>
      <c r="I5" s="164" t="s">
        <v>26</v>
      </c>
      <c r="J5" s="189" t="s">
        <v>27</v>
      </c>
      <c r="K5" s="164" t="s">
        <v>28</v>
      </c>
      <c r="L5" s="164" t="s">
        <v>29</v>
      </c>
      <c r="M5" s="163" t="s">
        <v>30</v>
      </c>
    </row>
    <row r="6" spans="1:36" ht="14.45" customHeight="1" x14ac:dyDescent="0.25">
      <c r="A6" s="87">
        <f>M6</f>
        <v>0</v>
      </c>
      <c r="B6" s="31" t="str">
        <f t="shared" ref="B6:B69" si="0">IF(H6&gt;$H$2,"",(ROW()-5))</f>
        <v/>
      </c>
      <c r="C6" s="32"/>
      <c r="D6" s="32"/>
      <c r="E6" s="32"/>
      <c r="F6" s="32"/>
      <c r="G6" s="25"/>
      <c r="H6" s="165">
        <v>1</v>
      </c>
      <c r="I6" s="166" t="str">
        <f t="shared" ref="I6:I69" si="1">IF(H6&lt;$H$2+1,($I$2-($I$2-1)*(LOG(H6)/LOG($H$2))),"")</f>
        <v/>
      </c>
      <c r="J6" s="165" t="e">
        <f>INT(LOG($H$2,2))-ROUNDUP(LOG(H6,2),0)+IF(OR($H$2=1,$H$2=2,$H$2=4,$H$2=8,$H$2=16,$H$2=32,$H$2=64,$H$2=128,$H$2=256),0,1)</f>
        <v>#NUM!</v>
      </c>
      <c r="K6" s="165" t="e">
        <f t="shared" ref="K6:K69" si="2">J6*$J$2</f>
        <v>#NUM!</v>
      </c>
      <c r="L6" s="167">
        <f>3*K2</f>
        <v>0</v>
      </c>
      <c r="M6" s="167">
        <f t="shared" ref="M6:M69" si="3">IF(I6&lt;&gt;"",K6+I6+L6,0)</f>
        <v>0</v>
      </c>
    </row>
    <row r="7" spans="1:36" ht="14.45" customHeight="1" x14ac:dyDescent="0.25">
      <c r="A7" s="91">
        <f t="shared" ref="A7:A70" si="4">M7</f>
        <v>0</v>
      </c>
      <c r="B7" s="37" t="str">
        <f t="shared" si="0"/>
        <v/>
      </c>
      <c r="C7" s="38"/>
      <c r="D7" s="38"/>
      <c r="E7" s="38"/>
      <c r="F7" s="38"/>
      <c r="G7" s="25"/>
      <c r="H7" s="168">
        <v>2</v>
      </c>
      <c r="I7" s="169" t="str">
        <f t="shared" si="1"/>
        <v/>
      </c>
      <c r="J7" s="168" t="e">
        <f t="shared" ref="J7:J70" si="5">INT(LOG($H$2,2))-ROUNDUP(LOG(H7,2),0)+IF(OR($H$2=1,$H$2=2,$H$2=4,$H$2=8,$H$2=16,$H$2=32,$H$2=64,$H$2=128,$H$2=256),0,1)</f>
        <v>#NUM!</v>
      </c>
      <c r="K7" s="168" t="e">
        <f t="shared" si="2"/>
        <v>#NUM!</v>
      </c>
      <c r="L7" s="170">
        <f>2*K2</f>
        <v>0</v>
      </c>
      <c r="M7" s="170">
        <f t="shared" si="3"/>
        <v>0</v>
      </c>
    </row>
    <row r="8" spans="1:36" ht="14.45" customHeight="1" x14ac:dyDescent="0.25">
      <c r="A8" s="87">
        <f t="shared" si="4"/>
        <v>0</v>
      </c>
      <c r="B8" s="31" t="str">
        <f t="shared" si="0"/>
        <v/>
      </c>
      <c r="C8" s="32"/>
      <c r="D8" s="32"/>
      <c r="E8" s="32"/>
      <c r="F8" s="32"/>
      <c r="G8" s="25"/>
      <c r="H8" s="165">
        <v>3</v>
      </c>
      <c r="I8" s="166" t="str">
        <f t="shared" si="1"/>
        <v/>
      </c>
      <c r="J8" s="165" t="e">
        <f t="shared" si="5"/>
        <v>#NUM!</v>
      </c>
      <c r="K8" s="165" t="e">
        <f t="shared" si="2"/>
        <v>#NUM!</v>
      </c>
      <c r="L8" s="167">
        <f>K2</f>
        <v>0</v>
      </c>
      <c r="M8" s="167">
        <f t="shared" si="3"/>
        <v>0</v>
      </c>
    </row>
    <row r="9" spans="1:36" s="158" customFormat="1" ht="14.45" customHeight="1" x14ac:dyDescent="0.25">
      <c r="A9" s="91">
        <f t="shared" si="4"/>
        <v>0</v>
      </c>
      <c r="B9" s="37" t="str">
        <f>IF(H9&gt;$H$2,"",3)</f>
        <v/>
      </c>
      <c r="C9" s="38"/>
      <c r="D9" s="38"/>
      <c r="E9" s="38"/>
      <c r="F9" s="38"/>
      <c r="G9" s="25"/>
      <c r="H9" s="168">
        <v>3</v>
      </c>
      <c r="I9" s="169" t="str">
        <f t="shared" si="1"/>
        <v/>
      </c>
      <c r="J9" s="168" t="e">
        <f t="shared" si="5"/>
        <v>#NUM!</v>
      </c>
      <c r="K9" s="168" t="e">
        <f t="shared" si="2"/>
        <v>#NUM!</v>
      </c>
      <c r="L9" s="170">
        <f>K2</f>
        <v>0</v>
      </c>
      <c r="M9" s="170">
        <f t="shared" si="3"/>
        <v>0</v>
      </c>
      <c r="N9" s="153"/>
      <c r="O9" s="153"/>
      <c r="P9" s="153"/>
      <c r="Q9" s="153"/>
      <c r="R9" s="153"/>
      <c r="V9" s="171"/>
      <c r="Z9" s="172"/>
      <c r="AA9" s="172"/>
      <c r="AG9" s="173"/>
      <c r="AH9" s="158" t="s">
        <v>34</v>
      </c>
      <c r="AI9" s="158">
        <v>23</v>
      </c>
    </row>
    <row r="10" spans="1:36" ht="14.45" customHeight="1" x14ac:dyDescent="0.25">
      <c r="A10" s="87">
        <f t="shared" si="4"/>
        <v>0</v>
      </c>
      <c r="B10" s="31" t="str">
        <f t="shared" si="0"/>
        <v/>
      </c>
      <c r="C10" s="32"/>
      <c r="D10" s="32"/>
      <c r="E10" s="32"/>
      <c r="F10" s="32"/>
      <c r="G10" s="25"/>
      <c r="H10" s="165">
        <v>5</v>
      </c>
      <c r="I10" s="166" t="str">
        <f t="shared" si="1"/>
        <v/>
      </c>
      <c r="J10" s="165" t="e">
        <f t="shared" si="5"/>
        <v>#NUM!</v>
      </c>
      <c r="K10" s="165" t="e">
        <f t="shared" si="2"/>
        <v>#NUM!</v>
      </c>
      <c r="L10" s="165"/>
      <c r="M10" s="167">
        <f t="shared" si="3"/>
        <v>0</v>
      </c>
      <c r="V10" s="171"/>
      <c r="Z10" s="172"/>
      <c r="AA10" s="172"/>
      <c r="AG10" s="173"/>
      <c r="AH10" s="158" t="s">
        <v>35</v>
      </c>
      <c r="AI10" s="158">
        <v>45</v>
      </c>
    </row>
    <row r="11" spans="1:36" ht="14.45" customHeight="1" x14ac:dyDescent="0.25">
      <c r="A11" s="91">
        <f t="shared" si="4"/>
        <v>0</v>
      </c>
      <c r="B11" s="37" t="str">
        <f t="shared" si="0"/>
        <v/>
      </c>
      <c r="C11" s="38"/>
      <c r="D11" s="38"/>
      <c r="E11" s="38"/>
      <c r="F11" s="38"/>
      <c r="G11" s="25"/>
      <c r="H11" s="168">
        <v>6</v>
      </c>
      <c r="I11" s="169" t="str">
        <f t="shared" si="1"/>
        <v/>
      </c>
      <c r="J11" s="168" t="e">
        <f t="shared" si="5"/>
        <v>#NUM!</v>
      </c>
      <c r="K11" s="168" t="e">
        <f t="shared" si="2"/>
        <v>#NUM!</v>
      </c>
      <c r="L11" s="168"/>
      <c r="M11" s="170">
        <f t="shared" si="3"/>
        <v>0</v>
      </c>
      <c r="V11" s="174"/>
      <c r="Z11" s="172"/>
      <c r="AA11" s="172"/>
      <c r="AG11" s="173"/>
      <c r="AH11" s="158" t="s">
        <v>36</v>
      </c>
      <c r="AI11" s="158">
        <v>50</v>
      </c>
    </row>
    <row r="12" spans="1:36" ht="14.45" customHeight="1" x14ac:dyDescent="0.25">
      <c r="A12" s="87">
        <f t="shared" si="4"/>
        <v>0</v>
      </c>
      <c r="B12" s="31" t="str">
        <f t="shared" si="0"/>
        <v/>
      </c>
      <c r="C12" s="32"/>
      <c r="D12" s="32"/>
      <c r="E12" s="32"/>
      <c r="F12" s="32"/>
      <c r="G12" s="25"/>
      <c r="H12" s="165">
        <v>7</v>
      </c>
      <c r="I12" s="166" t="str">
        <f t="shared" si="1"/>
        <v/>
      </c>
      <c r="J12" s="165" t="e">
        <f t="shared" si="5"/>
        <v>#NUM!</v>
      </c>
      <c r="K12" s="165" t="e">
        <f t="shared" si="2"/>
        <v>#NUM!</v>
      </c>
      <c r="L12" s="165"/>
      <c r="M12" s="167">
        <f t="shared" si="3"/>
        <v>0</v>
      </c>
      <c r="Z12" s="172"/>
      <c r="AA12" s="172"/>
      <c r="AG12" s="173"/>
      <c r="AH12" s="158" t="s">
        <v>37</v>
      </c>
      <c r="AI12" s="158">
        <f>AI11-1</f>
        <v>49</v>
      </c>
    </row>
    <row r="13" spans="1:36" ht="14.45" customHeight="1" x14ac:dyDescent="0.25">
      <c r="A13" s="91">
        <f t="shared" si="4"/>
        <v>0</v>
      </c>
      <c r="B13" s="37" t="str">
        <f t="shared" si="0"/>
        <v/>
      </c>
      <c r="C13" s="38"/>
      <c r="D13" s="38"/>
      <c r="E13" s="38"/>
      <c r="F13" s="38"/>
      <c r="G13" s="25"/>
      <c r="H13" s="168">
        <v>8</v>
      </c>
      <c r="I13" s="169" t="str">
        <f t="shared" si="1"/>
        <v/>
      </c>
      <c r="J13" s="168" t="e">
        <f t="shared" si="5"/>
        <v>#NUM!</v>
      </c>
      <c r="K13" s="168" t="e">
        <f t="shared" si="2"/>
        <v>#NUM!</v>
      </c>
      <c r="L13" s="168"/>
      <c r="M13" s="170">
        <f t="shared" si="3"/>
        <v>0</v>
      </c>
      <c r="X13" s="171"/>
      <c r="AG13" s="173"/>
      <c r="AH13" s="158" t="s">
        <v>38</v>
      </c>
      <c r="AI13" s="158">
        <f>LOG(AI9)</f>
        <v>1.3617278360175928</v>
      </c>
    </row>
    <row r="14" spans="1:36" x14ac:dyDescent="0.25">
      <c r="A14" s="87">
        <f t="shared" si="4"/>
        <v>0</v>
      </c>
      <c r="B14" s="31" t="str">
        <f t="shared" si="0"/>
        <v/>
      </c>
      <c r="C14" s="32"/>
      <c r="D14" s="32"/>
      <c r="E14" s="32"/>
      <c r="F14" s="32"/>
      <c r="G14" s="25"/>
      <c r="H14" s="165">
        <v>9</v>
      </c>
      <c r="I14" s="166" t="str">
        <f t="shared" si="1"/>
        <v/>
      </c>
      <c r="J14" s="165" t="e">
        <f t="shared" si="5"/>
        <v>#NUM!</v>
      </c>
      <c r="K14" s="165" t="e">
        <f t="shared" si="2"/>
        <v>#NUM!</v>
      </c>
      <c r="L14" s="165"/>
      <c r="M14" s="167">
        <f t="shared" si="3"/>
        <v>0</v>
      </c>
      <c r="X14" s="175"/>
      <c r="Z14" s="172"/>
      <c r="AA14" s="172"/>
      <c r="AG14" s="173"/>
      <c r="AH14" s="158" t="s">
        <v>39</v>
      </c>
      <c r="AI14" s="158">
        <f>LOG(AI10)</f>
        <v>1.6532125137753437</v>
      </c>
    </row>
    <row r="15" spans="1:36" x14ac:dyDescent="0.25">
      <c r="A15" s="91">
        <f t="shared" si="4"/>
        <v>0</v>
      </c>
      <c r="B15" s="37" t="str">
        <f t="shared" si="0"/>
        <v/>
      </c>
      <c r="C15" s="38"/>
      <c r="D15" s="38"/>
      <c r="E15" s="38"/>
      <c r="F15" s="38"/>
      <c r="G15" s="25"/>
      <c r="H15" s="168">
        <v>10</v>
      </c>
      <c r="I15" s="169" t="str">
        <f t="shared" si="1"/>
        <v/>
      </c>
      <c r="J15" s="168" t="e">
        <f t="shared" si="5"/>
        <v>#NUM!</v>
      </c>
      <c r="K15" s="168" t="e">
        <f t="shared" si="2"/>
        <v>#NUM!</v>
      </c>
      <c r="L15" s="168"/>
      <c r="M15" s="170">
        <f t="shared" si="3"/>
        <v>0</v>
      </c>
      <c r="X15" s="171"/>
      <c r="Z15" s="172"/>
      <c r="AA15" s="172"/>
    </row>
    <row r="16" spans="1:36" x14ac:dyDescent="0.25">
      <c r="A16" s="87">
        <f t="shared" si="4"/>
        <v>0</v>
      </c>
      <c r="B16" s="31" t="str">
        <f t="shared" si="0"/>
        <v/>
      </c>
      <c r="C16" s="32"/>
      <c r="D16" s="32"/>
      <c r="E16" s="32"/>
      <c r="F16" s="32"/>
      <c r="G16" s="25"/>
      <c r="H16" s="165">
        <v>11</v>
      </c>
      <c r="I16" s="166" t="str">
        <f t="shared" si="1"/>
        <v/>
      </c>
      <c r="J16" s="165" t="e">
        <f t="shared" si="5"/>
        <v>#NUM!</v>
      </c>
      <c r="K16" s="165" t="e">
        <f t="shared" si="2"/>
        <v>#NUM!</v>
      </c>
      <c r="L16" s="165"/>
      <c r="M16" s="167">
        <f t="shared" si="3"/>
        <v>0</v>
      </c>
      <c r="R16" s="176"/>
      <c r="Z16" s="172"/>
      <c r="AA16" s="172"/>
      <c r="AH16" s="177" t="s">
        <v>40</v>
      </c>
      <c r="AI16" s="158">
        <f>AI11-AI12*AI13/AI14</f>
        <v>9.6393909380186855</v>
      </c>
      <c r="AJ16" s="158" t="s">
        <v>41</v>
      </c>
    </row>
    <row r="17" spans="1:19" x14ac:dyDescent="0.25">
      <c r="A17" s="91">
        <f t="shared" si="4"/>
        <v>0</v>
      </c>
      <c r="B17" s="37" t="str">
        <f t="shared" si="0"/>
        <v/>
      </c>
      <c r="C17" s="38"/>
      <c r="D17" s="38"/>
      <c r="E17" s="38"/>
      <c r="F17" s="38"/>
      <c r="G17" s="25"/>
      <c r="H17" s="168">
        <v>12</v>
      </c>
      <c r="I17" s="169" t="str">
        <f t="shared" si="1"/>
        <v/>
      </c>
      <c r="J17" s="168" t="e">
        <f t="shared" si="5"/>
        <v>#NUM!</v>
      </c>
      <c r="K17" s="168" t="e">
        <f t="shared" si="2"/>
        <v>#NUM!</v>
      </c>
      <c r="L17" s="168"/>
      <c r="M17" s="170">
        <f t="shared" si="3"/>
        <v>0</v>
      </c>
    </row>
    <row r="18" spans="1:19" x14ac:dyDescent="0.25">
      <c r="A18" s="87">
        <f t="shared" si="4"/>
        <v>0</v>
      </c>
      <c r="B18" s="31" t="str">
        <f t="shared" si="0"/>
        <v/>
      </c>
      <c r="C18" s="32"/>
      <c r="D18" s="32"/>
      <c r="E18" s="32"/>
      <c r="F18" s="32"/>
      <c r="G18" s="25"/>
      <c r="H18" s="165">
        <v>13</v>
      </c>
      <c r="I18" s="166" t="str">
        <f t="shared" si="1"/>
        <v/>
      </c>
      <c r="J18" s="165" t="e">
        <f t="shared" si="5"/>
        <v>#NUM!</v>
      </c>
      <c r="K18" s="165" t="e">
        <f t="shared" si="2"/>
        <v>#NUM!</v>
      </c>
      <c r="L18" s="165"/>
      <c r="M18" s="167">
        <f t="shared" si="3"/>
        <v>0</v>
      </c>
    </row>
    <row r="19" spans="1:19" x14ac:dyDescent="0.25">
      <c r="A19" s="91">
        <f t="shared" si="4"/>
        <v>0</v>
      </c>
      <c r="B19" s="37" t="str">
        <f t="shared" si="0"/>
        <v/>
      </c>
      <c r="C19" s="38"/>
      <c r="D19" s="38"/>
      <c r="E19" s="38"/>
      <c r="F19" s="38"/>
      <c r="G19" s="25"/>
      <c r="H19" s="168">
        <v>14</v>
      </c>
      <c r="I19" s="169" t="str">
        <f t="shared" si="1"/>
        <v/>
      </c>
      <c r="J19" s="168" t="e">
        <f t="shared" si="5"/>
        <v>#NUM!</v>
      </c>
      <c r="K19" s="168" t="e">
        <f t="shared" si="2"/>
        <v>#NUM!</v>
      </c>
      <c r="L19" s="168"/>
      <c r="M19" s="170">
        <f t="shared" si="3"/>
        <v>0</v>
      </c>
    </row>
    <row r="20" spans="1:19" x14ac:dyDescent="0.25">
      <c r="A20" s="87">
        <f t="shared" si="4"/>
        <v>0</v>
      </c>
      <c r="B20" s="31" t="str">
        <f t="shared" si="0"/>
        <v/>
      </c>
      <c r="C20" s="32"/>
      <c r="D20" s="32"/>
      <c r="E20" s="32"/>
      <c r="F20" s="32"/>
      <c r="G20" s="25"/>
      <c r="H20" s="165">
        <v>15</v>
      </c>
      <c r="I20" s="166" t="str">
        <f t="shared" si="1"/>
        <v/>
      </c>
      <c r="J20" s="165" t="e">
        <f t="shared" si="5"/>
        <v>#NUM!</v>
      </c>
      <c r="K20" s="165" t="e">
        <f t="shared" si="2"/>
        <v>#NUM!</v>
      </c>
      <c r="L20" s="165"/>
      <c r="M20" s="167">
        <f t="shared" si="3"/>
        <v>0</v>
      </c>
      <c r="R20" s="178"/>
      <c r="S20" s="179"/>
    </row>
    <row r="21" spans="1:19" x14ac:dyDescent="0.25">
      <c r="A21" s="91">
        <f t="shared" si="4"/>
        <v>0</v>
      </c>
      <c r="B21" s="37" t="str">
        <f t="shared" si="0"/>
        <v/>
      </c>
      <c r="C21" s="38"/>
      <c r="D21" s="38"/>
      <c r="E21" s="38"/>
      <c r="F21" s="38"/>
      <c r="G21" s="25"/>
      <c r="H21" s="168">
        <v>16</v>
      </c>
      <c r="I21" s="169" t="str">
        <f t="shared" si="1"/>
        <v/>
      </c>
      <c r="J21" s="168" t="e">
        <f t="shared" si="5"/>
        <v>#NUM!</v>
      </c>
      <c r="K21" s="168" t="e">
        <f t="shared" si="2"/>
        <v>#NUM!</v>
      </c>
      <c r="L21" s="168"/>
      <c r="M21" s="170">
        <f t="shared" si="3"/>
        <v>0</v>
      </c>
    </row>
    <row r="22" spans="1:19" x14ac:dyDescent="0.25">
      <c r="A22" s="87">
        <f t="shared" si="4"/>
        <v>0</v>
      </c>
      <c r="B22" s="31" t="str">
        <f t="shared" si="0"/>
        <v/>
      </c>
      <c r="C22" s="32"/>
      <c r="D22" s="32"/>
      <c r="E22" s="32"/>
      <c r="F22" s="32"/>
      <c r="G22" s="25"/>
      <c r="H22" s="165">
        <v>17</v>
      </c>
      <c r="I22" s="166" t="str">
        <f t="shared" si="1"/>
        <v/>
      </c>
      <c r="J22" s="165" t="e">
        <f t="shared" si="5"/>
        <v>#NUM!</v>
      </c>
      <c r="K22" s="165" t="e">
        <f t="shared" si="2"/>
        <v>#NUM!</v>
      </c>
      <c r="L22" s="165"/>
      <c r="M22" s="167">
        <f t="shared" si="3"/>
        <v>0</v>
      </c>
    </row>
    <row r="23" spans="1:19" x14ac:dyDescent="0.25">
      <c r="A23" s="91">
        <f t="shared" si="4"/>
        <v>0</v>
      </c>
      <c r="B23" s="37" t="str">
        <f t="shared" si="0"/>
        <v/>
      </c>
      <c r="C23" s="38"/>
      <c r="D23" s="38"/>
      <c r="E23" s="38"/>
      <c r="F23" s="38"/>
      <c r="G23" s="25"/>
      <c r="H23" s="168">
        <v>18</v>
      </c>
      <c r="I23" s="169" t="str">
        <f t="shared" si="1"/>
        <v/>
      </c>
      <c r="J23" s="168" t="e">
        <f t="shared" si="5"/>
        <v>#NUM!</v>
      </c>
      <c r="K23" s="168" t="e">
        <f t="shared" si="2"/>
        <v>#NUM!</v>
      </c>
      <c r="L23" s="168"/>
      <c r="M23" s="170">
        <f t="shared" si="3"/>
        <v>0</v>
      </c>
    </row>
    <row r="24" spans="1:19" x14ac:dyDescent="0.25">
      <c r="A24" s="87">
        <f t="shared" si="4"/>
        <v>0</v>
      </c>
      <c r="B24" s="31" t="str">
        <f t="shared" si="0"/>
        <v/>
      </c>
      <c r="C24" s="32"/>
      <c r="D24" s="32"/>
      <c r="E24" s="32"/>
      <c r="F24" s="32"/>
      <c r="G24" s="25"/>
      <c r="H24" s="165">
        <v>19</v>
      </c>
      <c r="I24" s="166" t="str">
        <f t="shared" si="1"/>
        <v/>
      </c>
      <c r="J24" s="165" t="e">
        <f t="shared" si="5"/>
        <v>#NUM!</v>
      </c>
      <c r="K24" s="165" t="e">
        <f t="shared" si="2"/>
        <v>#NUM!</v>
      </c>
      <c r="L24" s="165"/>
      <c r="M24" s="167">
        <f t="shared" si="3"/>
        <v>0</v>
      </c>
      <c r="R24" s="178"/>
      <c r="S24" s="179"/>
    </row>
    <row r="25" spans="1:19" x14ac:dyDescent="0.25">
      <c r="A25" s="91">
        <f t="shared" si="4"/>
        <v>0</v>
      </c>
      <c r="B25" s="37" t="str">
        <f t="shared" si="0"/>
        <v/>
      </c>
      <c r="C25" s="38"/>
      <c r="D25" s="38"/>
      <c r="E25" s="38"/>
      <c r="F25" s="38"/>
      <c r="G25" s="25"/>
      <c r="H25" s="168">
        <v>20</v>
      </c>
      <c r="I25" s="169" t="str">
        <f t="shared" si="1"/>
        <v/>
      </c>
      <c r="J25" s="168" t="e">
        <f t="shared" si="5"/>
        <v>#NUM!</v>
      </c>
      <c r="K25" s="168" t="e">
        <f t="shared" si="2"/>
        <v>#NUM!</v>
      </c>
      <c r="L25" s="168"/>
      <c r="M25" s="170">
        <f t="shared" si="3"/>
        <v>0</v>
      </c>
    </row>
    <row r="26" spans="1:19" x14ac:dyDescent="0.25">
      <c r="A26" s="87">
        <f t="shared" si="4"/>
        <v>0</v>
      </c>
      <c r="B26" s="31" t="str">
        <f t="shared" si="0"/>
        <v/>
      </c>
      <c r="C26" s="32"/>
      <c r="D26" s="32"/>
      <c r="E26" s="32"/>
      <c r="F26" s="32"/>
      <c r="G26" s="25"/>
      <c r="H26" s="165">
        <v>21</v>
      </c>
      <c r="I26" s="166" t="str">
        <f t="shared" si="1"/>
        <v/>
      </c>
      <c r="J26" s="165" t="e">
        <f t="shared" si="5"/>
        <v>#NUM!</v>
      </c>
      <c r="K26" s="165" t="e">
        <f t="shared" si="2"/>
        <v>#NUM!</v>
      </c>
      <c r="L26" s="165"/>
      <c r="M26" s="167">
        <f t="shared" si="3"/>
        <v>0</v>
      </c>
    </row>
    <row r="27" spans="1:19" x14ac:dyDescent="0.25">
      <c r="A27" s="91">
        <f t="shared" si="4"/>
        <v>0</v>
      </c>
      <c r="B27" s="37" t="str">
        <f t="shared" si="0"/>
        <v/>
      </c>
      <c r="C27" s="38"/>
      <c r="D27" s="38"/>
      <c r="E27" s="38"/>
      <c r="F27" s="38"/>
      <c r="G27" s="25"/>
      <c r="H27" s="168">
        <v>22</v>
      </c>
      <c r="I27" s="169" t="str">
        <f t="shared" si="1"/>
        <v/>
      </c>
      <c r="J27" s="168" t="e">
        <f t="shared" si="5"/>
        <v>#NUM!</v>
      </c>
      <c r="K27" s="168" t="e">
        <f t="shared" si="2"/>
        <v>#NUM!</v>
      </c>
      <c r="L27" s="168"/>
      <c r="M27" s="170">
        <f t="shared" si="3"/>
        <v>0</v>
      </c>
    </row>
    <row r="28" spans="1:19" x14ac:dyDescent="0.25">
      <c r="A28" s="87">
        <f t="shared" si="4"/>
        <v>0</v>
      </c>
      <c r="B28" s="31" t="str">
        <f t="shared" si="0"/>
        <v/>
      </c>
      <c r="C28" s="32"/>
      <c r="D28" s="32"/>
      <c r="E28" s="32"/>
      <c r="F28" s="32"/>
      <c r="G28" s="25"/>
      <c r="H28" s="165">
        <v>23</v>
      </c>
      <c r="I28" s="166" t="str">
        <f t="shared" si="1"/>
        <v/>
      </c>
      <c r="J28" s="165" t="e">
        <f t="shared" si="5"/>
        <v>#NUM!</v>
      </c>
      <c r="K28" s="165" t="e">
        <f t="shared" si="2"/>
        <v>#NUM!</v>
      </c>
      <c r="L28" s="165"/>
      <c r="M28" s="167">
        <f t="shared" si="3"/>
        <v>0</v>
      </c>
      <c r="R28" s="178"/>
      <c r="S28" s="179"/>
    </row>
    <row r="29" spans="1:19" x14ac:dyDescent="0.25">
      <c r="A29" s="91">
        <f t="shared" si="4"/>
        <v>0</v>
      </c>
      <c r="B29" s="37" t="str">
        <f t="shared" si="0"/>
        <v/>
      </c>
      <c r="C29" s="38"/>
      <c r="D29" s="38"/>
      <c r="E29" s="38"/>
      <c r="F29" s="38"/>
      <c r="G29" s="153"/>
      <c r="H29" s="168">
        <v>24</v>
      </c>
      <c r="I29" s="169" t="str">
        <f t="shared" si="1"/>
        <v/>
      </c>
      <c r="J29" s="168" t="e">
        <f t="shared" si="5"/>
        <v>#NUM!</v>
      </c>
      <c r="K29" s="168" t="e">
        <f t="shared" si="2"/>
        <v>#NUM!</v>
      </c>
      <c r="L29" s="168"/>
      <c r="M29" s="170">
        <f t="shared" si="3"/>
        <v>0</v>
      </c>
    </row>
    <row r="30" spans="1:19" x14ac:dyDescent="0.25">
      <c r="A30" s="87">
        <f t="shared" si="4"/>
        <v>0</v>
      </c>
      <c r="B30" s="31" t="str">
        <f t="shared" si="0"/>
        <v/>
      </c>
      <c r="C30" s="32"/>
      <c r="D30" s="32"/>
      <c r="E30" s="32"/>
      <c r="F30" s="32"/>
      <c r="G30" s="153"/>
      <c r="H30" s="165">
        <v>25</v>
      </c>
      <c r="I30" s="166" t="str">
        <f t="shared" si="1"/>
        <v/>
      </c>
      <c r="J30" s="165" t="e">
        <f t="shared" si="5"/>
        <v>#NUM!</v>
      </c>
      <c r="K30" s="165" t="e">
        <f t="shared" si="2"/>
        <v>#NUM!</v>
      </c>
      <c r="L30" s="165"/>
      <c r="M30" s="167">
        <f t="shared" si="3"/>
        <v>0</v>
      </c>
    </row>
    <row r="31" spans="1:19" x14ac:dyDescent="0.25">
      <c r="A31" s="91">
        <f t="shared" si="4"/>
        <v>0</v>
      </c>
      <c r="B31" s="37" t="str">
        <f t="shared" si="0"/>
        <v/>
      </c>
      <c r="C31" s="38"/>
      <c r="D31" s="38"/>
      <c r="E31" s="38"/>
      <c r="F31" s="38"/>
      <c r="G31" s="153"/>
      <c r="H31" s="168">
        <v>26</v>
      </c>
      <c r="I31" s="169" t="str">
        <f t="shared" si="1"/>
        <v/>
      </c>
      <c r="J31" s="168" t="e">
        <f t="shared" si="5"/>
        <v>#NUM!</v>
      </c>
      <c r="K31" s="168" t="e">
        <f t="shared" si="2"/>
        <v>#NUM!</v>
      </c>
      <c r="L31" s="168"/>
      <c r="M31" s="170">
        <f t="shared" si="3"/>
        <v>0</v>
      </c>
    </row>
    <row r="32" spans="1:19" x14ac:dyDescent="0.25">
      <c r="A32" s="87">
        <f t="shared" si="4"/>
        <v>0</v>
      </c>
      <c r="B32" s="31" t="str">
        <f t="shared" si="0"/>
        <v/>
      </c>
      <c r="C32" s="32"/>
      <c r="D32" s="32"/>
      <c r="E32" s="32"/>
      <c r="F32" s="32"/>
      <c r="G32" s="153"/>
      <c r="H32" s="165">
        <v>27</v>
      </c>
      <c r="I32" s="166" t="str">
        <f t="shared" si="1"/>
        <v/>
      </c>
      <c r="J32" s="165" t="e">
        <f t="shared" si="5"/>
        <v>#NUM!</v>
      </c>
      <c r="K32" s="165" t="e">
        <f t="shared" si="2"/>
        <v>#NUM!</v>
      </c>
      <c r="L32" s="165"/>
      <c r="M32" s="167">
        <f t="shared" si="3"/>
        <v>0</v>
      </c>
      <c r="R32" s="178"/>
      <c r="S32" s="179"/>
    </row>
    <row r="33" spans="1:19" x14ac:dyDescent="0.25">
      <c r="A33" s="91">
        <f t="shared" si="4"/>
        <v>0</v>
      </c>
      <c r="B33" s="37" t="str">
        <f t="shared" si="0"/>
        <v/>
      </c>
      <c r="C33" s="38"/>
      <c r="D33" s="38"/>
      <c r="E33" s="38"/>
      <c r="F33" s="38"/>
      <c r="G33" s="153"/>
      <c r="H33" s="168">
        <v>28</v>
      </c>
      <c r="I33" s="169" t="str">
        <f t="shared" si="1"/>
        <v/>
      </c>
      <c r="J33" s="168" t="e">
        <f t="shared" si="5"/>
        <v>#NUM!</v>
      </c>
      <c r="K33" s="168" t="e">
        <f t="shared" si="2"/>
        <v>#NUM!</v>
      </c>
      <c r="L33" s="168"/>
      <c r="M33" s="170">
        <f t="shared" si="3"/>
        <v>0</v>
      </c>
    </row>
    <row r="34" spans="1:19" x14ac:dyDescent="0.25">
      <c r="A34" s="87">
        <f t="shared" si="4"/>
        <v>0</v>
      </c>
      <c r="B34" s="31" t="str">
        <f t="shared" si="0"/>
        <v/>
      </c>
      <c r="C34" s="32"/>
      <c r="D34" s="32"/>
      <c r="E34" s="32"/>
      <c r="F34" s="32"/>
      <c r="G34" s="153"/>
      <c r="H34" s="165">
        <v>29</v>
      </c>
      <c r="I34" s="166" t="str">
        <f t="shared" si="1"/>
        <v/>
      </c>
      <c r="J34" s="165" t="e">
        <f t="shared" si="5"/>
        <v>#NUM!</v>
      </c>
      <c r="K34" s="165" t="e">
        <f t="shared" si="2"/>
        <v>#NUM!</v>
      </c>
      <c r="L34" s="165"/>
      <c r="M34" s="167">
        <f t="shared" si="3"/>
        <v>0</v>
      </c>
    </row>
    <row r="35" spans="1:19" x14ac:dyDescent="0.25">
      <c r="A35" s="91">
        <f t="shared" si="4"/>
        <v>0</v>
      </c>
      <c r="B35" s="37" t="str">
        <f t="shared" si="0"/>
        <v/>
      </c>
      <c r="C35" s="38"/>
      <c r="D35" s="38"/>
      <c r="E35" s="38"/>
      <c r="F35" s="38"/>
      <c r="G35" s="153"/>
      <c r="H35" s="168">
        <v>30</v>
      </c>
      <c r="I35" s="169" t="str">
        <f t="shared" si="1"/>
        <v/>
      </c>
      <c r="J35" s="168" t="e">
        <f t="shared" si="5"/>
        <v>#NUM!</v>
      </c>
      <c r="K35" s="168" t="e">
        <f t="shared" si="2"/>
        <v>#NUM!</v>
      </c>
      <c r="L35" s="168"/>
      <c r="M35" s="170">
        <f t="shared" si="3"/>
        <v>0</v>
      </c>
    </row>
    <row r="36" spans="1:19" x14ac:dyDescent="0.25">
      <c r="A36" s="87">
        <f t="shared" si="4"/>
        <v>0</v>
      </c>
      <c r="B36" s="31" t="str">
        <f t="shared" si="0"/>
        <v/>
      </c>
      <c r="C36" s="32"/>
      <c r="D36" s="32"/>
      <c r="E36" s="32"/>
      <c r="F36" s="32"/>
      <c r="G36" s="153"/>
      <c r="H36" s="165">
        <v>31</v>
      </c>
      <c r="I36" s="166" t="str">
        <f t="shared" si="1"/>
        <v/>
      </c>
      <c r="J36" s="165" t="e">
        <f t="shared" si="5"/>
        <v>#NUM!</v>
      </c>
      <c r="K36" s="165" t="e">
        <f t="shared" si="2"/>
        <v>#NUM!</v>
      </c>
      <c r="L36" s="165"/>
      <c r="M36" s="167">
        <f t="shared" si="3"/>
        <v>0</v>
      </c>
      <c r="R36" s="178"/>
      <c r="S36" s="179"/>
    </row>
    <row r="37" spans="1:19" x14ac:dyDescent="0.25">
      <c r="A37" s="91">
        <f t="shared" si="4"/>
        <v>0</v>
      </c>
      <c r="B37" s="37" t="str">
        <f t="shared" si="0"/>
        <v/>
      </c>
      <c r="C37" s="38"/>
      <c r="D37" s="38"/>
      <c r="E37" s="38"/>
      <c r="F37" s="38"/>
      <c r="G37" s="153"/>
      <c r="H37" s="168">
        <v>32</v>
      </c>
      <c r="I37" s="169" t="str">
        <f t="shared" si="1"/>
        <v/>
      </c>
      <c r="J37" s="168" t="e">
        <f t="shared" si="5"/>
        <v>#NUM!</v>
      </c>
      <c r="K37" s="168" t="e">
        <f t="shared" si="2"/>
        <v>#NUM!</v>
      </c>
      <c r="L37" s="168"/>
      <c r="M37" s="170">
        <f t="shared" si="3"/>
        <v>0</v>
      </c>
    </row>
    <row r="38" spans="1:19" x14ac:dyDescent="0.25">
      <c r="A38" s="87">
        <f t="shared" si="4"/>
        <v>0</v>
      </c>
      <c r="B38" s="31" t="str">
        <f t="shared" si="0"/>
        <v/>
      </c>
      <c r="C38" s="32"/>
      <c r="D38" s="32"/>
      <c r="E38" s="32"/>
      <c r="F38" s="32"/>
      <c r="G38" s="153"/>
      <c r="H38" s="165">
        <v>33</v>
      </c>
      <c r="I38" s="166" t="str">
        <f t="shared" si="1"/>
        <v/>
      </c>
      <c r="J38" s="165" t="e">
        <f t="shared" si="5"/>
        <v>#NUM!</v>
      </c>
      <c r="K38" s="165" t="e">
        <f t="shared" si="2"/>
        <v>#NUM!</v>
      </c>
      <c r="L38" s="165"/>
      <c r="M38" s="167">
        <f t="shared" si="3"/>
        <v>0</v>
      </c>
    </row>
    <row r="39" spans="1:19" x14ac:dyDescent="0.25">
      <c r="A39" s="91">
        <f t="shared" si="4"/>
        <v>0</v>
      </c>
      <c r="B39" s="37" t="str">
        <f t="shared" si="0"/>
        <v/>
      </c>
      <c r="C39" s="38"/>
      <c r="D39" s="38"/>
      <c r="E39" s="38"/>
      <c r="F39" s="38"/>
      <c r="G39" s="153"/>
      <c r="H39" s="168">
        <v>34</v>
      </c>
      <c r="I39" s="169" t="str">
        <f t="shared" si="1"/>
        <v/>
      </c>
      <c r="J39" s="168" t="e">
        <f t="shared" si="5"/>
        <v>#NUM!</v>
      </c>
      <c r="K39" s="168" t="e">
        <f t="shared" si="2"/>
        <v>#NUM!</v>
      </c>
      <c r="L39" s="168"/>
      <c r="M39" s="170">
        <f t="shared" si="3"/>
        <v>0</v>
      </c>
    </row>
    <row r="40" spans="1:19" x14ac:dyDescent="0.25">
      <c r="A40" s="87">
        <f t="shared" si="4"/>
        <v>0</v>
      </c>
      <c r="B40" s="31" t="str">
        <f t="shared" si="0"/>
        <v/>
      </c>
      <c r="C40" s="32"/>
      <c r="D40" s="32"/>
      <c r="E40" s="32"/>
      <c r="F40" s="32"/>
      <c r="G40" s="153"/>
      <c r="H40" s="165">
        <v>35</v>
      </c>
      <c r="I40" s="166" t="str">
        <f t="shared" si="1"/>
        <v/>
      </c>
      <c r="J40" s="165" t="e">
        <f t="shared" si="5"/>
        <v>#NUM!</v>
      </c>
      <c r="K40" s="165" t="e">
        <f t="shared" si="2"/>
        <v>#NUM!</v>
      </c>
      <c r="L40" s="165"/>
      <c r="M40" s="167">
        <f t="shared" si="3"/>
        <v>0</v>
      </c>
    </row>
    <row r="41" spans="1:19" x14ac:dyDescent="0.25">
      <c r="A41" s="91">
        <f t="shared" si="4"/>
        <v>0</v>
      </c>
      <c r="B41" s="37" t="str">
        <f t="shared" si="0"/>
        <v/>
      </c>
      <c r="C41" s="38"/>
      <c r="D41" s="38"/>
      <c r="E41" s="38"/>
      <c r="F41" s="38"/>
      <c r="G41" s="153"/>
      <c r="H41" s="168">
        <v>36</v>
      </c>
      <c r="I41" s="169" t="str">
        <f t="shared" si="1"/>
        <v/>
      </c>
      <c r="J41" s="168" t="e">
        <f t="shared" si="5"/>
        <v>#NUM!</v>
      </c>
      <c r="K41" s="168" t="e">
        <f t="shared" si="2"/>
        <v>#NUM!</v>
      </c>
      <c r="L41" s="168"/>
      <c r="M41" s="170">
        <f t="shared" si="3"/>
        <v>0</v>
      </c>
      <c r="S41" s="180"/>
    </row>
    <row r="42" spans="1:19" x14ac:dyDescent="0.25">
      <c r="A42" s="87">
        <f t="shared" si="4"/>
        <v>0</v>
      </c>
      <c r="B42" s="31" t="str">
        <f t="shared" si="0"/>
        <v/>
      </c>
      <c r="C42" s="32"/>
      <c r="D42" s="32"/>
      <c r="E42" s="32"/>
      <c r="F42" s="32"/>
      <c r="G42" s="153"/>
      <c r="H42" s="165">
        <v>37</v>
      </c>
      <c r="I42" s="166" t="str">
        <f t="shared" si="1"/>
        <v/>
      </c>
      <c r="J42" s="165" t="e">
        <f t="shared" si="5"/>
        <v>#NUM!</v>
      </c>
      <c r="K42" s="165" t="e">
        <f t="shared" si="2"/>
        <v>#NUM!</v>
      </c>
      <c r="L42" s="165"/>
      <c r="M42" s="167">
        <f t="shared" si="3"/>
        <v>0</v>
      </c>
    </row>
    <row r="43" spans="1:19" x14ac:dyDescent="0.25">
      <c r="A43" s="91">
        <f t="shared" si="4"/>
        <v>0</v>
      </c>
      <c r="B43" s="37" t="str">
        <f t="shared" si="0"/>
        <v/>
      </c>
      <c r="C43" s="38"/>
      <c r="D43" s="38"/>
      <c r="E43" s="38"/>
      <c r="F43" s="38"/>
      <c r="G43" s="153"/>
      <c r="H43" s="168">
        <v>38</v>
      </c>
      <c r="I43" s="169" t="str">
        <f t="shared" si="1"/>
        <v/>
      </c>
      <c r="J43" s="168" t="e">
        <f t="shared" si="5"/>
        <v>#NUM!</v>
      </c>
      <c r="K43" s="168" t="e">
        <f t="shared" si="2"/>
        <v>#NUM!</v>
      </c>
      <c r="L43" s="168"/>
      <c r="M43" s="170">
        <f t="shared" si="3"/>
        <v>0</v>
      </c>
    </row>
    <row r="44" spans="1:19" x14ac:dyDescent="0.25">
      <c r="A44" s="87">
        <f t="shared" si="4"/>
        <v>0</v>
      </c>
      <c r="B44" s="31" t="str">
        <f t="shared" si="0"/>
        <v/>
      </c>
      <c r="C44" s="32"/>
      <c r="D44" s="32"/>
      <c r="E44" s="32"/>
      <c r="F44" s="32"/>
      <c r="G44" s="153"/>
      <c r="H44" s="165">
        <v>39</v>
      </c>
      <c r="I44" s="166" t="str">
        <f t="shared" si="1"/>
        <v/>
      </c>
      <c r="J44" s="165" t="e">
        <f t="shared" si="5"/>
        <v>#NUM!</v>
      </c>
      <c r="K44" s="165" t="e">
        <f t="shared" si="2"/>
        <v>#NUM!</v>
      </c>
      <c r="L44" s="165"/>
      <c r="M44" s="167">
        <f t="shared" si="3"/>
        <v>0</v>
      </c>
    </row>
    <row r="45" spans="1:19" x14ac:dyDescent="0.25">
      <c r="A45" s="91">
        <f t="shared" si="4"/>
        <v>0</v>
      </c>
      <c r="B45" s="37" t="str">
        <f t="shared" si="0"/>
        <v/>
      </c>
      <c r="C45" s="38"/>
      <c r="D45" s="38"/>
      <c r="E45" s="38"/>
      <c r="F45" s="38"/>
      <c r="G45" s="153"/>
      <c r="H45" s="168">
        <v>40</v>
      </c>
      <c r="I45" s="169" t="str">
        <f t="shared" si="1"/>
        <v/>
      </c>
      <c r="J45" s="168" t="e">
        <f t="shared" si="5"/>
        <v>#NUM!</v>
      </c>
      <c r="K45" s="168" t="e">
        <f t="shared" si="2"/>
        <v>#NUM!</v>
      </c>
      <c r="L45" s="168"/>
      <c r="M45" s="170">
        <f t="shared" si="3"/>
        <v>0</v>
      </c>
    </row>
    <row r="46" spans="1:19" x14ac:dyDescent="0.25">
      <c r="A46" s="87">
        <f t="shared" si="4"/>
        <v>0</v>
      </c>
      <c r="B46" s="31" t="str">
        <f t="shared" si="0"/>
        <v/>
      </c>
      <c r="C46" s="32"/>
      <c r="D46" s="32"/>
      <c r="E46" s="32"/>
      <c r="F46" s="32"/>
      <c r="G46" s="153"/>
      <c r="H46" s="165">
        <v>41</v>
      </c>
      <c r="I46" s="166" t="str">
        <f t="shared" si="1"/>
        <v/>
      </c>
      <c r="J46" s="165" t="e">
        <f t="shared" si="5"/>
        <v>#NUM!</v>
      </c>
      <c r="K46" s="165" t="e">
        <f t="shared" si="2"/>
        <v>#NUM!</v>
      </c>
      <c r="L46" s="165"/>
      <c r="M46" s="167">
        <f t="shared" si="3"/>
        <v>0</v>
      </c>
    </row>
    <row r="47" spans="1:19" x14ac:dyDescent="0.25">
      <c r="A47" s="91">
        <f t="shared" si="4"/>
        <v>0</v>
      </c>
      <c r="B47" s="37" t="str">
        <f t="shared" si="0"/>
        <v/>
      </c>
      <c r="C47" s="38"/>
      <c r="D47" s="38"/>
      <c r="E47" s="38"/>
      <c r="F47" s="38"/>
      <c r="G47" s="153"/>
      <c r="H47" s="168">
        <v>42</v>
      </c>
      <c r="I47" s="169" t="str">
        <f t="shared" si="1"/>
        <v/>
      </c>
      <c r="J47" s="168" t="e">
        <f t="shared" si="5"/>
        <v>#NUM!</v>
      </c>
      <c r="K47" s="168" t="e">
        <f t="shared" si="2"/>
        <v>#NUM!</v>
      </c>
      <c r="L47" s="168"/>
      <c r="M47" s="170">
        <f t="shared" si="3"/>
        <v>0</v>
      </c>
    </row>
    <row r="48" spans="1:19" x14ac:dyDescent="0.25">
      <c r="A48" s="87">
        <f t="shared" si="4"/>
        <v>0</v>
      </c>
      <c r="B48" s="31" t="str">
        <f t="shared" si="0"/>
        <v/>
      </c>
      <c r="C48" s="32"/>
      <c r="D48" s="32"/>
      <c r="E48" s="32"/>
      <c r="F48" s="32"/>
      <c r="G48" s="153"/>
      <c r="H48" s="165">
        <v>43</v>
      </c>
      <c r="I48" s="166" t="str">
        <f t="shared" si="1"/>
        <v/>
      </c>
      <c r="J48" s="165" t="e">
        <f t="shared" si="5"/>
        <v>#NUM!</v>
      </c>
      <c r="K48" s="165" t="e">
        <f t="shared" si="2"/>
        <v>#NUM!</v>
      </c>
      <c r="L48" s="165"/>
      <c r="M48" s="167">
        <f t="shared" si="3"/>
        <v>0</v>
      </c>
    </row>
    <row r="49" spans="1:38" x14ac:dyDescent="0.25">
      <c r="A49" s="91">
        <f t="shared" si="4"/>
        <v>0</v>
      </c>
      <c r="B49" s="37" t="str">
        <f t="shared" si="0"/>
        <v/>
      </c>
      <c r="C49" s="38"/>
      <c r="D49" s="38"/>
      <c r="E49" s="38"/>
      <c r="F49" s="38"/>
      <c r="G49" s="153"/>
      <c r="H49" s="168">
        <v>44</v>
      </c>
      <c r="I49" s="169" t="str">
        <f t="shared" si="1"/>
        <v/>
      </c>
      <c r="J49" s="168" t="e">
        <f t="shared" si="5"/>
        <v>#NUM!</v>
      </c>
      <c r="K49" s="168" t="e">
        <f t="shared" si="2"/>
        <v>#NUM!</v>
      </c>
      <c r="L49" s="168"/>
      <c r="M49" s="170">
        <f t="shared" si="3"/>
        <v>0</v>
      </c>
    </row>
    <row r="50" spans="1:38" x14ac:dyDescent="0.25">
      <c r="A50" s="87">
        <f t="shared" si="4"/>
        <v>0</v>
      </c>
      <c r="B50" s="31" t="str">
        <f t="shared" si="0"/>
        <v/>
      </c>
      <c r="C50" s="32"/>
      <c r="D50" s="32"/>
      <c r="E50" s="32"/>
      <c r="F50" s="32"/>
      <c r="G50" s="153"/>
      <c r="H50" s="165">
        <v>45</v>
      </c>
      <c r="I50" s="166" t="str">
        <f t="shared" si="1"/>
        <v/>
      </c>
      <c r="J50" s="165" t="e">
        <f t="shared" si="5"/>
        <v>#NUM!</v>
      </c>
      <c r="K50" s="165" t="e">
        <f t="shared" si="2"/>
        <v>#NUM!</v>
      </c>
      <c r="L50" s="165"/>
      <c r="M50" s="167">
        <f t="shared" si="3"/>
        <v>0</v>
      </c>
    </row>
    <row r="51" spans="1:38" x14ac:dyDescent="0.25">
      <c r="A51" s="91">
        <f t="shared" si="4"/>
        <v>0</v>
      </c>
      <c r="B51" s="37" t="str">
        <f t="shared" si="0"/>
        <v/>
      </c>
      <c r="C51" s="38"/>
      <c r="D51" s="38"/>
      <c r="E51" s="38"/>
      <c r="F51" s="38"/>
      <c r="G51" s="153"/>
      <c r="H51" s="168">
        <v>46</v>
      </c>
      <c r="I51" s="169" t="str">
        <f t="shared" si="1"/>
        <v/>
      </c>
      <c r="J51" s="168" t="e">
        <f t="shared" si="5"/>
        <v>#NUM!</v>
      </c>
      <c r="K51" s="168" t="e">
        <f t="shared" si="2"/>
        <v>#NUM!</v>
      </c>
      <c r="L51" s="168"/>
      <c r="M51" s="170">
        <f t="shared" si="3"/>
        <v>0</v>
      </c>
    </row>
    <row r="52" spans="1:38" x14ac:dyDescent="0.25">
      <c r="A52" s="87">
        <f t="shared" si="4"/>
        <v>0</v>
      </c>
      <c r="B52" s="31" t="str">
        <f t="shared" si="0"/>
        <v/>
      </c>
      <c r="C52" s="32"/>
      <c r="D52" s="32"/>
      <c r="E52" s="32"/>
      <c r="F52" s="32"/>
      <c r="G52" s="153"/>
      <c r="H52" s="165">
        <v>47</v>
      </c>
      <c r="I52" s="166" t="str">
        <f t="shared" si="1"/>
        <v/>
      </c>
      <c r="J52" s="165" t="e">
        <f t="shared" si="5"/>
        <v>#NUM!</v>
      </c>
      <c r="K52" s="165" t="e">
        <f t="shared" si="2"/>
        <v>#NUM!</v>
      </c>
      <c r="L52" s="165"/>
      <c r="M52" s="167">
        <f t="shared" si="3"/>
        <v>0</v>
      </c>
    </row>
    <row r="53" spans="1:38" x14ac:dyDescent="0.25">
      <c r="A53" s="91">
        <f t="shared" si="4"/>
        <v>0</v>
      </c>
      <c r="B53" s="37" t="str">
        <f t="shared" si="0"/>
        <v/>
      </c>
      <c r="C53" s="38"/>
      <c r="D53" s="38"/>
      <c r="E53" s="38"/>
      <c r="F53" s="38"/>
      <c r="G53" s="153"/>
      <c r="H53" s="168">
        <v>48</v>
      </c>
      <c r="I53" s="169" t="str">
        <f t="shared" si="1"/>
        <v/>
      </c>
      <c r="J53" s="168" t="e">
        <f t="shared" si="5"/>
        <v>#NUM!</v>
      </c>
      <c r="K53" s="168" t="e">
        <f t="shared" si="2"/>
        <v>#NUM!</v>
      </c>
      <c r="L53" s="168"/>
      <c r="M53" s="170">
        <f t="shared" si="3"/>
        <v>0</v>
      </c>
    </row>
    <row r="54" spans="1:38" x14ac:dyDescent="0.25">
      <c r="A54" s="87">
        <f t="shared" si="4"/>
        <v>0</v>
      </c>
      <c r="B54" s="31" t="str">
        <f t="shared" si="0"/>
        <v/>
      </c>
      <c r="C54" s="32"/>
      <c r="D54" s="32"/>
      <c r="E54" s="32"/>
      <c r="F54" s="32"/>
      <c r="G54" s="153"/>
      <c r="H54" s="165">
        <v>49</v>
      </c>
      <c r="I54" s="166" t="str">
        <f t="shared" si="1"/>
        <v/>
      </c>
      <c r="J54" s="165" t="e">
        <f t="shared" si="5"/>
        <v>#NUM!</v>
      </c>
      <c r="K54" s="165" t="e">
        <f t="shared" si="2"/>
        <v>#NUM!</v>
      </c>
      <c r="L54" s="165"/>
      <c r="M54" s="167">
        <f t="shared" si="3"/>
        <v>0</v>
      </c>
    </row>
    <row r="55" spans="1:38" x14ac:dyDescent="0.25">
      <c r="A55" s="91">
        <f t="shared" si="4"/>
        <v>0</v>
      </c>
      <c r="B55" s="37" t="str">
        <f t="shared" si="0"/>
        <v/>
      </c>
      <c r="C55" s="38"/>
      <c r="D55" s="38"/>
      <c r="E55" s="38"/>
      <c r="F55" s="38"/>
      <c r="G55" s="153"/>
      <c r="H55" s="168">
        <v>50</v>
      </c>
      <c r="I55" s="169" t="str">
        <f t="shared" si="1"/>
        <v/>
      </c>
      <c r="J55" s="168" t="e">
        <f t="shared" si="5"/>
        <v>#NUM!</v>
      </c>
      <c r="K55" s="168" t="e">
        <f t="shared" si="2"/>
        <v>#NUM!</v>
      </c>
      <c r="L55" s="168"/>
      <c r="M55" s="170">
        <f t="shared" si="3"/>
        <v>0</v>
      </c>
    </row>
    <row r="56" spans="1:38" x14ac:dyDescent="0.25">
      <c r="A56" s="87">
        <f t="shared" si="4"/>
        <v>0</v>
      </c>
      <c r="B56" s="31" t="str">
        <f t="shared" si="0"/>
        <v/>
      </c>
      <c r="C56" s="32"/>
      <c r="D56" s="32"/>
      <c r="E56" s="32"/>
      <c r="F56" s="32"/>
      <c r="G56" s="153"/>
      <c r="H56" s="165">
        <v>51</v>
      </c>
      <c r="I56" s="166" t="str">
        <f t="shared" si="1"/>
        <v/>
      </c>
      <c r="J56" s="165" t="e">
        <f t="shared" si="5"/>
        <v>#NUM!</v>
      </c>
      <c r="K56" s="165" t="e">
        <f t="shared" si="2"/>
        <v>#NUM!</v>
      </c>
      <c r="L56" s="165"/>
      <c r="M56" s="167">
        <f t="shared" si="3"/>
        <v>0</v>
      </c>
    </row>
    <row r="57" spans="1:38" s="153" customFormat="1" x14ac:dyDescent="0.25">
      <c r="A57" s="91">
        <f t="shared" si="4"/>
        <v>0</v>
      </c>
      <c r="B57" s="37" t="str">
        <f t="shared" si="0"/>
        <v/>
      </c>
      <c r="C57" s="38"/>
      <c r="D57" s="38"/>
      <c r="E57" s="38"/>
      <c r="F57" s="38"/>
      <c r="H57" s="168">
        <v>52</v>
      </c>
      <c r="I57" s="169" t="str">
        <f t="shared" si="1"/>
        <v/>
      </c>
      <c r="J57" s="168" t="e">
        <f t="shared" si="5"/>
        <v>#NUM!</v>
      </c>
      <c r="K57" s="168" t="e">
        <f t="shared" si="2"/>
        <v>#NUM!</v>
      </c>
      <c r="L57" s="168"/>
      <c r="M57" s="170">
        <f t="shared" si="3"/>
        <v>0</v>
      </c>
      <c r="S57" s="158"/>
      <c r="T57" s="158"/>
      <c r="U57" s="158"/>
      <c r="V57" s="158"/>
      <c r="W57" s="158"/>
      <c r="X57" s="158"/>
      <c r="Y57" s="158"/>
      <c r="Z57" s="158"/>
      <c r="AA57" s="158"/>
      <c r="AB57" s="158"/>
      <c r="AC57" s="158"/>
      <c r="AD57" s="158"/>
      <c r="AE57" s="158"/>
      <c r="AF57" s="158"/>
      <c r="AG57" s="158"/>
      <c r="AH57" s="158"/>
      <c r="AI57" s="158"/>
      <c r="AJ57" s="158"/>
      <c r="AK57" s="158"/>
      <c r="AL57" s="158"/>
    </row>
    <row r="58" spans="1:38" s="153" customFormat="1" x14ac:dyDescent="0.25">
      <c r="A58" s="87">
        <f t="shared" si="4"/>
        <v>0</v>
      </c>
      <c r="B58" s="31" t="str">
        <f t="shared" si="0"/>
        <v/>
      </c>
      <c r="C58" s="32"/>
      <c r="D58" s="32"/>
      <c r="E58" s="32"/>
      <c r="F58" s="32"/>
      <c r="H58" s="165">
        <v>53</v>
      </c>
      <c r="I58" s="166" t="str">
        <f t="shared" si="1"/>
        <v/>
      </c>
      <c r="J58" s="165" t="e">
        <f t="shared" si="5"/>
        <v>#NUM!</v>
      </c>
      <c r="K58" s="165" t="e">
        <f t="shared" si="2"/>
        <v>#NUM!</v>
      </c>
      <c r="L58" s="165"/>
      <c r="M58" s="167">
        <f t="shared" si="3"/>
        <v>0</v>
      </c>
      <c r="S58" s="158"/>
      <c r="T58" s="158"/>
      <c r="U58" s="158"/>
      <c r="V58" s="158"/>
      <c r="W58" s="158"/>
      <c r="X58" s="158"/>
      <c r="Y58" s="158"/>
      <c r="Z58" s="158"/>
      <c r="AA58" s="158"/>
      <c r="AB58" s="158"/>
      <c r="AC58" s="158"/>
      <c r="AD58" s="158"/>
      <c r="AE58" s="158"/>
      <c r="AF58" s="158"/>
      <c r="AG58" s="158"/>
      <c r="AH58" s="158"/>
      <c r="AI58" s="158"/>
      <c r="AJ58" s="158"/>
      <c r="AK58" s="158"/>
      <c r="AL58" s="158"/>
    </row>
    <row r="59" spans="1:38" s="153" customFormat="1" x14ac:dyDescent="0.25">
      <c r="A59" s="91">
        <f t="shared" si="4"/>
        <v>0</v>
      </c>
      <c r="B59" s="37" t="str">
        <f t="shared" si="0"/>
        <v/>
      </c>
      <c r="C59" s="38"/>
      <c r="D59" s="38"/>
      <c r="E59" s="38"/>
      <c r="F59" s="38"/>
      <c r="H59" s="168">
        <v>54</v>
      </c>
      <c r="I59" s="169" t="str">
        <f t="shared" si="1"/>
        <v/>
      </c>
      <c r="J59" s="168" t="e">
        <f t="shared" si="5"/>
        <v>#NUM!</v>
      </c>
      <c r="K59" s="168" t="e">
        <f t="shared" si="2"/>
        <v>#NUM!</v>
      </c>
      <c r="L59" s="168"/>
      <c r="M59" s="170">
        <f t="shared" si="3"/>
        <v>0</v>
      </c>
      <c r="S59" s="158"/>
      <c r="T59" s="158"/>
      <c r="U59" s="158"/>
      <c r="V59" s="158"/>
      <c r="W59" s="158"/>
      <c r="X59" s="158"/>
      <c r="Y59" s="158"/>
      <c r="Z59" s="158"/>
      <c r="AA59" s="158"/>
      <c r="AB59" s="158"/>
      <c r="AC59" s="158"/>
      <c r="AD59" s="158"/>
      <c r="AE59" s="158"/>
      <c r="AF59" s="158"/>
      <c r="AG59" s="158"/>
      <c r="AH59" s="158"/>
      <c r="AI59" s="158"/>
      <c r="AJ59" s="158"/>
      <c r="AK59" s="158"/>
      <c r="AL59" s="158"/>
    </row>
    <row r="60" spans="1:38" s="153" customFormat="1" x14ac:dyDescent="0.25">
      <c r="A60" s="87">
        <f t="shared" si="4"/>
        <v>0</v>
      </c>
      <c r="B60" s="31" t="str">
        <f t="shared" si="0"/>
        <v/>
      </c>
      <c r="C60" s="32"/>
      <c r="D60" s="32"/>
      <c r="E60" s="32"/>
      <c r="F60" s="32"/>
      <c r="H60" s="165">
        <v>55</v>
      </c>
      <c r="I60" s="166" t="str">
        <f t="shared" si="1"/>
        <v/>
      </c>
      <c r="J60" s="165" t="e">
        <f t="shared" si="5"/>
        <v>#NUM!</v>
      </c>
      <c r="K60" s="165" t="e">
        <f t="shared" si="2"/>
        <v>#NUM!</v>
      </c>
      <c r="L60" s="165"/>
      <c r="M60" s="167">
        <f t="shared" si="3"/>
        <v>0</v>
      </c>
      <c r="S60" s="158"/>
      <c r="T60" s="158"/>
      <c r="U60" s="158"/>
      <c r="V60" s="158"/>
      <c r="W60" s="158"/>
      <c r="X60" s="158"/>
      <c r="Y60" s="158"/>
      <c r="Z60" s="158"/>
      <c r="AA60" s="158"/>
      <c r="AB60" s="158"/>
      <c r="AC60" s="158"/>
      <c r="AD60" s="158"/>
      <c r="AE60" s="158"/>
      <c r="AF60" s="158"/>
      <c r="AG60" s="158"/>
      <c r="AH60" s="158"/>
      <c r="AI60" s="158"/>
      <c r="AJ60" s="158"/>
      <c r="AK60" s="158"/>
      <c r="AL60" s="158"/>
    </row>
    <row r="61" spans="1:38" s="153" customFormat="1" x14ac:dyDescent="0.25">
      <c r="A61" s="91">
        <f t="shared" si="4"/>
        <v>0</v>
      </c>
      <c r="B61" s="37" t="str">
        <f t="shared" si="0"/>
        <v/>
      </c>
      <c r="C61" s="38"/>
      <c r="D61" s="38"/>
      <c r="E61" s="38"/>
      <c r="F61" s="38"/>
      <c r="H61" s="168">
        <v>56</v>
      </c>
      <c r="I61" s="169" t="str">
        <f t="shared" si="1"/>
        <v/>
      </c>
      <c r="J61" s="168" t="e">
        <f t="shared" si="5"/>
        <v>#NUM!</v>
      </c>
      <c r="K61" s="168" t="e">
        <f t="shared" si="2"/>
        <v>#NUM!</v>
      </c>
      <c r="L61" s="168"/>
      <c r="M61" s="170">
        <f t="shared" si="3"/>
        <v>0</v>
      </c>
      <c r="S61" s="158"/>
      <c r="T61" s="158"/>
      <c r="U61" s="158"/>
      <c r="V61" s="158"/>
      <c r="W61" s="158"/>
      <c r="X61" s="158"/>
      <c r="Y61" s="158"/>
      <c r="Z61" s="158"/>
      <c r="AA61" s="158"/>
      <c r="AB61" s="158"/>
      <c r="AC61" s="158"/>
      <c r="AD61" s="158"/>
      <c r="AE61" s="158"/>
      <c r="AF61" s="158"/>
      <c r="AG61" s="158"/>
      <c r="AH61" s="158"/>
      <c r="AI61" s="158"/>
      <c r="AJ61" s="158"/>
      <c r="AK61" s="158"/>
      <c r="AL61" s="158"/>
    </row>
    <row r="62" spans="1:38" s="153" customFormat="1" x14ac:dyDescent="0.25">
      <c r="A62" s="87">
        <f t="shared" si="4"/>
        <v>0</v>
      </c>
      <c r="B62" s="31" t="str">
        <f t="shared" si="0"/>
        <v/>
      </c>
      <c r="C62" s="32"/>
      <c r="D62" s="32"/>
      <c r="E62" s="32"/>
      <c r="F62" s="32"/>
      <c r="H62" s="165">
        <v>57</v>
      </c>
      <c r="I62" s="166" t="str">
        <f t="shared" si="1"/>
        <v/>
      </c>
      <c r="J62" s="165" t="e">
        <f t="shared" si="5"/>
        <v>#NUM!</v>
      </c>
      <c r="K62" s="165" t="e">
        <f t="shared" si="2"/>
        <v>#NUM!</v>
      </c>
      <c r="L62" s="165"/>
      <c r="M62" s="167">
        <f t="shared" si="3"/>
        <v>0</v>
      </c>
      <c r="S62" s="158"/>
      <c r="T62" s="158"/>
      <c r="U62" s="158"/>
      <c r="V62" s="158"/>
      <c r="W62" s="158"/>
      <c r="X62" s="158"/>
      <c r="Y62" s="158"/>
      <c r="Z62" s="158"/>
      <c r="AA62" s="158"/>
      <c r="AB62" s="158"/>
      <c r="AC62" s="158"/>
      <c r="AD62" s="158"/>
      <c r="AE62" s="158"/>
      <c r="AF62" s="158"/>
      <c r="AG62" s="158"/>
      <c r="AH62" s="158"/>
      <c r="AI62" s="158"/>
      <c r="AJ62" s="158"/>
      <c r="AK62" s="158"/>
      <c r="AL62" s="158"/>
    </row>
    <row r="63" spans="1:38" s="153" customFormat="1" x14ac:dyDescent="0.25">
      <c r="A63" s="91">
        <f t="shared" si="4"/>
        <v>0</v>
      </c>
      <c r="B63" s="37" t="str">
        <f t="shared" si="0"/>
        <v/>
      </c>
      <c r="C63" s="38"/>
      <c r="D63" s="38"/>
      <c r="E63" s="38"/>
      <c r="F63" s="38"/>
      <c r="H63" s="168">
        <v>58</v>
      </c>
      <c r="I63" s="169" t="str">
        <f t="shared" si="1"/>
        <v/>
      </c>
      <c r="J63" s="168" t="e">
        <f t="shared" si="5"/>
        <v>#NUM!</v>
      </c>
      <c r="K63" s="168" t="e">
        <f t="shared" si="2"/>
        <v>#NUM!</v>
      </c>
      <c r="L63" s="168"/>
      <c r="M63" s="170">
        <f t="shared" si="3"/>
        <v>0</v>
      </c>
      <c r="S63" s="158"/>
      <c r="T63" s="158"/>
      <c r="U63" s="158"/>
      <c r="V63" s="158"/>
      <c r="W63" s="158"/>
      <c r="X63" s="158"/>
      <c r="Y63" s="158"/>
      <c r="Z63" s="158"/>
      <c r="AA63" s="158"/>
      <c r="AB63" s="158"/>
      <c r="AC63" s="158"/>
      <c r="AD63" s="158"/>
      <c r="AE63" s="158"/>
      <c r="AF63" s="158"/>
      <c r="AG63" s="158"/>
      <c r="AH63" s="158"/>
      <c r="AI63" s="158"/>
      <c r="AJ63" s="158"/>
      <c r="AK63" s="158"/>
      <c r="AL63" s="158"/>
    </row>
    <row r="64" spans="1:38" s="153" customFormat="1" x14ac:dyDescent="0.25">
      <c r="A64" s="87">
        <f t="shared" si="4"/>
        <v>0</v>
      </c>
      <c r="B64" s="31" t="str">
        <f t="shared" si="0"/>
        <v/>
      </c>
      <c r="C64" s="32"/>
      <c r="D64" s="32"/>
      <c r="E64" s="32"/>
      <c r="F64" s="32"/>
      <c r="H64" s="165">
        <v>59</v>
      </c>
      <c r="I64" s="166" t="str">
        <f t="shared" si="1"/>
        <v/>
      </c>
      <c r="J64" s="165" t="e">
        <f t="shared" si="5"/>
        <v>#NUM!</v>
      </c>
      <c r="K64" s="165" t="e">
        <f t="shared" si="2"/>
        <v>#NUM!</v>
      </c>
      <c r="L64" s="165"/>
      <c r="M64" s="167">
        <f t="shared" si="3"/>
        <v>0</v>
      </c>
      <c r="S64" s="158"/>
      <c r="T64" s="158"/>
      <c r="U64" s="158"/>
      <c r="V64" s="158"/>
      <c r="W64" s="158"/>
      <c r="X64" s="158"/>
      <c r="Y64" s="158"/>
      <c r="Z64" s="158"/>
      <c r="AA64" s="158"/>
      <c r="AB64" s="158"/>
      <c r="AC64" s="158"/>
      <c r="AD64" s="158"/>
      <c r="AE64" s="158"/>
      <c r="AF64" s="158"/>
      <c r="AG64" s="158"/>
      <c r="AH64" s="158"/>
      <c r="AI64" s="158"/>
      <c r="AJ64" s="158"/>
      <c r="AK64" s="158"/>
      <c r="AL64" s="158"/>
    </row>
    <row r="65" spans="1:38" s="153" customFormat="1" x14ac:dyDescent="0.25">
      <c r="A65" s="91">
        <f t="shared" si="4"/>
        <v>0</v>
      </c>
      <c r="B65" s="37" t="str">
        <f t="shared" si="0"/>
        <v/>
      </c>
      <c r="C65" s="38"/>
      <c r="D65" s="38"/>
      <c r="E65" s="38"/>
      <c r="F65" s="38"/>
      <c r="H65" s="168">
        <v>60</v>
      </c>
      <c r="I65" s="169" t="str">
        <f t="shared" si="1"/>
        <v/>
      </c>
      <c r="J65" s="168" t="e">
        <f t="shared" si="5"/>
        <v>#NUM!</v>
      </c>
      <c r="K65" s="168" t="e">
        <f t="shared" si="2"/>
        <v>#NUM!</v>
      </c>
      <c r="L65" s="168"/>
      <c r="M65" s="170">
        <f t="shared" si="3"/>
        <v>0</v>
      </c>
      <c r="S65" s="158"/>
      <c r="T65" s="158"/>
      <c r="U65" s="158"/>
      <c r="V65" s="158"/>
      <c r="W65" s="158"/>
      <c r="X65" s="158"/>
      <c r="Y65" s="158"/>
      <c r="Z65" s="158"/>
      <c r="AA65" s="158"/>
      <c r="AB65" s="158"/>
      <c r="AC65" s="158"/>
      <c r="AD65" s="158"/>
      <c r="AE65" s="158"/>
      <c r="AF65" s="158"/>
      <c r="AG65" s="158"/>
      <c r="AH65" s="158"/>
      <c r="AI65" s="158"/>
      <c r="AJ65" s="158"/>
      <c r="AK65" s="158"/>
      <c r="AL65" s="158"/>
    </row>
    <row r="66" spans="1:38" s="153" customFormat="1" x14ac:dyDescent="0.25">
      <c r="A66" s="87">
        <f t="shared" si="4"/>
        <v>0</v>
      </c>
      <c r="B66" s="31" t="str">
        <f t="shared" si="0"/>
        <v/>
      </c>
      <c r="C66" s="32"/>
      <c r="D66" s="32"/>
      <c r="E66" s="32"/>
      <c r="F66" s="32"/>
      <c r="H66" s="165">
        <v>61</v>
      </c>
      <c r="I66" s="166" t="str">
        <f t="shared" si="1"/>
        <v/>
      </c>
      <c r="J66" s="165" t="e">
        <f t="shared" si="5"/>
        <v>#NUM!</v>
      </c>
      <c r="K66" s="165" t="e">
        <f t="shared" si="2"/>
        <v>#NUM!</v>
      </c>
      <c r="L66" s="165"/>
      <c r="M66" s="167">
        <f t="shared" si="3"/>
        <v>0</v>
      </c>
      <c r="S66" s="158"/>
      <c r="T66" s="158"/>
      <c r="U66" s="158"/>
      <c r="V66" s="158"/>
      <c r="W66" s="158"/>
      <c r="X66" s="158"/>
      <c r="Y66" s="158"/>
      <c r="Z66" s="158"/>
      <c r="AA66" s="158"/>
      <c r="AB66" s="158"/>
      <c r="AC66" s="158"/>
      <c r="AD66" s="158"/>
      <c r="AE66" s="158"/>
      <c r="AF66" s="158"/>
      <c r="AG66" s="158"/>
      <c r="AH66" s="158"/>
      <c r="AI66" s="158"/>
      <c r="AJ66" s="158"/>
      <c r="AK66" s="158"/>
      <c r="AL66" s="158"/>
    </row>
    <row r="67" spans="1:38" s="153" customFormat="1" x14ac:dyDescent="0.25">
      <c r="A67" s="91">
        <f t="shared" si="4"/>
        <v>0</v>
      </c>
      <c r="B67" s="37" t="str">
        <f t="shared" si="0"/>
        <v/>
      </c>
      <c r="C67" s="38"/>
      <c r="D67" s="38"/>
      <c r="E67" s="38"/>
      <c r="F67" s="38"/>
      <c r="H67" s="168">
        <v>62</v>
      </c>
      <c r="I67" s="169" t="str">
        <f t="shared" si="1"/>
        <v/>
      </c>
      <c r="J67" s="168" t="e">
        <f t="shared" si="5"/>
        <v>#NUM!</v>
      </c>
      <c r="K67" s="168" t="e">
        <f t="shared" si="2"/>
        <v>#NUM!</v>
      </c>
      <c r="L67" s="168"/>
      <c r="M67" s="170">
        <f t="shared" si="3"/>
        <v>0</v>
      </c>
      <c r="S67" s="158"/>
      <c r="T67" s="158"/>
      <c r="U67" s="158"/>
      <c r="V67" s="158"/>
      <c r="W67" s="158"/>
      <c r="X67" s="158"/>
      <c r="Y67" s="158"/>
      <c r="Z67" s="158"/>
      <c r="AA67" s="158"/>
      <c r="AB67" s="158"/>
      <c r="AC67" s="158"/>
      <c r="AD67" s="158"/>
      <c r="AE67" s="158"/>
      <c r="AF67" s="158"/>
      <c r="AG67" s="158"/>
      <c r="AH67" s="158"/>
      <c r="AI67" s="158"/>
      <c r="AJ67" s="158"/>
      <c r="AK67" s="158"/>
      <c r="AL67" s="158"/>
    </row>
    <row r="68" spans="1:38" s="153" customFormat="1" x14ac:dyDescent="0.25">
      <c r="A68" s="87">
        <f t="shared" si="4"/>
        <v>0</v>
      </c>
      <c r="B68" s="31" t="str">
        <f t="shared" si="0"/>
        <v/>
      </c>
      <c r="C68" s="32"/>
      <c r="D68" s="32"/>
      <c r="E68" s="32"/>
      <c r="F68" s="32"/>
      <c r="H68" s="165">
        <v>63</v>
      </c>
      <c r="I68" s="166" t="str">
        <f t="shared" si="1"/>
        <v/>
      </c>
      <c r="J68" s="165" t="e">
        <f t="shared" si="5"/>
        <v>#NUM!</v>
      </c>
      <c r="K68" s="165" t="e">
        <f t="shared" si="2"/>
        <v>#NUM!</v>
      </c>
      <c r="L68" s="165"/>
      <c r="M68" s="167">
        <f t="shared" si="3"/>
        <v>0</v>
      </c>
      <c r="S68" s="158"/>
      <c r="T68" s="158"/>
      <c r="U68" s="158"/>
      <c r="V68" s="158"/>
      <c r="W68" s="158"/>
      <c r="X68" s="158"/>
      <c r="Y68" s="158"/>
      <c r="Z68" s="158"/>
      <c r="AA68" s="158"/>
      <c r="AB68" s="158"/>
      <c r="AC68" s="158"/>
      <c r="AD68" s="158"/>
      <c r="AE68" s="158"/>
      <c r="AF68" s="158"/>
      <c r="AG68" s="158"/>
      <c r="AH68" s="158"/>
      <c r="AI68" s="158"/>
      <c r="AJ68" s="158"/>
      <c r="AK68" s="158"/>
      <c r="AL68" s="158"/>
    </row>
    <row r="69" spans="1:38" s="153" customFormat="1" x14ac:dyDescent="0.25">
      <c r="A69" s="91">
        <f t="shared" si="4"/>
        <v>0</v>
      </c>
      <c r="B69" s="37" t="str">
        <f t="shared" si="0"/>
        <v/>
      </c>
      <c r="C69" s="38"/>
      <c r="D69" s="38"/>
      <c r="E69" s="38"/>
      <c r="F69" s="38"/>
      <c r="H69" s="168">
        <v>64</v>
      </c>
      <c r="I69" s="169" t="str">
        <f t="shared" si="1"/>
        <v/>
      </c>
      <c r="J69" s="168" t="e">
        <f t="shared" si="5"/>
        <v>#NUM!</v>
      </c>
      <c r="K69" s="168" t="e">
        <f t="shared" si="2"/>
        <v>#NUM!</v>
      </c>
      <c r="L69" s="168"/>
      <c r="M69" s="170">
        <f t="shared" si="3"/>
        <v>0</v>
      </c>
      <c r="S69" s="158"/>
      <c r="T69" s="158"/>
      <c r="U69" s="158"/>
      <c r="V69" s="158"/>
      <c r="W69" s="158"/>
      <c r="X69" s="158"/>
      <c r="Y69" s="158"/>
      <c r="Z69" s="158"/>
      <c r="AA69" s="158"/>
      <c r="AB69" s="158"/>
      <c r="AC69" s="158"/>
      <c r="AD69" s="158"/>
      <c r="AE69" s="158"/>
      <c r="AF69" s="158"/>
      <c r="AG69" s="158"/>
      <c r="AH69" s="158"/>
      <c r="AI69" s="158"/>
      <c r="AJ69" s="158"/>
      <c r="AK69" s="158"/>
      <c r="AL69" s="158"/>
    </row>
    <row r="70" spans="1:38" s="153" customFormat="1" x14ac:dyDescent="0.25">
      <c r="A70" s="87">
        <f t="shared" si="4"/>
        <v>0</v>
      </c>
      <c r="B70" s="31" t="str">
        <f t="shared" ref="B70:B133" si="6">IF(H70&gt;$H$2,"",(ROW()-5))</f>
        <v/>
      </c>
      <c r="C70" s="32"/>
      <c r="D70" s="32"/>
      <c r="E70" s="32"/>
      <c r="F70" s="32"/>
      <c r="H70" s="165">
        <v>65</v>
      </c>
      <c r="I70" s="166" t="str">
        <f t="shared" ref="I70:I133" si="7">IF(H70&lt;$H$2+1,($I$2-($I$2-1)*(LOG(H70)/LOG($H$2))),"")</f>
        <v/>
      </c>
      <c r="J70" s="165" t="e">
        <f t="shared" si="5"/>
        <v>#NUM!</v>
      </c>
      <c r="K70" s="165" t="e">
        <f t="shared" ref="K70:K133" si="8">J70*$J$2</f>
        <v>#NUM!</v>
      </c>
      <c r="L70" s="165"/>
      <c r="M70" s="167">
        <f t="shared" ref="M70:M133" si="9">IF(I70&lt;&gt;"",K70+I70+L70,0)</f>
        <v>0</v>
      </c>
      <c r="S70" s="158"/>
      <c r="T70" s="158"/>
      <c r="U70" s="158"/>
      <c r="V70" s="158"/>
      <c r="W70" s="158"/>
      <c r="X70" s="158"/>
      <c r="Y70" s="158"/>
      <c r="Z70" s="158"/>
      <c r="AA70" s="158"/>
      <c r="AB70" s="158"/>
      <c r="AC70" s="158"/>
      <c r="AD70" s="158"/>
      <c r="AE70" s="158"/>
      <c r="AF70" s="158"/>
      <c r="AG70" s="158"/>
      <c r="AH70" s="158"/>
      <c r="AI70" s="158"/>
      <c r="AJ70" s="158"/>
      <c r="AK70" s="158"/>
      <c r="AL70" s="158"/>
    </row>
    <row r="71" spans="1:38" s="153" customFormat="1" x14ac:dyDescent="0.25">
      <c r="A71" s="91">
        <f t="shared" ref="A71:A134" si="10">M71</f>
        <v>0</v>
      </c>
      <c r="B71" s="37" t="str">
        <f t="shared" si="6"/>
        <v/>
      </c>
      <c r="C71" s="38"/>
      <c r="D71" s="38"/>
      <c r="E71" s="38"/>
      <c r="F71" s="38"/>
      <c r="H71" s="168">
        <v>66</v>
      </c>
      <c r="I71" s="169" t="str">
        <f t="shared" si="7"/>
        <v/>
      </c>
      <c r="J71" s="168" t="e">
        <f t="shared" ref="J71:J134" si="11">INT(LOG($H$2,2))-ROUNDUP(LOG(H71,2),0)+IF(OR($H$2=1,$H$2=2,$H$2=4,$H$2=8,$H$2=16,$H$2=32,$H$2=64,$H$2=128,$H$2=256),0,1)</f>
        <v>#NUM!</v>
      </c>
      <c r="K71" s="168" t="e">
        <f t="shared" si="8"/>
        <v>#NUM!</v>
      </c>
      <c r="L71" s="168"/>
      <c r="M71" s="170">
        <f t="shared" si="9"/>
        <v>0</v>
      </c>
      <c r="S71" s="158"/>
      <c r="T71" s="158"/>
      <c r="U71" s="158"/>
      <c r="V71" s="158"/>
      <c r="W71" s="158"/>
      <c r="X71" s="158"/>
      <c r="Y71" s="158"/>
      <c r="Z71" s="158"/>
      <c r="AA71" s="158"/>
      <c r="AB71" s="158"/>
      <c r="AC71" s="158"/>
      <c r="AD71" s="158"/>
      <c r="AE71" s="158"/>
      <c r="AF71" s="158"/>
      <c r="AG71" s="158"/>
      <c r="AH71" s="158"/>
      <c r="AI71" s="158"/>
      <c r="AJ71" s="158"/>
      <c r="AK71" s="158"/>
      <c r="AL71" s="158"/>
    </row>
    <row r="72" spans="1:38" s="153" customFormat="1" x14ac:dyDescent="0.25">
      <c r="A72" s="87">
        <f t="shared" si="10"/>
        <v>0</v>
      </c>
      <c r="B72" s="31" t="str">
        <f t="shared" si="6"/>
        <v/>
      </c>
      <c r="C72" s="32"/>
      <c r="D72" s="32"/>
      <c r="E72" s="32"/>
      <c r="F72" s="32"/>
      <c r="H72" s="165">
        <v>67</v>
      </c>
      <c r="I72" s="166" t="str">
        <f t="shared" si="7"/>
        <v/>
      </c>
      <c r="J72" s="165" t="e">
        <f t="shared" si="11"/>
        <v>#NUM!</v>
      </c>
      <c r="K72" s="165" t="e">
        <f t="shared" si="8"/>
        <v>#NUM!</v>
      </c>
      <c r="L72" s="165"/>
      <c r="M72" s="167">
        <f t="shared" si="9"/>
        <v>0</v>
      </c>
      <c r="S72" s="158"/>
      <c r="T72" s="158"/>
      <c r="U72" s="158"/>
      <c r="V72" s="158"/>
      <c r="W72" s="158"/>
      <c r="X72" s="158"/>
      <c r="Y72" s="158"/>
      <c r="Z72" s="158"/>
      <c r="AA72" s="158"/>
      <c r="AB72" s="158"/>
      <c r="AC72" s="158"/>
      <c r="AD72" s="158"/>
      <c r="AE72" s="158"/>
      <c r="AF72" s="158"/>
      <c r="AG72" s="158"/>
      <c r="AH72" s="158"/>
      <c r="AI72" s="158"/>
      <c r="AJ72" s="158"/>
      <c r="AK72" s="158"/>
      <c r="AL72" s="158"/>
    </row>
    <row r="73" spans="1:38" s="153" customFormat="1" x14ac:dyDescent="0.25">
      <c r="A73" s="91">
        <f t="shared" si="10"/>
        <v>0</v>
      </c>
      <c r="B73" s="37" t="str">
        <f t="shared" si="6"/>
        <v/>
      </c>
      <c r="C73" s="38"/>
      <c r="D73" s="38"/>
      <c r="E73" s="38"/>
      <c r="F73" s="38"/>
      <c r="H73" s="168">
        <v>68</v>
      </c>
      <c r="I73" s="169" t="str">
        <f t="shared" si="7"/>
        <v/>
      </c>
      <c r="J73" s="168" t="e">
        <f t="shared" si="11"/>
        <v>#NUM!</v>
      </c>
      <c r="K73" s="168" t="e">
        <f t="shared" si="8"/>
        <v>#NUM!</v>
      </c>
      <c r="L73" s="168"/>
      <c r="M73" s="170">
        <f t="shared" si="9"/>
        <v>0</v>
      </c>
      <c r="S73" s="158"/>
      <c r="T73" s="158"/>
      <c r="U73" s="158"/>
      <c r="V73" s="158"/>
      <c r="W73" s="158"/>
      <c r="X73" s="158"/>
      <c r="Y73" s="158"/>
      <c r="Z73" s="158"/>
      <c r="AA73" s="158"/>
      <c r="AB73" s="158"/>
      <c r="AC73" s="158"/>
      <c r="AD73" s="158"/>
      <c r="AE73" s="158"/>
      <c r="AF73" s="158"/>
      <c r="AG73" s="158"/>
      <c r="AH73" s="158"/>
      <c r="AI73" s="158"/>
      <c r="AJ73" s="158"/>
      <c r="AK73" s="158"/>
      <c r="AL73" s="158"/>
    </row>
    <row r="74" spans="1:38" s="153" customFormat="1" x14ac:dyDescent="0.25">
      <c r="A74" s="87">
        <f t="shared" si="10"/>
        <v>0</v>
      </c>
      <c r="B74" s="31" t="str">
        <f t="shared" si="6"/>
        <v/>
      </c>
      <c r="C74" s="32"/>
      <c r="D74" s="32"/>
      <c r="E74" s="32"/>
      <c r="F74" s="32"/>
      <c r="H74" s="165">
        <v>69</v>
      </c>
      <c r="I74" s="166" t="str">
        <f t="shared" si="7"/>
        <v/>
      </c>
      <c r="J74" s="165" t="e">
        <f t="shared" si="11"/>
        <v>#NUM!</v>
      </c>
      <c r="K74" s="165" t="e">
        <f t="shared" si="8"/>
        <v>#NUM!</v>
      </c>
      <c r="L74" s="165"/>
      <c r="M74" s="167">
        <f t="shared" si="9"/>
        <v>0</v>
      </c>
      <c r="S74" s="158"/>
      <c r="T74" s="158"/>
      <c r="U74" s="158"/>
      <c r="V74" s="158"/>
      <c r="W74" s="158"/>
      <c r="X74" s="158"/>
      <c r="Y74" s="158"/>
      <c r="Z74" s="158"/>
      <c r="AA74" s="158"/>
      <c r="AB74" s="158"/>
      <c r="AC74" s="158"/>
      <c r="AD74" s="158"/>
      <c r="AE74" s="158"/>
      <c r="AF74" s="158"/>
      <c r="AG74" s="158"/>
      <c r="AH74" s="158"/>
      <c r="AI74" s="158"/>
      <c r="AJ74" s="158"/>
      <c r="AK74" s="158"/>
      <c r="AL74" s="158"/>
    </row>
    <row r="75" spans="1:38" s="153" customFormat="1" x14ac:dyDescent="0.25">
      <c r="A75" s="91">
        <f t="shared" si="10"/>
        <v>0</v>
      </c>
      <c r="B75" s="37" t="str">
        <f t="shared" si="6"/>
        <v/>
      </c>
      <c r="C75" s="38"/>
      <c r="D75" s="38"/>
      <c r="E75" s="38"/>
      <c r="F75" s="38"/>
      <c r="H75" s="168">
        <v>70</v>
      </c>
      <c r="I75" s="169" t="str">
        <f t="shared" si="7"/>
        <v/>
      </c>
      <c r="J75" s="168" t="e">
        <f t="shared" si="11"/>
        <v>#NUM!</v>
      </c>
      <c r="K75" s="168" t="e">
        <f t="shared" si="8"/>
        <v>#NUM!</v>
      </c>
      <c r="L75" s="168"/>
      <c r="M75" s="170">
        <f t="shared" si="9"/>
        <v>0</v>
      </c>
      <c r="S75" s="158"/>
      <c r="T75" s="158"/>
      <c r="U75" s="158"/>
      <c r="V75" s="158"/>
      <c r="W75" s="158"/>
      <c r="X75" s="158"/>
      <c r="Y75" s="158"/>
      <c r="Z75" s="158"/>
      <c r="AA75" s="158"/>
      <c r="AB75" s="158"/>
      <c r="AC75" s="158"/>
      <c r="AD75" s="158"/>
      <c r="AE75" s="158"/>
      <c r="AF75" s="158"/>
      <c r="AG75" s="158"/>
      <c r="AH75" s="158"/>
      <c r="AI75" s="158"/>
      <c r="AJ75" s="158"/>
      <c r="AK75" s="158"/>
      <c r="AL75" s="158"/>
    </row>
    <row r="76" spans="1:38" s="153" customFormat="1" x14ac:dyDescent="0.25">
      <c r="A76" s="87">
        <f t="shared" si="10"/>
        <v>0</v>
      </c>
      <c r="B76" s="31" t="str">
        <f t="shared" si="6"/>
        <v/>
      </c>
      <c r="C76" s="32"/>
      <c r="D76" s="32"/>
      <c r="E76" s="32"/>
      <c r="F76" s="32"/>
      <c r="H76" s="165">
        <v>71</v>
      </c>
      <c r="I76" s="166" t="str">
        <f t="shared" si="7"/>
        <v/>
      </c>
      <c r="J76" s="165" t="e">
        <f t="shared" si="11"/>
        <v>#NUM!</v>
      </c>
      <c r="K76" s="165" t="e">
        <f t="shared" si="8"/>
        <v>#NUM!</v>
      </c>
      <c r="L76" s="165"/>
      <c r="M76" s="167">
        <f t="shared" si="9"/>
        <v>0</v>
      </c>
      <c r="S76" s="158"/>
      <c r="T76" s="158"/>
      <c r="U76" s="158"/>
      <c r="V76" s="158"/>
      <c r="W76" s="158"/>
      <c r="X76" s="158"/>
      <c r="Y76" s="158"/>
      <c r="Z76" s="158"/>
      <c r="AA76" s="158"/>
      <c r="AB76" s="158"/>
      <c r="AC76" s="158"/>
      <c r="AD76" s="158"/>
      <c r="AE76" s="158"/>
      <c r="AF76" s="158"/>
      <c r="AG76" s="158"/>
      <c r="AH76" s="158"/>
      <c r="AI76" s="158"/>
      <c r="AJ76" s="158"/>
      <c r="AK76" s="158"/>
      <c r="AL76" s="158"/>
    </row>
    <row r="77" spans="1:38" s="153" customFormat="1" x14ac:dyDescent="0.25">
      <c r="A77" s="91">
        <f t="shared" si="10"/>
        <v>0</v>
      </c>
      <c r="B77" s="37" t="str">
        <f t="shared" si="6"/>
        <v/>
      </c>
      <c r="C77" s="38"/>
      <c r="D77" s="38"/>
      <c r="E77" s="38"/>
      <c r="F77" s="38"/>
      <c r="H77" s="168">
        <v>72</v>
      </c>
      <c r="I77" s="169" t="str">
        <f t="shared" si="7"/>
        <v/>
      </c>
      <c r="J77" s="168" t="e">
        <f t="shared" si="11"/>
        <v>#NUM!</v>
      </c>
      <c r="K77" s="168" t="e">
        <f t="shared" si="8"/>
        <v>#NUM!</v>
      </c>
      <c r="L77" s="168"/>
      <c r="M77" s="170">
        <f t="shared" si="9"/>
        <v>0</v>
      </c>
      <c r="S77" s="158"/>
      <c r="T77" s="158"/>
      <c r="U77" s="158"/>
      <c r="V77" s="158"/>
      <c r="W77" s="158"/>
      <c r="X77" s="158"/>
      <c r="Y77" s="158"/>
      <c r="Z77" s="158"/>
      <c r="AA77" s="158"/>
      <c r="AB77" s="158"/>
      <c r="AC77" s="158"/>
      <c r="AD77" s="158"/>
      <c r="AE77" s="158"/>
      <c r="AF77" s="158"/>
      <c r="AG77" s="158"/>
      <c r="AH77" s="158"/>
      <c r="AI77" s="158"/>
      <c r="AJ77" s="158"/>
      <c r="AK77" s="158"/>
      <c r="AL77" s="158"/>
    </row>
    <row r="78" spans="1:38" s="153" customFormat="1" x14ac:dyDescent="0.25">
      <c r="A78" s="87">
        <f t="shared" si="10"/>
        <v>0</v>
      </c>
      <c r="B78" s="31" t="str">
        <f t="shared" si="6"/>
        <v/>
      </c>
      <c r="C78" s="32"/>
      <c r="D78" s="32"/>
      <c r="E78" s="32"/>
      <c r="F78" s="32"/>
      <c r="H78" s="165">
        <v>73</v>
      </c>
      <c r="I78" s="166" t="str">
        <f t="shared" si="7"/>
        <v/>
      </c>
      <c r="J78" s="165" t="e">
        <f t="shared" si="11"/>
        <v>#NUM!</v>
      </c>
      <c r="K78" s="165" t="e">
        <f t="shared" si="8"/>
        <v>#NUM!</v>
      </c>
      <c r="L78" s="165"/>
      <c r="M78" s="167">
        <f t="shared" si="9"/>
        <v>0</v>
      </c>
      <c r="S78" s="158"/>
      <c r="T78" s="158"/>
      <c r="U78" s="158"/>
      <c r="V78" s="158"/>
      <c r="W78" s="158"/>
      <c r="X78" s="158"/>
      <c r="Y78" s="158"/>
      <c r="Z78" s="158"/>
      <c r="AA78" s="158"/>
      <c r="AB78" s="158"/>
      <c r="AC78" s="158"/>
      <c r="AD78" s="158"/>
      <c r="AE78" s="158"/>
      <c r="AF78" s="158"/>
      <c r="AG78" s="158"/>
      <c r="AH78" s="158"/>
      <c r="AI78" s="158"/>
      <c r="AJ78" s="158"/>
      <c r="AK78" s="158"/>
      <c r="AL78" s="158"/>
    </row>
    <row r="79" spans="1:38" s="153" customFormat="1" x14ac:dyDescent="0.25">
      <c r="A79" s="91">
        <f t="shared" si="10"/>
        <v>0</v>
      </c>
      <c r="B79" s="37" t="str">
        <f t="shared" si="6"/>
        <v/>
      </c>
      <c r="C79" s="38"/>
      <c r="D79" s="38"/>
      <c r="E79" s="38"/>
      <c r="F79" s="38"/>
      <c r="H79" s="168">
        <v>74</v>
      </c>
      <c r="I79" s="169" t="str">
        <f t="shared" si="7"/>
        <v/>
      </c>
      <c r="J79" s="168" t="e">
        <f t="shared" si="11"/>
        <v>#NUM!</v>
      </c>
      <c r="K79" s="168" t="e">
        <f t="shared" si="8"/>
        <v>#NUM!</v>
      </c>
      <c r="L79" s="168"/>
      <c r="M79" s="170">
        <f t="shared" si="9"/>
        <v>0</v>
      </c>
      <c r="S79" s="158"/>
      <c r="T79" s="158"/>
      <c r="U79" s="158"/>
      <c r="V79" s="158"/>
      <c r="W79" s="158"/>
      <c r="X79" s="158"/>
      <c r="Y79" s="158"/>
      <c r="Z79" s="158"/>
      <c r="AA79" s="158"/>
      <c r="AB79" s="158"/>
      <c r="AC79" s="158"/>
      <c r="AD79" s="158"/>
      <c r="AE79" s="158"/>
      <c r="AF79" s="158"/>
      <c r="AG79" s="158"/>
      <c r="AH79" s="158"/>
      <c r="AI79" s="158"/>
      <c r="AJ79" s="158"/>
      <c r="AK79" s="158"/>
      <c r="AL79" s="158"/>
    </row>
    <row r="80" spans="1:38" s="153" customFormat="1" x14ac:dyDescent="0.25">
      <c r="A80" s="87">
        <f t="shared" si="10"/>
        <v>0</v>
      </c>
      <c r="B80" s="31" t="str">
        <f t="shared" si="6"/>
        <v/>
      </c>
      <c r="C80" s="32"/>
      <c r="D80" s="32"/>
      <c r="E80" s="32"/>
      <c r="F80" s="32"/>
      <c r="H80" s="165">
        <v>75</v>
      </c>
      <c r="I80" s="166" t="str">
        <f t="shared" si="7"/>
        <v/>
      </c>
      <c r="J80" s="165" t="e">
        <f t="shared" si="11"/>
        <v>#NUM!</v>
      </c>
      <c r="K80" s="165" t="e">
        <f t="shared" si="8"/>
        <v>#NUM!</v>
      </c>
      <c r="L80" s="165"/>
      <c r="M80" s="167">
        <f t="shared" si="9"/>
        <v>0</v>
      </c>
      <c r="S80" s="158"/>
      <c r="T80" s="158"/>
      <c r="U80" s="158"/>
      <c r="V80" s="158"/>
      <c r="W80" s="158"/>
      <c r="X80" s="158"/>
      <c r="Y80" s="158"/>
      <c r="Z80" s="158"/>
      <c r="AA80" s="158"/>
      <c r="AB80" s="158"/>
      <c r="AC80" s="158"/>
      <c r="AD80" s="158"/>
      <c r="AE80" s="158"/>
      <c r="AF80" s="158"/>
      <c r="AG80" s="158"/>
      <c r="AH80" s="158"/>
      <c r="AI80" s="158"/>
      <c r="AJ80" s="158"/>
      <c r="AK80" s="158"/>
      <c r="AL80" s="158"/>
    </row>
    <row r="81" spans="1:38" s="153" customFormat="1" x14ac:dyDescent="0.25">
      <c r="A81" s="91">
        <f t="shared" si="10"/>
        <v>0</v>
      </c>
      <c r="B81" s="37" t="str">
        <f t="shared" si="6"/>
        <v/>
      </c>
      <c r="C81" s="38"/>
      <c r="D81" s="38"/>
      <c r="E81" s="38"/>
      <c r="F81" s="38"/>
      <c r="H81" s="168">
        <v>76</v>
      </c>
      <c r="I81" s="169" t="str">
        <f t="shared" si="7"/>
        <v/>
      </c>
      <c r="J81" s="168" t="e">
        <f t="shared" si="11"/>
        <v>#NUM!</v>
      </c>
      <c r="K81" s="168" t="e">
        <f t="shared" si="8"/>
        <v>#NUM!</v>
      </c>
      <c r="L81" s="168"/>
      <c r="M81" s="170">
        <f t="shared" si="9"/>
        <v>0</v>
      </c>
      <c r="S81" s="158"/>
      <c r="T81" s="158"/>
      <c r="U81" s="158"/>
      <c r="V81" s="158"/>
      <c r="W81" s="158"/>
      <c r="X81" s="158"/>
      <c r="Y81" s="158"/>
      <c r="Z81" s="158"/>
      <c r="AA81" s="158"/>
      <c r="AB81" s="158"/>
      <c r="AC81" s="158"/>
      <c r="AD81" s="158"/>
      <c r="AE81" s="158"/>
      <c r="AF81" s="158"/>
      <c r="AG81" s="158"/>
      <c r="AH81" s="158"/>
      <c r="AI81" s="158"/>
      <c r="AJ81" s="158"/>
      <c r="AK81" s="158"/>
      <c r="AL81" s="158"/>
    </row>
    <row r="82" spans="1:38" s="153" customFormat="1" x14ac:dyDescent="0.25">
      <c r="A82" s="87">
        <f t="shared" si="10"/>
        <v>0</v>
      </c>
      <c r="B82" s="31" t="str">
        <f t="shared" si="6"/>
        <v/>
      </c>
      <c r="C82" s="32"/>
      <c r="D82" s="32"/>
      <c r="E82" s="32"/>
      <c r="F82" s="32"/>
      <c r="H82" s="165">
        <v>77</v>
      </c>
      <c r="I82" s="166" t="str">
        <f t="shared" si="7"/>
        <v/>
      </c>
      <c r="J82" s="165" t="e">
        <f t="shared" si="11"/>
        <v>#NUM!</v>
      </c>
      <c r="K82" s="165" t="e">
        <f t="shared" si="8"/>
        <v>#NUM!</v>
      </c>
      <c r="L82" s="165"/>
      <c r="M82" s="167">
        <f t="shared" si="9"/>
        <v>0</v>
      </c>
      <c r="S82" s="158"/>
      <c r="T82" s="158"/>
      <c r="U82" s="158"/>
      <c r="V82" s="158"/>
      <c r="W82" s="158"/>
      <c r="X82" s="158"/>
      <c r="Y82" s="158"/>
      <c r="Z82" s="158"/>
      <c r="AA82" s="158"/>
      <c r="AB82" s="158"/>
      <c r="AC82" s="158"/>
      <c r="AD82" s="158"/>
      <c r="AE82" s="158"/>
      <c r="AF82" s="158"/>
      <c r="AG82" s="158"/>
      <c r="AH82" s="158"/>
      <c r="AI82" s="158"/>
      <c r="AJ82" s="158"/>
      <c r="AK82" s="158"/>
      <c r="AL82" s="158"/>
    </row>
    <row r="83" spans="1:38" s="153" customFormat="1" x14ac:dyDescent="0.25">
      <c r="A83" s="91">
        <f t="shared" si="10"/>
        <v>0</v>
      </c>
      <c r="B83" s="37" t="str">
        <f t="shared" si="6"/>
        <v/>
      </c>
      <c r="C83" s="38"/>
      <c r="D83" s="38"/>
      <c r="E83" s="38"/>
      <c r="F83" s="38"/>
      <c r="H83" s="168">
        <v>78</v>
      </c>
      <c r="I83" s="169" t="str">
        <f t="shared" si="7"/>
        <v/>
      </c>
      <c r="J83" s="168" t="e">
        <f t="shared" si="11"/>
        <v>#NUM!</v>
      </c>
      <c r="K83" s="168" t="e">
        <f t="shared" si="8"/>
        <v>#NUM!</v>
      </c>
      <c r="L83" s="168"/>
      <c r="M83" s="170">
        <f t="shared" si="9"/>
        <v>0</v>
      </c>
      <c r="S83" s="158"/>
      <c r="T83" s="158"/>
      <c r="U83" s="158"/>
      <c r="V83" s="158"/>
      <c r="W83" s="158"/>
      <c r="X83" s="158"/>
      <c r="Y83" s="158"/>
      <c r="Z83" s="158"/>
      <c r="AA83" s="158"/>
      <c r="AB83" s="158"/>
      <c r="AC83" s="158"/>
      <c r="AD83" s="158"/>
      <c r="AE83" s="158"/>
      <c r="AF83" s="158"/>
      <c r="AG83" s="158"/>
      <c r="AH83" s="158"/>
      <c r="AI83" s="158"/>
      <c r="AJ83" s="158"/>
      <c r="AK83" s="158"/>
      <c r="AL83" s="158"/>
    </row>
    <row r="84" spans="1:38" s="153" customFormat="1" x14ac:dyDescent="0.25">
      <c r="A84" s="87">
        <f t="shared" si="10"/>
        <v>0</v>
      </c>
      <c r="B84" s="31" t="str">
        <f t="shared" si="6"/>
        <v/>
      </c>
      <c r="C84" s="32"/>
      <c r="D84" s="32"/>
      <c r="E84" s="32"/>
      <c r="F84" s="32"/>
      <c r="H84" s="165">
        <v>79</v>
      </c>
      <c r="I84" s="166" t="str">
        <f t="shared" si="7"/>
        <v/>
      </c>
      <c r="J84" s="165" t="e">
        <f t="shared" si="11"/>
        <v>#NUM!</v>
      </c>
      <c r="K84" s="165" t="e">
        <f t="shared" si="8"/>
        <v>#NUM!</v>
      </c>
      <c r="L84" s="165"/>
      <c r="M84" s="167">
        <f t="shared" si="9"/>
        <v>0</v>
      </c>
      <c r="S84" s="158"/>
      <c r="T84" s="158"/>
      <c r="U84" s="158"/>
      <c r="V84" s="158"/>
      <c r="W84" s="158"/>
      <c r="X84" s="158"/>
      <c r="Y84" s="158"/>
      <c r="Z84" s="158"/>
      <c r="AA84" s="158"/>
      <c r="AB84" s="158"/>
      <c r="AC84" s="158"/>
      <c r="AD84" s="158"/>
      <c r="AE84" s="158"/>
      <c r="AF84" s="158"/>
      <c r="AG84" s="158"/>
      <c r="AH84" s="158"/>
      <c r="AI84" s="158"/>
      <c r="AJ84" s="158"/>
      <c r="AK84" s="158"/>
      <c r="AL84" s="158"/>
    </row>
    <row r="85" spans="1:38" s="153" customFormat="1" x14ac:dyDescent="0.25">
      <c r="A85" s="91">
        <f t="shared" si="10"/>
        <v>0</v>
      </c>
      <c r="B85" s="37" t="str">
        <f t="shared" si="6"/>
        <v/>
      </c>
      <c r="C85" s="38"/>
      <c r="D85" s="38"/>
      <c r="E85" s="38"/>
      <c r="F85" s="38"/>
      <c r="H85" s="168">
        <v>80</v>
      </c>
      <c r="I85" s="169" t="str">
        <f t="shared" si="7"/>
        <v/>
      </c>
      <c r="J85" s="168" t="e">
        <f t="shared" si="11"/>
        <v>#NUM!</v>
      </c>
      <c r="K85" s="168" t="e">
        <f t="shared" si="8"/>
        <v>#NUM!</v>
      </c>
      <c r="L85" s="168"/>
      <c r="M85" s="170">
        <f t="shared" si="9"/>
        <v>0</v>
      </c>
      <c r="S85" s="158"/>
      <c r="T85" s="158"/>
      <c r="U85" s="158"/>
      <c r="V85" s="158"/>
      <c r="W85" s="158"/>
      <c r="X85" s="158"/>
      <c r="Y85" s="158"/>
      <c r="Z85" s="158"/>
      <c r="AA85" s="158"/>
      <c r="AB85" s="158"/>
      <c r="AC85" s="158"/>
      <c r="AD85" s="158"/>
      <c r="AE85" s="158"/>
      <c r="AF85" s="158"/>
      <c r="AG85" s="158"/>
      <c r="AH85" s="158"/>
      <c r="AI85" s="158"/>
      <c r="AJ85" s="158"/>
      <c r="AK85" s="158"/>
      <c r="AL85" s="158"/>
    </row>
    <row r="86" spans="1:38" s="153" customFormat="1" x14ac:dyDescent="0.25">
      <c r="A86" s="87">
        <f t="shared" si="10"/>
        <v>0</v>
      </c>
      <c r="B86" s="31" t="str">
        <f t="shared" si="6"/>
        <v/>
      </c>
      <c r="C86" s="32"/>
      <c r="D86" s="32"/>
      <c r="E86" s="32"/>
      <c r="F86" s="32"/>
      <c r="H86" s="165">
        <v>81</v>
      </c>
      <c r="I86" s="166" t="str">
        <f t="shared" si="7"/>
        <v/>
      </c>
      <c r="J86" s="165" t="e">
        <f t="shared" si="11"/>
        <v>#NUM!</v>
      </c>
      <c r="K86" s="165" t="e">
        <f t="shared" si="8"/>
        <v>#NUM!</v>
      </c>
      <c r="L86" s="165"/>
      <c r="M86" s="167">
        <f t="shared" si="9"/>
        <v>0</v>
      </c>
      <c r="S86" s="158"/>
      <c r="T86" s="158"/>
      <c r="U86" s="158"/>
      <c r="V86" s="158"/>
      <c r="W86" s="158"/>
      <c r="X86" s="158"/>
      <c r="Y86" s="158"/>
      <c r="Z86" s="158"/>
      <c r="AA86" s="158"/>
      <c r="AB86" s="158"/>
      <c r="AC86" s="158"/>
      <c r="AD86" s="158"/>
      <c r="AE86" s="158"/>
      <c r="AF86" s="158"/>
      <c r="AG86" s="158"/>
      <c r="AH86" s="158"/>
      <c r="AI86" s="158"/>
      <c r="AJ86" s="158"/>
      <c r="AK86" s="158"/>
      <c r="AL86" s="158"/>
    </row>
    <row r="87" spans="1:38" s="153" customFormat="1" x14ac:dyDescent="0.25">
      <c r="A87" s="91">
        <f t="shared" si="10"/>
        <v>0</v>
      </c>
      <c r="B87" s="37" t="str">
        <f t="shared" si="6"/>
        <v/>
      </c>
      <c r="C87" s="38"/>
      <c r="D87" s="38"/>
      <c r="E87" s="38"/>
      <c r="F87" s="38"/>
      <c r="H87" s="168">
        <v>82</v>
      </c>
      <c r="I87" s="169" t="str">
        <f t="shared" si="7"/>
        <v/>
      </c>
      <c r="J87" s="168" t="e">
        <f t="shared" si="11"/>
        <v>#NUM!</v>
      </c>
      <c r="K87" s="168" t="e">
        <f t="shared" si="8"/>
        <v>#NUM!</v>
      </c>
      <c r="L87" s="168"/>
      <c r="M87" s="170">
        <f t="shared" si="9"/>
        <v>0</v>
      </c>
      <c r="S87" s="158"/>
      <c r="T87" s="158"/>
      <c r="U87" s="158"/>
      <c r="V87" s="158"/>
      <c r="W87" s="158"/>
      <c r="X87" s="158"/>
      <c r="Y87" s="158"/>
      <c r="Z87" s="158"/>
      <c r="AA87" s="158"/>
      <c r="AB87" s="158"/>
      <c r="AC87" s="158"/>
      <c r="AD87" s="158"/>
      <c r="AE87" s="158"/>
      <c r="AF87" s="158"/>
      <c r="AG87" s="158"/>
      <c r="AH87" s="158"/>
      <c r="AI87" s="158"/>
      <c r="AJ87" s="158"/>
      <c r="AK87" s="158"/>
      <c r="AL87" s="158"/>
    </row>
    <row r="88" spans="1:38" s="153" customFormat="1" x14ac:dyDescent="0.25">
      <c r="A88" s="87">
        <f t="shared" si="10"/>
        <v>0</v>
      </c>
      <c r="B88" s="31" t="str">
        <f t="shared" si="6"/>
        <v/>
      </c>
      <c r="C88" s="32"/>
      <c r="D88" s="32"/>
      <c r="E88" s="32"/>
      <c r="F88" s="32"/>
      <c r="H88" s="165">
        <v>83</v>
      </c>
      <c r="I88" s="166" t="str">
        <f t="shared" si="7"/>
        <v/>
      </c>
      <c r="J88" s="165" t="e">
        <f t="shared" si="11"/>
        <v>#NUM!</v>
      </c>
      <c r="K88" s="165" t="e">
        <f t="shared" si="8"/>
        <v>#NUM!</v>
      </c>
      <c r="L88" s="165"/>
      <c r="M88" s="167">
        <f t="shared" si="9"/>
        <v>0</v>
      </c>
      <c r="S88" s="158"/>
      <c r="T88" s="158"/>
      <c r="U88" s="158"/>
      <c r="V88" s="158"/>
      <c r="W88" s="158"/>
      <c r="X88" s="158"/>
      <c r="Y88" s="158"/>
      <c r="Z88" s="158"/>
      <c r="AA88" s="158"/>
      <c r="AB88" s="158"/>
      <c r="AC88" s="158"/>
      <c r="AD88" s="158"/>
      <c r="AE88" s="158"/>
      <c r="AF88" s="158"/>
      <c r="AG88" s="158"/>
      <c r="AH88" s="158"/>
      <c r="AI88" s="158"/>
      <c r="AJ88" s="158"/>
      <c r="AK88" s="158"/>
      <c r="AL88" s="158"/>
    </row>
    <row r="89" spans="1:38" s="153" customFormat="1" x14ac:dyDescent="0.25">
      <c r="A89" s="91">
        <f t="shared" si="10"/>
        <v>0</v>
      </c>
      <c r="B89" s="37" t="str">
        <f t="shared" si="6"/>
        <v/>
      </c>
      <c r="C89" s="38"/>
      <c r="D89" s="38"/>
      <c r="E89" s="38"/>
      <c r="F89" s="38"/>
      <c r="H89" s="168">
        <v>84</v>
      </c>
      <c r="I89" s="169" t="str">
        <f t="shared" si="7"/>
        <v/>
      </c>
      <c r="J89" s="168" t="e">
        <f t="shared" si="11"/>
        <v>#NUM!</v>
      </c>
      <c r="K89" s="168" t="e">
        <f t="shared" si="8"/>
        <v>#NUM!</v>
      </c>
      <c r="L89" s="168"/>
      <c r="M89" s="170">
        <f t="shared" si="9"/>
        <v>0</v>
      </c>
      <c r="S89" s="158"/>
      <c r="T89" s="158"/>
      <c r="U89" s="158"/>
      <c r="V89" s="158"/>
      <c r="W89" s="158"/>
      <c r="X89" s="158"/>
      <c r="Y89" s="158"/>
      <c r="Z89" s="158"/>
      <c r="AA89" s="158"/>
      <c r="AB89" s="158"/>
      <c r="AC89" s="158"/>
      <c r="AD89" s="158"/>
      <c r="AE89" s="158"/>
      <c r="AF89" s="158"/>
      <c r="AG89" s="158"/>
      <c r="AH89" s="158"/>
      <c r="AI89" s="158"/>
      <c r="AJ89" s="158"/>
      <c r="AK89" s="158"/>
      <c r="AL89" s="158"/>
    </row>
    <row r="90" spans="1:38" s="153" customFormat="1" x14ac:dyDescent="0.25">
      <c r="A90" s="87">
        <f t="shared" si="10"/>
        <v>0</v>
      </c>
      <c r="B90" s="31" t="str">
        <f t="shared" si="6"/>
        <v/>
      </c>
      <c r="C90" s="32"/>
      <c r="D90" s="32"/>
      <c r="E90" s="32"/>
      <c r="F90" s="32"/>
      <c r="H90" s="165">
        <v>85</v>
      </c>
      <c r="I90" s="166" t="str">
        <f t="shared" si="7"/>
        <v/>
      </c>
      <c r="J90" s="165" t="e">
        <f t="shared" si="11"/>
        <v>#NUM!</v>
      </c>
      <c r="K90" s="165" t="e">
        <f t="shared" si="8"/>
        <v>#NUM!</v>
      </c>
      <c r="L90" s="165"/>
      <c r="M90" s="167">
        <f t="shared" si="9"/>
        <v>0</v>
      </c>
      <c r="S90" s="158"/>
      <c r="T90" s="158"/>
      <c r="U90" s="158"/>
      <c r="V90" s="158"/>
      <c r="W90" s="158"/>
      <c r="X90" s="158"/>
      <c r="Y90" s="158"/>
      <c r="Z90" s="158"/>
      <c r="AA90" s="158"/>
      <c r="AB90" s="158"/>
      <c r="AC90" s="158"/>
      <c r="AD90" s="158"/>
      <c r="AE90" s="158"/>
      <c r="AF90" s="158"/>
      <c r="AG90" s="158"/>
      <c r="AH90" s="158"/>
      <c r="AI90" s="158"/>
      <c r="AJ90" s="158"/>
      <c r="AK90" s="158"/>
      <c r="AL90" s="158"/>
    </row>
    <row r="91" spans="1:38" s="153" customFormat="1" x14ac:dyDescent="0.25">
      <c r="A91" s="91">
        <f t="shared" si="10"/>
        <v>0</v>
      </c>
      <c r="B91" s="37" t="str">
        <f t="shared" si="6"/>
        <v/>
      </c>
      <c r="C91" s="38"/>
      <c r="D91" s="38"/>
      <c r="E91" s="38"/>
      <c r="F91" s="38"/>
      <c r="H91" s="168">
        <v>86</v>
      </c>
      <c r="I91" s="169" t="str">
        <f t="shared" si="7"/>
        <v/>
      </c>
      <c r="J91" s="168" t="e">
        <f t="shared" si="11"/>
        <v>#NUM!</v>
      </c>
      <c r="K91" s="168" t="e">
        <f t="shared" si="8"/>
        <v>#NUM!</v>
      </c>
      <c r="L91" s="168"/>
      <c r="M91" s="170">
        <f t="shared" si="9"/>
        <v>0</v>
      </c>
      <c r="S91" s="158"/>
      <c r="T91" s="158"/>
      <c r="U91" s="158"/>
      <c r="V91" s="158"/>
      <c r="W91" s="158"/>
      <c r="X91" s="158"/>
      <c r="Y91" s="158"/>
      <c r="Z91" s="158"/>
      <c r="AA91" s="158"/>
      <c r="AB91" s="158"/>
      <c r="AC91" s="158"/>
      <c r="AD91" s="158"/>
      <c r="AE91" s="158"/>
      <c r="AF91" s="158"/>
      <c r="AG91" s="158"/>
      <c r="AH91" s="158"/>
      <c r="AI91" s="158"/>
      <c r="AJ91" s="158"/>
      <c r="AK91" s="158"/>
      <c r="AL91" s="158"/>
    </row>
    <row r="92" spans="1:38" s="153" customFormat="1" x14ac:dyDescent="0.25">
      <c r="A92" s="87">
        <f t="shared" si="10"/>
        <v>0</v>
      </c>
      <c r="B92" s="31" t="str">
        <f t="shared" si="6"/>
        <v/>
      </c>
      <c r="C92" s="32"/>
      <c r="D92" s="32"/>
      <c r="E92" s="32"/>
      <c r="F92" s="32"/>
      <c r="H92" s="165">
        <v>87</v>
      </c>
      <c r="I92" s="166" t="str">
        <f t="shared" si="7"/>
        <v/>
      </c>
      <c r="J92" s="165" t="e">
        <f t="shared" si="11"/>
        <v>#NUM!</v>
      </c>
      <c r="K92" s="165" t="e">
        <f t="shared" si="8"/>
        <v>#NUM!</v>
      </c>
      <c r="L92" s="165"/>
      <c r="M92" s="167">
        <f t="shared" si="9"/>
        <v>0</v>
      </c>
      <c r="S92" s="158"/>
      <c r="T92" s="158"/>
      <c r="U92" s="158"/>
      <c r="V92" s="158"/>
      <c r="W92" s="158"/>
      <c r="X92" s="158"/>
      <c r="Y92" s="158"/>
      <c r="Z92" s="158"/>
      <c r="AA92" s="158"/>
      <c r="AB92" s="158"/>
      <c r="AC92" s="158"/>
      <c r="AD92" s="158"/>
      <c r="AE92" s="158"/>
      <c r="AF92" s="158"/>
      <c r="AG92" s="158"/>
      <c r="AH92" s="158"/>
      <c r="AI92" s="158"/>
      <c r="AJ92" s="158"/>
      <c r="AK92" s="158"/>
      <c r="AL92" s="158"/>
    </row>
    <row r="93" spans="1:38" s="153" customFormat="1" x14ac:dyDescent="0.25">
      <c r="A93" s="91">
        <f t="shared" si="10"/>
        <v>0</v>
      </c>
      <c r="B93" s="37" t="str">
        <f t="shared" si="6"/>
        <v/>
      </c>
      <c r="C93" s="38"/>
      <c r="D93" s="38"/>
      <c r="E93" s="38"/>
      <c r="F93" s="38"/>
      <c r="H93" s="168">
        <v>88</v>
      </c>
      <c r="I93" s="169" t="str">
        <f t="shared" si="7"/>
        <v/>
      </c>
      <c r="J93" s="168" t="e">
        <f t="shared" si="11"/>
        <v>#NUM!</v>
      </c>
      <c r="K93" s="168" t="e">
        <f t="shared" si="8"/>
        <v>#NUM!</v>
      </c>
      <c r="L93" s="168"/>
      <c r="M93" s="170">
        <f t="shared" si="9"/>
        <v>0</v>
      </c>
      <c r="S93" s="158"/>
      <c r="T93" s="158"/>
      <c r="U93" s="158"/>
      <c r="V93" s="158"/>
      <c r="W93" s="158"/>
      <c r="X93" s="158"/>
      <c r="Y93" s="158"/>
      <c r="Z93" s="158"/>
      <c r="AA93" s="158"/>
      <c r="AB93" s="158"/>
      <c r="AC93" s="158"/>
      <c r="AD93" s="158"/>
      <c r="AE93" s="158"/>
      <c r="AF93" s="158"/>
      <c r="AG93" s="158"/>
      <c r="AH93" s="158"/>
      <c r="AI93" s="158"/>
      <c r="AJ93" s="158"/>
      <c r="AK93" s="158"/>
      <c r="AL93" s="158"/>
    </row>
    <row r="94" spans="1:38" s="153" customFormat="1" x14ac:dyDescent="0.25">
      <c r="A94" s="87">
        <f t="shared" si="10"/>
        <v>0</v>
      </c>
      <c r="B94" s="31" t="str">
        <f t="shared" si="6"/>
        <v/>
      </c>
      <c r="C94" s="32"/>
      <c r="D94" s="32"/>
      <c r="E94" s="32"/>
      <c r="F94" s="32"/>
      <c r="H94" s="165">
        <v>89</v>
      </c>
      <c r="I94" s="166" t="str">
        <f t="shared" si="7"/>
        <v/>
      </c>
      <c r="J94" s="165" t="e">
        <f t="shared" si="11"/>
        <v>#NUM!</v>
      </c>
      <c r="K94" s="165" t="e">
        <f t="shared" si="8"/>
        <v>#NUM!</v>
      </c>
      <c r="L94" s="165"/>
      <c r="M94" s="167">
        <f t="shared" si="9"/>
        <v>0</v>
      </c>
      <c r="S94" s="158"/>
      <c r="T94" s="158"/>
      <c r="U94" s="158"/>
      <c r="V94" s="158"/>
      <c r="W94" s="158"/>
      <c r="X94" s="158"/>
      <c r="Y94" s="158"/>
      <c r="Z94" s="158"/>
      <c r="AA94" s="158"/>
      <c r="AB94" s="158"/>
      <c r="AC94" s="158"/>
      <c r="AD94" s="158"/>
      <c r="AE94" s="158"/>
      <c r="AF94" s="158"/>
      <c r="AG94" s="158"/>
      <c r="AH94" s="158"/>
      <c r="AI94" s="158"/>
      <c r="AJ94" s="158"/>
      <c r="AK94" s="158"/>
      <c r="AL94" s="158"/>
    </row>
    <row r="95" spans="1:38" s="153" customFormat="1" x14ac:dyDescent="0.25">
      <c r="A95" s="91">
        <f t="shared" si="10"/>
        <v>0</v>
      </c>
      <c r="B95" s="37" t="str">
        <f t="shared" si="6"/>
        <v/>
      </c>
      <c r="C95" s="38"/>
      <c r="D95" s="38"/>
      <c r="E95" s="38"/>
      <c r="F95" s="38"/>
      <c r="H95" s="168">
        <v>90</v>
      </c>
      <c r="I95" s="169" t="str">
        <f t="shared" si="7"/>
        <v/>
      </c>
      <c r="J95" s="168" t="e">
        <f t="shared" si="11"/>
        <v>#NUM!</v>
      </c>
      <c r="K95" s="168" t="e">
        <f t="shared" si="8"/>
        <v>#NUM!</v>
      </c>
      <c r="L95" s="168"/>
      <c r="M95" s="170">
        <f t="shared" si="9"/>
        <v>0</v>
      </c>
      <c r="S95" s="158"/>
      <c r="T95" s="158"/>
      <c r="U95" s="158"/>
      <c r="V95" s="158"/>
      <c r="W95" s="158"/>
      <c r="X95" s="158"/>
      <c r="Y95" s="158"/>
      <c r="Z95" s="158"/>
      <c r="AA95" s="158"/>
      <c r="AB95" s="158"/>
      <c r="AC95" s="158"/>
      <c r="AD95" s="158"/>
      <c r="AE95" s="158"/>
      <c r="AF95" s="158"/>
      <c r="AG95" s="158"/>
      <c r="AH95" s="158"/>
      <c r="AI95" s="158"/>
      <c r="AJ95" s="158"/>
      <c r="AK95" s="158"/>
      <c r="AL95" s="158"/>
    </row>
    <row r="96" spans="1:38" s="153" customFormat="1" x14ac:dyDescent="0.25">
      <c r="A96" s="87">
        <f t="shared" si="10"/>
        <v>0</v>
      </c>
      <c r="B96" s="31" t="str">
        <f t="shared" si="6"/>
        <v/>
      </c>
      <c r="C96" s="32"/>
      <c r="D96" s="32"/>
      <c r="E96" s="32"/>
      <c r="F96" s="32"/>
      <c r="H96" s="165">
        <v>91</v>
      </c>
      <c r="I96" s="166" t="str">
        <f t="shared" si="7"/>
        <v/>
      </c>
      <c r="J96" s="165" t="e">
        <f t="shared" si="11"/>
        <v>#NUM!</v>
      </c>
      <c r="K96" s="165" t="e">
        <f t="shared" si="8"/>
        <v>#NUM!</v>
      </c>
      <c r="L96" s="165"/>
      <c r="M96" s="167">
        <f t="shared" si="9"/>
        <v>0</v>
      </c>
      <c r="S96" s="158"/>
      <c r="T96" s="158"/>
      <c r="U96" s="158"/>
      <c r="V96" s="158"/>
      <c r="W96" s="158"/>
      <c r="X96" s="158"/>
      <c r="Y96" s="158"/>
      <c r="Z96" s="158"/>
      <c r="AA96" s="158"/>
      <c r="AB96" s="158"/>
      <c r="AC96" s="158"/>
      <c r="AD96" s="158"/>
      <c r="AE96" s="158"/>
      <c r="AF96" s="158"/>
      <c r="AG96" s="158"/>
      <c r="AH96" s="158"/>
      <c r="AI96" s="158"/>
      <c r="AJ96" s="158"/>
      <c r="AK96" s="158"/>
      <c r="AL96" s="158"/>
    </row>
    <row r="97" spans="1:38" s="153" customFormat="1" x14ac:dyDescent="0.25">
      <c r="A97" s="91">
        <f t="shared" si="10"/>
        <v>0</v>
      </c>
      <c r="B97" s="37" t="str">
        <f t="shared" si="6"/>
        <v/>
      </c>
      <c r="C97" s="38"/>
      <c r="D97" s="38"/>
      <c r="E97" s="38"/>
      <c r="F97" s="38"/>
      <c r="H97" s="168">
        <v>92</v>
      </c>
      <c r="I97" s="169" t="str">
        <f t="shared" si="7"/>
        <v/>
      </c>
      <c r="J97" s="168" t="e">
        <f t="shared" si="11"/>
        <v>#NUM!</v>
      </c>
      <c r="K97" s="168" t="e">
        <f t="shared" si="8"/>
        <v>#NUM!</v>
      </c>
      <c r="L97" s="168"/>
      <c r="M97" s="170">
        <f t="shared" si="9"/>
        <v>0</v>
      </c>
      <c r="S97" s="158"/>
      <c r="T97" s="158"/>
      <c r="U97" s="158"/>
      <c r="V97" s="158"/>
      <c r="W97" s="158"/>
      <c r="X97" s="158"/>
      <c r="Y97" s="158"/>
      <c r="Z97" s="158"/>
      <c r="AA97" s="158"/>
      <c r="AB97" s="158"/>
      <c r="AC97" s="158"/>
      <c r="AD97" s="158"/>
      <c r="AE97" s="158"/>
      <c r="AF97" s="158"/>
      <c r="AG97" s="158"/>
      <c r="AH97" s="158"/>
      <c r="AI97" s="158"/>
      <c r="AJ97" s="158"/>
      <c r="AK97" s="158"/>
      <c r="AL97" s="158"/>
    </row>
    <row r="98" spans="1:38" s="153" customFormat="1" x14ac:dyDescent="0.25">
      <c r="A98" s="87">
        <f t="shared" si="10"/>
        <v>0</v>
      </c>
      <c r="B98" s="31" t="str">
        <f t="shared" si="6"/>
        <v/>
      </c>
      <c r="C98" s="32"/>
      <c r="D98" s="32"/>
      <c r="E98" s="32"/>
      <c r="F98" s="32"/>
      <c r="H98" s="165">
        <v>93</v>
      </c>
      <c r="I98" s="166" t="str">
        <f t="shared" si="7"/>
        <v/>
      </c>
      <c r="J98" s="165" t="e">
        <f t="shared" si="11"/>
        <v>#NUM!</v>
      </c>
      <c r="K98" s="165" t="e">
        <f t="shared" si="8"/>
        <v>#NUM!</v>
      </c>
      <c r="L98" s="165"/>
      <c r="M98" s="167">
        <f t="shared" si="9"/>
        <v>0</v>
      </c>
      <c r="S98" s="158"/>
      <c r="T98" s="158"/>
      <c r="U98" s="158"/>
      <c r="V98" s="158"/>
      <c r="W98" s="158"/>
      <c r="X98" s="158"/>
      <c r="Y98" s="158"/>
      <c r="Z98" s="158"/>
      <c r="AA98" s="158"/>
      <c r="AB98" s="158"/>
      <c r="AC98" s="158"/>
      <c r="AD98" s="158"/>
      <c r="AE98" s="158"/>
      <c r="AF98" s="158"/>
      <c r="AG98" s="158"/>
      <c r="AH98" s="158"/>
      <c r="AI98" s="158"/>
      <c r="AJ98" s="158"/>
      <c r="AK98" s="158"/>
      <c r="AL98" s="158"/>
    </row>
    <row r="99" spans="1:38" s="153" customFormat="1" x14ac:dyDescent="0.25">
      <c r="A99" s="91">
        <f t="shared" si="10"/>
        <v>0</v>
      </c>
      <c r="B99" s="37" t="str">
        <f t="shared" si="6"/>
        <v/>
      </c>
      <c r="C99" s="38"/>
      <c r="D99" s="38"/>
      <c r="E99" s="38"/>
      <c r="F99" s="38"/>
      <c r="H99" s="168">
        <v>94</v>
      </c>
      <c r="I99" s="169" t="str">
        <f t="shared" si="7"/>
        <v/>
      </c>
      <c r="J99" s="168" t="e">
        <f t="shared" si="11"/>
        <v>#NUM!</v>
      </c>
      <c r="K99" s="168" t="e">
        <f t="shared" si="8"/>
        <v>#NUM!</v>
      </c>
      <c r="L99" s="168"/>
      <c r="M99" s="170">
        <f t="shared" si="9"/>
        <v>0</v>
      </c>
      <c r="S99" s="158"/>
      <c r="T99" s="158"/>
      <c r="U99" s="158"/>
      <c r="V99" s="158"/>
      <c r="W99" s="158"/>
      <c r="X99" s="158"/>
      <c r="Y99" s="158"/>
      <c r="Z99" s="158"/>
      <c r="AA99" s="158"/>
      <c r="AB99" s="158"/>
      <c r="AC99" s="158"/>
      <c r="AD99" s="158"/>
      <c r="AE99" s="158"/>
      <c r="AF99" s="158"/>
      <c r="AG99" s="158"/>
      <c r="AH99" s="158"/>
      <c r="AI99" s="158"/>
      <c r="AJ99" s="158"/>
      <c r="AK99" s="158"/>
      <c r="AL99" s="158"/>
    </row>
    <row r="100" spans="1:38" s="153" customFormat="1" x14ac:dyDescent="0.25">
      <c r="A100" s="87">
        <f t="shared" si="10"/>
        <v>0</v>
      </c>
      <c r="B100" s="31" t="str">
        <f t="shared" si="6"/>
        <v/>
      </c>
      <c r="C100" s="32"/>
      <c r="D100" s="32"/>
      <c r="E100" s="32"/>
      <c r="F100" s="32"/>
      <c r="H100" s="165">
        <v>95</v>
      </c>
      <c r="I100" s="166" t="str">
        <f t="shared" si="7"/>
        <v/>
      </c>
      <c r="J100" s="165" t="e">
        <f t="shared" si="11"/>
        <v>#NUM!</v>
      </c>
      <c r="K100" s="165" t="e">
        <f t="shared" si="8"/>
        <v>#NUM!</v>
      </c>
      <c r="L100" s="165"/>
      <c r="M100" s="167">
        <f t="shared" si="9"/>
        <v>0</v>
      </c>
      <c r="S100" s="158"/>
      <c r="T100" s="158"/>
      <c r="U100" s="158"/>
      <c r="V100" s="158"/>
      <c r="W100" s="158"/>
      <c r="X100" s="158"/>
      <c r="Y100" s="158"/>
      <c r="Z100" s="158"/>
      <c r="AA100" s="158"/>
      <c r="AB100" s="158"/>
      <c r="AC100" s="158"/>
      <c r="AD100" s="158"/>
      <c r="AE100" s="158"/>
      <c r="AF100" s="158"/>
      <c r="AG100" s="158"/>
      <c r="AH100" s="158"/>
      <c r="AI100" s="158"/>
      <c r="AJ100" s="158"/>
      <c r="AK100" s="158"/>
      <c r="AL100" s="158"/>
    </row>
    <row r="101" spans="1:38" s="153" customFormat="1" x14ac:dyDescent="0.25">
      <c r="A101" s="91">
        <f t="shared" si="10"/>
        <v>0</v>
      </c>
      <c r="B101" s="37" t="str">
        <f t="shared" si="6"/>
        <v/>
      </c>
      <c r="C101" s="38"/>
      <c r="D101" s="38"/>
      <c r="E101" s="38"/>
      <c r="F101" s="38"/>
      <c r="H101" s="168">
        <v>96</v>
      </c>
      <c r="I101" s="169" t="str">
        <f t="shared" si="7"/>
        <v/>
      </c>
      <c r="J101" s="168" t="e">
        <f t="shared" si="11"/>
        <v>#NUM!</v>
      </c>
      <c r="K101" s="168" t="e">
        <f t="shared" si="8"/>
        <v>#NUM!</v>
      </c>
      <c r="L101" s="168"/>
      <c r="M101" s="170">
        <f t="shared" si="9"/>
        <v>0</v>
      </c>
      <c r="S101" s="158"/>
      <c r="T101" s="158"/>
      <c r="U101" s="158"/>
      <c r="V101" s="158"/>
      <c r="W101" s="158"/>
      <c r="X101" s="158"/>
      <c r="Y101" s="158"/>
      <c r="Z101" s="158"/>
      <c r="AA101" s="158"/>
      <c r="AB101" s="158"/>
      <c r="AC101" s="158"/>
      <c r="AD101" s="158"/>
      <c r="AE101" s="158"/>
      <c r="AF101" s="158"/>
      <c r="AG101" s="158"/>
      <c r="AH101" s="158"/>
      <c r="AI101" s="158"/>
      <c r="AJ101" s="158"/>
      <c r="AK101" s="158"/>
      <c r="AL101" s="158"/>
    </row>
    <row r="102" spans="1:38" s="153" customFormat="1" x14ac:dyDescent="0.25">
      <c r="A102" s="87">
        <f t="shared" si="10"/>
        <v>0</v>
      </c>
      <c r="B102" s="31" t="str">
        <f t="shared" si="6"/>
        <v/>
      </c>
      <c r="C102" s="32"/>
      <c r="D102" s="32"/>
      <c r="E102" s="32"/>
      <c r="F102" s="32"/>
      <c r="H102" s="165">
        <v>97</v>
      </c>
      <c r="I102" s="166" t="str">
        <f t="shared" si="7"/>
        <v/>
      </c>
      <c r="J102" s="165" t="e">
        <f t="shared" si="11"/>
        <v>#NUM!</v>
      </c>
      <c r="K102" s="165" t="e">
        <f t="shared" si="8"/>
        <v>#NUM!</v>
      </c>
      <c r="L102" s="165"/>
      <c r="M102" s="167">
        <f t="shared" si="9"/>
        <v>0</v>
      </c>
      <c r="S102" s="158"/>
      <c r="T102" s="158"/>
      <c r="U102" s="158"/>
      <c r="V102" s="158"/>
      <c r="W102" s="158"/>
      <c r="X102" s="158"/>
      <c r="Y102" s="158"/>
      <c r="Z102" s="158"/>
      <c r="AA102" s="158"/>
      <c r="AB102" s="158"/>
      <c r="AC102" s="158"/>
      <c r="AD102" s="158"/>
      <c r="AE102" s="158"/>
      <c r="AF102" s="158"/>
      <c r="AG102" s="158"/>
      <c r="AH102" s="158"/>
      <c r="AI102" s="158"/>
      <c r="AJ102" s="158"/>
      <c r="AK102" s="158"/>
      <c r="AL102" s="158"/>
    </row>
    <row r="103" spans="1:38" s="153" customFormat="1" x14ac:dyDescent="0.25">
      <c r="A103" s="91">
        <f t="shared" si="10"/>
        <v>0</v>
      </c>
      <c r="B103" s="37" t="str">
        <f t="shared" si="6"/>
        <v/>
      </c>
      <c r="C103" s="38"/>
      <c r="D103" s="38"/>
      <c r="E103" s="38"/>
      <c r="F103" s="38"/>
      <c r="H103" s="168">
        <v>98</v>
      </c>
      <c r="I103" s="169" t="str">
        <f t="shared" si="7"/>
        <v/>
      </c>
      <c r="J103" s="168" t="e">
        <f t="shared" si="11"/>
        <v>#NUM!</v>
      </c>
      <c r="K103" s="168" t="e">
        <f t="shared" si="8"/>
        <v>#NUM!</v>
      </c>
      <c r="L103" s="168"/>
      <c r="M103" s="170">
        <f t="shared" si="9"/>
        <v>0</v>
      </c>
      <c r="S103" s="158"/>
      <c r="T103" s="158"/>
      <c r="U103" s="158"/>
      <c r="V103" s="158"/>
      <c r="W103" s="158"/>
      <c r="X103" s="158"/>
      <c r="Y103" s="158"/>
      <c r="Z103" s="158"/>
      <c r="AA103" s="158"/>
      <c r="AB103" s="158"/>
      <c r="AC103" s="158"/>
      <c r="AD103" s="158"/>
      <c r="AE103" s="158"/>
      <c r="AF103" s="158"/>
      <c r="AG103" s="158"/>
      <c r="AH103" s="158"/>
      <c r="AI103" s="158"/>
      <c r="AJ103" s="158"/>
      <c r="AK103" s="158"/>
      <c r="AL103" s="158"/>
    </row>
    <row r="104" spans="1:38" s="153" customFormat="1" x14ac:dyDescent="0.25">
      <c r="A104" s="87">
        <f t="shared" si="10"/>
        <v>0</v>
      </c>
      <c r="B104" s="31" t="str">
        <f t="shared" si="6"/>
        <v/>
      </c>
      <c r="C104" s="32"/>
      <c r="D104" s="32"/>
      <c r="E104" s="32"/>
      <c r="F104" s="32"/>
      <c r="H104" s="165">
        <v>99</v>
      </c>
      <c r="I104" s="166" t="str">
        <f t="shared" si="7"/>
        <v/>
      </c>
      <c r="J104" s="165" t="e">
        <f t="shared" si="11"/>
        <v>#NUM!</v>
      </c>
      <c r="K104" s="165" t="e">
        <f t="shared" si="8"/>
        <v>#NUM!</v>
      </c>
      <c r="L104" s="165"/>
      <c r="M104" s="167">
        <f t="shared" si="9"/>
        <v>0</v>
      </c>
      <c r="S104" s="158"/>
      <c r="T104" s="158"/>
      <c r="U104" s="158"/>
      <c r="V104" s="158"/>
      <c r="W104" s="158"/>
      <c r="X104" s="158"/>
      <c r="Y104" s="158"/>
      <c r="Z104" s="158"/>
      <c r="AA104" s="158"/>
      <c r="AB104" s="158"/>
      <c r="AC104" s="158"/>
      <c r="AD104" s="158"/>
      <c r="AE104" s="158"/>
      <c r="AF104" s="158"/>
      <c r="AG104" s="158"/>
      <c r="AH104" s="158"/>
      <c r="AI104" s="158"/>
      <c r="AJ104" s="158"/>
      <c r="AK104" s="158"/>
      <c r="AL104" s="158"/>
    </row>
    <row r="105" spans="1:38" s="153" customFormat="1" x14ac:dyDescent="0.25">
      <c r="A105" s="91">
        <f t="shared" si="10"/>
        <v>0</v>
      </c>
      <c r="B105" s="37" t="str">
        <f t="shared" si="6"/>
        <v/>
      </c>
      <c r="C105" s="38"/>
      <c r="D105" s="38"/>
      <c r="E105" s="38"/>
      <c r="F105" s="38"/>
      <c r="H105" s="168">
        <v>100</v>
      </c>
      <c r="I105" s="169" t="str">
        <f t="shared" si="7"/>
        <v/>
      </c>
      <c r="J105" s="168" t="e">
        <f t="shared" si="11"/>
        <v>#NUM!</v>
      </c>
      <c r="K105" s="168" t="e">
        <f t="shared" si="8"/>
        <v>#NUM!</v>
      </c>
      <c r="L105" s="168"/>
      <c r="M105" s="170">
        <f t="shared" si="9"/>
        <v>0</v>
      </c>
      <c r="S105" s="158"/>
      <c r="T105" s="158"/>
      <c r="U105" s="158"/>
      <c r="V105" s="158"/>
      <c r="W105" s="158"/>
      <c r="X105" s="158"/>
      <c r="Y105" s="158"/>
      <c r="Z105" s="158"/>
      <c r="AA105" s="158"/>
      <c r="AB105" s="158"/>
      <c r="AC105" s="158"/>
      <c r="AD105" s="158"/>
      <c r="AE105" s="158"/>
      <c r="AF105" s="158"/>
      <c r="AG105" s="158"/>
      <c r="AH105" s="158"/>
      <c r="AI105" s="158"/>
      <c r="AJ105" s="158"/>
      <c r="AK105" s="158"/>
      <c r="AL105" s="158"/>
    </row>
    <row r="106" spans="1:38" s="153" customFormat="1" x14ac:dyDescent="0.25">
      <c r="A106" s="87">
        <f t="shared" si="10"/>
        <v>0</v>
      </c>
      <c r="B106" s="31" t="str">
        <f t="shared" si="6"/>
        <v/>
      </c>
      <c r="C106" s="32"/>
      <c r="D106" s="32"/>
      <c r="E106" s="32"/>
      <c r="F106" s="32"/>
      <c r="H106" s="165">
        <v>101</v>
      </c>
      <c r="I106" s="166" t="str">
        <f t="shared" si="7"/>
        <v/>
      </c>
      <c r="J106" s="165" t="e">
        <f t="shared" si="11"/>
        <v>#NUM!</v>
      </c>
      <c r="K106" s="165" t="e">
        <f t="shared" si="8"/>
        <v>#NUM!</v>
      </c>
      <c r="L106" s="165"/>
      <c r="M106" s="167">
        <f t="shared" si="9"/>
        <v>0</v>
      </c>
      <c r="S106" s="158"/>
      <c r="T106" s="158"/>
      <c r="U106" s="158"/>
      <c r="V106" s="158"/>
      <c r="W106" s="158"/>
      <c r="X106" s="158"/>
      <c r="Y106" s="158"/>
      <c r="Z106" s="158"/>
      <c r="AA106" s="158"/>
      <c r="AB106" s="158"/>
      <c r="AC106" s="158"/>
      <c r="AD106" s="158"/>
      <c r="AE106" s="158"/>
      <c r="AF106" s="158"/>
      <c r="AG106" s="158"/>
      <c r="AH106" s="158"/>
      <c r="AI106" s="158"/>
      <c r="AJ106" s="158"/>
      <c r="AK106" s="158"/>
      <c r="AL106" s="158"/>
    </row>
    <row r="107" spans="1:38" s="153" customFormat="1" x14ac:dyDescent="0.25">
      <c r="A107" s="91">
        <f t="shared" si="10"/>
        <v>0</v>
      </c>
      <c r="B107" s="37" t="str">
        <f t="shared" si="6"/>
        <v/>
      </c>
      <c r="C107" s="38"/>
      <c r="D107" s="38"/>
      <c r="E107" s="38"/>
      <c r="F107" s="38"/>
      <c r="H107" s="168">
        <v>102</v>
      </c>
      <c r="I107" s="169" t="str">
        <f t="shared" si="7"/>
        <v/>
      </c>
      <c r="J107" s="168" t="e">
        <f t="shared" si="11"/>
        <v>#NUM!</v>
      </c>
      <c r="K107" s="168" t="e">
        <f t="shared" si="8"/>
        <v>#NUM!</v>
      </c>
      <c r="L107" s="168"/>
      <c r="M107" s="170">
        <f t="shared" si="9"/>
        <v>0</v>
      </c>
      <c r="S107" s="158"/>
      <c r="T107" s="158"/>
      <c r="U107" s="158"/>
      <c r="V107" s="158"/>
      <c r="W107" s="158"/>
      <c r="X107" s="158"/>
      <c r="Y107" s="158"/>
      <c r="Z107" s="158"/>
      <c r="AA107" s="158"/>
      <c r="AB107" s="158"/>
      <c r="AC107" s="158"/>
      <c r="AD107" s="158"/>
      <c r="AE107" s="158"/>
      <c r="AF107" s="158"/>
      <c r="AG107" s="158"/>
      <c r="AH107" s="158"/>
      <c r="AI107" s="158"/>
      <c r="AJ107" s="158"/>
      <c r="AK107" s="158"/>
      <c r="AL107" s="158"/>
    </row>
    <row r="108" spans="1:38" s="153" customFormat="1" x14ac:dyDescent="0.25">
      <c r="A108" s="87">
        <f t="shared" si="10"/>
        <v>0</v>
      </c>
      <c r="B108" s="31" t="str">
        <f t="shared" si="6"/>
        <v/>
      </c>
      <c r="C108" s="32"/>
      <c r="D108" s="32"/>
      <c r="E108" s="32"/>
      <c r="F108" s="32"/>
      <c r="H108" s="165">
        <v>103</v>
      </c>
      <c r="I108" s="166" t="str">
        <f t="shared" si="7"/>
        <v/>
      </c>
      <c r="J108" s="165" t="e">
        <f t="shared" si="11"/>
        <v>#NUM!</v>
      </c>
      <c r="K108" s="165" t="e">
        <f t="shared" si="8"/>
        <v>#NUM!</v>
      </c>
      <c r="L108" s="165"/>
      <c r="M108" s="167">
        <f t="shared" si="9"/>
        <v>0</v>
      </c>
      <c r="S108" s="158"/>
      <c r="T108" s="158"/>
      <c r="U108" s="158"/>
      <c r="V108" s="158"/>
      <c r="W108" s="158"/>
      <c r="X108" s="158"/>
      <c r="Y108" s="158"/>
      <c r="Z108" s="158"/>
      <c r="AA108" s="158"/>
      <c r="AB108" s="158"/>
      <c r="AC108" s="158"/>
      <c r="AD108" s="158"/>
      <c r="AE108" s="158"/>
      <c r="AF108" s="158"/>
      <c r="AG108" s="158"/>
      <c r="AH108" s="158"/>
      <c r="AI108" s="158"/>
      <c r="AJ108" s="158"/>
      <c r="AK108" s="158"/>
      <c r="AL108" s="158"/>
    </row>
    <row r="109" spans="1:38" s="153" customFormat="1" x14ac:dyDescent="0.25">
      <c r="A109" s="91">
        <f t="shared" si="10"/>
        <v>0</v>
      </c>
      <c r="B109" s="37" t="str">
        <f t="shared" si="6"/>
        <v/>
      </c>
      <c r="C109" s="38"/>
      <c r="D109" s="38"/>
      <c r="E109" s="38"/>
      <c r="F109" s="38"/>
      <c r="H109" s="168">
        <v>104</v>
      </c>
      <c r="I109" s="169" t="str">
        <f t="shared" si="7"/>
        <v/>
      </c>
      <c r="J109" s="168" t="e">
        <f t="shared" si="11"/>
        <v>#NUM!</v>
      </c>
      <c r="K109" s="168" t="e">
        <f t="shared" si="8"/>
        <v>#NUM!</v>
      </c>
      <c r="L109" s="168"/>
      <c r="M109" s="170">
        <f t="shared" si="9"/>
        <v>0</v>
      </c>
      <c r="S109" s="158"/>
      <c r="T109" s="158"/>
      <c r="U109" s="158"/>
      <c r="V109" s="158"/>
      <c r="W109" s="158"/>
      <c r="X109" s="158"/>
      <c r="Y109" s="158"/>
      <c r="Z109" s="158"/>
      <c r="AA109" s="158"/>
      <c r="AB109" s="158"/>
      <c r="AC109" s="158"/>
      <c r="AD109" s="158"/>
      <c r="AE109" s="158"/>
      <c r="AF109" s="158"/>
      <c r="AG109" s="158"/>
      <c r="AH109" s="158"/>
      <c r="AI109" s="158"/>
      <c r="AJ109" s="158"/>
      <c r="AK109" s="158"/>
      <c r="AL109" s="158"/>
    </row>
    <row r="110" spans="1:38" s="153" customFormat="1" x14ac:dyDescent="0.25">
      <c r="A110" s="87">
        <f t="shared" si="10"/>
        <v>0</v>
      </c>
      <c r="B110" s="31" t="str">
        <f t="shared" si="6"/>
        <v/>
      </c>
      <c r="C110" s="32"/>
      <c r="D110" s="32"/>
      <c r="E110" s="32"/>
      <c r="F110" s="32"/>
      <c r="H110" s="165">
        <v>105</v>
      </c>
      <c r="I110" s="166" t="str">
        <f t="shared" si="7"/>
        <v/>
      </c>
      <c r="J110" s="165" t="e">
        <f t="shared" si="11"/>
        <v>#NUM!</v>
      </c>
      <c r="K110" s="165" t="e">
        <f t="shared" si="8"/>
        <v>#NUM!</v>
      </c>
      <c r="L110" s="165"/>
      <c r="M110" s="167">
        <f t="shared" si="9"/>
        <v>0</v>
      </c>
      <c r="S110" s="158"/>
      <c r="T110" s="158"/>
      <c r="U110" s="158"/>
      <c r="V110" s="158"/>
      <c r="W110" s="158"/>
      <c r="X110" s="158"/>
      <c r="Y110" s="158"/>
      <c r="Z110" s="158"/>
      <c r="AA110" s="158"/>
      <c r="AB110" s="158"/>
      <c r="AC110" s="158"/>
      <c r="AD110" s="158"/>
      <c r="AE110" s="158"/>
      <c r="AF110" s="158"/>
      <c r="AG110" s="158"/>
      <c r="AH110" s="158"/>
      <c r="AI110" s="158"/>
      <c r="AJ110" s="158"/>
      <c r="AK110" s="158"/>
      <c r="AL110" s="158"/>
    </row>
    <row r="111" spans="1:38" s="153" customFormat="1" x14ac:dyDescent="0.25">
      <c r="A111" s="91">
        <f t="shared" si="10"/>
        <v>0</v>
      </c>
      <c r="B111" s="37" t="str">
        <f t="shared" si="6"/>
        <v/>
      </c>
      <c r="C111" s="38"/>
      <c r="D111" s="38"/>
      <c r="E111" s="38"/>
      <c r="F111" s="38"/>
      <c r="H111" s="168">
        <v>106</v>
      </c>
      <c r="I111" s="169" t="str">
        <f t="shared" si="7"/>
        <v/>
      </c>
      <c r="J111" s="168" t="e">
        <f t="shared" si="11"/>
        <v>#NUM!</v>
      </c>
      <c r="K111" s="168" t="e">
        <f t="shared" si="8"/>
        <v>#NUM!</v>
      </c>
      <c r="L111" s="168"/>
      <c r="M111" s="170">
        <f t="shared" si="9"/>
        <v>0</v>
      </c>
      <c r="S111" s="158"/>
      <c r="T111" s="158"/>
      <c r="U111" s="158"/>
      <c r="V111" s="158"/>
      <c r="W111" s="158"/>
      <c r="X111" s="158"/>
      <c r="Y111" s="158"/>
      <c r="Z111" s="158"/>
      <c r="AA111" s="158"/>
      <c r="AB111" s="158"/>
      <c r="AC111" s="158"/>
      <c r="AD111" s="158"/>
      <c r="AE111" s="158"/>
      <c r="AF111" s="158"/>
      <c r="AG111" s="158"/>
      <c r="AH111" s="158"/>
      <c r="AI111" s="158"/>
      <c r="AJ111" s="158"/>
      <c r="AK111" s="158"/>
      <c r="AL111" s="158"/>
    </row>
    <row r="112" spans="1:38" s="153" customFormat="1" x14ac:dyDescent="0.25">
      <c r="A112" s="87">
        <f t="shared" si="10"/>
        <v>0</v>
      </c>
      <c r="B112" s="31" t="str">
        <f t="shared" si="6"/>
        <v/>
      </c>
      <c r="C112" s="32"/>
      <c r="D112" s="32"/>
      <c r="E112" s="32"/>
      <c r="F112" s="32"/>
      <c r="H112" s="165">
        <v>107</v>
      </c>
      <c r="I112" s="166" t="str">
        <f t="shared" si="7"/>
        <v/>
      </c>
      <c r="J112" s="165" t="e">
        <f t="shared" si="11"/>
        <v>#NUM!</v>
      </c>
      <c r="K112" s="165" t="e">
        <f t="shared" si="8"/>
        <v>#NUM!</v>
      </c>
      <c r="L112" s="165"/>
      <c r="M112" s="167">
        <f t="shared" si="9"/>
        <v>0</v>
      </c>
      <c r="S112" s="158"/>
      <c r="T112" s="158"/>
      <c r="U112" s="158"/>
      <c r="V112" s="158"/>
      <c r="W112" s="158"/>
      <c r="X112" s="158"/>
      <c r="Y112" s="158"/>
      <c r="Z112" s="158"/>
      <c r="AA112" s="158"/>
      <c r="AB112" s="158"/>
      <c r="AC112" s="158"/>
      <c r="AD112" s="158"/>
      <c r="AE112" s="158"/>
      <c r="AF112" s="158"/>
      <c r="AG112" s="158"/>
      <c r="AH112" s="158"/>
      <c r="AI112" s="158"/>
      <c r="AJ112" s="158"/>
      <c r="AK112" s="158"/>
      <c r="AL112" s="158"/>
    </row>
    <row r="113" spans="1:38" s="153" customFormat="1" x14ac:dyDescent="0.25">
      <c r="A113" s="91">
        <f t="shared" si="10"/>
        <v>0</v>
      </c>
      <c r="B113" s="37" t="str">
        <f t="shared" si="6"/>
        <v/>
      </c>
      <c r="C113" s="38"/>
      <c r="D113" s="38"/>
      <c r="E113" s="38"/>
      <c r="F113" s="38"/>
      <c r="H113" s="168">
        <v>108</v>
      </c>
      <c r="I113" s="169" t="str">
        <f t="shared" si="7"/>
        <v/>
      </c>
      <c r="J113" s="168" t="e">
        <f t="shared" si="11"/>
        <v>#NUM!</v>
      </c>
      <c r="K113" s="168" t="e">
        <f t="shared" si="8"/>
        <v>#NUM!</v>
      </c>
      <c r="L113" s="168"/>
      <c r="M113" s="170">
        <f t="shared" si="9"/>
        <v>0</v>
      </c>
      <c r="S113" s="158"/>
      <c r="T113" s="158"/>
      <c r="U113" s="158"/>
      <c r="V113" s="158"/>
      <c r="W113" s="158"/>
      <c r="X113" s="158"/>
      <c r="Y113" s="158"/>
      <c r="Z113" s="158"/>
      <c r="AA113" s="158"/>
      <c r="AB113" s="158"/>
      <c r="AC113" s="158"/>
      <c r="AD113" s="158"/>
      <c r="AE113" s="158"/>
      <c r="AF113" s="158"/>
      <c r="AG113" s="158"/>
      <c r="AH113" s="158"/>
      <c r="AI113" s="158"/>
      <c r="AJ113" s="158"/>
      <c r="AK113" s="158"/>
      <c r="AL113" s="158"/>
    </row>
    <row r="114" spans="1:38" s="153" customFormat="1" x14ac:dyDescent="0.25">
      <c r="A114" s="87">
        <f t="shared" si="10"/>
        <v>0</v>
      </c>
      <c r="B114" s="31" t="str">
        <f t="shared" si="6"/>
        <v/>
      </c>
      <c r="C114" s="32"/>
      <c r="D114" s="32"/>
      <c r="E114" s="32"/>
      <c r="F114" s="32"/>
      <c r="H114" s="165">
        <v>109</v>
      </c>
      <c r="I114" s="166" t="str">
        <f t="shared" si="7"/>
        <v/>
      </c>
      <c r="J114" s="165" t="e">
        <f t="shared" si="11"/>
        <v>#NUM!</v>
      </c>
      <c r="K114" s="165" t="e">
        <f t="shared" si="8"/>
        <v>#NUM!</v>
      </c>
      <c r="L114" s="165"/>
      <c r="M114" s="167">
        <f t="shared" si="9"/>
        <v>0</v>
      </c>
      <c r="S114" s="158"/>
      <c r="T114" s="158"/>
      <c r="U114" s="158"/>
      <c r="V114" s="158"/>
      <c r="W114" s="158"/>
      <c r="X114" s="158"/>
      <c r="Y114" s="158"/>
      <c r="Z114" s="158"/>
      <c r="AA114" s="158"/>
      <c r="AB114" s="158"/>
      <c r="AC114" s="158"/>
      <c r="AD114" s="158"/>
      <c r="AE114" s="158"/>
      <c r="AF114" s="158"/>
      <c r="AG114" s="158"/>
      <c r="AH114" s="158"/>
      <c r="AI114" s="158"/>
      <c r="AJ114" s="158"/>
      <c r="AK114" s="158"/>
      <c r="AL114" s="158"/>
    </row>
    <row r="115" spans="1:38" s="153" customFormat="1" x14ac:dyDescent="0.25">
      <c r="A115" s="91">
        <f t="shared" si="10"/>
        <v>0</v>
      </c>
      <c r="B115" s="37" t="str">
        <f t="shared" si="6"/>
        <v/>
      </c>
      <c r="C115" s="38"/>
      <c r="D115" s="38"/>
      <c r="E115" s="38"/>
      <c r="F115" s="38"/>
      <c r="H115" s="168">
        <v>110</v>
      </c>
      <c r="I115" s="169" t="str">
        <f t="shared" si="7"/>
        <v/>
      </c>
      <c r="J115" s="168" t="e">
        <f t="shared" si="11"/>
        <v>#NUM!</v>
      </c>
      <c r="K115" s="168" t="e">
        <f t="shared" si="8"/>
        <v>#NUM!</v>
      </c>
      <c r="L115" s="168"/>
      <c r="M115" s="170">
        <f t="shared" si="9"/>
        <v>0</v>
      </c>
      <c r="S115" s="158"/>
      <c r="T115" s="158"/>
      <c r="U115" s="158"/>
      <c r="V115" s="158"/>
      <c r="W115" s="158"/>
      <c r="X115" s="158"/>
      <c r="Y115" s="158"/>
      <c r="Z115" s="158"/>
      <c r="AA115" s="158"/>
      <c r="AB115" s="158"/>
      <c r="AC115" s="158"/>
      <c r="AD115" s="158"/>
      <c r="AE115" s="158"/>
      <c r="AF115" s="158"/>
      <c r="AG115" s="158"/>
      <c r="AH115" s="158"/>
      <c r="AI115" s="158"/>
      <c r="AJ115" s="158"/>
      <c r="AK115" s="158"/>
      <c r="AL115" s="158"/>
    </row>
    <row r="116" spans="1:38" s="153" customFormat="1" x14ac:dyDescent="0.25">
      <c r="A116" s="87">
        <f t="shared" si="10"/>
        <v>0</v>
      </c>
      <c r="B116" s="31" t="str">
        <f t="shared" si="6"/>
        <v/>
      </c>
      <c r="C116" s="32"/>
      <c r="D116" s="32"/>
      <c r="E116" s="32"/>
      <c r="F116" s="32"/>
      <c r="H116" s="165">
        <v>111</v>
      </c>
      <c r="I116" s="166" t="str">
        <f t="shared" si="7"/>
        <v/>
      </c>
      <c r="J116" s="165" t="e">
        <f t="shared" si="11"/>
        <v>#NUM!</v>
      </c>
      <c r="K116" s="165" t="e">
        <f t="shared" si="8"/>
        <v>#NUM!</v>
      </c>
      <c r="L116" s="165"/>
      <c r="M116" s="167">
        <f t="shared" si="9"/>
        <v>0</v>
      </c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8"/>
      <c r="AF116" s="158"/>
      <c r="AG116" s="158"/>
      <c r="AH116" s="158"/>
      <c r="AI116" s="158"/>
      <c r="AJ116" s="158"/>
      <c r="AK116" s="158"/>
      <c r="AL116" s="158"/>
    </row>
    <row r="117" spans="1:38" s="153" customFormat="1" x14ac:dyDescent="0.25">
      <c r="A117" s="91">
        <f t="shared" si="10"/>
        <v>0</v>
      </c>
      <c r="B117" s="37" t="str">
        <f t="shared" si="6"/>
        <v/>
      </c>
      <c r="C117" s="38"/>
      <c r="D117" s="38"/>
      <c r="E117" s="38"/>
      <c r="F117" s="38"/>
      <c r="H117" s="168">
        <v>112</v>
      </c>
      <c r="I117" s="169" t="str">
        <f t="shared" si="7"/>
        <v/>
      </c>
      <c r="J117" s="168" t="e">
        <f t="shared" si="11"/>
        <v>#NUM!</v>
      </c>
      <c r="K117" s="168" t="e">
        <f t="shared" si="8"/>
        <v>#NUM!</v>
      </c>
      <c r="L117" s="168"/>
      <c r="M117" s="170">
        <f t="shared" si="9"/>
        <v>0</v>
      </c>
      <c r="S117" s="158"/>
      <c r="T117" s="158"/>
      <c r="U117" s="158"/>
      <c r="V117" s="158"/>
      <c r="W117" s="158"/>
      <c r="X117" s="158"/>
      <c r="Y117" s="158"/>
      <c r="Z117" s="158"/>
      <c r="AA117" s="158"/>
      <c r="AB117" s="158"/>
      <c r="AC117" s="158"/>
      <c r="AD117" s="158"/>
      <c r="AE117" s="158"/>
      <c r="AF117" s="158"/>
      <c r="AG117" s="158"/>
      <c r="AH117" s="158"/>
      <c r="AI117" s="158"/>
      <c r="AJ117" s="158"/>
      <c r="AK117" s="158"/>
      <c r="AL117" s="158"/>
    </row>
    <row r="118" spans="1:38" s="153" customFormat="1" x14ac:dyDescent="0.25">
      <c r="A118" s="87">
        <f t="shared" si="10"/>
        <v>0</v>
      </c>
      <c r="B118" s="31" t="str">
        <f t="shared" si="6"/>
        <v/>
      </c>
      <c r="C118" s="32"/>
      <c r="D118" s="32"/>
      <c r="E118" s="32"/>
      <c r="F118" s="32"/>
      <c r="H118" s="165">
        <v>113</v>
      </c>
      <c r="I118" s="166" t="str">
        <f t="shared" si="7"/>
        <v/>
      </c>
      <c r="J118" s="165" t="e">
        <f t="shared" si="11"/>
        <v>#NUM!</v>
      </c>
      <c r="K118" s="165" t="e">
        <f t="shared" si="8"/>
        <v>#NUM!</v>
      </c>
      <c r="L118" s="165"/>
      <c r="M118" s="167">
        <f t="shared" si="9"/>
        <v>0</v>
      </c>
      <c r="S118" s="158"/>
      <c r="T118" s="158"/>
      <c r="U118" s="158"/>
      <c r="V118" s="158"/>
      <c r="W118" s="158"/>
      <c r="X118" s="158"/>
      <c r="Y118" s="158"/>
      <c r="Z118" s="158"/>
      <c r="AA118" s="158"/>
      <c r="AB118" s="158"/>
      <c r="AC118" s="158"/>
      <c r="AD118" s="158"/>
      <c r="AE118" s="158"/>
      <c r="AF118" s="158"/>
      <c r="AG118" s="158"/>
      <c r="AH118" s="158"/>
      <c r="AI118" s="158"/>
      <c r="AJ118" s="158"/>
      <c r="AK118" s="158"/>
      <c r="AL118" s="158"/>
    </row>
    <row r="119" spans="1:38" s="153" customFormat="1" x14ac:dyDescent="0.25">
      <c r="A119" s="91">
        <f t="shared" si="10"/>
        <v>0</v>
      </c>
      <c r="B119" s="37" t="str">
        <f t="shared" si="6"/>
        <v/>
      </c>
      <c r="C119" s="38"/>
      <c r="D119" s="38"/>
      <c r="E119" s="38"/>
      <c r="F119" s="38"/>
      <c r="H119" s="168">
        <v>114</v>
      </c>
      <c r="I119" s="169" t="str">
        <f t="shared" si="7"/>
        <v/>
      </c>
      <c r="J119" s="168" t="e">
        <f t="shared" si="11"/>
        <v>#NUM!</v>
      </c>
      <c r="K119" s="168" t="e">
        <f t="shared" si="8"/>
        <v>#NUM!</v>
      </c>
      <c r="L119" s="168"/>
      <c r="M119" s="170">
        <f t="shared" si="9"/>
        <v>0</v>
      </c>
      <c r="S119" s="158"/>
      <c r="T119" s="158"/>
      <c r="U119" s="158"/>
      <c r="V119" s="158"/>
      <c r="W119" s="158"/>
      <c r="X119" s="158"/>
      <c r="Y119" s="158"/>
      <c r="Z119" s="158"/>
      <c r="AA119" s="158"/>
      <c r="AB119" s="158"/>
      <c r="AC119" s="158"/>
      <c r="AD119" s="158"/>
      <c r="AE119" s="158"/>
      <c r="AF119" s="158"/>
      <c r="AG119" s="158"/>
      <c r="AH119" s="158"/>
      <c r="AI119" s="158"/>
      <c r="AJ119" s="158"/>
      <c r="AK119" s="158"/>
      <c r="AL119" s="158"/>
    </row>
    <row r="120" spans="1:38" s="153" customFormat="1" x14ac:dyDescent="0.25">
      <c r="A120" s="87">
        <f t="shared" si="10"/>
        <v>0</v>
      </c>
      <c r="B120" s="31" t="str">
        <f t="shared" si="6"/>
        <v/>
      </c>
      <c r="C120" s="32"/>
      <c r="D120" s="32"/>
      <c r="E120" s="32"/>
      <c r="F120" s="32"/>
      <c r="H120" s="165">
        <v>115</v>
      </c>
      <c r="I120" s="166" t="str">
        <f t="shared" si="7"/>
        <v/>
      </c>
      <c r="J120" s="165" t="e">
        <f t="shared" si="11"/>
        <v>#NUM!</v>
      </c>
      <c r="K120" s="165" t="e">
        <f t="shared" si="8"/>
        <v>#NUM!</v>
      </c>
      <c r="L120" s="165"/>
      <c r="M120" s="167">
        <f t="shared" si="9"/>
        <v>0</v>
      </c>
      <c r="S120" s="158"/>
      <c r="T120" s="158"/>
      <c r="U120" s="158"/>
      <c r="V120" s="158"/>
      <c r="W120" s="158"/>
      <c r="X120" s="158"/>
      <c r="Y120" s="158"/>
      <c r="Z120" s="158"/>
      <c r="AA120" s="158"/>
      <c r="AB120" s="158"/>
      <c r="AC120" s="158"/>
      <c r="AD120" s="158"/>
      <c r="AE120" s="158"/>
      <c r="AF120" s="158"/>
      <c r="AG120" s="158"/>
      <c r="AH120" s="158"/>
      <c r="AI120" s="158"/>
      <c r="AJ120" s="158"/>
      <c r="AK120" s="158"/>
      <c r="AL120" s="158"/>
    </row>
    <row r="121" spans="1:38" s="153" customFormat="1" x14ac:dyDescent="0.25">
      <c r="A121" s="91">
        <f t="shared" si="10"/>
        <v>0</v>
      </c>
      <c r="B121" s="37" t="str">
        <f t="shared" si="6"/>
        <v/>
      </c>
      <c r="C121" s="38"/>
      <c r="D121" s="38"/>
      <c r="E121" s="38"/>
      <c r="F121" s="38"/>
      <c r="H121" s="168">
        <v>116</v>
      </c>
      <c r="I121" s="169" t="str">
        <f t="shared" si="7"/>
        <v/>
      </c>
      <c r="J121" s="168" t="e">
        <f t="shared" si="11"/>
        <v>#NUM!</v>
      </c>
      <c r="K121" s="168" t="e">
        <f t="shared" si="8"/>
        <v>#NUM!</v>
      </c>
      <c r="L121" s="168"/>
      <c r="M121" s="170">
        <f t="shared" si="9"/>
        <v>0</v>
      </c>
      <c r="S121" s="158"/>
      <c r="T121" s="158"/>
      <c r="U121" s="158"/>
      <c r="V121" s="158"/>
      <c r="W121" s="158"/>
      <c r="X121" s="158"/>
      <c r="Y121" s="158"/>
      <c r="Z121" s="158"/>
      <c r="AA121" s="158"/>
      <c r="AB121" s="158"/>
      <c r="AC121" s="158"/>
      <c r="AD121" s="158"/>
      <c r="AE121" s="158"/>
      <c r="AF121" s="158"/>
      <c r="AG121" s="158"/>
      <c r="AH121" s="158"/>
      <c r="AI121" s="158"/>
      <c r="AJ121" s="158"/>
      <c r="AK121" s="158"/>
      <c r="AL121" s="158"/>
    </row>
    <row r="122" spans="1:38" s="153" customFormat="1" x14ac:dyDescent="0.25">
      <c r="A122" s="87">
        <f t="shared" si="10"/>
        <v>0</v>
      </c>
      <c r="B122" s="31" t="str">
        <f t="shared" si="6"/>
        <v/>
      </c>
      <c r="C122" s="32"/>
      <c r="D122" s="32"/>
      <c r="E122" s="32"/>
      <c r="F122" s="32"/>
      <c r="H122" s="165">
        <v>117</v>
      </c>
      <c r="I122" s="166" t="str">
        <f t="shared" si="7"/>
        <v/>
      </c>
      <c r="J122" s="165" t="e">
        <f t="shared" si="11"/>
        <v>#NUM!</v>
      </c>
      <c r="K122" s="165" t="e">
        <f t="shared" si="8"/>
        <v>#NUM!</v>
      </c>
      <c r="L122" s="165"/>
      <c r="M122" s="167">
        <f t="shared" si="9"/>
        <v>0</v>
      </c>
      <c r="S122" s="158"/>
      <c r="T122" s="158"/>
      <c r="U122" s="158"/>
      <c r="V122" s="158"/>
      <c r="W122" s="158"/>
      <c r="X122" s="158"/>
      <c r="Y122" s="158"/>
      <c r="Z122" s="158"/>
      <c r="AA122" s="158"/>
      <c r="AB122" s="158"/>
      <c r="AC122" s="158"/>
      <c r="AD122" s="158"/>
      <c r="AE122" s="158"/>
      <c r="AF122" s="158"/>
      <c r="AG122" s="158"/>
      <c r="AH122" s="158"/>
      <c r="AI122" s="158"/>
      <c r="AJ122" s="158"/>
      <c r="AK122" s="158"/>
      <c r="AL122" s="158"/>
    </row>
    <row r="123" spans="1:38" s="153" customFormat="1" x14ac:dyDescent="0.25">
      <c r="A123" s="91">
        <f t="shared" si="10"/>
        <v>0</v>
      </c>
      <c r="B123" s="37" t="str">
        <f t="shared" si="6"/>
        <v/>
      </c>
      <c r="C123" s="38"/>
      <c r="D123" s="38"/>
      <c r="E123" s="38"/>
      <c r="F123" s="38"/>
      <c r="H123" s="168">
        <v>118</v>
      </c>
      <c r="I123" s="169" t="str">
        <f t="shared" si="7"/>
        <v/>
      </c>
      <c r="J123" s="168" t="e">
        <f t="shared" si="11"/>
        <v>#NUM!</v>
      </c>
      <c r="K123" s="168" t="e">
        <f t="shared" si="8"/>
        <v>#NUM!</v>
      </c>
      <c r="L123" s="168"/>
      <c r="M123" s="170">
        <f t="shared" si="9"/>
        <v>0</v>
      </c>
      <c r="S123" s="158"/>
      <c r="T123" s="158"/>
      <c r="U123" s="158"/>
      <c r="V123" s="158"/>
      <c r="W123" s="158"/>
      <c r="X123" s="158"/>
      <c r="Y123" s="158"/>
      <c r="Z123" s="158"/>
      <c r="AA123" s="158"/>
      <c r="AB123" s="158"/>
      <c r="AC123" s="158"/>
      <c r="AD123" s="158"/>
      <c r="AE123" s="158"/>
      <c r="AF123" s="158"/>
      <c r="AG123" s="158"/>
      <c r="AH123" s="158"/>
      <c r="AI123" s="158"/>
      <c r="AJ123" s="158"/>
      <c r="AK123" s="158"/>
      <c r="AL123" s="158"/>
    </row>
    <row r="124" spans="1:38" s="153" customFormat="1" x14ac:dyDescent="0.25">
      <c r="A124" s="87">
        <f t="shared" si="10"/>
        <v>0</v>
      </c>
      <c r="B124" s="31" t="str">
        <f t="shared" si="6"/>
        <v/>
      </c>
      <c r="C124" s="32"/>
      <c r="D124" s="32"/>
      <c r="E124" s="32"/>
      <c r="F124" s="32"/>
      <c r="H124" s="165">
        <v>119</v>
      </c>
      <c r="I124" s="166" t="str">
        <f t="shared" si="7"/>
        <v/>
      </c>
      <c r="J124" s="165" t="e">
        <f t="shared" si="11"/>
        <v>#NUM!</v>
      </c>
      <c r="K124" s="165" t="e">
        <f t="shared" si="8"/>
        <v>#NUM!</v>
      </c>
      <c r="L124" s="165"/>
      <c r="M124" s="167">
        <f t="shared" si="9"/>
        <v>0</v>
      </c>
      <c r="S124" s="158"/>
      <c r="T124" s="158"/>
      <c r="U124" s="158"/>
      <c r="V124" s="158"/>
      <c r="W124" s="158"/>
      <c r="X124" s="158"/>
      <c r="Y124" s="158"/>
      <c r="Z124" s="158"/>
      <c r="AA124" s="158"/>
      <c r="AB124" s="158"/>
      <c r="AC124" s="158"/>
      <c r="AD124" s="158"/>
      <c r="AE124" s="158"/>
      <c r="AF124" s="158"/>
      <c r="AG124" s="158"/>
      <c r="AH124" s="158"/>
      <c r="AI124" s="158"/>
      <c r="AJ124" s="158"/>
      <c r="AK124" s="158"/>
      <c r="AL124" s="158"/>
    </row>
    <row r="125" spans="1:38" s="153" customFormat="1" x14ac:dyDescent="0.25">
      <c r="A125" s="91">
        <f t="shared" si="10"/>
        <v>0</v>
      </c>
      <c r="B125" s="37" t="str">
        <f t="shared" si="6"/>
        <v/>
      </c>
      <c r="C125" s="38"/>
      <c r="D125" s="38"/>
      <c r="E125" s="38"/>
      <c r="F125" s="38"/>
      <c r="H125" s="168">
        <v>120</v>
      </c>
      <c r="I125" s="169" t="str">
        <f t="shared" si="7"/>
        <v/>
      </c>
      <c r="J125" s="168" t="e">
        <f t="shared" si="11"/>
        <v>#NUM!</v>
      </c>
      <c r="K125" s="168" t="e">
        <f t="shared" si="8"/>
        <v>#NUM!</v>
      </c>
      <c r="L125" s="168"/>
      <c r="M125" s="170">
        <f t="shared" si="9"/>
        <v>0</v>
      </c>
      <c r="S125" s="158"/>
      <c r="T125" s="158"/>
      <c r="U125" s="158"/>
      <c r="V125" s="158"/>
      <c r="W125" s="158"/>
      <c r="X125" s="158"/>
      <c r="Y125" s="158"/>
      <c r="Z125" s="158"/>
      <c r="AA125" s="158"/>
      <c r="AB125" s="158"/>
      <c r="AC125" s="158"/>
      <c r="AD125" s="158"/>
      <c r="AE125" s="158"/>
      <c r="AF125" s="158"/>
      <c r="AG125" s="158"/>
      <c r="AH125" s="158"/>
      <c r="AI125" s="158"/>
      <c r="AJ125" s="158"/>
      <c r="AK125" s="158"/>
      <c r="AL125" s="158"/>
    </row>
    <row r="126" spans="1:38" s="153" customFormat="1" x14ac:dyDescent="0.25">
      <c r="A126" s="87">
        <f t="shared" si="10"/>
        <v>0</v>
      </c>
      <c r="B126" s="31" t="str">
        <f t="shared" si="6"/>
        <v/>
      </c>
      <c r="C126" s="32"/>
      <c r="D126" s="32"/>
      <c r="E126" s="32"/>
      <c r="F126" s="32"/>
      <c r="H126" s="165">
        <v>121</v>
      </c>
      <c r="I126" s="166" t="str">
        <f t="shared" si="7"/>
        <v/>
      </c>
      <c r="J126" s="165" t="e">
        <f t="shared" si="11"/>
        <v>#NUM!</v>
      </c>
      <c r="K126" s="165" t="e">
        <f t="shared" si="8"/>
        <v>#NUM!</v>
      </c>
      <c r="L126" s="165"/>
      <c r="M126" s="167">
        <f t="shared" si="9"/>
        <v>0</v>
      </c>
      <c r="S126" s="158"/>
      <c r="T126" s="158"/>
      <c r="U126" s="158"/>
      <c r="V126" s="158"/>
      <c r="W126" s="158"/>
      <c r="X126" s="158"/>
      <c r="Y126" s="158"/>
      <c r="Z126" s="158"/>
      <c r="AA126" s="158"/>
      <c r="AB126" s="158"/>
      <c r="AC126" s="158"/>
      <c r="AD126" s="158"/>
      <c r="AE126" s="158"/>
      <c r="AF126" s="158"/>
      <c r="AG126" s="158"/>
      <c r="AH126" s="158"/>
      <c r="AI126" s="158"/>
      <c r="AJ126" s="158"/>
      <c r="AK126" s="158"/>
      <c r="AL126" s="158"/>
    </row>
    <row r="127" spans="1:38" s="153" customFormat="1" x14ac:dyDescent="0.25">
      <c r="A127" s="91">
        <f t="shared" si="10"/>
        <v>0</v>
      </c>
      <c r="B127" s="37" t="str">
        <f t="shared" si="6"/>
        <v/>
      </c>
      <c r="C127" s="38"/>
      <c r="D127" s="38"/>
      <c r="E127" s="38"/>
      <c r="F127" s="38"/>
      <c r="H127" s="168">
        <v>122</v>
      </c>
      <c r="I127" s="169" t="str">
        <f t="shared" si="7"/>
        <v/>
      </c>
      <c r="J127" s="168" t="e">
        <f t="shared" si="11"/>
        <v>#NUM!</v>
      </c>
      <c r="K127" s="168" t="e">
        <f t="shared" si="8"/>
        <v>#NUM!</v>
      </c>
      <c r="L127" s="168"/>
      <c r="M127" s="170">
        <f t="shared" si="9"/>
        <v>0</v>
      </c>
      <c r="S127" s="158"/>
      <c r="T127" s="158"/>
      <c r="U127" s="158"/>
      <c r="V127" s="158"/>
      <c r="W127" s="158"/>
      <c r="X127" s="158"/>
      <c r="Y127" s="158"/>
      <c r="Z127" s="158"/>
      <c r="AA127" s="158"/>
      <c r="AB127" s="158"/>
      <c r="AC127" s="158"/>
      <c r="AD127" s="158"/>
      <c r="AE127" s="158"/>
      <c r="AF127" s="158"/>
      <c r="AG127" s="158"/>
      <c r="AH127" s="158"/>
      <c r="AI127" s="158"/>
      <c r="AJ127" s="158"/>
      <c r="AK127" s="158"/>
      <c r="AL127" s="158"/>
    </row>
    <row r="128" spans="1:38" s="153" customFormat="1" x14ac:dyDescent="0.25">
      <c r="A128" s="87">
        <f t="shared" si="10"/>
        <v>0</v>
      </c>
      <c r="B128" s="31" t="str">
        <f t="shared" si="6"/>
        <v/>
      </c>
      <c r="C128" s="32"/>
      <c r="D128" s="32"/>
      <c r="E128" s="32"/>
      <c r="F128" s="32"/>
      <c r="H128" s="165">
        <v>123</v>
      </c>
      <c r="I128" s="166" t="str">
        <f t="shared" si="7"/>
        <v/>
      </c>
      <c r="J128" s="165" t="e">
        <f t="shared" si="11"/>
        <v>#NUM!</v>
      </c>
      <c r="K128" s="165" t="e">
        <f t="shared" si="8"/>
        <v>#NUM!</v>
      </c>
      <c r="L128" s="165"/>
      <c r="M128" s="167">
        <f t="shared" si="9"/>
        <v>0</v>
      </c>
      <c r="S128" s="158"/>
      <c r="T128" s="158"/>
      <c r="U128" s="158"/>
      <c r="V128" s="158"/>
      <c r="W128" s="158"/>
      <c r="X128" s="158"/>
      <c r="Y128" s="158"/>
      <c r="Z128" s="158"/>
      <c r="AA128" s="158"/>
      <c r="AB128" s="158"/>
      <c r="AC128" s="158"/>
      <c r="AD128" s="158"/>
      <c r="AE128" s="158"/>
      <c r="AF128" s="158"/>
      <c r="AG128" s="158"/>
      <c r="AH128" s="158"/>
      <c r="AI128" s="158"/>
      <c r="AJ128" s="158"/>
      <c r="AK128" s="158"/>
      <c r="AL128" s="158"/>
    </row>
    <row r="129" spans="1:38" s="153" customFormat="1" x14ac:dyDescent="0.25">
      <c r="A129" s="91">
        <f t="shared" si="10"/>
        <v>0</v>
      </c>
      <c r="B129" s="37" t="str">
        <f t="shared" si="6"/>
        <v/>
      </c>
      <c r="C129" s="38"/>
      <c r="D129" s="38"/>
      <c r="E129" s="38"/>
      <c r="F129" s="38"/>
      <c r="H129" s="168">
        <v>124</v>
      </c>
      <c r="I129" s="169" t="str">
        <f t="shared" si="7"/>
        <v/>
      </c>
      <c r="J129" s="168" t="e">
        <f t="shared" si="11"/>
        <v>#NUM!</v>
      </c>
      <c r="K129" s="168" t="e">
        <f t="shared" si="8"/>
        <v>#NUM!</v>
      </c>
      <c r="L129" s="168"/>
      <c r="M129" s="170">
        <f t="shared" si="9"/>
        <v>0</v>
      </c>
      <c r="S129" s="158"/>
      <c r="T129" s="158"/>
      <c r="U129" s="158"/>
      <c r="V129" s="158"/>
      <c r="W129" s="158"/>
      <c r="X129" s="158"/>
      <c r="Y129" s="158"/>
      <c r="Z129" s="158"/>
      <c r="AA129" s="158"/>
      <c r="AB129" s="158"/>
      <c r="AC129" s="158"/>
      <c r="AD129" s="158"/>
      <c r="AE129" s="158"/>
      <c r="AF129" s="158"/>
      <c r="AG129" s="158"/>
      <c r="AH129" s="158"/>
      <c r="AI129" s="158"/>
      <c r="AJ129" s="158"/>
      <c r="AK129" s="158"/>
      <c r="AL129" s="158"/>
    </row>
    <row r="130" spans="1:38" s="153" customFormat="1" x14ac:dyDescent="0.25">
      <c r="A130" s="87">
        <f t="shared" si="10"/>
        <v>0</v>
      </c>
      <c r="B130" s="31" t="str">
        <f t="shared" si="6"/>
        <v/>
      </c>
      <c r="C130" s="32"/>
      <c r="D130" s="32"/>
      <c r="E130" s="32"/>
      <c r="F130" s="32"/>
      <c r="H130" s="165">
        <v>125</v>
      </c>
      <c r="I130" s="166" t="str">
        <f t="shared" si="7"/>
        <v/>
      </c>
      <c r="J130" s="165" t="e">
        <f t="shared" si="11"/>
        <v>#NUM!</v>
      </c>
      <c r="K130" s="165" t="e">
        <f t="shared" si="8"/>
        <v>#NUM!</v>
      </c>
      <c r="L130" s="165"/>
      <c r="M130" s="167">
        <f t="shared" si="9"/>
        <v>0</v>
      </c>
      <c r="S130" s="158"/>
      <c r="T130" s="158"/>
      <c r="U130" s="158"/>
      <c r="V130" s="158"/>
      <c r="W130" s="158"/>
      <c r="X130" s="158"/>
      <c r="Y130" s="158"/>
      <c r="Z130" s="158"/>
      <c r="AA130" s="158"/>
      <c r="AB130" s="158"/>
      <c r="AC130" s="158"/>
      <c r="AD130" s="158"/>
      <c r="AE130" s="158"/>
      <c r="AF130" s="158"/>
      <c r="AG130" s="158"/>
      <c r="AH130" s="158"/>
      <c r="AI130" s="158"/>
      <c r="AJ130" s="158"/>
      <c r="AK130" s="158"/>
      <c r="AL130" s="158"/>
    </row>
    <row r="131" spans="1:38" s="153" customFormat="1" x14ac:dyDescent="0.25">
      <c r="A131" s="91">
        <f t="shared" si="10"/>
        <v>0</v>
      </c>
      <c r="B131" s="37" t="str">
        <f t="shared" si="6"/>
        <v/>
      </c>
      <c r="C131" s="38"/>
      <c r="D131" s="38"/>
      <c r="E131" s="38"/>
      <c r="F131" s="38"/>
      <c r="H131" s="168">
        <v>126</v>
      </c>
      <c r="I131" s="169" t="str">
        <f t="shared" si="7"/>
        <v/>
      </c>
      <c r="J131" s="168" t="e">
        <f t="shared" si="11"/>
        <v>#NUM!</v>
      </c>
      <c r="K131" s="168" t="e">
        <f t="shared" si="8"/>
        <v>#NUM!</v>
      </c>
      <c r="L131" s="168"/>
      <c r="M131" s="170">
        <f t="shared" si="9"/>
        <v>0</v>
      </c>
      <c r="S131" s="158"/>
      <c r="T131" s="158"/>
      <c r="U131" s="158"/>
      <c r="V131" s="158"/>
      <c r="W131" s="158"/>
      <c r="X131" s="158"/>
      <c r="Y131" s="158"/>
      <c r="Z131" s="158"/>
      <c r="AA131" s="158"/>
      <c r="AB131" s="158"/>
      <c r="AC131" s="158"/>
      <c r="AD131" s="158"/>
      <c r="AE131" s="158"/>
      <c r="AF131" s="158"/>
      <c r="AG131" s="158"/>
      <c r="AH131" s="158"/>
      <c r="AI131" s="158"/>
      <c r="AJ131" s="158"/>
      <c r="AK131" s="158"/>
      <c r="AL131" s="158"/>
    </row>
    <row r="132" spans="1:38" s="153" customFormat="1" x14ac:dyDescent="0.25">
      <c r="A132" s="87">
        <f t="shared" si="10"/>
        <v>0</v>
      </c>
      <c r="B132" s="31" t="str">
        <f t="shared" si="6"/>
        <v/>
      </c>
      <c r="C132" s="32"/>
      <c r="D132" s="32"/>
      <c r="E132" s="32"/>
      <c r="F132" s="32"/>
      <c r="H132" s="165">
        <v>127</v>
      </c>
      <c r="I132" s="166" t="str">
        <f t="shared" si="7"/>
        <v/>
      </c>
      <c r="J132" s="165" t="e">
        <f t="shared" si="11"/>
        <v>#NUM!</v>
      </c>
      <c r="K132" s="165" t="e">
        <f t="shared" si="8"/>
        <v>#NUM!</v>
      </c>
      <c r="L132" s="165"/>
      <c r="M132" s="167">
        <f t="shared" si="9"/>
        <v>0</v>
      </c>
      <c r="S132" s="158"/>
      <c r="T132" s="158"/>
      <c r="U132" s="158"/>
      <c r="V132" s="158"/>
      <c r="W132" s="158"/>
      <c r="X132" s="158"/>
      <c r="Y132" s="158"/>
      <c r="Z132" s="158"/>
      <c r="AA132" s="158"/>
      <c r="AB132" s="158"/>
      <c r="AC132" s="158"/>
      <c r="AD132" s="158"/>
      <c r="AE132" s="158"/>
      <c r="AF132" s="158"/>
      <c r="AG132" s="158"/>
      <c r="AH132" s="158"/>
      <c r="AI132" s="158"/>
      <c r="AJ132" s="158"/>
      <c r="AK132" s="158"/>
      <c r="AL132" s="158"/>
    </row>
    <row r="133" spans="1:38" s="153" customFormat="1" x14ac:dyDescent="0.25">
      <c r="A133" s="91">
        <f t="shared" si="10"/>
        <v>0</v>
      </c>
      <c r="B133" s="37" t="str">
        <f t="shared" si="6"/>
        <v/>
      </c>
      <c r="C133" s="38"/>
      <c r="D133" s="38"/>
      <c r="E133" s="38"/>
      <c r="F133" s="38"/>
      <c r="H133" s="168">
        <v>128</v>
      </c>
      <c r="I133" s="169" t="str">
        <f t="shared" si="7"/>
        <v/>
      </c>
      <c r="J133" s="168" t="e">
        <f t="shared" si="11"/>
        <v>#NUM!</v>
      </c>
      <c r="K133" s="168" t="e">
        <f t="shared" si="8"/>
        <v>#NUM!</v>
      </c>
      <c r="L133" s="168"/>
      <c r="M133" s="170">
        <f t="shared" si="9"/>
        <v>0</v>
      </c>
      <c r="S133" s="158"/>
      <c r="T133" s="158"/>
      <c r="U133" s="158"/>
      <c r="V133" s="158"/>
      <c r="W133" s="158"/>
      <c r="X133" s="158"/>
      <c r="Y133" s="158"/>
      <c r="Z133" s="158"/>
      <c r="AA133" s="158"/>
      <c r="AB133" s="158"/>
      <c r="AC133" s="158"/>
      <c r="AD133" s="158"/>
      <c r="AE133" s="158"/>
      <c r="AF133" s="158"/>
      <c r="AG133" s="158"/>
      <c r="AH133" s="158"/>
      <c r="AI133" s="158"/>
      <c r="AJ133" s="158"/>
      <c r="AK133" s="158"/>
      <c r="AL133" s="158"/>
    </row>
    <row r="134" spans="1:38" s="153" customFormat="1" x14ac:dyDescent="0.25">
      <c r="A134" s="87">
        <f t="shared" si="10"/>
        <v>0</v>
      </c>
      <c r="B134" s="31" t="str">
        <f t="shared" ref="B134:B140" si="12">IF(H134&gt;$H$2,"",(ROW()-5))</f>
        <v/>
      </c>
      <c r="C134" s="32"/>
      <c r="D134" s="32"/>
      <c r="E134" s="32"/>
      <c r="F134" s="32"/>
      <c r="H134" s="165">
        <v>129</v>
      </c>
      <c r="I134" s="166" t="str">
        <f t="shared" ref="I134:I197" si="13">IF(H134&lt;$H$2+1,($I$2-($I$2-1)*(LOG(H134)/LOG($H$2))),"")</f>
        <v/>
      </c>
      <c r="J134" s="165" t="e">
        <f t="shared" si="11"/>
        <v>#NUM!</v>
      </c>
      <c r="K134" s="165" t="e">
        <f t="shared" ref="K134:K197" si="14">J134*$J$2</f>
        <v>#NUM!</v>
      </c>
      <c r="L134" s="165"/>
      <c r="M134" s="167">
        <f t="shared" ref="M134:M197" si="15">IF(I134&lt;&gt;"",K134+I134+L134,0)</f>
        <v>0</v>
      </c>
      <c r="S134" s="158"/>
      <c r="T134" s="158"/>
      <c r="U134" s="158"/>
      <c r="V134" s="158"/>
      <c r="W134" s="158"/>
      <c r="X134" s="158"/>
      <c r="Y134" s="158"/>
      <c r="Z134" s="158"/>
      <c r="AA134" s="158"/>
      <c r="AB134" s="158"/>
      <c r="AC134" s="158"/>
      <c r="AD134" s="158"/>
      <c r="AE134" s="158"/>
      <c r="AF134" s="158"/>
      <c r="AG134" s="158"/>
      <c r="AH134" s="158"/>
      <c r="AI134" s="158"/>
      <c r="AJ134" s="158"/>
      <c r="AK134" s="158"/>
      <c r="AL134" s="158"/>
    </row>
    <row r="135" spans="1:38" s="153" customFormat="1" x14ac:dyDescent="0.25">
      <c r="A135" s="91">
        <f t="shared" ref="A135:A140" si="16">M135</f>
        <v>0</v>
      </c>
      <c r="B135" s="37" t="str">
        <f t="shared" si="12"/>
        <v/>
      </c>
      <c r="C135" s="38"/>
      <c r="D135" s="38"/>
      <c r="E135" s="38"/>
      <c r="F135" s="38"/>
      <c r="H135" s="168">
        <v>130</v>
      </c>
      <c r="I135" s="169" t="str">
        <f t="shared" si="13"/>
        <v/>
      </c>
      <c r="J135" s="168" t="e">
        <f t="shared" ref="J135:J198" si="17">INT(LOG($H$2,2))-ROUNDUP(LOG(H135,2),0)+IF(OR($H$2=1,$H$2=2,$H$2=4,$H$2=8,$H$2=16,$H$2=32,$H$2=64,$H$2=128,$H$2=256),0,1)</f>
        <v>#NUM!</v>
      </c>
      <c r="K135" s="168" t="e">
        <f t="shared" si="14"/>
        <v>#NUM!</v>
      </c>
      <c r="L135" s="168"/>
      <c r="M135" s="170">
        <f t="shared" si="15"/>
        <v>0</v>
      </c>
      <c r="S135" s="158"/>
      <c r="T135" s="158"/>
      <c r="U135" s="158"/>
      <c r="V135" s="158"/>
      <c r="W135" s="158"/>
      <c r="X135" s="158"/>
      <c r="Y135" s="158"/>
      <c r="Z135" s="158"/>
      <c r="AA135" s="158"/>
      <c r="AB135" s="158"/>
      <c r="AC135" s="158"/>
      <c r="AD135" s="158"/>
      <c r="AE135" s="158"/>
      <c r="AF135" s="158"/>
      <c r="AG135" s="158"/>
      <c r="AH135" s="158"/>
      <c r="AI135" s="158"/>
      <c r="AJ135" s="158"/>
      <c r="AK135" s="158"/>
      <c r="AL135" s="158"/>
    </row>
    <row r="136" spans="1:38" s="153" customFormat="1" x14ac:dyDescent="0.25">
      <c r="A136" s="87">
        <f t="shared" si="16"/>
        <v>0</v>
      </c>
      <c r="B136" s="31" t="str">
        <f t="shared" si="12"/>
        <v/>
      </c>
      <c r="C136" s="32"/>
      <c r="D136" s="32"/>
      <c r="E136" s="32"/>
      <c r="F136" s="32"/>
      <c r="H136" s="165">
        <v>131</v>
      </c>
      <c r="I136" s="166" t="str">
        <f t="shared" si="13"/>
        <v/>
      </c>
      <c r="J136" s="165" t="e">
        <f t="shared" si="17"/>
        <v>#NUM!</v>
      </c>
      <c r="K136" s="165" t="e">
        <f t="shared" si="14"/>
        <v>#NUM!</v>
      </c>
      <c r="L136" s="165"/>
      <c r="M136" s="167">
        <f t="shared" si="15"/>
        <v>0</v>
      </c>
      <c r="S136" s="158"/>
      <c r="T136" s="158"/>
      <c r="U136" s="158"/>
      <c r="V136" s="158"/>
      <c r="W136" s="158"/>
      <c r="X136" s="158"/>
      <c r="Y136" s="158"/>
      <c r="Z136" s="158"/>
      <c r="AA136" s="158"/>
      <c r="AB136" s="158"/>
      <c r="AC136" s="158"/>
      <c r="AD136" s="158"/>
      <c r="AE136" s="158"/>
      <c r="AF136" s="158"/>
      <c r="AG136" s="158"/>
      <c r="AH136" s="158"/>
      <c r="AI136" s="158"/>
      <c r="AJ136" s="158"/>
      <c r="AK136" s="158"/>
      <c r="AL136" s="158"/>
    </row>
    <row r="137" spans="1:38" s="153" customFormat="1" x14ac:dyDescent="0.25">
      <c r="A137" s="91">
        <f t="shared" si="16"/>
        <v>0</v>
      </c>
      <c r="B137" s="37" t="str">
        <f t="shared" si="12"/>
        <v/>
      </c>
      <c r="C137" s="38"/>
      <c r="D137" s="38"/>
      <c r="E137" s="38"/>
      <c r="F137" s="38"/>
      <c r="H137" s="168">
        <v>132</v>
      </c>
      <c r="I137" s="169" t="str">
        <f t="shared" si="13"/>
        <v/>
      </c>
      <c r="J137" s="168" t="e">
        <f t="shared" si="17"/>
        <v>#NUM!</v>
      </c>
      <c r="K137" s="168" t="e">
        <f t="shared" si="14"/>
        <v>#NUM!</v>
      </c>
      <c r="L137" s="168"/>
      <c r="M137" s="170">
        <f t="shared" si="15"/>
        <v>0</v>
      </c>
      <c r="S137" s="158"/>
      <c r="T137" s="158"/>
      <c r="U137" s="158"/>
      <c r="V137" s="158"/>
      <c r="W137" s="158"/>
      <c r="X137" s="158"/>
      <c r="Y137" s="158"/>
      <c r="Z137" s="158"/>
      <c r="AA137" s="158"/>
      <c r="AB137" s="158"/>
      <c r="AC137" s="158"/>
      <c r="AD137" s="158"/>
      <c r="AE137" s="158"/>
      <c r="AF137" s="158"/>
      <c r="AG137" s="158"/>
      <c r="AH137" s="158"/>
      <c r="AI137" s="158"/>
      <c r="AJ137" s="158"/>
      <c r="AK137" s="158"/>
      <c r="AL137" s="158"/>
    </row>
    <row r="138" spans="1:38" s="153" customFormat="1" x14ac:dyDescent="0.25">
      <c r="A138" s="87">
        <f t="shared" si="16"/>
        <v>0</v>
      </c>
      <c r="B138" s="31" t="str">
        <f t="shared" si="12"/>
        <v/>
      </c>
      <c r="C138" s="32"/>
      <c r="D138" s="32"/>
      <c r="E138" s="32"/>
      <c r="F138" s="32"/>
      <c r="H138" s="165">
        <v>133</v>
      </c>
      <c r="I138" s="166" t="str">
        <f t="shared" si="13"/>
        <v/>
      </c>
      <c r="J138" s="165" t="e">
        <f t="shared" si="17"/>
        <v>#NUM!</v>
      </c>
      <c r="K138" s="165" t="e">
        <f t="shared" si="14"/>
        <v>#NUM!</v>
      </c>
      <c r="L138" s="165"/>
      <c r="M138" s="167">
        <f t="shared" si="15"/>
        <v>0</v>
      </c>
      <c r="S138" s="158"/>
      <c r="T138" s="158"/>
      <c r="U138" s="158"/>
      <c r="V138" s="158"/>
      <c r="W138" s="158"/>
      <c r="X138" s="158"/>
      <c r="Y138" s="158"/>
      <c r="Z138" s="158"/>
      <c r="AA138" s="158"/>
      <c r="AB138" s="158"/>
      <c r="AC138" s="158"/>
      <c r="AD138" s="158"/>
      <c r="AE138" s="158"/>
      <c r="AF138" s="158"/>
      <c r="AG138" s="158"/>
      <c r="AH138" s="158"/>
      <c r="AI138" s="158"/>
      <c r="AJ138" s="158"/>
      <c r="AK138" s="158"/>
      <c r="AL138" s="158"/>
    </row>
    <row r="139" spans="1:38" s="153" customFormat="1" x14ac:dyDescent="0.25">
      <c r="A139" s="91">
        <f t="shared" si="16"/>
        <v>0</v>
      </c>
      <c r="B139" s="37" t="str">
        <f t="shared" si="12"/>
        <v/>
      </c>
      <c r="C139" s="38"/>
      <c r="D139" s="38"/>
      <c r="E139" s="38"/>
      <c r="F139" s="38"/>
      <c r="H139" s="168">
        <v>134</v>
      </c>
      <c r="I139" s="169" t="str">
        <f t="shared" si="13"/>
        <v/>
      </c>
      <c r="J139" s="168" t="e">
        <f t="shared" si="17"/>
        <v>#NUM!</v>
      </c>
      <c r="K139" s="168" t="e">
        <f t="shared" si="14"/>
        <v>#NUM!</v>
      </c>
      <c r="L139" s="168"/>
      <c r="M139" s="170">
        <f t="shared" si="15"/>
        <v>0</v>
      </c>
      <c r="S139" s="158"/>
      <c r="T139" s="158"/>
      <c r="U139" s="158"/>
      <c r="V139" s="158"/>
      <c r="W139" s="158"/>
      <c r="X139" s="158"/>
      <c r="Y139" s="158"/>
      <c r="Z139" s="158"/>
      <c r="AA139" s="158"/>
      <c r="AB139" s="158"/>
      <c r="AC139" s="158"/>
      <c r="AD139" s="158"/>
      <c r="AE139" s="158"/>
      <c r="AF139" s="158"/>
      <c r="AG139" s="158"/>
      <c r="AH139" s="158"/>
      <c r="AI139" s="158"/>
      <c r="AJ139" s="158"/>
      <c r="AK139" s="158"/>
      <c r="AL139" s="158"/>
    </row>
    <row r="140" spans="1:38" s="153" customFormat="1" x14ac:dyDescent="0.25">
      <c r="A140" s="87">
        <f t="shared" si="16"/>
        <v>0</v>
      </c>
      <c r="B140" s="31" t="str">
        <f t="shared" si="12"/>
        <v/>
      </c>
      <c r="C140" s="32"/>
      <c r="D140" s="32"/>
      <c r="E140" s="32"/>
      <c r="F140" s="32"/>
      <c r="H140" s="165">
        <v>135</v>
      </c>
      <c r="I140" s="166" t="str">
        <f t="shared" si="13"/>
        <v/>
      </c>
      <c r="J140" s="165" t="e">
        <f t="shared" si="17"/>
        <v>#NUM!</v>
      </c>
      <c r="K140" s="165" t="e">
        <f t="shared" si="14"/>
        <v>#NUM!</v>
      </c>
      <c r="L140" s="165"/>
      <c r="M140" s="167">
        <f t="shared" si="15"/>
        <v>0</v>
      </c>
      <c r="S140" s="158"/>
      <c r="T140" s="158"/>
      <c r="U140" s="158"/>
      <c r="V140" s="158"/>
      <c r="W140" s="158"/>
      <c r="X140" s="158"/>
      <c r="Y140" s="158"/>
      <c r="Z140" s="158"/>
      <c r="AA140" s="158"/>
      <c r="AB140" s="158"/>
      <c r="AC140" s="158"/>
      <c r="AD140" s="158"/>
      <c r="AE140" s="158"/>
      <c r="AF140" s="158"/>
      <c r="AG140" s="158"/>
      <c r="AH140" s="158"/>
      <c r="AI140" s="158"/>
      <c r="AJ140" s="158"/>
      <c r="AK140" s="158"/>
      <c r="AL140" s="158"/>
    </row>
    <row r="141" spans="1:38" x14ac:dyDescent="0.25">
      <c r="A141" s="182"/>
      <c r="G141" s="153"/>
      <c r="H141" s="168">
        <v>136</v>
      </c>
      <c r="I141" s="166" t="str">
        <f t="shared" si="13"/>
        <v/>
      </c>
      <c r="J141" s="165" t="e">
        <f t="shared" si="17"/>
        <v>#NUM!</v>
      </c>
      <c r="K141" s="165" t="e">
        <f t="shared" si="14"/>
        <v>#NUM!</v>
      </c>
      <c r="L141" s="165"/>
      <c r="M141" s="167">
        <f t="shared" si="15"/>
        <v>0</v>
      </c>
    </row>
    <row r="142" spans="1:38" x14ac:dyDescent="0.25">
      <c r="A142" s="182"/>
      <c r="G142" s="153"/>
      <c r="H142" s="165">
        <v>137</v>
      </c>
      <c r="I142" s="166" t="str">
        <f t="shared" si="13"/>
        <v/>
      </c>
      <c r="J142" s="165" t="e">
        <f t="shared" si="17"/>
        <v>#NUM!</v>
      </c>
      <c r="K142" s="165" t="e">
        <f t="shared" si="14"/>
        <v>#NUM!</v>
      </c>
      <c r="L142" s="165"/>
      <c r="M142" s="167">
        <f t="shared" si="15"/>
        <v>0</v>
      </c>
    </row>
    <row r="143" spans="1:38" x14ac:dyDescent="0.25">
      <c r="A143" s="182"/>
      <c r="G143" s="153"/>
      <c r="H143" s="168">
        <v>138</v>
      </c>
      <c r="I143" s="166" t="str">
        <f t="shared" si="13"/>
        <v/>
      </c>
      <c r="J143" s="165" t="e">
        <f t="shared" si="17"/>
        <v>#NUM!</v>
      </c>
      <c r="K143" s="165" t="e">
        <f t="shared" si="14"/>
        <v>#NUM!</v>
      </c>
      <c r="L143" s="165"/>
      <c r="M143" s="167">
        <f t="shared" si="15"/>
        <v>0</v>
      </c>
    </row>
    <row r="144" spans="1:38" x14ac:dyDescent="0.25">
      <c r="A144" s="182"/>
      <c r="G144" s="153"/>
      <c r="H144" s="165">
        <v>139</v>
      </c>
      <c r="I144" s="166" t="str">
        <f t="shared" si="13"/>
        <v/>
      </c>
      <c r="J144" s="165" t="e">
        <f t="shared" si="17"/>
        <v>#NUM!</v>
      </c>
      <c r="K144" s="165" t="e">
        <f t="shared" si="14"/>
        <v>#NUM!</v>
      </c>
      <c r="L144" s="165"/>
      <c r="M144" s="167">
        <f t="shared" si="15"/>
        <v>0</v>
      </c>
    </row>
    <row r="145" spans="1:13" x14ac:dyDescent="0.25">
      <c r="A145" s="182"/>
      <c r="G145" s="153"/>
      <c r="H145" s="168">
        <v>140</v>
      </c>
      <c r="I145" s="166" t="str">
        <f t="shared" si="13"/>
        <v/>
      </c>
      <c r="J145" s="165" t="e">
        <f t="shared" si="17"/>
        <v>#NUM!</v>
      </c>
      <c r="K145" s="165" t="e">
        <f t="shared" si="14"/>
        <v>#NUM!</v>
      </c>
      <c r="L145" s="165"/>
      <c r="M145" s="167">
        <f t="shared" si="15"/>
        <v>0</v>
      </c>
    </row>
    <row r="146" spans="1:13" x14ac:dyDescent="0.25">
      <c r="A146" s="182"/>
      <c r="G146" s="153"/>
      <c r="H146" s="165">
        <v>141</v>
      </c>
      <c r="I146" s="166" t="str">
        <f t="shared" si="13"/>
        <v/>
      </c>
      <c r="J146" s="165" t="e">
        <f t="shared" si="17"/>
        <v>#NUM!</v>
      </c>
      <c r="K146" s="165" t="e">
        <f t="shared" si="14"/>
        <v>#NUM!</v>
      </c>
      <c r="L146" s="165"/>
      <c r="M146" s="167">
        <f t="shared" si="15"/>
        <v>0</v>
      </c>
    </row>
    <row r="147" spans="1:13" x14ac:dyDescent="0.25">
      <c r="A147" s="182"/>
      <c r="G147" s="153"/>
      <c r="H147" s="168">
        <v>142</v>
      </c>
      <c r="I147" s="166" t="str">
        <f t="shared" si="13"/>
        <v/>
      </c>
      <c r="J147" s="165" t="e">
        <f t="shared" si="17"/>
        <v>#NUM!</v>
      </c>
      <c r="K147" s="165" t="e">
        <f t="shared" si="14"/>
        <v>#NUM!</v>
      </c>
      <c r="L147" s="165"/>
      <c r="M147" s="167">
        <f t="shared" si="15"/>
        <v>0</v>
      </c>
    </row>
    <row r="148" spans="1:13" x14ac:dyDescent="0.25">
      <c r="A148" s="182"/>
      <c r="G148" s="153"/>
      <c r="H148" s="165">
        <v>143</v>
      </c>
      <c r="I148" s="166" t="str">
        <f t="shared" si="13"/>
        <v/>
      </c>
      <c r="J148" s="165" t="e">
        <f t="shared" si="17"/>
        <v>#NUM!</v>
      </c>
      <c r="K148" s="165" t="e">
        <f t="shared" si="14"/>
        <v>#NUM!</v>
      </c>
      <c r="L148" s="165"/>
      <c r="M148" s="167">
        <f t="shared" si="15"/>
        <v>0</v>
      </c>
    </row>
    <row r="149" spans="1:13" x14ac:dyDescent="0.25">
      <c r="A149" s="182"/>
      <c r="G149" s="153"/>
      <c r="H149" s="168">
        <v>144</v>
      </c>
      <c r="I149" s="166" t="str">
        <f t="shared" si="13"/>
        <v/>
      </c>
      <c r="J149" s="165" t="e">
        <f t="shared" si="17"/>
        <v>#NUM!</v>
      </c>
      <c r="K149" s="165" t="e">
        <f t="shared" si="14"/>
        <v>#NUM!</v>
      </c>
      <c r="L149" s="165"/>
      <c r="M149" s="167">
        <f t="shared" si="15"/>
        <v>0</v>
      </c>
    </row>
    <row r="150" spans="1:13" x14ac:dyDescent="0.25">
      <c r="A150" s="182"/>
      <c r="G150" s="153"/>
      <c r="H150" s="165">
        <v>145</v>
      </c>
      <c r="I150" s="166" t="str">
        <f t="shared" si="13"/>
        <v/>
      </c>
      <c r="J150" s="165" t="e">
        <f t="shared" si="17"/>
        <v>#NUM!</v>
      </c>
      <c r="K150" s="165" t="e">
        <f t="shared" si="14"/>
        <v>#NUM!</v>
      </c>
      <c r="L150" s="165"/>
      <c r="M150" s="167">
        <f t="shared" si="15"/>
        <v>0</v>
      </c>
    </row>
    <row r="151" spans="1:13" x14ac:dyDescent="0.25">
      <c r="A151" s="182"/>
      <c r="G151" s="153"/>
      <c r="H151" s="168">
        <v>146</v>
      </c>
      <c r="I151" s="166" t="str">
        <f t="shared" si="13"/>
        <v/>
      </c>
      <c r="J151" s="165" t="e">
        <f t="shared" si="17"/>
        <v>#NUM!</v>
      </c>
      <c r="K151" s="165" t="e">
        <f t="shared" si="14"/>
        <v>#NUM!</v>
      </c>
      <c r="L151" s="165"/>
      <c r="M151" s="167">
        <f t="shared" si="15"/>
        <v>0</v>
      </c>
    </row>
    <row r="152" spans="1:13" x14ac:dyDescent="0.25">
      <c r="A152" s="182"/>
      <c r="G152" s="153"/>
      <c r="H152" s="165">
        <v>147</v>
      </c>
      <c r="I152" s="166" t="str">
        <f t="shared" si="13"/>
        <v/>
      </c>
      <c r="J152" s="165" t="e">
        <f t="shared" si="17"/>
        <v>#NUM!</v>
      </c>
      <c r="K152" s="165" t="e">
        <f t="shared" si="14"/>
        <v>#NUM!</v>
      </c>
      <c r="L152" s="165"/>
      <c r="M152" s="167">
        <f t="shared" si="15"/>
        <v>0</v>
      </c>
    </row>
    <row r="153" spans="1:13" x14ac:dyDescent="0.25">
      <c r="A153" s="182"/>
      <c r="G153" s="153"/>
      <c r="H153" s="168">
        <v>148</v>
      </c>
      <c r="I153" s="166" t="str">
        <f t="shared" si="13"/>
        <v/>
      </c>
      <c r="J153" s="165" t="e">
        <f t="shared" si="17"/>
        <v>#NUM!</v>
      </c>
      <c r="K153" s="165" t="e">
        <f t="shared" si="14"/>
        <v>#NUM!</v>
      </c>
      <c r="L153" s="165"/>
      <c r="M153" s="167">
        <f t="shared" si="15"/>
        <v>0</v>
      </c>
    </row>
    <row r="154" spans="1:13" x14ac:dyDescent="0.25">
      <c r="A154" s="182"/>
      <c r="G154" s="153"/>
      <c r="H154" s="165">
        <v>149</v>
      </c>
      <c r="I154" s="166" t="str">
        <f t="shared" si="13"/>
        <v/>
      </c>
      <c r="J154" s="165" t="e">
        <f t="shared" si="17"/>
        <v>#NUM!</v>
      </c>
      <c r="K154" s="165" t="e">
        <f t="shared" si="14"/>
        <v>#NUM!</v>
      </c>
      <c r="L154" s="165"/>
      <c r="M154" s="167">
        <f t="shared" si="15"/>
        <v>0</v>
      </c>
    </row>
    <row r="155" spans="1:13" x14ac:dyDescent="0.25">
      <c r="A155" s="182"/>
      <c r="G155" s="153"/>
      <c r="H155" s="168">
        <v>150</v>
      </c>
      <c r="I155" s="166" t="str">
        <f t="shared" si="13"/>
        <v/>
      </c>
      <c r="J155" s="165" t="e">
        <f t="shared" si="17"/>
        <v>#NUM!</v>
      </c>
      <c r="K155" s="165" t="e">
        <f t="shared" si="14"/>
        <v>#NUM!</v>
      </c>
      <c r="L155" s="165"/>
      <c r="M155" s="167">
        <f t="shared" si="15"/>
        <v>0</v>
      </c>
    </row>
    <row r="156" spans="1:13" x14ac:dyDescent="0.25">
      <c r="A156" s="182"/>
      <c r="G156" s="153"/>
      <c r="H156" s="165">
        <v>151</v>
      </c>
      <c r="I156" s="166" t="str">
        <f t="shared" si="13"/>
        <v/>
      </c>
      <c r="J156" s="165" t="e">
        <f t="shared" si="17"/>
        <v>#NUM!</v>
      </c>
      <c r="K156" s="165" t="e">
        <f t="shared" si="14"/>
        <v>#NUM!</v>
      </c>
      <c r="L156" s="165"/>
      <c r="M156" s="167">
        <f t="shared" si="15"/>
        <v>0</v>
      </c>
    </row>
    <row r="157" spans="1:13" x14ac:dyDescent="0.25">
      <c r="A157" s="182"/>
      <c r="G157" s="153"/>
      <c r="H157" s="168">
        <v>152</v>
      </c>
      <c r="I157" s="166" t="str">
        <f t="shared" si="13"/>
        <v/>
      </c>
      <c r="J157" s="165" t="e">
        <f t="shared" si="17"/>
        <v>#NUM!</v>
      </c>
      <c r="K157" s="165" t="e">
        <f t="shared" si="14"/>
        <v>#NUM!</v>
      </c>
      <c r="L157" s="165"/>
      <c r="M157" s="167">
        <f t="shared" si="15"/>
        <v>0</v>
      </c>
    </row>
    <row r="158" spans="1:13" x14ac:dyDescent="0.25">
      <c r="A158" s="182"/>
      <c r="G158" s="153"/>
      <c r="H158" s="165">
        <v>153</v>
      </c>
      <c r="I158" s="166" t="str">
        <f t="shared" si="13"/>
        <v/>
      </c>
      <c r="J158" s="165" t="e">
        <f t="shared" si="17"/>
        <v>#NUM!</v>
      </c>
      <c r="K158" s="165" t="e">
        <f t="shared" si="14"/>
        <v>#NUM!</v>
      </c>
      <c r="L158" s="165"/>
      <c r="M158" s="167">
        <f t="shared" si="15"/>
        <v>0</v>
      </c>
    </row>
    <row r="159" spans="1:13" x14ac:dyDescent="0.25">
      <c r="A159" s="182"/>
      <c r="G159" s="153"/>
      <c r="H159" s="168">
        <v>154</v>
      </c>
      <c r="I159" s="166" t="str">
        <f t="shared" si="13"/>
        <v/>
      </c>
      <c r="J159" s="165" t="e">
        <f t="shared" si="17"/>
        <v>#NUM!</v>
      </c>
      <c r="K159" s="165" t="e">
        <f t="shared" si="14"/>
        <v>#NUM!</v>
      </c>
      <c r="L159" s="165"/>
      <c r="M159" s="167">
        <f t="shared" si="15"/>
        <v>0</v>
      </c>
    </row>
    <row r="160" spans="1:13" x14ac:dyDescent="0.25">
      <c r="A160" s="182"/>
      <c r="G160" s="153"/>
      <c r="H160" s="165">
        <v>155</v>
      </c>
      <c r="I160" s="166" t="str">
        <f t="shared" si="13"/>
        <v/>
      </c>
      <c r="J160" s="165" t="e">
        <f t="shared" si="17"/>
        <v>#NUM!</v>
      </c>
      <c r="K160" s="165" t="e">
        <f t="shared" si="14"/>
        <v>#NUM!</v>
      </c>
      <c r="L160" s="165"/>
      <c r="M160" s="167">
        <f t="shared" si="15"/>
        <v>0</v>
      </c>
    </row>
    <row r="161" spans="1:13" x14ac:dyDescent="0.25">
      <c r="A161" s="182"/>
      <c r="G161" s="153"/>
      <c r="H161" s="168">
        <v>156</v>
      </c>
      <c r="I161" s="166" t="str">
        <f t="shared" si="13"/>
        <v/>
      </c>
      <c r="J161" s="165" t="e">
        <f t="shared" si="17"/>
        <v>#NUM!</v>
      </c>
      <c r="K161" s="165" t="e">
        <f t="shared" si="14"/>
        <v>#NUM!</v>
      </c>
      <c r="L161" s="165"/>
      <c r="M161" s="167">
        <f t="shared" si="15"/>
        <v>0</v>
      </c>
    </row>
    <row r="162" spans="1:13" x14ac:dyDescent="0.25">
      <c r="A162" s="182"/>
      <c r="G162" s="153"/>
      <c r="H162" s="165">
        <v>157</v>
      </c>
      <c r="I162" s="166" t="str">
        <f t="shared" si="13"/>
        <v/>
      </c>
      <c r="J162" s="165" t="e">
        <f t="shared" si="17"/>
        <v>#NUM!</v>
      </c>
      <c r="K162" s="165" t="e">
        <f t="shared" si="14"/>
        <v>#NUM!</v>
      </c>
      <c r="L162" s="165"/>
      <c r="M162" s="167">
        <f t="shared" si="15"/>
        <v>0</v>
      </c>
    </row>
    <row r="163" spans="1:13" x14ac:dyDescent="0.25">
      <c r="A163" s="182"/>
      <c r="G163" s="153"/>
      <c r="H163" s="168">
        <v>158</v>
      </c>
      <c r="I163" s="166" t="str">
        <f t="shared" si="13"/>
        <v/>
      </c>
      <c r="J163" s="165" t="e">
        <f t="shared" si="17"/>
        <v>#NUM!</v>
      </c>
      <c r="K163" s="165" t="e">
        <f t="shared" si="14"/>
        <v>#NUM!</v>
      </c>
      <c r="L163" s="165"/>
      <c r="M163" s="167">
        <f t="shared" si="15"/>
        <v>0</v>
      </c>
    </row>
    <row r="164" spans="1:13" x14ac:dyDescent="0.25">
      <c r="A164" s="182"/>
      <c r="G164" s="153"/>
      <c r="H164" s="165">
        <v>159</v>
      </c>
      <c r="I164" s="166" t="str">
        <f t="shared" si="13"/>
        <v/>
      </c>
      <c r="J164" s="165" t="e">
        <f t="shared" si="17"/>
        <v>#NUM!</v>
      </c>
      <c r="K164" s="165" t="e">
        <f t="shared" si="14"/>
        <v>#NUM!</v>
      </c>
      <c r="L164" s="165"/>
      <c r="M164" s="167">
        <f t="shared" si="15"/>
        <v>0</v>
      </c>
    </row>
    <row r="165" spans="1:13" x14ac:dyDescent="0.25">
      <c r="A165" s="182"/>
      <c r="G165" s="153"/>
      <c r="H165" s="168">
        <v>160</v>
      </c>
      <c r="I165" s="166" t="str">
        <f t="shared" si="13"/>
        <v/>
      </c>
      <c r="J165" s="165" t="e">
        <f t="shared" si="17"/>
        <v>#NUM!</v>
      </c>
      <c r="K165" s="165" t="e">
        <f t="shared" si="14"/>
        <v>#NUM!</v>
      </c>
      <c r="L165" s="165"/>
      <c r="M165" s="167">
        <f t="shared" si="15"/>
        <v>0</v>
      </c>
    </row>
    <row r="166" spans="1:13" x14ac:dyDescent="0.25">
      <c r="A166" s="182"/>
      <c r="G166" s="153"/>
      <c r="H166" s="165">
        <v>161</v>
      </c>
      <c r="I166" s="166" t="str">
        <f t="shared" si="13"/>
        <v/>
      </c>
      <c r="J166" s="165" t="e">
        <f t="shared" si="17"/>
        <v>#NUM!</v>
      </c>
      <c r="K166" s="165" t="e">
        <f t="shared" si="14"/>
        <v>#NUM!</v>
      </c>
      <c r="L166" s="165"/>
      <c r="M166" s="167">
        <f t="shared" si="15"/>
        <v>0</v>
      </c>
    </row>
    <row r="167" spans="1:13" x14ac:dyDescent="0.25">
      <c r="A167" s="182"/>
      <c r="G167" s="153"/>
      <c r="H167" s="168">
        <v>162</v>
      </c>
      <c r="I167" s="166" t="str">
        <f t="shared" si="13"/>
        <v/>
      </c>
      <c r="J167" s="165" t="e">
        <f t="shared" si="17"/>
        <v>#NUM!</v>
      </c>
      <c r="K167" s="165" t="e">
        <f t="shared" si="14"/>
        <v>#NUM!</v>
      </c>
      <c r="L167" s="165"/>
      <c r="M167" s="167">
        <f t="shared" si="15"/>
        <v>0</v>
      </c>
    </row>
    <row r="168" spans="1:13" x14ac:dyDescent="0.25">
      <c r="A168" s="182"/>
      <c r="G168" s="153"/>
      <c r="H168" s="165">
        <v>163</v>
      </c>
      <c r="I168" s="166" t="str">
        <f t="shared" si="13"/>
        <v/>
      </c>
      <c r="J168" s="165" t="e">
        <f t="shared" si="17"/>
        <v>#NUM!</v>
      </c>
      <c r="K168" s="165" t="e">
        <f t="shared" si="14"/>
        <v>#NUM!</v>
      </c>
      <c r="L168" s="165"/>
      <c r="M168" s="167">
        <f t="shared" si="15"/>
        <v>0</v>
      </c>
    </row>
    <row r="169" spans="1:13" x14ac:dyDescent="0.25">
      <c r="A169" s="182"/>
      <c r="C169" s="181" t="s">
        <v>34</v>
      </c>
      <c r="G169" s="153"/>
      <c r="H169" s="168">
        <v>164</v>
      </c>
      <c r="I169" s="166" t="str">
        <f t="shared" si="13"/>
        <v/>
      </c>
      <c r="J169" s="165" t="e">
        <f t="shared" si="17"/>
        <v>#NUM!</v>
      </c>
      <c r="K169" s="165" t="e">
        <f t="shared" si="14"/>
        <v>#NUM!</v>
      </c>
      <c r="L169" s="165"/>
      <c r="M169" s="167">
        <f t="shared" si="15"/>
        <v>0</v>
      </c>
    </row>
    <row r="170" spans="1:13" x14ac:dyDescent="0.25">
      <c r="A170" s="182"/>
      <c r="G170" s="153"/>
      <c r="H170" s="165">
        <v>165</v>
      </c>
      <c r="I170" s="166" t="str">
        <f t="shared" si="13"/>
        <v/>
      </c>
      <c r="J170" s="165" t="e">
        <f t="shared" si="17"/>
        <v>#NUM!</v>
      </c>
      <c r="K170" s="165" t="e">
        <f t="shared" si="14"/>
        <v>#NUM!</v>
      </c>
      <c r="L170" s="165"/>
      <c r="M170" s="167">
        <f t="shared" si="15"/>
        <v>0</v>
      </c>
    </row>
    <row r="171" spans="1:13" x14ac:dyDescent="0.25">
      <c r="A171" s="182"/>
      <c r="G171" s="153"/>
      <c r="H171" s="168">
        <v>166</v>
      </c>
      <c r="I171" s="166" t="str">
        <f t="shared" si="13"/>
        <v/>
      </c>
      <c r="J171" s="165" t="e">
        <f t="shared" si="17"/>
        <v>#NUM!</v>
      </c>
      <c r="K171" s="165" t="e">
        <f t="shared" si="14"/>
        <v>#NUM!</v>
      </c>
      <c r="L171" s="165"/>
      <c r="M171" s="167">
        <f t="shared" si="15"/>
        <v>0</v>
      </c>
    </row>
    <row r="172" spans="1:13" x14ac:dyDescent="0.25">
      <c r="A172" s="182"/>
      <c r="G172" s="153"/>
      <c r="H172" s="165">
        <v>167</v>
      </c>
      <c r="I172" s="166" t="str">
        <f t="shared" si="13"/>
        <v/>
      </c>
      <c r="J172" s="165" t="e">
        <f t="shared" si="17"/>
        <v>#NUM!</v>
      </c>
      <c r="K172" s="165" t="e">
        <f t="shared" si="14"/>
        <v>#NUM!</v>
      </c>
      <c r="L172" s="165"/>
      <c r="M172" s="167">
        <f t="shared" si="15"/>
        <v>0</v>
      </c>
    </row>
    <row r="173" spans="1:13" x14ac:dyDescent="0.25">
      <c r="A173" s="182"/>
      <c r="G173" s="153"/>
      <c r="H173" s="168">
        <v>168</v>
      </c>
      <c r="I173" s="166" t="str">
        <f t="shared" si="13"/>
        <v/>
      </c>
      <c r="J173" s="165" t="e">
        <f t="shared" si="17"/>
        <v>#NUM!</v>
      </c>
      <c r="K173" s="165" t="e">
        <f t="shared" si="14"/>
        <v>#NUM!</v>
      </c>
      <c r="L173" s="165"/>
      <c r="M173" s="167">
        <f t="shared" si="15"/>
        <v>0</v>
      </c>
    </row>
    <row r="174" spans="1:13" x14ac:dyDescent="0.25">
      <c r="A174" s="182"/>
      <c r="G174" s="153"/>
      <c r="H174" s="165">
        <v>169</v>
      </c>
      <c r="I174" s="166" t="str">
        <f t="shared" si="13"/>
        <v/>
      </c>
      <c r="J174" s="165" t="e">
        <f t="shared" si="17"/>
        <v>#NUM!</v>
      </c>
      <c r="K174" s="165" t="e">
        <f t="shared" si="14"/>
        <v>#NUM!</v>
      </c>
      <c r="L174" s="165"/>
      <c r="M174" s="167">
        <f t="shared" si="15"/>
        <v>0</v>
      </c>
    </row>
    <row r="175" spans="1:13" x14ac:dyDescent="0.25">
      <c r="A175" s="182"/>
      <c r="G175" s="153"/>
      <c r="H175" s="168">
        <v>170</v>
      </c>
      <c r="I175" s="166" t="str">
        <f t="shared" si="13"/>
        <v/>
      </c>
      <c r="J175" s="165" t="e">
        <f t="shared" si="17"/>
        <v>#NUM!</v>
      </c>
      <c r="K175" s="165" t="e">
        <f t="shared" si="14"/>
        <v>#NUM!</v>
      </c>
      <c r="L175" s="165"/>
      <c r="M175" s="167">
        <f t="shared" si="15"/>
        <v>0</v>
      </c>
    </row>
    <row r="176" spans="1:13" x14ac:dyDescent="0.25">
      <c r="A176" s="182"/>
      <c r="G176" s="153"/>
      <c r="H176" s="165">
        <v>171</v>
      </c>
      <c r="I176" s="166" t="str">
        <f t="shared" si="13"/>
        <v/>
      </c>
      <c r="J176" s="165" t="e">
        <f t="shared" si="17"/>
        <v>#NUM!</v>
      </c>
      <c r="K176" s="165" t="e">
        <f t="shared" si="14"/>
        <v>#NUM!</v>
      </c>
      <c r="L176" s="165"/>
      <c r="M176" s="167">
        <f t="shared" si="15"/>
        <v>0</v>
      </c>
    </row>
    <row r="177" spans="1:13" x14ac:dyDescent="0.25">
      <c r="A177" s="182"/>
      <c r="G177" s="153"/>
      <c r="H177" s="168">
        <v>172</v>
      </c>
      <c r="I177" s="166" t="str">
        <f t="shared" si="13"/>
        <v/>
      </c>
      <c r="J177" s="165" t="e">
        <f t="shared" si="17"/>
        <v>#NUM!</v>
      </c>
      <c r="K177" s="165" t="e">
        <f t="shared" si="14"/>
        <v>#NUM!</v>
      </c>
      <c r="L177" s="165"/>
      <c r="M177" s="167">
        <f t="shared" si="15"/>
        <v>0</v>
      </c>
    </row>
    <row r="178" spans="1:13" x14ac:dyDescent="0.25">
      <c r="A178" s="182"/>
      <c r="G178" s="153"/>
      <c r="H178" s="165">
        <v>173</v>
      </c>
      <c r="I178" s="166" t="str">
        <f t="shared" si="13"/>
        <v/>
      </c>
      <c r="J178" s="165" t="e">
        <f t="shared" si="17"/>
        <v>#NUM!</v>
      </c>
      <c r="K178" s="165" t="e">
        <f t="shared" si="14"/>
        <v>#NUM!</v>
      </c>
      <c r="L178" s="165"/>
      <c r="M178" s="167">
        <f t="shared" si="15"/>
        <v>0</v>
      </c>
    </row>
    <row r="179" spans="1:13" x14ac:dyDescent="0.25">
      <c r="A179" s="182"/>
      <c r="G179" s="153"/>
      <c r="H179" s="168">
        <v>174</v>
      </c>
      <c r="I179" s="166" t="str">
        <f t="shared" si="13"/>
        <v/>
      </c>
      <c r="J179" s="165" t="e">
        <f t="shared" si="17"/>
        <v>#NUM!</v>
      </c>
      <c r="K179" s="165" t="e">
        <f t="shared" si="14"/>
        <v>#NUM!</v>
      </c>
      <c r="L179" s="165"/>
      <c r="M179" s="167">
        <f t="shared" si="15"/>
        <v>0</v>
      </c>
    </row>
    <row r="180" spans="1:13" x14ac:dyDescent="0.25">
      <c r="A180" s="182"/>
      <c r="G180" s="153"/>
      <c r="H180" s="165">
        <v>175</v>
      </c>
      <c r="I180" s="166" t="str">
        <f t="shared" si="13"/>
        <v/>
      </c>
      <c r="J180" s="165" t="e">
        <f t="shared" si="17"/>
        <v>#NUM!</v>
      </c>
      <c r="K180" s="165" t="e">
        <f t="shared" si="14"/>
        <v>#NUM!</v>
      </c>
      <c r="L180" s="165"/>
      <c r="M180" s="167">
        <f t="shared" si="15"/>
        <v>0</v>
      </c>
    </row>
    <row r="181" spans="1:13" x14ac:dyDescent="0.25">
      <c r="A181" s="182"/>
      <c r="G181" s="153"/>
      <c r="H181" s="168">
        <v>176</v>
      </c>
      <c r="I181" s="166" t="str">
        <f t="shared" si="13"/>
        <v/>
      </c>
      <c r="J181" s="165" t="e">
        <f t="shared" si="17"/>
        <v>#NUM!</v>
      </c>
      <c r="K181" s="165" t="e">
        <f t="shared" si="14"/>
        <v>#NUM!</v>
      </c>
      <c r="L181" s="165"/>
      <c r="M181" s="167">
        <f t="shared" si="15"/>
        <v>0</v>
      </c>
    </row>
    <row r="182" spans="1:13" x14ac:dyDescent="0.25">
      <c r="A182" s="182"/>
      <c r="G182" s="153"/>
      <c r="H182" s="165">
        <v>177</v>
      </c>
      <c r="I182" s="166" t="str">
        <f t="shared" si="13"/>
        <v/>
      </c>
      <c r="J182" s="165" t="e">
        <f t="shared" si="17"/>
        <v>#NUM!</v>
      </c>
      <c r="K182" s="165" t="e">
        <f t="shared" si="14"/>
        <v>#NUM!</v>
      </c>
      <c r="L182" s="165"/>
      <c r="M182" s="167">
        <f t="shared" si="15"/>
        <v>0</v>
      </c>
    </row>
    <row r="183" spans="1:13" x14ac:dyDescent="0.25">
      <c r="A183" s="182"/>
      <c r="G183" s="153"/>
      <c r="H183" s="168">
        <v>178</v>
      </c>
      <c r="I183" s="166" t="str">
        <f t="shared" si="13"/>
        <v/>
      </c>
      <c r="J183" s="165" t="e">
        <f t="shared" si="17"/>
        <v>#NUM!</v>
      </c>
      <c r="K183" s="165" t="e">
        <f t="shared" si="14"/>
        <v>#NUM!</v>
      </c>
      <c r="L183" s="165"/>
      <c r="M183" s="167">
        <f t="shared" si="15"/>
        <v>0</v>
      </c>
    </row>
    <row r="184" spans="1:13" x14ac:dyDescent="0.25">
      <c r="A184" s="182"/>
      <c r="G184" s="153"/>
      <c r="H184" s="165">
        <v>179</v>
      </c>
      <c r="I184" s="166" t="str">
        <f t="shared" si="13"/>
        <v/>
      </c>
      <c r="J184" s="165" t="e">
        <f t="shared" si="17"/>
        <v>#NUM!</v>
      </c>
      <c r="K184" s="165" t="e">
        <f t="shared" si="14"/>
        <v>#NUM!</v>
      </c>
      <c r="L184" s="165"/>
      <c r="M184" s="167">
        <f t="shared" si="15"/>
        <v>0</v>
      </c>
    </row>
    <row r="185" spans="1:13" x14ac:dyDescent="0.25">
      <c r="A185" s="182"/>
      <c r="G185" s="153"/>
      <c r="H185" s="168">
        <v>180</v>
      </c>
      <c r="I185" s="166" t="str">
        <f t="shared" si="13"/>
        <v/>
      </c>
      <c r="J185" s="165" t="e">
        <f t="shared" si="17"/>
        <v>#NUM!</v>
      </c>
      <c r="K185" s="165" t="e">
        <f t="shared" si="14"/>
        <v>#NUM!</v>
      </c>
      <c r="L185" s="165"/>
      <c r="M185" s="167">
        <f t="shared" si="15"/>
        <v>0</v>
      </c>
    </row>
    <row r="186" spans="1:13" x14ac:dyDescent="0.25">
      <c r="A186" s="182"/>
      <c r="G186" s="153"/>
      <c r="H186" s="165">
        <v>181</v>
      </c>
      <c r="I186" s="166" t="str">
        <f t="shared" si="13"/>
        <v/>
      </c>
      <c r="J186" s="165" t="e">
        <f t="shared" si="17"/>
        <v>#NUM!</v>
      </c>
      <c r="K186" s="165" t="e">
        <f t="shared" si="14"/>
        <v>#NUM!</v>
      </c>
      <c r="L186" s="165"/>
      <c r="M186" s="167">
        <f t="shared" si="15"/>
        <v>0</v>
      </c>
    </row>
    <row r="187" spans="1:13" x14ac:dyDescent="0.25">
      <c r="A187" s="182"/>
      <c r="G187" s="153"/>
      <c r="H187" s="168">
        <v>182</v>
      </c>
      <c r="I187" s="166" t="str">
        <f t="shared" si="13"/>
        <v/>
      </c>
      <c r="J187" s="165" t="e">
        <f t="shared" si="17"/>
        <v>#NUM!</v>
      </c>
      <c r="K187" s="165" t="e">
        <f t="shared" si="14"/>
        <v>#NUM!</v>
      </c>
      <c r="L187" s="165"/>
      <c r="M187" s="167">
        <f t="shared" si="15"/>
        <v>0</v>
      </c>
    </row>
    <row r="188" spans="1:13" x14ac:dyDescent="0.25">
      <c r="A188" s="182"/>
      <c r="G188" s="153"/>
      <c r="H188" s="165">
        <v>183</v>
      </c>
      <c r="I188" s="166" t="str">
        <f t="shared" si="13"/>
        <v/>
      </c>
      <c r="J188" s="165" t="e">
        <f t="shared" si="17"/>
        <v>#NUM!</v>
      </c>
      <c r="K188" s="165" t="e">
        <f t="shared" si="14"/>
        <v>#NUM!</v>
      </c>
      <c r="L188" s="165"/>
      <c r="M188" s="167">
        <f t="shared" si="15"/>
        <v>0</v>
      </c>
    </row>
    <row r="189" spans="1:13" x14ac:dyDescent="0.25">
      <c r="A189" s="182"/>
      <c r="G189" s="153"/>
      <c r="H189" s="168">
        <v>184</v>
      </c>
      <c r="I189" s="166" t="str">
        <f t="shared" si="13"/>
        <v/>
      </c>
      <c r="J189" s="165" t="e">
        <f t="shared" si="17"/>
        <v>#NUM!</v>
      </c>
      <c r="K189" s="165" t="e">
        <f t="shared" si="14"/>
        <v>#NUM!</v>
      </c>
      <c r="L189" s="165"/>
      <c r="M189" s="167">
        <f t="shared" si="15"/>
        <v>0</v>
      </c>
    </row>
    <row r="190" spans="1:13" x14ac:dyDescent="0.25">
      <c r="A190" s="182"/>
      <c r="G190" s="153"/>
      <c r="H190" s="165">
        <v>185</v>
      </c>
      <c r="I190" s="166" t="str">
        <f t="shared" si="13"/>
        <v/>
      </c>
      <c r="J190" s="165" t="e">
        <f t="shared" si="17"/>
        <v>#NUM!</v>
      </c>
      <c r="K190" s="165" t="e">
        <f t="shared" si="14"/>
        <v>#NUM!</v>
      </c>
      <c r="L190" s="165"/>
      <c r="M190" s="167">
        <f t="shared" si="15"/>
        <v>0</v>
      </c>
    </row>
    <row r="191" spans="1:13" x14ac:dyDescent="0.25">
      <c r="A191" s="182"/>
      <c r="G191" s="153"/>
      <c r="H191" s="168">
        <v>186</v>
      </c>
      <c r="I191" s="166" t="str">
        <f t="shared" si="13"/>
        <v/>
      </c>
      <c r="J191" s="165" t="e">
        <f t="shared" si="17"/>
        <v>#NUM!</v>
      </c>
      <c r="K191" s="165" t="e">
        <f t="shared" si="14"/>
        <v>#NUM!</v>
      </c>
      <c r="L191" s="165"/>
      <c r="M191" s="167">
        <f t="shared" si="15"/>
        <v>0</v>
      </c>
    </row>
    <row r="192" spans="1:13" x14ac:dyDescent="0.25">
      <c r="A192" s="182"/>
      <c r="G192" s="153"/>
      <c r="H192" s="165">
        <v>187</v>
      </c>
      <c r="I192" s="166" t="str">
        <f t="shared" si="13"/>
        <v/>
      </c>
      <c r="J192" s="165" t="e">
        <f t="shared" si="17"/>
        <v>#NUM!</v>
      </c>
      <c r="K192" s="165" t="e">
        <f t="shared" si="14"/>
        <v>#NUM!</v>
      </c>
      <c r="L192" s="165"/>
      <c r="M192" s="167">
        <f t="shared" si="15"/>
        <v>0</v>
      </c>
    </row>
    <row r="193" spans="1:13" x14ac:dyDescent="0.25">
      <c r="A193" s="182"/>
      <c r="G193" s="153"/>
      <c r="H193" s="168">
        <v>188</v>
      </c>
      <c r="I193" s="166" t="str">
        <f t="shared" si="13"/>
        <v/>
      </c>
      <c r="J193" s="165" t="e">
        <f t="shared" si="17"/>
        <v>#NUM!</v>
      </c>
      <c r="K193" s="165" t="e">
        <f t="shared" si="14"/>
        <v>#NUM!</v>
      </c>
      <c r="L193" s="165"/>
      <c r="M193" s="167">
        <f t="shared" si="15"/>
        <v>0</v>
      </c>
    </row>
    <row r="194" spans="1:13" x14ac:dyDescent="0.25">
      <c r="A194" s="182"/>
      <c r="G194" s="153"/>
      <c r="H194" s="165">
        <v>189</v>
      </c>
      <c r="I194" s="166" t="str">
        <f t="shared" si="13"/>
        <v/>
      </c>
      <c r="J194" s="165" t="e">
        <f t="shared" si="17"/>
        <v>#NUM!</v>
      </c>
      <c r="K194" s="165" t="e">
        <f t="shared" si="14"/>
        <v>#NUM!</v>
      </c>
      <c r="L194" s="165"/>
      <c r="M194" s="167">
        <f t="shared" si="15"/>
        <v>0</v>
      </c>
    </row>
    <row r="195" spans="1:13" x14ac:dyDescent="0.25">
      <c r="A195" s="182"/>
      <c r="G195" s="153"/>
      <c r="H195" s="168">
        <v>190</v>
      </c>
      <c r="I195" s="166" t="str">
        <f t="shared" si="13"/>
        <v/>
      </c>
      <c r="J195" s="165" t="e">
        <f t="shared" si="17"/>
        <v>#NUM!</v>
      </c>
      <c r="K195" s="165" t="e">
        <f t="shared" si="14"/>
        <v>#NUM!</v>
      </c>
      <c r="L195" s="165"/>
      <c r="M195" s="167">
        <f t="shared" si="15"/>
        <v>0</v>
      </c>
    </row>
    <row r="196" spans="1:13" x14ac:dyDescent="0.25">
      <c r="A196" s="182"/>
      <c r="G196" s="153"/>
      <c r="H196" s="165">
        <v>191</v>
      </c>
      <c r="I196" s="166" t="str">
        <f t="shared" si="13"/>
        <v/>
      </c>
      <c r="J196" s="165" t="e">
        <f t="shared" si="17"/>
        <v>#NUM!</v>
      </c>
      <c r="K196" s="165" t="e">
        <f t="shared" si="14"/>
        <v>#NUM!</v>
      </c>
      <c r="L196" s="165"/>
      <c r="M196" s="167">
        <f t="shared" si="15"/>
        <v>0</v>
      </c>
    </row>
    <row r="197" spans="1:13" x14ac:dyDescent="0.25">
      <c r="A197" s="182"/>
      <c r="G197" s="153"/>
      <c r="H197" s="168">
        <v>192</v>
      </c>
      <c r="I197" s="166" t="str">
        <f t="shared" si="13"/>
        <v/>
      </c>
      <c r="J197" s="165" t="e">
        <f t="shared" si="17"/>
        <v>#NUM!</v>
      </c>
      <c r="K197" s="165" t="e">
        <f t="shared" si="14"/>
        <v>#NUM!</v>
      </c>
      <c r="L197" s="165"/>
      <c r="M197" s="167">
        <f t="shared" si="15"/>
        <v>0</v>
      </c>
    </row>
    <row r="198" spans="1:13" x14ac:dyDescent="0.25">
      <c r="A198" s="182"/>
      <c r="G198" s="153"/>
      <c r="H198" s="165">
        <v>193</v>
      </c>
      <c r="I198" s="166" t="str">
        <f t="shared" ref="I198:I261" si="18">IF(H198&lt;$H$2+1,($I$2-($I$2-1)*(LOG(H198)/LOG($H$2))),"")</f>
        <v/>
      </c>
      <c r="J198" s="165" t="e">
        <f t="shared" si="17"/>
        <v>#NUM!</v>
      </c>
      <c r="K198" s="165" t="e">
        <f t="shared" ref="K198:K261" si="19">J198*$J$2</f>
        <v>#NUM!</v>
      </c>
      <c r="L198" s="165"/>
      <c r="M198" s="167">
        <f t="shared" ref="M198:M261" si="20">IF(I198&lt;&gt;"",K198+I198+L198,0)</f>
        <v>0</v>
      </c>
    </row>
    <row r="199" spans="1:13" x14ac:dyDescent="0.25">
      <c r="A199" s="182"/>
      <c r="G199" s="153"/>
      <c r="H199" s="168">
        <v>194</v>
      </c>
      <c r="I199" s="166" t="str">
        <f t="shared" si="18"/>
        <v/>
      </c>
      <c r="J199" s="165" t="e">
        <f t="shared" ref="J199:J262" si="21">INT(LOG($H$2,2))-ROUNDUP(LOG(H199,2),0)+IF(OR($H$2=1,$H$2=2,$H$2=4,$H$2=8,$H$2=16,$H$2=32,$H$2=64,$H$2=128,$H$2=256),0,1)</f>
        <v>#NUM!</v>
      </c>
      <c r="K199" s="165" t="e">
        <f t="shared" si="19"/>
        <v>#NUM!</v>
      </c>
      <c r="L199" s="165"/>
      <c r="M199" s="167">
        <f t="shared" si="20"/>
        <v>0</v>
      </c>
    </row>
    <row r="200" spans="1:13" x14ac:dyDescent="0.25">
      <c r="A200" s="182"/>
      <c r="G200" s="153"/>
      <c r="H200" s="165">
        <v>195</v>
      </c>
      <c r="I200" s="166" t="str">
        <f t="shared" si="18"/>
        <v/>
      </c>
      <c r="J200" s="165" t="e">
        <f t="shared" si="21"/>
        <v>#NUM!</v>
      </c>
      <c r="K200" s="165" t="e">
        <f t="shared" si="19"/>
        <v>#NUM!</v>
      </c>
      <c r="L200" s="165"/>
      <c r="M200" s="167">
        <f t="shared" si="20"/>
        <v>0</v>
      </c>
    </row>
    <row r="201" spans="1:13" x14ac:dyDescent="0.25">
      <c r="A201" s="182"/>
      <c r="G201" s="153"/>
      <c r="H201" s="168">
        <v>196</v>
      </c>
      <c r="I201" s="166" t="str">
        <f t="shared" si="18"/>
        <v/>
      </c>
      <c r="J201" s="165" t="e">
        <f t="shared" si="21"/>
        <v>#NUM!</v>
      </c>
      <c r="K201" s="165" t="e">
        <f t="shared" si="19"/>
        <v>#NUM!</v>
      </c>
      <c r="L201" s="165"/>
      <c r="M201" s="167">
        <f t="shared" si="20"/>
        <v>0</v>
      </c>
    </row>
    <row r="202" spans="1:13" x14ac:dyDescent="0.25">
      <c r="A202" s="182"/>
      <c r="G202" s="153"/>
      <c r="H202" s="165">
        <v>197</v>
      </c>
      <c r="I202" s="166" t="str">
        <f t="shared" si="18"/>
        <v/>
      </c>
      <c r="J202" s="165" t="e">
        <f t="shared" si="21"/>
        <v>#NUM!</v>
      </c>
      <c r="K202" s="165" t="e">
        <f t="shared" si="19"/>
        <v>#NUM!</v>
      </c>
      <c r="L202" s="165"/>
      <c r="M202" s="167">
        <f t="shared" si="20"/>
        <v>0</v>
      </c>
    </row>
    <row r="203" spans="1:13" x14ac:dyDescent="0.25">
      <c r="A203" s="182"/>
      <c r="G203" s="153"/>
      <c r="H203" s="168">
        <v>198</v>
      </c>
      <c r="I203" s="166" t="str">
        <f t="shared" si="18"/>
        <v/>
      </c>
      <c r="J203" s="165" t="e">
        <f t="shared" si="21"/>
        <v>#NUM!</v>
      </c>
      <c r="K203" s="165" t="e">
        <f t="shared" si="19"/>
        <v>#NUM!</v>
      </c>
      <c r="L203" s="165"/>
      <c r="M203" s="167">
        <f t="shared" si="20"/>
        <v>0</v>
      </c>
    </row>
    <row r="204" spans="1:13" x14ac:dyDescent="0.25">
      <c r="A204" s="182"/>
      <c r="G204" s="153"/>
      <c r="H204" s="165">
        <v>199</v>
      </c>
      <c r="I204" s="166" t="str">
        <f t="shared" si="18"/>
        <v/>
      </c>
      <c r="J204" s="165" t="e">
        <f t="shared" si="21"/>
        <v>#NUM!</v>
      </c>
      <c r="K204" s="165" t="e">
        <f t="shared" si="19"/>
        <v>#NUM!</v>
      </c>
      <c r="L204" s="165"/>
      <c r="M204" s="167">
        <f t="shared" si="20"/>
        <v>0</v>
      </c>
    </row>
    <row r="205" spans="1:13" x14ac:dyDescent="0.25">
      <c r="A205" s="182"/>
      <c r="G205" s="153"/>
      <c r="H205" s="168">
        <v>200</v>
      </c>
      <c r="I205" s="166" t="str">
        <f t="shared" si="18"/>
        <v/>
      </c>
      <c r="J205" s="165" t="e">
        <f t="shared" si="21"/>
        <v>#NUM!</v>
      </c>
      <c r="K205" s="165" t="e">
        <f t="shared" si="19"/>
        <v>#NUM!</v>
      </c>
      <c r="L205" s="165"/>
      <c r="M205" s="167">
        <f t="shared" si="20"/>
        <v>0</v>
      </c>
    </row>
    <row r="206" spans="1:13" x14ac:dyDescent="0.25">
      <c r="A206" s="182"/>
      <c r="G206" s="153"/>
      <c r="H206" s="165">
        <v>201</v>
      </c>
      <c r="I206" s="166" t="str">
        <f t="shared" si="18"/>
        <v/>
      </c>
      <c r="J206" s="165" t="e">
        <f t="shared" si="21"/>
        <v>#NUM!</v>
      </c>
      <c r="K206" s="165" t="e">
        <f t="shared" si="19"/>
        <v>#NUM!</v>
      </c>
      <c r="L206" s="165"/>
      <c r="M206" s="167">
        <f t="shared" si="20"/>
        <v>0</v>
      </c>
    </row>
    <row r="207" spans="1:13" x14ac:dyDescent="0.25">
      <c r="A207" s="182"/>
      <c r="G207" s="153"/>
      <c r="H207" s="168">
        <v>202</v>
      </c>
      <c r="I207" s="166" t="str">
        <f t="shared" si="18"/>
        <v/>
      </c>
      <c r="J207" s="165" t="e">
        <f t="shared" si="21"/>
        <v>#NUM!</v>
      </c>
      <c r="K207" s="165" t="e">
        <f t="shared" si="19"/>
        <v>#NUM!</v>
      </c>
      <c r="L207" s="165"/>
      <c r="M207" s="167">
        <f t="shared" si="20"/>
        <v>0</v>
      </c>
    </row>
    <row r="208" spans="1:13" x14ac:dyDescent="0.25">
      <c r="A208" s="182"/>
      <c r="G208" s="153"/>
      <c r="H208" s="165">
        <v>203</v>
      </c>
      <c r="I208" s="166" t="str">
        <f t="shared" si="18"/>
        <v/>
      </c>
      <c r="J208" s="165" t="e">
        <f t="shared" si="21"/>
        <v>#NUM!</v>
      </c>
      <c r="K208" s="165" t="e">
        <f t="shared" si="19"/>
        <v>#NUM!</v>
      </c>
      <c r="L208" s="165"/>
      <c r="M208" s="167">
        <f t="shared" si="20"/>
        <v>0</v>
      </c>
    </row>
    <row r="209" spans="1:13" x14ac:dyDescent="0.25">
      <c r="A209" s="182"/>
      <c r="G209" s="153"/>
      <c r="H209" s="168">
        <v>204</v>
      </c>
      <c r="I209" s="166" t="str">
        <f t="shared" si="18"/>
        <v/>
      </c>
      <c r="J209" s="165" t="e">
        <f t="shared" si="21"/>
        <v>#NUM!</v>
      </c>
      <c r="K209" s="165" t="e">
        <f t="shared" si="19"/>
        <v>#NUM!</v>
      </c>
      <c r="L209" s="165"/>
      <c r="M209" s="167">
        <f t="shared" si="20"/>
        <v>0</v>
      </c>
    </row>
    <row r="210" spans="1:13" x14ac:dyDescent="0.25">
      <c r="A210" s="182"/>
      <c r="G210" s="153"/>
      <c r="H210" s="165">
        <v>205</v>
      </c>
      <c r="I210" s="166" t="str">
        <f t="shared" si="18"/>
        <v/>
      </c>
      <c r="J210" s="165" t="e">
        <f t="shared" si="21"/>
        <v>#NUM!</v>
      </c>
      <c r="K210" s="165" t="e">
        <f t="shared" si="19"/>
        <v>#NUM!</v>
      </c>
      <c r="L210" s="165"/>
      <c r="M210" s="167">
        <f t="shared" si="20"/>
        <v>0</v>
      </c>
    </row>
    <row r="211" spans="1:13" x14ac:dyDescent="0.25">
      <c r="A211" s="182"/>
      <c r="G211" s="153"/>
      <c r="H211" s="168">
        <v>206</v>
      </c>
      <c r="I211" s="166" t="str">
        <f t="shared" si="18"/>
        <v/>
      </c>
      <c r="J211" s="165" t="e">
        <f t="shared" si="21"/>
        <v>#NUM!</v>
      </c>
      <c r="K211" s="165" t="e">
        <f t="shared" si="19"/>
        <v>#NUM!</v>
      </c>
      <c r="L211" s="165"/>
      <c r="M211" s="167">
        <f t="shared" si="20"/>
        <v>0</v>
      </c>
    </row>
    <row r="212" spans="1:13" x14ac:dyDescent="0.25">
      <c r="A212" s="182"/>
      <c r="G212" s="153"/>
      <c r="H212" s="165">
        <v>207</v>
      </c>
      <c r="I212" s="166" t="str">
        <f t="shared" si="18"/>
        <v/>
      </c>
      <c r="J212" s="165" t="e">
        <f t="shared" si="21"/>
        <v>#NUM!</v>
      </c>
      <c r="K212" s="165" t="e">
        <f t="shared" si="19"/>
        <v>#NUM!</v>
      </c>
      <c r="L212" s="165"/>
      <c r="M212" s="167">
        <f t="shared" si="20"/>
        <v>0</v>
      </c>
    </row>
    <row r="213" spans="1:13" x14ac:dyDescent="0.25">
      <c r="A213" s="182"/>
      <c r="G213" s="153"/>
      <c r="H213" s="168">
        <v>208</v>
      </c>
      <c r="I213" s="166" t="str">
        <f t="shared" si="18"/>
        <v/>
      </c>
      <c r="J213" s="165" t="e">
        <f t="shared" si="21"/>
        <v>#NUM!</v>
      </c>
      <c r="K213" s="165" t="e">
        <f t="shared" si="19"/>
        <v>#NUM!</v>
      </c>
      <c r="L213" s="165"/>
      <c r="M213" s="167">
        <f t="shared" si="20"/>
        <v>0</v>
      </c>
    </row>
    <row r="214" spans="1:13" x14ac:dyDescent="0.25">
      <c r="A214" s="182"/>
      <c r="G214" s="153"/>
      <c r="H214" s="165">
        <v>209</v>
      </c>
      <c r="I214" s="166" t="str">
        <f t="shared" si="18"/>
        <v/>
      </c>
      <c r="J214" s="165" t="e">
        <f t="shared" si="21"/>
        <v>#NUM!</v>
      </c>
      <c r="K214" s="165" t="e">
        <f t="shared" si="19"/>
        <v>#NUM!</v>
      </c>
      <c r="L214" s="165"/>
      <c r="M214" s="167">
        <f t="shared" si="20"/>
        <v>0</v>
      </c>
    </row>
    <row r="215" spans="1:13" x14ac:dyDescent="0.25">
      <c r="A215" s="182"/>
      <c r="G215" s="153"/>
      <c r="H215" s="168">
        <v>210</v>
      </c>
      <c r="I215" s="166" t="str">
        <f t="shared" si="18"/>
        <v/>
      </c>
      <c r="J215" s="165" t="e">
        <f t="shared" si="21"/>
        <v>#NUM!</v>
      </c>
      <c r="K215" s="165" t="e">
        <f t="shared" si="19"/>
        <v>#NUM!</v>
      </c>
      <c r="L215" s="165"/>
      <c r="M215" s="167">
        <f t="shared" si="20"/>
        <v>0</v>
      </c>
    </row>
    <row r="216" spans="1:13" x14ac:dyDescent="0.25">
      <c r="A216" s="182"/>
      <c r="G216" s="153"/>
      <c r="H216" s="165">
        <v>211</v>
      </c>
      <c r="I216" s="166" t="str">
        <f t="shared" si="18"/>
        <v/>
      </c>
      <c r="J216" s="165" t="e">
        <f t="shared" si="21"/>
        <v>#NUM!</v>
      </c>
      <c r="K216" s="165" t="e">
        <f t="shared" si="19"/>
        <v>#NUM!</v>
      </c>
      <c r="L216" s="165"/>
      <c r="M216" s="167">
        <f t="shared" si="20"/>
        <v>0</v>
      </c>
    </row>
    <row r="217" spans="1:13" x14ac:dyDescent="0.25">
      <c r="A217" s="182"/>
      <c r="G217" s="153"/>
      <c r="H217" s="168">
        <v>212</v>
      </c>
      <c r="I217" s="166" t="str">
        <f t="shared" si="18"/>
        <v/>
      </c>
      <c r="J217" s="165" t="e">
        <f t="shared" si="21"/>
        <v>#NUM!</v>
      </c>
      <c r="K217" s="165" t="e">
        <f t="shared" si="19"/>
        <v>#NUM!</v>
      </c>
      <c r="L217" s="165"/>
      <c r="M217" s="167">
        <f t="shared" si="20"/>
        <v>0</v>
      </c>
    </row>
    <row r="218" spans="1:13" x14ac:dyDescent="0.25">
      <c r="A218" s="182"/>
      <c r="G218" s="153"/>
      <c r="H218" s="165">
        <v>213</v>
      </c>
      <c r="I218" s="166" t="str">
        <f t="shared" si="18"/>
        <v/>
      </c>
      <c r="J218" s="165" t="e">
        <f t="shared" si="21"/>
        <v>#NUM!</v>
      </c>
      <c r="K218" s="165" t="e">
        <f t="shared" si="19"/>
        <v>#NUM!</v>
      </c>
      <c r="L218" s="165"/>
      <c r="M218" s="167">
        <f t="shared" si="20"/>
        <v>0</v>
      </c>
    </row>
    <row r="219" spans="1:13" x14ac:dyDescent="0.25">
      <c r="A219" s="182"/>
      <c r="G219" s="153"/>
      <c r="H219" s="168">
        <v>214</v>
      </c>
      <c r="I219" s="166" t="str">
        <f t="shared" si="18"/>
        <v/>
      </c>
      <c r="J219" s="165" t="e">
        <f t="shared" si="21"/>
        <v>#NUM!</v>
      </c>
      <c r="K219" s="165" t="e">
        <f t="shared" si="19"/>
        <v>#NUM!</v>
      </c>
      <c r="L219" s="165"/>
      <c r="M219" s="167">
        <f t="shared" si="20"/>
        <v>0</v>
      </c>
    </row>
    <row r="220" spans="1:13" x14ac:dyDescent="0.25">
      <c r="A220" s="182"/>
      <c r="G220" s="153"/>
      <c r="H220" s="165">
        <v>215</v>
      </c>
      <c r="I220" s="166" t="str">
        <f t="shared" si="18"/>
        <v/>
      </c>
      <c r="J220" s="165" t="e">
        <f t="shared" si="21"/>
        <v>#NUM!</v>
      </c>
      <c r="K220" s="165" t="e">
        <f t="shared" si="19"/>
        <v>#NUM!</v>
      </c>
      <c r="L220" s="165"/>
      <c r="M220" s="167">
        <f t="shared" si="20"/>
        <v>0</v>
      </c>
    </row>
    <row r="221" spans="1:13" x14ac:dyDescent="0.25">
      <c r="A221" s="182"/>
      <c r="G221" s="153"/>
      <c r="H221" s="168">
        <v>216</v>
      </c>
      <c r="I221" s="166" t="str">
        <f t="shared" si="18"/>
        <v/>
      </c>
      <c r="J221" s="165" t="e">
        <f t="shared" si="21"/>
        <v>#NUM!</v>
      </c>
      <c r="K221" s="165" t="e">
        <f t="shared" si="19"/>
        <v>#NUM!</v>
      </c>
      <c r="L221" s="165"/>
      <c r="M221" s="167">
        <f t="shared" si="20"/>
        <v>0</v>
      </c>
    </row>
    <row r="222" spans="1:13" x14ac:dyDescent="0.25">
      <c r="A222" s="182"/>
      <c r="G222" s="153"/>
      <c r="H222" s="165">
        <v>217</v>
      </c>
      <c r="I222" s="166" t="str">
        <f t="shared" si="18"/>
        <v/>
      </c>
      <c r="J222" s="165" t="e">
        <f t="shared" si="21"/>
        <v>#NUM!</v>
      </c>
      <c r="K222" s="165" t="e">
        <f t="shared" si="19"/>
        <v>#NUM!</v>
      </c>
      <c r="L222" s="165"/>
      <c r="M222" s="167">
        <f t="shared" si="20"/>
        <v>0</v>
      </c>
    </row>
    <row r="223" spans="1:13" x14ac:dyDescent="0.25">
      <c r="A223" s="182"/>
      <c r="G223" s="153"/>
      <c r="H223" s="168">
        <v>218</v>
      </c>
      <c r="I223" s="166" t="str">
        <f t="shared" si="18"/>
        <v/>
      </c>
      <c r="J223" s="165" t="e">
        <f t="shared" si="21"/>
        <v>#NUM!</v>
      </c>
      <c r="K223" s="165" t="e">
        <f t="shared" si="19"/>
        <v>#NUM!</v>
      </c>
      <c r="L223" s="165"/>
      <c r="M223" s="167">
        <f t="shared" si="20"/>
        <v>0</v>
      </c>
    </row>
    <row r="224" spans="1:13" x14ac:dyDescent="0.25">
      <c r="A224" s="182"/>
      <c r="G224" s="153"/>
      <c r="H224" s="165">
        <v>219</v>
      </c>
      <c r="I224" s="166" t="str">
        <f t="shared" si="18"/>
        <v/>
      </c>
      <c r="J224" s="165" t="e">
        <f t="shared" si="21"/>
        <v>#NUM!</v>
      </c>
      <c r="K224" s="165" t="e">
        <f t="shared" si="19"/>
        <v>#NUM!</v>
      </c>
      <c r="L224" s="165"/>
      <c r="M224" s="167">
        <f t="shared" si="20"/>
        <v>0</v>
      </c>
    </row>
    <row r="225" spans="1:13" x14ac:dyDescent="0.25">
      <c r="A225" s="182"/>
      <c r="G225" s="153"/>
      <c r="H225" s="168">
        <v>220</v>
      </c>
      <c r="I225" s="166" t="str">
        <f t="shared" si="18"/>
        <v/>
      </c>
      <c r="J225" s="165" t="e">
        <f t="shared" si="21"/>
        <v>#NUM!</v>
      </c>
      <c r="K225" s="165" t="e">
        <f t="shared" si="19"/>
        <v>#NUM!</v>
      </c>
      <c r="L225" s="165"/>
      <c r="M225" s="167">
        <f t="shared" si="20"/>
        <v>0</v>
      </c>
    </row>
    <row r="226" spans="1:13" x14ac:dyDescent="0.25">
      <c r="A226" s="182"/>
      <c r="G226" s="153"/>
      <c r="H226" s="165">
        <v>221</v>
      </c>
      <c r="I226" s="166" t="str">
        <f t="shared" si="18"/>
        <v/>
      </c>
      <c r="J226" s="165" t="e">
        <f t="shared" si="21"/>
        <v>#NUM!</v>
      </c>
      <c r="K226" s="165" t="e">
        <f t="shared" si="19"/>
        <v>#NUM!</v>
      </c>
      <c r="L226" s="165"/>
      <c r="M226" s="167">
        <f t="shared" si="20"/>
        <v>0</v>
      </c>
    </row>
    <row r="227" spans="1:13" x14ac:dyDescent="0.25">
      <c r="A227" s="182"/>
      <c r="G227" s="153"/>
      <c r="H227" s="168">
        <v>222</v>
      </c>
      <c r="I227" s="166" t="str">
        <f t="shared" si="18"/>
        <v/>
      </c>
      <c r="J227" s="165" t="e">
        <f t="shared" si="21"/>
        <v>#NUM!</v>
      </c>
      <c r="K227" s="165" t="e">
        <f t="shared" si="19"/>
        <v>#NUM!</v>
      </c>
      <c r="L227" s="165"/>
      <c r="M227" s="167">
        <f t="shared" si="20"/>
        <v>0</v>
      </c>
    </row>
    <row r="228" spans="1:13" x14ac:dyDescent="0.25">
      <c r="A228" s="182"/>
      <c r="G228" s="153"/>
      <c r="H228" s="165">
        <v>223</v>
      </c>
      <c r="I228" s="166" t="str">
        <f t="shared" si="18"/>
        <v/>
      </c>
      <c r="J228" s="165" t="e">
        <f t="shared" si="21"/>
        <v>#NUM!</v>
      </c>
      <c r="K228" s="165" t="e">
        <f t="shared" si="19"/>
        <v>#NUM!</v>
      </c>
      <c r="L228" s="165"/>
      <c r="M228" s="167">
        <f t="shared" si="20"/>
        <v>0</v>
      </c>
    </row>
    <row r="229" spans="1:13" x14ac:dyDescent="0.25">
      <c r="A229" s="182"/>
      <c r="G229" s="153"/>
      <c r="H229" s="168">
        <v>224</v>
      </c>
      <c r="I229" s="166" t="str">
        <f t="shared" si="18"/>
        <v/>
      </c>
      <c r="J229" s="165" t="e">
        <f t="shared" si="21"/>
        <v>#NUM!</v>
      </c>
      <c r="K229" s="165" t="e">
        <f t="shared" si="19"/>
        <v>#NUM!</v>
      </c>
      <c r="L229" s="165"/>
      <c r="M229" s="167">
        <f t="shared" si="20"/>
        <v>0</v>
      </c>
    </row>
    <row r="230" spans="1:13" x14ac:dyDescent="0.25">
      <c r="A230" s="182"/>
      <c r="G230" s="153"/>
      <c r="H230" s="165">
        <v>225</v>
      </c>
      <c r="I230" s="166" t="str">
        <f t="shared" si="18"/>
        <v/>
      </c>
      <c r="J230" s="165" t="e">
        <f t="shared" si="21"/>
        <v>#NUM!</v>
      </c>
      <c r="K230" s="165" t="e">
        <f t="shared" si="19"/>
        <v>#NUM!</v>
      </c>
      <c r="L230" s="165"/>
      <c r="M230" s="167">
        <f t="shared" si="20"/>
        <v>0</v>
      </c>
    </row>
    <row r="231" spans="1:13" x14ac:dyDescent="0.25">
      <c r="A231" s="182"/>
      <c r="G231" s="153"/>
      <c r="H231" s="168">
        <v>226</v>
      </c>
      <c r="I231" s="166" t="str">
        <f t="shared" si="18"/>
        <v/>
      </c>
      <c r="J231" s="165" t="e">
        <f t="shared" si="21"/>
        <v>#NUM!</v>
      </c>
      <c r="K231" s="165" t="e">
        <f t="shared" si="19"/>
        <v>#NUM!</v>
      </c>
      <c r="L231" s="165"/>
      <c r="M231" s="167">
        <f t="shared" si="20"/>
        <v>0</v>
      </c>
    </row>
    <row r="232" spans="1:13" x14ac:dyDescent="0.25">
      <c r="A232" s="182"/>
      <c r="G232" s="153"/>
      <c r="H232" s="165">
        <v>227</v>
      </c>
      <c r="I232" s="166" t="str">
        <f t="shared" si="18"/>
        <v/>
      </c>
      <c r="J232" s="165" t="e">
        <f t="shared" si="21"/>
        <v>#NUM!</v>
      </c>
      <c r="K232" s="165" t="e">
        <f t="shared" si="19"/>
        <v>#NUM!</v>
      </c>
      <c r="L232" s="165"/>
      <c r="M232" s="167">
        <f t="shared" si="20"/>
        <v>0</v>
      </c>
    </row>
    <row r="233" spans="1:13" x14ac:dyDescent="0.25">
      <c r="A233" s="182"/>
      <c r="G233" s="153"/>
      <c r="H233" s="168">
        <v>228</v>
      </c>
      <c r="I233" s="166" t="str">
        <f t="shared" si="18"/>
        <v/>
      </c>
      <c r="J233" s="165" t="e">
        <f t="shared" si="21"/>
        <v>#NUM!</v>
      </c>
      <c r="K233" s="165" t="e">
        <f t="shared" si="19"/>
        <v>#NUM!</v>
      </c>
      <c r="L233" s="165"/>
      <c r="M233" s="167">
        <f t="shared" si="20"/>
        <v>0</v>
      </c>
    </row>
    <row r="234" spans="1:13" x14ac:dyDescent="0.25">
      <c r="A234" s="182"/>
      <c r="G234" s="153"/>
      <c r="H234" s="165">
        <v>229</v>
      </c>
      <c r="I234" s="166" t="str">
        <f t="shared" si="18"/>
        <v/>
      </c>
      <c r="J234" s="165" t="e">
        <f t="shared" si="21"/>
        <v>#NUM!</v>
      </c>
      <c r="K234" s="165" t="e">
        <f t="shared" si="19"/>
        <v>#NUM!</v>
      </c>
      <c r="L234" s="165"/>
      <c r="M234" s="167">
        <f t="shared" si="20"/>
        <v>0</v>
      </c>
    </row>
    <row r="235" spans="1:13" x14ac:dyDescent="0.25">
      <c r="A235" s="182"/>
      <c r="G235" s="153"/>
      <c r="H235" s="168">
        <v>230</v>
      </c>
      <c r="I235" s="166" t="str">
        <f t="shared" si="18"/>
        <v/>
      </c>
      <c r="J235" s="165" t="e">
        <f t="shared" si="21"/>
        <v>#NUM!</v>
      </c>
      <c r="K235" s="165" t="e">
        <f t="shared" si="19"/>
        <v>#NUM!</v>
      </c>
      <c r="L235" s="165"/>
      <c r="M235" s="167">
        <f t="shared" si="20"/>
        <v>0</v>
      </c>
    </row>
    <row r="236" spans="1:13" x14ac:dyDescent="0.25">
      <c r="A236" s="182"/>
      <c r="G236" s="153"/>
      <c r="H236" s="165">
        <v>231</v>
      </c>
      <c r="I236" s="166" t="str">
        <f t="shared" si="18"/>
        <v/>
      </c>
      <c r="J236" s="165" t="e">
        <f t="shared" si="21"/>
        <v>#NUM!</v>
      </c>
      <c r="K236" s="165" t="e">
        <f t="shared" si="19"/>
        <v>#NUM!</v>
      </c>
      <c r="L236" s="165"/>
      <c r="M236" s="167">
        <f t="shared" si="20"/>
        <v>0</v>
      </c>
    </row>
    <row r="237" spans="1:13" x14ac:dyDescent="0.25">
      <c r="A237" s="182"/>
      <c r="G237" s="153"/>
      <c r="H237" s="168">
        <v>232</v>
      </c>
      <c r="I237" s="166" t="str">
        <f t="shared" si="18"/>
        <v/>
      </c>
      <c r="J237" s="165" t="e">
        <f t="shared" si="21"/>
        <v>#NUM!</v>
      </c>
      <c r="K237" s="165" t="e">
        <f t="shared" si="19"/>
        <v>#NUM!</v>
      </c>
      <c r="L237" s="165"/>
      <c r="M237" s="167">
        <f t="shared" si="20"/>
        <v>0</v>
      </c>
    </row>
    <row r="238" spans="1:13" x14ac:dyDescent="0.25">
      <c r="A238" s="182"/>
      <c r="G238" s="153"/>
      <c r="H238" s="165">
        <v>233</v>
      </c>
      <c r="I238" s="166" t="str">
        <f t="shared" si="18"/>
        <v/>
      </c>
      <c r="J238" s="165" t="e">
        <f t="shared" si="21"/>
        <v>#NUM!</v>
      </c>
      <c r="K238" s="165" t="e">
        <f t="shared" si="19"/>
        <v>#NUM!</v>
      </c>
      <c r="L238" s="165"/>
      <c r="M238" s="167">
        <f t="shared" si="20"/>
        <v>0</v>
      </c>
    </row>
    <row r="239" spans="1:13" x14ac:dyDescent="0.25">
      <c r="A239" s="182"/>
      <c r="G239" s="153"/>
      <c r="H239" s="168">
        <v>234</v>
      </c>
      <c r="I239" s="166" t="str">
        <f t="shared" si="18"/>
        <v/>
      </c>
      <c r="J239" s="165" t="e">
        <f t="shared" si="21"/>
        <v>#NUM!</v>
      </c>
      <c r="K239" s="165" t="e">
        <f t="shared" si="19"/>
        <v>#NUM!</v>
      </c>
      <c r="L239" s="165"/>
      <c r="M239" s="167">
        <f t="shared" si="20"/>
        <v>0</v>
      </c>
    </row>
    <row r="240" spans="1:13" x14ac:dyDescent="0.25">
      <c r="A240" s="182"/>
      <c r="G240" s="153"/>
      <c r="H240" s="165">
        <v>235</v>
      </c>
      <c r="I240" s="166" t="str">
        <f t="shared" si="18"/>
        <v/>
      </c>
      <c r="J240" s="165" t="e">
        <f t="shared" si="21"/>
        <v>#NUM!</v>
      </c>
      <c r="K240" s="165" t="e">
        <f t="shared" si="19"/>
        <v>#NUM!</v>
      </c>
      <c r="L240" s="165"/>
      <c r="M240" s="167">
        <f t="shared" si="20"/>
        <v>0</v>
      </c>
    </row>
    <row r="241" spans="1:13" x14ac:dyDescent="0.25">
      <c r="A241" s="182"/>
      <c r="G241" s="153"/>
      <c r="H241" s="168">
        <v>236</v>
      </c>
      <c r="I241" s="166" t="str">
        <f t="shared" si="18"/>
        <v/>
      </c>
      <c r="J241" s="165" t="e">
        <f t="shared" si="21"/>
        <v>#NUM!</v>
      </c>
      <c r="K241" s="165" t="e">
        <f t="shared" si="19"/>
        <v>#NUM!</v>
      </c>
      <c r="L241" s="165"/>
      <c r="M241" s="167">
        <f t="shared" si="20"/>
        <v>0</v>
      </c>
    </row>
    <row r="242" spans="1:13" x14ac:dyDescent="0.25">
      <c r="A242" s="182"/>
      <c r="G242" s="153"/>
      <c r="H242" s="165">
        <v>237</v>
      </c>
      <c r="I242" s="166" t="str">
        <f t="shared" si="18"/>
        <v/>
      </c>
      <c r="J242" s="165" t="e">
        <f t="shared" si="21"/>
        <v>#NUM!</v>
      </c>
      <c r="K242" s="165" t="e">
        <f t="shared" si="19"/>
        <v>#NUM!</v>
      </c>
      <c r="L242" s="165"/>
      <c r="M242" s="167">
        <f t="shared" si="20"/>
        <v>0</v>
      </c>
    </row>
    <row r="243" spans="1:13" x14ac:dyDescent="0.25">
      <c r="A243" s="182"/>
      <c r="G243" s="153"/>
      <c r="H243" s="168">
        <v>238</v>
      </c>
      <c r="I243" s="166" t="str">
        <f t="shared" si="18"/>
        <v/>
      </c>
      <c r="J243" s="165" t="e">
        <f t="shared" si="21"/>
        <v>#NUM!</v>
      </c>
      <c r="K243" s="165" t="e">
        <f t="shared" si="19"/>
        <v>#NUM!</v>
      </c>
      <c r="L243" s="165"/>
      <c r="M243" s="167">
        <f t="shared" si="20"/>
        <v>0</v>
      </c>
    </row>
    <row r="244" spans="1:13" x14ac:dyDescent="0.25">
      <c r="A244" s="182"/>
      <c r="G244" s="153"/>
      <c r="H244" s="165">
        <v>239</v>
      </c>
      <c r="I244" s="166" t="str">
        <f t="shared" si="18"/>
        <v/>
      </c>
      <c r="J244" s="165" t="e">
        <f t="shared" si="21"/>
        <v>#NUM!</v>
      </c>
      <c r="K244" s="165" t="e">
        <f t="shared" si="19"/>
        <v>#NUM!</v>
      </c>
      <c r="L244" s="165"/>
      <c r="M244" s="167">
        <f t="shared" si="20"/>
        <v>0</v>
      </c>
    </row>
    <row r="245" spans="1:13" x14ac:dyDescent="0.25">
      <c r="A245" s="182"/>
      <c r="G245" s="153"/>
      <c r="H245" s="168">
        <v>240</v>
      </c>
      <c r="I245" s="166" t="str">
        <f t="shared" si="18"/>
        <v/>
      </c>
      <c r="J245" s="165" t="e">
        <f t="shared" si="21"/>
        <v>#NUM!</v>
      </c>
      <c r="K245" s="165" t="e">
        <f t="shared" si="19"/>
        <v>#NUM!</v>
      </c>
      <c r="L245" s="165"/>
      <c r="M245" s="167">
        <f t="shared" si="20"/>
        <v>0</v>
      </c>
    </row>
    <row r="246" spans="1:13" x14ac:dyDescent="0.25">
      <c r="A246" s="182"/>
      <c r="G246" s="153"/>
      <c r="H246" s="165">
        <v>241</v>
      </c>
      <c r="I246" s="166" t="str">
        <f t="shared" si="18"/>
        <v/>
      </c>
      <c r="J246" s="165" t="e">
        <f t="shared" si="21"/>
        <v>#NUM!</v>
      </c>
      <c r="K246" s="165" t="e">
        <f t="shared" si="19"/>
        <v>#NUM!</v>
      </c>
      <c r="L246" s="165"/>
      <c r="M246" s="167">
        <f t="shared" si="20"/>
        <v>0</v>
      </c>
    </row>
    <row r="247" spans="1:13" x14ac:dyDescent="0.25">
      <c r="A247" s="182"/>
      <c r="G247" s="153"/>
      <c r="H247" s="168">
        <v>242</v>
      </c>
      <c r="I247" s="166" t="str">
        <f t="shared" si="18"/>
        <v/>
      </c>
      <c r="J247" s="165" t="e">
        <f t="shared" si="21"/>
        <v>#NUM!</v>
      </c>
      <c r="K247" s="165" t="e">
        <f t="shared" si="19"/>
        <v>#NUM!</v>
      </c>
      <c r="L247" s="165"/>
      <c r="M247" s="167">
        <f t="shared" si="20"/>
        <v>0</v>
      </c>
    </row>
    <row r="248" spans="1:13" x14ac:dyDescent="0.25">
      <c r="A248" s="182"/>
      <c r="G248" s="153"/>
      <c r="H248" s="165">
        <v>243</v>
      </c>
      <c r="I248" s="166" t="str">
        <f t="shared" si="18"/>
        <v/>
      </c>
      <c r="J248" s="165" t="e">
        <f t="shared" si="21"/>
        <v>#NUM!</v>
      </c>
      <c r="K248" s="165" t="e">
        <f t="shared" si="19"/>
        <v>#NUM!</v>
      </c>
      <c r="L248" s="165"/>
      <c r="M248" s="167">
        <f t="shared" si="20"/>
        <v>0</v>
      </c>
    </row>
    <row r="249" spans="1:13" x14ac:dyDescent="0.25">
      <c r="A249" s="182"/>
      <c r="G249" s="153"/>
      <c r="H249" s="168">
        <v>244</v>
      </c>
      <c r="I249" s="166" t="str">
        <f t="shared" si="18"/>
        <v/>
      </c>
      <c r="J249" s="165" t="e">
        <f t="shared" si="21"/>
        <v>#NUM!</v>
      </c>
      <c r="K249" s="165" t="e">
        <f t="shared" si="19"/>
        <v>#NUM!</v>
      </c>
      <c r="L249" s="165"/>
      <c r="M249" s="167">
        <f t="shared" si="20"/>
        <v>0</v>
      </c>
    </row>
    <row r="250" spans="1:13" x14ac:dyDescent="0.25">
      <c r="A250" s="182"/>
      <c r="G250" s="153"/>
      <c r="H250" s="165">
        <v>245</v>
      </c>
      <c r="I250" s="166" t="str">
        <f t="shared" si="18"/>
        <v/>
      </c>
      <c r="J250" s="165" t="e">
        <f t="shared" si="21"/>
        <v>#NUM!</v>
      </c>
      <c r="K250" s="165" t="e">
        <f t="shared" si="19"/>
        <v>#NUM!</v>
      </c>
      <c r="L250" s="165"/>
      <c r="M250" s="167">
        <f t="shared" si="20"/>
        <v>0</v>
      </c>
    </row>
    <row r="251" spans="1:13" x14ac:dyDescent="0.25">
      <c r="A251" s="182"/>
      <c r="G251" s="153"/>
      <c r="H251" s="168">
        <v>246</v>
      </c>
      <c r="I251" s="166" t="str">
        <f t="shared" si="18"/>
        <v/>
      </c>
      <c r="J251" s="165" t="e">
        <f t="shared" si="21"/>
        <v>#NUM!</v>
      </c>
      <c r="K251" s="165" t="e">
        <f t="shared" si="19"/>
        <v>#NUM!</v>
      </c>
      <c r="L251" s="165"/>
      <c r="M251" s="167">
        <f t="shared" si="20"/>
        <v>0</v>
      </c>
    </row>
    <row r="252" spans="1:13" x14ac:dyDescent="0.25">
      <c r="A252" s="182"/>
      <c r="G252" s="153"/>
      <c r="H252" s="165">
        <v>247</v>
      </c>
      <c r="I252" s="166" t="str">
        <f t="shared" si="18"/>
        <v/>
      </c>
      <c r="J252" s="165" t="e">
        <f t="shared" si="21"/>
        <v>#NUM!</v>
      </c>
      <c r="K252" s="165" t="e">
        <f t="shared" si="19"/>
        <v>#NUM!</v>
      </c>
      <c r="L252" s="165"/>
      <c r="M252" s="167">
        <f t="shared" si="20"/>
        <v>0</v>
      </c>
    </row>
    <row r="253" spans="1:13" x14ac:dyDescent="0.25">
      <c r="A253" s="182"/>
      <c r="G253" s="153"/>
      <c r="H253" s="168">
        <v>248</v>
      </c>
      <c r="I253" s="166" t="str">
        <f t="shared" si="18"/>
        <v/>
      </c>
      <c r="J253" s="165" t="e">
        <f t="shared" si="21"/>
        <v>#NUM!</v>
      </c>
      <c r="K253" s="165" t="e">
        <f t="shared" si="19"/>
        <v>#NUM!</v>
      </c>
      <c r="L253" s="165"/>
      <c r="M253" s="167">
        <f t="shared" si="20"/>
        <v>0</v>
      </c>
    </row>
    <row r="254" spans="1:13" x14ac:dyDescent="0.25">
      <c r="A254" s="182"/>
      <c r="G254" s="153"/>
      <c r="H254" s="165">
        <v>249</v>
      </c>
      <c r="I254" s="166" t="str">
        <f t="shared" si="18"/>
        <v/>
      </c>
      <c r="J254" s="165" t="e">
        <f t="shared" si="21"/>
        <v>#NUM!</v>
      </c>
      <c r="K254" s="165" t="e">
        <f t="shared" si="19"/>
        <v>#NUM!</v>
      </c>
      <c r="L254" s="165"/>
      <c r="M254" s="167">
        <f t="shared" si="20"/>
        <v>0</v>
      </c>
    </row>
    <row r="255" spans="1:13" x14ac:dyDescent="0.25">
      <c r="A255" s="182"/>
      <c r="G255" s="153"/>
      <c r="H255" s="168">
        <v>250</v>
      </c>
      <c r="I255" s="166" t="str">
        <f t="shared" si="18"/>
        <v/>
      </c>
      <c r="J255" s="165" t="e">
        <f t="shared" si="21"/>
        <v>#NUM!</v>
      </c>
      <c r="K255" s="165" t="e">
        <f t="shared" si="19"/>
        <v>#NUM!</v>
      </c>
      <c r="L255" s="165"/>
      <c r="M255" s="167">
        <f t="shared" si="20"/>
        <v>0</v>
      </c>
    </row>
    <row r="256" spans="1:13" x14ac:dyDescent="0.25">
      <c r="A256" s="182"/>
      <c r="G256" s="153"/>
      <c r="H256" s="165">
        <v>251</v>
      </c>
      <c r="I256" s="166" t="str">
        <f t="shared" si="18"/>
        <v/>
      </c>
      <c r="J256" s="165" t="e">
        <f t="shared" si="21"/>
        <v>#NUM!</v>
      </c>
      <c r="K256" s="165" t="e">
        <f t="shared" si="19"/>
        <v>#NUM!</v>
      </c>
      <c r="L256" s="165"/>
      <c r="M256" s="167">
        <f t="shared" si="20"/>
        <v>0</v>
      </c>
    </row>
    <row r="257" spans="1:13" x14ac:dyDescent="0.25">
      <c r="A257" s="182"/>
      <c r="G257" s="153"/>
      <c r="H257" s="168">
        <v>252</v>
      </c>
      <c r="I257" s="166" t="str">
        <f t="shared" si="18"/>
        <v/>
      </c>
      <c r="J257" s="165" t="e">
        <f t="shared" si="21"/>
        <v>#NUM!</v>
      </c>
      <c r="K257" s="165" t="e">
        <f t="shared" si="19"/>
        <v>#NUM!</v>
      </c>
      <c r="L257" s="165"/>
      <c r="M257" s="167">
        <f t="shared" si="20"/>
        <v>0</v>
      </c>
    </row>
    <row r="258" spans="1:13" x14ac:dyDescent="0.25">
      <c r="A258" s="182"/>
      <c r="G258" s="153"/>
      <c r="H258" s="165">
        <v>253</v>
      </c>
      <c r="I258" s="166" t="str">
        <f t="shared" si="18"/>
        <v/>
      </c>
      <c r="J258" s="165" t="e">
        <f t="shared" si="21"/>
        <v>#NUM!</v>
      </c>
      <c r="K258" s="165" t="e">
        <f t="shared" si="19"/>
        <v>#NUM!</v>
      </c>
      <c r="L258" s="165"/>
      <c r="M258" s="167">
        <f t="shared" si="20"/>
        <v>0</v>
      </c>
    </row>
    <row r="259" spans="1:13" x14ac:dyDescent="0.25">
      <c r="A259" s="182"/>
      <c r="G259" s="153"/>
      <c r="H259" s="168">
        <v>254</v>
      </c>
      <c r="I259" s="166" t="str">
        <f t="shared" si="18"/>
        <v/>
      </c>
      <c r="J259" s="165" t="e">
        <f t="shared" si="21"/>
        <v>#NUM!</v>
      </c>
      <c r="K259" s="165" t="e">
        <f t="shared" si="19"/>
        <v>#NUM!</v>
      </c>
      <c r="L259" s="165"/>
      <c r="M259" s="167">
        <f t="shared" si="20"/>
        <v>0</v>
      </c>
    </row>
    <row r="260" spans="1:13" x14ac:dyDescent="0.25">
      <c r="A260" s="182"/>
      <c r="G260" s="153"/>
      <c r="H260" s="165">
        <v>255</v>
      </c>
      <c r="I260" s="166" t="str">
        <f t="shared" si="18"/>
        <v/>
      </c>
      <c r="J260" s="165" t="e">
        <f t="shared" si="21"/>
        <v>#NUM!</v>
      </c>
      <c r="K260" s="165" t="e">
        <f t="shared" si="19"/>
        <v>#NUM!</v>
      </c>
      <c r="L260" s="165"/>
      <c r="M260" s="167">
        <f t="shared" si="20"/>
        <v>0</v>
      </c>
    </row>
    <row r="261" spans="1:13" x14ac:dyDescent="0.25">
      <c r="A261" s="182"/>
      <c r="G261" s="153"/>
      <c r="H261" s="168">
        <v>256</v>
      </c>
      <c r="I261" s="166" t="str">
        <f t="shared" si="18"/>
        <v/>
      </c>
      <c r="J261" s="165" t="e">
        <f t="shared" si="21"/>
        <v>#NUM!</v>
      </c>
      <c r="K261" s="165" t="e">
        <f t="shared" si="19"/>
        <v>#NUM!</v>
      </c>
      <c r="L261" s="165"/>
      <c r="M261" s="167">
        <f t="shared" si="20"/>
        <v>0</v>
      </c>
    </row>
    <row r="262" spans="1:13" x14ac:dyDescent="0.25">
      <c r="A262" s="182"/>
      <c r="G262" s="153"/>
      <c r="H262" s="165">
        <v>257</v>
      </c>
      <c r="I262" s="166" t="str">
        <f t="shared" ref="I262:I305" si="22">IF(H262&lt;$H$2+1,($I$2-($I$2-1)*(LOG(H262)/LOG($H$2))),"")</f>
        <v/>
      </c>
      <c r="J262" s="165" t="e">
        <f t="shared" si="21"/>
        <v>#NUM!</v>
      </c>
      <c r="K262" s="165" t="e">
        <f t="shared" ref="K262:K305" si="23">J262*$J$2</f>
        <v>#NUM!</v>
      </c>
      <c r="L262" s="165"/>
      <c r="M262" s="167">
        <f t="shared" ref="M262:M305" si="24">IF(I262&lt;&gt;"",K262+I262+L262,0)</f>
        <v>0</v>
      </c>
    </row>
    <row r="263" spans="1:13" x14ac:dyDescent="0.25">
      <c r="A263" s="182"/>
      <c r="G263" s="153"/>
      <c r="H263" s="168">
        <v>258</v>
      </c>
      <c r="I263" s="166" t="str">
        <f t="shared" si="22"/>
        <v/>
      </c>
      <c r="J263" s="165" t="e">
        <f t="shared" ref="J263:J305" si="25">INT(LOG($H$2,2))-ROUNDUP(LOG(H263,2),0)+IF(OR($H$2=1,$H$2=2,$H$2=4,$H$2=8,$H$2=16,$H$2=32,$H$2=64,$H$2=128,$H$2=256),0,1)</f>
        <v>#NUM!</v>
      </c>
      <c r="K263" s="165" t="e">
        <f t="shared" si="23"/>
        <v>#NUM!</v>
      </c>
      <c r="L263" s="165"/>
      <c r="M263" s="167">
        <f t="shared" si="24"/>
        <v>0</v>
      </c>
    </row>
    <row r="264" spans="1:13" x14ac:dyDescent="0.25">
      <c r="A264" s="182"/>
      <c r="G264" s="153"/>
      <c r="H264" s="165">
        <v>259</v>
      </c>
      <c r="I264" s="166" t="str">
        <f t="shared" si="22"/>
        <v/>
      </c>
      <c r="J264" s="165" t="e">
        <f t="shared" si="25"/>
        <v>#NUM!</v>
      </c>
      <c r="K264" s="165" t="e">
        <f t="shared" si="23"/>
        <v>#NUM!</v>
      </c>
      <c r="L264" s="165"/>
      <c r="M264" s="167">
        <f t="shared" si="24"/>
        <v>0</v>
      </c>
    </row>
    <row r="265" spans="1:13" x14ac:dyDescent="0.25">
      <c r="A265" s="182"/>
      <c r="G265" s="153"/>
      <c r="H265" s="168">
        <v>260</v>
      </c>
      <c r="I265" s="166" t="str">
        <f t="shared" si="22"/>
        <v/>
      </c>
      <c r="J265" s="165" t="e">
        <f t="shared" si="25"/>
        <v>#NUM!</v>
      </c>
      <c r="K265" s="165" t="e">
        <f t="shared" si="23"/>
        <v>#NUM!</v>
      </c>
      <c r="L265" s="165"/>
      <c r="M265" s="167">
        <f t="shared" si="24"/>
        <v>0</v>
      </c>
    </row>
    <row r="266" spans="1:13" x14ac:dyDescent="0.25">
      <c r="A266" s="182"/>
      <c r="G266" s="153"/>
      <c r="H266" s="165">
        <v>261</v>
      </c>
      <c r="I266" s="166" t="str">
        <f t="shared" si="22"/>
        <v/>
      </c>
      <c r="J266" s="165" t="e">
        <f t="shared" si="25"/>
        <v>#NUM!</v>
      </c>
      <c r="K266" s="165" t="e">
        <f t="shared" si="23"/>
        <v>#NUM!</v>
      </c>
      <c r="L266" s="165"/>
      <c r="M266" s="167">
        <f t="shared" si="24"/>
        <v>0</v>
      </c>
    </row>
    <row r="267" spans="1:13" x14ac:dyDescent="0.25">
      <c r="A267" s="182"/>
      <c r="G267" s="153"/>
      <c r="H267" s="168">
        <v>262</v>
      </c>
      <c r="I267" s="166" t="str">
        <f t="shared" si="22"/>
        <v/>
      </c>
      <c r="J267" s="165" t="e">
        <f t="shared" si="25"/>
        <v>#NUM!</v>
      </c>
      <c r="K267" s="165" t="e">
        <f t="shared" si="23"/>
        <v>#NUM!</v>
      </c>
      <c r="L267" s="165"/>
      <c r="M267" s="167">
        <f t="shared" si="24"/>
        <v>0</v>
      </c>
    </row>
    <row r="268" spans="1:13" x14ac:dyDescent="0.25">
      <c r="A268" s="182"/>
      <c r="G268" s="153"/>
      <c r="H268" s="165">
        <v>263</v>
      </c>
      <c r="I268" s="166" t="str">
        <f t="shared" si="22"/>
        <v/>
      </c>
      <c r="J268" s="165" t="e">
        <f t="shared" si="25"/>
        <v>#NUM!</v>
      </c>
      <c r="K268" s="165" t="e">
        <f t="shared" si="23"/>
        <v>#NUM!</v>
      </c>
      <c r="L268" s="165"/>
      <c r="M268" s="167">
        <f t="shared" si="24"/>
        <v>0</v>
      </c>
    </row>
    <row r="269" spans="1:13" x14ac:dyDescent="0.25">
      <c r="A269" s="182"/>
      <c r="G269" s="153"/>
      <c r="H269" s="168">
        <v>264</v>
      </c>
      <c r="I269" s="166" t="str">
        <f t="shared" si="22"/>
        <v/>
      </c>
      <c r="J269" s="165" t="e">
        <f t="shared" si="25"/>
        <v>#NUM!</v>
      </c>
      <c r="K269" s="165" t="e">
        <f t="shared" si="23"/>
        <v>#NUM!</v>
      </c>
      <c r="L269" s="165"/>
      <c r="M269" s="167">
        <f t="shared" si="24"/>
        <v>0</v>
      </c>
    </row>
    <row r="270" spans="1:13" x14ac:dyDescent="0.25">
      <c r="A270" s="182"/>
      <c r="G270" s="153"/>
      <c r="H270" s="165">
        <v>265</v>
      </c>
      <c r="I270" s="166" t="str">
        <f t="shared" si="22"/>
        <v/>
      </c>
      <c r="J270" s="165" t="e">
        <f t="shared" si="25"/>
        <v>#NUM!</v>
      </c>
      <c r="K270" s="165" t="e">
        <f t="shared" si="23"/>
        <v>#NUM!</v>
      </c>
      <c r="L270" s="165"/>
      <c r="M270" s="167">
        <f t="shared" si="24"/>
        <v>0</v>
      </c>
    </row>
    <row r="271" spans="1:13" x14ac:dyDescent="0.25">
      <c r="A271" s="182"/>
      <c r="G271" s="153"/>
      <c r="H271" s="168">
        <v>266</v>
      </c>
      <c r="I271" s="166" t="str">
        <f t="shared" si="22"/>
        <v/>
      </c>
      <c r="J271" s="165" t="e">
        <f t="shared" si="25"/>
        <v>#NUM!</v>
      </c>
      <c r="K271" s="165" t="e">
        <f t="shared" si="23"/>
        <v>#NUM!</v>
      </c>
      <c r="L271" s="165"/>
      <c r="M271" s="167">
        <f t="shared" si="24"/>
        <v>0</v>
      </c>
    </row>
    <row r="272" spans="1:13" x14ac:dyDescent="0.25">
      <c r="A272" s="182"/>
      <c r="G272" s="153"/>
      <c r="H272" s="165">
        <v>267</v>
      </c>
      <c r="I272" s="166" t="str">
        <f t="shared" si="22"/>
        <v/>
      </c>
      <c r="J272" s="165" t="e">
        <f t="shared" si="25"/>
        <v>#NUM!</v>
      </c>
      <c r="K272" s="165" t="e">
        <f t="shared" si="23"/>
        <v>#NUM!</v>
      </c>
      <c r="L272" s="165"/>
      <c r="M272" s="167">
        <f t="shared" si="24"/>
        <v>0</v>
      </c>
    </row>
    <row r="273" spans="1:13" x14ac:dyDescent="0.25">
      <c r="A273" s="182"/>
      <c r="G273" s="153"/>
      <c r="H273" s="168">
        <v>268</v>
      </c>
      <c r="I273" s="166" t="str">
        <f t="shared" si="22"/>
        <v/>
      </c>
      <c r="J273" s="165" t="e">
        <f t="shared" si="25"/>
        <v>#NUM!</v>
      </c>
      <c r="K273" s="165" t="e">
        <f t="shared" si="23"/>
        <v>#NUM!</v>
      </c>
      <c r="L273" s="165"/>
      <c r="M273" s="167">
        <f t="shared" si="24"/>
        <v>0</v>
      </c>
    </row>
    <row r="274" spans="1:13" x14ac:dyDescent="0.25">
      <c r="A274" s="182"/>
      <c r="G274" s="153"/>
      <c r="H274" s="165">
        <v>269</v>
      </c>
      <c r="I274" s="166" t="str">
        <f t="shared" si="22"/>
        <v/>
      </c>
      <c r="J274" s="165" t="e">
        <f t="shared" si="25"/>
        <v>#NUM!</v>
      </c>
      <c r="K274" s="165" t="e">
        <f t="shared" si="23"/>
        <v>#NUM!</v>
      </c>
      <c r="L274" s="165"/>
      <c r="M274" s="167">
        <f t="shared" si="24"/>
        <v>0</v>
      </c>
    </row>
    <row r="275" spans="1:13" x14ac:dyDescent="0.25">
      <c r="A275" s="182"/>
      <c r="G275" s="153"/>
      <c r="H275" s="168">
        <v>270</v>
      </c>
      <c r="I275" s="166" t="str">
        <f t="shared" si="22"/>
        <v/>
      </c>
      <c r="J275" s="165" t="e">
        <f t="shared" si="25"/>
        <v>#NUM!</v>
      </c>
      <c r="K275" s="165" t="e">
        <f t="shared" si="23"/>
        <v>#NUM!</v>
      </c>
      <c r="L275" s="165"/>
      <c r="M275" s="167">
        <f t="shared" si="24"/>
        <v>0</v>
      </c>
    </row>
    <row r="276" spans="1:13" x14ac:dyDescent="0.25">
      <c r="A276" s="182"/>
      <c r="G276" s="153"/>
      <c r="H276" s="165">
        <v>271</v>
      </c>
      <c r="I276" s="166" t="str">
        <f t="shared" si="22"/>
        <v/>
      </c>
      <c r="J276" s="165" t="e">
        <f t="shared" si="25"/>
        <v>#NUM!</v>
      </c>
      <c r="K276" s="165" t="e">
        <f t="shared" si="23"/>
        <v>#NUM!</v>
      </c>
      <c r="L276" s="165"/>
      <c r="M276" s="167">
        <f t="shared" si="24"/>
        <v>0</v>
      </c>
    </row>
    <row r="277" spans="1:13" x14ac:dyDescent="0.25">
      <c r="A277" s="182"/>
      <c r="G277" s="153"/>
      <c r="H277" s="168">
        <v>272</v>
      </c>
      <c r="I277" s="166" t="str">
        <f t="shared" si="22"/>
        <v/>
      </c>
      <c r="J277" s="165" t="e">
        <f t="shared" si="25"/>
        <v>#NUM!</v>
      </c>
      <c r="K277" s="165" t="e">
        <f t="shared" si="23"/>
        <v>#NUM!</v>
      </c>
      <c r="L277" s="165"/>
      <c r="M277" s="167">
        <f t="shared" si="24"/>
        <v>0</v>
      </c>
    </row>
    <row r="278" spans="1:13" x14ac:dyDescent="0.25">
      <c r="A278" s="182"/>
      <c r="G278" s="153"/>
      <c r="H278" s="165">
        <v>273</v>
      </c>
      <c r="I278" s="166" t="str">
        <f t="shared" si="22"/>
        <v/>
      </c>
      <c r="J278" s="165" t="e">
        <f t="shared" si="25"/>
        <v>#NUM!</v>
      </c>
      <c r="K278" s="165" t="e">
        <f t="shared" si="23"/>
        <v>#NUM!</v>
      </c>
      <c r="L278" s="165"/>
      <c r="M278" s="167">
        <f t="shared" si="24"/>
        <v>0</v>
      </c>
    </row>
    <row r="279" spans="1:13" x14ac:dyDescent="0.25">
      <c r="A279" s="182"/>
      <c r="G279" s="153"/>
      <c r="H279" s="168">
        <v>274</v>
      </c>
      <c r="I279" s="166" t="str">
        <f t="shared" si="22"/>
        <v/>
      </c>
      <c r="J279" s="165" t="e">
        <f t="shared" si="25"/>
        <v>#NUM!</v>
      </c>
      <c r="K279" s="165" t="e">
        <f t="shared" si="23"/>
        <v>#NUM!</v>
      </c>
      <c r="L279" s="165"/>
      <c r="M279" s="167">
        <f t="shared" si="24"/>
        <v>0</v>
      </c>
    </row>
    <row r="280" spans="1:13" x14ac:dyDescent="0.25">
      <c r="A280" s="182"/>
      <c r="G280" s="153"/>
      <c r="H280" s="165">
        <v>275</v>
      </c>
      <c r="I280" s="166" t="str">
        <f t="shared" si="22"/>
        <v/>
      </c>
      <c r="J280" s="165" t="e">
        <f t="shared" si="25"/>
        <v>#NUM!</v>
      </c>
      <c r="K280" s="165" t="e">
        <f t="shared" si="23"/>
        <v>#NUM!</v>
      </c>
      <c r="L280" s="165"/>
      <c r="M280" s="167">
        <f t="shared" si="24"/>
        <v>0</v>
      </c>
    </row>
    <row r="281" spans="1:13" x14ac:dyDescent="0.25">
      <c r="A281" s="182"/>
      <c r="G281" s="153"/>
      <c r="H281" s="168">
        <v>276</v>
      </c>
      <c r="I281" s="166" t="str">
        <f t="shared" si="22"/>
        <v/>
      </c>
      <c r="J281" s="165" t="e">
        <f t="shared" si="25"/>
        <v>#NUM!</v>
      </c>
      <c r="K281" s="165" t="e">
        <f t="shared" si="23"/>
        <v>#NUM!</v>
      </c>
      <c r="L281" s="165"/>
      <c r="M281" s="167">
        <f t="shared" si="24"/>
        <v>0</v>
      </c>
    </row>
    <row r="282" spans="1:13" x14ac:dyDescent="0.25">
      <c r="A282" s="182"/>
      <c r="G282" s="153"/>
      <c r="H282" s="165">
        <v>277</v>
      </c>
      <c r="I282" s="166" t="str">
        <f t="shared" si="22"/>
        <v/>
      </c>
      <c r="J282" s="165" t="e">
        <f t="shared" si="25"/>
        <v>#NUM!</v>
      </c>
      <c r="K282" s="165" t="e">
        <f t="shared" si="23"/>
        <v>#NUM!</v>
      </c>
      <c r="L282" s="165"/>
      <c r="M282" s="167">
        <f t="shared" si="24"/>
        <v>0</v>
      </c>
    </row>
    <row r="283" spans="1:13" x14ac:dyDescent="0.25">
      <c r="A283" s="182"/>
      <c r="G283" s="153"/>
      <c r="H283" s="168">
        <v>278</v>
      </c>
      <c r="I283" s="166" t="str">
        <f t="shared" si="22"/>
        <v/>
      </c>
      <c r="J283" s="165" t="e">
        <f t="shared" si="25"/>
        <v>#NUM!</v>
      </c>
      <c r="K283" s="165" t="e">
        <f t="shared" si="23"/>
        <v>#NUM!</v>
      </c>
      <c r="L283" s="165"/>
      <c r="M283" s="167">
        <f t="shared" si="24"/>
        <v>0</v>
      </c>
    </row>
    <row r="284" spans="1:13" x14ac:dyDescent="0.25">
      <c r="A284" s="182"/>
      <c r="G284" s="153"/>
      <c r="H284" s="165">
        <v>279</v>
      </c>
      <c r="I284" s="166" t="str">
        <f t="shared" si="22"/>
        <v/>
      </c>
      <c r="J284" s="165" t="e">
        <f t="shared" si="25"/>
        <v>#NUM!</v>
      </c>
      <c r="K284" s="165" t="e">
        <f t="shared" si="23"/>
        <v>#NUM!</v>
      </c>
      <c r="L284" s="165"/>
      <c r="M284" s="167">
        <f t="shared" si="24"/>
        <v>0</v>
      </c>
    </row>
    <row r="285" spans="1:13" x14ac:dyDescent="0.25">
      <c r="A285" s="182"/>
      <c r="G285" s="153"/>
      <c r="H285" s="168">
        <v>280</v>
      </c>
      <c r="I285" s="166" t="str">
        <f t="shared" si="22"/>
        <v/>
      </c>
      <c r="J285" s="165" t="e">
        <f t="shared" si="25"/>
        <v>#NUM!</v>
      </c>
      <c r="K285" s="165" t="e">
        <f t="shared" si="23"/>
        <v>#NUM!</v>
      </c>
      <c r="L285" s="165"/>
      <c r="M285" s="167">
        <f t="shared" si="24"/>
        <v>0</v>
      </c>
    </row>
    <row r="286" spans="1:13" x14ac:dyDescent="0.25">
      <c r="A286" s="182"/>
      <c r="G286" s="153"/>
      <c r="H286" s="165">
        <v>281</v>
      </c>
      <c r="I286" s="166" t="str">
        <f t="shared" si="22"/>
        <v/>
      </c>
      <c r="J286" s="165" t="e">
        <f t="shared" si="25"/>
        <v>#NUM!</v>
      </c>
      <c r="K286" s="165" t="e">
        <f t="shared" si="23"/>
        <v>#NUM!</v>
      </c>
      <c r="L286" s="165"/>
      <c r="M286" s="167">
        <f t="shared" si="24"/>
        <v>0</v>
      </c>
    </row>
    <row r="287" spans="1:13" x14ac:dyDescent="0.25">
      <c r="A287" s="182"/>
      <c r="G287" s="153"/>
      <c r="H287" s="168">
        <v>282</v>
      </c>
      <c r="I287" s="166" t="str">
        <f t="shared" si="22"/>
        <v/>
      </c>
      <c r="J287" s="165" t="e">
        <f t="shared" si="25"/>
        <v>#NUM!</v>
      </c>
      <c r="K287" s="165" t="e">
        <f t="shared" si="23"/>
        <v>#NUM!</v>
      </c>
      <c r="L287" s="165"/>
      <c r="M287" s="167">
        <f t="shared" si="24"/>
        <v>0</v>
      </c>
    </row>
    <row r="288" spans="1:13" x14ac:dyDescent="0.25">
      <c r="A288" s="182"/>
      <c r="G288" s="153"/>
      <c r="H288" s="165">
        <v>283</v>
      </c>
      <c r="I288" s="166" t="str">
        <f t="shared" si="22"/>
        <v/>
      </c>
      <c r="J288" s="165" t="e">
        <f t="shared" si="25"/>
        <v>#NUM!</v>
      </c>
      <c r="K288" s="165" t="e">
        <f t="shared" si="23"/>
        <v>#NUM!</v>
      </c>
      <c r="L288" s="165"/>
      <c r="M288" s="167">
        <f t="shared" si="24"/>
        <v>0</v>
      </c>
    </row>
    <row r="289" spans="1:13" x14ac:dyDescent="0.25">
      <c r="A289" s="182"/>
      <c r="G289" s="153"/>
      <c r="H289" s="168">
        <v>284</v>
      </c>
      <c r="I289" s="166" t="str">
        <f t="shared" si="22"/>
        <v/>
      </c>
      <c r="J289" s="165" t="e">
        <f t="shared" si="25"/>
        <v>#NUM!</v>
      </c>
      <c r="K289" s="165" t="e">
        <f t="shared" si="23"/>
        <v>#NUM!</v>
      </c>
      <c r="L289" s="165"/>
      <c r="M289" s="167">
        <f t="shared" si="24"/>
        <v>0</v>
      </c>
    </row>
    <row r="290" spans="1:13" x14ac:dyDescent="0.25">
      <c r="A290" s="182"/>
      <c r="G290" s="153"/>
      <c r="H290" s="165">
        <v>285</v>
      </c>
      <c r="I290" s="166" t="str">
        <f t="shared" si="22"/>
        <v/>
      </c>
      <c r="J290" s="165" t="e">
        <f t="shared" si="25"/>
        <v>#NUM!</v>
      </c>
      <c r="K290" s="165" t="e">
        <f t="shared" si="23"/>
        <v>#NUM!</v>
      </c>
      <c r="L290" s="165"/>
      <c r="M290" s="167">
        <f t="shared" si="24"/>
        <v>0</v>
      </c>
    </row>
    <row r="291" spans="1:13" x14ac:dyDescent="0.25">
      <c r="A291" s="182"/>
      <c r="G291" s="153"/>
      <c r="H291" s="168">
        <v>286</v>
      </c>
      <c r="I291" s="166" t="str">
        <f t="shared" si="22"/>
        <v/>
      </c>
      <c r="J291" s="165" t="e">
        <f t="shared" si="25"/>
        <v>#NUM!</v>
      </c>
      <c r="K291" s="165" t="e">
        <f t="shared" si="23"/>
        <v>#NUM!</v>
      </c>
      <c r="L291" s="165"/>
      <c r="M291" s="167">
        <f t="shared" si="24"/>
        <v>0</v>
      </c>
    </row>
    <row r="292" spans="1:13" x14ac:dyDescent="0.25">
      <c r="A292" s="182"/>
      <c r="G292" s="153"/>
      <c r="H292" s="165">
        <v>287</v>
      </c>
      <c r="I292" s="166" t="str">
        <f t="shared" si="22"/>
        <v/>
      </c>
      <c r="J292" s="165" t="e">
        <f t="shared" si="25"/>
        <v>#NUM!</v>
      </c>
      <c r="K292" s="165" t="e">
        <f t="shared" si="23"/>
        <v>#NUM!</v>
      </c>
      <c r="L292" s="165"/>
      <c r="M292" s="167">
        <f t="shared" si="24"/>
        <v>0</v>
      </c>
    </row>
    <row r="293" spans="1:13" x14ac:dyDescent="0.25">
      <c r="A293" s="182"/>
      <c r="G293" s="153"/>
      <c r="H293" s="165">
        <v>288</v>
      </c>
      <c r="I293" s="166" t="str">
        <f t="shared" si="22"/>
        <v/>
      </c>
      <c r="J293" s="165" t="e">
        <f t="shared" si="25"/>
        <v>#NUM!</v>
      </c>
      <c r="K293" s="165" t="e">
        <f t="shared" si="23"/>
        <v>#NUM!</v>
      </c>
      <c r="L293" s="165"/>
      <c r="M293" s="167">
        <f t="shared" si="24"/>
        <v>0</v>
      </c>
    </row>
    <row r="294" spans="1:13" x14ac:dyDescent="0.25">
      <c r="A294" s="182"/>
      <c r="G294" s="153"/>
      <c r="H294" s="165">
        <v>289</v>
      </c>
      <c r="I294" s="166" t="str">
        <f t="shared" si="22"/>
        <v/>
      </c>
      <c r="J294" s="165" t="e">
        <f t="shared" si="25"/>
        <v>#NUM!</v>
      </c>
      <c r="K294" s="165" t="e">
        <f t="shared" si="23"/>
        <v>#NUM!</v>
      </c>
      <c r="L294" s="165"/>
      <c r="M294" s="167">
        <f t="shared" si="24"/>
        <v>0</v>
      </c>
    </row>
    <row r="295" spans="1:13" x14ac:dyDescent="0.25">
      <c r="A295" s="182"/>
      <c r="G295" s="153"/>
      <c r="H295" s="165">
        <v>290</v>
      </c>
      <c r="I295" s="166" t="str">
        <f t="shared" si="22"/>
        <v/>
      </c>
      <c r="J295" s="165" t="e">
        <f t="shared" si="25"/>
        <v>#NUM!</v>
      </c>
      <c r="K295" s="165" t="e">
        <f t="shared" si="23"/>
        <v>#NUM!</v>
      </c>
      <c r="L295" s="165"/>
      <c r="M295" s="167">
        <f t="shared" si="24"/>
        <v>0</v>
      </c>
    </row>
    <row r="296" spans="1:13" x14ac:dyDescent="0.25">
      <c r="A296" s="182"/>
      <c r="G296" s="153"/>
      <c r="H296" s="165">
        <v>291</v>
      </c>
      <c r="I296" s="166" t="str">
        <f t="shared" si="22"/>
        <v/>
      </c>
      <c r="J296" s="165" t="e">
        <f t="shared" si="25"/>
        <v>#NUM!</v>
      </c>
      <c r="K296" s="165" t="e">
        <f t="shared" si="23"/>
        <v>#NUM!</v>
      </c>
      <c r="L296" s="165"/>
      <c r="M296" s="167">
        <f t="shared" si="24"/>
        <v>0</v>
      </c>
    </row>
    <row r="297" spans="1:13" x14ac:dyDescent="0.25">
      <c r="A297" s="182"/>
      <c r="G297" s="153"/>
      <c r="H297" s="165">
        <v>292</v>
      </c>
      <c r="I297" s="166" t="str">
        <f t="shared" si="22"/>
        <v/>
      </c>
      <c r="J297" s="165" t="e">
        <f t="shared" si="25"/>
        <v>#NUM!</v>
      </c>
      <c r="K297" s="165" t="e">
        <f t="shared" si="23"/>
        <v>#NUM!</v>
      </c>
      <c r="L297" s="165"/>
      <c r="M297" s="167">
        <f t="shared" si="24"/>
        <v>0</v>
      </c>
    </row>
    <row r="298" spans="1:13" x14ac:dyDescent="0.25">
      <c r="A298" s="182"/>
      <c r="G298" s="153"/>
      <c r="H298" s="165">
        <v>293</v>
      </c>
      <c r="I298" s="166" t="str">
        <f t="shared" si="22"/>
        <v/>
      </c>
      <c r="J298" s="165" t="e">
        <f t="shared" si="25"/>
        <v>#NUM!</v>
      </c>
      <c r="K298" s="165" t="e">
        <f t="shared" si="23"/>
        <v>#NUM!</v>
      </c>
      <c r="L298" s="165"/>
      <c r="M298" s="167">
        <f t="shared" si="24"/>
        <v>0</v>
      </c>
    </row>
    <row r="299" spans="1:13" x14ac:dyDescent="0.25">
      <c r="A299" s="182"/>
      <c r="G299" s="153"/>
      <c r="H299" s="165">
        <v>294</v>
      </c>
      <c r="I299" s="166" t="str">
        <f t="shared" si="22"/>
        <v/>
      </c>
      <c r="J299" s="165" t="e">
        <f t="shared" si="25"/>
        <v>#NUM!</v>
      </c>
      <c r="K299" s="165" t="e">
        <f t="shared" si="23"/>
        <v>#NUM!</v>
      </c>
      <c r="L299" s="165"/>
      <c r="M299" s="167">
        <f t="shared" si="24"/>
        <v>0</v>
      </c>
    </row>
    <row r="300" spans="1:13" x14ac:dyDescent="0.25">
      <c r="A300" s="182"/>
      <c r="G300" s="153"/>
      <c r="H300" s="165">
        <v>295</v>
      </c>
      <c r="I300" s="166" t="str">
        <f t="shared" si="22"/>
        <v/>
      </c>
      <c r="J300" s="165" t="e">
        <f t="shared" si="25"/>
        <v>#NUM!</v>
      </c>
      <c r="K300" s="165" t="e">
        <f t="shared" si="23"/>
        <v>#NUM!</v>
      </c>
      <c r="L300" s="165"/>
      <c r="M300" s="167">
        <f t="shared" si="24"/>
        <v>0</v>
      </c>
    </row>
    <row r="301" spans="1:13" x14ac:dyDescent="0.25">
      <c r="A301" s="182"/>
      <c r="G301" s="153"/>
      <c r="H301" s="165">
        <v>296</v>
      </c>
      <c r="I301" s="166" t="str">
        <f t="shared" si="22"/>
        <v/>
      </c>
      <c r="J301" s="165" t="e">
        <f t="shared" si="25"/>
        <v>#NUM!</v>
      </c>
      <c r="K301" s="165" t="e">
        <f t="shared" si="23"/>
        <v>#NUM!</v>
      </c>
      <c r="L301" s="165"/>
      <c r="M301" s="167">
        <f t="shared" si="24"/>
        <v>0</v>
      </c>
    </row>
    <row r="302" spans="1:13" x14ac:dyDescent="0.25">
      <c r="A302" s="182"/>
      <c r="G302" s="153"/>
      <c r="H302" s="165">
        <v>297</v>
      </c>
      <c r="I302" s="166" t="str">
        <f t="shared" si="22"/>
        <v/>
      </c>
      <c r="J302" s="165" t="e">
        <f t="shared" si="25"/>
        <v>#NUM!</v>
      </c>
      <c r="K302" s="165" t="e">
        <f t="shared" si="23"/>
        <v>#NUM!</v>
      </c>
      <c r="L302" s="165"/>
      <c r="M302" s="167">
        <f t="shared" si="24"/>
        <v>0</v>
      </c>
    </row>
    <row r="303" spans="1:13" x14ac:dyDescent="0.25">
      <c r="A303" s="182"/>
      <c r="G303" s="153"/>
      <c r="H303" s="165">
        <v>298</v>
      </c>
      <c r="I303" s="166" t="str">
        <f t="shared" si="22"/>
        <v/>
      </c>
      <c r="J303" s="165" t="e">
        <f t="shared" si="25"/>
        <v>#NUM!</v>
      </c>
      <c r="K303" s="165" t="e">
        <f t="shared" si="23"/>
        <v>#NUM!</v>
      </c>
      <c r="L303" s="165"/>
      <c r="M303" s="167">
        <f t="shared" si="24"/>
        <v>0</v>
      </c>
    </row>
    <row r="304" spans="1:13" x14ac:dyDescent="0.25">
      <c r="A304" s="182"/>
      <c r="G304" s="153"/>
      <c r="H304" s="165">
        <v>299</v>
      </c>
      <c r="I304" s="166" t="str">
        <f t="shared" si="22"/>
        <v/>
      </c>
      <c r="J304" s="165" t="e">
        <f t="shared" si="25"/>
        <v>#NUM!</v>
      </c>
      <c r="K304" s="165" t="e">
        <f t="shared" si="23"/>
        <v>#NUM!</v>
      </c>
      <c r="L304" s="165"/>
      <c r="M304" s="167">
        <f t="shared" si="24"/>
        <v>0</v>
      </c>
    </row>
    <row r="305" spans="1:16" x14ac:dyDescent="0.25">
      <c r="A305" s="182"/>
      <c r="G305" s="153"/>
      <c r="H305" s="165">
        <v>300</v>
      </c>
      <c r="I305" s="166" t="str">
        <f t="shared" si="22"/>
        <v/>
      </c>
      <c r="J305" s="165" t="e">
        <f t="shared" si="25"/>
        <v>#NUM!</v>
      </c>
      <c r="K305" s="165" t="e">
        <f t="shared" si="23"/>
        <v>#NUM!</v>
      </c>
      <c r="L305" s="165"/>
      <c r="M305" s="167">
        <f t="shared" si="24"/>
        <v>0</v>
      </c>
    </row>
    <row r="306" spans="1:16" x14ac:dyDescent="0.25">
      <c r="A306" s="183"/>
    </row>
    <row r="314" spans="1:16" x14ac:dyDescent="0.25">
      <c r="L314" s="186"/>
      <c r="P314" s="176"/>
    </row>
    <row r="315" spans="1:16" x14ac:dyDescent="0.25">
      <c r="L315" s="186"/>
      <c r="P315" s="176"/>
    </row>
    <row r="316" spans="1:16" x14ac:dyDescent="0.25">
      <c r="L316" s="186"/>
      <c r="P316" s="176"/>
    </row>
    <row r="317" spans="1:16" x14ac:dyDescent="0.25">
      <c r="L317" s="186"/>
      <c r="P317" s="176"/>
    </row>
  </sheetData>
  <conditionalFormatting sqref="J6:K305">
    <cfRule type="cellIs" dxfId="5" priority="1" operator="lessThanOrEqual">
      <formula>0</formula>
    </cfRule>
  </conditionalFormatting>
  <hyperlinks>
    <hyperlink ref="C2" r:id="rId1" xr:uid="{8E0CCF07-43D3-4D0D-8B62-98A25C1EDA68}"/>
  </hyperlinks>
  <pageMargins left="0.7" right="0.7" top="0.75" bottom="0.75" header="0.3" footer="0.3"/>
  <pageSetup paperSize="9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9CD4B-D697-4BCA-B0F8-CA8210CFC502}">
  <sheetPr>
    <tabColor rgb="FF92D050"/>
  </sheetPr>
  <dimension ref="A1:AL317"/>
  <sheetViews>
    <sheetView workbookViewId="0">
      <selection activeCell="C2" sqref="C2:C3"/>
    </sheetView>
  </sheetViews>
  <sheetFormatPr defaultColWidth="8.875" defaultRowHeight="14.3" x14ac:dyDescent="0.25"/>
  <cols>
    <col min="1" max="1" width="8" style="181" customWidth="1"/>
    <col min="2" max="2" width="8.25" style="181" customWidth="1"/>
    <col min="3" max="3" width="34.75" style="181" customWidth="1"/>
    <col min="4" max="4" width="11.25" style="181" customWidth="1"/>
    <col min="5" max="6" width="8.875" style="181"/>
    <col min="7" max="7" width="0.875" style="181" customWidth="1"/>
    <col min="8" max="8" width="8.875" style="184"/>
    <col min="9" max="9" width="11" style="184" customWidth="1"/>
    <col min="10" max="10" width="15.25" style="184" customWidth="1"/>
    <col min="11" max="11" width="8.75" style="184" customWidth="1"/>
    <col min="12" max="12" width="11" style="184" customWidth="1"/>
    <col min="13" max="13" width="12.25" style="185" customWidth="1"/>
    <col min="14" max="15" width="13.875" style="153" customWidth="1"/>
    <col min="16" max="18" width="8.875" style="153"/>
    <col min="19" max="20" width="8.875" style="158"/>
    <col min="21" max="21" width="12.125" style="158" customWidth="1"/>
    <col min="22" max="22" width="27.375" style="158" customWidth="1"/>
    <col min="23" max="38" width="8.875" style="158"/>
    <col min="39" max="16384" width="8.875" style="181"/>
  </cols>
  <sheetData>
    <row r="1" spans="1:36" x14ac:dyDescent="0.25">
      <c r="A1" s="153"/>
      <c r="B1" s="153"/>
      <c r="C1" s="153"/>
      <c r="D1" s="153"/>
      <c r="E1" s="153"/>
      <c r="F1" s="153"/>
      <c r="G1" s="153"/>
      <c r="H1" s="154" t="s">
        <v>13</v>
      </c>
      <c r="I1" s="155" t="s">
        <v>14</v>
      </c>
      <c r="J1" s="155" t="s">
        <v>15</v>
      </c>
      <c r="K1" s="156" t="s">
        <v>57</v>
      </c>
      <c r="L1" s="157"/>
      <c r="M1" s="157"/>
    </row>
    <row r="2" spans="1:36" x14ac:dyDescent="0.25">
      <c r="A2" s="153"/>
      <c r="B2" s="17" t="s">
        <v>17</v>
      </c>
      <c r="C2" s="206" t="s">
        <v>133</v>
      </c>
      <c r="D2" s="209"/>
      <c r="E2" s="18"/>
      <c r="F2" s="18"/>
      <c r="G2" s="18"/>
      <c r="H2" s="159">
        <v>0</v>
      </c>
      <c r="I2" s="160">
        <v>50</v>
      </c>
      <c r="J2" s="160">
        <v>10</v>
      </c>
      <c r="K2" s="161">
        <f>3*H2^(1/3)</f>
        <v>0</v>
      </c>
      <c r="L2" s="157"/>
      <c r="M2" s="157"/>
    </row>
    <row r="3" spans="1:36" x14ac:dyDescent="0.25">
      <c r="A3" s="153"/>
      <c r="B3" s="162" t="s">
        <v>18</v>
      </c>
      <c r="C3" s="210" t="s">
        <v>134</v>
      </c>
      <c r="D3" s="210"/>
      <c r="E3" s="23"/>
      <c r="F3" s="23"/>
      <c r="G3" s="23"/>
      <c r="H3" s="157"/>
      <c r="I3" s="157"/>
      <c r="J3" s="188"/>
      <c r="K3" s="157"/>
      <c r="L3" s="157"/>
      <c r="M3" s="157"/>
    </row>
    <row r="4" spans="1:36" ht="10.199999999999999" customHeight="1" x14ac:dyDescent="0.25">
      <c r="A4" s="25"/>
      <c r="B4" s="23"/>
      <c r="C4" s="25"/>
      <c r="D4" s="25"/>
      <c r="E4" s="25"/>
      <c r="F4" s="25"/>
      <c r="G4" s="25"/>
      <c r="H4" s="157"/>
      <c r="I4" s="157"/>
      <c r="J4" s="188"/>
      <c r="K4" s="157"/>
      <c r="L4" s="157"/>
      <c r="M4" s="157"/>
    </row>
    <row r="5" spans="1:36" ht="34.65" x14ac:dyDescent="0.25">
      <c r="A5" s="1" t="s">
        <v>19</v>
      </c>
      <c r="B5" s="26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25"/>
      <c r="H5" s="163" t="s">
        <v>25</v>
      </c>
      <c r="I5" s="164" t="s">
        <v>26</v>
      </c>
      <c r="J5" s="189" t="s">
        <v>27</v>
      </c>
      <c r="K5" s="164" t="s">
        <v>28</v>
      </c>
      <c r="L5" s="164" t="s">
        <v>29</v>
      </c>
      <c r="M5" s="163" t="s">
        <v>30</v>
      </c>
    </row>
    <row r="6" spans="1:36" ht="14.45" customHeight="1" x14ac:dyDescent="0.25">
      <c r="A6" s="87">
        <f>M6</f>
        <v>0</v>
      </c>
      <c r="B6" s="31" t="str">
        <f t="shared" ref="B6:B69" si="0">IF(H6&gt;$H$2,"",(ROW()-5))</f>
        <v/>
      </c>
      <c r="C6" s="32"/>
      <c r="D6" s="32"/>
      <c r="E6" s="32"/>
      <c r="F6" s="32"/>
      <c r="G6" s="25"/>
      <c r="H6" s="165">
        <v>1</v>
      </c>
      <c r="I6" s="166" t="str">
        <f t="shared" ref="I6:I69" si="1">IF(H6&lt;$H$2+1,($I$2-($I$2-1)*(LOG(H6)/LOG($H$2))),"")</f>
        <v/>
      </c>
      <c r="J6" s="165" t="e">
        <f>INT(LOG($H$2,2))-ROUNDUP(LOG(H6,2),0)+IF(OR($H$2=1,$H$2=2,$H$2=4,$H$2=8,$H$2=16,$H$2=32,$H$2=64,$H$2=128,$H$2=256),0,1)</f>
        <v>#NUM!</v>
      </c>
      <c r="K6" s="165" t="e">
        <f t="shared" ref="K6:K69" si="2">J6*$J$2</f>
        <v>#NUM!</v>
      </c>
      <c r="L6" s="167">
        <f>3*K2</f>
        <v>0</v>
      </c>
      <c r="M6" s="167">
        <f t="shared" ref="M6:M69" si="3">IF(I6&lt;&gt;"",K6+I6+L6,0)</f>
        <v>0</v>
      </c>
    </row>
    <row r="7" spans="1:36" ht="14.45" customHeight="1" x14ac:dyDescent="0.25">
      <c r="A7" s="91">
        <f t="shared" ref="A7:A70" si="4">M7</f>
        <v>0</v>
      </c>
      <c r="B7" s="37" t="str">
        <f t="shared" si="0"/>
        <v/>
      </c>
      <c r="C7" s="38"/>
      <c r="D7" s="38"/>
      <c r="E7" s="38"/>
      <c r="F7" s="38"/>
      <c r="G7" s="25"/>
      <c r="H7" s="168">
        <v>2</v>
      </c>
      <c r="I7" s="169" t="str">
        <f t="shared" si="1"/>
        <v/>
      </c>
      <c r="J7" s="168" t="e">
        <f t="shared" ref="J7:J70" si="5">INT(LOG($H$2,2))-ROUNDUP(LOG(H7,2),0)+IF(OR($H$2=1,$H$2=2,$H$2=4,$H$2=8,$H$2=16,$H$2=32,$H$2=64,$H$2=128,$H$2=256),0,1)</f>
        <v>#NUM!</v>
      </c>
      <c r="K7" s="168" t="e">
        <f t="shared" si="2"/>
        <v>#NUM!</v>
      </c>
      <c r="L7" s="170">
        <f>2*K2</f>
        <v>0</v>
      </c>
      <c r="M7" s="170">
        <f t="shared" si="3"/>
        <v>0</v>
      </c>
    </row>
    <row r="8" spans="1:36" ht="14.45" customHeight="1" x14ac:dyDescent="0.25">
      <c r="A8" s="87">
        <f t="shared" si="4"/>
        <v>0</v>
      </c>
      <c r="B8" s="31" t="str">
        <f t="shared" si="0"/>
        <v/>
      </c>
      <c r="C8" s="32"/>
      <c r="D8" s="32"/>
      <c r="E8" s="32"/>
      <c r="F8" s="32"/>
      <c r="G8" s="25"/>
      <c r="H8" s="165">
        <v>3</v>
      </c>
      <c r="I8" s="166" t="str">
        <f t="shared" si="1"/>
        <v/>
      </c>
      <c r="J8" s="165" t="e">
        <f t="shared" si="5"/>
        <v>#NUM!</v>
      </c>
      <c r="K8" s="165" t="e">
        <f t="shared" si="2"/>
        <v>#NUM!</v>
      </c>
      <c r="L8" s="167">
        <f>K2</f>
        <v>0</v>
      </c>
      <c r="M8" s="167">
        <f t="shared" si="3"/>
        <v>0</v>
      </c>
    </row>
    <row r="9" spans="1:36" s="158" customFormat="1" ht="14.45" customHeight="1" x14ac:dyDescent="0.25">
      <c r="A9" s="91">
        <f t="shared" si="4"/>
        <v>0</v>
      </c>
      <c r="B9" s="37" t="str">
        <f>IF(H9&gt;$H$2,"",3)</f>
        <v/>
      </c>
      <c r="C9" s="38"/>
      <c r="D9" s="38"/>
      <c r="E9" s="38"/>
      <c r="F9" s="38"/>
      <c r="G9" s="25"/>
      <c r="H9" s="168">
        <v>3</v>
      </c>
      <c r="I9" s="169" t="str">
        <f t="shared" si="1"/>
        <v/>
      </c>
      <c r="J9" s="168" t="e">
        <f t="shared" si="5"/>
        <v>#NUM!</v>
      </c>
      <c r="K9" s="168" t="e">
        <f t="shared" si="2"/>
        <v>#NUM!</v>
      </c>
      <c r="L9" s="170">
        <f>K2</f>
        <v>0</v>
      </c>
      <c r="M9" s="170">
        <f t="shared" si="3"/>
        <v>0</v>
      </c>
      <c r="N9" s="153"/>
      <c r="O9" s="153"/>
      <c r="P9" s="153"/>
      <c r="Q9" s="153"/>
      <c r="R9" s="153"/>
      <c r="V9" s="171"/>
      <c r="Z9" s="172"/>
      <c r="AA9" s="172"/>
      <c r="AG9" s="173"/>
      <c r="AH9" s="158" t="s">
        <v>34</v>
      </c>
      <c r="AI9" s="158">
        <v>23</v>
      </c>
    </row>
    <row r="10" spans="1:36" ht="14.45" customHeight="1" x14ac:dyDescent="0.25">
      <c r="A10" s="87">
        <f t="shared" si="4"/>
        <v>0</v>
      </c>
      <c r="B10" s="31" t="str">
        <f t="shared" si="0"/>
        <v/>
      </c>
      <c r="C10" s="32"/>
      <c r="D10" s="32"/>
      <c r="E10" s="32"/>
      <c r="F10" s="32"/>
      <c r="G10" s="25"/>
      <c r="H10" s="165">
        <v>5</v>
      </c>
      <c r="I10" s="166" t="str">
        <f t="shared" si="1"/>
        <v/>
      </c>
      <c r="J10" s="165" t="e">
        <f t="shared" si="5"/>
        <v>#NUM!</v>
      </c>
      <c r="K10" s="165" t="e">
        <f t="shared" si="2"/>
        <v>#NUM!</v>
      </c>
      <c r="L10" s="165"/>
      <c r="M10" s="167">
        <f t="shared" si="3"/>
        <v>0</v>
      </c>
      <c r="V10" s="171"/>
      <c r="Z10" s="172"/>
      <c r="AA10" s="172"/>
      <c r="AG10" s="173"/>
      <c r="AH10" s="158" t="s">
        <v>35</v>
      </c>
      <c r="AI10" s="158">
        <v>45</v>
      </c>
    </row>
    <row r="11" spans="1:36" ht="14.45" customHeight="1" x14ac:dyDescent="0.25">
      <c r="A11" s="91">
        <f t="shared" si="4"/>
        <v>0</v>
      </c>
      <c r="B11" s="37" t="str">
        <f t="shared" si="0"/>
        <v/>
      </c>
      <c r="C11" s="38"/>
      <c r="D11" s="38"/>
      <c r="E11" s="38"/>
      <c r="F11" s="38"/>
      <c r="G11" s="25"/>
      <c r="H11" s="168">
        <v>6</v>
      </c>
      <c r="I11" s="169" t="str">
        <f t="shared" si="1"/>
        <v/>
      </c>
      <c r="J11" s="168" t="e">
        <f t="shared" si="5"/>
        <v>#NUM!</v>
      </c>
      <c r="K11" s="168" t="e">
        <f t="shared" si="2"/>
        <v>#NUM!</v>
      </c>
      <c r="L11" s="168"/>
      <c r="M11" s="170">
        <f t="shared" si="3"/>
        <v>0</v>
      </c>
      <c r="V11" s="174"/>
      <c r="Z11" s="172"/>
      <c r="AA11" s="172"/>
      <c r="AG11" s="173"/>
      <c r="AH11" s="158" t="s">
        <v>36</v>
      </c>
      <c r="AI11" s="158">
        <v>50</v>
      </c>
    </row>
    <row r="12" spans="1:36" ht="14.45" customHeight="1" x14ac:dyDescent="0.25">
      <c r="A12" s="87">
        <f t="shared" si="4"/>
        <v>0</v>
      </c>
      <c r="B12" s="31" t="str">
        <f t="shared" si="0"/>
        <v/>
      </c>
      <c r="C12" s="32"/>
      <c r="D12" s="32"/>
      <c r="E12" s="32"/>
      <c r="F12" s="32"/>
      <c r="G12" s="25"/>
      <c r="H12" s="165">
        <v>7</v>
      </c>
      <c r="I12" s="166" t="str">
        <f t="shared" si="1"/>
        <v/>
      </c>
      <c r="J12" s="165" t="e">
        <f t="shared" si="5"/>
        <v>#NUM!</v>
      </c>
      <c r="K12" s="165" t="e">
        <f t="shared" si="2"/>
        <v>#NUM!</v>
      </c>
      <c r="L12" s="165"/>
      <c r="M12" s="167">
        <f t="shared" si="3"/>
        <v>0</v>
      </c>
      <c r="Z12" s="172"/>
      <c r="AA12" s="172"/>
      <c r="AG12" s="173"/>
      <c r="AH12" s="158" t="s">
        <v>37</v>
      </c>
      <c r="AI12" s="158">
        <f>AI11-1</f>
        <v>49</v>
      </c>
    </row>
    <row r="13" spans="1:36" ht="14.45" customHeight="1" x14ac:dyDescent="0.25">
      <c r="A13" s="91">
        <f t="shared" si="4"/>
        <v>0</v>
      </c>
      <c r="B13" s="37" t="str">
        <f t="shared" si="0"/>
        <v/>
      </c>
      <c r="C13" s="38"/>
      <c r="D13" s="38"/>
      <c r="E13" s="38"/>
      <c r="F13" s="38"/>
      <c r="G13" s="25"/>
      <c r="H13" s="168">
        <v>8</v>
      </c>
      <c r="I13" s="169" t="str">
        <f t="shared" si="1"/>
        <v/>
      </c>
      <c r="J13" s="168" t="e">
        <f t="shared" si="5"/>
        <v>#NUM!</v>
      </c>
      <c r="K13" s="168" t="e">
        <f t="shared" si="2"/>
        <v>#NUM!</v>
      </c>
      <c r="L13" s="168"/>
      <c r="M13" s="170">
        <f t="shared" si="3"/>
        <v>0</v>
      </c>
      <c r="X13" s="171"/>
      <c r="AG13" s="173"/>
      <c r="AH13" s="158" t="s">
        <v>38</v>
      </c>
      <c r="AI13" s="158">
        <f>LOG(AI9)</f>
        <v>1.3617278360175928</v>
      </c>
    </row>
    <row r="14" spans="1:36" x14ac:dyDescent="0.25">
      <c r="A14" s="87">
        <f t="shared" si="4"/>
        <v>0</v>
      </c>
      <c r="B14" s="31" t="str">
        <f t="shared" si="0"/>
        <v/>
      </c>
      <c r="C14" s="32"/>
      <c r="D14" s="32"/>
      <c r="E14" s="32"/>
      <c r="F14" s="32"/>
      <c r="G14" s="25"/>
      <c r="H14" s="165">
        <v>9</v>
      </c>
      <c r="I14" s="166" t="str">
        <f t="shared" si="1"/>
        <v/>
      </c>
      <c r="J14" s="165" t="e">
        <f t="shared" si="5"/>
        <v>#NUM!</v>
      </c>
      <c r="K14" s="165" t="e">
        <f t="shared" si="2"/>
        <v>#NUM!</v>
      </c>
      <c r="L14" s="165"/>
      <c r="M14" s="167">
        <f t="shared" si="3"/>
        <v>0</v>
      </c>
      <c r="X14" s="175"/>
      <c r="Z14" s="172"/>
      <c r="AA14" s="172"/>
      <c r="AG14" s="173"/>
      <c r="AH14" s="158" t="s">
        <v>39</v>
      </c>
      <c r="AI14" s="158">
        <f>LOG(AI10)</f>
        <v>1.6532125137753437</v>
      </c>
    </row>
    <row r="15" spans="1:36" x14ac:dyDescent="0.25">
      <c r="A15" s="91">
        <f t="shared" si="4"/>
        <v>0</v>
      </c>
      <c r="B15" s="37" t="str">
        <f t="shared" si="0"/>
        <v/>
      </c>
      <c r="C15" s="38"/>
      <c r="D15" s="38"/>
      <c r="E15" s="38"/>
      <c r="F15" s="38"/>
      <c r="G15" s="25"/>
      <c r="H15" s="168">
        <v>10</v>
      </c>
      <c r="I15" s="169" t="str">
        <f t="shared" si="1"/>
        <v/>
      </c>
      <c r="J15" s="168" t="e">
        <f t="shared" si="5"/>
        <v>#NUM!</v>
      </c>
      <c r="K15" s="168" t="e">
        <f t="shared" si="2"/>
        <v>#NUM!</v>
      </c>
      <c r="L15" s="168"/>
      <c r="M15" s="170">
        <f t="shared" si="3"/>
        <v>0</v>
      </c>
      <c r="X15" s="171"/>
      <c r="Z15" s="172"/>
      <c r="AA15" s="172"/>
    </row>
    <row r="16" spans="1:36" x14ac:dyDescent="0.25">
      <c r="A16" s="87">
        <f t="shared" si="4"/>
        <v>0</v>
      </c>
      <c r="B16" s="31" t="str">
        <f t="shared" si="0"/>
        <v/>
      </c>
      <c r="C16" s="32"/>
      <c r="D16" s="32"/>
      <c r="E16" s="32"/>
      <c r="F16" s="32"/>
      <c r="G16" s="25"/>
      <c r="H16" s="165">
        <v>11</v>
      </c>
      <c r="I16" s="166" t="str">
        <f t="shared" si="1"/>
        <v/>
      </c>
      <c r="J16" s="165" t="e">
        <f t="shared" si="5"/>
        <v>#NUM!</v>
      </c>
      <c r="K16" s="165" t="e">
        <f t="shared" si="2"/>
        <v>#NUM!</v>
      </c>
      <c r="L16" s="165"/>
      <c r="M16" s="167">
        <f t="shared" si="3"/>
        <v>0</v>
      </c>
      <c r="R16" s="176"/>
      <c r="Z16" s="172"/>
      <c r="AA16" s="172"/>
      <c r="AH16" s="177" t="s">
        <v>40</v>
      </c>
      <c r="AI16" s="158">
        <f>AI11-AI12*AI13/AI14</f>
        <v>9.6393909380186855</v>
      </c>
      <c r="AJ16" s="158" t="s">
        <v>41</v>
      </c>
    </row>
    <row r="17" spans="1:19" x14ac:dyDescent="0.25">
      <c r="A17" s="91">
        <f t="shared" si="4"/>
        <v>0</v>
      </c>
      <c r="B17" s="37" t="str">
        <f t="shared" si="0"/>
        <v/>
      </c>
      <c r="C17" s="38"/>
      <c r="D17" s="38"/>
      <c r="E17" s="38"/>
      <c r="F17" s="38"/>
      <c r="G17" s="25"/>
      <c r="H17" s="168">
        <v>12</v>
      </c>
      <c r="I17" s="169" t="str">
        <f t="shared" si="1"/>
        <v/>
      </c>
      <c r="J17" s="168" t="e">
        <f t="shared" si="5"/>
        <v>#NUM!</v>
      </c>
      <c r="K17" s="168" t="e">
        <f t="shared" si="2"/>
        <v>#NUM!</v>
      </c>
      <c r="L17" s="168"/>
      <c r="M17" s="170">
        <f t="shared" si="3"/>
        <v>0</v>
      </c>
    </row>
    <row r="18" spans="1:19" x14ac:dyDescent="0.25">
      <c r="A18" s="87">
        <f t="shared" si="4"/>
        <v>0</v>
      </c>
      <c r="B18" s="31" t="str">
        <f t="shared" si="0"/>
        <v/>
      </c>
      <c r="C18" s="32"/>
      <c r="D18" s="32"/>
      <c r="E18" s="32"/>
      <c r="F18" s="32"/>
      <c r="G18" s="25"/>
      <c r="H18" s="165">
        <v>13</v>
      </c>
      <c r="I18" s="166" t="str">
        <f t="shared" si="1"/>
        <v/>
      </c>
      <c r="J18" s="165" t="e">
        <f t="shared" si="5"/>
        <v>#NUM!</v>
      </c>
      <c r="K18" s="165" t="e">
        <f t="shared" si="2"/>
        <v>#NUM!</v>
      </c>
      <c r="L18" s="165"/>
      <c r="M18" s="167">
        <f t="shared" si="3"/>
        <v>0</v>
      </c>
    </row>
    <row r="19" spans="1:19" x14ac:dyDescent="0.25">
      <c r="A19" s="91">
        <f t="shared" si="4"/>
        <v>0</v>
      </c>
      <c r="B19" s="37" t="str">
        <f t="shared" si="0"/>
        <v/>
      </c>
      <c r="C19" s="38"/>
      <c r="D19" s="38"/>
      <c r="E19" s="38"/>
      <c r="F19" s="38"/>
      <c r="G19" s="25"/>
      <c r="H19" s="168">
        <v>14</v>
      </c>
      <c r="I19" s="169" t="str">
        <f t="shared" si="1"/>
        <v/>
      </c>
      <c r="J19" s="168" t="e">
        <f t="shared" si="5"/>
        <v>#NUM!</v>
      </c>
      <c r="K19" s="168" t="e">
        <f t="shared" si="2"/>
        <v>#NUM!</v>
      </c>
      <c r="L19" s="168"/>
      <c r="M19" s="170">
        <f t="shared" si="3"/>
        <v>0</v>
      </c>
    </row>
    <row r="20" spans="1:19" x14ac:dyDescent="0.25">
      <c r="A20" s="87">
        <f t="shared" si="4"/>
        <v>0</v>
      </c>
      <c r="B20" s="31" t="str">
        <f t="shared" si="0"/>
        <v/>
      </c>
      <c r="C20" s="32"/>
      <c r="D20" s="32"/>
      <c r="E20" s="32"/>
      <c r="F20" s="32"/>
      <c r="G20" s="25"/>
      <c r="H20" s="165">
        <v>15</v>
      </c>
      <c r="I20" s="166" t="str">
        <f t="shared" si="1"/>
        <v/>
      </c>
      <c r="J20" s="165" t="e">
        <f t="shared" si="5"/>
        <v>#NUM!</v>
      </c>
      <c r="K20" s="165" t="e">
        <f t="shared" si="2"/>
        <v>#NUM!</v>
      </c>
      <c r="L20" s="165"/>
      <c r="M20" s="167">
        <f t="shared" si="3"/>
        <v>0</v>
      </c>
      <c r="R20" s="178"/>
      <c r="S20" s="179"/>
    </row>
    <row r="21" spans="1:19" x14ac:dyDescent="0.25">
      <c r="A21" s="91">
        <f t="shared" si="4"/>
        <v>0</v>
      </c>
      <c r="B21" s="37" t="str">
        <f t="shared" si="0"/>
        <v/>
      </c>
      <c r="C21" s="38"/>
      <c r="D21" s="38"/>
      <c r="E21" s="38"/>
      <c r="F21" s="38"/>
      <c r="G21" s="25"/>
      <c r="H21" s="168">
        <v>16</v>
      </c>
      <c r="I21" s="169" t="str">
        <f t="shared" si="1"/>
        <v/>
      </c>
      <c r="J21" s="168" t="e">
        <f t="shared" si="5"/>
        <v>#NUM!</v>
      </c>
      <c r="K21" s="168" t="e">
        <f t="shared" si="2"/>
        <v>#NUM!</v>
      </c>
      <c r="L21" s="168"/>
      <c r="M21" s="170">
        <f t="shared" si="3"/>
        <v>0</v>
      </c>
    </row>
    <row r="22" spans="1:19" x14ac:dyDescent="0.25">
      <c r="A22" s="87">
        <f t="shared" si="4"/>
        <v>0</v>
      </c>
      <c r="B22" s="31" t="str">
        <f t="shared" si="0"/>
        <v/>
      </c>
      <c r="C22" s="32"/>
      <c r="D22" s="32"/>
      <c r="E22" s="32"/>
      <c r="F22" s="32"/>
      <c r="G22" s="25"/>
      <c r="H22" s="165">
        <v>17</v>
      </c>
      <c r="I22" s="166" t="str">
        <f t="shared" si="1"/>
        <v/>
      </c>
      <c r="J22" s="165" t="e">
        <f t="shared" si="5"/>
        <v>#NUM!</v>
      </c>
      <c r="K22" s="165" t="e">
        <f t="shared" si="2"/>
        <v>#NUM!</v>
      </c>
      <c r="L22" s="165"/>
      <c r="M22" s="167">
        <f t="shared" si="3"/>
        <v>0</v>
      </c>
    </row>
    <row r="23" spans="1:19" x14ac:dyDescent="0.25">
      <c r="A23" s="91">
        <f t="shared" si="4"/>
        <v>0</v>
      </c>
      <c r="B23" s="37" t="str">
        <f t="shared" si="0"/>
        <v/>
      </c>
      <c r="C23" s="38"/>
      <c r="D23" s="38"/>
      <c r="E23" s="38"/>
      <c r="F23" s="38"/>
      <c r="G23" s="25"/>
      <c r="H23" s="168">
        <v>18</v>
      </c>
      <c r="I23" s="169" t="str">
        <f t="shared" si="1"/>
        <v/>
      </c>
      <c r="J23" s="168" t="e">
        <f t="shared" si="5"/>
        <v>#NUM!</v>
      </c>
      <c r="K23" s="168" t="e">
        <f t="shared" si="2"/>
        <v>#NUM!</v>
      </c>
      <c r="L23" s="168"/>
      <c r="M23" s="170">
        <f t="shared" si="3"/>
        <v>0</v>
      </c>
    </row>
    <row r="24" spans="1:19" x14ac:dyDescent="0.25">
      <c r="A24" s="87">
        <f t="shared" si="4"/>
        <v>0</v>
      </c>
      <c r="B24" s="31" t="str">
        <f t="shared" si="0"/>
        <v/>
      </c>
      <c r="C24" s="32"/>
      <c r="D24" s="32"/>
      <c r="E24" s="32"/>
      <c r="F24" s="32"/>
      <c r="G24" s="25"/>
      <c r="H24" s="165">
        <v>19</v>
      </c>
      <c r="I24" s="166" t="str">
        <f t="shared" si="1"/>
        <v/>
      </c>
      <c r="J24" s="165" t="e">
        <f t="shared" si="5"/>
        <v>#NUM!</v>
      </c>
      <c r="K24" s="165" t="e">
        <f t="shared" si="2"/>
        <v>#NUM!</v>
      </c>
      <c r="L24" s="165"/>
      <c r="M24" s="167">
        <f t="shared" si="3"/>
        <v>0</v>
      </c>
      <c r="R24" s="178"/>
      <c r="S24" s="179"/>
    </row>
    <row r="25" spans="1:19" x14ac:dyDescent="0.25">
      <c r="A25" s="91">
        <f t="shared" si="4"/>
        <v>0</v>
      </c>
      <c r="B25" s="37" t="str">
        <f t="shared" si="0"/>
        <v/>
      </c>
      <c r="C25" s="38"/>
      <c r="D25" s="38"/>
      <c r="E25" s="38"/>
      <c r="F25" s="38"/>
      <c r="G25" s="25"/>
      <c r="H25" s="168">
        <v>20</v>
      </c>
      <c r="I25" s="169" t="str">
        <f t="shared" si="1"/>
        <v/>
      </c>
      <c r="J25" s="168" t="e">
        <f t="shared" si="5"/>
        <v>#NUM!</v>
      </c>
      <c r="K25" s="168" t="e">
        <f t="shared" si="2"/>
        <v>#NUM!</v>
      </c>
      <c r="L25" s="168"/>
      <c r="M25" s="170">
        <f t="shared" si="3"/>
        <v>0</v>
      </c>
    </row>
    <row r="26" spans="1:19" x14ac:dyDescent="0.25">
      <c r="A26" s="87">
        <f t="shared" si="4"/>
        <v>0</v>
      </c>
      <c r="B26" s="31" t="str">
        <f t="shared" si="0"/>
        <v/>
      </c>
      <c r="C26" s="32"/>
      <c r="D26" s="32"/>
      <c r="E26" s="32"/>
      <c r="F26" s="32"/>
      <c r="G26" s="25"/>
      <c r="H26" s="165">
        <v>21</v>
      </c>
      <c r="I26" s="166" t="str">
        <f t="shared" si="1"/>
        <v/>
      </c>
      <c r="J26" s="165" t="e">
        <f t="shared" si="5"/>
        <v>#NUM!</v>
      </c>
      <c r="K26" s="165" t="e">
        <f t="shared" si="2"/>
        <v>#NUM!</v>
      </c>
      <c r="L26" s="165"/>
      <c r="M26" s="167">
        <f t="shared" si="3"/>
        <v>0</v>
      </c>
    </row>
    <row r="27" spans="1:19" x14ac:dyDescent="0.25">
      <c r="A27" s="91">
        <f t="shared" si="4"/>
        <v>0</v>
      </c>
      <c r="B27" s="37" t="str">
        <f t="shared" si="0"/>
        <v/>
      </c>
      <c r="C27" s="38"/>
      <c r="D27" s="38"/>
      <c r="E27" s="38"/>
      <c r="F27" s="38"/>
      <c r="G27" s="25"/>
      <c r="H27" s="168">
        <v>22</v>
      </c>
      <c r="I27" s="169" t="str">
        <f t="shared" si="1"/>
        <v/>
      </c>
      <c r="J27" s="168" t="e">
        <f t="shared" si="5"/>
        <v>#NUM!</v>
      </c>
      <c r="K27" s="168" t="e">
        <f t="shared" si="2"/>
        <v>#NUM!</v>
      </c>
      <c r="L27" s="168"/>
      <c r="M27" s="170">
        <f t="shared" si="3"/>
        <v>0</v>
      </c>
    </row>
    <row r="28" spans="1:19" x14ac:dyDescent="0.25">
      <c r="A28" s="87">
        <f t="shared" si="4"/>
        <v>0</v>
      </c>
      <c r="B28" s="31" t="str">
        <f t="shared" si="0"/>
        <v/>
      </c>
      <c r="C28" s="32"/>
      <c r="D28" s="32"/>
      <c r="E28" s="32"/>
      <c r="F28" s="32"/>
      <c r="G28" s="25"/>
      <c r="H28" s="165">
        <v>23</v>
      </c>
      <c r="I28" s="166" t="str">
        <f t="shared" si="1"/>
        <v/>
      </c>
      <c r="J28" s="165" t="e">
        <f t="shared" si="5"/>
        <v>#NUM!</v>
      </c>
      <c r="K28" s="165" t="e">
        <f t="shared" si="2"/>
        <v>#NUM!</v>
      </c>
      <c r="L28" s="165"/>
      <c r="M28" s="167">
        <f t="shared" si="3"/>
        <v>0</v>
      </c>
      <c r="R28" s="178"/>
      <c r="S28" s="179"/>
    </row>
    <row r="29" spans="1:19" x14ac:dyDescent="0.25">
      <c r="A29" s="91">
        <f t="shared" si="4"/>
        <v>0</v>
      </c>
      <c r="B29" s="37" t="str">
        <f t="shared" si="0"/>
        <v/>
      </c>
      <c r="C29" s="38"/>
      <c r="D29" s="38"/>
      <c r="E29" s="38"/>
      <c r="F29" s="38"/>
      <c r="G29" s="153"/>
      <c r="H29" s="168">
        <v>24</v>
      </c>
      <c r="I29" s="169" t="str">
        <f t="shared" si="1"/>
        <v/>
      </c>
      <c r="J29" s="168" t="e">
        <f t="shared" si="5"/>
        <v>#NUM!</v>
      </c>
      <c r="K29" s="168" t="e">
        <f t="shared" si="2"/>
        <v>#NUM!</v>
      </c>
      <c r="L29" s="168"/>
      <c r="M29" s="170">
        <f t="shared" si="3"/>
        <v>0</v>
      </c>
    </row>
    <row r="30" spans="1:19" x14ac:dyDescent="0.25">
      <c r="A30" s="87">
        <f t="shared" si="4"/>
        <v>0</v>
      </c>
      <c r="B30" s="31" t="str">
        <f t="shared" si="0"/>
        <v/>
      </c>
      <c r="C30" s="32"/>
      <c r="D30" s="32"/>
      <c r="E30" s="32"/>
      <c r="F30" s="32"/>
      <c r="G30" s="153"/>
      <c r="H30" s="165">
        <v>25</v>
      </c>
      <c r="I30" s="166" t="str">
        <f t="shared" si="1"/>
        <v/>
      </c>
      <c r="J30" s="165" t="e">
        <f t="shared" si="5"/>
        <v>#NUM!</v>
      </c>
      <c r="K30" s="165" t="e">
        <f t="shared" si="2"/>
        <v>#NUM!</v>
      </c>
      <c r="L30" s="165"/>
      <c r="M30" s="167">
        <f t="shared" si="3"/>
        <v>0</v>
      </c>
    </row>
    <row r="31" spans="1:19" x14ac:dyDescent="0.25">
      <c r="A31" s="91">
        <f t="shared" si="4"/>
        <v>0</v>
      </c>
      <c r="B31" s="37" t="str">
        <f t="shared" si="0"/>
        <v/>
      </c>
      <c r="C31" s="38"/>
      <c r="D31" s="38"/>
      <c r="E31" s="38"/>
      <c r="F31" s="38"/>
      <c r="G31" s="153"/>
      <c r="H31" s="168">
        <v>26</v>
      </c>
      <c r="I31" s="169" t="str">
        <f t="shared" si="1"/>
        <v/>
      </c>
      <c r="J31" s="168" t="e">
        <f t="shared" si="5"/>
        <v>#NUM!</v>
      </c>
      <c r="K31" s="168" t="e">
        <f t="shared" si="2"/>
        <v>#NUM!</v>
      </c>
      <c r="L31" s="168"/>
      <c r="M31" s="170">
        <f t="shared" si="3"/>
        <v>0</v>
      </c>
    </row>
    <row r="32" spans="1:19" x14ac:dyDescent="0.25">
      <c r="A32" s="87">
        <f t="shared" si="4"/>
        <v>0</v>
      </c>
      <c r="B32" s="31" t="str">
        <f t="shared" si="0"/>
        <v/>
      </c>
      <c r="C32" s="32"/>
      <c r="D32" s="32"/>
      <c r="E32" s="32"/>
      <c r="F32" s="32"/>
      <c r="G32" s="153"/>
      <c r="H32" s="165">
        <v>27</v>
      </c>
      <c r="I32" s="166" t="str">
        <f t="shared" si="1"/>
        <v/>
      </c>
      <c r="J32" s="165" t="e">
        <f t="shared" si="5"/>
        <v>#NUM!</v>
      </c>
      <c r="K32" s="165" t="e">
        <f t="shared" si="2"/>
        <v>#NUM!</v>
      </c>
      <c r="L32" s="165"/>
      <c r="M32" s="167">
        <f t="shared" si="3"/>
        <v>0</v>
      </c>
      <c r="R32" s="178"/>
      <c r="S32" s="179"/>
    </row>
    <row r="33" spans="1:19" x14ac:dyDescent="0.25">
      <c r="A33" s="91">
        <f t="shared" si="4"/>
        <v>0</v>
      </c>
      <c r="B33" s="37" t="str">
        <f t="shared" si="0"/>
        <v/>
      </c>
      <c r="C33" s="38"/>
      <c r="D33" s="38"/>
      <c r="E33" s="38"/>
      <c r="F33" s="38"/>
      <c r="G33" s="153"/>
      <c r="H33" s="168">
        <v>28</v>
      </c>
      <c r="I33" s="169" t="str">
        <f t="shared" si="1"/>
        <v/>
      </c>
      <c r="J33" s="168" t="e">
        <f t="shared" si="5"/>
        <v>#NUM!</v>
      </c>
      <c r="K33" s="168" t="e">
        <f t="shared" si="2"/>
        <v>#NUM!</v>
      </c>
      <c r="L33" s="168"/>
      <c r="M33" s="170">
        <f t="shared" si="3"/>
        <v>0</v>
      </c>
    </row>
    <row r="34" spans="1:19" x14ac:dyDescent="0.25">
      <c r="A34" s="87">
        <f t="shared" si="4"/>
        <v>0</v>
      </c>
      <c r="B34" s="31" t="str">
        <f t="shared" si="0"/>
        <v/>
      </c>
      <c r="C34" s="32"/>
      <c r="D34" s="32"/>
      <c r="E34" s="32"/>
      <c r="F34" s="32"/>
      <c r="G34" s="153"/>
      <c r="H34" s="165">
        <v>29</v>
      </c>
      <c r="I34" s="166" t="str">
        <f t="shared" si="1"/>
        <v/>
      </c>
      <c r="J34" s="165" t="e">
        <f t="shared" si="5"/>
        <v>#NUM!</v>
      </c>
      <c r="K34" s="165" t="e">
        <f t="shared" si="2"/>
        <v>#NUM!</v>
      </c>
      <c r="L34" s="165"/>
      <c r="M34" s="167">
        <f t="shared" si="3"/>
        <v>0</v>
      </c>
    </row>
    <row r="35" spans="1:19" x14ac:dyDescent="0.25">
      <c r="A35" s="91">
        <f t="shared" si="4"/>
        <v>0</v>
      </c>
      <c r="B35" s="37" t="str">
        <f t="shared" si="0"/>
        <v/>
      </c>
      <c r="C35" s="38"/>
      <c r="D35" s="38"/>
      <c r="E35" s="38"/>
      <c r="F35" s="38"/>
      <c r="G35" s="153"/>
      <c r="H35" s="168">
        <v>30</v>
      </c>
      <c r="I35" s="169" t="str">
        <f t="shared" si="1"/>
        <v/>
      </c>
      <c r="J35" s="168" t="e">
        <f t="shared" si="5"/>
        <v>#NUM!</v>
      </c>
      <c r="K35" s="168" t="e">
        <f t="shared" si="2"/>
        <v>#NUM!</v>
      </c>
      <c r="L35" s="168"/>
      <c r="M35" s="170">
        <f t="shared" si="3"/>
        <v>0</v>
      </c>
    </row>
    <row r="36" spans="1:19" x14ac:dyDescent="0.25">
      <c r="A36" s="87">
        <f t="shared" si="4"/>
        <v>0</v>
      </c>
      <c r="B36" s="31" t="str">
        <f t="shared" si="0"/>
        <v/>
      </c>
      <c r="C36" s="32"/>
      <c r="D36" s="32"/>
      <c r="E36" s="32"/>
      <c r="F36" s="32"/>
      <c r="G36" s="153"/>
      <c r="H36" s="165">
        <v>31</v>
      </c>
      <c r="I36" s="166" t="str">
        <f t="shared" si="1"/>
        <v/>
      </c>
      <c r="J36" s="165" t="e">
        <f t="shared" si="5"/>
        <v>#NUM!</v>
      </c>
      <c r="K36" s="165" t="e">
        <f t="shared" si="2"/>
        <v>#NUM!</v>
      </c>
      <c r="L36" s="165"/>
      <c r="M36" s="167">
        <f t="shared" si="3"/>
        <v>0</v>
      </c>
      <c r="R36" s="178"/>
      <c r="S36" s="179"/>
    </row>
    <row r="37" spans="1:19" x14ac:dyDescent="0.25">
      <c r="A37" s="91">
        <f t="shared" si="4"/>
        <v>0</v>
      </c>
      <c r="B37" s="37" t="str">
        <f t="shared" si="0"/>
        <v/>
      </c>
      <c r="C37" s="38"/>
      <c r="D37" s="38"/>
      <c r="E37" s="38"/>
      <c r="F37" s="38"/>
      <c r="G37" s="153"/>
      <c r="H37" s="168">
        <v>32</v>
      </c>
      <c r="I37" s="169" t="str">
        <f t="shared" si="1"/>
        <v/>
      </c>
      <c r="J37" s="168" t="e">
        <f t="shared" si="5"/>
        <v>#NUM!</v>
      </c>
      <c r="K37" s="168" t="e">
        <f t="shared" si="2"/>
        <v>#NUM!</v>
      </c>
      <c r="L37" s="168"/>
      <c r="M37" s="170">
        <f t="shared" si="3"/>
        <v>0</v>
      </c>
    </row>
    <row r="38" spans="1:19" x14ac:dyDescent="0.25">
      <c r="A38" s="87">
        <f t="shared" si="4"/>
        <v>0</v>
      </c>
      <c r="B38" s="31" t="str">
        <f t="shared" si="0"/>
        <v/>
      </c>
      <c r="C38" s="32"/>
      <c r="D38" s="32"/>
      <c r="E38" s="32"/>
      <c r="F38" s="32"/>
      <c r="G38" s="153"/>
      <c r="H38" s="165">
        <v>33</v>
      </c>
      <c r="I38" s="166" t="str">
        <f t="shared" si="1"/>
        <v/>
      </c>
      <c r="J38" s="165" t="e">
        <f t="shared" si="5"/>
        <v>#NUM!</v>
      </c>
      <c r="K38" s="165" t="e">
        <f t="shared" si="2"/>
        <v>#NUM!</v>
      </c>
      <c r="L38" s="165"/>
      <c r="M38" s="167">
        <f t="shared" si="3"/>
        <v>0</v>
      </c>
    </row>
    <row r="39" spans="1:19" x14ac:dyDescent="0.25">
      <c r="A39" s="91">
        <f t="shared" si="4"/>
        <v>0</v>
      </c>
      <c r="B39" s="37" t="str">
        <f t="shared" si="0"/>
        <v/>
      </c>
      <c r="C39" s="38"/>
      <c r="D39" s="38"/>
      <c r="E39" s="38"/>
      <c r="F39" s="38"/>
      <c r="G39" s="153"/>
      <c r="H39" s="168">
        <v>34</v>
      </c>
      <c r="I39" s="169" t="str">
        <f t="shared" si="1"/>
        <v/>
      </c>
      <c r="J39" s="168" t="e">
        <f t="shared" si="5"/>
        <v>#NUM!</v>
      </c>
      <c r="K39" s="168" t="e">
        <f t="shared" si="2"/>
        <v>#NUM!</v>
      </c>
      <c r="L39" s="168"/>
      <c r="M39" s="170">
        <f t="shared" si="3"/>
        <v>0</v>
      </c>
    </row>
    <row r="40" spans="1:19" x14ac:dyDescent="0.25">
      <c r="A40" s="87">
        <f t="shared" si="4"/>
        <v>0</v>
      </c>
      <c r="B40" s="31" t="str">
        <f t="shared" si="0"/>
        <v/>
      </c>
      <c r="C40" s="32"/>
      <c r="D40" s="32"/>
      <c r="E40" s="32"/>
      <c r="F40" s="32"/>
      <c r="G40" s="153"/>
      <c r="H40" s="165">
        <v>35</v>
      </c>
      <c r="I40" s="166" t="str">
        <f t="shared" si="1"/>
        <v/>
      </c>
      <c r="J40" s="165" t="e">
        <f t="shared" si="5"/>
        <v>#NUM!</v>
      </c>
      <c r="K40" s="165" t="e">
        <f t="shared" si="2"/>
        <v>#NUM!</v>
      </c>
      <c r="L40" s="165"/>
      <c r="M40" s="167">
        <f t="shared" si="3"/>
        <v>0</v>
      </c>
    </row>
    <row r="41" spans="1:19" x14ac:dyDescent="0.25">
      <c r="A41" s="91">
        <f t="shared" si="4"/>
        <v>0</v>
      </c>
      <c r="B41" s="37" t="str">
        <f t="shared" si="0"/>
        <v/>
      </c>
      <c r="C41" s="38"/>
      <c r="D41" s="38"/>
      <c r="E41" s="38"/>
      <c r="F41" s="38"/>
      <c r="G41" s="153"/>
      <c r="H41" s="168">
        <v>36</v>
      </c>
      <c r="I41" s="169" t="str">
        <f t="shared" si="1"/>
        <v/>
      </c>
      <c r="J41" s="168" t="e">
        <f t="shared" si="5"/>
        <v>#NUM!</v>
      </c>
      <c r="K41" s="168" t="e">
        <f t="shared" si="2"/>
        <v>#NUM!</v>
      </c>
      <c r="L41" s="168"/>
      <c r="M41" s="170">
        <f t="shared" si="3"/>
        <v>0</v>
      </c>
      <c r="S41" s="180"/>
    </row>
    <row r="42" spans="1:19" x14ac:dyDescent="0.25">
      <c r="A42" s="87">
        <f t="shared" si="4"/>
        <v>0</v>
      </c>
      <c r="B42" s="31" t="str">
        <f t="shared" si="0"/>
        <v/>
      </c>
      <c r="C42" s="32"/>
      <c r="D42" s="32"/>
      <c r="E42" s="32"/>
      <c r="F42" s="32"/>
      <c r="G42" s="153"/>
      <c r="H42" s="165">
        <v>37</v>
      </c>
      <c r="I42" s="166" t="str">
        <f t="shared" si="1"/>
        <v/>
      </c>
      <c r="J42" s="165" t="e">
        <f t="shared" si="5"/>
        <v>#NUM!</v>
      </c>
      <c r="K42" s="165" t="e">
        <f t="shared" si="2"/>
        <v>#NUM!</v>
      </c>
      <c r="L42" s="165"/>
      <c r="M42" s="167">
        <f t="shared" si="3"/>
        <v>0</v>
      </c>
    </row>
    <row r="43" spans="1:19" x14ac:dyDescent="0.25">
      <c r="A43" s="91">
        <f t="shared" si="4"/>
        <v>0</v>
      </c>
      <c r="B43" s="37" t="str">
        <f t="shared" si="0"/>
        <v/>
      </c>
      <c r="C43" s="38"/>
      <c r="D43" s="38"/>
      <c r="E43" s="38"/>
      <c r="F43" s="38"/>
      <c r="G43" s="153"/>
      <c r="H43" s="168">
        <v>38</v>
      </c>
      <c r="I43" s="169" t="str">
        <f t="shared" si="1"/>
        <v/>
      </c>
      <c r="J43" s="168" t="e">
        <f t="shared" si="5"/>
        <v>#NUM!</v>
      </c>
      <c r="K43" s="168" t="e">
        <f t="shared" si="2"/>
        <v>#NUM!</v>
      </c>
      <c r="L43" s="168"/>
      <c r="M43" s="170">
        <f t="shared" si="3"/>
        <v>0</v>
      </c>
    </row>
    <row r="44" spans="1:19" x14ac:dyDescent="0.25">
      <c r="A44" s="87">
        <f t="shared" si="4"/>
        <v>0</v>
      </c>
      <c r="B44" s="31" t="str">
        <f t="shared" si="0"/>
        <v/>
      </c>
      <c r="C44" s="32"/>
      <c r="D44" s="32"/>
      <c r="E44" s="32"/>
      <c r="F44" s="32"/>
      <c r="G44" s="153"/>
      <c r="H44" s="165">
        <v>39</v>
      </c>
      <c r="I44" s="166" t="str">
        <f t="shared" si="1"/>
        <v/>
      </c>
      <c r="J44" s="165" t="e">
        <f t="shared" si="5"/>
        <v>#NUM!</v>
      </c>
      <c r="K44" s="165" t="e">
        <f t="shared" si="2"/>
        <v>#NUM!</v>
      </c>
      <c r="L44" s="165"/>
      <c r="M44" s="167">
        <f t="shared" si="3"/>
        <v>0</v>
      </c>
    </row>
    <row r="45" spans="1:19" x14ac:dyDescent="0.25">
      <c r="A45" s="91">
        <f t="shared" si="4"/>
        <v>0</v>
      </c>
      <c r="B45" s="37" t="str">
        <f t="shared" si="0"/>
        <v/>
      </c>
      <c r="C45" s="38"/>
      <c r="D45" s="38"/>
      <c r="E45" s="38"/>
      <c r="F45" s="38"/>
      <c r="G45" s="153"/>
      <c r="H45" s="168">
        <v>40</v>
      </c>
      <c r="I45" s="169" t="str">
        <f t="shared" si="1"/>
        <v/>
      </c>
      <c r="J45" s="168" t="e">
        <f t="shared" si="5"/>
        <v>#NUM!</v>
      </c>
      <c r="K45" s="168" t="e">
        <f t="shared" si="2"/>
        <v>#NUM!</v>
      </c>
      <c r="L45" s="168"/>
      <c r="M45" s="170">
        <f t="shared" si="3"/>
        <v>0</v>
      </c>
    </row>
    <row r="46" spans="1:19" x14ac:dyDescent="0.25">
      <c r="A46" s="87">
        <f t="shared" si="4"/>
        <v>0</v>
      </c>
      <c r="B46" s="31" t="str">
        <f t="shared" si="0"/>
        <v/>
      </c>
      <c r="C46" s="32"/>
      <c r="D46" s="32"/>
      <c r="E46" s="32"/>
      <c r="F46" s="32"/>
      <c r="G46" s="153"/>
      <c r="H46" s="165">
        <v>41</v>
      </c>
      <c r="I46" s="166" t="str">
        <f t="shared" si="1"/>
        <v/>
      </c>
      <c r="J46" s="165" t="e">
        <f t="shared" si="5"/>
        <v>#NUM!</v>
      </c>
      <c r="K46" s="165" t="e">
        <f t="shared" si="2"/>
        <v>#NUM!</v>
      </c>
      <c r="L46" s="165"/>
      <c r="M46" s="167">
        <f t="shared" si="3"/>
        <v>0</v>
      </c>
    </row>
    <row r="47" spans="1:19" x14ac:dyDescent="0.25">
      <c r="A47" s="91">
        <f t="shared" si="4"/>
        <v>0</v>
      </c>
      <c r="B47" s="37" t="str">
        <f t="shared" si="0"/>
        <v/>
      </c>
      <c r="C47" s="38"/>
      <c r="D47" s="38"/>
      <c r="E47" s="38"/>
      <c r="F47" s="38"/>
      <c r="G47" s="153"/>
      <c r="H47" s="168">
        <v>42</v>
      </c>
      <c r="I47" s="169" t="str">
        <f t="shared" si="1"/>
        <v/>
      </c>
      <c r="J47" s="168" t="e">
        <f t="shared" si="5"/>
        <v>#NUM!</v>
      </c>
      <c r="K47" s="168" t="e">
        <f t="shared" si="2"/>
        <v>#NUM!</v>
      </c>
      <c r="L47" s="168"/>
      <c r="M47" s="170">
        <f t="shared" si="3"/>
        <v>0</v>
      </c>
    </row>
    <row r="48" spans="1:19" x14ac:dyDescent="0.25">
      <c r="A48" s="87">
        <f t="shared" si="4"/>
        <v>0</v>
      </c>
      <c r="B48" s="31" t="str">
        <f t="shared" si="0"/>
        <v/>
      </c>
      <c r="C48" s="32"/>
      <c r="D48" s="32"/>
      <c r="E48" s="32"/>
      <c r="F48" s="32"/>
      <c r="G48" s="153"/>
      <c r="H48" s="165">
        <v>43</v>
      </c>
      <c r="I48" s="166" t="str">
        <f t="shared" si="1"/>
        <v/>
      </c>
      <c r="J48" s="165" t="e">
        <f t="shared" si="5"/>
        <v>#NUM!</v>
      </c>
      <c r="K48" s="165" t="e">
        <f t="shared" si="2"/>
        <v>#NUM!</v>
      </c>
      <c r="L48" s="165"/>
      <c r="M48" s="167">
        <f t="shared" si="3"/>
        <v>0</v>
      </c>
    </row>
    <row r="49" spans="1:38" x14ac:dyDescent="0.25">
      <c r="A49" s="91">
        <f t="shared" si="4"/>
        <v>0</v>
      </c>
      <c r="B49" s="37" t="str">
        <f t="shared" si="0"/>
        <v/>
      </c>
      <c r="C49" s="38"/>
      <c r="D49" s="38"/>
      <c r="E49" s="38"/>
      <c r="F49" s="38"/>
      <c r="G49" s="153"/>
      <c r="H49" s="168">
        <v>44</v>
      </c>
      <c r="I49" s="169" t="str">
        <f t="shared" si="1"/>
        <v/>
      </c>
      <c r="J49" s="168" t="e">
        <f t="shared" si="5"/>
        <v>#NUM!</v>
      </c>
      <c r="K49" s="168" t="e">
        <f t="shared" si="2"/>
        <v>#NUM!</v>
      </c>
      <c r="L49" s="168"/>
      <c r="M49" s="170">
        <f t="shared" si="3"/>
        <v>0</v>
      </c>
    </row>
    <row r="50" spans="1:38" x14ac:dyDescent="0.25">
      <c r="A50" s="87">
        <f t="shared" si="4"/>
        <v>0</v>
      </c>
      <c r="B50" s="31" t="str">
        <f t="shared" si="0"/>
        <v/>
      </c>
      <c r="C50" s="32"/>
      <c r="D50" s="32"/>
      <c r="E50" s="32"/>
      <c r="F50" s="32"/>
      <c r="G50" s="153"/>
      <c r="H50" s="165">
        <v>45</v>
      </c>
      <c r="I50" s="166" t="str">
        <f t="shared" si="1"/>
        <v/>
      </c>
      <c r="J50" s="165" t="e">
        <f t="shared" si="5"/>
        <v>#NUM!</v>
      </c>
      <c r="K50" s="165" t="e">
        <f t="shared" si="2"/>
        <v>#NUM!</v>
      </c>
      <c r="L50" s="165"/>
      <c r="M50" s="167">
        <f t="shared" si="3"/>
        <v>0</v>
      </c>
    </row>
    <row r="51" spans="1:38" x14ac:dyDescent="0.25">
      <c r="A51" s="91">
        <f t="shared" si="4"/>
        <v>0</v>
      </c>
      <c r="B51" s="37" t="str">
        <f t="shared" si="0"/>
        <v/>
      </c>
      <c r="C51" s="38"/>
      <c r="D51" s="38"/>
      <c r="E51" s="38"/>
      <c r="F51" s="38"/>
      <c r="G51" s="153"/>
      <c r="H51" s="168">
        <v>46</v>
      </c>
      <c r="I51" s="169" t="str">
        <f t="shared" si="1"/>
        <v/>
      </c>
      <c r="J51" s="168" t="e">
        <f t="shared" si="5"/>
        <v>#NUM!</v>
      </c>
      <c r="K51" s="168" t="e">
        <f t="shared" si="2"/>
        <v>#NUM!</v>
      </c>
      <c r="L51" s="168"/>
      <c r="M51" s="170">
        <f t="shared" si="3"/>
        <v>0</v>
      </c>
    </row>
    <row r="52" spans="1:38" x14ac:dyDescent="0.25">
      <c r="A52" s="87">
        <f t="shared" si="4"/>
        <v>0</v>
      </c>
      <c r="B52" s="31" t="str">
        <f t="shared" si="0"/>
        <v/>
      </c>
      <c r="C52" s="32"/>
      <c r="D52" s="32"/>
      <c r="E52" s="32"/>
      <c r="F52" s="32"/>
      <c r="G52" s="153"/>
      <c r="H52" s="165">
        <v>47</v>
      </c>
      <c r="I52" s="166" t="str">
        <f t="shared" si="1"/>
        <v/>
      </c>
      <c r="J52" s="165" t="e">
        <f t="shared" si="5"/>
        <v>#NUM!</v>
      </c>
      <c r="K52" s="165" t="e">
        <f t="shared" si="2"/>
        <v>#NUM!</v>
      </c>
      <c r="L52" s="165"/>
      <c r="M52" s="167">
        <f t="shared" si="3"/>
        <v>0</v>
      </c>
    </row>
    <row r="53" spans="1:38" x14ac:dyDescent="0.25">
      <c r="A53" s="91">
        <f t="shared" si="4"/>
        <v>0</v>
      </c>
      <c r="B53" s="37" t="str">
        <f t="shared" si="0"/>
        <v/>
      </c>
      <c r="C53" s="38"/>
      <c r="D53" s="38"/>
      <c r="E53" s="38"/>
      <c r="F53" s="38"/>
      <c r="G53" s="153"/>
      <c r="H53" s="168">
        <v>48</v>
      </c>
      <c r="I53" s="169" t="str">
        <f t="shared" si="1"/>
        <v/>
      </c>
      <c r="J53" s="168" t="e">
        <f t="shared" si="5"/>
        <v>#NUM!</v>
      </c>
      <c r="K53" s="168" t="e">
        <f t="shared" si="2"/>
        <v>#NUM!</v>
      </c>
      <c r="L53" s="168"/>
      <c r="M53" s="170">
        <f t="shared" si="3"/>
        <v>0</v>
      </c>
    </row>
    <row r="54" spans="1:38" x14ac:dyDescent="0.25">
      <c r="A54" s="87">
        <f t="shared" si="4"/>
        <v>0</v>
      </c>
      <c r="B54" s="31" t="str">
        <f t="shared" si="0"/>
        <v/>
      </c>
      <c r="C54" s="32"/>
      <c r="D54" s="32"/>
      <c r="E54" s="32"/>
      <c r="F54" s="32"/>
      <c r="G54" s="153"/>
      <c r="H54" s="165">
        <v>49</v>
      </c>
      <c r="I54" s="166" t="str">
        <f t="shared" si="1"/>
        <v/>
      </c>
      <c r="J54" s="165" t="e">
        <f t="shared" si="5"/>
        <v>#NUM!</v>
      </c>
      <c r="K54" s="165" t="e">
        <f t="shared" si="2"/>
        <v>#NUM!</v>
      </c>
      <c r="L54" s="165"/>
      <c r="M54" s="167">
        <f t="shared" si="3"/>
        <v>0</v>
      </c>
    </row>
    <row r="55" spans="1:38" x14ac:dyDescent="0.25">
      <c r="A55" s="91">
        <f t="shared" si="4"/>
        <v>0</v>
      </c>
      <c r="B55" s="37" t="str">
        <f t="shared" si="0"/>
        <v/>
      </c>
      <c r="C55" s="38"/>
      <c r="D55" s="38"/>
      <c r="E55" s="38"/>
      <c r="F55" s="38"/>
      <c r="G55" s="153"/>
      <c r="H55" s="168">
        <v>50</v>
      </c>
      <c r="I55" s="169" t="str">
        <f t="shared" si="1"/>
        <v/>
      </c>
      <c r="J55" s="168" t="e">
        <f t="shared" si="5"/>
        <v>#NUM!</v>
      </c>
      <c r="K55" s="168" t="e">
        <f t="shared" si="2"/>
        <v>#NUM!</v>
      </c>
      <c r="L55" s="168"/>
      <c r="M55" s="170">
        <f t="shared" si="3"/>
        <v>0</v>
      </c>
    </row>
    <row r="56" spans="1:38" x14ac:dyDescent="0.25">
      <c r="A56" s="87">
        <f t="shared" si="4"/>
        <v>0</v>
      </c>
      <c r="B56" s="31" t="str">
        <f t="shared" si="0"/>
        <v/>
      </c>
      <c r="C56" s="32"/>
      <c r="D56" s="32"/>
      <c r="E56" s="32"/>
      <c r="F56" s="32"/>
      <c r="G56" s="153"/>
      <c r="H56" s="165">
        <v>51</v>
      </c>
      <c r="I56" s="166" t="str">
        <f t="shared" si="1"/>
        <v/>
      </c>
      <c r="J56" s="165" t="e">
        <f t="shared" si="5"/>
        <v>#NUM!</v>
      </c>
      <c r="K56" s="165" t="e">
        <f t="shared" si="2"/>
        <v>#NUM!</v>
      </c>
      <c r="L56" s="165"/>
      <c r="M56" s="167">
        <f t="shared" si="3"/>
        <v>0</v>
      </c>
    </row>
    <row r="57" spans="1:38" s="153" customFormat="1" x14ac:dyDescent="0.25">
      <c r="A57" s="91">
        <f t="shared" si="4"/>
        <v>0</v>
      </c>
      <c r="B57" s="37" t="str">
        <f t="shared" si="0"/>
        <v/>
      </c>
      <c r="C57" s="38"/>
      <c r="D57" s="38"/>
      <c r="E57" s="38"/>
      <c r="F57" s="38"/>
      <c r="H57" s="168">
        <v>52</v>
      </c>
      <c r="I57" s="169" t="str">
        <f t="shared" si="1"/>
        <v/>
      </c>
      <c r="J57" s="168" t="e">
        <f t="shared" si="5"/>
        <v>#NUM!</v>
      </c>
      <c r="K57" s="168" t="e">
        <f t="shared" si="2"/>
        <v>#NUM!</v>
      </c>
      <c r="L57" s="168"/>
      <c r="M57" s="170">
        <f t="shared" si="3"/>
        <v>0</v>
      </c>
      <c r="S57" s="158"/>
      <c r="T57" s="158"/>
      <c r="U57" s="158"/>
      <c r="V57" s="158"/>
      <c r="W57" s="158"/>
      <c r="X57" s="158"/>
      <c r="Y57" s="158"/>
      <c r="Z57" s="158"/>
      <c r="AA57" s="158"/>
      <c r="AB57" s="158"/>
      <c r="AC57" s="158"/>
      <c r="AD57" s="158"/>
      <c r="AE57" s="158"/>
      <c r="AF57" s="158"/>
      <c r="AG57" s="158"/>
      <c r="AH57" s="158"/>
      <c r="AI57" s="158"/>
      <c r="AJ57" s="158"/>
      <c r="AK57" s="158"/>
      <c r="AL57" s="158"/>
    </row>
    <row r="58" spans="1:38" s="153" customFormat="1" x14ac:dyDescent="0.25">
      <c r="A58" s="87">
        <f t="shared" si="4"/>
        <v>0</v>
      </c>
      <c r="B58" s="31" t="str">
        <f t="shared" si="0"/>
        <v/>
      </c>
      <c r="C58" s="32"/>
      <c r="D58" s="32"/>
      <c r="E58" s="32"/>
      <c r="F58" s="32"/>
      <c r="H58" s="165">
        <v>53</v>
      </c>
      <c r="I58" s="166" t="str">
        <f t="shared" si="1"/>
        <v/>
      </c>
      <c r="J58" s="165" t="e">
        <f t="shared" si="5"/>
        <v>#NUM!</v>
      </c>
      <c r="K58" s="165" t="e">
        <f t="shared" si="2"/>
        <v>#NUM!</v>
      </c>
      <c r="L58" s="165"/>
      <c r="M58" s="167">
        <f t="shared" si="3"/>
        <v>0</v>
      </c>
      <c r="S58" s="158"/>
      <c r="T58" s="158"/>
      <c r="U58" s="158"/>
      <c r="V58" s="158"/>
      <c r="W58" s="158"/>
      <c r="X58" s="158"/>
      <c r="Y58" s="158"/>
      <c r="Z58" s="158"/>
      <c r="AA58" s="158"/>
      <c r="AB58" s="158"/>
      <c r="AC58" s="158"/>
      <c r="AD58" s="158"/>
      <c r="AE58" s="158"/>
      <c r="AF58" s="158"/>
      <c r="AG58" s="158"/>
      <c r="AH58" s="158"/>
      <c r="AI58" s="158"/>
      <c r="AJ58" s="158"/>
      <c r="AK58" s="158"/>
      <c r="AL58" s="158"/>
    </row>
    <row r="59" spans="1:38" s="153" customFormat="1" x14ac:dyDescent="0.25">
      <c r="A59" s="91">
        <f t="shared" si="4"/>
        <v>0</v>
      </c>
      <c r="B59" s="37" t="str">
        <f t="shared" si="0"/>
        <v/>
      </c>
      <c r="C59" s="38"/>
      <c r="D59" s="38"/>
      <c r="E59" s="38"/>
      <c r="F59" s="38"/>
      <c r="H59" s="168">
        <v>54</v>
      </c>
      <c r="I59" s="169" t="str">
        <f t="shared" si="1"/>
        <v/>
      </c>
      <c r="J59" s="168" t="e">
        <f t="shared" si="5"/>
        <v>#NUM!</v>
      </c>
      <c r="K59" s="168" t="e">
        <f t="shared" si="2"/>
        <v>#NUM!</v>
      </c>
      <c r="L59" s="168"/>
      <c r="M59" s="170">
        <f t="shared" si="3"/>
        <v>0</v>
      </c>
      <c r="S59" s="158"/>
      <c r="T59" s="158"/>
      <c r="U59" s="158"/>
      <c r="V59" s="158"/>
      <c r="W59" s="158"/>
      <c r="X59" s="158"/>
      <c r="Y59" s="158"/>
      <c r="Z59" s="158"/>
      <c r="AA59" s="158"/>
      <c r="AB59" s="158"/>
      <c r="AC59" s="158"/>
      <c r="AD59" s="158"/>
      <c r="AE59" s="158"/>
      <c r="AF59" s="158"/>
      <c r="AG59" s="158"/>
      <c r="AH59" s="158"/>
      <c r="AI59" s="158"/>
      <c r="AJ59" s="158"/>
      <c r="AK59" s="158"/>
      <c r="AL59" s="158"/>
    </row>
    <row r="60" spans="1:38" s="153" customFormat="1" x14ac:dyDescent="0.25">
      <c r="A60" s="87">
        <f t="shared" si="4"/>
        <v>0</v>
      </c>
      <c r="B60" s="31" t="str">
        <f t="shared" si="0"/>
        <v/>
      </c>
      <c r="C60" s="32"/>
      <c r="D60" s="32"/>
      <c r="E60" s="32"/>
      <c r="F60" s="32"/>
      <c r="H60" s="165">
        <v>55</v>
      </c>
      <c r="I60" s="166" t="str">
        <f t="shared" si="1"/>
        <v/>
      </c>
      <c r="J60" s="165" t="e">
        <f t="shared" si="5"/>
        <v>#NUM!</v>
      </c>
      <c r="K60" s="165" t="e">
        <f t="shared" si="2"/>
        <v>#NUM!</v>
      </c>
      <c r="L60" s="165"/>
      <c r="M60" s="167">
        <f t="shared" si="3"/>
        <v>0</v>
      </c>
      <c r="S60" s="158"/>
      <c r="T60" s="158"/>
      <c r="U60" s="158"/>
      <c r="V60" s="158"/>
      <c r="W60" s="158"/>
      <c r="X60" s="158"/>
      <c r="Y60" s="158"/>
      <c r="Z60" s="158"/>
      <c r="AA60" s="158"/>
      <c r="AB60" s="158"/>
      <c r="AC60" s="158"/>
      <c r="AD60" s="158"/>
      <c r="AE60" s="158"/>
      <c r="AF60" s="158"/>
      <c r="AG60" s="158"/>
      <c r="AH60" s="158"/>
      <c r="AI60" s="158"/>
      <c r="AJ60" s="158"/>
      <c r="AK60" s="158"/>
      <c r="AL60" s="158"/>
    </row>
    <row r="61" spans="1:38" s="153" customFormat="1" x14ac:dyDescent="0.25">
      <c r="A61" s="91">
        <f t="shared" si="4"/>
        <v>0</v>
      </c>
      <c r="B61" s="37" t="str">
        <f t="shared" si="0"/>
        <v/>
      </c>
      <c r="C61" s="38"/>
      <c r="D61" s="38"/>
      <c r="E61" s="38"/>
      <c r="F61" s="38"/>
      <c r="H61" s="168">
        <v>56</v>
      </c>
      <c r="I61" s="169" t="str">
        <f t="shared" si="1"/>
        <v/>
      </c>
      <c r="J61" s="168" t="e">
        <f t="shared" si="5"/>
        <v>#NUM!</v>
      </c>
      <c r="K61" s="168" t="e">
        <f t="shared" si="2"/>
        <v>#NUM!</v>
      </c>
      <c r="L61" s="168"/>
      <c r="M61" s="170">
        <f t="shared" si="3"/>
        <v>0</v>
      </c>
      <c r="S61" s="158"/>
      <c r="T61" s="158"/>
      <c r="U61" s="158"/>
      <c r="V61" s="158"/>
      <c r="W61" s="158"/>
      <c r="X61" s="158"/>
      <c r="Y61" s="158"/>
      <c r="Z61" s="158"/>
      <c r="AA61" s="158"/>
      <c r="AB61" s="158"/>
      <c r="AC61" s="158"/>
      <c r="AD61" s="158"/>
      <c r="AE61" s="158"/>
      <c r="AF61" s="158"/>
      <c r="AG61" s="158"/>
      <c r="AH61" s="158"/>
      <c r="AI61" s="158"/>
      <c r="AJ61" s="158"/>
      <c r="AK61" s="158"/>
      <c r="AL61" s="158"/>
    </row>
    <row r="62" spans="1:38" s="153" customFormat="1" x14ac:dyDescent="0.25">
      <c r="A62" s="87">
        <f t="shared" si="4"/>
        <v>0</v>
      </c>
      <c r="B62" s="31" t="str">
        <f t="shared" si="0"/>
        <v/>
      </c>
      <c r="C62" s="32"/>
      <c r="D62" s="32"/>
      <c r="E62" s="32"/>
      <c r="F62" s="32"/>
      <c r="H62" s="165">
        <v>57</v>
      </c>
      <c r="I62" s="166" t="str">
        <f t="shared" si="1"/>
        <v/>
      </c>
      <c r="J62" s="165" t="e">
        <f t="shared" si="5"/>
        <v>#NUM!</v>
      </c>
      <c r="K62" s="165" t="e">
        <f t="shared" si="2"/>
        <v>#NUM!</v>
      </c>
      <c r="L62" s="165"/>
      <c r="M62" s="167">
        <f t="shared" si="3"/>
        <v>0</v>
      </c>
      <c r="S62" s="158"/>
      <c r="T62" s="158"/>
      <c r="U62" s="158"/>
      <c r="V62" s="158"/>
      <c r="W62" s="158"/>
      <c r="X62" s="158"/>
      <c r="Y62" s="158"/>
      <c r="Z62" s="158"/>
      <c r="AA62" s="158"/>
      <c r="AB62" s="158"/>
      <c r="AC62" s="158"/>
      <c r="AD62" s="158"/>
      <c r="AE62" s="158"/>
      <c r="AF62" s="158"/>
      <c r="AG62" s="158"/>
      <c r="AH62" s="158"/>
      <c r="AI62" s="158"/>
      <c r="AJ62" s="158"/>
      <c r="AK62" s="158"/>
      <c r="AL62" s="158"/>
    </row>
    <row r="63" spans="1:38" s="153" customFormat="1" x14ac:dyDescent="0.25">
      <c r="A63" s="91">
        <f t="shared" si="4"/>
        <v>0</v>
      </c>
      <c r="B63" s="37" t="str">
        <f t="shared" si="0"/>
        <v/>
      </c>
      <c r="C63" s="38"/>
      <c r="D63" s="38"/>
      <c r="E63" s="38"/>
      <c r="F63" s="38"/>
      <c r="H63" s="168">
        <v>58</v>
      </c>
      <c r="I63" s="169" t="str">
        <f t="shared" si="1"/>
        <v/>
      </c>
      <c r="J63" s="168" t="e">
        <f t="shared" si="5"/>
        <v>#NUM!</v>
      </c>
      <c r="K63" s="168" t="e">
        <f t="shared" si="2"/>
        <v>#NUM!</v>
      </c>
      <c r="L63" s="168"/>
      <c r="M63" s="170">
        <f t="shared" si="3"/>
        <v>0</v>
      </c>
      <c r="S63" s="158"/>
      <c r="T63" s="158"/>
      <c r="U63" s="158"/>
      <c r="V63" s="158"/>
      <c r="W63" s="158"/>
      <c r="X63" s="158"/>
      <c r="Y63" s="158"/>
      <c r="Z63" s="158"/>
      <c r="AA63" s="158"/>
      <c r="AB63" s="158"/>
      <c r="AC63" s="158"/>
      <c r="AD63" s="158"/>
      <c r="AE63" s="158"/>
      <c r="AF63" s="158"/>
      <c r="AG63" s="158"/>
      <c r="AH63" s="158"/>
      <c r="AI63" s="158"/>
      <c r="AJ63" s="158"/>
      <c r="AK63" s="158"/>
      <c r="AL63" s="158"/>
    </row>
    <row r="64" spans="1:38" s="153" customFormat="1" x14ac:dyDescent="0.25">
      <c r="A64" s="87">
        <f t="shared" si="4"/>
        <v>0</v>
      </c>
      <c r="B64" s="31" t="str">
        <f t="shared" si="0"/>
        <v/>
      </c>
      <c r="C64" s="32"/>
      <c r="D64" s="32"/>
      <c r="E64" s="32"/>
      <c r="F64" s="32"/>
      <c r="H64" s="165">
        <v>59</v>
      </c>
      <c r="I64" s="166" t="str">
        <f t="shared" si="1"/>
        <v/>
      </c>
      <c r="J64" s="165" t="e">
        <f t="shared" si="5"/>
        <v>#NUM!</v>
      </c>
      <c r="K64" s="165" t="e">
        <f t="shared" si="2"/>
        <v>#NUM!</v>
      </c>
      <c r="L64" s="165"/>
      <c r="M64" s="167">
        <f t="shared" si="3"/>
        <v>0</v>
      </c>
      <c r="S64" s="158"/>
      <c r="T64" s="158"/>
      <c r="U64" s="158"/>
      <c r="V64" s="158"/>
      <c r="W64" s="158"/>
      <c r="X64" s="158"/>
      <c r="Y64" s="158"/>
      <c r="Z64" s="158"/>
      <c r="AA64" s="158"/>
      <c r="AB64" s="158"/>
      <c r="AC64" s="158"/>
      <c r="AD64" s="158"/>
      <c r="AE64" s="158"/>
      <c r="AF64" s="158"/>
      <c r="AG64" s="158"/>
      <c r="AH64" s="158"/>
      <c r="AI64" s="158"/>
      <c r="AJ64" s="158"/>
      <c r="AK64" s="158"/>
      <c r="AL64" s="158"/>
    </row>
    <row r="65" spans="1:38" s="153" customFormat="1" x14ac:dyDescent="0.25">
      <c r="A65" s="91">
        <f t="shared" si="4"/>
        <v>0</v>
      </c>
      <c r="B65" s="37" t="str">
        <f t="shared" si="0"/>
        <v/>
      </c>
      <c r="C65" s="38"/>
      <c r="D65" s="38"/>
      <c r="E65" s="38"/>
      <c r="F65" s="38"/>
      <c r="H65" s="168">
        <v>60</v>
      </c>
      <c r="I65" s="169" t="str">
        <f t="shared" si="1"/>
        <v/>
      </c>
      <c r="J65" s="168" t="e">
        <f t="shared" si="5"/>
        <v>#NUM!</v>
      </c>
      <c r="K65" s="168" t="e">
        <f t="shared" si="2"/>
        <v>#NUM!</v>
      </c>
      <c r="L65" s="168"/>
      <c r="M65" s="170">
        <f t="shared" si="3"/>
        <v>0</v>
      </c>
      <c r="S65" s="158"/>
      <c r="T65" s="158"/>
      <c r="U65" s="158"/>
      <c r="V65" s="158"/>
      <c r="W65" s="158"/>
      <c r="X65" s="158"/>
      <c r="Y65" s="158"/>
      <c r="Z65" s="158"/>
      <c r="AA65" s="158"/>
      <c r="AB65" s="158"/>
      <c r="AC65" s="158"/>
      <c r="AD65" s="158"/>
      <c r="AE65" s="158"/>
      <c r="AF65" s="158"/>
      <c r="AG65" s="158"/>
      <c r="AH65" s="158"/>
      <c r="AI65" s="158"/>
      <c r="AJ65" s="158"/>
      <c r="AK65" s="158"/>
      <c r="AL65" s="158"/>
    </row>
    <row r="66" spans="1:38" s="153" customFormat="1" x14ac:dyDescent="0.25">
      <c r="A66" s="87">
        <f t="shared" si="4"/>
        <v>0</v>
      </c>
      <c r="B66" s="31" t="str">
        <f t="shared" si="0"/>
        <v/>
      </c>
      <c r="C66" s="32"/>
      <c r="D66" s="32"/>
      <c r="E66" s="32"/>
      <c r="F66" s="32"/>
      <c r="H66" s="165">
        <v>61</v>
      </c>
      <c r="I66" s="166" t="str">
        <f t="shared" si="1"/>
        <v/>
      </c>
      <c r="J66" s="165" t="e">
        <f t="shared" si="5"/>
        <v>#NUM!</v>
      </c>
      <c r="K66" s="165" t="e">
        <f t="shared" si="2"/>
        <v>#NUM!</v>
      </c>
      <c r="L66" s="165"/>
      <c r="M66" s="167">
        <f t="shared" si="3"/>
        <v>0</v>
      </c>
      <c r="S66" s="158"/>
      <c r="T66" s="158"/>
      <c r="U66" s="158"/>
      <c r="V66" s="158"/>
      <c r="W66" s="158"/>
      <c r="X66" s="158"/>
      <c r="Y66" s="158"/>
      <c r="Z66" s="158"/>
      <c r="AA66" s="158"/>
      <c r="AB66" s="158"/>
      <c r="AC66" s="158"/>
      <c r="AD66" s="158"/>
      <c r="AE66" s="158"/>
      <c r="AF66" s="158"/>
      <c r="AG66" s="158"/>
      <c r="AH66" s="158"/>
      <c r="AI66" s="158"/>
      <c r="AJ66" s="158"/>
      <c r="AK66" s="158"/>
      <c r="AL66" s="158"/>
    </row>
    <row r="67" spans="1:38" s="153" customFormat="1" x14ac:dyDescent="0.25">
      <c r="A67" s="91">
        <f t="shared" si="4"/>
        <v>0</v>
      </c>
      <c r="B67" s="37" t="str">
        <f t="shared" si="0"/>
        <v/>
      </c>
      <c r="C67" s="38"/>
      <c r="D67" s="38"/>
      <c r="E67" s="38"/>
      <c r="F67" s="38"/>
      <c r="H67" s="168">
        <v>62</v>
      </c>
      <c r="I67" s="169" t="str">
        <f t="shared" si="1"/>
        <v/>
      </c>
      <c r="J67" s="168" t="e">
        <f t="shared" si="5"/>
        <v>#NUM!</v>
      </c>
      <c r="K67" s="168" t="e">
        <f t="shared" si="2"/>
        <v>#NUM!</v>
      </c>
      <c r="L67" s="168"/>
      <c r="M67" s="170">
        <f t="shared" si="3"/>
        <v>0</v>
      </c>
      <c r="S67" s="158"/>
      <c r="T67" s="158"/>
      <c r="U67" s="158"/>
      <c r="V67" s="158"/>
      <c r="W67" s="158"/>
      <c r="X67" s="158"/>
      <c r="Y67" s="158"/>
      <c r="Z67" s="158"/>
      <c r="AA67" s="158"/>
      <c r="AB67" s="158"/>
      <c r="AC67" s="158"/>
      <c r="AD67" s="158"/>
      <c r="AE67" s="158"/>
      <c r="AF67" s="158"/>
      <c r="AG67" s="158"/>
      <c r="AH67" s="158"/>
      <c r="AI67" s="158"/>
      <c r="AJ67" s="158"/>
      <c r="AK67" s="158"/>
      <c r="AL67" s="158"/>
    </row>
    <row r="68" spans="1:38" s="153" customFormat="1" x14ac:dyDescent="0.25">
      <c r="A68" s="87">
        <f t="shared" si="4"/>
        <v>0</v>
      </c>
      <c r="B68" s="31" t="str">
        <f t="shared" si="0"/>
        <v/>
      </c>
      <c r="C68" s="32"/>
      <c r="D68" s="32"/>
      <c r="E68" s="32"/>
      <c r="F68" s="32"/>
      <c r="H68" s="165">
        <v>63</v>
      </c>
      <c r="I68" s="166" t="str">
        <f t="shared" si="1"/>
        <v/>
      </c>
      <c r="J68" s="165" t="e">
        <f t="shared" si="5"/>
        <v>#NUM!</v>
      </c>
      <c r="K68" s="165" t="e">
        <f t="shared" si="2"/>
        <v>#NUM!</v>
      </c>
      <c r="L68" s="165"/>
      <c r="M68" s="167">
        <f t="shared" si="3"/>
        <v>0</v>
      </c>
      <c r="S68" s="158"/>
      <c r="T68" s="158"/>
      <c r="U68" s="158"/>
      <c r="V68" s="158"/>
      <c r="W68" s="158"/>
      <c r="X68" s="158"/>
      <c r="Y68" s="158"/>
      <c r="Z68" s="158"/>
      <c r="AA68" s="158"/>
      <c r="AB68" s="158"/>
      <c r="AC68" s="158"/>
      <c r="AD68" s="158"/>
      <c r="AE68" s="158"/>
      <c r="AF68" s="158"/>
      <c r="AG68" s="158"/>
      <c r="AH68" s="158"/>
      <c r="AI68" s="158"/>
      <c r="AJ68" s="158"/>
      <c r="AK68" s="158"/>
      <c r="AL68" s="158"/>
    </row>
    <row r="69" spans="1:38" s="153" customFormat="1" x14ac:dyDescent="0.25">
      <c r="A69" s="91">
        <f t="shared" si="4"/>
        <v>0</v>
      </c>
      <c r="B69" s="37" t="str">
        <f t="shared" si="0"/>
        <v/>
      </c>
      <c r="C69" s="38"/>
      <c r="D69" s="38"/>
      <c r="E69" s="38"/>
      <c r="F69" s="38"/>
      <c r="H69" s="168">
        <v>64</v>
      </c>
      <c r="I69" s="169" t="str">
        <f t="shared" si="1"/>
        <v/>
      </c>
      <c r="J69" s="168" t="e">
        <f t="shared" si="5"/>
        <v>#NUM!</v>
      </c>
      <c r="K69" s="168" t="e">
        <f t="shared" si="2"/>
        <v>#NUM!</v>
      </c>
      <c r="L69" s="168"/>
      <c r="M69" s="170">
        <f t="shared" si="3"/>
        <v>0</v>
      </c>
      <c r="S69" s="158"/>
      <c r="T69" s="158"/>
      <c r="U69" s="158"/>
      <c r="V69" s="158"/>
      <c r="W69" s="158"/>
      <c r="X69" s="158"/>
      <c r="Y69" s="158"/>
      <c r="Z69" s="158"/>
      <c r="AA69" s="158"/>
      <c r="AB69" s="158"/>
      <c r="AC69" s="158"/>
      <c r="AD69" s="158"/>
      <c r="AE69" s="158"/>
      <c r="AF69" s="158"/>
      <c r="AG69" s="158"/>
      <c r="AH69" s="158"/>
      <c r="AI69" s="158"/>
      <c r="AJ69" s="158"/>
      <c r="AK69" s="158"/>
      <c r="AL69" s="158"/>
    </row>
    <row r="70" spans="1:38" s="153" customFormat="1" x14ac:dyDescent="0.25">
      <c r="A70" s="87">
        <f t="shared" si="4"/>
        <v>0</v>
      </c>
      <c r="B70" s="31" t="str">
        <f t="shared" ref="B70:B133" si="6">IF(H70&gt;$H$2,"",(ROW()-5))</f>
        <v/>
      </c>
      <c r="C70" s="32"/>
      <c r="D70" s="32"/>
      <c r="E70" s="32"/>
      <c r="F70" s="32"/>
      <c r="H70" s="165">
        <v>65</v>
      </c>
      <c r="I70" s="166" t="str">
        <f t="shared" ref="I70:I133" si="7">IF(H70&lt;$H$2+1,($I$2-($I$2-1)*(LOG(H70)/LOG($H$2))),"")</f>
        <v/>
      </c>
      <c r="J70" s="165" t="e">
        <f t="shared" si="5"/>
        <v>#NUM!</v>
      </c>
      <c r="K70" s="165" t="e">
        <f t="shared" ref="K70:K133" si="8">J70*$J$2</f>
        <v>#NUM!</v>
      </c>
      <c r="L70" s="165"/>
      <c r="M70" s="167">
        <f t="shared" ref="M70:M133" si="9">IF(I70&lt;&gt;"",K70+I70+L70,0)</f>
        <v>0</v>
      </c>
      <c r="S70" s="158"/>
      <c r="T70" s="158"/>
      <c r="U70" s="158"/>
      <c r="V70" s="158"/>
      <c r="W70" s="158"/>
      <c r="X70" s="158"/>
      <c r="Y70" s="158"/>
      <c r="Z70" s="158"/>
      <c r="AA70" s="158"/>
      <c r="AB70" s="158"/>
      <c r="AC70" s="158"/>
      <c r="AD70" s="158"/>
      <c r="AE70" s="158"/>
      <c r="AF70" s="158"/>
      <c r="AG70" s="158"/>
      <c r="AH70" s="158"/>
      <c r="AI70" s="158"/>
      <c r="AJ70" s="158"/>
      <c r="AK70" s="158"/>
      <c r="AL70" s="158"/>
    </row>
    <row r="71" spans="1:38" s="153" customFormat="1" x14ac:dyDescent="0.25">
      <c r="A71" s="91">
        <f t="shared" ref="A71:A134" si="10">M71</f>
        <v>0</v>
      </c>
      <c r="B71" s="37" t="str">
        <f t="shared" si="6"/>
        <v/>
      </c>
      <c r="C71" s="38"/>
      <c r="D71" s="38"/>
      <c r="E71" s="38"/>
      <c r="F71" s="38"/>
      <c r="H71" s="168">
        <v>66</v>
      </c>
      <c r="I71" s="169" t="str">
        <f t="shared" si="7"/>
        <v/>
      </c>
      <c r="J71" s="168" t="e">
        <f t="shared" ref="J71:J134" si="11">INT(LOG($H$2,2))-ROUNDUP(LOG(H71,2),0)+IF(OR($H$2=1,$H$2=2,$H$2=4,$H$2=8,$H$2=16,$H$2=32,$H$2=64,$H$2=128,$H$2=256),0,1)</f>
        <v>#NUM!</v>
      </c>
      <c r="K71" s="168" t="e">
        <f t="shared" si="8"/>
        <v>#NUM!</v>
      </c>
      <c r="L71" s="168"/>
      <c r="M71" s="170">
        <f t="shared" si="9"/>
        <v>0</v>
      </c>
      <c r="S71" s="158"/>
      <c r="T71" s="158"/>
      <c r="U71" s="158"/>
      <c r="V71" s="158"/>
      <c r="W71" s="158"/>
      <c r="X71" s="158"/>
      <c r="Y71" s="158"/>
      <c r="Z71" s="158"/>
      <c r="AA71" s="158"/>
      <c r="AB71" s="158"/>
      <c r="AC71" s="158"/>
      <c r="AD71" s="158"/>
      <c r="AE71" s="158"/>
      <c r="AF71" s="158"/>
      <c r="AG71" s="158"/>
      <c r="AH71" s="158"/>
      <c r="AI71" s="158"/>
      <c r="AJ71" s="158"/>
      <c r="AK71" s="158"/>
      <c r="AL71" s="158"/>
    </row>
    <row r="72" spans="1:38" s="153" customFormat="1" x14ac:dyDescent="0.25">
      <c r="A72" s="87">
        <f t="shared" si="10"/>
        <v>0</v>
      </c>
      <c r="B72" s="31" t="str">
        <f t="shared" si="6"/>
        <v/>
      </c>
      <c r="C72" s="32"/>
      <c r="D72" s="32"/>
      <c r="E72" s="32"/>
      <c r="F72" s="32"/>
      <c r="H72" s="165">
        <v>67</v>
      </c>
      <c r="I72" s="166" t="str">
        <f t="shared" si="7"/>
        <v/>
      </c>
      <c r="J72" s="165" t="e">
        <f t="shared" si="11"/>
        <v>#NUM!</v>
      </c>
      <c r="K72" s="165" t="e">
        <f t="shared" si="8"/>
        <v>#NUM!</v>
      </c>
      <c r="L72" s="165"/>
      <c r="M72" s="167">
        <f t="shared" si="9"/>
        <v>0</v>
      </c>
      <c r="S72" s="158"/>
      <c r="T72" s="158"/>
      <c r="U72" s="158"/>
      <c r="V72" s="158"/>
      <c r="W72" s="158"/>
      <c r="X72" s="158"/>
      <c r="Y72" s="158"/>
      <c r="Z72" s="158"/>
      <c r="AA72" s="158"/>
      <c r="AB72" s="158"/>
      <c r="AC72" s="158"/>
      <c r="AD72" s="158"/>
      <c r="AE72" s="158"/>
      <c r="AF72" s="158"/>
      <c r="AG72" s="158"/>
      <c r="AH72" s="158"/>
      <c r="AI72" s="158"/>
      <c r="AJ72" s="158"/>
      <c r="AK72" s="158"/>
      <c r="AL72" s="158"/>
    </row>
    <row r="73" spans="1:38" s="153" customFormat="1" x14ac:dyDescent="0.25">
      <c r="A73" s="91">
        <f t="shared" si="10"/>
        <v>0</v>
      </c>
      <c r="B73" s="37" t="str">
        <f t="shared" si="6"/>
        <v/>
      </c>
      <c r="C73" s="38"/>
      <c r="D73" s="38"/>
      <c r="E73" s="38"/>
      <c r="F73" s="38"/>
      <c r="H73" s="168">
        <v>68</v>
      </c>
      <c r="I73" s="169" t="str">
        <f t="shared" si="7"/>
        <v/>
      </c>
      <c r="J73" s="168" t="e">
        <f t="shared" si="11"/>
        <v>#NUM!</v>
      </c>
      <c r="K73" s="168" t="e">
        <f t="shared" si="8"/>
        <v>#NUM!</v>
      </c>
      <c r="L73" s="168"/>
      <c r="M73" s="170">
        <f t="shared" si="9"/>
        <v>0</v>
      </c>
      <c r="S73" s="158"/>
      <c r="T73" s="158"/>
      <c r="U73" s="158"/>
      <c r="V73" s="158"/>
      <c r="W73" s="158"/>
      <c r="X73" s="158"/>
      <c r="Y73" s="158"/>
      <c r="Z73" s="158"/>
      <c r="AA73" s="158"/>
      <c r="AB73" s="158"/>
      <c r="AC73" s="158"/>
      <c r="AD73" s="158"/>
      <c r="AE73" s="158"/>
      <c r="AF73" s="158"/>
      <c r="AG73" s="158"/>
      <c r="AH73" s="158"/>
      <c r="AI73" s="158"/>
      <c r="AJ73" s="158"/>
      <c r="AK73" s="158"/>
      <c r="AL73" s="158"/>
    </row>
    <row r="74" spans="1:38" s="153" customFormat="1" x14ac:dyDescent="0.25">
      <c r="A74" s="87">
        <f t="shared" si="10"/>
        <v>0</v>
      </c>
      <c r="B74" s="31" t="str">
        <f t="shared" si="6"/>
        <v/>
      </c>
      <c r="C74" s="32"/>
      <c r="D74" s="32"/>
      <c r="E74" s="32"/>
      <c r="F74" s="32"/>
      <c r="H74" s="165">
        <v>69</v>
      </c>
      <c r="I74" s="166" t="str">
        <f t="shared" si="7"/>
        <v/>
      </c>
      <c r="J74" s="165" t="e">
        <f t="shared" si="11"/>
        <v>#NUM!</v>
      </c>
      <c r="K74" s="165" t="e">
        <f t="shared" si="8"/>
        <v>#NUM!</v>
      </c>
      <c r="L74" s="165"/>
      <c r="M74" s="167">
        <f t="shared" si="9"/>
        <v>0</v>
      </c>
      <c r="S74" s="158"/>
      <c r="T74" s="158"/>
      <c r="U74" s="158"/>
      <c r="V74" s="158"/>
      <c r="W74" s="158"/>
      <c r="X74" s="158"/>
      <c r="Y74" s="158"/>
      <c r="Z74" s="158"/>
      <c r="AA74" s="158"/>
      <c r="AB74" s="158"/>
      <c r="AC74" s="158"/>
      <c r="AD74" s="158"/>
      <c r="AE74" s="158"/>
      <c r="AF74" s="158"/>
      <c r="AG74" s="158"/>
      <c r="AH74" s="158"/>
      <c r="AI74" s="158"/>
      <c r="AJ74" s="158"/>
      <c r="AK74" s="158"/>
      <c r="AL74" s="158"/>
    </row>
    <row r="75" spans="1:38" s="153" customFormat="1" x14ac:dyDescent="0.25">
      <c r="A75" s="91">
        <f t="shared" si="10"/>
        <v>0</v>
      </c>
      <c r="B75" s="37" t="str">
        <f t="shared" si="6"/>
        <v/>
      </c>
      <c r="C75" s="38"/>
      <c r="D75" s="38"/>
      <c r="E75" s="38"/>
      <c r="F75" s="38"/>
      <c r="H75" s="168">
        <v>70</v>
      </c>
      <c r="I75" s="169" t="str">
        <f t="shared" si="7"/>
        <v/>
      </c>
      <c r="J75" s="168" t="e">
        <f t="shared" si="11"/>
        <v>#NUM!</v>
      </c>
      <c r="K75" s="168" t="e">
        <f t="shared" si="8"/>
        <v>#NUM!</v>
      </c>
      <c r="L75" s="168"/>
      <c r="M75" s="170">
        <f t="shared" si="9"/>
        <v>0</v>
      </c>
      <c r="S75" s="158"/>
      <c r="T75" s="158"/>
      <c r="U75" s="158"/>
      <c r="V75" s="158"/>
      <c r="W75" s="158"/>
      <c r="X75" s="158"/>
      <c r="Y75" s="158"/>
      <c r="Z75" s="158"/>
      <c r="AA75" s="158"/>
      <c r="AB75" s="158"/>
      <c r="AC75" s="158"/>
      <c r="AD75" s="158"/>
      <c r="AE75" s="158"/>
      <c r="AF75" s="158"/>
      <c r="AG75" s="158"/>
      <c r="AH75" s="158"/>
      <c r="AI75" s="158"/>
      <c r="AJ75" s="158"/>
      <c r="AK75" s="158"/>
      <c r="AL75" s="158"/>
    </row>
    <row r="76" spans="1:38" s="153" customFormat="1" x14ac:dyDescent="0.25">
      <c r="A76" s="87">
        <f t="shared" si="10"/>
        <v>0</v>
      </c>
      <c r="B76" s="31" t="str">
        <f t="shared" si="6"/>
        <v/>
      </c>
      <c r="C76" s="32"/>
      <c r="D76" s="32"/>
      <c r="E76" s="32"/>
      <c r="F76" s="32"/>
      <c r="H76" s="165">
        <v>71</v>
      </c>
      <c r="I76" s="166" t="str">
        <f t="shared" si="7"/>
        <v/>
      </c>
      <c r="J76" s="165" t="e">
        <f t="shared" si="11"/>
        <v>#NUM!</v>
      </c>
      <c r="K76" s="165" t="e">
        <f t="shared" si="8"/>
        <v>#NUM!</v>
      </c>
      <c r="L76" s="165"/>
      <c r="M76" s="167">
        <f t="shared" si="9"/>
        <v>0</v>
      </c>
      <c r="S76" s="158"/>
      <c r="T76" s="158"/>
      <c r="U76" s="158"/>
      <c r="V76" s="158"/>
      <c r="W76" s="158"/>
      <c r="X76" s="158"/>
      <c r="Y76" s="158"/>
      <c r="Z76" s="158"/>
      <c r="AA76" s="158"/>
      <c r="AB76" s="158"/>
      <c r="AC76" s="158"/>
      <c r="AD76" s="158"/>
      <c r="AE76" s="158"/>
      <c r="AF76" s="158"/>
      <c r="AG76" s="158"/>
      <c r="AH76" s="158"/>
      <c r="AI76" s="158"/>
      <c r="AJ76" s="158"/>
      <c r="AK76" s="158"/>
      <c r="AL76" s="158"/>
    </row>
    <row r="77" spans="1:38" s="153" customFormat="1" x14ac:dyDescent="0.25">
      <c r="A77" s="91">
        <f t="shared" si="10"/>
        <v>0</v>
      </c>
      <c r="B77" s="37" t="str">
        <f t="shared" si="6"/>
        <v/>
      </c>
      <c r="C77" s="38"/>
      <c r="D77" s="38"/>
      <c r="E77" s="38"/>
      <c r="F77" s="38"/>
      <c r="H77" s="168">
        <v>72</v>
      </c>
      <c r="I77" s="169" t="str">
        <f t="shared" si="7"/>
        <v/>
      </c>
      <c r="J77" s="168" t="e">
        <f t="shared" si="11"/>
        <v>#NUM!</v>
      </c>
      <c r="K77" s="168" t="e">
        <f t="shared" si="8"/>
        <v>#NUM!</v>
      </c>
      <c r="L77" s="168"/>
      <c r="M77" s="170">
        <f t="shared" si="9"/>
        <v>0</v>
      </c>
      <c r="S77" s="158"/>
      <c r="T77" s="158"/>
      <c r="U77" s="158"/>
      <c r="V77" s="158"/>
      <c r="W77" s="158"/>
      <c r="X77" s="158"/>
      <c r="Y77" s="158"/>
      <c r="Z77" s="158"/>
      <c r="AA77" s="158"/>
      <c r="AB77" s="158"/>
      <c r="AC77" s="158"/>
      <c r="AD77" s="158"/>
      <c r="AE77" s="158"/>
      <c r="AF77" s="158"/>
      <c r="AG77" s="158"/>
      <c r="AH77" s="158"/>
      <c r="AI77" s="158"/>
      <c r="AJ77" s="158"/>
      <c r="AK77" s="158"/>
      <c r="AL77" s="158"/>
    </row>
    <row r="78" spans="1:38" s="153" customFormat="1" x14ac:dyDescent="0.25">
      <c r="A78" s="87">
        <f t="shared" si="10"/>
        <v>0</v>
      </c>
      <c r="B78" s="31" t="str">
        <f t="shared" si="6"/>
        <v/>
      </c>
      <c r="C78" s="32"/>
      <c r="D78" s="32"/>
      <c r="E78" s="32"/>
      <c r="F78" s="32"/>
      <c r="H78" s="165">
        <v>73</v>
      </c>
      <c r="I78" s="166" t="str">
        <f t="shared" si="7"/>
        <v/>
      </c>
      <c r="J78" s="165" t="e">
        <f t="shared" si="11"/>
        <v>#NUM!</v>
      </c>
      <c r="K78" s="165" t="e">
        <f t="shared" si="8"/>
        <v>#NUM!</v>
      </c>
      <c r="L78" s="165"/>
      <c r="M78" s="167">
        <f t="shared" si="9"/>
        <v>0</v>
      </c>
      <c r="S78" s="158"/>
      <c r="T78" s="158"/>
      <c r="U78" s="158"/>
      <c r="V78" s="158"/>
      <c r="W78" s="158"/>
      <c r="X78" s="158"/>
      <c r="Y78" s="158"/>
      <c r="Z78" s="158"/>
      <c r="AA78" s="158"/>
      <c r="AB78" s="158"/>
      <c r="AC78" s="158"/>
      <c r="AD78" s="158"/>
      <c r="AE78" s="158"/>
      <c r="AF78" s="158"/>
      <c r="AG78" s="158"/>
      <c r="AH78" s="158"/>
      <c r="AI78" s="158"/>
      <c r="AJ78" s="158"/>
      <c r="AK78" s="158"/>
      <c r="AL78" s="158"/>
    </row>
    <row r="79" spans="1:38" s="153" customFormat="1" x14ac:dyDescent="0.25">
      <c r="A79" s="91">
        <f t="shared" si="10"/>
        <v>0</v>
      </c>
      <c r="B79" s="37" t="str">
        <f t="shared" si="6"/>
        <v/>
      </c>
      <c r="C79" s="38"/>
      <c r="D79" s="38"/>
      <c r="E79" s="38"/>
      <c r="F79" s="38"/>
      <c r="H79" s="168">
        <v>74</v>
      </c>
      <c r="I79" s="169" t="str">
        <f t="shared" si="7"/>
        <v/>
      </c>
      <c r="J79" s="168" t="e">
        <f t="shared" si="11"/>
        <v>#NUM!</v>
      </c>
      <c r="K79" s="168" t="e">
        <f t="shared" si="8"/>
        <v>#NUM!</v>
      </c>
      <c r="L79" s="168"/>
      <c r="M79" s="170">
        <f t="shared" si="9"/>
        <v>0</v>
      </c>
      <c r="S79" s="158"/>
      <c r="T79" s="158"/>
      <c r="U79" s="158"/>
      <c r="V79" s="158"/>
      <c r="W79" s="158"/>
      <c r="X79" s="158"/>
      <c r="Y79" s="158"/>
      <c r="Z79" s="158"/>
      <c r="AA79" s="158"/>
      <c r="AB79" s="158"/>
      <c r="AC79" s="158"/>
      <c r="AD79" s="158"/>
      <c r="AE79" s="158"/>
      <c r="AF79" s="158"/>
      <c r="AG79" s="158"/>
      <c r="AH79" s="158"/>
      <c r="AI79" s="158"/>
      <c r="AJ79" s="158"/>
      <c r="AK79" s="158"/>
      <c r="AL79" s="158"/>
    </row>
    <row r="80" spans="1:38" s="153" customFormat="1" x14ac:dyDescent="0.25">
      <c r="A80" s="87">
        <f t="shared" si="10"/>
        <v>0</v>
      </c>
      <c r="B80" s="31" t="str">
        <f t="shared" si="6"/>
        <v/>
      </c>
      <c r="C80" s="32"/>
      <c r="D80" s="32"/>
      <c r="E80" s="32"/>
      <c r="F80" s="32"/>
      <c r="H80" s="165">
        <v>75</v>
      </c>
      <c r="I80" s="166" t="str">
        <f t="shared" si="7"/>
        <v/>
      </c>
      <c r="J80" s="165" t="e">
        <f t="shared" si="11"/>
        <v>#NUM!</v>
      </c>
      <c r="K80" s="165" t="e">
        <f t="shared" si="8"/>
        <v>#NUM!</v>
      </c>
      <c r="L80" s="165"/>
      <c r="M80" s="167">
        <f t="shared" si="9"/>
        <v>0</v>
      </c>
      <c r="S80" s="158"/>
      <c r="T80" s="158"/>
      <c r="U80" s="158"/>
      <c r="V80" s="158"/>
      <c r="W80" s="158"/>
      <c r="X80" s="158"/>
      <c r="Y80" s="158"/>
      <c r="Z80" s="158"/>
      <c r="AA80" s="158"/>
      <c r="AB80" s="158"/>
      <c r="AC80" s="158"/>
      <c r="AD80" s="158"/>
      <c r="AE80" s="158"/>
      <c r="AF80" s="158"/>
      <c r="AG80" s="158"/>
      <c r="AH80" s="158"/>
      <c r="AI80" s="158"/>
      <c r="AJ80" s="158"/>
      <c r="AK80" s="158"/>
      <c r="AL80" s="158"/>
    </row>
    <row r="81" spans="1:38" s="153" customFormat="1" x14ac:dyDescent="0.25">
      <c r="A81" s="91">
        <f t="shared" si="10"/>
        <v>0</v>
      </c>
      <c r="B81" s="37" t="str">
        <f t="shared" si="6"/>
        <v/>
      </c>
      <c r="C81" s="38"/>
      <c r="D81" s="38"/>
      <c r="E81" s="38"/>
      <c r="F81" s="38"/>
      <c r="H81" s="168">
        <v>76</v>
      </c>
      <c r="I81" s="169" t="str">
        <f t="shared" si="7"/>
        <v/>
      </c>
      <c r="J81" s="168" t="e">
        <f t="shared" si="11"/>
        <v>#NUM!</v>
      </c>
      <c r="K81" s="168" t="e">
        <f t="shared" si="8"/>
        <v>#NUM!</v>
      </c>
      <c r="L81" s="168"/>
      <c r="M81" s="170">
        <f t="shared" si="9"/>
        <v>0</v>
      </c>
      <c r="S81" s="158"/>
      <c r="T81" s="158"/>
      <c r="U81" s="158"/>
      <c r="V81" s="158"/>
      <c r="W81" s="158"/>
      <c r="X81" s="158"/>
      <c r="Y81" s="158"/>
      <c r="Z81" s="158"/>
      <c r="AA81" s="158"/>
      <c r="AB81" s="158"/>
      <c r="AC81" s="158"/>
      <c r="AD81" s="158"/>
      <c r="AE81" s="158"/>
      <c r="AF81" s="158"/>
      <c r="AG81" s="158"/>
      <c r="AH81" s="158"/>
      <c r="AI81" s="158"/>
      <c r="AJ81" s="158"/>
      <c r="AK81" s="158"/>
      <c r="AL81" s="158"/>
    </row>
    <row r="82" spans="1:38" s="153" customFormat="1" x14ac:dyDescent="0.25">
      <c r="A82" s="87">
        <f t="shared" si="10"/>
        <v>0</v>
      </c>
      <c r="B82" s="31" t="str">
        <f t="shared" si="6"/>
        <v/>
      </c>
      <c r="C82" s="32"/>
      <c r="D82" s="32"/>
      <c r="E82" s="32"/>
      <c r="F82" s="32"/>
      <c r="H82" s="165">
        <v>77</v>
      </c>
      <c r="I82" s="166" t="str">
        <f t="shared" si="7"/>
        <v/>
      </c>
      <c r="J82" s="165" t="e">
        <f t="shared" si="11"/>
        <v>#NUM!</v>
      </c>
      <c r="K82" s="165" t="e">
        <f t="shared" si="8"/>
        <v>#NUM!</v>
      </c>
      <c r="L82" s="165"/>
      <c r="M82" s="167">
        <f t="shared" si="9"/>
        <v>0</v>
      </c>
      <c r="S82" s="158"/>
      <c r="T82" s="158"/>
      <c r="U82" s="158"/>
      <c r="V82" s="158"/>
      <c r="W82" s="158"/>
      <c r="X82" s="158"/>
      <c r="Y82" s="158"/>
      <c r="Z82" s="158"/>
      <c r="AA82" s="158"/>
      <c r="AB82" s="158"/>
      <c r="AC82" s="158"/>
      <c r="AD82" s="158"/>
      <c r="AE82" s="158"/>
      <c r="AF82" s="158"/>
      <c r="AG82" s="158"/>
      <c r="AH82" s="158"/>
      <c r="AI82" s="158"/>
      <c r="AJ82" s="158"/>
      <c r="AK82" s="158"/>
      <c r="AL82" s="158"/>
    </row>
    <row r="83" spans="1:38" s="153" customFormat="1" x14ac:dyDescent="0.25">
      <c r="A83" s="91">
        <f t="shared" si="10"/>
        <v>0</v>
      </c>
      <c r="B83" s="37" t="str">
        <f t="shared" si="6"/>
        <v/>
      </c>
      <c r="C83" s="38"/>
      <c r="D83" s="38"/>
      <c r="E83" s="38"/>
      <c r="F83" s="38"/>
      <c r="H83" s="168">
        <v>78</v>
      </c>
      <c r="I83" s="169" t="str">
        <f t="shared" si="7"/>
        <v/>
      </c>
      <c r="J83" s="168" t="e">
        <f t="shared" si="11"/>
        <v>#NUM!</v>
      </c>
      <c r="K83" s="168" t="e">
        <f t="shared" si="8"/>
        <v>#NUM!</v>
      </c>
      <c r="L83" s="168"/>
      <c r="M83" s="170">
        <f t="shared" si="9"/>
        <v>0</v>
      </c>
      <c r="S83" s="158"/>
      <c r="T83" s="158"/>
      <c r="U83" s="158"/>
      <c r="V83" s="158"/>
      <c r="W83" s="158"/>
      <c r="X83" s="158"/>
      <c r="Y83" s="158"/>
      <c r="Z83" s="158"/>
      <c r="AA83" s="158"/>
      <c r="AB83" s="158"/>
      <c r="AC83" s="158"/>
      <c r="AD83" s="158"/>
      <c r="AE83" s="158"/>
      <c r="AF83" s="158"/>
      <c r="AG83" s="158"/>
      <c r="AH83" s="158"/>
      <c r="AI83" s="158"/>
      <c r="AJ83" s="158"/>
      <c r="AK83" s="158"/>
      <c r="AL83" s="158"/>
    </row>
    <row r="84" spans="1:38" s="153" customFormat="1" x14ac:dyDescent="0.25">
      <c r="A84" s="87">
        <f t="shared" si="10"/>
        <v>0</v>
      </c>
      <c r="B84" s="31" t="str">
        <f t="shared" si="6"/>
        <v/>
      </c>
      <c r="C84" s="32"/>
      <c r="D84" s="32"/>
      <c r="E84" s="32"/>
      <c r="F84" s="32"/>
      <c r="H84" s="165">
        <v>79</v>
      </c>
      <c r="I84" s="166" t="str">
        <f t="shared" si="7"/>
        <v/>
      </c>
      <c r="J84" s="165" t="e">
        <f t="shared" si="11"/>
        <v>#NUM!</v>
      </c>
      <c r="K84" s="165" t="e">
        <f t="shared" si="8"/>
        <v>#NUM!</v>
      </c>
      <c r="L84" s="165"/>
      <c r="M84" s="167">
        <f t="shared" si="9"/>
        <v>0</v>
      </c>
      <c r="S84" s="158"/>
      <c r="T84" s="158"/>
      <c r="U84" s="158"/>
      <c r="V84" s="158"/>
      <c r="W84" s="158"/>
      <c r="X84" s="158"/>
      <c r="Y84" s="158"/>
      <c r="Z84" s="158"/>
      <c r="AA84" s="158"/>
      <c r="AB84" s="158"/>
      <c r="AC84" s="158"/>
      <c r="AD84" s="158"/>
      <c r="AE84" s="158"/>
      <c r="AF84" s="158"/>
      <c r="AG84" s="158"/>
      <c r="AH84" s="158"/>
      <c r="AI84" s="158"/>
      <c r="AJ84" s="158"/>
      <c r="AK84" s="158"/>
      <c r="AL84" s="158"/>
    </row>
    <row r="85" spans="1:38" s="153" customFormat="1" x14ac:dyDescent="0.25">
      <c r="A85" s="91">
        <f t="shared" si="10"/>
        <v>0</v>
      </c>
      <c r="B85" s="37" t="str">
        <f t="shared" si="6"/>
        <v/>
      </c>
      <c r="C85" s="38"/>
      <c r="D85" s="38"/>
      <c r="E85" s="38"/>
      <c r="F85" s="38"/>
      <c r="H85" s="168">
        <v>80</v>
      </c>
      <c r="I85" s="169" t="str">
        <f t="shared" si="7"/>
        <v/>
      </c>
      <c r="J85" s="168" t="e">
        <f t="shared" si="11"/>
        <v>#NUM!</v>
      </c>
      <c r="K85" s="168" t="e">
        <f t="shared" si="8"/>
        <v>#NUM!</v>
      </c>
      <c r="L85" s="168"/>
      <c r="M85" s="170">
        <f t="shared" si="9"/>
        <v>0</v>
      </c>
      <c r="S85" s="158"/>
      <c r="T85" s="158"/>
      <c r="U85" s="158"/>
      <c r="V85" s="158"/>
      <c r="W85" s="158"/>
      <c r="X85" s="158"/>
      <c r="Y85" s="158"/>
      <c r="Z85" s="158"/>
      <c r="AA85" s="158"/>
      <c r="AB85" s="158"/>
      <c r="AC85" s="158"/>
      <c r="AD85" s="158"/>
      <c r="AE85" s="158"/>
      <c r="AF85" s="158"/>
      <c r="AG85" s="158"/>
      <c r="AH85" s="158"/>
      <c r="AI85" s="158"/>
      <c r="AJ85" s="158"/>
      <c r="AK85" s="158"/>
      <c r="AL85" s="158"/>
    </row>
    <row r="86" spans="1:38" s="153" customFormat="1" x14ac:dyDescent="0.25">
      <c r="A86" s="87">
        <f t="shared" si="10"/>
        <v>0</v>
      </c>
      <c r="B86" s="31" t="str">
        <f t="shared" si="6"/>
        <v/>
      </c>
      <c r="C86" s="32"/>
      <c r="D86" s="32"/>
      <c r="E86" s="32"/>
      <c r="F86" s="32"/>
      <c r="H86" s="165">
        <v>81</v>
      </c>
      <c r="I86" s="166" t="str">
        <f t="shared" si="7"/>
        <v/>
      </c>
      <c r="J86" s="165" t="e">
        <f t="shared" si="11"/>
        <v>#NUM!</v>
      </c>
      <c r="K86" s="165" t="e">
        <f t="shared" si="8"/>
        <v>#NUM!</v>
      </c>
      <c r="L86" s="165"/>
      <c r="M86" s="167">
        <f t="shared" si="9"/>
        <v>0</v>
      </c>
      <c r="S86" s="158"/>
      <c r="T86" s="158"/>
      <c r="U86" s="158"/>
      <c r="V86" s="158"/>
      <c r="W86" s="158"/>
      <c r="X86" s="158"/>
      <c r="Y86" s="158"/>
      <c r="Z86" s="158"/>
      <c r="AA86" s="158"/>
      <c r="AB86" s="158"/>
      <c r="AC86" s="158"/>
      <c r="AD86" s="158"/>
      <c r="AE86" s="158"/>
      <c r="AF86" s="158"/>
      <c r="AG86" s="158"/>
      <c r="AH86" s="158"/>
      <c r="AI86" s="158"/>
      <c r="AJ86" s="158"/>
      <c r="AK86" s="158"/>
      <c r="AL86" s="158"/>
    </row>
    <row r="87" spans="1:38" s="153" customFormat="1" x14ac:dyDescent="0.25">
      <c r="A87" s="91">
        <f t="shared" si="10"/>
        <v>0</v>
      </c>
      <c r="B87" s="37" t="str">
        <f t="shared" si="6"/>
        <v/>
      </c>
      <c r="C87" s="38"/>
      <c r="D87" s="38"/>
      <c r="E87" s="38"/>
      <c r="F87" s="38"/>
      <c r="H87" s="168">
        <v>82</v>
      </c>
      <c r="I87" s="169" t="str">
        <f t="shared" si="7"/>
        <v/>
      </c>
      <c r="J87" s="168" t="e">
        <f t="shared" si="11"/>
        <v>#NUM!</v>
      </c>
      <c r="K87" s="168" t="e">
        <f t="shared" si="8"/>
        <v>#NUM!</v>
      </c>
      <c r="L87" s="168"/>
      <c r="M87" s="170">
        <f t="shared" si="9"/>
        <v>0</v>
      </c>
      <c r="S87" s="158"/>
      <c r="T87" s="158"/>
      <c r="U87" s="158"/>
      <c r="V87" s="158"/>
      <c r="W87" s="158"/>
      <c r="X87" s="158"/>
      <c r="Y87" s="158"/>
      <c r="Z87" s="158"/>
      <c r="AA87" s="158"/>
      <c r="AB87" s="158"/>
      <c r="AC87" s="158"/>
      <c r="AD87" s="158"/>
      <c r="AE87" s="158"/>
      <c r="AF87" s="158"/>
      <c r="AG87" s="158"/>
      <c r="AH87" s="158"/>
      <c r="AI87" s="158"/>
      <c r="AJ87" s="158"/>
      <c r="AK87" s="158"/>
      <c r="AL87" s="158"/>
    </row>
    <row r="88" spans="1:38" s="153" customFormat="1" x14ac:dyDescent="0.25">
      <c r="A88" s="87">
        <f t="shared" si="10"/>
        <v>0</v>
      </c>
      <c r="B88" s="31" t="str">
        <f t="shared" si="6"/>
        <v/>
      </c>
      <c r="C88" s="32"/>
      <c r="D88" s="32"/>
      <c r="E88" s="32"/>
      <c r="F88" s="32"/>
      <c r="H88" s="165">
        <v>83</v>
      </c>
      <c r="I88" s="166" t="str">
        <f t="shared" si="7"/>
        <v/>
      </c>
      <c r="J88" s="165" t="e">
        <f t="shared" si="11"/>
        <v>#NUM!</v>
      </c>
      <c r="K88" s="165" t="e">
        <f t="shared" si="8"/>
        <v>#NUM!</v>
      </c>
      <c r="L88" s="165"/>
      <c r="M88" s="167">
        <f t="shared" si="9"/>
        <v>0</v>
      </c>
      <c r="S88" s="158"/>
      <c r="T88" s="158"/>
      <c r="U88" s="158"/>
      <c r="V88" s="158"/>
      <c r="W88" s="158"/>
      <c r="X88" s="158"/>
      <c r="Y88" s="158"/>
      <c r="Z88" s="158"/>
      <c r="AA88" s="158"/>
      <c r="AB88" s="158"/>
      <c r="AC88" s="158"/>
      <c r="AD88" s="158"/>
      <c r="AE88" s="158"/>
      <c r="AF88" s="158"/>
      <c r="AG88" s="158"/>
      <c r="AH88" s="158"/>
      <c r="AI88" s="158"/>
      <c r="AJ88" s="158"/>
      <c r="AK88" s="158"/>
      <c r="AL88" s="158"/>
    </row>
    <row r="89" spans="1:38" s="153" customFormat="1" x14ac:dyDescent="0.25">
      <c r="A89" s="91">
        <f t="shared" si="10"/>
        <v>0</v>
      </c>
      <c r="B89" s="37" t="str">
        <f t="shared" si="6"/>
        <v/>
      </c>
      <c r="C89" s="38"/>
      <c r="D89" s="38"/>
      <c r="E89" s="38"/>
      <c r="F89" s="38"/>
      <c r="H89" s="168">
        <v>84</v>
      </c>
      <c r="I89" s="169" t="str">
        <f t="shared" si="7"/>
        <v/>
      </c>
      <c r="J89" s="168" t="e">
        <f t="shared" si="11"/>
        <v>#NUM!</v>
      </c>
      <c r="K89" s="168" t="e">
        <f t="shared" si="8"/>
        <v>#NUM!</v>
      </c>
      <c r="L89" s="168"/>
      <c r="M89" s="170">
        <f t="shared" si="9"/>
        <v>0</v>
      </c>
      <c r="S89" s="158"/>
      <c r="T89" s="158"/>
      <c r="U89" s="158"/>
      <c r="V89" s="158"/>
      <c r="W89" s="158"/>
      <c r="X89" s="158"/>
      <c r="Y89" s="158"/>
      <c r="Z89" s="158"/>
      <c r="AA89" s="158"/>
      <c r="AB89" s="158"/>
      <c r="AC89" s="158"/>
      <c r="AD89" s="158"/>
      <c r="AE89" s="158"/>
      <c r="AF89" s="158"/>
      <c r="AG89" s="158"/>
      <c r="AH89" s="158"/>
      <c r="AI89" s="158"/>
      <c r="AJ89" s="158"/>
      <c r="AK89" s="158"/>
      <c r="AL89" s="158"/>
    </row>
    <row r="90" spans="1:38" s="153" customFormat="1" x14ac:dyDescent="0.25">
      <c r="A90" s="87">
        <f t="shared" si="10"/>
        <v>0</v>
      </c>
      <c r="B90" s="31" t="str">
        <f t="shared" si="6"/>
        <v/>
      </c>
      <c r="C90" s="32"/>
      <c r="D90" s="32"/>
      <c r="E90" s="32"/>
      <c r="F90" s="32"/>
      <c r="H90" s="165">
        <v>85</v>
      </c>
      <c r="I90" s="166" t="str">
        <f t="shared" si="7"/>
        <v/>
      </c>
      <c r="J90" s="165" t="e">
        <f t="shared" si="11"/>
        <v>#NUM!</v>
      </c>
      <c r="K90" s="165" t="e">
        <f t="shared" si="8"/>
        <v>#NUM!</v>
      </c>
      <c r="L90" s="165"/>
      <c r="M90" s="167">
        <f t="shared" si="9"/>
        <v>0</v>
      </c>
      <c r="S90" s="158"/>
      <c r="T90" s="158"/>
      <c r="U90" s="158"/>
      <c r="V90" s="158"/>
      <c r="W90" s="158"/>
      <c r="X90" s="158"/>
      <c r="Y90" s="158"/>
      <c r="Z90" s="158"/>
      <c r="AA90" s="158"/>
      <c r="AB90" s="158"/>
      <c r="AC90" s="158"/>
      <c r="AD90" s="158"/>
      <c r="AE90" s="158"/>
      <c r="AF90" s="158"/>
      <c r="AG90" s="158"/>
      <c r="AH90" s="158"/>
      <c r="AI90" s="158"/>
      <c r="AJ90" s="158"/>
      <c r="AK90" s="158"/>
      <c r="AL90" s="158"/>
    </row>
    <row r="91" spans="1:38" s="153" customFormat="1" x14ac:dyDescent="0.25">
      <c r="A91" s="91">
        <f t="shared" si="10"/>
        <v>0</v>
      </c>
      <c r="B91" s="37" t="str">
        <f t="shared" si="6"/>
        <v/>
      </c>
      <c r="C91" s="38"/>
      <c r="D91" s="38"/>
      <c r="E91" s="38"/>
      <c r="F91" s="38"/>
      <c r="H91" s="168">
        <v>86</v>
      </c>
      <c r="I91" s="169" t="str">
        <f t="shared" si="7"/>
        <v/>
      </c>
      <c r="J91" s="168" t="e">
        <f t="shared" si="11"/>
        <v>#NUM!</v>
      </c>
      <c r="K91" s="168" t="e">
        <f t="shared" si="8"/>
        <v>#NUM!</v>
      </c>
      <c r="L91" s="168"/>
      <c r="M91" s="170">
        <f t="shared" si="9"/>
        <v>0</v>
      </c>
      <c r="S91" s="158"/>
      <c r="T91" s="158"/>
      <c r="U91" s="158"/>
      <c r="V91" s="158"/>
      <c r="W91" s="158"/>
      <c r="X91" s="158"/>
      <c r="Y91" s="158"/>
      <c r="Z91" s="158"/>
      <c r="AA91" s="158"/>
      <c r="AB91" s="158"/>
      <c r="AC91" s="158"/>
      <c r="AD91" s="158"/>
      <c r="AE91" s="158"/>
      <c r="AF91" s="158"/>
      <c r="AG91" s="158"/>
      <c r="AH91" s="158"/>
      <c r="AI91" s="158"/>
      <c r="AJ91" s="158"/>
      <c r="AK91" s="158"/>
      <c r="AL91" s="158"/>
    </row>
    <row r="92" spans="1:38" s="153" customFormat="1" x14ac:dyDescent="0.25">
      <c r="A92" s="87">
        <f t="shared" si="10"/>
        <v>0</v>
      </c>
      <c r="B92" s="31" t="str">
        <f t="shared" si="6"/>
        <v/>
      </c>
      <c r="C92" s="32"/>
      <c r="D92" s="32"/>
      <c r="E92" s="32"/>
      <c r="F92" s="32"/>
      <c r="H92" s="165">
        <v>87</v>
      </c>
      <c r="I92" s="166" t="str">
        <f t="shared" si="7"/>
        <v/>
      </c>
      <c r="J92" s="165" t="e">
        <f t="shared" si="11"/>
        <v>#NUM!</v>
      </c>
      <c r="K92" s="165" t="e">
        <f t="shared" si="8"/>
        <v>#NUM!</v>
      </c>
      <c r="L92" s="165"/>
      <c r="M92" s="167">
        <f t="shared" si="9"/>
        <v>0</v>
      </c>
      <c r="S92" s="158"/>
      <c r="T92" s="158"/>
      <c r="U92" s="158"/>
      <c r="V92" s="158"/>
      <c r="W92" s="158"/>
      <c r="X92" s="158"/>
      <c r="Y92" s="158"/>
      <c r="Z92" s="158"/>
      <c r="AA92" s="158"/>
      <c r="AB92" s="158"/>
      <c r="AC92" s="158"/>
      <c r="AD92" s="158"/>
      <c r="AE92" s="158"/>
      <c r="AF92" s="158"/>
      <c r="AG92" s="158"/>
      <c r="AH92" s="158"/>
      <c r="AI92" s="158"/>
      <c r="AJ92" s="158"/>
      <c r="AK92" s="158"/>
      <c r="AL92" s="158"/>
    </row>
    <row r="93" spans="1:38" s="153" customFormat="1" x14ac:dyDescent="0.25">
      <c r="A93" s="91">
        <f t="shared" si="10"/>
        <v>0</v>
      </c>
      <c r="B93" s="37" t="str">
        <f t="shared" si="6"/>
        <v/>
      </c>
      <c r="C93" s="38"/>
      <c r="D93" s="38"/>
      <c r="E93" s="38"/>
      <c r="F93" s="38"/>
      <c r="H93" s="168">
        <v>88</v>
      </c>
      <c r="I93" s="169" t="str">
        <f t="shared" si="7"/>
        <v/>
      </c>
      <c r="J93" s="168" t="e">
        <f t="shared" si="11"/>
        <v>#NUM!</v>
      </c>
      <c r="K93" s="168" t="e">
        <f t="shared" si="8"/>
        <v>#NUM!</v>
      </c>
      <c r="L93" s="168"/>
      <c r="M93" s="170">
        <f t="shared" si="9"/>
        <v>0</v>
      </c>
      <c r="S93" s="158"/>
      <c r="T93" s="158"/>
      <c r="U93" s="158"/>
      <c r="V93" s="158"/>
      <c r="W93" s="158"/>
      <c r="X93" s="158"/>
      <c r="Y93" s="158"/>
      <c r="Z93" s="158"/>
      <c r="AA93" s="158"/>
      <c r="AB93" s="158"/>
      <c r="AC93" s="158"/>
      <c r="AD93" s="158"/>
      <c r="AE93" s="158"/>
      <c r="AF93" s="158"/>
      <c r="AG93" s="158"/>
      <c r="AH93" s="158"/>
      <c r="AI93" s="158"/>
      <c r="AJ93" s="158"/>
      <c r="AK93" s="158"/>
      <c r="AL93" s="158"/>
    </row>
    <row r="94" spans="1:38" s="153" customFormat="1" x14ac:dyDescent="0.25">
      <c r="A94" s="87">
        <f t="shared" si="10"/>
        <v>0</v>
      </c>
      <c r="B94" s="31" t="str">
        <f t="shared" si="6"/>
        <v/>
      </c>
      <c r="C94" s="32"/>
      <c r="D94" s="32"/>
      <c r="E94" s="32"/>
      <c r="F94" s="32"/>
      <c r="H94" s="165">
        <v>89</v>
      </c>
      <c r="I94" s="166" t="str">
        <f t="shared" si="7"/>
        <v/>
      </c>
      <c r="J94" s="165" t="e">
        <f t="shared" si="11"/>
        <v>#NUM!</v>
      </c>
      <c r="K94" s="165" t="e">
        <f t="shared" si="8"/>
        <v>#NUM!</v>
      </c>
      <c r="L94" s="165"/>
      <c r="M94" s="167">
        <f t="shared" si="9"/>
        <v>0</v>
      </c>
      <c r="S94" s="158"/>
      <c r="T94" s="158"/>
      <c r="U94" s="158"/>
      <c r="V94" s="158"/>
      <c r="W94" s="158"/>
      <c r="X94" s="158"/>
      <c r="Y94" s="158"/>
      <c r="Z94" s="158"/>
      <c r="AA94" s="158"/>
      <c r="AB94" s="158"/>
      <c r="AC94" s="158"/>
      <c r="AD94" s="158"/>
      <c r="AE94" s="158"/>
      <c r="AF94" s="158"/>
      <c r="AG94" s="158"/>
      <c r="AH94" s="158"/>
      <c r="AI94" s="158"/>
      <c r="AJ94" s="158"/>
      <c r="AK94" s="158"/>
      <c r="AL94" s="158"/>
    </row>
    <row r="95" spans="1:38" s="153" customFormat="1" x14ac:dyDescent="0.25">
      <c r="A95" s="91">
        <f t="shared" si="10"/>
        <v>0</v>
      </c>
      <c r="B95" s="37" t="str">
        <f t="shared" si="6"/>
        <v/>
      </c>
      <c r="C95" s="38"/>
      <c r="D95" s="38"/>
      <c r="E95" s="38"/>
      <c r="F95" s="38"/>
      <c r="H95" s="168">
        <v>90</v>
      </c>
      <c r="I95" s="169" t="str">
        <f t="shared" si="7"/>
        <v/>
      </c>
      <c r="J95" s="168" t="e">
        <f t="shared" si="11"/>
        <v>#NUM!</v>
      </c>
      <c r="K95" s="168" t="e">
        <f t="shared" si="8"/>
        <v>#NUM!</v>
      </c>
      <c r="L95" s="168"/>
      <c r="M95" s="170">
        <f t="shared" si="9"/>
        <v>0</v>
      </c>
      <c r="S95" s="158"/>
      <c r="T95" s="158"/>
      <c r="U95" s="158"/>
      <c r="V95" s="158"/>
      <c r="W95" s="158"/>
      <c r="X95" s="158"/>
      <c r="Y95" s="158"/>
      <c r="Z95" s="158"/>
      <c r="AA95" s="158"/>
      <c r="AB95" s="158"/>
      <c r="AC95" s="158"/>
      <c r="AD95" s="158"/>
      <c r="AE95" s="158"/>
      <c r="AF95" s="158"/>
      <c r="AG95" s="158"/>
      <c r="AH95" s="158"/>
      <c r="AI95" s="158"/>
      <c r="AJ95" s="158"/>
      <c r="AK95" s="158"/>
      <c r="AL95" s="158"/>
    </row>
    <row r="96" spans="1:38" s="153" customFormat="1" x14ac:dyDescent="0.25">
      <c r="A96" s="87">
        <f t="shared" si="10"/>
        <v>0</v>
      </c>
      <c r="B96" s="31" t="str">
        <f t="shared" si="6"/>
        <v/>
      </c>
      <c r="C96" s="32"/>
      <c r="D96" s="32"/>
      <c r="E96" s="32"/>
      <c r="F96" s="32"/>
      <c r="H96" s="165">
        <v>91</v>
      </c>
      <c r="I96" s="166" t="str">
        <f t="shared" si="7"/>
        <v/>
      </c>
      <c r="J96" s="165" t="e">
        <f t="shared" si="11"/>
        <v>#NUM!</v>
      </c>
      <c r="K96" s="165" t="e">
        <f t="shared" si="8"/>
        <v>#NUM!</v>
      </c>
      <c r="L96" s="165"/>
      <c r="M96" s="167">
        <f t="shared" si="9"/>
        <v>0</v>
      </c>
      <c r="S96" s="158"/>
      <c r="T96" s="158"/>
      <c r="U96" s="158"/>
      <c r="V96" s="158"/>
      <c r="W96" s="158"/>
      <c r="X96" s="158"/>
      <c r="Y96" s="158"/>
      <c r="Z96" s="158"/>
      <c r="AA96" s="158"/>
      <c r="AB96" s="158"/>
      <c r="AC96" s="158"/>
      <c r="AD96" s="158"/>
      <c r="AE96" s="158"/>
      <c r="AF96" s="158"/>
      <c r="AG96" s="158"/>
      <c r="AH96" s="158"/>
      <c r="AI96" s="158"/>
      <c r="AJ96" s="158"/>
      <c r="AK96" s="158"/>
      <c r="AL96" s="158"/>
    </row>
    <row r="97" spans="1:38" s="153" customFormat="1" x14ac:dyDescent="0.25">
      <c r="A97" s="91">
        <f t="shared" si="10"/>
        <v>0</v>
      </c>
      <c r="B97" s="37" t="str">
        <f t="shared" si="6"/>
        <v/>
      </c>
      <c r="C97" s="38"/>
      <c r="D97" s="38"/>
      <c r="E97" s="38"/>
      <c r="F97" s="38"/>
      <c r="H97" s="168">
        <v>92</v>
      </c>
      <c r="I97" s="169" t="str">
        <f t="shared" si="7"/>
        <v/>
      </c>
      <c r="J97" s="168" t="e">
        <f t="shared" si="11"/>
        <v>#NUM!</v>
      </c>
      <c r="K97" s="168" t="e">
        <f t="shared" si="8"/>
        <v>#NUM!</v>
      </c>
      <c r="L97" s="168"/>
      <c r="M97" s="170">
        <f t="shared" si="9"/>
        <v>0</v>
      </c>
      <c r="S97" s="158"/>
      <c r="T97" s="158"/>
      <c r="U97" s="158"/>
      <c r="V97" s="158"/>
      <c r="W97" s="158"/>
      <c r="X97" s="158"/>
      <c r="Y97" s="158"/>
      <c r="Z97" s="158"/>
      <c r="AA97" s="158"/>
      <c r="AB97" s="158"/>
      <c r="AC97" s="158"/>
      <c r="AD97" s="158"/>
      <c r="AE97" s="158"/>
      <c r="AF97" s="158"/>
      <c r="AG97" s="158"/>
      <c r="AH97" s="158"/>
      <c r="AI97" s="158"/>
      <c r="AJ97" s="158"/>
      <c r="AK97" s="158"/>
      <c r="AL97" s="158"/>
    </row>
    <row r="98" spans="1:38" s="153" customFormat="1" x14ac:dyDescent="0.25">
      <c r="A98" s="87">
        <f t="shared" si="10"/>
        <v>0</v>
      </c>
      <c r="B98" s="31" t="str">
        <f t="shared" si="6"/>
        <v/>
      </c>
      <c r="C98" s="32"/>
      <c r="D98" s="32"/>
      <c r="E98" s="32"/>
      <c r="F98" s="32"/>
      <c r="H98" s="165">
        <v>93</v>
      </c>
      <c r="I98" s="166" t="str">
        <f t="shared" si="7"/>
        <v/>
      </c>
      <c r="J98" s="165" t="e">
        <f t="shared" si="11"/>
        <v>#NUM!</v>
      </c>
      <c r="K98" s="165" t="e">
        <f t="shared" si="8"/>
        <v>#NUM!</v>
      </c>
      <c r="L98" s="165"/>
      <c r="M98" s="167">
        <f t="shared" si="9"/>
        <v>0</v>
      </c>
      <c r="S98" s="158"/>
      <c r="T98" s="158"/>
      <c r="U98" s="158"/>
      <c r="V98" s="158"/>
      <c r="W98" s="158"/>
      <c r="X98" s="158"/>
      <c r="Y98" s="158"/>
      <c r="Z98" s="158"/>
      <c r="AA98" s="158"/>
      <c r="AB98" s="158"/>
      <c r="AC98" s="158"/>
      <c r="AD98" s="158"/>
      <c r="AE98" s="158"/>
      <c r="AF98" s="158"/>
      <c r="AG98" s="158"/>
      <c r="AH98" s="158"/>
      <c r="AI98" s="158"/>
      <c r="AJ98" s="158"/>
      <c r="AK98" s="158"/>
      <c r="AL98" s="158"/>
    </row>
    <row r="99" spans="1:38" s="153" customFormat="1" x14ac:dyDescent="0.25">
      <c r="A99" s="91">
        <f t="shared" si="10"/>
        <v>0</v>
      </c>
      <c r="B99" s="37" t="str">
        <f t="shared" si="6"/>
        <v/>
      </c>
      <c r="C99" s="38"/>
      <c r="D99" s="38"/>
      <c r="E99" s="38"/>
      <c r="F99" s="38"/>
      <c r="H99" s="168">
        <v>94</v>
      </c>
      <c r="I99" s="169" t="str">
        <f t="shared" si="7"/>
        <v/>
      </c>
      <c r="J99" s="168" t="e">
        <f t="shared" si="11"/>
        <v>#NUM!</v>
      </c>
      <c r="K99" s="168" t="e">
        <f t="shared" si="8"/>
        <v>#NUM!</v>
      </c>
      <c r="L99" s="168"/>
      <c r="M99" s="170">
        <f t="shared" si="9"/>
        <v>0</v>
      </c>
      <c r="S99" s="158"/>
      <c r="T99" s="158"/>
      <c r="U99" s="158"/>
      <c r="V99" s="158"/>
      <c r="W99" s="158"/>
      <c r="X99" s="158"/>
      <c r="Y99" s="158"/>
      <c r="Z99" s="158"/>
      <c r="AA99" s="158"/>
      <c r="AB99" s="158"/>
      <c r="AC99" s="158"/>
      <c r="AD99" s="158"/>
      <c r="AE99" s="158"/>
      <c r="AF99" s="158"/>
      <c r="AG99" s="158"/>
      <c r="AH99" s="158"/>
      <c r="AI99" s="158"/>
      <c r="AJ99" s="158"/>
      <c r="AK99" s="158"/>
      <c r="AL99" s="158"/>
    </row>
    <row r="100" spans="1:38" s="153" customFormat="1" x14ac:dyDescent="0.25">
      <c r="A100" s="87">
        <f t="shared" si="10"/>
        <v>0</v>
      </c>
      <c r="B100" s="31" t="str">
        <f t="shared" si="6"/>
        <v/>
      </c>
      <c r="C100" s="32"/>
      <c r="D100" s="32"/>
      <c r="E100" s="32"/>
      <c r="F100" s="32"/>
      <c r="H100" s="165">
        <v>95</v>
      </c>
      <c r="I100" s="166" t="str">
        <f t="shared" si="7"/>
        <v/>
      </c>
      <c r="J100" s="165" t="e">
        <f t="shared" si="11"/>
        <v>#NUM!</v>
      </c>
      <c r="K100" s="165" t="e">
        <f t="shared" si="8"/>
        <v>#NUM!</v>
      </c>
      <c r="L100" s="165"/>
      <c r="M100" s="167">
        <f t="shared" si="9"/>
        <v>0</v>
      </c>
      <c r="S100" s="158"/>
      <c r="T100" s="158"/>
      <c r="U100" s="158"/>
      <c r="V100" s="158"/>
      <c r="W100" s="158"/>
      <c r="X100" s="158"/>
      <c r="Y100" s="158"/>
      <c r="Z100" s="158"/>
      <c r="AA100" s="158"/>
      <c r="AB100" s="158"/>
      <c r="AC100" s="158"/>
      <c r="AD100" s="158"/>
      <c r="AE100" s="158"/>
      <c r="AF100" s="158"/>
      <c r="AG100" s="158"/>
      <c r="AH100" s="158"/>
      <c r="AI100" s="158"/>
      <c r="AJ100" s="158"/>
      <c r="AK100" s="158"/>
      <c r="AL100" s="158"/>
    </row>
    <row r="101" spans="1:38" s="153" customFormat="1" x14ac:dyDescent="0.25">
      <c r="A101" s="91">
        <f t="shared" si="10"/>
        <v>0</v>
      </c>
      <c r="B101" s="37" t="str">
        <f t="shared" si="6"/>
        <v/>
      </c>
      <c r="C101" s="38"/>
      <c r="D101" s="38"/>
      <c r="E101" s="38"/>
      <c r="F101" s="38"/>
      <c r="H101" s="168">
        <v>96</v>
      </c>
      <c r="I101" s="169" t="str">
        <f t="shared" si="7"/>
        <v/>
      </c>
      <c r="J101" s="168" t="e">
        <f t="shared" si="11"/>
        <v>#NUM!</v>
      </c>
      <c r="K101" s="168" t="e">
        <f t="shared" si="8"/>
        <v>#NUM!</v>
      </c>
      <c r="L101" s="168"/>
      <c r="M101" s="170">
        <f t="shared" si="9"/>
        <v>0</v>
      </c>
      <c r="S101" s="158"/>
      <c r="T101" s="158"/>
      <c r="U101" s="158"/>
      <c r="V101" s="158"/>
      <c r="W101" s="158"/>
      <c r="X101" s="158"/>
      <c r="Y101" s="158"/>
      <c r="Z101" s="158"/>
      <c r="AA101" s="158"/>
      <c r="AB101" s="158"/>
      <c r="AC101" s="158"/>
      <c r="AD101" s="158"/>
      <c r="AE101" s="158"/>
      <c r="AF101" s="158"/>
      <c r="AG101" s="158"/>
      <c r="AH101" s="158"/>
      <c r="AI101" s="158"/>
      <c r="AJ101" s="158"/>
      <c r="AK101" s="158"/>
      <c r="AL101" s="158"/>
    </row>
    <row r="102" spans="1:38" s="153" customFormat="1" x14ac:dyDescent="0.25">
      <c r="A102" s="87">
        <f t="shared" si="10"/>
        <v>0</v>
      </c>
      <c r="B102" s="31" t="str">
        <f t="shared" si="6"/>
        <v/>
      </c>
      <c r="C102" s="32"/>
      <c r="D102" s="32"/>
      <c r="E102" s="32"/>
      <c r="F102" s="32"/>
      <c r="H102" s="165">
        <v>97</v>
      </c>
      <c r="I102" s="166" t="str">
        <f t="shared" si="7"/>
        <v/>
      </c>
      <c r="J102" s="165" t="e">
        <f t="shared" si="11"/>
        <v>#NUM!</v>
      </c>
      <c r="K102" s="165" t="e">
        <f t="shared" si="8"/>
        <v>#NUM!</v>
      </c>
      <c r="L102" s="165"/>
      <c r="M102" s="167">
        <f t="shared" si="9"/>
        <v>0</v>
      </c>
      <c r="S102" s="158"/>
      <c r="T102" s="158"/>
      <c r="U102" s="158"/>
      <c r="V102" s="158"/>
      <c r="W102" s="158"/>
      <c r="X102" s="158"/>
      <c r="Y102" s="158"/>
      <c r="Z102" s="158"/>
      <c r="AA102" s="158"/>
      <c r="AB102" s="158"/>
      <c r="AC102" s="158"/>
      <c r="AD102" s="158"/>
      <c r="AE102" s="158"/>
      <c r="AF102" s="158"/>
      <c r="AG102" s="158"/>
      <c r="AH102" s="158"/>
      <c r="AI102" s="158"/>
      <c r="AJ102" s="158"/>
      <c r="AK102" s="158"/>
      <c r="AL102" s="158"/>
    </row>
    <row r="103" spans="1:38" s="153" customFormat="1" x14ac:dyDescent="0.25">
      <c r="A103" s="91">
        <f t="shared" si="10"/>
        <v>0</v>
      </c>
      <c r="B103" s="37" t="str">
        <f t="shared" si="6"/>
        <v/>
      </c>
      <c r="C103" s="38"/>
      <c r="D103" s="38"/>
      <c r="E103" s="38"/>
      <c r="F103" s="38"/>
      <c r="H103" s="168">
        <v>98</v>
      </c>
      <c r="I103" s="169" t="str">
        <f t="shared" si="7"/>
        <v/>
      </c>
      <c r="J103" s="168" t="e">
        <f t="shared" si="11"/>
        <v>#NUM!</v>
      </c>
      <c r="K103" s="168" t="e">
        <f t="shared" si="8"/>
        <v>#NUM!</v>
      </c>
      <c r="L103" s="168"/>
      <c r="M103" s="170">
        <f t="shared" si="9"/>
        <v>0</v>
      </c>
      <c r="S103" s="158"/>
      <c r="T103" s="158"/>
      <c r="U103" s="158"/>
      <c r="V103" s="158"/>
      <c r="W103" s="158"/>
      <c r="X103" s="158"/>
      <c r="Y103" s="158"/>
      <c r="Z103" s="158"/>
      <c r="AA103" s="158"/>
      <c r="AB103" s="158"/>
      <c r="AC103" s="158"/>
      <c r="AD103" s="158"/>
      <c r="AE103" s="158"/>
      <c r="AF103" s="158"/>
      <c r="AG103" s="158"/>
      <c r="AH103" s="158"/>
      <c r="AI103" s="158"/>
      <c r="AJ103" s="158"/>
      <c r="AK103" s="158"/>
      <c r="AL103" s="158"/>
    </row>
    <row r="104" spans="1:38" s="153" customFormat="1" x14ac:dyDescent="0.25">
      <c r="A104" s="87">
        <f t="shared" si="10"/>
        <v>0</v>
      </c>
      <c r="B104" s="31" t="str">
        <f t="shared" si="6"/>
        <v/>
      </c>
      <c r="C104" s="32"/>
      <c r="D104" s="32"/>
      <c r="E104" s="32"/>
      <c r="F104" s="32"/>
      <c r="H104" s="165">
        <v>99</v>
      </c>
      <c r="I104" s="166" t="str">
        <f t="shared" si="7"/>
        <v/>
      </c>
      <c r="J104" s="165" t="e">
        <f t="shared" si="11"/>
        <v>#NUM!</v>
      </c>
      <c r="K104" s="165" t="e">
        <f t="shared" si="8"/>
        <v>#NUM!</v>
      </c>
      <c r="L104" s="165"/>
      <c r="M104" s="167">
        <f t="shared" si="9"/>
        <v>0</v>
      </c>
      <c r="S104" s="158"/>
      <c r="T104" s="158"/>
      <c r="U104" s="158"/>
      <c r="V104" s="158"/>
      <c r="W104" s="158"/>
      <c r="X104" s="158"/>
      <c r="Y104" s="158"/>
      <c r="Z104" s="158"/>
      <c r="AA104" s="158"/>
      <c r="AB104" s="158"/>
      <c r="AC104" s="158"/>
      <c r="AD104" s="158"/>
      <c r="AE104" s="158"/>
      <c r="AF104" s="158"/>
      <c r="AG104" s="158"/>
      <c r="AH104" s="158"/>
      <c r="AI104" s="158"/>
      <c r="AJ104" s="158"/>
      <c r="AK104" s="158"/>
      <c r="AL104" s="158"/>
    </row>
    <row r="105" spans="1:38" s="153" customFormat="1" x14ac:dyDescent="0.25">
      <c r="A105" s="91">
        <f t="shared" si="10"/>
        <v>0</v>
      </c>
      <c r="B105" s="37" t="str">
        <f t="shared" si="6"/>
        <v/>
      </c>
      <c r="C105" s="38"/>
      <c r="D105" s="38"/>
      <c r="E105" s="38"/>
      <c r="F105" s="38"/>
      <c r="H105" s="168">
        <v>100</v>
      </c>
      <c r="I105" s="169" t="str">
        <f t="shared" si="7"/>
        <v/>
      </c>
      <c r="J105" s="168" t="e">
        <f t="shared" si="11"/>
        <v>#NUM!</v>
      </c>
      <c r="K105" s="168" t="e">
        <f t="shared" si="8"/>
        <v>#NUM!</v>
      </c>
      <c r="L105" s="168"/>
      <c r="M105" s="170">
        <f t="shared" si="9"/>
        <v>0</v>
      </c>
      <c r="S105" s="158"/>
      <c r="T105" s="158"/>
      <c r="U105" s="158"/>
      <c r="V105" s="158"/>
      <c r="W105" s="158"/>
      <c r="X105" s="158"/>
      <c r="Y105" s="158"/>
      <c r="Z105" s="158"/>
      <c r="AA105" s="158"/>
      <c r="AB105" s="158"/>
      <c r="AC105" s="158"/>
      <c r="AD105" s="158"/>
      <c r="AE105" s="158"/>
      <c r="AF105" s="158"/>
      <c r="AG105" s="158"/>
      <c r="AH105" s="158"/>
      <c r="AI105" s="158"/>
      <c r="AJ105" s="158"/>
      <c r="AK105" s="158"/>
      <c r="AL105" s="158"/>
    </row>
    <row r="106" spans="1:38" s="153" customFormat="1" x14ac:dyDescent="0.25">
      <c r="A106" s="87">
        <f t="shared" si="10"/>
        <v>0</v>
      </c>
      <c r="B106" s="31" t="str">
        <f t="shared" si="6"/>
        <v/>
      </c>
      <c r="C106" s="32"/>
      <c r="D106" s="32"/>
      <c r="E106" s="32"/>
      <c r="F106" s="32"/>
      <c r="H106" s="165">
        <v>101</v>
      </c>
      <c r="I106" s="166" t="str">
        <f t="shared" si="7"/>
        <v/>
      </c>
      <c r="J106" s="165" t="e">
        <f t="shared" si="11"/>
        <v>#NUM!</v>
      </c>
      <c r="K106" s="165" t="e">
        <f t="shared" si="8"/>
        <v>#NUM!</v>
      </c>
      <c r="L106" s="165"/>
      <c r="M106" s="167">
        <f t="shared" si="9"/>
        <v>0</v>
      </c>
      <c r="S106" s="158"/>
      <c r="T106" s="158"/>
      <c r="U106" s="158"/>
      <c r="V106" s="158"/>
      <c r="W106" s="158"/>
      <c r="X106" s="158"/>
      <c r="Y106" s="158"/>
      <c r="Z106" s="158"/>
      <c r="AA106" s="158"/>
      <c r="AB106" s="158"/>
      <c r="AC106" s="158"/>
      <c r="AD106" s="158"/>
      <c r="AE106" s="158"/>
      <c r="AF106" s="158"/>
      <c r="AG106" s="158"/>
      <c r="AH106" s="158"/>
      <c r="AI106" s="158"/>
      <c r="AJ106" s="158"/>
      <c r="AK106" s="158"/>
      <c r="AL106" s="158"/>
    </row>
    <row r="107" spans="1:38" s="153" customFormat="1" x14ac:dyDescent="0.25">
      <c r="A107" s="91">
        <f t="shared" si="10"/>
        <v>0</v>
      </c>
      <c r="B107" s="37" t="str">
        <f t="shared" si="6"/>
        <v/>
      </c>
      <c r="C107" s="38"/>
      <c r="D107" s="38"/>
      <c r="E107" s="38"/>
      <c r="F107" s="38"/>
      <c r="H107" s="168">
        <v>102</v>
      </c>
      <c r="I107" s="169" t="str">
        <f t="shared" si="7"/>
        <v/>
      </c>
      <c r="J107" s="168" t="e">
        <f t="shared" si="11"/>
        <v>#NUM!</v>
      </c>
      <c r="K107" s="168" t="e">
        <f t="shared" si="8"/>
        <v>#NUM!</v>
      </c>
      <c r="L107" s="168"/>
      <c r="M107" s="170">
        <f t="shared" si="9"/>
        <v>0</v>
      </c>
      <c r="S107" s="158"/>
      <c r="T107" s="158"/>
      <c r="U107" s="158"/>
      <c r="V107" s="158"/>
      <c r="W107" s="158"/>
      <c r="X107" s="158"/>
      <c r="Y107" s="158"/>
      <c r="Z107" s="158"/>
      <c r="AA107" s="158"/>
      <c r="AB107" s="158"/>
      <c r="AC107" s="158"/>
      <c r="AD107" s="158"/>
      <c r="AE107" s="158"/>
      <c r="AF107" s="158"/>
      <c r="AG107" s="158"/>
      <c r="AH107" s="158"/>
      <c r="AI107" s="158"/>
      <c r="AJ107" s="158"/>
      <c r="AK107" s="158"/>
      <c r="AL107" s="158"/>
    </row>
    <row r="108" spans="1:38" s="153" customFormat="1" x14ac:dyDescent="0.25">
      <c r="A108" s="87">
        <f t="shared" si="10"/>
        <v>0</v>
      </c>
      <c r="B108" s="31" t="str">
        <f t="shared" si="6"/>
        <v/>
      </c>
      <c r="C108" s="32"/>
      <c r="D108" s="32"/>
      <c r="E108" s="32"/>
      <c r="F108" s="32"/>
      <c r="H108" s="165">
        <v>103</v>
      </c>
      <c r="I108" s="166" t="str">
        <f t="shared" si="7"/>
        <v/>
      </c>
      <c r="J108" s="165" t="e">
        <f t="shared" si="11"/>
        <v>#NUM!</v>
      </c>
      <c r="K108" s="165" t="e">
        <f t="shared" si="8"/>
        <v>#NUM!</v>
      </c>
      <c r="L108" s="165"/>
      <c r="M108" s="167">
        <f t="shared" si="9"/>
        <v>0</v>
      </c>
      <c r="S108" s="158"/>
      <c r="T108" s="158"/>
      <c r="U108" s="158"/>
      <c r="V108" s="158"/>
      <c r="W108" s="158"/>
      <c r="X108" s="158"/>
      <c r="Y108" s="158"/>
      <c r="Z108" s="158"/>
      <c r="AA108" s="158"/>
      <c r="AB108" s="158"/>
      <c r="AC108" s="158"/>
      <c r="AD108" s="158"/>
      <c r="AE108" s="158"/>
      <c r="AF108" s="158"/>
      <c r="AG108" s="158"/>
      <c r="AH108" s="158"/>
      <c r="AI108" s="158"/>
      <c r="AJ108" s="158"/>
      <c r="AK108" s="158"/>
      <c r="AL108" s="158"/>
    </row>
    <row r="109" spans="1:38" s="153" customFormat="1" x14ac:dyDescent="0.25">
      <c r="A109" s="91">
        <f t="shared" si="10"/>
        <v>0</v>
      </c>
      <c r="B109" s="37" t="str">
        <f t="shared" si="6"/>
        <v/>
      </c>
      <c r="C109" s="38"/>
      <c r="D109" s="38"/>
      <c r="E109" s="38"/>
      <c r="F109" s="38"/>
      <c r="H109" s="168">
        <v>104</v>
      </c>
      <c r="I109" s="169" t="str">
        <f t="shared" si="7"/>
        <v/>
      </c>
      <c r="J109" s="168" t="e">
        <f t="shared" si="11"/>
        <v>#NUM!</v>
      </c>
      <c r="K109" s="168" t="e">
        <f t="shared" si="8"/>
        <v>#NUM!</v>
      </c>
      <c r="L109" s="168"/>
      <c r="M109" s="170">
        <f t="shared" si="9"/>
        <v>0</v>
      </c>
      <c r="S109" s="158"/>
      <c r="T109" s="158"/>
      <c r="U109" s="158"/>
      <c r="V109" s="158"/>
      <c r="W109" s="158"/>
      <c r="X109" s="158"/>
      <c r="Y109" s="158"/>
      <c r="Z109" s="158"/>
      <c r="AA109" s="158"/>
      <c r="AB109" s="158"/>
      <c r="AC109" s="158"/>
      <c r="AD109" s="158"/>
      <c r="AE109" s="158"/>
      <c r="AF109" s="158"/>
      <c r="AG109" s="158"/>
      <c r="AH109" s="158"/>
      <c r="AI109" s="158"/>
      <c r="AJ109" s="158"/>
      <c r="AK109" s="158"/>
      <c r="AL109" s="158"/>
    </row>
    <row r="110" spans="1:38" s="153" customFormat="1" x14ac:dyDescent="0.25">
      <c r="A110" s="87">
        <f t="shared" si="10"/>
        <v>0</v>
      </c>
      <c r="B110" s="31" t="str">
        <f t="shared" si="6"/>
        <v/>
      </c>
      <c r="C110" s="32"/>
      <c r="D110" s="32"/>
      <c r="E110" s="32"/>
      <c r="F110" s="32"/>
      <c r="H110" s="165">
        <v>105</v>
      </c>
      <c r="I110" s="166" t="str">
        <f t="shared" si="7"/>
        <v/>
      </c>
      <c r="J110" s="165" t="e">
        <f t="shared" si="11"/>
        <v>#NUM!</v>
      </c>
      <c r="K110" s="165" t="e">
        <f t="shared" si="8"/>
        <v>#NUM!</v>
      </c>
      <c r="L110" s="165"/>
      <c r="M110" s="167">
        <f t="shared" si="9"/>
        <v>0</v>
      </c>
      <c r="S110" s="158"/>
      <c r="T110" s="158"/>
      <c r="U110" s="158"/>
      <c r="V110" s="158"/>
      <c r="W110" s="158"/>
      <c r="X110" s="158"/>
      <c r="Y110" s="158"/>
      <c r="Z110" s="158"/>
      <c r="AA110" s="158"/>
      <c r="AB110" s="158"/>
      <c r="AC110" s="158"/>
      <c r="AD110" s="158"/>
      <c r="AE110" s="158"/>
      <c r="AF110" s="158"/>
      <c r="AG110" s="158"/>
      <c r="AH110" s="158"/>
      <c r="AI110" s="158"/>
      <c r="AJ110" s="158"/>
      <c r="AK110" s="158"/>
      <c r="AL110" s="158"/>
    </row>
    <row r="111" spans="1:38" s="153" customFormat="1" x14ac:dyDescent="0.25">
      <c r="A111" s="91">
        <f t="shared" si="10"/>
        <v>0</v>
      </c>
      <c r="B111" s="37" t="str">
        <f t="shared" si="6"/>
        <v/>
      </c>
      <c r="C111" s="38"/>
      <c r="D111" s="38"/>
      <c r="E111" s="38"/>
      <c r="F111" s="38"/>
      <c r="H111" s="168">
        <v>106</v>
      </c>
      <c r="I111" s="169" t="str">
        <f t="shared" si="7"/>
        <v/>
      </c>
      <c r="J111" s="168" t="e">
        <f t="shared" si="11"/>
        <v>#NUM!</v>
      </c>
      <c r="K111" s="168" t="e">
        <f t="shared" si="8"/>
        <v>#NUM!</v>
      </c>
      <c r="L111" s="168"/>
      <c r="M111" s="170">
        <f t="shared" si="9"/>
        <v>0</v>
      </c>
      <c r="S111" s="158"/>
      <c r="T111" s="158"/>
      <c r="U111" s="158"/>
      <c r="V111" s="158"/>
      <c r="W111" s="158"/>
      <c r="X111" s="158"/>
      <c r="Y111" s="158"/>
      <c r="Z111" s="158"/>
      <c r="AA111" s="158"/>
      <c r="AB111" s="158"/>
      <c r="AC111" s="158"/>
      <c r="AD111" s="158"/>
      <c r="AE111" s="158"/>
      <c r="AF111" s="158"/>
      <c r="AG111" s="158"/>
      <c r="AH111" s="158"/>
      <c r="AI111" s="158"/>
      <c r="AJ111" s="158"/>
      <c r="AK111" s="158"/>
      <c r="AL111" s="158"/>
    </row>
    <row r="112" spans="1:38" s="153" customFormat="1" x14ac:dyDescent="0.25">
      <c r="A112" s="87">
        <f t="shared" si="10"/>
        <v>0</v>
      </c>
      <c r="B112" s="31" t="str">
        <f t="shared" si="6"/>
        <v/>
      </c>
      <c r="C112" s="32"/>
      <c r="D112" s="32"/>
      <c r="E112" s="32"/>
      <c r="F112" s="32"/>
      <c r="H112" s="165">
        <v>107</v>
      </c>
      <c r="I112" s="166" t="str">
        <f t="shared" si="7"/>
        <v/>
      </c>
      <c r="J112" s="165" t="e">
        <f t="shared" si="11"/>
        <v>#NUM!</v>
      </c>
      <c r="K112" s="165" t="e">
        <f t="shared" si="8"/>
        <v>#NUM!</v>
      </c>
      <c r="L112" s="165"/>
      <c r="M112" s="167">
        <f t="shared" si="9"/>
        <v>0</v>
      </c>
      <c r="S112" s="158"/>
      <c r="T112" s="158"/>
      <c r="U112" s="158"/>
      <c r="V112" s="158"/>
      <c r="W112" s="158"/>
      <c r="X112" s="158"/>
      <c r="Y112" s="158"/>
      <c r="Z112" s="158"/>
      <c r="AA112" s="158"/>
      <c r="AB112" s="158"/>
      <c r="AC112" s="158"/>
      <c r="AD112" s="158"/>
      <c r="AE112" s="158"/>
      <c r="AF112" s="158"/>
      <c r="AG112" s="158"/>
      <c r="AH112" s="158"/>
      <c r="AI112" s="158"/>
      <c r="AJ112" s="158"/>
      <c r="AK112" s="158"/>
      <c r="AL112" s="158"/>
    </row>
    <row r="113" spans="1:38" s="153" customFormat="1" x14ac:dyDescent="0.25">
      <c r="A113" s="91">
        <f t="shared" si="10"/>
        <v>0</v>
      </c>
      <c r="B113" s="37" t="str">
        <f t="shared" si="6"/>
        <v/>
      </c>
      <c r="C113" s="38"/>
      <c r="D113" s="38"/>
      <c r="E113" s="38"/>
      <c r="F113" s="38"/>
      <c r="H113" s="168">
        <v>108</v>
      </c>
      <c r="I113" s="169" t="str">
        <f t="shared" si="7"/>
        <v/>
      </c>
      <c r="J113" s="168" t="e">
        <f t="shared" si="11"/>
        <v>#NUM!</v>
      </c>
      <c r="K113" s="168" t="e">
        <f t="shared" si="8"/>
        <v>#NUM!</v>
      </c>
      <c r="L113" s="168"/>
      <c r="M113" s="170">
        <f t="shared" si="9"/>
        <v>0</v>
      </c>
      <c r="S113" s="158"/>
      <c r="T113" s="158"/>
      <c r="U113" s="158"/>
      <c r="V113" s="158"/>
      <c r="W113" s="158"/>
      <c r="X113" s="158"/>
      <c r="Y113" s="158"/>
      <c r="Z113" s="158"/>
      <c r="AA113" s="158"/>
      <c r="AB113" s="158"/>
      <c r="AC113" s="158"/>
      <c r="AD113" s="158"/>
      <c r="AE113" s="158"/>
      <c r="AF113" s="158"/>
      <c r="AG113" s="158"/>
      <c r="AH113" s="158"/>
      <c r="AI113" s="158"/>
      <c r="AJ113" s="158"/>
      <c r="AK113" s="158"/>
      <c r="AL113" s="158"/>
    </row>
    <row r="114" spans="1:38" s="153" customFormat="1" x14ac:dyDescent="0.25">
      <c r="A114" s="87">
        <f t="shared" si="10"/>
        <v>0</v>
      </c>
      <c r="B114" s="31" t="str">
        <f t="shared" si="6"/>
        <v/>
      </c>
      <c r="C114" s="32"/>
      <c r="D114" s="32"/>
      <c r="E114" s="32"/>
      <c r="F114" s="32"/>
      <c r="H114" s="165">
        <v>109</v>
      </c>
      <c r="I114" s="166" t="str">
        <f t="shared" si="7"/>
        <v/>
      </c>
      <c r="J114" s="165" t="e">
        <f t="shared" si="11"/>
        <v>#NUM!</v>
      </c>
      <c r="K114" s="165" t="e">
        <f t="shared" si="8"/>
        <v>#NUM!</v>
      </c>
      <c r="L114" s="165"/>
      <c r="M114" s="167">
        <f t="shared" si="9"/>
        <v>0</v>
      </c>
      <c r="S114" s="158"/>
      <c r="T114" s="158"/>
      <c r="U114" s="158"/>
      <c r="V114" s="158"/>
      <c r="W114" s="158"/>
      <c r="X114" s="158"/>
      <c r="Y114" s="158"/>
      <c r="Z114" s="158"/>
      <c r="AA114" s="158"/>
      <c r="AB114" s="158"/>
      <c r="AC114" s="158"/>
      <c r="AD114" s="158"/>
      <c r="AE114" s="158"/>
      <c r="AF114" s="158"/>
      <c r="AG114" s="158"/>
      <c r="AH114" s="158"/>
      <c r="AI114" s="158"/>
      <c r="AJ114" s="158"/>
      <c r="AK114" s="158"/>
      <c r="AL114" s="158"/>
    </row>
    <row r="115" spans="1:38" s="153" customFormat="1" x14ac:dyDescent="0.25">
      <c r="A115" s="91">
        <f t="shared" si="10"/>
        <v>0</v>
      </c>
      <c r="B115" s="37" t="str">
        <f t="shared" si="6"/>
        <v/>
      </c>
      <c r="C115" s="38"/>
      <c r="D115" s="38"/>
      <c r="E115" s="38"/>
      <c r="F115" s="38"/>
      <c r="H115" s="168">
        <v>110</v>
      </c>
      <c r="I115" s="169" t="str">
        <f t="shared" si="7"/>
        <v/>
      </c>
      <c r="J115" s="168" t="e">
        <f t="shared" si="11"/>
        <v>#NUM!</v>
      </c>
      <c r="K115" s="168" t="e">
        <f t="shared" si="8"/>
        <v>#NUM!</v>
      </c>
      <c r="L115" s="168"/>
      <c r="M115" s="170">
        <f t="shared" si="9"/>
        <v>0</v>
      </c>
      <c r="S115" s="158"/>
      <c r="T115" s="158"/>
      <c r="U115" s="158"/>
      <c r="V115" s="158"/>
      <c r="W115" s="158"/>
      <c r="X115" s="158"/>
      <c r="Y115" s="158"/>
      <c r="Z115" s="158"/>
      <c r="AA115" s="158"/>
      <c r="AB115" s="158"/>
      <c r="AC115" s="158"/>
      <c r="AD115" s="158"/>
      <c r="AE115" s="158"/>
      <c r="AF115" s="158"/>
      <c r="AG115" s="158"/>
      <c r="AH115" s="158"/>
      <c r="AI115" s="158"/>
      <c r="AJ115" s="158"/>
      <c r="AK115" s="158"/>
      <c r="AL115" s="158"/>
    </row>
    <row r="116" spans="1:38" s="153" customFormat="1" x14ac:dyDescent="0.25">
      <c r="A116" s="87">
        <f t="shared" si="10"/>
        <v>0</v>
      </c>
      <c r="B116" s="31" t="str">
        <f t="shared" si="6"/>
        <v/>
      </c>
      <c r="C116" s="32"/>
      <c r="D116" s="32"/>
      <c r="E116" s="32"/>
      <c r="F116" s="32"/>
      <c r="H116" s="165">
        <v>111</v>
      </c>
      <c r="I116" s="166" t="str">
        <f t="shared" si="7"/>
        <v/>
      </c>
      <c r="J116" s="165" t="e">
        <f t="shared" si="11"/>
        <v>#NUM!</v>
      </c>
      <c r="K116" s="165" t="e">
        <f t="shared" si="8"/>
        <v>#NUM!</v>
      </c>
      <c r="L116" s="165"/>
      <c r="M116" s="167">
        <f t="shared" si="9"/>
        <v>0</v>
      </c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8"/>
      <c r="AF116" s="158"/>
      <c r="AG116" s="158"/>
      <c r="AH116" s="158"/>
      <c r="AI116" s="158"/>
      <c r="AJ116" s="158"/>
      <c r="AK116" s="158"/>
      <c r="AL116" s="158"/>
    </row>
    <row r="117" spans="1:38" s="153" customFormat="1" x14ac:dyDescent="0.25">
      <c r="A117" s="91">
        <f t="shared" si="10"/>
        <v>0</v>
      </c>
      <c r="B117" s="37" t="str">
        <f t="shared" si="6"/>
        <v/>
      </c>
      <c r="C117" s="38"/>
      <c r="D117" s="38"/>
      <c r="E117" s="38"/>
      <c r="F117" s="38"/>
      <c r="H117" s="168">
        <v>112</v>
      </c>
      <c r="I117" s="169" t="str">
        <f t="shared" si="7"/>
        <v/>
      </c>
      <c r="J117" s="168" t="e">
        <f t="shared" si="11"/>
        <v>#NUM!</v>
      </c>
      <c r="K117" s="168" t="e">
        <f t="shared" si="8"/>
        <v>#NUM!</v>
      </c>
      <c r="L117" s="168"/>
      <c r="M117" s="170">
        <f t="shared" si="9"/>
        <v>0</v>
      </c>
      <c r="S117" s="158"/>
      <c r="T117" s="158"/>
      <c r="U117" s="158"/>
      <c r="V117" s="158"/>
      <c r="W117" s="158"/>
      <c r="X117" s="158"/>
      <c r="Y117" s="158"/>
      <c r="Z117" s="158"/>
      <c r="AA117" s="158"/>
      <c r="AB117" s="158"/>
      <c r="AC117" s="158"/>
      <c r="AD117" s="158"/>
      <c r="AE117" s="158"/>
      <c r="AF117" s="158"/>
      <c r="AG117" s="158"/>
      <c r="AH117" s="158"/>
      <c r="AI117" s="158"/>
      <c r="AJ117" s="158"/>
      <c r="AK117" s="158"/>
      <c r="AL117" s="158"/>
    </row>
    <row r="118" spans="1:38" s="153" customFormat="1" x14ac:dyDescent="0.25">
      <c r="A118" s="87">
        <f t="shared" si="10"/>
        <v>0</v>
      </c>
      <c r="B118" s="31" t="str">
        <f t="shared" si="6"/>
        <v/>
      </c>
      <c r="C118" s="32"/>
      <c r="D118" s="32"/>
      <c r="E118" s="32"/>
      <c r="F118" s="32"/>
      <c r="H118" s="165">
        <v>113</v>
      </c>
      <c r="I118" s="166" t="str">
        <f t="shared" si="7"/>
        <v/>
      </c>
      <c r="J118" s="165" t="e">
        <f t="shared" si="11"/>
        <v>#NUM!</v>
      </c>
      <c r="K118" s="165" t="e">
        <f t="shared" si="8"/>
        <v>#NUM!</v>
      </c>
      <c r="L118" s="165"/>
      <c r="M118" s="167">
        <f t="shared" si="9"/>
        <v>0</v>
      </c>
      <c r="S118" s="158"/>
      <c r="T118" s="158"/>
      <c r="U118" s="158"/>
      <c r="V118" s="158"/>
      <c r="W118" s="158"/>
      <c r="X118" s="158"/>
      <c r="Y118" s="158"/>
      <c r="Z118" s="158"/>
      <c r="AA118" s="158"/>
      <c r="AB118" s="158"/>
      <c r="AC118" s="158"/>
      <c r="AD118" s="158"/>
      <c r="AE118" s="158"/>
      <c r="AF118" s="158"/>
      <c r="AG118" s="158"/>
      <c r="AH118" s="158"/>
      <c r="AI118" s="158"/>
      <c r="AJ118" s="158"/>
      <c r="AK118" s="158"/>
      <c r="AL118" s="158"/>
    </row>
    <row r="119" spans="1:38" s="153" customFormat="1" x14ac:dyDescent="0.25">
      <c r="A119" s="91">
        <f t="shared" si="10"/>
        <v>0</v>
      </c>
      <c r="B119" s="37" t="str">
        <f t="shared" si="6"/>
        <v/>
      </c>
      <c r="C119" s="38"/>
      <c r="D119" s="38"/>
      <c r="E119" s="38"/>
      <c r="F119" s="38"/>
      <c r="H119" s="168">
        <v>114</v>
      </c>
      <c r="I119" s="169" t="str">
        <f t="shared" si="7"/>
        <v/>
      </c>
      <c r="J119" s="168" t="e">
        <f t="shared" si="11"/>
        <v>#NUM!</v>
      </c>
      <c r="K119" s="168" t="e">
        <f t="shared" si="8"/>
        <v>#NUM!</v>
      </c>
      <c r="L119" s="168"/>
      <c r="M119" s="170">
        <f t="shared" si="9"/>
        <v>0</v>
      </c>
      <c r="S119" s="158"/>
      <c r="T119" s="158"/>
      <c r="U119" s="158"/>
      <c r="V119" s="158"/>
      <c r="W119" s="158"/>
      <c r="X119" s="158"/>
      <c r="Y119" s="158"/>
      <c r="Z119" s="158"/>
      <c r="AA119" s="158"/>
      <c r="AB119" s="158"/>
      <c r="AC119" s="158"/>
      <c r="AD119" s="158"/>
      <c r="AE119" s="158"/>
      <c r="AF119" s="158"/>
      <c r="AG119" s="158"/>
      <c r="AH119" s="158"/>
      <c r="AI119" s="158"/>
      <c r="AJ119" s="158"/>
      <c r="AK119" s="158"/>
      <c r="AL119" s="158"/>
    </row>
    <row r="120" spans="1:38" s="153" customFormat="1" x14ac:dyDescent="0.25">
      <c r="A120" s="87">
        <f t="shared" si="10"/>
        <v>0</v>
      </c>
      <c r="B120" s="31" t="str">
        <f t="shared" si="6"/>
        <v/>
      </c>
      <c r="C120" s="32"/>
      <c r="D120" s="32"/>
      <c r="E120" s="32"/>
      <c r="F120" s="32"/>
      <c r="H120" s="165">
        <v>115</v>
      </c>
      <c r="I120" s="166" t="str">
        <f t="shared" si="7"/>
        <v/>
      </c>
      <c r="J120" s="165" t="e">
        <f t="shared" si="11"/>
        <v>#NUM!</v>
      </c>
      <c r="K120" s="165" t="e">
        <f t="shared" si="8"/>
        <v>#NUM!</v>
      </c>
      <c r="L120" s="165"/>
      <c r="M120" s="167">
        <f t="shared" si="9"/>
        <v>0</v>
      </c>
      <c r="S120" s="158"/>
      <c r="T120" s="158"/>
      <c r="U120" s="158"/>
      <c r="V120" s="158"/>
      <c r="W120" s="158"/>
      <c r="X120" s="158"/>
      <c r="Y120" s="158"/>
      <c r="Z120" s="158"/>
      <c r="AA120" s="158"/>
      <c r="AB120" s="158"/>
      <c r="AC120" s="158"/>
      <c r="AD120" s="158"/>
      <c r="AE120" s="158"/>
      <c r="AF120" s="158"/>
      <c r="AG120" s="158"/>
      <c r="AH120" s="158"/>
      <c r="AI120" s="158"/>
      <c r="AJ120" s="158"/>
      <c r="AK120" s="158"/>
      <c r="AL120" s="158"/>
    </row>
    <row r="121" spans="1:38" s="153" customFormat="1" x14ac:dyDescent="0.25">
      <c r="A121" s="91">
        <f t="shared" si="10"/>
        <v>0</v>
      </c>
      <c r="B121" s="37" t="str">
        <f t="shared" si="6"/>
        <v/>
      </c>
      <c r="C121" s="38"/>
      <c r="D121" s="38"/>
      <c r="E121" s="38"/>
      <c r="F121" s="38"/>
      <c r="H121" s="168">
        <v>116</v>
      </c>
      <c r="I121" s="169" t="str">
        <f t="shared" si="7"/>
        <v/>
      </c>
      <c r="J121" s="168" t="e">
        <f t="shared" si="11"/>
        <v>#NUM!</v>
      </c>
      <c r="K121" s="168" t="e">
        <f t="shared" si="8"/>
        <v>#NUM!</v>
      </c>
      <c r="L121" s="168"/>
      <c r="M121" s="170">
        <f t="shared" si="9"/>
        <v>0</v>
      </c>
      <c r="S121" s="158"/>
      <c r="T121" s="158"/>
      <c r="U121" s="158"/>
      <c r="V121" s="158"/>
      <c r="W121" s="158"/>
      <c r="X121" s="158"/>
      <c r="Y121" s="158"/>
      <c r="Z121" s="158"/>
      <c r="AA121" s="158"/>
      <c r="AB121" s="158"/>
      <c r="AC121" s="158"/>
      <c r="AD121" s="158"/>
      <c r="AE121" s="158"/>
      <c r="AF121" s="158"/>
      <c r="AG121" s="158"/>
      <c r="AH121" s="158"/>
      <c r="AI121" s="158"/>
      <c r="AJ121" s="158"/>
      <c r="AK121" s="158"/>
      <c r="AL121" s="158"/>
    </row>
    <row r="122" spans="1:38" s="153" customFormat="1" x14ac:dyDescent="0.25">
      <c r="A122" s="87">
        <f t="shared" si="10"/>
        <v>0</v>
      </c>
      <c r="B122" s="31" t="str">
        <f t="shared" si="6"/>
        <v/>
      </c>
      <c r="C122" s="32"/>
      <c r="D122" s="32"/>
      <c r="E122" s="32"/>
      <c r="F122" s="32"/>
      <c r="H122" s="165">
        <v>117</v>
      </c>
      <c r="I122" s="166" t="str">
        <f t="shared" si="7"/>
        <v/>
      </c>
      <c r="J122" s="165" t="e">
        <f t="shared" si="11"/>
        <v>#NUM!</v>
      </c>
      <c r="K122" s="165" t="e">
        <f t="shared" si="8"/>
        <v>#NUM!</v>
      </c>
      <c r="L122" s="165"/>
      <c r="M122" s="167">
        <f t="shared" si="9"/>
        <v>0</v>
      </c>
      <c r="S122" s="158"/>
      <c r="T122" s="158"/>
      <c r="U122" s="158"/>
      <c r="V122" s="158"/>
      <c r="W122" s="158"/>
      <c r="X122" s="158"/>
      <c r="Y122" s="158"/>
      <c r="Z122" s="158"/>
      <c r="AA122" s="158"/>
      <c r="AB122" s="158"/>
      <c r="AC122" s="158"/>
      <c r="AD122" s="158"/>
      <c r="AE122" s="158"/>
      <c r="AF122" s="158"/>
      <c r="AG122" s="158"/>
      <c r="AH122" s="158"/>
      <c r="AI122" s="158"/>
      <c r="AJ122" s="158"/>
      <c r="AK122" s="158"/>
      <c r="AL122" s="158"/>
    </row>
    <row r="123" spans="1:38" s="153" customFormat="1" x14ac:dyDescent="0.25">
      <c r="A123" s="91">
        <f t="shared" si="10"/>
        <v>0</v>
      </c>
      <c r="B123" s="37" t="str">
        <f t="shared" si="6"/>
        <v/>
      </c>
      <c r="C123" s="38"/>
      <c r="D123" s="38"/>
      <c r="E123" s="38"/>
      <c r="F123" s="38"/>
      <c r="H123" s="168">
        <v>118</v>
      </c>
      <c r="I123" s="169" t="str">
        <f t="shared" si="7"/>
        <v/>
      </c>
      <c r="J123" s="168" t="e">
        <f t="shared" si="11"/>
        <v>#NUM!</v>
      </c>
      <c r="K123" s="168" t="e">
        <f t="shared" si="8"/>
        <v>#NUM!</v>
      </c>
      <c r="L123" s="168"/>
      <c r="M123" s="170">
        <f t="shared" si="9"/>
        <v>0</v>
      </c>
      <c r="S123" s="158"/>
      <c r="T123" s="158"/>
      <c r="U123" s="158"/>
      <c r="V123" s="158"/>
      <c r="W123" s="158"/>
      <c r="X123" s="158"/>
      <c r="Y123" s="158"/>
      <c r="Z123" s="158"/>
      <c r="AA123" s="158"/>
      <c r="AB123" s="158"/>
      <c r="AC123" s="158"/>
      <c r="AD123" s="158"/>
      <c r="AE123" s="158"/>
      <c r="AF123" s="158"/>
      <c r="AG123" s="158"/>
      <c r="AH123" s="158"/>
      <c r="AI123" s="158"/>
      <c r="AJ123" s="158"/>
      <c r="AK123" s="158"/>
      <c r="AL123" s="158"/>
    </row>
    <row r="124" spans="1:38" s="153" customFormat="1" x14ac:dyDescent="0.25">
      <c r="A124" s="87">
        <f t="shared" si="10"/>
        <v>0</v>
      </c>
      <c r="B124" s="31" t="str">
        <f t="shared" si="6"/>
        <v/>
      </c>
      <c r="C124" s="32"/>
      <c r="D124" s="32"/>
      <c r="E124" s="32"/>
      <c r="F124" s="32"/>
      <c r="H124" s="165">
        <v>119</v>
      </c>
      <c r="I124" s="166" t="str">
        <f t="shared" si="7"/>
        <v/>
      </c>
      <c r="J124" s="165" t="e">
        <f t="shared" si="11"/>
        <v>#NUM!</v>
      </c>
      <c r="K124" s="165" t="e">
        <f t="shared" si="8"/>
        <v>#NUM!</v>
      </c>
      <c r="L124" s="165"/>
      <c r="M124" s="167">
        <f t="shared" si="9"/>
        <v>0</v>
      </c>
      <c r="S124" s="158"/>
      <c r="T124" s="158"/>
      <c r="U124" s="158"/>
      <c r="V124" s="158"/>
      <c r="W124" s="158"/>
      <c r="X124" s="158"/>
      <c r="Y124" s="158"/>
      <c r="Z124" s="158"/>
      <c r="AA124" s="158"/>
      <c r="AB124" s="158"/>
      <c r="AC124" s="158"/>
      <c r="AD124" s="158"/>
      <c r="AE124" s="158"/>
      <c r="AF124" s="158"/>
      <c r="AG124" s="158"/>
      <c r="AH124" s="158"/>
      <c r="AI124" s="158"/>
      <c r="AJ124" s="158"/>
      <c r="AK124" s="158"/>
      <c r="AL124" s="158"/>
    </row>
    <row r="125" spans="1:38" s="153" customFormat="1" x14ac:dyDescent="0.25">
      <c r="A125" s="91">
        <f t="shared" si="10"/>
        <v>0</v>
      </c>
      <c r="B125" s="37" t="str">
        <f t="shared" si="6"/>
        <v/>
      </c>
      <c r="C125" s="38"/>
      <c r="D125" s="38"/>
      <c r="E125" s="38"/>
      <c r="F125" s="38"/>
      <c r="H125" s="168">
        <v>120</v>
      </c>
      <c r="I125" s="169" t="str">
        <f t="shared" si="7"/>
        <v/>
      </c>
      <c r="J125" s="168" t="e">
        <f t="shared" si="11"/>
        <v>#NUM!</v>
      </c>
      <c r="K125" s="168" t="e">
        <f t="shared" si="8"/>
        <v>#NUM!</v>
      </c>
      <c r="L125" s="168"/>
      <c r="M125" s="170">
        <f t="shared" si="9"/>
        <v>0</v>
      </c>
      <c r="S125" s="158"/>
      <c r="T125" s="158"/>
      <c r="U125" s="158"/>
      <c r="V125" s="158"/>
      <c r="W125" s="158"/>
      <c r="X125" s="158"/>
      <c r="Y125" s="158"/>
      <c r="Z125" s="158"/>
      <c r="AA125" s="158"/>
      <c r="AB125" s="158"/>
      <c r="AC125" s="158"/>
      <c r="AD125" s="158"/>
      <c r="AE125" s="158"/>
      <c r="AF125" s="158"/>
      <c r="AG125" s="158"/>
      <c r="AH125" s="158"/>
      <c r="AI125" s="158"/>
      <c r="AJ125" s="158"/>
      <c r="AK125" s="158"/>
      <c r="AL125" s="158"/>
    </row>
    <row r="126" spans="1:38" s="153" customFormat="1" x14ac:dyDescent="0.25">
      <c r="A126" s="87">
        <f t="shared" si="10"/>
        <v>0</v>
      </c>
      <c r="B126" s="31" t="str">
        <f t="shared" si="6"/>
        <v/>
      </c>
      <c r="C126" s="32"/>
      <c r="D126" s="32"/>
      <c r="E126" s="32"/>
      <c r="F126" s="32"/>
      <c r="H126" s="165">
        <v>121</v>
      </c>
      <c r="I126" s="166" t="str">
        <f t="shared" si="7"/>
        <v/>
      </c>
      <c r="J126" s="165" t="e">
        <f t="shared" si="11"/>
        <v>#NUM!</v>
      </c>
      <c r="K126" s="165" t="e">
        <f t="shared" si="8"/>
        <v>#NUM!</v>
      </c>
      <c r="L126" s="165"/>
      <c r="M126" s="167">
        <f t="shared" si="9"/>
        <v>0</v>
      </c>
      <c r="S126" s="158"/>
      <c r="T126" s="158"/>
      <c r="U126" s="158"/>
      <c r="V126" s="158"/>
      <c r="W126" s="158"/>
      <c r="X126" s="158"/>
      <c r="Y126" s="158"/>
      <c r="Z126" s="158"/>
      <c r="AA126" s="158"/>
      <c r="AB126" s="158"/>
      <c r="AC126" s="158"/>
      <c r="AD126" s="158"/>
      <c r="AE126" s="158"/>
      <c r="AF126" s="158"/>
      <c r="AG126" s="158"/>
      <c r="AH126" s="158"/>
      <c r="AI126" s="158"/>
      <c r="AJ126" s="158"/>
      <c r="AK126" s="158"/>
      <c r="AL126" s="158"/>
    </row>
    <row r="127" spans="1:38" s="153" customFormat="1" x14ac:dyDescent="0.25">
      <c r="A127" s="91">
        <f t="shared" si="10"/>
        <v>0</v>
      </c>
      <c r="B127" s="37" t="str">
        <f t="shared" si="6"/>
        <v/>
      </c>
      <c r="C127" s="38"/>
      <c r="D127" s="38"/>
      <c r="E127" s="38"/>
      <c r="F127" s="38"/>
      <c r="H127" s="168">
        <v>122</v>
      </c>
      <c r="I127" s="169" t="str">
        <f t="shared" si="7"/>
        <v/>
      </c>
      <c r="J127" s="168" t="e">
        <f t="shared" si="11"/>
        <v>#NUM!</v>
      </c>
      <c r="K127" s="168" t="e">
        <f t="shared" si="8"/>
        <v>#NUM!</v>
      </c>
      <c r="L127" s="168"/>
      <c r="M127" s="170">
        <f t="shared" si="9"/>
        <v>0</v>
      </c>
      <c r="S127" s="158"/>
      <c r="T127" s="158"/>
      <c r="U127" s="158"/>
      <c r="V127" s="158"/>
      <c r="W127" s="158"/>
      <c r="X127" s="158"/>
      <c r="Y127" s="158"/>
      <c r="Z127" s="158"/>
      <c r="AA127" s="158"/>
      <c r="AB127" s="158"/>
      <c r="AC127" s="158"/>
      <c r="AD127" s="158"/>
      <c r="AE127" s="158"/>
      <c r="AF127" s="158"/>
      <c r="AG127" s="158"/>
      <c r="AH127" s="158"/>
      <c r="AI127" s="158"/>
      <c r="AJ127" s="158"/>
      <c r="AK127" s="158"/>
      <c r="AL127" s="158"/>
    </row>
    <row r="128" spans="1:38" s="153" customFormat="1" x14ac:dyDescent="0.25">
      <c r="A128" s="87">
        <f t="shared" si="10"/>
        <v>0</v>
      </c>
      <c r="B128" s="31" t="str">
        <f t="shared" si="6"/>
        <v/>
      </c>
      <c r="C128" s="32"/>
      <c r="D128" s="32"/>
      <c r="E128" s="32"/>
      <c r="F128" s="32"/>
      <c r="H128" s="165">
        <v>123</v>
      </c>
      <c r="I128" s="166" t="str">
        <f t="shared" si="7"/>
        <v/>
      </c>
      <c r="J128" s="165" t="e">
        <f t="shared" si="11"/>
        <v>#NUM!</v>
      </c>
      <c r="K128" s="165" t="e">
        <f t="shared" si="8"/>
        <v>#NUM!</v>
      </c>
      <c r="L128" s="165"/>
      <c r="M128" s="167">
        <f t="shared" si="9"/>
        <v>0</v>
      </c>
      <c r="S128" s="158"/>
      <c r="T128" s="158"/>
      <c r="U128" s="158"/>
      <c r="V128" s="158"/>
      <c r="W128" s="158"/>
      <c r="X128" s="158"/>
      <c r="Y128" s="158"/>
      <c r="Z128" s="158"/>
      <c r="AA128" s="158"/>
      <c r="AB128" s="158"/>
      <c r="AC128" s="158"/>
      <c r="AD128" s="158"/>
      <c r="AE128" s="158"/>
      <c r="AF128" s="158"/>
      <c r="AG128" s="158"/>
      <c r="AH128" s="158"/>
      <c r="AI128" s="158"/>
      <c r="AJ128" s="158"/>
      <c r="AK128" s="158"/>
      <c r="AL128" s="158"/>
    </row>
    <row r="129" spans="1:38" s="153" customFormat="1" x14ac:dyDescent="0.25">
      <c r="A129" s="91">
        <f t="shared" si="10"/>
        <v>0</v>
      </c>
      <c r="B129" s="37" t="str">
        <f t="shared" si="6"/>
        <v/>
      </c>
      <c r="C129" s="38"/>
      <c r="D129" s="38"/>
      <c r="E129" s="38"/>
      <c r="F129" s="38"/>
      <c r="H129" s="168">
        <v>124</v>
      </c>
      <c r="I129" s="169" t="str">
        <f t="shared" si="7"/>
        <v/>
      </c>
      <c r="J129" s="168" t="e">
        <f t="shared" si="11"/>
        <v>#NUM!</v>
      </c>
      <c r="K129" s="168" t="e">
        <f t="shared" si="8"/>
        <v>#NUM!</v>
      </c>
      <c r="L129" s="168"/>
      <c r="M129" s="170">
        <f t="shared" si="9"/>
        <v>0</v>
      </c>
      <c r="S129" s="158"/>
      <c r="T129" s="158"/>
      <c r="U129" s="158"/>
      <c r="V129" s="158"/>
      <c r="W129" s="158"/>
      <c r="X129" s="158"/>
      <c r="Y129" s="158"/>
      <c r="Z129" s="158"/>
      <c r="AA129" s="158"/>
      <c r="AB129" s="158"/>
      <c r="AC129" s="158"/>
      <c r="AD129" s="158"/>
      <c r="AE129" s="158"/>
      <c r="AF129" s="158"/>
      <c r="AG129" s="158"/>
      <c r="AH129" s="158"/>
      <c r="AI129" s="158"/>
      <c r="AJ129" s="158"/>
      <c r="AK129" s="158"/>
      <c r="AL129" s="158"/>
    </row>
    <row r="130" spans="1:38" s="153" customFormat="1" x14ac:dyDescent="0.25">
      <c r="A130" s="87">
        <f t="shared" si="10"/>
        <v>0</v>
      </c>
      <c r="B130" s="31" t="str">
        <f t="shared" si="6"/>
        <v/>
      </c>
      <c r="C130" s="32"/>
      <c r="D130" s="32"/>
      <c r="E130" s="32"/>
      <c r="F130" s="32"/>
      <c r="H130" s="165">
        <v>125</v>
      </c>
      <c r="I130" s="166" t="str">
        <f t="shared" si="7"/>
        <v/>
      </c>
      <c r="J130" s="165" t="e">
        <f t="shared" si="11"/>
        <v>#NUM!</v>
      </c>
      <c r="K130" s="165" t="e">
        <f t="shared" si="8"/>
        <v>#NUM!</v>
      </c>
      <c r="L130" s="165"/>
      <c r="M130" s="167">
        <f t="shared" si="9"/>
        <v>0</v>
      </c>
      <c r="S130" s="158"/>
      <c r="T130" s="158"/>
      <c r="U130" s="158"/>
      <c r="V130" s="158"/>
      <c r="W130" s="158"/>
      <c r="X130" s="158"/>
      <c r="Y130" s="158"/>
      <c r="Z130" s="158"/>
      <c r="AA130" s="158"/>
      <c r="AB130" s="158"/>
      <c r="AC130" s="158"/>
      <c r="AD130" s="158"/>
      <c r="AE130" s="158"/>
      <c r="AF130" s="158"/>
      <c r="AG130" s="158"/>
      <c r="AH130" s="158"/>
      <c r="AI130" s="158"/>
      <c r="AJ130" s="158"/>
      <c r="AK130" s="158"/>
      <c r="AL130" s="158"/>
    </row>
    <row r="131" spans="1:38" s="153" customFormat="1" x14ac:dyDescent="0.25">
      <c r="A131" s="91">
        <f t="shared" si="10"/>
        <v>0</v>
      </c>
      <c r="B131" s="37" t="str">
        <f t="shared" si="6"/>
        <v/>
      </c>
      <c r="C131" s="38"/>
      <c r="D131" s="38"/>
      <c r="E131" s="38"/>
      <c r="F131" s="38"/>
      <c r="H131" s="168">
        <v>126</v>
      </c>
      <c r="I131" s="169" t="str">
        <f t="shared" si="7"/>
        <v/>
      </c>
      <c r="J131" s="168" t="e">
        <f t="shared" si="11"/>
        <v>#NUM!</v>
      </c>
      <c r="K131" s="168" t="e">
        <f t="shared" si="8"/>
        <v>#NUM!</v>
      </c>
      <c r="L131" s="168"/>
      <c r="M131" s="170">
        <f t="shared" si="9"/>
        <v>0</v>
      </c>
      <c r="S131" s="158"/>
      <c r="T131" s="158"/>
      <c r="U131" s="158"/>
      <c r="V131" s="158"/>
      <c r="W131" s="158"/>
      <c r="X131" s="158"/>
      <c r="Y131" s="158"/>
      <c r="Z131" s="158"/>
      <c r="AA131" s="158"/>
      <c r="AB131" s="158"/>
      <c r="AC131" s="158"/>
      <c r="AD131" s="158"/>
      <c r="AE131" s="158"/>
      <c r="AF131" s="158"/>
      <c r="AG131" s="158"/>
      <c r="AH131" s="158"/>
      <c r="AI131" s="158"/>
      <c r="AJ131" s="158"/>
      <c r="AK131" s="158"/>
      <c r="AL131" s="158"/>
    </row>
    <row r="132" spans="1:38" s="153" customFormat="1" x14ac:dyDescent="0.25">
      <c r="A132" s="87">
        <f t="shared" si="10"/>
        <v>0</v>
      </c>
      <c r="B132" s="31" t="str">
        <f t="shared" si="6"/>
        <v/>
      </c>
      <c r="C132" s="32"/>
      <c r="D132" s="32"/>
      <c r="E132" s="32"/>
      <c r="F132" s="32"/>
      <c r="H132" s="165">
        <v>127</v>
      </c>
      <c r="I132" s="166" t="str">
        <f t="shared" si="7"/>
        <v/>
      </c>
      <c r="J132" s="165" t="e">
        <f t="shared" si="11"/>
        <v>#NUM!</v>
      </c>
      <c r="K132" s="165" t="e">
        <f t="shared" si="8"/>
        <v>#NUM!</v>
      </c>
      <c r="L132" s="165"/>
      <c r="M132" s="167">
        <f t="shared" si="9"/>
        <v>0</v>
      </c>
      <c r="S132" s="158"/>
      <c r="T132" s="158"/>
      <c r="U132" s="158"/>
      <c r="V132" s="158"/>
      <c r="W132" s="158"/>
      <c r="X132" s="158"/>
      <c r="Y132" s="158"/>
      <c r="Z132" s="158"/>
      <c r="AA132" s="158"/>
      <c r="AB132" s="158"/>
      <c r="AC132" s="158"/>
      <c r="AD132" s="158"/>
      <c r="AE132" s="158"/>
      <c r="AF132" s="158"/>
      <c r="AG132" s="158"/>
      <c r="AH132" s="158"/>
      <c r="AI132" s="158"/>
      <c r="AJ132" s="158"/>
      <c r="AK132" s="158"/>
      <c r="AL132" s="158"/>
    </row>
    <row r="133" spans="1:38" s="153" customFormat="1" x14ac:dyDescent="0.25">
      <c r="A133" s="91">
        <f t="shared" si="10"/>
        <v>0</v>
      </c>
      <c r="B133" s="37" t="str">
        <f t="shared" si="6"/>
        <v/>
      </c>
      <c r="C133" s="38"/>
      <c r="D133" s="38"/>
      <c r="E133" s="38"/>
      <c r="F133" s="38"/>
      <c r="H133" s="168">
        <v>128</v>
      </c>
      <c r="I133" s="169" t="str">
        <f t="shared" si="7"/>
        <v/>
      </c>
      <c r="J133" s="168" t="e">
        <f t="shared" si="11"/>
        <v>#NUM!</v>
      </c>
      <c r="K133" s="168" t="e">
        <f t="shared" si="8"/>
        <v>#NUM!</v>
      </c>
      <c r="L133" s="168"/>
      <c r="M133" s="170">
        <f t="shared" si="9"/>
        <v>0</v>
      </c>
      <c r="S133" s="158"/>
      <c r="T133" s="158"/>
      <c r="U133" s="158"/>
      <c r="V133" s="158"/>
      <c r="W133" s="158"/>
      <c r="X133" s="158"/>
      <c r="Y133" s="158"/>
      <c r="Z133" s="158"/>
      <c r="AA133" s="158"/>
      <c r="AB133" s="158"/>
      <c r="AC133" s="158"/>
      <c r="AD133" s="158"/>
      <c r="AE133" s="158"/>
      <c r="AF133" s="158"/>
      <c r="AG133" s="158"/>
      <c r="AH133" s="158"/>
      <c r="AI133" s="158"/>
      <c r="AJ133" s="158"/>
      <c r="AK133" s="158"/>
      <c r="AL133" s="158"/>
    </row>
    <row r="134" spans="1:38" s="153" customFormat="1" x14ac:dyDescent="0.25">
      <c r="A134" s="87">
        <f t="shared" si="10"/>
        <v>0</v>
      </c>
      <c r="B134" s="31" t="str">
        <f t="shared" ref="B134:B140" si="12">IF(H134&gt;$H$2,"",(ROW()-5))</f>
        <v/>
      </c>
      <c r="C134" s="32"/>
      <c r="D134" s="32"/>
      <c r="E134" s="32"/>
      <c r="F134" s="32"/>
      <c r="H134" s="165">
        <v>129</v>
      </c>
      <c r="I134" s="166" t="str">
        <f t="shared" ref="I134:I197" si="13">IF(H134&lt;$H$2+1,($I$2-($I$2-1)*(LOG(H134)/LOG($H$2))),"")</f>
        <v/>
      </c>
      <c r="J134" s="165" t="e">
        <f t="shared" si="11"/>
        <v>#NUM!</v>
      </c>
      <c r="K134" s="165" t="e">
        <f t="shared" ref="K134:K197" si="14">J134*$J$2</f>
        <v>#NUM!</v>
      </c>
      <c r="L134" s="165"/>
      <c r="M134" s="167">
        <f t="shared" ref="M134:M197" si="15">IF(I134&lt;&gt;"",K134+I134+L134,0)</f>
        <v>0</v>
      </c>
      <c r="S134" s="158"/>
      <c r="T134" s="158"/>
      <c r="U134" s="158"/>
      <c r="V134" s="158"/>
      <c r="W134" s="158"/>
      <c r="X134" s="158"/>
      <c r="Y134" s="158"/>
      <c r="Z134" s="158"/>
      <c r="AA134" s="158"/>
      <c r="AB134" s="158"/>
      <c r="AC134" s="158"/>
      <c r="AD134" s="158"/>
      <c r="AE134" s="158"/>
      <c r="AF134" s="158"/>
      <c r="AG134" s="158"/>
      <c r="AH134" s="158"/>
      <c r="AI134" s="158"/>
      <c r="AJ134" s="158"/>
      <c r="AK134" s="158"/>
      <c r="AL134" s="158"/>
    </row>
    <row r="135" spans="1:38" s="153" customFormat="1" x14ac:dyDescent="0.25">
      <c r="A135" s="91">
        <f t="shared" ref="A135:A140" si="16">M135</f>
        <v>0</v>
      </c>
      <c r="B135" s="37" t="str">
        <f t="shared" si="12"/>
        <v/>
      </c>
      <c r="C135" s="38"/>
      <c r="D135" s="38"/>
      <c r="E135" s="38"/>
      <c r="F135" s="38"/>
      <c r="H135" s="168">
        <v>130</v>
      </c>
      <c r="I135" s="169" t="str">
        <f t="shared" si="13"/>
        <v/>
      </c>
      <c r="J135" s="168" t="e">
        <f t="shared" ref="J135:J198" si="17">INT(LOG($H$2,2))-ROUNDUP(LOG(H135,2),0)+IF(OR($H$2=1,$H$2=2,$H$2=4,$H$2=8,$H$2=16,$H$2=32,$H$2=64,$H$2=128,$H$2=256),0,1)</f>
        <v>#NUM!</v>
      </c>
      <c r="K135" s="168" t="e">
        <f t="shared" si="14"/>
        <v>#NUM!</v>
      </c>
      <c r="L135" s="168"/>
      <c r="M135" s="170">
        <f t="shared" si="15"/>
        <v>0</v>
      </c>
      <c r="S135" s="158"/>
      <c r="T135" s="158"/>
      <c r="U135" s="158"/>
      <c r="V135" s="158"/>
      <c r="W135" s="158"/>
      <c r="X135" s="158"/>
      <c r="Y135" s="158"/>
      <c r="Z135" s="158"/>
      <c r="AA135" s="158"/>
      <c r="AB135" s="158"/>
      <c r="AC135" s="158"/>
      <c r="AD135" s="158"/>
      <c r="AE135" s="158"/>
      <c r="AF135" s="158"/>
      <c r="AG135" s="158"/>
      <c r="AH135" s="158"/>
      <c r="AI135" s="158"/>
      <c r="AJ135" s="158"/>
      <c r="AK135" s="158"/>
      <c r="AL135" s="158"/>
    </row>
    <row r="136" spans="1:38" s="153" customFormat="1" x14ac:dyDescent="0.25">
      <c r="A136" s="87">
        <f t="shared" si="16"/>
        <v>0</v>
      </c>
      <c r="B136" s="31" t="str">
        <f t="shared" si="12"/>
        <v/>
      </c>
      <c r="C136" s="32"/>
      <c r="D136" s="32"/>
      <c r="E136" s="32"/>
      <c r="F136" s="32"/>
      <c r="H136" s="165">
        <v>131</v>
      </c>
      <c r="I136" s="166" t="str">
        <f t="shared" si="13"/>
        <v/>
      </c>
      <c r="J136" s="165" t="e">
        <f t="shared" si="17"/>
        <v>#NUM!</v>
      </c>
      <c r="K136" s="165" t="e">
        <f t="shared" si="14"/>
        <v>#NUM!</v>
      </c>
      <c r="L136" s="165"/>
      <c r="M136" s="167">
        <f t="shared" si="15"/>
        <v>0</v>
      </c>
      <c r="S136" s="158"/>
      <c r="T136" s="158"/>
      <c r="U136" s="158"/>
      <c r="V136" s="158"/>
      <c r="W136" s="158"/>
      <c r="X136" s="158"/>
      <c r="Y136" s="158"/>
      <c r="Z136" s="158"/>
      <c r="AA136" s="158"/>
      <c r="AB136" s="158"/>
      <c r="AC136" s="158"/>
      <c r="AD136" s="158"/>
      <c r="AE136" s="158"/>
      <c r="AF136" s="158"/>
      <c r="AG136" s="158"/>
      <c r="AH136" s="158"/>
      <c r="AI136" s="158"/>
      <c r="AJ136" s="158"/>
      <c r="AK136" s="158"/>
      <c r="AL136" s="158"/>
    </row>
    <row r="137" spans="1:38" s="153" customFormat="1" x14ac:dyDescent="0.25">
      <c r="A137" s="91">
        <f t="shared" si="16"/>
        <v>0</v>
      </c>
      <c r="B137" s="37" t="str">
        <f t="shared" si="12"/>
        <v/>
      </c>
      <c r="C137" s="38"/>
      <c r="D137" s="38"/>
      <c r="E137" s="38"/>
      <c r="F137" s="38"/>
      <c r="H137" s="168">
        <v>132</v>
      </c>
      <c r="I137" s="169" t="str">
        <f t="shared" si="13"/>
        <v/>
      </c>
      <c r="J137" s="168" t="e">
        <f t="shared" si="17"/>
        <v>#NUM!</v>
      </c>
      <c r="K137" s="168" t="e">
        <f t="shared" si="14"/>
        <v>#NUM!</v>
      </c>
      <c r="L137" s="168"/>
      <c r="M137" s="170">
        <f t="shared" si="15"/>
        <v>0</v>
      </c>
      <c r="S137" s="158"/>
      <c r="T137" s="158"/>
      <c r="U137" s="158"/>
      <c r="V137" s="158"/>
      <c r="W137" s="158"/>
      <c r="X137" s="158"/>
      <c r="Y137" s="158"/>
      <c r="Z137" s="158"/>
      <c r="AA137" s="158"/>
      <c r="AB137" s="158"/>
      <c r="AC137" s="158"/>
      <c r="AD137" s="158"/>
      <c r="AE137" s="158"/>
      <c r="AF137" s="158"/>
      <c r="AG137" s="158"/>
      <c r="AH137" s="158"/>
      <c r="AI137" s="158"/>
      <c r="AJ137" s="158"/>
      <c r="AK137" s="158"/>
      <c r="AL137" s="158"/>
    </row>
    <row r="138" spans="1:38" s="153" customFormat="1" x14ac:dyDescent="0.25">
      <c r="A138" s="87">
        <f t="shared" si="16"/>
        <v>0</v>
      </c>
      <c r="B138" s="31" t="str">
        <f t="shared" si="12"/>
        <v/>
      </c>
      <c r="C138" s="32"/>
      <c r="D138" s="32"/>
      <c r="E138" s="32"/>
      <c r="F138" s="32"/>
      <c r="H138" s="165">
        <v>133</v>
      </c>
      <c r="I138" s="166" t="str">
        <f t="shared" si="13"/>
        <v/>
      </c>
      <c r="J138" s="165" t="e">
        <f t="shared" si="17"/>
        <v>#NUM!</v>
      </c>
      <c r="K138" s="165" t="e">
        <f t="shared" si="14"/>
        <v>#NUM!</v>
      </c>
      <c r="L138" s="165"/>
      <c r="M138" s="167">
        <f t="shared" si="15"/>
        <v>0</v>
      </c>
      <c r="S138" s="158"/>
      <c r="T138" s="158"/>
      <c r="U138" s="158"/>
      <c r="V138" s="158"/>
      <c r="W138" s="158"/>
      <c r="X138" s="158"/>
      <c r="Y138" s="158"/>
      <c r="Z138" s="158"/>
      <c r="AA138" s="158"/>
      <c r="AB138" s="158"/>
      <c r="AC138" s="158"/>
      <c r="AD138" s="158"/>
      <c r="AE138" s="158"/>
      <c r="AF138" s="158"/>
      <c r="AG138" s="158"/>
      <c r="AH138" s="158"/>
      <c r="AI138" s="158"/>
      <c r="AJ138" s="158"/>
      <c r="AK138" s="158"/>
      <c r="AL138" s="158"/>
    </row>
    <row r="139" spans="1:38" s="153" customFormat="1" x14ac:dyDescent="0.25">
      <c r="A139" s="91">
        <f t="shared" si="16"/>
        <v>0</v>
      </c>
      <c r="B139" s="37" t="str">
        <f t="shared" si="12"/>
        <v/>
      </c>
      <c r="C139" s="38"/>
      <c r="D139" s="38"/>
      <c r="E139" s="38"/>
      <c r="F139" s="38"/>
      <c r="H139" s="168">
        <v>134</v>
      </c>
      <c r="I139" s="169" t="str">
        <f t="shared" si="13"/>
        <v/>
      </c>
      <c r="J139" s="168" t="e">
        <f t="shared" si="17"/>
        <v>#NUM!</v>
      </c>
      <c r="K139" s="168" t="e">
        <f t="shared" si="14"/>
        <v>#NUM!</v>
      </c>
      <c r="L139" s="168"/>
      <c r="M139" s="170">
        <f t="shared" si="15"/>
        <v>0</v>
      </c>
      <c r="S139" s="158"/>
      <c r="T139" s="158"/>
      <c r="U139" s="158"/>
      <c r="V139" s="158"/>
      <c r="W139" s="158"/>
      <c r="X139" s="158"/>
      <c r="Y139" s="158"/>
      <c r="Z139" s="158"/>
      <c r="AA139" s="158"/>
      <c r="AB139" s="158"/>
      <c r="AC139" s="158"/>
      <c r="AD139" s="158"/>
      <c r="AE139" s="158"/>
      <c r="AF139" s="158"/>
      <c r="AG139" s="158"/>
      <c r="AH139" s="158"/>
      <c r="AI139" s="158"/>
      <c r="AJ139" s="158"/>
      <c r="AK139" s="158"/>
      <c r="AL139" s="158"/>
    </row>
    <row r="140" spans="1:38" s="153" customFormat="1" x14ac:dyDescent="0.25">
      <c r="A140" s="87">
        <f t="shared" si="16"/>
        <v>0</v>
      </c>
      <c r="B140" s="31" t="str">
        <f t="shared" si="12"/>
        <v/>
      </c>
      <c r="C140" s="32"/>
      <c r="D140" s="32"/>
      <c r="E140" s="32"/>
      <c r="F140" s="32"/>
      <c r="H140" s="165">
        <v>135</v>
      </c>
      <c r="I140" s="166" t="str">
        <f t="shared" si="13"/>
        <v/>
      </c>
      <c r="J140" s="165" t="e">
        <f t="shared" si="17"/>
        <v>#NUM!</v>
      </c>
      <c r="K140" s="165" t="e">
        <f t="shared" si="14"/>
        <v>#NUM!</v>
      </c>
      <c r="L140" s="165"/>
      <c r="M140" s="167">
        <f t="shared" si="15"/>
        <v>0</v>
      </c>
      <c r="S140" s="158"/>
      <c r="T140" s="158"/>
      <c r="U140" s="158"/>
      <c r="V140" s="158"/>
      <c r="W140" s="158"/>
      <c r="X140" s="158"/>
      <c r="Y140" s="158"/>
      <c r="Z140" s="158"/>
      <c r="AA140" s="158"/>
      <c r="AB140" s="158"/>
      <c r="AC140" s="158"/>
      <c r="AD140" s="158"/>
      <c r="AE140" s="158"/>
      <c r="AF140" s="158"/>
      <c r="AG140" s="158"/>
      <c r="AH140" s="158"/>
      <c r="AI140" s="158"/>
      <c r="AJ140" s="158"/>
      <c r="AK140" s="158"/>
      <c r="AL140" s="158"/>
    </row>
    <row r="141" spans="1:38" x14ac:dyDescent="0.25">
      <c r="A141" s="182"/>
      <c r="G141" s="153"/>
      <c r="H141" s="168">
        <v>136</v>
      </c>
      <c r="I141" s="166" t="str">
        <f t="shared" si="13"/>
        <v/>
      </c>
      <c r="J141" s="165" t="e">
        <f t="shared" si="17"/>
        <v>#NUM!</v>
      </c>
      <c r="K141" s="165" t="e">
        <f t="shared" si="14"/>
        <v>#NUM!</v>
      </c>
      <c r="L141" s="165"/>
      <c r="M141" s="167">
        <f t="shared" si="15"/>
        <v>0</v>
      </c>
    </row>
    <row r="142" spans="1:38" x14ac:dyDescent="0.25">
      <c r="A142" s="182"/>
      <c r="G142" s="153"/>
      <c r="H142" s="165">
        <v>137</v>
      </c>
      <c r="I142" s="166" t="str">
        <f t="shared" si="13"/>
        <v/>
      </c>
      <c r="J142" s="165" t="e">
        <f t="shared" si="17"/>
        <v>#NUM!</v>
      </c>
      <c r="K142" s="165" t="e">
        <f t="shared" si="14"/>
        <v>#NUM!</v>
      </c>
      <c r="L142" s="165"/>
      <c r="M142" s="167">
        <f t="shared" si="15"/>
        <v>0</v>
      </c>
    </row>
    <row r="143" spans="1:38" x14ac:dyDescent="0.25">
      <c r="A143" s="182"/>
      <c r="G143" s="153"/>
      <c r="H143" s="168">
        <v>138</v>
      </c>
      <c r="I143" s="166" t="str">
        <f t="shared" si="13"/>
        <v/>
      </c>
      <c r="J143" s="165" t="e">
        <f t="shared" si="17"/>
        <v>#NUM!</v>
      </c>
      <c r="K143" s="165" t="e">
        <f t="shared" si="14"/>
        <v>#NUM!</v>
      </c>
      <c r="L143" s="165"/>
      <c r="M143" s="167">
        <f t="shared" si="15"/>
        <v>0</v>
      </c>
    </row>
    <row r="144" spans="1:38" x14ac:dyDescent="0.25">
      <c r="A144" s="182"/>
      <c r="G144" s="153"/>
      <c r="H144" s="165">
        <v>139</v>
      </c>
      <c r="I144" s="166" t="str">
        <f t="shared" si="13"/>
        <v/>
      </c>
      <c r="J144" s="165" t="e">
        <f t="shared" si="17"/>
        <v>#NUM!</v>
      </c>
      <c r="K144" s="165" t="e">
        <f t="shared" si="14"/>
        <v>#NUM!</v>
      </c>
      <c r="L144" s="165"/>
      <c r="M144" s="167">
        <f t="shared" si="15"/>
        <v>0</v>
      </c>
    </row>
    <row r="145" spans="1:13" x14ac:dyDescent="0.25">
      <c r="A145" s="182"/>
      <c r="G145" s="153"/>
      <c r="H145" s="168">
        <v>140</v>
      </c>
      <c r="I145" s="166" t="str">
        <f t="shared" si="13"/>
        <v/>
      </c>
      <c r="J145" s="165" t="e">
        <f t="shared" si="17"/>
        <v>#NUM!</v>
      </c>
      <c r="K145" s="165" t="e">
        <f t="shared" si="14"/>
        <v>#NUM!</v>
      </c>
      <c r="L145" s="165"/>
      <c r="M145" s="167">
        <f t="shared" si="15"/>
        <v>0</v>
      </c>
    </row>
    <row r="146" spans="1:13" x14ac:dyDescent="0.25">
      <c r="A146" s="182"/>
      <c r="G146" s="153"/>
      <c r="H146" s="165">
        <v>141</v>
      </c>
      <c r="I146" s="166" t="str">
        <f t="shared" si="13"/>
        <v/>
      </c>
      <c r="J146" s="165" t="e">
        <f t="shared" si="17"/>
        <v>#NUM!</v>
      </c>
      <c r="K146" s="165" t="e">
        <f t="shared" si="14"/>
        <v>#NUM!</v>
      </c>
      <c r="L146" s="165"/>
      <c r="M146" s="167">
        <f t="shared" si="15"/>
        <v>0</v>
      </c>
    </row>
    <row r="147" spans="1:13" x14ac:dyDescent="0.25">
      <c r="A147" s="182"/>
      <c r="G147" s="153"/>
      <c r="H147" s="168">
        <v>142</v>
      </c>
      <c r="I147" s="166" t="str">
        <f t="shared" si="13"/>
        <v/>
      </c>
      <c r="J147" s="165" t="e">
        <f t="shared" si="17"/>
        <v>#NUM!</v>
      </c>
      <c r="K147" s="165" t="e">
        <f t="shared" si="14"/>
        <v>#NUM!</v>
      </c>
      <c r="L147" s="165"/>
      <c r="M147" s="167">
        <f t="shared" si="15"/>
        <v>0</v>
      </c>
    </row>
    <row r="148" spans="1:13" x14ac:dyDescent="0.25">
      <c r="A148" s="182"/>
      <c r="G148" s="153"/>
      <c r="H148" s="165">
        <v>143</v>
      </c>
      <c r="I148" s="166" t="str">
        <f t="shared" si="13"/>
        <v/>
      </c>
      <c r="J148" s="165" t="e">
        <f t="shared" si="17"/>
        <v>#NUM!</v>
      </c>
      <c r="K148" s="165" t="e">
        <f t="shared" si="14"/>
        <v>#NUM!</v>
      </c>
      <c r="L148" s="165"/>
      <c r="M148" s="167">
        <f t="shared" si="15"/>
        <v>0</v>
      </c>
    </row>
    <row r="149" spans="1:13" x14ac:dyDescent="0.25">
      <c r="A149" s="182"/>
      <c r="G149" s="153"/>
      <c r="H149" s="168">
        <v>144</v>
      </c>
      <c r="I149" s="166" t="str">
        <f t="shared" si="13"/>
        <v/>
      </c>
      <c r="J149" s="165" t="e">
        <f t="shared" si="17"/>
        <v>#NUM!</v>
      </c>
      <c r="K149" s="165" t="e">
        <f t="shared" si="14"/>
        <v>#NUM!</v>
      </c>
      <c r="L149" s="165"/>
      <c r="M149" s="167">
        <f t="shared" si="15"/>
        <v>0</v>
      </c>
    </row>
    <row r="150" spans="1:13" x14ac:dyDescent="0.25">
      <c r="A150" s="182"/>
      <c r="G150" s="153"/>
      <c r="H150" s="165">
        <v>145</v>
      </c>
      <c r="I150" s="166" t="str">
        <f t="shared" si="13"/>
        <v/>
      </c>
      <c r="J150" s="165" t="e">
        <f t="shared" si="17"/>
        <v>#NUM!</v>
      </c>
      <c r="K150" s="165" t="e">
        <f t="shared" si="14"/>
        <v>#NUM!</v>
      </c>
      <c r="L150" s="165"/>
      <c r="M150" s="167">
        <f t="shared" si="15"/>
        <v>0</v>
      </c>
    </row>
    <row r="151" spans="1:13" x14ac:dyDescent="0.25">
      <c r="A151" s="182"/>
      <c r="G151" s="153"/>
      <c r="H151" s="168">
        <v>146</v>
      </c>
      <c r="I151" s="166" t="str">
        <f t="shared" si="13"/>
        <v/>
      </c>
      <c r="J151" s="165" t="e">
        <f t="shared" si="17"/>
        <v>#NUM!</v>
      </c>
      <c r="K151" s="165" t="e">
        <f t="shared" si="14"/>
        <v>#NUM!</v>
      </c>
      <c r="L151" s="165"/>
      <c r="M151" s="167">
        <f t="shared" si="15"/>
        <v>0</v>
      </c>
    </row>
    <row r="152" spans="1:13" x14ac:dyDescent="0.25">
      <c r="A152" s="182"/>
      <c r="G152" s="153"/>
      <c r="H152" s="165">
        <v>147</v>
      </c>
      <c r="I152" s="166" t="str">
        <f t="shared" si="13"/>
        <v/>
      </c>
      <c r="J152" s="165" t="e">
        <f t="shared" si="17"/>
        <v>#NUM!</v>
      </c>
      <c r="K152" s="165" t="e">
        <f t="shared" si="14"/>
        <v>#NUM!</v>
      </c>
      <c r="L152" s="165"/>
      <c r="M152" s="167">
        <f t="shared" si="15"/>
        <v>0</v>
      </c>
    </row>
    <row r="153" spans="1:13" x14ac:dyDescent="0.25">
      <c r="A153" s="182"/>
      <c r="G153" s="153"/>
      <c r="H153" s="168">
        <v>148</v>
      </c>
      <c r="I153" s="166" t="str">
        <f t="shared" si="13"/>
        <v/>
      </c>
      <c r="J153" s="165" t="e">
        <f t="shared" si="17"/>
        <v>#NUM!</v>
      </c>
      <c r="K153" s="165" t="e">
        <f t="shared" si="14"/>
        <v>#NUM!</v>
      </c>
      <c r="L153" s="165"/>
      <c r="M153" s="167">
        <f t="shared" si="15"/>
        <v>0</v>
      </c>
    </row>
    <row r="154" spans="1:13" x14ac:dyDescent="0.25">
      <c r="A154" s="182"/>
      <c r="G154" s="153"/>
      <c r="H154" s="165">
        <v>149</v>
      </c>
      <c r="I154" s="166" t="str">
        <f t="shared" si="13"/>
        <v/>
      </c>
      <c r="J154" s="165" t="e">
        <f t="shared" si="17"/>
        <v>#NUM!</v>
      </c>
      <c r="K154" s="165" t="e">
        <f t="shared" si="14"/>
        <v>#NUM!</v>
      </c>
      <c r="L154" s="165"/>
      <c r="M154" s="167">
        <f t="shared" si="15"/>
        <v>0</v>
      </c>
    </row>
    <row r="155" spans="1:13" x14ac:dyDescent="0.25">
      <c r="A155" s="182"/>
      <c r="G155" s="153"/>
      <c r="H155" s="168">
        <v>150</v>
      </c>
      <c r="I155" s="166" t="str">
        <f t="shared" si="13"/>
        <v/>
      </c>
      <c r="J155" s="165" t="e">
        <f t="shared" si="17"/>
        <v>#NUM!</v>
      </c>
      <c r="K155" s="165" t="e">
        <f t="shared" si="14"/>
        <v>#NUM!</v>
      </c>
      <c r="L155" s="165"/>
      <c r="M155" s="167">
        <f t="shared" si="15"/>
        <v>0</v>
      </c>
    </row>
    <row r="156" spans="1:13" x14ac:dyDescent="0.25">
      <c r="A156" s="182"/>
      <c r="G156" s="153"/>
      <c r="H156" s="165">
        <v>151</v>
      </c>
      <c r="I156" s="166" t="str">
        <f t="shared" si="13"/>
        <v/>
      </c>
      <c r="J156" s="165" t="e">
        <f t="shared" si="17"/>
        <v>#NUM!</v>
      </c>
      <c r="K156" s="165" t="e">
        <f t="shared" si="14"/>
        <v>#NUM!</v>
      </c>
      <c r="L156" s="165"/>
      <c r="M156" s="167">
        <f t="shared" si="15"/>
        <v>0</v>
      </c>
    </row>
    <row r="157" spans="1:13" x14ac:dyDescent="0.25">
      <c r="A157" s="182"/>
      <c r="G157" s="153"/>
      <c r="H157" s="168">
        <v>152</v>
      </c>
      <c r="I157" s="166" t="str">
        <f t="shared" si="13"/>
        <v/>
      </c>
      <c r="J157" s="165" t="e">
        <f t="shared" si="17"/>
        <v>#NUM!</v>
      </c>
      <c r="K157" s="165" t="e">
        <f t="shared" si="14"/>
        <v>#NUM!</v>
      </c>
      <c r="L157" s="165"/>
      <c r="M157" s="167">
        <f t="shared" si="15"/>
        <v>0</v>
      </c>
    </row>
    <row r="158" spans="1:13" x14ac:dyDescent="0.25">
      <c r="A158" s="182"/>
      <c r="G158" s="153"/>
      <c r="H158" s="165">
        <v>153</v>
      </c>
      <c r="I158" s="166" t="str">
        <f t="shared" si="13"/>
        <v/>
      </c>
      <c r="J158" s="165" t="e">
        <f t="shared" si="17"/>
        <v>#NUM!</v>
      </c>
      <c r="K158" s="165" t="e">
        <f t="shared" si="14"/>
        <v>#NUM!</v>
      </c>
      <c r="L158" s="165"/>
      <c r="M158" s="167">
        <f t="shared" si="15"/>
        <v>0</v>
      </c>
    </row>
    <row r="159" spans="1:13" x14ac:dyDescent="0.25">
      <c r="A159" s="182"/>
      <c r="G159" s="153"/>
      <c r="H159" s="168">
        <v>154</v>
      </c>
      <c r="I159" s="166" t="str">
        <f t="shared" si="13"/>
        <v/>
      </c>
      <c r="J159" s="165" t="e">
        <f t="shared" si="17"/>
        <v>#NUM!</v>
      </c>
      <c r="K159" s="165" t="e">
        <f t="shared" si="14"/>
        <v>#NUM!</v>
      </c>
      <c r="L159" s="165"/>
      <c r="M159" s="167">
        <f t="shared" si="15"/>
        <v>0</v>
      </c>
    </row>
    <row r="160" spans="1:13" x14ac:dyDescent="0.25">
      <c r="A160" s="182"/>
      <c r="G160" s="153"/>
      <c r="H160" s="165">
        <v>155</v>
      </c>
      <c r="I160" s="166" t="str">
        <f t="shared" si="13"/>
        <v/>
      </c>
      <c r="J160" s="165" t="e">
        <f t="shared" si="17"/>
        <v>#NUM!</v>
      </c>
      <c r="K160" s="165" t="e">
        <f t="shared" si="14"/>
        <v>#NUM!</v>
      </c>
      <c r="L160" s="165"/>
      <c r="M160" s="167">
        <f t="shared" si="15"/>
        <v>0</v>
      </c>
    </row>
    <row r="161" spans="1:13" x14ac:dyDescent="0.25">
      <c r="A161" s="182"/>
      <c r="G161" s="153"/>
      <c r="H161" s="168">
        <v>156</v>
      </c>
      <c r="I161" s="166" t="str">
        <f t="shared" si="13"/>
        <v/>
      </c>
      <c r="J161" s="165" t="e">
        <f t="shared" si="17"/>
        <v>#NUM!</v>
      </c>
      <c r="K161" s="165" t="e">
        <f t="shared" si="14"/>
        <v>#NUM!</v>
      </c>
      <c r="L161" s="165"/>
      <c r="M161" s="167">
        <f t="shared" si="15"/>
        <v>0</v>
      </c>
    </row>
    <row r="162" spans="1:13" x14ac:dyDescent="0.25">
      <c r="A162" s="182"/>
      <c r="G162" s="153"/>
      <c r="H162" s="165">
        <v>157</v>
      </c>
      <c r="I162" s="166" t="str">
        <f t="shared" si="13"/>
        <v/>
      </c>
      <c r="J162" s="165" t="e">
        <f t="shared" si="17"/>
        <v>#NUM!</v>
      </c>
      <c r="K162" s="165" t="e">
        <f t="shared" si="14"/>
        <v>#NUM!</v>
      </c>
      <c r="L162" s="165"/>
      <c r="M162" s="167">
        <f t="shared" si="15"/>
        <v>0</v>
      </c>
    </row>
    <row r="163" spans="1:13" x14ac:dyDescent="0.25">
      <c r="A163" s="182"/>
      <c r="G163" s="153"/>
      <c r="H163" s="168">
        <v>158</v>
      </c>
      <c r="I163" s="166" t="str">
        <f t="shared" si="13"/>
        <v/>
      </c>
      <c r="J163" s="165" t="e">
        <f t="shared" si="17"/>
        <v>#NUM!</v>
      </c>
      <c r="K163" s="165" t="e">
        <f t="shared" si="14"/>
        <v>#NUM!</v>
      </c>
      <c r="L163" s="165"/>
      <c r="M163" s="167">
        <f t="shared" si="15"/>
        <v>0</v>
      </c>
    </row>
    <row r="164" spans="1:13" x14ac:dyDescent="0.25">
      <c r="A164" s="182"/>
      <c r="G164" s="153"/>
      <c r="H164" s="165">
        <v>159</v>
      </c>
      <c r="I164" s="166" t="str">
        <f t="shared" si="13"/>
        <v/>
      </c>
      <c r="J164" s="165" t="e">
        <f t="shared" si="17"/>
        <v>#NUM!</v>
      </c>
      <c r="K164" s="165" t="e">
        <f t="shared" si="14"/>
        <v>#NUM!</v>
      </c>
      <c r="L164" s="165"/>
      <c r="M164" s="167">
        <f t="shared" si="15"/>
        <v>0</v>
      </c>
    </row>
    <row r="165" spans="1:13" x14ac:dyDescent="0.25">
      <c r="A165" s="182"/>
      <c r="G165" s="153"/>
      <c r="H165" s="168">
        <v>160</v>
      </c>
      <c r="I165" s="166" t="str">
        <f t="shared" si="13"/>
        <v/>
      </c>
      <c r="J165" s="165" t="e">
        <f t="shared" si="17"/>
        <v>#NUM!</v>
      </c>
      <c r="K165" s="165" t="e">
        <f t="shared" si="14"/>
        <v>#NUM!</v>
      </c>
      <c r="L165" s="165"/>
      <c r="M165" s="167">
        <f t="shared" si="15"/>
        <v>0</v>
      </c>
    </row>
    <row r="166" spans="1:13" x14ac:dyDescent="0.25">
      <c r="A166" s="182"/>
      <c r="G166" s="153"/>
      <c r="H166" s="165">
        <v>161</v>
      </c>
      <c r="I166" s="166" t="str">
        <f t="shared" si="13"/>
        <v/>
      </c>
      <c r="J166" s="165" t="e">
        <f t="shared" si="17"/>
        <v>#NUM!</v>
      </c>
      <c r="K166" s="165" t="e">
        <f t="shared" si="14"/>
        <v>#NUM!</v>
      </c>
      <c r="L166" s="165"/>
      <c r="M166" s="167">
        <f t="shared" si="15"/>
        <v>0</v>
      </c>
    </row>
    <row r="167" spans="1:13" x14ac:dyDescent="0.25">
      <c r="A167" s="182"/>
      <c r="G167" s="153"/>
      <c r="H167" s="168">
        <v>162</v>
      </c>
      <c r="I167" s="166" t="str">
        <f t="shared" si="13"/>
        <v/>
      </c>
      <c r="J167" s="165" t="e">
        <f t="shared" si="17"/>
        <v>#NUM!</v>
      </c>
      <c r="K167" s="165" t="e">
        <f t="shared" si="14"/>
        <v>#NUM!</v>
      </c>
      <c r="L167" s="165"/>
      <c r="M167" s="167">
        <f t="shared" si="15"/>
        <v>0</v>
      </c>
    </row>
    <row r="168" spans="1:13" x14ac:dyDescent="0.25">
      <c r="A168" s="182"/>
      <c r="G168" s="153"/>
      <c r="H168" s="165">
        <v>163</v>
      </c>
      <c r="I168" s="166" t="str">
        <f t="shared" si="13"/>
        <v/>
      </c>
      <c r="J168" s="165" t="e">
        <f t="shared" si="17"/>
        <v>#NUM!</v>
      </c>
      <c r="K168" s="165" t="e">
        <f t="shared" si="14"/>
        <v>#NUM!</v>
      </c>
      <c r="L168" s="165"/>
      <c r="M168" s="167">
        <f t="shared" si="15"/>
        <v>0</v>
      </c>
    </row>
    <row r="169" spans="1:13" x14ac:dyDescent="0.25">
      <c r="A169" s="182"/>
      <c r="C169" s="181" t="s">
        <v>34</v>
      </c>
      <c r="G169" s="153"/>
      <c r="H169" s="168">
        <v>164</v>
      </c>
      <c r="I169" s="166" t="str">
        <f t="shared" si="13"/>
        <v/>
      </c>
      <c r="J169" s="165" t="e">
        <f t="shared" si="17"/>
        <v>#NUM!</v>
      </c>
      <c r="K169" s="165" t="e">
        <f t="shared" si="14"/>
        <v>#NUM!</v>
      </c>
      <c r="L169" s="165"/>
      <c r="M169" s="167">
        <f t="shared" si="15"/>
        <v>0</v>
      </c>
    </row>
    <row r="170" spans="1:13" x14ac:dyDescent="0.25">
      <c r="A170" s="182"/>
      <c r="G170" s="153"/>
      <c r="H170" s="165">
        <v>165</v>
      </c>
      <c r="I170" s="166" t="str">
        <f t="shared" si="13"/>
        <v/>
      </c>
      <c r="J170" s="165" t="e">
        <f t="shared" si="17"/>
        <v>#NUM!</v>
      </c>
      <c r="K170" s="165" t="e">
        <f t="shared" si="14"/>
        <v>#NUM!</v>
      </c>
      <c r="L170" s="165"/>
      <c r="M170" s="167">
        <f t="shared" si="15"/>
        <v>0</v>
      </c>
    </row>
    <row r="171" spans="1:13" x14ac:dyDescent="0.25">
      <c r="A171" s="182"/>
      <c r="G171" s="153"/>
      <c r="H171" s="168">
        <v>166</v>
      </c>
      <c r="I171" s="166" t="str">
        <f t="shared" si="13"/>
        <v/>
      </c>
      <c r="J171" s="165" t="e">
        <f t="shared" si="17"/>
        <v>#NUM!</v>
      </c>
      <c r="K171" s="165" t="e">
        <f t="shared" si="14"/>
        <v>#NUM!</v>
      </c>
      <c r="L171" s="165"/>
      <c r="M171" s="167">
        <f t="shared" si="15"/>
        <v>0</v>
      </c>
    </row>
    <row r="172" spans="1:13" x14ac:dyDescent="0.25">
      <c r="A172" s="182"/>
      <c r="G172" s="153"/>
      <c r="H172" s="165">
        <v>167</v>
      </c>
      <c r="I172" s="166" t="str">
        <f t="shared" si="13"/>
        <v/>
      </c>
      <c r="J172" s="165" t="e">
        <f t="shared" si="17"/>
        <v>#NUM!</v>
      </c>
      <c r="K172" s="165" t="e">
        <f t="shared" si="14"/>
        <v>#NUM!</v>
      </c>
      <c r="L172" s="165"/>
      <c r="M172" s="167">
        <f t="shared" si="15"/>
        <v>0</v>
      </c>
    </row>
    <row r="173" spans="1:13" x14ac:dyDescent="0.25">
      <c r="A173" s="182"/>
      <c r="G173" s="153"/>
      <c r="H173" s="168">
        <v>168</v>
      </c>
      <c r="I173" s="166" t="str">
        <f t="shared" si="13"/>
        <v/>
      </c>
      <c r="J173" s="165" t="e">
        <f t="shared" si="17"/>
        <v>#NUM!</v>
      </c>
      <c r="K173" s="165" t="e">
        <f t="shared" si="14"/>
        <v>#NUM!</v>
      </c>
      <c r="L173" s="165"/>
      <c r="M173" s="167">
        <f t="shared" si="15"/>
        <v>0</v>
      </c>
    </row>
    <row r="174" spans="1:13" x14ac:dyDescent="0.25">
      <c r="A174" s="182"/>
      <c r="G174" s="153"/>
      <c r="H174" s="165">
        <v>169</v>
      </c>
      <c r="I174" s="166" t="str">
        <f t="shared" si="13"/>
        <v/>
      </c>
      <c r="J174" s="165" t="e">
        <f t="shared" si="17"/>
        <v>#NUM!</v>
      </c>
      <c r="K174" s="165" t="e">
        <f t="shared" si="14"/>
        <v>#NUM!</v>
      </c>
      <c r="L174" s="165"/>
      <c r="M174" s="167">
        <f t="shared" si="15"/>
        <v>0</v>
      </c>
    </row>
    <row r="175" spans="1:13" x14ac:dyDescent="0.25">
      <c r="A175" s="182"/>
      <c r="G175" s="153"/>
      <c r="H175" s="168">
        <v>170</v>
      </c>
      <c r="I175" s="166" t="str">
        <f t="shared" si="13"/>
        <v/>
      </c>
      <c r="J175" s="165" t="e">
        <f t="shared" si="17"/>
        <v>#NUM!</v>
      </c>
      <c r="K175" s="165" t="e">
        <f t="shared" si="14"/>
        <v>#NUM!</v>
      </c>
      <c r="L175" s="165"/>
      <c r="M175" s="167">
        <f t="shared" si="15"/>
        <v>0</v>
      </c>
    </row>
    <row r="176" spans="1:13" x14ac:dyDescent="0.25">
      <c r="A176" s="182"/>
      <c r="G176" s="153"/>
      <c r="H176" s="165">
        <v>171</v>
      </c>
      <c r="I176" s="166" t="str">
        <f t="shared" si="13"/>
        <v/>
      </c>
      <c r="J176" s="165" t="e">
        <f t="shared" si="17"/>
        <v>#NUM!</v>
      </c>
      <c r="K176" s="165" t="e">
        <f t="shared" si="14"/>
        <v>#NUM!</v>
      </c>
      <c r="L176" s="165"/>
      <c r="M176" s="167">
        <f t="shared" si="15"/>
        <v>0</v>
      </c>
    </row>
    <row r="177" spans="1:13" x14ac:dyDescent="0.25">
      <c r="A177" s="182"/>
      <c r="G177" s="153"/>
      <c r="H177" s="168">
        <v>172</v>
      </c>
      <c r="I177" s="166" t="str">
        <f t="shared" si="13"/>
        <v/>
      </c>
      <c r="J177" s="165" t="e">
        <f t="shared" si="17"/>
        <v>#NUM!</v>
      </c>
      <c r="K177" s="165" t="e">
        <f t="shared" si="14"/>
        <v>#NUM!</v>
      </c>
      <c r="L177" s="165"/>
      <c r="M177" s="167">
        <f t="shared" si="15"/>
        <v>0</v>
      </c>
    </row>
    <row r="178" spans="1:13" x14ac:dyDescent="0.25">
      <c r="A178" s="182"/>
      <c r="G178" s="153"/>
      <c r="H178" s="165">
        <v>173</v>
      </c>
      <c r="I178" s="166" t="str">
        <f t="shared" si="13"/>
        <v/>
      </c>
      <c r="J178" s="165" t="e">
        <f t="shared" si="17"/>
        <v>#NUM!</v>
      </c>
      <c r="K178" s="165" t="e">
        <f t="shared" si="14"/>
        <v>#NUM!</v>
      </c>
      <c r="L178" s="165"/>
      <c r="M178" s="167">
        <f t="shared" si="15"/>
        <v>0</v>
      </c>
    </row>
    <row r="179" spans="1:13" x14ac:dyDescent="0.25">
      <c r="A179" s="182"/>
      <c r="G179" s="153"/>
      <c r="H179" s="168">
        <v>174</v>
      </c>
      <c r="I179" s="166" t="str">
        <f t="shared" si="13"/>
        <v/>
      </c>
      <c r="J179" s="165" t="e">
        <f t="shared" si="17"/>
        <v>#NUM!</v>
      </c>
      <c r="K179" s="165" t="e">
        <f t="shared" si="14"/>
        <v>#NUM!</v>
      </c>
      <c r="L179" s="165"/>
      <c r="M179" s="167">
        <f t="shared" si="15"/>
        <v>0</v>
      </c>
    </row>
    <row r="180" spans="1:13" x14ac:dyDescent="0.25">
      <c r="A180" s="182"/>
      <c r="G180" s="153"/>
      <c r="H180" s="165">
        <v>175</v>
      </c>
      <c r="I180" s="166" t="str">
        <f t="shared" si="13"/>
        <v/>
      </c>
      <c r="J180" s="165" t="e">
        <f t="shared" si="17"/>
        <v>#NUM!</v>
      </c>
      <c r="K180" s="165" t="e">
        <f t="shared" si="14"/>
        <v>#NUM!</v>
      </c>
      <c r="L180" s="165"/>
      <c r="M180" s="167">
        <f t="shared" si="15"/>
        <v>0</v>
      </c>
    </row>
    <row r="181" spans="1:13" x14ac:dyDescent="0.25">
      <c r="A181" s="182"/>
      <c r="G181" s="153"/>
      <c r="H181" s="168">
        <v>176</v>
      </c>
      <c r="I181" s="166" t="str">
        <f t="shared" si="13"/>
        <v/>
      </c>
      <c r="J181" s="165" t="e">
        <f t="shared" si="17"/>
        <v>#NUM!</v>
      </c>
      <c r="K181" s="165" t="e">
        <f t="shared" si="14"/>
        <v>#NUM!</v>
      </c>
      <c r="L181" s="165"/>
      <c r="M181" s="167">
        <f t="shared" si="15"/>
        <v>0</v>
      </c>
    </row>
    <row r="182" spans="1:13" x14ac:dyDescent="0.25">
      <c r="A182" s="182"/>
      <c r="G182" s="153"/>
      <c r="H182" s="165">
        <v>177</v>
      </c>
      <c r="I182" s="166" t="str">
        <f t="shared" si="13"/>
        <v/>
      </c>
      <c r="J182" s="165" t="e">
        <f t="shared" si="17"/>
        <v>#NUM!</v>
      </c>
      <c r="K182" s="165" t="e">
        <f t="shared" si="14"/>
        <v>#NUM!</v>
      </c>
      <c r="L182" s="165"/>
      <c r="M182" s="167">
        <f t="shared" si="15"/>
        <v>0</v>
      </c>
    </row>
    <row r="183" spans="1:13" x14ac:dyDescent="0.25">
      <c r="A183" s="182"/>
      <c r="G183" s="153"/>
      <c r="H183" s="168">
        <v>178</v>
      </c>
      <c r="I183" s="166" t="str">
        <f t="shared" si="13"/>
        <v/>
      </c>
      <c r="J183" s="165" t="e">
        <f t="shared" si="17"/>
        <v>#NUM!</v>
      </c>
      <c r="K183" s="165" t="e">
        <f t="shared" si="14"/>
        <v>#NUM!</v>
      </c>
      <c r="L183" s="165"/>
      <c r="M183" s="167">
        <f t="shared" si="15"/>
        <v>0</v>
      </c>
    </row>
    <row r="184" spans="1:13" x14ac:dyDescent="0.25">
      <c r="A184" s="182"/>
      <c r="G184" s="153"/>
      <c r="H184" s="165">
        <v>179</v>
      </c>
      <c r="I184" s="166" t="str">
        <f t="shared" si="13"/>
        <v/>
      </c>
      <c r="J184" s="165" t="e">
        <f t="shared" si="17"/>
        <v>#NUM!</v>
      </c>
      <c r="K184" s="165" t="e">
        <f t="shared" si="14"/>
        <v>#NUM!</v>
      </c>
      <c r="L184" s="165"/>
      <c r="M184" s="167">
        <f t="shared" si="15"/>
        <v>0</v>
      </c>
    </row>
    <row r="185" spans="1:13" x14ac:dyDescent="0.25">
      <c r="A185" s="182"/>
      <c r="G185" s="153"/>
      <c r="H185" s="168">
        <v>180</v>
      </c>
      <c r="I185" s="166" t="str">
        <f t="shared" si="13"/>
        <v/>
      </c>
      <c r="J185" s="165" t="e">
        <f t="shared" si="17"/>
        <v>#NUM!</v>
      </c>
      <c r="K185" s="165" t="e">
        <f t="shared" si="14"/>
        <v>#NUM!</v>
      </c>
      <c r="L185" s="165"/>
      <c r="M185" s="167">
        <f t="shared" si="15"/>
        <v>0</v>
      </c>
    </row>
    <row r="186" spans="1:13" x14ac:dyDescent="0.25">
      <c r="A186" s="182"/>
      <c r="G186" s="153"/>
      <c r="H186" s="165">
        <v>181</v>
      </c>
      <c r="I186" s="166" t="str">
        <f t="shared" si="13"/>
        <v/>
      </c>
      <c r="J186" s="165" t="e">
        <f t="shared" si="17"/>
        <v>#NUM!</v>
      </c>
      <c r="K186" s="165" t="e">
        <f t="shared" si="14"/>
        <v>#NUM!</v>
      </c>
      <c r="L186" s="165"/>
      <c r="M186" s="167">
        <f t="shared" si="15"/>
        <v>0</v>
      </c>
    </row>
    <row r="187" spans="1:13" x14ac:dyDescent="0.25">
      <c r="A187" s="182"/>
      <c r="G187" s="153"/>
      <c r="H187" s="168">
        <v>182</v>
      </c>
      <c r="I187" s="166" t="str">
        <f t="shared" si="13"/>
        <v/>
      </c>
      <c r="J187" s="165" t="e">
        <f t="shared" si="17"/>
        <v>#NUM!</v>
      </c>
      <c r="K187" s="165" t="e">
        <f t="shared" si="14"/>
        <v>#NUM!</v>
      </c>
      <c r="L187" s="165"/>
      <c r="M187" s="167">
        <f t="shared" si="15"/>
        <v>0</v>
      </c>
    </row>
    <row r="188" spans="1:13" x14ac:dyDescent="0.25">
      <c r="A188" s="182"/>
      <c r="G188" s="153"/>
      <c r="H188" s="165">
        <v>183</v>
      </c>
      <c r="I188" s="166" t="str">
        <f t="shared" si="13"/>
        <v/>
      </c>
      <c r="J188" s="165" t="e">
        <f t="shared" si="17"/>
        <v>#NUM!</v>
      </c>
      <c r="K188" s="165" t="e">
        <f t="shared" si="14"/>
        <v>#NUM!</v>
      </c>
      <c r="L188" s="165"/>
      <c r="M188" s="167">
        <f t="shared" si="15"/>
        <v>0</v>
      </c>
    </row>
    <row r="189" spans="1:13" x14ac:dyDescent="0.25">
      <c r="A189" s="182"/>
      <c r="G189" s="153"/>
      <c r="H189" s="168">
        <v>184</v>
      </c>
      <c r="I189" s="166" t="str">
        <f t="shared" si="13"/>
        <v/>
      </c>
      <c r="J189" s="165" t="e">
        <f t="shared" si="17"/>
        <v>#NUM!</v>
      </c>
      <c r="K189" s="165" t="e">
        <f t="shared" si="14"/>
        <v>#NUM!</v>
      </c>
      <c r="L189" s="165"/>
      <c r="M189" s="167">
        <f t="shared" si="15"/>
        <v>0</v>
      </c>
    </row>
    <row r="190" spans="1:13" x14ac:dyDescent="0.25">
      <c r="A190" s="182"/>
      <c r="G190" s="153"/>
      <c r="H190" s="165">
        <v>185</v>
      </c>
      <c r="I190" s="166" t="str">
        <f t="shared" si="13"/>
        <v/>
      </c>
      <c r="J190" s="165" t="e">
        <f t="shared" si="17"/>
        <v>#NUM!</v>
      </c>
      <c r="K190" s="165" t="e">
        <f t="shared" si="14"/>
        <v>#NUM!</v>
      </c>
      <c r="L190" s="165"/>
      <c r="M190" s="167">
        <f t="shared" si="15"/>
        <v>0</v>
      </c>
    </row>
    <row r="191" spans="1:13" x14ac:dyDescent="0.25">
      <c r="A191" s="182"/>
      <c r="G191" s="153"/>
      <c r="H191" s="168">
        <v>186</v>
      </c>
      <c r="I191" s="166" t="str">
        <f t="shared" si="13"/>
        <v/>
      </c>
      <c r="J191" s="165" t="e">
        <f t="shared" si="17"/>
        <v>#NUM!</v>
      </c>
      <c r="K191" s="165" t="e">
        <f t="shared" si="14"/>
        <v>#NUM!</v>
      </c>
      <c r="L191" s="165"/>
      <c r="M191" s="167">
        <f t="shared" si="15"/>
        <v>0</v>
      </c>
    </row>
    <row r="192" spans="1:13" x14ac:dyDescent="0.25">
      <c r="A192" s="182"/>
      <c r="G192" s="153"/>
      <c r="H192" s="165">
        <v>187</v>
      </c>
      <c r="I192" s="166" t="str">
        <f t="shared" si="13"/>
        <v/>
      </c>
      <c r="J192" s="165" t="e">
        <f t="shared" si="17"/>
        <v>#NUM!</v>
      </c>
      <c r="K192" s="165" t="e">
        <f t="shared" si="14"/>
        <v>#NUM!</v>
      </c>
      <c r="L192" s="165"/>
      <c r="M192" s="167">
        <f t="shared" si="15"/>
        <v>0</v>
      </c>
    </row>
    <row r="193" spans="1:13" x14ac:dyDescent="0.25">
      <c r="A193" s="182"/>
      <c r="G193" s="153"/>
      <c r="H193" s="168">
        <v>188</v>
      </c>
      <c r="I193" s="166" t="str">
        <f t="shared" si="13"/>
        <v/>
      </c>
      <c r="J193" s="165" t="e">
        <f t="shared" si="17"/>
        <v>#NUM!</v>
      </c>
      <c r="K193" s="165" t="e">
        <f t="shared" si="14"/>
        <v>#NUM!</v>
      </c>
      <c r="L193" s="165"/>
      <c r="M193" s="167">
        <f t="shared" si="15"/>
        <v>0</v>
      </c>
    </row>
    <row r="194" spans="1:13" x14ac:dyDescent="0.25">
      <c r="A194" s="182"/>
      <c r="G194" s="153"/>
      <c r="H194" s="165">
        <v>189</v>
      </c>
      <c r="I194" s="166" t="str">
        <f t="shared" si="13"/>
        <v/>
      </c>
      <c r="J194" s="165" t="e">
        <f t="shared" si="17"/>
        <v>#NUM!</v>
      </c>
      <c r="K194" s="165" t="e">
        <f t="shared" si="14"/>
        <v>#NUM!</v>
      </c>
      <c r="L194" s="165"/>
      <c r="M194" s="167">
        <f t="shared" si="15"/>
        <v>0</v>
      </c>
    </row>
    <row r="195" spans="1:13" x14ac:dyDescent="0.25">
      <c r="A195" s="182"/>
      <c r="G195" s="153"/>
      <c r="H195" s="168">
        <v>190</v>
      </c>
      <c r="I195" s="166" t="str">
        <f t="shared" si="13"/>
        <v/>
      </c>
      <c r="J195" s="165" t="e">
        <f t="shared" si="17"/>
        <v>#NUM!</v>
      </c>
      <c r="K195" s="165" t="e">
        <f t="shared" si="14"/>
        <v>#NUM!</v>
      </c>
      <c r="L195" s="165"/>
      <c r="M195" s="167">
        <f t="shared" si="15"/>
        <v>0</v>
      </c>
    </row>
    <row r="196" spans="1:13" x14ac:dyDescent="0.25">
      <c r="A196" s="182"/>
      <c r="G196" s="153"/>
      <c r="H196" s="165">
        <v>191</v>
      </c>
      <c r="I196" s="166" t="str">
        <f t="shared" si="13"/>
        <v/>
      </c>
      <c r="J196" s="165" t="e">
        <f t="shared" si="17"/>
        <v>#NUM!</v>
      </c>
      <c r="K196" s="165" t="e">
        <f t="shared" si="14"/>
        <v>#NUM!</v>
      </c>
      <c r="L196" s="165"/>
      <c r="M196" s="167">
        <f t="shared" si="15"/>
        <v>0</v>
      </c>
    </row>
    <row r="197" spans="1:13" x14ac:dyDescent="0.25">
      <c r="A197" s="182"/>
      <c r="G197" s="153"/>
      <c r="H197" s="168">
        <v>192</v>
      </c>
      <c r="I197" s="166" t="str">
        <f t="shared" si="13"/>
        <v/>
      </c>
      <c r="J197" s="165" t="e">
        <f t="shared" si="17"/>
        <v>#NUM!</v>
      </c>
      <c r="K197" s="165" t="e">
        <f t="shared" si="14"/>
        <v>#NUM!</v>
      </c>
      <c r="L197" s="165"/>
      <c r="M197" s="167">
        <f t="shared" si="15"/>
        <v>0</v>
      </c>
    </row>
    <row r="198" spans="1:13" x14ac:dyDescent="0.25">
      <c r="A198" s="182"/>
      <c r="G198" s="153"/>
      <c r="H198" s="165">
        <v>193</v>
      </c>
      <c r="I198" s="166" t="str">
        <f t="shared" ref="I198:I261" si="18">IF(H198&lt;$H$2+1,($I$2-($I$2-1)*(LOG(H198)/LOG($H$2))),"")</f>
        <v/>
      </c>
      <c r="J198" s="165" t="e">
        <f t="shared" si="17"/>
        <v>#NUM!</v>
      </c>
      <c r="K198" s="165" t="e">
        <f t="shared" ref="K198:K261" si="19">J198*$J$2</f>
        <v>#NUM!</v>
      </c>
      <c r="L198" s="165"/>
      <c r="M198" s="167">
        <f t="shared" ref="M198:M261" si="20">IF(I198&lt;&gt;"",K198+I198+L198,0)</f>
        <v>0</v>
      </c>
    </row>
    <row r="199" spans="1:13" x14ac:dyDescent="0.25">
      <c r="A199" s="182"/>
      <c r="G199" s="153"/>
      <c r="H199" s="168">
        <v>194</v>
      </c>
      <c r="I199" s="166" t="str">
        <f t="shared" si="18"/>
        <v/>
      </c>
      <c r="J199" s="165" t="e">
        <f t="shared" ref="J199:J262" si="21">INT(LOG($H$2,2))-ROUNDUP(LOG(H199,2),0)+IF(OR($H$2=1,$H$2=2,$H$2=4,$H$2=8,$H$2=16,$H$2=32,$H$2=64,$H$2=128,$H$2=256),0,1)</f>
        <v>#NUM!</v>
      </c>
      <c r="K199" s="165" t="e">
        <f t="shared" si="19"/>
        <v>#NUM!</v>
      </c>
      <c r="L199" s="165"/>
      <c r="M199" s="167">
        <f t="shared" si="20"/>
        <v>0</v>
      </c>
    </row>
    <row r="200" spans="1:13" x14ac:dyDescent="0.25">
      <c r="A200" s="182"/>
      <c r="G200" s="153"/>
      <c r="H200" s="165">
        <v>195</v>
      </c>
      <c r="I200" s="166" t="str">
        <f t="shared" si="18"/>
        <v/>
      </c>
      <c r="J200" s="165" t="e">
        <f t="shared" si="21"/>
        <v>#NUM!</v>
      </c>
      <c r="K200" s="165" t="e">
        <f t="shared" si="19"/>
        <v>#NUM!</v>
      </c>
      <c r="L200" s="165"/>
      <c r="M200" s="167">
        <f t="shared" si="20"/>
        <v>0</v>
      </c>
    </row>
    <row r="201" spans="1:13" x14ac:dyDescent="0.25">
      <c r="A201" s="182"/>
      <c r="G201" s="153"/>
      <c r="H201" s="168">
        <v>196</v>
      </c>
      <c r="I201" s="166" t="str">
        <f t="shared" si="18"/>
        <v/>
      </c>
      <c r="J201" s="165" t="e">
        <f t="shared" si="21"/>
        <v>#NUM!</v>
      </c>
      <c r="K201" s="165" t="e">
        <f t="shared" si="19"/>
        <v>#NUM!</v>
      </c>
      <c r="L201" s="165"/>
      <c r="M201" s="167">
        <f t="shared" si="20"/>
        <v>0</v>
      </c>
    </row>
    <row r="202" spans="1:13" x14ac:dyDescent="0.25">
      <c r="A202" s="182"/>
      <c r="G202" s="153"/>
      <c r="H202" s="165">
        <v>197</v>
      </c>
      <c r="I202" s="166" t="str">
        <f t="shared" si="18"/>
        <v/>
      </c>
      <c r="J202" s="165" t="e">
        <f t="shared" si="21"/>
        <v>#NUM!</v>
      </c>
      <c r="K202" s="165" t="e">
        <f t="shared" si="19"/>
        <v>#NUM!</v>
      </c>
      <c r="L202" s="165"/>
      <c r="M202" s="167">
        <f t="shared" si="20"/>
        <v>0</v>
      </c>
    </row>
    <row r="203" spans="1:13" x14ac:dyDescent="0.25">
      <c r="A203" s="182"/>
      <c r="G203" s="153"/>
      <c r="H203" s="168">
        <v>198</v>
      </c>
      <c r="I203" s="166" t="str">
        <f t="shared" si="18"/>
        <v/>
      </c>
      <c r="J203" s="165" t="e">
        <f t="shared" si="21"/>
        <v>#NUM!</v>
      </c>
      <c r="K203" s="165" t="e">
        <f t="shared" si="19"/>
        <v>#NUM!</v>
      </c>
      <c r="L203" s="165"/>
      <c r="M203" s="167">
        <f t="shared" si="20"/>
        <v>0</v>
      </c>
    </row>
    <row r="204" spans="1:13" x14ac:dyDescent="0.25">
      <c r="A204" s="182"/>
      <c r="G204" s="153"/>
      <c r="H204" s="165">
        <v>199</v>
      </c>
      <c r="I204" s="166" t="str">
        <f t="shared" si="18"/>
        <v/>
      </c>
      <c r="J204" s="165" t="e">
        <f t="shared" si="21"/>
        <v>#NUM!</v>
      </c>
      <c r="K204" s="165" t="e">
        <f t="shared" si="19"/>
        <v>#NUM!</v>
      </c>
      <c r="L204" s="165"/>
      <c r="M204" s="167">
        <f t="shared" si="20"/>
        <v>0</v>
      </c>
    </row>
    <row r="205" spans="1:13" x14ac:dyDescent="0.25">
      <c r="A205" s="182"/>
      <c r="G205" s="153"/>
      <c r="H205" s="168">
        <v>200</v>
      </c>
      <c r="I205" s="166" t="str">
        <f t="shared" si="18"/>
        <v/>
      </c>
      <c r="J205" s="165" t="e">
        <f t="shared" si="21"/>
        <v>#NUM!</v>
      </c>
      <c r="K205" s="165" t="e">
        <f t="shared" si="19"/>
        <v>#NUM!</v>
      </c>
      <c r="L205" s="165"/>
      <c r="M205" s="167">
        <f t="shared" si="20"/>
        <v>0</v>
      </c>
    </row>
    <row r="206" spans="1:13" x14ac:dyDescent="0.25">
      <c r="A206" s="182"/>
      <c r="G206" s="153"/>
      <c r="H206" s="165">
        <v>201</v>
      </c>
      <c r="I206" s="166" t="str">
        <f t="shared" si="18"/>
        <v/>
      </c>
      <c r="J206" s="165" t="e">
        <f t="shared" si="21"/>
        <v>#NUM!</v>
      </c>
      <c r="K206" s="165" t="e">
        <f t="shared" si="19"/>
        <v>#NUM!</v>
      </c>
      <c r="L206" s="165"/>
      <c r="M206" s="167">
        <f t="shared" si="20"/>
        <v>0</v>
      </c>
    </row>
    <row r="207" spans="1:13" x14ac:dyDescent="0.25">
      <c r="A207" s="182"/>
      <c r="G207" s="153"/>
      <c r="H207" s="168">
        <v>202</v>
      </c>
      <c r="I207" s="166" t="str">
        <f t="shared" si="18"/>
        <v/>
      </c>
      <c r="J207" s="165" t="e">
        <f t="shared" si="21"/>
        <v>#NUM!</v>
      </c>
      <c r="K207" s="165" t="e">
        <f t="shared" si="19"/>
        <v>#NUM!</v>
      </c>
      <c r="L207" s="165"/>
      <c r="M207" s="167">
        <f t="shared" si="20"/>
        <v>0</v>
      </c>
    </row>
    <row r="208" spans="1:13" x14ac:dyDescent="0.25">
      <c r="A208" s="182"/>
      <c r="G208" s="153"/>
      <c r="H208" s="165">
        <v>203</v>
      </c>
      <c r="I208" s="166" t="str">
        <f t="shared" si="18"/>
        <v/>
      </c>
      <c r="J208" s="165" t="e">
        <f t="shared" si="21"/>
        <v>#NUM!</v>
      </c>
      <c r="K208" s="165" t="e">
        <f t="shared" si="19"/>
        <v>#NUM!</v>
      </c>
      <c r="L208" s="165"/>
      <c r="M208" s="167">
        <f t="shared" si="20"/>
        <v>0</v>
      </c>
    </row>
    <row r="209" spans="1:13" x14ac:dyDescent="0.25">
      <c r="A209" s="182"/>
      <c r="G209" s="153"/>
      <c r="H209" s="168">
        <v>204</v>
      </c>
      <c r="I209" s="166" t="str">
        <f t="shared" si="18"/>
        <v/>
      </c>
      <c r="J209" s="165" t="e">
        <f t="shared" si="21"/>
        <v>#NUM!</v>
      </c>
      <c r="K209" s="165" t="e">
        <f t="shared" si="19"/>
        <v>#NUM!</v>
      </c>
      <c r="L209" s="165"/>
      <c r="M209" s="167">
        <f t="shared" si="20"/>
        <v>0</v>
      </c>
    </row>
    <row r="210" spans="1:13" x14ac:dyDescent="0.25">
      <c r="A210" s="182"/>
      <c r="G210" s="153"/>
      <c r="H210" s="165">
        <v>205</v>
      </c>
      <c r="I210" s="166" t="str">
        <f t="shared" si="18"/>
        <v/>
      </c>
      <c r="J210" s="165" t="e">
        <f t="shared" si="21"/>
        <v>#NUM!</v>
      </c>
      <c r="K210" s="165" t="e">
        <f t="shared" si="19"/>
        <v>#NUM!</v>
      </c>
      <c r="L210" s="165"/>
      <c r="M210" s="167">
        <f t="shared" si="20"/>
        <v>0</v>
      </c>
    </row>
    <row r="211" spans="1:13" x14ac:dyDescent="0.25">
      <c r="A211" s="182"/>
      <c r="G211" s="153"/>
      <c r="H211" s="168">
        <v>206</v>
      </c>
      <c r="I211" s="166" t="str">
        <f t="shared" si="18"/>
        <v/>
      </c>
      <c r="J211" s="165" t="e">
        <f t="shared" si="21"/>
        <v>#NUM!</v>
      </c>
      <c r="K211" s="165" t="e">
        <f t="shared" si="19"/>
        <v>#NUM!</v>
      </c>
      <c r="L211" s="165"/>
      <c r="M211" s="167">
        <f t="shared" si="20"/>
        <v>0</v>
      </c>
    </row>
    <row r="212" spans="1:13" x14ac:dyDescent="0.25">
      <c r="A212" s="182"/>
      <c r="G212" s="153"/>
      <c r="H212" s="165">
        <v>207</v>
      </c>
      <c r="I212" s="166" t="str">
        <f t="shared" si="18"/>
        <v/>
      </c>
      <c r="J212" s="165" t="e">
        <f t="shared" si="21"/>
        <v>#NUM!</v>
      </c>
      <c r="K212" s="165" t="e">
        <f t="shared" si="19"/>
        <v>#NUM!</v>
      </c>
      <c r="L212" s="165"/>
      <c r="M212" s="167">
        <f t="shared" si="20"/>
        <v>0</v>
      </c>
    </row>
    <row r="213" spans="1:13" x14ac:dyDescent="0.25">
      <c r="A213" s="182"/>
      <c r="G213" s="153"/>
      <c r="H213" s="168">
        <v>208</v>
      </c>
      <c r="I213" s="166" t="str">
        <f t="shared" si="18"/>
        <v/>
      </c>
      <c r="J213" s="165" t="e">
        <f t="shared" si="21"/>
        <v>#NUM!</v>
      </c>
      <c r="K213" s="165" t="e">
        <f t="shared" si="19"/>
        <v>#NUM!</v>
      </c>
      <c r="L213" s="165"/>
      <c r="M213" s="167">
        <f t="shared" si="20"/>
        <v>0</v>
      </c>
    </row>
    <row r="214" spans="1:13" x14ac:dyDescent="0.25">
      <c r="A214" s="182"/>
      <c r="G214" s="153"/>
      <c r="H214" s="165">
        <v>209</v>
      </c>
      <c r="I214" s="166" t="str">
        <f t="shared" si="18"/>
        <v/>
      </c>
      <c r="J214" s="165" t="e">
        <f t="shared" si="21"/>
        <v>#NUM!</v>
      </c>
      <c r="K214" s="165" t="e">
        <f t="shared" si="19"/>
        <v>#NUM!</v>
      </c>
      <c r="L214" s="165"/>
      <c r="M214" s="167">
        <f t="shared" si="20"/>
        <v>0</v>
      </c>
    </row>
    <row r="215" spans="1:13" x14ac:dyDescent="0.25">
      <c r="A215" s="182"/>
      <c r="G215" s="153"/>
      <c r="H215" s="168">
        <v>210</v>
      </c>
      <c r="I215" s="166" t="str">
        <f t="shared" si="18"/>
        <v/>
      </c>
      <c r="J215" s="165" t="e">
        <f t="shared" si="21"/>
        <v>#NUM!</v>
      </c>
      <c r="K215" s="165" t="e">
        <f t="shared" si="19"/>
        <v>#NUM!</v>
      </c>
      <c r="L215" s="165"/>
      <c r="M215" s="167">
        <f t="shared" si="20"/>
        <v>0</v>
      </c>
    </row>
    <row r="216" spans="1:13" x14ac:dyDescent="0.25">
      <c r="A216" s="182"/>
      <c r="G216" s="153"/>
      <c r="H216" s="165">
        <v>211</v>
      </c>
      <c r="I216" s="166" t="str">
        <f t="shared" si="18"/>
        <v/>
      </c>
      <c r="J216" s="165" t="e">
        <f t="shared" si="21"/>
        <v>#NUM!</v>
      </c>
      <c r="K216" s="165" t="e">
        <f t="shared" si="19"/>
        <v>#NUM!</v>
      </c>
      <c r="L216" s="165"/>
      <c r="M216" s="167">
        <f t="shared" si="20"/>
        <v>0</v>
      </c>
    </row>
    <row r="217" spans="1:13" x14ac:dyDescent="0.25">
      <c r="A217" s="182"/>
      <c r="G217" s="153"/>
      <c r="H217" s="168">
        <v>212</v>
      </c>
      <c r="I217" s="166" t="str">
        <f t="shared" si="18"/>
        <v/>
      </c>
      <c r="J217" s="165" t="e">
        <f t="shared" si="21"/>
        <v>#NUM!</v>
      </c>
      <c r="K217" s="165" t="e">
        <f t="shared" si="19"/>
        <v>#NUM!</v>
      </c>
      <c r="L217" s="165"/>
      <c r="M217" s="167">
        <f t="shared" si="20"/>
        <v>0</v>
      </c>
    </row>
    <row r="218" spans="1:13" x14ac:dyDescent="0.25">
      <c r="A218" s="182"/>
      <c r="G218" s="153"/>
      <c r="H218" s="165">
        <v>213</v>
      </c>
      <c r="I218" s="166" t="str">
        <f t="shared" si="18"/>
        <v/>
      </c>
      <c r="J218" s="165" t="e">
        <f t="shared" si="21"/>
        <v>#NUM!</v>
      </c>
      <c r="K218" s="165" t="e">
        <f t="shared" si="19"/>
        <v>#NUM!</v>
      </c>
      <c r="L218" s="165"/>
      <c r="M218" s="167">
        <f t="shared" si="20"/>
        <v>0</v>
      </c>
    </row>
    <row r="219" spans="1:13" x14ac:dyDescent="0.25">
      <c r="A219" s="182"/>
      <c r="G219" s="153"/>
      <c r="H219" s="168">
        <v>214</v>
      </c>
      <c r="I219" s="166" t="str">
        <f t="shared" si="18"/>
        <v/>
      </c>
      <c r="J219" s="165" t="e">
        <f t="shared" si="21"/>
        <v>#NUM!</v>
      </c>
      <c r="K219" s="165" t="e">
        <f t="shared" si="19"/>
        <v>#NUM!</v>
      </c>
      <c r="L219" s="165"/>
      <c r="M219" s="167">
        <f t="shared" si="20"/>
        <v>0</v>
      </c>
    </row>
    <row r="220" spans="1:13" x14ac:dyDescent="0.25">
      <c r="A220" s="182"/>
      <c r="G220" s="153"/>
      <c r="H220" s="165">
        <v>215</v>
      </c>
      <c r="I220" s="166" t="str">
        <f t="shared" si="18"/>
        <v/>
      </c>
      <c r="J220" s="165" t="e">
        <f t="shared" si="21"/>
        <v>#NUM!</v>
      </c>
      <c r="K220" s="165" t="e">
        <f t="shared" si="19"/>
        <v>#NUM!</v>
      </c>
      <c r="L220" s="165"/>
      <c r="M220" s="167">
        <f t="shared" si="20"/>
        <v>0</v>
      </c>
    </row>
    <row r="221" spans="1:13" x14ac:dyDescent="0.25">
      <c r="A221" s="182"/>
      <c r="G221" s="153"/>
      <c r="H221" s="168">
        <v>216</v>
      </c>
      <c r="I221" s="166" t="str">
        <f t="shared" si="18"/>
        <v/>
      </c>
      <c r="J221" s="165" t="e">
        <f t="shared" si="21"/>
        <v>#NUM!</v>
      </c>
      <c r="K221" s="165" t="e">
        <f t="shared" si="19"/>
        <v>#NUM!</v>
      </c>
      <c r="L221" s="165"/>
      <c r="M221" s="167">
        <f t="shared" si="20"/>
        <v>0</v>
      </c>
    </row>
    <row r="222" spans="1:13" x14ac:dyDescent="0.25">
      <c r="A222" s="182"/>
      <c r="G222" s="153"/>
      <c r="H222" s="165">
        <v>217</v>
      </c>
      <c r="I222" s="166" t="str">
        <f t="shared" si="18"/>
        <v/>
      </c>
      <c r="J222" s="165" t="e">
        <f t="shared" si="21"/>
        <v>#NUM!</v>
      </c>
      <c r="K222" s="165" t="e">
        <f t="shared" si="19"/>
        <v>#NUM!</v>
      </c>
      <c r="L222" s="165"/>
      <c r="M222" s="167">
        <f t="shared" si="20"/>
        <v>0</v>
      </c>
    </row>
    <row r="223" spans="1:13" x14ac:dyDescent="0.25">
      <c r="A223" s="182"/>
      <c r="G223" s="153"/>
      <c r="H223" s="168">
        <v>218</v>
      </c>
      <c r="I223" s="166" t="str">
        <f t="shared" si="18"/>
        <v/>
      </c>
      <c r="J223" s="165" t="e">
        <f t="shared" si="21"/>
        <v>#NUM!</v>
      </c>
      <c r="K223" s="165" t="e">
        <f t="shared" si="19"/>
        <v>#NUM!</v>
      </c>
      <c r="L223" s="165"/>
      <c r="M223" s="167">
        <f t="shared" si="20"/>
        <v>0</v>
      </c>
    </row>
    <row r="224" spans="1:13" x14ac:dyDescent="0.25">
      <c r="A224" s="182"/>
      <c r="G224" s="153"/>
      <c r="H224" s="165">
        <v>219</v>
      </c>
      <c r="I224" s="166" t="str">
        <f t="shared" si="18"/>
        <v/>
      </c>
      <c r="J224" s="165" t="e">
        <f t="shared" si="21"/>
        <v>#NUM!</v>
      </c>
      <c r="K224" s="165" t="e">
        <f t="shared" si="19"/>
        <v>#NUM!</v>
      </c>
      <c r="L224" s="165"/>
      <c r="M224" s="167">
        <f t="shared" si="20"/>
        <v>0</v>
      </c>
    </row>
    <row r="225" spans="1:13" x14ac:dyDescent="0.25">
      <c r="A225" s="182"/>
      <c r="G225" s="153"/>
      <c r="H225" s="168">
        <v>220</v>
      </c>
      <c r="I225" s="166" t="str">
        <f t="shared" si="18"/>
        <v/>
      </c>
      <c r="J225" s="165" t="e">
        <f t="shared" si="21"/>
        <v>#NUM!</v>
      </c>
      <c r="K225" s="165" t="e">
        <f t="shared" si="19"/>
        <v>#NUM!</v>
      </c>
      <c r="L225" s="165"/>
      <c r="M225" s="167">
        <f t="shared" si="20"/>
        <v>0</v>
      </c>
    </row>
    <row r="226" spans="1:13" x14ac:dyDescent="0.25">
      <c r="A226" s="182"/>
      <c r="G226" s="153"/>
      <c r="H226" s="165">
        <v>221</v>
      </c>
      <c r="I226" s="166" t="str">
        <f t="shared" si="18"/>
        <v/>
      </c>
      <c r="J226" s="165" t="e">
        <f t="shared" si="21"/>
        <v>#NUM!</v>
      </c>
      <c r="K226" s="165" t="e">
        <f t="shared" si="19"/>
        <v>#NUM!</v>
      </c>
      <c r="L226" s="165"/>
      <c r="M226" s="167">
        <f t="shared" si="20"/>
        <v>0</v>
      </c>
    </row>
    <row r="227" spans="1:13" x14ac:dyDescent="0.25">
      <c r="A227" s="182"/>
      <c r="G227" s="153"/>
      <c r="H227" s="168">
        <v>222</v>
      </c>
      <c r="I227" s="166" t="str">
        <f t="shared" si="18"/>
        <v/>
      </c>
      <c r="J227" s="165" t="e">
        <f t="shared" si="21"/>
        <v>#NUM!</v>
      </c>
      <c r="K227" s="165" t="e">
        <f t="shared" si="19"/>
        <v>#NUM!</v>
      </c>
      <c r="L227" s="165"/>
      <c r="M227" s="167">
        <f t="shared" si="20"/>
        <v>0</v>
      </c>
    </row>
    <row r="228" spans="1:13" x14ac:dyDescent="0.25">
      <c r="A228" s="182"/>
      <c r="G228" s="153"/>
      <c r="H228" s="165">
        <v>223</v>
      </c>
      <c r="I228" s="166" t="str">
        <f t="shared" si="18"/>
        <v/>
      </c>
      <c r="J228" s="165" t="e">
        <f t="shared" si="21"/>
        <v>#NUM!</v>
      </c>
      <c r="K228" s="165" t="e">
        <f t="shared" si="19"/>
        <v>#NUM!</v>
      </c>
      <c r="L228" s="165"/>
      <c r="M228" s="167">
        <f t="shared" si="20"/>
        <v>0</v>
      </c>
    </row>
    <row r="229" spans="1:13" x14ac:dyDescent="0.25">
      <c r="A229" s="182"/>
      <c r="G229" s="153"/>
      <c r="H229" s="168">
        <v>224</v>
      </c>
      <c r="I229" s="166" t="str">
        <f t="shared" si="18"/>
        <v/>
      </c>
      <c r="J229" s="165" t="e">
        <f t="shared" si="21"/>
        <v>#NUM!</v>
      </c>
      <c r="K229" s="165" t="e">
        <f t="shared" si="19"/>
        <v>#NUM!</v>
      </c>
      <c r="L229" s="165"/>
      <c r="M229" s="167">
        <f t="shared" si="20"/>
        <v>0</v>
      </c>
    </row>
    <row r="230" spans="1:13" x14ac:dyDescent="0.25">
      <c r="A230" s="182"/>
      <c r="G230" s="153"/>
      <c r="H230" s="165">
        <v>225</v>
      </c>
      <c r="I230" s="166" t="str">
        <f t="shared" si="18"/>
        <v/>
      </c>
      <c r="J230" s="165" t="e">
        <f t="shared" si="21"/>
        <v>#NUM!</v>
      </c>
      <c r="K230" s="165" t="e">
        <f t="shared" si="19"/>
        <v>#NUM!</v>
      </c>
      <c r="L230" s="165"/>
      <c r="M230" s="167">
        <f t="shared" si="20"/>
        <v>0</v>
      </c>
    </row>
    <row r="231" spans="1:13" x14ac:dyDescent="0.25">
      <c r="A231" s="182"/>
      <c r="G231" s="153"/>
      <c r="H231" s="168">
        <v>226</v>
      </c>
      <c r="I231" s="166" t="str">
        <f t="shared" si="18"/>
        <v/>
      </c>
      <c r="J231" s="165" t="e">
        <f t="shared" si="21"/>
        <v>#NUM!</v>
      </c>
      <c r="K231" s="165" t="e">
        <f t="shared" si="19"/>
        <v>#NUM!</v>
      </c>
      <c r="L231" s="165"/>
      <c r="M231" s="167">
        <f t="shared" si="20"/>
        <v>0</v>
      </c>
    </row>
    <row r="232" spans="1:13" x14ac:dyDescent="0.25">
      <c r="A232" s="182"/>
      <c r="G232" s="153"/>
      <c r="H232" s="165">
        <v>227</v>
      </c>
      <c r="I232" s="166" t="str">
        <f t="shared" si="18"/>
        <v/>
      </c>
      <c r="J232" s="165" t="e">
        <f t="shared" si="21"/>
        <v>#NUM!</v>
      </c>
      <c r="K232" s="165" t="e">
        <f t="shared" si="19"/>
        <v>#NUM!</v>
      </c>
      <c r="L232" s="165"/>
      <c r="M232" s="167">
        <f t="shared" si="20"/>
        <v>0</v>
      </c>
    </row>
    <row r="233" spans="1:13" x14ac:dyDescent="0.25">
      <c r="A233" s="182"/>
      <c r="G233" s="153"/>
      <c r="H233" s="168">
        <v>228</v>
      </c>
      <c r="I233" s="166" t="str">
        <f t="shared" si="18"/>
        <v/>
      </c>
      <c r="J233" s="165" t="e">
        <f t="shared" si="21"/>
        <v>#NUM!</v>
      </c>
      <c r="K233" s="165" t="e">
        <f t="shared" si="19"/>
        <v>#NUM!</v>
      </c>
      <c r="L233" s="165"/>
      <c r="M233" s="167">
        <f t="shared" si="20"/>
        <v>0</v>
      </c>
    </row>
    <row r="234" spans="1:13" x14ac:dyDescent="0.25">
      <c r="A234" s="182"/>
      <c r="G234" s="153"/>
      <c r="H234" s="165">
        <v>229</v>
      </c>
      <c r="I234" s="166" t="str">
        <f t="shared" si="18"/>
        <v/>
      </c>
      <c r="J234" s="165" t="e">
        <f t="shared" si="21"/>
        <v>#NUM!</v>
      </c>
      <c r="K234" s="165" t="e">
        <f t="shared" si="19"/>
        <v>#NUM!</v>
      </c>
      <c r="L234" s="165"/>
      <c r="M234" s="167">
        <f t="shared" si="20"/>
        <v>0</v>
      </c>
    </row>
    <row r="235" spans="1:13" x14ac:dyDescent="0.25">
      <c r="A235" s="182"/>
      <c r="G235" s="153"/>
      <c r="H235" s="168">
        <v>230</v>
      </c>
      <c r="I235" s="166" t="str">
        <f t="shared" si="18"/>
        <v/>
      </c>
      <c r="J235" s="165" t="e">
        <f t="shared" si="21"/>
        <v>#NUM!</v>
      </c>
      <c r="K235" s="165" t="e">
        <f t="shared" si="19"/>
        <v>#NUM!</v>
      </c>
      <c r="L235" s="165"/>
      <c r="M235" s="167">
        <f t="shared" si="20"/>
        <v>0</v>
      </c>
    </row>
    <row r="236" spans="1:13" x14ac:dyDescent="0.25">
      <c r="A236" s="182"/>
      <c r="G236" s="153"/>
      <c r="H236" s="165">
        <v>231</v>
      </c>
      <c r="I236" s="166" t="str">
        <f t="shared" si="18"/>
        <v/>
      </c>
      <c r="J236" s="165" t="e">
        <f t="shared" si="21"/>
        <v>#NUM!</v>
      </c>
      <c r="K236" s="165" t="e">
        <f t="shared" si="19"/>
        <v>#NUM!</v>
      </c>
      <c r="L236" s="165"/>
      <c r="M236" s="167">
        <f t="shared" si="20"/>
        <v>0</v>
      </c>
    </row>
    <row r="237" spans="1:13" x14ac:dyDescent="0.25">
      <c r="A237" s="182"/>
      <c r="G237" s="153"/>
      <c r="H237" s="168">
        <v>232</v>
      </c>
      <c r="I237" s="166" t="str">
        <f t="shared" si="18"/>
        <v/>
      </c>
      <c r="J237" s="165" t="e">
        <f t="shared" si="21"/>
        <v>#NUM!</v>
      </c>
      <c r="K237" s="165" t="e">
        <f t="shared" si="19"/>
        <v>#NUM!</v>
      </c>
      <c r="L237" s="165"/>
      <c r="M237" s="167">
        <f t="shared" si="20"/>
        <v>0</v>
      </c>
    </row>
    <row r="238" spans="1:13" x14ac:dyDescent="0.25">
      <c r="A238" s="182"/>
      <c r="G238" s="153"/>
      <c r="H238" s="165">
        <v>233</v>
      </c>
      <c r="I238" s="166" t="str">
        <f t="shared" si="18"/>
        <v/>
      </c>
      <c r="J238" s="165" t="e">
        <f t="shared" si="21"/>
        <v>#NUM!</v>
      </c>
      <c r="K238" s="165" t="e">
        <f t="shared" si="19"/>
        <v>#NUM!</v>
      </c>
      <c r="L238" s="165"/>
      <c r="M238" s="167">
        <f t="shared" si="20"/>
        <v>0</v>
      </c>
    </row>
    <row r="239" spans="1:13" x14ac:dyDescent="0.25">
      <c r="A239" s="182"/>
      <c r="G239" s="153"/>
      <c r="H239" s="168">
        <v>234</v>
      </c>
      <c r="I239" s="166" t="str">
        <f t="shared" si="18"/>
        <v/>
      </c>
      <c r="J239" s="165" t="e">
        <f t="shared" si="21"/>
        <v>#NUM!</v>
      </c>
      <c r="K239" s="165" t="e">
        <f t="shared" si="19"/>
        <v>#NUM!</v>
      </c>
      <c r="L239" s="165"/>
      <c r="M239" s="167">
        <f t="shared" si="20"/>
        <v>0</v>
      </c>
    </row>
    <row r="240" spans="1:13" x14ac:dyDescent="0.25">
      <c r="A240" s="182"/>
      <c r="G240" s="153"/>
      <c r="H240" s="165">
        <v>235</v>
      </c>
      <c r="I240" s="166" t="str">
        <f t="shared" si="18"/>
        <v/>
      </c>
      <c r="J240" s="165" t="e">
        <f t="shared" si="21"/>
        <v>#NUM!</v>
      </c>
      <c r="K240" s="165" t="e">
        <f t="shared" si="19"/>
        <v>#NUM!</v>
      </c>
      <c r="L240" s="165"/>
      <c r="M240" s="167">
        <f t="shared" si="20"/>
        <v>0</v>
      </c>
    </row>
    <row r="241" spans="1:13" x14ac:dyDescent="0.25">
      <c r="A241" s="182"/>
      <c r="G241" s="153"/>
      <c r="H241" s="168">
        <v>236</v>
      </c>
      <c r="I241" s="166" t="str">
        <f t="shared" si="18"/>
        <v/>
      </c>
      <c r="J241" s="165" t="e">
        <f t="shared" si="21"/>
        <v>#NUM!</v>
      </c>
      <c r="K241" s="165" t="e">
        <f t="shared" si="19"/>
        <v>#NUM!</v>
      </c>
      <c r="L241" s="165"/>
      <c r="M241" s="167">
        <f t="shared" si="20"/>
        <v>0</v>
      </c>
    </row>
    <row r="242" spans="1:13" x14ac:dyDescent="0.25">
      <c r="A242" s="182"/>
      <c r="G242" s="153"/>
      <c r="H242" s="165">
        <v>237</v>
      </c>
      <c r="I242" s="166" t="str">
        <f t="shared" si="18"/>
        <v/>
      </c>
      <c r="J242" s="165" t="e">
        <f t="shared" si="21"/>
        <v>#NUM!</v>
      </c>
      <c r="K242" s="165" t="e">
        <f t="shared" si="19"/>
        <v>#NUM!</v>
      </c>
      <c r="L242" s="165"/>
      <c r="M242" s="167">
        <f t="shared" si="20"/>
        <v>0</v>
      </c>
    </row>
    <row r="243" spans="1:13" x14ac:dyDescent="0.25">
      <c r="A243" s="182"/>
      <c r="G243" s="153"/>
      <c r="H243" s="168">
        <v>238</v>
      </c>
      <c r="I243" s="166" t="str">
        <f t="shared" si="18"/>
        <v/>
      </c>
      <c r="J243" s="165" t="e">
        <f t="shared" si="21"/>
        <v>#NUM!</v>
      </c>
      <c r="K243" s="165" t="e">
        <f t="shared" si="19"/>
        <v>#NUM!</v>
      </c>
      <c r="L243" s="165"/>
      <c r="M243" s="167">
        <f t="shared" si="20"/>
        <v>0</v>
      </c>
    </row>
    <row r="244" spans="1:13" x14ac:dyDescent="0.25">
      <c r="A244" s="182"/>
      <c r="G244" s="153"/>
      <c r="H244" s="165">
        <v>239</v>
      </c>
      <c r="I244" s="166" t="str">
        <f t="shared" si="18"/>
        <v/>
      </c>
      <c r="J244" s="165" t="e">
        <f t="shared" si="21"/>
        <v>#NUM!</v>
      </c>
      <c r="K244" s="165" t="e">
        <f t="shared" si="19"/>
        <v>#NUM!</v>
      </c>
      <c r="L244" s="165"/>
      <c r="M244" s="167">
        <f t="shared" si="20"/>
        <v>0</v>
      </c>
    </row>
    <row r="245" spans="1:13" x14ac:dyDescent="0.25">
      <c r="A245" s="182"/>
      <c r="G245" s="153"/>
      <c r="H245" s="168">
        <v>240</v>
      </c>
      <c r="I245" s="166" t="str">
        <f t="shared" si="18"/>
        <v/>
      </c>
      <c r="J245" s="165" t="e">
        <f t="shared" si="21"/>
        <v>#NUM!</v>
      </c>
      <c r="K245" s="165" t="e">
        <f t="shared" si="19"/>
        <v>#NUM!</v>
      </c>
      <c r="L245" s="165"/>
      <c r="M245" s="167">
        <f t="shared" si="20"/>
        <v>0</v>
      </c>
    </row>
    <row r="246" spans="1:13" x14ac:dyDescent="0.25">
      <c r="A246" s="182"/>
      <c r="G246" s="153"/>
      <c r="H246" s="165">
        <v>241</v>
      </c>
      <c r="I246" s="166" t="str">
        <f t="shared" si="18"/>
        <v/>
      </c>
      <c r="J246" s="165" t="e">
        <f t="shared" si="21"/>
        <v>#NUM!</v>
      </c>
      <c r="K246" s="165" t="e">
        <f t="shared" si="19"/>
        <v>#NUM!</v>
      </c>
      <c r="L246" s="165"/>
      <c r="M246" s="167">
        <f t="shared" si="20"/>
        <v>0</v>
      </c>
    </row>
    <row r="247" spans="1:13" x14ac:dyDescent="0.25">
      <c r="A247" s="182"/>
      <c r="G247" s="153"/>
      <c r="H247" s="168">
        <v>242</v>
      </c>
      <c r="I247" s="166" t="str">
        <f t="shared" si="18"/>
        <v/>
      </c>
      <c r="J247" s="165" t="e">
        <f t="shared" si="21"/>
        <v>#NUM!</v>
      </c>
      <c r="K247" s="165" t="e">
        <f t="shared" si="19"/>
        <v>#NUM!</v>
      </c>
      <c r="L247" s="165"/>
      <c r="M247" s="167">
        <f t="shared" si="20"/>
        <v>0</v>
      </c>
    </row>
    <row r="248" spans="1:13" x14ac:dyDescent="0.25">
      <c r="A248" s="182"/>
      <c r="G248" s="153"/>
      <c r="H248" s="165">
        <v>243</v>
      </c>
      <c r="I248" s="166" t="str">
        <f t="shared" si="18"/>
        <v/>
      </c>
      <c r="J248" s="165" t="e">
        <f t="shared" si="21"/>
        <v>#NUM!</v>
      </c>
      <c r="K248" s="165" t="e">
        <f t="shared" si="19"/>
        <v>#NUM!</v>
      </c>
      <c r="L248" s="165"/>
      <c r="M248" s="167">
        <f t="shared" si="20"/>
        <v>0</v>
      </c>
    </row>
    <row r="249" spans="1:13" x14ac:dyDescent="0.25">
      <c r="A249" s="182"/>
      <c r="G249" s="153"/>
      <c r="H249" s="168">
        <v>244</v>
      </c>
      <c r="I249" s="166" t="str">
        <f t="shared" si="18"/>
        <v/>
      </c>
      <c r="J249" s="165" t="e">
        <f t="shared" si="21"/>
        <v>#NUM!</v>
      </c>
      <c r="K249" s="165" t="e">
        <f t="shared" si="19"/>
        <v>#NUM!</v>
      </c>
      <c r="L249" s="165"/>
      <c r="M249" s="167">
        <f t="shared" si="20"/>
        <v>0</v>
      </c>
    </row>
    <row r="250" spans="1:13" x14ac:dyDescent="0.25">
      <c r="A250" s="182"/>
      <c r="G250" s="153"/>
      <c r="H250" s="165">
        <v>245</v>
      </c>
      <c r="I250" s="166" t="str">
        <f t="shared" si="18"/>
        <v/>
      </c>
      <c r="J250" s="165" t="e">
        <f t="shared" si="21"/>
        <v>#NUM!</v>
      </c>
      <c r="K250" s="165" t="e">
        <f t="shared" si="19"/>
        <v>#NUM!</v>
      </c>
      <c r="L250" s="165"/>
      <c r="M250" s="167">
        <f t="shared" si="20"/>
        <v>0</v>
      </c>
    </row>
    <row r="251" spans="1:13" x14ac:dyDescent="0.25">
      <c r="A251" s="182"/>
      <c r="G251" s="153"/>
      <c r="H251" s="168">
        <v>246</v>
      </c>
      <c r="I251" s="166" t="str">
        <f t="shared" si="18"/>
        <v/>
      </c>
      <c r="J251" s="165" t="e">
        <f t="shared" si="21"/>
        <v>#NUM!</v>
      </c>
      <c r="K251" s="165" t="e">
        <f t="shared" si="19"/>
        <v>#NUM!</v>
      </c>
      <c r="L251" s="165"/>
      <c r="M251" s="167">
        <f t="shared" si="20"/>
        <v>0</v>
      </c>
    </row>
    <row r="252" spans="1:13" x14ac:dyDescent="0.25">
      <c r="A252" s="182"/>
      <c r="G252" s="153"/>
      <c r="H252" s="165">
        <v>247</v>
      </c>
      <c r="I252" s="166" t="str">
        <f t="shared" si="18"/>
        <v/>
      </c>
      <c r="J252" s="165" t="e">
        <f t="shared" si="21"/>
        <v>#NUM!</v>
      </c>
      <c r="K252" s="165" t="e">
        <f t="shared" si="19"/>
        <v>#NUM!</v>
      </c>
      <c r="L252" s="165"/>
      <c r="M252" s="167">
        <f t="shared" si="20"/>
        <v>0</v>
      </c>
    </row>
    <row r="253" spans="1:13" x14ac:dyDescent="0.25">
      <c r="A253" s="182"/>
      <c r="G253" s="153"/>
      <c r="H253" s="168">
        <v>248</v>
      </c>
      <c r="I253" s="166" t="str">
        <f t="shared" si="18"/>
        <v/>
      </c>
      <c r="J253" s="165" t="e">
        <f t="shared" si="21"/>
        <v>#NUM!</v>
      </c>
      <c r="K253" s="165" t="e">
        <f t="shared" si="19"/>
        <v>#NUM!</v>
      </c>
      <c r="L253" s="165"/>
      <c r="M253" s="167">
        <f t="shared" si="20"/>
        <v>0</v>
      </c>
    </row>
    <row r="254" spans="1:13" x14ac:dyDescent="0.25">
      <c r="A254" s="182"/>
      <c r="G254" s="153"/>
      <c r="H254" s="165">
        <v>249</v>
      </c>
      <c r="I254" s="166" t="str">
        <f t="shared" si="18"/>
        <v/>
      </c>
      <c r="J254" s="165" t="e">
        <f t="shared" si="21"/>
        <v>#NUM!</v>
      </c>
      <c r="K254" s="165" t="e">
        <f t="shared" si="19"/>
        <v>#NUM!</v>
      </c>
      <c r="L254" s="165"/>
      <c r="M254" s="167">
        <f t="shared" si="20"/>
        <v>0</v>
      </c>
    </row>
    <row r="255" spans="1:13" x14ac:dyDescent="0.25">
      <c r="A255" s="182"/>
      <c r="G255" s="153"/>
      <c r="H255" s="168">
        <v>250</v>
      </c>
      <c r="I255" s="166" t="str">
        <f t="shared" si="18"/>
        <v/>
      </c>
      <c r="J255" s="165" t="e">
        <f t="shared" si="21"/>
        <v>#NUM!</v>
      </c>
      <c r="K255" s="165" t="e">
        <f t="shared" si="19"/>
        <v>#NUM!</v>
      </c>
      <c r="L255" s="165"/>
      <c r="M255" s="167">
        <f t="shared" si="20"/>
        <v>0</v>
      </c>
    </row>
    <row r="256" spans="1:13" x14ac:dyDescent="0.25">
      <c r="A256" s="182"/>
      <c r="G256" s="153"/>
      <c r="H256" s="165">
        <v>251</v>
      </c>
      <c r="I256" s="166" t="str">
        <f t="shared" si="18"/>
        <v/>
      </c>
      <c r="J256" s="165" t="e">
        <f t="shared" si="21"/>
        <v>#NUM!</v>
      </c>
      <c r="K256" s="165" t="e">
        <f t="shared" si="19"/>
        <v>#NUM!</v>
      </c>
      <c r="L256" s="165"/>
      <c r="M256" s="167">
        <f t="shared" si="20"/>
        <v>0</v>
      </c>
    </row>
    <row r="257" spans="1:13" x14ac:dyDescent="0.25">
      <c r="A257" s="182"/>
      <c r="G257" s="153"/>
      <c r="H257" s="168">
        <v>252</v>
      </c>
      <c r="I257" s="166" t="str">
        <f t="shared" si="18"/>
        <v/>
      </c>
      <c r="J257" s="165" t="e">
        <f t="shared" si="21"/>
        <v>#NUM!</v>
      </c>
      <c r="K257" s="165" t="e">
        <f t="shared" si="19"/>
        <v>#NUM!</v>
      </c>
      <c r="L257" s="165"/>
      <c r="M257" s="167">
        <f t="shared" si="20"/>
        <v>0</v>
      </c>
    </row>
    <row r="258" spans="1:13" x14ac:dyDescent="0.25">
      <c r="A258" s="182"/>
      <c r="G258" s="153"/>
      <c r="H258" s="165">
        <v>253</v>
      </c>
      <c r="I258" s="166" t="str">
        <f t="shared" si="18"/>
        <v/>
      </c>
      <c r="J258" s="165" t="e">
        <f t="shared" si="21"/>
        <v>#NUM!</v>
      </c>
      <c r="K258" s="165" t="e">
        <f t="shared" si="19"/>
        <v>#NUM!</v>
      </c>
      <c r="L258" s="165"/>
      <c r="M258" s="167">
        <f t="shared" si="20"/>
        <v>0</v>
      </c>
    </row>
    <row r="259" spans="1:13" x14ac:dyDescent="0.25">
      <c r="A259" s="182"/>
      <c r="G259" s="153"/>
      <c r="H259" s="168">
        <v>254</v>
      </c>
      <c r="I259" s="166" t="str">
        <f t="shared" si="18"/>
        <v/>
      </c>
      <c r="J259" s="165" t="e">
        <f t="shared" si="21"/>
        <v>#NUM!</v>
      </c>
      <c r="K259" s="165" t="e">
        <f t="shared" si="19"/>
        <v>#NUM!</v>
      </c>
      <c r="L259" s="165"/>
      <c r="M259" s="167">
        <f t="shared" si="20"/>
        <v>0</v>
      </c>
    </row>
    <row r="260" spans="1:13" x14ac:dyDescent="0.25">
      <c r="A260" s="182"/>
      <c r="G260" s="153"/>
      <c r="H260" s="165">
        <v>255</v>
      </c>
      <c r="I260" s="166" t="str">
        <f t="shared" si="18"/>
        <v/>
      </c>
      <c r="J260" s="165" t="e">
        <f t="shared" si="21"/>
        <v>#NUM!</v>
      </c>
      <c r="K260" s="165" t="e">
        <f t="shared" si="19"/>
        <v>#NUM!</v>
      </c>
      <c r="L260" s="165"/>
      <c r="M260" s="167">
        <f t="shared" si="20"/>
        <v>0</v>
      </c>
    </row>
    <row r="261" spans="1:13" x14ac:dyDescent="0.25">
      <c r="A261" s="182"/>
      <c r="G261" s="153"/>
      <c r="H261" s="168">
        <v>256</v>
      </c>
      <c r="I261" s="166" t="str">
        <f t="shared" si="18"/>
        <v/>
      </c>
      <c r="J261" s="165" t="e">
        <f t="shared" si="21"/>
        <v>#NUM!</v>
      </c>
      <c r="K261" s="165" t="e">
        <f t="shared" si="19"/>
        <v>#NUM!</v>
      </c>
      <c r="L261" s="165"/>
      <c r="M261" s="167">
        <f t="shared" si="20"/>
        <v>0</v>
      </c>
    </row>
    <row r="262" spans="1:13" x14ac:dyDescent="0.25">
      <c r="A262" s="182"/>
      <c r="G262" s="153"/>
      <c r="H262" s="165">
        <v>257</v>
      </c>
      <c r="I262" s="166" t="str">
        <f t="shared" ref="I262:I305" si="22">IF(H262&lt;$H$2+1,($I$2-($I$2-1)*(LOG(H262)/LOG($H$2))),"")</f>
        <v/>
      </c>
      <c r="J262" s="165" t="e">
        <f t="shared" si="21"/>
        <v>#NUM!</v>
      </c>
      <c r="K262" s="165" t="e">
        <f t="shared" ref="K262:K305" si="23">J262*$J$2</f>
        <v>#NUM!</v>
      </c>
      <c r="L262" s="165"/>
      <c r="M262" s="167">
        <f t="shared" ref="M262:M305" si="24">IF(I262&lt;&gt;"",K262+I262+L262,0)</f>
        <v>0</v>
      </c>
    </row>
    <row r="263" spans="1:13" x14ac:dyDescent="0.25">
      <c r="A263" s="182"/>
      <c r="G263" s="153"/>
      <c r="H263" s="168">
        <v>258</v>
      </c>
      <c r="I263" s="166" t="str">
        <f t="shared" si="22"/>
        <v/>
      </c>
      <c r="J263" s="165" t="e">
        <f t="shared" ref="J263:J305" si="25">INT(LOG($H$2,2))-ROUNDUP(LOG(H263,2),0)+IF(OR($H$2=1,$H$2=2,$H$2=4,$H$2=8,$H$2=16,$H$2=32,$H$2=64,$H$2=128,$H$2=256),0,1)</f>
        <v>#NUM!</v>
      </c>
      <c r="K263" s="165" t="e">
        <f t="shared" si="23"/>
        <v>#NUM!</v>
      </c>
      <c r="L263" s="165"/>
      <c r="M263" s="167">
        <f t="shared" si="24"/>
        <v>0</v>
      </c>
    </row>
    <row r="264" spans="1:13" x14ac:dyDescent="0.25">
      <c r="A264" s="182"/>
      <c r="G264" s="153"/>
      <c r="H264" s="165">
        <v>259</v>
      </c>
      <c r="I264" s="166" t="str">
        <f t="shared" si="22"/>
        <v/>
      </c>
      <c r="J264" s="165" t="e">
        <f t="shared" si="25"/>
        <v>#NUM!</v>
      </c>
      <c r="K264" s="165" t="e">
        <f t="shared" si="23"/>
        <v>#NUM!</v>
      </c>
      <c r="L264" s="165"/>
      <c r="M264" s="167">
        <f t="shared" si="24"/>
        <v>0</v>
      </c>
    </row>
    <row r="265" spans="1:13" x14ac:dyDescent="0.25">
      <c r="A265" s="182"/>
      <c r="G265" s="153"/>
      <c r="H265" s="168">
        <v>260</v>
      </c>
      <c r="I265" s="166" t="str">
        <f t="shared" si="22"/>
        <v/>
      </c>
      <c r="J265" s="165" t="e">
        <f t="shared" si="25"/>
        <v>#NUM!</v>
      </c>
      <c r="K265" s="165" t="e">
        <f t="shared" si="23"/>
        <v>#NUM!</v>
      </c>
      <c r="L265" s="165"/>
      <c r="M265" s="167">
        <f t="shared" si="24"/>
        <v>0</v>
      </c>
    </row>
    <row r="266" spans="1:13" x14ac:dyDescent="0.25">
      <c r="A266" s="182"/>
      <c r="G266" s="153"/>
      <c r="H266" s="165">
        <v>261</v>
      </c>
      <c r="I266" s="166" t="str">
        <f t="shared" si="22"/>
        <v/>
      </c>
      <c r="J266" s="165" t="e">
        <f t="shared" si="25"/>
        <v>#NUM!</v>
      </c>
      <c r="K266" s="165" t="e">
        <f t="shared" si="23"/>
        <v>#NUM!</v>
      </c>
      <c r="L266" s="165"/>
      <c r="M266" s="167">
        <f t="shared" si="24"/>
        <v>0</v>
      </c>
    </row>
    <row r="267" spans="1:13" x14ac:dyDescent="0.25">
      <c r="A267" s="182"/>
      <c r="G267" s="153"/>
      <c r="H267" s="168">
        <v>262</v>
      </c>
      <c r="I267" s="166" t="str">
        <f t="shared" si="22"/>
        <v/>
      </c>
      <c r="J267" s="165" t="e">
        <f t="shared" si="25"/>
        <v>#NUM!</v>
      </c>
      <c r="K267" s="165" t="e">
        <f t="shared" si="23"/>
        <v>#NUM!</v>
      </c>
      <c r="L267" s="165"/>
      <c r="M267" s="167">
        <f t="shared" si="24"/>
        <v>0</v>
      </c>
    </row>
    <row r="268" spans="1:13" x14ac:dyDescent="0.25">
      <c r="A268" s="182"/>
      <c r="G268" s="153"/>
      <c r="H268" s="165">
        <v>263</v>
      </c>
      <c r="I268" s="166" t="str">
        <f t="shared" si="22"/>
        <v/>
      </c>
      <c r="J268" s="165" t="e">
        <f t="shared" si="25"/>
        <v>#NUM!</v>
      </c>
      <c r="K268" s="165" t="e">
        <f t="shared" si="23"/>
        <v>#NUM!</v>
      </c>
      <c r="L268" s="165"/>
      <c r="M268" s="167">
        <f t="shared" si="24"/>
        <v>0</v>
      </c>
    </row>
    <row r="269" spans="1:13" x14ac:dyDescent="0.25">
      <c r="A269" s="182"/>
      <c r="G269" s="153"/>
      <c r="H269" s="168">
        <v>264</v>
      </c>
      <c r="I269" s="166" t="str">
        <f t="shared" si="22"/>
        <v/>
      </c>
      <c r="J269" s="165" t="e">
        <f t="shared" si="25"/>
        <v>#NUM!</v>
      </c>
      <c r="K269" s="165" t="e">
        <f t="shared" si="23"/>
        <v>#NUM!</v>
      </c>
      <c r="L269" s="165"/>
      <c r="M269" s="167">
        <f t="shared" si="24"/>
        <v>0</v>
      </c>
    </row>
    <row r="270" spans="1:13" x14ac:dyDescent="0.25">
      <c r="A270" s="182"/>
      <c r="G270" s="153"/>
      <c r="H270" s="165">
        <v>265</v>
      </c>
      <c r="I270" s="166" t="str">
        <f t="shared" si="22"/>
        <v/>
      </c>
      <c r="J270" s="165" t="e">
        <f t="shared" si="25"/>
        <v>#NUM!</v>
      </c>
      <c r="K270" s="165" t="e">
        <f t="shared" si="23"/>
        <v>#NUM!</v>
      </c>
      <c r="L270" s="165"/>
      <c r="M270" s="167">
        <f t="shared" si="24"/>
        <v>0</v>
      </c>
    </row>
    <row r="271" spans="1:13" x14ac:dyDescent="0.25">
      <c r="A271" s="182"/>
      <c r="G271" s="153"/>
      <c r="H271" s="168">
        <v>266</v>
      </c>
      <c r="I271" s="166" t="str">
        <f t="shared" si="22"/>
        <v/>
      </c>
      <c r="J271" s="165" t="e">
        <f t="shared" si="25"/>
        <v>#NUM!</v>
      </c>
      <c r="K271" s="165" t="e">
        <f t="shared" si="23"/>
        <v>#NUM!</v>
      </c>
      <c r="L271" s="165"/>
      <c r="M271" s="167">
        <f t="shared" si="24"/>
        <v>0</v>
      </c>
    </row>
    <row r="272" spans="1:13" x14ac:dyDescent="0.25">
      <c r="A272" s="182"/>
      <c r="G272" s="153"/>
      <c r="H272" s="165">
        <v>267</v>
      </c>
      <c r="I272" s="166" t="str">
        <f t="shared" si="22"/>
        <v/>
      </c>
      <c r="J272" s="165" t="e">
        <f t="shared" si="25"/>
        <v>#NUM!</v>
      </c>
      <c r="K272" s="165" t="e">
        <f t="shared" si="23"/>
        <v>#NUM!</v>
      </c>
      <c r="L272" s="165"/>
      <c r="M272" s="167">
        <f t="shared" si="24"/>
        <v>0</v>
      </c>
    </row>
    <row r="273" spans="1:13" x14ac:dyDescent="0.25">
      <c r="A273" s="182"/>
      <c r="G273" s="153"/>
      <c r="H273" s="168">
        <v>268</v>
      </c>
      <c r="I273" s="166" t="str">
        <f t="shared" si="22"/>
        <v/>
      </c>
      <c r="J273" s="165" t="e">
        <f t="shared" si="25"/>
        <v>#NUM!</v>
      </c>
      <c r="K273" s="165" t="e">
        <f t="shared" si="23"/>
        <v>#NUM!</v>
      </c>
      <c r="L273" s="165"/>
      <c r="M273" s="167">
        <f t="shared" si="24"/>
        <v>0</v>
      </c>
    </row>
    <row r="274" spans="1:13" x14ac:dyDescent="0.25">
      <c r="A274" s="182"/>
      <c r="G274" s="153"/>
      <c r="H274" s="165">
        <v>269</v>
      </c>
      <c r="I274" s="166" t="str">
        <f t="shared" si="22"/>
        <v/>
      </c>
      <c r="J274" s="165" t="e">
        <f t="shared" si="25"/>
        <v>#NUM!</v>
      </c>
      <c r="K274" s="165" t="e">
        <f t="shared" si="23"/>
        <v>#NUM!</v>
      </c>
      <c r="L274" s="165"/>
      <c r="M274" s="167">
        <f t="shared" si="24"/>
        <v>0</v>
      </c>
    </row>
    <row r="275" spans="1:13" x14ac:dyDescent="0.25">
      <c r="A275" s="182"/>
      <c r="G275" s="153"/>
      <c r="H275" s="168">
        <v>270</v>
      </c>
      <c r="I275" s="166" t="str">
        <f t="shared" si="22"/>
        <v/>
      </c>
      <c r="J275" s="165" t="e">
        <f t="shared" si="25"/>
        <v>#NUM!</v>
      </c>
      <c r="K275" s="165" t="e">
        <f t="shared" si="23"/>
        <v>#NUM!</v>
      </c>
      <c r="L275" s="165"/>
      <c r="M275" s="167">
        <f t="shared" si="24"/>
        <v>0</v>
      </c>
    </row>
    <row r="276" spans="1:13" x14ac:dyDescent="0.25">
      <c r="A276" s="182"/>
      <c r="G276" s="153"/>
      <c r="H276" s="165">
        <v>271</v>
      </c>
      <c r="I276" s="166" t="str">
        <f t="shared" si="22"/>
        <v/>
      </c>
      <c r="J276" s="165" t="e">
        <f t="shared" si="25"/>
        <v>#NUM!</v>
      </c>
      <c r="K276" s="165" t="e">
        <f t="shared" si="23"/>
        <v>#NUM!</v>
      </c>
      <c r="L276" s="165"/>
      <c r="M276" s="167">
        <f t="shared" si="24"/>
        <v>0</v>
      </c>
    </row>
    <row r="277" spans="1:13" x14ac:dyDescent="0.25">
      <c r="A277" s="182"/>
      <c r="G277" s="153"/>
      <c r="H277" s="168">
        <v>272</v>
      </c>
      <c r="I277" s="166" t="str">
        <f t="shared" si="22"/>
        <v/>
      </c>
      <c r="J277" s="165" t="e">
        <f t="shared" si="25"/>
        <v>#NUM!</v>
      </c>
      <c r="K277" s="165" t="e">
        <f t="shared" si="23"/>
        <v>#NUM!</v>
      </c>
      <c r="L277" s="165"/>
      <c r="M277" s="167">
        <f t="shared" si="24"/>
        <v>0</v>
      </c>
    </row>
    <row r="278" spans="1:13" x14ac:dyDescent="0.25">
      <c r="A278" s="182"/>
      <c r="G278" s="153"/>
      <c r="H278" s="165">
        <v>273</v>
      </c>
      <c r="I278" s="166" t="str">
        <f t="shared" si="22"/>
        <v/>
      </c>
      <c r="J278" s="165" t="e">
        <f t="shared" si="25"/>
        <v>#NUM!</v>
      </c>
      <c r="K278" s="165" t="e">
        <f t="shared" si="23"/>
        <v>#NUM!</v>
      </c>
      <c r="L278" s="165"/>
      <c r="M278" s="167">
        <f t="shared" si="24"/>
        <v>0</v>
      </c>
    </row>
    <row r="279" spans="1:13" x14ac:dyDescent="0.25">
      <c r="A279" s="182"/>
      <c r="G279" s="153"/>
      <c r="H279" s="168">
        <v>274</v>
      </c>
      <c r="I279" s="166" t="str">
        <f t="shared" si="22"/>
        <v/>
      </c>
      <c r="J279" s="165" t="e">
        <f t="shared" si="25"/>
        <v>#NUM!</v>
      </c>
      <c r="K279" s="165" t="e">
        <f t="shared" si="23"/>
        <v>#NUM!</v>
      </c>
      <c r="L279" s="165"/>
      <c r="M279" s="167">
        <f t="shared" si="24"/>
        <v>0</v>
      </c>
    </row>
    <row r="280" spans="1:13" x14ac:dyDescent="0.25">
      <c r="A280" s="182"/>
      <c r="G280" s="153"/>
      <c r="H280" s="165">
        <v>275</v>
      </c>
      <c r="I280" s="166" t="str">
        <f t="shared" si="22"/>
        <v/>
      </c>
      <c r="J280" s="165" t="e">
        <f t="shared" si="25"/>
        <v>#NUM!</v>
      </c>
      <c r="K280" s="165" t="e">
        <f t="shared" si="23"/>
        <v>#NUM!</v>
      </c>
      <c r="L280" s="165"/>
      <c r="M280" s="167">
        <f t="shared" si="24"/>
        <v>0</v>
      </c>
    </row>
    <row r="281" spans="1:13" x14ac:dyDescent="0.25">
      <c r="A281" s="182"/>
      <c r="G281" s="153"/>
      <c r="H281" s="168">
        <v>276</v>
      </c>
      <c r="I281" s="166" t="str">
        <f t="shared" si="22"/>
        <v/>
      </c>
      <c r="J281" s="165" t="e">
        <f t="shared" si="25"/>
        <v>#NUM!</v>
      </c>
      <c r="K281" s="165" t="e">
        <f t="shared" si="23"/>
        <v>#NUM!</v>
      </c>
      <c r="L281" s="165"/>
      <c r="M281" s="167">
        <f t="shared" si="24"/>
        <v>0</v>
      </c>
    </row>
    <row r="282" spans="1:13" x14ac:dyDescent="0.25">
      <c r="A282" s="182"/>
      <c r="G282" s="153"/>
      <c r="H282" s="165">
        <v>277</v>
      </c>
      <c r="I282" s="166" t="str">
        <f t="shared" si="22"/>
        <v/>
      </c>
      <c r="J282" s="165" t="e">
        <f t="shared" si="25"/>
        <v>#NUM!</v>
      </c>
      <c r="K282" s="165" t="e">
        <f t="shared" si="23"/>
        <v>#NUM!</v>
      </c>
      <c r="L282" s="165"/>
      <c r="M282" s="167">
        <f t="shared" si="24"/>
        <v>0</v>
      </c>
    </row>
    <row r="283" spans="1:13" x14ac:dyDescent="0.25">
      <c r="A283" s="182"/>
      <c r="G283" s="153"/>
      <c r="H283" s="168">
        <v>278</v>
      </c>
      <c r="I283" s="166" t="str">
        <f t="shared" si="22"/>
        <v/>
      </c>
      <c r="J283" s="165" t="e">
        <f t="shared" si="25"/>
        <v>#NUM!</v>
      </c>
      <c r="K283" s="165" t="e">
        <f t="shared" si="23"/>
        <v>#NUM!</v>
      </c>
      <c r="L283" s="165"/>
      <c r="M283" s="167">
        <f t="shared" si="24"/>
        <v>0</v>
      </c>
    </row>
    <row r="284" spans="1:13" x14ac:dyDescent="0.25">
      <c r="A284" s="182"/>
      <c r="G284" s="153"/>
      <c r="H284" s="165">
        <v>279</v>
      </c>
      <c r="I284" s="166" t="str">
        <f t="shared" si="22"/>
        <v/>
      </c>
      <c r="J284" s="165" t="e">
        <f t="shared" si="25"/>
        <v>#NUM!</v>
      </c>
      <c r="K284" s="165" t="e">
        <f t="shared" si="23"/>
        <v>#NUM!</v>
      </c>
      <c r="L284" s="165"/>
      <c r="M284" s="167">
        <f t="shared" si="24"/>
        <v>0</v>
      </c>
    </row>
    <row r="285" spans="1:13" x14ac:dyDescent="0.25">
      <c r="A285" s="182"/>
      <c r="G285" s="153"/>
      <c r="H285" s="168">
        <v>280</v>
      </c>
      <c r="I285" s="166" t="str">
        <f t="shared" si="22"/>
        <v/>
      </c>
      <c r="J285" s="165" t="e">
        <f t="shared" si="25"/>
        <v>#NUM!</v>
      </c>
      <c r="K285" s="165" t="e">
        <f t="shared" si="23"/>
        <v>#NUM!</v>
      </c>
      <c r="L285" s="165"/>
      <c r="M285" s="167">
        <f t="shared" si="24"/>
        <v>0</v>
      </c>
    </row>
    <row r="286" spans="1:13" x14ac:dyDescent="0.25">
      <c r="A286" s="182"/>
      <c r="G286" s="153"/>
      <c r="H286" s="165">
        <v>281</v>
      </c>
      <c r="I286" s="166" t="str">
        <f t="shared" si="22"/>
        <v/>
      </c>
      <c r="J286" s="165" t="e">
        <f t="shared" si="25"/>
        <v>#NUM!</v>
      </c>
      <c r="K286" s="165" t="e">
        <f t="shared" si="23"/>
        <v>#NUM!</v>
      </c>
      <c r="L286" s="165"/>
      <c r="M286" s="167">
        <f t="shared" si="24"/>
        <v>0</v>
      </c>
    </row>
    <row r="287" spans="1:13" x14ac:dyDescent="0.25">
      <c r="A287" s="182"/>
      <c r="G287" s="153"/>
      <c r="H287" s="168">
        <v>282</v>
      </c>
      <c r="I287" s="166" t="str">
        <f t="shared" si="22"/>
        <v/>
      </c>
      <c r="J287" s="165" t="e">
        <f t="shared" si="25"/>
        <v>#NUM!</v>
      </c>
      <c r="K287" s="165" t="e">
        <f t="shared" si="23"/>
        <v>#NUM!</v>
      </c>
      <c r="L287" s="165"/>
      <c r="M287" s="167">
        <f t="shared" si="24"/>
        <v>0</v>
      </c>
    </row>
    <row r="288" spans="1:13" x14ac:dyDescent="0.25">
      <c r="A288" s="182"/>
      <c r="G288" s="153"/>
      <c r="H288" s="165">
        <v>283</v>
      </c>
      <c r="I288" s="166" t="str">
        <f t="shared" si="22"/>
        <v/>
      </c>
      <c r="J288" s="165" t="e">
        <f t="shared" si="25"/>
        <v>#NUM!</v>
      </c>
      <c r="K288" s="165" t="e">
        <f t="shared" si="23"/>
        <v>#NUM!</v>
      </c>
      <c r="L288" s="165"/>
      <c r="M288" s="167">
        <f t="shared" si="24"/>
        <v>0</v>
      </c>
    </row>
    <row r="289" spans="1:13" x14ac:dyDescent="0.25">
      <c r="A289" s="182"/>
      <c r="G289" s="153"/>
      <c r="H289" s="168">
        <v>284</v>
      </c>
      <c r="I289" s="166" t="str">
        <f t="shared" si="22"/>
        <v/>
      </c>
      <c r="J289" s="165" t="e">
        <f t="shared" si="25"/>
        <v>#NUM!</v>
      </c>
      <c r="K289" s="165" t="e">
        <f t="shared" si="23"/>
        <v>#NUM!</v>
      </c>
      <c r="L289" s="165"/>
      <c r="M289" s="167">
        <f t="shared" si="24"/>
        <v>0</v>
      </c>
    </row>
    <row r="290" spans="1:13" x14ac:dyDescent="0.25">
      <c r="A290" s="182"/>
      <c r="G290" s="153"/>
      <c r="H290" s="165">
        <v>285</v>
      </c>
      <c r="I290" s="166" t="str">
        <f t="shared" si="22"/>
        <v/>
      </c>
      <c r="J290" s="165" t="e">
        <f t="shared" si="25"/>
        <v>#NUM!</v>
      </c>
      <c r="K290" s="165" t="e">
        <f t="shared" si="23"/>
        <v>#NUM!</v>
      </c>
      <c r="L290" s="165"/>
      <c r="M290" s="167">
        <f t="shared" si="24"/>
        <v>0</v>
      </c>
    </row>
    <row r="291" spans="1:13" x14ac:dyDescent="0.25">
      <c r="A291" s="182"/>
      <c r="G291" s="153"/>
      <c r="H291" s="168">
        <v>286</v>
      </c>
      <c r="I291" s="166" t="str">
        <f t="shared" si="22"/>
        <v/>
      </c>
      <c r="J291" s="165" t="e">
        <f t="shared" si="25"/>
        <v>#NUM!</v>
      </c>
      <c r="K291" s="165" t="e">
        <f t="shared" si="23"/>
        <v>#NUM!</v>
      </c>
      <c r="L291" s="165"/>
      <c r="M291" s="167">
        <f t="shared" si="24"/>
        <v>0</v>
      </c>
    </row>
    <row r="292" spans="1:13" x14ac:dyDescent="0.25">
      <c r="A292" s="182"/>
      <c r="G292" s="153"/>
      <c r="H292" s="165">
        <v>287</v>
      </c>
      <c r="I292" s="166" t="str">
        <f t="shared" si="22"/>
        <v/>
      </c>
      <c r="J292" s="165" t="e">
        <f t="shared" si="25"/>
        <v>#NUM!</v>
      </c>
      <c r="K292" s="165" t="e">
        <f t="shared" si="23"/>
        <v>#NUM!</v>
      </c>
      <c r="L292" s="165"/>
      <c r="M292" s="167">
        <f t="shared" si="24"/>
        <v>0</v>
      </c>
    </row>
    <row r="293" spans="1:13" x14ac:dyDescent="0.25">
      <c r="A293" s="182"/>
      <c r="G293" s="153"/>
      <c r="H293" s="165">
        <v>288</v>
      </c>
      <c r="I293" s="166" t="str">
        <f t="shared" si="22"/>
        <v/>
      </c>
      <c r="J293" s="165" t="e">
        <f t="shared" si="25"/>
        <v>#NUM!</v>
      </c>
      <c r="K293" s="165" t="e">
        <f t="shared" si="23"/>
        <v>#NUM!</v>
      </c>
      <c r="L293" s="165"/>
      <c r="M293" s="167">
        <f t="shared" si="24"/>
        <v>0</v>
      </c>
    </row>
    <row r="294" spans="1:13" x14ac:dyDescent="0.25">
      <c r="A294" s="182"/>
      <c r="G294" s="153"/>
      <c r="H294" s="165">
        <v>289</v>
      </c>
      <c r="I294" s="166" t="str">
        <f t="shared" si="22"/>
        <v/>
      </c>
      <c r="J294" s="165" t="e">
        <f t="shared" si="25"/>
        <v>#NUM!</v>
      </c>
      <c r="K294" s="165" t="e">
        <f t="shared" si="23"/>
        <v>#NUM!</v>
      </c>
      <c r="L294" s="165"/>
      <c r="M294" s="167">
        <f t="shared" si="24"/>
        <v>0</v>
      </c>
    </row>
    <row r="295" spans="1:13" x14ac:dyDescent="0.25">
      <c r="A295" s="182"/>
      <c r="G295" s="153"/>
      <c r="H295" s="165">
        <v>290</v>
      </c>
      <c r="I295" s="166" t="str">
        <f t="shared" si="22"/>
        <v/>
      </c>
      <c r="J295" s="165" t="e">
        <f t="shared" si="25"/>
        <v>#NUM!</v>
      </c>
      <c r="K295" s="165" t="e">
        <f t="shared" si="23"/>
        <v>#NUM!</v>
      </c>
      <c r="L295" s="165"/>
      <c r="M295" s="167">
        <f t="shared" si="24"/>
        <v>0</v>
      </c>
    </row>
    <row r="296" spans="1:13" x14ac:dyDescent="0.25">
      <c r="A296" s="182"/>
      <c r="G296" s="153"/>
      <c r="H296" s="165">
        <v>291</v>
      </c>
      <c r="I296" s="166" t="str">
        <f t="shared" si="22"/>
        <v/>
      </c>
      <c r="J296" s="165" t="e">
        <f t="shared" si="25"/>
        <v>#NUM!</v>
      </c>
      <c r="K296" s="165" t="e">
        <f t="shared" si="23"/>
        <v>#NUM!</v>
      </c>
      <c r="L296" s="165"/>
      <c r="M296" s="167">
        <f t="shared" si="24"/>
        <v>0</v>
      </c>
    </row>
    <row r="297" spans="1:13" x14ac:dyDescent="0.25">
      <c r="A297" s="182"/>
      <c r="G297" s="153"/>
      <c r="H297" s="165">
        <v>292</v>
      </c>
      <c r="I297" s="166" t="str">
        <f t="shared" si="22"/>
        <v/>
      </c>
      <c r="J297" s="165" t="e">
        <f t="shared" si="25"/>
        <v>#NUM!</v>
      </c>
      <c r="K297" s="165" t="e">
        <f t="shared" si="23"/>
        <v>#NUM!</v>
      </c>
      <c r="L297" s="165"/>
      <c r="M297" s="167">
        <f t="shared" si="24"/>
        <v>0</v>
      </c>
    </row>
    <row r="298" spans="1:13" x14ac:dyDescent="0.25">
      <c r="A298" s="182"/>
      <c r="G298" s="153"/>
      <c r="H298" s="165">
        <v>293</v>
      </c>
      <c r="I298" s="166" t="str">
        <f t="shared" si="22"/>
        <v/>
      </c>
      <c r="J298" s="165" t="e">
        <f t="shared" si="25"/>
        <v>#NUM!</v>
      </c>
      <c r="K298" s="165" t="e">
        <f t="shared" si="23"/>
        <v>#NUM!</v>
      </c>
      <c r="L298" s="165"/>
      <c r="M298" s="167">
        <f t="shared" si="24"/>
        <v>0</v>
      </c>
    </row>
    <row r="299" spans="1:13" x14ac:dyDescent="0.25">
      <c r="A299" s="182"/>
      <c r="G299" s="153"/>
      <c r="H299" s="165">
        <v>294</v>
      </c>
      <c r="I299" s="166" t="str">
        <f t="shared" si="22"/>
        <v/>
      </c>
      <c r="J299" s="165" t="e">
        <f t="shared" si="25"/>
        <v>#NUM!</v>
      </c>
      <c r="K299" s="165" t="e">
        <f t="shared" si="23"/>
        <v>#NUM!</v>
      </c>
      <c r="L299" s="165"/>
      <c r="M299" s="167">
        <f t="shared" si="24"/>
        <v>0</v>
      </c>
    </row>
    <row r="300" spans="1:13" x14ac:dyDescent="0.25">
      <c r="A300" s="182"/>
      <c r="G300" s="153"/>
      <c r="H300" s="165">
        <v>295</v>
      </c>
      <c r="I300" s="166" t="str">
        <f t="shared" si="22"/>
        <v/>
      </c>
      <c r="J300" s="165" t="e">
        <f t="shared" si="25"/>
        <v>#NUM!</v>
      </c>
      <c r="K300" s="165" t="e">
        <f t="shared" si="23"/>
        <v>#NUM!</v>
      </c>
      <c r="L300" s="165"/>
      <c r="M300" s="167">
        <f t="shared" si="24"/>
        <v>0</v>
      </c>
    </row>
    <row r="301" spans="1:13" x14ac:dyDescent="0.25">
      <c r="A301" s="182"/>
      <c r="G301" s="153"/>
      <c r="H301" s="165">
        <v>296</v>
      </c>
      <c r="I301" s="166" t="str">
        <f t="shared" si="22"/>
        <v/>
      </c>
      <c r="J301" s="165" t="e">
        <f t="shared" si="25"/>
        <v>#NUM!</v>
      </c>
      <c r="K301" s="165" t="e">
        <f t="shared" si="23"/>
        <v>#NUM!</v>
      </c>
      <c r="L301" s="165"/>
      <c r="M301" s="167">
        <f t="shared" si="24"/>
        <v>0</v>
      </c>
    </row>
    <row r="302" spans="1:13" x14ac:dyDescent="0.25">
      <c r="A302" s="182"/>
      <c r="G302" s="153"/>
      <c r="H302" s="165">
        <v>297</v>
      </c>
      <c r="I302" s="166" t="str">
        <f t="shared" si="22"/>
        <v/>
      </c>
      <c r="J302" s="165" t="e">
        <f t="shared" si="25"/>
        <v>#NUM!</v>
      </c>
      <c r="K302" s="165" t="e">
        <f t="shared" si="23"/>
        <v>#NUM!</v>
      </c>
      <c r="L302" s="165"/>
      <c r="M302" s="167">
        <f t="shared" si="24"/>
        <v>0</v>
      </c>
    </row>
    <row r="303" spans="1:13" x14ac:dyDescent="0.25">
      <c r="A303" s="182"/>
      <c r="G303" s="153"/>
      <c r="H303" s="165">
        <v>298</v>
      </c>
      <c r="I303" s="166" t="str">
        <f t="shared" si="22"/>
        <v/>
      </c>
      <c r="J303" s="165" t="e">
        <f t="shared" si="25"/>
        <v>#NUM!</v>
      </c>
      <c r="K303" s="165" t="e">
        <f t="shared" si="23"/>
        <v>#NUM!</v>
      </c>
      <c r="L303" s="165"/>
      <c r="M303" s="167">
        <f t="shared" si="24"/>
        <v>0</v>
      </c>
    </row>
    <row r="304" spans="1:13" x14ac:dyDescent="0.25">
      <c r="A304" s="182"/>
      <c r="G304" s="153"/>
      <c r="H304" s="165">
        <v>299</v>
      </c>
      <c r="I304" s="166" t="str">
        <f t="shared" si="22"/>
        <v/>
      </c>
      <c r="J304" s="165" t="e">
        <f t="shared" si="25"/>
        <v>#NUM!</v>
      </c>
      <c r="K304" s="165" t="e">
        <f t="shared" si="23"/>
        <v>#NUM!</v>
      </c>
      <c r="L304" s="165"/>
      <c r="M304" s="167">
        <f t="shared" si="24"/>
        <v>0</v>
      </c>
    </row>
    <row r="305" spans="1:16" x14ac:dyDescent="0.25">
      <c r="A305" s="182"/>
      <c r="G305" s="153"/>
      <c r="H305" s="165">
        <v>300</v>
      </c>
      <c r="I305" s="166" t="str">
        <f t="shared" si="22"/>
        <v/>
      </c>
      <c r="J305" s="165" t="e">
        <f t="shared" si="25"/>
        <v>#NUM!</v>
      </c>
      <c r="K305" s="165" t="e">
        <f t="shared" si="23"/>
        <v>#NUM!</v>
      </c>
      <c r="L305" s="165"/>
      <c r="M305" s="167">
        <f t="shared" si="24"/>
        <v>0</v>
      </c>
    </row>
    <row r="306" spans="1:16" x14ac:dyDescent="0.25">
      <c r="A306" s="183"/>
    </row>
    <row r="314" spans="1:16" x14ac:dyDescent="0.25">
      <c r="L314" s="186"/>
      <c r="P314" s="176"/>
    </row>
    <row r="315" spans="1:16" x14ac:dyDescent="0.25">
      <c r="L315" s="186"/>
      <c r="P315" s="176"/>
    </row>
    <row r="316" spans="1:16" x14ac:dyDescent="0.25">
      <c r="L316" s="186"/>
      <c r="P316" s="176"/>
    </row>
    <row r="317" spans="1:16" x14ac:dyDescent="0.25">
      <c r="L317" s="186"/>
      <c r="P317" s="176"/>
    </row>
  </sheetData>
  <conditionalFormatting sqref="J6:K305">
    <cfRule type="cellIs" dxfId="4" priority="1" operator="lessThanOrEqual">
      <formula>0</formula>
    </cfRule>
  </conditionalFormatting>
  <hyperlinks>
    <hyperlink ref="C2" r:id="rId1" xr:uid="{852A15D9-47CB-4F20-9169-05EB55503520}"/>
  </hyperlinks>
  <pageMargins left="0.7" right="0.7" top="0.75" bottom="0.75" header="0.3" footer="0.3"/>
  <pageSetup paperSize="9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4C9D4-677E-43ED-8AA1-8965D3E5AECF}">
  <sheetPr>
    <tabColor rgb="FF92D050"/>
  </sheetPr>
  <dimension ref="A1:AL317"/>
  <sheetViews>
    <sheetView workbookViewId="0">
      <selection activeCell="C6" sqref="C6:C20"/>
    </sheetView>
  </sheetViews>
  <sheetFormatPr defaultColWidth="8.875" defaultRowHeight="14.3" x14ac:dyDescent="0.25"/>
  <cols>
    <col min="1" max="1" width="8" style="294" customWidth="1"/>
    <col min="2" max="2" width="8.25" style="294" customWidth="1"/>
    <col min="3" max="3" width="34.75" style="294" customWidth="1"/>
    <col min="4" max="4" width="11.25" style="294" customWidth="1"/>
    <col min="5" max="6" width="8.875" style="294"/>
    <col min="7" max="7" width="0.875" style="294" customWidth="1"/>
    <col min="8" max="8" width="8.875" style="297"/>
    <col min="9" max="9" width="11" style="297" customWidth="1"/>
    <col min="10" max="10" width="15.25" style="297" customWidth="1"/>
    <col min="11" max="11" width="8.75" style="297" customWidth="1"/>
    <col min="12" max="12" width="11" style="297" customWidth="1"/>
    <col min="13" max="13" width="12.25" style="298" customWidth="1"/>
    <col min="14" max="15" width="13.875" style="264" customWidth="1"/>
    <col min="16" max="18" width="8.875" style="264"/>
    <col min="19" max="20" width="8.875" style="269"/>
    <col min="21" max="21" width="12.125" style="269" customWidth="1"/>
    <col min="22" max="22" width="27.375" style="269" customWidth="1"/>
    <col min="23" max="38" width="8.875" style="269"/>
    <col min="39" max="16384" width="8.875" style="294"/>
  </cols>
  <sheetData>
    <row r="1" spans="1:36" x14ac:dyDescent="0.25">
      <c r="A1" s="264"/>
      <c r="B1" s="264"/>
      <c r="C1" s="264"/>
      <c r="D1" s="264"/>
      <c r="E1" s="264"/>
      <c r="F1" s="264"/>
      <c r="G1" s="264"/>
      <c r="H1" s="265" t="s">
        <v>13</v>
      </c>
      <c r="I1" s="266" t="s">
        <v>14</v>
      </c>
      <c r="J1" s="266" t="s">
        <v>15</v>
      </c>
      <c r="K1" s="267" t="s">
        <v>57</v>
      </c>
      <c r="L1" s="268"/>
      <c r="M1" s="268"/>
    </row>
    <row r="2" spans="1:36" x14ac:dyDescent="0.25">
      <c r="A2" s="264"/>
      <c r="B2" s="17" t="s">
        <v>17</v>
      </c>
      <c r="C2" s="206" t="s">
        <v>142</v>
      </c>
      <c r="D2" s="209"/>
      <c r="E2" s="18"/>
      <c r="F2" s="18"/>
      <c r="G2" s="18"/>
      <c r="H2" s="270">
        <v>0</v>
      </c>
      <c r="I2" s="271">
        <v>50</v>
      </c>
      <c r="J2" s="271">
        <v>10</v>
      </c>
      <c r="K2" s="272">
        <f>3*H2^(1/3)</f>
        <v>0</v>
      </c>
      <c r="L2" s="268"/>
      <c r="M2" s="268"/>
    </row>
    <row r="3" spans="1:36" x14ac:dyDescent="0.25">
      <c r="A3" s="264"/>
      <c r="B3" s="273" t="s">
        <v>18</v>
      </c>
      <c r="C3" s="210" t="s">
        <v>143</v>
      </c>
      <c r="D3" s="210"/>
      <c r="E3" s="23"/>
      <c r="F3" s="23"/>
      <c r="G3" s="23"/>
      <c r="H3" s="268"/>
      <c r="I3" s="268"/>
      <c r="J3" s="274"/>
      <c r="K3" s="268"/>
      <c r="L3" s="268"/>
      <c r="M3" s="268"/>
    </row>
    <row r="4" spans="1:36" ht="10.199999999999999" customHeight="1" x14ac:dyDescent="0.25">
      <c r="A4" s="25"/>
      <c r="B4" s="23"/>
      <c r="C4" s="25"/>
      <c r="D4" s="25"/>
      <c r="E4" s="25"/>
      <c r="F4" s="25"/>
      <c r="G4" s="25"/>
      <c r="H4" s="268"/>
      <c r="I4" s="268"/>
      <c r="J4" s="274"/>
      <c r="K4" s="268"/>
      <c r="L4" s="268"/>
      <c r="M4" s="268"/>
    </row>
    <row r="5" spans="1:36" ht="34.65" x14ac:dyDescent="0.25">
      <c r="A5" s="1" t="s">
        <v>19</v>
      </c>
      <c r="B5" s="26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25"/>
      <c r="H5" s="275" t="s">
        <v>25</v>
      </c>
      <c r="I5" s="276" t="s">
        <v>26</v>
      </c>
      <c r="J5" s="277" t="s">
        <v>27</v>
      </c>
      <c r="K5" s="276" t="s">
        <v>28</v>
      </c>
      <c r="L5" s="276" t="s">
        <v>29</v>
      </c>
      <c r="M5" s="275" t="s">
        <v>30</v>
      </c>
    </row>
    <row r="6" spans="1:36" ht="14.45" customHeight="1" x14ac:dyDescent="0.25">
      <c r="A6" s="87">
        <f>M6</f>
        <v>0</v>
      </c>
      <c r="B6" s="31" t="str">
        <f t="shared" ref="B6:B69" si="0">IF(H6&gt;$H$2,"",(ROW()-5))</f>
        <v/>
      </c>
      <c r="C6" s="32"/>
      <c r="D6" s="32"/>
      <c r="E6" s="32"/>
      <c r="F6" s="32"/>
      <c r="G6" s="25"/>
      <c r="H6" s="278">
        <v>1</v>
      </c>
      <c r="I6" s="279" t="str">
        <f t="shared" ref="I6:I69" si="1">IF(H6&lt;$H$2+1,($I$2-($I$2-1)*(LOG(H6)/LOG($H$2))),"")</f>
        <v/>
      </c>
      <c r="J6" s="278" t="e">
        <f>INT(LOG($H$2,2))-ROUNDUP(LOG(H6,2),0)+IF(OR($H$2=1,$H$2=2,$H$2=4,$H$2=8,$H$2=16,$H$2=32,$H$2=64,$H$2=128,$H$2=256),0,1)</f>
        <v>#NUM!</v>
      </c>
      <c r="K6" s="278" t="e">
        <f t="shared" ref="K6:K69" si="2">J6*$J$2</f>
        <v>#NUM!</v>
      </c>
      <c r="L6" s="280">
        <f>3*K2</f>
        <v>0</v>
      </c>
      <c r="M6" s="280">
        <f t="shared" ref="M6:M69" si="3">IF(I6&lt;&gt;"",K6+I6+L6,0)</f>
        <v>0</v>
      </c>
    </row>
    <row r="7" spans="1:36" ht="14.45" customHeight="1" x14ac:dyDescent="0.25">
      <c r="A7" s="91">
        <f t="shared" ref="A7:A70" si="4">M7</f>
        <v>0</v>
      </c>
      <c r="B7" s="37" t="str">
        <f t="shared" si="0"/>
        <v/>
      </c>
      <c r="C7" s="38"/>
      <c r="D7" s="38"/>
      <c r="E7" s="38"/>
      <c r="F7" s="38"/>
      <c r="G7" s="25"/>
      <c r="H7" s="281">
        <v>2</v>
      </c>
      <c r="I7" s="282" t="str">
        <f t="shared" si="1"/>
        <v/>
      </c>
      <c r="J7" s="281" t="e">
        <f t="shared" ref="J7:J70" si="5">INT(LOG($H$2,2))-ROUNDUP(LOG(H7,2),0)+IF(OR($H$2=1,$H$2=2,$H$2=4,$H$2=8,$H$2=16,$H$2=32,$H$2=64,$H$2=128,$H$2=256),0,1)</f>
        <v>#NUM!</v>
      </c>
      <c r="K7" s="281" t="e">
        <f t="shared" si="2"/>
        <v>#NUM!</v>
      </c>
      <c r="L7" s="283">
        <f>2*K2</f>
        <v>0</v>
      </c>
      <c r="M7" s="283">
        <f t="shared" si="3"/>
        <v>0</v>
      </c>
    </row>
    <row r="8" spans="1:36" ht="14.45" customHeight="1" x14ac:dyDescent="0.25">
      <c r="A8" s="87">
        <f t="shared" si="4"/>
        <v>0</v>
      </c>
      <c r="B8" s="31" t="str">
        <f t="shared" si="0"/>
        <v/>
      </c>
      <c r="C8" s="32"/>
      <c r="D8" s="32"/>
      <c r="E8" s="32"/>
      <c r="F8" s="32"/>
      <c r="G8" s="25"/>
      <c r="H8" s="278">
        <v>3</v>
      </c>
      <c r="I8" s="279" t="str">
        <f t="shared" si="1"/>
        <v/>
      </c>
      <c r="J8" s="278" t="e">
        <f t="shared" si="5"/>
        <v>#NUM!</v>
      </c>
      <c r="K8" s="278" t="e">
        <f t="shared" si="2"/>
        <v>#NUM!</v>
      </c>
      <c r="L8" s="280">
        <f>K2</f>
        <v>0</v>
      </c>
      <c r="M8" s="280">
        <f t="shared" si="3"/>
        <v>0</v>
      </c>
    </row>
    <row r="9" spans="1:36" s="269" customFormat="1" ht="14.45" customHeight="1" x14ac:dyDescent="0.25">
      <c r="A9" s="91">
        <f t="shared" si="4"/>
        <v>0</v>
      </c>
      <c r="B9" s="37" t="str">
        <f t="shared" si="0"/>
        <v/>
      </c>
      <c r="C9" s="38"/>
      <c r="D9" s="38"/>
      <c r="E9" s="38"/>
      <c r="F9" s="38"/>
      <c r="G9" s="25"/>
      <c r="H9" s="281">
        <v>3</v>
      </c>
      <c r="I9" s="282" t="str">
        <f t="shared" si="1"/>
        <v/>
      </c>
      <c r="J9" s="281" t="e">
        <f t="shared" si="5"/>
        <v>#NUM!</v>
      </c>
      <c r="K9" s="281" t="e">
        <f t="shared" si="2"/>
        <v>#NUM!</v>
      </c>
      <c r="L9" s="283">
        <f>K2</f>
        <v>0</v>
      </c>
      <c r="M9" s="283">
        <f t="shared" si="3"/>
        <v>0</v>
      </c>
      <c r="N9" s="264"/>
      <c r="O9" s="264"/>
      <c r="P9" s="264"/>
      <c r="Q9" s="264"/>
      <c r="R9" s="264"/>
      <c r="V9" s="284"/>
      <c r="Z9" s="285"/>
      <c r="AA9" s="285"/>
      <c r="AG9" s="286"/>
      <c r="AH9" s="269" t="s">
        <v>34</v>
      </c>
      <c r="AI9" s="269">
        <v>23</v>
      </c>
    </row>
    <row r="10" spans="1:36" ht="14.45" customHeight="1" x14ac:dyDescent="0.25">
      <c r="A10" s="87">
        <f t="shared" si="4"/>
        <v>0</v>
      </c>
      <c r="B10" s="31" t="str">
        <f t="shared" si="0"/>
        <v/>
      </c>
      <c r="C10" s="32"/>
      <c r="D10" s="32"/>
      <c r="E10" s="32"/>
      <c r="F10" s="32"/>
      <c r="G10" s="25"/>
      <c r="H10" s="278">
        <v>5</v>
      </c>
      <c r="I10" s="279" t="str">
        <f t="shared" si="1"/>
        <v/>
      </c>
      <c r="J10" s="278" t="e">
        <f t="shared" si="5"/>
        <v>#NUM!</v>
      </c>
      <c r="K10" s="278" t="e">
        <f t="shared" si="2"/>
        <v>#NUM!</v>
      </c>
      <c r="L10" s="278"/>
      <c r="M10" s="280">
        <f t="shared" si="3"/>
        <v>0</v>
      </c>
      <c r="V10" s="284"/>
      <c r="Z10" s="285"/>
      <c r="AA10" s="285"/>
      <c r="AG10" s="286"/>
      <c r="AH10" s="269" t="s">
        <v>35</v>
      </c>
      <c r="AI10" s="269">
        <v>45</v>
      </c>
    </row>
    <row r="11" spans="1:36" ht="14.45" customHeight="1" x14ac:dyDescent="0.25">
      <c r="A11" s="91">
        <f t="shared" si="4"/>
        <v>0</v>
      </c>
      <c r="B11" s="37" t="str">
        <f t="shared" si="0"/>
        <v/>
      </c>
      <c r="C11" s="38"/>
      <c r="D11" s="38"/>
      <c r="E11" s="38"/>
      <c r="F11" s="38"/>
      <c r="G11" s="25"/>
      <c r="H11" s="281">
        <v>6</v>
      </c>
      <c r="I11" s="282" t="str">
        <f t="shared" si="1"/>
        <v/>
      </c>
      <c r="J11" s="281" t="e">
        <f t="shared" si="5"/>
        <v>#NUM!</v>
      </c>
      <c r="K11" s="281" t="e">
        <f t="shared" si="2"/>
        <v>#NUM!</v>
      </c>
      <c r="L11" s="281"/>
      <c r="M11" s="283">
        <f t="shared" si="3"/>
        <v>0</v>
      </c>
      <c r="V11" s="287"/>
      <c r="Z11" s="285"/>
      <c r="AA11" s="285"/>
      <c r="AG11" s="286"/>
      <c r="AH11" s="269" t="s">
        <v>36</v>
      </c>
      <c r="AI11" s="269">
        <v>50</v>
      </c>
    </row>
    <row r="12" spans="1:36" ht="14.45" customHeight="1" x14ac:dyDescent="0.25">
      <c r="A12" s="87">
        <f t="shared" si="4"/>
        <v>0</v>
      </c>
      <c r="B12" s="31" t="str">
        <f t="shared" si="0"/>
        <v/>
      </c>
      <c r="C12" s="32"/>
      <c r="D12" s="32"/>
      <c r="E12" s="32"/>
      <c r="F12" s="32"/>
      <c r="G12" s="25"/>
      <c r="H12" s="278">
        <v>7</v>
      </c>
      <c r="I12" s="279" t="str">
        <f t="shared" si="1"/>
        <v/>
      </c>
      <c r="J12" s="278" t="e">
        <f t="shared" si="5"/>
        <v>#NUM!</v>
      </c>
      <c r="K12" s="278" t="e">
        <f t="shared" si="2"/>
        <v>#NUM!</v>
      </c>
      <c r="L12" s="278"/>
      <c r="M12" s="280">
        <f t="shared" si="3"/>
        <v>0</v>
      </c>
      <c r="Z12" s="285"/>
      <c r="AA12" s="285"/>
      <c r="AG12" s="286"/>
      <c r="AH12" s="269" t="s">
        <v>37</v>
      </c>
      <c r="AI12" s="269">
        <f>AI11-1</f>
        <v>49</v>
      </c>
    </row>
    <row r="13" spans="1:36" ht="14.45" customHeight="1" x14ac:dyDescent="0.25">
      <c r="A13" s="91">
        <f t="shared" si="4"/>
        <v>0</v>
      </c>
      <c r="B13" s="37" t="str">
        <f t="shared" si="0"/>
        <v/>
      </c>
      <c r="C13" s="38"/>
      <c r="D13" s="38"/>
      <c r="E13" s="38"/>
      <c r="F13" s="38"/>
      <c r="G13" s="25"/>
      <c r="H13" s="281">
        <v>8</v>
      </c>
      <c r="I13" s="282" t="str">
        <f t="shared" si="1"/>
        <v/>
      </c>
      <c r="J13" s="281" t="e">
        <f t="shared" si="5"/>
        <v>#NUM!</v>
      </c>
      <c r="K13" s="281" t="e">
        <f t="shared" si="2"/>
        <v>#NUM!</v>
      </c>
      <c r="L13" s="281"/>
      <c r="M13" s="283">
        <f t="shared" si="3"/>
        <v>0</v>
      </c>
      <c r="X13" s="284"/>
      <c r="AG13" s="286"/>
      <c r="AH13" s="269" t="s">
        <v>38</v>
      </c>
      <c r="AI13" s="269">
        <f>LOG(AI9)</f>
        <v>1.3617278360175928</v>
      </c>
    </row>
    <row r="14" spans="1:36" x14ac:dyDescent="0.25">
      <c r="A14" s="87">
        <f t="shared" si="4"/>
        <v>0</v>
      </c>
      <c r="B14" s="31" t="str">
        <f t="shared" si="0"/>
        <v/>
      </c>
      <c r="C14" s="32"/>
      <c r="D14" s="32"/>
      <c r="E14" s="32"/>
      <c r="F14" s="32"/>
      <c r="G14" s="25"/>
      <c r="H14" s="278">
        <v>9</v>
      </c>
      <c r="I14" s="279" t="str">
        <f t="shared" si="1"/>
        <v/>
      </c>
      <c r="J14" s="278" t="e">
        <f t="shared" si="5"/>
        <v>#NUM!</v>
      </c>
      <c r="K14" s="278" t="e">
        <f t="shared" si="2"/>
        <v>#NUM!</v>
      </c>
      <c r="L14" s="278"/>
      <c r="M14" s="280">
        <f t="shared" si="3"/>
        <v>0</v>
      </c>
      <c r="X14" s="288"/>
      <c r="Z14" s="285"/>
      <c r="AA14" s="285"/>
      <c r="AG14" s="286"/>
      <c r="AH14" s="269" t="s">
        <v>39</v>
      </c>
      <c r="AI14" s="269">
        <f>LOG(AI10)</f>
        <v>1.6532125137753437</v>
      </c>
    </row>
    <row r="15" spans="1:36" x14ac:dyDescent="0.25">
      <c r="A15" s="91">
        <f t="shared" si="4"/>
        <v>0</v>
      </c>
      <c r="B15" s="37" t="str">
        <f t="shared" si="0"/>
        <v/>
      </c>
      <c r="C15" s="38"/>
      <c r="D15" s="38"/>
      <c r="E15" s="38"/>
      <c r="F15" s="38"/>
      <c r="G15" s="25"/>
      <c r="H15" s="281">
        <v>10</v>
      </c>
      <c r="I15" s="282" t="str">
        <f t="shared" si="1"/>
        <v/>
      </c>
      <c r="J15" s="281" t="e">
        <f t="shared" si="5"/>
        <v>#NUM!</v>
      </c>
      <c r="K15" s="281" t="e">
        <f t="shared" si="2"/>
        <v>#NUM!</v>
      </c>
      <c r="L15" s="281"/>
      <c r="M15" s="283">
        <f t="shared" si="3"/>
        <v>0</v>
      </c>
      <c r="X15" s="284"/>
      <c r="Z15" s="285"/>
      <c r="AA15" s="285"/>
    </row>
    <row r="16" spans="1:36" x14ac:dyDescent="0.25">
      <c r="A16" s="87">
        <f t="shared" si="4"/>
        <v>0</v>
      </c>
      <c r="B16" s="31" t="str">
        <f t="shared" si="0"/>
        <v/>
      </c>
      <c r="C16" s="32"/>
      <c r="D16" s="32"/>
      <c r="E16" s="32"/>
      <c r="F16" s="32"/>
      <c r="G16" s="25"/>
      <c r="H16" s="278">
        <v>11</v>
      </c>
      <c r="I16" s="279" t="str">
        <f t="shared" si="1"/>
        <v/>
      </c>
      <c r="J16" s="278" t="e">
        <f t="shared" si="5"/>
        <v>#NUM!</v>
      </c>
      <c r="K16" s="278" t="e">
        <f t="shared" si="2"/>
        <v>#NUM!</v>
      </c>
      <c r="L16" s="278"/>
      <c r="M16" s="280">
        <f t="shared" si="3"/>
        <v>0</v>
      </c>
      <c r="R16" s="289"/>
      <c r="Z16" s="285"/>
      <c r="AA16" s="285"/>
      <c r="AH16" s="290" t="s">
        <v>40</v>
      </c>
      <c r="AI16" s="269">
        <f>AI11-AI12*AI13/AI14</f>
        <v>9.6393909380186855</v>
      </c>
      <c r="AJ16" s="269" t="s">
        <v>41</v>
      </c>
    </row>
    <row r="17" spans="1:19" x14ac:dyDescent="0.25">
      <c r="A17" s="91">
        <f t="shared" si="4"/>
        <v>0</v>
      </c>
      <c r="B17" s="37" t="str">
        <f t="shared" si="0"/>
        <v/>
      </c>
      <c r="C17" s="38"/>
      <c r="D17" s="38"/>
      <c r="E17" s="38"/>
      <c r="F17" s="38"/>
      <c r="G17" s="25"/>
      <c r="H17" s="281">
        <v>12</v>
      </c>
      <c r="I17" s="282" t="str">
        <f t="shared" si="1"/>
        <v/>
      </c>
      <c r="J17" s="281" t="e">
        <f t="shared" si="5"/>
        <v>#NUM!</v>
      </c>
      <c r="K17" s="281" t="e">
        <f t="shared" si="2"/>
        <v>#NUM!</v>
      </c>
      <c r="L17" s="281"/>
      <c r="M17" s="283">
        <f t="shared" si="3"/>
        <v>0</v>
      </c>
    </row>
    <row r="18" spans="1:19" x14ac:dyDescent="0.25">
      <c r="A18" s="87">
        <f t="shared" si="4"/>
        <v>0</v>
      </c>
      <c r="B18" s="31" t="str">
        <f t="shared" si="0"/>
        <v/>
      </c>
      <c r="C18" s="32"/>
      <c r="D18" s="32"/>
      <c r="E18" s="32"/>
      <c r="F18" s="32"/>
      <c r="G18" s="25"/>
      <c r="H18" s="278">
        <v>13</v>
      </c>
      <c r="I18" s="279" t="str">
        <f t="shared" si="1"/>
        <v/>
      </c>
      <c r="J18" s="278" t="e">
        <f t="shared" si="5"/>
        <v>#NUM!</v>
      </c>
      <c r="K18" s="278" t="e">
        <f t="shared" si="2"/>
        <v>#NUM!</v>
      </c>
      <c r="L18" s="278"/>
      <c r="M18" s="280">
        <f t="shared" si="3"/>
        <v>0</v>
      </c>
    </row>
    <row r="19" spans="1:19" x14ac:dyDescent="0.25">
      <c r="A19" s="91">
        <f t="shared" si="4"/>
        <v>0</v>
      </c>
      <c r="B19" s="37" t="str">
        <f t="shared" si="0"/>
        <v/>
      </c>
      <c r="C19" s="38"/>
      <c r="D19" s="38"/>
      <c r="E19" s="38"/>
      <c r="F19" s="38"/>
      <c r="G19" s="25"/>
      <c r="H19" s="281">
        <v>14</v>
      </c>
      <c r="I19" s="282" t="str">
        <f t="shared" si="1"/>
        <v/>
      </c>
      <c r="J19" s="281" t="e">
        <f t="shared" si="5"/>
        <v>#NUM!</v>
      </c>
      <c r="K19" s="281" t="e">
        <f t="shared" si="2"/>
        <v>#NUM!</v>
      </c>
      <c r="L19" s="281"/>
      <c r="M19" s="283">
        <f t="shared" si="3"/>
        <v>0</v>
      </c>
    </row>
    <row r="20" spans="1:19" x14ac:dyDescent="0.25">
      <c r="A20" s="87">
        <f t="shared" si="4"/>
        <v>0</v>
      </c>
      <c r="B20" s="31" t="str">
        <f t="shared" si="0"/>
        <v/>
      </c>
      <c r="C20" s="32"/>
      <c r="D20" s="32"/>
      <c r="E20" s="32"/>
      <c r="F20" s="32"/>
      <c r="G20" s="25"/>
      <c r="H20" s="278">
        <v>15</v>
      </c>
      <c r="I20" s="279" t="str">
        <f t="shared" si="1"/>
        <v/>
      </c>
      <c r="J20" s="278" t="e">
        <f t="shared" si="5"/>
        <v>#NUM!</v>
      </c>
      <c r="K20" s="278" t="e">
        <f t="shared" si="2"/>
        <v>#NUM!</v>
      </c>
      <c r="L20" s="278"/>
      <c r="M20" s="280">
        <f t="shared" si="3"/>
        <v>0</v>
      </c>
      <c r="R20" s="291"/>
      <c r="S20" s="292"/>
    </row>
    <row r="21" spans="1:19" x14ac:dyDescent="0.25">
      <c r="A21" s="91">
        <f t="shared" si="4"/>
        <v>0</v>
      </c>
      <c r="B21" s="37" t="str">
        <f t="shared" si="0"/>
        <v/>
      </c>
      <c r="C21" s="38"/>
      <c r="D21" s="38"/>
      <c r="E21" s="38"/>
      <c r="F21" s="38"/>
      <c r="G21" s="25"/>
      <c r="H21" s="281">
        <v>16</v>
      </c>
      <c r="I21" s="282" t="str">
        <f t="shared" si="1"/>
        <v/>
      </c>
      <c r="J21" s="281" t="e">
        <f t="shared" si="5"/>
        <v>#NUM!</v>
      </c>
      <c r="K21" s="281" t="e">
        <f t="shared" si="2"/>
        <v>#NUM!</v>
      </c>
      <c r="L21" s="281"/>
      <c r="M21" s="283">
        <f t="shared" si="3"/>
        <v>0</v>
      </c>
    </row>
    <row r="22" spans="1:19" x14ac:dyDescent="0.25">
      <c r="A22" s="87">
        <f t="shared" si="4"/>
        <v>0</v>
      </c>
      <c r="B22" s="31" t="str">
        <f t="shared" si="0"/>
        <v/>
      </c>
      <c r="C22" s="32"/>
      <c r="D22" s="32"/>
      <c r="E22" s="32"/>
      <c r="F22" s="32"/>
      <c r="G22" s="25"/>
      <c r="H22" s="278">
        <v>17</v>
      </c>
      <c r="I22" s="279" t="str">
        <f t="shared" si="1"/>
        <v/>
      </c>
      <c r="J22" s="278" t="e">
        <f t="shared" si="5"/>
        <v>#NUM!</v>
      </c>
      <c r="K22" s="278" t="e">
        <f t="shared" si="2"/>
        <v>#NUM!</v>
      </c>
      <c r="L22" s="278"/>
      <c r="M22" s="280">
        <f t="shared" si="3"/>
        <v>0</v>
      </c>
    </row>
    <row r="23" spans="1:19" x14ac:dyDescent="0.25">
      <c r="A23" s="91">
        <f t="shared" si="4"/>
        <v>0</v>
      </c>
      <c r="B23" s="37" t="str">
        <f t="shared" si="0"/>
        <v/>
      </c>
      <c r="C23" s="38"/>
      <c r="D23" s="38"/>
      <c r="E23" s="38"/>
      <c r="F23" s="38"/>
      <c r="G23" s="25"/>
      <c r="H23" s="281">
        <v>18</v>
      </c>
      <c r="I23" s="282" t="str">
        <f t="shared" si="1"/>
        <v/>
      </c>
      <c r="J23" s="281" t="e">
        <f t="shared" si="5"/>
        <v>#NUM!</v>
      </c>
      <c r="K23" s="281" t="e">
        <f t="shared" si="2"/>
        <v>#NUM!</v>
      </c>
      <c r="L23" s="281"/>
      <c r="M23" s="283">
        <f t="shared" si="3"/>
        <v>0</v>
      </c>
    </row>
    <row r="24" spans="1:19" x14ac:dyDescent="0.25">
      <c r="A24" s="87">
        <f t="shared" si="4"/>
        <v>0</v>
      </c>
      <c r="B24" s="31" t="str">
        <f t="shared" si="0"/>
        <v/>
      </c>
      <c r="C24" s="32"/>
      <c r="D24" s="32"/>
      <c r="E24" s="32"/>
      <c r="F24" s="32"/>
      <c r="G24" s="25"/>
      <c r="H24" s="278">
        <v>19</v>
      </c>
      <c r="I24" s="279" t="str">
        <f t="shared" si="1"/>
        <v/>
      </c>
      <c r="J24" s="278" t="e">
        <f t="shared" si="5"/>
        <v>#NUM!</v>
      </c>
      <c r="K24" s="278" t="e">
        <f t="shared" si="2"/>
        <v>#NUM!</v>
      </c>
      <c r="L24" s="278"/>
      <c r="M24" s="280">
        <f t="shared" si="3"/>
        <v>0</v>
      </c>
      <c r="R24" s="291"/>
      <c r="S24" s="292"/>
    </row>
    <row r="25" spans="1:19" x14ac:dyDescent="0.25">
      <c r="A25" s="91">
        <f t="shared" si="4"/>
        <v>0</v>
      </c>
      <c r="B25" s="37" t="str">
        <f t="shared" si="0"/>
        <v/>
      </c>
      <c r="C25" s="38"/>
      <c r="D25" s="38"/>
      <c r="E25" s="38"/>
      <c r="F25" s="38"/>
      <c r="G25" s="25"/>
      <c r="H25" s="281">
        <v>20</v>
      </c>
      <c r="I25" s="282" t="str">
        <f t="shared" si="1"/>
        <v/>
      </c>
      <c r="J25" s="281" t="e">
        <f t="shared" si="5"/>
        <v>#NUM!</v>
      </c>
      <c r="K25" s="281" t="e">
        <f t="shared" si="2"/>
        <v>#NUM!</v>
      </c>
      <c r="L25" s="281"/>
      <c r="M25" s="283">
        <f t="shared" si="3"/>
        <v>0</v>
      </c>
    </row>
    <row r="26" spans="1:19" x14ac:dyDescent="0.25">
      <c r="A26" s="87">
        <f t="shared" si="4"/>
        <v>0</v>
      </c>
      <c r="B26" s="31" t="str">
        <f t="shared" si="0"/>
        <v/>
      </c>
      <c r="C26" s="32"/>
      <c r="D26" s="32"/>
      <c r="E26" s="32"/>
      <c r="F26" s="32"/>
      <c r="G26" s="25"/>
      <c r="H26" s="278">
        <v>21</v>
      </c>
      <c r="I26" s="279" t="str">
        <f t="shared" si="1"/>
        <v/>
      </c>
      <c r="J26" s="278" t="e">
        <f t="shared" si="5"/>
        <v>#NUM!</v>
      </c>
      <c r="K26" s="278" t="e">
        <f t="shared" si="2"/>
        <v>#NUM!</v>
      </c>
      <c r="L26" s="278"/>
      <c r="M26" s="280">
        <f t="shared" si="3"/>
        <v>0</v>
      </c>
    </row>
    <row r="27" spans="1:19" x14ac:dyDescent="0.25">
      <c r="A27" s="91">
        <f t="shared" si="4"/>
        <v>0</v>
      </c>
      <c r="B27" s="37" t="str">
        <f t="shared" si="0"/>
        <v/>
      </c>
      <c r="C27" s="38"/>
      <c r="D27" s="38"/>
      <c r="E27" s="38"/>
      <c r="F27" s="38"/>
      <c r="G27" s="25"/>
      <c r="H27" s="281">
        <v>22</v>
      </c>
      <c r="I27" s="282" t="str">
        <f t="shared" si="1"/>
        <v/>
      </c>
      <c r="J27" s="281" t="e">
        <f t="shared" si="5"/>
        <v>#NUM!</v>
      </c>
      <c r="K27" s="281" t="e">
        <f t="shared" si="2"/>
        <v>#NUM!</v>
      </c>
      <c r="L27" s="281"/>
      <c r="M27" s="283">
        <f t="shared" si="3"/>
        <v>0</v>
      </c>
    </row>
    <row r="28" spans="1:19" x14ac:dyDescent="0.25">
      <c r="A28" s="87">
        <f t="shared" si="4"/>
        <v>0</v>
      </c>
      <c r="B28" s="31" t="str">
        <f t="shared" si="0"/>
        <v/>
      </c>
      <c r="C28" s="32"/>
      <c r="D28" s="32"/>
      <c r="E28" s="32"/>
      <c r="F28" s="32"/>
      <c r="G28" s="25"/>
      <c r="H28" s="278">
        <v>23</v>
      </c>
      <c r="I28" s="279" t="str">
        <f t="shared" si="1"/>
        <v/>
      </c>
      <c r="J28" s="278" t="e">
        <f t="shared" si="5"/>
        <v>#NUM!</v>
      </c>
      <c r="K28" s="278" t="e">
        <f t="shared" si="2"/>
        <v>#NUM!</v>
      </c>
      <c r="L28" s="278"/>
      <c r="M28" s="280">
        <f t="shared" si="3"/>
        <v>0</v>
      </c>
      <c r="R28" s="291"/>
      <c r="S28" s="292"/>
    </row>
    <row r="29" spans="1:19" x14ac:dyDescent="0.25">
      <c r="A29" s="91">
        <f t="shared" si="4"/>
        <v>0</v>
      </c>
      <c r="B29" s="37" t="str">
        <f t="shared" si="0"/>
        <v/>
      </c>
      <c r="C29" s="38"/>
      <c r="D29" s="38"/>
      <c r="E29" s="38"/>
      <c r="F29" s="38"/>
      <c r="G29" s="264"/>
      <c r="H29" s="281">
        <v>24</v>
      </c>
      <c r="I29" s="282" t="str">
        <f t="shared" si="1"/>
        <v/>
      </c>
      <c r="J29" s="281" t="e">
        <f t="shared" si="5"/>
        <v>#NUM!</v>
      </c>
      <c r="K29" s="281" t="e">
        <f t="shared" si="2"/>
        <v>#NUM!</v>
      </c>
      <c r="L29" s="281"/>
      <c r="M29" s="283">
        <f t="shared" si="3"/>
        <v>0</v>
      </c>
    </row>
    <row r="30" spans="1:19" x14ac:dyDescent="0.25">
      <c r="A30" s="87">
        <f t="shared" si="4"/>
        <v>0</v>
      </c>
      <c r="B30" s="31" t="str">
        <f t="shared" si="0"/>
        <v/>
      </c>
      <c r="C30" s="32"/>
      <c r="D30" s="32"/>
      <c r="E30" s="32"/>
      <c r="F30" s="32"/>
      <c r="G30" s="264"/>
      <c r="H30" s="278">
        <v>25</v>
      </c>
      <c r="I30" s="279" t="str">
        <f t="shared" si="1"/>
        <v/>
      </c>
      <c r="J30" s="278" t="e">
        <f t="shared" si="5"/>
        <v>#NUM!</v>
      </c>
      <c r="K30" s="278" t="e">
        <f t="shared" si="2"/>
        <v>#NUM!</v>
      </c>
      <c r="L30" s="278"/>
      <c r="M30" s="280">
        <f t="shared" si="3"/>
        <v>0</v>
      </c>
    </row>
    <row r="31" spans="1:19" x14ac:dyDescent="0.25">
      <c r="A31" s="91">
        <f t="shared" si="4"/>
        <v>0</v>
      </c>
      <c r="B31" s="37" t="str">
        <f t="shared" si="0"/>
        <v/>
      </c>
      <c r="C31" s="38"/>
      <c r="D31" s="38"/>
      <c r="E31" s="38"/>
      <c r="F31" s="38"/>
      <c r="G31" s="264"/>
      <c r="H31" s="281">
        <v>26</v>
      </c>
      <c r="I31" s="282" t="str">
        <f t="shared" si="1"/>
        <v/>
      </c>
      <c r="J31" s="281" t="e">
        <f t="shared" si="5"/>
        <v>#NUM!</v>
      </c>
      <c r="K31" s="281" t="e">
        <f t="shared" si="2"/>
        <v>#NUM!</v>
      </c>
      <c r="L31" s="281"/>
      <c r="M31" s="283">
        <f t="shared" si="3"/>
        <v>0</v>
      </c>
    </row>
    <row r="32" spans="1:19" x14ac:dyDescent="0.25">
      <c r="A32" s="87">
        <f t="shared" si="4"/>
        <v>0</v>
      </c>
      <c r="B32" s="31" t="str">
        <f t="shared" si="0"/>
        <v/>
      </c>
      <c r="C32" s="32"/>
      <c r="D32" s="32"/>
      <c r="E32" s="32"/>
      <c r="F32" s="32"/>
      <c r="G32" s="264"/>
      <c r="H32" s="278">
        <v>27</v>
      </c>
      <c r="I32" s="279" t="str">
        <f t="shared" si="1"/>
        <v/>
      </c>
      <c r="J32" s="278" t="e">
        <f t="shared" si="5"/>
        <v>#NUM!</v>
      </c>
      <c r="K32" s="278" t="e">
        <f t="shared" si="2"/>
        <v>#NUM!</v>
      </c>
      <c r="L32" s="278"/>
      <c r="M32" s="280">
        <f t="shared" si="3"/>
        <v>0</v>
      </c>
      <c r="R32" s="291"/>
      <c r="S32" s="292"/>
    </row>
    <row r="33" spans="1:19" x14ac:dyDescent="0.25">
      <c r="A33" s="91">
        <f t="shared" si="4"/>
        <v>0</v>
      </c>
      <c r="B33" s="37" t="str">
        <f t="shared" si="0"/>
        <v/>
      </c>
      <c r="C33" s="38"/>
      <c r="D33" s="38"/>
      <c r="E33" s="38"/>
      <c r="F33" s="38"/>
      <c r="G33" s="264"/>
      <c r="H33" s="281">
        <v>28</v>
      </c>
      <c r="I33" s="282" t="str">
        <f t="shared" si="1"/>
        <v/>
      </c>
      <c r="J33" s="281" t="e">
        <f t="shared" si="5"/>
        <v>#NUM!</v>
      </c>
      <c r="K33" s="281" t="e">
        <f t="shared" si="2"/>
        <v>#NUM!</v>
      </c>
      <c r="L33" s="281"/>
      <c r="M33" s="283">
        <f t="shared" si="3"/>
        <v>0</v>
      </c>
    </row>
    <row r="34" spans="1:19" x14ac:dyDescent="0.25">
      <c r="A34" s="87">
        <f t="shared" si="4"/>
        <v>0</v>
      </c>
      <c r="B34" s="31" t="str">
        <f t="shared" si="0"/>
        <v/>
      </c>
      <c r="C34" s="32"/>
      <c r="D34" s="32"/>
      <c r="E34" s="32"/>
      <c r="F34" s="32"/>
      <c r="G34" s="264"/>
      <c r="H34" s="278">
        <v>29</v>
      </c>
      <c r="I34" s="279" t="str">
        <f t="shared" si="1"/>
        <v/>
      </c>
      <c r="J34" s="278" t="e">
        <f t="shared" si="5"/>
        <v>#NUM!</v>
      </c>
      <c r="K34" s="278" t="e">
        <f t="shared" si="2"/>
        <v>#NUM!</v>
      </c>
      <c r="L34" s="278"/>
      <c r="M34" s="280">
        <f t="shared" si="3"/>
        <v>0</v>
      </c>
    </row>
    <row r="35" spans="1:19" x14ac:dyDescent="0.25">
      <c r="A35" s="91">
        <f t="shared" si="4"/>
        <v>0</v>
      </c>
      <c r="B35" s="37" t="str">
        <f t="shared" si="0"/>
        <v/>
      </c>
      <c r="C35" s="38"/>
      <c r="D35" s="38"/>
      <c r="E35" s="38"/>
      <c r="F35" s="38"/>
      <c r="G35" s="264"/>
      <c r="H35" s="281">
        <v>30</v>
      </c>
      <c r="I35" s="282" t="str">
        <f t="shared" si="1"/>
        <v/>
      </c>
      <c r="J35" s="281" t="e">
        <f t="shared" si="5"/>
        <v>#NUM!</v>
      </c>
      <c r="K35" s="281" t="e">
        <f t="shared" si="2"/>
        <v>#NUM!</v>
      </c>
      <c r="L35" s="281"/>
      <c r="M35" s="283">
        <f t="shared" si="3"/>
        <v>0</v>
      </c>
    </row>
    <row r="36" spans="1:19" x14ac:dyDescent="0.25">
      <c r="A36" s="87">
        <f t="shared" si="4"/>
        <v>0</v>
      </c>
      <c r="B36" s="31" t="str">
        <f t="shared" si="0"/>
        <v/>
      </c>
      <c r="C36" s="32"/>
      <c r="D36" s="32"/>
      <c r="E36" s="32"/>
      <c r="F36" s="32"/>
      <c r="G36" s="264"/>
      <c r="H36" s="278">
        <v>31</v>
      </c>
      <c r="I36" s="279" t="str">
        <f t="shared" si="1"/>
        <v/>
      </c>
      <c r="J36" s="278" t="e">
        <f t="shared" si="5"/>
        <v>#NUM!</v>
      </c>
      <c r="K36" s="278" t="e">
        <f t="shared" si="2"/>
        <v>#NUM!</v>
      </c>
      <c r="L36" s="278"/>
      <c r="M36" s="280">
        <f t="shared" si="3"/>
        <v>0</v>
      </c>
      <c r="R36" s="291"/>
      <c r="S36" s="292"/>
    </row>
    <row r="37" spans="1:19" x14ac:dyDescent="0.25">
      <c r="A37" s="91">
        <f t="shared" si="4"/>
        <v>0</v>
      </c>
      <c r="B37" s="37" t="str">
        <f t="shared" si="0"/>
        <v/>
      </c>
      <c r="C37" s="38"/>
      <c r="D37" s="38"/>
      <c r="E37" s="38"/>
      <c r="F37" s="38"/>
      <c r="G37" s="264"/>
      <c r="H37" s="281">
        <v>32</v>
      </c>
      <c r="I37" s="282" t="str">
        <f t="shared" si="1"/>
        <v/>
      </c>
      <c r="J37" s="281" t="e">
        <f t="shared" si="5"/>
        <v>#NUM!</v>
      </c>
      <c r="K37" s="281" t="e">
        <f t="shared" si="2"/>
        <v>#NUM!</v>
      </c>
      <c r="L37" s="281"/>
      <c r="M37" s="283">
        <f t="shared" si="3"/>
        <v>0</v>
      </c>
    </row>
    <row r="38" spans="1:19" x14ac:dyDescent="0.25">
      <c r="A38" s="87">
        <f t="shared" si="4"/>
        <v>0</v>
      </c>
      <c r="B38" s="31" t="str">
        <f t="shared" si="0"/>
        <v/>
      </c>
      <c r="C38" s="32"/>
      <c r="D38" s="32"/>
      <c r="E38" s="32"/>
      <c r="F38" s="32"/>
      <c r="G38" s="264"/>
      <c r="H38" s="278">
        <v>33</v>
      </c>
      <c r="I38" s="279" t="str">
        <f t="shared" si="1"/>
        <v/>
      </c>
      <c r="J38" s="278" t="e">
        <f t="shared" si="5"/>
        <v>#NUM!</v>
      </c>
      <c r="K38" s="278" t="e">
        <f t="shared" si="2"/>
        <v>#NUM!</v>
      </c>
      <c r="L38" s="278"/>
      <c r="M38" s="280">
        <f t="shared" si="3"/>
        <v>0</v>
      </c>
    </row>
    <row r="39" spans="1:19" x14ac:dyDescent="0.25">
      <c r="A39" s="91">
        <f t="shared" si="4"/>
        <v>0</v>
      </c>
      <c r="B39" s="37" t="str">
        <f t="shared" si="0"/>
        <v/>
      </c>
      <c r="C39" s="38"/>
      <c r="D39" s="38"/>
      <c r="E39" s="38"/>
      <c r="F39" s="38"/>
      <c r="G39" s="264"/>
      <c r="H39" s="281">
        <v>34</v>
      </c>
      <c r="I39" s="282" t="str">
        <f t="shared" si="1"/>
        <v/>
      </c>
      <c r="J39" s="281" t="e">
        <f t="shared" si="5"/>
        <v>#NUM!</v>
      </c>
      <c r="K39" s="281" t="e">
        <f t="shared" si="2"/>
        <v>#NUM!</v>
      </c>
      <c r="L39" s="281"/>
      <c r="M39" s="283">
        <f t="shared" si="3"/>
        <v>0</v>
      </c>
    </row>
    <row r="40" spans="1:19" x14ac:dyDescent="0.25">
      <c r="A40" s="87">
        <f t="shared" si="4"/>
        <v>0</v>
      </c>
      <c r="B40" s="31" t="str">
        <f t="shared" si="0"/>
        <v/>
      </c>
      <c r="C40" s="32"/>
      <c r="D40" s="32"/>
      <c r="E40" s="32"/>
      <c r="F40" s="32"/>
      <c r="G40" s="264"/>
      <c r="H40" s="278">
        <v>35</v>
      </c>
      <c r="I40" s="279" t="str">
        <f t="shared" si="1"/>
        <v/>
      </c>
      <c r="J40" s="278" t="e">
        <f t="shared" si="5"/>
        <v>#NUM!</v>
      </c>
      <c r="K40" s="278" t="e">
        <f t="shared" si="2"/>
        <v>#NUM!</v>
      </c>
      <c r="L40" s="278"/>
      <c r="M40" s="280">
        <f t="shared" si="3"/>
        <v>0</v>
      </c>
    </row>
    <row r="41" spans="1:19" x14ac:dyDescent="0.25">
      <c r="A41" s="91">
        <f t="shared" si="4"/>
        <v>0</v>
      </c>
      <c r="B41" s="37" t="str">
        <f t="shared" si="0"/>
        <v/>
      </c>
      <c r="C41" s="38"/>
      <c r="D41" s="38"/>
      <c r="E41" s="38"/>
      <c r="F41" s="38"/>
      <c r="G41" s="264"/>
      <c r="H41" s="281">
        <v>36</v>
      </c>
      <c r="I41" s="282" t="str">
        <f t="shared" si="1"/>
        <v/>
      </c>
      <c r="J41" s="281" t="e">
        <f t="shared" si="5"/>
        <v>#NUM!</v>
      </c>
      <c r="K41" s="281" t="e">
        <f t="shared" si="2"/>
        <v>#NUM!</v>
      </c>
      <c r="L41" s="281"/>
      <c r="M41" s="283">
        <f t="shared" si="3"/>
        <v>0</v>
      </c>
      <c r="S41" s="293"/>
    </row>
    <row r="42" spans="1:19" x14ac:dyDescent="0.25">
      <c r="A42" s="87">
        <f t="shared" si="4"/>
        <v>0</v>
      </c>
      <c r="B42" s="31" t="str">
        <f t="shared" si="0"/>
        <v/>
      </c>
      <c r="C42" s="32"/>
      <c r="D42" s="32"/>
      <c r="E42" s="32"/>
      <c r="F42" s="32"/>
      <c r="G42" s="264"/>
      <c r="H42" s="278">
        <v>37</v>
      </c>
      <c r="I42" s="279" t="str">
        <f t="shared" si="1"/>
        <v/>
      </c>
      <c r="J42" s="278" t="e">
        <f t="shared" si="5"/>
        <v>#NUM!</v>
      </c>
      <c r="K42" s="278" t="e">
        <f t="shared" si="2"/>
        <v>#NUM!</v>
      </c>
      <c r="L42" s="278"/>
      <c r="M42" s="280">
        <f t="shared" si="3"/>
        <v>0</v>
      </c>
    </row>
    <row r="43" spans="1:19" x14ac:dyDescent="0.25">
      <c r="A43" s="91">
        <f t="shared" si="4"/>
        <v>0</v>
      </c>
      <c r="B43" s="37" t="str">
        <f t="shared" si="0"/>
        <v/>
      </c>
      <c r="C43" s="38"/>
      <c r="D43" s="38"/>
      <c r="E43" s="38"/>
      <c r="F43" s="38"/>
      <c r="G43" s="264"/>
      <c r="H43" s="281">
        <v>38</v>
      </c>
      <c r="I43" s="282" t="str">
        <f t="shared" si="1"/>
        <v/>
      </c>
      <c r="J43" s="281" t="e">
        <f t="shared" si="5"/>
        <v>#NUM!</v>
      </c>
      <c r="K43" s="281" t="e">
        <f t="shared" si="2"/>
        <v>#NUM!</v>
      </c>
      <c r="L43" s="281"/>
      <c r="M43" s="283">
        <f t="shared" si="3"/>
        <v>0</v>
      </c>
    </row>
    <row r="44" spans="1:19" x14ac:dyDescent="0.25">
      <c r="A44" s="87">
        <f t="shared" si="4"/>
        <v>0</v>
      </c>
      <c r="B44" s="31" t="str">
        <f t="shared" si="0"/>
        <v/>
      </c>
      <c r="C44" s="32"/>
      <c r="D44" s="32"/>
      <c r="E44" s="32"/>
      <c r="F44" s="32"/>
      <c r="G44" s="264"/>
      <c r="H44" s="278">
        <v>39</v>
      </c>
      <c r="I44" s="279" t="str">
        <f t="shared" si="1"/>
        <v/>
      </c>
      <c r="J44" s="278" t="e">
        <f t="shared" si="5"/>
        <v>#NUM!</v>
      </c>
      <c r="K44" s="278" t="e">
        <f t="shared" si="2"/>
        <v>#NUM!</v>
      </c>
      <c r="L44" s="278"/>
      <c r="M44" s="280">
        <f t="shared" si="3"/>
        <v>0</v>
      </c>
    </row>
    <row r="45" spans="1:19" x14ac:dyDescent="0.25">
      <c r="A45" s="91">
        <f t="shared" si="4"/>
        <v>0</v>
      </c>
      <c r="B45" s="37" t="str">
        <f t="shared" si="0"/>
        <v/>
      </c>
      <c r="C45" s="38"/>
      <c r="D45" s="38"/>
      <c r="E45" s="38"/>
      <c r="F45" s="38"/>
      <c r="G45" s="264"/>
      <c r="H45" s="281">
        <v>40</v>
      </c>
      <c r="I45" s="282" t="str">
        <f t="shared" si="1"/>
        <v/>
      </c>
      <c r="J45" s="281" t="e">
        <f t="shared" si="5"/>
        <v>#NUM!</v>
      </c>
      <c r="K45" s="281" t="e">
        <f t="shared" si="2"/>
        <v>#NUM!</v>
      </c>
      <c r="L45" s="281"/>
      <c r="M45" s="283">
        <f t="shared" si="3"/>
        <v>0</v>
      </c>
    </row>
    <row r="46" spans="1:19" x14ac:dyDescent="0.25">
      <c r="A46" s="87">
        <f t="shared" si="4"/>
        <v>0</v>
      </c>
      <c r="B46" s="31" t="str">
        <f t="shared" si="0"/>
        <v/>
      </c>
      <c r="C46" s="32"/>
      <c r="D46" s="32"/>
      <c r="E46" s="32"/>
      <c r="F46" s="32"/>
      <c r="G46" s="264"/>
      <c r="H46" s="278">
        <v>41</v>
      </c>
      <c r="I46" s="279" t="str">
        <f t="shared" si="1"/>
        <v/>
      </c>
      <c r="J46" s="278" t="e">
        <f t="shared" si="5"/>
        <v>#NUM!</v>
      </c>
      <c r="K46" s="278" t="e">
        <f t="shared" si="2"/>
        <v>#NUM!</v>
      </c>
      <c r="L46" s="278"/>
      <c r="M46" s="280">
        <f t="shared" si="3"/>
        <v>0</v>
      </c>
    </row>
    <row r="47" spans="1:19" x14ac:dyDescent="0.25">
      <c r="A47" s="91">
        <f t="shared" si="4"/>
        <v>0</v>
      </c>
      <c r="B47" s="37" t="str">
        <f t="shared" si="0"/>
        <v/>
      </c>
      <c r="C47" s="38"/>
      <c r="D47" s="38"/>
      <c r="E47" s="38"/>
      <c r="F47" s="38"/>
      <c r="G47" s="264"/>
      <c r="H47" s="281">
        <v>42</v>
      </c>
      <c r="I47" s="282" t="str">
        <f t="shared" si="1"/>
        <v/>
      </c>
      <c r="J47" s="281" t="e">
        <f t="shared" si="5"/>
        <v>#NUM!</v>
      </c>
      <c r="K47" s="281" t="e">
        <f t="shared" si="2"/>
        <v>#NUM!</v>
      </c>
      <c r="L47" s="281"/>
      <c r="M47" s="283">
        <f t="shared" si="3"/>
        <v>0</v>
      </c>
    </row>
    <row r="48" spans="1:19" x14ac:dyDescent="0.25">
      <c r="A48" s="87">
        <f t="shared" si="4"/>
        <v>0</v>
      </c>
      <c r="B48" s="31" t="str">
        <f t="shared" si="0"/>
        <v/>
      </c>
      <c r="C48" s="32"/>
      <c r="D48" s="32"/>
      <c r="E48" s="32"/>
      <c r="F48" s="32"/>
      <c r="G48" s="264"/>
      <c r="H48" s="278">
        <v>43</v>
      </c>
      <c r="I48" s="279" t="str">
        <f t="shared" si="1"/>
        <v/>
      </c>
      <c r="J48" s="278" t="e">
        <f t="shared" si="5"/>
        <v>#NUM!</v>
      </c>
      <c r="K48" s="278" t="e">
        <f t="shared" si="2"/>
        <v>#NUM!</v>
      </c>
      <c r="L48" s="278"/>
      <c r="M48" s="280">
        <f t="shared" si="3"/>
        <v>0</v>
      </c>
    </row>
    <row r="49" spans="1:38" x14ac:dyDescent="0.25">
      <c r="A49" s="91">
        <f t="shared" si="4"/>
        <v>0</v>
      </c>
      <c r="B49" s="37" t="str">
        <f t="shared" si="0"/>
        <v/>
      </c>
      <c r="C49" s="38"/>
      <c r="D49" s="38"/>
      <c r="E49" s="38"/>
      <c r="F49" s="38"/>
      <c r="G49" s="264"/>
      <c r="H49" s="281">
        <v>44</v>
      </c>
      <c r="I49" s="282" t="str">
        <f t="shared" si="1"/>
        <v/>
      </c>
      <c r="J49" s="281" t="e">
        <f t="shared" si="5"/>
        <v>#NUM!</v>
      </c>
      <c r="K49" s="281" t="e">
        <f t="shared" si="2"/>
        <v>#NUM!</v>
      </c>
      <c r="L49" s="281"/>
      <c r="M49" s="283">
        <f t="shared" si="3"/>
        <v>0</v>
      </c>
    </row>
    <row r="50" spans="1:38" x14ac:dyDescent="0.25">
      <c r="A50" s="87">
        <f t="shared" si="4"/>
        <v>0</v>
      </c>
      <c r="B50" s="31" t="str">
        <f t="shared" si="0"/>
        <v/>
      </c>
      <c r="C50" s="32"/>
      <c r="D50" s="32"/>
      <c r="E50" s="32"/>
      <c r="F50" s="32"/>
      <c r="G50" s="264"/>
      <c r="H50" s="278">
        <v>45</v>
      </c>
      <c r="I50" s="279" t="str">
        <f t="shared" si="1"/>
        <v/>
      </c>
      <c r="J50" s="278" t="e">
        <f t="shared" si="5"/>
        <v>#NUM!</v>
      </c>
      <c r="K50" s="278" t="e">
        <f t="shared" si="2"/>
        <v>#NUM!</v>
      </c>
      <c r="L50" s="278"/>
      <c r="M50" s="280">
        <f t="shared" si="3"/>
        <v>0</v>
      </c>
    </row>
    <row r="51" spans="1:38" x14ac:dyDescent="0.25">
      <c r="A51" s="91">
        <f t="shared" si="4"/>
        <v>0</v>
      </c>
      <c r="B51" s="37" t="str">
        <f t="shared" si="0"/>
        <v/>
      </c>
      <c r="C51" s="38"/>
      <c r="D51" s="38"/>
      <c r="E51" s="38"/>
      <c r="F51" s="38"/>
      <c r="G51" s="264"/>
      <c r="H51" s="281">
        <v>46</v>
      </c>
      <c r="I51" s="282" t="str">
        <f t="shared" si="1"/>
        <v/>
      </c>
      <c r="J51" s="281" t="e">
        <f t="shared" si="5"/>
        <v>#NUM!</v>
      </c>
      <c r="K51" s="281" t="e">
        <f t="shared" si="2"/>
        <v>#NUM!</v>
      </c>
      <c r="L51" s="281"/>
      <c r="M51" s="283">
        <f t="shared" si="3"/>
        <v>0</v>
      </c>
    </row>
    <row r="52" spans="1:38" x14ac:dyDescent="0.25">
      <c r="A52" s="87">
        <f t="shared" si="4"/>
        <v>0</v>
      </c>
      <c r="B52" s="31" t="str">
        <f t="shared" si="0"/>
        <v/>
      </c>
      <c r="C52" s="32"/>
      <c r="D52" s="32"/>
      <c r="E52" s="32"/>
      <c r="F52" s="32"/>
      <c r="G52" s="264"/>
      <c r="H52" s="278">
        <v>47</v>
      </c>
      <c r="I52" s="279" t="str">
        <f t="shared" si="1"/>
        <v/>
      </c>
      <c r="J52" s="278" t="e">
        <f t="shared" si="5"/>
        <v>#NUM!</v>
      </c>
      <c r="K52" s="278" t="e">
        <f t="shared" si="2"/>
        <v>#NUM!</v>
      </c>
      <c r="L52" s="278"/>
      <c r="M52" s="280">
        <f t="shared" si="3"/>
        <v>0</v>
      </c>
    </row>
    <row r="53" spans="1:38" x14ac:dyDescent="0.25">
      <c r="A53" s="91">
        <f t="shared" si="4"/>
        <v>0</v>
      </c>
      <c r="B53" s="37" t="str">
        <f t="shared" si="0"/>
        <v/>
      </c>
      <c r="C53" s="38"/>
      <c r="D53" s="38"/>
      <c r="E53" s="38"/>
      <c r="F53" s="38"/>
      <c r="G53" s="264"/>
      <c r="H53" s="281">
        <v>48</v>
      </c>
      <c r="I53" s="282" t="str">
        <f t="shared" si="1"/>
        <v/>
      </c>
      <c r="J53" s="281" t="e">
        <f t="shared" si="5"/>
        <v>#NUM!</v>
      </c>
      <c r="K53" s="281" t="e">
        <f t="shared" si="2"/>
        <v>#NUM!</v>
      </c>
      <c r="L53" s="281"/>
      <c r="M53" s="283">
        <f t="shared" si="3"/>
        <v>0</v>
      </c>
    </row>
    <row r="54" spans="1:38" x14ac:dyDescent="0.25">
      <c r="A54" s="87">
        <f t="shared" si="4"/>
        <v>0</v>
      </c>
      <c r="B54" s="31" t="str">
        <f t="shared" si="0"/>
        <v/>
      </c>
      <c r="C54" s="32"/>
      <c r="D54" s="32"/>
      <c r="E54" s="32"/>
      <c r="F54" s="32"/>
      <c r="G54" s="264"/>
      <c r="H54" s="278">
        <v>49</v>
      </c>
      <c r="I54" s="279" t="str">
        <f t="shared" si="1"/>
        <v/>
      </c>
      <c r="J54" s="278" t="e">
        <f t="shared" si="5"/>
        <v>#NUM!</v>
      </c>
      <c r="K54" s="278" t="e">
        <f t="shared" si="2"/>
        <v>#NUM!</v>
      </c>
      <c r="L54" s="278"/>
      <c r="M54" s="280">
        <f t="shared" si="3"/>
        <v>0</v>
      </c>
    </row>
    <row r="55" spans="1:38" x14ac:dyDescent="0.25">
      <c r="A55" s="91">
        <f t="shared" si="4"/>
        <v>0</v>
      </c>
      <c r="B55" s="37" t="str">
        <f t="shared" si="0"/>
        <v/>
      </c>
      <c r="C55" s="38"/>
      <c r="D55" s="38"/>
      <c r="E55" s="38"/>
      <c r="F55" s="38"/>
      <c r="G55" s="264"/>
      <c r="H55" s="281">
        <v>50</v>
      </c>
      <c r="I55" s="282" t="str">
        <f t="shared" si="1"/>
        <v/>
      </c>
      <c r="J55" s="281" t="e">
        <f t="shared" si="5"/>
        <v>#NUM!</v>
      </c>
      <c r="K55" s="281" t="e">
        <f t="shared" si="2"/>
        <v>#NUM!</v>
      </c>
      <c r="L55" s="281"/>
      <c r="M55" s="283">
        <f t="shared" si="3"/>
        <v>0</v>
      </c>
    </row>
    <row r="56" spans="1:38" x14ac:dyDescent="0.25">
      <c r="A56" s="87">
        <f t="shared" si="4"/>
        <v>0</v>
      </c>
      <c r="B56" s="31" t="str">
        <f t="shared" si="0"/>
        <v/>
      </c>
      <c r="C56" s="32"/>
      <c r="D56" s="32"/>
      <c r="E56" s="32"/>
      <c r="F56" s="32"/>
      <c r="G56" s="264"/>
      <c r="H56" s="278">
        <v>51</v>
      </c>
      <c r="I56" s="279" t="str">
        <f t="shared" si="1"/>
        <v/>
      </c>
      <c r="J56" s="278" t="e">
        <f t="shared" si="5"/>
        <v>#NUM!</v>
      </c>
      <c r="K56" s="278" t="e">
        <f t="shared" si="2"/>
        <v>#NUM!</v>
      </c>
      <c r="L56" s="278"/>
      <c r="M56" s="280">
        <f t="shared" si="3"/>
        <v>0</v>
      </c>
    </row>
    <row r="57" spans="1:38" s="264" customFormat="1" x14ac:dyDescent="0.25">
      <c r="A57" s="91">
        <f t="shared" si="4"/>
        <v>0</v>
      </c>
      <c r="B57" s="37" t="str">
        <f t="shared" si="0"/>
        <v/>
      </c>
      <c r="C57" s="38"/>
      <c r="D57" s="38"/>
      <c r="E57" s="38"/>
      <c r="F57" s="38"/>
      <c r="H57" s="281">
        <v>52</v>
      </c>
      <c r="I57" s="282" t="str">
        <f t="shared" si="1"/>
        <v/>
      </c>
      <c r="J57" s="281" t="e">
        <f t="shared" si="5"/>
        <v>#NUM!</v>
      </c>
      <c r="K57" s="281" t="e">
        <f t="shared" si="2"/>
        <v>#NUM!</v>
      </c>
      <c r="L57" s="281"/>
      <c r="M57" s="283">
        <f t="shared" si="3"/>
        <v>0</v>
      </c>
      <c r="S57" s="269"/>
      <c r="T57" s="269"/>
      <c r="U57" s="269"/>
      <c r="V57" s="269"/>
      <c r="W57" s="269"/>
      <c r="X57" s="269"/>
      <c r="Y57" s="269"/>
      <c r="Z57" s="269"/>
      <c r="AA57" s="269"/>
      <c r="AB57" s="269"/>
      <c r="AC57" s="269"/>
      <c r="AD57" s="269"/>
      <c r="AE57" s="269"/>
      <c r="AF57" s="269"/>
      <c r="AG57" s="269"/>
      <c r="AH57" s="269"/>
      <c r="AI57" s="269"/>
      <c r="AJ57" s="269"/>
      <c r="AK57" s="269"/>
      <c r="AL57" s="269"/>
    </row>
    <row r="58" spans="1:38" s="264" customFormat="1" x14ac:dyDescent="0.25">
      <c r="A58" s="87">
        <f t="shared" si="4"/>
        <v>0</v>
      </c>
      <c r="B58" s="31" t="str">
        <f t="shared" si="0"/>
        <v/>
      </c>
      <c r="C58" s="32"/>
      <c r="D58" s="32"/>
      <c r="E58" s="32"/>
      <c r="F58" s="32"/>
      <c r="H58" s="278">
        <v>53</v>
      </c>
      <c r="I58" s="279" t="str">
        <f t="shared" si="1"/>
        <v/>
      </c>
      <c r="J58" s="278" t="e">
        <f t="shared" si="5"/>
        <v>#NUM!</v>
      </c>
      <c r="K58" s="278" t="e">
        <f t="shared" si="2"/>
        <v>#NUM!</v>
      </c>
      <c r="L58" s="278"/>
      <c r="M58" s="280">
        <f t="shared" si="3"/>
        <v>0</v>
      </c>
      <c r="S58" s="269"/>
      <c r="T58" s="269"/>
      <c r="U58" s="269"/>
      <c r="V58" s="269"/>
      <c r="W58" s="269"/>
      <c r="X58" s="269"/>
      <c r="Y58" s="269"/>
      <c r="Z58" s="269"/>
      <c r="AA58" s="269"/>
      <c r="AB58" s="269"/>
      <c r="AC58" s="269"/>
      <c r="AD58" s="269"/>
      <c r="AE58" s="269"/>
      <c r="AF58" s="269"/>
      <c r="AG58" s="269"/>
      <c r="AH58" s="269"/>
      <c r="AI58" s="269"/>
      <c r="AJ58" s="269"/>
      <c r="AK58" s="269"/>
      <c r="AL58" s="269"/>
    </row>
    <row r="59" spans="1:38" s="264" customFormat="1" x14ac:dyDescent="0.25">
      <c r="A59" s="91">
        <f t="shared" si="4"/>
        <v>0</v>
      </c>
      <c r="B59" s="37" t="str">
        <f t="shared" si="0"/>
        <v/>
      </c>
      <c r="C59" s="38"/>
      <c r="D59" s="38"/>
      <c r="E59" s="38"/>
      <c r="F59" s="38"/>
      <c r="H59" s="281">
        <v>54</v>
      </c>
      <c r="I59" s="282" t="str">
        <f t="shared" si="1"/>
        <v/>
      </c>
      <c r="J59" s="281" t="e">
        <f t="shared" si="5"/>
        <v>#NUM!</v>
      </c>
      <c r="K59" s="281" t="e">
        <f t="shared" si="2"/>
        <v>#NUM!</v>
      </c>
      <c r="L59" s="281"/>
      <c r="M59" s="283">
        <f t="shared" si="3"/>
        <v>0</v>
      </c>
      <c r="S59" s="269"/>
      <c r="T59" s="269"/>
      <c r="U59" s="269"/>
      <c r="V59" s="269"/>
      <c r="W59" s="269"/>
      <c r="X59" s="269"/>
      <c r="Y59" s="269"/>
      <c r="Z59" s="269"/>
      <c r="AA59" s="269"/>
      <c r="AB59" s="269"/>
      <c r="AC59" s="269"/>
      <c r="AD59" s="269"/>
      <c r="AE59" s="269"/>
      <c r="AF59" s="269"/>
      <c r="AG59" s="269"/>
      <c r="AH59" s="269"/>
      <c r="AI59" s="269"/>
      <c r="AJ59" s="269"/>
      <c r="AK59" s="269"/>
      <c r="AL59" s="269"/>
    </row>
    <row r="60" spans="1:38" s="264" customFormat="1" x14ac:dyDescent="0.25">
      <c r="A60" s="87">
        <f t="shared" si="4"/>
        <v>0</v>
      </c>
      <c r="B60" s="31" t="str">
        <f t="shared" si="0"/>
        <v/>
      </c>
      <c r="C60" s="32"/>
      <c r="D60" s="32"/>
      <c r="E60" s="32"/>
      <c r="F60" s="32"/>
      <c r="H60" s="278">
        <v>55</v>
      </c>
      <c r="I60" s="279" t="str">
        <f t="shared" si="1"/>
        <v/>
      </c>
      <c r="J60" s="278" t="e">
        <f t="shared" si="5"/>
        <v>#NUM!</v>
      </c>
      <c r="K60" s="278" t="e">
        <f t="shared" si="2"/>
        <v>#NUM!</v>
      </c>
      <c r="L60" s="278"/>
      <c r="M60" s="280">
        <f t="shared" si="3"/>
        <v>0</v>
      </c>
      <c r="S60" s="269"/>
      <c r="T60" s="269"/>
      <c r="U60" s="269"/>
      <c r="V60" s="269"/>
      <c r="W60" s="269"/>
      <c r="X60" s="269"/>
      <c r="Y60" s="269"/>
      <c r="Z60" s="269"/>
      <c r="AA60" s="269"/>
      <c r="AB60" s="269"/>
      <c r="AC60" s="269"/>
      <c r="AD60" s="269"/>
      <c r="AE60" s="269"/>
      <c r="AF60" s="269"/>
      <c r="AG60" s="269"/>
      <c r="AH60" s="269"/>
      <c r="AI60" s="269"/>
      <c r="AJ60" s="269"/>
      <c r="AK60" s="269"/>
      <c r="AL60" s="269"/>
    </row>
    <row r="61" spans="1:38" s="264" customFormat="1" x14ac:dyDescent="0.25">
      <c r="A61" s="91">
        <f t="shared" si="4"/>
        <v>0</v>
      </c>
      <c r="B61" s="37" t="str">
        <f t="shared" si="0"/>
        <v/>
      </c>
      <c r="C61" s="38"/>
      <c r="D61" s="38"/>
      <c r="E61" s="38"/>
      <c r="F61" s="38"/>
      <c r="H61" s="281">
        <v>56</v>
      </c>
      <c r="I61" s="282" t="str">
        <f t="shared" si="1"/>
        <v/>
      </c>
      <c r="J61" s="281" t="e">
        <f t="shared" si="5"/>
        <v>#NUM!</v>
      </c>
      <c r="K61" s="281" t="e">
        <f t="shared" si="2"/>
        <v>#NUM!</v>
      </c>
      <c r="L61" s="281"/>
      <c r="M61" s="283">
        <f t="shared" si="3"/>
        <v>0</v>
      </c>
      <c r="S61" s="269"/>
      <c r="T61" s="269"/>
      <c r="U61" s="269"/>
      <c r="V61" s="269"/>
      <c r="W61" s="269"/>
      <c r="X61" s="269"/>
      <c r="Y61" s="269"/>
      <c r="Z61" s="269"/>
      <c r="AA61" s="269"/>
      <c r="AB61" s="269"/>
      <c r="AC61" s="269"/>
      <c r="AD61" s="269"/>
      <c r="AE61" s="269"/>
      <c r="AF61" s="269"/>
      <c r="AG61" s="269"/>
      <c r="AH61" s="269"/>
      <c r="AI61" s="269"/>
      <c r="AJ61" s="269"/>
      <c r="AK61" s="269"/>
      <c r="AL61" s="269"/>
    </row>
    <row r="62" spans="1:38" s="264" customFormat="1" x14ac:dyDescent="0.25">
      <c r="A62" s="87">
        <f t="shared" si="4"/>
        <v>0</v>
      </c>
      <c r="B62" s="31" t="str">
        <f t="shared" si="0"/>
        <v/>
      </c>
      <c r="C62" s="32"/>
      <c r="D62" s="32"/>
      <c r="E62" s="32"/>
      <c r="F62" s="32"/>
      <c r="H62" s="278">
        <v>57</v>
      </c>
      <c r="I62" s="279" t="str">
        <f t="shared" si="1"/>
        <v/>
      </c>
      <c r="J62" s="278" t="e">
        <f t="shared" si="5"/>
        <v>#NUM!</v>
      </c>
      <c r="K62" s="278" t="e">
        <f t="shared" si="2"/>
        <v>#NUM!</v>
      </c>
      <c r="L62" s="278"/>
      <c r="M62" s="280">
        <f t="shared" si="3"/>
        <v>0</v>
      </c>
      <c r="S62" s="269"/>
      <c r="T62" s="269"/>
      <c r="U62" s="269"/>
      <c r="V62" s="269"/>
      <c r="W62" s="269"/>
      <c r="X62" s="269"/>
      <c r="Y62" s="269"/>
      <c r="Z62" s="269"/>
      <c r="AA62" s="269"/>
      <c r="AB62" s="269"/>
      <c r="AC62" s="269"/>
      <c r="AD62" s="269"/>
      <c r="AE62" s="269"/>
      <c r="AF62" s="269"/>
      <c r="AG62" s="269"/>
      <c r="AH62" s="269"/>
      <c r="AI62" s="269"/>
      <c r="AJ62" s="269"/>
      <c r="AK62" s="269"/>
      <c r="AL62" s="269"/>
    </row>
    <row r="63" spans="1:38" s="264" customFormat="1" x14ac:dyDescent="0.25">
      <c r="A63" s="91">
        <f t="shared" si="4"/>
        <v>0</v>
      </c>
      <c r="B63" s="37" t="str">
        <f t="shared" si="0"/>
        <v/>
      </c>
      <c r="C63" s="38"/>
      <c r="D63" s="38"/>
      <c r="E63" s="38"/>
      <c r="F63" s="38"/>
      <c r="H63" s="281">
        <v>58</v>
      </c>
      <c r="I63" s="282" t="str">
        <f t="shared" si="1"/>
        <v/>
      </c>
      <c r="J63" s="281" t="e">
        <f t="shared" si="5"/>
        <v>#NUM!</v>
      </c>
      <c r="K63" s="281" t="e">
        <f t="shared" si="2"/>
        <v>#NUM!</v>
      </c>
      <c r="L63" s="281"/>
      <c r="M63" s="283">
        <f t="shared" si="3"/>
        <v>0</v>
      </c>
      <c r="S63" s="269"/>
      <c r="T63" s="269"/>
      <c r="U63" s="269"/>
      <c r="V63" s="269"/>
      <c r="W63" s="269"/>
      <c r="X63" s="269"/>
      <c r="Y63" s="269"/>
      <c r="Z63" s="269"/>
      <c r="AA63" s="269"/>
      <c r="AB63" s="269"/>
      <c r="AC63" s="269"/>
      <c r="AD63" s="269"/>
      <c r="AE63" s="269"/>
      <c r="AF63" s="269"/>
      <c r="AG63" s="269"/>
      <c r="AH63" s="269"/>
      <c r="AI63" s="269"/>
      <c r="AJ63" s="269"/>
      <c r="AK63" s="269"/>
      <c r="AL63" s="269"/>
    </row>
    <row r="64" spans="1:38" s="264" customFormat="1" x14ac:dyDescent="0.25">
      <c r="A64" s="87">
        <f t="shared" si="4"/>
        <v>0</v>
      </c>
      <c r="B64" s="31" t="str">
        <f t="shared" si="0"/>
        <v/>
      </c>
      <c r="C64" s="32"/>
      <c r="D64" s="32"/>
      <c r="E64" s="32"/>
      <c r="F64" s="32"/>
      <c r="H64" s="278">
        <v>59</v>
      </c>
      <c r="I64" s="279" t="str">
        <f t="shared" si="1"/>
        <v/>
      </c>
      <c r="J64" s="278" t="e">
        <f t="shared" si="5"/>
        <v>#NUM!</v>
      </c>
      <c r="K64" s="278" t="e">
        <f t="shared" si="2"/>
        <v>#NUM!</v>
      </c>
      <c r="L64" s="278"/>
      <c r="M64" s="280">
        <f t="shared" si="3"/>
        <v>0</v>
      </c>
      <c r="S64" s="269"/>
      <c r="T64" s="269"/>
      <c r="U64" s="269"/>
      <c r="V64" s="269"/>
      <c r="W64" s="269"/>
      <c r="X64" s="269"/>
      <c r="Y64" s="269"/>
      <c r="Z64" s="269"/>
      <c r="AA64" s="269"/>
      <c r="AB64" s="269"/>
      <c r="AC64" s="269"/>
      <c r="AD64" s="269"/>
      <c r="AE64" s="269"/>
      <c r="AF64" s="269"/>
      <c r="AG64" s="269"/>
      <c r="AH64" s="269"/>
      <c r="AI64" s="269"/>
      <c r="AJ64" s="269"/>
      <c r="AK64" s="269"/>
      <c r="AL64" s="269"/>
    </row>
    <row r="65" spans="1:38" s="264" customFormat="1" x14ac:dyDescent="0.25">
      <c r="A65" s="91">
        <f t="shared" si="4"/>
        <v>0</v>
      </c>
      <c r="B65" s="37" t="str">
        <f t="shared" si="0"/>
        <v/>
      </c>
      <c r="C65" s="38"/>
      <c r="D65" s="38"/>
      <c r="E65" s="38"/>
      <c r="F65" s="38"/>
      <c r="H65" s="281">
        <v>60</v>
      </c>
      <c r="I65" s="282" t="str">
        <f t="shared" si="1"/>
        <v/>
      </c>
      <c r="J65" s="281" t="e">
        <f t="shared" si="5"/>
        <v>#NUM!</v>
      </c>
      <c r="K65" s="281" t="e">
        <f t="shared" si="2"/>
        <v>#NUM!</v>
      </c>
      <c r="L65" s="281"/>
      <c r="M65" s="283">
        <f t="shared" si="3"/>
        <v>0</v>
      </c>
      <c r="S65" s="269"/>
      <c r="T65" s="269"/>
      <c r="U65" s="269"/>
      <c r="V65" s="269"/>
      <c r="W65" s="269"/>
      <c r="X65" s="269"/>
      <c r="Y65" s="269"/>
      <c r="Z65" s="269"/>
      <c r="AA65" s="269"/>
      <c r="AB65" s="269"/>
      <c r="AC65" s="269"/>
      <c r="AD65" s="269"/>
      <c r="AE65" s="269"/>
      <c r="AF65" s="269"/>
      <c r="AG65" s="269"/>
      <c r="AH65" s="269"/>
      <c r="AI65" s="269"/>
      <c r="AJ65" s="269"/>
      <c r="AK65" s="269"/>
      <c r="AL65" s="269"/>
    </row>
    <row r="66" spans="1:38" s="264" customFormat="1" x14ac:dyDescent="0.25">
      <c r="A66" s="87">
        <f t="shared" si="4"/>
        <v>0</v>
      </c>
      <c r="B66" s="31" t="str">
        <f t="shared" si="0"/>
        <v/>
      </c>
      <c r="C66" s="32"/>
      <c r="D66" s="32"/>
      <c r="E66" s="32"/>
      <c r="F66" s="32"/>
      <c r="H66" s="278">
        <v>61</v>
      </c>
      <c r="I66" s="279" t="str">
        <f t="shared" si="1"/>
        <v/>
      </c>
      <c r="J66" s="278" t="e">
        <f t="shared" si="5"/>
        <v>#NUM!</v>
      </c>
      <c r="K66" s="278" t="e">
        <f t="shared" si="2"/>
        <v>#NUM!</v>
      </c>
      <c r="L66" s="278"/>
      <c r="M66" s="280">
        <f t="shared" si="3"/>
        <v>0</v>
      </c>
      <c r="S66" s="269"/>
      <c r="T66" s="269"/>
      <c r="U66" s="269"/>
      <c r="V66" s="269"/>
      <c r="W66" s="269"/>
      <c r="X66" s="269"/>
      <c r="Y66" s="269"/>
      <c r="Z66" s="269"/>
      <c r="AA66" s="269"/>
      <c r="AB66" s="269"/>
      <c r="AC66" s="269"/>
      <c r="AD66" s="269"/>
      <c r="AE66" s="269"/>
      <c r="AF66" s="269"/>
      <c r="AG66" s="269"/>
      <c r="AH66" s="269"/>
      <c r="AI66" s="269"/>
      <c r="AJ66" s="269"/>
      <c r="AK66" s="269"/>
      <c r="AL66" s="269"/>
    </row>
    <row r="67" spans="1:38" s="264" customFormat="1" x14ac:dyDescent="0.25">
      <c r="A67" s="91">
        <f t="shared" si="4"/>
        <v>0</v>
      </c>
      <c r="B67" s="37" t="str">
        <f t="shared" si="0"/>
        <v/>
      </c>
      <c r="C67" s="38"/>
      <c r="D67" s="38"/>
      <c r="E67" s="38"/>
      <c r="F67" s="38"/>
      <c r="H67" s="281">
        <v>62</v>
      </c>
      <c r="I67" s="282" t="str">
        <f t="shared" si="1"/>
        <v/>
      </c>
      <c r="J67" s="281" t="e">
        <f t="shared" si="5"/>
        <v>#NUM!</v>
      </c>
      <c r="K67" s="281" t="e">
        <f t="shared" si="2"/>
        <v>#NUM!</v>
      </c>
      <c r="L67" s="281"/>
      <c r="M67" s="283">
        <f t="shared" si="3"/>
        <v>0</v>
      </c>
      <c r="S67" s="269"/>
      <c r="T67" s="269"/>
      <c r="U67" s="269"/>
      <c r="V67" s="269"/>
      <c r="W67" s="269"/>
      <c r="X67" s="269"/>
      <c r="Y67" s="269"/>
      <c r="Z67" s="269"/>
      <c r="AA67" s="269"/>
      <c r="AB67" s="269"/>
      <c r="AC67" s="269"/>
      <c r="AD67" s="269"/>
      <c r="AE67" s="269"/>
      <c r="AF67" s="269"/>
      <c r="AG67" s="269"/>
      <c r="AH67" s="269"/>
      <c r="AI67" s="269"/>
      <c r="AJ67" s="269"/>
      <c r="AK67" s="269"/>
      <c r="AL67" s="269"/>
    </row>
    <row r="68" spans="1:38" s="264" customFormat="1" x14ac:dyDescent="0.25">
      <c r="A68" s="87">
        <f t="shared" si="4"/>
        <v>0</v>
      </c>
      <c r="B68" s="31" t="str">
        <f t="shared" si="0"/>
        <v/>
      </c>
      <c r="C68" s="32"/>
      <c r="D68" s="32"/>
      <c r="E68" s="32"/>
      <c r="F68" s="32"/>
      <c r="H68" s="278">
        <v>63</v>
      </c>
      <c r="I68" s="279" t="str">
        <f t="shared" si="1"/>
        <v/>
      </c>
      <c r="J68" s="278" t="e">
        <f t="shared" si="5"/>
        <v>#NUM!</v>
      </c>
      <c r="K68" s="278" t="e">
        <f t="shared" si="2"/>
        <v>#NUM!</v>
      </c>
      <c r="L68" s="278"/>
      <c r="M68" s="280">
        <f t="shared" si="3"/>
        <v>0</v>
      </c>
      <c r="S68" s="269"/>
      <c r="T68" s="269"/>
      <c r="U68" s="269"/>
      <c r="V68" s="269"/>
      <c r="W68" s="269"/>
      <c r="X68" s="269"/>
      <c r="Y68" s="269"/>
      <c r="Z68" s="269"/>
      <c r="AA68" s="269"/>
      <c r="AB68" s="269"/>
      <c r="AC68" s="269"/>
      <c r="AD68" s="269"/>
      <c r="AE68" s="269"/>
      <c r="AF68" s="269"/>
      <c r="AG68" s="269"/>
      <c r="AH68" s="269"/>
      <c r="AI68" s="269"/>
      <c r="AJ68" s="269"/>
      <c r="AK68" s="269"/>
      <c r="AL68" s="269"/>
    </row>
    <row r="69" spans="1:38" s="264" customFormat="1" x14ac:dyDescent="0.25">
      <c r="A69" s="91">
        <f t="shared" si="4"/>
        <v>0</v>
      </c>
      <c r="B69" s="37" t="str">
        <f t="shared" si="0"/>
        <v/>
      </c>
      <c r="C69" s="38"/>
      <c r="D69" s="38"/>
      <c r="E69" s="38"/>
      <c r="F69" s="38"/>
      <c r="H69" s="281">
        <v>64</v>
      </c>
      <c r="I69" s="282" t="str">
        <f t="shared" si="1"/>
        <v/>
      </c>
      <c r="J69" s="281" t="e">
        <f t="shared" si="5"/>
        <v>#NUM!</v>
      </c>
      <c r="K69" s="281" t="e">
        <f t="shared" si="2"/>
        <v>#NUM!</v>
      </c>
      <c r="L69" s="281"/>
      <c r="M69" s="283">
        <f t="shared" si="3"/>
        <v>0</v>
      </c>
      <c r="S69" s="269"/>
      <c r="T69" s="269"/>
      <c r="U69" s="269"/>
      <c r="V69" s="269"/>
      <c r="W69" s="269"/>
      <c r="X69" s="269"/>
      <c r="Y69" s="269"/>
      <c r="Z69" s="269"/>
      <c r="AA69" s="269"/>
      <c r="AB69" s="269"/>
      <c r="AC69" s="269"/>
      <c r="AD69" s="269"/>
      <c r="AE69" s="269"/>
      <c r="AF69" s="269"/>
      <c r="AG69" s="269"/>
      <c r="AH69" s="269"/>
      <c r="AI69" s="269"/>
      <c r="AJ69" s="269"/>
      <c r="AK69" s="269"/>
      <c r="AL69" s="269"/>
    </row>
    <row r="70" spans="1:38" s="264" customFormat="1" x14ac:dyDescent="0.25">
      <c r="A70" s="87">
        <f t="shared" si="4"/>
        <v>0</v>
      </c>
      <c r="B70" s="31" t="str">
        <f t="shared" ref="B70:B133" si="6">IF(H70&gt;$H$2,"",(ROW()-5))</f>
        <v/>
      </c>
      <c r="C70" s="32"/>
      <c r="D70" s="32"/>
      <c r="E70" s="32"/>
      <c r="F70" s="32"/>
      <c r="H70" s="278">
        <v>65</v>
      </c>
      <c r="I70" s="279" t="str">
        <f t="shared" ref="I70:I133" si="7">IF(H70&lt;$H$2+1,($I$2-($I$2-1)*(LOG(H70)/LOG($H$2))),"")</f>
        <v/>
      </c>
      <c r="J70" s="278" t="e">
        <f t="shared" si="5"/>
        <v>#NUM!</v>
      </c>
      <c r="K70" s="278" t="e">
        <f t="shared" ref="K70:K133" si="8">J70*$J$2</f>
        <v>#NUM!</v>
      </c>
      <c r="L70" s="278"/>
      <c r="M70" s="280">
        <f t="shared" ref="M70:M133" si="9">IF(I70&lt;&gt;"",K70+I70+L70,0)</f>
        <v>0</v>
      </c>
      <c r="S70" s="269"/>
      <c r="T70" s="269"/>
      <c r="U70" s="269"/>
      <c r="V70" s="269"/>
      <c r="W70" s="269"/>
      <c r="X70" s="269"/>
      <c r="Y70" s="269"/>
      <c r="Z70" s="269"/>
      <c r="AA70" s="269"/>
      <c r="AB70" s="269"/>
      <c r="AC70" s="269"/>
      <c r="AD70" s="269"/>
      <c r="AE70" s="269"/>
      <c r="AF70" s="269"/>
      <c r="AG70" s="269"/>
      <c r="AH70" s="269"/>
      <c r="AI70" s="269"/>
      <c r="AJ70" s="269"/>
      <c r="AK70" s="269"/>
      <c r="AL70" s="269"/>
    </row>
    <row r="71" spans="1:38" s="264" customFormat="1" x14ac:dyDescent="0.25">
      <c r="A71" s="91">
        <f t="shared" ref="A71:A134" si="10">M71</f>
        <v>0</v>
      </c>
      <c r="B71" s="37" t="str">
        <f t="shared" si="6"/>
        <v/>
      </c>
      <c r="C71" s="38"/>
      <c r="D71" s="38"/>
      <c r="E71" s="38"/>
      <c r="F71" s="38"/>
      <c r="H71" s="281">
        <v>66</v>
      </c>
      <c r="I71" s="282" t="str">
        <f t="shared" si="7"/>
        <v/>
      </c>
      <c r="J71" s="281" t="e">
        <f t="shared" ref="J71:J134" si="11">INT(LOG($H$2,2))-ROUNDUP(LOG(H71,2),0)+IF(OR($H$2=1,$H$2=2,$H$2=4,$H$2=8,$H$2=16,$H$2=32,$H$2=64,$H$2=128,$H$2=256),0,1)</f>
        <v>#NUM!</v>
      </c>
      <c r="K71" s="281" t="e">
        <f t="shared" si="8"/>
        <v>#NUM!</v>
      </c>
      <c r="L71" s="281"/>
      <c r="M71" s="283">
        <f t="shared" si="9"/>
        <v>0</v>
      </c>
      <c r="S71" s="269"/>
      <c r="T71" s="269"/>
      <c r="U71" s="269"/>
      <c r="V71" s="269"/>
      <c r="W71" s="269"/>
      <c r="X71" s="269"/>
      <c r="Y71" s="269"/>
      <c r="Z71" s="269"/>
      <c r="AA71" s="269"/>
      <c r="AB71" s="269"/>
      <c r="AC71" s="269"/>
      <c r="AD71" s="269"/>
      <c r="AE71" s="269"/>
      <c r="AF71" s="269"/>
      <c r="AG71" s="269"/>
      <c r="AH71" s="269"/>
      <c r="AI71" s="269"/>
      <c r="AJ71" s="269"/>
      <c r="AK71" s="269"/>
      <c r="AL71" s="269"/>
    </row>
    <row r="72" spans="1:38" s="264" customFormat="1" x14ac:dyDescent="0.25">
      <c r="A72" s="87">
        <f t="shared" si="10"/>
        <v>0</v>
      </c>
      <c r="B72" s="31" t="str">
        <f t="shared" si="6"/>
        <v/>
      </c>
      <c r="C72" s="32"/>
      <c r="D72" s="32"/>
      <c r="E72" s="32"/>
      <c r="F72" s="32"/>
      <c r="H72" s="278">
        <v>67</v>
      </c>
      <c r="I72" s="279" t="str">
        <f t="shared" si="7"/>
        <v/>
      </c>
      <c r="J72" s="278" t="e">
        <f t="shared" si="11"/>
        <v>#NUM!</v>
      </c>
      <c r="K72" s="278" t="e">
        <f t="shared" si="8"/>
        <v>#NUM!</v>
      </c>
      <c r="L72" s="278"/>
      <c r="M72" s="280">
        <f t="shared" si="9"/>
        <v>0</v>
      </c>
      <c r="S72" s="269"/>
      <c r="T72" s="269"/>
      <c r="U72" s="269"/>
      <c r="V72" s="269"/>
      <c r="W72" s="269"/>
      <c r="X72" s="269"/>
      <c r="Y72" s="269"/>
      <c r="Z72" s="269"/>
      <c r="AA72" s="269"/>
      <c r="AB72" s="269"/>
      <c r="AC72" s="269"/>
      <c r="AD72" s="269"/>
      <c r="AE72" s="269"/>
      <c r="AF72" s="269"/>
      <c r="AG72" s="269"/>
      <c r="AH72" s="269"/>
      <c r="AI72" s="269"/>
      <c r="AJ72" s="269"/>
      <c r="AK72" s="269"/>
      <c r="AL72" s="269"/>
    </row>
    <row r="73" spans="1:38" s="264" customFormat="1" x14ac:dyDescent="0.25">
      <c r="A73" s="91">
        <f t="shared" si="10"/>
        <v>0</v>
      </c>
      <c r="B73" s="37" t="str">
        <f t="shared" si="6"/>
        <v/>
      </c>
      <c r="C73" s="38"/>
      <c r="D73" s="38"/>
      <c r="E73" s="38"/>
      <c r="F73" s="38"/>
      <c r="H73" s="281">
        <v>68</v>
      </c>
      <c r="I73" s="282" t="str">
        <f t="shared" si="7"/>
        <v/>
      </c>
      <c r="J73" s="281" t="e">
        <f t="shared" si="11"/>
        <v>#NUM!</v>
      </c>
      <c r="K73" s="281" t="e">
        <f t="shared" si="8"/>
        <v>#NUM!</v>
      </c>
      <c r="L73" s="281"/>
      <c r="M73" s="283">
        <f t="shared" si="9"/>
        <v>0</v>
      </c>
      <c r="S73" s="269"/>
      <c r="T73" s="269"/>
      <c r="U73" s="269"/>
      <c r="V73" s="269"/>
      <c r="W73" s="269"/>
      <c r="X73" s="269"/>
      <c r="Y73" s="269"/>
      <c r="Z73" s="269"/>
      <c r="AA73" s="269"/>
      <c r="AB73" s="269"/>
      <c r="AC73" s="269"/>
      <c r="AD73" s="269"/>
      <c r="AE73" s="269"/>
      <c r="AF73" s="269"/>
      <c r="AG73" s="269"/>
      <c r="AH73" s="269"/>
      <c r="AI73" s="269"/>
      <c r="AJ73" s="269"/>
      <c r="AK73" s="269"/>
      <c r="AL73" s="269"/>
    </row>
    <row r="74" spans="1:38" s="264" customFormat="1" x14ac:dyDescent="0.25">
      <c r="A74" s="87">
        <f t="shared" si="10"/>
        <v>0</v>
      </c>
      <c r="B74" s="31" t="str">
        <f t="shared" si="6"/>
        <v/>
      </c>
      <c r="C74" s="32"/>
      <c r="D74" s="32"/>
      <c r="E74" s="32"/>
      <c r="F74" s="32"/>
      <c r="H74" s="278">
        <v>69</v>
      </c>
      <c r="I74" s="279" t="str">
        <f t="shared" si="7"/>
        <v/>
      </c>
      <c r="J74" s="278" t="e">
        <f t="shared" si="11"/>
        <v>#NUM!</v>
      </c>
      <c r="K74" s="278" t="e">
        <f t="shared" si="8"/>
        <v>#NUM!</v>
      </c>
      <c r="L74" s="278"/>
      <c r="M74" s="280">
        <f t="shared" si="9"/>
        <v>0</v>
      </c>
      <c r="S74" s="269"/>
      <c r="T74" s="269"/>
      <c r="U74" s="269"/>
      <c r="V74" s="269"/>
      <c r="W74" s="269"/>
      <c r="X74" s="269"/>
      <c r="Y74" s="269"/>
      <c r="Z74" s="269"/>
      <c r="AA74" s="269"/>
      <c r="AB74" s="269"/>
      <c r="AC74" s="269"/>
      <c r="AD74" s="269"/>
      <c r="AE74" s="269"/>
      <c r="AF74" s="269"/>
      <c r="AG74" s="269"/>
      <c r="AH74" s="269"/>
      <c r="AI74" s="269"/>
      <c r="AJ74" s="269"/>
      <c r="AK74" s="269"/>
      <c r="AL74" s="269"/>
    </row>
    <row r="75" spans="1:38" s="264" customFormat="1" x14ac:dyDescent="0.25">
      <c r="A75" s="91">
        <f t="shared" si="10"/>
        <v>0</v>
      </c>
      <c r="B75" s="37" t="str">
        <f t="shared" si="6"/>
        <v/>
      </c>
      <c r="C75" s="38"/>
      <c r="D75" s="38"/>
      <c r="E75" s="38"/>
      <c r="F75" s="38"/>
      <c r="H75" s="281">
        <v>70</v>
      </c>
      <c r="I75" s="282" t="str">
        <f t="shared" si="7"/>
        <v/>
      </c>
      <c r="J75" s="281" t="e">
        <f t="shared" si="11"/>
        <v>#NUM!</v>
      </c>
      <c r="K75" s="281" t="e">
        <f t="shared" si="8"/>
        <v>#NUM!</v>
      </c>
      <c r="L75" s="281"/>
      <c r="M75" s="283">
        <f t="shared" si="9"/>
        <v>0</v>
      </c>
      <c r="S75" s="269"/>
      <c r="T75" s="269"/>
      <c r="U75" s="269"/>
      <c r="V75" s="269"/>
      <c r="W75" s="269"/>
      <c r="X75" s="269"/>
      <c r="Y75" s="269"/>
      <c r="Z75" s="269"/>
      <c r="AA75" s="269"/>
      <c r="AB75" s="269"/>
      <c r="AC75" s="269"/>
      <c r="AD75" s="269"/>
      <c r="AE75" s="269"/>
      <c r="AF75" s="269"/>
      <c r="AG75" s="269"/>
      <c r="AH75" s="269"/>
      <c r="AI75" s="269"/>
      <c r="AJ75" s="269"/>
      <c r="AK75" s="269"/>
      <c r="AL75" s="269"/>
    </row>
    <row r="76" spans="1:38" s="264" customFormat="1" x14ac:dyDescent="0.25">
      <c r="A76" s="87">
        <f t="shared" si="10"/>
        <v>0</v>
      </c>
      <c r="B76" s="31" t="str">
        <f t="shared" si="6"/>
        <v/>
      </c>
      <c r="C76" s="32"/>
      <c r="D76" s="32"/>
      <c r="E76" s="32"/>
      <c r="F76" s="32"/>
      <c r="H76" s="278">
        <v>71</v>
      </c>
      <c r="I76" s="279" t="str">
        <f t="shared" si="7"/>
        <v/>
      </c>
      <c r="J76" s="278" t="e">
        <f t="shared" si="11"/>
        <v>#NUM!</v>
      </c>
      <c r="K76" s="278" t="e">
        <f t="shared" si="8"/>
        <v>#NUM!</v>
      </c>
      <c r="L76" s="278"/>
      <c r="M76" s="280">
        <f t="shared" si="9"/>
        <v>0</v>
      </c>
      <c r="S76" s="269"/>
      <c r="T76" s="269"/>
      <c r="U76" s="269"/>
      <c r="V76" s="269"/>
      <c r="W76" s="269"/>
      <c r="X76" s="269"/>
      <c r="Y76" s="269"/>
      <c r="Z76" s="269"/>
      <c r="AA76" s="269"/>
      <c r="AB76" s="269"/>
      <c r="AC76" s="269"/>
      <c r="AD76" s="269"/>
      <c r="AE76" s="269"/>
      <c r="AF76" s="269"/>
      <c r="AG76" s="269"/>
      <c r="AH76" s="269"/>
      <c r="AI76" s="269"/>
      <c r="AJ76" s="269"/>
      <c r="AK76" s="269"/>
      <c r="AL76" s="269"/>
    </row>
    <row r="77" spans="1:38" s="264" customFormat="1" x14ac:dyDescent="0.25">
      <c r="A77" s="91">
        <f t="shared" si="10"/>
        <v>0</v>
      </c>
      <c r="B77" s="37" t="str">
        <f t="shared" si="6"/>
        <v/>
      </c>
      <c r="C77" s="38"/>
      <c r="D77" s="38"/>
      <c r="E77" s="38"/>
      <c r="F77" s="38"/>
      <c r="H77" s="281">
        <v>72</v>
      </c>
      <c r="I77" s="282" t="str">
        <f t="shared" si="7"/>
        <v/>
      </c>
      <c r="J77" s="281" t="e">
        <f t="shared" si="11"/>
        <v>#NUM!</v>
      </c>
      <c r="K77" s="281" t="e">
        <f t="shared" si="8"/>
        <v>#NUM!</v>
      </c>
      <c r="L77" s="281"/>
      <c r="M77" s="283">
        <f t="shared" si="9"/>
        <v>0</v>
      </c>
      <c r="S77" s="269"/>
      <c r="T77" s="269"/>
      <c r="U77" s="269"/>
      <c r="V77" s="269"/>
      <c r="W77" s="269"/>
      <c r="X77" s="269"/>
      <c r="Y77" s="269"/>
      <c r="Z77" s="269"/>
      <c r="AA77" s="269"/>
      <c r="AB77" s="269"/>
      <c r="AC77" s="269"/>
      <c r="AD77" s="269"/>
      <c r="AE77" s="269"/>
      <c r="AF77" s="269"/>
      <c r="AG77" s="269"/>
      <c r="AH77" s="269"/>
      <c r="AI77" s="269"/>
      <c r="AJ77" s="269"/>
      <c r="AK77" s="269"/>
      <c r="AL77" s="269"/>
    </row>
    <row r="78" spans="1:38" s="264" customFormat="1" x14ac:dyDescent="0.25">
      <c r="A78" s="87">
        <f t="shared" si="10"/>
        <v>0</v>
      </c>
      <c r="B78" s="31" t="str">
        <f t="shared" si="6"/>
        <v/>
      </c>
      <c r="C78" s="32"/>
      <c r="D78" s="32"/>
      <c r="E78" s="32"/>
      <c r="F78" s="32"/>
      <c r="H78" s="278">
        <v>73</v>
      </c>
      <c r="I78" s="279" t="str">
        <f t="shared" si="7"/>
        <v/>
      </c>
      <c r="J78" s="278" t="e">
        <f t="shared" si="11"/>
        <v>#NUM!</v>
      </c>
      <c r="K78" s="278" t="e">
        <f t="shared" si="8"/>
        <v>#NUM!</v>
      </c>
      <c r="L78" s="278"/>
      <c r="M78" s="280">
        <f t="shared" si="9"/>
        <v>0</v>
      </c>
      <c r="S78" s="269"/>
      <c r="T78" s="269"/>
      <c r="U78" s="269"/>
      <c r="V78" s="269"/>
      <c r="W78" s="269"/>
      <c r="X78" s="269"/>
      <c r="Y78" s="269"/>
      <c r="Z78" s="269"/>
      <c r="AA78" s="269"/>
      <c r="AB78" s="269"/>
      <c r="AC78" s="269"/>
      <c r="AD78" s="269"/>
      <c r="AE78" s="269"/>
      <c r="AF78" s="269"/>
      <c r="AG78" s="269"/>
      <c r="AH78" s="269"/>
      <c r="AI78" s="269"/>
      <c r="AJ78" s="269"/>
      <c r="AK78" s="269"/>
      <c r="AL78" s="269"/>
    </row>
    <row r="79" spans="1:38" s="264" customFormat="1" x14ac:dyDescent="0.25">
      <c r="A79" s="91">
        <f t="shared" si="10"/>
        <v>0</v>
      </c>
      <c r="B79" s="37" t="str">
        <f t="shared" si="6"/>
        <v/>
      </c>
      <c r="C79" s="38"/>
      <c r="D79" s="38"/>
      <c r="E79" s="38"/>
      <c r="F79" s="38"/>
      <c r="H79" s="281">
        <v>74</v>
      </c>
      <c r="I79" s="282" t="str">
        <f t="shared" si="7"/>
        <v/>
      </c>
      <c r="J79" s="281" t="e">
        <f t="shared" si="11"/>
        <v>#NUM!</v>
      </c>
      <c r="K79" s="281" t="e">
        <f t="shared" si="8"/>
        <v>#NUM!</v>
      </c>
      <c r="L79" s="281"/>
      <c r="M79" s="283">
        <f t="shared" si="9"/>
        <v>0</v>
      </c>
      <c r="S79" s="269"/>
      <c r="T79" s="269"/>
      <c r="U79" s="269"/>
      <c r="V79" s="269"/>
      <c r="W79" s="269"/>
      <c r="X79" s="269"/>
      <c r="Y79" s="269"/>
      <c r="Z79" s="269"/>
      <c r="AA79" s="269"/>
      <c r="AB79" s="269"/>
      <c r="AC79" s="269"/>
      <c r="AD79" s="269"/>
      <c r="AE79" s="269"/>
      <c r="AF79" s="269"/>
      <c r="AG79" s="269"/>
      <c r="AH79" s="269"/>
      <c r="AI79" s="269"/>
      <c r="AJ79" s="269"/>
      <c r="AK79" s="269"/>
      <c r="AL79" s="269"/>
    </row>
    <row r="80" spans="1:38" s="264" customFormat="1" x14ac:dyDescent="0.25">
      <c r="A80" s="87">
        <f t="shared" si="10"/>
        <v>0</v>
      </c>
      <c r="B80" s="31" t="str">
        <f t="shared" si="6"/>
        <v/>
      </c>
      <c r="C80" s="32"/>
      <c r="D80" s="32"/>
      <c r="E80" s="32"/>
      <c r="F80" s="32"/>
      <c r="H80" s="278">
        <v>75</v>
      </c>
      <c r="I80" s="279" t="str">
        <f t="shared" si="7"/>
        <v/>
      </c>
      <c r="J80" s="278" t="e">
        <f t="shared" si="11"/>
        <v>#NUM!</v>
      </c>
      <c r="K80" s="278" t="e">
        <f t="shared" si="8"/>
        <v>#NUM!</v>
      </c>
      <c r="L80" s="278"/>
      <c r="M80" s="280">
        <f t="shared" si="9"/>
        <v>0</v>
      </c>
      <c r="S80" s="269"/>
      <c r="T80" s="269"/>
      <c r="U80" s="269"/>
      <c r="V80" s="269"/>
      <c r="W80" s="269"/>
      <c r="X80" s="269"/>
      <c r="Y80" s="269"/>
      <c r="Z80" s="269"/>
      <c r="AA80" s="269"/>
      <c r="AB80" s="269"/>
      <c r="AC80" s="269"/>
      <c r="AD80" s="269"/>
      <c r="AE80" s="269"/>
      <c r="AF80" s="269"/>
      <c r="AG80" s="269"/>
      <c r="AH80" s="269"/>
      <c r="AI80" s="269"/>
      <c r="AJ80" s="269"/>
      <c r="AK80" s="269"/>
      <c r="AL80" s="269"/>
    </row>
    <row r="81" spans="1:38" s="264" customFormat="1" x14ac:dyDescent="0.25">
      <c r="A81" s="91">
        <f t="shared" si="10"/>
        <v>0</v>
      </c>
      <c r="B81" s="37" t="str">
        <f t="shared" si="6"/>
        <v/>
      </c>
      <c r="C81" s="38"/>
      <c r="D81" s="38"/>
      <c r="E81" s="38"/>
      <c r="F81" s="38"/>
      <c r="H81" s="281">
        <v>76</v>
      </c>
      <c r="I81" s="282" t="str">
        <f t="shared" si="7"/>
        <v/>
      </c>
      <c r="J81" s="281" t="e">
        <f t="shared" si="11"/>
        <v>#NUM!</v>
      </c>
      <c r="K81" s="281" t="e">
        <f t="shared" si="8"/>
        <v>#NUM!</v>
      </c>
      <c r="L81" s="281"/>
      <c r="M81" s="283">
        <f t="shared" si="9"/>
        <v>0</v>
      </c>
      <c r="S81" s="269"/>
      <c r="T81" s="269"/>
      <c r="U81" s="269"/>
      <c r="V81" s="269"/>
      <c r="W81" s="269"/>
      <c r="X81" s="269"/>
      <c r="Y81" s="269"/>
      <c r="Z81" s="269"/>
      <c r="AA81" s="269"/>
      <c r="AB81" s="269"/>
      <c r="AC81" s="269"/>
      <c r="AD81" s="269"/>
      <c r="AE81" s="269"/>
      <c r="AF81" s="269"/>
      <c r="AG81" s="269"/>
      <c r="AH81" s="269"/>
      <c r="AI81" s="269"/>
      <c r="AJ81" s="269"/>
      <c r="AK81" s="269"/>
      <c r="AL81" s="269"/>
    </row>
    <row r="82" spans="1:38" s="264" customFormat="1" x14ac:dyDescent="0.25">
      <c r="A82" s="87">
        <f t="shared" si="10"/>
        <v>0</v>
      </c>
      <c r="B82" s="31" t="str">
        <f t="shared" si="6"/>
        <v/>
      </c>
      <c r="C82" s="32"/>
      <c r="D82" s="32"/>
      <c r="E82" s="32"/>
      <c r="F82" s="32"/>
      <c r="H82" s="278">
        <v>77</v>
      </c>
      <c r="I82" s="279" t="str">
        <f t="shared" si="7"/>
        <v/>
      </c>
      <c r="J82" s="278" t="e">
        <f t="shared" si="11"/>
        <v>#NUM!</v>
      </c>
      <c r="K82" s="278" t="e">
        <f t="shared" si="8"/>
        <v>#NUM!</v>
      </c>
      <c r="L82" s="278"/>
      <c r="M82" s="280">
        <f t="shared" si="9"/>
        <v>0</v>
      </c>
      <c r="S82" s="269"/>
      <c r="T82" s="269"/>
      <c r="U82" s="269"/>
      <c r="V82" s="269"/>
      <c r="W82" s="269"/>
      <c r="X82" s="269"/>
      <c r="Y82" s="269"/>
      <c r="Z82" s="269"/>
      <c r="AA82" s="269"/>
      <c r="AB82" s="269"/>
      <c r="AC82" s="269"/>
      <c r="AD82" s="269"/>
      <c r="AE82" s="269"/>
      <c r="AF82" s="269"/>
      <c r="AG82" s="269"/>
      <c r="AH82" s="269"/>
      <c r="AI82" s="269"/>
      <c r="AJ82" s="269"/>
      <c r="AK82" s="269"/>
      <c r="AL82" s="269"/>
    </row>
    <row r="83" spans="1:38" s="264" customFormat="1" x14ac:dyDescent="0.25">
      <c r="A83" s="91">
        <f t="shared" si="10"/>
        <v>0</v>
      </c>
      <c r="B83" s="37" t="str">
        <f t="shared" si="6"/>
        <v/>
      </c>
      <c r="C83" s="38"/>
      <c r="D83" s="38"/>
      <c r="E83" s="38"/>
      <c r="F83" s="38"/>
      <c r="H83" s="281">
        <v>78</v>
      </c>
      <c r="I83" s="282" t="str">
        <f t="shared" si="7"/>
        <v/>
      </c>
      <c r="J83" s="281" t="e">
        <f t="shared" si="11"/>
        <v>#NUM!</v>
      </c>
      <c r="K83" s="281" t="e">
        <f t="shared" si="8"/>
        <v>#NUM!</v>
      </c>
      <c r="L83" s="281"/>
      <c r="M83" s="283">
        <f t="shared" si="9"/>
        <v>0</v>
      </c>
      <c r="S83" s="269"/>
      <c r="T83" s="269"/>
      <c r="U83" s="269"/>
      <c r="V83" s="269"/>
      <c r="W83" s="269"/>
      <c r="X83" s="269"/>
      <c r="Y83" s="269"/>
      <c r="Z83" s="269"/>
      <c r="AA83" s="269"/>
      <c r="AB83" s="269"/>
      <c r="AC83" s="269"/>
      <c r="AD83" s="269"/>
      <c r="AE83" s="269"/>
      <c r="AF83" s="269"/>
      <c r="AG83" s="269"/>
      <c r="AH83" s="269"/>
      <c r="AI83" s="269"/>
      <c r="AJ83" s="269"/>
      <c r="AK83" s="269"/>
      <c r="AL83" s="269"/>
    </row>
    <row r="84" spans="1:38" s="264" customFormat="1" x14ac:dyDescent="0.25">
      <c r="A84" s="87">
        <f t="shared" si="10"/>
        <v>0</v>
      </c>
      <c r="B84" s="31" t="str">
        <f t="shared" si="6"/>
        <v/>
      </c>
      <c r="C84" s="32"/>
      <c r="D84" s="32"/>
      <c r="E84" s="32"/>
      <c r="F84" s="32"/>
      <c r="H84" s="278">
        <v>79</v>
      </c>
      <c r="I84" s="279" t="str">
        <f t="shared" si="7"/>
        <v/>
      </c>
      <c r="J84" s="278" t="e">
        <f t="shared" si="11"/>
        <v>#NUM!</v>
      </c>
      <c r="K84" s="278" t="e">
        <f t="shared" si="8"/>
        <v>#NUM!</v>
      </c>
      <c r="L84" s="278"/>
      <c r="M84" s="280">
        <f t="shared" si="9"/>
        <v>0</v>
      </c>
      <c r="S84" s="269"/>
      <c r="T84" s="269"/>
      <c r="U84" s="269"/>
      <c r="V84" s="269"/>
      <c r="W84" s="269"/>
      <c r="X84" s="269"/>
      <c r="Y84" s="269"/>
      <c r="Z84" s="269"/>
      <c r="AA84" s="269"/>
      <c r="AB84" s="269"/>
      <c r="AC84" s="269"/>
      <c r="AD84" s="269"/>
      <c r="AE84" s="269"/>
      <c r="AF84" s="269"/>
      <c r="AG84" s="269"/>
      <c r="AH84" s="269"/>
      <c r="AI84" s="269"/>
      <c r="AJ84" s="269"/>
      <c r="AK84" s="269"/>
      <c r="AL84" s="269"/>
    </row>
    <row r="85" spans="1:38" s="264" customFormat="1" x14ac:dyDescent="0.25">
      <c r="A85" s="91">
        <f t="shared" si="10"/>
        <v>0</v>
      </c>
      <c r="B85" s="37" t="str">
        <f t="shared" si="6"/>
        <v/>
      </c>
      <c r="C85" s="38"/>
      <c r="D85" s="38"/>
      <c r="E85" s="38"/>
      <c r="F85" s="38"/>
      <c r="H85" s="281">
        <v>80</v>
      </c>
      <c r="I85" s="282" t="str">
        <f t="shared" si="7"/>
        <v/>
      </c>
      <c r="J85" s="281" t="e">
        <f t="shared" si="11"/>
        <v>#NUM!</v>
      </c>
      <c r="K85" s="281" t="e">
        <f t="shared" si="8"/>
        <v>#NUM!</v>
      </c>
      <c r="L85" s="281"/>
      <c r="M85" s="283">
        <f t="shared" si="9"/>
        <v>0</v>
      </c>
      <c r="S85" s="269"/>
      <c r="T85" s="269"/>
      <c r="U85" s="269"/>
      <c r="V85" s="269"/>
      <c r="W85" s="269"/>
      <c r="X85" s="269"/>
      <c r="Y85" s="269"/>
      <c r="Z85" s="269"/>
      <c r="AA85" s="269"/>
      <c r="AB85" s="269"/>
      <c r="AC85" s="269"/>
      <c r="AD85" s="269"/>
      <c r="AE85" s="269"/>
      <c r="AF85" s="269"/>
      <c r="AG85" s="269"/>
      <c r="AH85" s="269"/>
      <c r="AI85" s="269"/>
      <c r="AJ85" s="269"/>
      <c r="AK85" s="269"/>
      <c r="AL85" s="269"/>
    </row>
    <row r="86" spans="1:38" s="264" customFormat="1" x14ac:dyDescent="0.25">
      <c r="A86" s="87">
        <f t="shared" si="10"/>
        <v>0</v>
      </c>
      <c r="B86" s="31" t="str">
        <f t="shared" si="6"/>
        <v/>
      </c>
      <c r="C86" s="32"/>
      <c r="D86" s="32"/>
      <c r="E86" s="32"/>
      <c r="F86" s="32"/>
      <c r="H86" s="278">
        <v>81</v>
      </c>
      <c r="I86" s="279" t="str">
        <f t="shared" si="7"/>
        <v/>
      </c>
      <c r="J86" s="278" t="e">
        <f t="shared" si="11"/>
        <v>#NUM!</v>
      </c>
      <c r="K86" s="278" t="e">
        <f t="shared" si="8"/>
        <v>#NUM!</v>
      </c>
      <c r="L86" s="278"/>
      <c r="M86" s="280">
        <f t="shared" si="9"/>
        <v>0</v>
      </c>
      <c r="S86" s="269"/>
      <c r="T86" s="269"/>
      <c r="U86" s="269"/>
      <c r="V86" s="269"/>
      <c r="W86" s="269"/>
      <c r="X86" s="269"/>
      <c r="Y86" s="269"/>
      <c r="Z86" s="269"/>
      <c r="AA86" s="269"/>
      <c r="AB86" s="269"/>
      <c r="AC86" s="269"/>
      <c r="AD86" s="269"/>
      <c r="AE86" s="269"/>
      <c r="AF86" s="269"/>
      <c r="AG86" s="269"/>
      <c r="AH86" s="269"/>
      <c r="AI86" s="269"/>
      <c r="AJ86" s="269"/>
      <c r="AK86" s="269"/>
      <c r="AL86" s="269"/>
    </row>
    <row r="87" spans="1:38" s="264" customFormat="1" x14ac:dyDescent="0.25">
      <c r="A87" s="91">
        <f t="shared" si="10"/>
        <v>0</v>
      </c>
      <c r="B87" s="37" t="str">
        <f t="shared" si="6"/>
        <v/>
      </c>
      <c r="C87" s="38"/>
      <c r="D87" s="38"/>
      <c r="E87" s="38"/>
      <c r="F87" s="38"/>
      <c r="H87" s="281">
        <v>82</v>
      </c>
      <c r="I87" s="282" t="str">
        <f t="shared" si="7"/>
        <v/>
      </c>
      <c r="J87" s="281" t="e">
        <f t="shared" si="11"/>
        <v>#NUM!</v>
      </c>
      <c r="K87" s="281" t="e">
        <f t="shared" si="8"/>
        <v>#NUM!</v>
      </c>
      <c r="L87" s="281"/>
      <c r="M87" s="283">
        <f t="shared" si="9"/>
        <v>0</v>
      </c>
      <c r="S87" s="269"/>
      <c r="T87" s="269"/>
      <c r="U87" s="269"/>
      <c r="V87" s="269"/>
      <c r="W87" s="269"/>
      <c r="X87" s="269"/>
      <c r="Y87" s="269"/>
      <c r="Z87" s="269"/>
      <c r="AA87" s="269"/>
      <c r="AB87" s="269"/>
      <c r="AC87" s="269"/>
      <c r="AD87" s="269"/>
      <c r="AE87" s="269"/>
      <c r="AF87" s="269"/>
      <c r="AG87" s="269"/>
      <c r="AH87" s="269"/>
      <c r="AI87" s="269"/>
      <c r="AJ87" s="269"/>
      <c r="AK87" s="269"/>
      <c r="AL87" s="269"/>
    </row>
    <row r="88" spans="1:38" s="264" customFormat="1" x14ac:dyDescent="0.25">
      <c r="A88" s="87">
        <f t="shared" si="10"/>
        <v>0</v>
      </c>
      <c r="B88" s="31" t="str">
        <f t="shared" si="6"/>
        <v/>
      </c>
      <c r="C88" s="32"/>
      <c r="D88" s="32"/>
      <c r="E88" s="32"/>
      <c r="F88" s="32"/>
      <c r="H88" s="278">
        <v>83</v>
      </c>
      <c r="I88" s="279" t="str">
        <f t="shared" si="7"/>
        <v/>
      </c>
      <c r="J88" s="278" t="e">
        <f t="shared" si="11"/>
        <v>#NUM!</v>
      </c>
      <c r="K88" s="278" t="e">
        <f t="shared" si="8"/>
        <v>#NUM!</v>
      </c>
      <c r="L88" s="278"/>
      <c r="M88" s="280">
        <f t="shared" si="9"/>
        <v>0</v>
      </c>
      <c r="S88" s="269"/>
      <c r="T88" s="269"/>
      <c r="U88" s="269"/>
      <c r="V88" s="269"/>
      <c r="W88" s="269"/>
      <c r="X88" s="269"/>
      <c r="Y88" s="269"/>
      <c r="Z88" s="269"/>
      <c r="AA88" s="269"/>
      <c r="AB88" s="269"/>
      <c r="AC88" s="269"/>
      <c r="AD88" s="269"/>
      <c r="AE88" s="269"/>
      <c r="AF88" s="269"/>
      <c r="AG88" s="269"/>
      <c r="AH88" s="269"/>
      <c r="AI88" s="269"/>
      <c r="AJ88" s="269"/>
      <c r="AK88" s="269"/>
      <c r="AL88" s="269"/>
    </row>
    <row r="89" spans="1:38" s="264" customFormat="1" x14ac:dyDescent="0.25">
      <c r="A89" s="91">
        <f t="shared" si="10"/>
        <v>0</v>
      </c>
      <c r="B89" s="37" t="str">
        <f t="shared" si="6"/>
        <v/>
      </c>
      <c r="C89" s="38"/>
      <c r="D89" s="38"/>
      <c r="E89" s="38"/>
      <c r="F89" s="38"/>
      <c r="H89" s="281">
        <v>84</v>
      </c>
      <c r="I89" s="282" t="str">
        <f t="shared" si="7"/>
        <v/>
      </c>
      <c r="J89" s="281" t="e">
        <f t="shared" si="11"/>
        <v>#NUM!</v>
      </c>
      <c r="K89" s="281" t="e">
        <f t="shared" si="8"/>
        <v>#NUM!</v>
      </c>
      <c r="L89" s="281"/>
      <c r="M89" s="283">
        <f t="shared" si="9"/>
        <v>0</v>
      </c>
      <c r="S89" s="269"/>
      <c r="T89" s="269"/>
      <c r="U89" s="269"/>
      <c r="V89" s="269"/>
      <c r="W89" s="269"/>
      <c r="X89" s="269"/>
      <c r="Y89" s="269"/>
      <c r="Z89" s="269"/>
      <c r="AA89" s="269"/>
      <c r="AB89" s="269"/>
      <c r="AC89" s="269"/>
      <c r="AD89" s="269"/>
      <c r="AE89" s="269"/>
      <c r="AF89" s="269"/>
      <c r="AG89" s="269"/>
      <c r="AH89" s="269"/>
      <c r="AI89" s="269"/>
      <c r="AJ89" s="269"/>
      <c r="AK89" s="269"/>
      <c r="AL89" s="269"/>
    </row>
    <row r="90" spans="1:38" s="264" customFormat="1" x14ac:dyDescent="0.25">
      <c r="A90" s="87">
        <f t="shared" si="10"/>
        <v>0</v>
      </c>
      <c r="B90" s="31" t="str">
        <f t="shared" si="6"/>
        <v/>
      </c>
      <c r="C90" s="32"/>
      <c r="D90" s="32"/>
      <c r="E90" s="32"/>
      <c r="F90" s="32"/>
      <c r="H90" s="278">
        <v>85</v>
      </c>
      <c r="I90" s="279" t="str">
        <f t="shared" si="7"/>
        <v/>
      </c>
      <c r="J90" s="278" t="e">
        <f t="shared" si="11"/>
        <v>#NUM!</v>
      </c>
      <c r="K90" s="278" t="e">
        <f t="shared" si="8"/>
        <v>#NUM!</v>
      </c>
      <c r="L90" s="278"/>
      <c r="M90" s="280">
        <f t="shared" si="9"/>
        <v>0</v>
      </c>
      <c r="S90" s="269"/>
      <c r="T90" s="269"/>
      <c r="U90" s="269"/>
      <c r="V90" s="269"/>
      <c r="W90" s="269"/>
      <c r="X90" s="269"/>
      <c r="Y90" s="269"/>
      <c r="Z90" s="269"/>
      <c r="AA90" s="269"/>
      <c r="AB90" s="269"/>
      <c r="AC90" s="269"/>
      <c r="AD90" s="269"/>
      <c r="AE90" s="269"/>
      <c r="AF90" s="269"/>
      <c r="AG90" s="269"/>
      <c r="AH90" s="269"/>
      <c r="AI90" s="269"/>
      <c r="AJ90" s="269"/>
      <c r="AK90" s="269"/>
      <c r="AL90" s="269"/>
    </row>
    <row r="91" spans="1:38" s="264" customFormat="1" x14ac:dyDescent="0.25">
      <c r="A91" s="91">
        <f t="shared" si="10"/>
        <v>0</v>
      </c>
      <c r="B91" s="37" t="str">
        <f t="shared" si="6"/>
        <v/>
      </c>
      <c r="C91" s="38"/>
      <c r="D91" s="38"/>
      <c r="E91" s="38"/>
      <c r="F91" s="38"/>
      <c r="H91" s="281">
        <v>86</v>
      </c>
      <c r="I91" s="282" t="str">
        <f t="shared" si="7"/>
        <v/>
      </c>
      <c r="J91" s="281" t="e">
        <f t="shared" si="11"/>
        <v>#NUM!</v>
      </c>
      <c r="K91" s="281" t="e">
        <f t="shared" si="8"/>
        <v>#NUM!</v>
      </c>
      <c r="L91" s="281"/>
      <c r="M91" s="283">
        <f t="shared" si="9"/>
        <v>0</v>
      </c>
      <c r="S91" s="269"/>
      <c r="T91" s="269"/>
      <c r="U91" s="269"/>
      <c r="V91" s="269"/>
      <c r="W91" s="269"/>
      <c r="X91" s="269"/>
      <c r="Y91" s="269"/>
      <c r="Z91" s="269"/>
      <c r="AA91" s="269"/>
      <c r="AB91" s="269"/>
      <c r="AC91" s="269"/>
      <c r="AD91" s="269"/>
      <c r="AE91" s="269"/>
      <c r="AF91" s="269"/>
      <c r="AG91" s="269"/>
      <c r="AH91" s="269"/>
      <c r="AI91" s="269"/>
      <c r="AJ91" s="269"/>
      <c r="AK91" s="269"/>
      <c r="AL91" s="269"/>
    </row>
    <row r="92" spans="1:38" s="264" customFormat="1" x14ac:dyDescent="0.25">
      <c r="A92" s="87">
        <f t="shared" si="10"/>
        <v>0</v>
      </c>
      <c r="B92" s="31" t="str">
        <f t="shared" si="6"/>
        <v/>
      </c>
      <c r="C92" s="32"/>
      <c r="D92" s="32"/>
      <c r="E92" s="32"/>
      <c r="F92" s="32"/>
      <c r="H92" s="278">
        <v>87</v>
      </c>
      <c r="I92" s="279" t="str">
        <f t="shared" si="7"/>
        <v/>
      </c>
      <c r="J92" s="278" t="e">
        <f t="shared" si="11"/>
        <v>#NUM!</v>
      </c>
      <c r="K92" s="278" t="e">
        <f t="shared" si="8"/>
        <v>#NUM!</v>
      </c>
      <c r="L92" s="278"/>
      <c r="M92" s="280">
        <f t="shared" si="9"/>
        <v>0</v>
      </c>
      <c r="S92" s="269"/>
      <c r="T92" s="269"/>
      <c r="U92" s="269"/>
      <c r="V92" s="269"/>
      <c r="W92" s="269"/>
      <c r="X92" s="269"/>
      <c r="Y92" s="269"/>
      <c r="Z92" s="269"/>
      <c r="AA92" s="269"/>
      <c r="AB92" s="269"/>
      <c r="AC92" s="269"/>
      <c r="AD92" s="269"/>
      <c r="AE92" s="269"/>
      <c r="AF92" s="269"/>
      <c r="AG92" s="269"/>
      <c r="AH92" s="269"/>
      <c r="AI92" s="269"/>
      <c r="AJ92" s="269"/>
      <c r="AK92" s="269"/>
      <c r="AL92" s="269"/>
    </row>
    <row r="93" spans="1:38" s="264" customFormat="1" x14ac:dyDescent="0.25">
      <c r="A93" s="91">
        <f t="shared" si="10"/>
        <v>0</v>
      </c>
      <c r="B93" s="37" t="str">
        <f t="shared" si="6"/>
        <v/>
      </c>
      <c r="C93" s="38"/>
      <c r="D93" s="38"/>
      <c r="E93" s="38"/>
      <c r="F93" s="38"/>
      <c r="H93" s="281">
        <v>88</v>
      </c>
      <c r="I93" s="282" t="str">
        <f t="shared" si="7"/>
        <v/>
      </c>
      <c r="J93" s="281" t="e">
        <f t="shared" si="11"/>
        <v>#NUM!</v>
      </c>
      <c r="K93" s="281" t="e">
        <f t="shared" si="8"/>
        <v>#NUM!</v>
      </c>
      <c r="L93" s="281"/>
      <c r="M93" s="283">
        <f t="shared" si="9"/>
        <v>0</v>
      </c>
      <c r="S93" s="269"/>
      <c r="T93" s="269"/>
      <c r="U93" s="269"/>
      <c r="V93" s="269"/>
      <c r="W93" s="269"/>
      <c r="X93" s="269"/>
      <c r="Y93" s="269"/>
      <c r="Z93" s="269"/>
      <c r="AA93" s="269"/>
      <c r="AB93" s="269"/>
      <c r="AC93" s="269"/>
      <c r="AD93" s="269"/>
      <c r="AE93" s="269"/>
      <c r="AF93" s="269"/>
      <c r="AG93" s="269"/>
      <c r="AH93" s="269"/>
      <c r="AI93" s="269"/>
      <c r="AJ93" s="269"/>
      <c r="AK93" s="269"/>
      <c r="AL93" s="269"/>
    </row>
    <row r="94" spans="1:38" s="264" customFormat="1" x14ac:dyDescent="0.25">
      <c r="A94" s="87">
        <f t="shared" si="10"/>
        <v>0</v>
      </c>
      <c r="B94" s="31" t="str">
        <f t="shared" si="6"/>
        <v/>
      </c>
      <c r="C94" s="32"/>
      <c r="D94" s="32"/>
      <c r="E94" s="32"/>
      <c r="F94" s="32"/>
      <c r="H94" s="278">
        <v>89</v>
      </c>
      <c r="I94" s="279" t="str">
        <f t="shared" si="7"/>
        <v/>
      </c>
      <c r="J94" s="278" t="e">
        <f t="shared" si="11"/>
        <v>#NUM!</v>
      </c>
      <c r="K94" s="278" t="e">
        <f t="shared" si="8"/>
        <v>#NUM!</v>
      </c>
      <c r="L94" s="278"/>
      <c r="M94" s="280">
        <f t="shared" si="9"/>
        <v>0</v>
      </c>
      <c r="S94" s="269"/>
      <c r="T94" s="269"/>
      <c r="U94" s="269"/>
      <c r="V94" s="269"/>
      <c r="W94" s="269"/>
      <c r="X94" s="269"/>
      <c r="Y94" s="269"/>
      <c r="Z94" s="269"/>
      <c r="AA94" s="269"/>
      <c r="AB94" s="269"/>
      <c r="AC94" s="269"/>
      <c r="AD94" s="269"/>
      <c r="AE94" s="269"/>
      <c r="AF94" s="269"/>
      <c r="AG94" s="269"/>
      <c r="AH94" s="269"/>
      <c r="AI94" s="269"/>
      <c r="AJ94" s="269"/>
      <c r="AK94" s="269"/>
      <c r="AL94" s="269"/>
    </row>
    <row r="95" spans="1:38" s="264" customFormat="1" x14ac:dyDescent="0.25">
      <c r="A95" s="91">
        <f t="shared" si="10"/>
        <v>0</v>
      </c>
      <c r="B95" s="37" t="str">
        <f t="shared" si="6"/>
        <v/>
      </c>
      <c r="C95" s="38"/>
      <c r="D95" s="38"/>
      <c r="E95" s="38"/>
      <c r="F95" s="38"/>
      <c r="H95" s="281">
        <v>90</v>
      </c>
      <c r="I95" s="282" t="str">
        <f t="shared" si="7"/>
        <v/>
      </c>
      <c r="J95" s="281" t="e">
        <f t="shared" si="11"/>
        <v>#NUM!</v>
      </c>
      <c r="K95" s="281" t="e">
        <f t="shared" si="8"/>
        <v>#NUM!</v>
      </c>
      <c r="L95" s="281"/>
      <c r="M95" s="283">
        <f t="shared" si="9"/>
        <v>0</v>
      </c>
      <c r="S95" s="269"/>
      <c r="T95" s="269"/>
      <c r="U95" s="269"/>
      <c r="V95" s="269"/>
      <c r="W95" s="269"/>
      <c r="X95" s="269"/>
      <c r="Y95" s="269"/>
      <c r="Z95" s="269"/>
      <c r="AA95" s="269"/>
      <c r="AB95" s="269"/>
      <c r="AC95" s="269"/>
      <c r="AD95" s="269"/>
      <c r="AE95" s="269"/>
      <c r="AF95" s="269"/>
      <c r="AG95" s="269"/>
      <c r="AH95" s="269"/>
      <c r="AI95" s="269"/>
      <c r="AJ95" s="269"/>
      <c r="AK95" s="269"/>
      <c r="AL95" s="269"/>
    </row>
    <row r="96" spans="1:38" s="264" customFormat="1" x14ac:dyDescent="0.25">
      <c r="A96" s="87">
        <f t="shared" si="10"/>
        <v>0</v>
      </c>
      <c r="B96" s="31" t="str">
        <f t="shared" si="6"/>
        <v/>
      </c>
      <c r="C96" s="32"/>
      <c r="D96" s="32"/>
      <c r="E96" s="32"/>
      <c r="F96" s="32"/>
      <c r="H96" s="278">
        <v>91</v>
      </c>
      <c r="I96" s="279" t="str">
        <f t="shared" si="7"/>
        <v/>
      </c>
      <c r="J96" s="278" t="e">
        <f t="shared" si="11"/>
        <v>#NUM!</v>
      </c>
      <c r="K96" s="278" t="e">
        <f t="shared" si="8"/>
        <v>#NUM!</v>
      </c>
      <c r="L96" s="278"/>
      <c r="M96" s="280">
        <f t="shared" si="9"/>
        <v>0</v>
      </c>
      <c r="S96" s="269"/>
      <c r="T96" s="269"/>
      <c r="U96" s="269"/>
      <c r="V96" s="269"/>
      <c r="W96" s="269"/>
      <c r="X96" s="269"/>
      <c r="Y96" s="269"/>
      <c r="Z96" s="269"/>
      <c r="AA96" s="269"/>
      <c r="AB96" s="269"/>
      <c r="AC96" s="269"/>
      <c r="AD96" s="269"/>
      <c r="AE96" s="269"/>
      <c r="AF96" s="269"/>
      <c r="AG96" s="269"/>
      <c r="AH96" s="269"/>
      <c r="AI96" s="269"/>
      <c r="AJ96" s="269"/>
      <c r="AK96" s="269"/>
      <c r="AL96" s="269"/>
    </row>
    <row r="97" spans="1:38" s="264" customFormat="1" x14ac:dyDescent="0.25">
      <c r="A97" s="91">
        <f t="shared" si="10"/>
        <v>0</v>
      </c>
      <c r="B97" s="37" t="str">
        <f t="shared" si="6"/>
        <v/>
      </c>
      <c r="C97" s="38"/>
      <c r="D97" s="38"/>
      <c r="E97" s="38"/>
      <c r="F97" s="38"/>
      <c r="H97" s="281">
        <v>92</v>
      </c>
      <c r="I97" s="282" t="str">
        <f t="shared" si="7"/>
        <v/>
      </c>
      <c r="J97" s="281" t="e">
        <f t="shared" si="11"/>
        <v>#NUM!</v>
      </c>
      <c r="K97" s="281" t="e">
        <f t="shared" si="8"/>
        <v>#NUM!</v>
      </c>
      <c r="L97" s="281"/>
      <c r="M97" s="283">
        <f t="shared" si="9"/>
        <v>0</v>
      </c>
      <c r="S97" s="269"/>
      <c r="T97" s="269"/>
      <c r="U97" s="269"/>
      <c r="V97" s="269"/>
      <c r="W97" s="269"/>
      <c r="X97" s="269"/>
      <c r="Y97" s="269"/>
      <c r="Z97" s="269"/>
      <c r="AA97" s="269"/>
      <c r="AB97" s="269"/>
      <c r="AC97" s="269"/>
      <c r="AD97" s="269"/>
      <c r="AE97" s="269"/>
      <c r="AF97" s="269"/>
      <c r="AG97" s="269"/>
      <c r="AH97" s="269"/>
      <c r="AI97" s="269"/>
      <c r="AJ97" s="269"/>
      <c r="AK97" s="269"/>
      <c r="AL97" s="269"/>
    </row>
    <row r="98" spans="1:38" s="264" customFormat="1" x14ac:dyDescent="0.25">
      <c r="A98" s="87">
        <f t="shared" si="10"/>
        <v>0</v>
      </c>
      <c r="B98" s="31" t="str">
        <f t="shared" si="6"/>
        <v/>
      </c>
      <c r="C98" s="32"/>
      <c r="D98" s="32"/>
      <c r="E98" s="32"/>
      <c r="F98" s="32"/>
      <c r="H98" s="278">
        <v>93</v>
      </c>
      <c r="I98" s="279" t="str">
        <f t="shared" si="7"/>
        <v/>
      </c>
      <c r="J98" s="278" t="e">
        <f t="shared" si="11"/>
        <v>#NUM!</v>
      </c>
      <c r="K98" s="278" t="e">
        <f t="shared" si="8"/>
        <v>#NUM!</v>
      </c>
      <c r="L98" s="278"/>
      <c r="M98" s="280">
        <f t="shared" si="9"/>
        <v>0</v>
      </c>
      <c r="S98" s="269"/>
      <c r="T98" s="269"/>
      <c r="U98" s="269"/>
      <c r="V98" s="269"/>
      <c r="W98" s="269"/>
      <c r="X98" s="269"/>
      <c r="Y98" s="269"/>
      <c r="Z98" s="269"/>
      <c r="AA98" s="269"/>
      <c r="AB98" s="269"/>
      <c r="AC98" s="269"/>
      <c r="AD98" s="269"/>
      <c r="AE98" s="269"/>
      <c r="AF98" s="269"/>
      <c r="AG98" s="269"/>
      <c r="AH98" s="269"/>
      <c r="AI98" s="269"/>
      <c r="AJ98" s="269"/>
      <c r="AK98" s="269"/>
      <c r="AL98" s="269"/>
    </row>
    <row r="99" spans="1:38" s="264" customFormat="1" x14ac:dyDescent="0.25">
      <c r="A99" s="91">
        <f t="shared" si="10"/>
        <v>0</v>
      </c>
      <c r="B99" s="37" t="str">
        <f t="shared" si="6"/>
        <v/>
      </c>
      <c r="C99" s="38"/>
      <c r="D99" s="38"/>
      <c r="E99" s="38"/>
      <c r="F99" s="38"/>
      <c r="H99" s="281">
        <v>94</v>
      </c>
      <c r="I99" s="282" t="str">
        <f t="shared" si="7"/>
        <v/>
      </c>
      <c r="J99" s="281" t="e">
        <f t="shared" si="11"/>
        <v>#NUM!</v>
      </c>
      <c r="K99" s="281" t="e">
        <f t="shared" si="8"/>
        <v>#NUM!</v>
      </c>
      <c r="L99" s="281"/>
      <c r="M99" s="283">
        <f t="shared" si="9"/>
        <v>0</v>
      </c>
      <c r="S99" s="269"/>
      <c r="T99" s="269"/>
      <c r="U99" s="269"/>
      <c r="V99" s="269"/>
      <c r="W99" s="269"/>
      <c r="X99" s="269"/>
      <c r="Y99" s="269"/>
      <c r="Z99" s="269"/>
      <c r="AA99" s="269"/>
      <c r="AB99" s="269"/>
      <c r="AC99" s="269"/>
      <c r="AD99" s="269"/>
      <c r="AE99" s="269"/>
      <c r="AF99" s="269"/>
      <c r="AG99" s="269"/>
      <c r="AH99" s="269"/>
      <c r="AI99" s="269"/>
      <c r="AJ99" s="269"/>
      <c r="AK99" s="269"/>
      <c r="AL99" s="269"/>
    </row>
    <row r="100" spans="1:38" s="264" customFormat="1" x14ac:dyDescent="0.25">
      <c r="A100" s="87">
        <f t="shared" si="10"/>
        <v>0</v>
      </c>
      <c r="B100" s="31" t="str">
        <f t="shared" si="6"/>
        <v/>
      </c>
      <c r="C100" s="32"/>
      <c r="D100" s="32"/>
      <c r="E100" s="32"/>
      <c r="F100" s="32"/>
      <c r="H100" s="278">
        <v>95</v>
      </c>
      <c r="I100" s="279" t="str">
        <f t="shared" si="7"/>
        <v/>
      </c>
      <c r="J100" s="278" t="e">
        <f t="shared" si="11"/>
        <v>#NUM!</v>
      </c>
      <c r="K100" s="278" t="e">
        <f t="shared" si="8"/>
        <v>#NUM!</v>
      </c>
      <c r="L100" s="278"/>
      <c r="M100" s="280">
        <f t="shared" si="9"/>
        <v>0</v>
      </c>
      <c r="S100" s="269"/>
      <c r="T100" s="269"/>
      <c r="U100" s="269"/>
      <c r="V100" s="269"/>
      <c r="W100" s="269"/>
      <c r="X100" s="269"/>
      <c r="Y100" s="269"/>
      <c r="Z100" s="269"/>
      <c r="AA100" s="269"/>
      <c r="AB100" s="269"/>
      <c r="AC100" s="269"/>
      <c r="AD100" s="269"/>
      <c r="AE100" s="269"/>
      <c r="AF100" s="269"/>
      <c r="AG100" s="269"/>
      <c r="AH100" s="269"/>
      <c r="AI100" s="269"/>
      <c r="AJ100" s="269"/>
      <c r="AK100" s="269"/>
      <c r="AL100" s="269"/>
    </row>
    <row r="101" spans="1:38" s="264" customFormat="1" x14ac:dyDescent="0.25">
      <c r="A101" s="91">
        <f t="shared" si="10"/>
        <v>0</v>
      </c>
      <c r="B101" s="37" t="str">
        <f t="shared" si="6"/>
        <v/>
      </c>
      <c r="C101" s="38"/>
      <c r="D101" s="38"/>
      <c r="E101" s="38"/>
      <c r="F101" s="38"/>
      <c r="H101" s="281">
        <v>96</v>
      </c>
      <c r="I101" s="282" t="str">
        <f t="shared" si="7"/>
        <v/>
      </c>
      <c r="J101" s="281" t="e">
        <f t="shared" si="11"/>
        <v>#NUM!</v>
      </c>
      <c r="K101" s="281" t="e">
        <f t="shared" si="8"/>
        <v>#NUM!</v>
      </c>
      <c r="L101" s="281"/>
      <c r="M101" s="283">
        <f t="shared" si="9"/>
        <v>0</v>
      </c>
      <c r="S101" s="269"/>
      <c r="T101" s="269"/>
      <c r="U101" s="269"/>
      <c r="V101" s="269"/>
      <c r="W101" s="269"/>
      <c r="X101" s="269"/>
      <c r="Y101" s="269"/>
      <c r="Z101" s="269"/>
      <c r="AA101" s="269"/>
      <c r="AB101" s="269"/>
      <c r="AC101" s="269"/>
      <c r="AD101" s="269"/>
      <c r="AE101" s="269"/>
      <c r="AF101" s="269"/>
      <c r="AG101" s="269"/>
      <c r="AH101" s="269"/>
      <c r="AI101" s="269"/>
      <c r="AJ101" s="269"/>
      <c r="AK101" s="269"/>
      <c r="AL101" s="269"/>
    </row>
    <row r="102" spans="1:38" s="264" customFormat="1" x14ac:dyDescent="0.25">
      <c r="A102" s="87">
        <f t="shared" si="10"/>
        <v>0</v>
      </c>
      <c r="B102" s="31" t="str">
        <f t="shared" si="6"/>
        <v/>
      </c>
      <c r="C102" s="32"/>
      <c r="D102" s="32"/>
      <c r="E102" s="32"/>
      <c r="F102" s="32"/>
      <c r="H102" s="278">
        <v>97</v>
      </c>
      <c r="I102" s="279" t="str">
        <f t="shared" si="7"/>
        <v/>
      </c>
      <c r="J102" s="278" t="e">
        <f t="shared" si="11"/>
        <v>#NUM!</v>
      </c>
      <c r="K102" s="278" t="e">
        <f t="shared" si="8"/>
        <v>#NUM!</v>
      </c>
      <c r="L102" s="278"/>
      <c r="M102" s="280">
        <f t="shared" si="9"/>
        <v>0</v>
      </c>
      <c r="S102" s="269"/>
      <c r="T102" s="269"/>
      <c r="U102" s="269"/>
      <c r="V102" s="269"/>
      <c r="W102" s="269"/>
      <c r="X102" s="269"/>
      <c r="Y102" s="269"/>
      <c r="Z102" s="269"/>
      <c r="AA102" s="269"/>
      <c r="AB102" s="269"/>
      <c r="AC102" s="269"/>
      <c r="AD102" s="269"/>
      <c r="AE102" s="269"/>
      <c r="AF102" s="269"/>
      <c r="AG102" s="269"/>
      <c r="AH102" s="269"/>
      <c r="AI102" s="269"/>
      <c r="AJ102" s="269"/>
      <c r="AK102" s="269"/>
      <c r="AL102" s="269"/>
    </row>
    <row r="103" spans="1:38" s="264" customFormat="1" x14ac:dyDescent="0.25">
      <c r="A103" s="91">
        <f t="shared" si="10"/>
        <v>0</v>
      </c>
      <c r="B103" s="37" t="str">
        <f t="shared" si="6"/>
        <v/>
      </c>
      <c r="C103" s="38"/>
      <c r="D103" s="38"/>
      <c r="E103" s="38"/>
      <c r="F103" s="38"/>
      <c r="H103" s="281">
        <v>98</v>
      </c>
      <c r="I103" s="282" t="str">
        <f t="shared" si="7"/>
        <v/>
      </c>
      <c r="J103" s="281" t="e">
        <f t="shared" si="11"/>
        <v>#NUM!</v>
      </c>
      <c r="K103" s="281" t="e">
        <f t="shared" si="8"/>
        <v>#NUM!</v>
      </c>
      <c r="L103" s="281"/>
      <c r="M103" s="283">
        <f t="shared" si="9"/>
        <v>0</v>
      </c>
      <c r="S103" s="269"/>
      <c r="T103" s="269"/>
      <c r="U103" s="269"/>
      <c r="V103" s="269"/>
      <c r="W103" s="269"/>
      <c r="X103" s="269"/>
      <c r="Y103" s="269"/>
      <c r="Z103" s="269"/>
      <c r="AA103" s="269"/>
      <c r="AB103" s="269"/>
      <c r="AC103" s="269"/>
      <c r="AD103" s="269"/>
      <c r="AE103" s="269"/>
      <c r="AF103" s="269"/>
      <c r="AG103" s="269"/>
      <c r="AH103" s="269"/>
      <c r="AI103" s="269"/>
      <c r="AJ103" s="269"/>
      <c r="AK103" s="269"/>
      <c r="AL103" s="269"/>
    </row>
    <row r="104" spans="1:38" s="264" customFormat="1" x14ac:dyDescent="0.25">
      <c r="A104" s="87">
        <f t="shared" si="10"/>
        <v>0</v>
      </c>
      <c r="B104" s="31" t="str">
        <f t="shared" si="6"/>
        <v/>
      </c>
      <c r="C104" s="32"/>
      <c r="D104" s="32"/>
      <c r="E104" s="32"/>
      <c r="F104" s="32"/>
      <c r="H104" s="278">
        <v>99</v>
      </c>
      <c r="I104" s="279" t="str">
        <f t="shared" si="7"/>
        <v/>
      </c>
      <c r="J104" s="278" t="e">
        <f t="shared" si="11"/>
        <v>#NUM!</v>
      </c>
      <c r="K104" s="278" t="e">
        <f t="shared" si="8"/>
        <v>#NUM!</v>
      </c>
      <c r="L104" s="278"/>
      <c r="M104" s="280">
        <f t="shared" si="9"/>
        <v>0</v>
      </c>
      <c r="S104" s="269"/>
      <c r="T104" s="269"/>
      <c r="U104" s="269"/>
      <c r="V104" s="269"/>
      <c r="W104" s="269"/>
      <c r="X104" s="269"/>
      <c r="Y104" s="269"/>
      <c r="Z104" s="269"/>
      <c r="AA104" s="269"/>
      <c r="AB104" s="269"/>
      <c r="AC104" s="269"/>
      <c r="AD104" s="269"/>
      <c r="AE104" s="269"/>
      <c r="AF104" s="269"/>
      <c r="AG104" s="269"/>
      <c r="AH104" s="269"/>
      <c r="AI104" s="269"/>
      <c r="AJ104" s="269"/>
      <c r="AK104" s="269"/>
      <c r="AL104" s="269"/>
    </row>
    <row r="105" spans="1:38" s="264" customFormat="1" x14ac:dyDescent="0.25">
      <c r="A105" s="91">
        <f t="shared" si="10"/>
        <v>0</v>
      </c>
      <c r="B105" s="37" t="str">
        <f t="shared" si="6"/>
        <v/>
      </c>
      <c r="C105" s="38"/>
      <c r="D105" s="38"/>
      <c r="E105" s="38"/>
      <c r="F105" s="38"/>
      <c r="H105" s="281">
        <v>100</v>
      </c>
      <c r="I105" s="282" t="str">
        <f t="shared" si="7"/>
        <v/>
      </c>
      <c r="J105" s="281" t="e">
        <f t="shared" si="11"/>
        <v>#NUM!</v>
      </c>
      <c r="K105" s="281" t="e">
        <f t="shared" si="8"/>
        <v>#NUM!</v>
      </c>
      <c r="L105" s="281"/>
      <c r="M105" s="283">
        <f t="shared" si="9"/>
        <v>0</v>
      </c>
      <c r="S105" s="269"/>
      <c r="T105" s="269"/>
      <c r="U105" s="269"/>
      <c r="V105" s="269"/>
      <c r="W105" s="269"/>
      <c r="X105" s="269"/>
      <c r="Y105" s="269"/>
      <c r="Z105" s="269"/>
      <c r="AA105" s="269"/>
      <c r="AB105" s="269"/>
      <c r="AC105" s="269"/>
      <c r="AD105" s="269"/>
      <c r="AE105" s="269"/>
      <c r="AF105" s="269"/>
      <c r="AG105" s="269"/>
      <c r="AH105" s="269"/>
      <c r="AI105" s="269"/>
      <c r="AJ105" s="269"/>
      <c r="AK105" s="269"/>
      <c r="AL105" s="269"/>
    </row>
    <row r="106" spans="1:38" s="264" customFormat="1" x14ac:dyDescent="0.25">
      <c r="A106" s="87">
        <f t="shared" si="10"/>
        <v>0</v>
      </c>
      <c r="B106" s="31" t="str">
        <f t="shared" si="6"/>
        <v/>
      </c>
      <c r="C106" s="32"/>
      <c r="D106" s="32"/>
      <c r="E106" s="32"/>
      <c r="F106" s="32"/>
      <c r="H106" s="278">
        <v>101</v>
      </c>
      <c r="I106" s="279" t="str">
        <f t="shared" si="7"/>
        <v/>
      </c>
      <c r="J106" s="278" t="e">
        <f t="shared" si="11"/>
        <v>#NUM!</v>
      </c>
      <c r="K106" s="278" t="e">
        <f t="shared" si="8"/>
        <v>#NUM!</v>
      </c>
      <c r="L106" s="278"/>
      <c r="M106" s="280">
        <f t="shared" si="9"/>
        <v>0</v>
      </c>
      <c r="S106" s="269"/>
      <c r="T106" s="269"/>
      <c r="U106" s="269"/>
      <c r="V106" s="269"/>
      <c r="W106" s="269"/>
      <c r="X106" s="269"/>
      <c r="Y106" s="269"/>
      <c r="Z106" s="269"/>
      <c r="AA106" s="269"/>
      <c r="AB106" s="269"/>
      <c r="AC106" s="269"/>
      <c r="AD106" s="269"/>
      <c r="AE106" s="269"/>
      <c r="AF106" s="269"/>
      <c r="AG106" s="269"/>
      <c r="AH106" s="269"/>
      <c r="AI106" s="269"/>
      <c r="AJ106" s="269"/>
      <c r="AK106" s="269"/>
      <c r="AL106" s="269"/>
    </row>
    <row r="107" spans="1:38" s="264" customFormat="1" x14ac:dyDescent="0.25">
      <c r="A107" s="91">
        <f t="shared" si="10"/>
        <v>0</v>
      </c>
      <c r="B107" s="37" t="str">
        <f t="shared" si="6"/>
        <v/>
      </c>
      <c r="C107" s="38"/>
      <c r="D107" s="38"/>
      <c r="E107" s="38"/>
      <c r="F107" s="38"/>
      <c r="H107" s="281">
        <v>102</v>
      </c>
      <c r="I107" s="282" t="str">
        <f t="shared" si="7"/>
        <v/>
      </c>
      <c r="J107" s="281" t="e">
        <f t="shared" si="11"/>
        <v>#NUM!</v>
      </c>
      <c r="K107" s="281" t="e">
        <f t="shared" si="8"/>
        <v>#NUM!</v>
      </c>
      <c r="L107" s="281"/>
      <c r="M107" s="283">
        <f t="shared" si="9"/>
        <v>0</v>
      </c>
      <c r="S107" s="269"/>
      <c r="T107" s="269"/>
      <c r="U107" s="269"/>
      <c r="V107" s="269"/>
      <c r="W107" s="269"/>
      <c r="X107" s="269"/>
      <c r="Y107" s="269"/>
      <c r="Z107" s="269"/>
      <c r="AA107" s="269"/>
      <c r="AB107" s="269"/>
      <c r="AC107" s="269"/>
      <c r="AD107" s="269"/>
      <c r="AE107" s="269"/>
      <c r="AF107" s="269"/>
      <c r="AG107" s="269"/>
      <c r="AH107" s="269"/>
      <c r="AI107" s="269"/>
      <c r="AJ107" s="269"/>
      <c r="AK107" s="269"/>
      <c r="AL107" s="269"/>
    </row>
    <row r="108" spans="1:38" s="264" customFormat="1" x14ac:dyDescent="0.25">
      <c r="A108" s="87">
        <f t="shared" si="10"/>
        <v>0</v>
      </c>
      <c r="B108" s="31" t="str">
        <f t="shared" si="6"/>
        <v/>
      </c>
      <c r="C108" s="32"/>
      <c r="D108" s="32"/>
      <c r="E108" s="32"/>
      <c r="F108" s="32"/>
      <c r="H108" s="278">
        <v>103</v>
      </c>
      <c r="I108" s="279" t="str">
        <f t="shared" si="7"/>
        <v/>
      </c>
      <c r="J108" s="278" t="e">
        <f t="shared" si="11"/>
        <v>#NUM!</v>
      </c>
      <c r="K108" s="278" t="e">
        <f t="shared" si="8"/>
        <v>#NUM!</v>
      </c>
      <c r="L108" s="278"/>
      <c r="M108" s="280">
        <f t="shared" si="9"/>
        <v>0</v>
      </c>
      <c r="S108" s="269"/>
      <c r="T108" s="269"/>
      <c r="U108" s="269"/>
      <c r="V108" s="269"/>
      <c r="W108" s="269"/>
      <c r="X108" s="269"/>
      <c r="Y108" s="269"/>
      <c r="Z108" s="269"/>
      <c r="AA108" s="269"/>
      <c r="AB108" s="269"/>
      <c r="AC108" s="269"/>
      <c r="AD108" s="269"/>
      <c r="AE108" s="269"/>
      <c r="AF108" s="269"/>
      <c r="AG108" s="269"/>
      <c r="AH108" s="269"/>
      <c r="AI108" s="269"/>
      <c r="AJ108" s="269"/>
      <c r="AK108" s="269"/>
      <c r="AL108" s="269"/>
    </row>
    <row r="109" spans="1:38" s="264" customFormat="1" x14ac:dyDescent="0.25">
      <c r="A109" s="91">
        <f t="shared" si="10"/>
        <v>0</v>
      </c>
      <c r="B109" s="37" t="str">
        <f t="shared" si="6"/>
        <v/>
      </c>
      <c r="C109" s="38"/>
      <c r="D109" s="38"/>
      <c r="E109" s="38"/>
      <c r="F109" s="38"/>
      <c r="H109" s="281">
        <v>104</v>
      </c>
      <c r="I109" s="282" t="str">
        <f t="shared" si="7"/>
        <v/>
      </c>
      <c r="J109" s="281" t="e">
        <f t="shared" si="11"/>
        <v>#NUM!</v>
      </c>
      <c r="K109" s="281" t="e">
        <f t="shared" si="8"/>
        <v>#NUM!</v>
      </c>
      <c r="L109" s="281"/>
      <c r="M109" s="283">
        <f t="shared" si="9"/>
        <v>0</v>
      </c>
      <c r="S109" s="269"/>
      <c r="T109" s="269"/>
      <c r="U109" s="269"/>
      <c r="V109" s="269"/>
      <c r="W109" s="269"/>
      <c r="X109" s="269"/>
      <c r="Y109" s="269"/>
      <c r="Z109" s="269"/>
      <c r="AA109" s="269"/>
      <c r="AB109" s="269"/>
      <c r="AC109" s="269"/>
      <c r="AD109" s="269"/>
      <c r="AE109" s="269"/>
      <c r="AF109" s="269"/>
      <c r="AG109" s="269"/>
      <c r="AH109" s="269"/>
      <c r="AI109" s="269"/>
      <c r="AJ109" s="269"/>
      <c r="AK109" s="269"/>
      <c r="AL109" s="269"/>
    </row>
    <row r="110" spans="1:38" s="264" customFormat="1" x14ac:dyDescent="0.25">
      <c r="A110" s="87">
        <f t="shared" si="10"/>
        <v>0</v>
      </c>
      <c r="B110" s="31" t="str">
        <f t="shared" si="6"/>
        <v/>
      </c>
      <c r="C110" s="32"/>
      <c r="D110" s="32"/>
      <c r="E110" s="32"/>
      <c r="F110" s="32"/>
      <c r="H110" s="278">
        <v>105</v>
      </c>
      <c r="I110" s="279" t="str">
        <f t="shared" si="7"/>
        <v/>
      </c>
      <c r="J110" s="278" t="e">
        <f t="shared" si="11"/>
        <v>#NUM!</v>
      </c>
      <c r="K110" s="278" t="e">
        <f t="shared" si="8"/>
        <v>#NUM!</v>
      </c>
      <c r="L110" s="278"/>
      <c r="M110" s="280">
        <f t="shared" si="9"/>
        <v>0</v>
      </c>
      <c r="S110" s="269"/>
      <c r="T110" s="269"/>
      <c r="U110" s="269"/>
      <c r="V110" s="269"/>
      <c r="W110" s="269"/>
      <c r="X110" s="269"/>
      <c r="Y110" s="269"/>
      <c r="Z110" s="269"/>
      <c r="AA110" s="269"/>
      <c r="AB110" s="269"/>
      <c r="AC110" s="269"/>
      <c r="AD110" s="269"/>
      <c r="AE110" s="269"/>
      <c r="AF110" s="269"/>
      <c r="AG110" s="269"/>
      <c r="AH110" s="269"/>
      <c r="AI110" s="269"/>
      <c r="AJ110" s="269"/>
      <c r="AK110" s="269"/>
      <c r="AL110" s="269"/>
    </row>
    <row r="111" spans="1:38" s="264" customFormat="1" x14ac:dyDescent="0.25">
      <c r="A111" s="91">
        <f t="shared" si="10"/>
        <v>0</v>
      </c>
      <c r="B111" s="37" t="str">
        <f t="shared" si="6"/>
        <v/>
      </c>
      <c r="C111" s="38"/>
      <c r="D111" s="38"/>
      <c r="E111" s="38"/>
      <c r="F111" s="38"/>
      <c r="H111" s="281">
        <v>106</v>
      </c>
      <c r="I111" s="282" t="str">
        <f t="shared" si="7"/>
        <v/>
      </c>
      <c r="J111" s="281" t="e">
        <f t="shared" si="11"/>
        <v>#NUM!</v>
      </c>
      <c r="K111" s="281" t="e">
        <f t="shared" si="8"/>
        <v>#NUM!</v>
      </c>
      <c r="L111" s="281"/>
      <c r="M111" s="283">
        <f t="shared" si="9"/>
        <v>0</v>
      </c>
      <c r="S111" s="269"/>
      <c r="T111" s="269"/>
      <c r="U111" s="269"/>
      <c r="V111" s="269"/>
      <c r="W111" s="269"/>
      <c r="X111" s="269"/>
      <c r="Y111" s="269"/>
      <c r="Z111" s="269"/>
      <c r="AA111" s="269"/>
      <c r="AB111" s="269"/>
      <c r="AC111" s="269"/>
      <c r="AD111" s="269"/>
      <c r="AE111" s="269"/>
      <c r="AF111" s="269"/>
      <c r="AG111" s="269"/>
      <c r="AH111" s="269"/>
      <c r="AI111" s="269"/>
      <c r="AJ111" s="269"/>
      <c r="AK111" s="269"/>
      <c r="AL111" s="269"/>
    </row>
    <row r="112" spans="1:38" s="264" customFormat="1" x14ac:dyDescent="0.25">
      <c r="A112" s="87">
        <f t="shared" si="10"/>
        <v>0</v>
      </c>
      <c r="B112" s="31" t="str">
        <f t="shared" si="6"/>
        <v/>
      </c>
      <c r="C112" s="32"/>
      <c r="D112" s="32"/>
      <c r="E112" s="32"/>
      <c r="F112" s="32"/>
      <c r="H112" s="278">
        <v>107</v>
      </c>
      <c r="I112" s="279" t="str">
        <f t="shared" si="7"/>
        <v/>
      </c>
      <c r="J112" s="278" t="e">
        <f t="shared" si="11"/>
        <v>#NUM!</v>
      </c>
      <c r="K112" s="278" t="e">
        <f t="shared" si="8"/>
        <v>#NUM!</v>
      </c>
      <c r="L112" s="278"/>
      <c r="M112" s="280">
        <f t="shared" si="9"/>
        <v>0</v>
      </c>
      <c r="S112" s="269"/>
      <c r="T112" s="269"/>
      <c r="U112" s="269"/>
      <c r="V112" s="269"/>
      <c r="W112" s="269"/>
      <c r="X112" s="269"/>
      <c r="Y112" s="269"/>
      <c r="Z112" s="269"/>
      <c r="AA112" s="269"/>
      <c r="AB112" s="269"/>
      <c r="AC112" s="269"/>
      <c r="AD112" s="269"/>
      <c r="AE112" s="269"/>
      <c r="AF112" s="269"/>
      <c r="AG112" s="269"/>
      <c r="AH112" s="269"/>
      <c r="AI112" s="269"/>
      <c r="AJ112" s="269"/>
      <c r="AK112" s="269"/>
      <c r="AL112" s="269"/>
    </row>
    <row r="113" spans="1:38" s="264" customFormat="1" x14ac:dyDescent="0.25">
      <c r="A113" s="91">
        <f t="shared" si="10"/>
        <v>0</v>
      </c>
      <c r="B113" s="37" t="str">
        <f t="shared" si="6"/>
        <v/>
      </c>
      <c r="C113" s="38"/>
      <c r="D113" s="38"/>
      <c r="E113" s="38"/>
      <c r="F113" s="38"/>
      <c r="H113" s="281">
        <v>108</v>
      </c>
      <c r="I113" s="282" t="str">
        <f t="shared" si="7"/>
        <v/>
      </c>
      <c r="J113" s="281" t="e">
        <f t="shared" si="11"/>
        <v>#NUM!</v>
      </c>
      <c r="K113" s="281" t="e">
        <f t="shared" si="8"/>
        <v>#NUM!</v>
      </c>
      <c r="L113" s="281"/>
      <c r="M113" s="283">
        <f t="shared" si="9"/>
        <v>0</v>
      </c>
      <c r="S113" s="269"/>
      <c r="T113" s="269"/>
      <c r="U113" s="269"/>
      <c r="V113" s="269"/>
      <c r="W113" s="269"/>
      <c r="X113" s="269"/>
      <c r="Y113" s="269"/>
      <c r="Z113" s="269"/>
      <c r="AA113" s="269"/>
      <c r="AB113" s="269"/>
      <c r="AC113" s="269"/>
      <c r="AD113" s="269"/>
      <c r="AE113" s="269"/>
      <c r="AF113" s="269"/>
      <c r="AG113" s="269"/>
      <c r="AH113" s="269"/>
      <c r="AI113" s="269"/>
      <c r="AJ113" s="269"/>
      <c r="AK113" s="269"/>
      <c r="AL113" s="269"/>
    </row>
    <row r="114" spans="1:38" s="264" customFormat="1" x14ac:dyDescent="0.25">
      <c r="A114" s="87">
        <f t="shared" si="10"/>
        <v>0</v>
      </c>
      <c r="B114" s="31" t="str">
        <f t="shared" si="6"/>
        <v/>
      </c>
      <c r="C114" s="32"/>
      <c r="D114" s="32"/>
      <c r="E114" s="32"/>
      <c r="F114" s="32"/>
      <c r="H114" s="278">
        <v>109</v>
      </c>
      <c r="I114" s="279" t="str">
        <f t="shared" si="7"/>
        <v/>
      </c>
      <c r="J114" s="278" t="e">
        <f t="shared" si="11"/>
        <v>#NUM!</v>
      </c>
      <c r="K114" s="278" t="e">
        <f t="shared" si="8"/>
        <v>#NUM!</v>
      </c>
      <c r="L114" s="278"/>
      <c r="M114" s="280">
        <f t="shared" si="9"/>
        <v>0</v>
      </c>
      <c r="S114" s="269"/>
      <c r="T114" s="269"/>
      <c r="U114" s="269"/>
      <c r="V114" s="269"/>
      <c r="W114" s="269"/>
      <c r="X114" s="269"/>
      <c r="Y114" s="269"/>
      <c r="Z114" s="269"/>
      <c r="AA114" s="269"/>
      <c r="AB114" s="269"/>
      <c r="AC114" s="269"/>
      <c r="AD114" s="269"/>
      <c r="AE114" s="269"/>
      <c r="AF114" s="269"/>
      <c r="AG114" s="269"/>
      <c r="AH114" s="269"/>
      <c r="AI114" s="269"/>
      <c r="AJ114" s="269"/>
      <c r="AK114" s="269"/>
      <c r="AL114" s="269"/>
    </row>
    <row r="115" spans="1:38" s="264" customFormat="1" x14ac:dyDescent="0.25">
      <c r="A115" s="91">
        <f t="shared" si="10"/>
        <v>0</v>
      </c>
      <c r="B115" s="37" t="str">
        <f t="shared" si="6"/>
        <v/>
      </c>
      <c r="C115" s="38"/>
      <c r="D115" s="38"/>
      <c r="E115" s="38"/>
      <c r="F115" s="38"/>
      <c r="H115" s="281">
        <v>110</v>
      </c>
      <c r="I115" s="282" t="str">
        <f t="shared" si="7"/>
        <v/>
      </c>
      <c r="J115" s="281" t="e">
        <f t="shared" si="11"/>
        <v>#NUM!</v>
      </c>
      <c r="K115" s="281" t="e">
        <f t="shared" si="8"/>
        <v>#NUM!</v>
      </c>
      <c r="L115" s="281"/>
      <c r="M115" s="283">
        <f t="shared" si="9"/>
        <v>0</v>
      </c>
      <c r="S115" s="269"/>
      <c r="T115" s="269"/>
      <c r="U115" s="269"/>
      <c r="V115" s="269"/>
      <c r="W115" s="269"/>
      <c r="X115" s="269"/>
      <c r="Y115" s="269"/>
      <c r="Z115" s="269"/>
      <c r="AA115" s="269"/>
      <c r="AB115" s="269"/>
      <c r="AC115" s="269"/>
      <c r="AD115" s="269"/>
      <c r="AE115" s="269"/>
      <c r="AF115" s="269"/>
      <c r="AG115" s="269"/>
      <c r="AH115" s="269"/>
      <c r="AI115" s="269"/>
      <c r="AJ115" s="269"/>
      <c r="AK115" s="269"/>
      <c r="AL115" s="269"/>
    </row>
    <row r="116" spans="1:38" s="264" customFormat="1" x14ac:dyDescent="0.25">
      <c r="A116" s="87">
        <f t="shared" si="10"/>
        <v>0</v>
      </c>
      <c r="B116" s="31" t="str">
        <f t="shared" si="6"/>
        <v/>
      </c>
      <c r="C116" s="32"/>
      <c r="D116" s="32"/>
      <c r="E116" s="32"/>
      <c r="F116" s="32"/>
      <c r="H116" s="278">
        <v>111</v>
      </c>
      <c r="I116" s="279" t="str">
        <f t="shared" si="7"/>
        <v/>
      </c>
      <c r="J116" s="278" t="e">
        <f t="shared" si="11"/>
        <v>#NUM!</v>
      </c>
      <c r="K116" s="278" t="e">
        <f t="shared" si="8"/>
        <v>#NUM!</v>
      </c>
      <c r="L116" s="278"/>
      <c r="M116" s="280">
        <f t="shared" si="9"/>
        <v>0</v>
      </c>
      <c r="S116" s="269"/>
      <c r="T116" s="269"/>
      <c r="U116" s="269"/>
      <c r="V116" s="269"/>
      <c r="W116" s="269"/>
      <c r="X116" s="269"/>
      <c r="Y116" s="269"/>
      <c r="Z116" s="269"/>
      <c r="AA116" s="269"/>
      <c r="AB116" s="269"/>
      <c r="AC116" s="269"/>
      <c r="AD116" s="269"/>
      <c r="AE116" s="269"/>
      <c r="AF116" s="269"/>
      <c r="AG116" s="269"/>
      <c r="AH116" s="269"/>
      <c r="AI116" s="269"/>
      <c r="AJ116" s="269"/>
      <c r="AK116" s="269"/>
      <c r="AL116" s="269"/>
    </row>
    <row r="117" spans="1:38" s="264" customFormat="1" x14ac:dyDescent="0.25">
      <c r="A117" s="91">
        <f t="shared" si="10"/>
        <v>0</v>
      </c>
      <c r="B117" s="37" t="str">
        <f t="shared" si="6"/>
        <v/>
      </c>
      <c r="C117" s="38"/>
      <c r="D117" s="38"/>
      <c r="E117" s="38"/>
      <c r="F117" s="38"/>
      <c r="H117" s="281">
        <v>112</v>
      </c>
      <c r="I117" s="282" t="str">
        <f t="shared" si="7"/>
        <v/>
      </c>
      <c r="J117" s="281" t="e">
        <f t="shared" si="11"/>
        <v>#NUM!</v>
      </c>
      <c r="K117" s="281" t="e">
        <f t="shared" si="8"/>
        <v>#NUM!</v>
      </c>
      <c r="L117" s="281"/>
      <c r="M117" s="283">
        <f t="shared" si="9"/>
        <v>0</v>
      </c>
      <c r="S117" s="269"/>
      <c r="T117" s="269"/>
      <c r="U117" s="269"/>
      <c r="V117" s="269"/>
      <c r="W117" s="269"/>
      <c r="X117" s="269"/>
      <c r="Y117" s="269"/>
      <c r="Z117" s="269"/>
      <c r="AA117" s="269"/>
      <c r="AB117" s="269"/>
      <c r="AC117" s="269"/>
      <c r="AD117" s="269"/>
      <c r="AE117" s="269"/>
      <c r="AF117" s="269"/>
      <c r="AG117" s="269"/>
      <c r="AH117" s="269"/>
      <c r="AI117" s="269"/>
      <c r="AJ117" s="269"/>
      <c r="AK117" s="269"/>
      <c r="AL117" s="269"/>
    </row>
    <row r="118" spans="1:38" s="264" customFormat="1" x14ac:dyDescent="0.25">
      <c r="A118" s="87">
        <f t="shared" si="10"/>
        <v>0</v>
      </c>
      <c r="B118" s="31" t="str">
        <f t="shared" si="6"/>
        <v/>
      </c>
      <c r="C118" s="32"/>
      <c r="D118" s="32"/>
      <c r="E118" s="32"/>
      <c r="F118" s="32"/>
      <c r="H118" s="278">
        <v>113</v>
      </c>
      <c r="I118" s="279" t="str">
        <f t="shared" si="7"/>
        <v/>
      </c>
      <c r="J118" s="278" t="e">
        <f t="shared" si="11"/>
        <v>#NUM!</v>
      </c>
      <c r="K118" s="278" t="e">
        <f t="shared" si="8"/>
        <v>#NUM!</v>
      </c>
      <c r="L118" s="278"/>
      <c r="M118" s="280">
        <f t="shared" si="9"/>
        <v>0</v>
      </c>
      <c r="S118" s="269"/>
      <c r="T118" s="269"/>
      <c r="U118" s="269"/>
      <c r="V118" s="269"/>
      <c r="W118" s="269"/>
      <c r="X118" s="269"/>
      <c r="Y118" s="269"/>
      <c r="Z118" s="269"/>
      <c r="AA118" s="269"/>
      <c r="AB118" s="269"/>
      <c r="AC118" s="269"/>
      <c r="AD118" s="269"/>
      <c r="AE118" s="269"/>
      <c r="AF118" s="269"/>
      <c r="AG118" s="269"/>
      <c r="AH118" s="269"/>
      <c r="AI118" s="269"/>
      <c r="AJ118" s="269"/>
      <c r="AK118" s="269"/>
      <c r="AL118" s="269"/>
    </row>
    <row r="119" spans="1:38" s="264" customFormat="1" x14ac:dyDescent="0.25">
      <c r="A119" s="91">
        <f t="shared" si="10"/>
        <v>0</v>
      </c>
      <c r="B119" s="37" t="str">
        <f t="shared" si="6"/>
        <v/>
      </c>
      <c r="C119" s="38"/>
      <c r="D119" s="38"/>
      <c r="E119" s="38"/>
      <c r="F119" s="38"/>
      <c r="H119" s="281">
        <v>114</v>
      </c>
      <c r="I119" s="282" t="str">
        <f t="shared" si="7"/>
        <v/>
      </c>
      <c r="J119" s="281" t="e">
        <f t="shared" si="11"/>
        <v>#NUM!</v>
      </c>
      <c r="K119" s="281" t="e">
        <f t="shared" si="8"/>
        <v>#NUM!</v>
      </c>
      <c r="L119" s="281"/>
      <c r="M119" s="283">
        <f t="shared" si="9"/>
        <v>0</v>
      </c>
      <c r="S119" s="269"/>
      <c r="T119" s="269"/>
      <c r="U119" s="269"/>
      <c r="V119" s="269"/>
      <c r="W119" s="269"/>
      <c r="X119" s="269"/>
      <c r="Y119" s="269"/>
      <c r="Z119" s="269"/>
      <c r="AA119" s="269"/>
      <c r="AB119" s="269"/>
      <c r="AC119" s="269"/>
      <c r="AD119" s="269"/>
      <c r="AE119" s="269"/>
      <c r="AF119" s="269"/>
      <c r="AG119" s="269"/>
      <c r="AH119" s="269"/>
      <c r="AI119" s="269"/>
      <c r="AJ119" s="269"/>
      <c r="AK119" s="269"/>
      <c r="AL119" s="269"/>
    </row>
    <row r="120" spans="1:38" s="264" customFormat="1" x14ac:dyDescent="0.25">
      <c r="A120" s="87">
        <f t="shared" si="10"/>
        <v>0</v>
      </c>
      <c r="B120" s="31" t="str">
        <f t="shared" si="6"/>
        <v/>
      </c>
      <c r="C120" s="32"/>
      <c r="D120" s="32"/>
      <c r="E120" s="32"/>
      <c r="F120" s="32"/>
      <c r="H120" s="278">
        <v>115</v>
      </c>
      <c r="I120" s="279" t="str">
        <f t="shared" si="7"/>
        <v/>
      </c>
      <c r="J120" s="278" t="e">
        <f t="shared" si="11"/>
        <v>#NUM!</v>
      </c>
      <c r="K120" s="278" t="e">
        <f t="shared" si="8"/>
        <v>#NUM!</v>
      </c>
      <c r="L120" s="278"/>
      <c r="M120" s="280">
        <f t="shared" si="9"/>
        <v>0</v>
      </c>
      <c r="S120" s="269"/>
      <c r="T120" s="269"/>
      <c r="U120" s="269"/>
      <c r="V120" s="269"/>
      <c r="W120" s="269"/>
      <c r="X120" s="269"/>
      <c r="Y120" s="269"/>
      <c r="Z120" s="269"/>
      <c r="AA120" s="269"/>
      <c r="AB120" s="269"/>
      <c r="AC120" s="269"/>
      <c r="AD120" s="269"/>
      <c r="AE120" s="269"/>
      <c r="AF120" s="269"/>
      <c r="AG120" s="269"/>
      <c r="AH120" s="269"/>
      <c r="AI120" s="269"/>
      <c r="AJ120" s="269"/>
      <c r="AK120" s="269"/>
      <c r="AL120" s="269"/>
    </row>
    <row r="121" spans="1:38" s="264" customFormat="1" x14ac:dyDescent="0.25">
      <c r="A121" s="91">
        <f t="shared" si="10"/>
        <v>0</v>
      </c>
      <c r="B121" s="37" t="str">
        <f t="shared" si="6"/>
        <v/>
      </c>
      <c r="C121" s="38"/>
      <c r="D121" s="38"/>
      <c r="E121" s="38"/>
      <c r="F121" s="38"/>
      <c r="H121" s="281">
        <v>116</v>
      </c>
      <c r="I121" s="282" t="str">
        <f t="shared" si="7"/>
        <v/>
      </c>
      <c r="J121" s="281" t="e">
        <f t="shared" si="11"/>
        <v>#NUM!</v>
      </c>
      <c r="K121" s="281" t="e">
        <f t="shared" si="8"/>
        <v>#NUM!</v>
      </c>
      <c r="L121" s="281"/>
      <c r="M121" s="283">
        <f t="shared" si="9"/>
        <v>0</v>
      </c>
      <c r="S121" s="269"/>
      <c r="T121" s="269"/>
      <c r="U121" s="269"/>
      <c r="V121" s="269"/>
      <c r="W121" s="269"/>
      <c r="X121" s="269"/>
      <c r="Y121" s="269"/>
      <c r="Z121" s="269"/>
      <c r="AA121" s="269"/>
      <c r="AB121" s="269"/>
      <c r="AC121" s="269"/>
      <c r="AD121" s="269"/>
      <c r="AE121" s="269"/>
      <c r="AF121" s="269"/>
      <c r="AG121" s="269"/>
      <c r="AH121" s="269"/>
      <c r="AI121" s="269"/>
      <c r="AJ121" s="269"/>
      <c r="AK121" s="269"/>
      <c r="AL121" s="269"/>
    </row>
    <row r="122" spans="1:38" s="264" customFormat="1" x14ac:dyDescent="0.25">
      <c r="A122" s="87">
        <f t="shared" si="10"/>
        <v>0</v>
      </c>
      <c r="B122" s="31" t="str">
        <f t="shared" si="6"/>
        <v/>
      </c>
      <c r="C122" s="32"/>
      <c r="D122" s="32"/>
      <c r="E122" s="32"/>
      <c r="F122" s="32"/>
      <c r="H122" s="278">
        <v>117</v>
      </c>
      <c r="I122" s="279" t="str">
        <f t="shared" si="7"/>
        <v/>
      </c>
      <c r="J122" s="278" t="e">
        <f t="shared" si="11"/>
        <v>#NUM!</v>
      </c>
      <c r="K122" s="278" t="e">
        <f t="shared" si="8"/>
        <v>#NUM!</v>
      </c>
      <c r="L122" s="278"/>
      <c r="M122" s="280">
        <f t="shared" si="9"/>
        <v>0</v>
      </c>
      <c r="S122" s="269"/>
      <c r="T122" s="269"/>
      <c r="U122" s="269"/>
      <c r="V122" s="269"/>
      <c r="W122" s="269"/>
      <c r="X122" s="269"/>
      <c r="Y122" s="269"/>
      <c r="Z122" s="269"/>
      <c r="AA122" s="269"/>
      <c r="AB122" s="269"/>
      <c r="AC122" s="269"/>
      <c r="AD122" s="269"/>
      <c r="AE122" s="269"/>
      <c r="AF122" s="269"/>
      <c r="AG122" s="269"/>
      <c r="AH122" s="269"/>
      <c r="AI122" s="269"/>
      <c r="AJ122" s="269"/>
      <c r="AK122" s="269"/>
      <c r="AL122" s="269"/>
    </row>
    <row r="123" spans="1:38" s="264" customFormat="1" x14ac:dyDescent="0.25">
      <c r="A123" s="91">
        <f t="shared" si="10"/>
        <v>0</v>
      </c>
      <c r="B123" s="37" t="str">
        <f t="shared" si="6"/>
        <v/>
      </c>
      <c r="C123" s="38"/>
      <c r="D123" s="38"/>
      <c r="E123" s="38"/>
      <c r="F123" s="38"/>
      <c r="H123" s="281">
        <v>118</v>
      </c>
      <c r="I123" s="282" t="str">
        <f t="shared" si="7"/>
        <v/>
      </c>
      <c r="J123" s="281" t="e">
        <f t="shared" si="11"/>
        <v>#NUM!</v>
      </c>
      <c r="K123" s="281" t="e">
        <f t="shared" si="8"/>
        <v>#NUM!</v>
      </c>
      <c r="L123" s="281"/>
      <c r="M123" s="283">
        <f t="shared" si="9"/>
        <v>0</v>
      </c>
      <c r="S123" s="269"/>
      <c r="T123" s="269"/>
      <c r="U123" s="269"/>
      <c r="V123" s="269"/>
      <c r="W123" s="269"/>
      <c r="X123" s="269"/>
      <c r="Y123" s="269"/>
      <c r="Z123" s="269"/>
      <c r="AA123" s="269"/>
      <c r="AB123" s="269"/>
      <c r="AC123" s="269"/>
      <c r="AD123" s="269"/>
      <c r="AE123" s="269"/>
      <c r="AF123" s="269"/>
      <c r="AG123" s="269"/>
      <c r="AH123" s="269"/>
      <c r="AI123" s="269"/>
      <c r="AJ123" s="269"/>
      <c r="AK123" s="269"/>
      <c r="AL123" s="269"/>
    </row>
    <row r="124" spans="1:38" s="264" customFormat="1" x14ac:dyDescent="0.25">
      <c r="A124" s="87">
        <f t="shared" si="10"/>
        <v>0</v>
      </c>
      <c r="B124" s="31" t="str">
        <f t="shared" si="6"/>
        <v/>
      </c>
      <c r="C124" s="32"/>
      <c r="D124" s="32"/>
      <c r="E124" s="32"/>
      <c r="F124" s="32"/>
      <c r="H124" s="278">
        <v>119</v>
      </c>
      <c r="I124" s="279" t="str">
        <f t="shared" si="7"/>
        <v/>
      </c>
      <c r="J124" s="278" t="e">
        <f t="shared" si="11"/>
        <v>#NUM!</v>
      </c>
      <c r="K124" s="278" t="e">
        <f t="shared" si="8"/>
        <v>#NUM!</v>
      </c>
      <c r="L124" s="278"/>
      <c r="M124" s="280">
        <f t="shared" si="9"/>
        <v>0</v>
      </c>
      <c r="S124" s="269"/>
      <c r="T124" s="269"/>
      <c r="U124" s="269"/>
      <c r="V124" s="269"/>
      <c r="W124" s="269"/>
      <c r="X124" s="269"/>
      <c r="Y124" s="269"/>
      <c r="Z124" s="269"/>
      <c r="AA124" s="269"/>
      <c r="AB124" s="269"/>
      <c r="AC124" s="269"/>
      <c r="AD124" s="269"/>
      <c r="AE124" s="269"/>
      <c r="AF124" s="269"/>
      <c r="AG124" s="269"/>
      <c r="AH124" s="269"/>
      <c r="AI124" s="269"/>
      <c r="AJ124" s="269"/>
      <c r="AK124" s="269"/>
      <c r="AL124" s="269"/>
    </row>
    <row r="125" spans="1:38" s="264" customFormat="1" x14ac:dyDescent="0.25">
      <c r="A125" s="91">
        <f t="shared" si="10"/>
        <v>0</v>
      </c>
      <c r="B125" s="37" t="str">
        <f t="shared" si="6"/>
        <v/>
      </c>
      <c r="C125" s="38"/>
      <c r="D125" s="38"/>
      <c r="E125" s="38"/>
      <c r="F125" s="38"/>
      <c r="H125" s="281">
        <v>120</v>
      </c>
      <c r="I125" s="282" t="str">
        <f t="shared" si="7"/>
        <v/>
      </c>
      <c r="J125" s="281" t="e">
        <f t="shared" si="11"/>
        <v>#NUM!</v>
      </c>
      <c r="K125" s="281" t="e">
        <f t="shared" si="8"/>
        <v>#NUM!</v>
      </c>
      <c r="L125" s="281"/>
      <c r="M125" s="283">
        <f t="shared" si="9"/>
        <v>0</v>
      </c>
      <c r="S125" s="269"/>
      <c r="T125" s="269"/>
      <c r="U125" s="269"/>
      <c r="V125" s="269"/>
      <c r="W125" s="269"/>
      <c r="X125" s="269"/>
      <c r="Y125" s="269"/>
      <c r="Z125" s="269"/>
      <c r="AA125" s="269"/>
      <c r="AB125" s="269"/>
      <c r="AC125" s="269"/>
      <c r="AD125" s="269"/>
      <c r="AE125" s="269"/>
      <c r="AF125" s="269"/>
      <c r="AG125" s="269"/>
      <c r="AH125" s="269"/>
      <c r="AI125" s="269"/>
      <c r="AJ125" s="269"/>
      <c r="AK125" s="269"/>
      <c r="AL125" s="269"/>
    </row>
    <row r="126" spans="1:38" s="264" customFormat="1" x14ac:dyDescent="0.25">
      <c r="A126" s="87">
        <f t="shared" si="10"/>
        <v>0</v>
      </c>
      <c r="B126" s="31" t="str">
        <f t="shared" si="6"/>
        <v/>
      </c>
      <c r="C126" s="32"/>
      <c r="D126" s="32"/>
      <c r="E126" s="32"/>
      <c r="F126" s="32"/>
      <c r="H126" s="278">
        <v>121</v>
      </c>
      <c r="I126" s="279" t="str">
        <f t="shared" si="7"/>
        <v/>
      </c>
      <c r="J126" s="278" t="e">
        <f t="shared" si="11"/>
        <v>#NUM!</v>
      </c>
      <c r="K126" s="278" t="e">
        <f t="shared" si="8"/>
        <v>#NUM!</v>
      </c>
      <c r="L126" s="278"/>
      <c r="M126" s="280">
        <f t="shared" si="9"/>
        <v>0</v>
      </c>
      <c r="S126" s="269"/>
      <c r="T126" s="269"/>
      <c r="U126" s="269"/>
      <c r="V126" s="269"/>
      <c r="W126" s="269"/>
      <c r="X126" s="269"/>
      <c r="Y126" s="269"/>
      <c r="Z126" s="269"/>
      <c r="AA126" s="269"/>
      <c r="AB126" s="269"/>
      <c r="AC126" s="269"/>
      <c r="AD126" s="269"/>
      <c r="AE126" s="269"/>
      <c r="AF126" s="269"/>
      <c r="AG126" s="269"/>
      <c r="AH126" s="269"/>
      <c r="AI126" s="269"/>
      <c r="AJ126" s="269"/>
      <c r="AK126" s="269"/>
      <c r="AL126" s="269"/>
    </row>
    <row r="127" spans="1:38" s="264" customFormat="1" x14ac:dyDescent="0.25">
      <c r="A127" s="91">
        <f t="shared" si="10"/>
        <v>0</v>
      </c>
      <c r="B127" s="37" t="str">
        <f t="shared" si="6"/>
        <v/>
      </c>
      <c r="C127" s="38"/>
      <c r="D127" s="38"/>
      <c r="E127" s="38"/>
      <c r="F127" s="38"/>
      <c r="H127" s="281">
        <v>122</v>
      </c>
      <c r="I127" s="282" t="str">
        <f t="shared" si="7"/>
        <v/>
      </c>
      <c r="J127" s="281" t="e">
        <f t="shared" si="11"/>
        <v>#NUM!</v>
      </c>
      <c r="K127" s="281" t="e">
        <f t="shared" si="8"/>
        <v>#NUM!</v>
      </c>
      <c r="L127" s="281"/>
      <c r="M127" s="283">
        <f t="shared" si="9"/>
        <v>0</v>
      </c>
      <c r="S127" s="269"/>
      <c r="T127" s="269"/>
      <c r="U127" s="269"/>
      <c r="V127" s="269"/>
      <c r="W127" s="269"/>
      <c r="X127" s="269"/>
      <c r="Y127" s="269"/>
      <c r="Z127" s="269"/>
      <c r="AA127" s="269"/>
      <c r="AB127" s="269"/>
      <c r="AC127" s="269"/>
      <c r="AD127" s="269"/>
      <c r="AE127" s="269"/>
      <c r="AF127" s="269"/>
      <c r="AG127" s="269"/>
      <c r="AH127" s="269"/>
      <c r="AI127" s="269"/>
      <c r="AJ127" s="269"/>
      <c r="AK127" s="269"/>
      <c r="AL127" s="269"/>
    </row>
    <row r="128" spans="1:38" s="264" customFormat="1" x14ac:dyDescent="0.25">
      <c r="A128" s="87">
        <f t="shared" si="10"/>
        <v>0</v>
      </c>
      <c r="B128" s="31" t="str">
        <f t="shared" si="6"/>
        <v/>
      </c>
      <c r="C128" s="32"/>
      <c r="D128" s="32"/>
      <c r="E128" s="32"/>
      <c r="F128" s="32"/>
      <c r="H128" s="278">
        <v>123</v>
      </c>
      <c r="I128" s="279" t="str">
        <f t="shared" si="7"/>
        <v/>
      </c>
      <c r="J128" s="278" t="e">
        <f t="shared" si="11"/>
        <v>#NUM!</v>
      </c>
      <c r="K128" s="278" t="e">
        <f t="shared" si="8"/>
        <v>#NUM!</v>
      </c>
      <c r="L128" s="278"/>
      <c r="M128" s="280">
        <f t="shared" si="9"/>
        <v>0</v>
      </c>
      <c r="S128" s="269"/>
      <c r="T128" s="269"/>
      <c r="U128" s="269"/>
      <c r="V128" s="269"/>
      <c r="W128" s="269"/>
      <c r="X128" s="269"/>
      <c r="Y128" s="269"/>
      <c r="Z128" s="269"/>
      <c r="AA128" s="269"/>
      <c r="AB128" s="269"/>
      <c r="AC128" s="269"/>
      <c r="AD128" s="269"/>
      <c r="AE128" s="269"/>
      <c r="AF128" s="269"/>
      <c r="AG128" s="269"/>
      <c r="AH128" s="269"/>
      <c r="AI128" s="269"/>
      <c r="AJ128" s="269"/>
      <c r="AK128" s="269"/>
      <c r="AL128" s="269"/>
    </row>
    <row r="129" spans="1:38" s="264" customFormat="1" x14ac:dyDescent="0.25">
      <c r="A129" s="91">
        <f t="shared" si="10"/>
        <v>0</v>
      </c>
      <c r="B129" s="37" t="str">
        <f t="shared" si="6"/>
        <v/>
      </c>
      <c r="C129" s="38"/>
      <c r="D129" s="38"/>
      <c r="E129" s="38"/>
      <c r="F129" s="38"/>
      <c r="H129" s="281">
        <v>124</v>
      </c>
      <c r="I129" s="282" t="str">
        <f t="shared" si="7"/>
        <v/>
      </c>
      <c r="J129" s="281" t="e">
        <f t="shared" si="11"/>
        <v>#NUM!</v>
      </c>
      <c r="K129" s="281" t="e">
        <f t="shared" si="8"/>
        <v>#NUM!</v>
      </c>
      <c r="L129" s="281"/>
      <c r="M129" s="283">
        <f t="shared" si="9"/>
        <v>0</v>
      </c>
      <c r="S129" s="269"/>
      <c r="T129" s="269"/>
      <c r="U129" s="269"/>
      <c r="V129" s="269"/>
      <c r="W129" s="269"/>
      <c r="X129" s="269"/>
      <c r="Y129" s="269"/>
      <c r="Z129" s="269"/>
      <c r="AA129" s="269"/>
      <c r="AB129" s="269"/>
      <c r="AC129" s="269"/>
      <c r="AD129" s="269"/>
      <c r="AE129" s="269"/>
      <c r="AF129" s="269"/>
      <c r="AG129" s="269"/>
      <c r="AH129" s="269"/>
      <c r="AI129" s="269"/>
      <c r="AJ129" s="269"/>
      <c r="AK129" s="269"/>
      <c r="AL129" s="269"/>
    </row>
    <row r="130" spans="1:38" s="264" customFormat="1" x14ac:dyDescent="0.25">
      <c r="A130" s="87">
        <f t="shared" si="10"/>
        <v>0</v>
      </c>
      <c r="B130" s="31" t="str">
        <f t="shared" si="6"/>
        <v/>
      </c>
      <c r="C130" s="32"/>
      <c r="D130" s="32"/>
      <c r="E130" s="32"/>
      <c r="F130" s="32"/>
      <c r="H130" s="278">
        <v>125</v>
      </c>
      <c r="I130" s="279" t="str">
        <f t="shared" si="7"/>
        <v/>
      </c>
      <c r="J130" s="278" t="e">
        <f t="shared" si="11"/>
        <v>#NUM!</v>
      </c>
      <c r="K130" s="278" t="e">
        <f t="shared" si="8"/>
        <v>#NUM!</v>
      </c>
      <c r="L130" s="278"/>
      <c r="M130" s="280">
        <f t="shared" si="9"/>
        <v>0</v>
      </c>
      <c r="S130" s="269"/>
      <c r="T130" s="269"/>
      <c r="U130" s="269"/>
      <c r="V130" s="269"/>
      <c r="W130" s="269"/>
      <c r="X130" s="269"/>
      <c r="Y130" s="269"/>
      <c r="Z130" s="269"/>
      <c r="AA130" s="269"/>
      <c r="AB130" s="269"/>
      <c r="AC130" s="269"/>
      <c r="AD130" s="269"/>
      <c r="AE130" s="269"/>
      <c r="AF130" s="269"/>
      <c r="AG130" s="269"/>
      <c r="AH130" s="269"/>
      <c r="AI130" s="269"/>
      <c r="AJ130" s="269"/>
      <c r="AK130" s="269"/>
      <c r="AL130" s="269"/>
    </row>
    <row r="131" spans="1:38" s="264" customFormat="1" x14ac:dyDescent="0.25">
      <c r="A131" s="91">
        <f t="shared" si="10"/>
        <v>0</v>
      </c>
      <c r="B131" s="37" t="str">
        <f t="shared" si="6"/>
        <v/>
      </c>
      <c r="C131" s="38"/>
      <c r="D131" s="38"/>
      <c r="E131" s="38"/>
      <c r="F131" s="38"/>
      <c r="H131" s="281">
        <v>126</v>
      </c>
      <c r="I131" s="282" t="str">
        <f t="shared" si="7"/>
        <v/>
      </c>
      <c r="J131" s="281" t="e">
        <f t="shared" si="11"/>
        <v>#NUM!</v>
      </c>
      <c r="K131" s="281" t="e">
        <f t="shared" si="8"/>
        <v>#NUM!</v>
      </c>
      <c r="L131" s="281"/>
      <c r="M131" s="283">
        <f t="shared" si="9"/>
        <v>0</v>
      </c>
      <c r="S131" s="269"/>
      <c r="T131" s="269"/>
      <c r="U131" s="269"/>
      <c r="V131" s="269"/>
      <c r="W131" s="269"/>
      <c r="X131" s="269"/>
      <c r="Y131" s="269"/>
      <c r="Z131" s="269"/>
      <c r="AA131" s="269"/>
      <c r="AB131" s="269"/>
      <c r="AC131" s="269"/>
      <c r="AD131" s="269"/>
      <c r="AE131" s="269"/>
      <c r="AF131" s="269"/>
      <c r="AG131" s="269"/>
      <c r="AH131" s="269"/>
      <c r="AI131" s="269"/>
      <c r="AJ131" s="269"/>
      <c r="AK131" s="269"/>
      <c r="AL131" s="269"/>
    </row>
    <row r="132" spans="1:38" s="264" customFormat="1" x14ac:dyDescent="0.25">
      <c r="A132" s="87">
        <f t="shared" si="10"/>
        <v>0</v>
      </c>
      <c r="B132" s="31" t="str">
        <f t="shared" si="6"/>
        <v/>
      </c>
      <c r="C132" s="32"/>
      <c r="D132" s="32"/>
      <c r="E132" s="32"/>
      <c r="F132" s="32"/>
      <c r="H132" s="278">
        <v>127</v>
      </c>
      <c r="I132" s="279" t="str">
        <f t="shared" si="7"/>
        <v/>
      </c>
      <c r="J132" s="278" t="e">
        <f t="shared" si="11"/>
        <v>#NUM!</v>
      </c>
      <c r="K132" s="278" t="e">
        <f t="shared" si="8"/>
        <v>#NUM!</v>
      </c>
      <c r="L132" s="278"/>
      <c r="M132" s="280">
        <f t="shared" si="9"/>
        <v>0</v>
      </c>
      <c r="S132" s="269"/>
      <c r="T132" s="269"/>
      <c r="U132" s="269"/>
      <c r="V132" s="269"/>
      <c r="W132" s="269"/>
      <c r="X132" s="269"/>
      <c r="Y132" s="269"/>
      <c r="Z132" s="269"/>
      <c r="AA132" s="269"/>
      <c r="AB132" s="269"/>
      <c r="AC132" s="269"/>
      <c r="AD132" s="269"/>
      <c r="AE132" s="269"/>
      <c r="AF132" s="269"/>
      <c r="AG132" s="269"/>
      <c r="AH132" s="269"/>
      <c r="AI132" s="269"/>
      <c r="AJ132" s="269"/>
      <c r="AK132" s="269"/>
      <c r="AL132" s="269"/>
    </row>
    <row r="133" spans="1:38" s="264" customFormat="1" x14ac:dyDescent="0.25">
      <c r="A133" s="91">
        <f t="shared" si="10"/>
        <v>0</v>
      </c>
      <c r="B133" s="37" t="str">
        <f t="shared" si="6"/>
        <v/>
      </c>
      <c r="C133" s="38"/>
      <c r="D133" s="38"/>
      <c r="E133" s="38"/>
      <c r="F133" s="38"/>
      <c r="H133" s="281">
        <v>128</v>
      </c>
      <c r="I133" s="282" t="str">
        <f t="shared" si="7"/>
        <v/>
      </c>
      <c r="J133" s="281" t="e">
        <f t="shared" si="11"/>
        <v>#NUM!</v>
      </c>
      <c r="K133" s="281" t="e">
        <f t="shared" si="8"/>
        <v>#NUM!</v>
      </c>
      <c r="L133" s="281"/>
      <c r="M133" s="283">
        <f t="shared" si="9"/>
        <v>0</v>
      </c>
      <c r="S133" s="269"/>
      <c r="T133" s="269"/>
      <c r="U133" s="269"/>
      <c r="V133" s="269"/>
      <c r="W133" s="269"/>
      <c r="X133" s="269"/>
      <c r="Y133" s="269"/>
      <c r="Z133" s="269"/>
      <c r="AA133" s="269"/>
      <c r="AB133" s="269"/>
      <c r="AC133" s="269"/>
      <c r="AD133" s="269"/>
      <c r="AE133" s="269"/>
      <c r="AF133" s="269"/>
      <c r="AG133" s="269"/>
      <c r="AH133" s="269"/>
      <c r="AI133" s="269"/>
      <c r="AJ133" s="269"/>
      <c r="AK133" s="269"/>
      <c r="AL133" s="269"/>
    </row>
    <row r="134" spans="1:38" s="264" customFormat="1" x14ac:dyDescent="0.25">
      <c r="A134" s="87">
        <f t="shared" si="10"/>
        <v>0</v>
      </c>
      <c r="B134" s="31" t="str">
        <f t="shared" ref="B134:B140" si="12">IF(H134&gt;$H$2,"",(ROW()-5))</f>
        <v/>
      </c>
      <c r="C134" s="32"/>
      <c r="D134" s="32"/>
      <c r="E134" s="32"/>
      <c r="F134" s="32"/>
      <c r="H134" s="278">
        <v>129</v>
      </c>
      <c r="I134" s="279" t="str">
        <f t="shared" ref="I134:I197" si="13">IF(H134&lt;$H$2+1,($I$2-($I$2-1)*(LOG(H134)/LOG($H$2))),"")</f>
        <v/>
      </c>
      <c r="J134" s="278" t="e">
        <f t="shared" si="11"/>
        <v>#NUM!</v>
      </c>
      <c r="K134" s="278" t="e">
        <f t="shared" ref="K134:K197" si="14">J134*$J$2</f>
        <v>#NUM!</v>
      </c>
      <c r="L134" s="278"/>
      <c r="M134" s="280">
        <f t="shared" ref="M134:M197" si="15">IF(I134&lt;&gt;"",K134+I134+L134,0)</f>
        <v>0</v>
      </c>
      <c r="S134" s="269"/>
      <c r="T134" s="269"/>
      <c r="U134" s="269"/>
      <c r="V134" s="269"/>
      <c r="W134" s="269"/>
      <c r="X134" s="269"/>
      <c r="Y134" s="269"/>
      <c r="Z134" s="269"/>
      <c r="AA134" s="269"/>
      <c r="AB134" s="269"/>
      <c r="AC134" s="269"/>
      <c r="AD134" s="269"/>
      <c r="AE134" s="269"/>
      <c r="AF134" s="269"/>
      <c r="AG134" s="269"/>
      <c r="AH134" s="269"/>
      <c r="AI134" s="269"/>
      <c r="AJ134" s="269"/>
      <c r="AK134" s="269"/>
      <c r="AL134" s="269"/>
    </row>
    <row r="135" spans="1:38" s="264" customFormat="1" x14ac:dyDescent="0.25">
      <c r="A135" s="91">
        <f t="shared" ref="A135:A140" si="16">M135</f>
        <v>0</v>
      </c>
      <c r="B135" s="37" t="str">
        <f t="shared" si="12"/>
        <v/>
      </c>
      <c r="C135" s="38"/>
      <c r="D135" s="38"/>
      <c r="E135" s="38"/>
      <c r="F135" s="38"/>
      <c r="H135" s="281">
        <v>130</v>
      </c>
      <c r="I135" s="282" t="str">
        <f t="shared" si="13"/>
        <v/>
      </c>
      <c r="J135" s="281" t="e">
        <f t="shared" ref="J135:J198" si="17">INT(LOG($H$2,2))-ROUNDUP(LOG(H135,2),0)+IF(OR($H$2=1,$H$2=2,$H$2=4,$H$2=8,$H$2=16,$H$2=32,$H$2=64,$H$2=128,$H$2=256),0,1)</f>
        <v>#NUM!</v>
      </c>
      <c r="K135" s="281" t="e">
        <f t="shared" si="14"/>
        <v>#NUM!</v>
      </c>
      <c r="L135" s="281"/>
      <c r="M135" s="283">
        <f t="shared" si="15"/>
        <v>0</v>
      </c>
      <c r="S135" s="269"/>
      <c r="T135" s="269"/>
      <c r="U135" s="269"/>
      <c r="V135" s="269"/>
      <c r="W135" s="269"/>
      <c r="X135" s="269"/>
      <c r="Y135" s="269"/>
      <c r="Z135" s="269"/>
      <c r="AA135" s="269"/>
      <c r="AB135" s="269"/>
      <c r="AC135" s="269"/>
      <c r="AD135" s="269"/>
      <c r="AE135" s="269"/>
      <c r="AF135" s="269"/>
      <c r="AG135" s="269"/>
      <c r="AH135" s="269"/>
      <c r="AI135" s="269"/>
      <c r="AJ135" s="269"/>
      <c r="AK135" s="269"/>
      <c r="AL135" s="269"/>
    </row>
    <row r="136" spans="1:38" s="264" customFormat="1" x14ac:dyDescent="0.25">
      <c r="A136" s="87">
        <f t="shared" si="16"/>
        <v>0</v>
      </c>
      <c r="B136" s="31" t="str">
        <f t="shared" si="12"/>
        <v/>
      </c>
      <c r="C136" s="32"/>
      <c r="D136" s="32"/>
      <c r="E136" s="32"/>
      <c r="F136" s="32"/>
      <c r="H136" s="278">
        <v>131</v>
      </c>
      <c r="I136" s="279" t="str">
        <f t="shared" si="13"/>
        <v/>
      </c>
      <c r="J136" s="278" t="e">
        <f t="shared" si="17"/>
        <v>#NUM!</v>
      </c>
      <c r="K136" s="278" t="e">
        <f t="shared" si="14"/>
        <v>#NUM!</v>
      </c>
      <c r="L136" s="278"/>
      <c r="M136" s="280">
        <f t="shared" si="15"/>
        <v>0</v>
      </c>
      <c r="S136" s="269"/>
      <c r="T136" s="269"/>
      <c r="U136" s="269"/>
      <c r="V136" s="269"/>
      <c r="W136" s="269"/>
      <c r="X136" s="269"/>
      <c r="Y136" s="269"/>
      <c r="Z136" s="269"/>
      <c r="AA136" s="269"/>
      <c r="AB136" s="269"/>
      <c r="AC136" s="269"/>
      <c r="AD136" s="269"/>
      <c r="AE136" s="269"/>
      <c r="AF136" s="269"/>
      <c r="AG136" s="269"/>
      <c r="AH136" s="269"/>
      <c r="AI136" s="269"/>
      <c r="AJ136" s="269"/>
      <c r="AK136" s="269"/>
      <c r="AL136" s="269"/>
    </row>
    <row r="137" spans="1:38" s="264" customFormat="1" x14ac:dyDescent="0.25">
      <c r="A137" s="91">
        <f t="shared" si="16"/>
        <v>0</v>
      </c>
      <c r="B137" s="37" t="str">
        <f t="shared" si="12"/>
        <v/>
      </c>
      <c r="C137" s="38"/>
      <c r="D137" s="38"/>
      <c r="E137" s="38"/>
      <c r="F137" s="38"/>
      <c r="H137" s="281">
        <v>132</v>
      </c>
      <c r="I137" s="282" t="str">
        <f t="shared" si="13"/>
        <v/>
      </c>
      <c r="J137" s="281" t="e">
        <f t="shared" si="17"/>
        <v>#NUM!</v>
      </c>
      <c r="K137" s="281" t="e">
        <f t="shared" si="14"/>
        <v>#NUM!</v>
      </c>
      <c r="L137" s="281"/>
      <c r="M137" s="283">
        <f t="shared" si="15"/>
        <v>0</v>
      </c>
      <c r="S137" s="269"/>
      <c r="T137" s="269"/>
      <c r="U137" s="269"/>
      <c r="V137" s="269"/>
      <c r="W137" s="269"/>
      <c r="X137" s="269"/>
      <c r="Y137" s="269"/>
      <c r="Z137" s="269"/>
      <c r="AA137" s="269"/>
      <c r="AB137" s="269"/>
      <c r="AC137" s="269"/>
      <c r="AD137" s="269"/>
      <c r="AE137" s="269"/>
      <c r="AF137" s="269"/>
      <c r="AG137" s="269"/>
      <c r="AH137" s="269"/>
      <c r="AI137" s="269"/>
      <c r="AJ137" s="269"/>
      <c r="AK137" s="269"/>
      <c r="AL137" s="269"/>
    </row>
    <row r="138" spans="1:38" s="264" customFormat="1" x14ac:dyDescent="0.25">
      <c r="A138" s="87">
        <f t="shared" si="16"/>
        <v>0</v>
      </c>
      <c r="B138" s="31" t="str">
        <f t="shared" si="12"/>
        <v/>
      </c>
      <c r="C138" s="32"/>
      <c r="D138" s="32"/>
      <c r="E138" s="32"/>
      <c r="F138" s="32"/>
      <c r="H138" s="278">
        <v>133</v>
      </c>
      <c r="I138" s="279" t="str">
        <f t="shared" si="13"/>
        <v/>
      </c>
      <c r="J138" s="278" t="e">
        <f t="shared" si="17"/>
        <v>#NUM!</v>
      </c>
      <c r="K138" s="278" t="e">
        <f t="shared" si="14"/>
        <v>#NUM!</v>
      </c>
      <c r="L138" s="278"/>
      <c r="M138" s="280">
        <f t="shared" si="15"/>
        <v>0</v>
      </c>
      <c r="S138" s="269"/>
      <c r="T138" s="269"/>
      <c r="U138" s="269"/>
      <c r="V138" s="269"/>
      <c r="W138" s="269"/>
      <c r="X138" s="269"/>
      <c r="Y138" s="269"/>
      <c r="Z138" s="269"/>
      <c r="AA138" s="269"/>
      <c r="AB138" s="269"/>
      <c r="AC138" s="269"/>
      <c r="AD138" s="269"/>
      <c r="AE138" s="269"/>
      <c r="AF138" s="269"/>
      <c r="AG138" s="269"/>
      <c r="AH138" s="269"/>
      <c r="AI138" s="269"/>
      <c r="AJ138" s="269"/>
      <c r="AK138" s="269"/>
      <c r="AL138" s="269"/>
    </row>
    <row r="139" spans="1:38" s="264" customFormat="1" x14ac:dyDescent="0.25">
      <c r="A139" s="91">
        <f t="shared" si="16"/>
        <v>0</v>
      </c>
      <c r="B139" s="37" t="str">
        <f t="shared" si="12"/>
        <v/>
      </c>
      <c r="C139" s="38"/>
      <c r="D139" s="38"/>
      <c r="E139" s="38"/>
      <c r="F139" s="38"/>
      <c r="H139" s="281">
        <v>134</v>
      </c>
      <c r="I139" s="282" t="str">
        <f t="shared" si="13"/>
        <v/>
      </c>
      <c r="J139" s="281" t="e">
        <f t="shared" si="17"/>
        <v>#NUM!</v>
      </c>
      <c r="K139" s="281" t="e">
        <f t="shared" si="14"/>
        <v>#NUM!</v>
      </c>
      <c r="L139" s="281"/>
      <c r="M139" s="283">
        <f t="shared" si="15"/>
        <v>0</v>
      </c>
      <c r="S139" s="269"/>
      <c r="T139" s="269"/>
      <c r="U139" s="269"/>
      <c r="V139" s="269"/>
      <c r="W139" s="269"/>
      <c r="X139" s="269"/>
      <c r="Y139" s="269"/>
      <c r="Z139" s="269"/>
      <c r="AA139" s="269"/>
      <c r="AB139" s="269"/>
      <c r="AC139" s="269"/>
      <c r="AD139" s="269"/>
      <c r="AE139" s="269"/>
      <c r="AF139" s="269"/>
      <c r="AG139" s="269"/>
      <c r="AH139" s="269"/>
      <c r="AI139" s="269"/>
      <c r="AJ139" s="269"/>
      <c r="AK139" s="269"/>
      <c r="AL139" s="269"/>
    </row>
    <row r="140" spans="1:38" s="264" customFormat="1" x14ac:dyDescent="0.25">
      <c r="A140" s="87">
        <f t="shared" si="16"/>
        <v>0</v>
      </c>
      <c r="B140" s="31" t="str">
        <f t="shared" si="12"/>
        <v/>
      </c>
      <c r="C140" s="32"/>
      <c r="D140" s="32"/>
      <c r="E140" s="32"/>
      <c r="F140" s="32"/>
      <c r="H140" s="278">
        <v>135</v>
      </c>
      <c r="I140" s="279" t="str">
        <f t="shared" si="13"/>
        <v/>
      </c>
      <c r="J140" s="278" t="e">
        <f t="shared" si="17"/>
        <v>#NUM!</v>
      </c>
      <c r="K140" s="278" t="e">
        <f t="shared" si="14"/>
        <v>#NUM!</v>
      </c>
      <c r="L140" s="278"/>
      <c r="M140" s="280">
        <f t="shared" si="15"/>
        <v>0</v>
      </c>
      <c r="S140" s="269"/>
      <c r="T140" s="269"/>
      <c r="U140" s="269"/>
      <c r="V140" s="269"/>
      <c r="W140" s="269"/>
      <c r="X140" s="269"/>
      <c r="Y140" s="269"/>
      <c r="Z140" s="269"/>
      <c r="AA140" s="269"/>
      <c r="AB140" s="269"/>
      <c r="AC140" s="269"/>
      <c r="AD140" s="269"/>
      <c r="AE140" s="269"/>
      <c r="AF140" s="269"/>
      <c r="AG140" s="269"/>
      <c r="AH140" s="269"/>
      <c r="AI140" s="269"/>
      <c r="AJ140" s="269"/>
      <c r="AK140" s="269"/>
      <c r="AL140" s="269"/>
    </row>
    <row r="141" spans="1:38" x14ac:dyDescent="0.25">
      <c r="A141" s="295"/>
      <c r="G141" s="264"/>
      <c r="H141" s="281">
        <v>136</v>
      </c>
      <c r="I141" s="279" t="str">
        <f t="shared" si="13"/>
        <v/>
      </c>
      <c r="J141" s="278" t="e">
        <f t="shared" si="17"/>
        <v>#NUM!</v>
      </c>
      <c r="K141" s="278" t="e">
        <f t="shared" si="14"/>
        <v>#NUM!</v>
      </c>
      <c r="L141" s="278"/>
      <c r="M141" s="280">
        <f t="shared" si="15"/>
        <v>0</v>
      </c>
    </row>
    <row r="142" spans="1:38" x14ac:dyDescent="0.25">
      <c r="A142" s="295"/>
      <c r="G142" s="264"/>
      <c r="H142" s="278">
        <v>137</v>
      </c>
      <c r="I142" s="279" t="str">
        <f t="shared" si="13"/>
        <v/>
      </c>
      <c r="J142" s="278" t="e">
        <f t="shared" si="17"/>
        <v>#NUM!</v>
      </c>
      <c r="K142" s="278" t="e">
        <f t="shared" si="14"/>
        <v>#NUM!</v>
      </c>
      <c r="L142" s="278"/>
      <c r="M142" s="280">
        <f t="shared" si="15"/>
        <v>0</v>
      </c>
    </row>
    <row r="143" spans="1:38" x14ac:dyDescent="0.25">
      <c r="A143" s="295"/>
      <c r="G143" s="264"/>
      <c r="H143" s="281">
        <v>138</v>
      </c>
      <c r="I143" s="279" t="str">
        <f t="shared" si="13"/>
        <v/>
      </c>
      <c r="J143" s="278" t="e">
        <f t="shared" si="17"/>
        <v>#NUM!</v>
      </c>
      <c r="K143" s="278" t="e">
        <f t="shared" si="14"/>
        <v>#NUM!</v>
      </c>
      <c r="L143" s="278"/>
      <c r="M143" s="280">
        <f t="shared" si="15"/>
        <v>0</v>
      </c>
    </row>
    <row r="144" spans="1:38" x14ac:dyDescent="0.25">
      <c r="A144" s="295"/>
      <c r="G144" s="264"/>
      <c r="H144" s="278">
        <v>139</v>
      </c>
      <c r="I144" s="279" t="str">
        <f t="shared" si="13"/>
        <v/>
      </c>
      <c r="J144" s="278" t="e">
        <f t="shared" si="17"/>
        <v>#NUM!</v>
      </c>
      <c r="K144" s="278" t="e">
        <f t="shared" si="14"/>
        <v>#NUM!</v>
      </c>
      <c r="L144" s="278"/>
      <c r="M144" s="280">
        <f t="shared" si="15"/>
        <v>0</v>
      </c>
    </row>
    <row r="145" spans="1:13" x14ac:dyDescent="0.25">
      <c r="A145" s="295"/>
      <c r="G145" s="264"/>
      <c r="H145" s="281">
        <v>140</v>
      </c>
      <c r="I145" s="279" t="str">
        <f t="shared" si="13"/>
        <v/>
      </c>
      <c r="J145" s="278" t="e">
        <f t="shared" si="17"/>
        <v>#NUM!</v>
      </c>
      <c r="K145" s="278" t="e">
        <f t="shared" si="14"/>
        <v>#NUM!</v>
      </c>
      <c r="L145" s="278"/>
      <c r="M145" s="280">
        <f t="shared" si="15"/>
        <v>0</v>
      </c>
    </row>
    <row r="146" spans="1:13" x14ac:dyDescent="0.25">
      <c r="A146" s="295"/>
      <c r="G146" s="264"/>
      <c r="H146" s="278">
        <v>141</v>
      </c>
      <c r="I146" s="279" t="str">
        <f t="shared" si="13"/>
        <v/>
      </c>
      <c r="J146" s="278" t="e">
        <f t="shared" si="17"/>
        <v>#NUM!</v>
      </c>
      <c r="K146" s="278" t="e">
        <f t="shared" si="14"/>
        <v>#NUM!</v>
      </c>
      <c r="L146" s="278"/>
      <c r="M146" s="280">
        <f t="shared" si="15"/>
        <v>0</v>
      </c>
    </row>
    <row r="147" spans="1:13" x14ac:dyDescent="0.25">
      <c r="A147" s="295"/>
      <c r="G147" s="264"/>
      <c r="H147" s="281">
        <v>142</v>
      </c>
      <c r="I147" s="279" t="str">
        <f t="shared" si="13"/>
        <v/>
      </c>
      <c r="J147" s="278" t="e">
        <f t="shared" si="17"/>
        <v>#NUM!</v>
      </c>
      <c r="K147" s="278" t="e">
        <f t="shared" si="14"/>
        <v>#NUM!</v>
      </c>
      <c r="L147" s="278"/>
      <c r="M147" s="280">
        <f t="shared" si="15"/>
        <v>0</v>
      </c>
    </row>
    <row r="148" spans="1:13" x14ac:dyDescent="0.25">
      <c r="A148" s="295"/>
      <c r="G148" s="264"/>
      <c r="H148" s="278">
        <v>143</v>
      </c>
      <c r="I148" s="279" t="str">
        <f t="shared" si="13"/>
        <v/>
      </c>
      <c r="J148" s="278" t="e">
        <f t="shared" si="17"/>
        <v>#NUM!</v>
      </c>
      <c r="K148" s="278" t="e">
        <f t="shared" si="14"/>
        <v>#NUM!</v>
      </c>
      <c r="L148" s="278"/>
      <c r="M148" s="280">
        <f t="shared" si="15"/>
        <v>0</v>
      </c>
    </row>
    <row r="149" spans="1:13" x14ac:dyDescent="0.25">
      <c r="A149" s="295"/>
      <c r="G149" s="264"/>
      <c r="H149" s="281">
        <v>144</v>
      </c>
      <c r="I149" s="279" t="str">
        <f t="shared" si="13"/>
        <v/>
      </c>
      <c r="J149" s="278" t="e">
        <f t="shared" si="17"/>
        <v>#NUM!</v>
      </c>
      <c r="K149" s="278" t="e">
        <f t="shared" si="14"/>
        <v>#NUM!</v>
      </c>
      <c r="L149" s="278"/>
      <c r="M149" s="280">
        <f t="shared" si="15"/>
        <v>0</v>
      </c>
    </row>
    <row r="150" spans="1:13" x14ac:dyDescent="0.25">
      <c r="A150" s="295"/>
      <c r="G150" s="264"/>
      <c r="H150" s="278">
        <v>145</v>
      </c>
      <c r="I150" s="279" t="str">
        <f t="shared" si="13"/>
        <v/>
      </c>
      <c r="J150" s="278" t="e">
        <f t="shared" si="17"/>
        <v>#NUM!</v>
      </c>
      <c r="K150" s="278" t="e">
        <f t="shared" si="14"/>
        <v>#NUM!</v>
      </c>
      <c r="L150" s="278"/>
      <c r="M150" s="280">
        <f t="shared" si="15"/>
        <v>0</v>
      </c>
    </row>
    <row r="151" spans="1:13" x14ac:dyDescent="0.25">
      <c r="A151" s="295"/>
      <c r="G151" s="264"/>
      <c r="H151" s="281">
        <v>146</v>
      </c>
      <c r="I151" s="279" t="str">
        <f t="shared" si="13"/>
        <v/>
      </c>
      <c r="J151" s="278" t="e">
        <f t="shared" si="17"/>
        <v>#NUM!</v>
      </c>
      <c r="K151" s="278" t="e">
        <f t="shared" si="14"/>
        <v>#NUM!</v>
      </c>
      <c r="L151" s="278"/>
      <c r="M151" s="280">
        <f t="shared" si="15"/>
        <v>0</v>
      </c>
    </row>
    <row r="152" spans="1:13" x14ac:dyDescent="0.25">
      <c r="A152" s="295"/>
      <c r="G152" s="264"/>
      <c r="H152" s="278">
        <v>147</v>
      </c>
      <c r="I152" s="279" t="str">
        <f t="shared" si="13"/>
        <v/>
      </c>
      <c r="J152" s="278" t="e">
        <f t="shared" si="17"/>
        <v>#NUM!</v>
      </c>
      <c r="K152" s="278" t="e">
        <f t="shared" si="14"/>
        <v>#NUM!</v>
      </c>
      <c r="L152" s="278"/>
      <c r="M152" s="280">
        <f t="shared" si="15"/>
        <v>0</v>
      </c>
    </row>
    <row r="153" spans="1:13" x14ac:dyDescent="0.25">
      <c r="A153" s="295"/>
      <c r="G153" s="264"/>
      <c r="H153" s="281">
        <v>148</v>
      </c>
      <c r="I153" s="279" t="str">
        <f t="shared" si="13"/>
        <v/>
      </c>
      <c r="J153" s="278" t="e">
        <f t="shared" si="17"/>
        <v>#NUM!</v>
      </c>
      <c r="K153" s="278" t="e">
        <f t="shared" si="14"/>
        <v>#NUM!</v>
      </c>
      <c r="L153" s="278"/>
      <c r="M153" s="280">
        <f t="shared" si="15"/>
        <v>0</v>
      </c>
    </row>
    <row r="154" spans="1:13" x14ac:dyDescent="0.25">
      <c r="A154" s="295"/>
      <c r="G154" s="264"/>
      <c r="H154" s="278">
        <v>149</v>
      </c>
      <c r="I154" s="279" t="str">
        <f t="shared" si="13"/>
        <v/>
      </c>
      <c r="J154" s="278" t="e">
        <f t="shared" si="17"/>
        <v>#NUM!</v>
      </c>
      <c r="K154" s="278" t="e">
        <f t="shared" si="14"/>
        <v>#NUM!</v>
      </c>
      <c r="L154" s="278"/>
      <c r="M154" s="280">
        <f t="shared" si="15"/>
        <v>0</v>
      </c>
    </row>
    <row r="155" spans="1:13" x14ac:dyDescent="0.25">
      <c r="A155" s="295"/>
      <c r="G155" s="264"/>
      <c r="H155" s="281">
        <v>150</v>
      </c>
      <c r="I155" s="279" t="str">
        <f t="shared" si="13"/>
        <v/>
      </c>
      <c r="J155" s="278" t="e">
        <f t="shared" si="17"/>
        <v>#NUM!</v>
      </c>
      <c r="K155" s="278" t="e">
        <f t="shared" si="14"/>
        <v>#NUM!</v>
      </c>
      <c r="L155" s="278"/>
      <c r="M155" s="280">
        <f t="shared" si="15"/>
        <v>0</v>
      </c>
    </row>
    <row r="156" spans="1:13" x14ac:dyDescent="0.25">
      <c r="A156" s="295"/>
      <c r="G156" s="264"/>
      <c r="H156" s="278">
        <v>151</v>
      </c>
      <c r="I156" s="279" t="str">
        <f t="shared" si="13"/>
        <v/>
      </c>
      <c r="J156" s="278" t="e">
        <f t="shared" si="17"/>
        <v>#NUM!</v>
      </c>
      <c r="K156" s="278" t="e">
        <f t="shared" si="14"/>
        <v>#NUM!</v>
      </c>
      <c r="L156" s="278"/>
      <c r="M156" s="280">
        <f t="shared" si="15"/>
        <v>0</v>
      </c>
    </row>
    <row r="157" spans="1:13" x14ac:dyDescent="0.25">
      <c r="A157" s="295"/>
      <c r="G157" s="264"/>
      <c r="H157" s="281">
        <v>152</v>
      </c>
      <c r="I157" s="279" t="str">
        <f t="shared" si="13"/>
        <v/>
      </c>
      <c r="J157" s="278" t="e">
        <f t="shared" si="17"/>
        <v>#NUM!</v>
      </c>
      <c r="K157" s="278" t="e">
        <f t="shared" si="14"/>
        <v>#NUM!</v>
      </c>
      <c r="L157" s="278"/>
      <c r="M157" s="280">
        <f t="shared" si="15"/>
        <v>0</v>
      </c>
    </row>
    <row r="158" spans="1:13" x14ac:dyDescent="0.25">
      <c r="A158" s="295"/>
      <c r="G158" s="264"/>
      <c r="H158" s="278">
        <v>153</v>
      </c>
      <c r="I158" s="279" t="str">
        <f t="shared" si="13"/>
        <v/>
      </c>
      <c r="J158" s="278" t="e">
        <f t="shared" si="17"/>
        <v>#NUM!</v>
      </c>
      <c r="K158" s="278" t="e">
        <f t="shared" si="14"/>
        <v>#NUM!</v>
      </c>
      <c r="L158" s="278"/>
      <c r="M158" s="280">
        <f t="shared" si="15"/>
        <v>0</v>
      </c>
    </row>
    <row r="159" spans="1:13" x14ac:dyDescent="0.25">
      <c r="A159" s="295"/>
      <c r="G159" s="264"/>
      <c r="H159" s="281">
        <v>154</v>
      </c>
      <c r="I159" s="279" t="str">
        <f t="shared" si="13"/>
        <v/>
      </c>
      <c r="J159" s="278" t="e">
        <f t="shared" si="17"/>
        <v>#NUM!</v>
      </c>
      <c r="K159" s="278" t="e">
        <f t="shared" si="14"/>
        <v>#NUM!</v>
      </c>
      <c r="L159" s="278"/>
      <c r="M159" s="280">
        <f t="shared" si="15"/>
        <v>0</v>
      </c>
    </row>
    <row r="160" spans="1:13" x14ac:dyDescent="0.25">
      <c r="A160" s="295"/>
      <c r="G160" s="264"/>
      <c r="H160" s="278">
        <v>155</v>
      </c>
      <c r="I160" s="279" t="str">
        <f t="shared" si="13"/>
        <v/>
      </c>
      <c r="J160" s="278" t="e">
        <f t="shared" si="17"/>
        <v>#NUM!</v>
      </c>
      <c r="K160" s="278" t="e">
        <f t="shared" si="14"/>
        <v>#NUM!</v>
      </c>
      <c r="L160" s="278"/>
      <c r="M160" s="280">
        <f t="shared" si="15"/>
        <v>0</v>
      </c>
    </row>
    <row r="161" spans="1:13" x14ac:dyDescent="0.25">
      <c r="A161" s="295"/>
      <c r="G161" s="264"/>
      <c r="H161" s="281">
        <v>156</v>
      </c>
      <c r="I161" s="279" t="str">
        <f t="shared" si="13"/>
        <v/>
      </c>
      <c r="J161" s="278" t="e">
        <f t="shared" si="17"/>
        <v>#NUM!</v>
      </c>
      <c r="K161" s="278" t="e">
        <f t="shared" si="14"/>
        <v>#NUM!</v>
      </c>
      <c r="L161" s="278"/>
      <c r="M161" s="280">
        <f t="shared" si="15"/>
        <v>0</v>
      </c>
    </row>
    <row r="162" spans="1:13" x14ac:dyDescent="0.25">
      <c r="A162" s="295"/>
      <c r="G162" s="264"/>
      <c r="H162" s="278">
        <v>157</v>
      </c>
      <c r="I162" s="279" t="str">
        <f t="shared" si="13"/>
        <v/>
      </c>
      <c r="J162" s="278" t="e">
        <f t="shared" si="17"/>
        <v>#NUM!</v>
      </c>
      <c r="K162" s="278" t="e">
        <f t="shared" si="14"/>
        <v>#NUM!</v>
      </c>
      <c r="L162" s="278"/>
      <c r="M162" s="280">
        <f t="shared" si="15"/>
        <v>0</v>
      </c>
    </row>
    <row r="163" spans="1:13" x14ac:dyDescent="0.25">
      <c r="A163" s="295"/>
      <c r="G163" s="264"/>
      <c r="H163" s="281">
        <v>158</v>
      </c>
      <c r="I163" s="279" t="str">
        <f t="shared" si="13"/>
        <v/>
      </c>
      <c r="J163" s="278" t="e">
        <f t="shared" si="17"/>
        <v>#NUM!</v>
      </c>
      <c r="K163" s="278" t="e">
        <f t="shared" si="14"/>
        <v>#NUM!</v>
      </c>
      <c r="L163" s="278"/>
      <c r="M163" s="280">
        <f t="shared" si="15"/>
        <v>0</v>
      </c>
    </row>
    <row r="164" spans="1:13" x14ac:dyDescent="0.25">
      <c r="A164" s="295"/>
      <c r="G164" s="264"/>
      <c r="H164" s="278">
        <v>159</v>
      </c>
      <c r="I164" s="279" t="str">
        <f t="shared" si="13"/>
        <v/>
      </c>
      <c r="J164" s="278" t="e">
        <f t="shared" si="17"/>
        <v>#NUM!</v>
      </c>
      <c r="K164" s="278" t="e">
        <f t="shared" si="14"/>
        <v>#NUM!</v>
      </c>
      <c r="L164" s="278"/>
      <c r="M164" s="280">
        <f t="shared" si="15"/>
        <v>0</v>
      </c>
    </row>
    <row r="165" spans="1:13" x14ac:dyDescent="0.25">
      <c r="A165" s="295"/>
      <c r="G165" s="264"/>
      <c r="H165" s="281">
        <v>160</v>
      </c>
      <c r="I165" s="279" t="str">
        <f t="shared" si="13"/>
        <v/>
      </c>
      <c r="J165" s="278" t="e">
        <f t="shared" si="17"/>
        <v>#NUM!</v>
      </c>
      <c r="K165" s="278" t="e">
        <f t="shared" si="14"/>
        <v>#NUM!</v>
      </c>
      <c r="L165" s="278"/>
      <c r="M165" s="280">
        <f t="shared" si="15"/>
        <v>0</v>
      </c>
    </row>
    <row r="166" spans="1:13" x14ac:dyDescent="0.25">
      <c r="A166" s="295"/>
      <c r="G166" s="264"/>
      <c r="H166" s="278">
        <v>161</v>
      </c>
      <c r="I166" s="279" t="str">
        <f t="shared" si="13"/>
        <v/>
      </c>
      <c r="J166" s="278" t="e">
        <f t="shared" si="17"/>
        <v>#NUM!</v>
      </c>
      <c r="K166" s="278" t="e">
        <f t="shared" si="14"/>
        <v>#NUM!</v>
      </c>
      <c r="L166" s="278"/>
      <c r="M166" s="280">
        <f t="shared" si="15"/>
        <v>0</v>
      </c>
    </row>
    <row r="167" spans="1:13" x14ac:dyDescent="0.25">
      <c r="A167" s="295"/>
      <c r="G167" s="264"/>
      <c r="H167" s="281">
        <v>162</v>
      </c>
      <c r="I167" s="279" t="str">
        <f t="shared" si="13"/>
        <v/>
      </c>
      <c r="J167" s="278" t="e">
        <f t="shared" si="17"/>
        <v>#NUM!</v>
      </c>
      <c r="K167" s="278" t="e">
        <f t="shared" si="14"/>
        <v>#NUM!</v>
      </c>
      <c r="L167" s="278"/>
      <c r="M167" s="280">
        <f t="shared" si="15"/>
        <v>0</v>
      </c>
    </row>
    <row r="168" spans="1:13" x14ac:dyDescent="0.25">
      <c r="A168" s="295"/>
      <c r="G168" s="264"/>
      <c r="H168" s="278">
        <v>163</v>
      </c>
      <c r="I168" s="279" t="str">
        <f t="shared" si="13"/>
        <v/>
      </c>
      <c r="J168" s="278" t="e">
        <f t="shared" si="17"/>
        <v>#NUM!</v>
      </c>
      <c r="K168" s="278" t="e">
        <f t="shared" si="14"/>
        <v>#NUM!</v>
      </c>
      <c r="L168" s="278"/>
      <c r="M168" s="280">
        <f t="shared" si="15"/>
        <v>0</v>
      </c>
    </row>
    <row r="169" spans="1:13" x14ac:dyDescent="0.25">
      <c r="A169" s="295"/>
      <c r="C169" s="294" t="s">
        <v>34</v>
      </c>
      <c r="G169" s="264"/>
      <c r="H169" s="281">
        <v>164</v>
      </c>
      <c r="I169" s="279" t="str">
        <f t="shared" si="13"/>
        <v/>
      </c>
      <c r="J169" s="278" t="e">
        <f t="shared" si="17"/>
        <v>#NUM!</v>
      </c>
      <c r="K169" s="278" t="e">
        <f t="shared" si="14"/>
        <v>#NUM!</v>
      </c>
      <c r="L169" s="278"/>
      <c r="M169" s="280">
        <f t="shared" si="15"/>
        <v>0</v>
      </c>
    </row>
    <row r="170" spans="1:13" x14ac:dyDescent="0.25">
      <c r="A170" s="295"/>
      <c r="G170" s="264"/>
      <c r="H170" s="278">
        <v>165</v>
      </c>
      <c r="I170" s="279" t="str">
        <f t="shared" si="13"/>
        <v/>
      </c>
      <c r="J170" s="278" t="e">
        <f t="shared" si="17"/>
        <v>#NUM!</v>
      </c>
      <c r="K170" s="278" t="e">
        <f t="shared" si="14"/>
        <v>#NUM!</v>
      </c>
      <c r="L170" s="278"/>
      <c r="M170" s="280">
        <f t="shared" si="15"/>
        <v>0</v>
      </c>
    </row>
    <row r="171" spans="1:13" x14ac:dyDescent="0.25">
      <c r="A171" s="295"/>
      <c r="G171" s="264"/>
      <c r="H171" s="281">
        <v>166</v>
      </c>
      <c r="I171" s="279" t="str">
        <f t="shared" si="13"/>
        <v/>
      </c>
      <c r="J171" s="278" t="e">
        <f t="shared" si="17"/>
        <v>#NUM!</v>
      </c>
      <c r="K171" s="278" t="e">
        <f t="shared" si="14"/>
        <v>#NUM!</v>
      </c>
      <c r="L171" s="278"/>
      <c r="M171" s="280">
        <f t="shared" si="15"/>
        <v>0</v>
      </c>
    </row>
    <row r="172" spans="1:13" x14ac:dyDescent="0.25">
      <c r="A172" s="295"/>
      <c r="G172" s="264"/>
      <c r="H172" s="278">
        <v>167</v>
      </c>
      <c r="I172" s="279" t="str">
        <f t="shared" si="13"/>
        <v/>
      </c>
      <c r="J172" s="278" t="e">
        <f t="shared" si="17"/>
        <v>#NUM!</v>
      </c>
      <c r="K172" s="278" t="e">
        <f t="shared" si="14"/>
        <v>#NUM!</v>
      </c>
      <c r="L172" s="278"/>
      <c r="M172" s="280">
        <f t="shared" si="15"/>
        <v>0</v>
      </c>
    </row>
    <row r="173" spans="1:13" x14ac:dyDescent="0.25">
      <c r="A173" s="295"/>
      <c r="G173" s="264"/>
      <c r="H173" s="281">
        <v>168</v>
      </c>
      <c r="I173" s="279" t="str">
        <f t="shared" si="13"/>
        <v/>
      </c>
      <c r="J173" s="278" t="e">
        <f t="shared" si="17"/>
        <v>#NUM!</v>
      </c>
      <c r="K173" s="278" t="e">
        <f t="shared" si="14"/>
        <v>#NUM!</v>
      </c>
      <c r="L173" s="278"/>
      <c r="M173" s="280">
        <f t="shared" si="15"/>
        <v>0</v>
      </c>
    </row>
    <row r="174" spans="1:13" x14ac:dyDescent="0.25">
      <c r="A174" s="295"/>
      <c r="G174" s="264"/>
      <c r="H174" s="278">
        <v>169</v>
      </c>
      <c r="I174" s="279" t="str">
        <f t="shared" si="13"/>
        <v/>
      </c>
      <c r="J174" s="278" t="e">
        <f t="shared" si="17"/>
        <v>#NUM!</v>
      </c>
      <c r="K174" s="278" t="e">
        <f t="shared" si="14"/>
        <v>#NUM!</v>
      </c>
      <c r="L174" s="278"/>
      <c r="M174" s="280">
        <f t="shared" si="15"/>
        <v>0</v>
      </c>
    </row>
    <row r="175" spans="1:13" x14ac:dyDescent="0.25">
      <c r="A175" s="295"/>
      <c r="G175" s="264"/>
      <c r="H175" s="281">
        <v>170</v>
      </c>
      <c r="I175" s="279" t="str">
        <f t="shared" si="13"/>
        <v/>
      </c>
      <c r="J175" s="278" t="e">
        <f t="shared" si="17"/>
        <v>#NUM!</v>
      </c>
      <c r="K175" s="278" t="e">
        <f t="shared" si="14"/>
        <v>#NUM!</v>
      </c>
      <c r="L175" s="278"/>
      <c r="M175" s="280">
        <f t="shared" si="15"/>
        <v>0</v>
      </c>
    </row>
    <row r="176" spans="1:13" x14ac:dyDescent="0.25">
      <c r="A176" s="295"/>
      <c r="G176" s="264"/>
      <c r="H176" s="278">
        <v>171</v>
      </c>
      <c r="I176" s="279" t="str">
        <f t="shared" si="13"/>
        <v/>
      </c>
      <c r="J176" s="278" t="e">
        <f t="shared" si="17"/>
        <v>#NUM!</v>
      </c>
      <c r="K176" s="278" t="e">
        <f t="shared" si="14"/>
        <v>#NUM!</v>
      </c>
      <c r="L176" s="278"/>
      <c r="M176" s="280">
        <f t="shared" si="15"/>
        <v>0</v>
      </c>
    </row>
    <row r="177" spans="1:13" x14ac:dyDescent="0.25">
      <c r="A177" s="295"/>
      <c r="G177" s="264"/>
      <c r="H177" s="281">
        <v>172</v>
      </c>
      <c r="I177" s="279" t="str">
        <f t="shared" si="13"/>
        <v/>
      </c>
      <c r="J177" s="278" t="e">
        <f t="shared" si="17"/>
        <v>#NUM!</v>
      </c>
      <c r="K177" s="278" t="e">
        <f t="shared" si="14"/>
        <v>#NUM!</v>
      </c>
      <c r="L177" s="278"/>
      <c r="M177" s="280">
        <f t="shared" si="15"/>
        <v>0</v>
      </c>
    </row>
    <row r="178" spans="1:13" x14ac:dyDescent="0.25">
      <c r="A178" s="295"/>
      <c r="G178" s="264"/>
      <c r="H178" s="278">
        <v>173</v>
      </c>
      <c r="I178" s="279" t="str">
        <f t="shared" si="13"/>
        <v/>
      </c>
      <c r="J178" s="278" t="e">
        <f t="shared" si="17"/>
        <v>#NUM!</v>
      </c>
      <c r="K178" s="278" t="e">
        <f t="shared" si="14"/>
        <v>#NUM!</v>
      </c>
      <c r="L178" s="278"/>
      <c r="M178" s="280">
        <f t="shared" si="15"/>
        <v>0</v>
      </c>
    </row>
    <row r="179" spans="1:13" x14ac:dyDescent="0.25">
      <c r="A179" s="295"/>
      <c r="G179" s="264"/>
      <c r="H179" s="281">
        <v>174</v>
      </c>
      <c r="I179" s="279" t="str">
        <f t="shared" si="13"/>
        <v/>
      </c>
      <c r="J179" s="278" t="e">
        <f t="shared" si="17"/>
        <v>#NUM!</v>
      </c>
      <c r="K179" s="278" t="e">
        <f t="shared" si="14"/>
        <v>#NUM!</v>
      </c>
      <c r="L179" s="278"/>
      <c r="M179" s="280">
        <f t="shared" si="15"/>
        <v>0</v>
      </c>
    </row>
    <row r="180" spans="1:13" x14ac:dyDescent="0.25">
      <c r="A180" s="295"/>
      <c r="G180" s="264"/>
      <c r="H180" s="278">
        <v>175</v>
      </c>
      <c r="I180" s="279" t="str">
        <f t="shared" si="13"/>
        <v/>
      </c>
      <c r="J180" s="278" t="e">
        <f t="shared" si="17"/>
        <v>#NUM!</v>
      </c>
      <c r="K180" s="278" t="e">
        <f t="shared" si="14"/>
        <v>#NUM!</v>
      </c>
      <c r="L180" s="278"/>
      <c r="M180" s="280">
        <f t="shared" si="15"/>
        <v>0</v>
      </c>
    </row>
    <row r="181" spans="1:13" x14ac:dyDescent="0.25">
      <c r="A181" s="295"/>
      <c r="G181" s="264"/>
      <c r="H181" s="281">
        <v>176</v>
      </c>
      <c r="I181" s="279" t="str">
        <f t="shared" si="13"/>
        <v/>
      </c>
      <c r="J181" s="278" t="e">
        <f t="shared" si="17"/>
        <v>#NUM!</v>
      </c>
      <c r="K181" s="278" t="e">
        <f t="shared" si="14"/>
        <v>#NUM!</v>
      </c>
      <c r="L181" s="278"/>
      <c r="M181" s="280">
        <f t="shared" si="15"/>
        <v>0</v>
      </c>
    </row>
    <row r="182" spans="1:13" x14ac:dyDescent="0.25">
      <c r="A182" s="295"/>
      <c r="G182" s="264"/>
      <c r="H182" s="278">
        <v>177</v>
      </c>
      <c r="I182" s="279" t="str">
        <f t="shared" si="13"/>
        <v/>
      </c>
      <c r="J182" s="278" t="e">
        <f t="shared" si="17"/>
        <v>#NUM!</v>
      </c>
      <c r="K182" s="278" t="e">
        <f t="shared" si="14"/>
        <v>#NUM!</v>
      </c>
      <c r="L182" s="278"/>
      <c r="M182" s="280">
        <f t="shared" si="15"/>
        <v>0</v>
      </c>
    </row>
    <row r="183" spans="1:13" x14ac:dyDescent="0.25">
      <c r="A183" s="295"/>
      <c r="G183" s="264"/>
      <c r="H183" s="281">
        <v>178</v>
      </c>
      <c r="I183" s="279" t="str">
        <f t="shared" si="13"/>
        <v/>
      </c>
      <c r="J183" s="278" t="e">
        <f t="shared" si="17"/>
        <v>#NUM!</v>
      </c>
      <c r="K183" s="278" t="e">
        <f t="shared" si="14"/>
        <v>#NUM!</v>
      </c>
      <c r="L183" s="278"/>
      <c r="M183" s="280">
        <f t="shared" si="15"/>
        <v>0</v>
      </c>
    </row>
    <row r="184" spans="1:13" x14ac:dyDescent="0.25">
      <c r="A184" s="295"/>
      <c r="G184" s="264"/>
      <c r="H184" s="278">
        <v>179</v>
      </c>
      <c r="I184" s="279" t="str">
        <f t="shared" si="13"/>
        <v/>
      </c>
      <c r="J184" s="278" t="e">
        <f t="shared" si="17"/>
        <v>#NUM!</v>
      </c>
      <c r="K184" s="278" t="e">
        <f t="shared" si="14"/>
        <v>#NUM!</v>
      </c>
      <c r="L184" s="278"/>
      <c r="M184" s="280">
        <f t="shared" si="15"/>
        <v>0</v>
      </c>
    </row>
    <row r="185" spans="1:13" x14ac:dyDescent="0.25">
      <c r="A185" s="295"/>
      <c r="G185" s="264"/>
      <c r="H185" s="281">
        <v>180</v>
      </c>
      <c r="I185" s="279" t="str">
        <f t="shared" si="13"/>
        <v/>
      </c>
      <c r="J185" s="278" t="e">
        <f t="shared" si="17"/>
        <v>#NUM!</v>
      </c>
      <c r="K185" s="278" t="e">
        <f t="shared" si="14"/>
        <v>#NUM!</v>
      </c>
      <c r="L185" s="278"/>
      <c r="M185" s="280">
        <f t="shared" si="15"/>
        <v>0</v>
      </c>
    </row>
    <row r="186" spans="1:13" x14ac:dyDescent="0.25">
      <c r="A186" s="295"/>
      <c r="G186" s="264"/>
      <c r="H186" s="278">
        <v>181</v>
      </c>
      <c r="I186" s="279" t="str">
        <f t="shared" si="13"/>
        <v/>
      </c>
      <c r="J186" s="278" t="e">
        <f t="shared" si="17"/>
        <v>#NUM!</v>
      </c>
      <c r="K186" s="278" t="e">
        <f t="shared" si="14"/>
        <v>#NUM!</v>
      </c>
      <c r="L186" s="278"/>
      <c r="M186" s="280">
        <f t="shared" si="15"/>
        <v>0</v>
      </c>
    </row>
    <row r="187" spans="1:13" x14ac:dyDescent="0.25">
      <c r="A187" s="295"/>
      <c r="G187" s="264"/>
      <c r="H187" s="281">
        <v>182</v>
      </c>
      <c r="I187" s="279" t="str">
        <f t="shared" si="13"/>
        <v/>
      </c>
      <c r="J187" s="278" t="e">
        <f t="shared" si="17"/>
        <v>#NUM!</v>
      </c>
      <c r="K187" s="278" t="e">
        <f t="shared" si="14"/>
        <v>#NUM!</v>
      </c>
      <c r="L187" s="278"/>
      <c r="M187" s="280">
        <f t="shared" si="15"/>
        <v>0</v>
      </c>
    </row>
    <row r="188" spans="1:13" x14ac:dyDescent="0.25">
      <c r="A188" s="295"/>
      <c r="G188" s="264"/>
      <c r="H188" s="278">
        <v>183</v>
      </c>
      <c r="I188" s="279" t="str">
        <f t="shared" si="13"/>
        <v/>
      </c>
      <c r="J188" s="278" t="e">
        <f t="shared" si="17"/>
        <v>#NUM!</v>
      </c>
      <c r="K188" s="278" t="e">
        <f t="shared" si="14"/>
        <v>#NUM!</v>
      </c>
      <c r="L188" s="278"/>
      <c r="M188" s="280">
        <f t="shared" si="15"/>
        <v>0</v>
      </c>
    </row>
    <row r="189" spans="1:13" x14ac:dyDescent="0.25">
      <c r="A189" s="295"/>
      <c r="G189" s="264"/>
      <c r="H189" s="281">
        <v>184</v>
      </c>
      <c r="I189" s="279" t="str">
        <f t="shared" si="13"/>
        <v/>
      </c>
      <c r="J189" s="278" t="e">
        <f t="shared" si="17"/>
        <v>#NUM!</v>
      </c>
      <c r="K189" s="278" t="e">
        <f t="shared" si="14"/>
        <v>#NUM!</v>
      </c>
      <c r="L189" s="278"/>
      <c r="M189" s="280">
        <f t="shared" si="15"/>
        <v>0</v>
      </c>
    </row>
    <row r="190" spans="1:13" x14ac:dyDescent="0.25">
      <c r="A190" s="295"/>
      <c r="G190" s="264"/>
      <c r="H190" s="278">
        <v>185</v>
      </c>
      <c r="I190" s="279" t="str">
        <f t="shared" si="13"/>
        <v/>
      </c>
      <c r="J190" s="278" t="e">
        <f t="shared" si="17"/>
        <v>#NUM!</v>
      </c>
      <c r="K190" s="278" t="e">
        <f t="shared" si="14"/>
        <v>#NUM!</v>
      </c>
      <c r="L190" s="278"/>
      <c r="M190" s="280">
        <f t="shared" si="15"/>
        <v>0</v>
      </c>
    </row>
    <row r="191" spans="1:13" x14ac:dyDescent="0.25">
      <c r="A191" s="295"/>
      <c r="G191" s="264"/>
      <c r="H191" s="281">
        <v>186</v>
      </c>
      <c r="I191" s="279" t="str">
        <f t="shared" si="13"/>
        <v/>
      </c>
      <c r="J191" s="278" t="e">
        <f t="shared" si="17"/>
        <v>#NUM!</v>
      </c>
      <c r="K191" s="278" t="e">
        <f t="shared" si="14"/>
        <v>#NUM!</v>
      </c>
      <c r="L191" s="278"/>
      <c r="M191" s="280">
        <f t="shared" si="15"/>
        <v>0</v>
      </c>
    </row>
    <row r="192" spans="1:13" x14ac:dyDescent="0.25">
      <c r="A192" s="295"/>
      <c r="G192" s="264"/>
      <c r="H192" s="278">
        <v>187</v>
      </c>
      <c r="I192" s="279" t="str">
        <f t="shared" si="13"/>
        <v/>
      </c>
      <c r="J192" s="278" t="e">
        <f t="shared" si="17"/>
        <v>#NUM!</v>
      </c>
      <c r="K192" s="278" t="e">
        <f t="shared" si="14"/>
        <v>#NUM!</v>
      </c>
      <c r="L192" s="278"/>
      <c r="M192" s="280">
        <f t="shared" si="15"/>
        <v>0</v>
      </c>
    </row>
    <row r="193" spans="1:13" x14ac:dyDescent="0.25">
      <c r="A193" s="295"/>
      <c r="G193" s="264"/>
      <c r="H193" s="281">
        <v>188</v>
      </c>
      <c r="I193" s="279" t="str">
        <f t="shared" si="13"/>
        <v/>
      </c>
      <c r="J193" s="278" t="e">
        <f t="shared" si="17"/>
        <v>#NUM!</v>
      </c>
      <c r="K193" s="278" t="e">
        <f t="shared" si="14"/>
        <v>#NUM!</v>
      </c>
      <c r="L193" s="278"/>
      <c r="M193" s="280">
        <f t="shared" si="15"/>
        <v>0</v>
      </c>
    </row>
    <row r="194" spans="1:13" x14ac:dyDescent="0.25">
      <c r="A194" s="295"/>
      <c r="G194" s="264"/>
      <c r="H194" s="278">
        <v>189</v>
      </c>
      <c r="I194" s="279" t="str">
        <f t="shared" si="13"/>
        <v/>
      </c>
      <c r="J194" s="278" t="e">
        <f t="shared" si="17"/>
        <v>#NUM!</v>
      </c>
      <c r="K194" s="278" t="e">
        <f t="shared" si="14"/>
        <v>#NUM!</v>
      </c>
      <c r="L194" s="278"/>
      <c r="M194" s="280">
        <f t="shared" si="15"/>
        <v>0</v>
      </c>
    </row>
    <row r="195" spans="1:13" x14ac:dyDescent="0.25">
      <c r="A195" s="295"/>
      <c r="G195" s="264"/>
      <c r="H195" s="281">
        <v>190</v>
      </c>
      <c r="I195" s="279" t="str">
        <f t="shared" si="13"/>
        <v/>
      </c>
      <c r="J195" s="278" t="e">
        <f t="shared" si="17"/>
        <v>#NUM!</v>
      </c>
      <c r="K195" s="278" t="e">
        <f t="shared" si="14"/>
        <v>#NUM!</v>
      </c>
      <c r="L195" s="278"/>
      <c r="M195" s="280">
        <f t="shared" si="15"/>
        <v>0</v>
      </c>
    </row>
    <row r="196" spans="1:13" x14ac:dyDescent="0.25">
      <c r="A196" s="295"/>
      <c r="G196" s="264"/>
      <c r="H196" s="278">
        <v>191</v>
      </c>
      <c r="I196" s="279" t="str">
        <f t="shared" si="13"/>
        <v/>
      </c>
      <c r="J196" s="278" t="e">
        <f t="shared" si="17"/>
        <v>#NUM!</v>
      </c>
      <c r="K196" s="278" t="e">
        <f t="shared" si="14"/>
        <v>#NUM!</v>
      </c>
      <c r="L196" s="278"/>
      <c r="M196" s="280">
        <f t="shared" si="15"/>
        <v>0</v>
      </c>
    </row>
    <row r="197" spans="1:13" x14ac:dyDescent="0.25">
      <c r="A197" s="295"/>
      <c r="G197" s="264"/>
      <c r="H197" s="281">
        <v>192</v>
      </c>
      <c r="I197" s="279" t="str">
        <f t="shared" si="13"/>
        <v/>
      </c>
      <c r="J197" s="278" t="e">
        <f t="shared" si="17"/>
        <v>#NUM!</v>
      </c>
      <c r="K197" s="278" t="e">
        <f t="shared" si="14"/>
        <v>#NUM!</v>
      </c>
      <c r="L197" s="278"/>
      <c r="M197" s="280">
        <f t="shared" si="15"/>
        <v>0</v>
      </c>
    </row>
    <row r="198" spans="1:13" x14ac:dyDescent="0.25">
      <c r="A198" s="295"/>
      <c r="G198" s="264"/>
      <c r="H198" s="278">
        <v>193</v>
      </c>
      <c r="I198" s="279" t="str">
        <f t="shared" ref="I198:I261" si="18">IF(H198&lt;$H$2+1,($I$2-($I$2-1)*(LOG(H198)/LOG($H$2))),"")</f>
        <v/>
      </c>
      <c r="J198" s="278" t="e">
        <f t="shared" si="17"/>
        <v>#NUM!</v>
      </c>
      <c r="K198" s="278" t="e">
        <f t="shared" ref="K198:K261" si="19">J198*$J$2</f>
        <v>#NUM!</v>
      </c>
      <c r="L198" s="278"/>
      <c r="M198" s="280">
        <f t="shared" ref="M198:M261" si="20">IF(I198&lt;&gt;"",K198+I198+L198,0)</f>
        <v>0</v>
      </c>
    </row>
    <row r="199" spans="1:13" x14ac:dyDescent="0.25">
      <c r="A199" s="295"/>
      <c r="G199" s="264"/>
      <c r="H199" s="281">
        <v>194</v>
      </c>
      <c r="I199" s="279" t="str">
        <f t="shared" si="18"/>
        <v/>
      </c>
      <c r="J199" s="278" t="e">
        <f t="shared" ref="J199:J262" si="21">INT(LOG($H$2,2))-ROUNDUP(LOG(H199,2),0)+IF(OR($H$2=1,$H$2=2,$H$2=4,$H$2=8,$H$2=16,$H$2=32,$H$2=64,$H$2=128,$H$2=256),0,1)</f>
        <v>#NUM!</v>
      </c>
      <c r="K199" s="278" t="e">
        <f t="shared" si="19"/>
        <v>#NUM!</v>
      </c>
      <c r="L199" s="278"/>
      <c r="M199" s="280">
        <f t="shared" si="20"/>
        <v>0</v>
      </c>
    </row>
    <row r="200" spans="1:13" x14ac:dyDescent="0.25">
      <c r="A200" s="295"/>
      <c r="G200" s="264"/>
      <c r="H200" s="278">
        <v>195</v>
      </c>
      <c r="I200" s="279" t="str">
        <f t="shared" si="18"/>
        <v/>
      </c>
      <c r="J200" s="278" t="e">
        <f t="shared" si="21"/>
        <v>#NUM!</v>
      </c>
      <c r="K200" s="278" t="e">
        <f t="shared" si="19"/>
        <v>#NUM!</v>
      </c>
      <c r="L200" s="278"/>
      <c r="M200" s="280">
        <f t="shared" si="20"/>
        <v>0</v>
      </c>
    </row>
    <row r="201" spans="1:13" x14ac:dyDescent="0.25">
      <c r="A201" s="295"/>
      <c r="G201" s="264"/>
      <c r="H201" s="281">
        <v>196</v>
      </c>
      <c r="I201" s="279" t="str">
        <f t="shared" si="18"/>
        <v/>
      </c>
      <c r="J201" s="278" t="e">
        <f t="shared" si="21"/>
        <v>#NUM!</v>
      </c>
      <c r="K201" s="278" t="e">
        <f t="shared" si="19"/>
        <v>#NUM!</v>
      </c>
      <c r="L201" s="278"/>
      <c r="M201" s="280">
        <f t="shared" si="20"/>
        <v>0</v>
      </c>
    </row>
    <row r="202" spans="1:13" x14ac:dyDescent="0.25">
      <c r="A202" s="295"/>
      <c r="G202" s="264"/>
      <c r="H202" s="278">
        <v>197</v>
      </c>
      <c r="I202" s="279" t="str">
        <f t="shared" si="18"/>
        <v/>
      </c>
      <c r="J202" s="278" t="e">
        <f t="shared" si="21"/>
        <v>#NUM!</v>
      </c>
      <c r="K202" s="278" t="e">
        <f t="shared" si="19"/>
        <v>#NUM!</v>
      </c>
      <c r="L202" s="278"/>
      <c r="M202" s="280">
        <f t="shared" si="20"/>
        <v>0</v>
      </c>
    </row>
    <row r="203" spans="1:13" x14ac:dyDescent="0.25">
      <c r="A203" s="295"/>
      <c r="G203" s="264"/>
      <c r="H203" s="281">
        <v>198</v>
      </c>
      <c r="I203" s="279" t="str">
        <f t="shared" si="18"/>
        <v/>
      </c>
      <c r="J203" s="278" t="e">
        <f t="shared" si="21"/>
        <v>#NUM!</v>
      </c>
      <c r="K203" s="278" t="e">
        <f t="shared" si="19"/>
        <v>#NUM!</v>
      </c>
      <c r="L203" s="278"/>
      <c r="M203" s="280">
        <f t="shared" si="20"/>
        <v>0</v>
      </c>
    </row>
    <row r="204" spans="1:13" x14ac:dyDescent="0.25">
      <c r="A204" s="295"/>
      <c r="G204" s="264"/>
      <c r="H204" s="278">
        <v>199</v>
      </c>
      <c r="I204" s="279" t="str">
        <f t="shared" si="18"/>
        <v/>
      </c>
      <c r="J204" s="278" t="e">
        <f t="shared" si="21"/>
        <v>#NUM!</v>
      </c>
      <c r="K204" s="278" t="e">
        <f t="shared" si="19"/>
        <v>#NUM!</v>
      </c>
      <c r="L204" s="278"/>
      <c r="M204" s="280">
        <f t="shared" si="20"/>
        <v>0</v>
      </c>
    </row>
    <row r="205" spans="1:13" x14ac:dyDescent="0.25">
      <c r="A205" s="295"/>
      <c r="G205" s="264"/>
      <c r="H205" s="281">
        <v>200</v>
      </c>
      <c r="I205" s="279" t="str">
        <f t="shared" si="18"/>
        <v/>
      </c>
      <c r="J205" s="278" t="e">
        <f t="shared" si="21"/>
        <v>#NUM!</v>
      </c>
      <c r="K205" s="278" t="e">
        <f t="shared" si="19"/>
        <v>#NUM!</v>
      </c>
      <c r="L205" s="278"/>
      <c r="M205" s="280">
        <f t="shared" si="20"/>
        <v>0</v>
      </c>
    </row>
    <row r="206" spans="1:13" x14ac:dyDescent="0.25">
      <c r="A206" s="295"/>
      <c r="G206" s="264"/>
      <c r="H206" s="278">
        <v>201</v>
      </c>
      <c r="I206" s="279" t="str">
        <f t="shared" si="18"/>
        <v/>
      </c>
      <c r="J206" s="278" t="e">
        <f t="shared" si="21"/>
        <v>#NUM!</v>
      </c>
      <c r="K206" s="278" t="e">
        <f t="shared" si="19"/>
        <v>#NUM!</v>
      </c>
      <c r="L206" s="278"/>
      <c r="M206" s="280">
        <f t="shared" si="20"/>
        <v>0</v>
      </c>
    </row>
    <row r="207" spans="1:13" x14ac:dyDescent="0.25">
      <c r="A207" s="295"/>
      <c r="G207" s="264"/>
      <c r="H207" s="281">
        <v>202</v>
      </c>
      <c r="I207" s="279" t="str">
        <f t="shared" si="18"/>
        <v/>
      </c>
      <c r="J207" s="278" t="e">
        <f t="shared" si="21"/>
        <v>#NUM!</v>
      </c>
      <c r="K207" s="278" t="e">
        <f t="shared" si="19"/>
        <v>#NUM!</v>
      </c>
      <c r="L207" s="278"/>
      <c r="M207" s="280">
        <f t="shared" si="20"/>
        <v>0</v>
      </c>
    </row>
    <row r="208" spans="1:13" x14ac:dyDescent="0.25">
      <c r="A208" s="295"/>
      <c r="G208" s="264"/>
      <c r="H208" s="278">
        <v>203</v>
      </c>
      <c r="I208" s="279" t="str">
        <f t="shared" si="18"/>
        <v/>
      </c>
      <c r="J208" s="278" t="e">
        <f t="shared" si="21"/>
        <v>#NUM!</v>
      </c>
      <c r="K208" s="278" t="e">
        <f t="shared" si="19"/>
        <v>#NUM!</v>
      </c>
      <c r="L208" s="278"/>
      <c r="M208" s="280">
        <f t="shared" si="20"/>
        <v>0</v>
      </c>
    </row>
    <row r="209" spans="1:13" x14ac:dyDescent="0.25">
      <c r="A209" s="295"/>
      <c r="G209" s="264"/>
      <c r="H209" s="281">
        <v>204</v>
      </c>
      <c r="I209" s="279" t="str">
        <f t="shared" si="18"/>
        <v/>
      </c>
      <c r="J209" s="278" t="e">
        <f t="shared" si="21"/>
        <v>#NUM!</v>
      </c>
      <c r="K209" s="278" t="e">
        <f t="shared" si="19"/>
        <v>#NUM!</v>
      </c>
      <c r="L209" s="278"/>
      <c r="M209" s="280">
        <f t="shared" si="20"/>
        <v>0</v>
      </c>
    </row>
    <row r="210" spans="1:13" x14ac:dyDescent="0.25">
      <c r="A210" s="295"/>
      <c r="G210" s="264"/>
      <c r="H210" s="278">
        <v>205</v>
      </c>
      <c r="I210" s="279" t="str">
        <f t="shared" si="18"/>
        <v/>
      </c>
      <c r="J210" s="278" t="e">
        <f t="shared" si="21"/>
        <v>#NUM!</v>
      </c>
      <c r="K210" s="278" t="e">
        <f t="shared" si="19"/>
        <v>#NUM!</v>
      </c>
      <c r="L210" s="278"/>
      <c r="M210" s="280">
        <f t="shared" si="20"/>
        <v>0</v>
      </c>
    </row>
    <row r="211" spans="1:13" x14ac:dyDescent="0.25">
      <c r="A211" s="295"/>
      <c r="G211" s="264"/>
      <c r="H211" s="281">
        <v>206</v>
      </c>
      <c r="I211" s="279" t="str">
        <f t="shared" si="18"/>
        <v/>
      </c>
      <c r="J211" s="278" t="e">
        <f t="shared" si="21"/>
        <v>#NUM!</v>
      </c>
      <c r="K211" s="278" t="e">
        <f t="shared" si="19"/>
        <v>#NUM!</v>
      </c>
      <c r="L211" s="278"/>
      <c r="M211" s="280">
        <f t="shared" si="20"/>
        <v>0</v>
      </c>
    </row>
    <row r="212" spans="1:13" x14ac:dyDescent="0.25">
      <c r="A212" s="295"/>
      <c r="G212" s="264"/>
      <c r="H212" s="278">
        <v>207</v>
      </c>
      <c r="I212" s="279" t="str">
        <f t="shared" si="18"/>
        <v/>
      </c>
      <c r="J212" s="278" t="e">
        <f t="shared" si="21"/>
        <v>#NUM!</v>
      </c>
      <c r="K212" s="278" t="e">
        <f t="shared" si="19"/>
        <v>#NUM!</v>
      </c>
      <c r="L212" s="278"/>
      <c r="M212" s="280">
        <f t="shared" si="20"/>
        <v>0</v>
      </c>
    </row>
    <row r="213" spans="1:13" x14ac:dyDescent="0.25">
      <c r="A213" s="295"/>
      <c r="G213" s="264"/>
      <c r="H213" s="281">
        <v>208</v>
      </c>
      <c r="I213" s="279" t="str">
        <f t="shared" si="18"/>
        <v/>
      </c>
      <c r="J213" s="278" t="e">
        <f t="shared" si="21"/>
        <v>#NUM!</v>
      </c>
      <c r="K213" s="278" t="e">
        <f t="shared" si="19"/>
        <v>#NUM!</v>
      </c>
      <c r="L213" s="278"/>
      <c r="M213" s="280">
        <f t="shared" si="20"/>
        <v>0</v>
      </c>
    </row>
    <row r="214" spans="1:13" x14ac:dyDescent="0.25">
      <c r="A214" s="295"/>
      <c r="G214" s="264"/>
      <c r="H214" s="278">
        <v>209</v>
      </c>
      <c r="I214" s="279" t="str">
        <f t="shared" si="18"/>
        <v/>
      </c>
      <c r="J214" s="278" t="e">
        <f t="shared" si="21"/>
        <v>#NUM!</v>
      </c>
      <c r="K214" s="278" t="e">
        <f t="shared" si="19"/>
        <v>#NUM!</v>
      </c>
      <c r="L214" s="278"/>
      <c r="M214" s="280">
        <f t="shared" si="20"/>
        <v>0</v>
      </c>
    </row>
    <row r="215" spans="1:13" x14ac:dyDescent="0.25">
      <c r="A215" s="295"/>
      <c r="G215" s="264"/>
      <c r="H215" s="281">
        <v>210</v>
      </c>
      <c r="I215" s="279" t="str">
        <f t="shared" si="18"/>
        <v/>
      </c>
      <c r="J215" s="278" t="e">
        <f t="shared" si="21"/>
        <v>#NUM!</v>
      </c>
      <c r="K215" s="278" t="e">
        <f t="shared" si="19"/>
        <v>#NUM!</v>
      </c>
      <c r="L215" s="278"/>
      <c r="M215" s="280">
        <f t="shared" si="20"/>
        <v>0</v>
      </c>
    </row>
    <row r="216" spans="1:13" x14ac:dyDescent="0.25">
      <c r="A216" s="295"/>
      <c r="G216" s="264"/>
      <c r="H216" s="278">
        <v>211</v>
      </c>
      <c r="I216" s="279" t="str">
        <f t="shared" si="18"/>
        <v/>
      </c>
      <c r="J216" s="278" t="e">
        <f t="shared" si="21"/>
        <v>#NUM!</v>
      </c>
      <c r="K216" s="278" t="e">
        <f t="shared" si="19"/>
        <v>#NUM!</v>
      </c>
      <c r="L216" s="278"/>
      <c r="M216" s="280">
        <f t="shared" si="20"/>
        <v>0</v>
      </c>
    </row>
    <row r="217" spans="1:13" x14ac:dyDescent="0.25">
      <c r="A217" s="295"/>
      <c r="G217" s="264"/>
      <c r="H217" s="281">
        <v>212</v>
      </c>
      <c r="I217" s="279" t="str">
        <f t="shared" si="18"/>
        <v/>
      </c>
      <c r="J217" s="278" t="e">
        <f t="shared" si="21"/>
        <v>#NUM!</v>
      </c>
      <c r="K217" s="278" t="e">
        <f t="shared" si="19"/>
        <v>#NUM!</v>
      </c>
      <c r="L217" s="278"/>
      <c r="M217" s="280">
        <f t="shared" si="20"/>
        <v>0</v>
      </c>
    </row>
    <row r="218" spans="1:13" x14ac:dyDescent="0.25">
      <c r="A218" s="295"/>
      <c r="G218" s="264"/>
      <c r="H218" s="278">
        <v>213</v>
      </c>
      <c r="I218" s="279" t="str">
        <f t="shared" si="18"/>
        <v/>
      </c>
      <c r="J218" s="278" t="e">
        <f t="shared" si="21"/>
        <v>#NUM!</v>
      </c>
      <c r="K218" s="278" t="e">
        <f t="shared" si="19"/>
        <v>#NUM!</v>
      </c>
      <c r="L218" s="278"/>
      <c r="M218" s="280">
        <f t="shared" si="20"/>
        <v>0</v>
      </c>
    </row>
    <row r="219" spans="1:13" x14ac:dyDescent="0.25">
      <c r="A219" s="295"/>
      <c r="G219" s="264"/>
      <c r="H219" s="281">
        <v>214</v>
      </c>
      <c r="I219" s="279" t="str">
        <f t="shared" si="18"/>
        <v/>
      </c>
      <c r="J219" s="278" t="e">
        <f t="shared" si="21"/>
        <v>#NUM!</v>
      </c>
      <c r="K219" s="278" t="e">
        <f t="shared" si="19"/>
        <v>#NUM!</v>
      </c>
      <c r="L219" s="278"/>
      <c r="M219" s="280">
        <f t="shared" si="20"/>
        <v>0</v>
      </c>
    </row>
    <row r="220" spans="1:13" x14ac:dyDescent="0.25">
      <c r="A220" s="295"/>
      <c r="G220" s="264"/>
      <c r="H220" s="278">
        <v>215</v>
      </c>
      <c r="I220" s="279" t="str">
        <f t="shared" si="18"/>
        <v/>
      </c>
      <c r="J220" s="278" t="e">
        <f t="shared" si="21"/>
        <v>#NUM!</v>
      </c>
      <c r="K220" s="278" t="e">
        <f t="shared" si="19"/>
        <v>#NUM!</v>
      </c>
      <c r="L220" s="278"/>
      <c r="M220" s="280">
        <f t="shared" si="20"/>
        <v>0</v>
      </c>
    </row>
    <row r="221" spans="1:13" x14ac:dyDescent="0.25">
      <c r="A221" s="295"/>
      <c r="G221" s="264"/>
      <c r="H221" s="281">
        <v>216</v>
      </c>
      <c r="I221" s="279" t="str">
        <f t="shared" si="18"/>
        <v/>
      </c>
      <c r="J221" s="278" t="e">
        <f t="shared" si="21"/>
        <v>#NUM!</v>
      </c>
      <c r="K221" s="278" t="e">
        <f t="shared" si="19"/>
        <v>#NUM!</v>
      </c>
      <c r="L221" s="278"/>
      <c r="M221" s="280">
        <f t="shared" si="20"/>
        <v>0</v>
      </c>
    </row>
    <row r="222" spans="1:13" x14ac:dyDescent="0.25">
      <c r="A222" s="295"/>
      <c r="G222" s="264"/>
      <c r="H222" s="278">
        <v>217</v>
      </c>
      <c r="I222" s="279" t="str">
        <f t="shared" si="18"/>
        <v/>
      </c>
      <c r="J222" s="278" t="e">
        <f t="shared" si="21"/>
        <v>#NUM!</v>
      </c>
      <c r="K222" s="278" t="e">
        <f t="shared" si="19"/>
        <v>#NUM!</v>
      </c>
      <c r="L222" s="278"/>
      <c r="M222" s="280">
        <f t="shared" si="20"/>
        <v>0</v>
      </c>
    </row>
    <row r="223" spans="1:13" x14ac:dyDescent="0.25">
      <c r="A223" s="295"/>
      <c r="G223" s="264"/>
      <c r="H223" s="281">
        <v>218</v>
      </c>
      <c r="I223" s="279" t="str">
        <f t="shared" si="18"/>
        <v/>
      </c>
      <c r="J223" s="278" t="e">
        <f t="shared" si="21"/>
        <v>#NUM!</v>
      </c>
      <c r="K223" s="278" t="e">
        <f t="shared" si="19"/>
        <v>#NUM!</v>
      </c>
      <c r="L223" s="278"/>
      <c r="M223" s="280">
        <f t="shared" si="20"/>
        <v>0</v>
      </c>
    </row>
    <row r="224" spans="1:13" x14ac:dyDescent="0.25">
      <c r="A224" s="295"/>
      <c r="G224" s="264"/>
      <c r="H224" s="278">
        <v>219</v>
      </c>
      <c r="I224" s="279" t="str">
        <f t="shared" si="18"/>
        <v/>
      </c>
      <c r="J224" s="278" t="e">
        <f t="shared" si="21"/>
        <v>#NUM!</v>
      </c>
      <c r="K224" s="278" t="e">
        <f t="shared" si="19"/>
        <v>#NUM!</v>
      </c>
      <c r="L224" s="278"/>
      <c r="M224" s="280">
        <f t="shared" si="20"/>
        <v>0</v>
      </c>
    </row>
    <row r="225" spans="1:13" x14ac:dyDescent="0.25">
      <c r="A225" s="295"/>
      <c r="G225" s="264"/>
      <c r="H225" s="281">
        <v>220</v>
      </c>
      <c r="I225" s="279" t="str">
        <f t="shared" si="18"/>
        <v/>
      </c>
      <c r="J225" s="278" t="e">
        <f t="shared" si="21"/>
        <v>#NUM!</v>
      </c>
      <c r="K225" s="278" t="e">
        <f t="shared" si="19"/>
        <v>#NUM!</v>
      </c>
      <c r="L225" s="278"/>
      <c r="M225" s="280">
        <f t="shared" si="20"/>
        <v>0</v>
      </c>
    </row>
    <row r="226" spans="1:13" x14ac:dyDescent="0.25">
      <c r="A226" s="295"/>
      <c r="G226" s="264"/>
      <c r="H226" s="278">
        <v>221</v>
      </c>
      <c r="I226" s="279" t="str">
        <f t="shared" si="18"/>
        <v/>
      </c>
      <c r="J226" s="278" t="e">
        <f t="shared" si="21"/>
        <v>#NUM!</v>
      </c>
      <c r="K226" s="278" t="e">
        <f t="shared" si="19"/>
        <v>#NUM!</v>
      </c>
      <c r="L226" s="278"/>
      <c r="M226" s="280">
        <f t="shared" si="20"/>
        <v>0</v>
      </c>
    </row>
    <row r="227" spans="1:13" x14ac:dyDescent="0.25">
      <c r="A227" s="295"/>
      <c r="G227" s="264"/>
      <c r="H227" s="281">
        <v>222</v>
      </c>
      <c r="I227" s="279" t="str">
        <f t="shared" si="18"/>
        <v/>
      </c>
      <c r="J227" s="278" t="e">
        <f t="shared" si="21"/>
        <v>#NUM!</v>
      </c>
      <c r="K227" s="278" t="e">
        <f t="shared" si="19"/>
        <v>#NUM!</v>
      </c>
      <c r="L227" s="278"/>
      <c r="M227" s="280">
        <f t="shared" si="20"/>
        <v>0</v>
      </c>
    </row>
    <row r="228" spans="1:13" x14ac:dyDescent="0.25">
      <c r="A228" s="295"/>
      <c r="G228" s="264"/>
      <c r="H228" s="278">
        <v>223</v>
      </c>
      <c r="I228" s="279" t="str">
        <f t="shared" si="18"/>
        <v/>
      </c>
      <c r="J228" s="278" t="e">
        <f t="shared" si="21"/>
        <v>#NUM!</v>
      </c>
      <c r="K228" s="278" t="e">
        <f t="shared" si="19"/>
        <v>#NUM!</v>
      </c>
      <c r="L228" s="278"/>
      <c r="M228" s="280">
        <f t="shared" si="20"/>
        <v>0</v>
      </c>
    </row>
    <row r="229" spans="1:13" x14ac:dyDescent="0.25">
      <c r="A229" s="295"/>
      <c r="G229" s="264"/>
      <c r="H229" s="281">
        <v>224</v>
      </c>
      <c r="I229" s="279" t="str">
        <f t="shared" si="18"/>
        <v/>
      </c>
      <c r="J229" s="278" t="e">
        <f t="shared" si="21"/>
        <v>#NUM!</v>
      </c>
      <c r="K229" s="278" t="e">
        <f t="shared" si="19"/>
        <v>#NUM!</v>
      </c>
      <c r="L229" s="278"/>
      <c r="M229" s="280">
        <f t="shared" si="20"/>
        <v>0</v>
      </c>
    </row>
    <row r="230" spans="1:13" x14ac:dyDescent="0.25">
      <c r="A230" s="295"/>
      <c r="G230" s="264"/>
      <c r="H230" s="278">
        <v>225</v>
      </c>
      <c r="I230" s="279" t="str">
        <f t="shared" si="18"/>
        <v/>
      </c>
      <c r="J230" s="278" t="e">
        <f t="shared" si="21"/>
        <v>#NUM!</v>
      </c>
      <c r="K230" s="278" t="e">
        <f t="shared" si="19"/>
        <v>#NUM!</v>
      </c>
      <c r="L230" s="278"/>
      <c r="M230" s="280">
        <f t="shared" si="20"/>
        <v>0</v>
      </c>
    </row>
    <row r="231" spans="1:13" x14ac:dyDescent="0.25">
      <c r="A231" s="295"/>
      <c r="G231" s="264"/>
      <c r="H231" s="281">
        <v>226</v>
      </c>
      <c r="I231" s="279" t="str">
        <f t="shared" si="18"/>
        <v/>
      </c>
      <c r="J231" s="278" t="e">
        <f t="shared" si="21"/>
        <v>#NUM!</v>
      </c>
      <c r="K231" s="278" t="e">
        <f t="shared" si="19"/>
        <v>#NUM!</v>
      </c>
      <c r="L231" s="278"/>
      <c r="M231" s="280">
        <f t="shared" si="20"/>
        <v>0</v>
      </c>
    </row>
    <row r="232" spans="1:13" x14ac:dyDescent="0.25">
      <c r="A232" s="295"/>
      <c r="G232" s="264"/>
      <c r="H232" s="278">
        <v>227</v>
      </c>
      <c r="I232" s="279" t="str">
        <f t="shared" si="18"/>
        <v/>
      </c>
      <c r="J232" s="278" t="e">
        <f t="shared" si="21"/>
        <v>#NUM!</v>
      </c>
      <c r="K232" s="278" t="e">
        <f t="shared" si="19"/>
        <v>#NUM!</v>
      </c>
      <c r="L232" s="278"/>
      <c r="M232" s="280">
        <f t="shared" si="20"/>
        <v>0</v>
      </c>
    </row>
    <row r="233" spans="1:13" x14ac:dyDescent="0.25">
      <c r="A233" s="295"/>
      <c r="G233" s="264"/>
      <c r="H233" s="281">
        <v>228</v>
      </c>
      <c r="I233" s="279" t="str">
        <f t="shared" si="18"/>
        <v/>
      </c>
      <c r="J233" s="278" t="e">
        <f t="shared" si="21"/>
        <v>#NUM!</v>
      </c>
      <c r="K233" s="278" t="e">
        <f t="shared" si="19"/>
        <v>#NUM!</v>
      </c>
      <c r="L233" s="278"/>
      <c r="M233" s="280">
        <f t="shared" si="20"/>
        <v>0</v>
      </c>
    </row>
    <row r="234" spans="1:13" x14ac:dyDescent="0.25">
      <c r="A234" s="295"/>
      <c r="G234" s="264"/>
      <c r="H234" s="278">
        <v>229</v>
      </c>
      <c r="I234" s="279" t="str">
        <f t="shared" si="18"/>
        <v/>
      </c>
      <c r="J234" s="278" t="e">
        <f t="shared" si="21"/>
        <v>#NUM!</v>
      </c>
      <c r="K234" s="278" t="e">
        <f t="shared" si="19"/>
        <v>#NUM!</v>
      </c>
      <c r="L234" s="278"/>
      <c r="M234" s="280">
        <f t="shared" si="20"/>
        <v>0</v>
      </c>
    </row>
    <row r="235" spans="1:13" x14ac:dyDescent="0.25">
      <c r="A235" s="295"/>
      <c r="G235" s="264"/>
      <c r="H235" s="281">
        <v>230</v>
      </c>
      <c r="I235" s="279" t="str">
        <f t="shared" si="18"/>
        <v/>
      </c>
      <c r="J235" s="278" t="e">
        <f t="shared" si="21"/>
        <v>#NUM!</v>
      </c>
      <c r="K235" s="278" t="e">
        <f t="shared" si="19"/>
        <v>#NUM!</v>
      </c>
      <c r="L235" s="278"/>
      <c r="M235" s="280">
        <f t="shared" si="20"/>
        <v>0</v>
      </c>
    </row>
    <row r="236" spans="1:13" x14ac:dyDescent="0.25">
      <c r="A236" s="295"/>
      <c r="G236" s="264"/>
      <c r="H236" s="278">
        <v>231</v>
      </c>
      <c r="I236" s="279" t="str">
        <f t="shared" si="18"/>
        <v/>
      </c>
      <c r="J236" s="278" t="e">
        <f t="shared" si="21"/>
        <v>#NUM!</v>
      </c>
      <c r="K236" s="278" t="e">
        <f t="shared" si="19"/>
        <v>#NUM!</v>
      </c>
      <c r="L236" s="278"/>
      <c r="M236" s="280">
        <f t="shared" si="20"/>
        <v>0</v>
      </c>
    </row>
    <row r="237" spans="1:13" x14ac:dyDescent="0.25">
      <c r="A237" s="295"/>
      <c r="G237" s="264"/>
      <c r="H237" s="281">
        <v>232</v>
      </c>
      <c r="I237" s="279" t="str">
        <f t="shared" si="18"/>
        <v/>
      </c>
      <c r="J237" s="278" t="e">
        <f t="shared" si="21"/>
        <v>#NUM!</v>
      </c>
      <c r="K237" s="278" t="e">
        <f t="shared" si="19"/>
        <v>#NUM!</v>
      </c>
      <c r="L237" s="278"/>
      <c r="M237" s="280">
        <f t="shared" si="20"/>
        <v>0</v>
      </c>
    </row>
    <row r="238" spans="1:13" x14ac:dyDescent="0.25">
      <c r="A238" s="295"/>
      <c r="G238" s="264"/>
      <c r="H238" s="278">
        <v>233</v>
      </c>
      <c r="I238" s="279" t="str">
        <f t="shared" si="18"/>
        <v/>
      </c>
      <c r="J238" s="278" t="e">
        <f t="shared" si="21"/>
        <v>#NUM!</v>
      </c>
      <c r="K238" s="278" t="e">
        <f t="shared" si="19"/>
        <v>#NUM!</v>
      </c>
      <c r="L238" s="278"/>
      <c r="M238" s="280">
        <f t="shared" si="20"/>
        <v>0</v>
      </c>
    </row>
    <row r="239" spans="1:13" x14ac:dyDescent="0.25">
      <c r="A239" s="295"/>
      <c r="G239" s="264"/>
      <c r="H239" s="281">
        <v>234</v>
      </c>
      <c r="I239" s="279" t="str">
        <f t="shared" si="18"/>
        <v/>
      </c>
      <c r="J239" s="278" t="e">
        <f t="shared" si="21"/>
        <v>#NUM!</v>
      </c>
      <c r="K239" s="278" t="e">
        <f t="shared" si="19"/>
        <v>#NUM!</v>
      </c>
      <c r="L239" s="278"/>
      <c r="M239" s="280">
        <f t="shared" si="20"/>
        <v>0</v>
      </c>
    </row>
    <row r="240" spans="1:13" x14ac:dyDescent="0.25">
      <c r="A240" s="295"/>
      <c r="G240" s="264"/>
      <c r="H240" s="278">
        <v>235</v>
      </c>
      <c r="I240" s="279" t="str">
        <f t="shared" si="18"/>
        <v/>
      </c>
      <c r="J240" s="278" t="e">
        <f t="shared" si="21"/>
        <v>#NUM!</v>
      </c>
      <c r="K240" s="278" t="e">
        <f t="shared" si="19"/>
        <v>#NUM!</v>
      </c>
      <c r="L240" s="278"/>
      <c r="M240" s="280">
        <f t="shared" si="20"/>
        <v>0</v>
      </c>
    </row>
    <row r="241" spans="1:13" x14ac:dyDescent="0.25">
      <c r="A241" s="295"/>
      <c r="G241" s="264"/>
      <c r="H241" s="281">
        <v>236</v>
      </c>
      <c r="I241" s="279" t="str">
        <f t="shared" si="18"/>
        <v/>
      </c>
      <c r="J241" s="278" t="e">
        <f t="shared" si="21"/>
        <v>#NUM!</v>
      </c>
      <c r="K241" s="278" t="e">
        <f t="shared" si="19"/>
        <v>#NUM!</v>
      </c>
      <c r="L241" s="278"/>
      <c r="M241" s="280">
        <f t="shared" si="20"/>
        <v>0</v>
      </c>
    </row>
    <row r="242" spans="1:13" x14ac:dyDescent="0.25">
      <c r="A242" s="295"/>
      <c r="G242" s="264"/>
      <c r="H242" s="278">
        <v>237</v>
      </c>
      <c r="I242" s="279" t="str">
        <f t="shared" si="18"/>
        <v/>
      </c>
      <c r="J242" s="278" t="e">
        <f t="shared" si="21"/>
        <v>#NUM!</v>
      </c>
      <c r="K242" s="278" t="e">
        <f t="shared" si="19"/>
        <v>#NUM!</v>
      </c>
      <c r="L242" s="278"/>
      <c r="M242" s="280">
        <f t="shared" si="20"/>
        <v>0</v>
      </c>
    </row>
    <row r="243" spans="1:13" x14ac:dyDescent="0.25">
      <c r="A243" s="295"/>
      <c r="G243" s="264"/>
      <c r="H243" s="281">
        <v>238</v>
      </c>
      <c r="I243" s="279" t="str">
        <f t="shared" si="18"/>
        <v/>
      </c>
      <c r="J243" s="278" t="e">
        <f t="shared" si="21"/>
        <v>#NUM!</v>
      </c>
      <c r="K243" s="278" t="e">
        <f t="shared" si="19"/>
        <v>#NUM!</v>
      </c>
      <c r="L243" s="278"/>
      <c r="M243" s="280">
        <f t="shared" si="20"/>
        <v>0</v>
      </c>
    </row>
    <row r="244" spans="1:13" x14ac:dyDescent="0.25">
      <c r="A244" s="295"/>
      <c r="G244" s="264"/>
      <c r="H244" s="278">
        <v>239</v>
      </c>
      <c r="I244" s="279" t="str">
        <f t="shared" si="18"/>
        <v/>
      </c>
      <c r="J244" s="278" t="e">
        <f t="shared" si="21"/>
        <v>#NUM!</v>
      </c>
      <c r="K244" s="278" t="e">
        <f t="shared" si="19"/>
        <v>#NUM!</v>
      </c>
      <c r="L244" s="278"/>
      <c r="M244" s="280">
        <f t="shared" si="20"/>
        <v>0</v>
      </c>
    </row>
    <row r="245" spans="1:13" x14ac:dyDescent="0.25">
      <c r="A245" s="295"/>
      <c r="G245" s="264"/>
      <c r="H245" s="281">
        <v>240</v>
      </c>
      <c r="I245" s="279" t="str">
        <f t="shared" si="18"/>
        <v/>
      </c>
      <c r="J245" s="278" t="e">
        <f t="shared" si="21"/>
        <v>#NUM!</v>
      </c>
      <c r="K245" s="278" t="e">
        <f t="shared" si="19"/>
        <v>#NUM!</v>
      </c>
      <c r="L245" s="278"/>
      <c r="M245" s="280">
        <f t="shared" si="20"/>
        <v>0</v>
      </c>
    </row>
    <row r="246" spans="1:13" x14ac:dyDescent="0.25">
      <c r="A246" s="295"/>
      <c r="G246" s="264"/>
      <c r="H246" s="278">
        <v>241</v>
      </c>
      <c r="I246" s="279" t="str">
        <f t="shared" si="18"/>
        <v/>
      </c>
      <c r="J246" s="278" t="e">
        <f t="shared" si="21"/>
        <v>#NUM!</v>
      </c>
      <c r="K246" s="278" t="e">
        <f t="shared" si="19"/>
        <v>#NUM!</v>
      </c>
      <c r="L246" s="278"/>
      <c r="M246" s="280">
        <f t="shared" si="20"/>
        <v>0</v>
      </c>
    </row>
    <row r="247" spans="1:13" x14ac:dyDescent="0.25">
      <c r="A247" s="295"/>
      <c r="G247" s="264"/>
      <c r="H247" s="281">
        <v>242</v>
      </c>
      <c r="I247" s="279" t="str">
        <f t="shared" si="18"/>
        <v/>
      </c>
      <c r="J247" s="278" t="e">
        <f t="shared" si="21"/>
        <v>#NUM!</v>
      </c>
      <c r="K247" s="278" t="e">
        <f t="shared" si="19"/>
        <v>#NUM!</v>
      </c>
      <c r="L247" s="278"/>
      <c r="M247" s="280">
        <f t="shared" si="20"/>
        <v>0</v>
      </c>
    </row>
    <row r="248" spans="1:13" x14ac:dyDescent="0.25">
      <c r="A248" s="295"/>
      <c r="G248" s="264"/>
      <c r="H248" s="278">
        <v>243</v>
      </c>
      <c r="I248" s="279" t="str">
        <f t="shared" si="18"/>
        <v/>
      </c>
      <c r="J248" s="278" t="e">
        <f t="shared" si="21"/>
        <v>#NUM!</v>
      </c>
      <c r="K248" s="278" t="e">
        <f t="shared" si="19"/>
        <v>#NUM!</v>
      </c>
      <c r="L248" s="278"/>
      <c r="M248" s="280">
        <f t="shared" si="20"/>
        <v>0</v>
      </c>
    </row>
    <row r="249" spans="1:13" x14ac:dyDescent="0.25">
      <c r="A249" s="295"/>
      <c r="G249" s="264"/>
      <c r="H249" s="281">
        <v>244</v>
      </c>
      <c r="I249" s="279" t="str">
        <f t="shared" si="18"/>
        <v/>
      </c>
      <c r="J249" s="278" t="e">
        <f t="shared" si="21"/>
        <v>#NUM!</v>
      </c>
      <c r="K249" s="278" t="e">
        <f t="shared" si="19"/>
        <v>#NUM!</v>
      </c>
      <c r="L249" s="278"/>
      <c r="M249" s="280">
        <f t="shared" si="20"/>
        <v>0</v>
      </c>
    </row>
    <row r="250" spans="1:13" x14ac:dyDescent="0.25">
      <c r="A250" s="295"/>
      <c r="G250" s="264"/>
      <c r="H250" s="278">
        <v>245</v>
      </c>
      <c r="I250" s="279" t="str">
        <f t="shared" si="18"/>
        <v/>
      </c>
      <c r="J250" s="278" t="e">
        <f t="shared" si="21"/>
        <v>#NUM!</v>
      </c>
      <c r="K250" s="278" t="e">
        <f t="shared" si="19"/>
        <v>#NUM!</v>
      </c>
      <c r="L250" s="278"/>
      <c r="M250" s="280">
        <f t="shared" si="20"/>
        <v>0</v>
      </c>
    </row>
    <row r="251" spans="1:13" x14ac:dyDescent="0.25">
      <c r="A251" s="295"/>
      <c r="G251" s="264"/>
      <c r="H251" s="281">
        <v>246</v>
      </c>
      <c r="I251" s="279" t="str">
        <f t="shared" si="18"/>
        <v/>
      </c>
      <c r="J251" s="278" t="e">
        <f t="shared" si="21"/>
        <v>#NUM!</v>
      </c>
      <c r="K251" s="278" t="e">
        <f t="shared" si="19"/>
        <v>#NUM!</v>
      </c>
      <c r="L251" s="278"/>
      <c r="M251" s="280">
        <f t="shared" si="20"/>
        <v>0</v>
      </c>
    </row>
    <row r="252" spans="1:13" x14ac:dyDescent="0.25">
      <c r="A252" s="295"/>
      <c r="G252" s="264"/>
      <c r="H252" s="278">
        <v>247</v>
      </c>
      <c r="I252" s="279" t="str">
        <f t="shared" si="18"/>
        <v/>
      </c>
      <c r="J252" s="278" t="e">
        <f t="shared" si="21"/>
        <v>#NUM!</v>
      </c>
      <c r="K252" s="278" t="e">
        <f t="shared" si="19"/>
        <v>#NUM!</v>
      </c>
      <c r="L252" s="278"/>
      <c r="M252" s="280">
        <f t="shared" si="20"/>
        <v>0</v>
      </c>
    </row>
    <row r="253" spans="1:13" x14ac:dyDescent="0.25">
      <c r="A253" s="295"/>
      <c r="G253" s="264"/>
      <c r="H253" s="281">
        <v>248</v>
      </c>
      <c r="I253" s="279" t="str">
        <f t="shared" si="18"/>
        <v/>
      </c>
      <c r="J253" s="278" t="e">
        <f t="shared" si="21"/>
        <v>#NUM!</v>
      </c>
      <c r="K253" s="278" t="e">
        <f t="shared" si="19"/>
        <v>#NUM!</v>
      </c>
      <c r="L253" s="278"/>
      <c r="M253" s="280">
        <f t="shared" si="20"/>
        <v>0</v>
      </c>
    </row>
    <row r="254" spans="1:13" x14ac:dyDescent="0.25">
      <c r="A254" s="295"/>
      <c r="G254" s="264"/>
      <c r="H254" s="278">
        <v>249</v>
      </c>
      <c r="I254" s="279" t="str">
        <f t="shared" si="18"/>
        <v/>
      </c>
      <c r="J254" s="278" t="e">
        <f t="shared" si="21"/>
        <v>#NUM!</v>
      </c>
      <c r="K254" s="278" t="e">
        <f t="shared" si="19"/>
        <v>#NUM!</v>
      </c>
      <c r="L254" s="278"/>
      <c r="M254" s="280">
        <f t="shared" si="20"/>
        <v>0</v>
      </c>
    </row>
    <row r="255" spans="1:13" x14ac:dyDescent="0.25">
      <c r="A255" s="295"/>
      <c r="G255" s="264"/>
      <c r="H255" s="281">
        <v>250</v>
      </c>
      <c r="I255" s="279" t="str">
        <f t="shared" si="18"/>
        <v/>
      </c>
      <c r="J255" s="278" t="e">
        <f t="shared" si="21"/>
        <v>#NUM!</v>
      </c>
      <c r="K255" s="278" t="e">
        <f t="shared" si="19"/>
        <v>#NUM!</v>
      </c>
      <c r="L255" s="278"/>
      <c r="M255" s="280">
        <f t="shared" si="20"/>
        <v>0</v>
      </c>
    </row>
    <row r="256" spans="1:13" x14ac:dyDescent="0.25">
      <c r="A256" s="295"/>
      <c r="G256" s="264"/>
      <c r="H256" s="278">
        <v>251</v>
      </c>
      <c r="I256" s="279" t="str">
        <f t="shared" si="18"/>
        <v/>
      </c>
      <c r="J256" s="278" t="e">
        <f t="shared" si="21"/>
        <v>#NUM!</v>
      </c>
      <c r="K256" s="278" t="e">
        <f t="shared" si="19"/>
        <v>#NUM!</v>
      </c>
      <c r="L256" s="278"/>
      <c r="M256" s="280">
        <f t="shared" si="20"/>
        <v>0</v>
      </c>
    </row>
    <row r="257" spans="1:13" x14ac:dyDescent="0.25">
      <c r="A257" s="295"/>
      <c r="G257" s="264"/>
      <c r="H257" s="281">
        <v>252</v>
      </c>
      <c r="I257" s="279" t="str">
        <f t="shared" si="18"/>
        <v/>
      </c>
      <c r="J257" s="278" t="e">
        <f t="shared" si="21"/>
        <v>#NUM!</v>
      </c>
      <c r="K257" s="278" t="e">
        <f t="shared" si="19"/>
        <v>#NUM!</v>
      </c>
      <c r="L257" s="278"/>
      <c r="M257" s="280">
        <f t="shared" si="20"/>
        <v>0</v>
      </c>
    </row>
    <row r="258" spans="1:13" x14ac:dyDescent="0.25">
      <c r="A258" s="295"/>
      <c r="G258" s="264"/>
      <c r="H258" s="278">
        <v>253</v>
      </c>
      <c r="I258" s="279" t="str">
        <f t="shared" si="18"/>
        <v/>
      </c>
      <c r="J258" s="278" t="e">
        <f t="shared" si="21"/>
        <v>#NUM!</v>
      </c>
      <c r="K258" s="278" t="e">
        <f t="shared" si="19"/>
        <v>#NUM!</v>
      </c>
      <c r="L258" s="278"/>
      <c r="M258" s="280">
        <f t="shared" si="20"/>
        <v>0</v>
      </c>
    </row>
    <row r="259" spans="1:13" x14ac:dyDescent="0.25">
      <c r="A259" s="295"/>
      <c r="G259" s="264"/>
      <c r="H259" s="281">
        <v>254</v>
      </c>
      <c r="I259" s="279" t="str">
        <f t="shared" si="18"/>
        <v/>
      </c>
      <c r="J259" s="278" t="e">
        <f t="shared" si="21"/>
        <v>#NUM!</v>
      </c>
      <c r="K259" s="278" t="e">
        <f t="shared" si="19"/>
        <v>#NUM!</v>
      </c>
      <c r="L259" s="278"/>
      <c r="M259" s="280">
        <f t="shared" si="20"/>
        <v>0</v>
      </c>
    </row>
    <row r="260" spans="1:13" x14ac:dyDescent="0.25">
      <c r="A260" s="295"/>
      <c r="G260" s="264"/>
      <c r="H260" s="278">
        <v>255</v>
      </c>
      <c r="I260" s="279" t="str">
        <f t="shared" si="18"/>
        <v/>
      </c>
      <c r="J260" s="278" t="e">
        <f t="shared" si="21"/>
        <v>#NUM!</v>
      </c>
      <c r="K260" s="278" t="e">
        <f t="shared" si="19"/>
        <v>#NUM!</v>
      </c>
      <c r="L260" s="278"/>
      <c r="M260" s="280">
        <f t="shared" si="20"/>
        <v>0</v>
      </c>
    </row>
    <row r="261" spans="1:13" x14ac:dyDescent="0.25">
      <c r="A261" s="295"/>
      <c r="G261" s="264"/>
      <c r="H261" s="281">
        <v>256</v>
      </c>
      <c r="I261" s="279" t="str">
        <f t="shared" si="18"/>
        <v/>
      </c>
      <c r="J261" s="278" t="e">
        <f t="shared" si="21"/>
        <v>#NUM!</v>
      </c>
      <c r="K261" s="278" t="e">
        <f t="shared" si="19"/>
        <v>#NUM!</v>
      </c>
      <c r="L261" s="278"/>
      <c r="M261" s="280">
        <f t="shared" si="20"/>
        <v>0</v>
      </c>
    </row>
    <row r="262" spans="1:13" x14ac:dyDescent="0.25">
      <c r="A262" s="295"/>
      <c r="G262" s="264"/>
      <c r="H262" s="278">
        <v>257</v>
      </c>
      <c r="I262" s="279" t="str">
        <f t="shared" ref="I262:I305" si="22">IF(H262&lt;$H$2+1,($I$2-($I$2-1)*(LOG(H262)/LOG($H$2))),"")</f>
        <v/>
      </c>
      <c r="J262" s="278" t="e">
        <f t="shared" si="21"/>
        <v>#NUM!</v>
      </c>
      <c r="K262" s="278" t="e">
        <f t="shared" ref="K262:K305" si="23">J262*$J$2</f>
        <v>#NUM!</v>
      </c>
      <c r="L262" s="278"/>
      <c r="M262" s="280">
        <f t="shared" ref="M262:M305" si="24">IF(I262&lt;&gt;"",K262+I262+L262,0)</f>
        <v>0</v>
      </c>
    </row>
    <row r="263" spans="1:13" x14ac:dyDescent="0.25">
      <c r="A263" s="295"/>
      <c r="G263" s="264"/>
      <c r="H263" s="281">
        <v>258</v>
      </c>
      <c r="I263" s="279" t="str">
        <f t="shared" si="22"/>
        <v/>
      </c>
      <c r="J263" s="278" t="e">
        <f t="shared" ref="J263:J305" si="25">INT(LOG($H$2,2))-ROUNDUP(LOG(H263,2),0)+IF(OR($H$2=1,$H$2=2,$H$2=4,$H$2=8,$H$2=16,$H$2=32,$H$2=64,$H$2=128,$H$2=256),0,1)</f>
        <v>#NUM!</v>
      </c>
      <c r="K263" s="278" t="e">
        <f t="shared" si="23"/>
        <v>#NUM!</v>
      </c>
      <c r="L263" s="278"/>
      <c r="M263" s="280">
        <f t="shared" si="24"/>
        <v>0</v>
      </c>
    </row>
    <row r="264" spans="1:13" x14ac:dyDescent="0.25">
      <c r="A264" s="295"/>
      <c r="G264" s="264"/>
      <c r="H264" s="278">
        <v>259</v>
      </c>
      <c r="I264" s="279" t="str">
        <f t="shared" si="22"/>
        <v/>
      </c>
      <c r="J264" s="278" t="e">
        <f t="shared" si="25"/>
        <v>#NUM!</v>
      </c>
      <c r="K264" s="278" t="e">
        <f t="shared" si="23"/>
        <v>#NUM!</v>
      </c>
      <c r="L264" s="278"/>
      <c r="M264" s="280">
        <f t="shared" si="24"/>
        <v>0</v>
      </c>
    </row>
    <row r="265" spans="1:13" x14ac:dyDescent="0.25">
      <c r="A265" s="295"/>
      <c r="G265" s="264"/>
      <c r="H265" s="281">
        <v>260</v>
      </c>
      <c r="I265" s="279" t="str">
        <f t="shared" si="22"/>
        <v/>
      </c>
      <c r="J265" s="278" t="e">
        <f t="shared" si="25"/>
        <v>#NUM!</v>
      </c>
      <c r="K265" s="278" t="e">
        <f t="shared" si="23"/>
        <v>#NUM!</v>
      </c>
      <c r="L265" s="278"/>
      <c r="M265" s="280">
        <f t="shared" si="24"/>
        <v>0</v>
      </c>
    </row>
    <row r="266" spans="1:13" x14ac:dyDescent="0.25">
      <c r="A266" s="295"/>
      <c r="G266" s="264"/>
      <c r="H266" s="278">
        <v>261</v>
      </c>
      <c r="I266" s="279" t="str">
        <f t="shared" si="22"/>
        <v/>
      </c>
      <c r="J266" s="278" t="e">
        <f t="shared" si="25"/>
        <v>#NUM!</v>
      </c>
      <c r="K266" s="278" t="e">
        <f t="shared" si="23"/>
        <v>#NUM!</v>
      </c>
      <c r="L266" s="278"/>
      <c r="M266" s="280">
        <f t="shared" si="24"/>
        <v>0</v>
      </c>
    </row>
    <row r="267" spans="1:13" x14ac:dyDescent="0.25">
      <c r="A267" s="295"/>
      <c r="G267" s="264"/>
      <c r="H267" s="281">
        <v>262</v>
      </c>
      <c r="I267" s="279" t="str">
        <f t="shared" si="22"/>
        <v/>
      </c>
      <c r="J267" s="278" t="e">
        <f t="shared" si="25"/>
        <v>#NUM!</v>
      </c>
      <c r="K267" s="278" t="e">
        <f t="shared" si="23"/>
        <v>#NUM!</v>
      </c>
      <c r="L267" s="278"/>
      <c r="M267" s="280">
        <f t="shared" si="24"/>
        <v>0</v>
      </c>
    </row>
    <row r="268" spans="1:13" x14ac:dyDescent="0.25">
      <c r="A268" s="295"/>
      <c r="G268" s="264"/>
      <c r="H268" s="278">
        <v>263</v>
      </c>
      <c r="I268" s="279" t="str">
        <f t="shared" si="22"/>
        <v/>
      </c>
      <c r="J268" s="278" t="e">
        <f t="shared" si="25"/>
        <v>#NUM!</v>
      </c>
      <c r="K268" s="278" t="e">
        <f t="shared" si="23"/>
        <v>#NUM!</v>
      </c>
      <c r="L268" s="278"/>
      <c r="M268" s="280">
        <f t="shared" si="24"/>
        <v>0</v>
      </c>
    </row>
    <row r="269" spans="1:13" x14ac:dyDescent="0.25">
      <c r="A269" s="295"/>
      <c r="G269" s="264"/>
      <c r="H269" s="281">
        <v>264</v>
      </c>
      <c r="I269" s="279" t="str">
        <f t="shared" si="22"/>
        <v/>
      </c>
      <c r="J269" s="278" t="e">
        <f t="shared" si="25"/>
        <v>#NUM!</v>
      </c>
      <c r="K269" s="278" t="e">
        <f t="shared" si="23"/>
        <v>#NUM!</v>
      </c>
      <c r="L269" s="278"/>
      <c r="M269" s="280">
        <f t="shared" si="24"/>
        <v>0</v>
      </c>
    </row>
    <row r="270" spans="1:13" x14ac:dyDescent="0.25">
      <c r="A270" s="295"/>
      <c r="G270" s="264"/>
      <c r="H270" s="278">
        <v>265</v>
      </c>
      <c r="I270" s="279" t="str">
        <f t="shared" si="22"/>
        <v/>
      </c>
      <c r="J270" s="278" t="e">
        <f t="shared" si="25"/>
        <v>#NUM!</v>
      </c>
      <c r="K270" s="278" t="e">
        <f t="shared" si="23"/>
        <v>#NUM!</v>
      </c>
      <c r="L270" s="278"/>
      <c r="M270" s="280">
        <f t="shared" si="24"/>
        <v>0</v>
      </c>
    </row>
    <row r="271" spans="1:13" x14ac:dyDescent="0.25">
      <c r="A271" s="295"/>
      <c r="G271" s="264"/>
      <c r="H271" s="281">
        <v>266</v>
      </c>
      <c r="I271" s="279" t="str">
        <f t="shared" si="22"/>
        <v/>
      </c>
      <c r="J271" s="278" t="e">
        <f t="shared" si="25"/>
        <v>#NUM!</v>
      </c>
      <c r="K271" s="278" t="e">
        <f t="shared" si="23"/>
        <v>#NUM!</v>
      </c>
      <c r="L271" s="278"/>
      <c r="M271" s="280">
        <f t="shared" si="24"/>
        <v>0</v>
      </c>
    </row>
    <row r="272" spans="1:13" x14ac:dyDescent="0.25">
      <c r="A272" s="295"/>
      <c r="G272" s="264"/>
      <c r="H272" s="278">
        <v>267</v>
      </c>
      <c r="I272" s="279" t="str">
        <f t="shared" si="22"/>
        <v/>
      </c>
      <c r="J272" s="278" t="e">
        <f t="shared" si="25"/>
        <v>#NUM!</v>
      </c>
      <c r="K272" s="278" t="e">
        <f t="shared" si="23"/>
        <v>#NUM!</v>
      </c>
      <c r="L272" s="278"/>
      <c r="M272" s="280">
        <f t="shared" si="24"/>
        <v>0</v>
      </c>
    </row>
    <row r="273" spans="1:13" x14ac:dyDescent="0.25">
      <c r="A273" s="295"/>
      <c r="G273" s="264"/>
      <c r="H273" s="281">
        <v>268</v>
      </c>
      <c r="I273" s="279" t="str">
        <f t="shared" si="22"/>
        <v/>
      </c>
      <c r="J273" s="278" t="e">
        <f t="shared" si="25"/>
        <v>#NUM!</v>
      </c>
      <c r="K273" s="278" t="e">
        <f t="shared" si="23"/>
        <v>#NUM!</v>
      </c>
      <c r="L273" s="278"/>
      <c r="M273" s="280">
        <f t="shared" si="24"/>
        <v>0</v>
      </c>
    </row>
    <row r="274" spans="1:13" x14ac:dyDescent="0.25">
      <c r="A274" s="295"/>
      <c r="G274" s="264"/>
      <c r="H274" s="278">
        <v>269</v>
      </c>
      <c r="I274" s="279" t="str">
        <f t="shared" si="22"/>
        <v/>
      </c>
      <c r="J274" s="278" t="e">
        <f t="shared" si="25"/>
        <v>#NUM!</v>
      </c>
      <c r="K274" s="278" t="e">
        <f t="shared" si="23"/>
        <v>#NUM!</v>
      </c>
      <c r="L274" s="278"/>
      <c r="M274" s="280">
        <f t="shared" si="24"/>
        <v>0</v>
      </c>
    </row>
    <row r="275" spans="1:13" x14ac:dyDescent="0.25">
      <c r="A275" s="295"/>
      <c r="G275" s="264"/>
      <c r="H275" s="281">
        <v>270</v>
      </c>
      <c r="I275" s="279" t="str">
        <f t="shared" si="22"/>
        <v/>
      </c>
      <c r="J275" s="278" t="e">
        <f t="shared" si="25"/>
        <v>#NUM!</v>
      </c>
      <c r="K275" s="278" t="e">
        <f t="shared" si="23"/>
        <v>#NUM!</v>
      </c>
      <c r="L275" s="278"/>
      <c r="M275" s="280">
        <f t="shared" si="24"/>
        <v>0</v>
      </c>
    </row>
    <row r="276" spans="1:13" x14ac:dyDescent="0.25">
      <c r="A276" s="295"/>
      <c r="G276" s="264"/>
      <c r="H276" s="278">
        <v>271</v>
      </c>
      <c r="I276" s="279" t="str">
        <f t="shared" si="22"/>
        <v/>
      </c>
      <c r="J276" s="278" t="e">
        <f t="shared" si="25"/>
        <v>#NUM!</v>
      </c>
      <c r="K276" s="278" t="e">
        <f t="shared" si="23"/>
        <v>#NUM!</v>
      </c>
      <c r="L276" s="278"/>
      <c r="M276" s="280">
        <f t="shared" si="24"/>
        <v>0</v>
      </c>
    </row>
    <row r="277" spans="1:13" x14ac:dyDescent="0.25">
      <c r="A277" s="295"/>
      <c r="G277" s="264"/>
      <c r="H277" s="281">
        <v>272</v>
      </c>
      <c r="I277" s="279" t="str">
        <f t="shared" si="22"/>
        <v/>
      </c>
      <c r="J277" s="278" t="e">
        <f t="shared" si="25"/>
        <v>#NUM!</v>
      </c>
      <c r="K277" s="278" t="e">
        <f t="shared" si="23"/>
        <v>#NUM!</v>
      </c>
      <c r="L277" s="278"/>
      <c r="M277" s="280">
        <f t="shared" si="24"/>
        <v>0</v>
      </c>
    </row>
    <row r="278" spans="1:13" x14ac:dyDescent="0.25">
      <c r="A278" s="295"/>
      <c r="G278" s="264"/>
      <c r="H278" s="278">
        <v>273</v>
      </c>
      <c r="I278" s="279" t="str">
        <f t="shared" si="22"/>
        <v/>
      </c>
      <c r="J278" s="278" t="e">
        <f t="shared" si="25"/>
        <v>#NUM!</v>
      </c>
      <c r="K278" s="278" t="e">
        <f t="shared" si="23"/>
        <v>#NUM!</v>
      </c>
      <c r="L278" s="278"/>
      <c r="M278" s="280">
        <f t="shared" si="24"/>
        <v>0</v>
      </c>
    </row>
    <row r="279" spans="1:13" x14ac:dyDescent="0.25">
      <c r="A279" s="295"/>
      <c r="G279" s="264"/>
      <c r="H279" s="281">
        <v>274</v>
      </c>
      <c r="I279" s="279" t="str">
        <f t="shared" si="22"/>
        <v/>
      </c>
      <c r="J279" s="278" t="e">
        <f t="shared" si="25"/>
        <v>#NUM!</v>
      </c>
      <c r="K279" s="278" t="e">
        <f t="shared" si="23"/>
        <v>#NUM!</v>
      </c>
      <c r="L279" s="278"/>
      <c r="M279" s="280">
        <f t="shared" si="24"/>
        <v>0</v>
      </c>
    </row>
    <row r="280" spans="1:13" x14ac:dyDescent="0.25">
      <c r="A280" s="295"/>
      <c r="G280" s="264"/>
      <c r="H280" s="278">
        <v>275</v>
      </c>
      <c r="I280" s="279" t="str">
        <f t="shared" si="22"/>
        <v/>
      </c>
      <c r="J280" s="278" t="e">
        <f t="shared" si="25"/>
        <v>#NUM!</v>
      </c>
      <c r="K280" s="278" t="e">
        <f t="shared" si="23"/>
        <v>#NUM!</v>
      </c>
      <c r="L280" s="278"/>
      <c r="M280" s="280">
        <f t="shared" si="24"/>
        <v>0</v>
      </c>
    </row>
    <row r="281" spans="1:13" x14ac:dyDescent="0.25">
      <c r="A281" s="295"/>
      <c r="G281" s="264"/>
      <c r="H281" s="281">
        <v>276</v>
      </c>
      <c r="I281" s="279" t="str">
        <f t="shared" si="22"/>
        <v/>
      </c>
      <c r="J281" s="278" t="e">
        <f t="shared" si="25"/>
        <v>#NUM!</v>
      </c>
      <c r="K281" s="278" t="e">
        <f t="shared" si="23"/>
        <v>#NUM!</v>
      </c>
      <c r="L281" s="278"/>
      <c r="M281" s="280">
        <f t="shared" si="24"/>
        <v>0</v>
      </c>
    </row>
    <row r="282" spans="1:13" x14ac:dyDescent="0.25">
      <c r="A282" s="295"/>
      <c r="G282" s="264"/>
      <c r="H282" s="278">
        <v>277</v>
      </c>
      <c r="I282" s="279" t="str">
        <f t="shared" si="22"/>
        <v/>
      </c>
      <c r="J282" s="278" t="e">
        <f t="shared" si="25"/>
        <v>#NUM!</v>
      </c>
      <c r="K282" s="278" t="e">
        <f t="shared" si="23"/>
        <v>#NUM!</v>
      </c>
      <c r="L282" s="278"/>
      <c r="M282" s="280">
        <f t="shared" si="24"/>
        <v>0</v>
      </c>
    </row>
    <row r="283" spans="1:13" x14ac:dyDescent="0.25">
      <c r="A283" s="295"/>
      <c r="G283" s="264"/>
      <c r="H283" s="281">
        <v>278</v>
      </c>
      <c r="I283" s="279" t="str">
        <f t="shared" si="22"/>
        <v/>
      </c>
      <c r="J283" s="278" t="e">
        <f t="shared" si="25"/>
        <v>#NUM!</v>
      </c>
      <c r="K283" s="278" t="e">
        <f t="shared" si="23"/>
        <v>#NUM!</v>
      </c>
      <c r="L283" s="278"/>
      <c r="M283" s="280">
        <f t="shared" si="24"/>
        <v>0</v>
      </c>
    </row>
    <row r="284" spans="1:13" x14ac:dyDescent="0.25">
      <c r="A284" s="295"/>
      <c r="G284" s="264"/>
      <c r="H284" s="278">
        <v>279</v>
      </c>
      <c r="I284" s="279" t="str">
        <f t="shared" si="22"/>
        <v/>
      </c>
      <c r="J284" s="278" t="e">
        <f t="shared" si="25"/>
        <v>#NUM!</v>
      </c>
      <c r="K284" s="278" t="e">
        <f t="shared" si="23"/>
        <v>#NUM!</v>
      </c>
      <c r="L284" s="278"/>
      <c r="M284" s="280">
        <f t="shared" si="24"/>
        <v>0</v>
      </c>
    </row>
    <row r="285" spans="1:13" x14ac:dyDescent="0.25">
      <c r="A285" s="295"/>
      <c r="G285" s="264"/>
      <c r="H285" s="281">
        <v>280</v>
      </c>
      <c r="I285" s="279" t="str">
        <f t="shared" si="22"/>
        <v/>
      </c>
      <c r="J285" s="278" t="e">
        <f t="shared" si="25"/>
        <v>#NUM!</v>
      </c>
      <c r="K285" s="278" t="e">
        <f t="shared" si="23"/>
        <v>#NUM!</v>
      </c>
      <c r="L285" s="278"/>
      <c r="M285" s="280">
        <f t="shared" si="24"/>
        <v>0</v>
      </c>
    </row>
    <row r="286" spans="1:13" x14ac:dyDescent="0.25">
      <c r="A286" s="295"/>
      <c r="G286" s="264"/>
      <c r="H286" s="278">
        <v>281</v>
      </c>
      <c r="I286" s="279" t="str">
        <f t="shared" si="22"/>
        <v/>
      </c>
      <c r="J286" s="278" t="e">
        <f t="shared" si="25"/>
        <v>#NUM!</v>
      </c>
      <c r="K286" s="278" t="e">
        <f t="shared" si="23"/>
        <v>#NUM!</v>
      </c>
      <c r="L286" s="278"/>
      <c r="M286" s="280">
        <f t="shared" si="24"/>
        <v>0</v>
      </c>
    </row>
    <row r="287" spans="1:13" x14ac:dyDescent="0.25">
      <c r="A287" s="295"/>
      <c r="G287" s="264"/>
      <c r="H287" s="281">
        <v>282</v>
      </c>
      <c r="I287" s="279" t="str">
        <f t="shared" si="22"/>
        <v/>
      </c>
      <c r="J287" s="278" t="e">
        <f t="shared" si="25"/>
        <v>#NUM!</v>
      </c>
      <c r="K287" s="278" t="e">
        <f t="shared" si="23"/>
        <v>#NUM!</v>
      </c>
      <c r="L287" s="278"/>
      <c r="M287" s="280">
        <f t="shared" si="24"/>
        <v>0</v>
      </c>
    </row>
    <row r="288" spans="1:13" x14ac:dyDescent="0.25">
      <c r="A288" s="295"/>
      <c r="G288" s="264"/>
      <c r="H288" s="278">
        <v>283</v>
      </c>
      <c r="I288" s="279" t="str">
        <f t="shared" si="22"/>
        <v/>
      </c>
      <c r="J288" s="278" t="e">
        <f t="shared" si="25"/>
        <v>#NUM!</v>
      </c>
      <c r="K288" s="278" t="e">
        <f t="shared" si="23"/>
        <v>#NUM!</v>
      </c>
      <c r="L288" s="278"/>
      <c r="M288" s="280">
        <f t="shared" si="24"/>
        <v>0</v>
      </c>
    </row>
    <row r="289" spans="1:13" x14ac:dyDescent="0.25">
      <c r="A289" s="295"/>
      <c r="G289" s="264"/>
      <c r="H289" s="281">
        <v>284</v>
      </c>
      <c r="I289" s="279" t="str">
        <f t="shared" si="22"/>
        <v/>
      </c>
      <c r="J289" s="278" t="e">
        <f t="shared" si="25"/>
        <v>#NUM!</v>
      </c>
      <c r="K289" s="278" t="e">
        <f t="shared" si="23"/>
        <v>#NUM!</v>
      </c>
      <c r="L289" s="278"/>
      <c r="M289" s="280">
        <f t="shared" si="24"/>
        <v>0</v>
      </c>
    </row>
    <row r="290" spans="1:13" x14ac:dyDescent="0.25">
      <c r="A290" s="295"/>
      <c r="G290" s="264"/>
      <c r="H290" s="278">
        <v>285</v>
      </c>
      <c r="I290" s="279" t="str">
        <f t="shared" si="22"/>
        <v/>
      </c>
      <c r="J290" s="278" t="e">
        <f t="shared" si="25"/>
        <v>#NUM!</v>
      </c>
      <c r="K290" s="278" t="e">
        <f t="shared" si="23"/>
        <v>#NUM!</v>
      </c>
      <c r="L290" s="278"/>
      <c r="M290" s="280">
        <f t="shared" si="24"/>
        <v>0</v>
      </c>
    </row>
    <row r="291" spans="1:13" x14ac:dyDescent="0.25">
      <c r="A291" s="295"/>
      <c r="G291" s="264"/>
      <c r="H291" s="281">
        <v>286</v>
      </c>
      <c r="I291" s="279" t="str">
        <f t="shared" si="22"/>
        <v/>
      </c>
      <c r="J291" s="278" t="e">
        <f t="shared" si="25"/>
        <v>#NUM!</v>
      </c>
      <c r="K291" s="278" t="e">
        <f t="shared" si="23"/>
        <v>#NUM!</v>
      </c>
      <c r="L291" s="278"/>
      <c r="M291" s="280">
        <f t="shared" si="24"/>
        <v>0</v>
      </c>
    </row>
    <row r="292" spans="1:13" x14ac:dyDescent="0.25">
      <c r="A292" s="295"/>
      <c r="G292" s="264"/>
      <c r="H292" s="278">
        <v>287</v>
      </c>
      <c r="I292" s="279" t="str">
        <f t="shared" si="22"/>
        <v/>
      </c>
      <c r="J292" s="278" t="e">
        <f t="shared" si="25"/>
        <v>#NUM!</v>
      </c>
      <c r="K292" s="278" t="e">
        <f t="shared" si="23"/>
        <v>#NUM!</v>
      </c>
      <c r="L292" s="278"/>
      <c r="M292" s="280">
        <f t="shared" si="24"/>
        <v>0</v>
      </c>
    </row>
    <row r="293" spans="1:13" x14ac:dyDescent="0.25">
      <c r="A293" s="295"/>
      <c r="G293" s="264"/>
      <c r="H293" s="278">
        <v>288</v>
      </c>
      <c r="I293" s="279" t="str">
        <f t="shared" si="22"/>
        <v/>
      </c>
      <c r="J293" s="278" t="e">
        <f t="shared" si="25"/>
        <v>#NUM!</v>
      </c>
      <c r="K293" s="278" t="e">
        <f t="shared" si="23"/>
        <v>#NUM!</v>
      </c>
      <c r="L293" s="278"/>
      <c r="M293" s="280">
        <f t="shared" si="24"/>
        <v>0</v>
      </c>
    </row>
    <row r="294" spans="1:13" x14ac:dyDescent="0.25">
      <c r="A294" s="295"/>
      <c r="G294" s="264"/>
      <c r="H294" s="278">
        <v>289</v>
      </c>
      <c r="I294" s="279" t="str">
        <f t="shared" si="22"/>
        <v/>
      </c>
      <c r="J294" s="278" t="e">
        <f t="shared" si="25"/>
        <v>#NUM!</v>
      </c>
      <c r="K294" s="278" t="e">
        <f t="shared" si="23"/>
        <v>#NUM!</v>
      </c>
      <c r="L294" s="278"/>
      <c r="M294" s="280">
        <f t="shared" si="24"/>
        <v>0</v>
      </c>
    </row>
    <row r="295" spans="1:13" x14ac:dyDescent="0.25">
      <c r="A295" s="295"/>
      <c r="G295" s="264"/>
      <c r="H295" s="278">
        <v>290</v>
      </c>
      <c r="I295" s="279" t="str">
        <f t="shared" si="22"/>
        <v/>
      </c>
      <c r="J295" s="278" t="e">
        <f t="shared" si="25"/>
        <v>#NUM!</v>
      </c>
      <c r="K295" s="278" t="e">
        <f t="shared" si="23"/>
        <v>#NUM!</v>
      </c>
      <c r="L295" s="278"/>
      <c r="M295" s="280">
        <f t="shared" si="24"/>
        <v>0</v>
      </c>
    </row>
    <row r="296" spans="1:13" x14ac:dyDescent="0.25">
      <c r="A296" s="295"/>
      <c r="G296" s="264"/>
      <c r="H296" s="278">
        <v>291</v>
      </c>
      <c r="I296" s="279" t="str">
        <f t="shared" si="22"/>
        <v/>
      </c>
      <c r="J296" s="278" t="e">
        <f t="shared" si="25"/>
        <v>#NUM!</v>
      </c>
      <c r="K296" s="278" t="e">
        <f t="shared" si="23"/>
        <v>#NUM!</v>
      </c>
      <c r="L296" s="278"/>
      <c r="M296" s="280">
        <f t="shared" si="24"/>
        <v>0</v>
      </c>
    </row>
    <row r="297" spans="1:13" x14ac:dyDescent="0.25">
      <c r="A297" s="295"/>
      <c r="G297" s="264"/>
      <c r="H297" s="278">
        <v>292</v>
      </c>
      <c r="I297" s="279" t="str">
        <f t="shared" si="22"/>
        <v/>
      </c>
      <c r="J297" s="278" t="e">
        <f t="shared" si="25"/>
        <v>#NUM!</v>
      </c>
      <c r="K297" s="278" t="e">
        <f t="shared" si="23"/>
        <v>#NUM!</v>
      </c>
      <c r="L297" s="278"/>
      <c r="M297" s="280">
        <f t="shared" si="24"/>
        <v>0</v>
      </c>
    </row>
    <row r="298" spans="1:13" x14ac:dyDescent="0.25">
      <c r="A298" s="295"/>
      <c r="G298" s="264"/>
      <c r="H298" s="278">
        <v>293</v>
      </c>
      <c r="I298" s="279" t="str">
        <f t="shared" si="22"/>
        <v/>
      </c>
      <c r="J298" s="278" t="e">
        <f t="shared" si="25"/>
        <v>#NUM!</v>
      </c>
      <c r="K298" s="278" t="e">
        <f t="shared" si="23"/>
        <v>#NUM!</v>
      </c>
      <c r="L298" s="278"/>
      <c r="M298" s="280">
        <f t="shared" si="24"/>
        <v>0</v>
      </c>
    </row>
    <row r="299" spans="1:13" x14ac:dyDescent="0.25">
      <c r="A299" s="295"/>
      <c r="G299" s="264"/>
      <c r="H299" s="278">
        <v>294</v>
      </c>
      <c r="I299" s="279" t="str">
        <f t="shared" si="22"/>
        <v/>
      </c>
      <c r="J299" s="278" t="e">
        <f t="shared" si="25"/>
        <v>#NUM!</v>
      </c>
      <c r="K299" s="278" t="e">
        <f t="shared" si="23"/>
        <v>#NUM!</v>
      </c>
      <c r="L299" s="278"/>
      <c r="M299" s="280">
        <f t="shared" si="24"/>
        <v>0</v>
      </c>
    </row>
    <row r="300" spans="1:13" x14ac:dyDescent="0.25">
      <c r="A300" s="295"/>
      <c r="G300" s="264"/>
      <c r="H300" s="278">
        <v>295</v>
      </c>
      <c r="I300" s="279" t="str">
        <f t="shared" si="22"/>
        <v/>
      </c>
      <c r="J300" s="278" t="e">
        <f t="shared" si="25"/>
        <v>#NUM!</v>
      </c>
      <c r="K300" s="278" t="e">
        <f t="shared" si="23"/>
        <v>#NUM!</v>
      </c>
      <c r="L300" s="278"/>
      <c r="M300" s="280">
        <f t="shared" si="24"/>
        <v>0</v>
      </c>
    </row>
    <row r="301" spans="1:13" x14ac:dyDescent="0.25">
      <c r="A301" s="295"/>
      <c r="G301" s="264"/>
      <c r="H301" s="278">
        <v>296</v>
      </c>
      <c r="I301" s="279" t="str">
        <f t="shared" si="22"/>
        <v/>
      </c>
      <c r="J301" s="278" t="e">
        <f t="shared" si="25"/>
        <v>#NUM!</v>
      </c>
      <c r="K301" s="278" t="e">
        <f t="shared" si="23"/>
        <v>#NUM!</v>
      </c>
      <c r="L301" s="278"/>
      <c r="M301" s="280">
        <f t="shared" si="24"/>
        <v>0</v>
      </c>
    </row>
    <row r="302" spans="1:13" x14ac:dyDescent="0.25">
      <c r="A302" s="295"/>
      <c r="G302" s="264"/>
      <c r="H302" s="278">
        <v>297</v>
      </c>
      <c r="I302" s="279" t="str">
        <f t="shared" si="22"/>
        <v/>
      </c>
      <c r="J302" s="278" t="e">
        <f t="shared" si="25"/>
        <v>#NUM!</v>
      </c>
      <c r="K302" s="278" t="e">
        <f t="shared" si="23"/>
        <v>#NUM!</v>
      </c>
      <c r="L302" s="278"/>
      <c r="M302" s="280">
        <f t="shared" si="24"/>
        <v>0</v>
      </c>
    </row>
    <row r="303" spans="1:13" x14ac:dyDescent="0.25">
      <c r="A303" s="295"/>
      <c r="G303" s="264"/>
      <c r="H303" s="278">
        <v>298</v>
      </c>
      <c r="I303" s="279" t="str">
        <f t="shared" si="22"/>
        <v/>
      </c>
      <c r="J303" s="278" t="e">
        <f t="shared" si="25"/>
        <v>#NUM!</v>
      </c>
      <c r="K303" s="278" t="e">
        <f t="shared" si="23"/>
        <v>#NUM!</v>
      </c>
      <c r="L303" s="278"/>
      <c r="M303" s="280">
        <f t="shared" si="24"/>
        <v>0</v>
      </c>
    </row>
    <row r="304" spans="1:13" x14ac:dyDescent="0.25">
      <c r="A304" s="295"/>
      <c r="G304" s="264"/>
      <c r="H304" s="278">
        <v>299</v>
      </c>
      <c r="I304" s="279" t="str">
        <f t="shared" si="22"/>
        <v/>
      </c>
      <c r="J304" s="278" t="e">
        <f t="shared" si="25"/>
        <v>#NUM!</v>
      </c>
      <c r="K304" s="278" t="e">
        <f t="shared" si="23"/>
        <v>#NUM!</v>
      </c>
      <c r="L304" s="278"/>
      <c r="M304" s="280">
        <f t="shared" si="24"/>
        <v>0</v>
      </c>
    </row>
    <row r="305" spans="1:16" x14ac:dyDescent="0.25">
      <c r="A305" s="295"/>
      <c r="G305" s="264"/>
      <c r="H305" s="278">
        <v>300</v>
      </c>
      <c r="I305" s="279" t="str">
        <f t="shared" si="22"/>
        <v/>
      </c>
      <c r="J305" s="278" t="e">
        <f t="shared" si="25"/>
        <v>#NUM!</v>
      </c>
      <c r="K305" s="278" t="e">
        <f t="shared" si="23"/>
        <v>#NUM!</v>
      </c>
      <c r="L305" s="278"/>
      <c r="M305" s="280">
        <f t="shared" si="24"/>
        <v>0</v>
      </c>
    </row>
    <row r="306" spans="1:16" x14ac:dyDescent="0.25">
      <c r="A306" s="296"/>
    </row>
    <row r="314" spans="1:16" x14ac:dyDescent="0.25">
      <c r="L314" s="299"/>
      <c r="P314" s="289"/>
    </row>
    <row r="315" spans="1:16" x14ac:dyDescent="0.25">
      <c r="L315" s="299"/>
      <c r="P315" s="289"/>
    </row>
    <row r="316" spans="1:16" x14ac:dyDescent="0.25">
      <c r="L316" s="299"/>
      <c r="P316" s="289"/>
    </row>
    <row r="317" spans="1:16" x14ac:dyDescent="0.25">
      <c r="L317" s="299"/>
      <c r="P317" s="289"/>
    </row>
  </sheetData>
  <conditionalFormatting sqref="J6:K305">
    <cfRule type="cellIs" dxfId="3" priority="1" operator="lessThanOrEqual">
      <formula>0</formula>
    </cfRule>
  </conditionalFormatting>
  <hyperlinks>
    <hyperlink ref="C2" r:id="rId1" xr:uid="{93C4DA65-A071-4E34-9660-A8D8ED2EDBF2}"/>
  </hyperlinks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FAFDC-8AD0-4847-BCC5-1DC74889F6A0}">
  <sheetPr>
    <tabColor rgb="FF92D050"/>
  </sheetPr>
  <dimension ref="A1:AM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105" customWidth="1"/>
    <col min="2" max="2" width="8.25" style="105" customWidth="1"/>
    <col min="3" max="3" width="34.75" style="105" customWidth="1"/>
    <col min="4" max="4" width="11.25" style="105" customWidth="1"/>
    <col min="5" max="6" width="8.875" style="105"/>
    <col min="7" max="7" width="0.875" style="105" customWidth="1"/>
    <col min="8" max="8" width="8.875" style="108"/>
    <col min="9" max="9" width="11" style="108" customWidth="1"/>
    <col min="10" max="10" width="15.25" style="108" customWidth="1"/>
    <col min="11" max="11" width="8.75" style="108" customWidth="1"/>
    <col min="12" max="12" width="11" style="108" customWidth="1"/>
    <col min="13" max="13" width="11.75" style="108" customWidth="1"/>
    <col min="14" max="14" width="11.75" style="109" customWidth="1"/>
    <col min="15" max="16" width="13.875" style="74" customWidth="1"/>
    <col min="17" max="19" width="8.875" style="74"/>
    <col min="20" max="21" width="8.875" style="79"/>
    <col min="22" max="22" width="12.125" style="79" customWidth="1"/>
    <col min="23" max="23" width="27.375" style="79" customWidth="1"/>
    <col min="24" max="39" width="8.875" style="79"/>
    <col min="40" max="16384" width="8.875" style="105"/>
  </cols>
  <sheetData>
    <row r="1" spans="1:37" s="79" customFormat="1" x14ac:dyDescent="0.25">
      <c r="A1" s="74"/>
      <c r="B1" s="74"/>
      <c r="C1" s="74"/>
      <c r="D1" s="74"/>
      <c r="E1" s="74"/>
      <c r="F1" s="74"/>
      <c r="G1" s="74"/>
      <c r="H1" s="75" t="s">
        <v>13</v>
      </c>
      <c r="I1" s="76" t="s">
        <v>14</v>
      </c>
      <c r="J1" s="76" t="s">
        <v>15</v>
      </c>
      <c r="K1" s="77" t="s">
        <v>50</v>
      </c>
      <c r="L1" s="112" t="s">
        <v>51</v>
      </c>
      <c r="M1" s="113"/>
      <c r="N1" s="78"/>
      <c r="O1" s="74"/>
      <c r="P1" s="74"/>
      <c r="Q1" s="74"/>
      <c r="R1" s="74"/>
      <c r="S1" s="74"/>
    </row>
    <row r="2" spans="1:37" s="79" customFormat="1" x14ac:dyDescent="0.25">
      <c r="A2" s="74"/>
      <c r="B2" s="17" t="s">
        <v>17</v>
      </c>
      <c r="C2" s="243" t="s">
        <v>137</v>
      </c>
      <c r="D2" s="243"/>
      <c r="E2" s="18"/>
      <c r="F2" s="18"/>
      <c r="G2" s="18"/>
      <c r="H2" s="80">
        <v>39</v>
      </c>
      <c r="I2" s="81">
        <v>50</v>
      </c>
      <c r="J2" s="81">
        <v>10</v>
      </c>
      <c r="K2" s="111">
        <f>3*H2^(1/3)</f>
        <v>10.173634329042498</v>
      </c>
      <c r="L2" s="114">
        <v>1.2</v>
      </c>
      <c r="M2" s="78"/>
      <c r="N2" s="78"/>
      <c r="O2" s="74"/>
      <c r="P2" s="74"/>
      <c r="Q2" s="74"/>
      <c r="R2" s="74"/>
      <c r="S2" s="74"/>
    </row>
    <row r="3" spans="1:37" s="79" customFormat="1" ht="14.3" customHeight="1" x14ac:dyDescent="0.25">
      <c r="A3" s="74"/>
      <c r="B3" s="82" t="s">
        <v>18</v>
      </c>
      <c r="C3" s="242" t="s">
        <v>138</v>
      </c>
      <c r="D3" s="242"/>
      <c r="E3" s="23"/>
      <c r="F3" s="23"/>
      <c r="G3" s="23"/>
      <c r="H3" s="78"/>
      <c r="I3" s="78"/>
      <c r="J3" s="83"/>
      <c r="K3" s="78"/>
      <c r="L3" s="78"/>
      <c r="M3" s="78"/>
      <c r="N3" s="78"/>
      <c r="O3" s="74"/>
      <c r="P3" s="74"/>
      <c r="Q3" s="74"/>
      <c r="R3" s="74"/>
      <c r="S3" s="74"/>
    </row>
    <row r="4" spans="1:37" s="79" customFormat="1" ht="10.199999999999999" customHeight="1" x14ac:dyDescent="0.25">
      <c r="A4" s="25"/>
      <c r="B4" s="23"/>
      <c r="C4" s="25"/>
      <c r="D4" s="25"/>
      <c r="E4" s="25"/>
      <c r="F4" s="25"/>
      <c r="G4" s="25"/>
      <c r="H4" s="78"/>
      <c r="I4" s="78"/>
      <c r="J4" s="83"/>
      <c r="K4" s="78"/>
      <c r="L4" s="78"/>
      <c r="M4" s="78"/>
      <c r="N4" s="78"/>
      <c r="O4" s="74"/>
      <c r="P4" s="74"/>
      <c r="Q4" s="74"/>
      <c r="R4" s="74"/>
      <c r="S4" s="74"/>
    </row>
    <row r="5" spans="1:37" s="79" customFormat="1" ht="34.65" x14ac:dyDescent="0.25">
      <c r="A5" s="1" t="s">
        <v>19</v>
      </c>
      <c r="B5" s="26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25"/>
      <c r="H5" s="84" t="s">
        <v>25</v>
      </c>
      <c r="I5" s="85" t="s">
        <v>26</v>
      </c>
      <c r="J5" s="86" t="s">
        <v>27</v>
      </c>
      <c r="K5" s="85" t="s">
        <v>28</v>
      </c>
      <c r="L5" s="85" t="s">
        <v>29</v>
      </c>
      <c r="M5" s="84" t="s">
        <v>30</v>
      </c>
      <c r="N5" s="84" t="s">
        <v>53</v>
      </c>
      <c r="O5" s="74"/>
      <c r="P5" s="74"/>
      <c r="Q5" s="74"/>
      <c r="R5" s="74"/>
      <c r="S5" s="74"/>
    </row>
    <row r="6" spans="1:37" s="79" customFormat="1" ht="14.45" customHeight="1" x14ac:dyDescent="0.25">
      <c r="A6" s="87">
        <f t="shared" ref="A6:A69" si="0">N6</f>
        <v>168.62508358455298</v>
      </c>
      <c r="B6" s="31">
        <f t="shared" ref="B6:B69" si="1">IF(H6&gt;$H$2,"",(ROW()-5))</f>
        <v>1</v>
      </c>
      <c r="C6" s="32" t="s">
        <v>34</v>
      </c>
      <c r="D6" s="32"/>
      <c r="E6" s="32"/>
      <c r="F6" s="32"/>
      <c r="G6" s="25"/>
      <c r="H6" s="88">
        <v>1</v>
      </c>
      <c r="I6" s="89">
        <f t="shared" ref="I6:I69" si="2">IF(H6&lt;$H$2+1,($I$2-($I$2-1)*(LOG(H6)/LOG($H$2))),"")</f>
        <v>50</v>
      </c>
      <c r="J6" s="88">
        <f t="shared" ref="J6:J69" si="3">INT(LOG($H$2,2))-ROUNDUP(LOG(H6,2),0)+IF(OR($H$2=1,$H$2=2,$H$2=4,$H$2=8,$H$2=16,$H$2=32,$H$2=64,$H$2=128,$H$2=256),0,1)</f>
        <v>6</v>
      </c>
      <c r="K6" s="88">
        <f t="shared" ref="K6:K69" si="4">J6*$J$2</f>
        <v>60</v>
      </c>
      <c r="L6" s="90">
        <f>3*K2</f>
        <v>30.520902987127492</v>
      </c>
      <c r="M6" s="90">
        <f t="shared" ref="M6:M69" si="5">IF(I6&lt;&gt;"",K6+I6+L6,0)</f>
        <v>140.5209029871275</v>
      </c>
      <c r="N6" s="90">
        <f t="shared" ref="N6:N69" si="6">IF(I6&lt;&gt;"",M6*L$2,0)</f>
        <v>168.62508358455298</v>
      </c>
      <c r="O6" s="74"/>
      <c r="P6" s="74"/>
      <c r="Q6" s="74"/>
      <c r="R6" s="74"/>
      <c r="S6" s="74"/>
    </row>
    <row r="7" spans="1:37" s="79" customFormat="1" ht="14.45" customHeight="1" x14ac:dyDescent="0.25">
      <c r="A7" s="91">
        <f t="shared" si="0"/>
        <v>133.29174125011002</v>
      </c>
      <c r="B7" s="37">
        <f t="shared" si="1"/>
        <v>2</v>
      </c>
      <c r="C7" s="38" t="s">
        <v>34</v>
      </c>
      <c r="D7" s="38"/>
      <c r="E7" s="38"/>
      <c r="F7" s="38"/>
      <c r="G7" s="25"/>
      <c r="H7" s="92">
        <v>2</v>
      </c>
      <c r="I7" s="93">
        <f t="shared" si="2"/>
        <v>40.729182383673368</v>
      </c>
      <c r="J7" s="92">
        <f t="shared" si="3"/>
        <v>5</v>
      </c>
      <c r="K7" s="92">
        <f t="shared" si="4"/>
        <v>50</v>
      </c>
      <c r="L7" s="94">
        <f>2*K2</f>
        <v>20.347268658084996</v>
      </c>
      <c r="M7" s="94">
        <f t="shared" si="5"/>
        <v>111.07645104175836</v>
      </c>
      <c r="N7" s="94">
        <f t="shared" si="6"/>
        <v>133.29174125011002</v>
      </c>
      <c r="O7" s="74"/>
      <c r="P7" s="74"/>
      <c r="Q7" s="74"/>
      <c r="R7" s="74"/>
      <c r="S7" s="74"/>
    </row>
    <row r="8" spans="1:37" s="79" customFormat="1" ht="14.45" customHeight="1" x14ac:dyDescent="0.25">
      <c r="A8" s="87">
        <f t="shared" si="0"/>
        <v>102.57568326736764</v>
      </c>
      <c r="B8" s="31">
        <f t="shared" si="1"/>
        <v>3</v>
      </c>
      <c r="C8" s="32" t="s">
        <v>9</v>
      </c>
      <c r="D8" s="32"/>
      <c r="E8" s="32"/>
      <c r="F8" s="32"/>
      <c r="G8" s="25"/>
      <c r="H8" s="88">
        <v>3</v>
      </c>
      <c r="I8" s="89">
        <f t="shared" si="2"/>
        <v>35.306101727097193</v>
      </c>
      <c r="J8" s="88">
        <f t="shared" si="3"/>
        <v>4</v>
      </c>
      <c r="K8" s="88">
        <f t="shared" si="4"/>
        <v>40</v>
      </c>
      <c r="L8" s="90">
        <f>K2</f>
        <v>10.173634329042498</v>
      </c>
      <c r="M8" s="90">
        <f t="shared" si="5"/>
        <v>85.4797360561397</v>
      </c>
      <c r="N8" s="90">
        <f t="shared" si="6"/>
        <v>102.57568326736764</v>
      </c>
      <c r="O8" s="74"/>
      <c r="P8" s="74"/>
      <c r="Q8" s="74"/>
      <c r="R8" s="74"/>
      <c r="S8" s="74"/>
    </row>
    <row r="9" spans="1:37" s="79" customFormat="1" ht="14.45" customHeight="1" x14ac:dyDescent="0.25">
      <c r="A9" s="91">
        <f t="shared" si="0"/>
        <v>102.57568326736764</v>
      </c>
      <c r="B9" s="37">
        <f t="shared" si="1"/>
        <v>4</v>
      </c>
      <c r="C9" s="38" t="s">
        <v>34</v>
      </c>
      <c r="D9" s="38"/>
      <c r="E9" s="38"/>
      <c r="F9" s="38"/>
      <c r="G9" s="25"/>
      <c r="H9" s="92">
        <v>3</v>
      </c>
      <c r="I9" s="93">
        <f t="shared" si="2"/>
        <v>35.306101727097193</v>
      </c>
      <c r="J9" s="92">
        <f t="shared" si="3"/>
        <v>4</v>
      </c>
      <c r="K9" s="92">
        <f t="shared" si="4"/>
        <v>40</v>
      </c>
      <c r="L9" s="94">
        <f>K2</f>
        <v>10.173634329042498</v>
      </c>
      <c r="M9" s="94">
        <f t="shared" si="5"/>
        <v>85.4797360561397</v>
      </c>
      <c r="N9" s="94">
        <f t="shared" si="6"/>
        <v>102.57568326736764</v>
      </c>
      <c r="O9" s="74"/>
      <c r="P9" s="74"/>
      <c r="Q9" s="74"/>
      <c r="R9" s="74"/>
      <c r="S9" s="74"/>
      <c r="V9" s="95"/>
      <c r="Z9" s="96"/>
      <c r="AA9" s="96"/>
      <c r="AG9" s="97"/>
      <c r="AH9" s="79" t="s">
        <v>34</v>
      </c>
      <c r="AI9" s="79">
        <v>23</v>
      </c>
    </row>
    <row r="10" spans="1:37" s="79" customFormat="1" ht="14.45" customHeight="1" x14ac:dyDescent="0.25">
      <c r="A10" s="87">
        <f t="shared" si="0"/>
        <v>70.168593736889406</v>
      </c>
      <c r="B10" s="31">
        <f t="shared" si="1"/>
        <v>5</v>
      </c>
      <c r="C10" s="32" t="s">
        <v>34</v>
      </c>
      <c r="D10" s="32"/>
      <c r="E10" s="32"/>
      <c r="F10" s="32"/>
      <c r="G10" s="25"/>
      <c r="H10" s="88">
        <v>5</v>
      </c>
      <c r="I10" s="89">
        <f t="shared" si="2"/>
        <v>28.473828114074504</v>
      </c>
      <c r="J10" s="88">
        <f t="shared" si="3"/>
        <v>3</v>
      </c>
      <c r="K10" s="88">
        <f t="shared" si="4"/>
        <v>30</v>
      </c>
      <c r="L10" s="88"/>
      <c r="M10" s="90">
        <f t="shared" si="5"/>
        <v>58.473828114074507</v>
      </c>
      <c r="N10" s="90">
        <f t="shared" si="6"/>
        <v>70.168593736889406</v>
      </c>
      <c r="O10" s="74"/>
      <c r="P10" s="74"/>
      <c r="Q10" s="74"/>
      <c r="R10" s="74"/>
      <c r="S10" s="74"/>
      <c r="W10" s="95"/>
      <c r="AA10" s="96"/>
      <c r="AB10" s="96"/>
      <c r="AH10" s="97"/>
      <c r="AI10" s="79" t="s">
        <v>35</v>
      </c>
      <c r="AJ10" s="79">
        <v>45</v>
      </c>
    </row>
    <row r="11" spans="1:37" s="79" customFormat="1" ht="14.45" customHeight="1" x14ac:dyDescent="0.25">
      <c r="A11" s="91">
        <f t="shared" si="0"/>
        <v>67.242340932924677</v>
      </c>
      <c r="B11" s="37">
        <f t="shared" si="1"/>
        <v>6</v>
      </c>
      <c r="C11" s="38" t="s">
        <v>34</v>
      </c>
      <c r="D11" s="38"/>
      <c r="E11" s="38"/>
      <c r="F11" s="38"/>
      <c r="G11" s="25"/>
      <c r="H11" s="92">
        <v>6</v>
      </c>
      <c r="I11" s="93">
        <f t="shared" si="2"/>
        <v>26.035284110770558</v>
      </c>
      <c r="J11" s="92">
        <f t="shared" si="3"/>
        <v>3</v>
      </c>
      <c r="K11" s="92">
        <f t="shared" si="4"/>
        <v>30</v>
      </c>
      <c r="L11" s="92"/>
      <c r="M11" s="94">
        <f t="shared" si="5"/>
        <v>56.035284110770561</v>
      </c>
      <c r="N11" s="94">
        <f t="shared" si="6"/>
        <v>67.242340932924677</v>
      </c>
      <c r="O11" s="74"/>
      <c r="P11" s="74"/>
      <c r="Q11" s="74"/>
      <c r="R11" s="74"/>
      <c r="S11" s="74"/>
      <c r="W11" s="98"/>
      <c r="AA11" s="96"/>
      <c r="AB11" s="96"/>
      <c r="AH11" s="97"/>
      <c r="AI11" s="79" t="s">
        <v>36</v>
      </c>
      <c r="AJ11" s="79">
        <v>50</v>
      </c>
    </row>
    <row r="12" spans="1:37" s="79" customFormat="1" ht="14.45" customHeight="1" x14ac:dyDescent="0.25">
      <c r="A12" s="87">
        <f t="shared" si="0"/>
        <v>64.768229439968493</v>
      </c>
      <c r="B12" s="31">
        <f t="shared" si="1"/>
        <v>7</v>
      </c>
      <c r="C12" s="32" t="s">
        <v>34</v>
      </c>
      <c r="D12" s="32"/>
      <c r="E12" s="32"/>
      <c r="F12" s="32"/>
      <c r="G12" s="25"/>
      <c r="H12" s="88">
        <v>7</v>
      </c>
      <c r="I12" s="89">
        <f t="shared" si="2"/>
        <v>23.973524533307085</v>
      </c>
      <c r="J12" s="88">
        <f t="shared" si="3"/>
        <v>3</v>
      </c>
      <c r="K12" s="88">
        <f t="shared" si="4"/>
        <v>30</v>
      </c>
      <c r="L12" s="88"/>
      <c r="M12" s="90">
        <f t="shared" si="5"/>
        <v>53.973524533307085</v>
      </c>
      <c r="N12" s="90">
        <f t="shared" si="6"/>
        <v>64.768229439968493</v>
      </c>
      <c r="O12" s="74"/>
      <c r="P12" s="74"/>
      <c r="Q12" s="74"/>
      <c r="R12" s="74"/>
      <c r="S12" s="74"/>
      <c r="AA12" s="96"/>
      <c r="AB12" s="96"/>
      <c r="AH12" s="97"/>
      <c r="AI12" s="79" t="s">
        <v>37</v>
      </c>
      <c r="AJ12" s="79">
        <f>AJ11-1</f>
        <v>49</v>
      </c>
    </row>
    <row r="13" spans="1:37" s="79" customFormat="1" ht="14.45" customHeight="1" x14ac:dyDescent="0.25">
      <c r="A13" s="91">
        <f t="shared" si="0"/>
        <v>62.625056581224115</v>
      </c>
      <c r="B13" s="37">
        <f t="shared" si="1"/>
        <v>8</v>
      </c>
      <c r="C13" s="38" t="s">
        <v>34</v>
      </c>
      <c r="D13" s="38"/>
      <c r="E13" s="38"/>
      <c r="F13" s="38"/>
      <c r="G13" s="25"/>
      <c r="H13" s="92">
        <v>8</v>
      </c>
      <c r="I13" s="93">
        <f t="shared" si="2"/>
        <v>22.187547151020102</v>
      </c>
      <c r="J13" s="92">
        <f t="shared" si="3"/>
        <v>3</v>
      </c>
      <c r="K13" s="92">
        <f t="shared" si="4"/>
        <v>30</v>
      </c>
      <c r="L13" s="92"/>
      <c r="M13" s="94">
        <f t="shared" si="5"/>
        <v>52.187547151020098</v>
      </c>
      <c r="N13" s="94">
        <f t="shared" si="6"/>
        <v>62.625056581224115</v>
      </c>
      <c r="O13" s="74"/>
      <c r="P13" s="74"/>
      <c r="Q13" s="74"/>
      <c r="R13" s="74"/>
      <c r="S13" s="74"/>
      <c r="Y13" s="95"/>
      <c r="AH13" s="97"/>
      <c r="AI13" s="79" t="s">
        <v>38</v>
      </c>
      <c r="AJ13" s="79" t="e">
        <f>LOG(AJ9)</f>
        <v>#NUM!</v>
      </c>
    </row>
    <row r="14" spans="1:37" s="79" customFormat="1" x14ac:dyDescent="0.25">
      <c r="A14" s="87">
        <f t="shared" si="0"/>
        <v>48.734644145033265</v>
      </c>
      <c r="B14" s="31">
        <f t="shared" si="1"/>
        <v>9</v>
      </c>
      <c r="C14" s="32" t="s">
        <v>34</v>
      </c>
      <c r="D14" s="32"/>
      <c r="E14" s="32"/>
      <c r="F14" s="32"/>
      <c r="G14" s="25"/>
      <c r="H14" s="88">
        <v>9</v>
      </c>
      <c r="I14" s="89">
        <f t="shared" si="2"/>
        <v>20.612203454194386</v>
      </c>
      <c r="J14" s="88">
        <f t="shared" si="3"/>
        <v>2</v>
      </c>
      <c r="K14" s="88">
        <f t="shared" si="4"/>
        <v>20</v>
      </c>
      <c r="L14" s="88"/>
      <c r="M14" s="90">
        <f t="shared" si="5"/>
        <v>40.612203454194386</v>
      </c>
      <c r="N14" s="90">
        <f t="shared" si="6"/>
        <v>48.734644145033265</v>
      </c>
      <c r="O14" s="74"/>
      <c r="P14" s="74"/>
      <c r="Q14" s="74"/>
      <c r="R14" s="74"/>
      <c r="S14" s="74"/>
      <c r="Y14" s="99"/>
      <c r="AA14" s="96"/>
      <c r="AB14" s="96"/>
      <c r="AH14" s="97"/>
      <c r="AI14" s="79" t="s">
        <v>39</v>
      </c>
      <c r="AJ14" s="79">
        <f>LOG(AJ10)</f>
        <v>1.6532125137753437</v>
      </c>
    </row>
    <row r="15" spans="1:37" s="79" customFormat="1" x14ac:dyDescent="0.25">
      <c r="A15" s="91">
        <f t="shared" si="0"/>
        <v>47.043612597297447</v>
      </c>
      <c r="B15" s="37">
        <f t="shared" si="1"/>
        <v>10</v>
      </c>
      <c r="C15" s="38" t="s">
        <v>34</v>
      </c>
      <c r="D15" s="38"/>
      <c r="E15" s="38"/>
      <c r="F15" s="38"/>
      <c r="G15" s="25"/>
      <c r="H15" s="92">
        <v>10</v>
      </c>
      <c r="I15" s="93">
        <f t="shared" si="2"/>
        <v>19.203010497747876</v>
      </c>
      <c r="J15" s="92">
        <f t="shared" si="3"/>
        <v>2</v>
      </c>
      <c r="K15" s="92">
        <f t="shared" si="4"/>
        <v>20</v>
      </c>
      <c r="L15" s="92"/>
      <c r="M15" s="94">
        <f t="shared" si="5"/>
        <v>39.203010497747876</v>
      </c>
      <c r="N15" s="94">
        <f t="shared" si="6"/>
        <v>47.043612597297447</v>
      </c>
      <c r="O15" s="74"/>
      <c r="P15" s="74"/>
      <c r="Q15" s="74"/>
      <c r="R15" s="74"/>
      <c r="S15" s="74"/>
      <c r="Y15" s="95"/>
      <c r="AA15" s="96"/>
      <c r="AB15" s="96"/>
    </row>
    <row r="16" spans="1:37" s="79" customFormat="1" x14ac:dyDescent="0.25">
      <c r="A16" s="87">
        <f t="shared" si="0"/>
        <v>45.513888488951977</v>
      </c>
      <c r="B16" s="31">
        <f t="shared" si="1"/>
        <v>11</v>
      </c>
      <c r="C16" s="32" t="s">
        <v>34</v>
      </c>
      <c r="D16" s="32"/>
      <c r="E16" s="32"/>
      <c r="F16" s="32"/>
      <c r="G16" s="25"/>
      <c r="H16" s="88">
        <v>11</v>
      </c>
      <c r="I16" s="89">
        <f t="shared" si="2"/>
        <v>17.928240407459981</v>
      </c>
      <c r="J16" s="88">
        <f t="shared" si="3"/>
        <v>2</v>
      </c>
      <c r="K16" s="88">
        <f t="shared" si="4"/>
        <v>20</v>
      </c>
      <c r="L16" s="88"/>
      <c r="M16" s="90">
        <f t="shared" si="5"/>
        <v>37.928240407459981</v>
      </c>
      <c r="N16" s="90">
        <f t="shared" si="6"/>
        <v>45.513888488951977</v>
      </c>
      <c r="O16" s="74"/>
      <c r="P16" s="74"/>
      <c r="Q16" s="74"/>
      <c r="R16" s="74"/>
      <c r="S16" s="100"/>
      <c r="AA16" s="96"/>
      <c r="AB16" s="96"/>
      <c r="AI16" s="101" t="s">
        <v>40</v>
      </c>
      <c r="AJ16" s="79" t="e">
        <f>AJ11-AJ12*AJ13/AJ14</f>
        <v>#NUM!</v>
      </c>
      <c r="AK16" s="79" t="s">
        <v>41</v>
      </c>
    </row>
    <row r="17" spans="1:20" s="79" customFormat="1" x14ac:dyDescent="0.25">
      <c r="A17" s="91">
        <f t="shared" si="0"/>
        <v>44.117359793332703</v>
      </c>
      <c r="B17" s="37">
        <f t="shared" si="1"/>
        <v>12</v>
      </c>
      <c r="C17" s="38" t="s">
        <v>34</v>
      </c>
      <c r="D17" s="38"/>
      <c r="E17" s="38"/>
      <c r="F17" s="38"/>
      <c r="G17" s="25"/>
      <c r="H17" s="92">
        <v>12</v>
      </c>
      <c r="I17" s="93">
        <f t="shared" si="2"/>
        <v>16.764466494443923</v>
      </c>
      <c r="J17" s="92">
        <f t="shared" si="3"/>
        <v>2</v>
      </c>
      <c r="K17" s="92">
        <f t="shared" si="4"/>
        <v>20</v>
      </c>
      <c r="L17" s="92"/>
      <c r="M17" s="94">
        <f t="shared" si="5"/>
        <v>36.764466494443923</v>
      </c>
      <c r="N17" s="94">
        <f t="shared" si="6"/>
        <v>44.117359793332703</v>
      </c>
      <c r="O17" s="74"/>
      <c r="P17" s="74"/>
      <c r="Q17" s="74"/>
      <c r="R17" s="74"/>
      <c r="S17" s="74"/>
    </row>
    <row r="18" spans="1:20" s="79" customFormat="1" x14ac:dyDescent="0.25">
      <c r="A18" s="87">
        <f t="shared" si="0"/>
        <v>42.832677927483367</v>
      </c>
      <c r="B18" s="31">
        <f t="shared" si="1"/>
        <v>13</v>
      </c>
      <c r="C18" s="32" t="s">
        <v>34</v>
      </c>
      <c r="D18" s="32"/>
      <c r="E18" s="32"/>
      <c r="F18" s="32"/>
      <c r="G18" s="25"/>
      <c r="H18" s="88">
        <v>13</v>
      </c>
      <c r="I18" s="89">
        <f t="shared" si="2"/>
        <v>15.693898272902807</v>
      </c>
      <c r="J18" s="88">
        <f t="shared" si="3"/>
        <v>2</v>
      </c>
      <c r="K18" s="88">
        <f t="shared" si="4"/>
        <v>20</v>
      </c>
      <c r="L18" s="88"/>
      <c r="M18" s="90">
        <f t="shared" si="5"/>
        <v>35.693898272902807</v>
      </c>
      <c r="N18" s="90">
        <f t="shared" si="6"/>
        <v>42.832677927483367</v>
      </c>
      <c r="O18" s="74"/>
      <c r="P18" s="74"/>
      <c r="Q18" s="74"/>
      <c r="R18" s="74"/>
      <c r="S18" s="74"/>
    </row>
    <row r="19" spans="1:20" s="79" customFormat="1" x14ac:dyDescent="0.25">
      <c r="A19" s="91">
        <f t="shared" si="0"/>
        <v>41.643248300376541</v>
      </c>
      <c r="B19" s="37">
        <f t="shared" si="1"/>
        <v>14</v>
      </c>
      <c r="C19" s="38" t="s">
        <v>34</v>
      </c>
      <c r="D19" s="38"/>
      <c r="E19" s="38"/>
      <c r="F19" s="38"/>
      <c r="G19" s="25"/>
      <c r="H19" s="92">
        <v>14</v>
      </c>
      <c r="I19" s="93">
        <f t="shared" si="2"/>
        <v>14.702706916980453</v>
      </c>
      <c r="J19" s="92">
        <f t="shared" si="3"/>
        <v>2</v>
      </c>
      <c r="K19" s="92">
        <f t="shared" si="4"/>
        <v>20</v>
      </c>
      <c r="L19" s="92"/>
      <c r="M19" s="94">
        <f t="shared" si="5"/>
        <v>34.702706916980453</v>
      </c>
      <c r="N19" s="94">
        <f t="shared" si="6"/>
        <v>41.643248300376541</v>
      </c>
      <c r="O19" s="74"/>
      <c r="P19" s="74"/>
      <c r="Q19" s="74"/>
      <c r="R19" s="74"/>
      <c r="S19" s="74"/>
    </row>
    <row r="20" spans="1:20" s="79" customFormat="1" x14ac:dyDescent="0.25">
      <c r="A20" s="87">
        <f t="shared" si="0"/>
        <v>40.535915809406028</v>
      </c>
      <c r="B20" s="31">
        <f t="shared" si="1"/>
        <v>15</v>
      </c>
      <c r="C20" s="32" t="s">
        <v>34</v>
      </c>
      <c r="D20" s="32"/>
      <c r="E20" s="32"/>
      <c r="F20" s="32"/>
      <c r="G20" s="25"/>
      <c r="H20" s="88">
        <v>15</v>
      </c>
      <c r="I20" s="89">
        <f t="shared" si="2"/>
        <v>13.779929841171693</v>
      </c>
      <c r="J20" s="88">
        <f t="shared" si="3"/>
        <v>2</v>
      </c>
      <c r="K20" s="88">
        <f t="shared" si="4"/>
        <v>20</v>
      </c>
      <c r="L20" s="88"/>
      <c r="M20" s="90">
        <f t="shared" si="5"/>
        <v>33.779929841171693</v>
      </c>
      <c r="N20" s="90">
        <f t="shared" si="6"/>
        <v>40.535915809406028</v>
      </c>
      <c r="O20" s="74"/>
      <c r="P20" s="74"/>
      <c r="Q20" s="74"/>
      <c r="R20" s="74"/>
      <c r="S20" s="102"/>
      <c r="T20" s="103"/>
    </row>
    <row r="21" spans="1:20" s="79" customFormat="1" x14ac:dyDescent="0.25">
      <c r="A21" s="91">
        <f t="shared" si="0"/>
        <v>39.500075441632156</v>
      </c>
      <c r="B21" s="37">
        <f t="shared" si="1"/>
        <v>16</v>
      </c>
      <c r="C21" s="38" t="s">
        <v>34</v>
      </c>
      <c r="D21" s="38"/>
      <c r="E21" s="38"/>
      <c r="F21" s="38"/>
      <c r="G21" s="25"/>
      <c r="H21" s="92">
        <v>16</v>
      </c>
      <c r="I21" s="93">
        <f t="shared" si="2"/>
        <v>12.916729534693467</v>
      </c>
      <c r="J21" s="92">
        <f t="shared" si="3"/>
        <v>2</v>
      </c>
      <c r="K21" s="92">
        <f t="shared" si="4"/>
        <v>20</v>
      </c>
      <c r="L21" s="92"/>
      <c r="M21" s="94">
        <f t="shared" si="5"/>
        <v>32.916729534693467</v>
      </c>
      <c r="N21" s="94">
        <f t="shared" si="6"/>
        <v>39.500075441632156</v>
      </c>
      <c r="O21" s="74"/>
      <c r="P21" s="74"/>
      <c r="Q21" s="74"/>
      <c r="R21" s="74"/>
      <c r="S21" s="74"/>
    </row>
    <row r="22" spans="1:20" s="79" customFormat="1" x14ac:dyDescent="0.25">
      <c r="A22" s="87">
        <f t="shared" si="0"/>
        <v>26.527052982307016</v>
      </c>
      <c r="B22" s="31">
        <f t="shared" si="1"/>
        <v>17</v>
      </c>
      <c r="C22" s="32" t="s">
        <v>34</v>
      </c>
      <c r="D22" s="32"/>
      <c r="E22" s="32"/>
      <c r="F22" s="32"/>
      <c r="G22" s="25"/>
      <c r="H22" s="88">
        <v>17</v>
      </c>
      <c r="I22" s="89">
        <f t="shared" si="2"/>
        <v>12.105877485255846</v>
      </c>
      <c r="J22" s="88">
        <f t="shared" si="3"/>
        <v>1</v>
      </c>
      <c r="K22" s="88">
        <f t="shared" si="4"/>
        <v>10</v>
      </c>
      <c r="L22" s="88"/>
      <c r="M22" s="90">
        <f t="shared" si="5"/>
        <v>22.105877485255846</v>
      </c>
      <c r="N22" s="90">
        <f t="shared" si="6"/>
        <v>26.527052982307016</v>
      </c>
      <c r="O22" s="74"/>
      <c r="P22" s="74"/>
      <c r="Q22" s="74"/>
      <c r="R22" s="74"/>
      <c r="S22" s="74"/>
    </row>
    <row r="23" spans="1:20" s="79" customFormat="1" x14ac:dyDescent="0.25">
      <c r="A23" s="91">
        <f t="shared" si="0"/>
        <v>25.609663005441305</v>
      </c>
      <c r="B23" s="37">
        <f t="shared" si="1"/>
        <v>18</v>
      </c>
      <c r="C23" s="38" t="s">
        <v>34</v>
      </c>
      <c r="D23" s="38"/>
      <c r="E23" s="38"/>
      <c r="F23" s="38"/>
      <c r="G23" s="25"/>
      <c r="H23" s="92">
        <v>18</v>
      </c>
      <c r="I23" s="93">
        <f t="shared" si="2"/>
        <v>11.341385837867755</v>
      </c>
      <c r="J23" s="92">
        <f t="shared" si="3"/>
        <v>1</v>
      </c>
      <c r="K23" s="92">
        <f t="shared" si="4"/>
        <v>10</v>
      </c>
      <c r="L23" s="92"/>
      <c r="M23" s="94">
        <f t="shared" si="5"/>
        <v>21.341385837867755</v>
      </c>
      <c r="N23" s="94">
        <f t="shared" si="6"/>
        <v>25.609663005441305</v>
      </c>
      <c r="O23" s="74"/>
      <c r="P23" s="74"/>
      <c r="Q23" s="74"/>
      <c r="R23" s="74"/>
      <c r="S23" s="74"/>
    </row>
    <row r="24" spans="1:20" s="79" customFormat="1" x14ac:dyDescent="0.25">
      <c r="A24" s="87">
        <f t="shared" si="0"/>
        <v>24.741886530586346</v>
      </c>
      <c r="B24" s="31">
        <f t="shared" si="1"/>
        <v>19</v>
      </c>
      <c r="C24" s="32" t="s">
        <v>34</v>
      </c>
      <c r="D24" s="32"/>
      <c r="E24" s="32"/>
      <c r="F24" s="32"/>
      <c r="G24" s="25"/>
      <c r="H24" s="88">
        <v>19</v>
      </c>
      <c r="I24" s="89">
        <f t="shared" si="2"/>
        <v>10.618238775488621</v>
      </c>
      <c r="J24" s="88">
        <f t="shared" si="3"/>
        <v>1</v>
      </c>
      <c r="K24" s="88">
        <f t="shared" si="4"/>
        <v>10</v>
      </c>
      <c r="L24" s="88"/>
      <c r="M24" s="90">
        <f t="shared" si="5"/>
        <v>20.618238775488621</v>
      </c>
      <c r="N24" s="90">
        <f t="shared" si="6"/>
        <v>24.741886530586346</v>
      </c>
      <c r="O24" s="74"/>
      <c r="P24" s="74"/>
      <c r="Q24" s="74"/>
      <c r="R24" s="74"/>
      <c r="S24" s="102"/>
      <c r="T24" s="103"/>
    </row>
    <row r="25" spans="1:20" s="79" customFormat="1" x14ac:dyDescent="0.25">
      <c r="A25" s="91">
        <f t="shared" si="0"/>
        <v>23.918631457705484</v>
      </c>
      <c r="B25" s="37">
        <f t="shared" si="1"/>
        <v>20</v>
      </c>
      <c r="C25" s="38" t="s">
        <v>34</v>
      </c>
      <c r="D25" s="38"/>
      <c r="E25" s="38"/>
      <c r="F25" s="38"/>
      <c r="G25" s="25"/>
      <c r="H25" s="92">
        <v>20</v>
      </c>
      <c r="I25" s="93">
        <f t="shared" si="2"/>
        <v>9.932192881421237</v>
      </c>
      <c r="J25" s="92">
        <f t="shared" si="3"/>
        <v>1</v>
      </c>
      <c r="K25" s="92">
        <f t="shared" si="4"/>
        <v>10</v>
      </c>
      <c r="L25" s="92"/>
      <c r="M25" s="94">
        <f t="shared" si="5"/>
        <v>19.932192881421237</v>
      </c>
      <c r="N25" s="94">
        <f t="shared" si="6"/>
        <v>23.918631457705484</v>
      </c>
      <c r="O25" s="74"/>
      <c r="P25" s="74"/>
      <c r="Q25" s="74"/>
      <c r="R25" s="74"/>
      <c r="S25" s="74"/>
    </row>
    <row r="26" spans="1:20" s="79" customFormat="1" x14ac:dyDescent="0.25">
      <c r="A26" s="87">
        <f t="shared" si="0"/>
        <v>23.135551512485126</v>
      </c>
      <c r="B26" s="31">
        <f t="shared" si="1"/>
        <v>21</v>
      </c>
      <c r="C26" s="32" t="s">
        <v>34</v>
      </c>
      <c r="D26" s="32"/>
      <c r="E26" s="32"/>
      <c r="F26" s="32"/>
      <c r="G26" s="25"/>
      <c r="H26" s="88">
        <v>21</v>
      </c>
      <c r="I26" s="89">
        <f t="shared" si="2"/>
        <v>9.279626260404271</v>
      </c>
      <c r="J26" s="88">
        <f t="shared" si="3"/>
        <v>1</v>
      </c>
      <c r="K26" s="88">
        <f t="shared" si="4"/>
        <v>10</v>
      </c>
      <c r="L26" s="88"/>
      <c r="M26" s="90">
        <f t="shared" si="5"/>
        <v>19.279626260404271</v>
      </c>
      <c r="N26" s="90">
        <f t="shared" si="6"/>
        <v>23.135551512485126</v>
      </c>
      <c r="O26" s="74"/>
      <c r="P26" s="74"/>
      <c r="Q26" s="74"/>
      <c r="R26" s="74"/>
      <c r="S26" s="74"/>
    </row>
    <row r="27" spans="1:20" s="79" customFormat="1" x14ac:dyDescent="0.25">
      <c r="A27" s="91">
        <f t="shared" si="0"/>
        <v>22.388907349360029</v>
      </c>
      <c r="B27" s="37">
        <f t="shared" si="1"/>
        <v>22</v>
      </c>
      <c r="C27" s="38" t="s">
        <v>10</v>
      </c>
      <c r="D27" s="38"/>
      <c r="E27" s="38"/>
      <c r="F27" s="38"/>
      <c r="G27" s="25"/>
      <c r="H27" s="92">
        <v>22</v>
      </c>
      <c r="I27" s="93">
        <f t="shared" si="2"/>
        <v>8.6574227911333566</v>
      </c>
      <c r="J27" s="92">
        <f t="shared" si="3"/>
        <v>1</v>
      </c>
      <c r="K27" s="92">
        <f t="shared" si="4"/>
        <v>10</v>
      </c>
      <c r="L27" s="92"/>
      <c r="M27" s="94">
        <f t="shared" si="5"/>
        <v>18.657422791133357</v>
      </c>
      <c r="N27" s="94">
        <f t="shared" si="6"/>
        <v>22.388907349360029</v>
      </c>
      <c r="O27" s="74"/>
      <c r="P27" s="74"/>
      <c r="Q27" s="74"/>
      <c r="R27" s="74"/>
      <c r="S27" s="74"/>
    </row>
    <row r="28" spans="1:20" s="79" customFormat="1" x14ac:dyDescent="0.25">
      <c r="A28" s="87">
        <f t="shared" si="0"/>
        <v>21.675458555090021</v>
      </c>
      <c r="B28" s="31">
        <f t="shared" si="1"/>
        <v>23</v>
      </c>
      <c r="C28" s="32" t="s">
        <v>34</v>
      </c>
      <c r="D28" s="32"/>
      <c r="E28" s="32"/>
      <c r="F28" s="32"/>
      <c r="G28" s="25"/>
      <c r="H28" s="88">
        <v>23</v>
      </c>
      <c r="I28" s="89">
        <f t="shared" si="2"/>
        <v>8.0628821292416859</v>
      </c>
      <c r="J28" s="88">
        <f t="shared" si="3"/>
        <v>1</v>
      </c>
      <c r="K28" s="88">
        <f t="shared" si="4"/>
        <v>10</v>
      </c>
      <c r="L28" s="88"/>
      <c r="M28" s="90">
        <f t="shared" si="5"/>
        <v>18.062882129241686</v>
      </c>
      <c r="N28" s="90">
        <f t="shared" si="6"/>
        <v>21.675458555090021</v>
      </c>
      <c r="O28" s="74"/>
      <c r="P28" s="74"/>
      <c r="Q28" s="74"/>
      <c r="R28" s="74"/>
      <c r="S28" s="102"/>
      <c r="T28" s="103"/>
    </row>
    <row r="29" spans="1:20" s="79" customFormat="1" x14ac:dyDescent="0.25">
      <c r="A29" s="91">
        <f t="shared" si="0"/>
        <v>20.992378653740758</v>
      </c>
      <c r="B29" s="37">
        <f t="shared" si="1"/>
        <v>24</v>
      </c>
      <c r="C29" s="38" t="s">
        <v>34</v>
      </c>
      <c r="D29" s="38"/>
      <c r="E29" s="38"/>
      <c r="F29" s="38"/>
      <c r="G29" s="74"/>
      <c r="H29" s="92">
        <v>24</v>
      </c>
      <c r="I29" s="93">
        <f t="shared" si="2"/>
        <v>7.4936488781172983</v>
      </c>
      <c r="J29" s="92">
        <f t="shared" si="3"/>
        <v>1</v>
      </c>
      <c r="K29" s="92">
        <f t="shared" si="4"/>
        <v>10</v>
      </c>
      <c r="L29" s="92"/>
      <c r="M29" s="94">
        <f t="shared" si="5"/>
        <v>17.493648878117298</v>
      </c>
      <c r="N29" s="94">
        <f t="shared" si="6"/>
        <v>20.992378653740758</v>
      </c>
      <c r="O29" s="74"/>
      <c r="P29" s="74"/>
      <c r="Q29" s="74"/>
      <c r="R29" s="74"/>
      <c r="S29" s="74"/>
    </row>
    <row r="30" spans="1:20" s="79" customFormat="1" x14ac:dyDescent="0.25">
      <c r="A30" s="87">
        <f t="shared" si="0"/>
        <v>20.337187473778808</v>
      </c>
      <c r="B30" s="31">
        <f t="shared" si="1"/>
        <v>25</v>
      </c>
      <c r="C30" s="32" t="s">
        <v>34</v>
      </c>
      <c r="D30" s="32"/>
      <c r="E30" s="32"/>
      <c r="F30" s="32"/>
      <c r="G30" s="74"/>
      <c r="H30" s="88">
        <v>25</v>
      </c>
      <c r="I30" s="89">
        <f t="shared" si="2"/>
        <v>6.9476562281490075</v>
      </c>
      <c r="J30" s="88">
        <f t="shared" si="3"/>
        <v>1</v>
      </c>
      <c r="K30" s="88">
        <f t="shared" si="4"/>
        <v>10</v>
      </c>
      <c r="L30" s="88"/>
      <c r="M30" s="90">
        <f t="shared" si="5"/>
        <v>16.947656228149008</v>
      </c>
      <c r="N30" s="90">
        <f t="shared" si="6"/>
        <v>20.337187473778808</v>
      </c>
      <c r="O30" s="74"/>
      <c r="P30" s="74"/>
      <c r="Q30" s="74"/>
      <c r="R30" s="74"/>
      <c r="S30" s="74"/>
    </row>
    <row r="31" spans="1:20" s="79" customFormat="1" x14ac:dyDescent="0.25">
      <c r="A31" s="91">
        <f t="shared" si="0"/>
        <v>19.707696787891411</v>
      </c>
      <c r="B31" s="37">
        <f t="shared" si="1"/>
        <v>26</v>
      </c>
      <c r="C31" s="38" t="s">
        <v>34</v>
      </c>
      <c r="D31" s="38"/>
      <c r="E31" s="38"/>
      <c r="F31" s="38"/>
      <c r="G31" s="74"/>
      <c r="H31" s="92">
        <v>26</v>
      </c>
      <c r="I31" s="93">
        <f t="shared" si="2"/>
        <v>6.4230806565761753</v>
      </c>
      <c r="J31" s="92">
        <f t="shared" si="3"/>
        <v>1</v>
      </c>
      <c r="K31" s="92">
        <f t="shared" si="4"/>
        <v>10</v>
      </c>
      <c r="L31" s="92"/>
      <c r="M31" s="94">
        <f t="shared" si="5"/>
        <v>16.423080656576175</v>
      </c>
      <c r="N31" s="94">
        <f t="shared" si="6"/>
        <v>19.707696787891411</v>
      </c>
      <c r="O31" s="74"/>
      <c r="P31" s="74"/>
      <c r="Q31" s="74"/>
      <c r="R31" s="74"/>
      <c r="S31" s="74"/>
    </row>
    <row r="32" spans="1:20" s="79" customFormat="1" x14ac:dyDescent="0.25">
      <c r="A32" s="87">
        <f t="shared" si="0"/>
        <v>19.101966217549894</v>
      </c>
      <c r="B32" s="31">
        <f t="shared" si="1"/>
        <v>27</v>
      </c>
      <c r="C32" s="32" t="s">
        <v>34</v>
      </c>
      <c r="D32" s="32"/>
      <c r="E32" s="32"/>
      <c r="F32" s="32"/>
      <c r="G32" s="74"/>
      <c r="H32" s="88">
        <v>27</v>
      </c>
      <c r="I32" s="89">
        <f t="shared" si="2"/>
        <v>5.9183051812915792</v>
      </c>
      <c r="J32" s="88">
        <f t="shared" si="3"/>
        <v>1</v>
      </c>
      <c r="K32" s="88">
        <f t="shared" si="4"/>
        <v>10</v>
      </c>
      <c r="L32" s="88"/>
      <c r="M32" s="90">
        <f t="shared" si="5"/>
        <v>15.918305181291579</v>
      </c>
      <c r="N32" s="90">
        <f t="shared" si="6"/>
        <v>19.101966217549894</v>
      </c>
      <c r="O32" s="74"/>
      <c r="P32" s="74"/>
      <c r="Q32" s="74"/>
      <c r="R32" s="74"/>
      <c r="S32" s="102"/>
      <c r="T32" s="103"/>
    </row>
    <row r="33" spans="1:20" s="79" customFormat="1" x14ac:dyDescent="0.25">
      <c r="A33" s="91">
        <f t="shared" si="0"/>
        <v>18.518267160784578</v>
      </c>
      <c r="B33" s="37">
        <f t="shared" si="1"/>
        <v>28</v>
      </c>
      <c r="C33" s="38" t="s">
        <v>34</v>
      </c>
      <c r="D33" s="38"/>
      <c r="E33" s="38"/>
      <c r="F33" s="38"/>
      <c r="G33" s="74"/>
      <c r="H33" s="92">
        <v>28</v>
      </c>
      <c r="I33" s="93">
        <f t="shared" si="2"/>
        <v>5.4318893006538147</v>
      </c>
      <c r="J33" s="92">
        <f t="shared" si="3"/>
        <v>1</v>
      </c>
      <c r="K33" s="92">
        <f t="shared" si="4"/>
        <v>10</v>
      </c>
      <c r="L33" s="92"/>
      <c r="M33" s="94">
        <f t="shared" si="5"/>
        <v>15.431889300653815</v>
      </c>
      <c r="N33" s="94">
        <f t="shared" si="6"/>
        <v>18.518267160784578</v>
      </c>
      <c r="O33" s="74"/>
      <c r="P33" s="74"/>
      <c r="Q33" s="74"/>
      <c r="R33" s="74"/>
      <c r="S33" s="74"/>
    </row>
    <row r="34" spans="1:20" s="79" customFormat="1" x14ac:dyDescent="0.25">
      <c r="A34" s="87">
        <f t="shared" si="0"/>
        <v>17.95505305270958</v>
      </c>
      <c r="B34" s="31">
        <f t="shared" si="1"/>
        <v>29</v>
      </c>
      <c r="C34" s="32" t="s">
        <v>34</v>
      </c>
      <c r="D34" s="32"/>
      <c r="E34" s="32"/>
      <c r="F34" s="32"/>
      <c r="G34" s="74"/>
      <c r="H34" s="88">
        <v>29</v>
      </c>
      <c r="I34" s="89">
        <f t="shared" si="2"/>
        <v>4.962544210591318</v>
      </c>
      <c r="J34" s="88">
        <f t="shared" si="3"/>
        <v>1</v>
      </c>
      <c r="K34" s="88">
        <f t="shared" si="4"/>
        <v>10</v>
      </c>
      <c r="L34" s="88"/>
      <c r="M34" s="90">
        <f t="shared" si="5"/>
        <v>14.962544210591318</v>
      </c>
      <c r="N34" s="90">
        <f t="shared" si="6"/>
        <v>17.95505305270958</v>
      </c>
      <c r="O34" s="74"/>
      <c r="P34" s="74"/>
      <c r="Q34" s="74"/>
      <c r="R34" s="74"/>
      <c r="S34" s="74"/>
    </row>
    <row r="35" spans="1:20" s="79" customFormat="1" x14ac:dyDescent="0.25">
      <c r="A35" s="91">
        <f t="shared" si="0"/>
        <v>17.410934669814083</v>
      </c>
      <c r="B35" s="37">
        <f t="shared" si="1"/>
        <v>30</v>
      </c>
      <c r="C35" s="38" t="s">
        <v>34</v>
      </c>
      <c r="D35" s="38"/>
      <c r="E35" s="38"/>
      <c r="F35" s="38"/>
      <c r="G35" s="74"/>
      <c r="H35" s="92">
        <v>30</v>
      </c>
      <c r="I35" s="93">
        <f t="shared" si="2"/>
        <v>4.5091122248450688</v>
      </c>
      <c r="J35" s="92">
        <f t="shared" si="3"/>
        <v>1</v>
      </c>
      <c r="K35" s="92">
        <f t="shared" si="4"/>
        <v>10</v>
      </c>
      <c r="L35" s="92"/>
      <c r="M35" s="94">
        <f t="shared" si="5"/>
        <v>14.509112224845069</v>
      </c>
      <c r="N35" s="94">
        <f t="shared" si="6"/>
        <v>17.410934669814083</v>
      </c>
      <c r="O35" s="74"/>
      <c r="P35" s="74"/>
      <c r="Q35" s="74"/>
      <c r="R35" s="74"/>
      <c r="S35" s="74"/>
    </row>
    <row r="36" spans="1:20" s="79" customFormat="1" x14ac:dyDescent="0.25">
      <c r="A36" s="87">
        <f t="shared" si="0"/>
        <v>16.884659485109943</v>
      </c>
      <c r="B36" s="31">
        <f t="shared" si="1"/>
        <v>31</v>
      </c>
      <c r="C36" s="32" t="s">
        <v>34</v>
      </c>
      <c r="D36" s="32"/>
      <c r="E36" s="32"/>
      <c r="F36" s="32"/>
      <c r="G36" s="74"/>
      <c r="H36" s="88">
        <v>31</v>
      </c>
      <c r="I36" s="89">
        <f t="shared" si="2"/>
        <v>4.0705495709249533</v>
      </c>
      <c r="J36" s="88">
        <f t="shared" si="3"/>
        <v>1</v>
      </c>
      <c r="K36" s="88">
        <f t="shared" si="4"/>
        <v>10</v>
      </c>
      <c r="L36" s="88"/>
      <c r="M36" s="90">
        <f t="shared" si="5"/>
        <v>14.070549570924953</v>
      </c>
      <c r="N36" s="90">
        <f t="shared" si="6"/>
        <v>16.884659485109943</v>
      </c>
      <c r="O36" s="74"/>
      <c r="P36" s="74"/>
      <c r="Q36" s="74"/>
      <c r="R36" s="74"/>
      <c r="S36" s="102"/>
      <c r="T36" s="103"/>
    </row>
    <row r="37" spans="1:20" s="79" customFormat="1" x14ac:dyDescent="0.25">
      <c r="A37" s="91">
        <f t="shared" si="0"/>
        <v>16.3750943020402</v>
      </c>
      <c r="B37" s="37">
        <f t="shared" si="1"/>
        <v>32</v>
      </c>
      <c r="C37" s="38" t="s">
        <v>34</v>
      </c>
      <c r="D37" s="38"/>
      <c r="E37" s="38"/>
      <c r="F37" s="38"/>
      <c r="G37" s="74"/>
      <c r="H37" s="92">
        <v>32</v>
      </c>
      <c r="I37" s="93">
        <f t="shared" si="2"/>
        <v>3.6459119183668349</v>
      </c>
      <c r="J37" s="92">
        <f t="shared" si="3"/>
        <v>1</v>
      </c>
      <c r="K37" s="92">
        <f t="shared" si="4"/>
        <v>10</v>
      </c>
      <c r="L37" s="92"/>
      <c r="M37" s="94">
        <f t="shared" si="5"/>
        <v>13.645911918366835</v>
      </c>
      <c r="N37" s="94">
        <f t="shared" si="6"/>
        <v>16.3750943020402</v>
      </c>
      <c r="O37" s="74"/>
      <c r="P37" s="74"/>
      <c r="Q37" s="74"/>
      <c r="R37" s="74"/>
      <c r="S37" s="74"/>
    </row>
    <row r="38" spans="1:20" s="79" customFormat="1" x14ac:dyDescent="0.25">
      <c r="A38" s="87">
        <f t="shared" si="0"/>
        <v>3.8812105614686088</v>
      </c>
      <c r="B38" s="31">
        <f t="shared" si="1"/>
        <v>33</v>
      </c>
      <c r="C38" s="32" t="s">
        <v>34</v>
      </c>
      <c r="D38" s="32"/>
      <c r="E38" s="32"/>
      <c r="F38" s="32"/>
      <c r="G38" s="74"/>
      <c r="H38" s="88">
        <v>33</v>
      </c>
      <c r="I38" s="89">
        <f t="shared" si="2"/>
        <v>3.2343421345571741</v>
      </c>
      <c r="J38" s="88">
        <f t="shared" si="3"/>
        <v>0</v>
      </c>
      <c r="K38" s="88">
        <f t="shared" si="4"/>
        <v>0</v>
      </c>
      <c r="L38" s="88"/>
      <c r="M38" s="90">
        <f t="shared" si="5"/>
        <v>3.2343421345571741</v>
      </c>
      <c r="N38" s="90">
        <f t="shared" si="6"/>
        <v>3.8812105614686088</v>
      </c>
      <c r="O38" s="74"/>
      <c r="P38" s="74"/>
      <c r="Q38" s="74"/>
      <c r="R38" s="74"/>
      <c r="S38" s="102"/>
      <c r="T38" s="103"/>
    </row>
    <row r="39" spans="1:20" s="79" customFormat="1" x14ac:dyDescent="0.25">
      <c r="A39" s="91">
        <f t="shared" si="0"/>
        <v>3.4020718427150567</v>
      </c>
      <c r="B39" s="37">
        <f t="shared" si="1"/>
        <v>34</v>
      </c>
      <c r="C39" s="38" t="s">
        <v>34</v>
      </c>
      <c r="D39" s="38"/>
      <c r="E39" s="38"/>
      <c r="F39" s="38"/>
      <c r="G39" s="74"/>
      <c r="H39" s="92">
        <v>34</v>
      </c>
      <c r="I39" s="93">
        <f t="shared" si="2"/>
        <v>2.8350598689292141</v>
      </c>
      <c r="J39" s="92">
        <f t="shared" si="3"/>
        <v>0</v>
      </c>
      <c r="K39" s="92">
        <f t="shared" si="4"/>
        <v>0</v>
      </c>
      <c r="L39" s="92"/>
      <c r="M39" s="94">
        <f t="shared" si="5"/>
        <v>2.8350598689292141</v>
      </c>
      <c r="N39" s="94">
        <f t="shared" si="6"/>
        <v>3.4020718427150567</v>
      </c>
      <c r="O39" s="74"/>
      <c r="P39" s="74"/>
      <c r="Q39" s="74"/>
      <c r="R39" s="74"/>
      <c r="S39" s="74"/>
    </row>
    <row r="40" spans="1:20" s="79" customFormat="1" x14ac:dyDescent="0.25">
      <c r="A40" s="87">
        <f t="shared" si="0"/>
        <v>2.9368231768579105</v>
      </c>
      <c r="B40" s="31">
        <f t="shared" si="1"/>
        <v>35</v>
      </c>
      <c r="C40" s="32" t="s">
        <v>34</v>
      </c>
      <c r="D40" s="32"/>
      <c r="E40" s="32"/>
      <c r="F40" s="32"/>
      <c r="G40" s="74"/>
      <c r="H40" s="88">
        <v>35</v>
      </c>
      <c r="I40" s="89">
        <f t="shared" si="2"/>
        <v>2.4473526473815923</v>
      </c>
      <c r="J40" s="88">
        <f t="shared" si="3"/>
        <v>0</v>
      </c>
      <c r="K40" s="88">
        <f t="shared" si="4"/>
        <v>0</v>
      </c>
      <c r="L40" s="88"/>
      <c r="M40" s="90">
        <f t="shared" si="5"/>
        <v>2.4473526473815923</v>
      </c>
      <c r="N40" s="90">
        <f t="shared" si="6"/>
        <v>2.9368231768579105</v>
      </c>
      <c r="O40" s="74"/>
      <c r="P40" s="74"/>
      <c r="Q40" s="74"/>
      <c r="R40" s="74"/>
      <c r="S40" s="102"/>
      <c r="T40" s="103"/>
    </row>
    <row r="41" spans="1:20" s="79" customFormat="1" x14ac:dyDescent="0.25">
      <c r="A41" s="91">
        <f t="shared" si="0"/>
        <v>2.484681865849339</v>
      </c>
      <c r="B41" s="37">
        <f t="shared" si="1"/>
        <v>36</v>
      </c>
      <c r="C41" s="38" t="s">
        <v>34</v>
      </c>
      <c r="D41" s="38"/>
      <c r="E41" s="38"/>
      <c r="F41" s="38"/>
      <c r="G41" s="74"/>
      <c r="H41" s="92">
        <v>36</v>
      </c>
      <c r="I41" s="93">
        <f t="shared" si="2"/>
        <v>2.0705682215411159</v>
      </c>
      <c r="J41" s="92">
        <f t="shared" si="3"/>
        <v>0</v>
      </c>
      <c r="K41" s="92">
        <f t="shared" si="4"/>
        <v>0</v>
      </c>
      <c r="L41" s="92"/>
      <c r="M41" s="94">
        <f t="shared" si="5"/>
        <v>2.0705682215411159</v>
      </c>
      <c r="N41" s="94">
        <f t="shared" si="6"/>
        <v>2.484681865849339</v>
      </c>
      <c r="O41" s="74"/>
      <c r="P41" s="74"/>
      <c r="Q41" s="74"/>
      <c r="R41" s="74"/>
      <c r="S41" s="74"/>
    </row>
    <row r="42" spans="1:20" s="79" customFormat="1" x14ac:dyDescent="0.25">
      <c r="A42" s="87">
        <f t="shared" si="0"/>
        <v>2.0449295597940789</v>
      </c>
      <c r="B42" s="31">
        <f t="shared" si="1"/>
        <v>37</v>
      </c>
      <c r="C42" s="32" t="s">
        <v>34</v>
      </c>
      <c r="D42" s="32"/>
      <c r="E42" s="32"/>
      <c r="F42" s="32"/>
      <c r="G42" s="74"/>
      <c r="H42" s="88">
        <v>37</v>
      </c>
      <c r="I42" s="89">
        <f t="shared" si="2"/>
        <v>1.7041079664950658</v>
      </c>
      <c r="J42" s="88">
        <f t="shared" si="3"/>
        <v>0</v>
      </c>
      <c r="K42" s="88">
        <f t="shared" si="4"/>
        <v>0</v>
      </c>
      <c r="L42" s="88"/>
      <c r="M42" s="90">
        <f t="shared" si="5"/>
        <v>1.7041079664950658</v>
      </c>
      <c r="N42" s="90">
        <f t="shared" si="6"/>
        <v>2.0449295597940789</v>
      </c>
      <c r="O42" s="74"/>
      <c r="P42" s="74"/>
      <c r="Q42" s="74"/>
      <c r="R42" s="74"/>
      <c r="S42" s="102"/>
      <c r="T42" s="103"/>
    </row>
    <row r="43" spans="1:20" s="79" customFormat="1" x14ac:dyDescent="0.25">
      <c r="A43" s="91">
        <f t="shared" si="0"/>
        <v>1.6169053909943869</v>
      </c>
      <c r="B43" s="37">
        <f t="shared" si="1"/>
        <v>38</v>
      </c>
      <c r="C43" s="38" t="s">
        <v>34</v>
      </c>
      <c r="D43" s="38"/>
      <c r="E43" s="38"/>
      <c r="F43" s="38"/>
      <c r="G43" s="74"/>
      <c r="H43" s="92">
        <v>38</v>
      </c>
      <c r="I43" s="93">
        <f t="shared" si="2"/>
        <v>1.3474211591619891</v>
      </c>
      <c r="J43" s="92">
        <f t="shared" si="3"/>
        <v>0</v>
      </c>
      <c r="K43" s="92">
        <f t="shared" si="4"/>
        <v>0</v>
      </c>
      <c r="L43" s="92"/>
      <c r="M43" s="94">
        <f t="shared" si="5"/>
        <v>1.3474211591619891</v>
      </c>
      <c r="N43" s="94">
        <f t="shared" si="6"/>
        <v>1.6169053909943869</v>
      </c>
      <c r="O43" s="74"/>
      <c r="P43" s="74"/>
      <c r="Q43" s="74"/>
      <c r="R43" s="74"/>
      <c r="S43" s="74"/>
    </row>
    <row r="44" spans="1:20" s="79" customFormat="1" x14ac:dyDescent="0.25">
      <c r="A44" s="87">
        <f t="shared" si="0"/>
        <v>1.2</v>
      </c>
      <c r="B44" s="31">
        <f t="shared" si="1"/>
        <v>39</v>
      </c>
      <c r="C44" s="32" t="s">
        <v>34</v>
      </c>
      <c r="D44" s="32"/>
      <c r="E44" s="32"/>
      <c r="F44" s="32"/>
      <c r="G44" s="74"/>
      <c r="H44" s="88">
        <v>39</v>
      </c>
      <c r="I44" s="89">
        <f t="shared" si="2"/>
        <v>1</v>
      </c>
      <c r="J44" s="88">
        <f t="shared" si="3"/>
        <v>0</v>
      </c>
      <c r="K44" s="88">
        <f t="shared" si="4"/>
        <v>0</v>
      </c>
      <c r="L44" s="88"/>
      <c r="M44" s="90">
        <f t="shared" si="5"/>
        <v>1</v>
      </c>
      <c r="N44" s="90">
        <f t="shared" si="6"/>
        <v>1.2</v>
      </c>
      <c r="O44" s="74"/>
      <c r="P44" s="74"/>
      <c r="Q44" s="74"/>
      <c r="R44" s="74"/>
      <c r="S44" s="102"/>
      <c r="T44" s="103"/>
    </row>
    <row r="45" spans="1:20" s="79" customFormat="1" x14ac:dyDescent="0.25">
      <c r="A45" s="91">
        <f t="shared" si="0"/>
        <v>0</v>
      </c>
      <c r="B45" s="37" t="str">
        <f t="shared" si="1"/>
        <v/>
      </c>
      <c r="C45" s="38"/>
      <c r="D45" s="38"/>
      <c r="E45" s="38"/>
      <c r="F45" s="38"/>
      <c r="G45" s="74"/>
      <c r="H45" s="92">
        <v>40</v>
      </c>
      <c r="I45" s="93" t="str">
        <f t="shared" si="2"/>
        <v/>
      </c>
      <c r="J45" s="92">
        <f t="shared" si="3"/>
        <v>0</v>
      </c>
      <c r="K45" s="92">
        <f t="shared" si="4"/>
        <v>0</v>
      </c>
      <c r="L45" s="92"/>
      <c r="M45" s="94">
        <f t="shared" si="5"/>
        <v>0</v>
      </c>
      <c r="N45" s="94">
        <f t="shared" si="6"/>
        <v>0</v>
      </c>
      <c r="O45" s="74"/>
      <c r="P45" s="74"/>
      <c r="Q45" s="74"/>
      <c r="R45" s="74"/>
      <c r="S45" s="74"/>
    </row>
    <row r="46" spans="1:20" s="79" customFormat="1" x14ac:dyDescent="0.25">
      <c r="A46" s="87">
        <f t="shared" si="0"/>
        <v>0</v>
      </c>
      <c r="B46" s="31" t="str">
        <f t="shared" si="1"/>
        <v/>
      </c>
      <c r="C46" s="32"/>
      <c r="D46" s="32"/>
      <c r="E46" s="32"/>
      <c r="F46" s="32"/>
      <c r="G46" s="74"/>
      <c r="H46" s="88">
        <v>41</v>
      </c>
      <c r="I46" s="89" t="str">
        <f t="shared" si="2"/>
        <v/>
      </c>
      <c r="J46" s="88">
        <f t="shared" si="3"/>
        <v>0</v>
      </c>
      <c r="K46" s="88">
        <f t="shared" si="4"/>
        <v>0</v>
      </c>
      <c r="L46" s="88"/>
      <c r="M46" s="90">
        <f t="shared" si="5"/>
        <v>0</v>
      </c>
      <c r="N46" s="90">
        <f t="shared" si="6"/>
        <v>0</v>
      </c>
      <c r="O46" s="74"/>
      <c r="P46" s="74"/>
      <c r="Q46" s="74"/>
      <c r="R46" s="74"/>
      <c r="S46" s="102"/>
      <c r="T46" s="103"/>
    </row>
    <row r="47" spans="1:20" s="79" customFormat="1" x14ac:dyDescent="0.25">
      <c r="A47" s="91">
        <f t="shared" si="0"/>
        <v>0</v>
      </c>
      <c r="B47" s="37" t="str">
        <f t="shared" si="1"/>
        <v/>
      </c>
      <c r="C47" s="38"/>
      <c r="D47" s="38"/>
      <c r="E47" s="38"/>
      <c r="F47" s="38"/>
      <c r="G47" s="74"/>
      <c r="H47" s="92">
        <v>42</v>
      </c>
      <c r="I47" s="93" t="str">
        <f t="shared" si="2"/>
        <v/>
      </c>
      <c r="J47" s="92">
        <f t="shared" si="3"/>
        <v>0</v>
      </c>
      <c r="K47" s="92">
        <f t="shared" si="4"/>
        <v>0</v>
      </c>
      <c r="L47" s="92"/>
      <c r="M47" s="94">
        <f t="shared" si="5"/>
        <v>0</v>
      </c>
      <c r="N47" s="94">
        <f t="shared" si="6"/>
        <v>0</v>
      </c>
      <c r="O47" s="74"/>
      <c r="P47" s="74"/>
      <c r="Q47" s="74"/>
      <c r="R47" s="74"/>
      <c r="S47" s="74"/>
    </row>
    <row r="48" spans="1:20" s="79" customFormat="1" x14ac:dyDescent="0.25">
      <c r="A48" s="87">
        <f t="shared" si="0"/>
        <v>0</v>
      </c>
      <c r="B48" s="31" t="str">
        <f t="shared" si="1"/>
        <v/>
      </c>
      <c r="C48" s="32"/>
      <c r="D48" s="32"/>
      <c r="E48" s="32"/>
      <c r="F48" s="32"/>
      <c r="G48" s="74"/>
      <c r="H48" s="88">
        <v>43</v>
      </c>
      <c r="I48" s="89" t="str">
        <f t="shared" si="2"/>
        <v/>
      </c>
      <c r="J48" s="88">
        <f t="shared" si="3"/>
        <v>0</v>
      </c>
      <c r="K48" s="88">
        <f t="shared" si="4"/>
        <v>0</v>
      </c>
      <c r="L48" s="88"/>
      <c r="M48" s="90">
        <f t="shared" si="5"/>
        <v>0</v>
      </c>
      <c r="N48" s="90">
        <f t="shared" si="6"/>
        <v>0</v>
      </c>
      <c r="O48" s="74"/>
      <c r="P48" s="74"/>
      <c r="Q48" s="74"/>
      <c r="R48" s="74"/>
      <c r="S48" s="102"/>
      <c r="T48" s="103"/>
    </row>
    <row r="49" spans="1:20" s="79" customFormat="1" x14ac:dyDescent="0.25">
      <c r="A49" s="91">
        <f t="shared" si="0"/>
        <v>0</v>
      </c>
      <c r="B49" s="37" t="str">
        <f t="shared" si="1"/>
        <v/>
      </c>
      <c r="C49" s="38"/>
      <c r="D49" s="38"/>
      <c r="E49" s="38"/>
      <c r="F49" s="38"/>
      <c r="G49" s="74"/>
      <c r="H49" s="92">
        <v>44</v>
      </c>
      <c r="I49" s="93" t="str">
        <f t="shared" si="2"/>
        <v/>
      </c>
      <c r="J49" s="92">
        <f t="shared" si="3"/>
        <v>0</v>
      </c>
      <c r="K49" s="92">
        <f t="shared" si="4"/>
        <v>0</v>
      </c>
      <c r="L49" s="92"/>
      <c r="M49" s="94">
        <f t="shared" si="5"/>
        <v>0</v>
      </c>
      <c r="N49" s="94">
        <f t="shared" si="6"/>
        <v>0</v>
      </c>
      <c r="O49" s="74"/>
      <c r="P49" s="74"/>
      <c r="Q49" s="74"/>
      <c r="R49" s="74"/>
      <c r="S49" s="74"/>
    </row>
    <row r="50" spans="1:20" s="79" customFormat="1" x14ac:dyDescent="0.25">
      <c r="A50" s="87">
        <f t="shared" si="0"/>
        <v>0</v>
      </c>
      <c r="B50" s="31" t="str">
        <f t="shared" si="1"/>
        <v/>
      </c>
      <c r="C50" s="32"/>
      <c r="D50" s="32"/>
      <c r="E50" s="32"/>
      <c r="F50" s="32"/>
      <c r="G50" s="74"/>
      <c r="H50" s="88">
        <v>45</v>
      </c>
      <c r="I50" s="89" t="str">
        <f t="shared" si="2"/>
        <v/>
      </c>
      <c r="J50" s="88">
        <f t="shared" si="3"/>
        <v>0</v>
      </c>
      <c r="K50" s="88">
        <f t="shared" si="4"/>
        <v>0</v>
      </c>
      <c r="L50" s="88"/>
      <c r="M50" s="90">
        <f t="shared" si="5"/>
        <v>0</v>
      </c>
      <c r="N50" s="90">
        <f t="shared" si="6"/>
        <v>0</v>
      </c>
      <c r="O50" s="74"/>
      <c r="P50" s="74"/>
      <c r="Q50" s="74"/>
      <c r="R50" s="74"/>
      <c r="S50" s="102"/>
      <c r="T50" s="103"/>
    </row>
    <row r="51" spans="1:20" s="79" customFormat="1" x14ac:dyDescent="0.25">
      <c r="A51" s="91">
        <f t="shared" si="0"/>
        <v>0</v>
      </c>
      <c r="B51" s="37" t="str">
        <f t="shared" si="1"/>
        <v/>
      </c>
      <c r="C51" s="38"/>
      <c r="D51" s="38"/>
      <c r="E51" s="38"/>
      <c r="F51" s="38"/>
      <c r="G51" s="74"/>
      <c r="H51" s="92">
        <v>46</v>
      </c>
      <c r="I51" s="93" t="str">
        <f t="shared" si="2"/>
        <v/>
      </c>
      <c r="J51" s="92">
        <f t="shared" si="3"/>
        <v>0</v>
      </c>
      <c r="K51" s="92">
        <f t="shared" si="4"/>
        <v>0</v>
      </c>
      <c r="L51" s="92"/>
      <c r="M51" s="94">
        <f t="shared" si="5"/>
        <v>0</v>
      </c>
      <c r="N51" s="94">
        <f t="shared" si="6"/>
        <v>0</v>
      </c>
      <c r="O51" s="74"/>
      <c r="P51" s="74"/>
      <c r="Q51" s="74"/>
      <c r="R51" s="74"/>
      <c r="S51" s="74"/>
    </row>
    <row r="52" spans="1:20" s="79" customFormat="1" x14ac:dyDescent="0.25">
      <c r="A52" s="87">
        <f t="shared" si="0"/>
        <v>0</v>
      </c>
      <c r="B52" s="31" t="str">
        <f t="shared" ref="B52" si="7">IF(H52&gt;$H$2,"",(ROW()-5))</f>
        <v/>
      </c>
      <c r="C52" s="32"/>
      <c r="D52" s="32"/>
      <c r="E52" s="32"/>
      <c r="F52" s="32"/>
      <c r="G52" s="74"/>
      <c r="H52" s="88">
        <v>47</v>
      </c>
      <c r="I52" s="89" t="str">
        <f t="shared" si="2"/>
        <v/>
      </c>
      <c r="J52" s="88">
        <f t="shared" si="3"/>
        <v>0</v>
      </c>
      <c r="K52" s="88">
        <f t="shared" si="4"/>
        <v>0</v>
      </c>
      <c r="L52" s="88"/>
      <c r="M52" s="90">
        <f t="shared" si="5"/>
        <v>0</v>
      </c>
      <c r="N52" s="90">
        <f t="shared" si="6"/>
        <v>0</v>
      </c>
      <c r="O52" s="74"/>
      <c r="P52" s="74"/>
      <c r="Q52" s="74"/>
      <c r="R52" s="74"/>
      <c r="S52" s="102"/>
      <c r="T52" s="103"/>
    </row>
    <row r="53" spans="1:20" s="79" customFormat="1" x14ac:dyDescent="0.25">
      <c r="A53" s="91">
        <f t="shared" si="0"/>
        <v>0</v>
      </c>
      <c r="B53" s="37" t="str">
        <f t="shared" si="1"/>
        <v/>
      </c>
      <c r="C53" s="38"/>
      <c r="D53" s="38"/>
      <c r="E53" s="38"/>
      <c r="F53" s="38"/>
      <c r="G53" s="74"/>
      <c r="H53" s="92">
        <v>48</v>
      </c>
      <c r="I53" s="93" t="str">
        <f t="shared" si="2"/>
        <v/>
      </c>
      <c r="J53" s="92">
        <f t="shared" si="3"/>
        <v>0</v>
      </c>
      <c r="K53" s="92">
        <f t="shared" si="4"/>
        <v>0</v>
      </c>
      <c r="L53" s="92"/>
      <c r="M53" s="94">
        <f t="shared" si="5"/>
        <v>0</v>
      </c>
      <c r="N53" s="94">
        <f t="shared" si="6"/>
        <v>0</v>
      </c>
      <c r="O53" s="74"/>
      <c r="P53" s="74"/>
      <c r="Q53" s="74"/>
      <c r="R53" s="74"/>
      <c r="S53" s="74"/>
    </row>
    <row r="54" spans="1:20" s="79" customFormat="1" x14ac:dyDescent="0.25">
      <c r="A54" s="87">
        <v>7.7596321117077389</v>
      </c>
      <c r="B54" s="31" t="s">
        <v>66</v>
      </c>
      <c r="C54" s="207"/>
      <c r="D54" s="32"/>
      <c r="E54" s="32"/>
      <c r="F54" s="32"/>
      <c r="G54" s="74"/>
      <c r="H54" s="88">
        <v>49</v>
      </c>
      <c r="I54" s="89" t="str">
        <f t="shared" si="2"/>
        <v/>
      </c>
      <c r="J54" s="88">
        <f t="shared" si="3"/>
        <v>0</v>
      </c>
      <c r="K54" s="88">
        <f t="shared" si="4"/>
        <v>0</v>
      </c>
      <c r="L54" s="88"/>
      <c r="M54" s="90">
        <f t="shared" si="5"/>
        <v>0</v>
      </c>
      <c r="N54" s="90">
        <f t="shared" si="6"/>
        <v>0</v>
      </c>
      <c r="O54" s="74"/>
      <c r="P54" s="74"/>
      <c r="Q54" s="74"/>
      <c r="R54" s="74"/>
      <c r="S54" s="102"/>
      <c r="T54" s="103"/>
    </row>
    <row r="55" spans="1:20" s="79" customFormat="1" x14ac:dyDescent="0.25">
      <c r="A55" s="91">
        <f t="shared" si="0"/>
        <v>0</v>
      </c>
      <c r="B55" s="37" t="str">
        <f t="shared" si="1"/>
        <v/>
      </c>
      <c r="C55" s="38"/>
      <c r="D55" s="38"/>
      <c r="E55" s="38"/>
      <c r="F55" s="38"/>
      <c r="G55" s="74"/>
      <c r="H55" s="92">
        <v>50</v>
      </c>
      <c r="I55" s="93" t="str">
        <f t="shared" si="2"/>
        <v/>
      </c>
      <c r="J55" s="92">
        <f t="shared" si="3"/>
        <v>0</v>
      </c>
      <c r="K55" s="92">
        <f t="shared" si="4"/>
        <v>0</v>
      </c>
      <c r="L55" s="92"/>
      <c r="M55" s="94">
        <f t="shared" si="5"/>
        <v>0</v>
      </c>
      <c r="N55" s="94">
        <f t="shared" si="6"/>
        <v>0</v>
      </c>
      <c r="O55" s="74"/>
      <c r="P55" s="74"/>
      <c r="Q55" s="74"/>
      <c r="R55" s="74"/>
      <c r="S55" s="74"/>
    </row>
    <row r="56" spans="1:20" s="79" customFormat="1" x14ac:dyDescent="0.25">
      <c r="A56" s="87">
        <f t="shared" si="0"/>
        <v>0</v>
      </c>
      <c r="B56" s="31" t="str">
        <f t="shared" si="1"/>
        <v/>
      </c>
      <c r="C56" s="32"/>
      <c r="D56" s="32"/>
      <c r="E56" s="32"/>
      <c r="F56" s="32"/>
      <c r="G56" s="74"/>
      <c r="H56" s="88">
        <v>51</v>
      </c>
      <c r="I56" s="89" t="str">
        <f t="shared" si="2"/>
        <v/>
      </c>
      <c r="J56" s="88">
        <f t="shared" si="3"/>
        <v>0</v>
      </c>
      <c r="K56" s="88">
        <f t="shared" si="4"/>
        <v>0</v>
      </c>
      <c r="L56" s="88"/>
      <c r="M56" s="90">
        <f t="shared" si="5"/>
        <v>0</v>
      </c>
      <c r="N56" s="90">
        <f t="shared" si="6"/>
        <v>0</v>
      </c>
      <c r="O56" s="74"/>
      <c r="P56" s="74"/>
      <c r="Q56" s="74"/>
      <c r="R56" s="74"/>
      <c r="S56" s="102"/>
      <c r="T56" s="103"/>
    </row>
    <row r="57" spans="1:20" s="79" customFormat="1" x14ac:dyDescent="0.25">
      <c r="A57" s="91">
        <f t="shared" si="0"/>
        <v>0</v>
      </c>
      <c r="B57" s="37" t="str">
        <f t="shared" si="1"/>
        <v/>
      </c>
      <c r="C57" s="38"/>
      <c r="D57" s="38"/>
      <c r="E57" s="38"/>
      <c r="F57" s="38"/>
      <c r="G57" s="74"/>
      <c r="H57" s="92">
        <v>52</v>
      </c>
      <c r="I57" s="93" t="str">
        <f t="shared" si="2"/>
        <v/>
      </c>
      <c r="J57" s="92">
        <f t="shared" si="3"/>
        <v>0</v>
      </c>
      <c r="K57" s="92">
        <f t="shared" si="4"/>
        <v>0</v>
      </c>
      <c r="L57" s="92"/>
      <c r="M57" s="94">
        <f t="shared" si="5"/>
        <v>0</v>
      </c>
      <c r="N57" s="94">
        <f t="shared" si="6"/>
        <v>0</v>
      </c>
      <c r="O57" s="74"/>
      <c r="P57" s="74"/>
      <c r="Q57" s="74"/>
      <c r="R57" s="74"/>
      <c r="S57" s="74"/>
    </row>
    <row r="58" spans="1:20" s="79" customFormat="1" x14ac:dyDescent="0.25">
      <c r="A58" s="87">
        <f t="shared" si="0"/>
        <v>0</v>
      </c>
      <c r="B58" s="31" t="str">
        <f t="shared" si="1"/>
        <v/>
      </c>
      <c r="C58" s="32"/>
      <c r="D58" s="32"/>
      <c r="E58" s="32"/>
      <c r="F58" s="32"/>
      <c r="G58" s="74"/>
      <c r="H58" s="88">
        <v>53</v>
      </c>
      <c r="I58" s="89" t="str">
        <f t="shared" si="2"/>
        <v/>
      </c>
      <c r="J58" s="88">
        <f t="shared" si="3"/>
        <v>0</v>
      </c>
      <c r="K58" s="88">
        <f t="shared" si="4"/>
        <v>0</v>
      </c>
      <c r="L58" s="88"/>
      <c r="M58" s="90">
        <f t="shared" si="5"/>
        <v>0</v>
      </c>
      <c r="N58" s="90">
        <f t="shared" si="6"/>
        <v>0</v>
      </c>
      <c r="O58" s="74"/>
      <c r="P58" s="74"/>
      <c r="Q58" s="74"/>
      <c r="R58" s="74"/>
      <c r="S58" s="102"/>
      <c r="T58" s="103"/>
    </row>
    <row r="59" spans="1:20" s="79" customFormat="1" x14ac:dyDescent="0.25">
      <c r="A59" s="91">
        <f t="shared" si="0"/>
        <v>0</v>
      </c>
      <c r="B59" s="37" t="str">
        <f t="shared" si="1"/>
        <v/>
      </c>
      <c r="C59" s="38"/>
      <c r="D59" s="38"/>
      <c r="E59" s="38"/>
      <c r="F59" s="38"/>
      <c r="G59" s="74"/>
      <c r="H59" s="92">
        <v>54</v>
      </c>
      <c r="I59" s="93" t="str">
        <f t="shared" si="2"/>
        <v/>
      </c>
      <c r="J59" s="92">
        <f t="shared" si="3"/>
        <v>0</v>
      </c>
      <c r="K59" s="92">
        <f t="shared" si="4"/>
        <v>0</v>
      </c>
      <c r="L59" s="92"/>
      <c r="M59" s="94">
        <f t="shared" si="5"/>
        <v>0</v>
      </c>
      <c r="N59" s="94">
        <f t="shared" si="6"/>
        <v>0</v>
      </c>
      <c r="O59" s="74"/>
      <c r="P59" s="74"/>
      <c r="Q59" s="74"/>
      <c r="R59" s="74"/>
      <c r="S59" s="74"/>
    </row>
    <row r="60" spans="1:20" s="79" customFormat="1" x14ac:dyDescent="0.25">
      <c r="A60" s="87">
        <f t="shared" si="0"/>
        <v>0</v>
      </c>
      <c r="B60" s="31" t="str">
        <f t="shared" si="1"/>
        <v/>
      </c>
      <c r="C60" s="32"/>
      <c r="D60" s="32"/>
      <c r="E60" s="32"/>
      <c r="F60" s="32"/>
      <c r="G60" s="74"/>
      <c r="H60" s="88">
        <v>55</v>
      </c>
      <c r="I60" s="89" t="str">
        <f t="shared" si="2"/>
        <v/>
      </c>
      <c r="J60" s="88">
        <f t="shared" si="3"/>
        <v>0</v>
      </c>
      <c r="K60" s="88">
        <f t="shared" si="4"/>
        <v>0</v>
      </c>
      <c r="L60" s="88"/>
      <c r="M60" s="90">
        <f t="shared" si="5"/>
        <v>0</v>
      </c>
      <c r="N60" s="90">
        <f t="shared" si="6"/>
        <v>0</v>
      </c>
      <c r="O60" s="74"/>
      <c r="P60" s="74"/>
      <c r="Q60" s="74"/>
      <c r="R60" s="74"/>
      <c r="S60" s="102"/>
      <c r="T60" s="103"/>
    </row>
    <row r="61" spans="1:20" s="79" customFormat="1" x14ac:dyDescent="0.25">
      <c r="A61" s="91">
        <f t="shared" si="0"/>
        <v>0</v>
      </c>
      <c r="B61" s="37" t="str">
        <f t="shared" si="1"/>
        <v/>
      </c>
      <c r="C61" s="38"/>
      <c r="D61" s="38"/>
      <c r="E61" s="38"/>
      <c r="F61" s="38"/>
      <c r="G61" s="74"/>
      <c r="H61" s="92">
        <v>56</v>
      </c>
      <c r="I61" s="93" t="str">
        <f t="shared" si="2"/>
        <v/>
      </c>
      <c r="J61" s="92">
        <f t="shared" si="3"/>
        <v>0</v>
      </c>
      <c r="K61" s="92">
        <f t="shared" si="4"/>
        <v>0</v>
      </c>
      <c r="L61" s="92"/>
      <c r="M61" s="94">
        <f t="shared" si="5"/>
        <v>0</v>
      </c>
      <c r="N61" s="94">
        <f t="shared" si="6"/>
        <v>0</v>
      </c>
      <c r="O61" s="74"/>
      <c r="P61" s="74"/>
      <c r="Q61" s="74"/>
      <c r="R61" s="74"/>
      <c r="S61" s="74"/>
    </row>
    <row r="62" spans="1:20" s="79" customFormat="1" x14ac:dyDescent="0.25">
      <c r="A62" s="87">
        <f t="shared" si="0"/>
        <v>0</v>
      </c>
      <c r="B62" s="31" t="str">
        <f t="shared" si="1"/>
        <v/>
      </c>
      <c r="C62" s="32"/>
      <c r="D62" s="32"/>
      <c r="E62" s="32"/>
      <c r="F62" s="32"/>
      <c r="G62" s="74"/>
      <c r="H62" s="88">
        <v>57</v>
      </c>
      <c r="I62" s="89" t="str">
        <f t="shared" si="2"/>
        <v/>
      </c>
      <c r="J62" s="88">
        <f t="shared" si="3"/>
        <v>0</v>
      </c>
      <c r="K62" s="88">
        <f t="shared" si="4"/>
        <v>0</v>
      </c>
      <c r="L62" s="88"/>
      <c r="M62" s="90">
        <f t="shared" si="5"/>
        <v>0</v>
      </c>
      <c r="N62" s="90">
        <f t="shared" si="6"/>
        <v>0</v>
      </c>
      <c r="O62" s="74"/>
      <c r="P62" s="74"/>
      <c r="Q62" s="74"/>
      <c r="R62" s="74"/>
      <c r="S62" s="102"/>
      <c r="T62" s="103"/>
    </row>
    <row r="63" spans="1:20" s="79" customFormat="1" x14ac:dyDescent="0.25">
      <c r="A63" s="91">
        <f t="shared" si="0"/>
        <v>0</v>
      </c>
      <c r="B63" s="37" t="str">
        <f t="shared" si="1"/>
        <v/>
      </c>
      <c r="C63" s="38"/>
      <c r="D63" s="38"/>
      <c r="E63" s="38"/>
      <c r="F63" s="38"/>
      <c r="G63" s="74"/>
      <c r="H63" s="92">
        <v>58</v>
      </c>
      <c r="I63" s="93" t="str">
        <f t="shared" si="2"/>
        <v/>
      </c>
      <c r="J63" s="92">
        <f t="shared" si="3"/>
        <v>0</v>
      </c>
      <c r="K63" s="92">
        <f t="shared" si="4"/>
        <v>0</v>
      </c>
      <c r="L63" s="92"/>
      <c r="M63" s="94">
        <f t="shared" si="5"/>
        <v>0</v>
      </c>
      <c r="N63" s="94">
        <f t="shared" si="6"/>
        <v>0</v>
      </c>
      <c r="O63" s="74"/>
      <c r="P63" s="74"/>
      <c r="Q63" s="74"/>
      <c r="R63" s="74"/>
      <c r="S63" s="74"/>
    </row>
    <row r="64" spans="1:20" s="79" customFormat="1" x14ac:dyDescent="0.25">
      <c r="A64" s="87">
        <f t="shared" si="0"/>
        <v>0</v>
      </c>
      <c r="B64" s="31" t="str">
        <f t="shared" si="1"/>
        <v/>
      </c>
      <c r="C64" s="32"/>
      <c r="D64" s="32"/>
      <c r="E64" s="32"/>
      <c r="F64" s="32"/>
      <c r="G64" s="74"/>
      <c r="H64" s="88">
        <v>59</v>
      </c>
      <c r="I64" s="89" t="str">
        <f t="shared" si="2"/>
        <v/>
      </c>
      <c r="J64" s="88">
        <f t="shared" si="3"/>
        <v>0</v>
      </c>
      <c r="K64" s="88">
        <f t="shared" si="4"/>
        <v>0</v>
      </c>
      <c r="L64" s="88"/>
      <c r="M64" s="90">
        <f t="shared" si="5"/>
        <v>0</v>
      </c>
      <c r="N64" s="90">
        <f t="shared" si="6"/>
        <v>0</v>
      </c>
      <c r="O64" s="74"/>
      <c r="P64" s="74"/>
      <c r="Q64" s="74"/>
      <c r="R64" s="74"/>
      <c r="S64" s="102"/>
      <c r="T64" s="103"/>
    </row>
    <row r="65" spans="1:20" s="79" customFormat="1" x14ac:dyDescent="0.25">
      <c r="A65" s="91">
        <f t="shared" si="0"/>
        <v>0</v>
      </c>
      <c r="B65" s="37" t="str">
        <f t="shared" si="1"/>
        <v/>
      </c>
      <c r="C65" s="38"/>
      <c r="D65" s="38"/>
      <c r="E65" s="38"/>
      <c r="F65" s="38"/>
      <c r="G65" s="74"/>
      <c r="H65" s="92">
        <v>60</v>
      </c>
      <c r="I65" s="93" t="str">
        <f t="shared" si="2"/>
        <v/>
      </c>
      <c r="J65" s="92">
        <f t="shared" si="3"/>
        <v>0</v>
      </c>
      <c r="K65" s="92">
        <f t="shared" si="4"/>
        <v>0</v>
      </c>
      <c r="L65" s="92"/>
      <c r="M65" s="94">
        <f t="shared" si="5"/>
        <v>0</v>
      </c>
      <c r="N65" s="94">
        <f t="shared" si="6"/>
        <v>0</v>
      </c>
      <c r="O65" s="74"/>
      <c r="P65" s="74"/>
      <c r="Q65" s="74"/>
      <c r="R65" s="74"/>
      <c r="S65" s="74"/>
    </row>
    <row r="66" spans="1:20" s="79" customFormat="1" x14ac:dyDescent="0.25">
      <c r="A66" s="87">
        <f t="shared" si="0"/>
        <v>0</v>
      </c>
      <c r="B66" s="31" t="str">
        <f t="shared" si="1"/>
        <v/>
      </c>
      <c r="C66" s="32"/>
      <c r="D66" s="32"/>
      <c r="E66" s="32"/>
      <c r="F66" s="32"/>
      <c r="G66" s="74"/>
      <c r="H66" s="88">
        <v>61</v>
      </c>
      <c r="I66" s="89" t="str">
        <f t="shared" si="2"/>
        <v/>
      </c>
      <c r="J66" s="88">
        <f t="shared" si="3"/>
        <v>0</v>
      </c>
      <c r="K66" s="88">
        <f t="shared" si="4"/>
        <v>0</v>
      </c>
      <c r="L66" s="88"/>
      <c r="M66" s="90">
        <f t="shared" si="5"/>
        <v>0</v>
      </c>
      <c r="N66" s="90">
        <f t="shared" si="6"/>
        <v>0</v>
      </c>
      <c r="O66" s="74"/>
      <c r="P66" s="74"/>
      <c r="Q66" s="74"/>
      <c r="R66" s="74"/>
      <c r="S66" s="102"/>
      <c r="T66" s="103"/>
    </row>
    <row r="67" spans="1:20" s="79" customFormat="1" x14ac:dyDescent="0.25">
      <c r="A67" s="91">
        <f t="shared" si="0"/>
        <v>0</v>
      </c>
      <c r="B67" s="37" t="str">
        <f t="shared" si="1"/>
        <v/>
      </c>
      <c r="C67" s="38"/>
      <c r="D67" s="38"/>
      <c r="E67" s="38"/>
      <c r="F67" s="38"/>
      <c r="G67" s="74"/>
      <c r="H67" s="92">
        <v>62</v>
      </c>
      <c r="I67" s="93" t="str">
        <f t="shared" si="2"/>
        <v/>
      </c>
      <c r="J67" s="92">
        <f t="shared" si="3"/>
        <v>0</v>
      </c>
      <c r="K67" s="92">
        <f t="shared" si="4"/>
        <v>0</v>
      </c>
      <c r="L67" s="92"/>
      <c r="M67" s="94">
        <f t="shared" si="5"/>
        <v>0</v>
      </c>
      <c r="N67" s="94">
        <f t="shared" si="6"/>
        <v>0</v>
      </c>
      <c r="O67" s="74"/>
      <c r="P67" s="74"/>
      <c r="Q67" s="74"/>
      <c r="R67" s="74"/>
      <c r="S67" s="74"/>
    </row>
    <row r="68" spans="1:20" s="79" customFormat="1" x14ac:dyDescent="0.25">
      <c r="A68" s="87">
        <f t="shared" si="0"/>
        <v>0</v>
      </c>
      <c r="B68" s="31" t="str">
        <f t="shared" si="1"/>
        <v/>
      </c>
      <c r="C68" s="32"/>
      <c r="D68" s="32"/>
      <c r="E68" s="32"/>
      <c r="F68" s="32"/>
      <c r="G68" s="74"/>
      <c r="H68" s="88">
        <v>63</v>
      </c>
      <c r="I68" s="89" t="str">
        <f t="shared" si="2"/>
        <v/>
      </c>
      <c r="J68" s="88">
        <f t="shared" si="3"/>
        <v>0</v>
      </c>
      <c r="K68" s="88">
        <f t="shared" si="4"/>
        <v>0</v>
      </c>
      <c r="L68" s="88"/>
      <c r="M68" s="90">
        <f t="shared" si="5"/>
        <v>0</v>
      </c>
      <c r="N68" s="90">
        <f t="shared" si="6"/>
        <v>0</v>
      </c>
      <c r="O68" s="74"/>
      <c r="P68" s="74"/>
      <c r="Q68" s="74"/>
      <c r="R68" s="74"/>
      <c r="S68" s="102"/>
      <c r="T68" s="103"/>
    </row>
    <row r="69" spans="1:20" s="79" customFormat="1" x14ac:dyDescent="0.25">
      <c r="A69" s="91">
        <f t="shared" si="0"/>
        <v>0</v>
      </c>
      <c r="B69" s="37" t="str">
        <f t="shared" si="1"/>
        <v/>
      </c>
      <c r="C69" s="38"/>
      <c r="D69" s="38"/>
      <c r="E69" s="38"/>
      <c r="F69" s="38"/>
      <c r="G69" s="74"/>
      <c r="H69" s="92">
        <v>64</v>
      </c>
      <c r="I69" s="93" t="str">
        <f t="shared" si="2"/>
        <v/>
      </c>
      <c r="J69" s="92">
        <f t="shared" si="3"/>
        <v>0</v>
      </c>
      <c r="K69" s="92">
        <f t="shared" si="4"/>
        <v>0</v>
      </c>
      <c r="L69" s="92"/>
      <c r="M69" s="94">
        <f t="shared" si="5"/>
        <v>0</v>
      </c>
      <c r="N69" s="94">
        <f t="shared" si="6"/>
        <v>0</v>
      </c>
      <c r="O69" s="74"/>
      <c r="P69" s="74"/>
      <c r="Q69" s="74"/>
      <c r="R69" s="74"/>
      <c r="S69" s="74"/>
    </row>
    <row r="70" spans="1:20" s="79" customFormat="1" x14ac:dyDescent="0.25">
      <c r="A70" s="87">
        <f t="shared" ref="A70:A133" si="8">N70</f>
        <v>0</v>
      </c>
      <c r="B70" s="31" t="str">
        <f t="shared" ref="B70:B133" si="9">IF(H70&gt;$H$2,"",(ROW()-5))</f>
        <v/>
      </c>
      <c r="C70" s="32"/>
      <c r="D70" s="32"/>
      <c r="E70" s="32"/>
      <c r="F70" s="32"/>
      <c r="G70" s="74"/>
      <c r="H70" s="88">
        <v>65</v>
      </c>
      <c r="I70" s="89" t="str">
        <f t="shared" ref="I70:I133" si="10">IF(H70&lt;$H$2+1,($I$2-($I$2-1)*(LOG(H70)/LOG($H$2))),"")</f>
        <v/>
      </c>
      <c r="J70" s="88">
        <f t="shared" ref="J70:J133" si="11">INT(LOG($H$2,2))-ROUNDUP(LOG(H70,2),0)+IF(OR($H$2=1,$H$2=2,$H$2=4,$H$2=8,$H$2=16,$H$2=32,$H$2=64,$H$2=128,$H$2=256),0,1)</f>
        <v>-1</v>
      </c>
      <c r="K70" s="88">
        <f t="shared" ref="K70:K133" si="12">J70*$J$2</f>
        <v>-10</v>
      </c>
      <c r="L70" s="88"/>
      <c r="M70" s="90">
        <f t="shared" ref="M70:M133" si="13">IF(I70&lt;&gt;"",K70+I70+L70,0)</f>
        <v>0</v>
      </c>
      <c r="N70" s="90">
        <f t="shared" ref="N70:N133" si="14">IF(I70&lt;&gt;"",M70*L$2,0)</f>
        <v>0</v>
      </c>
      <c r="O70" s="74"/>
      <c r="P70" s="74"/>
      <c r="Q70" s="74"/>
      <c r="R70" s="74"/>
      <c r="S70" s="102"/>
      <c r="T70" s="103"/>
    </row>
    <row r="71" spans="1:20" s="79" customFormat="1" x14ac:dyDescent="0.25">
      <c r="A71" s="91">
        <f t="shared" si="8"/>
        <v>0</v>
      </c>
      <c r="B71" s="37" t="str">
        <f t="shared" si="9"/>
        <v/>
      </c>
      <c r="C71" s="38"/>
      <c r="D71" s="38"/>
      <c r="E71" s="38"/>
      <c r="F71" s="38"/>
      <c r="G71" s="74"/>
      <c r="H71" s="92">
        <v>66</v>
      </c>
      <c r="I71" s="93" t="str">
        <f t="shared" si="10"/>
        <v/>
      </c>
      <c r="J71" s="92">
        <f t="shared" si="11"/>
        <v>-1</v>
      </c>
      <c r="K71" s="92">
        <f t="shared" si="12"/>
        <v>-10</v>
      </c>
      <c r="L71" s="92"/>
      <c r="M71" s="94">
        <f t="shared" si="13"/>
        <v>0</v>
      </c>
      <c r="N71" s="94">
        <f t="shared" si="14"/>
        <v>0</v>
      </c>
      <c r="O71" s="74"/>
      <c r="P71" s="74"/>
      <c r="Q71" s="74"/>
      <c r="R71" s="74"/>
      <c r="S71" s="74"/>
    </row>
    <row r="72" spans="1:20" s="79" customFormat="1" x14ac:dyDescent="0.25">
      <c r="A72" s="87">
        <f t="shared" si="8"/>
        <v>0</v>
      </c>
      <c r="B72" s="31" t="str">
        <f t="shared" si="9"/>
        <v/>
      </c>
      <c r="C72" s="32"/>
      <c r="D72" s="32"/>
      <c r="E72" s="32"/>
      <c r="F72" s="32"/>
      <c r="G72" s="74"/>
      <c r="H72" s="88">
        <v>67</v>
      </c>
      <c r="I72" s="89" t="str">
        <f t="shared" si="10"/>
        <v/>
      </c>
      <c r="J72" s="88">
        <f t="shared" si="11"/>
        <v>-1</v>
      </c>
      <c r="K72" s="88">
        <f t="shared" si="12"/>
        <v>-10</v>
      </c>
      <c r="L72" s="88"/>
      <c r="M72" s="90">
        <f t="shared" si="13"/>
        <v>0</v>
      </c>
      <c r="N72" s="90">
        <f t="shared" si="14"/>
        <v>0</v>
      </c>
      <c r="O72" s="74"/>
      <c r="P72" s="74"/>
      <c r="Q72" s="74"/>
      <c r="R72" s="74"/>
      <c r="S72" s="102"/>
      <c r="T72" s="103"/>
    </row>
    <row r="73" spans="1:20" s="79" customFormat="1" x14ac:dyDescent="0.25">
      <c r="A73" s="91">
        <f t="shared" si="8"/>
        <v>0</v>
      </c>
      <c r="B73" s="37" t="str">
        <f t="shared" si="9"/>
        <v/>
      </c>
      <c r="C73" s="38"/>
      <c r="D73" s="38"/>
      <c r="E73" s="38"/>
      <c r="F73" s="38"/>
      <c r="G73" s="74"/>
      <c r="H73" s="92">
        <v>68</v>
      </c>
      <c r="I73" s="93" t="str">
        <f t="shared" si="10"/>
        <v/>
      </c>
      <c r="J73" s="92">
        <f t="shared" si="11"/>
        <v>-1</v>
      </c>
      <c r="K73" s="92">
        <f t="shared" si="12"/>
        <v>-10</v>
      </c>
      <c r="L73" s="92"/>
      <c r="M73" s="94">
        <f t="shared" si="13"/>
        <v>0</v>
      </c>
      <c r="N73" s="94">
        <f t="shared" si="14"/>
        <v>0</v>
      </c>
      <c r="O73" s="74"/>
      <c r="P73" s="74"/>
      <c r="Q73" s="74"/>
      <c r="R73" s="74"/>
      <c r="S73" s="74"/>
    </row>
    <row r="74" spans="1:20" s="79" customFormat="1" x14ac:dyDescent="0.25">
      <c r="A74" s="87">
        <f t="shared" si="8"/>
        <v>0</v>
      </c>
      <c r="B74" s="31" t="str">
        <f t="shared" si="9"/>
        <v/>
      </c>
      <c r="C74" s="32"/>
      <c r="D74" s="32"/>
      <c r="E74" s="32"/>
      <c r="F74" s="32"/>
      <c r="G74" s="74"/>
      <c r="H74" s="88">
        <v>69</v>
      </c>
      <c r="I74" s="89" t="str">
        <f t="shared" si="10"/>
        <v/>
      </c>
      <c r="J74" s="88">
        <f t="shared" si="11"/>
        <v>-1</v>
      </c>
      <c r="K74" s="88">
        <f t="shared" si="12"/>
        <v>-10</v>
      </c>
      <c r="L74" s="88"/>
      <c r="M74" s="90">
        <f t="shared" si="13"/>
        <v>0</v>
      </c>
      <c r="N74" s="90">
        <f t="shared" si="14"/>
        <v>0</v>
      </c>
      <c r="O74" s="74"/>
      <c r="P74" s="74"/>
      <c r="Q74" s="74"/>
      <c r="R74" s="74"/>
      <c r="S74" s="102"/>
      <c r="T74" s="103"/>
    </row>
    <row r="75" spans="1:20" s="79" customFormat="1" x14ac:dyDescent="0.25">
      <c r="A75" s="91">
        <f t="shared" si="8"/>
        <v>0</v>
      </c>
      <c r="B75" s="37" t="str">
        <f t="shared" si="9"/>
        <v/>
      </c>
      <c r="C75" s="38"/>
      <c r="D75" s="38"/>
      <c r="E75" s="38"/>
      <c r="F75" s="38"/>
      <c r="G75" s="74"/>
      <c r="H75" s="92">
        <v>70</v>
      </c>
      <c r="I75" s="93" t="str">
        <f t="shared" si="10"/>
        <v/>
      </c>
      <c r="J75" s="92">
        <f t="shared" si="11"/>
        <v>-1</v>
      </c>
      <c r="K75" s="92">
        <f t="shared" si="12"/>
        <v>-10</v>
      </c>
      <c r="L75" s="92"/>
      <c r="M75" s="94">
        <f t="shared" si="13"/>
        <v>0</v>
      </c>
      <c r="N75" s="94">
        <f t="shared" si="14"/>
        <v>0</v>
      </c>
      <c r="O75" s="74"/>
      <c r="P75" s="74"/>
      <c r="Q75" s="74"/>
      <c r="R75" s="74"/>
      <c r="S75" s="74"/>
    </row>
    <row r="76" spans="1:20" s="79" customFormat="1" x14ac:dyDescent="0.25">
      <c r="A76" s="87">
        <f t="shared" si="8"/>
        <v>0</v>
      </c>
      <c r="B76" s="31" t="str">
        <f t="shared" si="9"/>
        <v/>
      </c>
      <c r="C76" s="32"/>
      <c r="D76" s="32"/>
      <c r="E76" s="32"/>
      <c r="F76" s="32"/>
      <c r="G76" s="74"/>
      <c r="H76" s="88">
        <v>71</v>
      </c>
      <c r="I76" s="89" t="str">
        <f t="shared" si="10"/>
        <v/>
      </c>
      <c r="J76" s="88">
        <f t="shared" si="11"/>
        <v>-1</v>
      </c>
      <c r="K76" s="88">
        <f t="shared" si="12"/>
        <v>-10</v>
      </c>
      <c r="L76" s="88"/>
      <c r="M76" s="90">
        <f t="shared" si="13"/>
        <v>0</v>
      </c>
      <c r="N76" s="90">
        <f t="shared" si="14"/>
        <v>0</v>
      </c>
      <c r="O76" s="74"/>
      <c r="P76" s="74"/>
      <c r="Q76" s="74"/>
      <c r="R76" s="74"/>
      <c r="S76" s="102"/>
      <c r="T76" s="103"/>
    </row>
    <row r="77" spans="1:20" s="79" customFormat="1" x14ac:dyDescent="0.25">
      <c r="A77" s="91">
        <f t="shared" si="8"/>
        <v>0</v>
      </c>
      <c r="B77" s="37" t="str">
        <f t="shared" si="9"/>
        <v/>
      </c>
      <c r="C77" s="38"/>
      <c r="D77" s="38"/>
      <c r="E77" s="38"/>
      <c r="F77" s="38"/>
      <c r="G77" s="74"/>
      <c r="H77" s="92">
        <v>72</v>
      </c>
      <c r="I77" s="93" t="str">
        <f t="shared" si="10"/>
        <v/>
      </c>
      <c r="J77" s="92">
        <f t="shared" si="11"/>
        <v>-1</v>
      </c>
      <c r="K77" s="92">
        <f t="shared" si="12"/>
        <v>-10</v>
      </c>
      <c r="L77" s="92"/>
      <c r="M77" s="94">
        <f t="shared" si="13"/>
        <v>0</v>
      </c>
      <c r="N77" s="94">
        <f t="shared" si="14"/>
        <v>0</v>
      </c>
      <c r="O77" s="74"/>
      <c r="P77" s="74"/>
      <c r="Q77" s="74"/>
      <c r="R77" s="74"/>
      <c r="S77" s="74"/>
    </row>
    <row r="78" spans="1:20" s="79" customFormat="1" x14ac:dyDescent="0.25">
      <c r="A78" s="91">
        <f t="shared" si="8"/>
        <v>0</v>
      </c>
      <c r="B78" s="31" t="str">
        <f t="shared" si="9"/>
        <v/>
      </c>
      <c r="C78" s="32"/>
      <c r="D78" s="32"/>
      <c r="E78" s="32"/>
      <c r="F78" s="32"/>
      <c r="G78" s="74"/>
      <c r="H78" s="88">
        <v>73</v>
      </c>
      <c r="I78" s="89" t="str">
        <f t="shared" si="10"/>
        <v/>
      </c>
      <c r="J78" s="88">
        <f t="shared" si="11"/>
        <v>-1</v>
      </c>
      <c r="K78" s="88">
        <f t="shared" si="12"/>
        <v>-10</v>
      </c>
      <c r="L78" s="88"/>
      <c r="M78" s="90">
        <f t="shared" si="13"/>
        <v>0</v>
      </c>
      <c r="N78" s="90">
        <f t="shared" si="14"/>
        <v>0</v>
      </c>
      <c r="O78" s="74"/>
      <c r="P78" s="74"/>
      <c r="Q78" s="74"/>
      <c r="R78" s="74"/>
      <c r="S78" s="102"/>
      <c r="T78" s="103"/>
    </row>
    <row r="79" spans="1:20" s="79" customFormat="1" x14ac:dyDescent="0.25">
      <c r="A79" s="91">
        <f t="shared" si="8"/>
        <v>0</v>
      </c>
      <c r="B79" s="37" t="str">
        <f t="shared" si="9"/>
        <v/>
      </c>
      <c r="C79" s="38"/>
      <c r="D79" s="38"/>
      <c r="E79" s="38"/>
      <c r="F79" s="38"/>
      <c r="G79" s="74"/>
      <c r="H79" s="92">
        <v>74</v>
      </c>
      <c r="I79" s="93" t="str">
        <f t="shared" si="10"/>
        <v/>
      </c>
      <c r="J79" s="92">
        <f t="shared" si="11"/>
        <v>-1</v>
      </c>
      <c r="K79" s="92">
        <f t="shared" si="12"/>
        <v>-10</v>
      </c>
      <c r="L79" s="92"/>
      <c r="M79" s="94">
        <f t="shared" si="13"/>
        <v>0</v>
      </c>
      <c r="N79" s="94">
        <f t="shared" si="14"/>
        <v>0</v>
      </c>
      <c r="O79" s="74"/>
      <c r="P79" s="74"/>
      <c r="Q79" s="74"/>
      <c r="R79" s="74"/>
      <c r="S79" s="74"/>
    </row>
    <row r="80" spans="1:20" s="79" customFormat="1" x14ac:dyDescent="0.25">
      <c r="A80" s="87">
        <f t="shared" si="8"/>
        <v>0</v>
      </c>
      <c r="B80" s="31" t="str">
        <f t="shared" si="9"/>
        <v/>
      </c>
      <c r="C80" s="32"/>
      <c r="D80" s="32"/>
      <c r="E80" s="32"/>
      <c r="F80" s="32"/>
      <c r="G80" s="74"/>
      <c r="H80" s="88">
        <v>75</v>
      </c>
      <c r="I80" s="89" t="str">
        <f t="shared" si="10"/>
        <v/>
      </c>
      <c r="J80" s="88">
        <f t="shared" si="11"/>
        <v>-1</v>
      </c>
      <c r="K80" s="88">
        <f t="shared" si="12"/>
        <v>-10</v>
      </c>
      <c r="L80" s="88"/>
      <c r="M80" s="90">
        <f t="shared" si="13"/>
        <v>0</v>
      </c>
      <c r="N80" s="90">
        <f t="shared" si="14"/>
        <v>0</v>
      </c>
      <c r="O80" s="74"/>
      <c r="P80" s="74"/>
      <c r="Q80" s="74"/>
      <c r="R80" s="74"/>
      <c r="S80" s="102"/>
      <c r="T80" s="103"/>
    </row>
    <row r="81" spans="1:20" s="79" customFormat="1" x14ac:dyDescent="0.25">
      <c r="A81" s="91">
        <f t="shared" si="8"/>
        <v>0</v>
      </c>
      <c r="B81" s="37" t="str">
        <f t="shared" si="9"/>
        <v/>
      </c>
      <c r="C81" s="38"/>
      <c r="D81" s="38"/>
      <c r="E81" s="38"/>
      <c r="F81" s="38"/>
      <c r="G81" s="74"/>
      <c r="H81" s="92">
        <v>76</v>
      </c>
      <c r="I81" s="93" t="str">
        <f t="shared" si="10"/>
        <v/>
      </c>
      <c r="J81" s="92">
        <f t="shared" si="11"/>
        <v>-1</v>
      </c>
      <c r="K81" s="92">
        <f t="shared" si="12"/>
        <v>-10</v>
      </c>
      <c r="L81" s="92"/>
      <c r="M81" s="94">
        <f t="shared" si="13"/>
        <v>0</v>
      </c>
      <c r="N81" s="94">
        <f t="shared" si="14"/>
        <v>0</v>
      </c>
      <c r="O81" s="74"/>
      <c r="P81" s="74"/>
      <c r="Q81" s="74"/>
      <c r="R81" s="74"/>
      <c r="S81" s="74"/>
    </row>
    <row r="82" spans="1:20" s="79" customFormat="1" x14ac:dyDescent="0.25">
      <c r="A82" s="87">
        <f t="shared" si="8"/>
        <v>0</v>
      </c>
      <c r="B82" s="31" t="str">
        <f t="shared" si="9"/>
        <v/>
      </c>
      <c r="C82" s="32"/>
      <c r="D82" s="32"/>
      <c r="E82" s="32"/>
      <c r="F82" s="32"/>
      <c r="G82" s="74"/>
      <c r="H82" s="88">
        <v>77</v>
      </c>
      <c r="I82" s="89" t="str">
        <f t="shared" si="10"/>
        <v/>
      </c>
      <c r="J82" s="88">
        <f t="shared" si="11"/>
        <v>-1</v>
      </c>
      <c r="K82" s="88">
        <f t="shared" si="12"/>
        <v>-10</v>
      </c>
      <c r="L82" s="88"/>
      <c r="M82" s="90">
        <f t="shared" si="13"/>
        <v>0</v>
      </c>
      <c r="N82" s="90">
        <f t="shared" si="14"/>
        <v>0</v>
      </c>
      <c r="O82" s="74"/>
      <c r="P82" s="74"/>
      <c r="Q82" s="74"/>
      <c r="R82" s="74"/>
      <c r="S82" s="102"/>
      <c r="T82" s="103"/>
    </row>
    <row r="83" spans="1:20" s="79" customFormat="1" x14ac:dyDescent="0.25">
      <c r="A83" s="91">
        <f t="shared" si="8"/>
        <v>0</v>
      </c>
      <c r="B83" s="37" t="str">
        <f t="shared" si="9"/>
        <v/>
      </c>
      <c r="C83" s="38"/>
      <c r="D83" s="38"/>
      <c r="E83" s="38"/>
      <c r="F83" s="38"/>
      <c r="G83" s="74"/>
      <c r="H83" s="92">
        <v>78</v>
      </c>
      <c r="I83" s="93" t="str">
        <f t="shared" si="10"/>
        <v/>
      </c>
      <c r="J83" s="92">
        <f t="shared" si="11"/>
        <v>-1</v>
      </c>
      <c r="K83" s="92">
        <f t="shared" si="12"/>
        <v>-10</v>
      </c>
      <c r="L83" s="92"/>
      <c r="M83" s="94">
        <f t="shared" si="13"/>
        <v>0</v>
      </c>
      <c r="N83" s="94">
        <f t="shared" si="14"/>
        <v>0</v>
      </c>
      <c r="O83" s="74"/>
      <c r="P83" s="74"/>
      <c r="Q83" s="74"/>
      <c r="R83" s="74"/>
      <c r="S83" s="74"/>
    </row>
    <row r="84" spans="1:20" s="79" customFormat="1" x14ac:dyDescent="0.25">
      <c r="A84" s="87">
        <f t="shared" si="8"/>
        <v>0</v>
      </c>
      <c r="B84" s="31" t="str">
        <f t="shared" si="9"/>
        <v/>
      </c>
      <c r="C84" s="32"/>
      <c r="D84" s="32"/>
      <c r="E84" s="32"/>
      <c r="F84" s="32"/>
      <c r="G84" s="74"/>
      <c r="H84" s="88">
        <v>79</v>
      </c>
      <c r="I84" s="89" t="str">
        <f t="shared" si="10"/>
        <v/>
      </c>
      <c r="J84" s="88">
        <f t="shared" si="11"/>
        <v>-1</v>
      </c>
      <c r="K84" s="88">
        <f t="shared" si="12"/>
        <v>-10</v>
      </c>
      <c r="L84" s="88"/>
      <c r="M84" s="90">
        <f t="shared" si="13"/>
        <v>0</v>
      </c>
      <c r="N84" s="90">
        <f t="shared" si="14"/>
        <v>0</v>
      </c>
      <c r="O84" s="74"/>
      <c r="P84" s="74"/>
      <c r="Q84" s="74"/>
      <c r="R84" s="74"/>
      <c r="S84" s="102"/>
      <c r="T84" s="103"/>
    </row>
    <row r="85" spans="1:20" s="79" customFormat="1" x14ac:dyDescent="0.25">
      <c r="A85" s="91">
        <f t="shared" si="8"/>
        <v>0</v>
      </c>
      <c r="B85" s="37" t="str">
        <f t="shared" si="9"/>
        <v/>
      </c>
      <c r="C85" s="38"/>
      <c r="D85" s="38"/>
      <c r="E85" s="38"/>
      <c r="F85" s="38"/>
      <c r="G85" s="74"/>
      <c r="H85" s="92">
        <v>80</v>
      </c>
      <c r="I85" s="93" t="str">
        <f t="shared" si="10"/>
        <v/>
      </c>
      <c r="J85" s="92">
        <f t="shared" si="11"/>
        <v>-1</v>
      </c>
      <c r="K85" s="92">
        <f t="shared" si="12"/>
        <v>-10</v>
      </c>
      <c r="L85" s="92"/>
      <c r="M85" s="94">
        <f t="shared" si="13"/>
        <v>0</v>
      </c>
      <c r="N85" s="94">
        <f t="shared" si="14"/>
        <v>0</v>
      </c>
      <c r="O85" s="74"/>
      <c r="P85" s="74"/>
      <c r="Q85" s="74"/>
      <c r="R85" s="74"/>
      <c r="S85" s="74"/>
    </row>
    <row r="86" spans="1:20" s="79" customFormat="1" x14ac:dyDescent="0.25">
      <c r="A86" s="87">
        <f t="shared" si="8"/>
        <v>0</v>
      </c>
      <c r="B86" s="31" t="str">
        <f t="shared" si="9"/>
        <v/>
      </c>
      <c r="C86" s="32"/>
      <c r="D86" s="32"/>
      <c r="E86" s="32"/>
      <c r="F86" s="32"/>
      <c r="G86" s="74"/>
      <c r="H86" s="88">
        <v>81</v>
      </c>
      <c r="I86" s="89" t="str">
        <f t="shared" si="10"/>
        <v/>
      </c>
      <c r="J86" s="88">
        <f t="shared" si="11"/>
        <v>-1</v>
      </c>
      <c r="K86" s="88">
        <f t="shared" si="12"/>
        <v>-10</v>
      </c>
      <c r="L86" s="88"/>
      <c r="M86" s="90">
        <f t="shared" si="13"/>
        <v>0</v>
      </c>
      <c r="N86" s="90">
        <f t="shared" si="14"/>
        <v>0</v>
      </c>
      <c r="O86" s="74"/>
      <c r="P86" s="74"/>
      <c r="Q86" s="74"/>
      <c r="R86" s="74"/>
      <c r="S86" s="102"/>
      <c r="T86" s="103"/>
    </row>
    <row r="87" spans="1:20" s="79" customFormat="1" x14ac:dyDescent="0.25">
      <c r="A87" s="91">
        <f t="shared" si="8"/>
        <v>0</v>
      </c>
      <c r="B87" s="37" t="str">
        <f t="shared" si="9"/>
        <v/>
      </c>
      <c r="C87" s="38"/>
      <c r="D87" s="38"/>
      <c r="E87" s="38"/>
      <c r="F87" s="38"/>
      <c r="G87" s="74"/>
      <c r="H87" s="92">
        <v>82</v>
      </c>
      <c r="I87" s="93" t="str">
        <f t="shared" si="10"/>
        <v/>
      </c>
      <c r="J87" s="92">
        <f t="shared" si="11"/>
        <v>-1</v>
      </c>
      <c r="K87" s="92">
        <f t="shared" si="12"/>
        <v>-10</v>
      </c>
      <c r="L87" s="92"/>
      <c r="M87" s="94">
        <f t="shared" si="13"/>
        <v>0</v>
      </c>
      <c r="N87" s="94">
        <f t="shared" si="14"/>
        <v>0</v>
      </c>
      <c r="O87" s="74"/>
      <c r="P87" s="74"/>
      <c r="Q87" s="74"/>
      <c r="R87" s="74"/>
      <c r="S87" s="74"/>
    </row>
    <row r="88" spans="1:20" s="79" customFormat="1" x14ac:dyDescent="0.25">
      <c r="A88" s="87">
        <f t="shared" si="8"/>
        <v>0</v>
      </c>
      <c r="B88" s="31" t="str">
        <f t="shared" si="9"/>
        <v/>
      </c>
      <c r="C88" s="32"/>
      <c r="D88" s="32"/>
      <c r="E88" s="32"/>
      <c r="F88" s="32"/>
      <c r="G88" s="74"/>
      <c r="H88" s="88">
        <v>83</v>
      </c>
      <c r="I88" s="89" t="str">
        <f t="shared" si="10"/>
        <v/>
      </c>
      <c r="J88" s="88">
        <f t="shared" si="11"/>
        <v>-1</v>
      </c>
      <c r="K88" s="88">
        <f t="shared" si="12"/>
        <v>-10</v>
      </c>
      <c r="L88" s="88"/>
      <c r="M88" s="90">
        <f t="shared" si="13"/>
        <v>0</v>
      </c>
      <c r="N88" s="90">
        <f t="shared" si="14"/>
        <v>0</v>
      </c>
      <c r="O88" s="74"/>
      <c r="P88" s="74"/>
      <c r="Q88" s="74"/>
      <c r="R88" s="74"/>
      <c r="S88" s="102"/>
      <c r="T88" s="103"/>
    </row>
    <row r="89" spans="1:20" s="79" customFormat="1" x14ac:dyDescent="0.25">
      <c r="A89" s="91">
        <f t="shared" si="8"/>
        <v>0</v>
      </c>
      <c r="B89" s="37" t="str">
        <f t="shared" si="9"/>
        <v/>
      </c>
      <c r="C89" s="38"/>
      <c r="D89" s="38"/>
      <c r="E89" s="38"/>
      <c r="F89" s="38"/>
      <c r="G89" s="74"/>
      <c r="H89" s="92">
        <v>84</v>
      </c>
      <c r="I89" s="93" t="str">
        <f t="shared" si="10"/>
        <v/>
      </c>
      <c r="J89" s="92">
        <f t="shared" si="11"/>
        <v>-1</v>
      </c>
      <c r="K89" s="92">
        <f t="shared" si="12"/>
        <v>-10</v>
      </c>
      <c r="L89" s="92"/>
      <c r="M89" s="94">
        <f t="shared" si="13"/>
        <v>0</v>
      </c>
      <c r="N89" s="94">
        <f t="shared" si="14"/>
        <v>0</v>
      </c>
      <c r="O89" s="74"/>
      <c r="P89" s="74"/>
      <c r="Q89" s="74"/>
      <c r="R89" s="74"/>
      <c r="S89" s="74"/>
    </row>
    <row r="90" spans="1:20" s="79" customFormat="1" x14ac:dyDescent="0.25">
      <c r="A90" s="87">
        <f t="shared" si="8"/>
        <v>0</v>
      </c>
      <c r="B90" s="31" t="str">
        <f t="shared" si="9"/>
        <v/>
      </c>
      <c r="C90" s="32"/>
      <c r="D90" s="32"/>
      <c r="E90" s="32"/>
      <c r="F90" s="32"/>
      <c r="G90" s="74"/>
      <c r="H90" s="88">
        <v>85</v>
      </c>
      <c r="I90" s="89" t="str">
        <f t="shared" si="10"/>
        <v/>
      </c>
      <c r="J90" s="88">
        <f t="shared" si="11"/>
        <v>-1</v>
      </c>
      <c r="K90" s="88">
        <f t="shared" si="12"/>
        <v>-10</v>
      </c>
      <c r="L90" s="88"/>
      <c r="M90" s="90">
        <f t="shared" si="13"/>
        <v>0</v>
      </c>
      <c r="N90" s="90">
        <f t="shared" si="14"/>
        <v>0</v>
      </c>
      <c r="O90" s="74"/>
      <c r="P90" s="74"/>
      <c r="Q90" s="74"/>
      <c r="R90" s="74"/>
      <c r="S90" s="102"/>
      <c r="T90" s="103"/>
    </row>
    <row r="91" spans="1:20" s="79" customFormat="1" x14ac:dyDescent="0.25">
      <c r="A91" s="91">
        <f t="shared" si="8"/>
        <v>0</v>
      </c>
      <c r="B91" s="37" t="str">
        <f t="shared" si="9"/>
        <v/>
      </c>
      <c r="C91" s="38"/>
      <c r="D91" s="38"/>
      <c r="E91" s="38"/>
      <c r="F91" s="38"/>
      <c r="G91" s="74"/>
      <c r="H91" s="92">
        <v>86</v>
      </c>
      <c r="I91" s="93" t="str">
        <f t="shared" si="10"/>
        <v/>
      </c>
      <c r="J91" s="92">
        <f t="shared" si="11"/>
        <v>-1</v>
      </c>
      <c r="K91" s="92">
        <f t="shared" si="12"/>
        <v>-10</v>
      </c>
      <c r="L91" s="92"/>
      <c r="M91" s="94">
        <f t="shared" si="13"/>
        <v>0</v>
      </c>
      <c r="N91" s="94">
        <f t="shared" si="14"/>
        <v>0</v>
      </c>
      <c r="O91" s="74"/>
      <c r="P91" s="74"/>
      <c r="Q91" s="74"/>
      <c r="R91" s="74"/>
      <c r="S91" s="74"/>
    </row>
    <row r="92" spans="1:20" s="79" customFormat="1" x14ac:dyDescent="0.25">
      <c r="A92" s="87">
        <f t="shared" si="8"/>
        <v>0</v>
      </c>
      <c r="B92" s="31" t="str">
        <f t="shared" si="9"/>
        <v/>
      </c>
      <c r="C92" s="32"/>
      <c r="D92" s="32"/>
      <c r="E92" s="32"/>
      <c r="F92" s="32"/>
      <c r="G92" s="74"/>
      <c r="H92" s="88">
        <v>87</v>
      </c>
      <c r="I92" s="89" t="str">
        <f t="shared" si="10"/>
        <v/>
      </c>
      <c r="J92" s="88">
        <f t="shared" si="11"/>
        <v>-1</v>
      </c>
      <c r="K92" s="88">
        <f t="shared" si="12"/>
        <v>-10</v>
      </c>
      <c r="L92" s="88"/>
      <c r="M92" s="90">
        <f t="shared" si="13"/>
        <v>0</v>
      </c>
      <c r="N92" s="90">
        <f t="shared" si="14"/>
        <v>0</v>
      </c>
      <c r="O92" s="74"/>
      <c r="P92" s="74"/>
      <c r="Q92" s="74"/>
      <c r="R92" s="74"/>
      <c r="S92" s="102"/>
      <c r="T92" s="103"/>
    </row>
    <row r="93" spans="1:20" s="79" customFormat="1" x14ac:dyDescent="0.25">
      <c r="A93" s="91">
        <f t="shared" si="8"/>
        <v>0</v>
      </c>
      <c r="B93" s="37" t="str">
        <f t="shared" si="9"/>
        <v/>
      </c>
      <c r="C93" s="38"/>
      <c r="D93" s="38"/>
      <c r="E93" s="38"/>
      <c r="F93" s="38"/>
      <c r="G93" s="74"/>
      <c r="H93" s="92">
        <v>88</v>
      </c>
      <c r="I93" s="93" t="str">
        <f t="shared" si="10"/>
        <v/>
      </c>
      <c r="J93" s="92">
        <f t="shared" si="11"/>
        <v>-1</v>
      </c>
      <c r="K93" s="92">
        <f t="shared" si="12"/>
        <v>-10</v>
      </c>
      <c r="L93" s="92"/>
      <c r="M93" s="94">
        <f t="shared" si="13"/>
        <v>0</v>
      </c>
      <c r="N93" s="94">
        <f t="shared" si="14"/>
        <v>0</v>
      </c>
      <c r="O93" s="74"/>
      <c r="P93" s="74"/>
      <c r="Q93" s="74"/>
      <c r="R93" s="74"/>
      <c r="S93" s="74"/>
    </row>
    <row r="94" spans="1:20" s="79" customFormat="1" x14ac:dyDescent="0.25">
      <c r="A94" s="87">
        <f t="shared" si="8"/>
        <v>0</v>
      </c>
      <c r="B94" s="31" t="str">
        <f t="shared" si="9"/>
        <v/>
      </c>
      <c r="C94" s="32"/>
      <c r="D94" s="32"/>
      <c r="E94" s="32"/>
      <c r="F94" s="32"/>
      <c r="G94" s="74"/>
      <c r="H94" s="88">
        <v>89</v>
      </c>
      <c r="I94" s="89" t="str">
        <f t="shared" si="10"/>
        <v/>
      </c>
      <c r="J94" s="88">
        <f t="shared" si="11"/>
        <v>-1</v>
      </c>
      <c r="K94" s="88">
        <f t="shared" si="12"/>
        <v>-10</v>
      </c>
      <c r="L94" s="88"/>
      <c r="M94" s="90">
        <f t="shared" si="13"/>
        <v>0</v>
      </c>
      <c r="N94" s="90">
        <f t="shared" si="14"/>
        <v>0</v>
      </c>
      <c r="O94" s="74"/>
      <c r="P94" s="74"/>
      <c r="Q94" s="74"/>
      <c r="R94" s="74"/>
      <c r="S94" s="102"/>
      <c r="T94" s="103"/>
    </row>
    <row r="95" spans="1:20" s="79" customFormat="1" x14ac:dyDescent="0.25">
      <c r="A95" s="91">
        <f t="shared" si="8"/>
        <v>0</v>
      </c>
      <c r="B95" s="37" t="str">
        <f t="shared" si="9"/>
        <v/>
      </c>
      <c r="C95" s="38"/>
      <c r="D95" s="38"/>
      <c r="E95" s="38"/>
      <c r="F95" s="38"/>
      <c r="G95" s="74"/>
      <c r="H95" s="92">
        <v>90</v>
      </c>
      <c r="I95" s="93" t="str">
        <f t="shared" si="10"/>
        <v/>
      </c>
      <c r="J95" s="92">
        <f t="shared" si="11"/>
        <v>-1</v>
      </c>
      <c r="K95" s="92">
        <f t="shared" si="12"/>
        <v>-10</v>
      </c>
      <c r="L95" s="92"/>
      <c r="M95" s="94">
        <f t="shared" si="13"/>
        <v>0</v>
      </c>
      <c r="N95" s="94">
        <f t="shared" si="14"/>
        <v>0</v>
      </c>
      <c r="O95" s="74"/>
      <c r="P95" s="74"/>
      <c r="Q95" s="74"/>
      <c r="R95" s="74"/>
      <c r="S95" s="74"/>
    </row>
    <row r="96" spans="1:20" s="79" customFormat="1" x14ac:dyDescent="0.25">
      <c r="A96" s="87">
        <f t="shared" si="8"/>
        <v>0</v>
      </c>
      <c r="B96" s="31" t="str">
        <f t="shared" si="9"/>
        <v/>
      </c>
      <c r="C96" s="32"/>
      <c r="D96" s="32"/>
      <c r="E96" s="32"/>
      <c r="F96" s="32"/>
      <c r="G96" s="74"/>
      <c r="H96" s="88">
        <v>91</v>
      </c>
      <c r="I96" s="89" t="str">
        <f t="shared" si="10"/>
        <v/>
      </c>
      <c r="J96" s="88">
        <f t="shared" si="11"/>
        <v>-1</v>
      </c>
      <c r="K96" s="88">
        <f t="shared" si="12"/>
        <v>-10</v>
      </c>
      <c r="L96" s="88"/>
      <c r="M96" s="90">
        <f t="shared" si="13"/>
        <v>0</v>
      </c>
      <c r="N96" s="90">
        <f t="shared" si="14"/>
        <v>0</v>
      </c>
      <c r="O96" s="74"/>
      <c r="P96" s="74"/>
      <c r="Q96" s="74"/>
      <c r="R96" s="74"/>
      <c r="S96" s="102"/>
      <c r="T96" s="103"/>
    </row>
    <row r="97" spans="1:20" s="79" customFormat="1" x14ac:dyDescent="0.25">
      <c r="A97" s="91">
        <f t="shared" si="8"/>
        <v>0</v>
      </c>
      <c r="B97" s="37" t="str">
        <f t="shared" si="9"/>
        <v/>
      </c>
      <c r="C97" s="38"/>
      <c r="D97" s="38"/>
      <c r="E97" s="38"/>
      <c r="F97" s="38"/>
      <c r="G97" s="74"/>
      <c r="H97" s="92">
        <v>92</v>
      </c>
      <c r="I97" s="93" t="str">
        <f t="shared" si="10"/>
        <v/>
      </c>
      <c r="J97" s="92">
        <f t="shared" si="11"/>
        <v>-1</v>
      </c>
      <c r="K97" s="92">
        <f t="shared" si="12"/>
        <v>-10</v>
      </c>
      <c r="L97" s="92"/>
      <c r="M97" s="94">
        <f t="shared" si="13"/>
        <v>0</v>
      </c>
      <c r="N97" s="94">
        <f t="shared" si="14"/>
        <v>0</v>
      </c>
      <c r="O97" s="74"/>
      <c r="P97" s="74"/>
      <c r="Q97" s="74"/>
      <c r="R97" s="74"/>
      <c r="S97" s="74"/>
    </row>
    <row r="98" spans="1:20" s="79" customFormat="1" x14ac:dyDescent="0.25">
      <c r="A98" s="87">
        <f t="shared" si="8"/>
        <v>0</v>
      </c>
      <c r="B98" s="31" t="str">
        <f t="shared" si="9"/>
        <v/>
      </c>
      <c r="C98" s="32"/>
      <c r="D98" s="32"/>
      <c r="E98" s="32"/>
      <c r="F98" s="32"/>
      <c r="G98" s="74"/>
      <c r="H98" s="88">
        <v>93</v>
      </c>
      <c r="I98" s="89" t="str">
        <f t="shared" si="10"/>
        <v/>
      </c>
      <c r="J98" s="88">
        <f t="shared" si="11"/>
        <v>-1</v>
      </c>
      <c r="K98" s="88">
        <f t="shared" si="12"/>
        <v>-10</v>
      </c>
      <c r="L98" s="88"/>
      <c r="M98" s="90">
        <f t="shared" si="13"/>
        <v>0</v>
      </c>
      <c r="N98" s="90">
        <f t="shared" si="14"/>
        <v>0</v>
      </c>
      <c r="O98" s="74"/>
      <c r="P98" s="74"/>
      <c r="Q98" s="74"/>
      <c r="R98" s="74"/>
      <c r="S98" s="102"/>
      <c r="T98" s="103"/>
    </row>
    <row r="99" spans="1:20" s="79" customFormat="1" x14ac:dyDescent="0.25">
      <c r="A99" s="91">
        <f t="shared" si="8"/>
        <v>0</v>
      </c>
      <c r="B99" s="37" t="str">
        <f t="shared" si="9"/>
        <v/>
      </c>
      <c r="C99" s="38"/>
      <c r="D99" s="38"/>
      <c r="E99" s="38"/>
      <c r="F99" s="38"/>
      <c r="G99" s="74"/>
      <c r="H99" s="92">
        <v>94</v>
      </c>
      <c r="I99" s="93" t="str">
        <f t="shared" si="10"/>
        <v/>
      </c>
      <c r="J99" s="92">
        <f t="shared" si="11"/>
        <v>-1</v>
      </c>
      <c r="K99" s="92">
        <f t="shared" si="12"/>
        <v>-10</v>
      </c>
      <c r="L99" s="92"/>
      <c r="M99" s="94">
        <f t="shared" si="13"/>
        <v>0</v>
      </c>
      <c r="N99" s="94">
        <f t="shared" si="14"/>
        <v>0</v>
      </c>
      <c r="O99" s="74"/>
      <c r="P99" s="74"/>
      <c r="Q99" s="74"/>
      <c r="R99" s="74"/>
      <c r="S99" s="74"/>
    </row>
    <row r="100" spans="1:20" s="79" customFormat="1" x14ac:dyDescent="0.25">
      <c r="A100" s="87">
        <f t="shared" si="8"/>
        <v>0</v>
      </c>
      <c r="B100" s="31" t="str">
        <f t="shared" si="9"/>
        <v/>
      </c>
      <c r="C100" s="32"/>
      <c r="D100" s="32"/>
      <c r="E100" s="32"/>
      <c r="F100" s="32"/>
      <c r="G100" s="74"/>
      <c r="H100" s="88">
        <v>95</v>
      </c>
      <c r="I100" s="89" t="str">
        <f t="shared" si="10"/>
        <v/>
      </c>
      <c r="J100" s="88">
        <f t="shared" si="11"/>
        <v>-1</v>
      </c>
      <c r="K100" s="88">
        <f t="shared" si="12"/>
        <v>-10</v>
      </c>
      <c r="L100" s="88"/>
      <c r="M100" s="90">
        <f t="shared" si="13"/>
        <v>0</v>
      </c>
      <c r="N100" s="90">
        <f t="shared" si="14"/>
        <v>0</v>
      </c>
      <c r="O100" s="74"/>
      <c r="P100" s="74"/>
      <c r="Q100" s="74"/>
      <c r="R100" s="74"/>
      <c r="S100" s="102"/>
      <c r="T100" s="103"/>
    </row>
    <row r="101" spans="1:20" s="79" customFormat="1" x14ac:dyDescent="0.25">
      <c r="A101" s="91">
        <f t="shared" si="8"/>
        <v>0</v>
      </c>
      <c r="B101" s="37" t="str">
        <f t="shared" si="9"/>
        <v/>
      </c>
      <c r="C101" s="38"/>
      <c r="D101" s="38"/>
      <c r="E101" s="38"/>
      <c r="F101" s="38"/>
      <c r="G101" s="74"/>
      <c r="H101" s="92">
        <v>96</v>
      </c>
      <c r="I101" s="93" t="str">
        <f t="shared" si="10"/>
        <v/>
      </c>
      <c r="J101" s="92">
        <f t="shared" si="11"/>
        <v>-1</v>
      </c>
      <c r="K101" s="92">
        <f t="shared" si="12"/>
        <v>-10</v>
      </c>
      <c r="L101" s="92"/>
      <c r="M101" s="94">
        <f t="shared" si="13"/>
        <v>0</v>
      </c>
      <c r="N101" s="94">
        <f t="shared" si="14"/>
        <v>0</v>
      </c>
      <c r="O101" s="74"/>
      <c r="P101" s="74"/>
      <c r="Q101" s="74"/>
      <c r="R101" s="74"/>
      <c r="S101" s="74"/>
    </row>
    <row r="102" spans="1:20" s="79" customFormat="1" x14ac:dyDescent="0.25">
      <c r="A102" s="87">
        <f t="shared" si="8"/>
        <v>0</v>
      </c>
      <c r="B102" s="31" t="str">
        <f t="shared" si="9"/>
        <v/>
      </c>
      <c r="C102" s="32"/>
      <c r="D102" s="32"/>
      <c r="E102" s="32"/>
      <c r="F102" s="32"/>
      <c r="G102" s="74"/>
      <c r="H102" s="88">
        <v>97</v>
      </c>
      <c r="I102" s="89" t="str">
        <f t="shared" si="10"/>
        <v/>
      </c>
      <c r="J102" s="88">
        <f t="shared" si="11"/>
        <v>-1</v>
      </c>
      <c r="K102" s="88">
        <f t="shared" si="12"/>
        <v>-10</v>
      </c>
      <c r="L102" s="88"/>
      <c r="M102" s="90">
        <f t="shared" si="13"/>
        <v>0</v>
      </c>
      <c r="N102" s="90">
        <f t="shared" si="14"/>
        <v>0</v>
      </c>
      <c r="O102" s="74"/>
      <c r="P102" s="74"/>
      <c r="Q102" s="74"/>
      <c r="R102" s="74"/>
      <c r="S102" s="102"/>
      <c r="T102" s="103"/>
    </row>
    <row r="103" spans="1:20" s="79" customFormat="1" x14ac:dyDescent="0.25">
      <c r="A103" s="91">
        <f t="shared" si="8"/>
        <v>0</v>
      </c>
      <c r="B103" s="37" t="str">
        <f t="shared" si="9"/>
        <v/>
      </c>
      <c r="C103" s="38"/>
      <c r="D103" s="38"/>
      <c r="E103" s="38"/>
      <c r="F103" s="38"/>
      <c r="G103" s="74"/>
      <c r="H103" s="92">
        <v>98</v>
      </c>
      <c r="I103" s="93" t="str">
        <f t="shared" si="10"/>
        <v/>
      </c>
      <c r="J103" s="92">
        <f t="shared" si="11"/>
        <v>-1</v>
      </c>
      <c r="K103" s="92">
        <f t="shared" si="12"/>
        <v>-10</v>
      </c>
      <c r="L103" s="92"/>
      <c r="M103" s="94">
        <f t="shared" si="13"/>
        <v>0</v>
      </c>
      <c r="N103" s="94">
        <f t="shared" si="14"/>
        <v>0</v>
      </c>
      <c r="O103" s="74"/>
      <c r="P103" s="74"/>
      <c r="Q103" s="74"/>
      <c r="R103" s="74"/>
      <c r="S103" s="74"/>
    </row>
    <row r="104" spans="1:20" s="79" customFormat="1" x14ac:dyDescent="0.25">
      <c r="A104" s="87">
        <f t="shared" si="8"/>
        <v>0</v>
      </c>
      <c r="B104" s="31" t="str">
        <f t="shared" si="9"/>
        <v/>
      </c>
      <c r="C104" s="32"/>
      <c r="D104" s="32"/>
      <c r="E104" s="32"/>
      <c r="F104" s="32"/>
      <c r="G104" s="74"/>
      <c r="H104" s="88">
        <v>99</v>
      </c>
      <c r="I104" s="89" t="str">
        <f t="shared" si="10"/>
        <v/>
      </c>
      <c r="J104" s="88">
        <f t="shared" si="11"/>
        <v>-1</v>
      </c>
      <c r="K104" s="88">
        <f t="shared" si="12"/>
        <v>-10</v>
      </c>
      <c r="L104" s="88"/>
      <c r="M104" s="90">
        <f t="shared" si="13"/>
        <v>0</v>
      </c>
      <c r="N104" s="90">
        <f t="shared" si="14"/>
        <v>0</v>
      </c>
      <c r="O104" s="74"/>
      <c r="P104" s="74"/>
      <c r="Q104" s="74"/>
      <c r="R104" s="74"/>
      <c r="S104" s="102"/>
      <c r="T104" s="103"/>
    </row>
    <row r="105" spans="1:20" s="79" customFormat="1" x14ac:dyDescent="0.25">
      <c r="A105" s="91">
        <f t="shared" si="8"/>
        <v>0</v>
      </c>
      <c r="B105" s="37" t="str">
        <f t="shared" si="9"/>
        <v/>
      </c>
      <c r="C105" s="38"/>
      <c r="D105" s="38"/>
      <c r="E105" s="38"/>
      <c r="F105" s="38"/>
      <c r="G105" s="74"/>
      <c r="H105" s="92">
        <v>100</v>
      </c>
      <c r="I105" s="93" t="str">
        <f t="shared" si="10"/>
        <v/>
      </c>
      <c r="J105" s="92">
        <f t="shared" si="11"/>
        <v>-1</v>
      </c>
      <c r="K105" s="92">
        <f t="shared" si="12"/>
        <v>-10</v>
      </c>
      <c r="L105" s="92"/>
      <c r="M105" s="94">
        <f t="shared" si="13"/>
        <v>0</v>
      </c>
      <c r="N105" s="94">
        <f t="shared" si="14"/>
        <v>0</v>
      </c>
      <c r="O105" s="74"/>
      <c r="P105" s="74"/>
      <c r="Q105" s="74"/>
      <c r="R105" s="74"/>
      <c r="S105" s="74"/>
    </row>
    <row r="106" spans="1:20" s="79" customFormat="1" x14ac:dyDescent="0.25">
      <c r="A106" s="87">
        <f t="shared" si="8"/>
        <v>0</v>
      </c>
      <c r="B106" s="31" t="str">
        <f t="shared" si="9"/>
        <v/>
      </c>
      <c r="C106" s="32"/>
      <c r="D106" s="32"/>
      <c r="E106" s="32"/>
      <c r="F106" s="32"/>
      <c r="G106" s="74"/>
      <c r="H106" s="88">
        <v>101</v>
      </c>
      <c r="I106" s="89" t="str">
        <f t="shared" si="10"/>
        <v/>
      </c>
      <c r="J106" s="88">
        <f t="shared" si="11"/>
        <v>-1</v>
      </c>
      <c r="K106" s="88">
        <f t="shared" si="12"/>
        <v>-10</v>
      </c>
      <c r="L106" s="88"/>
      <c r="M106" s="90">
        <f t="shared" si="13"/>
        <v>0</v>
      </c>
      <c r="N106" s="90">
        <f t="shared" si="14"/>
        <v>0</v>
      </c>
      <c r="O106" s="74"/>
      <c r="P106" s="74"/>
      <c r="Q106" s="74"/>
      <c r="R106" s="74"/>
      <c r="S106" s="102"/>
      <c r="T106" s="103"/>
    </row>
    <row r="107" spans="1:20" s="79" customFormat="1" x14ac:dyDescent="0.25">
      <c r="A107" s="91">
        <f t="shared" si="8"/>
        <v>0</v>
      </c>
      <c r="B107" s="37" t="str">
        <f t="shared" si="9"/>
        <v/>
      </c>
      <c r="C107" s="38"/>
      <c r="D107" s="38"/>
      <c r="E107" s="38"/>
      <c r="F107" s="38"/>
      <c r="G107" s="74"/>
      <c r="H107" s="92">
        <v>102</v>
      </c>
      <c r="I107" s="93" t="str">
        <f t="shared" si="10"/>
        <v/>
      </c>
      <c r="J107" s="92">
        <f t="shared" si="11"/>
        <v>-1</v>
      </c>
      <c r="K107" s="92">
        <f t="shared" si="12"/>
        <v>-10</v>
      </c>
      <c r="L107" s="92"/>
      <c r="M107" s="94">
        <f t="shared" si="13"/>
        <v>0</v>
      </c>
      <c r="N107" s="94">
        <f t="shared" si="14"/>
        <v>0</v>
      </c>
      <c r="O107" s="74"/>
      <c r="P107" s="74"/>
      <c r="Q107" s="74"/>
      <c r="R107" s="74"/>
      <c r="S107" s="74"/>
    </row>
    <row r="108" spans="1:20" s="79" customFormat="1" x14ac:dyDescent="0.25">
      <c r="A108" s="87">
        <f t="shared" si="8"/>
        <v>0</v>
      </c>
      <c r="B108" s="31" t="str">
        <f t="shared" si="9"/>
        <v/>
      </c>
      <c r="C108" s="32"/>
      <c r="D108" s="32"/>
      <c r="E108" s="32"/>
      <c r="F108" s="32"/>
      <c r="G108" s="74"/>
      <c r="H108" s="88">
        <v>103</v>
      </c>
      <c r="I108" s="89" t="str">
        <f t="shared" si="10"/>
        <v/>
      </c>
      <c r="J108" s="88">
        <f t="shared" si="11"/>
        <v>-1</v>
      </c>
      <c r="K108" s="88">
        <f t="shared" si="12"/>
        <v>-10</v>
      </c>
      <c r="L108" s="88"/>
      <c r="M108" s="90">
        <f t="shared" si="13"/>
        <v>0</v>
      </c>
      <c r="N108" s="90">
        <f t="shared" si="14"/>
        <v>0</v>
      </c>
      <c r="O108" s="74"/>
      <c r="P108" s="74"/>
      <c r="Q108" s="74"/>
      <c r="R108" s="74"/>
      <c r="S108" s="102"/>
      <c r="T108" s="103"/>
    </row>
    <row r="109" spans="1:20" s="79" customFormat="1" x14ac:dyDescent="0.25">
      <c r="A109" s="91">
        <f t="shared" si="8"/>
        <v>0</v>
      </c>
      <c r="B109" s="37" t="str">
        <f t="shared" si="9"/>
        <v/>
      </c>
      <c r="C109" s="38"/>
      <c r="D109" s="38"/>
      <c r="E109" s="38"/>
      <c r="F109" s="38"/>
      <c r="G109" s="74"/>
      <c r="H109" s="92">
        <v>104</v>
      </c>
      <c r="I109" s="93" t="str">
        <f t="shared" si="10"/>
        <v/>
      </c>
      <c r="J109" s="92">
        <f t="shared" si="11"/>
        <v>-1</v>
      </c>
      <c r="K109" s="92">
        <f t="shared" si="12"/>
        <v>-10</v>
      </c>
      <c r="L109" s="92"/>
      <c r="M109" s="94">
        <f t="shared" si="13"/>
        <v>0</v>
      </c>
      <c r="N109" s="94">
        <f t="shared" si="14"/>
        <v>0</v>
      </c>
      <c r="O109" s="74"/>
      <c r="P109" s="74"/>
      <c r="Q109" s="74"/>
      <c r="R109" s="74"/>
      <c r="S109" s="74"/>
    </row>
    <row r="110" spans="1:20" s="79" customFormat="1" x14ac:dyDescent="0.25">
      <c r="A110" s="87">
        <f t="shared" si="8"/>
        <v>0</v>
      </c>
      <c r="B110" s="31" t="str">
        <f t="shared" si="9"/>
        <v/>
      </c>
      <c r="C110" s="32"/>
      <c r="D110" s="32"/>
      <c r="E110" s="32"/>
      <c r="F110" s="32"/>
      <c r="G110" s="74"/>
      <c r="H110" s="88">
        <v>105</v>
      </c>
      <c r="I110" s="89" t="str">
        <f t="shared" si="10"/>
        <v/>
      </c>
      <c r="J110" s="88">
        <f t="shared" si="11"/>
        <v>-1</v>
      </c>
      <c r="K110" s="88">
        <f t="shared" si="12"/>
        <v>-10</v>
      </c>
      <c r="L110" s="88"/>
      <c r="M110" s="90">
        <f t="shared" si="13"/>
        <v>0</v>
      </c>
      <c r="N110" s="90">
        <f t="shared" si="14"/>
        <v>0</v>
      </c>
      <c r="O110" s="74"/>
      <c r="P110" s="74"/>
      <c r="Q110" s="74"/>
      <c r="R110" s="74"/>
      <c r="S110" s="102"/>
      <c r="T110" s="103"/>
    </row>
    <row r="111" spans="1:20" s="79" customFormat="1" x14ac:dyDescent="0.25">
      <c r="A111" s="91">
        <f t="shared" si="8"/>
        <v>0</v>
      </c>
      <c r="B111" s="37" t="str">
        <f t="shared" si="9"/>
        <v/>
      </c>
      <c r="C111" s="38"/>
      <c r="D111" s="38"/>
      <c r="E111" s="38"/>
      <c r="F111" s="38"/>
      <c r="G111" s="74"/>
      <c r="H111" s="92">
        <v>106</v>
      </c>
      <c r="I111" s="93" t="str">
        <f t="shared" si="10"/>
        <v/>
      </c>
      <c r="J111" s="92">
        <f t="shared" si="11"/>
        <v>-1</v>
      </c>
      <c r="K111" s="92">
        <f t="shared" si="12"/>
        <v>-10</v>
      </c>
      <c r="L111" s="92"/>
      <c r="M111" s="94">
        <f t="shared" si="13"/>
        <v>0</v>
      </c>
      <c r="N111" s="94">
        <f t="shared" si="14"/>
        <v>0</v>
      </c>
      <c r="O111" s="74"/>
      <c r="P111" s="74"/>
      <c r="Q111" s="74"/>
      <c r="R111" s="74"/>
      <c r="S111" s="74"/>
    </row>
    <row r="112" spans="1:20" s="79" customFormat="1" x14ac:dyDescent="0.25">
      <c r="A112" s="87">
        <f t="shared" si="8"/>
        <v>0</v>
      </c>
      <c r="B112" s="31" t="str">
        <f t="shared" si="9"/>
        <v/>
      </c>
      <c r="C112" s="32"/>
      <c r="D112" s="32"/>
      <c r="E112" s="32"/>
      <c r="F112" s="32"/>
      <c r="G112" s="74"/>
      <c r="H112" s="88">
        <v>107</v>
      </c>
      <c r="I112" s="89" t="str">
        <f t="shared" si="10"/>
        <v/>
      </c>
      <c r="J112" s="88">
        <f t="shared" si="11"/>
        <v>-1</v>
      </c>
      <c r="K112" s="88">
        <f t="shared" si="12"/>
        <v>-10</v>
      </c>
      <c r="L112" s="88"/>
      <c r="M112" s="90">
        <f t="shared" si="13"/>
        <v>0</v>
      </c>
      <c r="N112" s="90">
        <f t="shared" si="14"/>
        <v>0</v>
      </c>
      <c r="O112" s="74"/>
      <c r="P112" s="74"/>
      <c r="Q112" s="74"/>
      <c r="R112" s="74"/>
      <c r="S112" s="102"/>
      <c r="T112" s="103"/>
    </row>
    <row r="113" spans="1:20" s="79" customFormat="1" x14ac:dyDescent="0.25">
      <c r="A113" s="91">
        <f t="shared" si="8"/>
        <v>0</v>
      </c>
      <c r="B113" s="37" t="str">
        <f t="shared" si="9"/>
        <v/>
      </c>
      <c r="C113" s="38"/>
      <c r="D113" s="38"/>
      <c r="E113" s="38"/>
      <c r="F113" s="38"/>
      <c r="G113" s="74"/>
      <c r="H113" s="92">
        <v>108</v>
      </c>
      <c r="I113" s="93" t="str">
        <f t="shared" si="10"/>
        <v/>
      </c>
      <c r="J113" s="92">
        <f t="shared" si="11"/>
        <v>-1</v>
      </c>
      <c r="K113" s="92">
        <f t="shared" si="12"/>
        <v>-10</v>
      </c>
      <c r="L113" s="92"/>
      <c r="M113" s="94">
        <f t="shared" si="13"/>
        <v>0</v>
      </c>
      <c r="N113" s="94">
        <f t="shared" si="14"/>
        <v>0</v>
      </c>
      <c r="O113" s="74"/>
      <c r="P113" s="74"/>
      <c r="Q113" s="74"/>
      <c r="R113" s="74"/>
      <c r="S113" s="74"/>
    </row>
    <row r="114" spans="1:20" s="79" customFormat="1" x14ac:dyDescent="0.25">
      <c r="A114" s="87">
        <f t="shared" si="8"/>
        <v>0</v>
      </c>
      <c r="B114" s="31" t="str">
        <f t="shared" si="9"/>
        <v/>
      </c>
      <c r="C114" s="32"/>
      <c r="D114" s="32"/>
      <c r="E114" s="32"/>
      <c r="F114" s="32"/>
      <c r="G114" s="74"/>
      <c r="H114" s="88">
        <v>109</v>
      </c>
      <c r="I114" s="89" t="str">
        <f t="shared" si="10"/>
        <v/>
      </c>
      <c r="J114" s="88">
        <f t="shared" si="11"/>
        <v>-1</v>
      </c>
      <c r="K114" s="88">
        <f t="shared" si="12"/>
        <v>-10</v>
      </c>
      <c r="L114" s="88"/>
      <c r="M114" s="90">
        <f t="shared" si="13"/>
        <v>0</v>
      </c>
      <c r="N114" s="90">
        <f t="shared" si="14"/>
        <v>0</v>
      </c>
      <c r="O114" s="74"/>
      <c r="P114" s="74"/>
      <c r="Q114" s="74"/>
      <c r="R114" s="74"/>
      <c r="S114" s="102"/>
      <c r="T114" s="103"/>
    </row>
    <row r="115" spans="1:20" s="79" customFormat="1" x14ac:dyDescent="0.25">
      <c r="A115" s="91">
        <f t="shared" si="8"/>
        <v>0</v>
      </c>
      <c r="B115" s="37" t="str">
        <f t="shared" si="9"/>
        <v/>
      </c>
      <c r="C115" s="38"/>
      <c r="D115" s="38"/>
      <c r="E115" s="38"/>
      <c r="F115" s="38"/>
      <c r="G115" s="74"/>
      <c r="H115" s="92">
        <v>110</v>
      </c>
      <c r="I115" s="93" t="str">
        <f t="shared" si="10"/>
        <v/>
      </c>
      <c r="J115" s="92">
        <f t="shared" si="11"/>
        <v>-1</v>
      </c>
      <c r="K115" s="92">
        <f t="shared" si="12"/>
        <v>-10</v>
      </c>
      <c r="L115" s="92"/>
      <c r="M115" s="94">
        <f t="shared" si="13"/>
        <v>0</v>
      </c>
      <c r="N115" s="94">
        <f t="shared" si="14"/>
        <v>0</v>
      </c>
      <c r="O115" s="74"/>
      <c r="P115" s="74"/>
      <c r="Q115" s="74"/>
      <c r="R115" s="74"/>
      <c r="S115" s="74"/>
    </row>
    <row r="116" spans="1:20" s="79" customFormat="1" x14ac:dyDescent="0.25">
      <c r="A116" s="87">
        <f t="shared" si="8"/>
        <v>0</v>
      </c>
      <c r="B116" s="31" t="str">
        <f t="shared" si="9"/>
        <v/>
      </c>
      <c r="C116" s="32"/>
      <c r="D116" s="32"/>
      <c r="E116" s="32"/>
      <c r="F116" s="32"/>
      <c r="G116" s="74"/>
      <c r="H116" s="88">
        <v>111</v>
      </c>
      <c r="I116" s="89" t="str">
        <f t="shared" si="10"/>
        <v/>
      </c>
      <c r="J116" s="88">
        <f t="shared" si="11"/>
        <v>-1</v>
      </c>
      <c r="K116" s="88">
        <f t="shared" si="12"/>
        <v>-10</v>
      </c>
      <c r="L116" s="88"/>
      <c r="M116" s="90">
        <f t="shared" si="13"/>
        <v>0</v>
      </c>
      <c r="N116" s="90">
        <f t="shared" si="14"/>
        <v>0</v>
      </c>
      <c r="O116" s="74"/>
      <c r="P116" s="74"/>
      <c r="Q116" s="74"/>
      <c r="R116" s="74"/>
      <c r="S116" s="102"/>
      <c r="T116" s="103"/>
    </row>
    <row r="117" spans="1:20" s="79" customFormat="1" x14ac:dyDescent="0.25">
      <c r="A117" s="91">
        <f t="shared" si="8"/>
        <v>0</v>
      </c>
      <c r="B117" s="37" t="str">
        <f t="shared" si="9"/>
        <v/>
      </c>
      <c r="C117" s="38"/>
      <c r="D117" s="38"/>
      <c r="E117" s="38"/>
      <c r="F117" s="38"/>
      <c r="G117" s="74"/>
      <c r="H117" s="92">
        <v>112</v>
      </c>
      <c r="I117" s="93" t="str">
        <f t="shared" si="10"/>
        <v/>
      </c>
      <c r="J117" s="92">
        <f t="shared" si="11"/>
        <v>-1</v>
      </c>
      <c r="K117" s="92">
        <f t="shared" si="12"/>
        <v>-10</v>
      </c>
      <c r="L117" s="92"/>
      <c r="M117" s="94">
        <f t="shared" si="13"/>
        <v>0</v>
      </c>
      <c r="N117" s="94">
        <f t="shared" si="14"/>
        <v>0</v>
      </c>
      <c r="O117" s="74"/>
      <c r="P117" s="74"/>
      <c r="Q117" s="74"/>
      <c r="R117" s="74"/>
      <c r="S117" s="74"/>
    </row>
    <row r="118" spans="1:20" s="79" customFormat="1" x14ac:dyDescent="0.25">
      <c r="A118" s="87">
        <f t="shared" si="8"/>
        <v>0</v>
      </c>
      <c r="B118" s="31" t="str">
        <f t="shared" si="9"/>
        <v/>
      </c>
      <c r="C118" s="32"/>
      <c r="D118" s="32"/>
      <c r="E118" s="32"/>
      <c r="F118" s="32"/>
      <c r="G118" s="74"/>
      <c r="H118" s="88">
        <v>113</v>
      </c>
      <c r="I118" s="89" t="str">
        <f t="shared" si="10"/>
        <v/>
      </c>
      <c r="J118" s="88">
        <f t="shared" si="11"/>
        <v>-1</v>
      </c>
      <c r="K118" s="88">
        <f t="shared" si="12"/>
        <v>-10</v>
      </c>
      <c r="L118" s="88"/>
      <c r="M118" s="90">
        <f t="shared" si="13"/>
        <v>0</v>
      </c>
      <c r="N118" s="90">
        <f t="shared" si="14"/>
        <v>0</v>
      </c>
      <c r="O118" s="74"/>
      <c r="P118" s="74"/>
      <c r="Q118" s="74"/>
      <c r="R118" s="74"/>
      <c r="S118" s="102"/>
      <c r="T118" s="103"/>
    </row>
    <row r="119" spans="1:20" s="79" customFormat="1" x14ac:dyDescent="0.25">
      <c r="A119" s="91">
        <f t="shared" si="8"/>
        <v>0</v>
      </c>
      <c r="B119" s="37" t="str">
        <f t="shared" si="9"/>
        <v/>
      </c>
      <c r="C119" s="38"/>
      <c r="D119" s="38"/>
      <c r="E119" s="38"/>
      <c r="F119" s="38"/>
      <c r="G119" s="74"/>
      <c r="H119" s="92">
        <v>114</v>
      </c>
      <c r="I119" s="93" t="str">
        <f t="shared" si="10"/>
        <v/>
      </c>
      <c r="J119" s="92">
        <f t="shared" si="11"/>
        <v>-1</v>
      </c>
      <c r="K119" s="92">
        <f t="shared" si="12"/>
        <v>-10</v>
      </c>
      <c r="L119" s="92"/>
      <c r="M119" s="94">
        <f t="shared" si="13"/>
        <v>0</v>
      </c>
      <c r="N119" s="94">
        <f t="shared" si="14"/>
        <v>0</v>
      </c>
      <c r="O119" s="74"/>
      <c r="P119" s="74"/>
      <c r="Q119" s="74"/>
      <c r="R119" s="74"/>
      <c r="S119" s="74"/>
    </row>
    <row r="120" spans="1:20" s="79" customFormat="1" x14ac:dyDescent="0.25">
      <c r="A120" s="87">
        <f t="shared" si="8"/>
        <v>0</v>
      </c>
      <c r="B120" s="31" t="str">
        <f t="shared" si="9"/>
        <v/>
      </c>
      <c r="C120" s="32"/>
      <c r="D120" s="32"/>
      <c r="E120" s="32"/>
      <c r="F120" s="32"/>
      <c r="G120" s="74"/>
      <c r="H120" s="88">
        <v>115</v>
      </c>
      <c r="I120" s="89" t="str">
        <f t="shared" si="10"/>
        <v/>
      </c>
      <c r="J120" s="88">
        <f t="shared" si="11"/>
        <v>-1</v>
      </c>
      <c r="K120" s="88">
        <f t="shared" si="12"/>
        <v>-10</v>
      </c>
      <c r="L120" s="88"/>
      <c r="M120" s="90">
        <f t="shared" si="13"/>
        <v>0</v>
      </c>
      <c r="N120" s="90">
        <f t="shared" si="14"/>
        <v>0</v>
      </c>
      <c r="O120" s="74"/>
      <c r="P120" s="74"/>
      <c r="Q120" s="74"/>
      <c r="R120" s="74"/>
      <c r="S120" s="102"/>
      <c r="T120" s="103"/>
    </row>
    <row r="121" spans="1:20" s="79" customFormat="1" x14ac:dyDescent="0.25">
      <c r="A121" s="91">
        <f t="shared" si="8"/>
        <v>0</v>
      </c>
      <c r="B121" s="37" t="str">
        <f t="shared" si="9"/>
        <v/>
      </c>
      <c r="C121" s="38"/>
      <c r="D121" s="38"/>
      <c r="E121" s="38"/>
      <c r="F121" s="38"/>
      <c r="G121" s="74"/>
      <c r="H121" s="92">
        <v>116</v>
      </c>
      <c r="I121" s="93" t="str">
        <f t="shared" si="10"/>
        <v/>
      </c>
      <c r="J121" s="92">
        <f t="shared" si="11"/>
        <v>-1</v>
      </c>
      <c r="K121" s="92">
        <f t="shared" si="12"/>
        <v>-10</v>
      </c>
      <c r="L121" s="92"/>
      <c r="M121" s="94">
        <f t="shared" si="13"/>
        <v>0</v>
      </c>
      <c r="N121" s="94">
        <f t="shared" si="14"/>
        <v>0</v>
      </c>
      <c r="O121" s="74"/>
      <c r="P121" s="74"/>
      <c r="Q121" s="74"/>
      <c r="R121" s="74"/>
      <c r="S121" s="74"/>
    </row>
    <row r="122" spans="1:20" s="79" customFormat="1" x14ac:dyDescent="0.25">
      <c r="A122" s="87">
        <f t="shared" si="8"/>
        <v>0</v>
      </c>
      <c r="B122" s="31" t="str">
        <f t="shared" si="9"/>
        <v/>
      </c>
      <c r="C122" s="32"/>
      <c r="D122" s="32"/>
      <c r="E122" s="32"/>
      <c r="F122" s="32"/>
      <c r="G122" s="74"/>
      <c r="H122" s="88">
        <v>117</v>
      </c>
      <c r="I122" s="89" t="str">
        <f t="shared" si="10"/>
        <v/>
      </c>
      <c r="J122" s="88">
        <f t="shared" si="11"/>
        <v>-1</v>
      </c>
      <c r="K122" s="88">
        <f t="shared" si="12"/>
        <v>-10</v>
      </c>
      <c r="L122" s="88"/>
      <c r="M122" s="90">
        <f t="shared" si="13"/>
        <v>0</v>
      </c>
      <c r="N122" s="90">
        <f t="shared" si="14"/>
        <v>0</v>
      </c>
      <c r="O122" s="74"/>
      <c r="P122" s="74"/>
      <c r="Q122" s="74"/>
      <c r="R122" s="74"/>
      <c r="S122" s="102"/>
      <c r="T122" s="103"/>
    </row>
    <row r="123" spans="1:20" s="79" customFormat="1" x14ac:dyDescent="0.25">
      <c r="A123" s="91">
        <f t="shared" si="8"/>
        <v>0</v>
      </c>
      <c r="B123" s="37" t="str">
        <f t="shared" si="9"/>
        <v/>
      </c>
      <c r="C123" s="38"/>
      <c r="D123" s="38"/>
      <c r="E123" s="38"/>
      <c r="F123" s="38"/>
      <c r="G123" s="74"/>
      <c r="H123" s="92">
        <v>118</v>
      </c>
      <c r="I123" s="93" t="str">
        <f t="shared" si="10"/>
        <v/>
      </c>
      <c r="J123" s="92">
        <f t="shared" si="11"/>
        <v>-1</v>
      </c>
      <c r="K123" s="92">
        <f t="shared" si="12"/>
        <v>-10</v>
      </c>
      <c r="L123" s="92"/>
      <c r="M123" s="94">
        <f t="shared" si="13"/>
        <v>0</v>
      </c>
      <c r="N123" s="94">
        <f t="shared" si="14"/>
        <v>0</v>
      </c>
      <c r="O123" s="74"/>
      <c r="P123" s="74"/>
      <c r="Q123" s="74"/>
      <c r="R123" s="74"/>
      <c r="S123" s="74"/>
    </row>
    <row r="124" spans="1:20" s="79" customFormat="1" x14ac:dyDescent="0.25">
      <c r="A124" s="87">
        <f t="shared" si="8"/>
        <v>0</v>
      </c>
      <c r="B124" s="31" t="str">
        <f t="shared" si="9"/>
        <v/>
      </c>
      <c r="C124" s="32"/>
      <c r="D124" s="32"/>
      <c r="E124" s="32"/>
      <c r="F124" s="32"/>
      <c r="G124" s="74"/>
      <c r="H124" s="88">
        <v>119</v>
      </c>
      <c r="I124" s="89" t="str">
        <f t="shared" si="10"/>
        <v/>
      </c>
      <c r="J124" s="88">
        <f t="shared" si="11"/>
        <v>-1</v>
      </c>
      <c r="K124" s="88">
        <f t="shared" si="12"/>
        <v>-10</v>
      </c>
      <c r="L124" s="88"/>
      <c r="M124" s="90">
        <f t="shared" si="13"/>
        <v>0</v>
      </c>
      <c r="N124" s="90">
        <f t="shared" si="14"/>
        <v>0</v>
      </c>
      <c r="O124" s="74"/>
      <c r="P124" s="74"/>
      <c r="Q124" s="74"/>
      <c r="R124" s="74"/>
      <c r="S124" s="102"/>
      <c r="T124" s="103"/>
    </row>
    <row r="125" spans="1:20" s="79" customFormat="1" x14ac:dyDescent="0.25">
      <c r="A125" s="91">
        <f t="shared" si="8"/>
        <v>0</v>
      </c>
      <c r="B125" s="37" t="str">
        <f t="shared" si="9"/>
        <v/>
      </c>
      <c r="C125" s="38"/>
      <c r="D125" s="38"/>
      <c r="E125" s="38"/>
      <c r="F125" s="38"/>
      <c r="G125" s="74"/>
      <c r="H125" s="92">
        <v>120</v>
      </c>
      <c r="I125" s="93" t="str">
        <f t="shared" si="10"/>
        <v/>
      </c>
      <c r="J125" s="92">
        <f t="shared" si="11"/>
        <v>-1</v>
      </c>
      <c r="K125" s="92">
        <f t="shared" si="12"/>
        <v>-10</v>
      </c>
      <c r="L125" s="92"/>
      <c r="M125" s="94">
        <f t="shared" si="13"/>
        <v>0</v>
      </c>
      <c r="N125" s="94">
        <f t="shared" si="14"/>
        <v>0</v>
      </c>
      <c r="O125" s="74"/>
      <c r="P125" s="74"/>
      <c r="Q125" s="74"/>
      <c r="R125" s="74"/>
      <c r="S125" s="74"/>
    </row>
    <row r="126" spans="1:20" s="79" customFormat="1" x14ac:dyDescent="0.25">
      <c r="A126" s="87">
        <f t="shared" si="8"/>
        <v>0</v>
      </c>
      <c r="B126" s="31" t="str">
        <f t="shared" si="9"/>
        <v/>
      </c>
      <c r="C126" s="32"/>
      <c r="D126" s="32"/>
      <c r="E126" s="32"/>
      <c r="F126" s="32"/>
      <c r="G126" s="74"/>
      <c r="H126" s="88">
        <v>121</v>
      </c>
      <c r="I126" s="89" t="str">
        <f t="shared" si="10"/>
        <v/>
      </c>
      <c r="J126" s="88">
        <f t="shared" si="11"/>
        <v>-1</v>
      </c>
      <c r="K126" s="88">
        <f t="shared" si="12"/>
        <v>-10</v>
      </c>
      <c r="L126" s="88"/>
      <c r="M126" s="90">
        <f t="shared" si="13"/>
        <v>0</v>
      </c>
      <c r="N126" s="90">
        <f t="shared" si="14"/>
        <v>0</v>
      </c>
      <c r="O126" s="74"/>
      <c r="P126" s="74"/>
      <c r="Q126" s="74"/>
      <c r="R126" s="74"/>
      <c r="S126" s="102"/>
      <c r="T126" s="103"/>
    </row>
    <row r="127" spans="1:20" s="79" customFormat="1" x14ac:dyDescent="0.25">
      <c r="A127" s="91">
        <f t="shared" si="8"/>
        <v>0</v>
      </c>
      <c r="B127" s="37" t="str">
        <f t="shared" si="9"/>
        <v/>
      </c>
      <c r="C127" s="38"/>
      <c r="D127" s="38"/>
      <c r="E127" s="38"/>
      <c r="F127" s="38"/>
      <c r="G127" s="74"/>
      <c r="H127" s="92">
        <v>122</v>
      </c>
      <c r="I127" s="93" t="str">
        <f t="shared" si="10"/>
        <v/>
      </c>
      <c r="J127" s="92">
        <f t="shared" si="11"/>
        <v>-1</v>
      </c>
      <c r="K127" s="92">
        <f t="shared" si="12"/>
        <v>-10</v>
      </c>
      <c r="L127" s="92"/>
      <c r="M127" s="94">
        <f t="shared" si="13"/>
        <v>0</v>
      </c>
      <c r="N127" s="94">
        <f t="shared" si="14"/>
        <v>0</v>
      </c>
      <c r="O127" s="74"/>
      <c r="P127" s="74"/>
      <c r="Q127" s="74"/>
      <c r="R127" s="74"/>
      <c r="S127" s="74"/>
    </row>
    <row r="128" spans="1:20" s="79" customFormat="1" x14ac:dyDescent="0.25">
      <c r="A128" s="87">
        <f t="shared" si="8"/>
        <v>0</v>
      </c>
      <c r="B128" s="31" t="str">
        <f t="shared" si="9"/>
        <v/>
      </c>
      <c r="C128" s="32"/>
      <c r="D128" s="32"/>
      <c r="E128" s="32"/>
      <c r="F128" s="32"/>
      <c r="G128" s="74"/>
      <c r="H128" s="88">
        <v>123</v>
      </c>
      <c r="I128" s="89" t="str">
        <f t="shared" si="10"/>
        <v/>
      </c>
      <c r="J128" s="88">
        <f t="shared" si="11"/>
        <v>-1</v>
      </c>
      <c r="K128" s="88">
        <f t="shared" si="12"/>
        <v>-10</v>
      </c>
      <c r="L128" s="88"/>
      <c r="M128" s="90">
        <f t="shared" si="13"/>
        <v>0</v>
      </c>
      <c r="N128" s="90">
        <f t="shared" si="14"/>
        <v>0</v>
      </c>
      <c r="O128" s="74"/>
      <c r="P128" s="74"/>
      <c r="Q128" s="74"/>
      <c r="R128" s="74"/>
      <c r="S128" s="102"/>
      <c r="T128" s="103"/>
    </row>
    <row r="129" spans="1:20" s="79" customFormat="1" x14ac:dyDescent="0.25">
      <c r="A129" s="91">
        <f t="shared" si="8"/>
        <v>0</v>
      </c>
      <c r="B129" s="37" t="str">
        <f t="shared" si="9"/>
        <v/>
      </c>
      <c r="C129" s="38"/>
      <c r="D129" s="38"/>
      <c r="E129" s="38"/>
      <c r="F129" s="38"/>
      <c r="G129" s="74"/>
      <c r="H129" s="92">
        <v>124</v>
      </c>
      <c r="I129" s="93" t="str">
        <f t="shared" si="10"/>
        <v/>
      </c>
      <c r="J129" s="92">
        <f t="shared" si="11"/>
        <v>-1</v>
      </c>
      <c r="K129" s="92">
        <f t="shared" si="12"/>
        <v>-10</v>
      </c>
      <c r="L129" s="92"/>
      <c r="M129" s="94">
        <f t="shared" si="13"/>
        <v>0</v>
      </c>
      <c r="N129" s="94">
        <f t="shared" si="14"/>
        <v>0</v>
      </c>
      <c r="O129" s="74"/>
      <c r="P129" s="74"/>
      <c r="Q129" s="74"/>
      <c r="R129" s="74"/>
      <c r="S129" s="74"/>
    </row>
    <row r="130" spans="1:20" s="79" customFormat="1" x14ac:dyDescent="0.25">
      <c r="A130" s="87">
        <f t="shared" si="8"/>
        <v>0</v>
      </c>
      <c r="B130" s="31" t="str">
        <f t="shared" si="9"/>
        <v/>
      </c>
      <c r="C130" s="32"/>
      <c r="D130" s="32"/>
      <c r="E130" s="32"/>
      <c r="F130" s="32"/>
      <c r="G130" s="74"/>
      <c r="H130" s="88">
        <v>125</v>
      </c>
      <c r="I130" s="89" t="str">
        <f t="shared" si="10"/>
        <v/>
      </c>
      <c r="J130" s="88">
        <f t="shared" si="11"/>
        <v>-1</v>
      </c>
      <c r="K130" s="88">
        <f t="shared" si="12"/>
        <v>-10</v>
      </c>
      <c r="L130" s="88"/>
      <c r="M130" s="90">
        <f t="shared" si="13"/>
        <v>0</v>
      </c>
      <c r="N130" s="90">
        <f t="shared" si="14"/>
        <v>0</v>
      </c>
      <c r="O130" s="74"/>
      <c r="P130" s="74"/>
      <c r="Q130" s="74"/>
      <c r="R130" s="74"/>
      <c r="S130" s="102"/>
      <c r="T130" s="103"/>
    </row>
    <row r="131" spans="1:20" s="79" customFormat="1" x14ac:dyDescent="0.25">
      <c r="A131" s="91">
        <f t="shared" si="8"/>
        <v>0</v>
      </c>
      <c r="B131" s="37" t="str">
        <f t="shared" si="9"/>
        <v/>
      </c>
      <c r="C131" s="38"/>
      <c r="D131" s="38"/>
      <c r="E131" s="38"/>
      <c r="F131" s="38"/>
      <c r="G131" s="74"/>
      <c r="H131" s="92">
        <v>126</v>
      </c>
      <c r="I131" s="93" t="str">
        <f t="shared" si="10"/>
        <v/>
      </c>
      <c r="J131" s="92">
        <f t="shared" si="11"/>
        <v>-1</v>
      </c>
      <c r="K131" s="92">
        <f t="shared" si="12"/>
        <v>-10</v>
      </c>
      <c r="L131" s="92"/>
      <c r="M131" s="94">
        <f t="shared" si="13"/>
        <v>0</v>
      </c>
      <c r="N131" s="94">
        <f t="shared" si="14"/>
        <v>0</v>
      </c>
      <c r="O131" s="74"/>
      <c r="P131" s="74"/>
      <c r="Q131" s="74"/>
      <c r="R131" s="74"/>
      <c r="S131" s="74"/>
    </row>
    <row r="132" spans="1:20" s="79" customFormat="1" x14ac:dyDescent="0.25">
      <c r="A132" s="87">
        <f t="shared" si="8"/>
        <v>0</v>
      </c>
      <c r="B132" s="31" t="str">
        <f t="shared" si="9"/>
        <v/>
      </c>
      <c r="C132" s="32"/>
      <c r="D132" s="32"/>
      <c r="E132" s="32"/>
      <c r="F132" s="32"/>
      <c r="G132" s="74"/>
      <c r="H132" s="88">
        <v>127</v>
      </c>
      <c r="I132" s="89" t="str">
        <f t="shared" si="10"/>
        <v/>
      </c>
      <c r="J132" s="88">
        <f t="shared" si="11"/>
        <v>-1</v>
      </c>
      <c r="K132" s="88">
        <f t="shared" si="12"/>
        <v>-10</v>
      </c>
      <c r="L132" s="88"/>
      <c r="M132" s="90">
        <f t="shared" si="13"/>
        <v>0</v>
      </c>
      <c r="N132" s="90">
        <f t="shared" si="14"/>
        <v>0</v>
      </c>
      <c r="O132" s="74"/>
      <c r="P132" s="74"/>
      <c r="Q132" s="74"/>
      <c r="R132" s="74"/>
      <c r="S132" s="102"/>
      <c r="T132" s="103"/>
    </row>
    <row r="133" spans="1:20" s="79" customFormat="1" x14ac:dyDescent="0.25">
      <c r="A133" s="91">
        <f t="shared" si="8"/>
        <v>0</v>
      </c>
      <c r="B133" s="37" t="str">
        <f t="shared" si="9"/>
        <v/>
      </c>
      <c r="C133" s="38"/>
      <c r="D133" s="38"/>
      <c r="E133" s="38"/>
      <c r="F133" s="38"/>
      <c r="G133" s="74"/>
      <c r="H133" s="92">
        <v>128</v>
      </c>
      <c r="I133" s="93" t="str">
        <f t="shared" si="10"/>
        <v/>
      </c>
      <c r="J133" s="92">
        <f t="shared" si="11"/>
        <v>-1</v>
      </c>
      <c r="K133" s="92">
        <f t="shared" si="12"/>
        <v>-10</v>
      </c>
      <c r="L133" s="92"/>
      <c r="M133" s="94">
        <f t="shared" si="13"/>
        <v>0</v>
      </c>
      <c r="N133" s="94">
        <f t="shared" si="14"/>
        <v>0</v>
      </c>
      <c r="O133" s="74"/>
      <c r="P133" s="74"/>
      <c r="Q133" s="74"/>
      <c r="R133" s="74"/>
      <c r="S133" s="74"/>
    </row>
    <row r="134" spans="1:20" s="79" customFormat="1" x14ac:dyDescent="0.25">
      <c r="A134" s="87">
        <f t="shared" ref="A134:A197" si="15">N134</f>
        <v>0</v>
      </c>
      <c r="B134" s="31" t="str">
        <f t="shared" ref="B134:B147" si="16">IF(H134&gt;$H$2,"",(ROW()-5))</f>
        <v/>
      </c>
      <c r="C134" s="32"/>
      <c r="D134" s="32"/>
      <c r="E134" s="32"/>
      <c r="F134" s="32"/>
      <c r="G134" s="74"/>
      <c r="H134" s="88">
        <v>129</v>
      </c>
      <c r="I134" s="89" t="str">
        <f t="shared" ref="I134:I197" si="17">IF(H134&lt;$H$2+1,($I$2-($I$2-1)*(LOG(H134)/LOG($H$2))),"")</f>
        <v/>
      </c>
      <c r="J134" s="88">
        <f t="shared" ref="J134:J197" si="18">INT(LOG($H$2,2))-ROUNDUP(LOG(H134,2),0)+IF(OR($H$2=1,$H$2=2,$H$2=4,$H$2=8,$H$2=16,$H$2=32,$H$2=64,$H$2=128,$H$2=256),0,1)</f>
        <v>-2</v>
      </c>
      <c r="K134" s="88">
        <f t="shared" ref="K134:K197" si="19">J134*$J$2</f>
        <v>-20</v>
      </c>
      <c r="L134" s="88"/>
      <c r="M134" s="90">
        <f t="shared" ref="M134:M197" si="20">IF(I134&lt;&gt;"",K134+I134+L134,0)</f>
        <v>0</v>
      </c>
      <c r="N134" s="90">
        <f t="shared" ref="N134:N197" si="21">IF(I134&lt;&gt;"",M134*L$2,0)</f>
        <v>0</v>
      </c>
      <c r="O134" s="74"/>
      <c r="P134" s="74"/>
      <c r="Q134" s="74"/>
      <c r="R134" s="74"/>
      <c r="S134" s="102"/>
      <c r="T134" s="103"/>
    </row>
    <row r="135" spans="1:20" s="79" customFormat="1" x14ac:dyDescent="0.25">
      <c r="A135" s="91">
        <f t="shared" si="15"/>
        <v>0</v>
      </c>
      <c r="B135" s="37" t="str">
        <f t="shared" si="16"/>
        <v/>
      </c>
      <c r="C135" s="38"/>
      <c r="D135" s="38"/>
      <c r="E135" s="38"/>
      <c r="F135" s="38"/>
      <c r="G135" s="74"/>
      <c r="H135" s="92">
        <v>130</v>
      </c>
      <c r="I135" s="93" t="str">
        <f t="shared" si="17"/>
        <v/>
      </c>
      <c r="J135" s="92">
        <f t="shared" si="18"/>
        <v>-2</v>
      </c>
      <c r="K135" s="92">
        <f t="shared" si="19"/>
        <v>-20</v>
      </c>
      <c r="L135" s="92"/>
      <c r="M135" s="94">
        <f t="shared" si="20"/>
        <v>0</v>
      </c>
      <c r="N135" s="94">
        <f t="shared" si="21"/>
        <v>0</v>
      </c>
      <c r="O135" s="74"/>
      <c r="P135" s="74"/>
      <c r="Q135" s="74"/>
      <c r="R135" s="74"/>
      <c r="S135" s="74"/>
    </row>
    <row r="136" spans="1:20" s="79" customFormat="1" x14ac:dyDescent="0.25">
      <c r="A136" s="87">
        <f t="shared" si="15"/>
        <v>0</v>
      </c>
      <c r="B136" s="31" t="str">
        <f t="shared" si="16"/>
        <v/>
      </c>
      <c r="C136" s="32"/>
      <c r="D136" s="32"/>
      <c r="E136" s="32"/>
      <c r="F136" s="32"/>
      <c r="G136" s="74"/>
      <c r="H136" s="88">
        <v>131</v>
      </c>
      <c r="I136" s="89" t="str">
        <f t="shared" si="17"/>
        <v/>
      </c>
      <c r="J136" s="88">
        <f t="shared" si="18"/>
        <v>-2</v>
      </c>
      <c r="K136" s="88">
        <f t="shared" si="19"/>
        <v>-20</v>
      </c>
      <c r="L136" s="88"/>
      <c r="M136" s="90">
        <f t="shared" si="20"/>
        <v>0</v>
      </c>
      <c r="N136" s="90">
        <f t="shared" si="21"/>
        <v>0</v>
      </c>
      <c r="O136" s="74"/>
      <c r="P136" s="74"/>
      <c r="Q136" s="74"/>
      <c r="R136" s="74"/>
      <c r="S136" s="102"/>
      <c r="T136" s="103"/>
    </row>
    <row r="137" spans="1:20" s="79" customFormat="1" x14ac:dyDescent="0.25">
      <c r="A137" s="91">
        <f t="shared" si="15"/>
        <v>0</v>
      </c>
      <c r="B137" s="37" t="str">
        <f t="shared" si="16"/>
        <v/>
      </c>
      <c r="C137" s="38"/>
      <c r="D137" s="38"/>
      <c r="E137" s="38"/>
      <c r="F137" s="38"/>
      <c r="G137" s="74"/>
      <c r="H137" s="92">
        <v>132</v>
      </c>
      <c r="I137" s="93" t="str">
        <f t="shared" si="17"/>
        <v/>
      </c>
      <c r="J137" s="92">
        <f t="shared" si="18"/>
        <v>-2</v>
      </c>
      <c r="K137" s="92">
        <f t="shared" si="19"/>
        <v>-20</v>
      </c>
      <c r="L137" s="92"/>
      <c r="M137" s="94">
        <f t="shared" si="20"/>
        <v>0</v>
      </c>
      <c r="N137" s="94">
        <f t="shared" si="21"/>
        <v>0</v>
      </c>
      <c r="O137" s="74"/>
      <c r="P137" s="74"/>
      <c r="Q137" s="74"/>
      <c r="R137" s="74"/>
      <c r="S137" s="74"/>
    </row>
    <row r="138" spans="1:20" s="79" customFormat="1" x14ac:dyDescent="0.25">
      <c r="A138" s="87">
        <f t="shared" si="15"/>
        <v>0</v>
      </c>
      <c r="B138" s="31" t="str">
        <f t="shared" si="16"/>
        <v/>
      </c>
      <c r="C138" s="32"/>
      <c r="D138" s="32"/>
      <c r="E138" s="32"/>
      <c r="F138" s="32"/>
      <c r="G138" s="74"/>
      <c r="H138" s="88">
        <v>133</v>
      </c>
      <c r="I138" s="89" t="str">
        <f t="shared" si="17"/>
        <v/>
      </c>
      <c r="J138" s="88">
        <f t="shared" si="18"/>
        <v>-2</v>
      </c>
      <c r="K138" s="88">
        <f t="shared" si="19"/>
        <v>-20</v>
      </c>
      <c r="L138" s="88"/>
      <c r="M138" s="90">
        <f t="shared" si="20"/>
        <v>0</v>
      </c>
      <c r="N138" s="90">
        <f t="shared" si="21"/>
        <v>0</v>
      </c>
      <c r="O138" s="74"/>
      <c r="P138" s="74"/>
      <c r="Q138" s="74"/>
      <c r="R138" s="74"/>
      <c r="S138" s="102"/>
      <c r="T138" s="103"/>
    </row>
    <row r="139" spans="1:20" s="79" customFormat="1" x14ac:dyDescent="0.25">
      <c r="A139" s="91">
        <f t="shared" si="15"/>
        <v>0</v>
      </c>
      <c r="B139" s="37" t="str">
        <f t="shared" si="16"/>
        <v/>
      </c>
      <c r="C139" s="38"/>
      <c r="D139" s="38"/>
      <c r="E139" s="38"/>
      <c r="F139" s="38"/>
      <c r="G139" s="74"/>
      <c r="H139" s="92">
        <v>134</v>
      </c>
      <c r="I139" s="93" t="str">
        <f t="shared" si="17"/>
        <v/>
      </c>
      <c r="J139" s="92">
        <f t="shared" si="18"/>
        <v>-2</v>
      </c>
      <c r="K139" s="92">
        <f t="shared" si="19"/>
        <v>-20</v>
      </c>
      <c r="L139" s="92"/>
      <c r="M139" s="94">
        <f t="shared" si="20"/>
        <v>0</v>
      </c>
      <c r="N139" s="94">
        <f t="shared" si="21"/>
        <v>0</v>
      </c>
      <c r="O139" s="74"/>
      <c r="P139" s="74"/>
      <c r="Q139" s="74"/>
      <c r="R139" s="74"/>
      <c r="S139" s="74"/>
    </row>
    <row r="140" spans="1:20" s="79" customFormat="1" x14ac:dyDescent="0.25">
      <c r="A140" s="87">
        <f t="shared" si="15"/>
        <v>0</v>
      </c>
      <c r="B140" s="31" t="str">
        <f t="shared" si="16"/>
        <v/>
      </c>
      <c r="C140" s="32"/>
      <c r="D140" s="32"/>
      <c r="E140" s="32"/>
      <c r="F140" s="32"/>
      <c r="G140" s="74"/>
      <c r="H140" s="88">
        <v>135</v>
      </c>
      <c r="I140" s="89" t="str">
        <f t="shared" si="17"/>
        <v/>
      </c>
      <c r="J140" s="88">
        <f t="shared" si="18"/>
        <v>-2</v>
      </c>
      <c r="K140" s="88">
        <f t="shared" si="19"/>
        <v>-20</v>
      </c>
      <c r="L140" s="88"/>
      <c r="M140" s="90">
        <f t="shared" si="20"/>
        <v>0</v>
      </c>
      <c r="N140" s="90">
        <f t="shared" si="21"/>
        <v>0</v>
      </c>
      <c r="O140" s="74"/>
      <c r="P140" s="74"/>
      <c r="Q140" s="74"/>
      <c r="R140" s="74"/>
      <c r="S140" s="102"/>
      <c r="T140" s="103"/>
    </row>
    <row r="141" spans="1:20" s="79" customFormat="1" x14ac:dyDescent="0.25">
      <c r="A141" s="91">
        <f t="shared" si="15"/>
        <v>0</v>
      </c>
      <c r="B141" s="37" t="str">
        <f t="shared" si="16"/>
        <v/>
      </c>
      <c r="C141" s="38"/>
      <c r="D141" s="38"/>
      <c r="E141" s="38"/>
      <c r="F141" s="38"/>
      <c r="G141" s="74"/>
      <c r="H141" s="92">
        <v>136</v>
      </c>
      <c r="I141" s="93" t="str">
        <f t="shared" si="17"/>
        <v/>
      </c>
      <c r="J141" s="92">
        <f t="shared" si="18"/>
        <v>-2</v>
      </c>
      <c r="K141" s="92">
        <f t="shared" si="19"/>
        <v>-20</v>
      </c>
      <c r="L141" s="92"/>
      <c r="M141" s="94">
        <f t="shared" si="20"/>
        <v>0</v>
      </c>
      <c r="N141" s="94">
        <f t="shared" si="21"/>
        <v>0</v>
      </c>
      <c r="O141" s="74"/>
      <c r="P141" s="74"/>
      <c r="Q141" s="74"/>
      <c r="R141" s="74"/>
      <c r="S141" s="74"/>
    </row>
    <row r="142" spans="1:20" s="79" customFormat="1" x14ac:dyDescent="0.25">
      <c r="A142" s="87">
        <f t="shared" si="15"/>
        <v>0</v>
      </c>
      <c r="B142" s="31" t="str">
        <f t="shared" si="16"/>
        <v/>
      </c>
      <c r="C142" s="32"/>
      <c r="D142" s="32"/>
      <c r="E142" s="32"/>
      <c r="F142" s="32"/>
      <c r="G142" s="74"/>
      <c r="H142" s="88">
        <v>137</v>
      </c>
      <c r="I142" s="89" t="str">
        <f t="shared" si="17"/>
        <v/>
      </c>
      <c r="J142" s="88">
        <f t="shared" si="18"/>
        <v>-2</v>
      </c>
      <c r="K142" s="88">
        <f t="shared" si="19"/>
        <v>-20</v>
      </c>
      <c r="L142" s="88"/>
      <c r="M142" s="90">
        <f t="shared" si="20"/>
        <v>0</v>
      </c>
      <c r="N142" s="90">
        <f t="shared" si="21"/>
        <v>0</v>
      </c>
      <c r="O142" s="74"/>
      <c r="P142" s="74"/>
      <c r="Q142" s="74"/>
      <c r="R142" s="74"/>
      <c r="S142" s="102"/>
      <c r="T142" s="103"/>
    </row>
    <row r="143" spans="1:20" s="79" customFormat="1" x14ac:dyDescent="0.25">
      <c r="A143" s="91">
        <f t="shared" si="15"/>
        <v>0</v>
      </c>
      <c r="B143" s="37" t="str">
        <f t="shared" si="16"/>
        <v/>
      </c>
      <c r="C143" s="38"/>
      <c r="D143" s="38"/>
      <c r="E143" s="38"/>
      <c r="F143" s="38"/>
      <c r="G143" s="74"/>
      <c r="H143" s="92">
        <v>138</v>
      </c>
      <c r="I143" s="93" t="str">
        <f t="shared" si="17"/>
        <v/>
      </c>
      <c r="J143" s="92">
        <f t="shared" si="18"/>
        <v>-2</v>
      </c>
      <c r="K143" s="92">
        <f t="shared" si="19"/>
        <v>-20</v>
      </c>
      <c r="L143" s="92"/>
      <c r="M143" s="94">
        <f t="shared" si="20"/>
        <v>0</v>
      </c>
      <c r="N143" s="94">
        <f t="shared" si="21"/>
        <v>0</v>
      </c>
      <c r="O143" s="74"/>
      <c r="P143" s="74"/>
      <c r="Q143" s="74"/>
      <c r="R143" s="74"/>
      <c r="S143" s="74"/>
    </row>
    <row r="144" spans="1:20" s="79" customFormat="1" x14ac:dyDescent="0.25">
      <c r="A144" s="87">
        <f t="shared" si="15"/>
        <v>0</v>
      </c>
      <c r="B144" s="31" t="str">
        <f t="shared" si="16"/>
        <v/>
      </c>
      <c r="C144" s="32"/>
      <c r="D144" s="32"/>
      <c r="E144" s="32"/>
      <c r="F144" s="32"/>
      <c r="G144" s="74"/>
      <c r="H144" s="88">
        <v>139</v>
      </c>
      <c r="I144" s="89" t="str">
        <f t="shared" si="17"/>
        <v/>
      </c>
      <c r="J144" s="88">
        <f t="shared" si="18"/>
        <v>-2</v>
      </c>
      <c r="K144" s="88">
        <f t="shared" si="19"/>
        <v>-20</v>
      </c>
      <c r="L144" s="88"/>
      <c r="M144" s="90">
        <f t="shared" si="20"/>
        <v>0</v>
      </c>
      <c r="N144" s="90">
        <f t="shared" si="21"/>
        <v>0</v>
      </c>
      <c r="O144" s="74"/>
      <c r="P144" s="74"/>
      <c r="Q144" s="74"/>
      <c r="R144" s="74"/>
      <c r="S144" s="102"/>
      <c r="T144" s="103"/>
    </row>
    <row r="145" spans="1:20" s="79" customFormat="1" x14ac:dyDescent="0.25">
      <c r="A145" s="91">
        <f t="shared" si="15"/>
        <v>0</v>
      </c>
      <c r="B145" s="37" t="str">
        <f t="shared" si="16"/>
        <v/>
      </c>
      <c r="C145" s="38"/>
      <c r="D145" s="38"/>
      <c r="E145" s="38"/>
      <c r="F145" s="38"/>
      <c r="G145" s="74"/>
      <c r="H145" s="92">
        <v>140</v>
      </c>
      <c r="I145" s="93" t="str">
        <f t="shared" si="17"/>
        <v/>
      </c>
      <c r="J145" s="92">
        <f t="shared" si="18"/>
        <v>-2</v>
      </c>
      <c r="K145" s="92">
        <f t="shared" si="19"/>
        <v>-20</v>
      </c>
      <c r="L145" s="92"/>
      <c r="M145" s="94">
        <f t="shared" si="20"/>
        <v>0</v>
      </c>
      <c r="N145" s="94">
        <f t="shared" si="21"/>
        <v>0</v>
      </c>
      <c r="O145" s="74"/>
      <c r="P145" s="74"/>
      <c r="Q145" s="74"/>
      <c r="R145" s="74"/>
      <c r="S145" s="74"/>
    </row>
    <row r="146" spans="1:20" s="79" customFormat="1" x14ac:dyDescent="0.25">
      <c r="A146" s="87">
        <f t="shared" si="15"/>
        <v>0</v>
      </c>
      <c r="B146" s="31" t="str">
        <f t="shared" si="16"/>
        <v/>
      </c>
      <c r="C146" s="32"/>
      <c r="D146" s="32"/>
      <c r="E146" s="32"/>
      <c r="F146" s="32"/>
      <c r="G146" s="74"/>
      <c r="H146" s="88">
        <v>141</v>
      </c>
      <c r="I146" s="89" t="str">
        <f t="shared" si="17"/>
        <v/>
      </c>
      <c r="J146" s="88">
        <f t="shared" si="18"/>
        <v>-2</v>
      </c>
      <c r="K146" s="88">
        <f t="shared" si="19"/>
        <v>-20</v>
      </c>
      <c r="L146" s="88"/>
      <c r="M146" s="90">
        <f t="shared" si="20"/>
        <v>0</v>
      </c>
      <c r="N146" s="90">
        <f t="shared" si="21"/>
        <v>0</v>
      </c>
      <c r="O146" s="74"/>
      <c r="P146" s="74"/>
      <c r="Q146" s="74"/>
      <c r="R146" s="74"/>
      <c r="S146" s="102"/>
      <c r="T146" s="103"/>
    </row>
    <row r="147" spans="1:20" s="79" customFormat="1" x14ac:dyDescent="0.25">
      <c r="A147" s="91">
        <f t="shared" si="15"/>
        <v>0</v>
      </c>
      <c r="B147" s="37" t="str">
        <f t="shared" si="16"/>
        <v/>
      </c>
      <c r="C147" s="38"/>
      <c r="D147" s="38"/>
      <c r="E147" s="38"/>
      <c r="F147" s="38"/>
      <c r="G147" s="74"/>
      <c r="H147" s="92">
        <v>142</v>
      </c>
      <c r="I147" s="93" t="str">
        <f t="shared" si="17"/>
        <v/>
      </c>
      <c r="J147" s="92">
        <f t="shared" si="18"/>
        <v>-2</v>
      </c>
      <c r="K147" s="92">
        <f t="shared" si="19"/>
        <v>-20</v>
      </c>
      <c r="L147" s="92"/>
      <c r="M147" s="94">
        <f t="shared" si="20"/>
        <v>0</v>
      </c>
      <c r="N147" s="94">
        <f t="shared" si="21"/>
        <v>0</v>
      </c>
      <c r="O147" s="74"/>
      <c r="P147" s="74"/>
      <c r="Q147" s="74"/>
      <c r="R147" s="74"/>
      <c r="S147" s="74"/>
    </row>
    <row r="148" spans="1:20" s="79" customFormat="1" x14ac:dyDescent="0.25">
      <c r="A148" s="87">
        <f t="shared" si="15"/>
        <v>0</v>
      </c>
      <c r="B148" s="31" t="str">
        <f t="shared" ref="B148:B201" si="22">IF(H148&gt;$H$2,"",(ROW()-5))</f>
        <v/>
      </c>
      <c r="C148" s="32"/>
      <c r="D148" s="32"/>
      <c r="E148" s="32"/>
      <c r="F148" s="32"/>
      <c r="G148" s="74"/>
      <c r="H148" s="88">
        <v>143</v>
      </c>
      <c r="I148" s="89" t="str">
        <f t="shared" si="17"/>
        <v/>
      </c>
      <c r="J148" s="88">
        <f t="shared" si="18"/>
        <v>-2</v>
      </c>
      <c r="K148" s="88">
        <f t="shared" si="19"/>
        <v>-20</v>
      </c>
      <c r="L148" s="88"/>
      <c r="M148" s="90">
        <f t="shared" si="20"/>
        <v>0</v>
      </c>
      <c r="N148" s="90">
        <f t="shared" si="21"/>
        <v>0</v>
      </c>
      <c r="O148" s="74"/>
      <c r="P148" s="74"/>
      <c r="Q148" s="74"/>
      <c r="R148" s="74"/>
      <c r="S148" s="102"/>
      <c r="T148" s="103"/>
    </row>
    <row r="149" spans="1:20" s="79" customFormat="1" x14ac:dyDescent="0.25">
      <c r="A149" s="91">
        <f t="shared" si="15"/>
        <v>0</v>
      </c>
      <c r="B149" s="37" t="str">
        <f t="shared" si="22"/>
        <v/>
      </c>
      <c r="C149" s="38"/>
      <c r="D149" s="38"/>
      <c r="E149" s="38"/>
      <c r="F149" s="38"/>
      <c r="G149" s="74"/>
      <c r="H149" s="92">
        <v>144</v>
      </c>
      <c r="I149" s="93" t="str">
        <f t="shared" si="17"/>
        <v/>
      </c>
      <c r="J149" s="92">
        <f t="shared" si="18"/>
        <v>-2</v>
      </c>
      <c r="K149" s="92">
        <f t="shared" si="19"/>
        <v>-20</v>
      </c>
      <c r="L149" s="92"/>
      <c r="M149" s="94">
        <f t="shared" si="20"/>
        <v>0</v>
      </c>
      <c r="N149" s="94">
        <f t="shared" si="21"/>
        <v>0</v>
      </c>
      <c r="O149" s="74"/>
      <c r="P149" s="74"/>
      <c r="Q149" s="74"/>
      <c r="R149" s="74"/>
      <c r="S149" s="74"/>
    </row>
    <row r="150" spans="1:20" s="79" customFormat="1" x14ac:dyDescent="0.25">
      <c r="A150" s="87">
        <f t="shared" si="15"/>
        <v>0</v>
      </c>
      <c r="B150" s="31" t="str">
        <f t="shared" si="22"/>
        <v/>
      </c>
      <c r="C150" s="32"/>
      <c r="D150" s="32"/>
      <c r="E150" s="32"/>
      <c r="F150" s="32"/>
      <c r="G150" s="74"/>
      <c r="H150" s="88">
        <v>145</v>
      </c>
      <c r="I150" s="89" t="str">
        <f t="shared" si="17"/>
        <v/>
      </c>
      <c r="J150" s="88">
        <f t="shared" si="18"/>
        <v>-2</v>
      </c>
      <c r="K150" s="88">
        <f t="shared" si="19"/>
        <v>-20</v>
      </c>
      <c r="L150" s="88"/>
      <c r="M150" s="90">
        <f t="shared" si="20"/>
        <v>0</v>
      </c>
      <c r="N150" s="90">
        <f t="shared" si="21"/>
        <v>0</v>
      </c>
      <c r="O150" s="74"/>
      <c r="P150" s="74"/>
      <c r="Q150" s="74"/>
      <c r="R150" s="74"/>
      <c r="S150" s="102"/>
      <c r="T150" s="103"/>
    </row>
    <row r="151" spans="1:20" s="79" customFormat="1" x14ac:dyDescent="0.25">
      <c r="A151" s="91">
        <f t="shared" si="15"/>
        <v>0</v>
      </c>
      <c r="B151" s="37" t="str">
        <f t="shared" si="22"/>
        <v/>
      </c>
      <c r="C151" s="38"/>
      <c r="D151" s="38"/>
      <c r="E151" s="38"/>
      <c r="F151" s="38"/>
      <c r="G151" s="74"/>
      <c r="H151" s="92">
        <v>146</v>
      </c>
      <c r="I151" s="93" t="str">
        <f t="shared" si="17"/>
        <v/>
      </c>
      <c r="J151" s="92">
        <f t="shared" si="18"/>
        <v>-2</v>
      </c>
      <c r="K151" s="92">
        <f t="shared" si="19"/>
        <v>-20</v>
      </c>
      <c r="L151" s="92"/>
      <c r="M151" s="94">
        <f t="shared" si="20"/>
        <v>0</v>
      </c>
      <c r="N151" s="94">
        <f t="shared" si="21"/>
        <v>0</v>
      </c>
      <c r="O151" s="74"/>
      <c r="P151" s="74"/>
      <c r="Q151" s="74"/>
      <c r="R151" s="74"/>
      <c r="S151" s="74"/>
    </row>
    <row r="152" spans="1:20" s="79" customFormat="1" x14ac:dyDescent="0.25">
      <c r="A152" s="87">
        <f t="shared" si="15"/>
        <v>0</v>
      </c>
      <c r="B152" s="31" t="str">
        <f t="shared" si="22"/>
        <v/>
      </c>
      <c r="C152" s="32"/>
      <c r="D152" s="32"/>
      <c r="E152" s="32"/>
      <c r="F152" s="32"/>
      <c r="G152" s="74"/>
      <c r="H152" s="88">
        <v>147</v>
      </c>
      <c r="I152" s="89" t="str">
        <f t="shared" si="17"/>
        <v/>
      </c>
      <c r="J152" s="88">
        <f t="shared" si="18"/>
        <v>-2</v>
      </c>
      <c r="K152" s="88">
        <f t="shared" si="19"/>
        <v>-20</v>
      </c>
      <c r="L152" s="88"/>
      <c r="M152" s="90">
        <f t="shared" si="20"/>
        <v>0</v>
      </c>
      <c r="N152" s="90">
        <f t="shared" si="21"/>
        <v>0</v>
      </c>
      <c r="O152" s="74"/>
      <c r="P152" s="74"/>
      <c r="Q152" s="74"/>
      <c r="R152" s="74"/>
      <c r="S152" s="102"/>
      <c r="T152" s="103"/>
    </row>
    <row r="153" spans="1:20" s="79" customFormat="1" x14ac:dyDescent="0.25">
      <c r="A153" s="91">
        <f t="shared" si="15"/>
        <v>0</v>
      </c>
      <c r="B153" s="37" t="str">
        <f t="shared" si="22"/>
        <v/>
      </c>
      <c r="C153" s="38"/>
      <c r="D153" s="38"/>
      <c r="E153" s="38"/>
      <c r="F153" s="38"/>
      <c r="G153" s="74"/>
      <c r="H153" s="92">
        <v>148</v>
      </c>
      <c r="I153" s="93" t="str">
        <f t="shared" si="17"/>
        <v/>
      </c>
      <c r="J153" s="92">
        <f t="shared" si="18"/>
        <v>-2</v>
      </c>
      <c r="K153" s="92">
        <f t="shared" si="19"/>
        <v>-20</v>
      </c>
      <c r="L153" s="92"/>
      <c r="M153" s="94">
        <f t="shared" si="20"/>
        <v>0</v>
      </c>
      <c r="N153" s="94">
        <f t="shared" si="21"/>
        <v>0</v>
      </c>
      <c r="O153" s="74"/>
      <c r="P153" s="74"/>
      <c r="Q153" s="74"/>
      <c r="R153" s="74"/>
      <c r="S153" s="74"/>
    </row>
    <row r="154" spans="1:20" s="79" customFormat="1" x14ac:dyDescent="0.25">
      <c r="A154" s="87">
        <f t="shared" si="15"/>
        <v>0</v>
      </c>
      <c r="B154" s="31" t="str">
        <f t="shared" si="22"/>
        <v/>
      </c>
      <c r="C154" s="32"/>
      <c r="D154" s="32"/>
      <c r="E154" s="32"/>
      <c r="F154" s="32"/>
      <c r="G154" s="74"/>
      <c r="H154" s="88">
        <v>149</v>
      </c>
      <c r="I154" s="89" t="str">
        <f t="shared" si="17"/>
        <v/>
      </c>
      <c r="J154" s="88">
        <f t="shared" si="18"/>
        <v>-2</v>
      </c>
      <c r="K154" s="88">
        <f t="shared" si="19"/>
        <v>-20</v>
      </c>
      <c r="L154" s="88"/>
      <c r="M154" s="90">
        <f t="shared" si="20"/>
        <v>0</v>
      </c>
      <c r="N154" s="90">
        <f t="shared" si="21"/>
        <v>0</v>
      </c>
      <c r="O154" s="74"/>
      <c r="P154" s="74"/>
      <c r="Q154" s="74"/>
      <c r="R154" s="74"/>
      <c r="S154" s="102"/>
      <c r="T154" s="103"/>
    </row>
    <row r="155" spans="1:20" s="79" customFormat="1" x14ac:dyDescent="0.25">
      <c r="A155" s="91">
        <f t="shared" si="15"/>
        <v>0</v>
      </c>
      <c r="B155" s="37" t="str">
        <f t="shared" si="22"/>
        <v/>
      </c>
      <c r="C155" s="38"/>
      <c r="D155" s="38"/>
      <c r="E155" s="38"/>
      <c r="F155" s="38"/>
      <c r="G155" s="74"/>
      <c r="H155" s="92">
        <v>150</v>
      </c>
      <c r="I155" s="93" t="str">
        <f t="shared" si="17"/>
        <v/>
      </c>
      <c r="J155" s="92">
        <f t="shared" si="18"/>
        <v>-2</v>
      </c>
      <c r="K155" s="92">
        <f t="shared" si="19"/>
        <v>-20</v>
      </c>
      <c r="L155" s="92"/>
      <c r="M155" s="94">
        <f t="shared" si="20"/>
        <v>0</v>
      </c>
      <c r="N155" s="94">
        <f t="shared" si="21"/>
        <v>0</v>
      </c>
      <c r="O155" s="74"/>
      <c r="P155" s="74"/>
      <c r="Q155" s="74"/>
      <c r="R155" s="74"/>
      <c r="S155" s="74"/>
    </row>
    <row r="156" spans="1:20" s="79" customFormat="1" x14ac:dyDescent="0.25">
      <c r="A156" s="87">
        <f t="shared" si="15"/>
        <v>0</v>
      </c>
      <c r="B156" s="31" t="str">
        <f t="shared" si="22"/>
        <v/>
      </c>
      <c r="C156" s="32"/>
      <c r="D156" s="32"/>
      <c r="E156" s="32"/>
      <c r="F156" s="32"/>
      <c r="G156" s="74"/>
      <c r="H156" s="88">
        <v>151</v>
      </c>
      <c r="I156" s="89" t="str">
        <f t="shared" si="17"/>
        <v/>
      </c>
      <c r="J156" s="88">
        <f t="shared" si="18"/>
        <v>-2</v>
      </c>
      <c r="K156" s="88">
        <f t="shared" si="19"/>
        <v>-20</v>
      </c>
      <c r="L156" s="88"/>
      <c r="M156" s="90">
        <f t="shared" si="20"/>
        <v>0</v>
      </c>
      <c r="N156" s="90">
        <f t="shared" si="21"/>
        <v>0</v>
      </c>
      <c r="O156" s="74"/>
      <c r="P156" s="74"/>
      <c r="Q156" s="74"/>
      <c r="R156" s="74"/>
      <c r="S156" s="102"/>
      <c r="T156" s="103"/>
    </row>
    <row r="157" spans="1:20" s="79" customFormat="1" x14ac:dyDescent="0.25">
      <c r="A157" s="91">
        <f t="shared" si="15"/>
        <v>0</v>
      </c>
      <c r="B157" s="37" t="str">
        <f t="shared" si="22"/>
        <v/>
      </c>
      <c r="C157" s="38"/>
      <c r="D157" s="38"/>
      <c r="E157" s="38"/>
      <c r="F157" s="38"/>
      <c r="G157" s="74"/>
      <c r="H157" s="92">
        <v>152</v>
      </c>
      <c r="I157" s="93" t="str">
        <f t="shared" si="17"/>
        <v/>
      </c>
      <c r="J157" s="92">
        <f t="shared" si="18"/>
        <v>-2</v>
      </c>
      <c r="K157" s="92">
        <f t="shared" si="19"/>
        <v>-20</v>
      </c>
      <c r="L157" s="92"/>
      <c r="M157" s="94">
        <f t="shared" si="20"/>
        <v>0</v>
      </c>
      <c r="N157" s="94">
        <f t="shared" si="21"/>
        <v>0</v>
      </c>
      <c r="O157" s="74"/>
      <c r="P157" s="74"/>
      <c r="Q157" s="74"/>
      <c r="R157" s="74"/>
      <c r="S157" s="74"/>
    </row>
    <row r="158" spans="1:20" s="79" customFormat="1" x14ac:dyDescent="0.25">
      <c r="A158" s="87">
        <f t="shared" si="15"/>
        <v>0</v>
      </c>
      <c r="B158" s="31" t="str">
        <f t="shared" si="22"/>
        <v/>
      </c>
      <c r="C158" s="32"/>
      <c r="D158" s="32"/>
      <c r="E158" s="32"/>
      <c r="F158" s="32"/>
      <c r="G158" s="74"/>
      <c r="H158" s="88">
        <v>153</v>
      </c>
      <c r="I158" s="89" t="str">
        <f t="shared" si="17"/>
        <v/>
      </c>
      <c r="J158" s="88">
        <f t="shared" si="18"/>
        <v>-2</v>
      </c>
      <c r="K158" s="88">
        <f t="shared" si="19"/>
        <v>-20</v>
      </c>
      <c r="L158" s="88"/>
      <c r="M158" s="90">
        <f t="shared" si="20"/>
        <v>0</v>
      </c>
      <c r="N158" s="90">
        <f t="shared" si="21"/>
        <v>0</v>
      </c>
      <c r="O158" s="74"/>
      <c r="P158" s="74"/>
      <c r="Q158" s="74"/>
      <c r="R158" s="74"/>
      <c r="S158" s="102"/>
      <c r="T158" s="103"/>
    </row>
    <row r="159" spans="1:20" s="79" customFormat="1" x14ac:dyDescent="0.25">
      <c r="A159" s="91">
        <f t="shared" si="15"/>
        <v>0</v>
      </c>
      <c r="B159" s="37" t="str">
        <f t="shared" si="22"/>
        <v/>
      </c>
      <c r="C159" s="38"/>
      <c r="D159" s="38"/>
      <c r="E159" s="38"/>
      <c r="F159" s="38"/>
      <c r="G159" s="74"/>
      <c r="H159" s="92">
        <v>154</v>
      </c>
      <c r="I159" s="93" t="str">
        <f t="shared" si="17"/>
        <v/>
      </c>
      <c r="J159" s="92">
        <f t="shared" si="18"/>
        <v>-2</v>
      </c>
      <c r="K159" s="92">
        <f t="shared" si="19"/>
        <v>-20</v>
      </c>
      <c r="L159" s="92"/>
      <c r="M159" s="94">
        <f t="shared" si="20"/>
        <v>0</v>
      </c>
      <c r="N159" s="94">
        <f t="shared" si="21"/>
        <v>0</v>
      </c>
      <c r="O159" s="74"/>
      <c r="P159" s="74"/>
      <c r="Q159" s="74"/>
      <c r="R159" s="74"/>
      <c r="S159" s="74"/>
    </row>
    <row r="160" spans="1:20" s="79" customFormat="1" x14ac:dyDescent="0.25">
      <c r="A160" s="87">
        <f t="shared" si="15"/>
        <v>0</v>
      </c>
      <c r="B160" s="31" t="str">
        <f t="shared" si="22"/>
        <v/>
      </c>
      <c r="C160" s="32"/>
      <c r="D160" s="32"/>
      <c r="E160" s="32"/>
      <c r="F160" s="32"/>
      <c r="G160" s="74"/>
      <c r="H160" s="88">
        <v>155</v>
      </c>
      <c r="I160" s="89" t="str">
        <f t="shared" si="17"/>
        <v/>
      </c>
      <c r="J160" s="88">
        <f t="shared" si="18"/>
        <v>-2</v>
      </c>
      <c r="K160" s="88">
        <f t="shared" si="19"/>
        <v>-20</v>
      </c>
      <c r="L160" s="88"/>
      <c r="M160" s="90">
        <f t="shared" si="20"/>
        <v>0</v>
      </c>
      <c r="N160" s="90">
        <f t="shared" si="21"/>
        <v>0</v>
      </c>
      <c r="O160" s="74"/>
      <c r="P160" s="74"/>
      <c r="Q160" s="74"/>
      <c r="R160" s="74"/>
      <c r="S160" s="102"/>
      <c r="T160" s="103"/>
    </row>
    <row r="161" spans="1:20" s="79" customFormat="1" x14ac:dyDescent="0.25">
      <c r="A161" s="91">
        <f t="shared" si="15"/>
        <v>0</v>
      </c>
      <c r="B161" s="37" t="str">
        <f t="shared" si="22"/>
        <v/>
      </c>
      <c r="C161" s="38"/>
      <c r="D161" s="38"/>
      <c r="E161" s="38"/>
      <c r="F161" s="38"/>
      <c r="G161" s="74"/>
      <c r="H161" s="92">
        <v>156</v>
      </c>
      <c r="I161" s="93" t="str">
        <f t="shared" si="17"/>
        <v/>
      </c>
      <c r="J161" s="92">
        <f t="shared" si="18"/>
        <v>-2</v>
      </c>
      <c r="K161" s="92">
        <f t="shared" si="19"/>
        <v>-20</v>
      </c>
      <c r="L161" s="92"/>
      <c r="M161" s="94">
        <f t="shared" si="20"/>
        <v>0</v>
      </c>
      <c r="N161" s="94">
        <f t="shared" si="21"/>
        <v>0</v>
      </c>
      <c r="O161" s="74"/>
      <c r="P161" s="74"/>
      <c r="Q161" s="74"/>
      <c r="R161" s="74"/>
      <c r="S161" s="74"/>
    </row>
    <row r="162" spans="1:20" s="79" customFormat="1" x14ac:dyDescent="0.25">
      <c r="A162" s="87">
        <f t="shared" si="15"/>
        <v>0</v>
      </c>
      <c r="B162" s="31" t="str">
        <f t="shared" si="22"/>
        <v/>
      </c>
      <c r="C162" s="32"/>
      <c r="D162" s="32"/>
      <c r="E162" s="32"/>
      <c r="F162" s="32"/>
      <c r="G162" s="74"/>
      <c r="H162" s="88">
        <v>157</v>
      </c>
      <c r="I162" s="89" t="str">
        <f t="shared" si="17"/>
        <v/>
      </c>
      <c r="J162" s="88">
        <f t="shared" si="18"/>
        <v>-2</v>
      </c>
      <c r="K162" s="88">
        <f t="shared" si="19"/>
        <v>-20</v>
      </c>
      <c r="L162" s="88"/>
      <c r="M162" s="90">
        <f t="shared" si="20"/>
        <v>0</v>
      </c>
      <c r="N162" s="90">
        <f t="shared" si="21"/>
        <v>0</v>
      </c>
      <c r="O162" s="74"/>
      <c r="P162" s="74"/>
      <c r="Q162" s="74"/>
      <c r="R162" s="74"/>
      <c r="S162" s="102"/>
      <c r="T162" s="103"/>
    </row>
    <row r="163" spans="1:20" s="79" customFormat="1" x14ac:dyDescent="0.25">
      <c r="A163" s="91">
        <f t="shared" si="15"/>
        <v>0</v>
      </c>
      <c r="B163" s="37" t="str">
        <f t="shared" si="22"/>
        <v/>
      </c>
      <c r="C163" s="38"/>
      <c r="D163" s="38"/>
      <c r="E163" s="38"/>
      <c r="F163" s="38"/>
      <c r="G163" s="74"/>
      <c r="H163" s="92">
        <v>158</v>
      </c>
      <c r="I163" s="93" t="str">
        <f t="shared" si="17"/>
        <v/>
      </c>
      <c r="J163" s="92">
        <f t="shared" si="18"/>
        <v>-2</v>
      </c>
      <c r="K163" s="92">
        <f t="shared" si="19"/>
        <v>-20</v>
      </c>
      <c r="L163" s="92"/>
      <c r="M163" s="94">
        <f t="shared" si="20"/>
        <v>0</v>
      </c>
      <c r="N163" s="94">
        <f t="shared" si="21"/>
        <v>0</v>
      </c>
      <c r="O163" s="74"/>
      <c r="P163" s="74"/>
      <c r="Q163" s="74"/>
      <c r="R163" s="74"/>
      <c r="S163" s="74"/>
    </row>
    <row r="164" spans="1:20" s="79" customFormat="1" x14ac:dyDescent="0.25">
      <c r="A164" s="87">
        <f t="shared" si="15"/>
        <v>0</v>
      </c>
      <c r="B164" s="31" t="str">
        <f t="shared" si="22"/>
        <v/>
      </c>
      <c r="C164" s="32"/>
      <c r="D164" s="32"/>
      <c r="E164" s="32"/>
      <c r="F164" s="32"/>
      <c r="G164" s="74"/>
      <c r="H164" s="88">
        <v>159</v>
      </c>
      <c r="I164" s="89" t="str">
        <f t="shared" si="17"/>
        <v/>
      </c>
      <c r="J164" s="88">
        <f t="shared" si="18"/>
        <v>-2</v>
      </c>
      <c r="K164" s="88">
        <f t="shared" si="19"/>
        <v>-20</v>
      </c>
      <c r="L164" s="88"/>
      <c r="M164" s="90">
        <f t="shared" si="20"/>
        <v>0</v>
      </c>
      <c r="N164" s="90">
        <f t="shared" si="21"/>
        <v>0</v>
      </c>
      <c r="O164" s="74"/>
      <c r="P164" s="74"/>
      <c r="Q164" s="74"/>
      <c r="R164" s="74"/>
      <c r="S164" s="102"/>
      <c r="T164" s="103"/>
    </row>
    <row r="165" spans="1:20" s="79" customFormat="1" x14ac:dyDescent="0.25">
      <c r="A165" s="91">
        <f t="shared" si="15"/>
        <v>0</v>
      </c>
      <c r="B165" s="37" t="str">
        <f t="shared" si="22"/>
        <v/>
      </c>
      <c r="C165" s="38"/>
      <c r="D165" s="38"/>
      <c r="E165" s="38"/>
      <c r="F165" s="38"/>
      <c r="G165" s="74"/>
      <c r="H165" s="92">
        <v>160</v>
      </c>
      <c r="I165" s="93" t="str">
        <f t="shared" si="17"/>
        <v/>
      </c>
      <c r="J165" s="92">
        <f t="shared" si="18"/>
        <v>-2</v>
      </c>
      <c r="K165" s="92">
        <f t="shared" si="19"/>
        <v>-20</v>
      </c>
      <c r="L165" s="92"/>
      <c r="M165" s="94">
        <f t="shared" si="20"/>
        <v>0</v>
      </c>
      <c r="N165" s="94">
        <f t="shared" si="21"/>
        <v>0</v>
      </c>
      <c r="O165" s="74"/>
      <c r="P165" s="74"/>
      <c r="Q165" s="74"/>
      <c r="R165" s="74"/>
      <c r="S165" s="74"/>
    </row>
    <row r="166" spans="1:20" s="79" customFormat="1" x14ac:dyDescent="0.25">
      <c r="A166" s="87">
        <f t="shared" si="15"/>
        <v>0</v>
      </c>
      <c r="B166" s="31" t="str">
        <f t="shared" si="22"/>
        <v/>
      </c>
      <c r="C166" s="32"/>
      <c r="D166" s="32"/>
      <c r="E166" s="32"/>
      <c r="F166" s="32"/>
      <c r="G166" s="74"/>
      <c r="H166" s="88">
        <v>161</v>
      </c>
      <c r="I166" s="89" t="str">
        <f t="shared" si="17"/>
        <v/>
      </c>
      <c r="J166" s="88">
        <f t="shared" si="18"/>
        <v>-2</v>
      </c>
      <c r="K166" s="88">
        <f t="shared" si="19"/>
        <v>-20</v>
      </c>
      <c r="L166" s="88"/>
      <c r="M166" s="90">
        <f t="shared" si="20"/>
        <v>0</v>
      </c>
      <c r="N166" s="90">
        <f t="shared" si="21"/>
        <v>0</v>
      </c>
      <c r="O166" s="74"/>
      <c r="P166" s="74"/>
      <c r="Q166" s="74"/>
      <c r="R166" s="74"/>
      <c r="S166" s="102"/>
      <c r="T166" s="103"/>
    </row>
    <row r="167" spans="1:20" s="79" customFormat="1" x14ac:dyDescent="0.25">
      <c r="A167" s="91">
        <f t="shared" si="15"/>
        <v>0</v>
      </c>
      <c r="B167" s="37" t="str">
        <f t="shared" si="22"/>
        <v/>
      </c>
      <c r="C167" s="38"/>
      <c r="D167" s="38"/>
      <c r="E167" s="38"/>
      <c r="F167" s="38"/>
      <c r="G167" s="74"/>
      <c r="H167" s="92">
        <v>162</v>
      </c>
      <c r="I167" s="93" t="str">
        <f t="shared" si="17"/>
        <v/>
      </c>
      <c r="J167" s="92">
        <f t="shared" si="18"/>
        <v>-2</v>
      </c>
      <c r="K167" s="92">
        <f t="shared" si="19"/>
        <v>-20</v>
      </c>
      <c r="L167" s="92"/>
      <c r="M167" s="94">
        <f t="shared" si="20"/>
        <v>0</v>
      </c>
      <c r="N167" s="94">
        <f t="shared" si="21"/>
        <v>0</v>
      </c>
      <c r="O167" s="74"/>
      <c r="P167" s="74"/>
      <c r="Q167" s="74"/>
      <c r="R167" s="74"/>
      <c r="S167" s="74"/>
    </row>
    <row r="168" spans="1:20" s="79" customFormat="1" x14ac:dyDescent="0.25">
      <c r="A168" s="87">
        <f t="shared" si="15"/>
        <v>0</v>
      </c>
      <c r="B168" s="31" t="str">
        <f t="shared" si="22"/>
        <v/>
      </c>
      <c r="C168" s="32"/>
      <c r="D168" s="32"/>
      <c r="E168" s="32"/>
      <c r="F168" s="32"/>
      <c r="G168" s="74"/>
      <c r="H168" s="88">
        <v>163</v>
      </c>
      <c r="I168" s="89" t="str">
        <f t="shared" si="17"/>
        <v/>
      </c>
      <c r="J168" s="88">
        <f t="shared" si="18"/>
        <v>-2</v>
      </c>
      <c r="K168" s="88">
        <f t="shared" si="19"/>
        <v>-20</v>
      </c>
      <c r="L168" s="88"/>
      <c r="M168" s="90">
        <f t="shared" si="20"/>
        <v>0</v>
      </c>
      <c r="N168" s="90">
        <f t="shared" si="21"/>
        <v>0</v>
      </c>
      <c r="O168" s="74"/>
      <c r="P168" s="74"/>
      <c r="Q168" s="74"/>
      <c r="R168" s="74"/>
      <c r="S168" s="102"/>
      <c r="T168" s="103"/>
    </row>
    <row r="169" spans="1:20" s="79" customFormat="1" x14ac:dyDescent="0.25">
      <c r="A169" s="91">
        <f t="shared" si="15"/>
        <v>0</v>
      </c>
      <c r="B169" s="37" t="str">
        <f t="shared" si="22"/>
        <v/>
      </c>
      <c r="C169" s="38"/>
      <c r="D169" s="38"/>
      <c r="E169" s="38"/>
      <c r="F169" s="38"/>
      <c r="G169" s="74"/>
      <c r="H169" s="92">
        <v>164</v>
      </c>
      <c r="I169" s="93" t="str">
        <f t="shared" si="17"/>
        <v/>
      </c>
      <c r="J169" s="92">
        <f t="shared" si="18"/>
        <v>-2</v>
      </c>
      <c r="K169" s="92">
        <f t="shared" si="19"/>
        <v>-20</v>
      </c>
      <c r="L169" s="92"/>
      <c r="M169" s="94">
        <f t="shared" si="20"/>
        <v>0</v>
      </c>
      <c r="N169" s="94">
        <f t="shared" si="21"/>
        <v>0</v>
      </c>
      <c r="O169" s="74"/>
      <c r="P169" s="74"/>
      <c r="Q169" s="74"/>
      <c r="R169" s="74"/>
      <c r="S169" s="74"/>
    </row>
    <row r="170" spans="1:20" s="79" customFormat="1" x14ac:dyDescent="0.25">
      <c r="A170" s="87">
        <f t="shared" si="15"/>
        <v>0</v>
      </c>
      <c r="B170" s="31" t="str">
        <f t="shared" si="22"/>
        <v/>
      </c>
      <c r="C170" s="32"/>
      <c r="D170" s="32"/>
      <c r="E170" s="32"/>
      <c r="F170" s="32"/>
      <c r="G170" s="74"/>
      <c r="H170" s="88">
        <v>165</v>
      </c>
      <c r="I170" s="89" t="str">
        <f t="shared" si="17"/>
        <v/>
      </c>
      <c r="J170" s="88">
        <f t="shared" si="18"/>
        <v>-2</v>
      </c>
      <c r="K170" s="88">
        <f t="shared" si="19"/>
        <v>-20</v>
      </c>
      <c r="L170" s="88"/>
      <c r="M170" s="90">
        <f t="shared" si="20"/>
        <v>0</v>
      </c>
      <c r="N170" s="90">
        <f t="shared" si="21"/>
        <v>0</v>
      </c>
      <c r="O170" s="74"/>
      <c r="P170" s="74"/>
      <c r="Q170" s="74"/>
      <c r="R170" s="74"/>
      <c r="S170" s="102"/>
      <c r="T170" s="103"/>
    </row>
    <row r="171" spans="1:20" s="79" customFormat="1" x14ac:dyDescent="0.25">
      <c r="A171" s="91">
        <f t="shared" si="15"/>
        <v>0</v>
      </c>
      <c r="B171" s="37" t="str">
        <f t="shared" si="22"/>
        <v/>
      </c>
      <c r="C171" s="38"/>
      <c r="D171" s="38"/>
      <c r="E171" s="38"/>
      <c r="F171" s="38"/>
      <c r="G171" s="74"/>
      <c r="H171" s="92">
        <v>166</v>
      </c>
      <c r="I171" s="93" t="str">
        <f t="shared" si="17"/>
        <v/>
      </c>
      <c r="J171" s="92">
        <f t="shared" si="18"/>
        <v>-2</v>
      </c>
      <c r="K171" s="92">
        <f t="shared" si="19"/>
        <v>-20</v>
      </c>
      <c r="L171" s="92"/>
      <c r="M171" s="94">
        <f t="shared" si="20"/>
        <v>0</v>
      </c>
      <c r="N171" s="94">
        <f t="shared" si="21"/>
        <v>0</v>
      </c>
      <c r="O171" s="74"/>
      <c r="P171" s="74"/>
      <c r="Q171" s="74"/>
      <c r="R171" s="74"/>
      <c r="S171" s="74"/>
    </row>
    <row r="172" spans="1:20" s="79" customFormat="1" x14ac:dyDescent="0.25">
      <c r="A172" s="87">
        <f t="shared" si="15"/>
        <v>0</v>
      </c>
      <c r="B172" s="31" t="str">
        <f t="shared" si="22"/>
        <v/>
      </c>
      <c r="C172" s="32"/>
      <c r="D172" s="32"/>
      <c r="E172" s="32"/>
      <c r="F172" s="32"/>
      <c r="G172" s="74"/>
      <c r="H172" s="88">
        <v>167</v>
      </c>
      <c r="I172" s="89" t="str">
        <f t="shared" si="17"/>
        <v/>
      </c>
      <c r="J172" s="88">
        <f t="shared" si="18"/>
        <v>-2</v>
      </c>
      <c r="K172" s="88">
        <f t="shared" si="19"/>
        <v>-20</v>
      </c>
      <c r="L172" s="88"/>
      <c r="M172" s="90">
        <f t="shared" si="20"/>
        <v>0</v>
      </c>
      <c r="N172" s="90">
        <f t="shared" si="21"/>
        <v>0</v>
      </c>
      <c r="O172" s="74"/>
      <c r="P172" s="74"/>
      <c r="Q172" s="74"/>
      <c r="R172" s="74"/>
      <c r="S172" s="102"/>
      <c r="T172" s="103"/>
    </row>
    <row r="173" spans="1:20" s="79" customFormat="1" x14ac:dyDescent="0.25">
      <c r="A173" s="91">
        <f t="shared" si="15"/>
        <v>0</v>
      </c>
      <c r="B173" s="37" t="str">
        <f t="shared" si="22"/>
        <v/>
      </c>
      <c r="C173" s="38"/>
      <c r="D173" s="38"/>
      <c r="E173" s="38"/>
      <c r="F173" s="38"/>
      <c r="G173" s="74"/>
      <c r="H173" s="92">
        <v>168</v>
      </c>
      <c r="I173" s="93" t="str">
        <f t="shared" si="17"/>
        <v/>
      </c>
      <c r="J173" s="92">
        <f t="shared" si="18"/>
        <v>-2</v>
      </c>
      <c r="K173" s="92">
        <f t="shared" si="19"/>
        <v>-20</v>
      </c>
      <c r="L173" s="92"/>
      <c r="M173" s="94">
        <f t="shared" si="20"/>
        <v>0</v>
      </c>
      <c r="N173" s="94">
        <f t="shared" si="21"/>
        <v>0</v>
      </c>
      <c r="O173" s="74"/>
      <c r="P173" s="74"/>
      <c r="Q173" s="74"/>
      <c r="R173" s="74"/>
      <c r="S173" s="74"/>
    </row>
    <row r="174" spans="1:20" s="79" customFormat="1" x14ac:dyDescent="0.25">
      <c r="A174" s="87">
        <f t="shared" si="15"/>
        <v>0</v>
      </c>
      <c r="B174" s="31" t="str">
        <f t="shared" si="22"/>
        <v/>
      </c>
      <c r="C174" s="32"/>
      <c r="D174" s="32"/>
      <c r="E174" s="32"/>
      <c r="F174" s="32"/>
      <c r="G174" s="74"/>
      <c r="H174" s="88">
        <v>169</v>
      </c>
      <c r="I174" s="89" t="str">
        <f t="shared" si="17"/>
        <v/>
      </c>
      <c r="J174" s="88">
        <f t="shared" si="18"/>
        <v>-2</v>
      </c>
      <c r="K174" s="88">
        <f t="shared" si="19"/>
        <v>-20</v>
      </c>
      <c r="L174" s="88"/>
      <c r="M174" s="90">
        <f t="shared" si="20"/>
        <v>0</v>
      </c>
      <c r="N174" s="90">
        <f t="shared" si="21"/>
        <v>0</v>
      </c>
      <c r="O174" s="74"/>
      <c r="P174" s="74"/>
      <c r="Q174" s="74"/>
      <c r="R174" s="74"/>
      <c r="S174" s="102"/>
      <c r="T174" s="103"/>
    </row>
    <row r="175" spans="1:20" s="79" customFormat="1" x14ac:dyDescent="0.25">
      <c r="A175" s="91">
        <f t="shared" si="15"/>
        <v>0</v>
      </c>
      <c r="B175" s="37" t="str">
        <f t="shared" si="22"/>
        <v/>
      </c>
      <c r="C175" s="38"/>
      <c r="D175" s="38"/>
      <c r="E175" s="38"/>
      <c r="F175" s="38"/>
      <c r="G175" s="74"/>
      <c r="H175" s="92">
        <v>170</v>
      </c>
      <c r="I175" s="93" t="str">
        <f t="shared" si="17"/>
        <v/>
      </c>
      <c r="J175" s="92">
        <f t="shared" si="18"/>
        <v>-2</v>
      </c>
      <c r="K175" s="92">
        <f t="shared" si="19"/>
        <v>-20</v>
      </c>
      <c r="L175" s="92"/>
      <c r="M175" s="94">
        <f t="shared" si="20"/>
        <v>0</v>
      </c>
      <c r="N175" s="94">
        <f t="shared" si="21"/>
        <v>0</v>
      </c>
      <c r="O175" s="74"/>
      <c r="P175" s="74"/>
      <c r="Q175" s="74"/>
      <c r="R175" s="74"/>
      <c r="S175" s="74"/>
    </row>
    <row r="176" spans="1:20" s="79" customFormat="1" x14ac:dyDescent="0.25">
      <c r="A176" s="87">
        <f t="shared" si="15"/>
        <v>0</v>
      </c>
      <c r="B176" s="31" t="str">
        <f t="shared" si="22"/>
        <v/>
      </c>
      <c r="C176" s="32"/>
      <c r="D176" s="32"/>
      <c r="E176" s="32"/>
      <c r="F176" s="32"/>
      <c r="G176" s="74"/>
      <c r="H176" s="88">
        <v>171</v>
      </c>
      <c r="I176" s="89" t="str">
        <f t="shared" si="17"/>
        <v/>
      </c>
      <c r="J176" s="88">
        <f t="shared" si="18"/>
        <v>-2</v>
      </c>
      <c r="K176" s="88">
        <f t="shared" si="19"/>
        <v>-20</v>
      </c>
      <c r="L176" s="88"/>
      <c r="M176" s="90">
        <f t="shared" si="20"/>
        <v>0</v>
      </c>
      <c r="N176" s="90">
        <f t="shared" si="21"/>
        <v>0</v>
      </c>
      <c r="O176" s="74"/>
      <c r="P176" s="74"/>
      <c r="Q176" s="74"/>
      <c r="R176" s="74"/>
      <c r="S176" s="102"/>
      <c r="T176" s="103"/>
    </row>
    <row r="177" spans="1:20" s="79" customFormat="1" x14ac:dyDescent="0.25">
      <c r="A177" s="91">
        <f t="shared" si="15"/>
        <v>0</v>
      </c>
      <c r="B177" s="37" t="str">
        <f t="shared" si="22"/>
        <v/>
      </c>
      <c r="C177" s="38"/>
      <c r="D177" s="38"/>
      <c r="E177" s="38"/>
      <c r="F177" s="38"/>
      <c r="G177" s="74"/>
      <c r="H177" s="92">
        <v>172</v>
      </c>
      <c r="I177" s="93" t="str">
        <f t="shared" si="17"/>
        <v/>
      </c>
      <c r="J177" s="92">
        <f t="shared" si="18"/>
        <v>-2</v>
      </c>
      <c r="K177" s="92">
        <f t="shared" si="19"/>
        <v>-20</v>
      </c>
      <c r="L177" s="92"/>
      <c r="M177" s="94">
        <f t="shared" si="20"/>
        <v>0</v>
      </c>
      <c r="N177" s="94">
        <f t="shared" si="21"/>
        <v>0</v>
      </c>
      <c r="O177" s="74"/>
      <c r="P177" s="74"/>
      <c r="Q177" s="74"/>
      <c r="R177" s="74"/>
      <c r="S177" s="74"/>
    </row>
    <row r="178" spans="1:20" s="79" customFormat="1" x14ac:dyDescent="0.25">
      <c r="A178" s="87">
        <f t="shared" si="15"/>
        <v>0</v>
      </c>
      <c r="B178" s="31" t="str">
        <f t="shared" si="22"/>
        <v/>
      </c>
      <c r="C178" s="32"/>
      <c r="D178" s="32"/>
      <c r="E178" s="32"/>
      <c r="F178" s="32"/>
      <c r="G178" s="74"/>
      <c r="H178" s="88">
        <v>173</v>
      </c>
      <c r="I178" s="89" t="str">
        <f t="shared" si="17"/>
        <v/>
      </c>
      <c r="J178" s="88">
        <f t="shared" si="18"/>
        <v>-2</v>
      </c>
      <c r="K178" s="88">
        <f t="shared" si="19"/>
        <v>-20</v>
      </c>
      <c r="L178" s="88"/>
      <c r="M178" s="90">
        <f t="shared" si="20"/>
        <v>0</v>
      </c>
      <c r="N178" s="90">
        <f t="shared" si="21"/>
        <v>0</v>
      </c>
      <c r="O178" s="74"/>
      <c r="P178" s="74"/>
      <c r="Q178" s="74"/>
      <c r="R178" s="74"/>
      <c r="S178" s="102"/>
      <c r="T178" s="103"/>
    </row>
    <row r="179" spans="1:20" s="79" customFormat="1" x14ac:dyDescent="0.25">
      <c r="A179" s="91">
        <f t="shared" si="15"/>
        <v>0</v>
      </c>
      <c r="B179" s="37" t="str">
        <f t="shared" si="22"/>
        <v/>
      </c>
      <c r="C179" s="38"/>
      <c r="D179" s="38"/>
      <c r="E179" s="38"/>
      <c r="F179" s="38"/>
      <c r="G179" s="74"/>
      <c r="H179" s="92">
        <v>174</v>
      </c>
      <c r="I179" s="93" t="str">
        <f t="shared" si="17"/>
        <v/>
      </c>
      <c r="J179" s="92">
        <f t="shared" si="18"/>
        <v>-2</v>
      </c>
      <c r="K179" s="92">
        <f t="shared" si="19"/>
        <v>-20</v>
      </c>
      <c r="L179" s="92"/>
      <c r="M179" s="94">
        <f t="shared" si="20"/>
        <v>0</v>
      </c>
      <c r="N179" s="94">
        <f t="shared" si="21"/>
        <v>0</v>
      </c>
      <c r="O179" s="74"/>
      <c r="P179" s="74"/>
      <c r="Q179" s="74"/>
      <c r="R179" s="74"/>
      <c r="S179" s="74"/>
    </row>
    <row r="180" spans="1:20" s="79" customFormat="1" x14ac:dyDescent="0.25">
      <c r="A180" s="87">
        <f t="shared" si="15"/>
        <v>0</v>
      </c>
      <c r="B180" s="31" t="str">
        <f t="shared" si="22"/>
        <v/>
      </c>
      <c r="C180" s="32"/>
      <c r="D180" s="32"/>
      <c r="E180" s="32"/>
      <c r="F180" s="32"/>
      <c r="G180" s="74"/>
      <c r="H180" s="88">
        <v>175</v>
      </c>
      <c r="I180" s="89" t="str">
        <f t="shared" si="17"/>
        <v/>
      </c>
      <c r="J180" s="88">
        <f t="shared" si="18"/>
        <v>-2</v>
      </c>
      <c r="K180" s="88">
        <f t="shared" si="19"/>
        <v>-20</v>
      </c>
      <c r="L180" s="88"/>
      <c r="M180" s="90">
        <f t="shared" si="20"/>
        <v>0</v>
      </c>
      <c r="N180" s="90">
        <f t="shared" si="21"/>
        <v>0</v>
      </c>
      <c r="O180" s="74"/>
      <c r="P180" s="74"/>
      <c r="Q180" s="74"/>
      <c r="R180" s="74"/>
      <c r="S180" s="102"/>
      <c r="T180" s="103"/>
    </row>
    <row r="181" spans="1:20" s="79" customFormat="1" x14ac:dyDescent="0.25">
      <c r="A181" s="91">
        <f t="shared" si="15"/>
        <v>0</v>
      </c>
      <c r="B181" s="37" t="str">
        <f t="shared" si="22"/>
        <v/>
      </c>
      <c r="C181" s="38"/>
      <c r="D181" s="38"/>
      <c r="E181" s="38"/>
      <c r="F181" s="38"/>
      <c r="G181" s="74"/>
      <c r="H181" s="92">
        <v>176</v>
      </c>
      <c r="I181" s="93" t="str">
        <f t="shared" si="17"/>
        <v/>
      </c>
      <c r="J181" s="92">
        <f t="shared" si="18"/>
        <v>-2</v>
      </c>
      <c r="K181" s="92">
        <f t="shared" si="19"/>
        <v>-20</v>
      </c>
      <c r="L181" s="92"/>
      <c r="M181" s="94">
        <f t="shared" si="20"/>
        <v>0</v>
      </c>
      <c r="N181" s="94">
        <f t="shared" si="21"/>
        <v>0</v>
      </c>
      <c r="O181" s="74"/>
      <c r="P181" s="74"/>
      <c r="Q181" s="74"/>
      <c r="R181" s="74"/>
      <c r="S181" s="74"/>
    </row>
    <row r="182" spans="1:20" s="79" customFormat="1" x14ac:dyDescent="0.25">
      <c r="A182" s="87">
        <f t="shared" si="15"/>
        <v>0</v>
      </c>
      <c r="B182" s="31" t="str">
        <f t="shared" si="22"/>
        <v/>
      </c>
      <c r="C182" s="32"/>
      <c r="D182" s="32"/>
      <c r="E182" s="32"/>
      <c r="F182" s="32"/>
      <c r="G182" s="74"/>
      <c r="H182" s="88">
        <v>177</v>
      </c>
      <c r="I182" s="89" t="str">
        <f t="shared" si="17"/>
        <v/>
      </c>
      <c r="J182" s="88">
        <f t="shared" si="18"/>
        <v>-2</v>
      </c>
      <c r="K182" s="88">
        <f t="shared" si="19"/>
        <v>-20</v>
      </c>
      <c r="L182" s="88"/>
      <c r="M182" s="90">
        <f t="shared" si="20"/>
        <v>0</v>
      </c>
      <c r="N182" s="90">
        <f t="shared" si="21"/>
        <v>0</v>
      </c>
      <c r="O182" s="74"/>
      <c r="P182" s="74"/>
      <c r="Q182" s="74"/>
      <c r="R182" s="74"/>
      <c r="S182" s="102"/>
      <c r="T182" s="103"/>
    </row>
    <row r="183" spans="1:20" s="79" customFormat="1" x14ac:dyDescent="0.25">
      <c r="A183" s="91">
        <f t="shared" si="15"/>
        <v>0</v>
      </c>
      <c r="B183" s="37" t="str">
        <f t="shared" si="22"/>
        <v/>
      </c>
      <c r="C183" s="38"/>
      <c r="D183" s="38"/>
      <c r="E183" s="38"/>
      <c r="F183" s="38"/>
      <c r="G183" s="74"/>
      <c r="H183" s="92">
        <v>178</v>
      </c>
      <c r="I183" s="93" t="str">
        <f t="shared" si="17"/>
        <v/>
      </c>
      <c r="J183" s="92">
        <f t="shared" si="18"/>
        <v>-2</v>
      </c>
      <c r="K183" s="92">
        <f t="shared" si="19"/>
        <v>-20</v>
      </c>
      <c r="L183" s="92"/>
      <c r="M183" s="94">
        <f t="shared" si="20"/>
        <v>0</v>
      </c>
      <c r="N183" s="94">
        <f t="shared" si="21"/>
        <v>0</v>
      </c>
      <c r="O183" s="74"/>
      <c r="P183" s="74"/>
      <c r="Q183" s="74"/>
      <c r="R183" s="74"/>
      <c r="S183" s="74"/>
    </row>
    <row r="184" spans="1:20" s="79" customFormat="1" x14ac:dyDescent="0.25">
      <c r="A184" s="87">
        <f t="shared" si="15"/>
        <v>0</v>
      </c>
      <c r="B184" s="31" t="str">
        <f t="shared" si="22"/>
        <v/>
      </c>
      <c r="C184" s="32"/>
      <c r="D184" s="32"/>
      <c r="E184" s="32"/>
      <c r="F184" s="32"/>
      <c r="G184" s="74"/>
      <c r="H184" s="88">
        <v>179</v>
      </c>
      <c r="I184" s="89" t="str">
        <f t="shared" si="17"/>
        <v/>
      </c>
      <c r="J184" s="88">
        <f t="shared" si="18"/>
        <v>-2</v>
      </c>
      <c r="K184" s="88">
        <f t="shared" si="19"/>
        <v>-20</v>
      </c>
      <c r="L184" s="88"/>
      <c r="M184" s="90">
        <f t="shared" si="20"/>
        <v>0</v>
      </c>
      <c r="N184" s="90">
        <f t="shared" si="21"/>
        <v>0</v>
      </c>
      <c r="O184" s="74"/>
      <c r="P184" s="74"/>
      <c r="Q184" s="74"/>
      <c r="R184" s="74"/>
      <c r="S184" s="102"/>
      <c r="T184" s="103"/>
    </row>
    <row r="185" spans="1:20" s="79" customFormat="1" x14ac:dyDescent="0.25">
      <c r="A185" s="91">
        <f t="shared" si="15"/>
        <v>0</v>
      </c>
      <c r="B185" s="37" t="str">
        <f t="shared" si="22"/>
        <v/>
      </c>
      <c r="C185" s="38"/>
      <c r="D185" s="38"/>
      <c r="E185" s="38"/>
      <c r="F185" s="38"/>
      <c r="G185" s="74"/>
      <c r="H185" s="92">
        <v>180</v>
      </c>
      <c r="I185" s="93" t="str">
        <f t="shared" si="17"/>
        <v/>
      </c>
      <c r="J185" s="92">
        <f t="shared" si="18"/>
        <v>-2</v>
      </c>
      <c r="K185" s="92">
        <f t="shared" si="19"/>
        <v>-20</v>
      </c>
      <c r="L185" s="92"/>
      <c r="M185" s="94">
        <f t="shared" si="20"/>
        <v>0</v>
      </c>
      <c r="N185" s="94">
        <f t="shared" si="21"/>
        <v>0</v>
      </c>
      <c r="O185" s="74"/>
      <c r="P185" s="74"/>
      <c r="Q185" s="74"/>
      <c r="R185" s="74"/>
      <c r="S185" s="74"/>
    </row>
    <row r="186" spans="1:20" s="79" customFormat="1" x14ac:dyDescent="0.25">
      <c r="A186" s="87">
        <f t="shared" si="15"/>
        <v>0</v>
      </c>
      <c r="B186" s="31" t="str">
        <f t="shared" si="22"/>
        <v/>
      </c>
      <c r="C186" s="32"/>
      <c r="D186" s="32"/>
      <c r="E186" s="32"/>
      <c r="F186" s="32"/>
      <c r="G186" s="74"/>
      <c r="H186" s="88">
        <v>181</v>
      </c>
      <c r="I186" s="89" t="str">
        <f t="shared" si="17"/>
        <v/>
      </c>
      <c r="J186" s="88">
        <f t="shared" si="18"/>
        <v>-2</v>
      </c>
      <c r="K186" s="88">
        <f t="shared" si="19"/>
        <v>-20</v>
      </c>
      <c r="L186" s="88"/>
      <c r="M186" s="90">
        <f t="shared" si="20"/>
        <v>0</v>
      </c>
      <c r="N186" s="90">
        <f t="shared" si="21"/>
        <v>0</v>
      </c>
      <c r="O186" s="74"/>
      <c r="P186" s="74"/>
      <c r="Q186" s="74"/>
      <c r="R186" s="74"/>
      <c r="S186" s="102"/>
      <c r="T186" s="103"/>
    </row>
    <row r="187" spans="1:20" s="79" customFormat="1" x14ac:dyDescent="0.25">
      <c r="A187" s="91">
        <f t="shared" si="15"/>
        <v>0</v>
      </c>
      <c r="B187" s="37" t="str">
        <f t="shared" si="22"/>
        <v/>
      </c>
      <c r="C187" s="38"/>
      <c r="D187" s="38"/>
      <c r="E187" s="38"/>
      <c r="F187" s="38"/>
      <c r="G187" s="74"/>
      <c r="H187" s="92">
        <v>182</v>
      </c>
      <c r="I187" s="93" t="str">
        <f t="shared" si="17"/>
        <v/>
      </c>
      <c r="J187" s="92">
        <f t="shared" si="18"/>
        <v>-2</v>
      </c>
      <c r="K187" s="92">
        <f t="shared" si="19"/>
        <v>-20</v>
      </c>
      <c r="L187" s="92"/>
      <c r="M187" s="94">
        <f t="shared" si="20"/>
        <v>0</v>
      </c>
      <c r="N187" s="94">
        <f t="shared" si="21"/>
        <v>0</v>
      </c>
      <c r="O187" s="74"/>
      <c r="P187" s="74"/>
      <c r="Q187" s="74"/>
      <c r="R187" s="74"/>
      <c r="S187" s="74"/>
    </row>
    <row r="188" spans="1:20" s="79" customFormat="1" x14ac:dyDescent="0.25">
      <c r="A188" s="87">
        <f t="shared" si="15"/>
        <v>0</v>
      </c>
      <c r="B188" s="31" t="str">
        <f t="shared" si="22"/>
        <v/>
      </c>
      <c r="C188" s="32"/>
      <c r="D188" s="32"/>
      <c r="E188" s="32"/>
      <c r="F188" s="32"/>
      <c r="G188" s="74"/>
      <c r="H188" s="88">
        <v>183</v>
      </c>
      <c r="I188" s="89" t="str">
        <f t="shared" si="17"/>
        <v/>
      </c>
      <c r="J188" s="88">
        <f t="shared" si="18"/>
        <v>-2</v>
      </c>
      <c r="K188" s="88">
        <f t="shared" si="19"/>
        <v>-20</v>
      </c>
      <c r="L188" s="88"/>
      <c r="M188" s="90">
        <f t="shared" si="20"/>
        <v>0</v>
      </c>
      <c r="N188" s="90">
        <f t="shared" si="21"/>
        <v>0</v>
      </c>
      <c r="O188" s="74"/>
      <c r="P188" s="74"/>
      <c r="Q188" s="74"/>
      <c r="R188" s="74"/>
      <c r="S188" s="102"/>
      <c r="T188" s="103"/>
    </row>
    <row r="189" spans="1:20" s="79" customFormat="1" x14ac:dyDescent="0.25">
      <c r="A189" s="91">
        <f t="shared" si="15"/>
        <v>0</v>
      </c>
      <c r="B189" s="37" t="str">
        <f t="shared" si="22"/>
        <v/>
      </c>
      <c r="C189" s="38"/>
      <c r="D189" s="38"/>
      <c r="E189" s="38"/>
      <c r="F189" s="38"/>
      <c r="G189" s="74"/>
      <c r="H189" s="92">
        <v>184</v>
      </c>
      <c r="I189" s="93" t="str">
        <f t="shared" si="17"/>
        <v/>
      </c>
      <c r="J189" s="92">
        <f t="shared" si="18"/>
        <v>-2</v>
      </c>
      <c r="K189" s="92">
        <f t="shared" si="19"/>
        <v>-20</v>
      </c>
      <c r="L189" s="92"/>
      <c r="M189" s="94">
        <f t="shared" si="20"/>
        <v>0</v>
      </c>
      <c r="N189" s="94">
        <f t="shared" si="21"/>
        <v>0</v>
      </c>
      <c r="O189" s="74"/>
      <c r="P189" s="74"/>
      <c r="Q189" s="74"/>
      <c r="R189" s="74"/>
      <c r="S189" s="74"/>
    </row>
    <row r="190" spans="1:20" s="79" customFormat="1" x14ac:dyDescent="0.25">
      <c r="A190" s="87">
        <f t="shared" si="15"/>
        <v>0</v>
      </c>
      <c r="B190" s="31" t="str">
        <f t="shared" si="22"/>
        <v/>
      </c>
      <c r="C190" s="32"/>
      <c r="D190" s="32"/>
      <c r="E190" s="32"/>
      <c r="F190" s="32"/>
      <c r="G190" s="74"/>
      <c r="H190" s="88">
        <v>185</v>
      </c>
      <c r="I190" s="89" t="str">
        <f t="shared" si="17"/>
        <v/>
      </c>
      <c r="J190" s="88">
        <f t="shared" si="18"/>
        <v>-2</v>
      </c>
      <c r="K190" s="88">
        <f t="shared" si="19"/>
        <v>-20</v>
      </c>
      <c r="L190" s="88"/>
      <c r="M190" s="90">
        <f t="shared" si="20"/>
        <v>0</v>
      </c>
      <c r="N190" s="90">
        <f t="shared" si="21"/>
        <v>0</v>
      </c>
      <c r="O190" s="74"/>
      <c r="P190" s="74"/>
      <c r="Q190" s="74"/>
      <c r="R190" s="74"/>
      <c r="S190" s="102"/>
      <c r="T190" s="103"/>
    </row>
    <row r="191" spans="1:20" s="79" customFormat="1" x14ac:dyDescent="0.25">
      <c r="A191" s="91">
        <f t="shared" si="15"/>
        <v>0</v>
      </c>
      <c r="B191" s="37" t="str">
        <f t="shared" si="22"/>
        <v/>
      </c>
      <c r="C191" s="38"/>
      <c r="D191" s="38"/>
      <c r="E191" s="38"/>
      <c r="F191" s="38"/>
      <c r="G191" s="74"/>
      <c r="H191" s="92">
        <v>186</v>
      </c>
      <c r="I191" s="93" t="str">
        <f t="shared" si="17"/>
        <v/>
      </c>
      <c r="J191" s="92">
        <f t="shared" si="18"/>
        <v>-2</v>
      </c>
      <c r="K191" s="92">
        <f t="shared" si="19"/>
        <v>-20</v>
      </c>
      <c r="L191" s="92"/>
      <c r="M191" s="94">
        <f t="shared" si="20"/>
        <v>0</v>
      </c>
      <c r="N191" s="94">
        <f t="shared" si="21"/>
        <v>0</v>
      </c>
      <c r="O191" s="74"/>
      <c r="P191" s="74"/>
      <c r="Q191" s="74"/>
      <c r="R191" s="74"/>
      <c r="S191" s="74"/>
    </row>
    <row r="192" spans="1:20" s="79" customFormat="1" x14ac:dyDescent="0.25">
      <c r="A192" s="87">
        <f t="shared" si="15"/>
        <v>0</v>
      </c>
      <c r="B192" s="31" t="str">
        <f t="shared" si="22"/>
        <v/>
      </c>
      <c r="C192" s="32"/>
      <c r="D192" s="32"/>
      <c r="E192" s="32"/>
      <c r="F192" s="32"/>
      <c r="G192" s="74"/>
      <c r="H192" s="88">
        <v>187</v>
      </c>
      <c r="I192" s="89" t="str">
        <f t="shared" si="17"/>
        <v/>
      </c>
      <c r="J192" s="88">
        <f t="shared" si="18"/>
        <v>-2</v>
      </c>
      <c r="K192" s="88">
        <f t="shared" si="19"/>
        <v>-20</v>
      </c>
      <c r="L192" s="88"/>
      <c r="M192" s="90">
        <f t="shared" si="20"/>
        <v>0</v>
      </c>
      <c r="N192" s="90">
        <f t="shared" si="21"/>
        <v>0</v>
      </c>
      <c r="O192" s="74"/>
      <c r="P192" s="74"/>
      <c r="Q192" s="74"/>
      <c r="R192" s="74"/>
      <c r="S192" s="102"/>
      <c r="T192" s="103"/>
    </row>
    <row r="193" spans="1:20" s="79" customFormat="1" x14ac:dyDescent="0.25">
      <c r="A193" s="91">
        <f t="shared" si="15"/>
        <v>0</v>
      </c>
      <c r="B193" s="37" t="str">
        <f t="shared" si="22"/>
        <v/>
      </c>
      <c r="C193" s="38"/>
      <c r="D193" s="38"/>
      <c r="E193" s="38"/>
      <c r="F193" s="38"/>
      <c r="G193" s="74"/>
      <c r="H193" s="92">
        <v>188</v>
      </c>
      <c r="I193" s="93" t="str">
        <f t="shared" si="17"/>
        <v/>
      </c>
      <c r="J193" s="92">
        <f t="shared" si="18"/>
        <v>-2</v>
      </c>
      <c r="K193" s="92">
        <f t="shared" si="19"/>
        <v>-20</v>
      </c>
      <c r="L193" s="92"/>
      <c r="M193" s="94">
        <f t="shared" si="20"/>
        <v>0</v>
      </c>
      <c r="N193" s="94">
        <f t="shared" si="21"/>
        <v>0</v>
      </c>
      <c r="O193" s="74"/>
      <c r="P193" s="74"/>
      <c r="Q193" s="74"/>
      <c r="R193" s="74"/>
      <c r="S193" s="74"/>
    </row>
    <row r="194" spans="1:20" s="79" customFormat="1" x14ac:dyDescent="0.25">
      <c r="A194" s="87">
        <f t="shared" si="15"/>
        <v>0</v>
      </c>
      <c r="B194" s="31" t="str">
        <f t="shared" si="22"/>
        <v/>
      </c>
      <c r="C194" s="32"/>
      <c r="D194" s="32"/>
      <c r="E194" s="32"/>
      <c r="F194" s="32"/>
      <c r="G194" s="74"/>
      <c r="H194" s="88">
        <v>189</v>
      </c>
      <c r="I194" s="89" t="str">
        <f t="shared" si="17"/>
        <v/>
      </c>
      <c r="J194" s="88">
        <f t="shared" si="18"/>
        <v>-2</v>
      </c>
      <c r="K194" s="88">
        <f t="shared" si="19"/>
        <v>-20</v>
      </c>
      <c r="L194" s="88"/>
      <c r="M194" s="90">
        <f t="shared" si="20"/>
        <v>0</v>
      </c>
      <c r="N194" s="90">
        <f t="shared" si="21"/>
        <v>0</v>
      </c>
      <c r="O194" s="74"/>
      <c r="P194" s="74"/>
      <c r="Q194" s="74"/>
      <c r="R194" s="74"/>
      <c r="S194" s="102"/>
      <c r="T194" s="103"/>
    </row>
    <row r="195" spans="1:20" s="79" customFormat="1" x14ac:dyDescent="0.25">
      <c r="A195" s="91">
        <f t="shared" si="15"/>
        <v>0</v>
      </c>
      <c r="B195" s="37" t="str">
        <f t="shared" si="22"/>
        <v/>
      </c>
      <c r="C195" s="38"/>
      <c r="D195" s="38"/>
      <c r="E195" s="38"/>
      <c r="F195" s="38"/>
      <c r="G195" s="74"/>
      <c r="H195" s="92">
        <v>190</v>
      </c>
      <c r="I195" s="93" t="str">
        <f t="shared" si="17"/>
        <v/>
      </c>
      <c r="J195" s="92">
        <f t="shared" si="18"/>
        <v>-2</v>
      </c>
      <c r="K195" s="92">
        <f t="shared" si="19"/>
        <v>-20</v>
      </c>
      <c r="L195" s="92"/>
      <c r="M195" s="94">
        <f t="shared" si="20"/>
        <v>0</v>
      </c>
      <c r="N195" s="94">
        <f t="shared" si="21"/>
        <v>0</v>
      </c>
      <c r="O195" s="74"/>
      <c r="P195" s="74"/>
      <c r="Q195" s="74"/>
      <c r="R195" s="74"/>
      <c r="S195" s="74"/>
    </row>
    <row r="196" spans="1:20" s="79" customFormat="1" x14ac:dyDescent="0.25">
      <c r="A196" s="87">
        <f t="shared" si="15"/>
        <v>0</v>
      </c>
      <c r="B196" s="31" t="str">
        <f t="shared" si="22"/>
        <v/>
      </c>
      <c r="C196" s="32"/>
      <c r="D196" s="32"/>
      <c r="E196" s="32"/>
      <c r="F196" s="32"/>
      <c r="G196" s="74"/>
      <c r="H196" s="88">
        <v>191</v>
      </c>
      <c r="I196" s="89" t="str">
        <f t="shared" si="17"/>
        <v/>
      </c>
      <c r="J196" s="88">
        <f t="shared" si="18"/>
        <v>-2</v>
      </c>
      <c r="K196" s="88">
        <f t="shared" si="19"/>
        <v>-20</v>
      </c>
      <c r="L196" s="88"/>
      <c r="M196" s="90">
        <f t="shared" si="20"/>
        <v>0</v>
      </c>
      <c r="N196" s="90">
        <f t="shared" si="21"/>
        <v>0</v>
      </c>
      <c r="O196" s="74"/>
      <c r="P196" s="74"/>
      <c r="Q196" s="74"/>
      <c r="R196" s="74"/>
      <c r="S196" s="102"/>
      <c r="T196" s="103"/>
    </row>
    <row r="197" spans="1:20" s="79" customFormat="1" x14ac:dyDescent="0.25">
      <c r="A197" s="91">
        <f t="shared" si="15"/>
        <v>0</v>
      </c>
      <c r="B197" s="37" t="str">
        <f t="shared" si="22"/>
        <v/>
      </c>
      <c r="C197" s="38"/>
      <c r="D197" s="38"/>
      <c r="E197" s="38"/>
      <c r="F197" s="38"/>
      <c r="G197" s="74"/>
      <c r="H197" s="92">
        <v>192</v>
      </c>
      <c r="I197" s="93" t="str">
        <f t="shared" si="17"/>
        <v/>
      </c>
      <c r="J197" s="92">
        <f t="shared" si="18"/>
        <v>-2</v>
      </c>
      <c r="K197" s="92">
        <f t="shared" si="19"/>
        <v>-20</v>
      </c>
      <c r="L197" s="92"/>
      <c r="M197" s="94">
        <f t="shared" si="20"/>
        <v>0</v>
      </c>
      <c r="N197" s="94">
        <f t="shared" si="21"/>
        <v>0</v>
      </c>
      <c r="O197" s="74"/>
      <c r="P197" s="74"/>
      <c r="Q197" s="74"/>
      <c r="R197" s="74"/>
      <c r="S197" s="74"/>
    </row>
    <row r="198" spans="1:20" s="79" customFormat="1" x14ac:dyDescent="0.25">
      <c r="A198" s="87">
        <f t="shared" ref="A198:A261" si="23">N198</f>
        <v>0</v>
      </c>
      <c r="B198" s="31" t="str">
        <f t="shared" si="22"/>
        <v/>
      </c>
      <c r="C198" s="32"/>
      <c r="D198" s="32"/>
      <c r="E198" s="32"/>
      <c r="F198" s="32"/>
      <c r="G198" s="74"/>
      <c r="H198" s="88">
        <v>193</v>
      </c>
      <c r="I198" s="89" t="str">
        <f t="shared" ref="I198:I261" si="24">IF(H198&lt;$H$2+1,($I$2-($I$2-1)*(LOG(H198)/LOG($H$2))),"")</f>
        <v/>
      </c>
      <c r="J198" s="88">
        <f t="shared" ref="J198:J261" si="25">INT(LOG($H$2,2))-ROUNDUP(LOG(H198,2),0)+IF(OR($H$2=1,$H$2=2,$H$2=4,$H$2=8,$H$2=16,$H$2=32,$H$2=64,$H$2=128,$H$2=256),0,1)</f>
        <v>-2</v>
      </c>
      <c r="K198" s="88">
        <f t="shared" ref="K198:K261" si="26">J198*$J$2</f>
        <v>-20</v>
      </c>
      <c r="L198" s="88"/>
      <c r="M198" s="90">
        <f t="shared" ref="M198:M261" si="27">IF(I198&lt;&gt;"",K198+I198+L198,0)</f>
        <v>0</v>
      </c>
      <c r="N198" s="90">
        <f t="shared" ref="N198:N261" si="28">IF(I198&lt;&gt;"",M198*L$2,0)</f>
        <v>0</v>
      </c>
      <c r="O198" s="74"/>
      <c r="P198" s="74"/>
      <c r="Q198" s="74"/>
      <c r="R198" s="74"/>
      <c r="S198" s="102"/>
      <c r="T198" s="103"/>
    </row>
    <row r="199" spans="1:20" s="79" customFormat="1" x14ac:dyDescent="0.25">
      <c r="A199" s="91">
        <f t="shared" si="23"/>
        <v>0</v>
      </c>
      <c r="B199" s="37" t="str">
        <f t="shared" si="22"/>
        <v/>
      </c>
      <c r="C199" s="38"/>
      <c r="D199" s="38"/>
      <c r="E199" s="38"/>
      <c r="F199" s="38"/>
      <c r="G199" s="74"/>
      <c r="H199" s="92">
        <v>194</v>
      </c>
      <c r="I199" s="93" t="str">
        <f t="shared" si="24"/>
        <v/>
      </c>
      <c r="J199" s="92">
        <f t="shared" si="25"/>
        <v>-2</v>
      </c>
      <c r="K199" s="92">
        <f t="shared" si="26"/>
        <v>-20</v>
      </c>
      <c r="L199" s="92"/>
      <c r="M199" s="94">
        <f t="shared" si="27"/>
        <v>0</v>
      </c>
      <c r="N199" s="94">
        <f t="shared" si="28"/>
        <v>0</v>
      </c>
      <c r="O199" s="74"/>
      <c r="P199" s="74"/>
      <c r="Q199" s="74"/>
      <c r="R199" s="74"/>
      <c r="S199" s="74"/>
    </row>
    <row r="200" spans="1:20" s="79" customFormat="1" x14ac:dyDescent="0.25">
      <c r="A200" s="87">
        <f t="shared" si="23"/>
        <v>0</v>
      </c>
      <c r="B200" s="31" t="str">
        <f t="shared" si="22"/>
        <v/>
      </c>
      <c r="C200" s="32"/>
      <c r="D200" s="32"/>
      <c r="E200" s="32"/>
      <c r="F200" s="32"/>
      <c r="G200" s="74"/>
      <c r="H200" s="88">
        <v>195</v>
      </c>
      <c r="I200" s="89" t="str">
        <f t="shared" si="24"/>
        <v/>
      </c>
      <c r="J200" s="88">
        <f t="shared" si="25"/>
        <v>-2</v>
      </c>
      <c r="K200" s="88">
        <f t="shared" si="26"/>
        <v>-20</v>
      </c>
      <c r="L200" s="88"/>
      <c r="M200" s="90">
        <f t="shared" si="27"/>
        <v>0</v>
      </c>
      <c r="N200" s="90">
        <f t="shared" si="28"/>
        <v>0</v>
      </c>
      <c r="O200" s="74"/>
      <c r="P200" s="74"/>
      <c r="Q200" s="74"/>
      <c r="R200" s="74"/>
      <c r="S200" s="102"/>
      <c r="T200" s="103"/>
    </row>
    <row r="201" spans="1:20" s="79" customFormat="1" x14ac:dyDescent="0.25">
      <c r="A201" s="91">
        <f t="shared" si="23"/>
        <v>0</v>
      </c>
      <c r="B201" s="37" t="str">
        <f t="shared" si="22"/>
        <v/>
      </c>
      <c r="C201" s="38"/>
      <c r="D201" s="38"/>
      <c r="E201" s="38"/>
      <c r="F201" s="38"/>
      <c r="G201" s="74"/>
      <c r="H201" s="92">
        <v>196</v>
      </c>
      <c r="I201" s="93" t="str">
        <f t="shared" si="24"/>
        <v/>
      </c>
      <c r="J201" s="92">
        <f t="shared" si="25"/>
        <v>-2</v>
      </c>
      <c r="K201" s="92">
        <f t="shared" si="26"/>
        <v>-20</v>
      </c>
      <c r="L201" s="92"/>
      <c r="M201" s="94">
        <f t="shared" si="27"/>
        <v>0</v>
      </c>
      <c r="N201" s="94">
        <f t="shared" si="28"/>
        <v>0</v>
      </c>
      <c r="O201" s="74"/>
      <c r="P201" s="74"/>
      <c r="Q201" s="74"/>
      <c r="R201" s="74"/>
      <c r="S201" s="74"/>
    </row>
    <row r="202" spans="1:20" s="79" customFormat="1" x14ac:dyDescent="0.25">
      <c r="A202" s="87">
        <f t="shared" si="23"/>
        <v>0</v>
      </c>
      <c r="B202" s="31" t="str">
        <f t="shared" ref="B202:B250" si="29">IF(H202&gt;$H$2,"",(ROW()-5))</f>
        <v/>
      </c>
      <c r="C202" s="32"/>
      <c r="D202" s="32"/>
      <c r="E202" s="32"/>
      <c r="F202" s="32"/>
      <c r="G202" s="74"/>
      <c r="H202" s="88">
        <v>197</v>
      </c>
      <c r="I202" s="89" t="str">
        <f t="shared" si="24"/>
        <v/>
      </c>
      <c r="J202" s="88">
        <f t="shared" si="25"/>
        <v>-2</v>
      </c>
      <c r="K202" s="88">
        <f t="shared" si="26"/>
        <v>-20</v>
      </c>
      <c r="L202" s="88"/>
      <c r="M202" s="90">
        <f t="shared" si="27"/>
        <v>0</v>
      </c>
      <c r="N202" s="90">
        <f t="shared" si="28"/>
        <v>0</v>
      </c>
      <c r="O202" s="74"/>
      <c r="P202" s="74"/>
      <c r="Q202" s="74"/>
      <c r="R202" s="74"/>
      <c r="S202" s="102"/>
      <c r="T202" s="103"/>
    </row>
    <row r="203" spans="1:20" s="79" customFormat="1" x14ac:dyDescent="0.25">
      <c r="A203" s="91">
        <f t="shared" si="23"/>
        <v>0</v>
      </c>
      <c r="B203" s="37" t="str">
        <f t="shared" si="29"/>
        <v/>
      </c>
      <c r="C203" s="38"/>
      <c r="D203" s="38"/>
      <c r="E203" s="38"/>
      <c r="F203" s="38"/>
      <c r="G203" s="74"/>
      <c r="H203" s="92">
        <v>198</v>
      </c>
      <c r="I203" s="93" t="str">
        <f t="shared" si="24"/>
        <v/>
      </c>
      <c r="J203" s="92">
        <f t="shared" si="25"/>
        <v>-2</v>
      </c>
      <c r="K203" s="92">
        <f t="shared" si="26"/>
        <v>-20</v>
      </c>
      <c r="L203" s="92"/>
      <c r="M203" s="94">
        <f t="shared" si="27"/>
        <v>0</v>
      </c>
      <c r="N203" s="94">
        <f t="shared" si="28"/>
        <v>0</v>
      </c>
      <c r="O203" s="74"/>
      <c r="P203" s="74"/>
      <c r="Q203" s="74"/>
      <c r="R203" s="74"/>
      <c r="S203" s="74"/>
    </row>
    <row r="204" spans="1:20" s="79" customFormat="1" x14ac:dyDescent="0.25">
      <c r="A204" s="87">
        <f t="shared" si="23"/>
        <v>0</v>
      </c>
      <c r="B204" s="31" t="str">
        <f t="shared" si="29"/>
        <v/>
      </c>
      <c r="C204" s="32"/>
      <c r="D204" s="32"/>
      <c r="E204" s="32"/>
      <c r="F204" s="32"/>
      <c r="G204" s="74"/>
      <c r="H204" s="88">
        <v>199</v>
      </c>
      <c r="I204" s="89" t="str">
        <f t="shared" si="24"/>
        <v/>
      </c>
      <c r="J204" s="88">
        <f t="shared" si="25"/>
        <v>-2</v>
      </c>
      <c r="K204" s="88">
        <f t="shared" si="26"/>
        <v>-20</v>
      </c>
      <c r="L204" s="88"/>
      <c r="M204" s="90">
        <f t="shared" si="27"/>
        <v>0</v>
      </c>
      <c r="N204" s="90">
        <f t="shared" si="28"/>
        <v>0</v>
      </c>
      <c r="O204" s="74"/>
      <c r="P204" s="74"/>
      <c r="Q204" s="74"/>
      <c r="R204" s="74"/>
      <c r="S204" s="102"/>
      <c r="T204" s="103"/>
    </row>
    <row r="205" spans="1:20" s="79" customFormat="1" x14ac:dyDescent="0.25">
      <c r="A205" s="91">
        <f t="shared" si="23"/>
        <v>0</v>
      </c>
      <c r="B205" s="37" t="str">
        <f t="shared" si="29"/>
        <v/>
      </c>
      <c r="C205" s="38"/>
      <c r="D205" s="38"/>
      <c r="E205" s="38"/>
      <c r="F205" s="38"/>
      <c r="G205" s="74"/>
      <c r="H205" s="92">
        <v>200</v>
      </c>
      <c r="I205" s="93" t="str">
        <f t="shared" si="24"/>
        <v/>
      </c>
      <c r="J205" s="92">
        <f t="shared" si="25"/>
        <v>-2</v>
      </c>
      <c r="K205" s="92">
        <f t="shared" si="26"/>
        <v>-20</v>
      </c>
      <c r="L205" s="92"/>
      <c r="M205" s="94">
        <f t="shared" si="27"/>
        <v>0</v>
      </c>
      <c r="N205" s="94">
        <f t="shared" si="28"/>
        <v>0</v>
      </c>
      <c r="O205" s="74"/>
      <c r="P205" s="74"/>
      <c r="Q205" s="74"/>
      <c r="R205" s="74"/>
      <c r="S205" s="74"/>
    </row>
    <row r="206" spans="1:20" s="79" customFormat="1" x14ac:dyDescent="0.25">
      <c r="A206" s="87">
        <f t="shared" si="23"/>
        <v>0</v>
      </c>
      <c r="B206" s="31" t="str">
        <f t="shared" si="29"/>
        <v/>
      </c>
      <c r="C206" s="32"/>
      <c r="D206" s="32"/>
      <c r="E206" s="32"/>
      <c r="F206" s="32"/>
      <c r="G206" s="74"/>
      <c r="H206" s="88">
        <v>201</v>
      </c>
      <c r="I206" s="89" t="str">
        <f t="shared" si="24"/>
        <v/>
      </c>
      <c r="J206" s="88">
        <f t="shared" si="25"/>
        <v>-2</v>
      </c>
      <c r="K206" s="88">
        <f t="shared" si="26"/>
        <v>-20</v>
      </c>
      <c r="L206" s="88"/>
      <c r="M206" s="90">
        <f t="shared" si="27"/>
        <v>0</v>
      </c>
      <c r="N206" s="90">
        <f t="shared" si="28"/>
        <v>0</v>
      </c>
      <c r="O206" s="74"/>
      <c r="P206" s="74"/>
      <c r="Q206" s="74"/>
      <c r="R206" s="74"/>
      <c r="S206" s="102"/>
      <c r="T206" s="103"/>
    </row>
    <row r="207" spans="1:20" s="79" customFormat="1" x14ac:dyDescent="0.25">
      <c r="A207" s="91">
        <f t="shared" si="23"/>
        <v>0</v>
      </c>
      <c r="B207" s="37" t="str">
        <f t="shared" si="29"/>
        <v/>
      </c>
      <c r="C207" s="38"/>
      <c r="D207" s="38"/>
      <c r="E207" s="38"/>
      <c r="F207" s="38"/>
      <c r="G207" s="74"/>
      <c r="H207" s="92">
        <v>202</v>
      </c>
      <c r="I207" s="93" t="str">
        <f t="shared" si="24"/>
        <v/>
      </c>
      <c r="J207" s="92">
        <f t="shared" si="25"/>
        <v>-2</v>
      </c>
      <c r="K207" s="92">
        <f t="shared" si="26"/>
        <v>-20</v>
      </c>
      <c r="L207" s="92"/>
      <c r="M207" s="94">
        <f t="shared" si="27"/>
        <v>0</v>
      </c>
      <c r="N207" s="94">
        <f t="shared" si="28"/>
        <v>0</v>
      </c>
      <c r="O207" s="74"/>
      <c r="P207" s="74"/>
      <c r="Q207" s="74"/>
      <c r="R207" s="74"/>
      <c r="S207" s="74"/>
    </row>
    <row r="208" spans="1:20" s="79" customFormat="1" x14ac:dyDescent="0.25">
      <c r="A208" s="87">
        <f t="shared" si="23"/>
        <v>0</v>
      </c>
      <c r="B208" s="31" t="str">
        <f t="shared" si="29"/>
        <v/>
      </c>
      <c r="C208" s="32"/>
      <c r="D208" s="32"/>
      <c r="E208" s="32"/>
      <c r="F208" s="32"/>
      <c r="G208" s="74"/>
      <c r="H208" s="88">
        <v>203</v>
      </c>
      <c r="I208" s="89" t="str">
        <f t="shared" si="24"/>
        <v/>
      </c>
      <c r="J208" s="88">
        <f t="shared" si="25"/>
        <v>-2</v>
      </c>
      <c r="K208" s="88">
        <f t="shared" si="26"/>
        <v>-20</v>
      </c>
      <c r="L208" s="88"/>
      <c r="M208" s="90">
        <f t="shared" si="27"/>
        <v>0</v>
      </c>
      <c r="N208" s="90">
        <f t="shared" si="28"/>
        <v>0</v>
      </c>
      <c r="O208" s="74"/>
      <c r="P208" s="74"/>
      <c r="Q208" s="74"/>
      <c r="R208" s="74"/>
      <c r="S208" s="102"/>
      <c r="T208" s="103"/>
    </row>
    <row r="209" spans="1:20" s="79" customFormat="1" x14ac:dyDescent="0.25">
      <c r="A209" s="91">
        <f t="shared" si="23"/>
        <v>0</v>
      </c>
      <c r="B209" s="37" t="str">
        <f t="shared" si="29"/>
        <v/>
      </c>
      <c r="C209" s="38"/>
      <c r="D209" s="38"/>
      <c r="E209" s="38"/>
      <c r="F209" s="38"/>
      <c r="G209" s="74"/>
      <c r="H209" s="92">
        <v>204</v>
      </c>
      <c r="I209" s="93" t="str">
        <f t="shared" si="24"/>
        <v/>
      </c>
      <c r="J209" s="92">
        <f t="shared" si="25"/>
        <v>-2</v>
      </c>
      <c r="K209" s="92">
        <f t="shared" si="26"/>
        <v>-20</v>
      </c>
      <c r="L209" s="92"/>
      <c r="M209" s="94">
        <f t="shared" si="27"/>
        <v>0</v>
      </c>
      <c r="N209" s="94">
        <f t="shared" si="28"/>
        <v>0</v>
      </c>
      <c r="O209" s="74"/>
      <c r="P209" s="74"/>
      <c r="Q209" s="74"/>
      <c r="R209" s="74"/>
      <c r="S209" s="74"/>
    </row>
    <row r="210" spans="1:20" s="79" customFormat="1" x14ac:dyDescent="0.25">
      <c r="A210" s="87">
        <f t="shared" si="23"/>
        <v>0</v>
      </c>
      <c r="B210" s="31" t="str">
        <f t="shared" si="29"/>
        <v/>
      </c>
      <c r="C210" s="32"/>
      <c r="D210" s="32"/>
      <c r="E210" s="32"/>
      <c r="F210" s="32"/>
      <c r="G210" s="74"/>
      <c r="H210" s="88">
        <v>205</v>
      </c>
      <c r="I210" s="89" t="str">
        <f t="shared" si="24"/>
        <v/>
      </c>
      <c r="J210" s="88">
        <f t="shared" si="25"/>
        <v>-2</v>
      </c>
      <c r="K210" s="88">
        <f t="shared" si="26"/>
        <v>-20</v>
      </c>
      <c r="L210" s="88"/>
      <c r="M210" s="90">
        <f t="shared" si="27"/>
        <v>0</v>
      </c>
      <c r="N210" s="90">
        <f t="shared" si="28"/>
        <v>0</v>
      </c>
      <c r="O210" s="74"/>
      <c r="P210" s="74"/>
      <c r="Q210" s="74"/>
      <c r="R210" s="74"/>
      <c r="S210" s="102"/>
      <c r="T210" s="103"/>
    </row>
    <row r="211" spans="1:20" s="79" customFormat="1" x14ac:dyDescent="0.25">
      <c r="A211" s="91">
        <f t="shared" si="23"/>
        <v>0</v>
      </c>
      <c r="B211" s="37" t="str">
        <f t="shared" si="29"/>
        <v/>
      </c>
      <c r="C211" s="38"/>
      <c r="D211" s="38"/>
      <c r="E211" s="38"/>
      <c r="F211" s="38"/>
      <c r="G211" s="74"/>
      <c r="H211" s="92">
        <v>206</v>
      </c>
      <c r="I211" s="93" t="str">
        <f t="shared" si="24"/>
        <v/>
      </c>
      <c r="J211" s="92">
        <f t="shared" si="25"/>
        <v>-2</v>
      </c>
      <c r="K211" s="92">
        <f t="shared" si="26"/>
        <v>-20</v>
      </c>
      <c r="L211" s="92"/>
      <c r="M211" s="94">
        <f t="shared" si="27"/>
        <v>0</v>
      </c>
      <c r="N211" s="94">
        <f t="shared" si="28"/>
        <v>0</v>
      </c>
      <c r="O211" s="74"/>
      <c r="P211" s="74"/>
      <c r="Q211" s="74"/>
      <c r="R211" s="74"/>
      <c r="S211" s="74"/>
    </row>
    <row r="212" spans="1:20" s="79" customFormat="1" x14ac:dyDescent="0.25">
      <c r="A212" s="87">
        <f t="shared" si="23"/>
        <v>0</v>
      </c>
      <c r="B212" s="31" t="str">
        <f t="shared" si="29"/>
        <v/>
      </c>
      <c r="C212" s="32"/>
      <c r="D212" s="32"/>
      <c r="E212" s="32"/>
      <c r="F212" s="32"/>
      <c r="G212" s="74"/>
      <c r="H212" s="88">
        <v>207</v>
      </c>
      <c r="I212" s="89" t="str">
        <f t="shared" si="24"/>
        <v/>
      </c>
      <c r="J212" s="88">
        <f t="shared" si="25"/>
        <v>-2</v>
      </c>
      <c r="K212" s="88">
        <f t="shared" si="26"/>
        <v>-20</v>
      </c>
      <c r="L212" s="88"/>
      <c r="M212" s="90">
        <f t="shared" si="27"/>
        <v>0</v>
      </c>
      <c r="N212" s="90">
        <f t="shared" si="28"/>
        <v>0</v>
      </c>
      <c r="O212" s="74"/>
      <c r="P212" s="74"/>
      <c r="Q212" s="74"/>
      <c r="R212" s="74"/>
      <c r="S212" s="102"/>
      <c r="T212" s="103"/>
    </row>
    <row r="213" spans="1:20" s="79" customFormat="1" x14ac:dyDescent="0.25">
      <c r="A213" s="91">
        <f t="shared" si="23"/>
        <v>0</v>
      </c>
      <c r="B213" s="37" t="str">
        <f t="shared" si="29"/>
        <v/>
      </c>
      <c r="C213" s="38"/>
      <c r="D213" s="38"/>
      <c r="E213" s="38"/>
      <c r="F213" s="38"/>
      <c r="G213" s="74"/>
      <c r="H213" s="92">
        <v>208</v>
      </c>
      <c r="I213" s="93" t="str">
        <f t="shared" si="24"/>
        <v/>
      </c>
      <c r="J213" s="92">
        <f t="shared" si="25"/>
        <v>-2</v>
      </c>
      <c r="K213" s="92">
        <f t="shared" si="26"/>
        <v>-20</v>
      </c>
      <c r="L213" s="92"/>
      <c r="M213" s="94">
        <f t="shared" si="27"/>
        <v>0</v>
      </c>
      <c r="N213" s="94">
        <f t="shared" si="28"/>
        <v>0</v>
      </c>
      <c r="O213" s="74"/>
      <c r="P213" s="74"/>
      <c r="Q213" s="74"/>
      <c r="R213" s="74"/>
      <c r="S213" s="74"/>
    </row>
    <row r="214" spans="1:20" s="79" customFormat="1" x14ac:dyDescent="0.25">
      <c r="A214" s="87">
        <f t="shared" si="23"/>
        <v>0</v>
      </c>
      <c r="B214" s="31" t="str">
        <f t="shared" si="29"/>
        <v/>
      </c>
      <c r="C214" s="32"/>
      <c r="D214" s="32"/>
      <c r="E214" s="32"/>
      <c r="F214" s="32"/>
      <c r="G214" s="74"/>
      <c r="H214" s="88">
        <v>209</v>
      </c>
      <c r="I214" s="89" t="str">
        <f t="shared" si="24"/>
        <v/>
      </c>
      <c r="J214" s="88">
        <f t="shared" si="25"/>
        <v>-2</v>
      </c>
      <c r="K214" s="88">
        <f t="shared" si="26"/>
        <v>-20</v>
      </c>
      <c r="L214" s="88"/>
      <c r="M214" s="90">
        <f t="shared" si="27"/>
        <v>0</v>
      </c>
      <c r="N214" s="90">
        <f t="shared" si="28"/>
        <v>0</v>
      </c>
      <c r="O214" s="74"/>
      <c r="P214" s="74"/>
      <c r="Q214" s="74"/>
      <c r="R214" s="74"/>
      <c r="S214" s="102"/>
      <c r="T214" s="103"/>
    </row>
    <row r="215" spans="1:20" s="79" customFormat="1" x14ac:dyDescent="0.25">
      <c r="A215" s="91">
        <f t="shared" si="23"/>
        <v>0</v>
      </c>
      <c r="B215" s="37" t="str">
        <f t="shared" si="29"/>
        <v/>
      </c>
      <c r="C215" s="38"/>
      <c r="D215" s="38"/>
      <c r="E215" s="38"/>
      <c r="F215" s="38"/>
      <c r="G215" s="74"/>
      <c r="H215" s="92">
        <v>210</v>
      </c>
      <c r="I215" s="93" t="str">
        <f t="shared" si="24"/>
        <v/>
      </c>
      <c r="J215" s="92">
        <f t="shared" si="25"/>
        <v>-2</v>
      </c>
      <c r="K215" s="92">
        <f t="shared" si="26"/>
        <v>-20</v>
      </c>
      <c r="L215" s="92"/>
      <c r="M215" s="94">
        <f t="shared" si="27"/>
        <v>0</v>
      </c>
      <c r="N215" s="94">
        <f t="shared" si="28"/>
        <v>0</v>
      </c>
      <c r="O215" s="74"/>
      <c r="P215" s="74"/>
      <c r="Q215" s="74"/>
      <c r="R215" s="74"/>
      <c r="S215" s="74"/>
    </row>
    <row r="216" spans="1:20" s="79" customFormat="1" x14ac:dyDescent="0.25">
      <c r="A216" s="87">
        <f t="shared" si="23"/>
        <v>0</v>
      </c>
      <c r="B216" s="31" t="str">
        <f t="shared" si="29"/>
        <v/>
      </c>
      <c r="C216" s="32"/>
      <c r="D216" s="32"/>
      <c r="E216" s="32"/>
      <c r="F216" s="32"/>
      <c r="G216" s="74"/>
      <c r="H216" s="88">
        <v>211</v>
      </c>
      <c r="I216" s="89" t="str">
        <f t="shared" si="24"/>
        <v/>
      </c>
      <c r="J216" s="88">
        <f t="shared" si="25"/>
        <v>-2</v>
      </c>
      <c r="K216" s="88">
        <f t="shared" si="26"/>
        <v>-20</v>
      </c>
      <c r="L216" s="88"/>
      <c r="M216" s="90">
        <f t="shared" si="27"/>
        <v>0</v>
      </c>
      <c r="N216" s="90">
        <f t="shared" si="28"/>
        <v>0</v>
      </c>
      <c r="O216" s="74"/>
      <c r="P216" s="74"/>
      <c r="Q216" s="74"/>
      <c r="R216" s="74"/>
      <c r="S216" s="102"/>
      <c r="T216" s="103"/>
    </row>
    <row r="217" spans="1:20" s="79" customFormat="1" x14ac:dyDescent="0.25">
      <c r="A217" s="91">
        <f t="shared" si="23"/>
        <v>0</v>
      </c>
      <c r="B217" s="37" t="str">
        <f t="shared" si="29"/>
        <v/>
      </c>
      <c r="C217" s="38"/>
      <c r="D217" s="38"/>
      <c r="E217" s="38"/>
      <c r="F217" s="38"/>
      <c r="G217" s="74"/>
      <c r="H217" s="92">
        <v>212</v>
      </c>
      <c r="I217" s="93" t="str">
        <f t="shared" si="24"/>
        <v/>
      </c>
      <c r="J217" s="92">
        <f t="shared" si="25"/>
        <v>-2</v>
      </c>
      <c r="K217" s="92">
        <f t="shared" si="26"/>
        <v>-20</v>
      </c>
      <c r="L217" s="92"/>
      <c r="M217" s="94">
        <f t="shared" si="27"/>
        <v>0</v>
      </c>
      <c r="N217" s="94">
        <f t="shared" si="28"/>
        <v>0</v>
      </c>
      <c r="O217" s="74"/>
      <c r="P217" s="74"/>
      <c r="Q217" s="74"/>
      <c r="R217" s="74"/>
      <c r="S217" s="74"/>
    </row>
    <row r="218" spans="1:20" s="79" customFormat="1" x14ac:dyDescent="0.25">
      <c r="A218" s="87">
        <f t="shared" si="23"/>
        <v>0</v>
      </c>
      <c r="B218" s="31" t="str">
        <f t="shared" si="29"/>
        <v/>
      </c>
      <c r="C218" s="32"/>
      <c r="D218" s="32"/>
      <c r="E218" s="32"/>
      <c r="F218" s="32"/>
      <c r="G218" s="74"/>
      <c r="H218" s="88">
        <v>213</v>
      </c>
      <c r="I218" s="89" t="str">
        <f t="shared" si="24"/>
        <v/>
      </c>
      <c r="J218" s="88">
        <f t="shared" si="25"/>
        <v>-2</v>
      </c>
      <c r="K218" s="88">
        <f t="shared" si="26"/>
        <v>-20</v>
      </c>
      <c r="L218" s="88"/>
      <c r="M218" s="90">
        <f t="shared" si="27"/>
        <v>0</v>
      </c>
      <c r="N218" s="90">
        <f t="shared" si="28"/>
        <v>0</v>
      </c>
      <c r="O218" s="74"/>
      <c r="P218" s="74"/>
      <c r="Q218" s="74"/>
      <c r="R218" s="74"/>
      <c r="S218" s="102"/>
      <c r="T218" s="103"/>
    </row>
    <row r="219" spans="1:20" s="79" customFormat="1" x14ac:dyDescent="0.25">
      <c r="A219" s="91">
        <f t="shared" si="23"/>
        <v>0</v>
      </c>
      <c r="B219" s="37" t="str">
        <f t="shared" si="29"/>
        <v/>
      </c>
      <c r="C219" s="38"/>
      <c r="D219" s="38"/>
      <c r="E219" s="38"/>
      <c r="F219" s="38"/>
      <c r="G219" s="74"/>
      <c r="H219" s="92">
        <v>214</v>
      </c>
      <c r="I219" s="93" t="str">
        <f t="shared" si="24"/>
        <v/>
      </c>
      <c r="J219" s="92">
        <f t="shared" si="25"/>
        <v>-2</v>
      </c>
      <c r="K219" s="92">
        <f t="shared" si="26"/>
        <v>-20</v>
      </c>
      <c r="L219" s="92"/>
      <c r="M219" s="94">
        <f t="shared" si="27"/>
        <v>0</v>
      </c>
      <c r="N219" s="94">
        <f t="shared" si="28"/>
        <v>0</v>
      </c>
      <c r="O219" s="74"/>
      <c r="P219" s="74"/>
      <c r="Q219" s="74"/>
      <c r="R219" s="74"/>
      <c r="S219" s="74"/>
    </row>
    <row r="220" spans="1:20" s="79" customFormat="1" x14ac:dyDescent="0.25">
      <c r="A220" s="87">
        <f t="shared" si="23"/>
        <v>0</v>
      </c>
      <c r="B220" s="31" t="str">
        <f t="shared" si="29"/>
        <v/>
      </c>
      <c r="C220" s="32"/>
      <c r="D220" s="32"/>
      <c r="E220" s="32"/>
      <c r="F220" s="32"/>
      <c r="G220" s="74"/>
      <c r="H220" s="88">
        <v>215</v>
      </c>
      <c r="I220" s="89" t="str">
        <f t="shared" si="24"/>
        <v/>
      </c>
      <c r="J220" s="88">
        <f t="shared" si="25"/>
        <v>-2</v>
      </c>
      <c r="K220" s="88">
        <f t="shared" si="26"/>
        <v>-20</v>
      </c>
      <c r="L220" s="88"/>
      <c r="M220" s="90">
        <f t="shared" si="27"/>
        <v>0</v>
      </c>
      <c r="N220" s="90">
        <f t="shared" si="28"/>
        <v>0</v>
      </c>
      <c r="O220" s="74"/>
      <c r="P220" s="74"/>
      <c r="Q220" s="74"/>
      <c r="R220" s="74"/>
      <c r="S220" s="102"/>
      <c r="T220" s="103"/>
    </row>
    <row r="221" spans="1:20" s="79" customFormat="1" x14ac:dyDescent="0.25">
      <c r="A221" s="91">
        <f t="shared" si="23"/>
        <v>0</v>
      </c>
      <c r="B221" s="37" t="str">
        <f t="shared" si="29"/>
        <v/>
      </c>
      <c r="C221" s="38"/>
      <c r="D221" s="38"/>
      <c r="E221" s="38"/>
      <c r="F221" s="38"/>
      <c r="G221" s="74"/>
      <c r="H221" s="92">
        <v>216</v>
      </c>
      <c r="I221" s="93" t="str">
        <f t="shared" si="24"/>
        <v/>
      </c>
      <c r="J221" s="92">
        <f t="shared" si="25"/>
        <v>-2</v>
      </c>
      <c r="K221" s="92">
        <f t="shared" si="26"/>
        <v>-20</v>
      </c>
      <c r="L221" s="92"/>
      <c r="M221" s="94">
        <f t="shared" si="27"/>
        <v>0</v>
      </c>
      <c r="N221" s="94">
        <f t="shared" si="28"/>
        <v>0</v>
      </c>
      <c r="O221" s="74"/>
      <c r="P221" s="74"/>
      <c r="Q221" s="74"/>
      <c r="R221" s="74"/>
      <c r="S221" s="74"/>
    </row>
    <row r="222" spans="1:20" s="79" customFormat="1" x14ac:dyDescent="0.25">
      <c r="A222" s="87">
        <f t="shared" si="23"/>
        <v>0</v>
      </c>
      <c r="B222" s="31" t="str">
        <f t="shared" si="29"/>
        <v/>
      </c>
      <c r="C222" s="32"/>
      <c r="D222" s="32"/>
      <c r="E222" s="32"/>
      <c r="F222" s="32"/>
      <c r="G222" s="74"/>
      <c r="H222" s="88">
        <v>217</v>
      </c>
      <c r="I222" s="89" t="str">
        <f t="shared" si="24"/>
        <v/>
      </c>
      <c r="J222" s="88">
        <f t="shared" si="25"/>
        <v>-2</v>
      </c>
      <c r="K222" s="88">
        <f t="shared" si="26"/>
        <v>-20</v>
      </c>
      <c r="L222" s="88"/>
      <c r="M222" s="90">
        <f t="shared" si="27"/>
        <v>0</v>
      </c>
      <c r="N222" s="90">
        <f t="shared" si="28"/>
        <v>0</v>
      </c>
      <c r="O222" s="74"/>
      <c r="P222" s="74"/>
      <c r="Q222" s="74"/>
      <c r="R222" s="74"/>
      <c r="S222" s="102"/>
      <c r="T222" s="103"/>
    </row>
    <row r="223" spans="1:20" s="79" customFormat="1" x14ac:dyDescent="0.25">
      <c r="A223" s="91">
        <f t="shared" si="23"/>
        <v>0</v>
      </c>
      <c r="B223" s="37" t="str">
        <f t="shared" si="29"/>
        <v/>
      </c>
      <c r="C223" s="38"/>
      <c r="D223" s="38"/>
      <c r="E223" s="38"/>
      <c r="F223" s="38"/>
      <c r="G223" s="74"/>
      <c r="H223" s="92">
        <v>218</v>
      </c>
      <c r="I223" s="93" t="str">
        <f t="shared" si="24"/>
        <v/>
      </c>
      <c r="J223" s="92">
        <f t="shared" si="25"/>
        <v>-2</v>
      </c>
      <c r="K223" s="92">
        <f t="shared" si="26"/>
        <v>-20</v>
      </c>
      <c r="L223" s="92"/>
      <c r="M223" s="94">
        <f t="shared" si="27"/>
        <v>0</v>
      </c>
      <c r="N223" s="94">
        <f t="shared" si="28"/>
        <v>0</v>
      </c>
      <c r="O223" s="74"/>
      <c r="P223" s="74"/>
      <c r="Q223" s="74"/>
      <c r="R223" s="74"/>
      <c r="S223" s="74"/>
    </row>
    <row r="224" spans="1:20" s="79" customFormat="1" x14ac:dyDescent="0.25">
      <c r="A224" s="87">
        <f t="shared" si="23"/>
        <v>0</v>
      </c>
      <c r="B224" s="31" t="str">
        <f t="shared" si="29"/>
        <v/>
      </c>
      <c r="C224" s="32"/>
      <c r="D224" s="32"/>
      <c r="E224" s="32"/>
      <c r="F224" s="32"/>
      <c r="G224" s="74"/>
      <c r="H224" s="88">
        <v>219</v>
      </c>
      <c r="I224" s="89" t="str">
        <f t="shared" si="24"/>
        <v/>
      </c>
      <c r="J224" s="88">
        <f t="shared" si="25"/>
        <v>-2</v>
      </c>
      <c r="K224" s="88">
        <f t="shared" si="26"/>
        <v>-20</v>
      </c>
      <c r="L224" s="88"/>
      <c r="M224" s="90">
        <f t="shared" si="27"/>
        <v>0</v>
      </c>
      <c r="N224" s="90">
        <f t="shared" si="28"/>
        <v>0</v>
      </c>
      <c r="O224" s="74"/>
      <c r="P224" s="74"/>
      <c r="Q224" s="74"/>
      <c r="R224" s="74"/>
      <c r="S224" s="102"/>
      <c r="T224" s="103"/>
    </row>
    <row r="225" spans="1:20" s="79" customFormat="1" x14ac:dyDescent="0.25">
      <c r="A225" s="91">
        <f t="shared" si="23"/>
        <v>0</v>
      </c>
      <c r="B225" s="37" t="str">
        <f t="shared" si="29"/>
        <v/>
      </c>
      <c r="C225" s="38"/>
      <c r="D225" s="38"/>
      <c r="E225" s="38"/>
      <c r="F225" s="38"/>
      <c r="G225" s="74"/>
      <c r="H225" s="92">
        <v>220</v>
      </c>
      <c r="I225" s="93" t="str">
        <f t="shared" si="24"/>
        <v/>
      </c>
      <c r="J225" s="92">
        <f t="shared" si="25"/>
        <v>-2</v>
      </c>
      <c r="K225" s="92">
        <f t="shared" si="26"/>
        <v>-20</v>
      </c>
      <c r="L225" s="92"/>
      <c r="M225" s="94">
        <f t="shared" si="27"/>
        <v>0</v>
      </c>
      <c r="N225" s="94">
        <f t="shared" si="28"/>
        <v>0</v>
      </c>
      <c r="O225" s="74"/>
      <c r="P225" s="74"/>
      <c r="Q225" s="74"/>
      <c r="R225" s="74"/>
      <c r="S225" s="74"/>
    </row>
    <row r="226" spans="1:20" s="79" customFormat="1" x14ac:dyDescent="0.25">
      <c r="A226" s="87">
        <f t="shared" si="23"/>
        <v>0</v>
      </c>
      <c r="B226" s="31" t="str">
        <f t="shared" si="29"/>
        <v/>
      </c>
      <c r="C226" s="32"/>
      <c r="D226" s="32"/>
      <c r="E226" s="32"/>
      <c r="F226" s="32"/>
      <c r="G226" s="74"/>
      <c r="H226" s="88">
        <v>221</v>
      </c>
      <c r="I226" s="89" t="str">
        <f t="shared" si="24"/>
        <v/>
      </c>
      <c r="J226" s="88">
        <f t="shared" si="25"/>
        <v>-2</v>
      </c>
      <c r="K226" s="88">
        <f t="shared" si="26"/>
        <v>-20</v>
      </c>
      <c r="L226" s="88"/>
      <c r="M226" s="90">
        <f t="shared" si="27"/>
        <v>0</v>
      </c>
      <c r="N226" s="90">
        <f t="shared" si="28"/>
        <v>0</v>
      </c>
      <c r="O226" s="74"/>
      <c r="P226" s="74"/>
      <c r="Q226" s="74"/>
      <c r="R226" s="74"/>
      <c r="S226" s="102"/>
      <c r="T226" s="103"/>
    </row>
    <row r="227" spans="1:20" s="79" customFormat="1" x14ac:dyDescent="0.25">
      <c r="A227" s="91">
        <f t="shared" si="23"/>
        <v>0</v>
      </c>
      <c r="B227" s="37" t="str">
        <f t="shared" si="29"/>
        <v/>
      </c>
      <c r="C227" s="38"/>
      <c r="D227" s="38"/>
      <c r="E227" s="38"/>
      <c r="F227" s="38"/>
      <c r="G227" s="74"/>
      <c r="H227" s="92">
        <v>222</v>
      </c>
      <c r="I227" s="93" t="str">
        <f t="shared" si="24"/>
        <v/>
      </c>
      <c r="J227" s="92">
        <f t="shared" si="25"/>
        <v>-2</v>
      </c>
      <c r="K227" s="92">
        <f t="shared" si="26"/>
        <v>-20</v>
      </c>
      <c r="L227" s="92"/>
      <c r="M227" s="94">
        <f t="shared" si="27"/>
        <v>0</v>
      </c>
      <c r="N227" s="94">
        <f t="shared" si="28"/>
        <v>0</v>
      </c>
      <c r="O227" s="74"/>
      <c r="P227" s="74"/>
      <c r="Q227" s="74"/>
      <c r="R227" s="74"/>
      <c r="S227" s="74"/>
    </row>
    <row r="228" spans="1:20" s="79" customFormat="1" x14ac:dyDescent="0.25">
      <c r="A228" s="87">
        <f t="shared" si="23"/>
        <v>0</v>
      </c>
      <c r="B228" s="31" t="str">
        <f t="shared" si="29"/>
        <v/>
      </c>
      <c r="C228" s="32"/>
      <c r="D228" s="32"/>
      <c r="E228" s="32"/>
      <c r="F228" s="32"/>
      <c r="G228" s="74"/>
      <c r="H228" s="88">
        <v>223</v>
      </c>
      <c r="I228" s="89" t="str">
        <f t="shared" si="24"/>
        <v/>
      </c>
      <c r="J228" s="88">
        <f t="shared" si="25"/>
        <v>-2</v>
      </c>
      <c r="K228" s="88">
        <f t="shared" si="26"/>
        <v>-20</v>
      </c>
      <c r="L228" s="88"/>
      <c r="M228" s="90">
        <f t="shared" si="27"/>
        <v>0</v>
      </c>
      <c r="N228" s="90">
        <f t="shared" si="28"/>
        <v>0</v>
      </c>
      <c r="O228" s="74"/>
      <c r="P228" s="74"/>
      <c r="Q228" s="74"/>
      <c r="R228" s="74"/>
      <c r="S228" s="102"/>
      <c r="T228" s="103"/>
    </row>
    <row r="229" spans="1:20" s="79" customFormat="1" x14ac:dyDescent="0.25">
      <c r="A229" s="91">
        <f t="shared" si="23"/>
        <v>0</v>
      </c>
      <c r="B229" s="37" t="str">
        <f t="shared" si="29"/>
        <v/>
      </c>
      <c r="C229" s="38"/>
      <c r="D229" s="38"/>
      <c r="E229" s="38"/>
      <c r="F229" s="38"/>
      <c r="G229" s="74"/>
      <c r="H229" s="92">
        <v>224</v>
      </c>
      <c r="I229" s="93" t="str">
        <f t="shared" si="24"/>
        <v/>
      </c>
      <c r="J229" s="92">
        <f t="shared" si="25"/>
        <v>-2</v>
      </c>
      <c r="K229" s="92">
        <f t="shared" si="26"/>
        <v>-20</v>
      </c>
      <c r="L229" s="92"/>
      <c r="M229" s="94">
        <f t="shared" si="27"/>
        <v>0</v>
      </c>
      <c r="N229" s="94">
        <f t="shared" si="28"/>
        <v>0</v>
      </c>
      <c r="O229" s="74"/>
      <c r="P229" s="74"/>
      <c r="Q229" s="74"/>
      <c r="R229" s="74"/>
      <c r="S229" s="74"/>
    </row>
    <row r="230" spans="1:20" s="79" customFormat="1" x14ac:dyDescent="0.25">
      <c r="A230" s="87">
        <f t="shared" si="23"/>
        <v>0</v>
      </c>
      <c r="B230" s="31" t="str">
        <f t="shared" si="29"/>
        <v/>
      </c>
      <c r="C230" s="32"/>
      <c r="D230" s="32"/>
      <c r="E230" s="32"/>
      <c r="F230" s="32"/>
      <c r="G230" s="74"/>
      <c r="H230" s="88">
        <v>225</v>
      </c>
      <c r="I230" s="89" t="str">
        <f t="shared" si="24"/>
        <v/>
      </c>
      <c r="J230" s="88">
        <f t="shared" si="25"/>
        <v>-2</v>
      </c>
      <c r="K230" s="88">
        <f t="shared" si="26"/>
        <v>-20</v>
      </c>
      <c r="L230" s="88"/>
      <c r="M230" s="90">
        <f t="shared" si="27"/>
        <v>0</v>
      </c>
      <c r="N230" s="90">
        <f t="shared" si="28"/>
        <v>0</v>
      </c>
      <c r="O230" s="74"/>
      <c r="P230" s="74"/>
      <c r="Q230" s="74"/>
      <c r="R230" s="74"/>
      <c r="S230" s="102"/>
      <c r="T230" s="103"/>
    </row>
    <row r="231" spans="1:20" s="79" customFormat="1" x14ac:dyDescent="0.25">
      <c r="A231" s="91">
        <f t="shared" si="23"/>
        <v>0</v>
      </c>
      <c r="B231" s="37" t="str">
        <f t="shared" si="29"/>
        <v/>
      </c>
      <c r="C231" s="38"/>
      <c r="D231" s="38"/>
      <c r="E231" s="38"/>
      <c r="F231" s="38"/>
      <c r="G231" s="74"/>
      <c r="H231" s="92">
        <v>226</v>
      </c>
      <c r="I231" s="93" t="str">
        <f t="shared" si="24"/>
        <v/>
      </c>
      <c r="J231" s="92">
        <f t="shared" si="25"/>
        <v>-2</v>
      </c>
      <c r="K231" s="92">
        <f t="shared" si="26"/>
        <v>-20</v>
      </c>
      <c r="L231" s="92"/>
      <c r="M231" s="94">
        <f t="shared" si="27"/>
        <v>0</v>
      </c>
      <c r="N231" s="94">
        <f t="shared" si="28"/>
        <v>0</v>
      </c>
      <c r="O231" s="74"/>
      <c r="P231" s="74"/>
      <c r="Q231" s="74"/>
      <c r="R231" s="74"/>
      <c r="S231" s="74"/>
    </row>
    <row r="232" spans="1:20" s="79" customFormat="1" x14ac:dyDescent="0.25">
      <c r="A232" s="87">
        <f t="shared" si="23"/>
        <v>0</v>
      </c>
      <c r="B232" s="31" t="str">
        <f t="shared" si="29"/>
        <v/>
      </c>
      <c r="C232" s="32"/>
      <c r="D232" s="32"/>
      <c r="E232" s="32"/>
      <c r="F232" s="32"/>
      <c r="G232" s="74"/>
      <c r="H232" s="88">
        <v>227</v>
      </c>
      <c r="I232" s="89" t="str">
        <f t="shared" si="24"/>
        <v/>
      </c>
      <c r="J232" s="88">
        <f t="shared" si="25"/>
        <v>-2</v>
      </c>
      <c r="K232" s="88">
        <f t="shared" si="26"/>
        <v>-20</v>
      </c>
      <c r="L232" s="88"/>
      <c r="M232" s="90">
        <f t="shared" si="27"/>
        <v>0</v>
      </c>
      <c r="N232" s="90">
        <f t="shared" si="28"/>
        <v>0</v>
      </c>
      <c r="O232" s="74"/>
      <c r="P232" s="74"/>
      <c r="Q232" s="74"/>
      <c r="R232" s="74"/>
      <c r="S232" s="102"/>
      <c r="T232" s="103"/>
    </row>
    <row r="233" spans="1:20" s="79" customFormat="1" x14ac:dyDescent="0.25">
      <c r="A233" s="91">
        <f t="shared" si="23"/>
        <v>0</v>
      </c>
      <c r="B233" s="37" t="str">
        <f t="shared" si="29"/>
        <v/>
      </c>
      <c r="C233" s="38"/>
      <c r="D233" s="38"/>
      <c r="E233" s="38"/>
      <c r="F233" s="38"/>
      <c r="G233" s="74"/>
      <c r="H233" s="92">
        <v>228</v>
      </c>
      <c r="I233" s="93" t="str">
        <f t="shared" si="24"/>
        <v/>
      </c>
      <c r="J233" s="92">
        <f t="shared" si="25"/>
        <v>-2</v>
      </c>
      <c r="K233" s="92">
        <f t="shared" si="26"/>
        <v>-20</v>
      </c>
      <c r="L233" s="92"/>
      <c r="M233" s="94">
        <f t="shared" si="27"/>
        <v>0</v>
      </c>
      <c r="N233" s="94">
        <f t="shared" si="28"/>
        <v>0</v>
      </c>
      <c r="O233" s="74"/>
      <c r="P233" s="74"/>
      <c r="Q233" s="74"/>
      <c r="R233" s="74"/>
      <c r="S233" s="74"/>
    </row>
    <row r="234" spans="1:20" s="79" customFormat="1" x14ac:dyDescent="0.25">
      <c r="A234" s="87">
        <f t="shared" si="23"/>
        <v>0</v>
      </c>
      <c r="B234" s="31" t="str">
        <f t="shared" si="29"/>
        <v/>
      </c>
      <c r="C234" s="32"/>
      <c r="D234" s="32"/>
      <c r="E234" s="32"/>
      <c r="F234" s="32"/>
      <c r="G234" s="74"/>
      <c r="H234" s="88">
        <v>229</v>
      </c>
      <c r="I234" s="89" t="str">
        <f t="shared" si="24"/>
        <v/>
      </c>
      <c r="J234" s="88">
        <f t="shared" si="25"/>
        <v>-2</v>
      </c>
      <c r="K234" s="88">
        <f t="shared" si="26"/>
        <v>-20</v>
      </c>
      <c r="L234" s="88"/>
      <c r="M234" s="90">
        <f t="shared" si="27"/>
        <v>0</v>
      </c>
      <c r="N234" s="90">
        <f t="shared" si="28"/>
        <v>0</v>
      </c>
      <c r="O234" s="74"/>
      <c r="P234" s="74"/>
      <c r="Q234" s="74"/>
      <c r="R234" s="74"/>
      <c r="S234" s="102"/>
      <c r="T234" s="103"/>
    </row>
    <row r="235" spans="1:20" s="79" customFormat="1" x14ac:dyDescent="0.25">
      <c r="A235" s="91">
        <f t="shared" si="23"/>
        <v>0</v>
      </c>
      <c r="B235" s="37" t="str">
        <f t="shared" si="29"/>
        <v/>
      </c>
      <c r="C235" s="38"/>
      <c r="D235" s="38"/>
      <c r="E235" s="38"/>
      <c r="F235" s="38"/>
      <c r="G235" s="74"/>
      <c r="H235" s="92">
        <v>230</v>
      </c>
      <c r="I235" s="93" t="str">
        <f t="shared" si="24"/>
        <v/>
      </c>
      <c r="J235" s="92">
        <f t="shared" si="25"/>
        <v>-2</v>
      </c>
      <c r="K235" s="92">
        <f t="shared" si="26"/>
        <v>-20</v>
      </c>
      <c r="L235" s="92"/>
      <c r="M235" s="94">
        <f t="shared" si="27"/>
        <v>0</v>
      </c>
      <c r="N235" s="94">
        <f t="shared" si="28"/>
        <v>0</v>
      </c>
      <c r="O235" s="74"/>
      <c r="P235" s="74"/>
      <c r="Q235" s="74"/>
      <c r="R235" s="74"/>
      <c r="S235" s="74"/>
    </row>
    <row r="236" spans="1:20" s="79" customFormat="1" x14ac:dyDescent="0.25">
      <c r="A236" s="87">
        <f t="shared" si="23"/>
        <v>0</v>
      </c>
      <c r="B236" s="31" t="str">
        <f t="shared" si="29"/>
        <v/>
      </c>
      <c r="C236" s="32"/>
      <c r="D236" s="32"/>
      <c r="E236" s="32"/>
      <c r="F236" s="32"/>
      <c r="G236" s="74"/>
      <c r="H236" s="88">
        <v>231</v>
      </c>
      <c r="I236" s="89" t="str">
        <f t="shared" si="24"/>
        <v/>
      </c>
      <c r="J236" s="88">
        <f t="shared" si="25"/>
        <v>-2</v>
      </c>
      <c r="K236" s="88">
        <f t="shared" si="26"/>
        <v>-20</v>
      </c>
      <c r="L236" s="88"/>
      <c r="M236" s="90">
        <f t="shared" si="27"/>
        <v>0</v>
      </c>
      <c r="N236" s="90">
        <f t="shared" si="28"/>
        <v>0</v>
      </c>
      <c r="O236" s="74"/>
      <c r="P236" s="74"/>
      <c r="Q236" s="74"/>
      <c r="R236" s="74"/>
      <c r="S236" s="102"/>
      <c r="T236" s="103"/>
    </row>
    <row r="237" spans="1:20" s="79" customFormat="1" x14ac:dyDescent="0.25">
      <c r="A237" s="91">
        <f t="shared" si="23"/>
        <v>0</v>
      </c>
      <c r="B237" s="37" t="str">
        <f t="shared" si="29"/>
        <v/>
      </c>
      <c r="C237" s="38"/>
      <c r="D237" s="38"/>
      <c r="E237" s="38"/>
      <c r="F237" s="38"/>
      <c r="G237" s="74"/>
      <c r="H237" s="92">
        <v>232</v>
      </c>
      <c r="I237" s="93" t="str">
        <f t="shared" si="24"/>
        <v/>
      </c>
      <c r="J237" s="92">
        <f t="shared" si="25"/>
        <v>-2</v>
      </c>
      <c r="K237" s="92">
        <f t="shared" si="26"/>
        <v>-20</v>
      </c>
      <c r="L237" s="92"/>
      <c r="M237" s="94">
        <f t="shared" si="27"/>
        <v>0</v>
      </c>
      <c r="N237" s="94">
        <f t="shared" si="28"/>
        <v>0</v>
      </c>
      <c r="O237" s="74"/>
      <c r="P237" s="74"/>
      <c r="Q237" s="74"/>
      <c r="R237" s="74"/>
      <c r="S237" s="74"/>
    </row>
    <row r="238" spans="1:20" s="79" customFormat="1" x14ac:dyDescent="0.25">
      <c r="A238" s="87">
        <f t="shared" si="23"/>
        <v>0</v>
      </c>
      <c r="B238" s="31" t="str">
        <f t="shared" si="29"/>
        <v/>
      </c>
      <c r="C238" s="32"/>
      <c r="D238" s="32"/>
      <c r="E238" s="32"/>
      <c r="F238" s="32"/>
      <c r="G238" s="74"/>
      <c r="H238" s="88">
        <v>233</v>
      </c>
      <c r="I238" s="89" t="str">
        <f t="shared" si="24"/>
        <v/>
      </c>
      <c r="J238" s="88">
        <f t="shared" si="25"/>
        <v>-2</v>
      </c>
      <c r="K238" s="88">
        <f t="shared" si="26"/>
        <v>-20</v>
      </c>
      <c r="L238" s="88"/>
      <c r="M238" s="90">
        <f t="shared" si="27"/>
        <v>0</v>
      </c>
      <c r="N238" s="90">
        <f t="shared" si="28"/>
        <v>0</v>
      </c>
      <c r="O238" s="74"/>
      <c r="P238" s="74"/>
      <c r="Q238" s="74"/>
      <c r="R238" s="74"/>
      <c r="S238" s="102"/>
      <c r="T238" s="103"/>
    </row>
    <row r="239" spans="1:20" s="79" customFormat="1" x14ac:dyDescent="0.25">
      <c r="A239" s="91">
        <f t="shared" si="23"/>
        <v>0</v>
      </c>
      <c r="B239" s="37" t="str">
        <f t="shared" si="29"/>
        <v/>
      </c>
      <c r="C239" s="38"/>
      <c r="D239" s="38"/>
      <c r="E239" s="38"/>
      <c r="F239" s="38"/>
      <c r="G239" s="74"/>
      <c r="H239" s="92">
        <v>234</v>
      </c>
      <c r="I239" s="93" t="str">
        <f t="shared" si="24"/>
        <v/>
      </c>
      <c r="J239" s="92">
        <f t="shared" si="25"/>
        <v>-2</v>
      </c>
      <c r="K239" s="92">
        <f t="shared" si="26"/>
        <v>-20</v>
      </c>
      <c r="L239" s="92"/>
      <c r="M239" s="94">
        <f t="shared" si="27"/>
        <v>0</v>
      </c>
      <c r="N239" s="94">
        <f t="shared" si="28"/>
        <v>0</v>
      </c>
      <c r="O239" s="74"/>
      <c r="P239" s="74"/>
      <c r="Q239" s="74"/>
      <c r="R239" s="74"/>
      <c r="S239" s="74"/>
    </row>
    <row r="240" spans="1:20" s="79" customFormat="1" x14ac:dyDescent="0.25">
      <c r="A240" s="87">
        <f t="shared" si="23"/>
        <v>0</v>
      </c>
      <c r="B240" s="31" t="str">
        <f t="shared" si="29"/>
        <v/>
      </c>
      <c r="C240" s="32"/>
      <c r="D240" s="32"/>
      <c r="E240" s="32"/>
      <c r="F240" s="32"/>
      <c r="G240" s="74"/>
      <c r="H240" s="88">
        <v>235</v>
      </c>
      <c r="I240" s="89" t="str">
        <f t="shared" si="24"/>
        <v/>
      </c>
      <c r="J240" s="88">
        <f t="shared" si="25"/>
        <v>-2</v>
      </c>
      <c r="K240" s="88">
        <f t="shared" si="26"/>
        <v>-20</v>
      </c>
      <c r="L240" s="88"/>
      <c r="M240" s="90">
        <f t="shared" si="27"/>
        <v>0</v>
      </c>
      <c r="N240" s="90">
        <f t="shared" si="28"/>
        <v>0</v>
      </c>
      <c r="O240" s="74"/>
      <c r="P240" s="74"/>
      <c r="Q240" s="74"/>
      <c r="R240" s="74"/>
      <c r="S240" s="102"/>
      <c r="T240" s="103"/>
    </row>
    <row r="241" spans="1:20" s="79" customFormat="1" x14ac:dyDescent="0.25">
      <c r="A241" s="91">
        <f t="shared" si="23"/>
        <v>0</v>
      </c>
      <c r="B241" s="37" t="str">
        <f t="shared" si="29"/>
        <v/>
      </c>
      <c r="C241" s="38"/>
      <c r="D241" s="38"/>
      <c r="E241" s="38"/>
      <c r="F241" s="38"/>
      <c r="G241" s="74"/>
      <c r="H241" s="92">
        <v>236</v>
      </c>
      <c r="I241" s="93" t="str">
        <f t="shared" si="24"/>
        <v/>
      </c>
      <c r="J241" s="92">
        <f t="shared" si="25"/>
        <v>-2</v>
      </c>
      <c r="K241" s="92">
        <f t="shared" si="26"/>
        <v>-20</v>
      </c>
      <c r="L241" s="92"/>
      <c r="M241" s="94">
        <f t="shared" si="27"/>
        <v>0</v>
      </c>
      <c r="N241" s="94">
        <f t="shared" si="28"/>
        <v>0</v>
      </c>
      <c r="O241" s="74"/>
      <c r="P241" s="74"/>
      <c r="Q241" s="74"/>
      <c r="R241" s="74"/>
      <c r="S241" s="74"/>
    </row>
    <row r="242" spans="1:20" s="79" customFormat="1" x14ac:dyDescent="0.25">
      <c r="A242" s="87">
        <f t="shared" si="23"/>
        <v>0</v>
      </c>
      <c r="B242" s="31" t="str">
        <f t="shared" si="29"/>
        <v/>
      </c>
      <c r="C242" s="32"/>
      <c r="D242" s="32"/>
      <c r="E242" s="32"/>
      <c r="F242" s="32"/>
      <c r="G242" s="74"/>
      <c r="H242" s="88">
        <v>237</v>
      </c>
      <c r="I242" s="89" t="str">
        <f t="shared" si="24"/>
        <v/>
      </c>
      <c r="J242" s="88">
        <f t="shared" si="25"/>
        <v>-2</v>
      </c>
      <c r="K242" s="88">
        <f t="shared" si="26"/>
        <v>-20</v>
      </c>
      <c r="L242" s="88"/>
      <c r="M242" s="90">
        <f t="shared" si="27"/>
        <v>0</v>
      </c>
      <c r="N242" s="90">
        <f t="shared" si="28"/>
        <v>0</v>
      </c>
      <c r="O242" s="74"/>
      <c r="P242" s="74"/>
      <c r="Q242" s="74"/>
      <c r="R242" s="74"/>
      <c r="S242" s="102"/>
      <c r="T242" s="103"/>
    </row>
    <row r="243" spans="1:20" s="79" customFormat="1" x14ac:dyDescent="0.25">
      <c r="A243" s="91">
        <f t="shared" si="23"/>
        <v>0</v>
      </c>
      <c r="B243" s="37" t="str">
        <f t="shared" si="29"/>
        <v/>
      </c>
      <c r="C243" s="38"/>
      <c r="D243" s="38"/>
      <c r="E243" s="38"/>
      <c r="F243" s="38"/>
      <c r="G243" s="74"/>
      <c r="H243" s="92">
        <v>238</v>
      </c>
      <c r="I243" s="93" t="str">
        <f t="shared" si="24"/>
        <v/>
      </c>
      <c r="J243" s="92">
        <f t="shared" si="25"/>
        <v>-2</v>
      </c>
      <c r="K243" s="92">
        <f t="shared" si="26"/>
        <v>-20</v>
      </c>
      <c r="L243" s="92"/>
      <c r="M243" s="94">
        <f t="shared" si="27"/>
        <v>0</v>
      </c>
      <c r="N243" s="94">
        <f t="shared" si="28"/>
        <v>0</v>
      </c>
      <c r="O243" s="74"/>
      <c r="P243" s="74"/>
      <c r="Q243" s="74"/>
      <c r="R243" s="74"/>
      <c r="S243" s="74"/>
    </row>
    <row r="244" spans="1:20" s="79" customFormat="1" x14ac:dyDescent="0.25">
      <c r="A244" s="87">
        <f t="shared" si="23"/>
        <v>0</v>
      </c>
      <c r="B244" s="31" t="str">
        <f t="shared" si="29"/>
        <v/>
      </c>
      <c r="C244" s="32"/>
      <c r="D244" s="32"/>
      <c r="E244" s="32"/>
      <c r="F244" s="32"/>
      <c r="G244" s="74"/>
      <c r="H244" s="88">
        <v>239</v>
      </c>
      <c r="I244" s="89" t="str">
        <f t="shared" si="24"/>
        <v/>
      </c>
      <c r="J244" s="88">
        <f t="shared" si="25"/>
        <v>-2</v>
      </c>
      <c r="K244" s="88">
        <f t="shared" si="26"/>
        <v>-20</v>
      </c>
      <c r="L244" s="88"/>
      <c r="M244" s="90">
        <f t="shared" si="27"/>
        <v>0</v>
      </c>
      <c r="N244" s="90">
        <f t="shared" si="28"/>
        <v>0</v>
      </c>
      <c r="O244" s="74"/>
      <c r="P244" s="74"/>
      <c r="Q244" s="74"/>
      <c r="R244" s="74"/>
      <c r="S244" s="102"/>
      <c r="T244" s="103"/>
    </row>
    <row r="245" spans="1:20" s="79" customFormat="1" x14ac:dyDescent="0.25">
      <c r="A245" s="91">
        <f t="shared" si="23"/>
        <v>0</v>
      </c>
      <c r="B245" s="37" t="str">
        <f t="shared" si="29"/>
        <v/>
      </c>
      <c r="C245" s="38"/>
      <c r="D245" s="38"/>
      <c r="E245" s="38"/>
      <c r="F245" s="38"/>
      <c r="G245" s="74"/>
      <c r="H245" s="92">
        <v>240</v>
      </c>
      <c r="I245" s="93" t="str">
        <f t="shared" si="24"/>
        <v/>
      </c>
      <c r="J245" s="92">
        <f t="shared" si="25"/>
        <v>-2</v>
      </c>
      <c r="K245" s="92">
        <f t="shared" si="26"/>
        <v>-20</v>
      </c>
      <c r="L245" s="92"/>
      <c r="M245" s="94">
        <f t="shared" si="27"/>
        <v>0</v>
      </c>
      <c r="N245" s="94">
        <f t="shared" si="28"/>
        <v>0</v>
      </c>
      <c r="O245" s="74"/>
      <c r="P245" s="74"/>
      <c r="Q245" s="74"/>
      <c r="R245" s="74"/>
      <c r="S245" s="74"/>
    </row>
    <row r="246" spans="1:20" s="79" customFormat="1" x14ac:dyDescent="0.25">
      <c r="A246" s="87">
        <f t="shared" si="23"/>
        <v>0</v>
      </c>
      <c r="B246" s="31" t="str">
        <f t="shared" si="29"/>
        <v/>
      </c>
      <c r="C246" s="32"/>
      <c r="D246" s="32"/>
      <c r="E246" s="32"/>
      <c r="F246" s="32"/>
      <c r="G246" s="74"/>
      <c r="H246" s="88">
        <v>241</v>
      </c>
      <c r="I246" s="89" t="str">
        <f t="shared" si="24"/>
        <v/>
      </c>
      <c r="J246" s="88">
        <f t="shared" si="25"/>
        <v>-2</v>
      </c>
      <c r="K246" s="88">
        <f t="shared" si="26"/>
        <v>-20</v>
      </c>
      <c r="L246" s="88"/>
      <c r="M246" s="90">
        <f t="shared" si="27"/>
        <v>0</v>
      </c>
      <c r="N246" s="90">
        <f t="shared" si="28"/>
        <v>0</v>
      </c>
      <c r="O246" s="74"/>
      <c r="P246" s="74"/>
      <c r="Q246" s="74"/>
      <c r="R246" s="74"/>
      <c r="S246" s="102"/>
      <c r="T246" s="103"/>
    </row>
    <row r="247" spans="1:20" s="79" customFormat="1" x14ac:dyDescent="0.25">
      <c r="A247" s="91">
        <f t="shared" si="23"/>
        <v>0</v>
      </c>
      <c r="B247" s="37" t="str">
        <f t="shared" si="29"/>
        <v/>
      </c>
      <c r="C247" s="38"/>
      <c r="D247" s="38"/>
      <c r="E247" s="38"/>
      <c r="F247" s="38"/>
      <c r="G247" s="74"/>
      <c r="H247" s="92">
        <v>242</v>
      </c>
      <c r="I247" s="93" t="str">
        <f t="shared" si="24"/>
        <v/>
      </c>
      <c r="J247" s="92">
        <f t="shared" si="25"/>
        <v>-2</v>
      </c>
      <c r="K247" s="92">
        <f t="shared" si="26"/>
        <v>-20</v>
      </c>
      <c r="L247" s="92"/>
      <c r="M247" s="94">
        <f t="shared" si="27"/>
        <v>0</v>
      </c>
      <c r="N247" s="94">
        <f t="shared" si="28"/>
        <v>0</v>
      </c>
      <c r="O247" s="74"/>
      <c r="P247" s="74"/>
      <c r="Q247" s="74"/>
      <c r="R247" s="74"/>
      <c r="S247" s="74"/>
    </row>
    <row r="248" spans="1:20" s="79" customFormat="1" x14ac:dyDescent="0.25">
      <c r="A248" s="87">
        <f t="shared" si="23"/>
        <v>0</v>
      </c>
      <c r="B248" s="31" t="str">
        <f t="shared" si="29"/>
        <v/>
      </c>
      <c r="C248" s="32"/>
      <c r="D248" s="32"/>
      <c r="E248" s="32"/>
      <c r="F248" s="32"/>
      <c r="G248" s="74"/>
      <c r="H248" s="88">
        <v>243</v>
      </c>
      <c r="I248" s="89" t="str">
        <f t="shared" si="24"/>
        <v/>
      </c>
      <c r="J248" s="88">
        <f t="shared" si="25"/>
        <v>-2</v>
      </c>
      <c r="K248" s="88">
        <f t="shared" si="26"/>
        <v>-20</v>
      </c>
      <c r="L248" s="88"/>
      <c r="M248" s="90">
        <f t="shared" si="27"/>
        <v>0</v>
      </c>
      <c r="N248" s="90">
        <f t="shared" si="28"/>
        <v>0</v>
      </c>
      <c r="O248" s="74"/>
      <c r="P248" s="74"/>
      <c r="Q248" s="74"/>
      <c r="R248" s="74"/>
      <c r="S248" s="102"/>
      <c r="T248" s="103"/>
    </row>
    <row r="249" spans="1:20" s="79" customFormat="1" x14ac:dyDescent="0.25">
      <c r="A249" s="91">
        <f t="shared" si="23"/>
        <v>0</v>
      </c>
      <c r="B249" s="37" t="str">
        <f t="shared" si="29"/>
        <v/>
      </c>
      <c r="C249" s="38"/>
      <c r="D249" s="38"/>
      <c r="E249" s="38"/>
      <c r="F249" s="38"/>
      <c r="G249" s="74"/>
      <c r="H249" s="92">
        <v>244</v>
      </c>
      <c r="I249" s="93" t="str">
        <f t="shared" si="24"/>
        <v/>
      </c>
      <c r="J249" s="92">
        <f t="shared" si="25"/>
        <v>-2</v>
      </c>
      <c r="K249" s="92">
        <f t="shared" si="26"/>
        <v>-20</v>
      </c>
      <c r="L249" s="92"/>
      <c r="M249" s="94">
        <f t="shared" si="27"/>
        <v>0</v>
      </c>
      <c r="N249" s="94">
        <f t="shared" si="28"/>
        <v>0</v>
      </c>
      <c r="O249" s="74"/>
      <c r="P249" s="74"/>
      <c r="Q249" s="74"/>
      <c r="R249" s="74"/>
      <c r="S249" s="74"/>
    </row>
    <row r="250" spans="1:20" s="79" customFormat="1" x14ac:dyDescent="0.25">
      <c r="A250" s="87">
        <f t="shared" si="23"/>
        <v>0</v>
      </c>
      <c r="B250" s="31" t="str">
        <f t="shared" si="29"/>
        <v/>
      </c>
      <c r="C250" s="32"/>
      <c r="D250" s="32"/>
      <c r="E250" s="32"/>
      <c r="F250" s="32"/>
      <c r="G250" s="74"/>
      <c r="H250" s="88">
        <v>245</v>
      </c>
      <c r="I250" s="89" t="str">
        <f t="shared" si="24"/>
        <v/>
      </c>
      <c r="J250" s="88">
        <f t="shared" si="25"/>
        <v>-2</v>
      </c>
      <c r="K250" s="88">
        <f t="shared" si="26"/>
        <v>-20</v>
      </c>
      <c r="L250" s="88"/>
      <c r="M250" s="90">
        <f t="shared" si="27"/>
        <v>0</v>
      </c>
      <c r="N250" s="90">
        <f t="shared" si="28"/>
        <v>0</v>
      </c>
      <c r="O250" s="74"/>
      <c r="P250" s="74"/>
      <c r="Q250" s="74"/>
      <c r="R250" s="74"/>
      <c r="S250" s="102"/>
      <c r="T250" s="103"/>
    </row>
    <row r="251" spans="1:20" s="79" customFormat="1" x14ac:dyDescent="0.25">
      <c r="A251" s="91">
        <f t="shared" si="23"/>
        <v>0</v>
      </c>
      <c r="B251" s="105"/>
      <c r="C251" s="105"/>
      <c r="D251" s="105"/>
      <c r="E251" s="105"/>
      <c r="F251" s="105"/>
      <c r="G251" s="74"/>
      <c r="H251" s="88">
        <v>246</v>
      </c>
      <c r="I251" s="89" t="str">
        <f t="shared" si="24"/>
        <v/>
      </c>
      <c r="J251" s="88">
        <f t="shared" si="25"/>
        <v>-2</v>
      </c>
      <c r="K251" s="88">
        <f t="shared" si="26"/>
        <v>-20</v>
      </c>
      <c r="L251" s="88"/>
      <c r="M251" s="90">
        <f t="shared" si="27"/>
        <v>0</v>
      </c>
      <c r="N251" s="90">
        <f t="shared" si="28"/>
        <v>0</v>
      </c>
      <c r="O251" s="74"/>
      <c r="P251" s="74"/>
      <c r="Q251" s="74"/>
      <c r="R251" s="74"/>
      <c r="S251" s="74"/>
    </row>
    <row r="252" spans="1:20" s="79" customFormat="1" x14ac:dyDescent="0.25">
      <c r="A252" s="87">
        <f t="shared" si="23"/>
        <v>0</v>
      </c>
      <c r="B252" s="105"/>
      <c r="C252" s="105"/>
      <c r="D252" s="105"/>
      <c r="E252" s="105"/>
      <c r="F252" s="105"/>
      <c r="G252" s="74"/>
      <c r="H252" s="88">
        <v>247</v>
      </c>
      <c r="I252" s="89" t="str">
        <f t="shared" si="24"/>
        <v/>
      </c>
      <c r="J252" s="88">
        <f t="shared" si="25"/>
        <v>-2</v>
      </c>
      <c r="K252" s="88">
        <f t="shared" si="26"/>
        <v>-20</v>
      </c>
      <c r="L252" s="88"/>
      <c r="M252" s="90">
        <f t="shared" si="27"/>
        <v>0</v>
      </c>
      <c r="N252" s="90">
        <f t="shared" si="28"/>
        <v>0</v>
      </c>
      <c r="O252" s="74"/>
      <c r="P252" s="74"/>
      <c r="Q252" s="74"/>
      <c r="R252" s="74"/>
      <c r="S252" s="74"/>
    </row>
    <row r="253" spans="1:20" s="79" customFormat="1" x14ac:dyDescent="0.25">
      <c r="A253" s="91">
        <f t="shared" si="23"/>
        <v>0</v>
      </c>
      <c r="B253" s="105"/>
      <c r="C253" s="105"/>
      <c r="D253" s="105"/>
      <c r="E253" s="105"/>
      <c r="F253" s="105"/>
      <c r="G253" s="74"/>
      <c r="H253" s="88">
        <v>248</v>
      </c>
      <c r="I253" s="89" t="str">
        <f t="shared" si="24"/>
        <v/>
      </c>
      <c r="J253" s="88">
        <f t="shared" si="25"/>
        <v>-2</v>
      </c>
      <c r="K253" s="88">
        <f t="shared" si="26"/>
        <v>-20</v>
      </c>
      <c r="L253" s="88"/>
      <c r="M253" s="90">
        <f t="shared" si="27"/>
        <v>0</v>
      </c>
      <c r="N253" s="90">
        <f t="shared" si="28"/>
        <v>0</v>
      </c>
      <c r="O253" s="74"/>
      <c r="P253" s="74"/>
      <c r="Q253" s="74"/>
      <c r="R253" s="74"/>
      <c r="S253" s="74"/>
    </row>
    <row r="254" spans="1:20" s="79" customFormat="1" x14ac:dyDescent="0.25">
      <c r="A254" s="87">
        <f t="shared" si="23"/>
        <v>0</v>
      </c>
      <c r="B254" s="105"/>
      <c r="C254" s="105"/>
      <c r="D254" s="105"/>
      <c r="E254" s="105"/>
      <c r="F254" s="105"/>
      <c r="G254" s="74"/>
      <c r="H254" s="88">
        <v>249</v>
      </c>
      <c r="I254" s="89" t="str">
        <f t="shared" si="24"/>
        <v/>
      </c>
      <c r="J254" s="88">
        <f t="shared" si="25"/>
        <v>-2</v>
      </c>
      <c r="K254" s="88">
        <f t="shared" si="26"/>
        <v>-20</v>
      </c>
      <c r="L254" s="88"/>
      <c r="M254" s="90">
        <f t="shared" si="27"/>
        <v>0</v>
      </c>
      <c r="N254" s="90">
        <f t="shared" si="28"/>
        <v>0</v>
      </c>
      <c r="O254" s="74"/>
      <c r="P254" s="74"/>
      <c r="Q254" s="74"/>
      <c r="R254" s="74"/>
      <c r="S254" s="74"/>
    </row>
    <row r="255" spans="1:20" s="79" customFormat="1" x14ac:dyDescent="0.25">
      <c r="A255" s="91">
        <f t="shared" si="23"/>
        <v>0</v>
      </c>
      <c r="B255" s="105"/>
      <c r="C255" s="105"/>
      <c r="D255" s="105"/>
      <c r="E255" s="105"/>
      <c r="F255" s="105"/>
      <c r="G255" s="74"/>
      <c r="H255" s="88">
        <v>250</v>
      </c>
      <c r="I255" s="89" t="str">
        <f t="shared" si="24"/>
        <v/>
      </c>
      <c r="J255" s="88">
        <f t="shared" si="25"/>
        <v>-2</v>
      </c>
      <c r="K255" s="88">
        <f t="shared" si="26"/>
        <v>-20</v>
      </c>
      <c r="L255" s="88"/>
      <c r="M255" s="90">
        <f t="shared" si="27"/>
        <v>0</v>
      </c>
      <c r="N255" s="90">
        <f t="shared" si="28"/>
        <v>0</v>
      </c>
      <c r="O255" s="74"/>
      <c r="P255" s="74"/>
      <c r="Q255" s="74"/>
      <c r="R255" s="74"/>
      <c r="S255" s="74"/>
    </row>
    <row r="256" spans="1:20" s="79" customFormat="1" x14ac:dyDescent="0.25">
      <c r="A256" s="87">
        <f t="shared" si="23"/>
        <v>0</v>
      </c>
      <c r="B256" s="105"/>
      <c r="C256" s="105"/>
      <c r="D256" s="105"/>
      <c r="E256" s="105"/>
      <c r="F256" s="105"/>
      <c r="G256" s="74"/>
      <c r="H256" s="88">
        <v>251</v>
      </c>
      <c r="I256" s="89" t="str">
        <f t="shared" si="24"/>
        <v/>
      </c>
      <c r="J256" s="88">
        <f t="shared" si="25"/>
        <v>-2</v>
      </c>
      <c r="K256" s="88">
        <f t="shared" si="26"/>
        <v>-20</v>
      </c>
      <c r="L256" s="88"/>
      <c r="M256" s="90">
        <f t="shared" si="27"/>
        <v>0</v>
      </c>
      <c r="N256" s="90">
        <f t="shared" si="28"/>
        <v>0</v>
      </c>
      <c r="O256" s="74"/>
      <c r="P256" s="74"/>
      <c r="Q256" s="74"/>
      <c r="R256" s="74"/>
      <c r="S256" s="74"/>
    </row>
    <row r="257" spans="1:39" s="74" customFormat="1" x14ac:dyDescent="0.25">
      <c r="A257" s="91">
        <f t="shared" si="23"/>
        <v>0</v>
      </c>
      <c r="B257" s="105"/>
      <c r="C257" s="105"/>
      <c r="D257" s="105"/>
      <c r="E257" s="105"/>
      <c r="F257" s="105"/>
      <c r="H257" s="88">
        <v>252</v>
      </c>
      <c r="I257" s="89" t="str">
        <f t="shared" si="24"/>
        <v/>
      </c>
      <c r="J257" s="88">
        <f t="shared" si="25"/>
        <v>-2</v>
      </c>
      <c r="K257" s="88">
        <f t="shared" si="26"/>
        <v>-20</v>
      </c>
      <c r="L257" s="88"/>
      <c r="M257" s="90">
        <f t="shared" si="27"/>
        <v>0</v>
      </c>
      <c r="N257" s="90">
        <f t="shared" si="28"/>
        <v>0</v>
      </c>
      <c r="T257" s="79"/>
      <c r="U257" s="79"/>
      <c r="V257" s="79"/>
      <c r="W257" s="79"/>
      <c r="X257" s="79"/>
      <c r="Y257" s="79"/>
      <c r="Z257" s="79"/>
      <c r="AA257" s="79"/>
      <c r="AB257" s="79"/>
      <c r="AC257" s="79"/>
      <c r="AD257" s="79"/>
      <c r="AE257" s="79"/>
      <c r="AF257" s="79"/>
      <c r="AG257" s="79"/>
      <c r="AH257" s="79"/>
      <c r="AI257" s="79"/>
      <c r="AJ257" s="79"/>
      <c r="AK257" s="79"/>
      <c r="AL257" s="79"/>
      <c r="AM257" s="79"/>
    </row>
    <row r="258" spans="1:39" s="74" customFormat="1" x14ac:dyDescent="0.25">
      <c r="A258" s="87">
        <f t="shared" si="23"/>
        <v>0</v>
      </c>
      <c r="B258" s="105"/>
      <c r="C258" s="105"/>
      <c r="D258" s="105"/>
      <c r="E258" s="105"/>
      <c r="F258" s="105"/>
      <c r="H258" s="88">
        <v>253</v>
      </c>
      <c r="I258" s="89" t="str">
        <f t="shared" si="24"/>
        <v/>
      </c>
      <c r="J258" s="88">
        <f t="shared" si="25"/>
        <v>-2</v>
      </c>
      <c r="K258" s="88">
        <f t="shared" si="26"/>
        <v>-20</v>
      </c>
      <c r="L258" s="88"/>
      <c r="M258" s="90">
        <f t="shared" si="27"/>
        <v>0</v>
      </c>
      <c r="N258" s="90">
        <f t="shared" si="28"/>
        <v>0</v>
      </c>
      <c r="T258" s="79"/>
      <c r="U258" s="79"/>
      <c r="V258" s="79"/>
      <c r="W258" s="79"/>
      <c r="X258" s="79"/>
      <c r="Y258" s="79"/>
      <c r="Z258" s="79"/>
      <c r="AA258" s="79"/>
      <c r="AB258" s="79"/>
      <c r="AC258" s="79"/>
      <c r="AD258" s="79"/>
      <c r="AE258" s="79"/>
      <c r="AF258" s="79"/>
      <c r="AG258" s="79"/>
      <c r="AH258" s="79"/>
      <c r="AI258" s="79"/>
      <c r="AJ258" s="79"/>
      <c r="AK258" s="79"/>
      <c r="AL258" s="79"/>
      <c r="AM258" s="79"/>
    </row>
    <row r="259" spans="1:39" s="74" customFormat="1" x14ac:dyDescent="0.25">
      <c r="A259" s="91">
        <f t="shared" si="23"/>
        <v>0</v>
      </c>
      <c r="B259" s="105"/>
      <c r="C259" s="105"/>
      <c r="D259" s="105"/>
      <c r="E259" s="105"/>
      <c r="F259" s="105"/>
      <c r="H259" s="88">
        <v>254</v>
      </c>
      <c r="I259" s="89" t="str">
        <f t="shared" si="24"/>
        <v/>
      </c>
      <c r="J259" s="88">
        <f t="shared" si="25"/>
        <v>-2</v>
      </c>
      <c r="K259" s="88">
        <f t="shared" si="26"/>
        <v>-20</v>
      </c>
      <c r="L259" s="88"/>
      <c r="M259" s="90">
        <f t="shared" si="27"/>
        <v>0</v>
      </c>
      <c r="N259" s="90">
        <f t="shared" si="28"/>
        <v>0</v>
      </c>
      <c r="T259" s="79"/>
      <c r="U259" s="79"/>
      <c r="V259" s="79"/>
      <c r="W259" s="79"/>
      <c r="X259" s="79"/>
      <c r="Y259" s="79"/>
      <c r="Z259" s="79"/>
      <c r="AA259" s="79"/>
      <c r="AB259" s="79"/>
      <c r="AC259" s="79"/>
      <c r="AD259" s="79"/>
      <c r="AE259" s="79"/>
      <c r="AF259" s="79"/>
      <c r="AG259" s="79"/>
      <c r="AH259" s="79"/>
      <c r="AI259" s="79"/>
      <c r="AJ259" s="79"/>
      <c r="AK259" s="79"/>
      <c r="AL259" s="79"/>
      <c r="AM259" s="79"/>
    </row>
    <row r="260" spans="1:39" s="74" customFormat="1" x14ac:dyDescent="0.25">
      <c r="A260" s="87">
        <f t="shared" si="23"/>
        <v>0</v>
      </c>
      <c r="B260" s="105"/>
      <c r="C260" s="105"/>
      <c r="D260" s="105"/>
      <c r="E260" s="105"/>
      <c r="F260" s="105"/>
      <c r="H260" s="88">
        <v>255</v>
      </c>
      <c r="I260" s="89" t="str">
        <f t="shared" si="24"/>
        <v/>
      </c>
      <c r="J260" s="88">
        <f t="shared" si="25"/>
        <v>-2</v>
      </c>
      <c r="K260" s="88">
        <f t="shared" si="26"/>
        <v>-20</v>
      </c>
      <c r="L260" s="88"/>
      <c r="M260" s="90">
        <f t="shared" si="27"/>
        <v>0</v>
      </c>
      <c r="N260" s="90">
        <f t="shared" si="28"/>
        <v>0</v>
      </c>
      <c r="T260" s="79"/>
      <c r="U260" s="79"/>
      <c r="V260" s="79"/>
      <c r="W260" s="79"/>
      <c r="X260" s="79"/>
      <c r="Y260" s="79"/>
      <c r="Z260" s="79"/>
      <c r="AA260" s="79"/>
      <c r="AB260" s="79"/>
      <c r="AC260" s="79"/>
      <c r="AD260" s="79"/>
      <c r="AE260" s="79"/>
      <c r="AF260" s="79"/>
      <c r="AG260" s="79"/>
      <c r="AH260" s="79"/>
      <c r="AI260" s="79"/>
      <c r="AJ260" s="79"/>
      <c r="AK260" s="79"/>
      <c r="AL260" s="79"/>
      <c r="AM260" s="79"/>
    </row>
    <row r="261" spans="1:39" s="74" customFormat="1" x14ac:dyDescent="0.25">
      <c r="A261" s="91">
        <f t="shared" si="23"/>
        <v>0</v>
      </c>
      <c r="B261" s="105"/>
      <c r="C261" s="105"/>
      <c r="D261" s="105"/>
      <c r="E261" s="105"/>
      <c r="F261" s="105"/>
      <c r="H261" s="88">
        <v>256</v>
      </c>
      <c r="I261" s="89" t="str">
        <f t="shared" si="24"/>
        <v/>
      </c>
      <c r="J261" s="88">
        <f t="shared" si="25"/>
        <v>-2</v>
      </c>
      <c r="K261" s="88">
        <f t="shared" si="26"/>
        <v>-20</v>
      </c>
      <c r="L261" s="88"/>
      <c r="M261" s="90">
        <f t="shared" si="27"/>
        <v>0</v>
      </c>
      <c r="N261" s="90">
        <f t="shared" si="28"/>
        <v>0</v>
      </c>
      <c r="T261" s="79"/>
      <c r="U261" s="79"/>
      <c r="V261" s="79"/>
      <c r="W261" s="79"/>
      <c r="X261" s="79"/>
      <c r="Y261" s="79"/>
      <c r="Z261" s="79"/>
      <c r="AA261" s="79"/>
      <c r="AB261" s="79"/>
      <c r="AC261" s="79"/>
      <c r="AD261" s="79"/>
      <c r="AE261" s="79"/>
      <c r="AF261" s="79"/>
      <c r="AG261" s="79"/>
      <c r="AH261" s="79"/>
      <c r="AI261" s="79"/>
      <c r="AJ261" s="79"/>
      <c r="AK261" s="79"/>
      <c r="AL261" s="79"/>
      <c r="AM261" s="79"/>
    </row>
    <row r="262" spans="1:39" s="74" customFormat="1" x14ac:dyDescent="0.25">
      <c r="A262" s="87">
        <f t="shared" ref="A262:A305" si="30">N262</f>
        <v>0</v>
      </c>
      <c r="B262" s="105"/>
      <c r="C262" s="105"/>
      <c r="D262" s="105"/>
      <c r="E262" s="105"/>
      <c r="F262" s="105"/>
      <c r="H262" s="88">
        <v>257</v>
      </c>
      <c r="I262" s="89" t="str">
        <f t="shared" ref="I262:I305" si="31">IF(H262&lt;$H$2+1,($I$2-($I$2-1)*(LOG(H262)/LOG($H$2))),"")</f>
        <v/>
      </c>
      <c r="J262" s="88">
        <f t="shared" ref="J262:J305" si="32">INT(LOG($H$2,2))-ROUNDUP(LOG(H262,2),0)+IF(OR($H$2=1,$H$2=2,$H$2=4,$H$2=8,$H$2=16,$H$2=32,$H$2=64,$H$2=128,$H$2=256),0,1)</f>
        <v>-3</v>
      </c>
      <c r="K262" s="88">
        <f t="shared" ref="K262:K305" si="33">J262*$J$2</f>
        <v>-30</v>
      </c>
      <c r="L262" s="88"/>
      <c r="M262" s="90">
        <f t="shared" ref="M262:M305" si="34">IF(I262&lt;&gt;"",K262+I262+L262,0)</f>
        <v>0</v>
      </c>
      <c r="N262" s="90">
        <f t="shared" ref="N262:N305" si="35">IF(I262&lt;&gt;"",M262*L$2,0)</f>
        <v>0</v>
      </c>
      <c r="T262" s="79"/>
      <c r="U262" s="79"/>
      <c r="V262" s="79"/>
      <c r="W262" s="79"/>
      <c r="X262" s="79"/>
      <c r="Y262" s="79"/>
      <c r="Z262" s="79"/>
      <c r="AA262" s="79"/>
      <c r="AB262" s="79"/>
      <c r="AC262" s="79"/>
      <c r="AD262" s="79"/>
      <c r="AE262" s="79"/>
      <c r="AF262" s="79"/>
      <c r="AG262" s="79"/>
      <c r="AH262" s="79"/>
      <c r="AI262" s="79"/>
      <c r="AJ262" s="79"/>
      <c r="AK262" s="79"/>
      <c r="AL262" s="79"/>
      <c r="AM262" s="79"/>
    </row>
    <row r="263" spans="1:39" s="74" customFormat="1" x14ac:dyDescent="0.25">
      <c r="A263" s="91">
        <f t="shared" si="30"/>
        <v>0</v>
      </c>
      <c r="B263" s="105"/>
      <c r="C263" s="105"/>
      <c r="D263" s="105"/>
      <c r="E263" s="105"/>
      <c r="F263" s="105"/>
      <c r="H263" s="88">
        <v>258</v>
      </c>
      <c r="I263" s="89" t="str">
        <f t="shared" si="31"/>
        <v/>
      </c>
      <c r="J263" s="88">
        <f t="shared" si="32"/>
        <v>-3</v>
      </c>
      <c r="K263" s="88">
        <f t="shared" si="33"/>
        <v>-30</v>
      </c>
      <c r="L263" s="88"/>
      <c r="M263" s="90">
        <f t="shared" si="34"/>
        <v>0</v>
      </c>
      <c r="N263" s="90">
        <f t="shared" si="35"/>
        <v>0</v>
      </c>
      <c r="T263" s="79"/>
      <c r="U263" s="79"/>
      <c r="V263" s="79"/>
      <c r="W263" s="79"/>
      <c r="X263" s="79"/>
      <c r="Y263" s="79"/>
      <c r="Z263" s="79"/>
      <c r="AA263" s="79"/>
      <c r="AB263" s="79"/>
      <c r="AC263" s="79"/>
      <c r="AD263" s="79"/>
      <c r="AE263" s="79"/>
      <c r="AF263" s="79"/>
      <c r="AG263" s="79"/>
      <c r="AH263" s="79"/>
      <c r="AI263" s="79"/>
      <c r="AJ263" s="79"/>
      <c r="AK263" s="79"/>
      <c r="AL263" s="79"/>
      <c r="AM263" s="79"/>
    </row>
    <row r="264" spans="1:39" s="74" customFormat="1" x14ac:dyDescent="0.25">
      <c r="A264" s="87">
        <f t="shared" si="30"/>
        <v>0</v>
      </c>
      <c r="B264" s="105"/>
      <c r="C264" s="105"/>
      <c r="D264" s="105"/>
      <c r="E264" s="105"/>
      <c r="F264" s="105"/>
      <c r="H264" s="88">
        <v>259</v>
      </c>
      <c r="I264" s="89" t="str">
        <f t="shared" si="31"/>
        <v/>
      </c>
      <c r="J264" s="88">
        <f t="shared" si="32"/>
        <v>-3</v>
      </c>
      <c r="K264" s="88">
        <f t="shared" si="33"/>
        <v>-30</v>
      </c>
      <c r="L264" s="88"/>
      <c r="M264" s="90">
        <f t="shared" si="34"/>
        <v>0</v>
      </c>
      <c r="N264" s="90">
        <f t="shared" si="35"/>
        <v>0</v>
      </c>
      <c r="T264" s="79"/>
      <c r="U264" s="79"/>
      <c r="V264" s="79"/>
      <c r="W264" s="79"/>
      <c r="X264" s="79"/>
      <c r="Y264" s="79"/>
      <c r="Z264" s="79"/>
      <c r="AA264" s="79"/>
      <c r="AB264" s="79"/>
      <c r="AC264" s="79"/>
      <c r="AD264" s="79"/>
      <c r="AE264" s="79"/>
      <c r="AF264" s="79"/>
      <c r="AG264" s="79"/>
      <c r="AH264" s="79"/>
      <c r="AI264" s="79"/>
      <c r="AJ264" s="79"/>
      <c r="AK264" s="79"/>
      <c r="AL264" s="79"/>
      <c r="AM264" s="79"/>
    </row>
    <row r="265" spans="1:39" s="74" customFormat="1" x14ac:dyDescent="0.25">
      <c r="A265" s="91">
        <f t="shared" si="30"/>
        <v>0</v>
      </c>
      <c r="B265" s="105"/>
      <c r="C265" s="105"/>
      <c r="D265" s="105"/>
      <c r="E265" s="105"/>
      <c r="F265" s="105"/>
      <c r="H265" s="88">
        <v>260</v>
      </c>
      <c r="I265" s="89" t="str">
        <f t="shared" si="31"/>
        <v/>
      </c>
      <c r="J265" s="88">
        <f t="shared" si="32"/>
        <v>-3</v>
      </c>
      <c r="K265" s="88">
        <f t="shared" si="33"/>
        <v>-30</v>
      </c>
      <c r="L265" s="88"/>
      <c r="M265" s="90">
        <f t="shared" si="34"/>
        <v>0</v>
      </c>
      <c r="N265" s="90">
        <f t="shared" si="35"/>
        <v>0</v>
      </c>
      <c r="T265" s="79"/>
      <c r="U265" s="79"/>
      <c r="V265" s="79"/>
      <c r="W265" s="79"/>
      <c r="X265" s="79"/>
      <c r="Y265" s="79"/>
      <c r="Z265" s="79"/>
      <c r="AA265" s="79"/>
      <c r="AB265" s="79"/>
      <c r="AC265" s="79"/>
      <c r="AD265" s="79"/>
      <c r="AE265" s="79"/>
      <c r="AF265" s="79"/>
      <c r="AG265" s="79"/>
      <c r="AH265" s="79"/>
      <c r="AI265" s="79"/>
      <c r="AJ265" s="79"/>
      <c r="AK265" s="79"/>
      <c r="AL265" s="79"/>
      <c r="AM265" s="79"/>
    </row>
    <row r="266" spans="1:39" s="74" customFormat="1" x14ac:dyDescent="0.25">
      <c r="A266" s="87">
        <f t="shared" si="30"/>
        <v>0</v>
      </c>
      <c r="B266" s="105"/>
      <c r="C266" s="105"/>
      <c r="D266" s="105"/>
      <c r="E266" s="105"/>
      <c r="F266" s="105"/>
      <c r="H266" s="88">
        <v>261</v>
      </c>
      <c r="I266" s="89" t="str">
        <f t="shared" si="31"/>
        <v/>
      </c>
      <c r="J266" s="88">
        <f t="shared" si="32"/>
        <v>-3</v>
      </c>
      <c r="K266" s="88">
        <f t="shared" si="33"/>
        <v>-30</v>
      </c>
      <c r="L266" s="88"/>
      <c r="M266" s="90">
        <f t="shared" si="34"/>
        <v>0</v>
      </c>
      <c r="N266" s="90">
        <f t="shared" si="35"/>
        <v>0</v>
      </c>
      <c r="T266" s="79"/>
      <c r="U266" s="79"/>
      <c r="V266" s="79"/>
      <c r="W266" s="79"/>
      <c r="X266" s="79"/>
      <c r="Y266" s="79"/>
      <c r="Z266" s="79"/>
      <c r="AA266" s="79"/>
      <c r="AB266" s="79"/>
      <c r="AC266" s="79"/>
      <c r="AD266" s="79"/>
      <c r="AE266" s="79"/>
      <c r="AF266" s="79"/>
      <c r="AG266" s="79"/>
      <c r="AH266" s="79"/>
      <c r="AI266" s="79"/>
      <c r="AJ266" s="79"/>
      <c r="AK266" s="79"/>
      <c r="AL266" s="79"/>
      <c r="AM266" s="79"/>
    </row>
    <row r="267" spans="1:39" s="74" customFormat="1" x14ac:dyDescent="0.25">
      <c r="A267" s="91">
        <f t="shared" si="30"/>
        <v>0</v>
      </c>
      <c r="B267" s="105"/>
      <c r="C267" s="105"/>
      <c r="D267" s="105"/>
      <c r="E267" s="105"/>
      <c r="F267" s="105"/>
      <c r="H267" s="88">
        <v>262</v>
      </c>
      <c r="I267" s="89" t="str">
        <f t="shared" si="31"/>
        <v/>
      </c>
      <c r="J267" s="88">
        <f t="shared" si="32"/>
        <v>-3</v>
      </c>
      <c r="K267" s="88">
        <f t="shared" si="33"/>
        <v>-30</v>
      </c>
      <c r="L267" s="88"/>
      <c r="M267" s="90">
        <f t="shared" si="34"/>
        <v>0</v>
      </c>
      <c r="N267" s="90">
        <f t="shared" si="35"/>
        <v>0</v>
      </c>
      <c r="T267" s="79"/>
      <c r="U267" s="79"/>
      <c r="V267" s="79"/>
      <c r="W267" s="79"/>
      <c r="X267" s="79"/>
      <c r="Y267" s="79"/>
      <c r="Z267" s="79"/>
      <c r="AA267" s="79"/>
      <c r="AB267" s="79"/>
      <c r="AC267" s="79"/>
      <c r="AD267" s="79"/>
      <c r="AE267" s="79"/>
      <c r="AF267" s="79"/>
      <c r="AG267" s="79"/>
      <c r="AH267" s="79"/>
      <c r="AI267" s="79"/>
      <c r="AJ267" s="79"/>
      <c r="AK267" s="79"/>
      <c r="AL267" s="79"/>
      <c r="AM267" s="79"/>
    </row>
    <row r="268" spans="1:39" s="74" customFormat="1" x14ac:dyDescent="0.25">
      <c r="A268" s="87">
        <f t="shared" si="30"/>
        <v>0</v>
      </c>
      <c r="B268" s="105"/>
      <c r="C268" s="105"/>
      <c r="D268" s="105"/>
      <c r="E268" s="105"/>
      <c r="F268" s="105"/>
      <c r="H268" s="88">
        <v>263</v>
      </c>
      <c r="I268" s="89" t="str">
        <f t="shared" si="31"/>
        <v/>
      </c>
      <c r="J268" s="88">
        <f t="shared" si="32"/>
        <v>-3</v>
      </c>
      <c r="K268" s="88">
        <f t="shared" si="33"/>
        <v>-30</v>
      </c>
      <c r="L268" s="88"/>
      <c r="M268" s="90">
        <f t="shared" si="34"/>
        <v>0</v>
      </c>
      <c r="N268" s="90">
        <f t="shared" si="35"/>
        <v>0</v>
      </c>
      <c r="T268" s="79"/>
      <c r="U268" s="79"/>
      <c r="V268" s="79"/>
      <c r="W268" s="79"/>
      <c r="X268" s="79"/>
      <c r="Y268" s="79"/>
      <c r="Z268" s="79"/>
      <c r="AA268" s="79"/>
      <c r="AB268" s="79"/>
      <c r="AC268" s="79"/>
      <c r="AD268" s="79"/>
      <c r="AE268" s="79"/>
      <c r="AF268" s="79"/>
      <c r="AG268" s="79"/>
      <c r="AH268" s="79"/>
      <c r="AI268" s="79"/>
      <c r="AJ268" s="79"/>
      <c r="AK268" s="79"/>
      <c r="AL268" s="79"/>
      <c r="AM268" s="79"/>
    </row>
    <row r="269" spans="1:39" s="74" customFormat="1" x14ac:dyDescent="0.25">
      <c r="A269" s="91">
        <f t="shared" si="30"/>
        <v>0</v>
      </c>
      <c r="B269" s="105"/>
      <c r="C269" s="105"/>
      <c r="D269" s="105"/>
      <c r="E269" s="105"/>
      <c r="F269" s="105"/>
      <c r="H269" s="88">
        <v>264</v>
      </c>
      <c r="I269" s="89" t="str">
        <f t="shared" si="31"/>
        <v/>
      </c>
      <c r="J269" s="88">
        <f t="shared" si="32"/>
        <v>-3</v>
      </c>
      <c r="K269" s="88">
        <f t="shared" si="33"/>
        <v>-30</v>
      </c>
      <c r="L269" s="88"/>
      <c r="M269" s="90">
        <f t="shared" si="34"/>
        <v>0</v>
      </c>
      <c r="N269" s="90">
        <f t="shared" si="35"/>
        <v>0</v>
      </c>
      <c r="T269" s="79"/>
      <c r="U269" s="79"/>
      <c r="V269" s="79"/>
      <c r="W269" s="79"/>
      <c r="X269" s="79"/>
      <c r="Y269" s="79"/>
      <c r="Z269" s="79"/>
      <c r="AA269" s="79"/>
      <c r="AB269" s="79"/>
      <c r="AC269" s="79"/>
      <c r="AD269" s="79"/>
      <c r="AE269" s="79"/>
      <c r="AF269" s="79"/>
      <c r="AG269" s="79"/>
      <c r="AH269" s="79"/>
      <c r="AI269" s="79"/>
      <c r="AJ269" s="79"/>
      <c r="AK269" s="79"/>
      <c r="AL269" s="79"/>
      <c r="AM269" s="79"/>
    </row>
    <row r="270" spans="1:39" s="74" customFormat="1" x14ac:dyDescent="0.25">
      <c r="A270" s="87">
        <f t="shared" si="30"/>
        <v>0</v>
      </c>
      <c r="B270" s="105"/>
      <c r="C270" s="105"/>
      <c r="D270" s="105"/>
      <c r="E270" s="105"/>
      <c r="F270" s="105"/>
      <c r="H270" s="88">
        <v>265</v>
      </c>
      <c r="I270" s="89" t="str">
        <f t="shared" si="31"/>
        <v/>
      </c>
      <c r="J270" s="88">
        <f t="shared" si="32"/>
        <v>-3</v>
      </c>
      <c r="K270" s="88">
        <f t="shared" si="33"/>
        <v>-30</v>
      </c>
      <c r="L270" s="88"/>
      <c r="M270" s="90">
        <f t="shared" si="34"/>
        <v>0</v>
      </c>
      <c r="N270" s="90">
        <f t="shared" si="35"/>
        <v>0</v>
      </c>
      <c r="T270" s="79"/>
      <c r="U270" s="79"/>
      <c r="V270" s="79"/>
      <c r="W270" s="79"/>
      <c r="X270" s="79"/>
      <c r="Y270" s="79"/>
      <c r="Z270" s="79"/>
      <c r="AA270" s="79"/>
      <c r="AB270" s="79"/>
      <c r="AC270" s="79"/>
      <c r="AD270" s="79"/>
      <c r="AE270" s="79"/>
      <c r="AF270" s="79"/>
      <c r="AG270" s="79"/>
      <c r="AH270" s="79"/>
      <c r="AI270" s="79"/>
      <c r="AJ270" s="79"/>
      <c r="AK270" s="79"/>
      <c r="AL270" s="79"/>
      <c r="AM270" s="79"/>
    </row>
    <row r="271" spans="1:39" s="74" customFormat="1" x14ac:dyDescent="0.25">
      <c r="A271" s="91">
        <f t="shared" si="30"/>
        <v>0</v>
      </c>
      <c r="B271" s="105"/>
      <c r="C271" s="105"/>
      <c r="D271" s="105"/>
      <c r="E271" s="105"/>
      <c r="F271" s="105"/>
      <c r="H271" s="88">
        <v>266</v>
      </c>
      <c r="I271" s="89" t="str">
        <f t="shared" si="31"/>
        <v/>
      </c>
      <c r="J271" s="88">
        <f t="shared" si="32"/>
        <v>-3</v>
      </c>
      <c r="K271" s="88">
        <f t="shared" si="33"/>
        <v>-30</v>
      </c>
      <c r="L271" s="88"/>
      <c r="M271" s="90">
        <f t="shared" si="34"/>
        <v>0</v>
      </c>
      <c r="N271" s="90">
        <f t="shared" si="35"/>
        <v>0</v>
      </c>
      <c r="T271" s="79"/>
      <c r="U271" s="79"/>
      <c r="V271" s="79"/>
      <c r="W271" s="79"/>
      <c r="X271" s="79"/>
      <c r="Y271" s="79"/>
      <c r="Z271" s="79"/>
      <c r="AA271" s="79"/>
      <c r="AB271" s="79"/>
      <c r="AC271" s="79"/>
      <c r="AD271" s="79"/>
      <c r="AE271" s="79"/>
      <c r="AF271" s="79"/>
      <c r="AG271" s="79"/>
      <c r="AH271" s="79"/>
      <c r="AI271" s="79"/>
      <c r="AJ271" s="79"/>
      <c r="AK271" s="79"/>
      <c r="AL271" s="79"/>
      <c r="AM271" s="79"/>
    </row>
    <row r="272" spans="1:39" s="74" customFormat="1" x14ac:dyDescent="0.25">
      <c r="A272" s="87">
        <f t="shared" si="30"/>
        <v>0</v>
      </c>
      <c r="B272" s="105"/>
      <c r="C272" s="105"/>
      <c r="D272" s="105"/>
      <c r="E272" s="105"/>
      <c r="F272" s="105"/>
      <c r="H272" s="88">
        <v>267</v>
      </c>
      <c r="I272" s="89" t="str">
        <f t="shared" si="31"/>
        <v/>
      </c>
      <c r="J272" s="88">
        <f t="shared" si="32"/>
        <v>-3</v>
      </c>
      <c r="K272" s="88">
        <f t="shared" si="33"/>
        <v>-30</v>
      </c>
      <c r="L272" s="88"/>
      <c r="M272" s="90">
        <f t="shared" si="34"/>
        <v>0</v>
      </c>
      <c r="N272" s="90">
        <f t="shared" si="35"/>
        <v>0</v>
      </c>
      <c r="T272" s="79"/>
      <c r="U272" s="79"/>
      <c r="V272" s="79"/>
      <c r="W272" s="79"/>
      <c r="X272" s="79"/>
      <c r="Y272" s="79"/>
      <c r="Z272" s="79"/>
      <c r="AA272" s="79"/>
      <c r="AB272" s="79"/>
      <c r="AC272" s="79"/>
      <c r="AD272" s="79"/>
      <c r="AE272" s="79"/>
      <c r="AF272" s="79"/>
      <c r="AG272" s="79"/>
      <c r="AH272" s="79"/>
      <c r="AI272" s="79"/>
      <c r="AJ272" s="79"/>
      <c r="AK272" s="79"/>
      <c r="AL272" s="79"/>
      <c r="AM272" s="79"/>
    </row>
    <row r="273" spans="1:39" s="74" customFormat="1" x14ac:dyDescent="0.25">
      <c r="A273" s="91">
        <f t="shared" si="30"/>
        <v>0</v>
      </c>
      <c r="B273" s="105"/>
      <c r="C273" s="105"/>
      <c r="D273" s="105"/>
      <c r="E273" s="105"/>
      <c r="F273" s="105"/>
      <c r="H273" s="88">
        <v>268</v>
      </c>
      <c r="I273" s="89" t="str">
        <f t="shared" si="31"/>
        <v/>
      </c>
      <c r="J273" s="88">
        <f t="shared" si="32"/>
        <v>-3</v>
      </c>
      <c r="K273" s="88">
        <f t="shared" si="33"/>
        <v>-30</v>
      </c>
      <c r="L273" s="88"/>
      <c r="M273" s="90">
        <f t="shared" si="34"/>
        <v>0</v>
      </c>
      <c r="N273" s="90">
        <f t="shared" si="35"/>
        <v>0</v>
      </c>
      <c r="T273" s="79"/>
      <c r="U273" s="79"/>
      <c r="V273" s="79"/>
      <c r="W273" s="79"/>
      <c r="X273" s="79"/>
      <c r="Y273" s="79"/>
      <c r="Z273" s="79"/>
      <c r="AA273" s="79"/>
      <c r="AB273" s="79"/>
      <c r="AC273" s="79"/>
      <c r="AD273" s="79"/>
      <c r="AE273" s="79"/>
      <c r="AF273" s="79"/>
      <c r="AG273" s="79"/>
      <c r="AH273" s="79"/>
      <c r="AI273" s="79"/>
      <c r="AJ273" s="79"/>
      <c r="AK273" s="79"/>
      <c r="AL273" s="79"/>
      <c r="AM273" s="79"/>
    </row>
    <row r="274" spans="1:39" s="74" customFormat="1" x14ac:dyDescent="0.25">
      <c r="A274" s="87">
        <f t="shared" si="30"/>
        <v>0</v>
      </c>
      <c r="B274" s="105"/>
      <c r="C274" s="105"/>
      <c r="D274" s="105"/>
      <c r="E274" s="105"/>
      <c r="F274" s="105"/>
      <c r="H274" s="88">
        <v>269</v>
      </c>
      <c r="I274" s="89" t="str">
        <f t="shared" si="31"/>
        <v/>
      </c>
      <c r="J274" s="88">
        <f t="shared" si="32"/>
        <v>-3</v>
      </c>
      <c r="K274" s="88">
        <f t="shared" si="33"/>
        <v>-30</v>
      </c>
      <c r="L274" s="88"/>
      <c r="M274" s="90">
        <f t="shared" si="34"/>
        <v>0</v>
      </c>
      <c r="N274" s="90">
        <f t="shared" si="35"/>
        <v>0</v>
      </c>
      <c r="T274" s="79"/>
      <c r="U274" s="79"/>
      <c r="V274" s="79"/>
      <c r="W274" s="79"/>
      <c r="X274" s="79"/>
      <c r="Y274" s="79"/>
      <c r="Z274" s="79"/>
      <c r="AA274" s="79"/>
      <c r="AB274" s="79"/>
      <c r="AC274" s="79"/>
      <c r="AD274" s="79"/>
      <c r="AE274" s="79"/>
      <c r="AF274" s="79"/>
      <c r="AG274" s="79"/>
      <c r="AH274" s="79"/>
      <c r="AI274" s="79"/>
      <c r="AJ274" s="79"/>
      <c r="AK274" s="79"/>
      <c r="AL274" s="79"/>
      <c r="AM274" s="79"/>
    </row>
    <row r="275" spans="1:39" s="74" customFormat="1" x14ac:dyDescent="0.25">
      <c r="A275" s="91">
        <f t="shared" si="30"/>
        <v>0</v>
      </c>
      <c r="B275" s="105"/>
      <c r="C275" s="105"/>
      <c r="D275" s="105"/>
      <c r="E275" s="105"/>
      <c r="F275" s="105"/>
      <c r="H275" s="88">
        <v>270</v>
      </c>
      <c r="I275" s="89" t="str">
        <f t="shared" si="31"/>
        <v/>
      </c>
      <c r="J275" s="88">
        <f t="shared" si="32"/>
        <v>-3</v>
      </c>
      <c r="K275" s="88">
        <f t="shared" si="33"/>
        <v>-30</v>
      </c>
      <c r="L275" s="88"/>
      <c r="M275" s="90">
        <f t="shared" si="34"/>
        <v>0</v>
      </c>
      <c r="N275" s="90">
        <f t="shared" si="35"/>
        <v>0</v>
      </c>
      <c r="T275" s="79"/>
      <c r="U275" s="79"/>
      <c r="V275" s="79"/>
      <c r="W275" s="79"/>
      <c r="X275" s="79"/>
      <c r="Y275" s="79"/>
      <c r="Z275" s="79"/>
      <c r="AA275" s="79"/>
      <c r="AB275" s="79"/>
      <c r="AC275" s="79"/>
      <c r="AD275" s="79"/>
      <c r="AE275" s="79"/>
      <c r="AF275" s="79"/>
      <c r="AG275" s="79"/>
      <c r="AH275" s="79"/>
      <c r="AI275" s="79"/>
      <c r="AJ275" s="79"/>
      <c r="AK275" s="79"/>
      <c r="AL275" s="79"/>
      <c r="AM275" s="79"/>
    </row>
    <row r="276" spans="1:39" s="74" customFormat="1" x14ac:dyDescent="0.25">
      <c r="A276" s="87">
        <f t="shared" si="30"/>
        <v>0</v>
      </c>
      <c r="B276" s="105"/>
      <c r="C276" s="105"/>
      <c r="D276" s="105"/>
      <c r="E276" s="105"/>
      <c r="F276" s="105"/>
      <c r="H276" s="88">
        <v>271</v>
      </c>
      <c r="I276" s="89" t="str">
        <f t="shared" si="31"/>
        <v/>
      </c>
      <c r="J276" s="88">
        <f t="shared" si="32"/>
        <v>-3</v>
      </c>
      <c r="K276" s="88">
        <f t="shared" si="33"/>
        <v>-30</v>
      </c>
      <c r="L276" s="88"/>
      <c r="M276" s="90">
        <f t="shared" si="34"/>
        <v>0</v>
      </c>
      <c r="N276" s="90">
        <f t="shared" si="35"/>
        <v>0</v>
      </c>
      <c r="T276" s="79"/>
      <c r="U276" s="79"/>
      <c r="V276" s="79"/>
      <c r="W276" s="79"/>
      <c r="X276" s="79"/>
      <c r="Y276" s="79"/>
      <c r="Z276" s="79"/>
      <c r="AA276" s="79"/>
      <c r="AB276" s="79"/>
      <c r="AC276" s="79"/>
      <c r="AD276" s="79"/>
      <c r="AE276" s="79"/>
      <c r="AF276" s="79"/>
      <c r="AG276" s="79"/>
      <c r="AH276" s="79"/>
      <c r="AI276" s="79"/>
      <c r="AJ276" s="79"/>
      <c r="AK276" s="79"/>
      <c r="AL276" s="79"/>
      <c r="AM276" s="79"/>
    </row>
    <row r="277" spans="1:39" s="74" customFormat="1" x14ac:dyDescent="0.25">
      <c r="A277" s="91">
        <f t="shared" si="30"/>
        <v>0</v>
      </c>
      <c r="B277" s="105"/>
      <c r="C277" s="105"/>
      <c r="D277" s="105"/>
      <c r="E277" s="105"/>
      <c r="F277" s="105"/>
      <c r="H277" s="88">
        <v>272</v>
      </c>
      <c r="I277" s="89" t="str">
        <f t="shared" si="31"/>
        <v/>
      </c>
      <c r="J277" s="88">
        <f t="shared" si="32"/>
        <v>-3</v>
      </c>
      <c r="K277" s="88">
        <f t="shared" si="33"/>
        <v>-30</v>
      </c>
      <c r="L277" s="88"/>
      <c r="M277" s="90">
        <f t="shared" si="34"/>
        <v>0</v>
      </c>
      <c r="N277" s="90">
        <f t="shared" si="35"/>
        <v>0</v>
      </c>
      <c r="T277" s="79"/>
      <c r="U277" s="79"/>
      <c r="V277" s="79"/>
      <c r="W277" s="79"/>
      <c r="X277" s="79"/>
      <c r="Y277" s="79"/>
      <c r="Z277" s="79"/>
      <c r="AA277" s="79"/>
      <c r="AB277" s="79"/>
      <c r="AC277" s="79"/>
      <c r="AD277" s="79"/>
      <c r="AE277" s="79"/>
      <c r="AF277" s="79"/>
      <c r="AG277" s="79"/>
      <c r="AH277" s="79"/>
      <c r="AI277" s="79"/>
      <c r="AJ277" s="79"/>
      <c r="AK277" s="79"/>
      <c r="AL277" s="79"/>
      <c r="AM277" s="79"/>
    </row>
    <row r="278" spans="1:39" s="74" customFormat="1" x14ac:dyDescent="0.25">
      <c r="A278" s="87">
        <f t="shared" si="30"/>
        <v>0</v>
      </c>
      <c r="B278" s="105"/>
      <c r="C278" s="105"/>
      <c r="D278" s="105"/>
      <c r="E278" s="105"/>
      <c r="F278" s="105"/>
      <c r="H278" s="88">
        <v>273</v>
      </c>
      <c r="I278" s="89" t="str">
        <f t="shared" si="31"/>
        <v/>
      </c>
      <c r="J278" s="88">
        <f t="shared" si="32"/>
        <v>-3</v>
      </c>
      <c r="K278" s="88">
        <f t="shared" si="33"/>
        <v>-30</v>
      </c>
      <c r="L278" s="88"/>
      <c r="M278" s="90">
        <f t="shared" si="34"/>
        <v>0</v>
      </c>
      <c r="N278" s="90">
        <f t="shared" si="35"/>
        <v>0</v>
      </c>
      <c r="T278" s="79"/>
      <c r="U278" s="79"/>
      <c r="V278" s="79"/>
      <c r="W278" s="79"/>
      <c r="X278" s="79"/>
      <c r="Y278" s="79"/>
      <c r="Z278" s="79"/>
      <c r="AA278" s="79"/>
      <c r="AB278" s="79"/>
      <c r="AC278" s="79"/>
      <c r="AD278" s="79"/>
      <c r="AE278" s="79"/>
      <c r="AF278" s="79"/>
      <c r="AG278" s="79"/>
      <c r="AH278" s="79"/>
      <c r="AI278" s="79"/>
      <c r="AJ278" s="79"/>
      <c r="AK278" s="79"/>
      <c r="AL278" s="79"/>
      <c r="AM278" s="79"/>
    </row>
    <row r="279" spans="1:39" s="74" customFormat="1" x14ac:dyDescent="0.25">
      <c r="A279" s="91">
        <f t="shared" si="30"/>
        <v>0</v>
      </c>
      <c r="B279" s="105"/>
      <c r="C279" s="105"/>
      <c r="D279" s="105"/>
      <c r="E279" s="105"/>
      <c r="F279" s="105"/>
      <c r="H279" s="88">
        <v>274</v>
      </c>
      <c r="I279" s="89" t="str">
        <f t="shared" si="31"/>
        <v/>
      </c>
      <c r="J279" s="88">
        <f t="shared" si="32"/>
        <v>-3</v>
      </c>
      <c r="K279" s="88">
        <f t="shared" si="33"/>
        <v>-30</v>
      </c>
      <c r="L279" s="88"/>
      <c r="M279" s="90">
        <f t="shared" si="34"/>
        <v>0</v>
      </c>
      <c r="N279" s="90">
        <f t="shared" si="35"/>
        <v>0</v>
      </c>
      <c r="T279" s="79"/>
      <c r="U279" s="79"/>
      <c r="V279" s="79"/>
      <c r="W279" s="79"/>
      <c r="X279" s="79"/>
      <c r="Y279" s="79"/>
      <c r="Z279" s="79"/>
      <c r="AA279" s="79"/>
      <c r="AB279" s="79"/>
      <c r="AC279" s="79"/>
      <c r="AD279" s="79"/>
      <c r="AE279" s="79"/>
      <c r="AF279" s="79"/>
      <c r="AG279" s="79"/>
      <c r="AH279" s="79"/>
      <c r="AI279" s="79"/>
      <c r="AJ279" s="79"/>
      <c r="AK279" s="79"/>
      <c r="AL279" s="79"/>
      <c r="AM279" s="79"/>
    </row>
    <row r="280" spans="1:39" s="74" customFormat="1" x14ac:dyDescent="0.25">
      <c r="A280" s="87">
        <f t="shared" si="30"/>
        <v>0</v>
      </c>
      <c r="B280" s="105"/>
      <c r="C280" s="105"/>
      <c r="D280" s="105"/>
      <c r="E280" s="105"/>
      <c r="F280" s="105"/>
      <c r="H280" s="88">
        <v>275</v>
      </c>
      <c r="I280" s="89" t="str">
        <f t="shared" si="31"/>
        <v/>
      </c>
      <c r="J280" s="88">
        <f t="shared" si="32"/>
        <v>-3</v>
      </c>
      <c r="K280" s="88">
        <f t="shared" si="33"/>
        <v>-30</v>
      </c>
      <c r="L280" s="88"/>
      <c r="M280" s="90">
        <f t="shared" si="34"/>
        <v>0</v>
      </c>
      <c r="N280" s="90">
        <f t="shared" si="35"/>
        <v>0</v>
      </c>
      <c r="T280" s="79"/>
      <c r="U280" s="79"/>
      <c r="V280" s="79"/>
      <c r="W280" s="79"/>
      <c r="X280" s="79"/>
      <c r="Y280" s="79"/>
      <c r="Z280" s="79"/>
      <c r="AA280" s="79"/>
      <c r="AB280" s="79"/>
      <c r="AC280" s="79"/>
      <c r="AD280" s="79"/>
      <c r="AE280" s="79"/>
      <c r="AF280" s="79"/>
      <c r="AG280" s="79"/>
      <c r="AH280" s="79"/>
      <c r="AI280" s="79"/>
      <c r="AJ280" s="79"/>
      <c r="AK280" s="79"/>
      <c r="AL280" s="79"/>
      <c r="AM280" s="79"/>
    </row>
    <row r="281" spans="1:39" s="74" customFormat="1" x14ac:dyDescent="0.25">
      <c r="A281" s="91">
        <f t="shared" si="30"/>
        <v>0</v>
      </c>
      <c r="B281" s="105"/>
      <c r="C281" s="105"/>
      <c r="D281" s="105"/>
      <c r="E281" s="105"/>
      <c r="F281" s="105"/>
      <c r="H281" s="88">
        <v>276</v>
      </c>
      <c r="I281" s="89" t="str">
        <f t="shared" si="31"/>
        <v/>
      </c>
      <c r="J281" s="88">
        <f t="shared" si="32"/>
        <v>-3</v>
      </c>
      <c r="K281" s="88">
        <f t="shared" si="33"/>
        <v>-30</v>
      </c>
      <c r="L281" s="88"/>
      <c r="M281" s="90">
        <f t="shared" si="34"/>
        <v>0</v>
      </c>
      <c r="N281" s="90">
        <f t="shared" si="35"/>
        <v>0</v>
      </c>
      <c r="T281" s="79"/>
      <c r="U281" s="79"/>
      <c r="V281" s="79"/>
      <c r="W281" s="79"/>
      <c r="X281" s="79"/>
      <c r="Y281" s="79"/>
      <c r="Z281" s="79"/>
      <c r="AA281" s="79"/>
      <c r="AB281" s="79"/>
      <c r="AC281" s="79"/>
      <c r="AD281" s="79"/>
      <c r="AE281" s="79"/>
      <c r="AF281" s="79"/>
      <c r="AG281" s="79"/>
      <c r="AH281" s="79"/>
      <c r="AI281" s="79"/>
      <c r="AJ281" s="79"/>
      <c r="AK281" s="79"/>
      <c r="AL281" s="79"/>
      <c r="AM281" s="79"/>
    </row>
    <row r="282" spans="1:39" s="74" customFormat="1" x14ac:dyDescent="0.25">
      <c r="A282" s="87">
        <f t="shared" si="30"/>
        <v>0</v>
      </c>
      <c r="B282" s="105"/>
      <c r="C282" s="105"/>
      <c r="D282" s="105"/>
      <c r="E282" s="105"/>
      <c r="F282" s="105"/>
      <c r="H282" s="88">
        <v>277</v>
      </c>
      <c r="I282" s="89" t="str">
        <f t="shared" si="31"/>
        <v/>
      </c>
      <c r="J282" s="88">
        <f t="shared" si="32"/>
        <v>-3</v>
      </c>
      <c r="K282" s="88">
        <f t="shared" si="33"/>
        <v>-30</v>
      </c>
      <c r="L282" s="88"/>
      <c r="M282" s="90">
        <f t="shared" si="34"/>
        <v>0</v>
      </c>
      <c r="N282" s="90">
        <f t="shared" si="35"/>
        <v>0</v>
      </c>
      <c r="T282" s="79"/>
      <c r="U282" s="79"/>
      <c r="V282" s="79"/>
      <c r="W282" s="79"/>
      <c r="X282" s="79"/>
      <c r="Y282" s="79"/>
      <c r="Z282" s="79"/>
      <c r="AA282" s="79"/>
      <c r="AB282" s="79"/>
      <c r="AC282" s="79"/>
      <c r="AD282" s="79"/>
      <c r="AE282" s="79"/>
      <c r="AF282" s="79"/>
      <c r="AG282" s="79"/>
      <c r="AH282" s="79"/>
      <c r="AI282" s="79"/>
      <c r="AJ282" s="79"/>
      <c r="AK282" s="79"/>
      <c r="AL282" s="79"/>
      <c r="AM282" s="79"/>
    </row>
    <row r="283" spans="1:39" s="74" customFormat="1" x14ac:dyDescent="0.25">
      <c r="A283" s="91">
        <f t="shared" si="30"/>
        <v>0</v>
      </c>
      <c r="B283" s="105"/>
      <c r="C283" s="105"/>
      <c r="D283" s="105"/>
      <c r="E283" s="105"/>
      <c r="F283" s="105"/>
      <c r="H283" s="88">
        <v>278</v>
      </c>
      <c r="I283" s="89" t="str">
        <f t="shared" si="31"/>
        <v/>
      </c>
      <c r="J283" s="88">
        <f t="shared" si="32"/>
        <v>-3</v>
      </c>
      <c r="K283" s="88">
        <f t="shared" si="33"/>
        <v>-30</v>
      </c>
      <c r="L283" s="88"/>
      <c r="M283" s="90">
        <f t="shared" si="34"/>
        <v>0</v>
      </c>
      <c r="N283" s="90">
        <f t="shared" si="35"/>
        <v>0</v>
      </c>
      <c r="T283" s="79"/>
      <c r="U283" s="79"/>
      <c r="V283" s="79"/>
      <c r="W283" s="79"/>
      <c r="X283" s="79"/>
      <c r="Y283" s="79"/>
      <c r="Z283" s="79"/>
      <c r="AA283" s="79"/>
      <c r="AB283" s="79"/>
      <c r="AC283" s="79"/>
      <c r="AD283" s="79"/>
      <c r="AE283" s="79"/>
      <c r="AF283" s="79"/>
      <c r="AG283" s="79"/>
      <c r="AH283" s="79"/>
      <c r="AI283" s="79"/>
      <c r="AJ283" s="79"/>
      <c r="AK283" s="79"/>
      <c r="AL283" s="79"/>
      <c r="AM283" s="79"/>
    </row>
    <row r="284" spans="1:39" s="74" customFormat="1" x14ac:dyDescent="0.25">
      <c r="A284" s="87">
        <f t="shared" si="30"/>
        <v>0</v>
      </c>
      <c r="B284" s="105"/>
      <c r="C284" s="105"/>
      <c r="D284" s="105"/>
      <c r="E284" s="105"/>
      <c r="F284" s="105"/>
      <c r="H284" s="88">
        <v>279</v>
      </c>
      <c r="I284" s="89" t="str">
        <f t="shared" si="31"/>
        <v/>
      </c>
      <c r="J284" s="88">
        <f t="shared" si="32"/>
        <v>-3</v>
      </c>
      <c r="K284" s="88">
        <f t="shared" si="33"/>
        <v>-30</v>
      </c>
      <c r="L284" s="88"/>
      <c r="M284" s="90">
        <f t="shared" si="34"/>
        <v>0</v>
      </c>
      <c r="N284" s="90">
        <f t="shared" si="35"/>
        <v>0</v>
      </c>
      <c r="T284" s="79"/>
      <c r="U284" s="79"/>
      <c r="V284" s="79"/>
      <c r="W284" s="79"/>
      <c r="X284" s="79"/>
      <c r="Y284" s="79"/>
      <c r="Z284" s="79"/>
      <c r="AA284" s="79"/>
      <c r="AB284" s="79"/>
      <c r="AC284" s="79"/>
      <c r="AD284" s="79"/>
      <c r="AE284" s="79"/>
      <c r="AF284" s="79"/>
      <c r="AG284" s="79"/>
      <c r="AH284" s="79"/>
      <c r="AI284" s="79"/>
      <c r="AJ284" s="79"/>
      <c r="AK284" s="79"/>
      <c r="AL284" s="79"/>
      <c r="AM284" s="79"/>
    </row>
    <row r="285" spans="1:39" s="74" customFormat="1" x14ac:dyDescent="0.25">
      <c r="A285" s="91">
        <f t="shared" si="30"/>
        <v>0</v>
      </c>
      <c r="B285" s="105"/>
      <c r="C285" s="105"/>
      <c r="D285" s="105"/>
      <c r="E285" s="105"/>
      <c r="F285" s="105"/>
      <c r="H285" s="88">
        <v>280</v>
      </c>
      <c r="I285" s="89" t="str">
        <f t="shared" si="31"/>
        <v/>
      </c>
      <c r="J285" s="88">
        <f t="shared" si="32"/>
        <v>-3</v>
      </c>
      <c r="K285" s="88">
        <f t="shared" si="33"/>
        <v>-30</v>
      </c>
      <c r="L285" s="88"/>
      <c r="M285" s="90">
        <f t="shared" si="34"/>
        <v>0</v>
      </c>
      <c r="N285" s="90">
        <f t="shared" si="35"/>
        <v>0</v>
      </c>
      <c r="T285" s="79"/>
      <c r="U285" s="79"/>
      <c r="V285" s="79"/>
      <c r="W285" s="79"/>
      <c r="X285" s="79"/>
      <c r="Y285" s="79"/>
      <c r="Z285" s="79"/>
      <c r="AA285" s="79"/>
      <c r="AB285" s="79"/>
      <c r="AC285" s="79"/>
      <c r="AD285" s="79"/>
      <c r="AE285" s="79"/>
      <c r="AF285" s="79"/>
      <c r="AG285" s="79"/>
      <c r="AH285" s="79"/>
      <c r="AI285" s="79"/>
      <c r="AJ285" s="79"/>
      <c r="AK285" s="79"/>
      <c r="AL285" s="79"/>
      <c r="AM285" s="79"/>
    </row>
    <row r="286" spans="1:39" s="74" customFormat="1" x14ac:dyDescent="0.25">
      <c r="A286" s="87">
        <f t="shared" si="30"/>
        <v>0</v>
      </c>
      <c r="B286" s="105"/>
      <c r="C286" s="105"/>
      <c r="D286" s="105"/>
      <c r="E286" s="105"/>
      <c r="F286" s="105"/>
      <c r="H286" s="88">
        <v>281</v>
      </c>
      <c r="I286" s="89" t="str">
        <f t="shared" si="31"/>
        <v/>
      </c>
      <c r="J286" s="88">
        <f t="shared" si="32"/>
        <v>-3</v>
      </c>
      <c r="K286" s="88">
        <f t="shared" si="33"/>
        <v>-30</v>
      </c>
      <c r="L286" s="88"/>
      <c r="M286" s="90">
        <f t="shared" si="34"/>
        <v>0</v>
      </c>
      <c r="N286" s="90">
        <f t="shared" si="35"/>
        <v>0</v>
      </c>
      <c r="T286" s="79"/>
      <c r="U286" s="79"/>
      <c r="V286" s="79"/>
      <c r="W286" s="79"/>
      <c r="X286" s="79"/>
      <c r="Y286" s="79"/>
      <c r="Z286" s="79"/>
      <c r="AA286" s="79"/>
      <c r="AB286" s="79"/>
      <c r="AC286" s="79"/>
      <c r="AD286" s="79"/>
      <c r="AE286" s="79"/>
      <c r="AF286" s="79"/>
      <c r="AG286" s="79"/>
      <c r="AH286" s="79"/>
      <c r="AI286" s="79"/>
      <c r="AJ286" s="79"/>
      <c r="AK286" s="79"/>
      <c r="AL286" s="79"/>
      <c r="AM286" s="79"/>
    </row>
    <row r="287" spans="1:39" s="74" customFormat="1" x14ac:dyDescent="0.25">
      <c r="A287" s="91">
        <f t="shared" si="30"/>
        <v>0</v>
      </c>
      <c r="B287" s="105"/>
      <c r="C287" s="105"/>
      <c r="D287" s="105"/>
      <c r="E287" s="105"/>
      <c r="F287" s="105"/>
      <c r="H287" s="88">
        <v>282</v>
      </c>
      <c r="I287" s="89" t="str">
        <f t="shared" si="31"/>
        <v/>
      </c>
      <c r="J287" s="88">
        <f t="shared" si="32"/>
        <v>-3</v>
      </c>
      <c r="K287" s="88">
        <f t="shared" si="33"/>
        <v>-30</v>
      </c>
      <c r="L287" s="88"/>
      <c r="M287" s="90">
        <f t="shared" si="34"/>
        <v>0</v>
      </c>
      <c r="N287" s="90">
        <f t="shared" si="35"/>
        <v>0</v>
      </c>
      <c r="T287" s="79"/>
      <c r="U287" s="79"/>
      <c r="V287" s="79"/>
      <c r="W287" s="79"/>
      <c r="X287" s="79"/>
      <c r="Y287" s="79"/>
      <c r="Z287" s="79"/>
      <c r="AA287" s="79"/>
      <c r="AB287" s="79"/>
      <c r="AC287" s="79"/>
      <c r="AD287" s="79"/>
      <c r="AE287" s="79"/>
      <c r="AF287" s="79"/>
      <c r="AG287" s="79"/>
      <c r="AH287" s="79"/>
      <c r="AI287" s="79"/>
      <c r="AJ287" s="79"/>
      <c r="AK287" s="79"/>
      <c r="AL287" s="79"/>
      <c r="AM287" s="79"/>
    </row>
    <row r="288" spans="1:39" s="74" customFormat="1" x14ac:dyDescent="0.25">
      <c r="A288" s="87">
        <f t="shared" si="30"/>
        <v>0</v>
      </c>
      <c r="B288" s="105"/>
      <c r="C288" s="105"/>
      <c r="D288" s="105"/>
      <c r="E288" s="105"/>
      <c r="F288" s="105"/>
      <c r="H288" s="88">
        <v>283</v>
      </c>
      <c r="I288" s="89" t="str">
        <f t="shared" si="31"/>
        <v/>
      </c>
      <c r="J288" s="88">
        <f t="shared" si="32"/>
        <v>-3</v>
      </c>
      <c r="K288" s="88">
        <f t="shared" si="33"/>
        <v>-30</v>
      </c>
      <c r="L288" s="88"/>
      <c r="M288" s="90">
        <f t="shared" si="34"/>
        <v>0</v>
      </c>
      <c r="N288" s="90">
        <f t="shared" si="35"/>
        <v>0</v>
      </c>
      <c r="T288" s="79"/>
      <c r="U288" s="79"/>
      <c r="V288" s="79"/>
      <c r="W288" s="79"/>
      <c r="X288" s="79"/>
      <c r="Y288" s="79"/>
      <c r="Z288" s="79"/>
      <c r="AA288" s="79"/>
      <c r="AB288" s="79"/>
      <c r="AC288" s="79"/>
      <c r="AD288" s="79"/>
      <c r="AE288" s="79"/>
      <c r="AF288" s="79"/>
      <c r="AG288" s="79"/>
      <c r="AH288" s="79"/>
      <c r="AI288" s="79"/>
      <c r="AJ288" s="79"/>
      <c r="AK288" s="79"/>
      <c r="AL288" s="79"/>
      <c r="AM288" s="79"/>
    </row>
    <row r="289" spans="1:39" s="74" customFormat="1" x14ac:dyDescent="0.25">
      <c r="A289" s="91">
        <f t="shared" si="30"/>
        <v>0</v>
      </c>
      <c r="B289" s="105"/>
      <c r="C289" s="105"/>
      <c r="D289" s="105"/>
      <c r="E289" s="105"/>
      <c r="F289" s="105"/>
      <c r="H289" s="88">
        <v>284</v>
      </c>
      <c r="I289" s="89" t="str">
        <f t="shared" si="31"/>
        <v/>
      </c>
      <c r="J289" s="88">
        <f t="shared" si="32"/>
        <v>-3</v>
      </c>
      <c r="K289" s="88">
        <f t="shared" si="33"/>
        <v>-30</v>
      </c>
      <c r="L289" s="88"/>
      <c r="M289" s="90">
        <f t="shared" si="34"/>
        <v>0</v>
      </c>
      <c r="N289" s="90">
        <f t="shared" si="35"/>
        <v>0</v>
      </c>
      <c r="T289" s="79"/>
      <c r="U289" s="79"/>
      <c r="V289" s="79"/>
      <c r="W289" s="79"/>
      <c r="X289" s="79"/>
      <c r="Y289" s="79"/>
      <c r="Z289" s="79"/>
      <c r="AA289" s="79"/>
      <c r="AB289" s="79"/>
      <c r="AC289" s="79"/>
      <c r="AD289" s="79"/>
      <c r="AE289" s="79"/>
      <c r="AF289" s="79"/>
      <c r="AG289" s="79"/>
      <c r="AH289" s="79"/>
      <c r="AI289" s="79"/>
      <c r="AJ289" s="79"/>
      <c r="AK289" s="79"/>
      <c r="AL289" s="79"/>
      <c r="AM289" s="79"/>
    </row>
    <row r="290" spans="1:39" s="74" customFormat="1" x14ac:dyDescent="0.25">
      <c r="A290" s="87">
        <f t="shared" si="30"/>
        <v>0</v>
      </c>
      <c r="B290" s="105"/>
      <c r="C290" s="105"/>
      <c r="D290" s="105"/>
      <c r="E290" s="105"/>
      <c r="F290" s="105"/>
      <c r="H290" s="88">
        <v>285</v>
      </c>
      <c r="I290" s="89" t="str">
        <f t="shared" si="31"/>
        <v/>
      </c>
      <c r="J290" s="88">
        <f t="shared" si="32"/>
        <v>-3</v>
      </c>
      <c r="K290" s="88">
        <f t="shared" si="33"/>
        <v>-30</v>
      </c>
      <c r="L290" s="88"/>
      <c r="M290" s="90">
        <f t="shared" si="34"/>
        <v>0</v>
      </c>
      <c r="N290" s="90">
        <f t="shared" si="35"/>
        <v>0</v>
      </c>
      <c r="T290" s="79"/>
      <c r="U290" s="79"/>
      <c r="V290" s="79"/>
      <c r="W290" s="79"/>
      <c r="X290" s="79"/>
      <c r="Y290" s="79"/>
      <c r="Z290" s="79"/>
      <c r="AA290" s="79"/>
      <c r="AB290" s="79"/>
      <c r="AC290" s="79"/>
      <c r="AD290" s="79"/>
      <c r="AE290" s="79"/>
      <c r="AF290" s="79"/>
      <c r="AG290" s="79"/>
      <c r="AH290" s="79"/>
      <c r="AI290" s="79"/>
      <c r="AJ290" s="79"/>
      <c r="AK290" s="79"/>
      <c r="AL290" s="79"/>
      <c r="AM290" s="79"/>
    </row>
    <row r="291" spans="1:39" s="74" customFormat="1" x14ac:dyDescent="0.25">
      <c r="A291" s="91">
        <f t="shared" si="30"/>
        <v>0</v>
      </c>
      <c r="B291" s="105"/>
      <c r="C291" s="105"/>
      <c r="D291" s="105"/>
      <c r="E291" s="105"/>
      <c r="F291" s="105"/>
      <c r="H291" s="88">
        <v>286</v>
      </c>
      <c r="I291" s="89" t="str">
        <f t="shared" si="31"/>
        <v/>
      </c>
      <c r="J291" s="88">
        <f t="shared" si="32"/>
        <v>-3</v>
      </c>
      <c r="K291" s="88">
        <f t="shared" si="33"/>
        <v>-30</v>
      </c>
      <c r="L291" s="88"/>
      <c r="M291" s="90">
        <f t="shared" si="34"/>
        <v>0</v>
      </c>
      <c r="N291" s="90">
        <f t="shared" si="35"/>
        <v>0</v>
      </c>
      <c r="T291" s="79"/>
      <c r="U291" s="79"/>
      <c r="V291" s="79"/>
      <c r="W291" s="79"/>
      <c r="X291" s="79"/>
      <c r="Y291" s="79"/>
      <c r="Z291" s="79"/>
      <c r="AA291" s="79"/>
      <c r="AB291" s="79"/>
      <c r="AC291" s="79"/>
      <c r="AD291" s="79"/>
      <c r="AE291" s="79"/>
      <c r="AF291" s="79"/>
      <c r="AG291" s="79"/>
      <c r="AH291" s="79"/>
      <c r="AI291" s="79"/>
      <c r="AJ291" s="79"/>
      <c r="AK291" s="79"/>
      <c r="AL291" s="79"/>
      <c r="AM291" s="79"/>
    </row>
    <row r="292" spans="1:39" s="74" customFormat="1" x14ac:dyDescent="0.25">
      <c r="A292" s="87">
        <f t="shared" si="30"/>
        <v>0</v>
      </c>
      <c r="B292" s="105"/>
      <c r="C292" s="105"/>
      <c r="D292" s="105"/>
      <c r="E292" s="105"/>
      <c r="F292" s="105"/>
      <c r="H292" s="88">
        <v>287</v>
      </c>
      <c r="I292" s="89" t="str">
        <f t="shared" si="31"/>
        <v/>
      </c>
      <c r="J292" s="88">
        <f t="shared" si="32"/>
        <v>-3</v>
      </c>
      <c r="K292" s="88">
        <f t="shared" si="33"/>
        <v>-30</v>
      </c>
      <c r="L292" s="88"/>
      <c r="M292" s="90">
        <f t="shared" si="34"/>
        <v>0</v>
      </c>
      <c r="N292" s="90">
        <f t="shared" si="35"/>
        <v>0</v>
      </c>
      <c r="T292" s="79"/>
      <c r="U292" s="79"/>
      <c r="V292" s="79"/>
      <c r="W292" s="79"/>
      <c r="X292" s="79"/>
      <c r="Y292" s="79"/>
      <c r="Z292" s="79"/>
      <c r="AA292" s="79"/>
      <c r="AB292" s="79"/>
      <c r="AC292" s="79"/>
      <c r="AD292" s="79"/>
      <c r="AE292" s="79"/>
      <c r="AF292" s="79"/>
      <c r="AG292" s="79"/>
      <c r="AH292" s="79"/>
      <c r="AI292" s="79"/>
      <c r="AJ292" s="79"/>
      <c r="AK292" s="79"/>
      <c r="AL292" s="79"/>
      <c r="AM292" s="79"/>
    </row>
    <row r="293" spans="1:39" s="74" customFormat="1" x14ac:dyDescent="0.25">
      <c r="A293" s="91">
        <f t="shared" si="30"/>
        <v>0</v>
      </c>
      <c r="B293" s="105"/>
      <c r="C293" s="105"/>
      <c r="D293" s="105"/>
      <c r="E293" s="105"/>
      <c r="F293" s="105"/>
      <c r="H293" s="88">
        <v>288</v>
      </c>
      <c r="I293" s="89" t="str">
        <f t="shared" si="31"/>
        <v/>
      </c>
      <c r="J293" s="88">
        <f t="shared" si="32"/>
        <v>-3</v>
      </c>
      <c r="K293" s="88">
        <f t="shared" si="33"/>
        <v>-30</v>
      </c>
      <c r="L293" s="88"/>
      <c r="M293" s="90">
        <f t="shared" si="34"/>
        <v>0</v>
      </c>
      <c r="N293" s="90">
        <f t="shared" si="35"/>
        <v>0</v>
      </c>
      <c r="T293" s="79"/>
      <c r="U293" s="79"/>
      <c r="V293" s="79"/>
      <c r="W293" s="79"/>
      <c r="X293" s="79"/>
      <c r="Y293" s="79"/>
      <c r="Z293" s="79"/>
      <c r="AA293" s="79"/>
      <c r="AB293" s="79"/>
      <c r="AC293" s="79"/>
      <c r="AD293" s="79"/>
      <c r="AE293" s="79"/>
      <c r="AF293" s="79"/>
      <c r="AG293" s="79"/>
      <c r="AH293" s="79"/>
      <c r="AI293" s="79"/>
      <c r="AJ293" s="79"/>
      <c r="AK293" s="79"/>
      <c r="AL293" s="79"/>
      <c r="AM293" s="79"/>
    </row>
    <row r="294" spans="1:39" s="74" customFormat="1" x14ac:dyDescent="0.25">
      <c r="A294" s="87">
        <f t="shared" si="30"/>
        <v>0</v>
      </c>
      <c r="B294" s="105"/>
      <c r="C294" s="105"/>
      <c r="D294" s="105"/>
      <c r="E294" s="105"/>
      <c r="F294" s="105"/>
      <c r="H294" s="88">
        <v>289</v>
      </c>
      <c r="I294" s="89" t="str">
        <f t="shared" si="31"/>
        <v/>
      </c>
      <c r="J294" s="88">
        <f t="shared" si="32"/>
        <v>-3</v>
      </c>
      <c r="K294" s="88">
        <f t="shared" si="33"/>
        <v>-30</v>
      </c>
      <c r="L294" s="88"/>
      <c r="M294" s="90">
        <f t="shared" si="34"/>
        <v>0</v>
      </c>
      <c r="N294" s="90">
        <f t="shared" si="35"/>
        <v>0</v>
      </c>
      <c r="T294" s="79"/>
      <c r="U294" s="79"/>
      <c r="V294" s="79"/>
      <c r="W294" s="79"/>
      <c r="X294" s="79"/>
      <c r="Y294" s="79"/>
      <c r="Z294" s="79"/>
      <c r="AA294" s="79"/>
      <c r="AB294" s="79"/>
      <c r="AC294" s="79"/>
      <c r="AD294" s="79"/>
      <c r="AE294" s="79"/>
      <c r="AF294" s="79"/>
      <c r="AG294" s="79"/>
      <c r="AH294" s="79"/>
      <c r="AI294" s="79"/>
      <c r="AJ294" s="79"/>
      <c r="AK294" s="79"/>
      <c r="AL294" s="79"/>
      <c r="AM294" s="79"/>
    </row>
    <row r="295" spans="1:39" s="74" customFormat="1" x14ac:dyDescent="0.25">
      <c r="A295" s="91">
        <f t="shared" si="30"/>
        <v>0</v>
      </c>
      <c r="B295" s="105"/>
      <c r="C295" s="105"/>
      <c r="D295" s="105"/>
      <c r="E295" s="105"/>
      <c r="F295" s="105"/>
      <c r="H295" s="88">
        <v>290</v>
      </c>
      <c r="I295" s="89" t="str">
        <f t="shared" si="31"/>
        <v/>
      </c>
      <c r="J295" s="88">
        <f t="shared" si="32"/>
        <v>-3</v>
      </c>
      <c r="K295" s="88">
        <f t="shared" si="33"/>
        <v>-30</v>
      </c>
      <c r="L295" s="88"/>
      <c r="M295" s="90">
        <f t="shared" si="34"/>
        <v>0</v>
      </c>
      <c r="N295" s="90">
        <f t="shared" si="35"/>
        <v>0</v>
      </c>
      <c r="T295" s="79"/>
      <c r="U295" s="79"/>
      <c r="V295" s="79"/>
      <c r="W295" s="79"/>
      <c r="X295" s="79"/>
      <c r="Y295" s="79"/>
      <c r="Z295" s="79"/>
      <c r="AA295" s="79"/>
      <c r="AB295" s="79"/>
      <c r="AC295" s="79"/>
      <c r="AD295" s="79"/>
      <c r="AE295" s="79"/>
      <c r="AF295" s="79"/>
      <c r="AG295" s="79"/>
      <c r="AH295" s="79"/>
      <c r="AI295" s="79"/>
      <c r="AJ295" s="79"/>
      <c r="AK295" s="79"/>
      <c r="AL295" s="79"/>
      <c r="AM295" s="79"/>
    </row>
    <row r="296" spans="1:39" s="74" customFormat="1" x14ac:dyDescent="0.25">
      <c r="A296" s="87">
        <f t="shared" si="30"/>
        <v>0</v>
      </c>
      <c r="B296" s="105"/>
      <c r="C296" s="105"/>
      <c r="D296" s="105"/>
      <c r="E296" s="105"/>
      <c r="F296" s="105"/>
      <c r="H296" s="88">
        <v>291</v>
      </c>
      <c r="I296" s="89" t="str">
        <f t="shared" si="31"/>
        <v/>
      </c>
      <c r="J296" s="88">
        <f t="shared" si="32"/>
        <v>-3</v>
      </c>
      <c r="K296" s="88">
        <f t="shared" si="33"/>
        <v>-30</v>
      </c>
      <c r="L296" s="88"/>
      <c r="M296" s="90">
        <f t="shared" si="34"/>
        <v>0</v>
      </c>
      <c r="N296" s="90">
        <f t="shared" si="35"/>
        <v>0</v>
      </c>
      <c r="T296" s="79"/>
      <c r="U296" s="79"/>
      <c r="V296" s="79"/>
      <c r="W296" s="79"/>
      <c r="X296" s="79"/>
      <c r="Y296" s="79"/>
      <c r="Z296" s="79"/>
      <c r="AA296" s="79"/>
      <c r="AB296" s="79"/>
      <c r="AC296" s="79"/>
      <c r="AD296" s="79"/>
      <c r="AE296" s="79"/>
      <c r="AF296" s="79"/>
      <c r="AG296" s="79"/>
      <c r="AH296" s="79"/>
      <c r="AI296" s="79"/>
      <c r="AJ296" s="79"/>
      <c r="AK296" s="79"/>
      <c r="AL296" s="79"/>
      <c r="AM296" s="79"/>
    </row>
    <row r="297" spans="1:39" s="74" customFormat="1" x14ac:dyDescent="0.25">
      <c r="A297" s="91">
        <f t="shared" si="30"/>
        <v>0</v>
      </c>
      <c r="B297" s="105"/>
      <c r="C297" s="105"/>
      <c r="D297" s="105"/>
      <c r="E297" s="105"/>
      <c r="F297" s="105"/>
      <c r="H297" s="88">
        <v>292</v>
      </c>
      <c r="I297" s="89" t="str">
        <f t="shared" si="31"/>
        <v/>
      </c>
      <c r="J297" s="88">
        <f t="shared" si="32"/>
        <v>-3</v>
      </c>
      <c r="K297" s="88">
        <f t="shared" si="33"/>
        <v>-30</v>
      </c>
      <c r="L297" s="88"/>
      <c r="M297" s="90">
        <f t="shared" si="34"/>
        <v>0</v>
      </c>
      <c r="N297" s="90">
        <f t="shared" si="35"/>
        <v>0</v>
      </c>
      <c r="T297" s="79"/>
      <c r="U297" s="79"/>
      <c r="V297" s="79"/>
      <c r="W297" s="79"/>
      <c r="X297" s="79"/>
      <c r="Y297" s="79"/>
      <c r="Z297" s="79"/>
      <c r="AA297" s="79"/>
      <c r="AB297" s="79"/>
      <c r="AC297" s="79"/>
      <c r="AD297" s="79"/>
      <c r="AE297" s="79"/>
      <c r="AF297" s="79"/>
      <c r="AG297" s="79"/>
      <c r="AH297" s="79"/>
      <c r="AI297" s="79"/>
      <c r="AJ297" s="79"/>
      <c r="AK297" s="79"/>
      <c r="AL297" s="79"/>
      <c r="AM297" s="79"/>
    </row>
    <row r="298" spans="1:39" s="74" customFormat="1" x14ac:dyDescent="0.25">
      <c r="A298" s="87">
        <f t="shared" si="30"/>
        <v>0</v>
      </c>
      <c r="B298" s="105"/>
      <c r="C298" s="105"/>
      <c r="D298" s="105"/>
      <c r="E298" s="105"/>
      <c r="F298" s="105"/>
      <c r="H298" s="88">
        <v>293</v>
      </c>
      <c r="I298" s="89" t="str">
        <f t="shared" si="31"/>
        <v/>
      </c>
      <c r="J298" s="88">
        <f t="shared" si="32"/>
        <v>-3</v>
      </c>
      <c r="K298" s="88">
        <f t="shared" si="33"/>
        <v>-30</v>
      </c>
      <c r="L298" s="88"/>
      <c r="M298" s="90">
        <f t="shared" si="34"/>
        <v>0</v>
      </c>
      <c r="N298" s="90">
        <f t="shared" si="35"/>
        <v>0</v>
      </c>
      <c r="T298" s="79"/>
      <c r="U298" s="79"/>
      <c r="V298" s="79"/>
      <c r="W298" s="79"/>
      <c r="X298" s="79"/>
      <c r="Y298" s="79"/>
      <c r="Z298" s="79"/>
      <c r="AA298" s="79"/>
      <c r="AB298" s="79"/>
      <c r="AC298" s="79"/>
      <c r="AD298" s="79"/>
      <c r="AE298" s="79"/>
      <c r="AF298" s="79"/>
      <c r="AG298" s="79"/>
      <c r="AH298" s="79"/>
      <c r="AI298" s="79"/>
      <c r="AJ298" s="79"/>
      <c r="AK298" s="79"/>
      <c r="AL298" s="79"/>
      <c r="AM298" s="79"/>
    </row>
    <row r="299" spans="1:39" s="74" customFormat="1" x14ac:dyDescent="0.25">
      <c r="A299" s="91">
        <f t="shared" si="30"/>
        <v>0</v>
      </c>
      <c r="B299" s="105"/>
      <c r="C299" s="105"/>
      <c r="D299" s="105"/>
      <c r="E299" s="105"/>
      <c r="F299" s="105"/>
      <c r="H299" s="88">
        <v>294</v>
      </c>
      <c r="I299" s="89" t="str">
        <f t="shared" si="31"/>
        <v/>
      </c>
      <c r="J299" s="88">
        <f t="shared" si="32"/>
        <v>-3</v>
      </c>
      <c r="K299" s="88">
        <f t="shared" si="33"/>
        <v>-30</v>
      </c>
      <c r="L299" s="88"/>
      <c r="M299" s="90">
        <f t="shared" si="34"/>
        <v>0</v>
      </c>
      <c r="N299" s="90">
        <f t="shared" si="35"/>
        <v>0</v>
      </c>
      <c r="T299" s="79"/>
      <c r="U299" s="79"/>
      <c r="V299" s="79"/>
      <c r="W299" s="79"/>
      <c r="X299" s="79"/>
      <c r="Y299" s="79"/>
      <c r="Z299" s="79"/>
      <c r="AA299" s="79"/>
      <c r="AB299" s="79"/>
      <c r="AC299" s="79"/>
      <c r="AD299" s="79"/>
      <c r="AE299" s="79"/>
      <c r="AF299" s="79"/>
      <c r="AG299" s="79"/>
      <c r="AH299" s="79"/>
      <c r="AI299" s="79"/>
      <c r="AJ299" s="79"/>
      <c r="AK299" s="79"/>
      <c r="AL299" s="79"/>
      <c r="AM299" s="79"/>
    </row>
    <row r="300" spans="1:39" s="74" customFormat="1" x14ac:dyDescent="0.25">
      <c r="A300" s="87">
        <f t="shared" si="30"/>
        <v>0</v>
      </c>
      <c r="B300" s="105"/>
      <c r="C300" s="105"/>
      <c r="D300" s="105"/>
      <c r="E300" s="105"/>
      <c r="F300" s="105"/>
      <c r="H300" s="88">
        <v>295</v>
      </c>
      <c r="I300" s="89" t="str">
        <f t="shared" si="31"/>
        <v/>
      </c>
      <c r="J300" s="88">
        <f t="shared" si="32"/>
        <v>-3</v>
      </c>
      <c r="K300" s="88">
        <f t="shared" si="33"/>
        <v>-30</v>
      </c>
      <c r="L300" s="88"/>
      <c r="M300" s="90">
        <f t="shared" si="34"/>
        <v>0</v>
      </c>
      <c r="N300" s="90">
        <f t="shared" si="35"/>
        <v>0</v>
      </c>
      <c r="T300" s="79"/>
      <c r="U300" s="79"/>
      <c r="V300" s="79"/>
      <c r="W300" s="79"/>
      <c r="X300" s="79"/>
      <c r="Y300" s="79"/>
      <c r="Z300" s="79"/>
      <c r="AA300" s="79"/>
      <c r="AB300" s="79"/>
      <c r="AC300" s="79"/>
      <c r="AD300" s="79"/>
      <c r="AE300" s="79"/>
      <c r="AF300" s="79"/>
      <c r="AG300" s="79"/>
      <c r="AH300" s="79"/>
      <c r="AI300" s="79"/>
      <c r="AJ300" s="79"/>
      <c r="AK300" s="79"/>
      <c r="AL300" s="79"/>
      <c r="AM300" s="79"/>
    </row>
    <row r="301" spans="1:39" s="74" customFormat="1" x14ac:dyDescent="0.25">
      <c r="A301" s="91">
        <f t="shared" si="30"/>
        <v>0</v>
      </c>
      <c r="B301" s="105"/>
      <c r="C301" s="105"/>
      <c r="D301" s="105"/>
      <c r="E301" s="105"/>
      <c r="F301" s="105"/>
      <c r="H301" s="88">
        <v>296</v>
      </c>
      <c r="I301" s="89" t="str">
        <f t="shared" si="31"/>
        <v/>
      </c>
      <c r="J301" s="88">
        <f t="shared" si="32"/>
        <v>-3</v>
      </c>
      <c r="K301" s="88">
        <f t="shared" si="33"/>
        <v>-30</v>
      </c>
      <c r="L301" s="88"/>
      <c r="M301" s="90">
        <f t="shared" si="34"/>
        <v>0</v>
      </c>
      <c r="N301" s="90">
        <f t="shared" si="35"/>
        <v>0</v>
      </c>
      <c r="T301" s="79"/>
      <c r="U301" s="79"/>
      <c r="V301" s="79"/>
      <c r="W301" s="79"/>
      <c r="X301" s="79"/>
      <c r="Y301" s="79"/>
      <c r="Z301" s="79"/>
      <c r="AA301" s="79"/>
      <c r="AB301" s="79"/>
      <c r="AC301" s="79"/>
      <c r="AD301" s="79"/>
      <c r="AE301" s="79"/>
      <c r="AF301" s="79"/>
      <c r="AG301" s="79"/>
      <c r="AH301" s="79"/>
      <c r="AI301" s="79"/>
      <c r="AJ301" s="79"/>
      <c r="AK301" s="79"/>
      <c r="AL301" s="79"/>
      <c r="AM301" s="79"/>
    </row>
    <row r="302" spans="1:39" s="74" customFormat="1" x14ac:dyDescent="0.25">
      <c r="A302" s="87">
        <f t="shared" si="30"/>
        <v>0</v>
      </c>
      <c r="B302" s="105"/>
      <c r="C302" s="105"/>
      <c r="D302" s="105"/>
      <c r="E302" s="105"/>
      <c r="F302" s="105"/>
      <c r="H302" s="88">
        <v>297</v>
      </c>
      <c r="I302" s="89" t="str">
        <f t="shared" si="31"/>
        <v/>
      </c>
      <c r="J302" s="88">
        <f t="shared" si="32"/>
        <v>-3</v>
      </c>
      <c r="K302" s="88">
        <f t="shared" si="33"/>
        <v>-30</v>
      </c>
      <c r="L302" s="88"/>
      <c r="M302" s="90">
        <f t="shared" si="34"/>
        <v>0</v>
      </c>
      <c r="N302" s="90">
        <f t="shared" si="35"/>
        <v>0</v>
      </c>
      <c r="T302" s="79"/>
      <c r="U302" s="79"/>
      <c r="V302" s="79"/>
      <c r="W302" s="79"/>
      <c r="X302" s="79"/>
      <c r="Y302" s="79"/>
      <c r="Z302" s="79"/>
      <c r="AA302" s="79"/>
      <c r="AB302" s="79"/>
      <c r="AC302" s="79"/>
      <c r="AD302" s="79"/>
      <c r="AE302" s="79"/>
      <c r="AF302" s="79"/>
      <c r="AG302" s="79"/>
      <c r="AH302" s="79"/>
      <c r="AI302" s="79"/>
      <c r="AJ302" s="79"/>
      <c r="AK302" s="79"/>
      <c r="AL302" s="79"/>
      <c r="AM302" s="79"/>
    </row>
    <row r="303" spans="1:39" s="74" customFormat="1" x14ac:dyDescent="0.25">
      <c r="A303" s="91">
        <f t="shared" si="30"/>
        <v>0</v>
      </c>
      <c r="B303" s="105"/>
      <c r="C303" s="105"/>
      <c r="D303" s="105"/>
      <c r="E303" s="105"/>
      <c r="F303" s="105"/>
      <c r="H303" s="88">
        <v>298</v>
      </c>
      <c r="I303" s="89" t="str">
        <f t="shared" si="31"/>
        <v/>
      </c>
      <c r="J303" s="88">
        <f t="shared" si="32"/>
        <v>-3</v>
      </c>
      <c r="K303" s="88">
        <f t="shared" si="33"/>
        <v>-30</v>
      </c>
      <c r="L303" s="88"/>
      <c r="M303" s="90">
        <f t="shared" si="34"/>
        <v>0</v>
      </c>
      <c r="N303" s="90">
        <f t="shared" si="35"/>
        <v>0</v>
      </c>
      <c r="T303" s="79"/>
      <c r="U303" s="79"/>
      <c r="V303" s="79"/>
      <c r="W303" s="79"/>
      <c r="X303" s="79"/>
      <c r="Y303" s="79"/>
      <c r="Z303" s="79"/>
      <c r="AA303" s="79"/>
      <c r="AB303" s="79"/>
      <c r="AC303" s="79"/>
      <c r="AD303" s="79"/>
      <c r="AE303" s="79"/>
      <c r="AF303" s="79"/>
      <c r="AG303" s="79"/>
      <c r="AH303" s="79"/>
      <c r="AI303" s="79"/>
      <c r="AJ303" s="79"/>
      <c r="AK303" s="79"/>
      <c r="AL303" s="79"/>
      <c r="AM303" s="79"/>
    </row>
    <row r="304" spans="1:39" s="74" customFormat="1" x14ac:dyDescent="0.25">
      <c r="A304" s="87">
        <f t="shared" si="30"/>
        <v>0</v>
      </c>
      <c r="B304" s="105"/>
      <c r="C304" s="105"/>
      <c r="D304" s="105"/>
      <c r="E304" s="105"/>
      <c r="F304" s="105"/>
      <c r="H304" s="88">
        <v>299</v>
      </c>
      <c r="I304" s="89" t="str">
        <f t="shared" si="31"/>
        <v/>
      </c>
      <c r="J304" s="88">
        <f t="shared" si="32"/>
        <v>-3</v>
      </c>
      <c r="K304" s="88">
        <f t="shared" si="33"/>
        <v>-30</v>
      </c>
      <c r="L304" s="88"/>
      <c r="M304" s="90">
        <f t="shared" si="34"/>
        <v>0</v>
      </c>
      <c r="N304" s="90">
        <f t="shared" si="35"/>
        <v>0</v>
      </c>
      <c r="T304" s="79"/>
      <c r="U304" s="79"/>
      <c r="V304" s="79"/>
      <c r="W304" s="79"/>
      <c r="X304" s="79"/>
      <c r="Y304" s="79"/>
      <c r="Z304" s="79"/>
      <c r="AA304" s="79"/>
      <c r="AB304" s="79"/>
      <c r="AC304" s="79"/>
      <c r="AD304" s="79"/>
      <c r="AE304" s="79"/>
      <c r="AF304" s="79"/>
      <c r="AG304" s="79"/>
      <c r="AH304" s="79"/>
      <c r="AI304" s="79"/>
      <c r="AJ304" s="79"/>
      <c r="AK304" s="79"/>
      <c r="AL304" s="79"/>
      <c r="AM304" s="79"/>
    </row>
    <row r="305" spans="1:39" s="74" customFormat="1" x14ac:dyDescent="0.25">
      <c r="A305" s="91">
        <f t="shared" si="30"/>
        <v>0</v>
      </c>
      <c r="B305" s="105"/>
      <c r="C305" s="105"/>
      <c r="D305" s="105"/>
      <c r="E305" s="105"/>
      <c r="F305" s="105"/>
      <c r="H305" s="88">
        <v>300</v>
      </c>
      <c r="I305" s="89" t="str">
        <f t="shared" si="31"/>
        <v/>
      </c>
      <c r="J305" s="88">
        <f t="shared" si="32"/>
        <v>-3</v>
      </c>
      <c r="K305" s="88">
        <f t="shared" si="33"/>
        <v>-30</v>
      </c>
      <c r="L305" s="88"/>
      <c r="M305" s="90">
        <f t="shared" si="34"/>
        <v>0</v>
      </c>
      <c r="N305" s="90">
        <f t="shared" si="35"/>
        <v>0</v>
      </c>
      <c r="T305" s="79"/>
      <c r="U305" s="79"/>
      <c r="V305" s="79"/>
      <c r="W305" s="79"/>
      <c r="X305" s="79"/>
      <c r="Y305" s="79"/>
      <c r="Z305" s="79"/>
      <c r="AA305" s="79"/>
      <c r="AB305" s="79"/>
      <c r="AC305" s="79"/>
      <c r="AD305" s="79"/>
      <c r="AE305" s="79"/>
      <c r="AF305" s="79"/>
      <c r="AG305" s="79"/>
      <c r="AH305" s="79"/>
      <c r="AI305" s="79"/>
      <c r="AJ305" s="79"/>
      <c r="AK305" s="79"/>
      <c r="AL305" s="79"/>
      <c r="AM305" s="79"/>
    </row>
    <row r="306" spans="1:39" s="74" customFormat="1" x14ac:dyDescent="0.25">
      <c r="A306" s="107"/>
      <c r="B306" s="105"/>
      <c r="C306" s="105"/>
      <c r="D306" s="105"/>
      <c r="E306" s="105"/>
      <c r="F306" s="105"/>
      <c r="G306" s="105"/>
      <c r="H306" s="108"/>
      <c r="I306" s="108"/>
      <c r="J306" s="108"/>
      <c r="K306" s="108"/>
      <c r="L306" s="108"/>
      <c r="M306" s="108"/>
      <c r="N306" s="109"/>
      <c r="T306" s="79"/>
      <c r="U306" s="79"/>
      <c r="V306" s="79"/>
      <c r="W306" s="79"/>
      <c r="X306" s="79"/>
      <c r="Y306" s="79"/>
      <c r="Z306" s="79"/>
      <c r="AA306" s="79"/>
      <c r="AB306" s="79"/>
      <c r="AC306" s="79"/>
      <c r="AD306" s="79"/>
      <c r="AE306" s="79"/>
      <c r="AF306" s="79"/>
      <c r="AG306" s="79"/>
      <c r="AH306" s="79"/>
      <c r="AI306" s="79"/>
      <c r="AJ306" s="79"/>
      <c r="AK306" s="79"/>
      <c r="AL306" s="79"/>
      <c r="AM306" s="79"/>
    </row>
    <row r="314" spans="1:39" s="74" customFormat="1" x14ac:dyDescent="0.25">
      <c r="A314" s="105"/>
      <c r="B314" s="105"/>
      <c r="C314" s="105"/>
      <c r="D314" s="105"/>
      <c r="E314" s="105"/>
      <c r="F314" s="105"/>
      <c r="G314" s="105"/>
      <c r="H314" s="108"/>
      <c r="I314" s="108"/>
      <c r="J314" s="108"/>
      <c r="K314" s="108"/>
      <c r="L314" s="110"/>
      <c r="M314" s="110"/>
      <c r="N314" s="109"/>
      <c r="Q314" s="100"/>
      <c r="T314" s="79"/>
      <c r="U314" s="79"/>
      <c r="V314" s="79"/>
      <c r="W314" s="79"/>
      <c r="X314" s="79"/>
      <c r="Y314" s="79"/>
      <c r="Z314" s="79"/>
      <c r="AA314" s="79"/>
      <c r="AB314" s="79"/>
      <c r="AC314" s="79"/>
      <c r="AD314" s="79"/>
      <c r="AE314" s="79"/>
      <c r="AF314" s="79"/>
      <c r="AG314" s="79"/>
      <c r="AH314" s="79"/>
      <c r="AI314" s="79"/>
      <c r="AJ314" s="79"/>
      <c r="AK314" s="79"/>
      <c r="AL314" s="79"/>
      <c r="AM314" s="79"/>
    </row>
    <row r="315" spans="1:39" s="74" customFormat="1" x14ac:dyDescent="0.25">
      <c r="A315" s="105"/>
      <c r="B315" s="105"/>
      <c r="C315" s="105"/>
      <c r="D315" s="105"/>
      <c r="E315" s="105"/>
      <c r="F315" s="105"/>
      <c r="G315" s="105"/>
      <c r="H315" s="108"/>
      <c r="I315" s="108"/>
      <c r="J315" s="108"/>
      <c r="K315" s="108"/>
      <c r="L315" s="110"/>
      <c r="M315" s="110"/>
      <c r="N315" s="109"/>
      <c r="Q315" s="100"/>
      <c r="T315" s="79"/>
      <c r="U315" s="79"/>
      <c r="V315" s="79"/>
      <c r="W315" s="79"/>
      <c r="X315" s="79"/>
      <c r="Y315" s="79"/>
      <c r="Z315" s="79"/>
      <c r="AA315" s="79"/>
      <c r="AB315" s="79"/>
      <c r="AC315" s="79"/>
      <c r="AD315" s="79"/>
      <c r="AE315" s="79"/>
      <c r="AF315" s="79"/>
      <c r="AG315" s="79"/>
      <c r="AH315" s="79"/>
      <c r="AI315" s="79"/>
      <c r="AJ315" s="79"/>
      <c r="AK315" s="79"/>
      <c r="AL315" s="79"/>
      <c r="AM315" s="79"/>
    </row>
    <row r="316" spans="1:39" s="74" customFormat="1" x14ac:dyDescent="0.25">
      <c r="A316" s="105"/>
      <c r="B316" s="105"/>
      <c r="C316" s="105"/>
      <c r="D316" s="105"/>
      <c r="E316" s="105"/>
      <c r="F316" s="105"/>
      <c r="G316" s="105"/>
      <c r="H316" s="108"/>
      <c r="I316" s="108"/>
      <c r="J316" s="108"/>
      <c r="K316" s="108"/>
      <c r="L316" s="110"/>
      <c r="M316" s="110"/>
      <c r="N316" s="109"/>
      <c r="Q316" s="100"/>
      <c r="T316" s="79"/>
      <c r="U316" s="79"/>
      <c r="V316" s="79"/>
      <c r="W316" s="79"/>
      <c r="X316" s="79"/>
      <c r="Y316" s="79"/>
      <c r="Z316" s="79"/>
      <c r="AA316" s="79"/>
      <c r="AB316" s="79"/>
      <c r="AC316" s="79"/>
      <c r="AD316" s="79"/>
      <c r="AE316" s="79"/>
      <c r="AF316" s="79"/>
      <c r="AG316" s="79"/>
      <c r="AH316" s="79"/>
      <c r="AI316" s="79"/>
      <c r="AJ316" s="79"/>
      <c r="AK316" s="79"/>
      <c r="AL316" s="79"/>
      <c r="AM316" s="79"/>
    </row>
    <row r="317" spans="1:39" s="74" customFormat="1" x14ac:dyDescent="0.25">
      <c r="A317" s="105"/>
      <c r="B317" s="105"/>
      <c r="C317" s="105"/>
      <c r="D317" s="105"/>
      <c r="E317" s="105"/>
      <c r="F317" s="105"/>
      <c r="G317" s="105"/>
      <c r="H317" s="108"/>
      <c r="I317" s="108"/>
      <c r="J317" s="108"/>
      <c r="K317" s="108"/>
      <c r="L317" s="110"/>
      <c r="M317" s="110"/>
      <c r="N317" s="109"/>
      <c r="Q317" s="100"/>
      <c r="T317" s="79"/>
      <c r="U317" s="79"/>
      <c r="V317" s="79"/>
      <c r="W317" s="79"/>
      <c r="X317" s="79"/>
      <c r="Y317" s="79"/>
      <c r="Z317" s="79"/>
      <c r="AA317" s="79"/>
      <c r="AB317" s="79"/>
      <c r="AC317" s="79"/>
      <c r="AD317" s="79"/>
      <c r="AE317" s="79"/>
      <c r="AF317" s="79"/>
      <c r="AG317" s="79"/>
      <c r="AH317" s="79"/>
      <c r="AI317" s="79"/>
      <c r="AJ317" s="79"/>
      <c r="AK317" s="79"/>
      <c r="AL317" s="79"/>
      <c r="AM317" s="79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" r:id="rId1" display="https://www.fencingtimelive.com/events/results/ABAADCA376B1472397749EEA732DC198" xr:uid="{14F39786-6525-4747-8AFE-87F94EE12032}"/>
    <hyperlink ref="C2:D2" r:id="rId2" display="Płowdiw" xr:uid="{9F9766B4-96C5-4BB1-943A-15005659D7CA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19</vt:i4>
      </vt:variant>
    </vt:vector>
  </HeadingPairs>
  <TitlesOfParts>
    <vt:vector size="19" baseType="lpstr">
      <vt:lpstr>Ranking</vt:lpstr>
      <vt:lpstr>PP1</vt:lpstr>
      <vt:lpstr>PP2</vt:lpstr>
      <vt:lpstr>PP3</vt:lpstr>
      <vt:lpstr>PP4</vt:lpstr>
      <vt:lpstr>PP5</vt:lpstr>
      <vt:lpstr>MPW</vt:lpstr>
      <vt:lpstr>Kadra</vt:lpstr>
      <vt:lpstr>PEW1</vt:lpstr>
      <vt:lpstr>PEW2</vt:lpstr>
      <vt:lpstr>PEW3</vt:lpstr>
      <vt:lpstr>PEW4</vt:lpstr>
      <vt:lpstr>PEW5</vt:lpstr>
      <vt:lpstr>PEW6</vt:lpstr>
      <vt:lpstr>PEW7</vt:lpstr>
      <vt:lpstr>PEW8</vt:lpstr>
      <vt:lpstr>PEW9</vt:lpstr>
      <vt:lpstr>PS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Czerwińska</cp:lastModifiedBy>
  <cp:revision/>
  <dcterms:created xsi:type="dcterms:W3CDTF">2021-10-21T08:27:43Z</dcterms:created>
  <dcterms:modified xsi:type="dcterms:W3CDTF">2025-07-16T23:30:59Z</dcterms:modified>
  <cp:category/>
  <cp:contentStatus/>
</cp:coreProperties>
</file>