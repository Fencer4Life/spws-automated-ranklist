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Mezczyzn - szabla/"/>
    </mc:Choice>
  </mc:AlternateContent>
  <xr:revisionPtr revIDLastSave="494" documentId="8_{7DCFD9FF-8A32-4034-AFB0-C083BCE09D45}" xr6:coauthVersionLast="47" xr6:coauthVersionMax="47" xr10:uidLastSave="{D044A467-26C0-48CA-BAC1-AE0614C742B7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8" l="1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V305" i="14"/>
  <c r="S305" i="14"/>
  <c r="T305" i="14" s="1"/>
  <c r="R305" i="14"/>
  <c r="S304" i="14"/>
  <c r="T304" i="14" s="1"/>
  <c r="R304" i="14"/>
  <c r="V304" i="14" s="1"/>
  <c r="V303" i="14"/>
  <c r="S303" i="14"/>
  <c r="T303" i="14" s="1"/>
  <c r="R303" i="14"/>
  <c r="S302" i="14"/>
  <c r="T302" i="14" s="1"/>
  <c r="R302" i="14"/>
  <c r="V302" i="14" s="1"/>
  <c r="T301" i="14"/>
  <c r="S301" i="14"/>
  <c r="R301" i="14"/>
  <c r="V301" i="14" s="1"/>
  <c r="T300" i="14"/>
  <c r="S300" i="14"/>
  <c r="R300" i="14"/>
  <c r="V300" i="14" s="1"/>
  <c r="V299" i="14"/>
  <c r="S299" i="14"/>
  <c r="T299" i="14" s="1"/>
  <c r="R299" i="14"/>
  <c r="S298" i="14"/>
  <c r="T298" i="14" s="1"/>
  <c r="R298" i="14"/>
  <c r="V298" i="14" s="1"/>
  <c r="T297" i="14"/>
  <c r="S297" i="14"/>
  <c r="R297" i="14"/>
  <c r="V297" i="14" s="1"/>
  <c r="S296" i="14"/>
  <c r="T296" i="14" s="1"/>
  <c r="R296" i="14"/>
  <c r="V296" i="14" s="1"/>
  <c r="V295" i="14"/>
  <c r="S295" i="14"/>
  <c r="T295" i="14" s="1"/>
  <c r="R295" i="14"/>
  <c r="T294" i="14"/>
  <c r="S294" i="14"/>
  <c r="R294" i="14"/>
  <c r="V294" i="14" s="1"/>
  <c r="S293" i="14"/>
  <c r="T293" i="14" s="1"/>
  <c r="R293" i="14"/>
  <c r="V293" i="14" s="1"/>
  <c r="S292" i="14"/>
  <c r="T292" i="14" s="1"/>
  <c r="R292" i="14"/>
  <c r="V292" i="14" s="1"/>
  <c r="V291" i="14"/>
  <c r="T291" i="14"/>
  <c r="S291" i="14"/>
  <c r="R291" i="14"/>
  <c r="T290" i="14"/>
  <c r="S290" i="14"/>
  <c r="R290" i="14"/>
  <c r="V290" i="14" s="1"/>
  <c r="S289" i="14"/>
  <c r="T289" i="14" s="1"/>
  <c r="R289" i="14"/>
  <c r="V289" i="14" s="1"/>
  <c r="S288" i="14"/>
  <c r="T288" i="14" s="1"/>
  <c r="R288" i="14"/>
  <c r="V288" i="14" s="1"/>
  <c r="V287" i="14"/>
  <c r="S287" i="14"/>
  <c r="T287" i="14" s="1"/>
  <c r="R287" i="14"/>
  <c r="S286" i="14"/>
  <c r="T286" i="14" s="1"/>
  <c r="R286" i="14"/>
  <c r="V286" i="14" s="1"/>
  <c r="T285" i="14"/>
  <c r="S285" i="14"/>
  <c r="R285" i="14"/>
  <c r="V285" i="14" s="1"/>
  <c r="T284" i="14"/>
  <c r="S284" i="14"/>
  <c r="R284" i="14"/>
  <c r="V284" i="14" s="1"/>
  <c r="S283" i="14"/>
  <c r="T283" i="14" s="1"/>
  <c r="R283" i="14"/>
  <c r="V283" i="14" s="1"/>
  <c r="S282" i="14"/>
  <c r="T282" i="14" s="1"/>
  <c r="R282" i="14"/>
  <c r="V282" i="14" s="1"/>
  <c r="T281" i="14"/>
  <c r="S281" i="14"/>
  <c r="R281" i="14"/>
  <c r="V281" i="14" s="1"/>
  <c r="T280" i="14"/>
  <c r="S280" i="14"/>
  <c r="R280" i="14"/>
  <c r="V280" i="14" s="1"/>
  <c r="V279" i="14"/>
  <c r="S279" i="14"/>
  <c r="T279" i="14" s="1"/>
  <c r="R279" i="14"/>
  <c r="T278" i="14"/>
  <c r="S278" i="14"/>
  <c r="R278" i="14"/>
  <c r="V278" i="14" s="1"/>
  <c r="S277" i="14"/>
  <c r="T277" i="14" s="1"/>
  <c r="R277" i="14"/>
  <c r="V277" i="14" s="1"/>
  <c r="S276" i="14"/>
  <c r="T276" i="14" s="1"/>
  <c r="R276" i="14"/>
  <c r="V276" i="14" s="1"/>
  <c r="V275" i="14"/>
  <c r="T275" i="14"/>
  <c r="S275" i="14"/>
  <c r="R275" i="14"/>
  <c r="T274" i="14"/>
  <c r="S274" i="14"/>
  <c r="R274" i="14"/>
  <c r="V274" i="14" s="1"/>
  <c r="V273" i="14"/>
  <c r="S273" i="14"/>
  <c r="T273" i="14" s="1"/>
  <c r="R273" i="14"/>
  <c r="S272" i="14"/>
  <c r="T272" i="14" s="1"/>
  <c r="R272" i="14"/>
  <c r="V272" i="14" s="1"/>
  <c r="V271" i="14"/>
  <c r="T271" i="14"/>
  <c r="S271" i="14"/>
  <c r="R271" i="14"/>
  <c r="S270" i="14"/>
  <c r="T270" i="14" s="1"/>
  <c r="R270" i="14"/>
  <c r="V270" i="14" s="1"/>
  <c r="T269" i="14"/>
  <c r="S269" i="14"/>
  <c r="R269" i="14"/>
  <c r="V269" i="14" s="1"/>
  <c r="T268" i="14"/>
  <c r="S268" i="14"/>
  <c r="R268" i="14"/>
  <c r="V268" i="14" s="1"/>
  <c r="S267" i="14"/>
  <c r="T267" i="14" s="1"/>
  <c r="R267" i="14"/>
  <c r="V267" i="14" s="1"/>
  <c r="S266" i="14"/>
  <c r="T266" i="14" s="1"/>
  <c r="R266" i="14"/>
  <c r="V266" i="14" s="1"/>
  <c r="T265" i="14"/>
  <c r="S265" i="14"/>
  <c r="R265" i="14"/>
  <c r="V265" i="14" s="1"/>
  <c r="T264" i="14"/>
  <c r="S264" i="14"/>
  <c r="R264" i="14"/>
  <c r="V264" i="14" s="1"/>
  <c r="V263" i="14"/>
  <c r="S263" i="14"/>
  <c r="T263" i="14" s="1"/>
  <c r="R263" i="14"/>
  <c r="T262" i="14"/>
  <c r="S262" i="14"/>
  <c r="R262" i="14"/>
  <c r="V262" i="14" s="1"/>
  <c r="S261" i="14"/>
  <c r="T261" i="14" s="1"/>
  <c r="R261" i="14"/>
  <c r="V261" i="14" s="1"/>
  <c r="S260" i="14"/>
  <c r="T260" i="14" s="1"/>
  <c r="R260" i="14"/>
  <c r="V260" i="14" s="1"/>
  <c r="V259" i="14"/>
  <c r="T259" i="14"/>
  <c r="S259" i="14"/>
  <c r="R259" i="14"/>
  <c r="T258" i="14"/>
  <c r="S258" i="14"/>
  <c r="R258" i="14"/>
  <c r="V258" i="14" s="1"/>
  <c r="V257" i="14"/>
  <c r="S257" i="14"/>
  <c r="T257" i="14" s="1"/>
  <c r="R257" i="14"/>
  <c r="S256" i="14"/>
  <c r="T256" i="14" s="1"/>
  <c r="R256" i="14"/>
  <c r="V256" i="14" s="1"/>
  <c r="V255" i="14"/>
  <c r="T255" i="14"/>
  <c r="S255" i="14"/>
  <c r="R255" i="14"/>
  <c r="T254" i="14"/>
  <c r="S254" i="14"/>
  <c r="R254" i="14"/>
  <c r="V254" i="14" s="1"/>
  <c r="T253" i="14"/>
  <c r="S253" i="14"/>
  <c r="R253" i="14"/>
  <c r="V253" i="14" s="1"/>
  <c r="T252" i="14"/>
  <c r="S252" i="14"/>
  <c r="R252" i="14"/>
  <c r="V252" i="14" s="1"/>
  <c r="S251" i="14"/>
  <c r="T251" i="14" s="1"/>
  <c r="R251" i="14"/>
  <c r="V251" i="14" s="1"/>
  <c r="S250" i="14"/>
  <c r="T250" i="14" s="1"/>
  <c r="R250" i="14"/>
  <c r="V250" i="14" s="1"/>
  <c r="T249" i="14"/>
  <c r="S249" i="14"/>
  <c r="R249" i="14"/>
  <c r="V249" i="14" s="1"/>
  <c r="T248" i="14"/>
  <c r="S248" i="14"/>
  <c r="R248" i="14"/>
  <c r="V248" i="14" s="1"/>
  <c r="V247" i="14"/>
  <c r="S247" i="14"/>
  <c r="T247" i="14" s="1"/>
  <c r="R247" i="14"/>
  <c r="T246" i="14"/>
  <c r="S246" i="14"/>
  <c r="R246" i="14"/>
  <c r="V246" i="14" s="1"/>
  <c r="T245" i="14"/>
  <c r="S245" i="14"/>
  <c r="R245" i="14"/>
  <c r="V245" i="14" s="1"/>
  <c r="S244" i="14"/>
  <c r="T244" i="14" s="1"/>
  <c r="R244" i="14"/>
  <c r="V244" i="14" s="1"/>
  <c r="V243" i="14"/>
  <c r="T243" i="14"/>
  <c r="S243" i="14"/>
  <c r="R243" i="14"/>
  <c r="T242" i="14"/>
  <c r="S242" i="14"/>
  <c r="R242" i="14"/>
  <c r="V242" i="14" s="1"/>
  <c r="V241" i="14"/>
  <c r="S241" i="14"/>
  <c r="T241" i="14" s="1"/>
  <c r="R241" i="14"/>
  <c r="S240" i="14"/>
  <c r="T240" i="14" s="1"/>
  <c r="R240" i="14"/>
  <c r="V240" i="14" s="1"/>
  <c r="V239" i="14"/>
  <c r="T239" i="14"/>
  <c r="S239" i="14"/>
  <c r="R239" i="14"/>
  <c r="T238" i="14"/>
  <c r="S238" i="14"/>
  <c r="R238" i="14"/>
  <c r="V238" i="14" s="1"/>
  <c r="T237" i="14"/>
  <c r="S237" i="14"/>
  <c r="R237" i="14"/>
  <c r="V237" i="14" s="1"/>
  <c r="T236" i="14"/>
  <c r="S236" i="14"/>
  <c r="R236" i="14"/>
  <c r="V236" i="14" s="1"/>
  <c r="S235" i="14"/>
  <c r="T235" i="14" s="1"/>
  <c r="R235" i="14"/>
  <c r="V235" i="14" s="1"/>
  <c r="S234" i="14"/>
  <c r="T234" i="14" s="1"/>
  <c r="R234" i="14"/>
  <c r="V234" i="14" s="1"/>
  <c r="T233" i="14"/>
  <c r="S233" i="14"/>
  <c r="R233" i="14"/>
  <c r="V233" i="14" s="1"/>
  <c r="T232" i="14"/>
  <c r="S232" i="14"/>
  <c r="R232" i="14"/>
  <c r="V232" i="14" s="1"/>
  <c r="S231" i="14"/>
  <c r="T231" i="14" s="1"/>
  <c r="R231" i="14"/>
  <c r="V231" i="14" s="1"/>
  <c r="T230" i="14"/>
  <c r="S230" i="14"/>
  <c r="R230" i="14"/>
  <c r="V230" i="14" s="1"/>
  <c r="T229" i="14"/>
  <c r="S229" i="14"/>
  <c r="R229" i="14"/>
  <c r="V229" i="14" s="1"/>
  <c r="S228" i="14"/>
  <c r="T228" i="14" s="1"/>
  <c r="R228" i="14"/>
  <c r="V228" i="14" s="1"/>
  <c r="V227" i="14"/>
  <c r="T227" i="14"/>
  <c r="S227" i="14"/>
  <c r="R227" i="14"/>
  <c r="S226" i="14"/>
  <c r="T226" i="14" s="1"/>
  <c r="R226" i="14"/>
  <c r="V226" i="14" s="1"/>
  <c r="V225" i="14"/>
  <c r="S225" i="14"/>
  <c r="T225" i="14" s="1"/>
  <c r="R225" i="14"/>
  <c r="S224" i="14"/>
  <c r="T224" i="14" s="1"/>
  <c r="R224" i="14"/>
  <c r="V224" i="14" s="1"/>
  <c r="V223" i="14"/>
  <c r="T223" i="14"/>
  <c r="S223" i="14"/>
  <c r="R223" i="14"/>
  <c r="T222" i="14"/>
  <c r="S222" i="14"/>
  <c r="R222" i="14"/>
  <c r="V222" i="14" s="1"/>
  <c r="T221" i="14"/>
  <c r="S221" i="14"/>
  <c r="R221" i="14"/>
  <c r="V221" i="14" s="1"/>
  <c r="S220" i="14"/>
  <c r="T220" i="14" s="1"/>
  <c r="R220" i="14"/>
  <c r="V220" i="14" s="1"/>
  <c r="S219" i="14"/>
  <c r="T219" i="14" s="1"/>
  <c r="R219" i="14"/>
  <c r="V219" i="14" s="1"/>
  <c r="S218" i="14"/>
  <c r="T218" i="14" s="1"/>
  <c r="R218" i="14"/>
  <c r="V218" i="14" s="1"/>
  <c r="S217" i="14"/>
  <c r="T217" i="14" s="1"/>
  <c r="R217" i="14"/>
  <c r="V217" i="14" s="1"/>
  <c r="T216" i="14"/>
  <c r="S216" i="14"/>
  <c r="R216" i="14"/>
  <c r="V216" i="14" s="1"/>
  <c r="S215" i="14"/>
  <c r="T215" i="14" s="1"/>
  <c r="R215" i="14"/>
  <c r="V215" i="14" s="1"/>
  <c r="T214" i="14"/>
  <c r="S214" i="14"/>
  <c r="R214" i="14"/>
  <c r="V214" i="14" s="1"/>
  <c r="T213" i="14"/>
  <c r="S213" i="14"/>
  <c r="R213" i="14"/>
  <c r="V213" i="14" s="1"/>
  <c r="S212" i="14"/>
  <c r="T212" i="14" s="1"/>
  <c r="R212" i="14"/>
  <c r="V212" i="14" s="1"/>
  <c r="V211" i="14"/>
  <c r="S211" i="14"/>
  <c r="T211" i="14" s="1"/>
  <c r="R211" i="14"/>
  <c r="T210" i="14"/>
  <c r="S210" i="14"/>
  <c r="R210" i="14"/>
  <c r="V210" i="14" s="1"/>
  <c r="V209" i="14"/>
  <c r="T209" i="14"/>
  <c r="S209" i="14"/>
  <c r="R209" i="14"/>
  <c r="S208" i="14"/>
  <c r="T208" i="14" s="1"/>
  <c r="R208" i="14"/>
  <c r="V208" i="14" s="1"/>
  <c r="V207" i="14"/>
  <c r="T207" i="14"/>
  <c r="S207" i="14"/>
  <c r="R207" i="14"/>
  <c r="T206" i="14"/>
  <c r="S206" i="14"/>
  <c r="R206" i="14"/>
  <c r="V206" i="14" s="1"/>
  <c r="T205" i="14"/>
  <c r="S205" i="14"/>
  <c r="R205" i="14"/>
  <c r="V205" i="14" s="1"/>
  <c r="S204" i="14"/>
  <c r="T204" i="14" s="1"/>
  <c r="R204" i="14"/>
  <c r="V204" i="14" s="1"/>
  <c r="V203" i="14"/>
  <c r="S203" i="14"/>
  <c r="T203" i="14" s="1"/>
  <c r="R203" i="14"/>
  <c r="T202" i="14"/>
  <c r="S202" i="14"/>
  <c r="R202" i="14"/>
  <c r="V202" i="14" s="1"/>
  <c r="T201" i="14"/>
  <c r="S201" i="14"/>
  <c r="R201" i="14"/>
  <c r="V201" i="14" s="1"/>
  <c r="T200" i="14"/>
  <c r="S200" i="14"/>
  <c r="R200" i="14"/>
  <c r="V200" i="14" s="1"/>
  <c r="S199" i="14"/>
  <c r="T199" i="14" s="1"/>
  <c r="R199" i="14"/>
  <c r="V199" i="14" s="1"/>
  <c r="T198" i="14"/>
  <c r="S198" i="14"/>
  <c r="R198" i="14"/>
  <c r="V198" i="14" s="1"/>
  <c r="S197" i="14"/>
  <c r="T197" i="14" s="1"/>
  <c r="R197" i="14"/>
  <c r="V197" i="14" s="1"/>
  <c r="S196" i="14"/>
  <c r="T196" i="14" s="1"/>
  <c r="R196" i="14"/>
  <c r="V196" i="14" s="1"/>
  <c r="V195" i="14"/>
  <c r="S195" i="14"/>
  <c r="T195" i="14" s="1"/>
  <c r="R195" i="14"/>
  <c r="T194" i="14"/>
  <c r="S194" i="14"/>
  <c r="R194" i="14"/>
  <c r="V194" i="14" s="1"/>
  <c r="V193" i="14"/>
  <c r="T193" i="14"/>
  <c r="S193" i="14"/>
  <c r="R193" i="14"/>
  <c r="S192" i="14"/>
  <c r="T192" i="14" s="1"/>
  <c r="R192" i="14"/>
  <c r="V192" i="14" s="1"/>
  <c r="V191" i="14"/>
  <c r="T191" i="14"/>
  <c r="S191" i="14"/>
  <c r="R191" i="14"/>
  <c r="S190" i="14"/>
  <c r="T190" i="14" s="1"/>
  <c r="R190" i="14"/>
  <c r="V190" i="14" s="1"/>
  <c r="T189" i="14"/>
  <c r="S189" i="14"/>
  <c r="R189" i="14"/>
  <c r="V189" i="14" s="1"/>
  <c r="S188" i="14"/>
  <c r="T188" i="14" s="1"/>
  <c r="R188" i="14"/>
  <c r="V188" i="14" s="1"/>
  <c r="V187" i="14"/>
  <c r="S187" i="14"/>
  <c r="T187" i="14" s="1"/>
  <c r="R187" i="14"/>
  <c r="T186" i="14"/>
  <c r="S186" i="14"/>
  <c r="R186" i="14"/>
  <c r="V186" i="14" s="1"/>
  <c r="T185" i="14"/>
  <c r="S185" i="14"/>
  <c r="R185" i="14"/>
  <c r="V185" i="14" s="1"/>
  <c r="T184" i="14"/>
  <c r="S184" i="14"/>
  <c r="R184" i="14"/>
  <c r="V184" i="14" s="1"/>
  <c r="S183" i="14"/>
  <c r="T183" i="14" s="1"/>
  <c r="R183" i="14"/>
  <c r="V183" i="14" s="1"/>
  <c r="T182" i="14"/>
  <c r="S182" i="14"/>
  <c r="R182" i="14"/>
  <c r="V182" i="14" s="1"/>
  <c r="T181" i="14"/>
  <c r="S181" i="14"/>
  <c r="R181" i="14"/>
  <c r="V181" i="14" s="1"/>
  <c r="S180" i="14"/>
  <c r="T180" i="14" s="1"/>
  <c r="R180" i="14"/>
  <c r="V180" i="14" s="1"/>
  <c r="V179" i="14"/>
  <c r="S179" i="14"/>
  <c r="T179" i="14" s="1"/>
  <c r="R179" i="14"/>
  <c r="T178" i="14"/>
  <c r="S178" i="14"/>
  <c r="R178" i="14"/>
  <c r="V178" i="14" s="1"/>
  <c r="V177" i="14"/>
  <c r="T177" i="14"/>
  <c r="S177" i="14"/>
  <c r="R177" i="14"/>
  <c r="S176" i="14"/>
  <c r="T176" i="14" s="1"/>
  <c r="R176" i="14"/>
  <c r="V176" i="14" s="1"/>
  <c r="V175" i="14"/>
  <c r="T175" i="14"/>
  <c r="S175" i="14"/>
  <c r="R175" i="14"/>
  <c r="T174" i="14"/>
  <c r="S174" i="14"/>
  <c r="R174" i="14"/>
  <c r="V174" i="14" s="1"/>
  <c r="T173" i="14"/>
  <c r="S173" i="14"/>
  <c r="R173" i="14"/>
  <c r="V173" i="14" s="1"/>
  <c r="S172" i="14"/>
  <c r="T172" i="14" s="1"/>
  <c r="R172" i="14"/>
  <c r="V172" i="14" s="1"/>
  <c r="V171" i="14"/>
  <c r="S171" i="14"/>
  <c r="T171" i="14" s="1"/>
  <c r="R171" i="14"/>
  <c r="T170" i="14"/>
  <c r="S170" i="14"/>
  <c r="R170" i="14"/>
  <c r="V170" i="14" s="1"/>
  <c r="T169" i="14"/>
  <c r="S169" i="14"/>
  <c r="R169" i="14"/>
  <c r="V169" i="14" s="1"/>
  <c r="T168" i="14"/>
  <c r="S168" i="14"/>
  <c r="R168" i="14"/>
  <c r="V168" i="14" s="1"/>
  <c r="S167" i="14"/>
  <c r="T167" i="14" s="1"/>
  <c r="R167" i="14"/>
  <c r="V167" i="14" s="1"/>
  <c r="T166" i="14"/>
  <c r="S166" i="14"/>
  <c r="R166" i="14"/>
  <c r="V166" i="14" s="1"/>
  <c r="T165" i="14"/>
  <c r="S165" i="14"/>
  <c r="R165" i="14"/>
  <c r="V165" i="14" s="1"/>
  <c r="S164" i="14"/>
  <c r="T164" i="14" s="1"/>
  <c r="R164" i="14"/>
  <c r="V164" i="14" s="1"/>
  <c r="V163" i="14"/>
  <c r="T163" i="14"/>
  <c r="S163" i="14"/>
  <c r="R163" i="14"/>
  <c r="T162" i="14"/>
  <c r="S162" i="14"/>
  <c r="R162" i="14"/>
  <c r="V162" i="14" s="1"/>
  <c r="V161" i="14"/>
  <c r="S161" i="14"/>
  <c r="T161" i="14" s="1"/>
  <c r="R161" i="14"/>
  <c r="S160" i="14"/>
  <c r="T160" i="14" s="1"/>
  <c r="R160" i="14"/>
  <c r="V160" i="14" s="1"/>
  <c r="V159" i="14"/>
  <c r="T159" i="14"/>
  <c r="S159" i="14"/>
  <c r="R159" i="14"/>
  <c r="T158" i="14"/>
  <c r="S158" i="14"/>
  <c r="R158" i="14"/>
  <c r="V158" i="14" s="1"/>
  <c r="T157" i="14"/>
  <c r="S157" i="14"/>
  <c r="R157" i="14"/>
  <c r="V157" i="14" s="1"/>
  <c r="T156" i="14"/>
  <c r="S156" i="14"/>
  <c r="R156" i="14"/>
  <c r="V156" i="14" s="1"/>
  <c r="V155" i="14"/>
  <c r="S155" i="14"/>
  <c r="T155" i="14" s="1"/>
  <c r="R155" i="14"/>
  <c r="S154" i="14"/>
  <c r="T154" i="14" s="1"/>
  <c r="R154" i="14"/>
  <c r="V154" i="14" s="1"/>
  <c r="T153" i="14"/>
  <c r="S153" i="14"/>
  <c r="R153" i="14"/>
  <c r="V153" i="14" s="1"/>
  <c r="T152" i="14"/>
  <c r="S152" i="14"/>
  <c r="R152" i="14"/>
  <c r="V152" i="14" s="1"/>
  <c r="S151" i="14"/>
  <c r="T151" i="14" s="1"/>
  <c r="R151" i="14"/>
  <c r="V151" i="14" s="1"/>
  <c r="T150" i="14"/>
  <c r="S150" i="14"/>
  <c r="R150" i="14"/>
  <c r="V150" i="14" s="1"/>
  <c r="T149" i="14"/>
  <c r="S149" i="14"/>
  <c r="R149" i="14"/>
  <c r="V149" i="14" s="1"/>
  <c r="S148" i="14"/>
  <c r="T148" i="14" s="1"/>
  <c r="R148" i="14"/>
  <c r="V148" i="14" s="1"/>
  <c r="V147" i="14"/>
  <c r="T147" i="14"/>
  <c r="S147" i="14"/>
  <c r="R147" i="14"/>
  <c r="T146" i="14"/>
  <c r="S146" i="14"/>
  <c r="R146" i="14"/>
  <c r="V146" i="14" s="1"/>
  <c r="V145" i="14"/>
  <c r="S145" i="14"/>
  <c r="T145" i="14" s="1"/>
  <c r="R145" i="14"/>
  <c r="S144" i="14"/>
  <c r="T144" i="14" s="1"/>
  <c r="R144" i="14"/>
  <c r="V144" i="14" s="1"/>
  <c r="V143" i="14"/>
  <c r="T143" i="14"/>
  <c r="S143" i="14"/>
  <c r="R143" i="14"/>
  <c r="T142" i="14"/>
  <c r="S142" i="14"/>
  <c r="R142" i="14"/>
  <c r="V142" i="14" s="1"/>
  <c r="T141" i="14"/>
  <c r="S141" i="14"/>
  <c r="R141" i="14"/>
  <c r="V141" i="14" s="1"/>
  <c r="T140" i="14"/>
  <c r="S140" i="14"/>
  <c r="R140" i="14"/>
  <c r="V140" i="14" s="1"/>
  <c r="V139" i="14"/>
  <c r="S139" i="14"/>
  <c r="T139" i="14" s="1"/>
  <c r="R139" i="14"/>
  <c r="S138" i="14"/>
  <c r="T138" i="14" s="1"/>
  <c r="R138" i="14"/>
  <c r="V138" i="14" s="1"/>
  <c r="T137" i="14"/>
  <c r="S137" i="14"/>
  <c r="R137" i="14"/>
  <c r="V137" i="14" s="1"/>
  <c r="T136" i="14"/>
  <c r="S136" i="14"/>
  <c r="R136" i="14"/>
  <c r="V136" i="14" s="1"/>
  <c r="S135" i="14"/>
  <c r="T135" i="14" s="1"/>
  <c r="R135" i="14"/>
  <c r="V135" i="14" s="1"/>
  <c r="V134" i="14"/>
  <c r="T134" i="14"/>
  <c r="S134" i="14"/>
  <c r="R134" i="14"/>
  <c r="S133" i="14"/>
  <c r="T133" i="14" s="1"/>
  <c r="R133" i="14"/>
  <c r="V133" i="14" s="1"/>
  <c r="V132" i="14"/>
  <c r="T132" i="14"/>
  <c r="S132" i="14"/>
  <c r="R132" i="14"/>
  <c r="S131" i="14"/>
  <c r="T131" i="14" s="1"/>
  <c r="R131" i="14"/>
  <c r="V131" i="14" s="1"/>
  <c r="V130" i="14"/>
  <c r="T130" i="14"/>
  <c r="S130" i="14"/>
  <c r="R130" i="14"/>
  <c r="S129" i="14"/>
  <c r="T129" i="14" s="1"/>
  <c r="R129" i="14"/>
  <c r="V129" i="14" s="1"/>
  <c r="V128" i="14"/>
  <c r="T128" i="14"/>
  <c r="S128" i="14"/>
  <c r="R128" i="14"/>
  <c r="S127" i="14"/>
  <c r="T127" i="14" s="1"/>
  <c r="R127" i="14"/>
  <c r="V127" i="14" s="1"/>
  <c r="V126" i="14"/>
  <c r="T126" i="14"/>
  <c r="S126" i="14"/>
  <c r="R126" i="14"/>
  <c r="S125" i="14"/>
  <c r="T125" i="14" s="1"/>
  <c r="R125" i="14"/>
  <c r="V125" i="14" s="1"/>
  <c r="V124" i="14"/>
  <c r="T124" i="14"/>
  <c r="S124" i="14"/>
  <c r="R124" i="14"/>
  <c r="S123" i="14"/>
  <c r="T123" i="14" s="1"/>
  <c r="R123" i="14"/>
  <c r="V123" i="14" s="1"/>
  <c r="V122" i="14"/>
  <c r="T122" i="14"/>
  <c r="S122" i="14"/>
  <c r="R122" i="14"/>
  <c r="S121" i="14"/>
  <c r="T121" i="14" s="1"/>
  <c r="R121" i="14"/>
  <c r="V121" i="14" s="1"/>
  <c r="V120" i="14"/>
  <c r="T120" i="14"/>
  <c r="S120" i="14"/>
  <c r="R120" i="14"/>
  <c r="S119" i="14"/>
  <c r="T119" i="14" s="1"/>
  <c r="R119" i="14"/>
  <c r="V119" i="14" s="1"/>
  <c r="V118" i="14"/>
  <c r="T118" i="14"/>
  <c r="S118" i="14"/>
  <c r="R118" i="14"/>
  <c r="S117" i="14"/>
  <c r="T117" i="14" s="1"/>
  <c r="R117" i="14"/>
  <c r="V117" i="14" s="1"/>
  <c r="V116" i="14"/>
  <c r="T116" i="14"/>
  <c r="S116" i="14"/>
  <c r="R116" i="14"/>
  <c r="S115" i="14"/>
  <c r="T115" i="14" s="1"/>
  <c r="R115" i="14"/>
  <c r="V115" i="14" s="1"/>
  <c r="V114" i="14"/>
  <c r="S114" i="14"/>
  <c r="T114" i="14" s="1"/>
  <c r="R114" i="14"/>
  <c r="S113" i="14"/>
  <c r="T113" i="14" s="1"/>
  <c r="R113" i="14"/>
  <c r="V113" i="14" s="1"/>
  <c r="V112" i="14"/>
  <c r="S112" i="14"/>
  <c r="T112" i="14" s="1"/>
  <c r="R112" i="14"/>
  <c r="S111" i="14"/>
  <c r="T111" i="14" s="1"/>
  <c r="R111" i="14"/>
  <c r="V111" i="14" s="1"/>
  <c r="V110" i="14"/>
  <c r="S110" i="14"/>
  <c r="T110" i="14" s="1"/>
  <c r="R110" i="14"/>
  <c r="S109" i="14"/>
  <c r="T109" i="14" s="1"/>
  <c r="R109" i="14"/>
  <c r="V109" i="14" s="1"/>
  <c r="V108" i="14"/>
  <c r="S108" i="14"/>
  <c r="T108" i="14" s="1"/>
  <c r="R108" i="14"/>
  <c r="S107" i="14"/>
  <c r="T107" i="14" s="1"/>
  <c r="R107" i="14"/>
  <c r="V107" i="14" s="1"/>
  <c r="V106" i="14"/>
  <c r="S106" i="14"/>
  <c r="T106" i="14" s="1"/>
  <c r="R106" i="14"/>
  <c r="S105" i="14"/>
  <c r="T105" i="14" s="1"/>
  <c r="R105" i="14"/>
  <c r="V105" i="14" s="1"/>
  <c r="V104" i="14"/>
  <c r="S104" i="14"/>
  <c r="T104" i="14" s="1"/>
  <c r="R104" i="14"/>
  <c r="S103" i="14"/>
  <c r="T103" i="14" s="1"/>
  <c r="R103" i="14"/>
  <c r="V103" i="14" s="1"/>
  <c r="V102" i="14"/>
  <c r="S102" i="14"/>
  <c r="T102" i="14" s="1"/>
  <c r="R102" i="14"/>
  <c r="S101" i="14"/>
  <c r="T101" i="14" s="1"/>
  <c r="R101" i="14"/>
  <c r="V101" i="14" s="1"/>
  <c r="V100" i="14"/>
  <c r="S100" i="14"/>
  <c r="T100" i="14" s="1"/>
  <c r="R100" i="14"/>
  <c r="S99" i="14"/>
  <c r="T99" i="14" s="1"/>
  <c r="R99" i="14"/>
  <c r="V99" i="14" s="1"/>
  <c r="V98" i="14"/>
  <c r="S98" i="14"/>
  <c r="T98" i="14" s="1"/>
  <c r="R98" i="14"/>
  <c r="S97" i="14"/>
  <c r="T97" i="14" s="1"/>
  <c r="R97" i="14"/>
  <c r="V97" i="14" s="1"/>
  <c r="V96" i="14"/>
  <c r="S96" i="14"/>
  <c r="T96" i="14" s="1"/>
  <c r="R96" i="14"/>
  <c r="S95" i="14"/>
  <c r="T95" i="14" s="1"/>
  <c r="R95" i="14"/>
  <c r="V95" i="14" s="1"/>
  <c r="V94" i="14"/>
  <c r="S94" i="14"/>
  <c r="T94" i="14" s="1"/>
  <c r="R94" i="14"/>
  <c r="S93" i="14"/>
  <c r="T93" i="14" s="1"/>
  <c r="R93" i="14"/>
  <c r="V93" i="14" s="1"/>
  <c r="V92" i="14"/>
  <c r="S92" i="14"/>
  <c r="T92" i="14" s="1"/>
  <c r="R92" i="14"/>
  <c r="S91" i="14"/>
  <c r="T91" i="14" s="1"/>
  <c r="R91" i="14"/>
  <c r="V91" i="14" s="1"/>
  <c r="V90" i="14"/>
  <c r="S90" i="14"/>
  <c r="T90" i="14" s="1"/>
  <c r="R90" i="14"/>
  <c r="S89" i="14"/>
  <c r="T89" i="14" s="1"/>
  <c r="R89" i="14"/>
  <c r="V89" i="14" s="1"/>
  <c r="V88" i="14"/>
  <c r="S88" i="14"/>
  <c r="T88" i="14" s="1"/>
  <c r="R88" i="14"/>
  <c r="S87" i="14"/>
  <c r="T87" i="14" s="1"/>
  <c r="R87" i="14"/>
  <c r="V87" i="14" s="1"/>
  <c r="V86" i="14"/>
  <c r="S86" i="14"/>
  <c r="T86" i="14" s="1"/>
  <c r="R86" i="14"/>
  <c r="S85" i="14"/>
  <c r="T85" i="14" s="1"/>
  <c r="R85" i="14"/>
  <c r="V85" i="14" s="1"/>
  <c r="V84" i="14"/>
  <c r="S84" i="14"/>
  <c r="T84" i="14" s="1"/>
  <c r="R84" i="14"/>
  <c r="S83" i="14"/>
  <c r="T83" i="14" s="1"/>
  <c r="R83" i="14"/>
  <c r="V83" i="14" s="1"/>
  <c r="V82" i="14"/>
  <c r="S82" i="14"/>
  <c r="T82" i="14" s="1"/>
  <c r="R82" i="14"/>
  <c r="S81" i="14"/>
  <c r="T81" i="14" s="1"/>
  <c r="R81" i="14"/>
  <c r="V81" i="14" s="1"/>
  <c r="V80" i="14"/>
  <c r="S80" i="14"/>
  <c r="T80" i="14" s="1"/>
  <c r="R80" i="14"/>
  <c r="S79" i="14"/>
  <c r="T79" i="14" s="1"/>
  <c r="R79" i="14"/>
  <c r="V79" i="14" s="1"/>
  <c r="V78" i="14"/>
  <c r="S78" i="14"/>
  <c r="T78" i="14" s="1"/>
  <c r="R78" i="14"/>
  <c r="S77" i="14"/>
  <c r="T77" i="14" s="1"/>
  <c r="R77" i="14"/>
  <c r="V77" i="14" s="1"/>
  <c r="V76" i="14"/>
  <c r="S76" i="14"/>
  <c r="T76" i="14" s="1"/>
  <c r="R76" i="14"/>
  <c r="S75" i="14"/>
  <c r="T75" i="14" s="1"/>
  <c r="R75" i="14"/>
  <c r="V75" i="14" s="1"/>
  <c r="V74" i="14"/>
  <c r="S74" i="14"/>
  <c r="T74" i="14" s="1"/>
  <c r="R74" i="14"/>
  <c r="S73" i="14"/>
  <c r="T73" i="14" s="1"/>
  <c r="R73" i="14"/>
  <c r="V73" i="14" s="1"/>
  <c r="V72" i="14"/>
  <c r="S72" i="14"/>
  <c r="T72" i="14" s="1"/>
  <c r="R72" i="14"/>
  <c r="S71" i="14"/>
  <c r="T71" i="14" s="1"/>
  <c r="R71" i="14"/>
  <c r="V71" i="14" s="1"/>
  <c r="V70" i="14"/>
  <c r="S70" i="14"/>
  <c r="T70" i="14" s="1"/>
  <c r="R70" i="14"/>
  <c r="S69" i="14"/>
  <c r="T69" i="14" s="1"/>
  <c r="R69" i="14"/>
  <c r="V69" i="14" s="1"/>
  <c r="V68" i="14"/>
  <c r="S68" i="14"/>
  <c r="T68" i="14" s="1"/>
  <c r="R68" i="14"/>
  <c r="S67" i="14"/>
  <c r="T67" i="14" s="1"/>
  <c r="R67" i="14"/>
  <c r="V67" i="14" s="1"/>
  <c r="V66" i="14"/>
  <c r="S66" i="14"/>
  <c r="T66" i="14" s="1"/>
  <c r="R66" i="14"/>
  <c r="S65" i="14"/>
  <c r="T65" i="14" s="1"/>
  <c r="R65" i="14"/>
  <c r="V65" i="14" s="1"/>
  <c r="V64" i="14"/>
  <c r="S64" i="14"/>
  <c r="T64" i="14" s="1"/>
  <c r="R64" i="14"/>
  <c r="S63" i="14"/>
  <c r="T63" i="14" s="1"/>
  <c r="R63" i="14"/>
  <c r="V63" i="14" s="1"/>
  <c r="V62" i="14"/>
  <c r="S62" i="14"/>
  <c r="T62" i="14" s="1"/>
  <c r="R62" i="14"/>
  <c r="S61" i="14"/>
  <c r="T61" i="14" s="1"/>
  <c r="R61" i="14"/>
  <c r="V61" i="14" s="1"/>
  <c r="V60" i="14"/>
  <c r="S60" i="14"/>
  <c r="T60" i="14" s="1"/>
  <c r="R60" i="14"/>
  <c r="S59" i="14"/>
  <c r="T59" i="14" s="1"/>
  <c r="R59" i="14"/>
  <c r="V59" i="14" s="1"/>
  <c r="V58" i="14"/>
  <c r="S58" i="14"/>
  <c r="T58" i="14" s="1"/>
  <c r="R58" i="14"/>
  <c r="S57" i="14"/>
  <c r="T57" i="14" s="1"/>
  <c r="R57" i="14"/>
  <c r="V57" i="14" s="1"/>
  <c r="V56" i="14"/>
  <c r="S56" i="14"/>
  <c r="T56" i="14" s="1"/>
  <c r="R56" i="14"/>
  <c r="S55" i="14"/>
  <c r="T55" i="14" s="1"/>
  <c r="R55" i="14"/>
  <c r="V55" i="14" s="1"/>
  <c r="V54" i="14"/>
  <c r="S54" i="14"/>
  <c r="T54" i="14" s="1"/>
  <c r="R54" i="14"/>
  <c r="S53" i="14"/>
  <c r="T53" i="14" s="1"/>
  <c r="R53" i="14"/>
  <c r="V53" i="14" s="1"/>
  <c r="V52" i="14"/>
  <c r="S52" i="14"/>
  <c r="T52" i="14" s="1"/>
  <c r="R52" i="14"/>
  <c r="S51" i="14"/>
  <c r="T51" i="14" s="1"/>
  <c r="R51" i="14"/>
  <c r="V51" i="14" s="1"/>
  <c r="V50" i="14"/>
  <c r="S50" i="14"/>
  <c r="T50" i="14" s="1"/>
  <c r="R50" i="14"/>
  <c r="S49" i="14"/>
  <c r="T49" i="14" s="1"/>
  <c r="R49" i="14"/>
  <c r="V49" i="14" s="1"/>
  <c r="V48" i="14"/>
  <c r="S48" i="14"/>
  <c r="T48" i="14" s="1"/>
  <c r="R48" i="14"/>
  <c r="S47" i="14"/>
  <c r="T47" i="14" s="1"/>
  <c r="R47" i="14"/>
  <c r="V47" i="14" s="1"/>
  <c r="V46" i="14"/>
  <c r="S46" i="14"/>
  <c r="T46" i="14" s="1"/>
  <c r="R46" i="14"/>
  <c r="S45" i="14"/>
  <c r="T45" i="14" s="1"/>
  <c r="R45" i="14"/>
  <c r="V45" i="14" s="1"/>
  <c r="V44" i="14"/>
  <c r="S44" i="14"/>
  <c r="T44" i="14" s="1"/>
  <c r="R44" i="14"/>
  <c r="S43" i="14"/>
  <c r="T43" i="14" s="1"/>
  <c r="R43" i="14"/>
  <c r="V43" i="14" s="1"/>
  <c r="V42" i="14"/>
  <c r="S42" i="14"/>
  <c r="T42" i="14" s="1"/>
  <c r="R42" i="14"/>
  <c r="S41" i="14"/>
  <c r="T41" i="14" s="1"/>
  <c r="R41" i="14"/>
  <c r="V41" i="14" s="1"/>
  <c r="V40" i="14"/>
  <c r="S40" i="14"/>
  <c r="T40" i="14" s="1"/>
  <c r="R40" i="14"/>
  <c r="S39" i="14"/>
  <c r="T39" i="14" s="1"/>
  <c r="R39" i="14"/>
  <c r="V39" i="14" s="1"/>
  <c r="V38" i="14"/>
  <c r="S38" i="14"/>
  <c r="T38" i="14" s="1"/>
  <c r="R38" i="14"/>
  <c r="S37" i="14"/>
  <c r="T37" i="14" s="1"/>
  <c r="R37" i="14"/>
  <c r="V37" i="14" s="1"/>
  <c r="V36" i="14"/>
  <c r="S36" i="14"/>
  <c r="T36" i="14" s="1"/>
  <c r="R36" i="14"/>
  <c r="S35" i="14"/>
  <c r="T35" i="14" s="1"/>
  <c r="R35" i="14"/>
  <c r="V35" i="14" s="1"/>
  <c r="V34" i="14"/>
  <c r="S34" i="14"/>
  <c r="T34" i="14" s="1"/>
  <c r="R34" i="14"/>
  <c r="S33" i="14"/>
  <c r="T33" i="14" s="1"/>
  <c r="R33" i="14"/>
  <c r="V33" i="14" s="1"/>
  <c r="V32" i="14"/>
  <c r="S32" i="14"/>
  <c r="T32" i="14" s="1"/>
  <c r="R32" i="14"/>
  <c r="S31" i="14"/>
  <c r="T31" i="14" s="1"/>
  <c r="R31" i="14"/>
  <c r="V31" i="14" s="1"/>
  <c r="V30" i="14"/>
  <c r="S30" i="14"/>
  <c r="T30" i="14" s="1"/>
  <c r="R30" i="14"/>
  <c r="S29" i="14"/>
  <c r="T29" i="14" s="1"/>
  <c r="R29" i="14"/>
  <c r="V29" i="14" s="1"/>
  <c r="V28" i="14"/>
  <c r="S28" i="14"/>
  <c r="T28" i="14" s="1"/>
  <c r="R28" i="14"/>
  <c r="S27" i="14"/>
  <c r="T27" i="14" s="1"/>
  <c r="R27" i="14"/>
  <c r="V27" i="14" s="1"/>
  <c r="V26" i="14"/>
  <c r="S26" i="14"/>
  <c r="T26" i="14" s="1"/>
  <c r="R26" i="14"/>
  <c r="S25" i="14"/>
  <c r="T25" i="14" s="1"/>
  <c r="R25" i="14"/>
  <c r="V25" i="14" s="1"/>
  <c r="V24" i="14"/>
  <c r="S24" i="14"/>
  <c r="T24" i="14" s="1"/>
  <c r="R24" i="14"/>
  <c r="S23" i="14"/>
  <c r="T23" i="14" s="1"/>
  <c r="R23" i="14"/>
  <c r="V23" i="14" s="1"/>
  <c r="V22" i="14"/>
  <c r="S22" i="14"/>
  <c r="T22" i="14" s="1"/>
  <c r="R22" i="14"/>
  <c r="S21" i="14"/>
  <c r="T21" i="14" s="1"/>
  <c r="R21" i="14"/>
  <c r="V21" i="14" s="1"/>
  <c r="V20" i="14"/>
  <c r="S20" i="14"/>
  <c r="T20" i="14" s="1"/>
  <c r="R20" i="14"/>
  <c r="S19" i="14"/>
  <c r="T19" i="14" s="1"/>
  <c r="R19" i="14"/>
  <c r="V19" i="14" s="1"/>
  <c r="V18" i="14"/>
  <c r="S18" i="14"/>
  <c r="T18" i="14" s="1"/>
  <c r="R18" i="14"/>
  <c r="S17" i="14"/>
  <c r="T17" i="14" s="1"/>
  <c r="R17" i="14"/>
  <c r="V17" i="14" s="1"/>
  <c r="V16" i="14"/>
  <c r="S16" i="14"/>
  <c r="T16" i="14" s="1"/>
  <c r="R16" i="14"/>
  <c r="S15" i="14"/>
  <c r="T15" i="14" s="1"/>
  <c r="V15" i="14"/>
  <c r="V14" i="14"/>
  <c r="S14" i="14"/>
  <c r="T14" i="14" s="1"/>
  <c r="R14" i="14"/>
  <c r="S13" i="14"/>
  <c r="T13" i="14" s="1"/>
  <c r="R13" i="14"/>
  <c r="V13" i="14" s="1"/>
  <c r="V12" i="14"/>
  <c r="S12" i="14"/>
  <c r="T12" i="14" s="1"/>
  <c r="R12" i="14"/>
  <c r="S11" i="14"/>
  <c r="T11" i="14" s="1"/>
  <c r="R11" i="14"/>
  <c r="V11" i="14" s="1"/>
  <c r="S10" i="14"/>
  <c r="T10" i="14" s="1"/>
  <c r="R10" i="14"/>
  <c r="S9" i="14"/>
  <c r="T9" i="14" s="1"/>
  <c r="R9" i="14"/>
  <c r="S8" i="14"/>
  <c r="T8" i="14" s="1"/>
  <c r="R8" i="14"/>
  <c r="U7" i="14"/>
  <c r="S7" i="14"/>
  <c r="T7" i="14" s="1"/>
  <c r="R7" i="14"/>
  <c r="U6" i="14"/>
  <c r="S6" i="14"/>
  <c r="T6" i="14" s="1"/>
  <c r="R6" i="14"/>
  <c r="T2" i="14"/>
  <c r="U8" i="14" s="1"/>
  <c r="G22" i="20"/>
  <c r="I6" i="19"/>
  <c r="I6" i="18"/>
  <c r="I6" i="17"/>
  <c r="I6" i="16"/>
  <c r="I6" i="15"/>
  <c r="I6" i="14"/>
  <c r="B9" i="21"/>
  <c r="B78" i="28"/>
  <c r="J9" i="23"/>
  <c r="J8" i="23"/>
  <c r="J7" i="23"/>
  <c r="J6" i="23"/>
  <c r="O29" i="20"/>
  <c r="P29" i="20" s="1"/>
  <c r="M29" i="20"/>
  <c r="N29" i="20" s="1"/>
  <c r="K29" i="20"/>
  <c r="L29" i="20" s="1"/>
  <c r="I29" i="20"/>
  <c r="J29" i="20" s="1"/>
  <c r="O28" i="20"/>
  <c r="P28" i="20" s="1"/>
  <c r="M28" i="20"/>
  <c r="N28" i="20" s="1"/>
  <c r="K28" i="20"/>
  <c r="L28" i="20" s="1"/>
  <c r="I28" i="20"/>
  <c r="J28" i="20" s="1"/>
  <c r="G28" i="20"/>
  <c r="O27" i="20"/>
  <c r="P27" i="20" s="1"/>
  <c r="M27" i="20"/>
  <c r="N27" i="20" s="1"/>
  <c r="K27" i="20"/>
  <c r="L27" i="20" s="1"/>
  <c r="I27" i="20"/>
  <c r="J27" i="20" s="1"/>
  <c r="O26" i="20"/>
  <c r="P26" i="20" s="1"/>
  <c r="M26" i="20"/>
  <c r="N26" i="20" s="1"/>
  <c r="K26" i="20"/>
  <c r="L26" i="20" s="1"/>
  <c r="I26" i="20"/>
  <c r="J26" i="20" s="1"/>
  <c r="O25" i="20"/>
  <c r="P25" i="20" s="1"/>
  <c r="M25" i="20"/>
  <c r="N25" i="20" s="1"/>
  <c r="K25" i="20"/>
  <c r="L25" i="20" s="1"/>
  <c r="I25" i="20"/>
  <c r="J25" i="20" s="1"/>
  <c r="O24" i="20"/>
  <c r="P24" i="20" s="1"/>
  <c r="M24" i="20"/>
  <c r="N24" i="20" s="1"/>
  <c r="K24" i="20"/>
  <c r="L24" i="20" s="1"/>
  <c r="I24" i="20"/>
  <c r="J24" i="20" s="1"/>
  <c r="O23" i="20"/>
  <c r="P23" i="20" s="1"/>
  <c r="M23" i="20"/>
  <c r="N23" i="20" s="1"/>
  <c r="K23" i="20"/>
  <c r="L23" i="20" s="1"/>
  <c r="I23" i="20"/>
  <c r="J23" i="20" s="1"/>
  <c r="G23" i="20"/>
  <c r="O22" i="20"/>
  <c r="P22" i="20" s="1"/>
  <c r="M22" i="20"/>
  <c r="N22" i="20" s="1"/>
  <c r="K22" i="20"/>
  <c r="L22" i="20" s="1"/>
  <c r="I22" i="20"/>
  <c r="J22" i="20" s="1"/>
  <c r="O21" i="20"/>
  <c r="P21" i="20" s="1"/>
  <c r="M21" i="20"/>
  <c r="N21" i="20" s="1"/>
  <c r="K21" i="20"/>
  <c r="L21" i="20" s="1"/>
  <c r="I21" i="20"/>
  <c r="J21" i="20" s="1"/>
  <c r="O20" i="20"/>
  <c r="P20" i="20" s="1"/>
  <c r="M20" i="20"/>
  <c r="N20" i="20" s="1"/>
  <c r="K20" i="20"/>
  <c r="L20" i="20" s="1"/>
  <c r="I20" i="20"/>
  <c r="J20" i="20" s="1"/>
  <c r="G20" i="20"/>
  <c r="O19" i="20"/>
  <c r="P19" i="20" s="1"/>
  <c r="M19" i="20"/>
  <c r="N19" i="20" s="1"/>
  <c r="K19" i="20"/>
  <c r="L19" i="20" s="1"/>
  <c r="I19" i="20"/>
  <c r="J19" i="20" s="1"/>
  <c r="O18" i="20"/>
  <c r="P18" i="20" s="1"/>
  <c r="M18" i="20"/>
  <c r="N18" i="20" s="1"/>
  <c r="K18" i="20"/>
  <c r="L18" i="20" s="1"/>
  <c r="I18" i="20"/>
  <c r="J18" i="20" s="1"/>
  <c r="O17" i="20"/>
  <c r="P17" i="20" s="1"/>
  <c r="M17" i="20"/>
  <c r="N17" i="20" s="1"/>
  <c r="K17" i="20"/>
  <c r="L17" i="20" s="1"/>
  <c r="I17" i="20"/>
  <c r="J17" i="20" s="1"/>
  <c r="O16" i="20"/>
  <c r="P16" i="20" s="1"/>
  <c r="M16" i="20"/>
  <c r="N16" i="20" s="1"/>
  <c r="K16" i="20"/>
  <c r="L16" i="20" s="1"/>
  <c r="I16" i="20"/>
  <c r="J16" i="20" s="1"/>
  <c r="O15" i="20"/>
  <c r="P15" i="20" s="1"/>
  <c r="M15" i="20"/>
  <c r="N15" i="20" s="1"/>
  <c r="K15" i="20"/>
  <c r="L15" i="20" s="1"/>
  <c r="I15" i="20"/>
  <c r="J15" i="20" s="1"/>
  <c r="G15" i="20"/>
  <c r="O14" i="20"/>
  <c r="P14" i="20" s="1"/>
  <c r="M14" i="20"/>
  <c r="N14" i="20" s="1"/>
  <c r="K14" i="20"/>
  <c r="L14" i="20" s="1"/>
  <c r="I14" i="20"/>
  <c r="J14" i="20" s="1"/>
  <c r="G14" i="20"/>
  <c r="O13" i="20"/>
  <c r="P13" i="20" s="1"/>
  <c r="M13" i="20"/>
  <c r="N13" i="20" s="1"/>
  <c r="K13" i="20"/>
  <c r="L13" i="20" s="1"/>
  <c r="I13" i="20"/>
  <c r="J13" i="20" s="1"/>
  <c r="O9" i="20"/>
  <c r="P9" i="20" s="1"/>
  <c r="M9" i="20"/>
  <c r="N9" i="20" s="1"/>
  <c r="K9" i="20"/>
  <c r="L9" i="20" s="1"/>
  <c r="I9" i="20"/>
  <c r="J9" i="20" s="1"/>
  <c r="G9" i="20"/>
  <c r="E9" i="20"/>
  <c r="O11" i="20"/>
  <c r="P11" i="20" s="1"/>
  <c r="M11" i="20"/>
  <c r="N11" i="20" s="1"/>
  <c r="K11" i="20"/>
  <c r="L11" i="20" s="1"/>
  <c r="I11" i="20"/>
  <c r="J11" i="20" s="1"/>
  <c r="G11" i="20"/>
  <c r="E11" i="20"/>
  <c r="O10" i="20"/>
  <c r="P10" i="20" s="1"/>
  <c r="M10" i="20"/>
  <c r="N10" i="20" s="1"/>
  <c r="K10" i="20"/>
  <c r="L10" i="20" s="1"/>
  <c r="I10" i="20"/>
  <c r="J10" i="20" s="1"/>
  <c r="G10" i="20"/>
  <c r="O12" i="20"/>
  <c r="P12" i="20" s="1"/>
  <c r="M12" i="20"/>
  <c r="N12" i="20" s="1"/>
  <c r="K12" i="20"/>
  <c r="L12" i="20" s="1"/>
  <c r="I12" i="20"/>
  <c r="G12" i="20"/>
  <c r="E12" i="20"/>
  <c r="O8" i="20"/>
  <c r="P8" i="20" s="1"/>
  <c r="M8" i="20"/>
  <c r="N8" i="20" s="1"/>
  <c r="K8" i="20"/>
  <c r="L8" i="20" s="1"/>
  <c r="I8" i="20"/>
  <c r="J8" i="20" s="1"/>
  <c r="G8" i="20"/>
  <c r="E8" i="20"/>
  <c r="O7" i="20"/>
  <c r="P7" i="20" s="1"/>
  <c r="M7" i="20"/>
  <c r="N7" i="20" s="1"/>
  <c r="K7" i="20"/>
  <c r="L7" i="20" s="1"/>
  <c r="I7" i="20"/>
  <c r="J7" i="20" s="1"/>
  <c r="G7" i="20"/>
  <c r="E7" i="20"/>
  <c r="O6" i="20"/>
  <c r="M6" i="20"/>
  <c r="N6" i="20" s="1"/>
  <c r="K6" i="20"/>
  <c r="I6" i="20"/>
  <c r="J6" i="20" s="1"/>
  <c r="G6" i="20"/>
  <c r="E6" i="20"/>
  <c r="J305" i="28"/>
  <c r="K305" i="28" s="1"/>
  <c r="I305" i="28"/>
  <c r="J304" i="28"/>
  <c r="K304" i="28" s="1"/>
  <c r="I304" i="28"/>
  <c r="N304" i="28" s="1"/>
  <c r="A304" i="28" s="1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N291" i="28" s="1"/>
  <c r="A291" i="28" s="1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J278" i="28"/>
  <c r="K278" i="28" s="1"/>
  <c r="I278" i="28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N272" i="28" s="1"/>
  <c r="A272" i="28" s="1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J262" i="28"/>
  <c r="K262" i="28" s="1"/>
  <c r="I262" i="28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B249" i="28"/>
  <c r="A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N246" i="28" s="1"/>
  <c r="A246" i="28" s="1"/>
  <c r="B246" i="28"/>
  <c r="J245" i="28"/>
  <c r="K245" i="28" s="1"/>
  <c r="I245" i="28"/>
  <c r="B245" i="28"/>
  <c r="J244" i="28"/>
  <c r="K244" i="28" s="1"/>
  <c r="I244" i="28"/>
  <c r="N244" i="28" s="1"/>
  <c r="A244" i="28" s="1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N233" i="28" s="1"/>
  <c r="B233" i="28"/>
  <c r="A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N221" i="28" s="1"/>
  <c r="A221" i="28" s="1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N209" i="28" s="1"/>
  <c r="A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N188" i="28" s="1"/>
  <c r="A188" i="28" s="1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N164" i="28" s="1"/>
  <c r="A164" i="28" s="1"/>
  <c r="B164" i="28"/>
  <c r="J163" i="28"/>
  <c r="K163" i="28" s="1"/>
  <c r="I163" i="28"/>
  <c r="B163" i="28"/>
  <c r="J162" i="28"/>
  <c r="K162" i="28" s="1"/>
  <c r="I162" i="28"/>
  <c r="N162" i="28" s="1"/>
  <c r="B162" i="28"/>
  <c r="A162" i="28"/>
  <c r="J161" i="28"/>
  <c r="K161" i="28" s="1"/>
  <c r="I161" i="28"/>
  <c r="B161" i="28"/>
  <c r="J160" i="28"/>
  <c r="K160" i="28" s="1"/>
  <c r="I160" i="28"/>
  <c r="M160" i="28" s="1"/>
  <c r="B160" i="28"/>
  <c r="J159" i="28"/>
  <c r="K159" i="28" s="1"/>
  <c r="I159" i="28"/>
  <c r="N159" i="28" s="1"/>
  <c r="A159" i="28" s="1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M155" i="28" s="1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N151" i="28" s="1"/>
  <c r="A151" i="28" s="1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N146" i="28" s="1"/>
  <c r="B146" i="28"/>
  <c r="A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N143" i="28" s="1"/>
  <c r="B143" i="28"/>
  <c r="A143" i="28"/>
  <c r="J142" i="28"/>
  <c r="K142" i="28" s="1"/>
  <c r="I142" i="28"/>
  <c r="N142" i="28" s="1"/>
  <c r="A142" i="28" s="1"/>
  <c r="B142" i="28"/>
  <c r="J141" i="28"/>
  <c r="K141" i="28" s="1"/>
  <c r="I141" i="28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N138" i="28" s="1"/>
  <c r="A138" i="28" s="1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N130" i="28" s="1"/>
  <c r="A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N122" i="28" s="1"/>
  <c r="A122" i="28" s="1"/>
  <c r="B122" i="28"/>
  <c r="J121" i="28"/>
  <c r="K121" i="28" s="1"/>
  <c r="I121" i="28"/>
  <c r="N121" i="28" s="1"/>
  <c r="B121" i="28"/>
  <c r="A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B118" i="28"/>
  <c r="J117" i="28"/>
  <c r="K117" i="28" s="1"/>
  <c r="I117" i="28"/>
  <c r="N117" i="28" s="1"/>
  <c r="A117" i="28" s="1"/>
  <c r="B117" i="28"/>
  <c r="J116" i="28"/>
  <c r="K116" i="28" s="1"/>
  <c r="I116" i="28"/>
  <c r="B116" i="28"/>
  <c r="J115" i="28"/>
  <c r="K115" i="28" s="1"/>
  <c r="I115" i="28"/>
  <c r="N115" i="28" s="1"/>
  <c r="A115" i="28" s="1"/>
  <c r="B115" i="28"/>
  <c r="J114" i="28"/>
  <c r="K114" i="28" s="1"/>
  <c r="I114" i="28"/>
  <c r="B114" i="28"/>
  <c r="J113" i="28"/>
  <c r="K113" i="28" s="1"/>
  <c r="I113" i="28"/>
  <c r="N113" i="28" s="1"/>
  <c r="A113" i="28" s="1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N107" i="28" s="1"/>
  <c r="A107" i="28" s="1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N103" i="28" s="1"/>
  <c r="A103" i="28" s="1"/>
  <c r="B103" i="28"/>
  <c r="J102" i="28"/>
  <c r="K102" i="28" s="1"/>
  <c r="I102" i="28"/>
  <c r="B102" i="28"/>
  <c r="J101" i="28"/>
  <c r="K101" i="28" s="1"/>
  <c r="I101" i="28"/>
  <c r="N101" i="28" s="1"/>
  <c r="A101" i="28" s="1"/>
  <c r="B101" i="28"/>
  <c r="J100" i="28"/>
  <c r="K100" i="28" s="1"/>
  <c r="I100" i="28"/>
  <c r="B100" i="28"/>
  <c r="J99" i="28"/>
  <c r="K99" i="28" s="1"/>
  <c r="I99" i="28"/>
  <c r="N99" i="28" s="1"/>
  <c r="A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M95" i="28" s="1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M90" i="28" s="1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B79" i="28"/>
  <c r="J78" i="28"/>
  <c r="K78" i="28" s="1"/>
  <c r="I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N73" i="28" s="1"/>
  <c r="A73" i="28" s="1"/>
  <c r="B73" i="28"/>
  <c r="J72" i="28"/>
  <c r="K72" i="28" s="1"/>
  <c r="I72" i="28"/>
  <c r="M72" i="28" s="1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N67" i="28" s="1"/>
  <c r="A67" i="28" s="1"/>
  <c r="B67" i="28"/>
  <c r="J66" i="28"/>
  <c r="K66" i="28" s="1"/>
  <c r="I66" i="28"/>
  <c r="B66" i="28"/>
  <c r="J65" i="28"/>
  <c r="K65" i="28" s="1"/>
  <c r="I65" i="28"/>
  <c r="N65" i="28" s="1"/>
  <c r="A65" i="28" s="1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B62" i="28"/>
  <c r="J61" i="28"/>
  <c r="K61" i="28" s="1"/>
  <c r="I61" i="28"/>
  <c r="M61" i="28" s="1"/>
  <c r="B61" i="28"/>
  <c r="J60" i="28"/>
  <c r="K60" i="28" s="1"/>
  <c r="I60" i="28"/>
  <c r="B60" i="28"/>
  <c r="J59" i="28"/>
  <c r="K59" i="28" s="1"/>
  <c r="I59" i="28"/>
  <c r="N59" i="28" s="1"/>
  <c r="A59" i="28" s="1"/>
  <c r="B59" i="28"/>
  <c r="J58" i="28"/>
  <c r="K58" i="28" s="1"/>
  <c r="I58" i="28"/>
  <c r="M58" i="28" s="1"/>
  <c r="B58" i="28"/>
  <c r="J57" i="28"/>
  <c r="K57" i="28" s="1"/>
  <c r="I57" i="28"/>
  <c r="B57" i="28"/>
  <c r="J56" i="28"/>
  <c r="K56" i="28" s="1"/>
  <c r="I56" i="28"/>
  <c r="M56" i="28" s="1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M52" i="28" s="1"/>
  <c r="N52" i="28" s="1"/>
  <c r="A52" i="28" s="1"/>
  <c r="B52" i="28"/>
  <c r="J51" i="28"/>
  <c r="K51" i="28" s="1"/>
  <c r="I51" i="28"/>
  <c r="N51" i="28" s="1"/>
  <c r="A51" i="28" s="1"/>
  <c r="B51" i="28"/>
  <c r="J50" i="28"/>
  <c r="K50" i="28" s="1"/>
  <c r="I50" i="28"/>
  <c r="B50" i="28"/>
  <c r="J49" i="28"/>
  <c r="K49" i="28" s="1"/>
  <c r="I49" i="28"/>
  <c r="N49" i="28" s="1"/>
  <c r="A49" i="28" s="1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N40" i="28" s="1"/>
  <c r="B40" i="28"/>
  <c r="A40" i="28"/>
  <c r="J39" i="28"/>
  <c r="K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M36" i="28" s="1"/>
  <c r="N36" i="28" s="1"/>
  <c r="A36" i="28" s="1"/>
  <c r="B36" i="28"/>
  <c r="J35" i="28"/>
  <c r="K35" i="28" s="1"/>
  <c r="I35" i="28"/>
  <c r="N35" i="28" s="1"/>
  <c r="A35" i="28" s="1"/>
  <c r="B35" i="28"/>
  <c r="J34" i="28"/>
  <c r="K34" i="28" s="1"/>
  <c r="I34" i="28"/>
  <c r="M34" i="28" s="1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M22" i="28" s="1"/>
  <c r="J21" i="28"/>
  <c r="K21" i="28" s="1"/>
  <c r="I21" i="28"/>
  <c r="M21" i="28" s="1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AF7" i="20" a="1"/>
  <c r="AF7" i="20" s="1"/>
  <c r="J7" i="28"/>
  <c r="K7" i="28" s="1"/>
  <c r="I7" i="28"/>
  <c r="J6" i="28"/>
  <c r="K6" i="28" s="1"/>
  <c r="I6" i="28"/>
  <c r="K2" i="28"/>
  <c r="L9" i="28" s="1"/>
  <c r="M305" i="27"/>
  <c r="J305" i="27"/>
  <c r="K305" i="27" s="1"/>
  <c r="I305" i="27"/>
  <c r="M304" i="27"/>
  <c r="K304" i="27"/>
  <c r="J304" i="27"/>
  <c r="I304" i="27"/>
  <c r="J303" i="27"/>
  <c r="K303" i="27" s="1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K298" i="27"/>
  <c r="J298" i="27"/>
  <c r="I298" i="27"/>
  <c r="M298" i="27" s="1"/>
  <c r="J297" i="27"/>
  <c r="K297" i="27" s="1"/>
  <c r="I297" i="27"/>
  <c r="M297" i="27" s="1"/>
  <c r="M296" i="27"/>
  <c r="J296" i="27"/>
  <c r="K296" i="27" s="1"/>
  <c r="I296" i="27"/>
  <c r="M295" i="27"/>
  <c r="J295" i="27"/>
  <c r="K295" i="27" s="1"/>
  <c r="I295" i="27"/>
  <c r="K294" i="27"/>
  <c r="J294" i="27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J291" i="27"/>
  <c r="K291" i="27" s="1"/>
  <c r="I291" i="27"/>
  <c r="J290" i="27"/>
  <c r="K290" i="27" s="1"/>
  <c r="I290" i="27"/>
  <c r="M290" i="27" s="1"/>
  <c r="M289" i="27"/>
  <c r="J289" i="27"/>
  <c r="K289" i="27" s="1"/>
  <c r="I289" i="27"/>
  <c r="M288" i="27"/>
  <c r="K288" i="27"/>
  <c r="J288" i="27"/>
  <c r="I288" i="27"/>
  <c r="J287" i="27"/>
  <c r="K287" i="27" s="1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J284" i="27"/>
  <c r="K284" i="27" s="1"/>
  <c r="I284" i="27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M280" i="27"/>
  <c r="J280" i="27"/>
  <c r="K280" i="27" s="1"/>
  <c r="I280" i="27"/>
  <c r="M279" i="27"/>
  <c r="K279" i="27"/>
  <c r="J279" i="27"/>
  <c r="I279" i="27"/>
  <c r="M278" i="27"/>
  <c r="J278" i="27"/>
  <c r="K278" i="27" s="1"/>
  <c r="I278" i="27"/>
  <c r="M277" i="27"/>
  <c r="K277" i="27"/>
  <c r="J277" i="27"/>
  <c r="I277" i="27"/>
  <c r="M276" i="27"/>
  <c r="J276" i="27"/>
  <c r="K276" i="27" s="1"/>
  <c r="I276" i="27"/>
  <c r="M275" i="27"/>
  <c r="K275" i="27"/>
  <c r="J275" i="27"/>
  <c r="I275" i="27"/>
  <c r="M274" i="27"/>
  <c r="J274" i="27"/>
  <c r="K274" i="27" s="1"/>
  <c r="I274" i="27"/>
  <c r="M273" i="27"/>
  <c r="K273" i="27"/>
  <c r="J273" i="27"/>
  <c r="I273" i="27"/>
  <c r="M272" i="27"/>
  <c r="J272" i="27"/>
  <c r="K272" i="27" s="1"/>
  <c r="I272" i="27"/>
  <c r="M271" i="27"/>
  <c r="K271" i="27"/>
  <c r="J271" i="27"/>
  <c r="I271" i="27"/>
  <c r="M270" i="27"/>
  <c r="J270" i="27"/>
  <c r="K270" i="27" s="1"/>
  <c r="I270" i="27"/>
  <c r="M269" i="27"/>
  <c r="K269" i="27"/>
  <c r="J269" i="27"/>
  <c r="I269" i="27"/>
  <c r="M268" i="27"/>
  <c r="J268" i="27"/>
  <c r="K268" i="27" s="1"/>
  <c r="I268" i="27"/>
  <c r="M267" i="27"/>
  <c r="J267" i="27"/>
  <c r="K267" i="27" s="1"/>
  <c r="I267" i="27"/>
  <c r="M266" i="27"/>
  <c r="J266" i="27"/>
  <c r="K266" i="27" s="1"/>
  <c r="I266" i="27"/>
  <c r="M265" i="27"/>
  <c r="J265" i="27"/>
  <c r="K265" i="27" s="1"/>
  <c r="I265" i="27"/>
  <c r="M264" i="27"/>
  <c r="J264" i="27"/>
  <c r="K264" i="27" s="1"/>
  <c r="I264" i="27"/>
  <c r="M263" i="27"/>
  <c r="J263" i="27"/>
  <c r="K263" i="27" s="1"/>
  <c r="I263" i="27"/>
  <c r="M262" i="27"/>
  <c r="J262" i="27"/>
  <c r="K262" i="27" s="1"/>
  <c r="I262" i="27"/>
  <c r="M261" i="27"/>
  <c r="J261" i="27"/>
  <c r="K261" i="27" s="1"/>
  <c r="I261" i="27"/>
  <c r="M260" i="27"/>
  <c r="J260" i="27"/>
  <c r="K260" i="27" s="1"/>
  <c r="I260" i="27"/>
  <c r="M259" i="27"/>
  <c r="J259" i="27"/>
  <c r="K259" i="27" s="1"/>
  <c r="I259" i="27"/>
  <c r="M258" i="27"/>
  <c r="J258" i="27"/>
  <c r="K258" i="27" s="1"/>
  <c r="I258" i="27"/>
  <c r="M257" i="27"/>
  <c r="J257" i="27"/>
  <c r="K257" i="27" s="1"/>
  <c r="I257" i="27"/>
  <c r="M256" i="27"/>
  <c r="J256" i="27"/>
  <c r="K256" i="27" s="1"/>
  <c r="I256" i="27"/>
  <c r="M255" i="27"/>
  <c r="J255" i="27"/>
  <c r="K255" i="27" s="1"/>
  <c r="I255" i="27"/>
  <c r="M254" i="27"/>
  <c r="J254" i="27"/>
  <c r="K254" i="27" s="1"/>
  <c r="I254" i="27"/>
  <c r="M253" i="27"/>
  <c r="J253" i="27"/>
  <c r="K253" i="27" s="1"/>
  <c r="I253" i="27"/>
  <c r="M252" i="27"/>
  <c r="J252" i="27"/>
  <c r="K252" i="27" s="1"/>
  <c r="I252" i="27"/>
  <c r="M251" i="27"/>
  <c r="J251" i="27"/>
  <c r="K251" i="27" s="1"/>
  <c r="I251" i="27"/>
  <c r="M250" i="27"/>
  <c r="J250" i="27"/>
  <c r="K250" i="27" s="1"/>
  <c r="I250" i="27"/>
  <c r="M249" i="27"/>
  <c r="J249" i="27"/>
  <c r="K249" i="27" s="1"/>
  <c r="I249" i="27"/>
  <c r="M248" i="27"/>
  <c r="J248" i="27"/>
  <c r="K248" i="27" s="1"/>
  <c r="I248" i="27"/>
  <c r="M247" i="27"/>
  <c r="J247" i="27"/>
  <c r="K247" i="27" s="1"/>
  <c r="I247" i="27"/>
  <c r="M246" i="27"/>
  <c r="J246" i="27"/>
  <c r="K246" i="27" s="1"/>
  <c r="I246" i="27"/>
  <c r="M245" i="27"/>
  <c r="J245" i="27"/>
  <c r="K245" i="27" s="1"/>
  <c r="I245" i="27"/>
  <c r="M244" i="27"/>
  <c r="J244" i="27"/>
  <c r="K244" i="27" s="1"/>
  <c r="I244" i="27"/>
  <c r="M243" i="27"/>
  <c r="J243" i="27"/>
  <c r="K243" i="27" s="1"/>
  <c r="I243" i="27"/>
  <c r="M242" i="27"/>
  <c r="J242" i="27"/>
  <c r="K242" i="27" s="1"/>
  <c r="I242" i="27"/>
  <c r="M241" i="27"/>
  <c r="J241" i="27"/>
  <c r="K241" i="27" s="1"/>
  <c r="I241" i="27"/>
  <c r="M240" i="27"/>
  <c r="J240" i="27"/>
  <c r="K240" i="27" s="1"/>
  <c r="I240" i="27"/>
  <c r="M239" i="27"/>
  <c r="J239" i="27"/>
  <c r="K239" i="27" s="1"/>
  <c r="I239" i="27"/>
  <c r="M238" i="27"/>
  <c r="J238" i="27"/>
  <c r="K238" i="27" s="1"/>
  <c r="I238" i="27"/>
  <c r="M237" i="27"/>
  <c r="J237" i="27"/>
  <c r="K237" i="27" s="1"/>
  <c r="I237" i="27"/>
  <c r="M236" i="27"/>
  <c r="J236" i="27"/>
  <c r="K236" i="27" s="1"/>
  <c r="I236" i="27"/>
  <c r="M235" i="27"/>
  <c r="J235" i="27"/>
  <c r="K235" i="27" s="1"/>
  <c r="I235" i="27"/>
  <c r="M234" i="27"/>
  <c r="J234" i="27"/>
  <c r="K234" i="27" s="1"/>
  <c r="I234" i="27"/>
  <c r="M233" i="27"/>
  <c r="J233" i="27"/>
  <c r="K233" i="27" s="1"/>
  <c r="I233" i="27"/>
  <c r="M232" i="27"/>
  <c r="J232" i="27"/>
  <c r="K232" i="27" s="1"/>
  <c r="I232" i="27"/>
  <c r="M231" i="27"/>
  <c r="J231" i="27"/>
  <c r="K231" i="27" s="1"/>
  <c r="I231" i="27"/>
  <c r="M230" i="27"/>
  <c r="J230" i="27"/>
  <c r="K230" i="27" s="1"/>
  <c r="I230" i="27"/>
  <c r="M229" i="27"/>
  <c r="J229" i="27"/>
  <c r="K229" i="27" s="1"/>
  <c r="I229" i="27"/>
  <c r="M228" i="27"/>
  <c r="J228" i="27"/>
  <c r="K228" i="27" s="1"/>
  <c r="I228" i="27"/>
  <c r="M227" i="27"/>
  <c r="J227" i="27"/>
  <c r="K227" i="27" s="1"/>
  <c r="I227" i="27"/>
  <c r="M226" i="27"/>
  <c r="J226" i="27"/>
  <c r="K226" i="27" s="1"/>
  <c r="I226" i="27"/>
  <c r="M225" i="27"/>
  <c r="J225" i="27"/>
  <c r="K225" i="27" s="1"/>
  <c r="I225" i="27"/>
  <c r="M224" i="27"/>
  <c r="J224" i="27"/>
  <c r="K224" i="27" s="1"/>
  <c r="I224" i="27"/>
  <c r="M223" i="27"/>
  <c r="J223" i="27"/>
  <c r="K223" i="27" s="1"/>
  <c r="I223" i="27"/>
  <c r="M222" i="27"/>
  <c r="J222" i="27"/>
  <c r="K222" i="27" s="1"/>
  <c r="I222" i="27"/>
  <c r="M221" i="27"/>
  <c r="J221" i="27"/>
  <c r="K221" i="27" s="1"/>
  <c r="I221" i="27"/>
  <c r="M220" i="27"/>
  <c r="J220" i="27"/>
  <c r="K220" i="27" s="1"/>
  <c r="I220" i="27"/>
  <c r="M219" i="27"/>
  <c r="J219" i="27"/>
  <c r="K219" i="27" s="1"/>
  <c r="I219" i="27"/>
  <c r="M218" i="27"/>
  <c r="J218" i="27"/>
  <c r="K218" i="27" s="1"/>
  <c r="I218" i="27"/>
  <c r="M217" i="27"/>
  <c r="J217" i="27"/>
  <c r="K217" i="27" s="1"/>
  <c r="I217" i="27"/>
  <c r="M216" i="27"/>
  <c r="J216" i="27"/>
  <c r="K216" i="27" s="1"/>
  <c r="I216" i="27"/>
  <c r="M215" i="27"/>
  <c r="J215" i="27"/>
  <c r="K215" i="27" s="1"/>
  <c r="I215" i="27"/>
  <c r="M214" i="27"/>
  <c r="J214" i="27"/>
  <c r="K214" i="27" s="1"/>
  <c r="I214" i="27"/>
  <c r="M213" i="27"/>
  <c r="J213" i="27"/>
  <c r="K213" i="27" s="1"/>
  <c r="I213" i="27"/>
  <c r="M212" i="27"/>
  <c r="J212" i="27"/>
  <c r="K212" i="27" s="1"/>
  <c r="I212" i="27"/>
  <c r="M211" i="27"/>
  <c r="J211" i="27"/>
  <c r="K211" i="27" s="1"/>
  <c r="I211" i="27"/>
  <c r="M210" i="27"/>
  <c r="J210" i="27"/>
  <c r="K210" i="27" s="1"/>
  <c r="I210" i="27"/>
  <c r="M209" i="27"/>
  <c r="J209" i="27"/>
  <c r="K209" i="27" s="1"/>
  <c r="I209" i="27"/>
  <c r="M208" i="27"/>
  <c r="J208" i="27"/>
  <c r="K208" i="27" s="1"/>
  <c r="I208" i="27"/>
  <c r="M207" i="27"/>
  <c r="J207" i="27"/>
  <c r="K207" i="27" s="1"/>
  <c r="I207" i="27"/>
  <c r="M206" i="27"/>
  <c r="J206" i="27"/>
  <c r="K206" i="27" s="1"/>
  <c r="I206" i="27"/>
  <c r="M205" i="27"/>
  <c r="J205" i="27"/>
  <c r="K205" i="27" s="1"/>
  <c r="I205" i="27"/>
  <c r="M204" i="27"/>
  <c r="J204" i="27"/>
  <c r="K204" i="27" s="1"/>
  <c r="I204" i="27"/>
  <c r="M203" i="27"/>
  <c r="J203" i="27"/>
  <c r="K203" i="27" s="1"/>
  <c r="I203" i="27"/>
  <c r="M202" i="27"/>
  <c r="J202" i="27"/>
  <c r="K202" i="27" s="1"/>
  <c r="I202" i="27"/>
  <c r="M201" i="27"/>
  <c r="J201" i="27"/>
  <c r="K201" i="27" s="1"/>
  <c r="I201" i="27"/>
  <c r="M200" i="27"/>
  <c r="J200" i="27"/>
  <c r="K200" i="27" s="1"/>
  <c r="I200" i="27"/>
  <c r="M199" i="27"/>
  <c r="J199" i="27"/>
  <c r="K199" i="27" s="1"/>
  <c r="I199" i="27"/>
  <c r="M198" i="27"/>
  <c r="J198" i="27"/>
  <c r="K198" i="27" s="1"/>
  <c r="I198" i="27"/>
  <c r="J197" i="27"/>
  <c r="K197" i="27" s="1"/>
  <c r="I197" i="27"/>
  <c r="M197" i="27" s="1"/>
  <c r="M196" i="27"/>
  <c r="J196" i="27"/>
  <c r="K196" i="27" s="1"/>
  <c r="I196" i="27"/>
  <c r="J195" i="27"/>
  <c r="K195" i="27" s="1"/>
  <c r="I195" i="27"/>
  <c r="M195" i="27" s="1"/>
  <c r="M194" i="27"/>
  <c r="J194" i="27"/>
  <c r="K194" i="27" s="1"/>
  <c r="I194" i="27"/>
  <c r="M193" i="27"/>
  <c r="J193" i="27"/>
  <c r="K193" i="27" s="1"/>
  <c r="I193" i="27"/>
  <c r="M192" i="27"/>
  <c r="J192" i="27"/>
  <c r="K192" i="27" s="1"/>
  <c r="I192" i="27"/>
  <c r="J191" i="27"/>
  <c r="K191" i="27" s="1"/>
  <c r="I191" i="27"/>
  <c r="M191" i="27" s="1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J187" i="27"/>
  <c r="K187" i="27" s="1"/>
  <c r="I187" i="27"/>
  <c r="M187" i="27" s="1"/>
  <c r="M186" i="27"/>
  <c r="J186" i="27"/>
  <c r="K186" i="27" s="1"/>
  <c r="I186" i="27"/>
  <c r="M185" i="27"/>
  <c r="J185" i="27"/>
  <c r="K185" i="27" s="1"/>
  <c r="I185" i="27"/>
  <c r="M184" i="27"/>
  <c r="J184" i="27"/>
  <c r="K184" i="27" s="1"/>
  <c r="I184" i="27"/>
  <c r="J183" i="27"/>
  <c r="K183" i="27" s="1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M175" i="27"/>
  <c r="J175" i="27"/>
  <c r="K175" i="27" s="1"/>
  <c r="I175" i="27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J171" i="27"/>
  <c r="K171" i="27" s="1"/>
  <c r="I171" i="27"/>
  <c r="M171" i="27" s="1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M159" i="27"/>
  <c r="J159" i="27"/>
  <c r="K159" i="27" s="1"/>
  <c r="I159" i="27"/>
  <c r="M158" i="27"/>
  <c r="J158" i="27"/>
  <c r="K158" i="27" s="1"/>
  <c r="I158" i="27"/>
  <c r="J157" i="27"/>
  <c r="K157" i="27" s="1"/>
  <c r="I157" i="27"/>
  <c r="M157" i="27" s="1"/>
  <c r="K156" i="27"/>
  <c r="J156" i="27"/>
  <c r="I156" i="27"/>
  <c r="M156" i="27" s="1"/>
  <c r="J155" i="27"/>
  <c r="K155" i="27" s="1"/>
  <c r="I155" i="27"/>
  <c r="M155" i="27" s="1"/>
  <c r="M154" i="27"/>
  <c r="J154" i="27"/>
  <c r="K154" i="27" s="1"/>
  <c r="I154" i="27"/>
  <c r="J153" i="27"/>
  <c r="K153" i="27" s="1"/>
  <c r="I153" i="27"/>
  <c r="M153" i="27" s="1"/>
  <c r="K152" i="27"/>
  <c r="J152" i="27"/>
  <c r="I152" i="27"/>
  <c r="M152" i="27" s="1"/>
  <c r="M151" i="27"/>
  <c r="J151" i="27"/>
  <c r="K151" i="27" s="1"/>
  <c r="I151" i="27"/>
  <c r="M150" i="27"/>
  <c r="J150" i="27"/>
  <c r="K150" i="27" s="1"/>
  <c r="I150" i="27"/>
  <c r="M149" i="27"/>
  <c r="J149" i="27"/>
  <c r="K149" i="27" s="1"/>
  <c r="I149" i="27"/>
  <c r="K148" i="27"/>
  <c r="J148" i="27"/>
  <c r="I148" i="27"/>
  <c r="M148" i="27" s="1"/>
  <c r="M147" i="27"/>
  <c r="J147" i="27"/>
  <c r="K147" i="27" s="1"/>
  <c r="I147" i="27"/>
  <c r="M146" i="27"/>
  <c r="J146" i="27"/>
  <c r="K146" i="27" s="1"/>
  <c r="I146" i="27"/>
  <c r="J145" i="27"/>
  <c r="K145" i="27" s="1"/>
  <c r="I145" i="27"/>
  <c r="M145" i="27" s="1"/>
  <c r="K144" i="27"/>
  <c r="J144" i="27"/>
  <c r="I144" i="27"/>
  <c r="M144" i="27" s="1"/>
  <c r="J143" i="27"/>
  <c r="K143" i="27" s="1"/>
  <c r="I143" i="27"/>
  <c r="M143" i="27" s="1"/>
  <c r="M142" i="27"/>
  <c r="J142" i="27"/>
  <c r="K142" i="27" s="1"/>
  <c r="I142" i="27"/>
  <c r="J141" i="27"/>
  <c r="K141" i="27" s="1"/>
  <c r="I141" i="27"/>
  <c r="M141" i="27" s="1"/>
  <c r="K140" i="27"/>
  <c r="J140" i="27"/>
  <c r="I140" i="27"/>
  <c r="M140" i="27" s="1"/>
  <c r="J139" i="27"/>
  <c r="K139" i="27" s="1"/>
  <c r="I139" i="27"/>
  <c r="M139" i="27" s="1"/>
  <c r="M138" i="27"/>
  <c r="J138" i="27"/>
  <c r="K138" i="27" s="1"/>
  <c r="I138" i="27"/>
  <c r="J137" i="27"/>
  <c r="K137" i="27" s="1"/>
  <c r="I137" i="27"/>
  <c r="M137" i="27" s="1"/>
  <c r="K136" i="27"/>
  <c r="J136" i="27"/>
  <c r="I136" i="27"/>
  <c r="M136" i="27" s="1"/>
  <c r="M135" i="27"/>
  <c r="J135" i="27"/>
  <c r="K135" i="27" s="1"/>
  <c r="I135" i="27"/>
  <c r="M134" i="27"/>
  <c r="J134" i="27"/>
  <c r="K134" i="27" s="1"/>
  <c r="I134" i="27"/>
  <c r="M133" i="27"/>
  <c r="J133" i="27"/>
  <c r="K133" i="27" s="1"/>
  <c r="I133" i="27"/>
  <c r="K132" i="27"/>
  <c r="J132" i="27"/>
  <c r="I132" i="27"/>
  <c r="M132" i="27" s="1"/>
  <c r="M131" i="27"/>
  <c r="J131" i="27"/>
  <c r="K131" i="27" s="1"/>
  <c r="I131" i="27"/>
  <c r="J130" i="27"/>
  <c r="K130" i="27" s="1"/>
  <c r="I130" i="27"/>
  <c r="M130" i="27" s="1"/>
  <c r="M129" i="27"/>
  <c r="J129" i="27"/>
  <c r="K129" i="27" s="1"/>
  <c r="I129" i="27"/>
  <c r="K128" i="27"/>
  <c r="J128" i="27"/>
  <c r="I128" i="27"/>
  <c r="M128" i="27" s="1"/>
  <c r="J127" i="27"/>
  <c r="K127" i="27" s="1"/>
  <c r="I127" i="27"/>
  <c r="M127" i="27" s="1"/>
  <c r="M126" i="27"/>
  <c r="J126" i="27"/>
  <c r="K126" i="27" s="1"/>
  <c r="I126" i="27"/>
  <c r="J125" i="27"/>
  <c r="K125" i="27" s="1"/>
  <c r="I125" i="27"/>
  <c r="M125" i="27" s="1"/>
  <c r="K124" i="27"/>
  <c r="J124" i="27"/>
  <c r="I124" i="27"/>
  <c r="M124" i="27" s="1"/>
  <c r="J123" i="27"/>
  <c r="K123" i="27" s="1"/>
  <c r="I123" i="27"/>
  <c r="M123" i="27" s="1"/>
  <c r="M122" i="27"/>
  <c r="J122" i="27"/>
  <c r="K122" i="27" s="1"/>
  <c r="I122" i="27"/>
  <c r="J121" i="27"/>
  <c r="K121" i="27" s="1"/>
  <c r="I121" i="27"/>
  <c r="M121" i="27" s="1"/>
  <c r="K120" i="27"/>
  <c r="J120" i="27"/>
  <c r="I120" i="27"/>
  <c r="M120" i="27" s="1"/>
  <c r="M119" i="27"/>
  <c r="J119" i="27"/>
  <c r="K119" i="27" s="1"/>
  <c r="I119" i="27"/>
  <c r="M118" i="27"/>
  <c r="J118" i="27"/>
  <c r="K118" i="27" s="1"/>
  <c r="I118" i="27"/>
  <c r="M117" i="27"/>
  <c r="J117" i="27"/>
  <c r="K117" i="27" s="1"/>
  <c r="I117" i="27"/>
  <c r="K116" i="27"/>
  <c r="J116" i="27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K112" i="27"/>
  <c r="J112" i="27"/>
  <c r="I112" i="27"/>
  <c r="M112" i="27" s="1"/>
  <c r="M111" i="27"/>
  <c r="J111" i="27"/>
  <c r="K111" i="27" s="1"/>
  <c r="I111" i="27"/>
  <c r="M110" i="27"/>
  <c r="J110" i="27"/>
  <c r="K110" i="27" s="1"/>
  <c r="I110" i="27"/>
  <c r="J109" i="27"/>
  <c r="K109" i="27" s="1"/>
  <c r="I109" i="27"/>
  <c r="M109" i="27" s="1"/>
  <c r="K108" i="27"/>
  <c r="J108" i="27"/>
  <c r="I108" i="27"/>
  <c r="M108" i="27" s="1"/>
  <c r="J107" i="27"/>
  <c r="K107" i="27" s="1"/>
  <c r="I107" i="27"/>
  <c r="M107" i="27" s="1"/>
  <c r="M106" i="27"/>
  <c r="J106" i="27"/>
  <c r="K106" i="27" s="1"/>
  <c r="I106" i="27"/>
  <c r="J105" i="27"/>
  <c r="K105" i="27" s="1"/>
  <c r="I105" i="27"/>
  <c r="M105" i="27" s="1"/>
  <c r="K104" i="27"/>
  <c r="J104" i="27"/>
  <c r="I104" i="27"/>
  <c r="M104" i="27" s="1"/>
  <c r="M103" i="27"/>
  <c r="J103" i="27"/>
  <c r="K103" i="27" s="1"/>
  <c r="I103" i="27"/>
  <c r="M102" i="27"/>
  <c r="J102" i="27"/>
  <c r="K102" i="27" s="1"/>
  <c r="I102" i="27"/>
  <c r="M101" i="27"/>
  <c r="J101" i="27"/>
  <c r="K101" i="27" s="1"/>
  <c r="I101" i="27"/>
  <c r="K100" i="27"/>
  <c r="J100" i="27"/>
  <c r="I100" i="27"/>
  <c r="M100" i="27" s="1"/>
  <c r="M99" i="27"/>
  <c r="J99" i="27"/>
  <c r="K99" i="27" s="1"/>
  <c r="I99" i="27"/>
  <c r="J98" i="27"/>
  <c r="K98" i="27" s="1"/>
  <c r="I98" i="27"/>
  <c r="M98" i="27" s="1"/>
  <c r="J97" i="27"/>
  <c r="K97" i="27" s="1"/>
  <c r="I97" i="27"/>
  <c r="M97" i="27" s="1"/>
  <c r="K96" i="27"/>
  <c r="J96" i="27"/>
  <c r="I96" i="27"/>
  <c r="M96" i="27" s="1"/>
  <c r="M95" i="27"/>
  <c r="J95" i="27"/>
  <c r="K95" i="27" s="1"/>
  <c r="I95" i="27"/>
  <c r="M94" i="27"/>
  <c r="J94" i="27"/>
  <c r="K94" i="27" s="1"/>
  <c r="I94" i="27"/>
  <c r="J93" i="27"/>
  <c r="K93" i="27" s="1"/>
  <c r="I93" i="27"/>
  <c r="M93" i="27" s="1"/>
  <c r="K92" i="27"/>
  <c r="J92" i="27"/>
  <c r="I92" i="27"/>
  <c r="M92" i="27" s="1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K88" i="27"/>
  <c r="J88" i="27"/>
  <c r="I88" i="27"/>
  <c r="M88" i="27" s="1"/>
  <c r="M87" i="27"/>
  <c r="J87" i="27"/>
  <c r="K87" i="27" s="1"/>
  <c r="I87" i="27"/>
  <c r="M86" i="27"/>
  <c r="J86" i="27"/>
  <c r="K86" i="27" s="1"/>
  <c r="I86" i="27"/>
  <c r="M85" i="27"/>
  <c r="J85" i="27"/>
  <c r="K85" i="27" s="1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K80" i="27"/>
  <c r="J80" i="27"/>
  <c r="I80" i="27"/>
  <c r="M80" i="27" s="1"/>
  <c r="M79" i="27"/>
  <c r="J79" i="27"/>
  <c r="K79" i="27" s="1"/>
  <c r="I79" i="27"/>
  <c r="A79" i="27"/>
  <c r="K78" i="27"/>
  <c r="J78" i="27"/>
  <c r="I78" i="27"/>
  <c r="M78" i="27" s="1"/>
  <c r="A78" i="27" s="1"/>
  <c r="K77" i="27"/>
  <c r="J77" i="27"/>
  <c r="I77" i="27"/>
  <c r="M77" i="27" s="1"/>
  <c r="A77" i="27" s="1"/>
  <c r="K76" i="27"/>
  <c r="J76" i="27"/>
  <c r="I76" i="27"/>
  <c r="M76" i="27" s="1"/>
  <c r="A76" i="27" s="1"/>
  <c r="K75" i="27"/>
  <c r="J75" i="27"/>
  <c r="I75" i="27"/>
  <c r="M75" i="27" s="1"/>
  <c r="A75" i="27" s="1"/>
  <c r="J74" i="27"/>
  <c r="K74" i="27" s="1"/>
  <c r="I74" i="27"/>
  <c r="M74" i="27" s="1"/>
  <c r="A74" i="27" s="1"/>
  <c r="M73" i="27"/>
  <c r="A73" i="27" s="1"/>
  <c r="J73" i="27"/>
  <c r="K73" i="27" s="1"/>
  <c r="I73" i="27"/>
  <c r="K72" i="27"/>
  <c r="J72" i="27"/>
  <c r="I72" i="27"/>
  <c r="M72" i="27" s="1"/>
  <c r="A72" i="27" s="1"/>
  <c r="J71" i="27"/>
  <c r="K71" i="27" s="1"/>
  <c r="I71" i="27"/>
  <c r="M71" i="27" s="1"/>
  <c r="A71" i="27" s="1"/>
  <c r="M70" i="27"/>
  <c r="A70" i="27" s="1"/>
  <c r="J70" i="27"/>
  <c r="K70" i="27" s="1"/>
  <c r="I70" i="27"/>
  <c r="J69" i="27"/>
  <c r="K69" i="27" s="1"/>
  <c r="I69" i="27"/>
  <c r="M69" i="27" s="1"/>
  <c r="A69" i="27"/>
  <c r="K68" i="27"/>
  <c r="J68" i="27"/>
  <c r="I68" i="27"/>
  <c r="M68" i="27" s="1"/>
  <c r="A68" i="27" s="1"/>
  <c r="M67" i="27"/>
  <c r="J67" i="27"/>
  <c r="K67" i="27" s="1"/>
  <c r="I67" i="27"/>
  <c r="A67" i="27"/>
  <c r="J66" i="27"/>
  <c r="K66" i="27" s="1"/>
  <c r="I66" i="27"/>
  <c r="M66" i="27" s="1"/>
  <c r="A66" i="27"/>
  <c r="K65" i="27"/>
  <c r="J65" i="27"/>
  <c r="I65" i="27"/>
  <c r="M65" i="27" s="1"/>
  <c r="A65" i="27" s="1"/>
  <c r="B65" i="27"/>
  <c r="J64" i="27"/>
  <c r="K64" i="27" s="1"/>
  <c r="I64" i="27"/>
  <c r="M64" i="27" s="1"/>
  <c r="A64" i="27" s="1"/>
  <c r="B64" i="27"/>
  <c r="K63" i="27"/>
  <c r="J63" i="27"/>
  <c r="I63" i="27"/>
  <c r="M63" i="27" s="1"/>
  <c r="B63" i="27"/>
  <c r="A63" i="27"/>
  <c r="K62" i="27"/>
  <c r="J62" i="27"/>
  <c r="I62" i="27"/>
  <c r="M62" i="27" s="1"/>
  <c r="A62" i="27" s="1"/>
  <c r="B62" i="27"/>
  <c r="K61" i="27"/>
  <c r="J61" i="27"/>
  <c r="I61" i="27"/>
  <c r="M61" i="27" s="1"/>
  <c r="A61" i="27" s="1"/>
  <c r="B61" i="27"/>
  <c r="J60" i="27"/>
  <c r="K60" i="27" s="1"/>
  <c r="I60" i="27"/>
  <c r="M60" i="27" s="1"/>
  <c r="A60" i="27" s="1"/>
  <c r="B60" i="27"/>
  <c r="K59" i="27"/>
  <c r="J59" i="27"/>
  <c r="I59" i="27"/>
  <c r="M59" i="27" s="1"/>
  <c r="A59" i="27" s="1"/>
  <c r="B59" i="27"/>
  <c r="M58" i="27"/>
  <c r="K58" i="27"/>
  <c r="J58" i="27"/>
  <c r="I58" i="27"/>
  <c r="B58" i="27"/>
  <c r="A58" i="27"/>
  <c r="K57" i="27"/>
  <c r="J57" i="27"/>
  <c r="I57" i="27"/>
  <c r="M57" i="27" s="1"/>
  <c r="A57" i="27" s="1"/>
  <c r="B57" i="27"/>
  <c r="J56" i="27"/>
  <c r="K56" i="27" s="1"/>
  <c r="I56" i="27"/>
  <c r="M56" i="27" s="1"/>
  <c r="B56" i="27"/>
  <c r="A56" i="27"/>
  <c r="K55" i="27"/>
  <c r="J55" i="27"/>
  <c r="I55" i="27"/>
  <c r="M55" i="27" s="1"/>
  <c r="A55" i="27" s="1"/>
  <c r="B55" i="27"/>
  <c r="M54" i="27"/>
  <c r="K54" i="27"/>
  <c r="J54" i="27"/>
  <c r="I54" i="27"/>
  <c r="B54" i="27"/>
  <c r="A54" i="27"/>
  <c r="K53" i="27"/>
  <c r="J53" i="27"/>
  <c r="I53" i="27"/>
  <c r="M53" i="27" s="1"/>
  <c r="A53" i="27" s="1"/>
  <c r="B53" i="27"/>
  <c r="J52" i="27"/>
  <c r="K52" i="27" s="1"/>
  <c r="I52" i="27"/>
  <c r="M52" i="27" s="1"/>
  <c r="B52" i="27"/>
  <c r="A52" i="27"/>
  <c r="J51" i="27"/>
  <c r="K51" i="27" s="1"/>
  <c r="I51" i="27"/>
  <c r="M51" i="27" s="1"/>
  <c r="A51" i="27" s="1"/>
  <c r="B51" i="27"/>
  <c r="M50" i="27"/>
  <c r="A50" i="27" s="1"/>
  <c r="K50" i="27"/>
  <c r="J50" i="27"/>
  <c r="I50" i="27"/>
  <c r="B50" i="27"/>
  <c r="K49" i="27"/>
  <c r="J49" i="27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B47" i="27"/>
  <c r="A47" i="27"/>
  <c r="T46" i="27"/>
  <c r="U46" i="27" s="1"/>
  <c r="R46" i="27"/>
  <c r="J46" i="27"/>
  <c r="K46" i="27" s="1"/>
  <c r="I46" i="27"/>
  <c r="M46" i="27" s="1"/>
  <c r="A46" i="27" s="1"/>
  <c r="B46" i="27"/>
  <c r="M45" i="27"/>
  <c r="A45" i="27" s="1"/>
  <c r="J45" i="27"/>
  <c r="K45" i="27" s="1"/>
  <c r="I45" i="27"/>
  <c r="B45" i="27"/>
  <c r="M44" i="27"/>
  <c r="A44" i="27" s="1"/>
  <c r="J44" i="27"/>
  <c r="K44" i="27" s="1"/>
  <c r="I44" i="27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M41" i="27"/>
  <c r="A41" i="27" s="1"/>
  <c r="J41" i="27"/>
  <c r="K41" i="27" s="1"/>
  <c r="I41" i="27"/>
  <c r="B41" i="27"/>
  <c r="M40" i="27"/>
  <c r="A40" i="27" s="1"/>
  <c r="J40" i="27"/>
  <c r="K40" i="27" s="1"/>
  <c r="I40" i="27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M37" i="27"/>
  <c r="A37" i="27" s="1"/>
  <c r="J37" i="27"/>
  <c r="K37" i="27" s="1"/>
  <c r="I37" i="27"/>
  <c r="B37" i="27"/>
  <c r="M36" i="27"/>
  <c r="A36" i="27" s="1"/>
  <c r="J36" i="27"/>
  <c r="K36" i="27" s="1"/>
  <c r="I36" i="27"/>
  <c r="B36" i="27"/>
  <c r="M35" i="27"/>
  <c r="A35" i="27" s="1"/>
  <c r="J35" i="27"/>
  <c r="K35" i="27" s="1"/>
  <c r="I35" i="27"/>
  <c r="B35" i="27"/>
  <c r="J34" i="27"/>
  <c r="K34" i="27" s="1"/>
  <c r="I34" i="27"/>
  <c r="M34" i="27" s="1"/>
  <c r="A34" i="27" s="1"/>
  <c r="B34" i="27"/>
  <c r="M33" i="27"/>
  <c r="A33" i="27" s="1"/>
  <c r="J33" i="27"/>
  <c r="K33" i="27" s="1"/>
  <c r="I33" i="27"/>
  <c r="B33" i="27"/>
  <c r="M32" i="27"/>
  <c r="A32" i="27" s="1"/>
  <c r="J32" i="27"/>
  <c r="K32" i="27" s="1"/>
  <c r="I32" i="27"/>
  <c r="B32" i="27"/>
  <c r="M31" i="27"/>
  <c r="A31" i="27" s="1"/>
  <c r="J31" i="27"/>
  <c r="K31" i="27" s="1"/>
  <c r="I31" i="27"/>
  <c r="B31" i="27"/>
  <c r="J30" i="27"/>
  <c r="K30" i="27" s="1"/>
  <c r="I30" i="27"/>
  <c r="M30" i="27" s="1"/>
  <c r="A30" i="27" s="1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M25" i="27"/>
  <c r="A25" i="27" s="1"/>
  <c r="J25" i="27"/>
  <c r="K25" i="27" s="1"/>
  <c r="I25" i="27"/>
  <c r="B25" i="27"/>
  <c r="M24" i="27"/>
  <c r="A24" i="27" s="1"/>
  <c r="J24" i="27"/>
  <c r="K24" i="27" s="1"/>
  <c r="I24" i="27"/>
  <c r="B24" i="27"/>
  <c r="M23" i="27"/>
  <c r="A23" i="27" s="1"/>
  <c r="J23" i="27"/>
  <c r="K23" i="27" s="1"/>
  <c r="I23" i="27"/>
  <c r="B23" i="27"/>
  <c r="J22" i="27"/>
  <c r="K22" i="27" s="1"/>
  <c r="I22" i="27"/>
  <c r="M22" i="27" s="1"/>
  <c r="A22" i="27" s="1"/>
  <c r="B22" i="27"/>
  <c r="M21" i="27"/>
  <c r="A21" i="27" s="1"/>
  <c r="J21" i="27"/>
  <c r="K21" i="27" s="1"/>
  <c r="I21" i="27"/>
  <c r="B21" i="27"/>
  <c r="M20" i="27"/>
  <c r="A20" i="27" s="1"/>
  <c r="J20" i="27"/>
  <c r="K20" i="27" s="1"/>
  <c r="I20" i="27"/>
  <c r="B20" i="27"/>
  <c r="M19" i="27"/>
  <c r="A19" i="27" s="1"/>
  <c r="J19" i="27"/>
  <c r="K19" i="27" s="1"/>
  <c r="I19" i="27"/>
  <c r="B19" i="27"/>
  <c r="J18" i="27"/>
  <c r="K18" i="27" s="1"/>
  <c r="I18" i="27"/>
  <c r="M18" i="27" s="1"/>
  <c r="A18" i="27" s="1"/>
  <c r="B18" i="27"/>
  <c r="M17" i="27"/>
  <c r="J17" i="27"/>
  <c r="K17" i="27" s="1"/>
  <c r="I17" i="27"/>
  <c r="B17" i="27"/>
  <c r="A17" i="27"/>
  <c r="AI16" i="27"/>
  <c r="K16" i="27"/>
  <c r="J16" i="27"/>
  <c r="I16" i="27"/>
  <c r="M16" i="27" s="1"/>
  <c r="A16" i="27" s="1"/>
  <c r="B16" i="27"/>
  <c r="K15" i="27"/>
  <c r="J15" i="27"/>
  <c r="I15" i="27"/>
  <c r="M15" i="27" s="1"/>
  <c r="A15" i="27" s="1"/>
  <c r="B15" i="27"/>
  <c r="AI14" i="27"/>
  <c r="M14" i="27"/>
  <c r="A14" i="27" s="1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M11" i="27"/>
  <c r="J11" i="27"/>
  <c r="K11" i="27" s="1"/>
  <c r="I11" i="27"/>
  <c r="B11" i="27"/>
  <c r="A11" i="27"/>
  <c r="M10" i="27"/>
  <c r="A10" i="27" s="1"/>
  <c r="J10" i="27"/>
  <c r="K10" i="27" s="1"/>
  <c r="I10" i="27"/>
  <c r="B10" i="27"/>
  <c r="K9" i="27"/>
  <c r="J9" i="27"/>
  <c r="I9" i="27"/>
  <c r="M9" i="27" s="1"/>
  <c r="A9" i="27" s="1"/>
  <c r="B9" i="27"/>
  <c r="J8" i="27"/>
  <c r="K8" i="27" s="1"/>
  <c r="I8" i="27"/>
  <c r="M8" i="27" s="1"/>
  <c r="A8" i="27" s="1"/>
  <c r="B8" i="27"/>
  <c r="K7" i="27"/>
  <c r="J7" i="27"/>
  <c r="I7" i="27"/>
  <c r="M7" i="27" s="1"/>
  <c r="A7" i="27" s="1"/>
  <c r="B7" i="27"/>
  <c r="J6" i="27"/>
  <c r="K6" i="27" s="1"/>
  <c r="I6" i="27"/>
  <c r="M6" i="27" s="1"/>
  <c r="A6" i="27" s="1"/>
  <c r="B6" i="27"/>
  <c r="K2" i="27"/>
  <c r="K305" i="26"/>
  <c r="J305" i="26"/>
  <c r="I305" i="26"/>
  <c r="M305" i="26" s="1"/>
  <c r="K304" i="26"/>
  <c r="J304" i="26"/>
  <c r="I304" i="26"/>
  <c r="M304" i="26" s="1"/>
  <c r="K303" i="26"/>
  <c r="J303" i="26"/>
  <c r="I303" i="26"/>
  <c r="M303" i="26" s="1"/>
  <c r="M302" i="26"/>
  <c r="K302" i="26"/>
  <c r="J302" i="26"/>
  <c r="I302" i="26"/>
  <c r="K301" i="26"/>
  <c r="J301" i="26"/>
  <c r="I301" i="26"/>
  <c r="M301" i="26" s="1"/>
  <c r="M300" i="26"/>
  <c r="K300" i="26"/>
  <c r="J300" i="26"/>
  <c r="I300" i="26"/>
  <c r="K299" i="26"/>
  <c r="J299" i="26"/>
  <c r="I299" i="26"/>
  <c r="M299" i="26" s="1"/>
  <c r="M298" i="26"/>
  <c r="J298" i="26"/>
  <c r="K298" i="26" s="1"/>
  <c r="I298" i="26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M290" i="26"/>
  <c r="J290" i="26"/>
  <c r="K290" i="26" s="1"/>
  <c r="I290" i="26"/>
  <c r="J289" i="26"/>
  <c r="K289" i="26" s="1"/>
  <c r="I289" i="26"/>
  <c r="M289" i="26" s="1"/>
  <c r="M288" i="26"/>
  <c r="K288" i="26"/>
  <c r="J288" i="26"/>
  <c r="I288" i="26"/>
  <c r="K287" i="26"/>
  <c r="J287" i="26"/>
  <c r="I287" i="26"/>
  <c r="M287" i="26" s="1"/>
  <c r="M286" i="26"/>
  <c r="J286" i="26"/>
  <c r="K286" i="26" s="1"/>
  <c r="I286" i="26"/>
  <c r="K285" i="26"/>
  <c r="J285" i="26"/>
  <c r="I285" i="26"/>
  <c r="M285" i="26" s="1"/>
  <c r="J284" i="26"/>
  <c r="K284" i="26" s="1"/>
  <c r="I284" i="26"/>
  <c r="M284" i="26" s="1"/>
  <c r="J283" i="26"/>
  <c r="K283" i="26" s="1"/>
  <c r="I283" i="26"/>
  <c r="M283" i="26" s="1"/>
  <c r="K282" i="26"/>
  <c r="J282" i="26"/>
  <c r="I282" i="26"/>
  <c r="M282" i="26" s="1"/>
  <c r="K281" i="26"/>
  <c r="J281" i="26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J277" i="26"/>
  <c r="K277" i="26" s="1"/>
  <c r="I277" i="26"/>
  <c r="M277" i="26" s="1"/>
  <c r="K276" i="26"/>
  <c r="J276" i="26"/>
  <c r="I276" i="26"/>
  <c r="M276" i="26" s="1"/>
  <c r="K275" i="26"/>
  <c r="J275" i="26"/>
  <c r="I275" i="26"/>
  <c r="M275" i="26" s="1"/>
  <c r="M274" i="26"/>
  <c r="J274" i="26"/>
  <c r="K274" i="26" s="1"/>
  <c r="I274" i="26"/>
  <c r="J273" i="26"/>
  <c r="K273" i="26" s="1"/>
  <c r="I273" i="26"/>
  <c r="M273" i="26" s="1"/>
  <c r="M272" i="26"/>
  <c r="K272" i="26"/>
  <c r="J272" i="26"/>
  <c r="I272" i="26"/>
  <c r="K271" i="26"/>
  <c r="J271" i="26"/>
  <c r="I271" i="26"/>
  <c r="M271" i="26" s="1"/>
  <c r="M270" i="26"/>
  <c r="J270" i="26"/>
  <c r="K270" i="26" s="1"/>
  <c r="I270" i="26"/>
  <c r="K269" i="26"/>
  <c r="J269" i="26"/>
  <c r="I269" i="26"/>
  <c r="M269" i="26" s="1"/>
  <c r="M268" i="26"/>
  <c r="J268" i="26"/>
  <c r="K268" i="26" s="1"/>
  <c r="I268" i="26"/>
  <c r="J267" i="26"/>
  <c r="K267" i="26" s="1"/>
  <c r="I267" i="26"/>
  <c r="M267" i="26" s="1"/>
  <c r="K266" i="26"/>
  <c r="J266" i="26"/>
  <c r="I266" i="26"/>
  <c r="M266" i="26" s="1"/>
  <c r="K265" i="26"/>
  <c r="J265" i="26"/>
  <c r="I265" i="26"/>
  <c r="M265" i="26" s="1"/>
  <c r="J264" i="26"/>
  <c r="K264" i="26" s="1"/>
  <c r="I264" i="26"/>
  <c r="M264" i="26" s="1"/>
  <c r="J263" i="26"/>
  <c r="K263" i="26" s="1"/>
  <c r="I263" i="26"/>
  <c r="M263" i="26" s="1"/>
  <c r="K262" i="26"/>
  <c r="J262" i="26"/>
  <c r="I262" i="26"/>
  <c r="M262" i="26" s="1"/>
  <c r="J261" i="26"/>
  <c r="K261" i="26" s="1"/>
  <c r="I261" i="26"/>
  <c r="M261" i="26" s="1"/>
  <c r="K260" i="26"/>
  <c r="J260" i="26"/>
  <c r="I260" i="26"/>
  <c r="M260" i="26" s="1"/>
  <c r="K259" i="26"/>
  <c r="J259" i="26"/>
  <c r="I259" i="26"/>
  <c r="M259" i="26" s="1"/>
  <c r="M258" i="26"/>
  <c r="J258" i="26"/>
  <c r="K258" i="26" s="1"/>
  <c r="I258" i="26"/>
  <c r="J257" i="26"/>
  <c r="K257" i="26" s="1"/>
  <c r="I257" i="26"/>
  <c r="M257" i="26" s="1"/>
  <c r="M256" i="26"/>
  <c r="K256" i="26"/>
  <c r="J256" i="26"/>
  <c r="I256" i="26"/>
  <c r="K255" i="26"/>
  <c r="J255" i="26"/>
  <c r="I255" i="26"/>
  <c r="M255" i="26" s="1"/>
  <c r="M254" i="26"/>
  <c r="K254" i="26"/>
  <c r="J254" i="26"/>
  <c r="I254" i="26"/>
  <c r="K253" i="26"/>
  <c r="J253" i="26"/>
  <c r="I253" i="26"/>
  <c r="M253" i="26" s="1"/>
  <c r="M252" i="26"/>
  <c r="J252" i="26"/>
  <c r="K252" i="26" s="1"/>
  <c r="I252" i="26"/>
  <c r="J251" i="26"/>
  <c r="K251" i="26" s="1"/>
  <c r="I251" i="26"/>
  <c r="M251" i="26" s="1"/>
  <c r="K250" i="26"/>
  <c r="J250" i="26"/>
  <c r="I250" i="26"/>
  <c r="M250" i="26" s="1"/>
  <c r="K249" i="26"/>
  <c r="J249" i="26"/>
  <c r="I249" i="26"/>
  <c r="M249" i="26" s="1"/>
  <c r="J248" i="26"/>
  <c r="K248" i="26" s="1"/>
  <c r="I248" i="26"/>
  <c r="M248" i="26" s="1"/>
  <c r="J247" i="26"/>
  <c r="K247" i="26" s="1"/>
  <c r="I247" i="26"/>
  <c r="M247" i="26" s="1"/>
  <c r="K246" i="26"/>
  <c r="J246" i="26"/>
  <c r="I246" i="26"/>
  <c r="M246" i="26" s="1"/>
  <c r="J245" i="26"/>
  <c r="K245" i="26" s="1"/>
  <c r="I245" i="26"/>
  <c r="M245" i="26" s="1"/>
  <c r="K244" i="26"/>
  <c r="J244" i="26"/>
  <c r="I244" i="26"/>
  <c r="M244" i="26" s="1"/>
  <c r="K243" i="26"/>
  <c r="J243" i="26"/>
  <c r="I243" i="26"/>
  <c r="M243" i="26" s="1"/>
  <c r="M242" i="26"/>
  <c r="J242" i="26"/>
  <c r="K242" i="26" s="1"/>
  <c r="I242" i="26"/>
  <c r="J241" i="26"/>
  <c r="K241" i="26" s="1"/>
  <c r="I241" i="26"/>
  <c r="M241" i="26" s="1"/>
  <c r="M240" i="26"/>
  <c r="K240" i="26"/>
  <c r="J240" i="26"/>
  <c r="I240" i="26"/>
  <c r="K239" i="26"/>
  <c r="J239" i="26"/>
  <c r="I239" i="26"/>
  <c r="M239" i="26" s="1"/>
  <c r="M238" i="26"/>
  <c r="K238" i="26"/>
  <c r="J238" i="26"/>
  <c r="I238" i="26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K234" i="26"/>
  <c r="J234" i="26"/>
  <c r="I234" i="26"/>
  <c r="M234" i="26" s="1"/>
  <c r="K233" i="26"/>
  <c r="J233" i="26"/>
  <c r="I233" i="26"/>
  <c r="M233" i="26" s="1"/>
  <c r="J232" i="26"/>
  <c r="K232" i="26" s="1"/>
  <c r="I232" i="26"/>
  <c r="M232" i="26" s="1"/>
  <c r="K231" i="26"/>
  <c r="J231" i="26"/>
  <c r="I231" i="26"/>
  <c r="M231" i="26" s="1"/>
  <c r="K230" i="26"/>
  <c r="J230" i="26"/>
  <c r="I230" i="26"/>
  <c r="M230" i="26" s="1"/>
  <c r="J229" i="26"/>
  <c r="K229" i="26" s="1"/>
  <c r="I229" i="26"/>
  <c r="M229" i="26" s="1"/>
  <c r="K228" i="26"/>
  <c r="J228" i="26"/>
  <c r="I228" i="26"/>
  <c r="M228" i="26" s="1"/>
  <c r="K227" i="26"/>
  <c r="J227" i="26"/>
  <c r="I227" i="26"/>
  <c r="M227" i="26" s="1"/>
  <c r="M226" i="26"/>
  <c r="J226" i="26"/>
  <c r="K226" i="26" s="1"/>
  <c r="I226" i="26"/>
  <c r="J225" i="26"/>
  <c r="K225" i="26" s="1"/>
  <c r="I225" i="26"/>
  <c r="M225" i="26" s="1"/>
  <c r="M224" i="26"/>
  <c r="K224" i="26"/>
  <c r="J224" i="26"/>
  <c r="I224" i="26"/>
  <c r="K223" i="26"/>
  <c r="J223" i="26"/>
  <c r="I223" i="26"/>
  <c r="M223" i="26" s="1"/>
  <c r="M222" i="26"/>
  <c r="J222" i="26"/>
  <c r="K222" i="26" s="1"/>
  <c r="I222" i="26"/>
  <c r="K221" i="26"/>
  <c r="J221" i="26"/>
  <c r="I221" i="26"/>
  <c r="M221" i="26" s="1"/>
  <c r="M220" i="26"/>
  <c r="J220" i="26"/>
  <c r="K220" i="26" s="1"/>
  <c r="I220" i="26"/>
  <c r="K219" i="26"/>
  <c r="J219" i="26"/>
  <c r="I219" i="26"/>
  <c r="M219" i="26" s="1"/>
  <c r="M218" i="26"/>
  <c r="J218" i="26"/>
  <c r="K218" i="26" s="1"/>
  <c r="I218" i="26"/>
  <c r="K217" i="26"/>
  <c r="J217" i="26"/>
  <c r="I217" i="26"/>
  <c r="M217" i="26" s="1"/>
  <c r="M216" i="26"/>
  <c r="K216" i="26"/>
  <c r="J216" i="26"/>
  <c r="I216" i="26"/>
  <c r="K215" i="26"/>
  <c r="J215" i="26"/>
  <c r="I215" i="26"/>
  <c r="M215" i="26" s="1"/>
  <c r="M214" i="26"/>
  <c r="K214" i="26"/>
  <c r="J214" i="26"/>
  <c r="I214" i="26"/>
  <c r="K213" i="26"/>
  <c r="J213" i="26"/>
  <c r="I213" i="26"/>
  <c r="M213" i="26" s="1"/>
  <c r="M212" i="26"/>
  <c r="J212" i="26"/>
  <c r="K212" i="26" s="1"/>
  <c r="I212" i="26"/>
  <c r="K211" i="26"/>
  <c r="J211" i="26"/>
  <c r="I211" i="26"/>
  <c r="M211" i="26" s="1"/>
  <c r="M210" i="26"/>
  <c r="K210" i="26"/>
  <c r="J210" i="26"/>
  <c r="I210" i="26"/>
  <c r="K209" i="26"/>
  <c r="J209" i="26"/>
  <c r="I209" i="26"/>
  <c r="M209" i="26" s="1"/>
  <c r="M208" i="26"/>
  <c r="J208" i="26"/>
  <c r="K208" i="26" s="1"/>
  <c r="I208" i="26"/>
  <c r="K207" i="26"/>
  <c r="J207" i="26"/>
  <c r="I207" i="26"/>
  <c r="M207" i="26" s="1"/>
  <c r="M206" i="26"/>
  <c r="J206" i="26"/>
  <c r="K206" i="26" s="1"/>
  <c r="I206" i="26"/>
  <c r="K205" i="26"/>
  <c r="J205" i="26"/>
  <c r="I205" i="26"/>
  <c r="M205" i="26" s="1"/>
  <c r="M204" i="26"/>
  <c r="J204" i="26"/>
  <c r="K204" i="26" s="1"/>
  <c r="I204" i="26"/>
  <c r="K203" i="26"/>
  <c r="J203" i="26"/>
  <c r="I203" i="26"/>
  <c r="M203" i="26" s="1"/>
  <c r="M202" i="26"/>
  <c r="J202" i="26"/>
  <c r="K202" i="26" s="1"/>
  <c r="I202" i="26"/>
  <c r="K201" i="26"/>
  <c r="J201" i="26"/>
  <c r="I201" i="26"/>
  <c r="M201" i="26" s="1"/>
  <c r="M200" i="26"/>
  <c r="K200" i="26"/>
  <c r="J200" i="26"/>
  <c r="I200" i="26"/>
  <c r="K199" i="26"/>
  <c r="J199" i="26"/>
  <c r="I199" i="26"/>
  <c r="M199" i="26" s="1"/>
  <c r="M198" i="26"/>
  <c r="K198" i="26"/>
  <c r="J198" i="26"/>
  <c r="I198" i="26"/>
  <c r="K197" i="26"/>
  <c r="J197" i="26"/>
  <c r="I197" i="26"/>
  <c r="M197" i="26" s="1"/>
  <c r="M196" i="26"/>
  <c r="J196" i="26"/>
  <c r="K196" i="26" s="1"/>
  <c r="I196" i="26"/>
  <c r="K195" i="26"/>
  <c r="J195" i="26"/>
  <c r="I195" i="26"/>
  <c r="M195" i="26" s="1"/>
  <c r="M194" i="26"/>
  <c r="K194" i="26"/>
  <c r="J194" i="26"/>
  <c r="I194" i="26"/>
  <c r="K193" i="26"/>
  <c r="J193" i="26"/>
  <c r="I193" i="26"/>
  <c r="M193" i="26" s="1"/>
  <c r="M192" i="26"/>
  <c r="K192" i="26"/>
  <c r="J192" i="26"/>
  <c r="I192" i="26"/>
  <c r="K191" i="26"/>
  <c r="J191" i="26"/>
  <c r="I191" i="26"/>
  <c r="M191" i="26" s="1"/>
  <c r="M190" i="26"/>
  <c r="J190" i="26"/>
  <c r="K190" i="26" s="1"/>
  <c r="I190" i="26"/>
  <c r="K189" i="26"/>
  <c r="J189" i="26"/>
  <c r="I189" i="26"/>
  <c r="M189" i="26" s="1"/>
  <c r="M188" i="26"/>
  <c r="J188" i="26"/>
  <c r="K188" i="26" s="1"/>
  <c r="I188" i="26"/>
  <c r="J187" i="26"/>
  <c r="K187" i="26" s="1"/>
  <c r="I187" i="26"/>
  <c r="M187" i="26" s="1"/>
  <c r="M186" i="26"/>
  <c r="K186" i="26"/>
  <c r="J186" i="26"/>
  <c r="I186" i="26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M178" i="26"/>
  <c r="K178" i="26"/>
  <c r="J178" i="26"/>
  <c r="I178" i="26"/>
  <c r="J177" i="26"/>
  <c r="K177" i="26" s="1"/>
  <c r="I177" i="26"/>
  <c r="M177" i="26" s="1"/>
  <c r="M176" i="26"/>
  <c r="J176" i="26"/>
  <c r="K176" i="26" s="1"/>
  <c r="I176" i="26"/>
  <c r="J175" i="26"/>
  <c r="K175" i="26" s="1"/>
  <c r="I175" i="26"/>
  <c r="M175" i="26" s="1"/>
  <c r="M174" i="26"/>
  <c r="K174" i="26"/>
  <c r="J174" i="26"/>
  <c r="I174" i="26"/>
  <c r="J173" i="26"/>
  <c r="K173" i="26" s="1"/>
  <c r="I173" i="26"/>
  <c r="M173" i="26" s="1"/>
  <c r="M172" i="26"/>
  <c r="J172" i="26"/>
  <c r="K172" i="26" s="1"/>
  <c r="I172" i="26"/>
  <c r="J171" i="26"/>
  <c r="K171" i="26" s="1"/>
  <c r="I171" i="26"/>
  <c r="M171" i="26" s="1"/>
  <c r="M170" i="26"/>
  <c r="K170" i="26"/>
  <c r="J170" i="26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M166" i="26"/>
  <c r="K166" i="26"/>
  <c r="J166" i="26"/>
  <c r="I166" i="26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M162" i="26"/>
  <c r="K162" i="26"/>
  <c r="J162" i="26"/>
  <c r="I162" i="26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M156" i="26"/>
  <c r="J156" i="26"/>
  <c r="K156" i="26" s="1"/>
  <c r="I156" i="26"/>
  <c r="J155" i="26"/>
  <c r="K155" i="26" s="1"/>
  <c r="I155" i="26"/>
  <c r="M155" i="26" s="1"/>
  <c r="M154" i="26"/>
  <c r="K154" i="26"/>
  <c r="J154" i="26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M146" i="26"/>
  <c r="K146" i="26"/>
  <c r="J146" i="26"/>
  <c r="I146" i="26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M142" i="26"/>
  <c r="K142" i="26"/>
  <c r="J142" i="26"/>
  <c r="I142" i="26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M138" i="26"/>
  <c r="K138" i="26"/>
  <c r="J138" i="26"/>
  <c r="I138" i="26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M130" i="26"/>
  <c r="K130" i="26"/>
  <c r="J130" i="26"/>
  <c r="I130" i="26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M124" i="26"/>
  <c r="J124" i="26"/>
  <c r="K124" i="26" s="1"/>
  <c r="I124" i="26"/>
  <c r="J123" i="26"/>
  <c r="K123" i="26" s="1"/>
  <c r="I123" i="26"/>
  <c r="M123" i="26" s="1"/>
  <c r="M122" i="26"/>
  <c r="K122" i="26"/>
  <c r="J122" i="26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M118" i="26"/>
  <c r="K118" i="26"/>
  <c r="J118" i="26"/>
  <c r="I118" i="26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M112" i="26"/>
  <c r="J112" i="26"/>
  <c r="K112" i="26" s="1"/>
  <c r="I112" i="26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M108" i="26"/>
  <c r="J108" i="26"/>
  <c r="K108" i="26" s="1"/>
  <c r="I108" i="26"/>
  <c r="J107" i="26"/>
  <c r="K107" i="26" s="1"/>
  <c r="I107" i="26"/>
  <c r="M107" i="26" s="1"/>
  <c r="M106" i="26"/>
  <c r="K106" i="26"/>
  <c r="J106" i="26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K102" i="26"/>
  <c r="J102" i="26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M98" i="26"/>
  <c r="K98" i="26"/>
  <c r="J98" i="26"/>
  <c r="I98" i="26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K70" i="26"/>
  <c r="J70" i="26"/>
  <c r="I70" i="26"/>
  <c r="J69" i="26"/>
  <c r="K69" i="26" s="1"/>
  <c r="I69" i="26"/>
  <c r="M69" i="26" s="1"/>
  <c r="M68" i="26"/>
  <c r="J68" i="26"/>
  <c r="K68" i="26" s="1"/>
  <c r="I68" i="26"/>
  <c r="M67" i="26"/>
  <c r="J67" i="26"/>
  <c r="K67" i="26" s="1"/>
  <c r="I67" i="26"/>
  <c r="M66" i="26"/>
  <c r="K66" i="26"/>
  <c r="J66" i="26"/>
  <c r="I66" i="26"/>
  <c r="M65" i="26"/>
  <c r="J65" i="26"/>
  <c r="K65" i="26" s="1"/>
  <c r="I65" i="26"/>
  <c r="B65" i="26"/>
  <c r="K64" i="26"/>
  <c r="J64" i="26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K61" i="26"/>
  <c r="J61" i="26"/>
  <c r="I61" i="26"/>
  <c r="B61" i="26"/>
  <c r="M60" i="26"/>
  <c r="J60" i="26"/>
  <c r="K60" i="26" s="1"/>
  <c r="I60" i="26"/>
  <c r="B60" i="26"/>
  <c r="M59" i="26"/>
  <c r="J59" i="26"/>
  <c r="K59" i="26" s="1"/>
  <c r="I59" i="26"/>
  <c r="B59" i="26"/>
  <c r="M58" i="26"/>
  <c r="K58" i="26"/>
  <c r="J58" i="26"/>
  <c r="I58" i="26"/>
  <c r="B58" i="26"/>
  <c r="J57" i="26"/>
  <c r="K57" i="26" s="1"/>
  <c r="I57" i="26"/>
  <c r="M57" i="26" s="1"/>
  <c r="B57" i="26"/>
  <c r="K56" i="26"/>
  <c r="J56" i="26"/>
  <c r="I56" i="26"/>
  <c r="M56" i="26" s="1"/>
  <c r="B56" i="26"/>
  <c r="M55" i="26"/>
  <c r="J55" i="26"/>
  <c r="K55" i="26" s="1"/>
  <c r="I55" i="26"/>
  <c r="B55" i="26"/>
  <c r="K54" i="26"/>
  <c r="J54" i="26"/>
  <c r="I54" i="26"/>
  <c r="M54" i="26" s="1"/>
  <c r="B54" i="26"/>
  <c r="M53" i="26"/>
  <c r="J53" i="26"/>
  <c r="K53" i="26" s="1"/>
  <c r="I53" i="26"/>
  <c r="B53" i="26"/>
  <c r="K52" i="26"/>
  <c r="J52" i="26"/>
  <c r="I52" i="26"/>
  <c r="M52" i="26" s="1"/>
  <c r="B52" i="26"/>
  <c r="M51" i="26"/>
  <c r="J51" i="26"/>
  <c r="K51" i="26" s="1"/>
  <c r="I51" i="26"/>
  <c r="B51" i="26"/>
  <c r="M50" i="26"/>
  <c r="K50" i="26"/>
  <c r="J50" i="26"/>
  <c r="I50" i="26"/>
  <c r="B50" i="26"/>
  <c r="J49" i="26"/>
  <c r="K49" i="26" s="1"/>
  <c r="I49" i="26"/>
  <c r="M49" i="26" s="1"/>
  <c r="B49" i="26"/>
  <c r="K48" i="26"/>
  <c r="J48" i="26"/>
  <c r="I48" i="26"/>
  <c r="M48" i="26" s="1"/>
  <c r="B48" i="26"/>
  <c r="M47" i="26"/>
  <c r="K47" i="26"/>
  <c r="J47" i="26"/>
  <c r="I47" i="26"/>
  <c r="B47" i="26"/>
  <c r="T46" i="26"/>
  <c r="U46" i="26" s="1"/>
  <c r="R46" i="26"/>
  <c r="M46" i="26"/>
  <c r="J46" i="26"/>
  <c r="K46" i="26" s="1"/>
  <c r="I46" i="26"/>
  <c r="B46" i="26"/>
  <c r="K45" i="26"/>
  <c r="J45" i="26"/>
  <c r="I45" i="26"/>
  <c r="M45" i="26" s="1"/>
  <c r="B45" i="26"/>
  <c r="M44" i="26"/>
  <c r="J44" i="26"/>
  <c r="K44" i="26" s="1"/>
  <c r="I44" i="26"/>
  <c r="B44" i="26"/>
  <c r="K43" i="26"/>
  <c r="J43" i="26"/>
  <c r="I43" i="26"/>
  <c r="M43" i="26" s="1"/>
  <c r="B43" i="26"/>
  <c r="M42" i="26"/>
  <c r="J42" i="26"/>
  <c r="K42" i="26" s="1"/>
  <c r="I42" i="26"/>
  <c r="B42" i="26"/>
  <c r="K41" i="26"/>
  <c r="J41" i="26"/>
  <c r="I41" i="26"/>
  <c r="M41" i="26" s="1"/>
  <c r="B41" i="26"/>
  <c r="J40" i="26"/>
  <c r="K40" i="26" s="1"/>
  <c r="I40" i="26"/>
  <c r="M40" i="26" s="1"/>
  <c r="B40" i="26"/>
  <c r="K39" i="26"/>
  <c r="J39" i="26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K36" i="26"/>
  <c r="J36" i="26"/>
  <c r="I36" i="26"/>
  <c r="M36" i="26" s="1"/>
  <c r="B36" i="26"/>
  <c r="A36" i="26"/>
  <c r="M35" i="26"/>
  <c r="A35" i="26" s="1"/>
  <c r="K35" i="26"/>
  <c r="J35" i="26"/>
  <c r="I35" i="26"/>
  <c r="B35" i="26"/>
  <c r="K34" i="26"/>
  <c r="J34" i="26"/>
  <c r="I34" i="26"/>
  <c r="M34" i="26" s="1"/>
  <c r="A34" i="26" s="1"/>
  <c r="B34" i="26"/>
  <c r="K33" i="26"/>
  <c r="J33" i="26"/>
  <c r="I33" i="26"/>
  <c r="M33" i="26" s="1"/>
  <c r="B33" i="26"/>
  <c r="A33" i="26"/>
  <c r="K32" i="26"/>
  <c r="J32" i="26"/>
  <c r="I32" i="26"/>
  <c r="M32" i="26" s="1"/>
  <c r="B32" i="26"/>
  <c r="A32" i="26"/>
  <c r="K31" i="26"/>
  <c r="J31" i="26"/>
  <c r="I31" i="26"/>
  <c r="M31" i="26" s="1"/>
  <c r="A31" i="26" s="1"/>
  <c r="B31" i="26"/>
  <c r="J30" i="26"/>
  <c r="K30" i="26" s="1"/>
  <c r="I30" i="26"/>
  <c r="M30" i="26" s="1"/>
  <c r="A30" i="26" s="1"/>
  <c r="B30" i="26"/>
  <c r="K29" i="26"/>
  <c r="J29" i="26"/>
  <c r="I29" i="26"/>
  <c r="M29" i="26" s="1"/>
  <c r="A29" i="26" s="1"/>
  <c r="B29" i="26"/>
  <c r="K28" i="26"/>
  <c r="J28" i="26"/>
  <c r="I28" i="26"/>
  <c r="M28" i="26" s="1"/>
  <c r="B28" i="26"/>
  <c r="A28" i="26"/>
  <c r="M27" i="26"/>
  <c r="A27" i="26" s="1"/>
  <c r="K27" i="26"/>
  <c r="J27" i="26"/>
  <c r="I27" i="26"/>
  <c r="B27" i="26"/>
  <c r="K26" i="26"/>
  <c r="J26" i="26"/>
  <c r="I26" i="26"/>
  <c r="M26" i="26" s="1"/>
  <c r="A26" i="26" s="1"/>
  <c r="B26" i="26"/>
  <c r="K25" i="26"/>
  <c r="J25" i="26"/>
  <c r="I25" i="26"/>
  <c r="M25" i="26" s="1"/>
  <c r="B25" i="26"/>
  <c r="A25" i="26"/>
  <c r="K24" i="26"/>
  <c r="J24" i="26"/>
  <c r="I24" i="26"/>
  <c r="M24" i="26" s="1"/>
  <c r="B24" i="26"/>
  <c r="A24" i="26"/>
  <c r="K23" i="26"/>
  <c r="J23" i="26"/>
  <c r="I23" i="26"/>
  <c r="M23" i="26" s="1"/>
  <c r="A23" i="26" s="1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K20" i="26"/>
  <c r="J20" i="26"/>
  <c r="I20" i="26"/>
  <c r="M20" i="26" s="1"/>
  <c r="B20" i="26"/>
  <c r="A20" i="26"/>
  <c r="M19" i="26"/>
  <c r="A19" i="26" s="1"/>
  <c r="K19" i="26"/>
  <c r="J19" i="26"/>
  <c r="I19" i="26"/>
  <c r="B19" i="26"/>
  <c r="K18" i="26"/>
  <c r="J18" i="26"/>
  <c r="I18" i="26"/>
  <c r="M18" i="26" s="1"/>
  <c r="A18" i="26" s="1"/>
  <c r="B18" i="26"/>
  <c r="K17" i="26"/>
  <c r="J17" i="26"/>
  <c r="I17" i="26"/>
  <c r="M17" i="26" s="1"/>
  <c r="B17" i="26"/>
  <c r="A17" i="26"/>
  <c r="M16" i="26"/>
  <c r="A16" i="26" s="1"/>
  <c r="K16" i="26"/>
  <c r="J16" i="26"/>
  <c r="I16" i="26"/>
  <c r="B16" i="26"/>
  <c r="M15" i="26"/>
  <c r="A15" i="26" s="1"/>
  <c r="J15" i="26"/>
  <c r="K15" i="26" s="1"/>
  <c r="I15" i="26"/>
  <c r="B15" i="26"/>
  <c r="AI14" i="26"/>
  <c r="M14" i="26"/>
  <c r="A14" i="26" s="1"/>
  <c r="K14" i="26"/>
  <c r="J14" i="26"/>
  <c r="I14" i="26"/>
  <c r="B14" i="26"/>
  <c r="AI13" i="26"/>
  <c r="M13" i="26"/>
  <c r="A13" i="26" s="1"/>
  <c r="J13" i="26"/>
  <c r="K13" i="26" s="1"/>
  <c r="I13" i="26"/>
  <c r="B13" i="26"/>
  <c r="AI12" i="26"/>
  <c r="AI16" i="26" s="1"/>
  <c r="J12" i="26"/>
  <c r="K12" i="26" s="1"/>
  <c r="I12" i="26"/>
  <c r="M12" i="26" s="1"/>
  <c r="A12" i="26" s="1"/>
  <c r="B12" i="26"/>
  <c r="K11" i="26"/>
  <c r="J11" i="26"/>
  <c r="I11" i="26"/>
  <c r="M11" i="26" s="1"/>
  <c r="B11" i="26"/>
  <c r="A11" i="26"/>
  <c r="K10" i="26"/>
  <c r="J10" i="26"/>
  <c r="I10" i="26"/>
  <c r="M10" i="26" s="1"/>
  <c r="A10" i="26" s="1"/>
  <c r="B10" i="26"/>
  <c r="M9" i="26"/>
  <c r="A9" i="26" s="1"/>
  <c r="L9" i="26"/>
  <c r="J9" i="26"/>
  <c r="K9" i="26" s="1"/>
  <c r="I9" i="26"/>
  <c r="B9" i="26"/>
  <c r="M8" i="26"/>
  <c r="A8" i="26" s="1"/>
  <c r="L8" i="26"/>
  <c r="K8" i="26"/>
  <c r="J8" i="26"/>
  <c r="I8" i="26"/>
  <c r="B8" i="26"/>
  <c r="L7" i="26"/>
  <c r="J7" i="26"/>
  <c r="K7" i="26" s="1"/>
  <c r="I7" i="26"/>
  <c r="M7" i="26" s="1"/>
  <c r="A7" i="26" s="1"/>
  <c r="B7" i="26"/>
  <c r="K6" i="26"/>
  <c r="J6" i="26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M290" i="25"/>
  <c r="J290" i="25"/>
  <c r="K290" i="25" s="1"/>
  <c r="I290" i="25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M284" i="25"/>
  <c r="J284" i="25"/>
  <c r="K284" i="25" s="1"/>
  <c r="I284" i="25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M274" i="25"/>
  <c r="J274" i="25"/>
  <c r="K274" i="25" s="1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M270" i="25"/>
  <c r="J270" i="25"/>
  <c r="K270" i="25" s="1"/>
  <c r="I270" i="25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M228" i="25"/>
  <c r="K228" i="25"/>
  <c r="J228" i="25"/>
  <c r="I228" i="25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K216" i="25"/>
  <c r="J216" i="25"/>
  <c r="I216" i="25"/>
  <c r="M216" i="25" s="1"/>
  <c r="M215" i="25"/>
  <c r="J215" i="25"/>
  <c r="K215" i="25" s="1"/>
  <c r="I215" i="25"/>
  <c r="J214" i="25"/>
  <c r="K214" i="25" s="1"/>
  <c r="I214" i="25"/>
  <c r="M214" i="25" s="1"/>
  <c r="M213" i="25"/>
  <c r="J213" i="25"/>
  <c r="K213" i="25" s="1"/>
  <c r="I213" i="25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M208" i="25"/>
  <c r="J208" i="25"/>
  <c r="K208" i="25" s="1"/>
  <c r="I208" i="25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M204" i="25"/>
  <c r="J204" i="25"/>
  <c r="K204" i="25" s="1"/>
  <c r="I204" i="25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M200" i="25"/>
  <c r="J200" i="25"/>
  <c r="K200" i="25" s="1"/>
  <c r="I200" i="25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M194" i="25"/>
  <c r="J194" i="25"/>
  <c r="K194" i="25" s="1"/>
  <c r="I194" i="25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M190" i="25"/>
  <c r="J190" i="25"/>
  <c r="K190" i="25" s="1"/>
  <c r="I190" i="25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M180" i="25"/>
  <c r="J180" i="25"/>
  <c r="K180" i="25" s="1"/>
  <c r="I180" i="25"/>
  <c r="J179" i="25"/>
  <c r="K179" i="25" s="1"/>
  <c r="I179" i="25"/>
  <c r="M179" i="25" s="1"/>
  <c r="M178" i="25"/>
  <c r="J178" i="25"/>
  <c r="K178" i="25" s="1"/>
  <c r="I178" i="25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M162" i="25"/>
  <c r="J162" i="25"/>
  <c r="K162" i="25" s="1"/>
  <c r="I162" i="25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M156" i="25"/>
  <c r="J156" i="25"/>
  <c r="K156" i="25" s="1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M150" i="25"/>
  <c r="J150" i="25"/>
  <c r="K150" i="25" s="1"/>
  <c r="I150" i="25"/>
  <c r="J149" i="25"/>
  <c r="K149" i="25" s="1"/>
  <c r="I149" i="25"/>
  <c r="M149" i="25" s="1"/>
  <c r="M148" i="25"/>
  <c r="J148" i="25"/>
  <c r="K148" i="25" s="1"/>
  <c r="I148" i="25"/>
  <c r="J147" i="25"/>
  <c r="K147" i="25" s="1"/>
  <c r="I147" i="25"/>
  <c r="M147" i="25" s="1"/>
  <c r="M146" i="25"/>
  <c r="J146" i="25"/>
  <c r="K146" i="25" s="1"/>
  <c r="I146" i="25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M140" i="25"/>
  <c r="J140" i="25"/>
  <c r="K140" i="25" s="1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M134" i="25"/>
  <c r="J134" i="25"/>
  <c r="K134" i="25" s="1"/>
  <c r="I134" i="25"/>
  <c r="J133" i="25"/>
  <c r="K133" i="25" s="1"/>
  <c r="I133" i="25"/>
  <c r="M133" i="25" s="1"/>
  <c r="M132" i="25"/>
  <c r="J132" i="25"/>
  <c r="K132" i="25" s="1"/>
  <c r="I132" i="25"/>
  <c r="J131" i="25"/>
  <c r="K131" i="25" s="1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J124" i="25"/>
  <c r="K124" i="25" s="1"/>
  <c r="I124" i="25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M118" i="25"/>
  <c r="J118" i="25"/>
  <c r="K118" i="25" s="1"/>
  <c r="I118" i="25"/>
  <c r="J117" i="25"/>
  <c r="K117" i="25" s="1"/>
  <c r="I117" i="25"/>
  <c r="M117" i="25" s="1"/>
  <c r="M116" i="25"/>
  <c r="J116" i="25"/>
  <c r="K116" i="25" s="1"/>
  <c r="I116" i="25"/>
  <c r="J115" i="25"/>
  <c r="K115" i="25" s="1"/>
  <c r="I115" i="25"/>
  <c r="M115" i="25" s="1"/>
  <c r="M114" i="25"/>
  <c r="J114" i="25"/>
  <c r="K114" i="25" s="1"/>
  <c r="I114" i="25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M108" i="25"/>
  <c r="J108" i="25"/>
  <c r="K108" i="25" s="1"/>
  <c r="I108" i="25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M102" i="25"/>
  <c r="J102" i="25"/>
  <c r="K102" i="25" s="1"/>
  <c r="I102" i="25"/>
  <c r="J101" i="25"/>
  <c r="K101" i="25" s="1"/>
  <c r="I101" i="25"/>
  <c r="M101" i="25" s="1"/>
  <c r="M100" i="25"/>
  <c r="J100" i="25"/>
  <c r="K100" i="25" s="1"/>
  <c r="I100" i="25"/>
  <c r="J99" i="25"/>
  <c r="K99" i="25" s="1"/>
  <c r="I99" i="25"/>
  <c r="M99" i="25" s="1"/>
  <c r="M98" i="25"/>
  <c r="J98" i="25"/>
  <c r="K98" i="25" s="1"/>
  <c r="I98" i="25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M92" i="25"/>
  <c r="J92" i="25"/>
  <c r="K92" i="25" s="1"/>
  <c r="I92" i="25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M86" i="25"/>
  <c r="J86" i="25"/>
  <c r="K86" i="25" s="1"/>
  <c r="I86" i="25"/>
  <c r="J85" i="25"/>
  <c r="K85" i="25" s="1"/>
  <c r="I85" i="25"/>
  <c r="M85" i="25" s="1"/>
  <c r="M84" i="25"/>
  <c r="J84" i="25"/>
  <c r="K84" i="25" s="1"/>
  <c r="I84" i="25"/>
  <c r="J83" i="25"/>
  <c r="K83" i="25" s="1"/>
  <c r="I83" i="25"/>
  <c r="M83" i="25" s="1"/>
  <c r="M82" i="25"/>
  <c r="J82" i="25"/>
  <c r="K82" i="25" s="1"/>
  <c r="I82" i="25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M76" i="25"/>
  <c r="J76" i="25"/>
  <c r="K76" i="25" s="1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J68" i="25"/>
  <c r="K68" i="25" s="1"/>
  <c r="I68" i="25"/>
  <c r="J67" i="25"/>
  <c r="K67" i="25" s="1"/>
  <c r="I67" i="25"/>
  <c r="M67" i="25" s="1"/>
  <c r="M66" i="25"/>
  <c r="J66" i="25"/>
  <c r="K66" i="25" s="1"/>
  <c r="I66" i="25"/>
  <c r="J65" i="25"/>
  <c r="K65" i="25" s="1"/>
  <c r="I65" i="25"/>
  <c r="M65" i="25" s="1"/>
  <c r="B65" i="25"/>
  <c r="M64" i="25"/>
  <c r="K64" i="25"/>
  <c r="J64" i="25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M58" i="25"/>
  <c r="A58" i="25" s="1"/>
  <c r="J58" i="25"/>
  <c r="K58" i="25" s="1"/>
  <c r="I58" i="25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B56" i="25"/>
  <c r="A56" i="25"/>
  <c r="J55" i="25"/>
  <c r="K55" i="25" s="1"/>
  <c r="I55" i="25"/>
  <c r="M55" i="25" s="1"/>
  <c r="A55" i="25" s="1"/>
  <c r="B55" i="25"/>
  <c r="M54" i="25"/>
  <c r="A54" i="25" s="1"/>
  <c r="J54" i="25"/>
  <c r="K54" i="25" s="1"/>
  <c r="I54" i="25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M50" i="25"/>
  <c r="A50" i="25" s="1"/>
  <c r="J50" i="25"/>
  <c r="K50" i="25" s="1"/>
  <c r="I50" i="25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B48" i="25"/>
  <c r="A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A44" i="25" s="1"/>
  <c r="J44" i="25"/>
  <c r="K44" i="25" s="1"/>
  <c r="I44" i="25"/>
  <c r="B44" i="25"/>
  <c r="M43" i="25"/>
  <c r="A43" i="25" s="1"/>
  <c r="K43" i="25"/>
  <c r="J43" i="25"/>
  <c r="I43" i="25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M35" i="25"/>
  <c r="A35" i="25" s="1"/>
  <c r="J35" i="25"/>
  <c r="K35" i="25" s="1"/>
  <c r="I35" i="25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M32" i="25"/>
  <c r="A32" i="25" s="1"/>
  <c r="J32" i="25"/>
  <c r="K32" i="25" s="1"/>
  <c r="I32" i="25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M28" i="25"/>
  <c r="A28" i="25" s="1"/>
  <c r="J28" i="25"/>
  <c r="K28" i="25" s="1"/>
  <c r="I28" i="25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K25" i="25"/>
  <c r="J25" i="25"/>
  <c r="I25" i="25"/>
  <c r="M25" i="25" s="1"/>
  <c r="A25" i="25" s="1"/>
  <c r="B25" i="25"/>
  <c r="M24" i="25"/>
  <c r="A24" i="25" s="1"/>
  <c r="J24" i="25"/>
  <c r="K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M17" i="25"/>
  <c r="A17" i="25" s="1"/>
  <c r="J17" i="25"/>
  <c r="K17" i="25" s="1"/>
  <c r="I17" i="25"/>
  <c r="B17" i="25"/>
  <c r="AI16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M14" i="25"/>
  <c r="A14" i="25" s="1"/>
  <c r="J14" i="25"/>
  <c r="K14" i="25" s="1"/>
  <c r="I14" i="25"/>
  <c r="B14" i="25"/>
  <c r="AI13" i="25"/>
  <c r="J13" i="25"/>
  <c r="K13" i="25" s="1"/>
  <c r="I13" i="25"/>
  <c r="M13" i="25" s="1"/>
  <c r="B13" i="25"/>
  <c r="A13" i="25"/>
  <c r="AI12" i="25"/>
  <c r="J12" i="25"/>
  <c r="K12" i="25" s="1"/>
  <c r="I12" i="25"/>
  <c r="M12" i="25" s="1"/>
  <c r="A12" i="25" s="1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K9" i="25"/>
  <c r="J9" i="25"/>
  <c r="I9" i="25"/>
  <c r="M9" i="25" s="1"/>
  <c r="A9" i="25" s="1"/>
  <c r="B9" i="25"/>
  <c r="J8" i="25"/>
  <c r="K8" i="25" s="1"/>
  <c r="I8" i="25"/>
  <c r="M8" i="25" s="1"/>
  <c r="B8" i="25"/>
  <c r="A8" i="25"/>
  <c r="K7" i="25"/>
  <c r="I7" i="25"/>
  <c r="B7" i="25"/>
  <c r="J6" i="25"/>
  <c r="K6" i="25" s="1"/>
  <c r="I6" i="25"/>
  <c r="B6" i="25"/>
  <c r="Z28" i="20" s="1"/>
  <c r="K2" i="25"/>
  <c r="L9" i="25" s="1"/>
  <c r="M305" i="24"/>
  <c r="J305" i="24"/>
  <c r="K305" i="24" s="1"/>
  <c r="I305" i="24"/>
  <c r="K304" i="24"/>
  <c r="J304" i="24"/>
  <c r="I304" i="24"/>
  <c r="M304" i="24" s="1"/>
  <c r="M303" i="24"/>
  <c r="J303" i="24"/>
  <c r="K303" i="24" s="1"/>
  <c r="I303" i="24"/>
  <c r="K302" i="24"/>
  <c r="J302" i="24"/>
  <c r="I302" i="24"/>
  <c r="M302" i="24" s="1"/>
  <c r="M301" i="24"/>
  <c r="J301" i="24"/>
  <c r="K301" i="24" s="1"/>
  <c r="I301" i="24"/>
  <c r="M300" i="24"/>
  <c r="K300" i="24"/>
  <c r="J300" i="24"/>
  <c r="I300" i="24"/>
  <c r="M299" i="24"/>
  <c r="J299" i="24"/>
  <c r="K299" i="24" s="1"/>
  <c r="I299" i="24"/>
  <c r="K298" i="24"/>
  <c r="J298" i="24"/>
  <c r="I298" i="24"/>
  <c r="M298" i="24" s="1"/>
  <c r="J297" i="24"/>
  <c r="K297" i="24" s="1"/>
  <c r="I297" i="24"/>
  <c r="M297" i="24" s="1"/>
  <c r="M296" i="24"/>
  <c r="K296" i="24"/>
  <c r="J296" i="24"/>
  <c r="I296" i="24"/>
  <c r="J295" i="24"/>
  <c r="K295" i="24" s="1"/>
  <c r="I295" i="24"/>
  <c r="M295" i="24" s="1"/>
  <c r="M294" i="24"/>
  <c r="K294" i="24"/>
  <c r="J294" i="24"/>
  <c r="I294" i="24"/>
  <c r="M293" i="24"/>
  <c r="J293" i="24"/>
  <c r="K293" i="24" s="1"/>
  <c r="I293" i="24"/>
  <c r="M292" i="24"/>
  <c r="K292" i="24"/>
  <c r="J292" i="24"/>
  <c r="I292" i="24"/>
  <c r="J291" i="24"/>
  <c r="K291" i="24" s="1"/>
  <c r="I291" i="24"/>
  <c r="M291" i="24" s="1"/>
  <c r="J290" i="24"/>
  <c r="K290" i="24" s="1"/>
  <c r="I290" i="24"/>
  <c r="M290" i="24" s="1"/>
  <c r="M289" i="24"/>
  <c r="J289" i="24"/>
  <c r="K289" i="24" s="1"/>
  <c r="I289" i="24"/>
  <c r="J288" i="24"/>
  <c r="K288" i="24" s="1"/>
  <c r="I288" i="24"/>
  <c r="M288" i="24" s="1"/>
  <c r="M287" i="24"/>
  <c r="J287" i="24"/>
  <c r="K287" i="24" s="1"/>
  <c r="I287" i="24"/>
  <c r="K286" i="24"/>
  <c r="J286" i="24"/>
  <c r="I286" i="24"/>
  <c r="M286" i="24" s="1"/>
  <c r="M285" i="24"/>
  <c r="J285" i="24"/>
  <c r="K285" i="24" s="1"/>
  <c r="I285" i="24"/>
  <c r="M284" i="24"/>
  <c r="J284" i="24"/>
  <c r="K284" i="24" s="1"/>
  <c r="I284" i="24"/>
  <c r="M283" i="24"/>
  <c r="J283" i="24"/>
  <c r="K283" i="24" s="1"/>
  <c r="I283" i="24"/>
  <c r="J282" i="24"/>
  <c r="K282" i="24" s="1"/>
  <c r="I282" i="24"/>
  <c r="M282" i="24" s="1"/>
  <c r="J281" i="24"/>
  <c r="K281" i="24" s="1"/>
  <c r="I281" i="24"/>
  <c r="M281" i="24" s="1"/>
  <c r="M280" i="24"/>
  <c r="K280" i="24"/>
  <c r="J280" i="24"/>
  <c r="I280" i="24"/>
  <c r="J279" i="24"/>
  <c r="K279" i="24" s="1"/>
  <c r="I279" i="24"/>
  <c r="M279" i="24" s="1"/>
  <c r="M278" i="24"/>
  <c r="J278" i="24"/>
  <c r="K278" i="24" s="1"/>
  <c r="I278" i="24"/>
  <c r="M277" i="24"/>
  <c r="J277" i="24"/>
  <c r="K277" i="24" s="1"/>
  <c r="I277" i="24"/>
  <c r="M276" i="24"/>
  <c r="K276" i="24"/>
  <c r="J276" i="24"/>
  <c r="I276" i="24"/>
  <c r="J275" i="24"/>
  <c r="K275" i="24" s="1"/>
  <c r="I275" i="24"/>
  <c r="M275" i="24" s="1"/>
  <c r="K274" i="24"/>
  <c r="J274" i="24"/>
  <c r="I274" i="24"/>
  <c r="M274" i="24" s="1"/>
  <c r="M273" i="24"/>
  <c r="J273" i="24"/>
  <c r="K273" i="24" s="1"/>
  <c r="I273" i="24"/>
  <c r="J272" i="24"/>
  <c r="K272" i="24" s="1"/>
  <c r="I272" i="24"/>
  <c r="M272" i="24" s="1"/>
  <c r="M271" i="24"/>
  <c r="J271" i="24"/>
  <c r="K271" i="24" s="1"/>
  <c r="I271" i="24"/>
  <c r="K270" i="24"/>
  <c r="J270" i="24"/>
  <c r="I270" i="24"/>
  <c r="M270" i="24" s="1"/>
  <c r="M269" i="24"/>
  <c r="J269" i="24"/>
  <c r="K269" i="24" s="1"/>
  <c r="I269" i="24"/>
  <c r="M268" i="24"/>
  <c r="J268" i="24"/>
  <c r="K268" i="24" s="1"/>
  <c r="I268" i="24"/>
  <c r="M267" i="24"/>
  <c r="J267" i="24"/>
  <c r="K267" i="24" s="1"/>
  <c r="I267" i="24"/>
  <c r="J266" i="24"/>
  <c r="K266" i="24" s="1"/>
  <c r="I266" i="24"/>
  <c r="M266" i="24" s="1"/>
  <c r="J265" i="24"/>
  <c r="K265" i="24" s="1"/>
  <c r="I265" i="24"/>
  <c r="M265" i="24" s="1"/>
  <c r="M264" i="24"/>
  <c r="K264" i="24"/>
  <c r="J264" i="24"/>
  <c r="I264" i="24"/>
  <c r="J263" i="24"/>
  <c r="K263" i="24" s="1"/>
  <c r="I263" i="24"/>
  <c r="M263" i="24" s="1"/>
  <c r="M262" i="24"/>
  <c r="J262" i="24"/>
  <c r="K262" i="24" s="1"/>
  <c r="I262" i="24"/>
  <c r="M261" i="24"/>
  <c r="J261" i="24"/>
  <c r="K261" i="24" s="1"/>
  <c r="I261" i="24"/>
  <c r="M260" i="24"/>
  <c r="K260" i="24"/>
  <c r="J260" i="24"/>
  <c r="I260" i="24"/>
  <c r="J259" i="24"/>
  <c r="K259" i="24" s="1"/>
  <c r="I259" i="24"/>
  <c r="M259" i="24" s="1"/>
  <c r="J258" i="24"/>
  <c r="K258" i="24" s="1"/>
  <c r="I258" i="24"/>
  <c r="M258" i="24" s="1"/>
  <c r="M257" i="24"/>
  <c r="J257" i="24"/>
  <c r="K257" i="24" s="1"/>
  <c r="I257" i="24"/>
  <c r="J256" i="24"/>
  <c r="K256" i="24" s="1"/>
  <c r="I256" i="24"/>
  <c r="M256" i="24" s="1"/>
  <c r="M255" i="24"/>
  <c r="J255" i="24"/>
  <c r="K255" i="24" s="1"/>
  <c r="I255" i="24"/>
  <c r="K254" i="24"/>
  <c r="J254" i="24"/>
  <c r="I254" i="24"/>
  <c r="M254" i="24" s="1"/>
  <c r="M253" i="24"/>
  <c r="J253" i="24"/>
  <c r="K253" i="24" s="1"/>
  <c r="I253" i="24"/>
  <c r="M252" i="24"/>
  <c r="J252" i="24"/>
  <c r="K252" i="24" s="1"/>
  <c r="I252" i="24"/>
  <c r="M251" i="24"/>
  <c r="J251" i="24"/>
  <c r="K251" i="24" s="1"/>
  <c r="I251" i="24"/>
  <c r="J250" i="24"/>
  <c r="K250" i="24" s="1"/>
  <c r="I250" i="24"/>
  <c r="M250" i="24" s="1"/>
  <c r="J249" i="24"/>
  <c r="K249" i="24" s="1"/>
  <c r="I249" i="24"/>
  <c r="M249" i="24" s="1"/>
  <c r="M248" i="24"/>
  <c r="K248" i="24"/>
  <c r="J248" i="24"/>
  <c r="I248" i="24"/>
  <c r="J247" i="24"/>
  <c r="K247" i="24" s="1"/>
  <c r="I247" i="24"/>
  <c r="M247" i="24" s="1"/>
  <c r="M246" i="24"/>
  <c r="J246" i="24"/>
  <c r="K246" i="24" s="1"/>
  <c r="I246" i="24"/>
  <c r="M245" i="24"/>
  <c r="J245" i="24"/>
  <c r="K245" i="24" s="1"/>
  <c r="I245" i="24"/>
  <c r="M244" i="24"/>
  <c r="K244" i="24"/>
  <c r="J244" i="24"/>
  <c r="I244" i="24"/>
  <c r="J243" i="24"/>
  <c r="K243" i="24" s="1"/>
  <c r="I243" i="24"/>
  <c r="M243" i="24" s="1"/>
  <c r="K242" i="24"/>
  <c r="J242" i="24"/>
  <c r="I242" i="24"/>
  <c r="M242" i="24" s="1"/>
  <c r="M241" i="24"/>
  <c r="J241" i="24"/>
  <c r="K241" i="24" s="1"/>
  <c r="I241" i="24"/>
  <c r="J240" i="24"/>
  <c r="K240" i="24" s="1"/>
  <c r="I240" i="24"/>
  <c r="M240" i="24" s="1"/>
  <c r="M239" i="24"/>
  <c r="J239" i="24"/>
  <c r="K239" i="24" s="1"/>
  <c r="I239" i="24"/>
  <c r="K238" i="24"/>
  <c r="J238" i="24"/>
  <c r="I238" i="24"/>
  <c r="M238" i="24" s="1"/>
  <c r="M237" i="24"/>
  <c r="J237" i="24"/>
  <c r="K237" i="24" s="1"/>
  <c r="I237" i="24"/>
  <c r="M236" i="24"/>
  <c r="J236" i="24"/>
  <c r="K236" i="24" s="1"/>
  <c r="I236" i="24"/>
  <c r="M235" i="24"/>
  <c r="J235" i="24"/>
  <c r="K235" i="24" s="1"/>
  <c r="I235" i="24"/>
  <c r="J234" i="24"/>
  <c r="K234" i="24" s="1"/>
  <c r="I234" i="24"/>
  <c r="M234" i="24" s="1"/>
  <c r="J233" i="24"/>
  <c r="K233" i="24" s="1"/>
  <c r="I233" i="24"/>
  <c r="M233" i="24" s="1"/>
  <c r="M232" i="24"/>
  <c r="K232" i="24"/>
  <c r="J232" i="24"/>
  <c r="I232" i="24"/>
  <c r="J231" i="24"/>
  <c r="K231" i="24" s="1"/>
  <c r="I231" i="24"/>
  <c r="M231" i="24" s="1"/>
  <c r="M230" i="24"/>
  <c r="J230" i="24"/>
  <c r="K230" i="24" s="1"/>
  <c r="I230" i="24"/>
  <c r="M229" i="24"/>
  <c r="J229" i="24"/>
  <c r="K229" i="24" s="1"/>
  <c r="I229" i="24"/>
  <c r="M228" i="24"/>
  <c r="K228" i="24"/>
  <c r="J228" i="24"/>
  <c r="I228" i="24"/>
  <c r="J227" i="24"/>
  <c r="K227" i="24" s="1"/>
  <c r="I227" i="24"/>
  <c r="M227" i="24" s="1"/>
  <c r="J226" i="24"/>
  <c r="K226" i="24" s="1"/>
  <c r="I226" i="24"/>
  <c r="M226" i="24" s="1"/>
  <c r="M225" i="24"/>
  <c r="J225" i="24"/>
  <c r="K225" i="24" s="1"/>
  <c r="I225" i="24"/>
  <c r="J224" i="24"/>
  <c r="K224" i="24" s="1"/>
  <c r="I224" i="24"/>
  <c r="M224" i="24" s="1"/>
  <c r="M223" i="24"/>
  <c r="J223" i="24"/>
  <c r="K223" i="24" s="1"/>
  <c r="I223" i="24"/>
  <c r="K222" i="24"/>
  <c r="J222" i="24"/>
  <c r="I222" i="24"/>
  <c r="M222" i="24" s="1"/>
  <c r="M221" i="24"/>
  <c r="J221" i="24"/>
  <c r="K221" i="24" s="1"/>
  <c r="I221" i="24"/>
  <c r="M220" i="24"/>
  <c r="J220" i="24"/>
  <c r="K220" i="24" s="1"/>
  <c r="I220" i="24"/>
  <c r="M219" i="24"/>
  <c r="J219" i="24"/>
  <c r="K219" i="24" s="1"/>
  <c r="I219" i="24"/>
  <c r="J218" i="24"/>
  <c r="K218" i="24" s="1"/>
  <c r="I218" i="24"/>
  <c r="M218" i="24" s="1"/>
  <c r="J217" i="24"/>
  <c r="K217" i="24" s="1"/>
  <c r="I217" i="24"/>
  <c r="M217" i="24" s="1"/>
  <c r="M216" i="24"/>
  <c r="K216" i="24"/>
  <c r="J216" i="24"/>
  <c r="I216" i="24"/>
  <c r="J215" i="24"/>
  <c r="K215" i="24" s="1"/>
  <c r="I215" i="24"/>
  <c r="M215" i="24" s="1"/>
  <c r="M214" i="24"/>
  <c r="J214" i="24"/>
  <c r="K214" i="24" s="1"/>
  <c r="I214" i="24"/>
  <c r="M213" i="24"/>
  <c r="J213" i="24"/>
  <c r="K213" i="24" s="1"/>
  <c r="I213" i="24"/>
  <c r="M212" i="24"/>
  <c r="K212" i="24"/>
  <c r="J212" i="24"/>
  <c r="I212" i="24"/>
  <c r="J211" i="24"/>
  <c r="K211" i="24" s="1"/>
  <c r="I211" i="24"/>
  <c r="M211" i="24" s="1"/>
  <c r="K210" i="24"/>
  <c r="J210" i="24"/>
  <c r="I210" i="24"/>
  <c r="M210" i="24" s="1"/>
  <c r="M209" i="24"/>
  <c r="J209" i="24"/>
  <c r="K209" i="24" s="1"/>
  <c r="I209" i="24"/>
  <c r="J208" i="24"/>
  <c r="K208" i="24" s="1"/>
  <c r="I208" i="24"/>
  <c r="M208" i="24" s="1"/>
  <c r="M207" i="24"/>
  <c r="J207" i="24"/>
  <c r="K207" i="24" s="1"/>
  <c r="I207" i="24"/>
  <c r="K206" i="24"/>
  <c r="J206" i="24"/>
  <c r="I206" i="24"/>
  <c r="M206" i="24" s="1"/>
  <c r="M205" i="24"/>
  <c r="J205" i="24"/>
  <c r="K205" i="24" s="1"/>
  <c r="I205" i="24"/>
  <c r="M204" i="24"/>
  <c r="J204" i="24"/>
  <c r="K204" i="24" s="1"/>
  <c r="I204" i="24"/>
  <c r="M203" i="24"/>
  <c r="J203" i="24"/>
  <c r="K203" i="24" s="1"/>
  <c r="I203" i="24"/>
  <c r="J202" i="24"/>
  <c r="K202" i="24" s="1"/>
  <c r="I202" i="24"/>
  <c r="M202" i="24" s="1"/>
  <c r="J201" i="24"/>
  <c r="K201" i="24" s="1"/>
  <c r="I201" i="24"/>
  <c r="M201" i="24" s="1"/>
  <c r="M200" i="24"/>
  <c r="K200" i="24"/>
  <c r="J200" i="24"/>
  <c r="I200" i="24"/>
  <c r="M199" i="24"/>
  <c r="J199" i="24"/>
  <c r="K199" i="24" s="1"/>
  <c r="I199" i="24"/>
  <c r="M198" i="24"/>
  <c r="J198" i="24"/>
  <c r="K198" i="24" s="1"/>
  <c r="I198" i="24"/>
  <c r="M197" i="24"/>
  <c r="J197" i="24"/>
  <c r="K197" i="24" s="1"/>
  <c r="I197" i="24"/>
  <c r="M196" i="24"/>
  <c r="K196" i="24"/>
  <c r="J196" i="24"/>
  <c r="I196" i="24"/>
  <c r="J195" i="24"/>
  <c r="K195" i="24" s="1"/>
  <c r="I195" i="24"/>
  <c r="M195" i="24" s="1"/>
  <c r="J194" i="24"/>
  <c r="K194" i="24" s="1"/>
  <c r="I194" i="24"/>
  <c r="M194" i="24" s="1"/>
  <c r="M193" i="24"/>
  <c r="J193" i="24"/>
  <c r="K193" i="24" s="1"/>
  <c r="I193" i="24"/>
  <c r="J192" i="24"/>
  <c r="K192" i="24" s="1"/>
  <c r="I192" i="24"/>
  <c r="M192" i="24" s="1"/>
  <c r="M191" i="24"/>
  <c r="J191" i="24"/>
  <c r="K191" i="24" s="1"/>
  <c r="I191" i="24"/>
  <c r="K190" i="24"/>
  <c r="J190" i="24"/>
  <c r="I190" i="24"/>
  <c r="M190" i="24" s="1"/>
  <c r="J189" i="24"/>
  <c r="K189" i="24" s="1"/>
  <c r="I189" i="24"/>
  <c r="M189" i="24" s="1"/>
  <c r="M188" i="24"/>
  <c r="J188" i="24"/>
  <c r="K188" i="24" s="1"/>
  <c r="I188" i="24"/>
  <c r="M187" i="24"/>
  <c r="J187" i="24"/>
  <c r="K187" i="24" s="1"/>
  <c r="I187" i="24"/>
  <c r="J186" i="24"/>
  <c r="K186" i="24" s="1"/>
  <c r="I186" i="24"/>
  <c r="M186" i="24" s="1"/>
  <c r="J185" i="24"/>
  <c r="K185" i="24" s="1"/>
  <c r="I185" i="24"/>
  <c r="M185" i="24" s="1"/>
  <c r="M184" i="24"/>
  <c r="K184" i="24"/>
  <c r="J184" i="24"/>
  <c r="I184" i="24"/>
  <c r="J183" i="24"/>
  <c r="K183" i="24" s="1"/>
  <c r="I183" i="24"/>
  <c r="M183" i="24" s="1"/>
  <c r="M182" i="24"/>
  <c r="K182" i="24"/>
  <c r="J182" i="24"/>
  <c r="I182" i="24"/>
  <c r="J181" i="24"/>
  <c r="K181" i="24" s="1"/>
  <c r="I181" i="24"/>
  <c r="M181" i="24" s="1"/>
  <c r="M180" i="24"/>
  <c r="K180" i="24"/>
  <c r="J180" i="24"/>
  <c r="I180" i="24"/>
  <c r="J179" i="24"/>
  <c r="K179" i="24" s="1"/>
  <c r="I179" i="24"/>
  <c r="M179" i="24" s="1"/>
  <c r="M178" i="24"/>
  <c r="K178" i="24"/>
  <c r="J178" i="24"/>
  <c r="I178" i="24"/>
  <c r="J177" i="24"/>
  <c r="K177" i="24" s="1"/>
  <c r="I177" i="24"/>
  <c r="M177" i="24" s="1"/>
  <c r="M176" i="24"/>
  <c r="K176" i="24"/>
  <c r="J176" i="24"/>
  <c r="I176" i="24"/>
  <c r="M175" i="24"/>
  <c r="J175" i="24"/>
  <c r="K175" i="24" s="1"/>
  <c r="I175" i="24"/>
  <c r="M174" i="24"/>
  <c r="K174" i="24"/>
  <c r="J174" i="24"/>
  <c r="I174" i="24"/>
  <c r="M173" i="24"/>
  <c r="J173" i="24"/>
  <c r="K173" i="24" s="1"/>
  <c r="I173" i="24"/>
  <c r="M172" i="24"/>
  <c r="K172" i="24"/>
  <c r="J172" i="24"/>
  <c r="I172" i="24"/>
  <c r="M171" i="24"/>
  <c r="J171" i="24"/>
  <c r="K171" i="24" s="1"/>
  <c r="I171" i="24"/>
  <c r="M170" i="24"/>
  <c r="K170" i="24"/>
  <c r="J170" i="24"/>
  <c r="I170" i="24"/>
  <c r="J169" i="24"/>
  <c r="K169" i="24" s="1"/>
  <c r="I169" i="24"/>
  <c r="M169" i="24" s="1"/>
  <c r="M168" i="24"/>
  <c r="J168" i="24"/>
  <c r="K168" i="24" s="1"/>
  <c r="I168" i="24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M163" i="24"/>
  <c r="J163" i="24"/>
  <c r="K163" i="24" s="1"/>
  <c r="I163" i="24"/>
  <c r="J162" i="24"/>
  <c r="K162" i="24" s="1"/>
  <c r="I162" i="24"/>
  <c r="M162" i="24" s="1"/>
  <c r="M161" i="24"/>
  <c r="J161" i="24"/>
  <c r="K161" i="24" s="1"/>
  <c r="I161" i="24"/>
  <c r="J160" i="24"/>
  <c r="K160" i="24" s="1"/>
  <c r="I160" i="24"/>
  <c r="M160" i="24" s="1"/>
  <c r="M159" i="24"/>
  <c r="J159" i="24"/>
  <c r="K159" i="24" s="1"/>
  <c r="I159" i="24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M155" i="24"/>
  <c r="J155" i="24"/>
  <c r="K155" i="24" s="1"/>
  <c r="I155" i="24"/>
  <c r="J154" i="24"/>
  <c r="K154" i="24" s="1"/>
  <c r="I154" i="24"/>
  <c r="M154" i="24" s="1"/>
  <c r="M153" i="24"/>
  <c r="J153" i="24"/>
  <c r="K153" i="24" s="1"/>
  <c r="I153" i="24"/>
  <c r="J152" i="24"/>
  <c r="K152" i="24" s="1"/>
  <c r="I152" i="24"/>
  <c r="M152" i="24" s="1"/>
  <c r="M151" i="24"/>
  <c r="J151" i="24"/>
  <c r="K151" i="24" s="1"/>
  <c r="I151" i="24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M147" i="24"/>
  <c r="J147" i="24"/>
  <c r="K147" i="24" s="1"/>
  <c r="I147" i="24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M143" i="24"/>
  <c r="J143" i="24"/>
  <c r="K143" i="24" s="1"/>
  <c r="I143" i="24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K139" i="24"/>
  <c r="J139" i="24"/>
  <c r="I139" i="24"/>
  <c r="M139" i="24" s="1"/>
  <c r="B139" i="24"/>
  <c r="A139" i="24"/>
  <c r="M138" i="24"/>
  <c r="A138" i="24" s="1"/>
  <c r="J138" i="24"/>
  <c r="K138" i="24" s="1"/>
  <c r="I138" i="24"/>
  <c r="B138" i="24"/>
  <c r="M137" i="24"/>
  <c r="A137" i="24" s="1"/>
  <c r="J137" i="24"/>
  <c r="K137" i="24" s="1"/>
  <c r="I137" i="24"/>
  <c r="B137" i="24"/>
  <c r="J136" i="24"/>
  <c r="K136" i="24" s="1"/>
  <c r="I136" i="24"/>
  <c r="M136" i="24" s="1"/>
  <c r="A136" i="24" s="1"/>
  <c r="B136" i="24"/>
  <c r="M135" i="24"/>
  <c r="K135" i="24"/>
  <c r="J135" i="24"/>
  <c r="I135" i="24"/>
  <c r="B135" i="24"/>
  <c r="A135" i="24"/>
  <c r="J134" i="24"/>
  <c r="K134" i="24" s="1"/>
  <c r="I134" i="24"/>
  <c r="M134" i="24" s="1"/>
  <c r="A134" i="24" s="1"/>
  <c r="B134" i="24"/>
  <c r="M133" i="24"/>
  <c r="J133" i="24"/>
  <c r="K133" i="24" s="1"/>
  <c r="I133" i="24"/>
  <c r="B133" i="24"/>
  <c r="A133" i="24"/>
  <c r="M132" i="24"/>
  <c r="A132" i="24" s="1"/>
  <c r="J132" i="24"/>
  <c r="K132" i="24" s="1"/>
  <c r="I132" i="24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M129" i="24"/>
  <c r="A129" i="24" s="1"/>
  <c r="J129" i="24"/>
  <c r="K129" i="24" s="1"/>
  <c r="I129" i="24"/>
  <c r="B129" i="24"/>
  <c r="M128" i="24"/>
  <c r="A128" i="24" s="1"/>
  <c r="K128" i="24"/>
  <c r="J128" i="24"/>
  <c r="I128" i="24"/>
  <c r="B128" i="24"/>
  <c r="K127" i="24"/>
  <c r="J127" i="24"/>
  <c r="I127" i="24"/>
  <c r="M127" i="24" s="1"/>
  <c r="A127" i="24" s="1"/>
  <c r="B127" i="24"/>
  <c r="M126" i="24"/>
  <c r="J126" i="24"/>
  <c r="K126" i="24" s="1"/>
  <c r="I126" i="24"/>
  <c r="B126" i="24"/>
  <c r="A126" i="24"/>
  <c r="M125" i="24"/>
  <c r="A125" i="24" s="1"/>
  <c r="J125" i="24"/>
  <c r="K125" i="24" s="1"/>
  <c r="I125" i="24"/>
  <c r="B125" i="24"/>
  <c r="J124" i="24"/>
  <c r="K124" i="24" s="1"/>
  <c r="I124" i="24"/>
  <c r="M124" i="24" s="1"/>
  <c r="A124" i="24" s="1"/>
  <c r="B124" i="24"/>
  <c r="K123" i="24"/>
  <c r="J123" i="24"/>
  <c r="I123" i="24"/>
  <c r="M123" i="24" s="1"/>
  <c r="B123" i="24"/>
  <c r="A123" i="24"/>
  <c r="M122" i="24"/>
  <c r="A122" i="24" s="1"/>
  <c r="J122" i="24"/>
  <c r="K122" i="24" s="1"/>
  <c r="I122" i="24"/>
  <c r="B122" i="24"/>
  <c r="M121" i="24"/>
  <c r="A121" i="24" s="1"/>
  <c r="J121" i="24"/>
  <c r="K121" i="24" s="1"/>
  <c r="I121" i="24"/>
  <c r="B121" i="24"/>
  <c r="J120" i="24"/>
  <c r="K120" i="24" s="1"/>
  <c r="I120" i="24"/>
  <c r="M120" i="24" s="1"/>
  <c r="A120" i="24" s="1"/>
  <c r="B120" i="24"/>
  <c r="M119" i="24"/>
  <c r="A119" i="24" s="1"/>
  <c r="K119" i="24"/>
  <c r="J119" i="24"/>
  <c r="I119" i="24"/>
  <c r="B119" i="24"/>
  <c r="J118" i="24"/>
  <c r="K118" i="24" s="1"/>
  <c r="I118" i="24"/>
  <c r="M118" i="24" s="1"/>
  <c r="A118" i="24" s="1"/>
  <c r="B118" i="24"/>
  <c r="M117" i="24"/>
  <c r="J117" i="24"/>
  <c r="K117" i="24" s="1"/>
  <c r="I117" i="24"/>
  <c r="B117" i="24"/>
  <c r="A117" i="24"/>
  <c r="M116" i="24"/>
  <c r="A116" i="24" s="1"/>
  <c r="J116" i="24"/>
  <c r="K116" i="24" s="1"/>
  <c r="I116" i="24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M113" i="24"/>
  <c r="A113" i="24" s="1"/>
  <c r="J113" i="24"/>
  <c r="K113" i="24" s="1"/>
  <c r="I113" i="24"/>
  <c r="B113" i="24"/>
  <c r="M112" i="24"/>
  <c r="A112" i="24" s="1"/>
  <c r="K112" i="24"/>
  <c r="J112" i="24"/>
  <c r="I112" i="24"/>
  <c r="B112" i="24"/>
  <c r="K111" i="24"/>
  <c r="J111" i="24"/>
  <c r="I111" i="24"/>
  <c r="M111" i="24" s="1"/>
  <c r="B111" i="24"/>
  <c r="A111" i="24"/>
  <c r="J110" i="24"/>
  <c r="K110" i="24" s="1"/>
  <c r="I110" i="24"/>
  <c r="M110" i="24" s="1"/>
  <c r="A110" i="24" s="1"/>
  <c r="B110" i="24"/>
  <c r="M109" i="24"/>
  <c r="A109" i="24" s="1"/>
  <c r="J109" i="24"/>
  <c r="K109" i="24" s="1"/>
  <c r="I109" i="24"/>
  <c r="B109" i="24"/>
  <c r="M108" i="24"/>
  <c r="A108" i="24" s="1"/>
  <c r="J108" i="24"/>
  <c r="K108" i="24" s="1"/>
  <c r="I108" i="24"/>
  <c r="B108" i="24"/>
  <c r="K107" i="24"/>
  <c r="J107" i="24"/>
  <c r="I107" i="24"/>
  <c r="M107" i="24" s="1"/>
  <c r="A107" i="24" s="1"/>
  <c r="B107" i="24"/>
  <c r="M106" i="24"/>
  <c r="A106" i="24" s="1"/>
  <c r="J106" i="24"/>
  <c r="K106" i="24" s="1"/>
  <c r="I106" i="24"/>
  <c r="B106" i="24"/>
  <c r="M105" i="24"/>
  <c r="A105" i="24" s="1"/>
  <c r="J105" i="24"/>
  <c r="K105" i="24" s="1"/>
  <c r="I105" i="24"/>
  <c r="B105" i="24"/>
  <c r="J104" i="24"/>
  <c r="K104" i="24" s="1"/>
  <c r="I104" i="24"/>
  <c r="M104" i="24" s="1"/>
  <c r="A104" i="24" s="1"/>
  <c r="B104" i="24"/>
  <c r="M103" i="24"/>
  <c r="K103" i="24"/>
  <c r="J103" i="24"/>
  <c r="I103" i="24"/>
  <c r="B103" i="24"/>
  <c r="A103" i="24"/>
  <c r="J102" i="24"/>
  <c r="K102" i="24" s="1"/>
  <c r="I102" i="24"/>
  <c r="M102" i="24" s="1"/>
  <c r="A102" i="24" s="1"/>
  <c r="B102" i="24"/>
  <c r="M101" i="24"/>
  <c r="J101" i="24"/>
  <c r="K101" i="24" s="1"/>
  <c r="I101" i="24"/>
  <c r="B101" i="24"/>
  <c r="A101" i="24"/>
  <c r="M100" i="24"/>
  <c r="A100" i="24" s="1"/>
  <c r="J100" i="24"/>
  <c r="K100" i="24" s="1"/>
  <c r="I100" i="24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M97" i="24"/>
  <c r="A97" i="24" s="1"/>
  <c r="J97" i="24"/>
  <c r="K97" i="24" s="1"/>
  <c r="I97" i="24"/>
  <c r="B97" i="24"/>
  <c r="M96" i="24"/>
  <c r="A96" i="24" s="1"/>
  <c r="K96" i="24"/>
  <c r="J96" i="24"/>
  <c r="I96" i="24"/>
  <c r="B96" i="24"/>
  <c r="K95" i="24"/>
  <c r="J95" i="24"/>
  <c r="I95" i="24"/>
  <c r="M95" i="24" s="1"/>
  <c r="A95" i="24" s="1"/>
  <c r="B95" i="24"/>
  <c r="J94" i="24"/>
  <c r="K94" i="24" s="1"/>
  <c r="I94" i="24"/>
  <c r="M94" i="24" s="1"/>
  <c r="A94" i="24" s="1"/>
  <c r="B94" i="24"/>
  <c r="M93" i="24"/>
  <c r="A93" i="24" s="1"/>
  <c r="J93" i="24"/>
  <c r="K93" i="24" s="1"/>
  <c r="I93" i="24"/>
  <c r="B93" i="24"/>
  <c r="J92" i="24"/>
  <c r="K92" i="24" s="1"/>
  <c r="I92" i="24"/>
  <c r="M92" i="24" s="1"/>
  <c r="A92" i="24" s="1"/>
  <c r="B92" i="24"/>
  <c r="K91" i="24"/>
  <c r="J91" i="24"/>
  <c r="I91" i="24"/>
  <c r="M91" i="24" s="1"/>
  <c r="B91" i="24"/>
  <c r="A91" i="24"/>
  <c r="M90" i="24"/>
  <c r="A90" i="24" s="1"/>
  <c r="J90" i="24"/>
  <c r="K90" i="24" s="1"/>
  <c r="I90" i="24"/>
  <c r="B90" i="24"/>
  <c r="M89" i="24"/>
  <c r="A89" i="24" s="1"/>
  <c r="J89" i="24"/>
  <c r="K89" i="24" s="1"/>
  <c r="I89" i="24"/>
  <c r="B89" i="24"/>
  <c r="J88" i="24"/>
  <c r="K88" i="24" s="1"/>
  <c r="I88" i="24"/>
  <c r="M88" i="24" s="1"/>
  <c r="A88" i="24" s="1"/>
  <c r="B88" i="24"/>
  <c r="M87" i="24"/>
  <c r="K87" i="24"/>
  <c r="J87" i="24"/>
  <c r="I87" i="24"/>
  <c r="B87" i="24"/>
  <c r="A87" i="24"/>
  <c r="J86" i="24"/>
  <c r="K86" i="24" s="1"/>
  <c r="I86" i="24"/>
  <c r="M86" i="24" s="1"/>
  <c r="A86" i="24" s="1"/>
  <c r="B86" i="24"/>
  <c r="M85" i="24"/>
  <c r="J85" i="24"/>
  <c r="K85" i="24" s="1"/>
  <c r="I85" i="24"/>
  <c r="B85" i="24"/>
  <c r="A85" i="24"/>
  <c r="M84" i="24"/>
  <c r="A84" i="24" s="1"/>
  <c r="J84" i="24"/>
  <c r="K84" i="24" s="1"/>
  <c r="I84" i="24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M81" i="24"/>
  <c r="A81" i="24" s="1"/>
  <c r="J81" i="24"/>
  <c r="K81" i="24" s="1"/>
  <c r="I81" i="24"/>
  <c r="B81" i="24"/>
  <c r="M80" i="24"/>
  <c r="A80" i="24" s="1"/>
  <c r="K80" i="24"/>
  <c r="J80" i="24"/>
  <c r="I80" i="24"/>
  <c r="B80" i="24"/>
  <c r="K79" i="24"/>
  <c r="J79" i="24"/>
  <c r="I79" i="24"/>
  <c r="M79" i="24" s="1"/>
  <c r="B79" i="24"/>
  <c r="A79" i="24"/>
  <c r="J78" i="24"/>
  <c r="K78" i="24" s="1"/>
  <c r="I78" i="24"/>
  <c r="M78" i="24" s="1"/>
  <c r="A78" i="24" s="1"/>
  <c r="B78" i="24"/>
  <c r="M77" i="24"/>
  <c r="A77" i="24" s="1"/>
  <c r="J77" i="24"/>
  <c r="K77" i="24" s="1"/>
  <c r="I77" i="24"/>
  <c r="B77" i="24"/>
  <c r="M76" i="24"/>
  <c r="A76" i="24" s="1"/>
  <c r="J76" i="24"/>
  <c r="K76" i="24" s="1"/>
  <c r="I76" i="24"/>
  <c r="B76" i="24"/>
  <c r="K75" i="24"/>
  <c r="J75" i="24"/>
  <c r="I75" i="24"/>
  <c r="M75" i="24" s="1"/>
  <c r="A75" i="24" s="1"/>
  <c r="B75" i="24"/>
  <c r="M74" i="24"/>
  <c r="A74" i="24" s="1"/>
  <c r="J74" i="24"/>
  <c r="K74" i="24" s="1"/>
  <c r="I74" i="24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M71" i="24"/>
  <c r="A71" i="24" s="1"/>
  <c r="J71" i="24"/>
  <c r="K71" i="24" s="1"/>
  <c r="I71" i="24"/>
  <c r="B71" i="24"/>
  <c r="M70" i="24"/>
  <c r="A70" i="24" s="1"/>
  <c r="J70" i="24"/>
  <c r="K70" i="24" s="1"/>
  <c r="I70" i="24"/>
  <c r="B70" i="24"/>
  <c r="M69" i="24"/>
  <c r="A69" i="24" s="1"/>
  <c r="J69" i="24"/>
  <c r="K69" i="24" s="1"/>
  <c r="I69" i="24"/>
  <c r="B69" i="24"/>
  <c r="J68" i="24"/>
  <c r="K68" i="24" s="1"/>
  <c r="I68" i="24"/>
  <c r="M68" i="24" s="1"/>
  <c r="A68" i="24" s="1"/>
  <c r="B68" i="24"/>
  <c r="M67" i="24"/>
  <c r="A67" i="24" s="1"/>
  <c r="J67" i="24"/>
  <c r="K67" i="24" s="1"/>
  <c r="I67" i="24"/>
  <c r="B67" i="24"/>
  <c r="M66" i="24"/>
  <c r="A66" i="24" s="1"/>
  <c r="K66" i="24"/>
  <c r="J66" i="24"/>
  <c r="I66" i="24"/>
  <c r="B66" i="24"/>
  <c r="M65" i="24"/>
  <c r="A65" i="24" s="1"/>
  <c r="J65" i="24"/>
  <c r="K65" i="24" s="1"/>
  <c r="I65" i="24"/>
  <c r="B65" i="24"/>
  <c r="J64" i="24"/>
  <c r="K64" i="24" s="1"/>
  <c r="I64" i="24"/>
  <c r="M64" i="24" s="1"/>
  <c r="B64" i="24"/>
  <c r="A64" i="24"/>
  <c r="M63" i="24"/>
  <c r="A63" i="24" s="1"/>
  <c r="J63" i="24"/>
  <c r="K63" i="24" s="1"/>
  <c r="I63" i="24"/>
  <c r="B63" i="24"/>
  <c r="M62" i="24"/>
  <c r="A62" i="24" s="1"/>
  <c r="J62" i="24"/>
  <c r="K62" i="24" s="1"/>
  <c r="I62" i="24"/>
  <c r="B62" i="24"/>
  <c r="M61" i="24"/>
  <c r="A61" i="24" s="1"/>
  <c r="J61" i="24"/>
  <c r="K61" i="24" s="1"/>
  <c r="I61" i="24"/>
  <c r="B61" i="24"/>
  <c r="J60" i="24"/>
  <c r="K60" i="24" s="1"/>
  <c r="I60" i="24"/>
  <c r="M60" i="24" s="1"/>
  <c r="B60" i="24"/>
  <c r="A60" i="24"/>
  <c r="M59" i="24"/>
  <c r="A59" i="24" s="1"/>
  <c r="J59" i="24"/>
  <c r="K59" i="24" s="1"/>
  <c r="I59" i="24"/>
  <c r="B59" i="24"/>
  <c r="M58" i="24"/>
  <c r="A58" i="24" s="1"/>
  <c r="J58" i="24"/>
  <c r="K58" i="24" s="1"/>
  <c r="I58" i="24"/>
  <c r="B58" i="24"/>
  <c r="M57" i="24"/>
  <c r="A57" i="24" s="1"/>
  <c r="J57" i="24"/>
  <c r="K57" i="24" s="1"/>
  <c r="I57" i="24"/>
  <c r="B57" i="24"/>
  <c r="J56" i="24"/>
  <c r="K56" i="24" s="1"/>
  <c r="I56" i="24"/>
  <c r="M56" i="24" s="1"/>
  <c r="A56" i="24" s="1"/>
  <c r="B56" i="24"/>
  <c r="M55" i="24"/>
  <c r="A55" i="24" s="1"/>
  <c r="J55" i="24"/>
  <c r="K55" i="24" s="1"/>
  <c r="I55" i="24"/>
  <c r="B55" i="24"/>
  <c r="M54" i="24"/>
  <c r="A54" i="24" s="1"/>
  <c r="J54" i="24"/>
  <c r="K54" i="24" s="1"/>
  <c r="I54" i="24"/>
  <c r="B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M51" i="24"/>
  <c r="A51" i="24" s="1"/>
  <c r="J51" i="24"/>
  <c r="K51" i="24" s="1"/>
  <c r="I51" i="24"/>
  <c r="B51" i="24"/>
  <c r="M50" i="24"/>
  <c r="A50" i="24" s="1"/>
  <c r="K50" i="24"/>
  <c r="J50" i="24"/>
  <c r="I50" i="24"/>
  <c r="B50" i="24"/>
  <c r="M49" i="24"/>
  <c r="A49" i="24" s="1"/>
  <c r="J49" i="24"/>
  <c r="K49" i="24" s="1"/>
  <c r="I49" i="24"/>
  <c r="B49" i="24"/>
  <c r="M48" i="24"/>
  <c r="J48" i="24"/>
  <c r="K48" i="24" s="1"/>
  <c r="I48" i="24"/>
  <c r="B48" i="24"/>
  <c r="A48" i="24"/>
  <c r="M47" i="24"/>
  <c r="A47" i="24" s="1"/>
  <c r="J47" i="24"/>
  <c r="K47" i="24" s="1"/>
  <c r="I47" i="24"/>
  <c r="B47" i="24"/>
  <c r="M46" i="24"/>
  <c r="A46" i="24" s="1"/>
  <c r="K46" i="24"/>
  <c r="J46" i="24"/>
  <c r="I46" i="24"/>
  <c r="B46" i="24"/>
  <c r="J45" i="24"/>
  <c r="K45" i="24" s="1"/>
  <c r="I45" i="24"/>
  <c r="M45" i="24" s="1"/>
  <c r="A45" i="24" s="1"/>
  <c r="B45" i="24"/>
  <c r="M44" i="24"/>
  <c r="A44" i="24" s="1"/>
  <c r="J44" i="24"/>
  <c r="K44" i="24" s="1"/>
  <c r="I44" i="24"/>
  <c r="B44" i="24"/>
  <c r="M43" i="24"/>
  <c r="A43" i="24" s="1"/>
  <c r="J43" i="24"/>
  <c r="K43" i="24" s="1"/>
  <c r="I43" i="24"/>
  <c r="B43" i="24"/>
  <c r="M42" i="24"/>
  <c r="A42" i="24" s="1"/>
  <c r="K42" i="24"/>
  <c r="J42" i="24"/>
  <c r="I42" i="24"/>
  <c r="B42" i="24"/>
  <c r="M41" i="24"/>
  <c r="A41" i="24" s="1"/>
  <c r="J41" i="24"/>
  <c r="K41" i="24" s="1"/>
  <c r="I41" i="24"/>
  <c r="B41" i="24"/>
  <c r="M40" i="24"/>
  <c r="J40" i="24"/>
  <c r="K40" i="24" s="1"/>
  <c r="I40" i="24"/>
  <c r="B40" i="24"/>
  <c r="A40" i="24"/>
  <c r="M39" i="24"/>
  <c r="A39" i="24" s="1"/>
  <c r="J39" i="24"/>
  <c r="K39" i="24" s="1"/>
  <c r="I39" i="24"/>
  <c r="B39" i="24"/>
  <c r="M38" i="24"/>
  <c r="A38" i="24" s="1"/>
  <c r="J38" i="24"/>
  <c r="K38" i="24" s="1"/>
  <c r="I38" i="24"/>
  <c r="B38" i="24"/>
  <c r="K37" i="24"/>
  <c r="J37" i="24"/>
  <c r="I37" i="24"/>
  <c r="M37" i="24" s="1"/>
  <c r="A37" i="24" s="1"/>
  <c r="B37" i="24"/>
  <c r="M36" i="24"/>
  <c r="A36" i="24" s="1"/>
  <c r="J36" i="24"/>
  <c r="K36" i="24" s="1"/>
  <c r="I36" i="24"/>
  <c r="B36" i="24"/>
  <c r="M35" i="24"/>
  <c r="J35" i="24"/>
  <c r="K35" i="24" s="1"/>
  <c r="I35" i="24"/>
  <c r="B35" i="24"/>
  <c r="A35" i="24"/>
  <c r="M34" i="24"/>
  <c r="A34" i="24" s="1"/>
  <c r="J34" i="24"/>
  <c r="K34" i="24" s="1"/>
  <c r="I34" i="24"/>
  <c r="B34" i="24"/>
  <c r="M33" i="24"/>
  <c r="A33" i="24" s="1"/>
  <c r="K33" i="24"/>
  <c r="J33" i="24"/>
  <c r="I33" i="24"/>
  <c r="B33" i="24"/>
  <c r="M32" i="24"/>
  <c r="J32" i="24"/>
  <c r="K32" i="24" s="1"/>
  <c r="I32" i="24"/>
  <c r="B32" i="24"/>
  <c r="A32" i="24"/>
  <c r="M31" i="24"/>
  <c r="A31" i="24" s="1"/>
  <c r="J31" i="24"/>
  <c r="K31" i="24" s="1"/>
  <c r="I31" i="24"/>
  <c r="B31" i="24"/>
  <c r="M30" i="24"/>
  <c r="A30" i="24" s="1"/>
  <c r="K30" i="24"/>
  <c r="J30" i="24"/>
  <c r="I30" i="24"/>
  <c r="B30" i="24"/>
  <c r="K29" i="24"/>
  <c r="J29" i="24"/>
  <c r="I29" i="24"/>
  <c r="M29" i="24" s="1"/>
  <c r="A29" i="24" s="1"/>
  <c r="B29" i="24"/>
  <c r="M28" i="24"/>
  <c r="A28" i="24" s="1"/>
  <c r="J28" i="24"/>
  <c r="K28" i="24" s="1"/>
  <c r="I28" i="24"/>
  <c r="B28" i="24"/>
  <c r="M27" i="24"/>
  <c r="J27" i="24"/>
  <c r="K27" i="24" s="1"/>
  <c r="I27" i="24"/>
  <c r="B27" i="24"/>
  <c r="A27" i="24"/>
  <c r="M26" i="24"/>
  <c r="A26" i="24" s="1"/>
  <c r="J26" i="24"/>
  <c r="K26" i="24" s="1"/>
  <c r="I26" i="24"/>
  <c r="B26" i="24"/>
  <c r="M25" i="24"/>
  <c r="A25" i="24" s="1"/>
  <c r="K25" i="24"/>
  <c r="J25" i="24"/>
  <c r="I25" i="24"/>
  <c r="B25" i="24"/>
  <c r="M24" i="24"/>
  <c r="J24" i="24"/>
  <c r="K24" i="24" s="1"/>
  <c r="I24" i="24"/>
  <c r="B24" i="24"/>
  <c r="A24" i="24"/>
  <c r="M23" i="24"/>
  <c r="A23" i="24" s="1"/>
  <c r="J23" i="24"/>
  <c r="K23" i="24" s="1"/>
  <c r="I23" i="24"/>
  <c r="B23" i="24"/>
  <c r="M22" i="24"/>
  <c r="A22" i="24" s="1"/>
  <c r="J22" i="24"/>
  <c r="K22" i="24" s="1"/>
  <c r="I22" i="24"/>
  <c r="B22" i="24"/>
  <c r="K21" i="24"/>
  <c r="J21" i="24"/>
  <c r="I21" i="24"/>
  <c r="M21" i="24" s="1"/>
  <c r="A21" i="24" s="1"/>
  <c r="B21" i="24"/>
  <c r="M20" i="24"/>
  <c r="A20" i="24" s="1"/>
  <c r="J20" i="24"/>
  <c r="K20" i="24" s="1"/>
  <c r="I20" i="24"/>
  <c r="B20" i="24"/>
  <c r="M19" i="24"/>
  <c r="J19" i="24"/>
  <c r="K19" i="24" s="1"/>
  <c r="I19" i="24"/>
  <c r="B19" i="24"/>
  <c r="A19" i="24"/>
  <c r="M18" i="24"/>
  <c r="A18" i="24" s="1"/>
  <c r="J18" i="24"/>
  <c r="K18" i="24" s="1"/>
  <c r="I18" i="24"/>
  <c r="B18" i="24"/>
  <c r="M17" i="24"/>
  <c r="A17" i="24" s="1"/>
  <c r="K17" i="24"/>
  <c r="J17" i="24"/>
  <c r="I17" i="24"/>
  <c r="B17" i="24"/>
  <c r="J16" i="24"/>
  <c r="K16" i="24" s="1"/>
  <c r="I16" i="24"/>
  <c r="M16" i="24" s="1"/>
  <c r="A16" i="24" s="1"/>
  <c r="B16" i="24"/>
  <c r="K15" i="24"/>
  <c r="J15" i="24"/>
  <c r="I15" i="24"/>
  <c r="M15" i="24" s="1"/>
  <c r="A15" i="24" s="1"/>
  <c r="B15" i="24"/>
  <c r="AI14" i="24"/>
  <c r="M14" i="24"/>
  <c r="A14" i="24" s="1"/>
  <c r="J14" i="24"/>
  <c r="K14" i="24" s="1"/>
  <c r="I14" i="24"/>
  <c r="B14" i="24"/>
  <c r="AI13" i="24"/>
  <c r="K13" i="24"/>
  <c r="J13" i="24"/>
  <c r="I13" i="24"/>
  <c r="M13" i="24" s="1"/>
  <c r="A13" i="24" s="1"/>
  <c r="B13" i="24"/>
  <c r="AI12" i="24"/>
  <c r="M12" i="24"/>
  <c r="A12" i="24" s="1"/>
  <c r="J12" i="24"/>
  <c r="K12" i="24" s="1"/>
  <c r="I12" i="24"/>
  <c r="B12" i="24"/>
  <c r="M11" i="24"/>
  <c r="A11" i="24" s="1"/>
  <c r="J11" i="24"/>
  <c r="K11" i="24" s="1"/>
  <c r="I11" i="24"/>
  <c r="B11" i="24"/>
  <c r="M10" i="24"/>
  <c r="A10" i="24" s="1"/>
  <c r="K10" i="24"/>
  <c r="I10" i="24"/>
  <c r="B10" i="24"/>
  <c r="M9" i="24"/>
  <c r="A9" i="24" s="1"/>
  <c r="L9" i="24"/>
  <c r="J9" i="24"/>
  <c r="K9" i="24" s="1"/>
  <c r="I9" i="24"/>
  <c r="B9" i="24"/>
  <c r="M8" i="24"/>
  <c r="L8" i="24"/>
  <c r="K8" i="24"/>
  <c r="J8" i="24"/>
  <c r="I8" i="24"/>
  <c r="B8" i="24"/>
  <c r="A8" i="24"/>
  <c r="M7" i="24"/>
  <c r="A7" i="24" s="1"/>
  <c r="L7" i="24"/>
  <c r="J7" i="24"/>
  <c r="K7" i="24" s="1"/>
  <c r="I7" i="24"/>
  <c r="B7" i="24"/>
  <c r="M6" i="24"/>
  <c r="A6" i="24" s="1"/>
  <c r="L6" i="24"/>
  <c r="J6" i="24"/>
  <c r="K6" i="24" s="1"/>
  <c r="I6" i="24"/>
  <c r="B6" i="24"/>
  <c r="K2" i="24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M300" i="23"/>
  <c r="J300" i="23"/>
  <c r="K300" i="23" s="1"/>
  <c r="I300" i="23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M294" i="23"/>
  <c r="J294" i="23"/>
  <c r="K294" i="23" s="1"/>
  <c r="I294" i="23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J290" i="23"/>
  <c r="K290" i="23" s="1"/>
  <c r="I290" i="23"/>
  <c r="M289" i="23"/>
  <c r="J289" i="23"/>
  <c r="K289" i="23" s="1"/>
  <c r="I289" i="23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M280" i="23"/>
  <c r="J280" i="23"/>
  <c r="K280" i="23" s="1"/>
  <c r="I280" i="23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M266" i="23"/>
  <c r="J266" i="23"/>
  <c r="K266" i="23" s="1"/>
  <c r="I266" i="23"/>
  <c r="J265" i="23"/>
  <c r="K265" i="23" s="1"/>
  <c r="I265" i="23"/>
  <c r="M265" i="23" s="1"/>
  <c r="M264" i="23"/>
  <c r="J264" i="23"/>
  <c r="K264" i="23" s="1"/>
  <c r="I264" i="23"/>
  <c r="M263" i="23"/>
  <c r="J263" i="23"/>
  <c r="K263" i="23" s="1"/>
  <c r="I263" i="23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J258" i="23"/>
  <c r="K258" i="23" s="1"/>
  <c r="I258" i="23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K249" i="23"/>
  <c r="J249" i="23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M242" i="23"/>
  <c r="J242" i="23"/>
  <c r="K242" i="23" s="1"/>
  <c r="I242" i="23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K229" i="23"/>
  <c r="J229" i="23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K225" i="23"/>
  <c r="J225" i="23"/>
  <c r="I225" i="23"/>
  <c r="M225" i="23" s="1"/>
  <c r="J224" i="23"/>
  <c r="K224" i="23" s="1"/>
  <c r="I224" i="23"/>
  <c r="M224" i="23" s="1"/>
  <c r="J223" i="23"/>
  <c r="K223" i="23" s="1"/>
  <c r="I223" i="23"/>
  <c r="M223" i="23" s="1"/>
  <c r="M222" i="23"/>
  <c r="J222" i="23"/>
  <c r="K222" i="23" s="1"/>
  <c r="I222" i="23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K217" i="23"/>
  <c r="J217" i="23"/>
  <c r="I217" i="23"/>
  <c r="M217" i="23" s="1"/>
  <c r="M216" i="23"/>
  <c r="J216" i="23"/>
  <c r="K216" i="23" s="1"/>
  <c r="I216" i="23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M210" i="23"/>
  <c r="J210" i="23"/>
  <c r="K210" i="23" s="1"/>
  <c r="I210" i="23"/>
  <c r="K209" i="23"/>
  <c r="J209" i="23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K197" i="23"/>
  <c r="J197" i="23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J186" i="23"/>
  <c r="K186" i="23" s="1"/>
  <c r="I186" i="23"/>
  <c r="M186" i="23" s="1"/>
  <c r="K185" i="23"/>
  <c r="J185" i="23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K181" i="23"/>
  <c r="J181" i="23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M170" i="23"/>
  <c r="J170" i="23"/>
  <c r="K170" i="23" s="1"/>
  <c r="I170" i="23"/>
  <c r="J169" i="23"/>
  <c r="K169" i="23" s="1"/>
  <c r="I169" i="23"/>
  <c r="M169" i="23" s="1"/>
  <c r="J168" i="23"/>
  <c r="K168" i="23" s="1"/>
  <c r="I168" i="23"/>
  <c r="M168" i="23" s="1"/>
  <c r="M167" i="23"/>
  <c r="J167" i="23"/>
  <c r="K167" i="23" s="1"/>
  <c r="I167" i="23"/>
  <c r="J166" i="23"/>
  <c r="K166" i="23" s="1"/>
  <c r="I166" i="23"/>
  <c r="M166" i="23" s="1"/>
  <c r="K165" i="23"/>
  <c r="J165" i="23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K153" i="23"/>
  <c r="J153" i="23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K149" i="23"/>
  <c r="J149" i="23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K137" i="23"/>
  <c r="J137" i="23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M131" i="23"/>
  <c r="J131" i="23"/>
  <c r="K131" i="23" s="1"/>
  <c r="I131" i="23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M119" i="23"/>
  <c r="J119" i="23"/>
  <c r="K119" i="23" s="1"/>
  <c r="I119" i="23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K113" i="23"/>
  <c r="J113" i="23"/>
  <c r="I113" i="23"/>
  <c r="M113" i="23" s="1"/>
  <c r="J112" i="23"/>
  <c r="K112" i="23" s="1"/>
  <c r="I112" i="23"/>
  <c r="M112" i="23" s="1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M103" i="23"/>
  <c r="J103" i="23"/>
  <c r="K103" i="23" s="1"/>
  <c r="I103" i="23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M90" i="23"/>
  <c r="J90" i="23"/>
  <c r="K90" i="23" s="1"/>
  <c r="I90" i="23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M86" i="23"/>
  <c r="J86" i="23"/>
  <c r="K86" i="23" s="1"/>
  <c r="I86" i="23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M76" i="23"/>
  <c r="J76" i="23"/>
  <c r="K76" i="23" s="1"/>
  <c r="I76" i="23"/>
  <c r="J75" i="23"/>
  <c r="K75" i="23" s="1"/>
  <c r="I75" i="23"/>
  <c r="M75" i="23" s="1"/>
  <c r="M74" i="23"/>
  <c r="J74" i="23"/>
  <c r="K74" i="23" s="1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M58" i="23"/>
  <c r="J58" i="23"/>
  <c r="K58" i="23" s="1"/>
  <c r="I58" i="23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K48" i="23"/>
  <c r="J48" i="23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K45" i="23"/>
  <c r="J45" i="23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B37" i="23"/>
  <c r="A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K33" i="23"/>
  <c r="J33" i="23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B26" i="23"/>
  <c r="A26" i="23"/>
  <c r="J25" i="23"/>
  <c r="K25" i="23" s="1"/>
  <c r="I25" i="23"/>
  <c r="M25" i="23" s="1"/>
  <c r="A25" i="23" s="1"/>
  <c r="B25" i="23"/>
  <c r="K24" i="23"/>
  <c r="J24" i="23"/>
  <c r="I24" i="23"/>
  <c r="M24" i="23" s="1"/>
  <c r="A24" i="23" s="1"/>
  <c r="B24" i="23"/>
  <c r="K23" i="23"/>
  <c r="J23" i="23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J16" i="23"/>
  <c r="K16" i="23" s="1"/>
  <c r="I16" i="23"/>
  <c r="M16" i="23" s="1"/>
  <c r="A16" i="23" s="1"/>
  <c r="B16" i="23"/>
  <c r="M15" i="23"/>
  <c r="A15" i="23" s="1"/>
  <c r="J15" i="23"/>
  <c r="K15" i="23" s="1"/>
  <c r="I15" i="23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AI16" i="23" s="1"/>
  <c r="J12" i="23"/>
  <c r="K12" i="23" s="1"/>
  <c r="I12" i="23"/>
  <c r="M12" i="23" s="1"/>
  <c r="A12" i="23" s="1"/>
  <c r="B12" i="23"/>
  <c r="J11" i="23"/>
  <c r="K11" i="23" s="1"/>
  <c r="I11" i="23"/>
  <c r="M11" i="23" s="1"/>
  <c r="A11" i="23" s="1"/>
  <c r="B11" i="23"/>
  <c r="J10" i="23"/>
  <c r="K10" i="23" s="1"/>
  <c r="I10" i="23"/>
  <c r="B10" i="23"/>
  <c r="K9" i="23"/>
  <c r="I9" i="23"/>
  <c r="B9" i="23"/>
  <c r="K8" i="23"/>
  <c r="I8" i="23"/>
  <c r="B8" i="23"/>
  <c r="V7" i="20" s="1"/>
  <c r="K7" i="23"/>
  <c r="I7" i="23"/>
  <c r="B7" i="23"/>
  <c r="K6" i="23"/>
  <c r="I6" i="23"/>
  <c r="B6" i="23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K304" i="22"/>
  <c r="J304" i="22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K296" i="22"/>
  <c r="J296" i="22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K288" i="22"/>
  <c r="J288" i="22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K280" i="22"/>
  <c r="J280" i="22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K272" i="22"/>
  <c r="J272" i="22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K264" i="22"/>
  <c r="J264" i="22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K248" i="22"/>
  <c r="J248" i="22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K230" i="22"/>
  <c r="J230" i="22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K212" i="22"/>
  <c r="J212" i="22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K184" i="22"/>
  <c r="J184" i="22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K152" i="22"/>
  <c r="J152" i="22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K110" i="22"/>
  <c r="J110" i="22"/>
  <c r="I110" i="22"/>
  <c r="M110" i="22" s="1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K104" i="22"/>
  <c r="J104" i="22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K96" i="22"/>
  <c r="J96" i="22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K92" i="22"/>
  <c r="J92" i="22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K88" i="22"/>
  <c r="J88" i="22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K84" i="22"/>
  <c r="J84" i="22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K80" i="22"/>
  <c r="J80" i="22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K76" i="22"/>
  <c r="J76" i="22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K72" i="22"/>
  <c r="J72" i="22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K63" i="22"/>
  <c r="J63" i="22"/>
  <c r="I63" i="22"/>
  <c r="M63" i="22" s="1"/>
  <c r="B63" i="22"/>
  <c r="K62" i="22"/>
  <c r="J62" i="22"/>
  <c r="I62" i="22"/>
  <c r="M62" i="22" s="1"/>
  <c r="B62" i="22"/>
  <c r="K61" i="22"/>
  <c r="J61" i="22"/>
  <c r="I61" i="22"/>
  <c r="M61" i="22" s="1"/>
  <c r="B61" i="22"/>
  <c r="M60" i="22"/>
  <c r="J60" i="22"/>
  <c r="K60" i="22" s="1"/>
  <c r="I60" i="22"/>
  <c r="B60" i="22"/>
  <c r="M59" i="22"/>
  <c r="J59" i="22"/>
  <c r="K59" i="22" s="1"/>
  <c r="I59" i="22"/>
  <c r="B59" i="22"/>
  <c r="M58" i="22"/>
  <c r="J58" i="22"/>
  <c r="K58" i="22" s="1"/>
  <c r="I58" i="22"/>
  <c r="B58" i="22"/>
  <c r="J57" i="22"/>
  <c r="K57" i="22" s="1"/>
  <c r="I57" i="22"/>
  <c r="M57" i="22" s="1"/>
  <c r="B57" i="22"/>
  <c r="M56" i="22"/>
  <c r="J56" i="22"/>
  <c r="K56" i="22" s="1"/>
  <c r="I56" i="22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M52" i="22"/>
  <c r="J52" i="22"/>
  <c r="K52" i="22" s="1"/>
  <c r="I52" i="22"/>
  <c r="B52" i="22"/>
  <c r="K51" i="22"/>
  <c r="J51" i="22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K48" i="22"/>
  <c r="J48" i="22"/>
  <c r="I48" i="22"/>
  <c r="M48" i="22" s="1"/>
  <c r="B48" i="22"/>
  <c r="K47" i="22"/>
  <c r="J47" i="22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K42" i="22"/>
  <c r="J42" i="22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K39" i="22"/>
  <c r="J39" i="22"/>
  <c r="I39" i="22"/>
  <c r="M39" i="22" s="1"/>
  <c r="B39" i="22"/>
  <c r="K38" i="22"/>
  <c r="J38" i="22"/>
  <c r="I38" i="22"/>
  <c r="M38" i="22" s="1"/>
  <c r="B38" i="22"/>
  <c r="K37" i="22"/>
  <c r="J37" i="22"/>
  <c r="I37" i="22"/>
  <c r="M37" i="22" s="1"/>
  <c r="A37" i="22" s="1"/>
  <c r="B37" i="22"/>
  <c r="M36" i="22"/>
  <c r="A36" i="22" s="1"/>
  <c r="J36" i="22"/>
  <c r="K36" i="22" s="1"/>
  <c r="I36" i="22"/>
  <c r="B36" i="22"/>
  <c r="M35" i="22"/>
  <c r="A35" i="22" s="1"/>
  <c r="J35" i="22"/>
  <c r="K35" i="22" s="1"/>
  <c r="I35" i="22"/>
  <c r="B35" i="22"/>
  <c r="M34" i="22"/>
  <c r="A34" i="22" s="1"/>
  <c r="J34" i="22"/>
  <c r="K34" i="22" s="1"/>
  <c r="I34" i="22"/>
  <c r="B34" i="22"/>
  <c r="K33" i="22"/>
  <c r="J33" i="22"/>
  <c r="I33" i="22"/>
  <c r="M33" i="22" s="1"/>
  <c r="A33" i="22" s="1"/>
  <c r="B33" i="22"/>
  <c r="M32" i="22"/>
  <c r="A32" i="22" s="1"/>
  <c r="J32" i="22"/>
  <c r="K32" i="22" s="1"/>
  <c r="I32" i="22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J28" i="22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M23" i="22"/>
  <c r="A23" i="22" s="1"/>
  <c r="J23" i="22"/>
  <c r="K23" i="22" s="1"/>
  <c r="I23" i="22"/>
  <c r="B23" i="22"/>
  <c r="M22" i="22"/>
  <c r="J22" i="22"/>
  <c r="K22" i="22" s="1"/>
  <c r="I22" i="22"/>
  <c r="B22" i="22"/>
  <c r="A22" i="22"/>
  <c r="J21" i="22"/>
  <c r="K21" i="22" s="1"/>
  <c r="I21" i="22"/>
  <c r="M21" i="22" s="1"/>
  <c r="A21" i="22" s="1"/>
  <c r="B21" i="22"/>
  <c r="K20" i="22"/>
  <c r="J20" i="22"/>
  <c r="I20" i="22"/>
  <c r="M20" i="22" s="1"/>
  <c r="A20" i="22" s="1"/>
  <c r="B20" i="22"/>
  <c r="M19" i="22"/>
  <c r="A19" i="22" s="1"/>
  <c r="J19" i="22"/>
  <c r="K19" i="22" s="1"/>
  <c r="I19" i="22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K16" i="22"/>
  <c r="J16" i="22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M14" i="22"/>
  <c r="A14" i="22" s="1"/>
  <c r="J14" i="22"/>
  <c r="K14" i="22" s="1"/>
  <c r="I14" i="22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M10" i="22"/>
  <c r="A10" i="22" s="1"/>
  <c r="J10" i="22"/>
  <c r="K10" i="22" s="1"/>
  <c r="I10" i="22"/>
  <c r="B10" i="22"/>
  <c r="T29" i="20" s="1"/>
  <c r="K9" i="22"/>
  <c r="J9" i="22"/>
  <c r="I9" i="22"/>
  <c r="B9" i="22"/>
  <c r="L8" i="22"/>
  <c r="J8" i="22"/>
  <c r="K8" i="22" s="1"/>
  <c r="I8" i="22"/>
  <c r="M8" i="22" s="1"/>
  <c r="A8" i="22" s="1"/>
  <c r="B8" i="22"/>
  <c r="T9" i="20" s="1"/>
  <c r="U9" i="20" s="1"/>
  <c r="L7" i="22"/>
  <c r="J7" i="22"/>
  <c r="K7" i="22" s="1"/>
  <c r="I7" i="22"/>
  <c r="B7" i="22"/>
  <c r="J6" i="22"/>
  <c r="K6" i="22" s="1"/>
  <c r="I6" i="22"/>
  <c r="M6" i="22" s="1"/>
  <c r="A6" i="22" s="1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M304" i="21"/>
  <c r="J304" i="21"/>
  <c r="K304" i="21" s="1"/>
  <c r="I304" i="21"/>
  <c r="M303" i="21"/>
  <c r="K303" i="21"/>
  <c r="J303" i="21"/>
  <c r="I303" i="21"/>
  <c r="M302" i="21"/>
  <c r="J302" i="21"/>
  <c r="K302" i="21" s="1"/>
  <c r="I302" i="21"/>
  <c r="M301" i="21"/>
  <c r="K301" i="21"/>
  <c r="J301" i="21"/>
  <c r="I301" i="21"/>
  <c r="M300" i="21"/>
  <c r="J300" i="21"/>
  <c r="K300" i="21" s="1"/>
  <c r="I300" i="21"/>
  <c r="M299" i="21"/>
  <c r="K299" i="21"/>
  <c r="J299" i="21"/>
  <c r="I299" i="21"/>
  <c r="M298" i="21"/>
  <c r="J298" i="21"/>
  <c r="K298" i="21" s="1"/>
  <c r="I298" i="21"/>
  <c r="M297" i="21"/>
  <c r="K297" i="21"/>
  <c r="J297" i="21"/>
  <c r="I297" i="21"/>
  <c r="M296" i="21"/>
  <c r="J296" i="21"/>
  <c r="K296" i="21" s="1"/>
  <c r="I296" i="21"/>
  <c r="M295" i="21"/>
  <c r="K295" i="21"/>
  <c r="J295" i="21"/>
  <c r="I295" i="21"/>
  <c r="J294" i="21"/>
  <c r="K294" i="21" s="1"/>
  <c r="I294" i="21"/>
  <c r="M294" i="21" s="1"/>
  <c r="M293" i="21"/>
  <c r="K293" i="21"/>
  <c r="J293" i="21"/>
  <c r="I293" i="21"/>
  <c r="K292" i="21"/>
  <c r="J292" i="21"/>
  <c r="I292" i="21"/>
  <c r="M292" i="21" s="1"/>
  <c r="M291" i="21"/>
  <c r="K291" i="21"/>
  <c r="J291" i="21"/>
  <c r="I291" i="21"/>
  <c r="K290" i="21"/>
  <c r="J290" i="21"/>
  <c r="I290" i="21"/>
  <c r="M290" i="21" s="1"/>
  <c r="M289" i="21"/>
  <c r="K289" i="21"/>
  <c r="J289" i="21"/>
  <c r="I289" i="21"/>
  <c r="J288" i="21"/>
  <c r="K288" i="21" s="1"/>
  <c r="I288" i="21"/>
  <c r="M288" i="21" s="1"/>
  <c r="M287" i="21"/>
  <c r="K287" i="21"/>
  <c r="J287" i="21"/>
  <c r="I287" i="21"/>
  <c r="K286" i="21"/>
  <c r="J286" i="21"/>
  <c r="I286" i="21"/>
  <c r="M286" i="21" s="1"/>
  <c r="M285" i="21"/>
  <c r="K285" i="21"/>
  <c r="J285" i="21"/>
  <c r="I285" i="21"/>
  <c r="J284" i="21"/>
  <c r="K284" i="21" s="1"/>
  <c r="I284" i="21"/>
  <c r="M284" i="21" s="1"/>
  <c r="M283" i="21"/>
  <c r="K283" i="21"/>
  <c r="J283" i="21"/>
  <c r="I283" i="21"/>
  <c r="J282" i="21"/>
  <c r="K282" i="21" s="1"/>
  <c r="I282" i="21"/>
  <c r="M282" i="21" s="1"/>
  <c r="M281" i="21"/>
  <c r="K281" i="21"/>
  <c r="J281" i="21"/>
  <c r="I281" i="21"/>
  <c r="J280" i="21"/>
  <c r="K280" i="21" s="1"/>
  <c r="I280" i="21"/>
  <c r="M280" i="21" s="1"/>
  <c r="M279" i="21"/>
  <c r="K279" i="21"/>
  <c r="J279" i="21"/>
  <c r="I279" i="21"/>
  <c r="J278" i="21"/>
  <c r="K278" i="21" s="1"/>
  <c r="I278" i="21"/>
  <c r="M278" i="21" s="1"/>
  <c r="M277" i="21"/>
  <c r="K277" i="21"/>
  <c r="J277" i="21"/>
  <c r="I277" i="21"/>
  <c r="K276" i="21"/>
  <c r="J276" i="21"/>
  <c r="I276" i="21"/>
  <c r="M276" i="21" s="1"/>
  <c r="M275" i="21"/>
  <c r="K275" i="21"/>
  <c r="J275" i="21"/>
  <c r="I275" i="21"/>
  <c r="K274" i="21"/>
  <c r="J274" i="21"/>
  <c r="I274" i="21"/>
  <c r="M274" i="21" s="1"/>
  <c r="M273" i="21"/>
  <c r="K273" i="21"/>
  <c r="J273" i="21"/>
  <c r="I273" i="21"/>
  <c r="J272" i="21"/>
  <c r="K272" i="21" s="1"/>
  <c r="I272" i="21"/>
  <c r="M272" i="21" s="1"/>
  <c r="M271" i="21"/>
  <c r="K271" i="21"/>
  <c r="J271" i="21"/>
  <c r="I271" i="21"/>
  <c r="K270" i="21"/>
  <c r="J270" i="21"/>
  <c r="I270" i="21"/>
  <c r="M270" i="21" s="1"/>
  <c r="M269" i="21"/>
  <c r="K269" i="21"/>
  <c r="J269" i="21"/>
  <c r="I269" i="21"/>
  <c r="J268" i="21"/>
  <c r="K268" i="21" s="1"/>
  <c r="I268" i="21"/>
  <c r="M268" i="21" s="1"/>
  <c r="M267" i="21"/>
  <c r="K267" i="21"/>
  <c r="J267" i="21"/>
  <c r="I267" i="21"/>
  <c r="J266" i="21"/>
  <c r="K266" i="21" s="1"/>
  <c r="I266" i="21"/>
  <c r="M266" i="21" s="1"/>
  <c r="M265" i="21"/>
  <c r="K265" i="21"/>
  <c r="J265" i="21"/>
  <c r="I265" i="21"/>
  <c r="J264" i="21"/>
  <c r="K264" i="21" s="1"/>
  <c r="I264" i="21"/>
  <c r="M264" i="21" s="1"/>
  <c r="M263" i="21"/>
  <c r="K263" i="21"/>
  <c r="J263" i="21"/>
  <c r="I263" i="21"/>
  <c r="J262" i="21"/>
  <c r="K262" i="21" s="1"/>
  <c r="I262" i="21"/>
  <c r="M262" i="21" s="1"/>
  <c r="M261" i="21"/>
  <c r="K261" i="21"/>
  <c r="J261" i="21"/>
  <c r="I261" i="21"/>
  <c r="K260" i="21"/>
  <c r="J260" i="21"/>
  <c r="I260" i="21"/>
  <c r="M260" i="21" s="1"/>
  <c r="M259" i="21"/>
  <c r="J259" i="21"/>
  <c r="K259" i="21" s="1"/>
  <c r="I259" i="21"/>
  <c r="K258" i="21"/>
  <c r="J258" i="21"/>
  <c r="I258" i="21"/>
  <c r="M258" i="21" s="1"/>
  <c r="M257" i="21"/>
  <c r="J257" i="21"/>
  <c r="K257" i="21" s="1"/>
  <c r="I257" i="21"/>
  <c r="J256" i="21"/>
  <c r="K256" i="21" s="1"/>
  <c r="I256" i="21"/>
  <c r="M256" i="21" s="1"/>
  <c r="M255" i="21"/>
  <c r="J255" i="21"/>
  <c r="K255" i="21" s="1"/>
  <c r="I255" i="21"/>
  <c r="K254" i="21"/>
  <c r="J254" i="21"/>
  <c r="I254" i="21"/>
  <c r="M254" i="21" s="1"/>
  <c r="M253" i="21"/>
  <c r="J253" i="21"/>
  <c r="K253" i="21" s="1"/>
  <c r="I253" i="21"/>
  <c r="J252" i="21"/>
  <c r="K252" i="21" s="1"/>
  <c r="I252" i="21"/>
  <c r="M252" i="21" s="1"/>
  <c r="M251" i="21"/>
  <c r="K251" i="21"/>
  <c r="J251" i="21"/>
  <c r="I251" i="21"/>
  <c r="J250" i="21"/>
  <c r="K250" i="21" s="1"/>
  <c r="I250" i="21"/>
  <c r="M250" i="21" s="1"/>
  <c r="M249" i="21"/>
  <c r="K249" i="21"/>
  <c r="J249" i="21"/>
  <c r="I249" i="2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K245" i="21"/>
  <c r="J245" i="21"/>
  <c r="I245" i="21"/>
  <c r="K244" i="21"/>
  <c r="J244" i="21"/>
  <c r="I244" i="21"/>
  <c r="M244" i="21" s="1"/>
  <c r="M243" i="21"/>
  <c r="J243" i="21"/>
  <c r="K243" i="21" s="1"/>
  <c r="I243" i="21"/>
  <c r="K242" i="21"/>
  <c r="J242" i="21"/>
  <c r="I242" i="21"/>
  <c r="M242" i="21" s="1"/>
  <c r="M241" i="21"/>
  <c r="J241" i="21"/>
  <c r="K241" i="21" s="1"/>
  <c r="I241" i="21"/>
  <c r="J240" i="21"/>
  <c r="K240" i="21" s="1"/>
  <c r="I240" i="21"/>
  <c r="M240" i="21" s="1"/>
  <c r="M239" i="21"/>
  <c r="J239" i="21"/>
  <c r="K239" i="21" s="1"/>
  <c r="I239" i="21"/>
  <c r="K238" i="21"/>
  <c r="J238" i="21"/>
  <c r="I238" i="21"/>
  <c r="M238" i="21" s="1"/>
  <c r="M237" i="21"/>
  <c r="J237" i="21"/>
  <c r="K237" i="21" s="1"/>
  <c r="I237" i="21"/>
  <c r="J236" i="21"/>
  <c r="K236" i="21" s="1"/>
  <c r="I236" i="21"/>
  <c r="M236" i="21" s="1"/>
  <c r="M235" i="21"/>
  <c r="K235" i="21"/>
  <c r="J235" i="21"/>
  <c r="I235" i="21"/>
  <c r="J234" i="21"/>
  <c r="K234" i="21" s="1"/>
  <c r="I234" i="21"/>
  <c r="M234" i="21" s="1"/>
  <c r="M233" i="21"/>
  <c r="K233" i="21"/>
  <c r="J233" i="21"/>
  <c r="I233" i="21"/>
  <c r="J232" i="21"/>
  <c r="K232" i="21" s="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K229" i="21"/>
  <c r="J229" i="21"/>
  <c r="I229" i="21"/>
  <c r="K228" i="21"/>
  <c r="J228" i="21"/>
  <c r="I228" i="21"/>
  <c r="M228" i="21" s="1"/>
  <c r="M227" i="21"/>
  <c r="J227" i="21"/>
  <c r="K227" i="21" s="1"/>
  <c r="I227" i="21"/>
  <c r="K226" i="21"/>
  <c r="J226" i="2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K222" i="21"/>
  <c r="J222" i="21"/>
  <c r="I222" i="21"/>
  <c r="M222" i="21" s="1"/>
  <c r="M221" i="21"/>
  <c r="J221" i="21"/>
  <c r="K221" i="21" s="1"/>
  <c r="I221" i="21"/>
  <c r="J220" i="21"/>
  <c r="K220" i="21" s="1"/>
  <c r="I220" i="21"/>
  <c r="M220" i="21" s="1"/>
  <c r="M219" i="21"/>
  <c r="K219" i="21"/>
  <c r="J219" i="21"/>
  <c r="I219" i="21"/>
  <c r="J218" i="21"/>
  <c r="K218" i="21" s="1"/>
  <c r="I218" i="21"/>
  <c r="M218" i="21" s="1"/>
  <c r="M217" i="21"/>
  <c r="K217" i="21"/>
  <c r="J217" i="21"/>
  <c r="I217" i="21"/>
  <c r="J216" i="21"/>
  <c r="K216" i="21" s="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K213" i="21"/>
  <c r="J213" i="21"/>
  <c r="I213" i="21"/>
  <c r="K212" i="21"/>
  <c r="J212" i="21"/>
  <c r="I212" i="21"/>
  <c r="M212" i="21" s="1"/>
  <c r="M211" i="21"/>
  <c r="J211" i="21"/>
  <c r="K211" i="21" s="1"/>
  <c r="I211" i="21"/>
  <c r="K210" i="21"/>
  <c r="J210" i="21"/>
  <c r="I210" i="21"/>
  <c r="M210" i="21" s="1"/>
  <c r="M209" i="21"/>
  <c r="J209" i="21"/>
  <c r="K209" i="21" s="1"/>
  <c r="I209" i="21"/>
  <c r="J208" i="21"/>
  <c r="K208" i="21" s="1"/>
  <c r="I208" i="21"/>
  <c r="M208" i="21" s="1"/>
  <c r="M207" i="21"/>
  <c r="J207" i="21"/>
  <c r="K207" i="21" s="1"/>
  <c r="I207" i="21"/>
  <c r="K206" i="21"/>
  <c r="J206" i="21"/>
  <c r="I206" i="21"/>
  <c r="M206" i="21" s="1"/>
  <c r="M205" i="21"/>
  <c r="J205" i="21"/>
  <c r="K205" i="21" s="1"/>
  <c r="I205" i="21"/>
  <c r="J204" i="21"/>
  <c r="K204" i="21" s="1"/>
  <c r="I204" i="21"/>
  <c r="M204" i="21" s="1"/>
  <c r="M203" i="21"/>
  <c r="K203" i="21"/>
  <c r="J203" i="21"/>
  <c r="I203" i="21"/>
  <c r="J202" i="21"/>
  <c r="K202" i="21" s="1"/>
  <c r="I202" i="21"/>
  <c r="M202" i="21" s="1"/>
  <c r="M201" i="21"/>
  <c r="K201" i="21"/>
  <c r="J201" i="21"/>
  <c r="I201" i="2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K197" i="21"/>
  <c r="J197" i="21"/>
  <c r="I197" i="21"/>
  <c r="K196" i="21"/>
  <c r="J196" i="21"/>
  <c r="I196" i="21"/>
  <c r="M196" i="21" s="1"/>
  <c r="M195" i="21"/>
  <c r="J195" i="21"/>
  <c r="K195" i="21" s="1"/>
  <c r="I195" i="21"/>
  <c r="K194" i="21"/>
  <c r="J194" i="2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J191" i="21"/>
  <c r="K191" i="21" s="1"/>
  <c r="I191" i="21"/>
  <c r="K190" i="21"/>
  <c r="J190" i="2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K187" i="21"/>
  <c r="J187" i="21"/>
  <c r="I187" i="21"/>
  <c r="J186" i="21"/>
  <c r="K186" i="21" s="1"/>
  <c r="I186" i="21"/>
  <c r="M186" i="21" s="1"/>
  <c r="M185" i="21"/>
  <c r="K185" i="21"/>
  <c r="J185" i="21"/>
  <c r="I185" i="21"/>
  <c r="J184" i="21"/>
  <c r="K184" i="21" s="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K181" i="21"/>
  <c r="J181" i="21"/>
  <c r="I181" i="21"/>
  <c r="K180" i="21"/>
  <c r="J180" i="21"/>
  <c r="I180" i="21"/>
  <c r="M180" i="21" s="1"/>
  <c r="M179" i="21"/>
  <c r="J179" i="21"/>
  <c r="K179" i="21" s="1"/>
  <c r="I179" i="21"/>
  <c r="K178" i="21"/>
  <c r="J178" i="21"/>
  <c r="I178" i="21"/>
  <c r="M178" i="21" s="1"/>
  <c r="M177" i="21"/>
  <c r="J177" i="21"/>
  <c r="K177" i="21" s="1"/>
  <c r="I177" i="21"/>
  <c r="J176" i="21"/>
  <c r="K176" i="21" s="1"/>
  <c r="I176" i="21"/>
  <c r="M176" i="21" s="1"/>
  <c r="M175" i="21"/>
  <c r="J175" i="21"/>
  <c r="K175" i="21" s="1"/>
  <c r="I175" i="21"/>
  <c r="K174" i="21"/>
  <c r="J174" i="21"/>
  <c r="I174" i="21"/>
  <c r="M174" i="21" s="1"/>
  <c r="M173" i="21"/>
  <c r="J173" i="21"/>
  <c r="K173" i="21" s="1"/>
  <c r="I173" i="21"/>
  <c r="J172" i="21"/>
  <c r="K172" i="21" s="1"/>
  <c r="I172" i="21"/>
  <c r="M172" i="21" s="1"/>
  <c r="M171" i="21"/>
  <c r="K171" i="21"/>
  <c r="J171" i="21"/>
  <c r="I171" i="21"/>
  <c r="J170" i="21"/>
  <c r="K170" i="21" s="1"/>
  <c r="I170" i="21"/>
  <c r="M170" i="21" s="1"/>
  <c r="M169" i="21"/>
  <c r="K169" i="21"/>
  <c r="J169" i="21"/>
  <c r="I169" i="21"/>
  <c r="J168" i="21"/>
  <c r="K168" i="21" s="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K165" i="21"/>
  <c r="J165" i="21"/>
  <c r="I165" i="21"/>
  <c r="K164" i="21"/>
  <c r="J164" i="21"/>
  <c r="I164" i="21"/>
  <c r="M164" i="21" s="1"/>
  <c r="M163" i="21"/>
  <c r="J163" i="21"/>
  <c r="K163" i="21" s="1"/>
  <c r="I163" i="21"/>
  <c r="K162" i="21"/>
  <c r="J162" i="21"/>
  <c r="I162" i="21"/>
  <c r="M162" i="21" s="1"/>
  <c r="M161" i="21"/>
  <c r="J161" i="21"/>
  <c r="K161" i="21" s="1"/>
  <c r="I161" i="21"/>
  <c r="J160" i="21"/>
  <c r="K160" i="21" s="1"/>
  <c r="I160" i="21"/>
  <c r="M160" i="21" s="1"/>
  <c r="M159" i="21"/>
  <c r="J159" i="21"/>
  <c r="K159" i="21" s="1"/>
  <c r="I159" i="21"/>
  <c r="K158" i="21"/>
  <c r="J158" i="21"/>
  <c r="I158" i="21"/>
  <c r="M158" i="21" s="1"/>
  <c r="M157" i="21"/>
  <c r="J157" i="21"/>
  <c r="K157" i="21" s="1"/>
  <c r="I157" i="21"/>
  <c r="J156" i="21"/>
  <c r="K156" i="21" s="1"/>
  <c r="I156" i="21"/>
  <c r="M156" i="21" s="1"/>
  <c r="M155" i="21"/>
  <c r="K155" i="21"/>
  <c r="J155" i="21"/>
  <c r="I155" i="21"/>
  <c r="J154" i="21"/>
  <c r="K154" i="21" s="1"/>
  <c r="I154" i="21"/>
  <c r="M154" i="21" s="1"/>
  <c r="M153" i="21"/>
  <c r="K153" i="21"/>
  <c r="J153" i="21"/>
  <c r="I153" i="2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K149" i="21"/>
  <c r="J149" i="21"/>
  <c r="I149" i="21"/>
  <c r="K148" i="21"/>
  <c r="J148" i="21"/>
  <c r="I148" i="21"/>
  <c r="M148" i="21" s="1"/>
  <c r="M147" i="21"/>
  <c r="J147" i="21"/>
  <c r="K147" i="21" s="1"/>
  <c r="I147" i="21"/>
  <c r="K146" i="21"/>
  <c r="J146" i="21"/>
  <c r="I146" i="21"/>
  <c r="M146" i="21" s="1"/>
  <c r="M145" i="21"/>
  <c r="J145" i="21"/>
  <c r="K145" i="21" s="1"/>
  <c r="I145" i="21"/>
  <c r="J144" i="21"/>
  <c r="K144" i="21" s="1"/>
  <c r="I144" i="21"/>
  <c r="M144" i="21" s="1"/>
  <c r="M143" i="21"/>
  <c r="J143" i="21"/>
  <c r="K143" i="21" s="1"/>
  <c r="I143" i="21"/>
  <c r="K142" i="21"/>
  <c r="J142" i="21"/>
  <c r="I142" i="21"/>
  <c r="M142" i="21" s="1"/>
  <c r="M141" i="21"/>
  <c r="J141" i="21"/>
  <c r="K141" i="21" s="1"/>
  <c r="I141" i="21"/>
  <c r="J140" i="21"/>
  <c r="K140" i="21" s="1"/>
  <c r="I140" i="21"/>
  <c r="M140" i="21" s="1"/>
  <c r="M139" i="21"/>
  <c r="K139" i="21"/>
  <c r="J139" i="21"/>
  <c r="I139" i="21"/>
  <c r="J138" i="21"/>
  <c r="K138" i="21" s="1"/>
  <c r="I138" i="21"/>
  <c r="M138" i="21" s="1"/>
  <c r="M137" i="21"/>
  <c r="K137" i="21"/>
  <c r="J137" i="21"/>
  <c r="I137" i="21"/>
  <c r="J136" i="21"/>
  <c r="K136" i="21" s="1"/>
  <c r="I136" i="21"/>
  <c r="M136" i="21" s="1"/>
  <c r="M135" i="21"/>
  <c r="J135" i="21"/>
  <c r="K135" i="21" s="1"/>
  <c r="I135" i="21"/>
  <c r="J134" i="21"/>
  <c r="K134" i="21" s="1"/>
  <c r="I134" i="21"/>
  <c r="M134" i="21" s="1"/>
  <c r="K133" i="21"/>
  <c r="J133" i="21"/>
  <c r="I133" i="21"/>
  <c r="M133" i="21" s="1"/>
  <c r="K132" i="21"/>
  <c r="J132" i="21"/>
  <c r="I132" i="21"/>
  <c r="M132" i="21" s="1"/>
  <c r="M131" i="21"/>
  <c r="J131" i="21"/>
  <c r="K131" i="21" s="1"/>
  <c r="I131" i="21"/>
  <c r="K130" i="21"/>
  <c r="J130" i="2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K126" i="21"/>
  <c r="J126" i="21"/>
  <c r="I126" i="21"/>
  <c r="M126" i="21" s="1"/>
  <c r="J125" i="21"/>
  <c r="K125" i="21" s="1"/>
  <c r="I125" i="21"/>
  <c r="M125" i="21" s="1"/>
  <c r="J124" i="21"/>
  <c r="K124" i="21" s="1"/>
  <c r="I124" i="21"/>
  <c r="M124" i="21" s="1"/>
  <c r="M123" i="21"/>
  <c r="K123" i="21"/>
  <c r="J123" i="21"/>
  <c r="I123" i="21"/>
  <c r="J122" i="21"/>
  <c r="K122" i="21" s="1"/>
  <c r="I122" i="21"/>
  <c r="M122" i="21" s="1"/>
  <c r="M121" i="21"/>
  <c r="K121" i="21"/>
  <c r="J121" i="2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K117" i="21"/>
  <c r="J117" i="21"/>
  <c r="I117" i="21"/>
  <c r="M117" i="21" s="1"/>
  <c r="K116" i="21"/>
  <c r="J116" i="21"/>
  <c r="I116" i="21"/>
  <c r="M116" i="21" s="1"/>
  <c r="J115" i="21"/>
  <c r="K115" i="21" s="1"/>
  <c r="I115" i="21"/>
  <c r="M115" i="21" s="1"/>
  <c r="K114" i="21"/>
  <c r="J114" i="2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K110" i="21"/>
  <c r="J110" i="21"/>
  <c r="I110" i="21"/>
  <c r="M110" i="21" s="1"/>
  <c r="J109" i="21"/>
  <c r="K109" i="21" s="1"/>
  <c r="I109" i="21"/>
  <c r="M109" i="21" s="1"/>
  <c r="J108" i="21"/>
  <c r="K108" i="21" s="1"/>
  <c r="I108" i="21"/>
  <c r="M108" i="21" s="1"/>
  <c r="M107" i="21"/>
  <c r="K107" i="21"/>
  <c r="J107" i="21"/>
  <c r="I107" i="21"/>
  <c r="J106" i="21"/>
  <c r="K106" i="21" s="1"/>
  <c r="I106" i="21"/>
  <c r="M106" i="21" s="1"/>
  <c r="M105" i="21"/>
  <c r="K105" i="21"/>
  <c r="J105" i="2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K101" i="21"/>
  <c r="J101" i="21"/>
  <c r="I101" i="21"/>
  <c r="M101" i="21" s="1"/>
  <c r="K100" i="21"/>
  <c r="J100" i="21"/>
  <c r="I100" i="21"/>
  <c r="M100" i="21" s="1"/>
  <c r="J99" i="21"/>
  <c r="K99" i="21" s="1"/>
  <c r="I99" i="21"/>
  <c r="M99" i="21" s="1"/>
  <c r="K98" i="21"/>
  <c r="J98" i="2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K94" i="21"/>
  <c r="J94" i="21"/>
  <c r="I94" i="21"/>
  <c r="M94" i="21" s="1"/>
  <c r="J93" i="21"/>
  <c r="K93" i="21" s="1"/>
  <c r="I93" i="21"/>
  <c r="M93" i="21" s="1"/>
  <c r="J92" i="21"/>
  <c r="K92" i="21" s="1"/>
  <c r="I92" i="21"/>
  <c r="M92" i="21" s="1"/>
  <c r="M91" i="21"/>
  <c r="K91" i="21"/>
  <c r="J91" i="21"/>
  <c r="I91" i="21"/>
  <c r="J90" i="21"/>
  <c r="K90" i="21" s="1"/>
  <c r="I90" i="21"/>
  <c r="M90" i="21" s="1"/>
  <c r="M89" i="21"/>
  <c r="K89" i="21"/>
  <c r="J89" i="2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K85" i="21"/>
  <c r="J85" i="21"/>
  <c r="I85" i="21"/>
  <c r="M85" i="21" s="1"/>
  <c r="K84" i="21"/>
  <c r="J84" i="21"/>
  <c r="I84" i="21"/>
  <c r="M84" i="21" s="1"/>
  <c r="J83" i="21"/>
  <c r="K83" i="21" s="1"/>
  <c r="I83" i="21"/>
  <c r="M83" i="21" s="1"/>
  <c r="K82" i="21"/>
  <c r="J82" i="2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K78" i="21"/>
  <c r="J78" i="21"/>
  <c r="I78" i="21"/>
  <c r="M78" i="21" s="1"/>
  <c r="J77" i="21"/>
  <c r="K77" i="21" s="1"/>
  <c r="I77" i="21"/>
  <c r="M77" i="21" s="1"/>
  <c r="J76" i="21"/>
  <c r="K76" i="21" s="1"/>
  <c r="I76" i="21"/>
  <c r="M76" i="21" s="1"/>
  <c r="M75" i="21"/>
  <c r="K75" i="21"/>
  <c r="J75" i="21"/>
  <c r="I75" i="21"/>
  <c r="J74" i="21"/>
  <c r="K74" i="21" s="1"/>
  <c r="I74" i="21"/>
  <c r="M74" i="21" s="1"/>
  <c r="M73" i="21"/>
  <c r="K73" i="21"/>
  <c r="J73" i="21"/>
  <c r="I73" i="2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K69" i="21"/>
  <c r="J69" i="21"/>
  <c r="I69" i="21"/>
  <c r="M69" i="21" s="1"/>
  <c r="K68" i="21"/>
  <c r="J68" i="21"/>
  <c r="I68" i="21"/>
  <c r="M68" i="21" s="1"/>
  <c r="J67" i="21"/>
  <c r="K67" i="21" s="1"/>
  <c r="I67" i="21"/>
  <c r="M67" i="21" s="1"/>
  <c r="K66" i="21"/>
  <c r="J66" i="21"/>
  <c r="I66" i="21"/>
  <c r="M66" i="21" s="1"/>
  <c r="J65" i="21"/>
  <c r="K65" i="21" s="1"/>
  <c r="I65" i="21"/>
  <c r="M65" i="21" s="1"/>
  <c r="B65" i="21"/>
  <c r="M64" i="21"/>
  <c r="K64" i="21"/>
  <c r="J64" i="21"/>
  <c r="I64" i="21"/>
  <c r="B64" i="21"/>
  <c r="K63" i="21"/>
  <c r="J63" i="2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M60" i="21"/>
  <c r="J60" i="21"/>
  <c r="K60" i="21" s="1"/>
  <c r="I60" i="21"/>
  <c r="B60" i="21"/>
  <c r="M59" i="21"/>
  <c r="K59" i="21"/>
  <c r="J59" i="21"/>
  <c r="I59" i="21"/>
  <c r="B59" i="21"/>
  <c r="M58" i="21"/>
  <c r="J58" i="21"/>
  <c r="K58" i="21" s="1"/>
  <c r="I58" i="21"/>
  <c r="B58" i="21"/>
  <c r="J57" i="21"/>
  <c r="K57" i="21" s="1"/>
  <c r="I57" i="21"/>
  <c r="M57" i="21" s="1"/>
  <c r="B57" i="21"/>
  <c r="M56" i="21"/>
  <c r="J56" i="21"/>
  <c r="K56" i="21" s="1"/>
  <c r="I56" i="21"/>
  <c r="B56" i="21"/>
  <c r="K55" i="21"/>
  <c r="J55" i="21"/>
  <c r="I55" i="21"/>
  <c r="M55" i="21" s="1"/>
  <c r="B55" i="21"/>
  <c r="M54" i="21"/>
  <c r="K54" i="21"/>
  <c r="J54" i="21"/>
  <c r="I54" i="21"/>
  <c r="B54" i="21"/>
  <c r="J53" i="21"/>
  <c r="K53" i="21" s="1"/>
  <c r="I53" i="21"/>
  <c r="M53" i="21" s="1"/>
  <c r="B53" i="21"/>
  <c r="M52" i="21"/>
  <c r="J52" i="21"/>
  <c r="K52" i="21" s="1"/>
  <c r="I52" i="21"/>
  <c r="B52" i="21"/>
  <c r="M51" i="21"/>
  <c r="J51" i="21"/>
  <c r="K51" i="21" s="1"/>
  <c r="I51" i="21"/>
  <c r="B51" i="21"/>
  <c r="J50" i="21"/>
  <c r="K50" i="21" s="1"/>
  <c r="I50" i="21"/>
  <c r="M50" i="21" s="1"/>
  <c r="B50" i="21"/>
  <c r="M49" i="21"/>
  <c r="K49" i="21"/>
  <c r="J49" i="21"/>
  <c r="I49" i="21"/>
  <c r="B49" i="21"/>
  <c r="M48" i="21"/>
  <c r="J48" i="21"/>
  <c r="K48" i="21" s="1"/>
  <c r="I48" i="21"/>
  <c r="B48" i="21"/>
  <c r="K47" i="21"/>
  <c r="J47" i="21"/>
  <c r="I47" i="21"/>
  <c r="M47" i="21" s="1"/>
  <c r="B47" i="21"/>
  <c r="T46" i="21"/>
  <c r="R46" i="21"/>
  <c r="U46" i="21" s="1"/>
  <c r="K46" i="21"/>
  <c r="J46" i="21"/>
  <c r="I46" i="21"/>
  <c r="M46" i="21" s="1"/>
  <c r="B46" i="21"/>
  <c r="M45" i="21"/>
  <c r="J45" i="21"/>
  <c r="K45" i="21" s="1"/>
  <c r="I45" i="21"/>
  <c r="B45" i="21"/>
  <c r="J44" i="21"/>
  <c r="K44" i="21" s="1"/>
  <c r="I44" i="21"/>
  <c r="M44" i="21" s="1"/>
  <c r="B44" i="21"/>
  <c r="M43" i="21"/>
  <c r="K43" i="21"/>
  <c r="J43" i="21"/>
  <c r="I43" i="21"/>
  <c r="B43" i="21"/>
  <c r="M42" i="21"/>
  <c r="J42" i="21"/>
  <c r="K42" i="21" s="1"/>
  <c r="I42" i="21"/>
  <c r="B42" i="21"/>
  <c r="J41" i="21"/>
  <c r="K41" i="21" s="1"/>
  <c r="I41" i="21"/>
  <c r="M41" i="21" s="1"/>
  <c r="B41" i="21"/>
  <c r="K40" i="21"/>
  <c r="J40" i="21"/>
  <c r="I40" i="21"/>
  <c r="M40" i="21" s="1"/>
  <c r="B40" i="21"/>
  <c r="J39" i="21"/>
  <c r="K39" i="21" s="1"/>
  <c r="I39" i="21"/>
  <c r="M39" i="21" s="1"/>
  <c r="B39" i="21"/>
  <c r="M38" i="21"/>
  <c r="K38" i="21"/>
  <c r="J38" i="21"/>
  <c r="I38" i="21"/>
  <c r="B38" i="21"/>
  <c r="M37" i="21"/>
  <c r="A37" i="21" s="1"/>
  <c r="J37" i="21"/>
  <c r="K37" i="21" s="1"/>
  <c r="I37" i="21"/>
  <c r="B37" i="21"/>
  <c r="J36" i="21"/>
  <c r="K36" i="21" s="1"/>
  <c r="I36" i="21"/>
  <c r="M36" i="21" s="1"/>
  <c r="A36" i="21" s="1"/>
  <c r="B36" i="21"/>
  <c r="M35" i="21"/>
  <c r="A35" i="21" s="1"/>
  <c r="J35" i="21"/>
  <c r="K35" i="21" s="1"/>
  <c r="I35" i="21"/>
  <c r="B35" i="21"/>
  <c r="M34" i="21"/>
  <c r="A34" i="21" s="1"/>
  <c r="J34" i="21"/>
  <c r="K34" i="21" s="1"/>
  <c r="I34" i="21"/>
  <c r="B34" i="21"/>
  <c r="J33" i="21"/>
  <c r="K33" i="21" s="1"/>
  <c r="I33" i="21"/>
  <c r="M33" i="21" s="1"/>
  <c r="A33" i="21" s="1"/>
  <c r="B33" i="21"/>
  <c r="M32" i="21"/>
  <c r="K32" i="21"/>
  <c r="J32" i="21"/>
  <c r="I32" i="21"/>
  <c r="B32" i="21"/>
  <c r="A32" i="21"/>
  <c r="M31" i="21"/>
  <c r="A31" i="21" s="1"/>
  <c r="J31" i="21"/>
  <c r="K31" i="21" s="1"/>
  <c r="I31" i="21"/>
  <c r="B31" i="21"/>
  <c r="M30" i="21"/>
  <c r="J30" i="21"/>
  <c r="K30" i="21" s="1"/>
  <c r="I30" i="21"/>
  <c r="B30" i="21"/>
  <c r="A30" i="21"/>
  <c r="M29" i="21"/>
  <c r="A29" i="21" s="1"/>
  <c r="K29" i="21"/>
  <c r="J29" i="21"/>
  <c r="I29" i="21"/>
  <c r="B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J26" i="21"/>
  <c r="K26" i="21" s="1"/>
  <c r="I26" i="21"/>
  <c r="M26" i="21" s="1"/>
  <c r="A26" i="21" s="1"/>
  <c r="B26" i="21"/>
  <c r="M25" i="21"/>
  <c r="K25" i="21"/>
  <c r="J25" i="21"/>
  <c r="I25" i="21"/>
  <c r="B25" i="21"/>
  <c r="A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J22" i="21"/>
  <c r="K22" i="21" s="1"/>
  <c r="I22" i="21"/>
  <c r="M22" i="21" s="1"/>
  <c r="A22" i="21" s="1"/>
  <c r="B22" i="21"/>
  <c r="M21" i="21"/>
  <c r="K21" i="21"/>
  <c r="J21" i="21"/>
  <c r="I21" i="21"/>
  <c r="B21" i="21"/>
  <c r="A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J18" i="21"/>
  <c r="K18" i="21" s="1"/>
  <c r="I18" i="21"/>
  <c r="M18" i="21" s="1"/>
  <c r="A18" i="21" s="1"/>
  <c r="B18" i="21"/>
  <c r="M17" i="21"/>
  <c r="K17" i="21"/>
  <c r="J17" i="21"/>
  <c r="I17" i="21"/>
  <c r="B17" i="21"/>
  <c r="A17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K14" i="21"/>
  <c r="J14" i="2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R26" i="20" s="1"/>
  <c r="AI12" i="21"/>
  <c r="AI16" i="21" s="1"/>
  <c r="J12" i="21"/>
  <c r="K12" i="21" s="1"/>
  <c r="I12" i="21"/>
  <c r="M12" i="21" s="1"/>
  <c r="A12" i="21" s="1"/>
  <c r="B12" i="21"/>
  <c r="M11" i="21"/>
  <c r="K11" i="21"/>
  <c r="J11" i="21"/>
  <c r="I11" i="21"/>
  <c r="B11" i="21"/>
  <c r="A11" i="21"/>
  <c r="K10" i="21"/>
  <c r="J10" i="21"/>
  <c r="I10" i="21"/>
  <c r="M10" i="21" s="1"/>
  <c r="A10" i="21" s="1"/>
  <c r="B10" i="21"/>
  <c r="L9" i="21"/>
  <c r="J9" i="21"/>
  <c r="K9" i="21" s="1"/>
  <c r="I9" i="21"/>
  <c r="M9" i="21" s="1"/>
  <c r="A9" i="21" s="1"/>
  <c r="K8" i="21"/>
  <c r="J8" i="21"/>
  <c r="I8" i="21"/>
  <c r="M8" i="21" s="1"/>
  <c r="A8" i="21" s="1"/>
  <c r="B8" i="21"/>
  <c r="J7" i="21"/>
  <c r="K7" i="21" s="1"/>
  <c r="I7" i="21"/>
  <c r="M7" i="21" s="1"/>
  <c r="A7" i="21" s="1"/>
  <c r="B7" i="21"/>
  <c r="M6" i="21"/>
  <c r="A6" i="21" s="1"/>
  <c r="J6" i="21"/>
  <c r="K6" i="21" s="1"/>
  <c r="I6" i="21"/>
  <c r="B6" i="21"/>
  <c r="K2" i="21"/>
  <c r="L6" i="21" s="1"/>
  <c r="AF29" i="20" a="1"/>
  <c r="AF29" i="20" s="1"/>
  <c r="AD29" i="20"/>
  <c r="AE29" i="20" s="1"/>
  <c r="AO29" i="20" s="1"/>
  <c r="AB29" i="20"/>
  <c r="AC29" i="20" s="1"/>
  <c r="AN29" i="20" s="1"/>
  <c r="X29" i="20"/>
  <c r="Y29" i="20" s="1"/>
  <c r="AL29" i="20" s="1"/>
  <c r="V29" i="20"/>
  <c r="A29" i="20"/>
  <c r="AF28" i="20" a="1"/>
  <c r="AF28" i="20" s="1"/>
  <c r="AD28" i="20"/>
  <c r="AE28" i="20" s="1"/>
  <c r="AO28" i="20" s="1"/>
  <c r="AB28" i="20"/>
  <c r="AC28" i="20" s="1"/>
  <c r="AN28" i="20" s="1"/>
  <c r="X28" i="20"/>
  <c r="Y28" i="20" s="1"/>
  <c r="AL28" i="20" s="1"/>
  <c r="V28" i="20"/>
  <c r="T28" i="20"/>
  <c r="U28" i="20" s="1"/>
  <c r="AJ28" i="20" s="1"/>
  <c r="A28" i="20"/>
  <c r="AF27" i="20" a="1"/>
  <c r="AF27" i="20" s="1"/>
  <c r="AD27" i="20"/>
  <c r="AE27" i="20" s="1"/>
  <c r="AO27" i="20" s="1"/>
  <c r="AB27" i="20"/>
  <c r="AC27" i="20" s="1"/>
  <c r="AN27" i="20" s="1"/>
  <c r="X27" i="20"/>
  <c r="Y27" i="20" s="1"/>
  <c r="AL27" i="20" s="1"/>
  <c r="V27" i="20"/>
  <c r="T27" i="20"/>
  <c r="U27" i="20" s="1"/>
  <c r="AJ27" i="20" s="1"/>
  <c r="A27" i="20"/>
  <c r="AF26" i="20" a="1"/>
  <c r="AF26" i="20" s="1"/>
  <c r="AD26" i="20"/>
  <c r="AE26" i="20" s="1"/>
  <c r="AO26" i="20" s="1"/>
  <c r="AB26" i="20"/>
  <c r="AC26" i="20" s="1"/>
  <c r="AN26" i="20" s="1"/>
  <c r="X26" i="20"/>
  <c r="Y26" i="20" s="1"/>
  <c r="AL26" i="20" s="1"/>
  <c r="V26" i="20"/>
  <c r="T26" i="20"/>
  <c r="U26" i="20" s="1"/>
  <c r="AJ26" i="20" s="1"/>
  <c r="A26" i="20"/>
  <c r="AF25" i="20" a="1"/>
  <c r="AF25" i="20" s="1"/>
  <c r="AD25" i="20"/>
  <c r="AE25" i="20" s="1"/>
  <c r="AO25" i="20" s="1"/>
  <c r="AB25" i="20"/>
  <c r="AC25" i="20" s="1"/>
  <c r="AN25" i="20" s="1"/>
  <c r="X25" i="20"/>
  <c r="Y25" i="20" s="1"/>
  <c r="AL25" i="20" s="1"/>
  <c r="V25" i="20"/>
  <c r="T25" i="20"/>
  <c r="A25" i="20"/>
  <c r="AF24" i="20" a="1"/>
  <c r="AF24" i="20" s="1"/>
  <c r="AD24" i="20"/>
  <c r="AE24" i="20" s="1"/>
  <c r="AO24" i="20" s="1"/>
  <c r="AB24" i="20"/>
  <c r="AC24" i="20" s="1"/>
  <c r="AN24" i="20" s="1"/>
  <c r="Z24" i="20"/>
  <c r="X24" i="20"/>
  <c r="Y24" i="20" s="1"/>
  <c r="AL24" i="20" s="1"/>
  <c r="V24" i="20"/>
  <c r="T24" i="20"/>
  <c r="A24" i="20"/>
  <c r="AF23" i="20" a="1"/>
  <c r="AF23" i="20" s="1"/>
  <c r="AD23" i="20"/>
  <c r="AE23" i="20" s="1"/>
  <c r="AO23" i="20" s="1"/>
  <c r="AB23" i="20"/>
  <c r="AC23" i="20" s="1"/>
  <c r="AN23" i="20" s="1"/>
  <c r="X23" i="20"/>
  <c r="Y23" i="20" s="1"/>
  <c r="AL23" i="20" s="1"/>
  <c r="V23" i="20"/>
  <c r="T23" i="20"/>
  <c r="A23" i="20"/>
  <c r="AF22" i="20" a="1"/>
  <c r="AF22" i="20" s="1"/>
  <c r="AD22" i="20"/>
  <c r="AE22" i="20" s="1"/>
  <c r="AO22" i="20" s="1"/>
  <c r="AB22" i="20"/>
  <c r="AC22" i="20" s="1"/>
  <c r="AN22" i="20" s="1"/>
  <c r="Z22" i="20"/>
  <c r="X22" i="20"/>
  <c r="Y22" i="20" s="1"/>
  <c r="AL22" i="20" s="1"/>
  <c r="V22" i="20"/>
  <c r="T22" i="20"/>
  <c r="A22" i="20"/>
  <c r="AF21" i="20" a="1"/>
  <c r="AF21" i="20" s="1"/>
  <c r="AD21" i="20"/>
  <c r="AE21" i="20" s="1"/>
  <c r="AO21" i="20" s="1"/>
  <c r="AB21" i="20"/>
  <c r="AC21" i="20" s="1"/>
  <c r="AN21" i="20" s="1"/>
  <c r="X21" i="20"/>
  <c r="Y21" i="20" s="1"/>
  <c r="AL21" i="20" s="1"/>
  <c r="V21" i="20"/>
  <c r="T21" i="20"/>
  <c r="A21" i="20"/>
  <c r="AF20" i="20" a="1"/>
  <c r="AF20" i="20" s="1"/>
  <c r="AD20" i="20"/>
  <c r="AE20" i="20" s="1"/>
  <c r="AO20" i="20" s="1"/>
  <c r="AB20" i="20"/>
  <c r="AC20" i="20" s="1"/>
  <c r="AN20" i="20" s="1"/>
  <c r="Z20" i="20"/>
  <c r="X20" i="20"/>
  <c r="Y20" i="20" s="1"/>
  <c r="AL20" i="20" s="1"/>
  <c r="V20" i="20"/>
  <c r="T20" i="20"/>
  <c r="A20" i="20"/>
  <c r="AF19" i="20" a="1"/>
  <c r="AF19" i="20" s="1"/>
  <c r="AD19" i="20"/>
  <c r="AE19" i="20" s="1"/>
  <c r="AO19" i="20" s="1"/>
  <c r="AB19" i="20"/>
  <c r="AC19" i="20" s="1"/>
  <c r="AN19" i="20" s="1"/>
  <c r="X19" i="20"/>
  <c r="Y19" i="20" s="1"/>
  <c r="AL19" i="20" s="1"/>
  <c r="V19" i="20"/>
  <c r="T19" i="20"/>
  <c r="A19" i="20"/>
  <c r="AF18" i="20" a="1"/>
  <c r="AF18" i="20" s="1"/>
  <c r="AD18" i="20"/>
  <c r="AE18" i="20" s="1"/>
  <c r="AO18" i="20" s="1"/>
  <c r="AB18" i="20"/>
  <c r="AC18" i="20" s="1"/>
  <c r="AN18" i="20" s="1"/>
  <c r="X18" i="20"/>
  <c r="Y18" i="20" s="1"/>
  <c r="AL18" i="20" s="1"/>
  <c r="V18" i="20"/>
  <c r="T18" i="20"/>
  <c r="A18" i="20"/>
  <c r="AF17" i="20" a="1"/>
  <c r="AF17" i="20" s="1"/>
  <c r="AD17" i="20"/>
  <c r="AE17" i="20" s="1"/>
  <c r="AO17" i="20" s="1"/>
  <c r="AB17" i="20"/>
  <c r="AC17" i="20" s="1"/>
  <c r="AN17" i="20" s="1"/>
  <c r="Z17" i="20"/>
  <c r="X17" i="20"/>
  <c r="Y17" i="20" s="1"/>
  <c r="AL17" i="20" s="1"/>
  <c r="V17" i="20"/>
  <c r="T17" i="20"/>
  <c r="A17" i="20"/>
  <c r="AF16" i="20" a="1"/>
  <c r="AF16" i="20" s="1"/>
  <c r="AD16" i="20"/>
  <c r="AE16" i="20" s="1"/>
  <c r="AO16" i="20" s="1"/>
  <c r="AB16" i="20"/>
  <c r="AC16" i="20" s="1"/>
  <c r="AN16" i="20" s="1"/>
  <c r="X16" i="20"/>
  <c r="Y16" i="20" s="1"/>
  <c r="AL16" i="20" s="1"/>
  <c r="V16" i="20"/>
  <c r="A16" i="20"/>
  <c r="AF15" i="20" a="1"/>
  <c r="AF15" i="20" s="1"/>
  <c r="AD15" i="20"/>
  <c r="AE15" i="20" s="1"/>
  <c r="AO15" i="20" s="1"/>
  <c r="AB15" i="20"/>
  <c r="AC15" i="20" s="1"/>
  <c r="AN15" i="20" s="1"/>
  <c r="X15" i="20"/>
  <c r="Y15" i="20" s="1"/>
  <c r="AL15" i="20" s="1"/>
  <c r="V15" i="20"/>
  <c r="T15" i="20"/>
  <c r="U15" i="20" s="1"/>
  <c r="AJ15" i="20" s="1"/>
  <c r="A15" i="20"/>
  <c r="AF14" i="20" a="1"/>
  <c r="AF14" i="20" s="1"/>
  <c r="AD14" i="20"/>
  <c r="AE14" i="20" s="1"/>
  <c r="AO14" i="20" s="1"/>
  <c r="AB14" i="20"/>
  <c r="AC14" i="20" s="1"/>
  <c r="AN14" i="20" s="1"/>
  <c r="X14" i="20"/>
  <c r="Y14" i="20" s="1"/>
  <c r="AL14" i="20" s="1"/>
  <c r="V14" i="20"/>
  <c r="T14" i="20"/>
  <c r="U14" i="20" s="1"/>
  <c r="AJ14" i="20" s="1"/>
  <c r="R14" i="20"/>
  <c r="A14" i="20"/>
  <c r="AF13" i="20" a="1"/>
  <c r="AF13" i="20" s="1"/>
  <c r="AD13" i="20"/>
  <c r="AE13" i="20" s="1"/>
  <c r="AO13" i="20" s="1"/>
  <c r="AB13" i="20"/>
  <c r="AC13" i="20" s="1"/>
  <c r="AN13" i="20" s="1"/>
  <c r="Z13" i="20"/>
  <c r="X13" i="20"/>
  <c r="Y13" i="20" s="1"/>
  <c r="AL13" i="20" s="1"/>
  <c r="V13" i="20"/>
  <c r="T13" i="20"/>
  <c r="U13" i="20" s="1"/>
  <c r="AJ13" i="20" s="1"/>
  <c r="R13" i="20"/>
  <c r="A13" i="20"/>
  <c r="AF9" i="20" a="1"/>
  <c r="AF9" i="20" s="1"/>
  <c r="AD9" i="20"/>
  <c r="AE9" i="20" s="1"/>
  <c r="AB9" i="20"/>
  <c r="AC9" i="20" s="1"/>
  <c r="Z9" i="20"/>
  <c r="X9" i="20"/>
  <c r="Y9" i="20" s="1"/>
  <c r="V9" i="20"/>
  <c r="R9" i="20"/>
  <c r="S9" i="20" s="1"/>
  <c r="A9" i="20"/>
  <c r="AF11" i="20" a="1"/>
  <c r="AF11" i="20" s="1"/>
  <c r="AD11" i="20"/>
  <c r="AE11" i="20" s="1"/>
  <c r="AB11" i="20"/>
  <c r="AC11" i="20" s="1"/>
  <c r="AN11" i="20" s="1"/>
  <c r="Z11" i="20"/>
  <c r="X11" i="20"/>
  <c r="Y11" i="20" s="1"/>
  <c r="V11" i="20"/>
  <c r="T11" i="20"/>
  <c r="R11" i="20"/>
  <c r="S11" i="20" s="1"/>
  <c r="A11" i="20"/>
  <c r="AF10" i="20" a="1"/>
  <c r="AF10" i="20" s="1"/>
  <c r="AD10" i="20"/>
  <c r="AE10" i="20" s="1"/>
  <c r="AB10" i="20"/>
  <c r="AC10" i="20" s="1"/>
  <c r="Z10" i="20"/>
  <c r="X10" i="20"/>
  <c r="Y10" i="20" s="1"/>
  <c r="V10" i="20"/>
  <c r="T10" i="20"/>
  <c r="R10" i="20"/>
  <c r="A10" i="20"/>
  <c r="AF12" i="20" a="1"/>
  <c r="AF12" i="20" s="1"/>
  <c r="AD12" i="20"/>
  <c r="AE12" i="20" s="1"/>
  <c r="AB12" i="20"/>
  <c r="AC12" i="20" s="1"/>
  <c r="Z12" i="20"/>
  <c r="X12" i="20"/>
  <c r="Y12" i="20" s="1"/>
  <c r="V12" i="20"/>
  <c r="T12" i="20"/>
  <c r="R12" i="20"/>
  <c r="A12" i="20"/>
  <c r="AF8" i="20" a="1"/>
  <c r="AF8" i="20" s="1"/>
  <c r="AD8" i="20"/>
  <c r="AE8" i="20" s="1"/>
  <c r="AB8" i="20"/>
  <c r="AC8" i="20" s="1"/>
  <c r="Z8" i="20"/>
  <c r="X8" i="20"/>
  <c r="Y8" i="20" s="1"/>
  <c r="V8" i="20"/>
  <c r="T8" i="20"/>
  <c r="R8" i="20"/>
  <c r="A8" i="20"/>
  <c r="AD7" i="20"/>
  <c r="AE7" i="20" s="1"/>
  <c r="AB7" i="20"/>
  <c r="AC7" i="20" s="1"/>
  <c r="Z7" i="20"/>
  <c r="X7" i="20"/>
  <c r="Y7" i="20" s="1"/>
  <c r="AL7" i="20" s="1"/>
  <c r="T7" i="20"/>
  <c r="R7" i="20"/>
  <c r="A7" i="20"/>
  <c r="AF6" i="20" a="1"/>
  <c r="AF6" i="20" s="1"/>
  <c r="AD6" i="20"/>
  <c r="AE6" i="20" s="1"/>
  <c r="AO6" i="20" s="1"/>
  <c r="AB6" i="20"/>
  <c r="AC6" i="20" s="1"/>
  <c r="AN6" i="20" s="1"/>
  <c r="Z6" i="20"/>
  <c r="AA6" i="20" s="1"/>
  <c r="X6" i="20"/>
  <c r="Y6" i="20" s="1"/>
  <c r="V6" i="20"/>
  <c r="T6" i="20"/>
  <c r="R6" i="20"/>
  <c r="A6" i="20"/>
  <c r="O6" i="13"/>
  <c r="O9" i="13"/>
  <c r="O7" i="13"/>
  <c r="O10" i="13"/>
  <c r="O12" i="13"/>
  <c r="O11" i="13"/>
  <c r="M6" i="13"/>
  <c r="M9" i="13"/>
  <c r="M7" i="13"/>
  <c r="M10" i="13"/>
  <c r="M12" i="13"/>
  <c r="M11" i="13"/>
  <c r="B8" i="17"/>
  <c r="B7" i="17"/>
  <c r="B6" i="17"/>
  <c r="K6" i="13"/>
  <c r="K9" i="13"/>
  <c r="K7" i="13"/>
  <c r="K10" i="13"/>
  <c r="K12" i="13"/>
  <c r="K11" i="13"/>
  <c r="I11" i="13"/>
  <c r="I12" i="13"/>
  <c r="I10" i="13"/>
  <c r="I7" i="13"/>
  <c r="I9" i="13"/>
  <c r="I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8" i="19"/>
  <c r="K46" i="19"/>
  <c r="K54" i="19"/>
  <c r="K62" i="19"/>
  <c r="K70" i="19"/>
  <c r="K78" i="19"/>
  <c r="K86" i="19"/>
  <c r="K94" i="19"/>
  <c r="K102" i="19"/>
  <c r="K110" i="19"/>
  <c r="K118" i="19"/>
  <c r="K126" i="19"/>
  <c r="K142" i="19"/>
  <c r="K150" i="19"/>
  <c r="K158" i="19"/>
  <c r="K166" i="19"/>
  <c r="K174" i="19"/>
  <c r="K182" i="19"/>
  <c r="K198" i="19"/>
  <c r="K206" i="19"/>
  <c r="K214" i="19"/>
  <c r="K222" i="19"/>
  <c r="K230" i="19"/>
  <c r="K238" i="19"/>
  <c r="K246" i="19"/>
  <c r="K254" i="19"/>
  <c r="K262" i="19"/>
  <c r="K270" i="19"/>
  <c r="K278" i="19"/>
  <c r="K286" i="19"/>
  <c r="K294" i="19"/>
  <c r="K302" i="19"/>
  <c r="K282" i="19"/>
  <c r="K210" i="19"/>
  <c r="K122" i="19"/>
  <c r="K50" i="19"/>
  <c r="J305" i="18"/>
  <c r="J304" i="18"/>
  <c r="J303" i="18"/>
  <c r="J302" i="18"/>
  <c r="J301" i="18"/>
  <c r="J300" i="18"/>
  <c r="K300" i="18" s="1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K276" i="18" s="1"/>
  <c r="J275" i="18"/>
  <c r="J274" i="18"/>
  <c r="K274" i="18" s="1"/>
  <c r="J273" i="18"/>
  <c r="J272" i="18"/>
  <c r="J271" i="18"/>
  <c r="J270" i="18"/>
  <c r="J269" i="18"/>
  <c r="J268" i="18"/>
  <c r="K268" i="18" s="1"/>
  <c r="J267" i="18"/>
  <c r="J266" i="18"/>
  <c r="K266" i="18" s="1"/>
  <c r="J265" i="18"/>
  <c r="J264" i="18"/>
  <c r="J263" i="18"/>
  <c r="J262" i="18"/>
  <c r="J261" i="18"/>
  <c r="J260" i="18"/>
  <c r="K260" i="18" s="1"/>
  <c r="J259" i="18"/>
  <c r="J258" i="18"/>
  <c r="K258" i="18" s="1"/>
  <c r="J257" i="18"/>
  <c r="J256" i="18"/>
  <c r="J255" i="18"/>
  <c r="J254" i="18"/>
  <c r="J253" i="18"/>
  <c r="J252" i="18"/>
  <c r="K252" i="18" s="1"/>
  <c r="J251" i="18"/>
  <c r="J250" i="18"/>
  <c r="K250" i="18" s="1"/>
  <c r="J249" i="18"/>
  <c r="J248" i="18"/>
  <c r="J247" i="18"/>
  <c r="J246" i="18"/>
  <c r="J245" i="18"/>
  <c r="J244" i="18"/>
  <c r="K244" i="18" s="1"/>
  <c r="J243" i="18"/>
  <c r="J242" i="18"/>
  <c r="K242" i="18" s="1"/>
  <c r="J241" i="18"/>
  <c r="J240" i="18"/>
  <c r="J239" i="18"/>
  <c r="J238" i="18"/>
  <c r="J237" i="18"/>
  <c r="J236" i="18"/>
  <c r="K236" i="18" s="1"/>
  <c r="J235" i="18"/>
  <c r="J234" i="18"/>
  <c r="K234" i="18" s="1"/>
  <c r="J233" i="18"/>
  <c r="J232" i="18"/>
  <c r="J231" i="18"/>
  <c r="J230" i="18"/>
  <c r="J229" i="18"/>
  <c r="J228" i="18"/>
  <c r="K228" i="18" s="1"/>
  <c r="J227" i="18"/>
  <c r="J226" i="18"/>
  <c r="K226" i="18" s="1"/>
  <c r="J225" i="18"/>
  <c r="J224" i="18"/>
  <c r="J223" i="18"/>
  <c r="J222" i="18"/>
  <c r="J221" i="18"/>
  <c r="J220" i="18"/>
  <c r="K220" i="18" s="1"/>
  <c r="J219" i="18"/>
  <c r="J218" i="18"/>
  <c r="K218" i="18" s="1"/>
  <c r="J217" i="18"/>
  <c r="J216" i="18"/>
  <c r="J215" i="18"/>
  <c r="J214" i="18"/>
  <c r="J213" i="18"/>
  <c r="J212" i="18"/>
  <c r="K212" i="18" s="1"/>
  <c r="J211" i="18"/>
  <c r="J210" i="18"/>
  <c r="K210" i="18" s="1"/>
  <c r="J209" i="18"/>
  <c r="J208" i="18"/>
  <c r="J207" i="18"/>
  <c r="J206" i="18"/>
  <c r="J205" i="18"/>
  <c r="J204" i="18"/>
  <c r="K204" i="18" s="1"/>
  <c r="J203" i="18"/>
  <c r="J202" i="18"/>
  <c r="K202" i="18" s="1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J172" i="18"/>
  <c r="K172" i="18" s="1"/>
  <c r="J171" i="18"/>
  <c r="J170" i="18"/>
  <c r="K170" i="18" s="1"/>
  <c r="J169" i="18"/>
  <c r="J168" i="18"/>
  <c r="J167" i="18"/>
  <c r="J166" i="18"/>
  <c r="J165" i="18"/>
  <c r="J164" i="18"/>
  <c r="K164" i="18" s="1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K148" i="18" s="1"/>
  <c r="J147" i="18"/>
  <c r="J146" i="18"/>
  <c r="K146" i="18" s="1"/>
  <c r="J145" i="18"/>
  <c r="J144" i="18"/>
  <c r="J143" i="18"/>
  <c r="J142" i="18"/>
  <c r="J141" i="18"/>
  <c r="J140" i="18"/>
  <c r="K140" i="18" s="1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K116" i="18" s="1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K100" i="18" s="1"/>
  <c r="J99" i="18"/>
  <c r="K99" i="18" s="1"/>
  <c r="J98" i="18"/>
  <c r="K98" i="18" s="1"/>
  <c r="J97" i="18"/>
  <c r="J96" i="18"/>
  <c r="J95" i="18"/>
  <c r="J94" i="18"/>
  <c r="J93" i="18"/>
  <c r="J92" i="18"/>
  <c r="K92" i="18" s="1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K76" i="18" s="1"/>
  <c r="J75" i="18"/>
  <c r="J74" i="18"/>
  <c r="K74" i="18" s="1"/>
  <c r="J73" i="18"/>
  <c r="J72" i="18"/>
  <c r="J71" i="18"/>
  <c r="J70" i="18"/>
  <c r="J69" i="18"/>
  <c r="J68" i="18"/>
  <c r="J67" i="18"/>
  <c r="K67" i="18" s="1"/>
  <c r="J66" i="18"/>
  <c r="K66" i="18" s="1"/>
  <c r="J65" i="18"/>
  <c r="J64" i="18"/>
  <c r="J63" i="18"/>
  <c r="J62" i="18"/>
  <c r="J61" i="18"/>
  <c r="J60" i="18"/>
  <c r="J59" i="18"/>
  <c r="K59" i="18" s="1"/>
  <c r="J58" i="18"/>
  <c r="K58" i="18" s="1"/>
  <c r="J57" i="18"/>
  <c r="J56" i="18"/>
  <c r="J55" i="18"/>
  <c r="J54" i="18"/>
  <c r="J53" i="18"/>
  <c r="J52" i="18"/>
  <c r="K52" i="18" s="1"/>
  <c r="J51" i="18"/>
  <c r="K51" i="18" s="1"/>
  <c r="J50" i="18"/>
  <c r="J49" i="18"/>
  <c r="J48" i="18"/>
  <c r="J47" i="18"/>
  <c r="J46" i="18"/>
  <c r="J45" i="18"/>
  <c r="J44" i="18"/>
  <c r="K44" i="18" s="1"/>
  <c r="J43" i="18"/>
  <c r="K43" i="18" s="1"/>
  <c r="J42" i="18"/>
  <c r="K42" i="18" s="1"/>
  <c r="J41" i="18"/>
  <c r="J40" i="18"/>
  <c r="J39" i="18"/>
  <c r="J38" i="18"/>
  <c r="J37" i="18"/>
  <c r="J36" i="18"/>
  <c r="J35" i="18"/>
  <c r="K35" i="18" s="1"/>
  <c r="J34" i="18"/>
  <c r="K34" i="18" s="1"/>
  <c r="J33" i="18"/>
  <c r="J32" i="18"/>
  <c r="J31" i="18"/>
  <c r="J30" i="18"/>
  <c r="J29" i="18"/>
  <c r="J28" i="18"/>
  <c r="J27" i="18"/>
  <c r="K27" i="18" s="1"/>
  <c r="J26" i="18"/>
  <c r="K26" i="18" s="1"/>
  <c r="J25" i="18"/>
  <c r="J24" i="18"/>
  <c r="J23" i="18"/>
  <c r="J22" i="18"/>
  <c r="J21" i="18"/>
  <c r="J20" i="18"/>
  <c r="J19" i="18"/>
  <c r="K19" i="18" s="1"/>
  <c r="J18" i="18"/>
  <c r="J17" i="18"/>
  <c r="J16" i="18"/>
  <c r="J15" i="18"/>
  <c r="J14" i="18"/>
  <c r="J13" i="18"/>
  <c r="J12" i="18"/>
  <c r="J11" i="18"/>
  <c r="K11" i="18" s="1"/>
  <c r="J10" i="18"/>
  <c r="K10" i="18" s="1"/>
  <c r="J9" i="18"/>
  <c r="J8" i="18"/>
  <c r="J7" i="18"/>
  <c r="K14" i="18"/>
  <c r="K22" i="18"/>
  <c r="K38" i="18"/>
  <c r="K46" i="18"/>
  <c r="K54" i="18"/>
  <c r="K62" i="18"/>
  <c r="K70" i="18"/>
  <c r="K78" i="18"/>
  <c r="K86" i="18"/>
  <c r="K94" i="18"/>
  <c r="K102" i="18"/>
  <c r="K110" i="18"/>
  <c r="K118" i="18"/>
  <c r="K126" i="18"/>
  <c r="K134" i="18"/>
  <c r="K150" i="18"/>
  <c r="K158" i="18"/>
  <c r="K166" i="18"/>
  <c r="K174" i="18"/>
  <c r="K182" i="18"/>
  <c r="K190" i="18"/>
  <c r="K198" i="18"/>
  <c r="K206" i="18"/>
  <c r="K214" i="18"/>
  <c r="K222" i="18"/>
  <c r="K230" i="18"/>
  <c r="K238" i="18"/>
  <c r="K246" i="18"/>
  <c r="K254" i="18"/>
  <c r="K270" i="18"/>
  <c r="K278" i="18"/>
  <c r="K286" i="18"/>
  <c r="K294" i="18"/>
  <c r="K302" i="18"/>
  <c r="K282" i="18"/>
  <c r="K194" i="18"/>
  <c r="K114" i="18"/>
  <c r="K50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K78" i="17" s="1"/>
  <c r="J77" i="17"/>
  <c r="J76" i="17"/>
  <c r="K76" i="17" s="1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K36" i="17" s="1"/>
  <c r="J35" i="17"/>
  <c r="J34" i="17"/>
  <c r="K34" i="17" s="1"/>
  <c r="J33" i="17"/>
  <c r="J32" i="17"/>
  <c r="J31" i="17"/>
  <c r="J30" i="17"/>
  <c r="J29" i="17"/>
  <c r="J28" i="17"/>
  <c r="J27" i="17"/>
  <c r="J26" i="17"/>
  <c r="J25" i="17"/>
  <c r="J24" i="17"/>
  <c r="J23" i="17"/>
  <c r="J22" i="17"/>
  <c r="K22" i="17" s="1"/>
  <c r="J21" i="17"/>
  <c r="J20" i="17"/>
  <c r="J19" i="17"/>
  <c r="J18" i="17"/>
  <c r="K18" i="17" s="1"/>
  <c r="J17" i="17"/>
  <c r="J16" i="17"/>
  <c r="J15" i="17"/>
  <c r="J14" i="17"/>
  <c r="K14" i="17" s="1"/>
  <c r="J13" i="17"/>
  <c r="J12" i="17"/>
  <c r="K12" i="17" s="1"/>
  <c r="J11" i="17"/>
  <c r="J10" i="17"/>
  <c r="J9" i="17"/>
  <c r="J8" i="17"/>
  <c r="J7" i="17"/>
  <c r="K20" i="17"/>
  <c r="K28" i="17"/>
  <c r="K29" i="17"/>
  <c r="K30" i="17"/>
  <c r="K38" i="17"/>
  <c r="K45" i="17"/>
  <c r="K52" i="17"/>
  <c r="K53" i="17"/>
  <c r="K54" i="17"/>
  <c r="K61" i="17"/>
  <c r="K62" i="17"/>
  <c r="K69" i="17"/>
  <c r="K70" i="17"/>
  <c r="K77" i="17"/>
  <c r="K84" i="17"/>
  <c r="K86" i="17"/>
  <c r="K93" i="17"/>
  <c r="K94" i="17"/>
  <c r="K101" i="17"/>
  <c r="K102" i="17"/>
  <c r="K108" i="17"/>
  <c r="K109" i="17"/>
  <c r="K110" i="17"/>
  <c r="K116" i="17"/>
  <c r="K118" i="17"/>
  <c r="K125" i="17"/>
  <c r="K126" i="17"/>
  <c r="K133" i="17"/>
  <c r="K134" i="17"/>
  <c r="K141" i="17"/>
  <c r="K142" i="17"/>
  <c r="K148" i="17"/>
  <c r="K149" i="17"/>
  <c r="K150" i="17"/>
  <c r="K157" i="17"/>
  <c r="K158" i="17"/>
  <c r="K165" i="17"/>
  <c r="K166" i="17"/>
  <c r="K172" i="17"/>
  <c r="K173" i="17"/>
  <c r="K180" i="17"/>
  <c r="K182" i="17"/>
  <c r="K189" i="17"/>
  <c r="K190" i="17"/>
  <c r="K196" i="17"/>
  <c r="K197" i="17"/>
  <c r="K198" i="17"/>
  <c r="K204" i="17"/>
  <c r="K206" i="17"/>
  <c r="K213" i="17"/>
  <c r="K214" i="17"/>
  <c r="K220" i="17"/>
  <c r="K221" i="17"/>
  <c r="K222" i="17"/>
  <c r="K228" i="17"/>
  <c r="K230" i="17"/>
  <c r="K237" i="17"/>
  <c r="K238" i="17"/>
  <c r="K244" i="17"/>
  <c r="K245" i="17"/>
  <c r="K246" i="17"/>
  <c r="K252" i="17"/>
  <c r="K254" i="17"/>
  <c r="K261" i="17"/>
  <c r="K262" i="17"/>
  <c r="K269" i="17"/>
  <c r="K270" i="17"/>
  <c r="K276" i="17"/>
  <c r="K277" i="17"/>
  <c r="K278" i="17"/>
  <c r="K284" i="17"/>
  <c r="K286" i="17"/>
  <c r="K293" i="17"/>
  <c r="K294" i="17"/>
  <c r="K300" i="17"/>
  <c r="K301" i="17"/>
  <c r="J305" i="16"/>
  <c r="J304" i="16"/>
  <c r="J303" i="16"/>
  <c r="J302" i="16"/>
  <c r="J301" i="16"/>
  <c r="J300" i="16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K251" i="16" s="1"/>
  <c r="J250" i="16"/>
  <c r="K250" i="16" s="1"/>
  <c r="J249" i="16"/>
  <c r="J248" i="16"/>
  <c r="J247" i="16"/>
  <c r="J246" i="16"/>
  <c r="J245" i="16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K234" i="16" s="1"/>
  <c r="J233" i="16"/>
  <c r="J232" i="16"/>
  <c r="J231" i="16"/>
  <c r="J230" i="16"/>
  <c r="J229" i="16"/>
  <c r="J228" i="16"/>
  <c r="J227" i="16"/>
  <c r="K227" i="16" s="1"/>
  <c r="J226" i="16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K187" i="16" s="1"/>
  <c r="J186" i="16"/>
  <c r="K186" i="16" s="1"/>
  <c r="J185" i="16"/>
  <c r="J184" i="16"/>
  <c r="J183" i="16"/>
  <c r="J182" i="16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K147" i="16" s="1"/>
  <c r="J146" i="16"/>
  <c r="K146" i="16" s="1"/>
  <c r="J145" i="16"/>
  <c r="J144" i="16"/>
  <c r="J143" i="16"/>
  <c r="J142" i="16"/>
  <c r="J141" i="16"/>
  <c r="J140" i="16"/>
  <c r="J139" i="16"/>
  <c r="K139" i="16" s="1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K83" i="16" s="1"/>
  <c r="J82" i="16"/>
  <c r="K82" i="16" s="1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J67" i="16"/>
  <c r="K67" i="16" s="1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K51" i="16" s="1"/>
  <c r="J50" i="16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J37" i="16"/>
  <c r="J36" i="16"/>
  <c r="J35" i="16"/>
  <c r="K35" i="16" s="1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K22" i="16" s="1"/>
  <c r="J21" i="16"/>
  <c r="J20" i="16"/>
  <c r="J19" i="16"/>
  <c r="K19" i="16" s="1"/>
  <c r="J18" i="16"/>
  <c r="K18" i="16" s="1"/>
  <c r="J17" i="16"/>
  <c r="J16" i="16"/>
  <c r="J15" i="16"/>
  <c r="J14" i="16"/>
  <c r="J13" i="16"/>
  <c r="J12" i="16"/>
  <c r="J11" i="16"/>
  <c r="K11" i="16" s="1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94" i="16"/>
  <c r="K102" i="16"/>
  <c r="K110" i="16"/>
  <c r="K118" i="16"/>
  <c r="K126" i="16"/>
  <c r="K134" i="16"/>
  <c r="K142" i="16"/>
  <c r="K150" i="16"/>
  <c r="K158" i="16"/>
  <c r="K166" i="16"/>
  <c r="K174" i="16"/>
  <c r="K190" i="16"/>
  <c r="K198" i="16"/>
  <c r="K206" i="16"/>
  <c r="K214" i="16"/>
  <c r="K222" i="16"/>
  <c r="K230" i="16"/>
  <c r="K238" i="16"/>
  <c r="K246" i="16"/>
  <c r="K254" i="16"/>
  <c r="K262" i="16"/>
  <c r="K270" i="16"/>
  <c r="K278" i="16"/>
  <c r="K286" i="16"/>
  <c r="K294" i="16"/>
  <c r="K302" i="16"/>
  <c r="K298" i="16"/>
  <c r="K226" i="16"/>
  <c r="K138" i="16"/>
  <c r="K50" i="16"/>
  <c r="J305" i="15"/>
  <c r="J304" i="15"/>
  <c r="J303" i="15"/>
  <c r="K303" i="15" s="1"/>
  <c r="J302" i="15"/>
  <c r="J301" i="15"/>
  <c r="J300" i="15"/>
  <c r="J299" i="15"/>
  <c r="K299" i="15" s="1"/>
  <c r="J298" i="15"/>
  <c r="K298" i="15" s="1"/>
  <c r="J297" i="15"/>
  <c r="J296" i="15"/>
  <c r="J295" i="15"/>
  <c r="K295" i="15" s="1"/>
  <c r="J294" i="15"/>
  <c r="K294" i="15" s="1"/>
  <c r="J293" i="15"/>
  <c r="J292" i="15"/>
  <c r="K292" i="15" s="1"/>
  <c r="J291" i="15"/>
  <c r="J290" i="15"/>
  <c r="K290" i="15" s="1"/>
  <c r="J289" i="15"/>
  <c r="J288" i="15"/>
  <c r="J287" i="15"/>
  <c r="K287" i="15" s="1"/>
  <c r="J286" i="15"/>
  <c r="K286" i="15" s="1"/>
  <c r="J285" i="15"/>
  <c r="J284" i="15"/>
  <c r="K284" i="15" s="1"/>
  <c r="J283" i="15"/>
  <c r="K283" i="15" s="1"/>
  <c r="J282" i="15"/>
  <c r="K282" i="15" s="1"/>
  <c r="J281" i="15"/>
  <c r="J280" i="15"/>
  <c r="J279" i="15"/>
  <c r="K279" i="15" s="1"/>
  <c r="J278" i="15"/>
  <c r="K278" i="15" s="1"/>
  <c r="J277" i="15"/>
  <c r="J276" i="15"/>
  <c r="K276" i="15" s="1"/>
  <c r="J275" i="15"/>
  <c r="K275" i="15" s="1"/>
  <c r="J274" i="15"/>
  <c r="J273" i="15"/>
  <c r="J272" i="15"/>
  <c r="J271" i="15"/>
  <c r="J270" i="15"/>
  <c r="K270" i="15" s="1"/>
  <c r="J269" i="15"/>
  <c r="J268" i="15"/>
  <c r="K268" i="15" s="1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K252" i="15" s="1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J244" i="15"/>
  <c r="K244" i="15" s="1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J228" i="15"/>
  <c r="J227" i="15"/>
  <c r="K227" i="15" s="1"/>
  <c r="J226" i="15"/>
  <c r="K226" i="15" s="1"/>
  <c r="J225" i="15"/>
  <c r="J224" i="15"/>
  <c r="J223" i="15"/>
  <c r="K223" i="15" s="1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J204" i="15"/>
  <c r="K204" i="15" s="1"/>
  <c r="J203" i="15"/>
  <c r="J202" i="15"/>
  <c r="K202" i="15" s="1"/>
  <c r="J201" i="15"/>
  <c r="J200" i="15"/>
  <c r="J199" i="15"/>
  <c r="K199" i="15" s="1"/>
  <c r="J198" i="15"/>
  <c r="K198" i="15" s="1"/>
  <c r="J197" i="15"/>
  <c r="J196" i="15"/>
  <c r="K196" i="15" s="1"/>
  <c r="J195" i="15"/>
  <c r="K195" i="15" s="1"/>
  <c r="J194" i="15"/>
  <c r="K194" i="15" s="1"/>
  <c r="J193" i="15"/>
  <c r="J192" i="15"/>
  <c r="J191" i="15"/>
  <c r="K191" i="15" s="1"/>
  <c r="J190" i="15"/>
  <c r="K190" i="15" s="1"/>
  <c r="J189" i="15"/>
  <c r="J188" i="15"/>
  <c r="J187" i="15"/>
  <c r="K187" i="15" s="1"/>
  <c r="J186" i="15"/>
  <c r="J185" i="15"/>
  <c r="J184" i="15"/>
  <c r="J183" i="15"/>
  <c r="K183" i="15" s="1"/>
  <c r="J182" i="15"/>
  <c r="K182" i="15" s="1"/>
  <c r="J181" i="15"/>
  <c r="J180" i="15"/>
  <c r="K180" i="15" s="1"/>
  <c r="J179" i="15"/>
  <c r="K179" i="15" s="1"/>
  <c r="J178" i="15"/>
  <c r="J177" i="15"/>
  <c r="J176" i="15"/>
  <c r="J175" i="15"/>
  <c r="K175" i="15" s="1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J164" i="15"/>
  <c r="J163" i="15"/>
  <c r="K163" i="15" s="1"/>
  <c r="J162" i="15"/>
  <c r="K162" i="15" s="1"/>
  <c r="J161" i="15"/>
  <c r="J160" i="15"/>
  <c r="J159" i="15"/>
  <c r="K159" i="15" s="1"/>
  <c r="J158" i="15"/>
  <c r="K158" i="15" s="1"/>
  <c r="J157" i="15"/>
  <c r="J156" i="15"/>
  <c r="J155" i="15"/>
  <c r="K155" i="15" s="1"/>
  <c r="J154" i="15"/>
  <c r="K154" i="15" s="1"/>
  <c r="J153" i="15"/>
  <c r="J152" i="15"/>
  <c r="J151" i="15"/>
  <c r="K151" i="15" s="1"/>
  <c r="J150" i="15"/>
  <c r="K150" i="15" s="1"/>
  <c r="J149" i="15"/>
  <c r="J148" i="15"/>
  <c r="K148" i="15" s="1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K134" i="15" s="1"/>
  <c r="J133" i="15"/>
  <c r="J132" i="15"/>
  <c r="J131" i="15"/>
  <c r="K131" i="15" s="1"/>
  <c r="J130" i="15"/>
  <c r="K130" i="15" s="1"/>
  <c r="J129" i="15"/>
  <c r="J128" i="15"/>
  <c r="J127" i="15"/>
  <c r="K127" i="15" s="1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J116" i="15"/>
  <c r="K116" i="15" s="1"/>
  <c r="J115" i="15"/>
  <c r="K115" i="15" s="1"/>
  <c r="J114" i="15"/>
  <c r="K114" i="15" s="1"/>
  <c r="J113" i="15"/>
  <c r="J112" i="15"/>
  <c r="J111" i="15"/>
  <c r="K111" i="15" s="1"/>
  <c r="J110" i="15"/>
  <c r="K110" i="15" s="1"/>
  <c r="J109" i="15"/>
  <c r="J108" i="15"/>
  <c r="K108" i="15" s="1"/>
  <c r="J107" i="15"/>
  <c r="K107" i="15" s="1"/>
  <c r="J106" i="15"/>
  <c r="J105" i="15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K94" i="15" s="1"/>
  <c r="J93" i="15"/>
  <c r="J92" i="15"/>
  <c r="K92" i="15" s="1"/>
  <c r="J91" i="15"/>
  <c r="J90" i="15"/>
  <c r="K90" i="15" s="1"/>
  <c r="J89" i="15"/>
  <c r="J88" i="15"/>
  <c r="J87" i="15"/>
  <c r="K87" i="15" s="1"/>
  <c r="J86" i="15"/>
  <c r="K86" i="15" s="1"/>
  <c r="J85" i="15"/>
  <c r="J84" i="15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K76" i="15" s="1"/>
  <c r="J75" i="15"/>
  <c r="J74" i="15"/>
  <c r="K74" i="15" s="1"/>
  <c r="J73" i="15"/>
  <c r="J72" i="15"/>
  <c r="J71" i="15"/>
  <c r="J70" i="15"/>
  <c r="K70" i="15" s="1"/>
  <c r="J69" i="15"/>
  <c r="J68" i="15"/>
  <c r="K68" i="15" s="1"/>
  <c r="J67" i="15"/>
  <c r="K67" i="15" s="1"/>
  <c r="J66" i="15"/>
  <c r="K66" i="15" s="1"/>
  <c r="J65" i="15"/>
  <c r="J64" i="15"/>
  <c r="J63" i="15"/>
  <c r="J62" i="15"/>
  <c r="K62" i="15" s="1"/>
  <c r="J61" i="15"/>
  <c r="J60" i="15"/>
  <c r="K60" i="15" s="1"/>
  <c r="J59" i="15"/>
  <c r="J58" i="15"/>
  <c r="K58" i="15" s="1"/>
  <c r="J57" i="15"/>
  <c r="J56" i="15"/>
  <c r="J55" i="15"/>
  <c r="K55" i="15" s="1"/>
  <c r="J54" i="15"/>
  <c r="K54" i="15" s="1"/>
  <c r="J53" i="15"/>
  <c r="J52" i="15"/>
  <c r="K52" i="15" s="1"/>
  <c r="J51" i="15"/>
  <c r="K51" i="15" s="1"/>
  <c r="J50" i="15"/>
  <c r="K50" i="15" s="1"/>
  <c r="J49" i="15"/>
  <c r="J48" i="15"/>
  <c r="J47" i="15"/>
  <c r="K47" i="15" s="1"/>
  <c r="J46" i="15"/>
  <c r="K46" i="15" s="1"/>
  <c r="J45" i="15"/>
  <c r="J44" i="15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K23" i="15" s="1"/>
  <c r="J22" i="15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44" i="15"/>
  <c r="K84" i="15"/>
  <c r="K156" i="15"/>
  <c r="K164" i="15"/>
  <c r="K228" i="15"/>
  <c r="K236" i="15"/>
  <c r="K300" i="15"/>
  <c r="K274" i="15"/>
  <c r="K178" i="15"/>
  <c r="K106" i="15"/>
  <c r="J6" i="19"/>
  <c r="J6" i="18"/>
  <c r="J6" i="17"/>
  <c r="J6" i="16"/>
  <c r="J6" i="15"/>
  <c r="K6" i="15" s="1"/>
  <c r="G10" i="13"/>
  <c r="G7" i="13"/>
  <c r="G9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8" i="13"/>
  <c r="A11" i="13"/>
  <c r="A12" i="13"/>
  <c r="A10" i="13"/>
  <c r="A7" i="13"/>
  <c r="A9" i="13"/>
  <c r="A6" i="13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K300" i="14" s="1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K284" i="14" s="1"/>
  <c r="J283" i="14"/>
  <c r="J282" i="14"/>
  <c r="J281" i="14"/>
  <c r="J280" i="14"/>
  <c r="K280" i="14" s="1"/>
  <c r="J279" i="14"/>
  <c r="J278" i="14"/>
  <c r="K278" i="14" s="1"/>
  <c r="J277" i="14"/>
  <c r="J276" i="14"/>
  <c r="K276" i="14" s="1"/>
  <c r="J275" i="14"/>
  <c r="J274" i="14"/>
  <c r="J273" i="14"/>
  <c r="J272" i="14"/>
  <c r="K272" i="14" s="1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J258" i="14"/>
  <c r="J257" i="14"/>
  <c r="J256" i="14"/>
  <c r="K256" i="14" s="1"/>
  <c r="J255" i="14"/>
  <c r="J254" i="14"/>
  <c r="K254" i="14" s="1"/>
  <c r="J253" i="14"/>
  <c r="J252" i="14"/>
  <c r="K252" i="14" s="1"/>
  <c r="J251" i="14"/>
  <c r="J250" i="14"/>
  <c r="J249" i="14"/>
  <c r="J248" i="14"/>
  <c r="K248" i="14" s="1"/>
  <c r="J247" i="14"/>
  <c r="J246" i="14"/>
  <c r="K246" i="14" s="1"/>
  <c r="J245" i="14"/>
  <c r="J244" i="14"/>
  <c r="J243" i="14"/>
  <c r="J242" i="14"/>
  <c r="J241" i="14"/>
  <c r="J240" i="14"/>
  <c r="J239" i="14"/>
  <c r="J238" i="14"/>
  <c r="K238" i="14" s="1"/>
  <c r="J237" i="14"/>
  <c r="J236" i="14"/>
  <c r="K236" i="14" s="1"/>
  <c r="J235" i="14"/>
  <c r="J234" i="14"/>
  <c r="J233" i="14"/>
  <c r="J232" i="14"/>
  <c r="K232" i="14" s="1"/>
  <c r="J231" i="14"/>
  <c r="J230" i="14"/>
  <c r="K230" i="14" s="1"/>
  <c r="J229" i="14"/>
  <c r="J228" i="14"/>
  <c r="K228" i="14" s="1"/>
  <c r="J227" i="14"/>
  <c r="J226" i="14"/>
  <c r="J225" i="14"/>
  <c r="J224" i="14"/>
  <c r="K224" i="14" s="1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J198" i="14"/>
  <c r="K198" i="14" s="1"/>
  <c r="J197" i="14"/>
  <c r="J196" i="14"/>
  <c r="K196" i="14" s="1"/>
  <c r="J195" i="14"/>
  <c r="J194" i="14"/>
  <c r="J193" i="14"/>
  <c r="J192" i="14"/>
  <c r="K192" i="14" s="1"/>
  <c r="J191" i="14"/>
  <c r="J190" i="14"/>
  <c r="K190" i="14" s="1"/>
  <c r="J189" i="14"/>
  <c r="J188" i="14"/>
  <c r="K188" i="14" s="1"/>
  <c r="J187" i="14"/>
  <c r="J186" i="14"/>
  <c r="J185" i="14"/>
  <c r="J184" i="14"/>
  <c r="K184" i="14" s="1"/>
  <c r="J183" i="14"/>
  <c r="J182" i="14"/>
  <c r="K182" i="14" s="1"/>
  <c r="J181" i="14"/>
  <c r="J180" i="14"/>
  <c r="K180" i="14" s="1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K168" i="14" s="1"/>
  <c r="J167" i="14"/>
  <c r="J166" i="14"/>
  <c r="J165" i="14"/>
  <c r="J164" i="14"/>
  <c r="K164" i="14" s="1"/>
  <c r="J163" i="14"/>
  <c r="J162" i="14"/>
  <c r="J161" i="14"/>
  <c r="J160" i="14"/>
  <c r="K160" i="14" s="1"/>
  <c r="J159" i="14"/>
  <c r="J158" i="14"/>
  <c r="K158" i="14" s="1"/>
  <c r="J157" i="14"/>
  <c r="J156" i="14"/>
  <c r="K156" i="14" s="1"/>
  <c r="J155" i="14"/>
  <c r="J154" i="14"/>
  <c r="J153" i="14"/>
  <c r="J152" i="14"/>
  <c r="K152" i="14" s="1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J138" i="14"/>
  <c r="J137" i="14"/>
  <c r="J136" i="14"/>
  <c r="K136" i="14" s="1"/>
  <c r="J135" i="14"/>
  <c r="J134" i="14"/>
  <c r="K134" i="14" s="1"/>
  <c r="J133" i="14"/>
  <c r="J132" i="14"/>
  <c r="K132" i="14" s="1"/>
  <c r="J131" i="14"/>
  <c r="J130" i="14"/>
  <c r="J129" i="14"/>
  <c r="J128" i="14"/>
  <c r="K128" i="14" s="1"/>
  <c r="J127" i="14"/>
  <c r="J126" i="14"/>
  <c r="K126" i="14" s="1"/>
  <c r="J125" i="14"/>
  <c r="J124" i="14"/>
  <c r="J123" i="14"/>
  <c r="J122" i="14"/>
  <c r="J121" i="14"/>
  <c r="J120" i="14"/>
  <c r="J119" i="14"/>
  <c r="J118" i="14"/>
  <c r="K118" i="14" s="1"/>
  <c r="J117" i="14"/>
  <c r="J116" i="14"/>
  <c r="K116" i="14" s="1"/>
  <c r="J115" i="14"/>
  <c r="J114" i="14"/>
  <c r="J113" i="14"/>
  <c r="J112" i="14"/>
  <c r="K112" i="14" s="1"/>
  <c r="J111" i="14"/>
  <c r="J110" i="14"/>
  <c r="K110" i="14" s="1"/>
  <c r="J109" i="14"/>
  <c r="J108" i="14"/>
  <c r="K108" i="14" s="1"/>
  <c r="J107" i="14"/>
  <c r="J106" i="14"/>
  <c r="J105" i="14"/>
  <c r="J104" i="14"/>
  <c r="K104" i="14" s="1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J90" i="14"/>
  <c r="K90" i="14" s="1"/>
  <c r="J89" i="14"/>
  <c r="J88" i="14"/>
  <c r="K88" i="14" s="1"/>
  <c r="J87" i="14"/>
  <c r="J86" i="14"/>
  <c r="K86" i="14" s="1"/>
  <c r="J85" i="14"/>
  <c r="J84" i="14"/>
  <c r="K84" i="14" s="1"/>
  <c r="J83" i="14"/>
  <c r="J82" i="14"/>
  <c r="K82" i="14" s="1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K68" i="14" s="1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K54" i="14" s="1"/>
  <c r="J53" i="14"/>
  <c r="J52" i="14"/>
  <c r="K52" i="14" s="1"/>
  <c r="J51" i="14"/>
  <c r="J50" i="14"/>
  <c r="J49" i="14"/>
  <c r="J48" i="14"/>
  <c r="K48" i="14" s="1"/>
  <c r="J47" i="14"/>
  <c r="J46" i="14"/>
  <c r="K46" i="14" s="1"/>
  <c r="J45" i="14"/>
  <c r="J44" i="14"/>
  <c r="K44" i="14" s="1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J30" i="14"/>
  <c r="K30" i="14" s="1"/>
  <c r="J29" i="14"/>
  <c r="J28" i="14"/>
  <c r="K28" i="14" s="1"/>
  <c r="J27" i="14"/>
  <c r="J26" i="14"/>
  <c r="J25" i="14"/>
  <c r="J24" i="14"/>
  <c r="K24" i="14" s="1"/>
  <c r="J23" i="14"/>
  <c r="J22" i="14"/>
  <c r="K22" i="14" s="1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E11" i="13"/>
  <c r="E12" i="13"/>
  <c r="E10" i="13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K189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K11" i="19"/>
  <c r="I11" i="19"/>
  <c r="B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I35" i="18"/>
  <c r="M35" i="18" s="1"/>
  <c r="A35" i="18" s="1"/>
  <c r="B35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B31" i="18"/>
  <c r="A31" i="18"/>
  <c r="K30" i="18"/>
  <c r="I30" i="18"/>
  <c r="M30" i="18" s="1"/>
  <c r="A30" i="18" s="1"/>
  <c r="B30" i="18"/>
  <c r="K29" i="18"/>
  <c r="I29" i="18"/>
  <c r="M29" i="18" s="1"/>
  <c r="A29" i="18" s="1"/>
  <c r="B29" i="18"/>
  <c r="K28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K25" i="18"/>
  <c r="I25" i="18"/>
  <c r="M25" i="18" s="1"/>
  <c r="A25" i="18" s="1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I19" i="18"/>
  <c r="M19" i="18" s="1"/>
  <c r="A19" i="18" s="1"/>
  <c r="B19" i="18"/>
  <c r="K18" i="18"/>
  <c r="I18" i="18"/>
  <c r="M18" i="18" s="1"/>
  <c r="A18" i="18" s="1"/>
  <c r="B18" i="18"/>
  <c r="K17" i="18"/>
  <c r="I17" i="18"/>
  <c r="M17" i="18" s="1"/>
  <c r="A17" i="18" s="1"/>
  <c r="B17" i="18"/>
  <c r="K16" i="18"/>
  <c r="I16" i="18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B13" i="18"/>
  <c r="AI12" i="18"/>
  <c r="K12" i="18"/>
  <c r="I12" i="18"/>
  <c r="M12" i="18" s="1"/>
  <c r="A12" i="18" s="1"/>
  <c r="B12" i="18"/>
  <c r="I11" i="18"/>
  <c r="B11" i="18"/>
  <c r="I10" i="18"/>
  <c r="M10" i="18" s="1"/>
  <c r="A10" i="18" s="1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B36" i="17"/>
  <c r="A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B24" i="17"/>
  <c r="A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I14" i="17"/>
  <c r="B14" i="17"/>
  <c r="AI13" i="17"/>
  <c r="K13" i="17"/>
  <c r="I13" i="17"/>
  <c r="B13" i="17"/>
  <c r="AI12" i="17"/>
  <c r="AI16" i="17" s="1"/>
  <c r="I12" i="17"/>
  <c r="B12" i="17"/>
  <c r="K11" i="17"/>
  <c r="I11" i="17"/>
  <c r="M11" i="17" s="1"/>
  <c r="A11" i="17" s="1"/>
  <c r="B11" i="17"/>
  <c r="K10" i="17"/>
  <c r="I10" i="17"/>
  <c r="M10" i="17" s="1"/>
  <c r="B10" i="17"/>
  <c r="K9" i="17"/>
  <c r="I9" i="17"/>
  <c r="B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B36" i="16"/>
  <c r="I35" i="16"/>
  <c r="B35" i="16"/>
  <c r="I34" i="16"/>
  <c r="B34" i="16"/>
  <c r="K33" i="16"/>
  <c r="I33" i="16"/>
  <c r="B33" i="16"/>
  <c r="K32" i="16"/>
  <c r="I32" i="16"/>
  <c r="B32" i="16"/>
  <c r="K31" i="16"/>
  <c r="I31" i="16"/>
  <c r="B31" i="16"/>
  <c r="I30" i="16"/>
  <c r="B30" i="16"/>
  <c r="K29" i="16"/>
  <c r="I29" i="16"/>
  <c r="B29" i="16"/>
  <c r="K28" i="16"/>
  <c r="I28" i="16"/>
  <c r="M28" i="16" s="1"/>
  <c r="B28" i="16"/>
  <c r="K27" i="16"/>
  <c r="I27" i="16"/>
  <c r="B27" i="16"/>
  <c r="I26" i="16"/>
  <c r="B26" i="16"/>
  <c r="K25" i="16"/>
  <c r="I25" i="16"/>
  <c r="B25" i="16"/>
  <c r="K24" i="16"/>
  <c r="I24" i="16"/>
  <c r="B24" i="16"/>
  <c r="K23" i="16"/>
  <c r="I23" i="16"/>
  <c r="B23" i="16"/>
  <c r="I22" i="16"/>
  <c r="B22" i="16"/>
  <c r="K21" i="16"/>
  <c r="I21" i="16"/>
  <c r="B21" i="16"/>
  <c r="K20" i="16"/>
  <c r="I20" i="16"/>
  <c r="M20" i="16" s="1"/>
  <c r="B20" i="16"/>
  <c r="I19" i="16"/>
  <c r="B19" i="16"/>
  <c r="I18" i="16"/>
  <c r="B18" i="16"/>
  <c r="K17" i="16"/>
  <c r="I17" i="16"/>
  <c r="B17" i="16"/>
  <c r="K16" i="16"/>
  <c r="I16" i="16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A13" i="16" s="1"/>
  <c r="B13" i="16"/>
  <c r="AI12" i="16"/>
  <c r="K12" i="16"/>
  <c r="I12" i="16"/>
  <c r="M12" i="16" s="1"/>
  <c r="A12" i="16" s="1"/>
  <c r="B12" i="16"/>
  <c r="I11" i="16"/>
  <c r="M11" i="16" s="1"/>
  <c r="A11" i="16" s="1"/>
  <c r="B11" i="16"/>
  <c r="I10" i="16"/>
  <c r="M10" i="16" s="1"/>
  <c r="A10" i="16" s="1"/>
  <c r="B10" i="16"/>
  <c r="K9" i="16"/>
  <c r="I9" i="16"/>
  <c r="M9" i="16" s="1"/>
  <c r="A9" i="16" s="1"/>
  <c r="B9" i="16"/>
  <c r="K8" i="16"/>
  <c r="I8" i="16"/>
  <c r="K7" i="16"/>
  <c r="I7" i="16"/>
  <c r="K6" i="16"/>
  <c r="K2" i="16"/>
  <c r="K305" i="15"/>
  <c r="I305" i="15"/>
  <c r="M305" i="15" s="1"/>
  <c r="K304" i="15"/>
  <c r="I304" i="15"/>
  <c r="M304" i="15" s="1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K37" i="15"/>
  <c r="I37" i="15"/>
  <c r="M37" i="15" s="1"/>
  <c r="A37" i="15" s="1"/>
  <c r="B37" i="15"/>
  <c r="I36" i="15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I31" i="15"/>
  <c r="B31" i="15"/>
  <c r="I30" i="15"/>
  <c r="B30" i="15"/>
  <c r="K29" i="15"/>
  <c r="I29" i="15"/>
  <c r="M29" i="15" s="1"/>
  <c r="A29" i="15" s="1"/>
  <c r="B29" i="15"/>
  <c r="I28" i="15"/>
  <c r="M28" i="15" s="1"/>
  <c r="B28" i="15"/>
  <c r="I27" i="15"/>
  <c r="M27" i="15" s="1"/>
  <c r="A27" i="15" s="1"/>
  <c r="B27" i="15"/>
  <c r="I26" i="15"/>
  <c r="M26" i="15" s="1"/>
  <c r="A26" i="15" s="1"/>
  <c r="B26" i="15"/>
  <c r="K25" i="15"/>
  <c r="I25" i="15"/>
  <c r="M25" i="15" s="1"/>
  <c r="A25" i="15" s="1"/>
  <c r="B25" i="15"/>
  <c r="K24" i="15"/>
  <c r="I24" i="15"/>
  <c r="B24" i="15"/>
  <c r="I23" i="15"/>
  <c r="M23" i="15" s="1"/>
  <c r="A23" i="15" s="1"/>
  <c r="B23" i="15"/>
  <c r="K22" i="15"/>
  <c r="I22" i="15"/>
  <c r="M22" i="15" s="1"/>
  <c r="B22" i="15"/>
  <c r="K21" i="15"/>
  <c r="I21" i="15"/>
  <c r="M21" i="15" s="1"/>
  <c r="B21" i="15"/>
  <c r="I20" i="15"/>
  <c r="B20" i="15"/>
  <c r="I19" i="15"/>
  <c r="M19" i="15" s="1"/>
  <c r="B19" i="15"/>
  <c r="I18" i="15"/>
  <c r="M18" i="15" s="1"/>
  <c r="B18" i="15"/>
  <c r="K17" i="15"/>
  <c r="I17" i="15"/>
  <c r="B17" i="15"/>
  <c r="K16" i="15"/>
  <c r="I16" i="15"/>
  <c r="M16" i="15" s="1"/>
  <c r="A16" i="15" s="1"/>
  <c r="B16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B11" i="15"/>
  <c r="I10" i="15"/>
  <c r="M10" i="15" s="1"/>
  <c r="A10" i="15" s="1"/>
  <c r="B10" i="15"/>
  <c r="K9" i="15"/>
  <c r="I9" i="15"/>
  <c r="B9" i="15"/>
  <c r="K8" i="15"/>
  <c r="I8" i="15"/>
  <c r="M8" i="15" s="1"/>
  <c r="K7" i="15"/>
  <c r="I7" i="15"/>
  <c r="K2" i="15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I278" i="14"/>
  <c r="M278" i="14" s="1"/>
  <c r="K277" i="14"/>
  <c r="I277" i="14"/>
  <c r="M277" i="14" s="1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I238" i="14"/>
  <c r="M238" i="14" s="1"/>
  <c r="K237" i="14"/>
  <c r="I237" i="14"/>
  <c r="M237" i="14" s="1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I230" i="14"/>
  <c r="M230" i="14" s="1"/>
  <c r="K229" i="14"/>
  <c r="I229" i="14"/>
  <c r="M229" i="14" s="1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I190" i="14"/>
  <c r="M190" i="14" s="1"/>
  <c r="K189" i="14"/>
  <c r="I189" i="14"/>
  <c r="M189" i="14" s="1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I158" i="14"/>
  <c r="M158" i="14" s="1"/>
  <c r="K157" i="14"/>
  <c r="I157" i="14"/>
  <c r="M157" i="14" s="1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I134" i="14"/>
  <c r="M134" i="14" s="1"/>
  <c r="K133" i="14"/>
  <c r="I133" i="14"/>
  <c r="M133" i="14" s="1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I118" i="14"/>
  <c r="M118" i="14" s="1"/>
  <c r="K117" i="14"/>
  <c r="I117" i="14"/>
  <c r="M117" i="14" s="1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I110" i="14"/>
  <c r="M110" i="14" s="1"/>
  <c r="K109" i="14"/>
  <c r="I109" i="14"/>
  <c r="M109" i="14" s="1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K91" i="14"/>
  <c r="I91" i="14"/>
  <c r="M91" i="14" s="1"/>
  <c r="I90" i="14"/>
  <c r="M90" i="14" s="1"/>
  <c r="K89" i="14"/>
  <c r="I89" i="14"/>
  <c r="M89" i="14" s="1"/>
  <c r="I88" i="14"/>
  <c r="M88" i="14" s="1"/>
  <c r="K87" i="14"/>
  <c r="I87" i="14"/>
  <c r="M87" i="14" s="1"/>
  <c r="I86" i="14"/>
  <c r="M86" i="14" s="1"/>
  <c r="K85" i="14"/>
  <c r="I85" i="14"/>
  <c r="M85" i="14" s="1"/>
  <c r="I84" i="14"/>
  <c r="M84" i="14" s="1"/>
  <c r="K83" i="14"/>
  <c r="I83" i="14"/>
  <c r="M83" i="14" s="1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I46" i="14"/>
  <c r="M46" i="14" s="1"/>
  <c r="B46" i="14"/>
  <c r="K45" i="14"/>
  <c r="I45" i="14"/>
  <c r="M45" i="14" s="1"/>
  <c r="B45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M35" i="14" s="1"/>
  <c r="A35" i="14" s="1"/>
  <c r="B35" i="14"/>
  <c r="K34" i="14"/>
  <c r="I34" i="14"/>
  <c r="B34" i="14"/>
  <c r="K33" i="14"/>
  <c r="I33" i="14"/>
  <c r="M33" i="14" s="1"/>
  <c r="A33" i="14" s="1"/>
  <c r="B33" i="14"/>
  <c r="I32" i="14"/>
  <c r="B32" i="14"/>
  <c r="K31" i="14"/>
  <c r="I31" i="14"/>
  <c r="M31" i="14" s="1"/>
  <c r="A31" i="14" s="1"/>
  <c r="B31" i="14"/>
  <c r="I30" i="14"/>
  <c r="B30" i="14"/>
  <c r="K29" i="14"/>
  <c r="I29" i="14"/>
  <c r="M29" i="14" s="1"/>
  <c r="A29" i="14" s="1"/>
  <c r="B29" i="14"/>
  <c r="I28" i="14"/>
  <c r="B28" i="14"/>
  <c r="K27" i="14"/>
  <c r="I27" i="14"/>
  <c r="M27" i="14" s="1"/>
  <c r="A27" i="14" s="1"/>
  <c r="B27" i="14"/>
  <c r="K26" i="14"/>
  <c r="I26" i="14"/>
  <c r="B26" i="14"/>
  <c r="K25" i="14"/>
  <c r="I25" i="14"/>
  <c r="M25" i="14" s="1"/>
  <c r="A25" i="14" s="1"/>
  <c r="B25" i="14"/>
  <c r="I24" i="14"/>
  <c r="B24" i="14"/>
  <c r="K23" i="14"/>
  <c r="I23" i="14"/>
  <c r="M23" i="14" s="1"/>
  <c r="A23" i="14" s="1"/>
  <c r="B23" i="14"/>
  <c r="I22" i="14"/>
  <c r="B22" i="14"/>
  <c r="K21" i="14"/>
  <c r="I21" i="14"/>
  <c r="M21" i="14" s="1"/>
  <c r="A21" i="14" s="1"/>
  <c r="B21" i="14"/>
  <c r="I20" i="14"/>
  <c r="B20" i="14"/>
  <c r="K19" i="14"/>
  <c r="I19" i="14"/>
  <c r="M19" i="14" s="1"/>
  <c r="A19" i="14" s="1"/>
  <c r="B19" i="14"/>
  <c r="K18" i="14"/>
  <c r="I18" i="14"/>
  <c r="B18" i="14"/>
  <c r="K17" i="14"/>
  <c r="I17" i="14"/>
  <c r="M17" i="14" s="1"/>
  <c r="A17" i="14" s="1"/>
  <c r="B17" i="14"/>
  <c r="K16" i="14"/>
  <c r="I16" i="14"/>
  <c r="M16" i="14" s="1"/>
  <c r="B16" i="14"/>
  <c r="A16" i="14"/>
  <c r="K15" i="14"/>
  <c r="I15" i="14"/>
  <c r="M15" i="14" s="1"/>
  <c r="A15" i="14" s="1"/>
  <c r="B15" i="14"/>
  <c r="AI14" i="14"/>
  <c r="K14" i="14"/>
  <c r="I14" i="14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B11" i="14"/>
  <c r="K10" i="14"/>
  <c r="I10" i="14"/>
  <c r="B10" i="14"/>
  <c r="K9" i="14"/>
  <c r="I9" i="14"/>
  <c r="I8" i="14"/>
  <c r="B8" i="14"/>
  <c r="K7" i="14"/>
  <c r="I7" i="14"/>
  <c r="B7" i="14"/>
  <c r="E27" i="20" s="1"/>
  <c r="K6" i="14"/>
  <c r="B6" i="14"/>
  <c r="E7" i="13" s="1"/>
  <c r="K2" i="14"/>
  <c r="E6" i="13"/>
  <c r="M15" i="28" l="1"/>
  <c r="M17" i="28"/>
  <c r="N17" i="28" s="1"/>
  <c r="A17" i="28" s="1"/>
  <c r="M25" i="28"/>
  <c r="N25" i="28" s="1"/>
  <c r="A25" i="28" s="1"/>
  <c r="M32" i="28"/>
  <c r="M35" i="28"/>
  <c r="M37" i="28"/>
  <c r="M41" i="28"/>
  <c r="N41" i="28" s="1"/>
  <c r="A41" i="28" s="1"/>
  <c r="M48" i="28"/>
  <c r="M49" i="28"/>
  <c r="M54" i="28"/>
  <c r="N54" i="28"/>
  <c r="A54" i="28" s="1"/>
  <c r="M57" i="28"/>
  <c r="N57" i="28" s="1"/>
  <c r="A57" i="28" s="1"/>
  <c r="M59" i="28"/>
  <c r="M67" i="28"/>
  <c r="M73" i="28"/>
  <c r="M74" i="28"/>
  <c r="M81" i="28"/>
  <c r="N81" i="28" s="1"/>
  <c r="A81" i="28" s="1"/>
  <c r="M88" i="28"/>
  <c r="N88" i="28" s="1"/>
  <c r="A88" i="28" s="1"/>
  <c r="N96" i="28"/>
  <c r="A96" i="28" s="1"/>
  <c r="M96" i="28"/>
  <c r="M97" i="28"/>
  <c r="N97" i="28"/>
  <c r="A97" i="28" s="1"/>
  <c r="M98" i="28"/>
  <c r="N98" i="28"/>
  <c r="A98" i="28" s="1"/>
  <c r="N104" i="28"/>
  <c r="A104" i="28" s="1"/>
  <c r="M104" i="28"/>
  <c r="N105" i="28"/>
  <c r="A105" i="28" s="1"/>
  <c r="M105" i="28"/>
  <c r="M111" i="28"/>
  <c r="N111" i="28"/>
  <c r="A111" i="28" s="1"/>
  <c r="N112" i="28"/>
  <c r="A112" i="28" s="1"/>
  <c r="M112" i="28"/>
  <c r="M114" i="28"/>
  <c r="N114" i="28"/>
  <c r="A114" i="28" s="1"/>
  <c r="M120" i="28"/>
  <c r="N120" i="28"/>
  <c r="A120" i="28" s="1"/>
  <c r="M123" i="28"/>
  <c r="N123" i="28"/>
  <c r="A123" i="28" s="1"/>
  <c r="M127" i="28"/>
  <c r="N127" i="28"/>
  <c r="A127" i="28" s="1"/>
  <c r="M128" i="28"/>
  <c r="N128" i="28"/>
  <c r="A128" i="28" s="1"/>
  <c r="M131" i="28"/>
  <c r="N131" i="28"/>
  <c r="A131" i="28" s="1"/>
  <c r="N133" i="28"/>
  <c r="A133" i="28" s="1"/>
  <c r="M133" i="28"/>
  <c r="N135" i="28"/>
  <c r="A135" i="28" s="1"/>
  <c r="M135" i="28"/>
  <c r="N141" i="28"/>
  <c r="A141" i="28" s="1"/>
  <c r="M141" i="28"/>
  <c r="M144" i="28"/>
  <c r="N144" i="28"/>
  <c r="A144" i="28" s="1"/>
  <c r="N148" i="28"/>
  <c r="A148" i="28" s="1"/>
  <c r="M148" i="28"/>
  <c r="M149" i="28"/>
  <c r="N149" i="28"/>
  <c r="A149" i="28" s="1"/>
  <c r="N150" i="28"/>
  <c r="A150" i="28" s="1"/>
  <c r="M150" i="28"/>
  <c r="M152" i="28"/>
  <c r="N152" i="28"/>
  <c r="A152" i="28" s="1"/>
  <c r="N154" i="28"/>
  <c r="A154" i="28" s="1"/>
  <c r="M154" i="28"/>
  <c r="M157" i="28"/>
  <c r="N157" i="28"/>
  <c r="A157" i="28" s="1"/>
  <c r="N158" i="28"/>
  <c r="A158" i="28" s="1"/>
  <c r="M158" i="28"/>
  <c r="N165" i="28"/>
  <c r="A165" i="28" s="1"/>
  <c r="M165" i="28"/>
  <c r="M166" i="28"/>
  <c r="N166" i="28"/>
  <c r="A166" i="28" s="1"/>
  <c r="N168" i="28"/>
  <c r="A168" i="28" s="1"/>
  <c r="M168" i="28"/>
  <c r="N170" i="28"/>
  <c r="A170" i="28" s="1"/>
  <c r="M170" i="28"/>
  <c r="N172" i="28"/>
  <c r="A172" i="28" s="1"/>
  <c r="M172" i="28"/>
  <c r="N173" i="28"/>
  <c r="A173" i="28" s="1"/>
  <c r="M173" i="28"/>
  <c r="N174" i="28"/>
  <c r="A174" i="28" s="1"/>
  <c r="M174" i="28"/>
  <c r="N176" i="28"/>
  <c r="A176" i="28" s="1"/>
  <c r="M176" i="28"/>
  <c r="M179" i="28"/>
  <c r="N179" i="28"/>
  <c r="A179" i="28" s="1"/>
  <c r="N182" i="28"/>
  <c r="A182" i="28" s="1"/>
  <c r="M182" i="28"/>
  <c r="M184" i="28"/>
  <c r="N184" i="28"/>
  <c r="A184" i="28" s="1"/>
  <c r="N189" i="28"/>
  <c r="A189" i="28" s="1"/>
  <c r="M189" i="28"/>
  <c r="N190" i="28"/>
  <c r="A190" i="28" s="1"/>
  <c r="M190" i="28"/>
  <c r="M191" i="28"/>
  <c r="N191" i="28"/>
  <c r="A191" i="28" s="1"/>
  <c r="N192" i="28"/>
  <c r="A192" i="28" s="1"/>
  <c r="M192" i="28"/>
  <c r="N196" i="28"/>
  <c r="A196" i="28" s="1"/>
  <c r="M196" i="28"/>
  <c r="N197" i="28"/>
  <c r="A197" i="28" s="1"/>
  <c r="M197" i="28"/>
  <c r="N198" i="28"/>
  <c r="A198" i="28" s="1"/>
  <c r="M198" i="28"/>
  <c r="M199" i="28"/>
  <c r="N199" i="28"/>
  <c r="A199" i="28" s="1"/>
  <c r="M200" i="28"/>
  <c r="N200" i="28"/>
  <c r="A200" i="28" s="1"/>
  <c r="N205" i="28"/>
  <c r="A205" i="28" s="1"/>
  <c r="M205" i="28"/>
  <c r="N206" i="28"/>
  <c r="A206" i="28" s="1"/>
  <c r="M206" i="28"/>
  <c r="M207" i="28"/>
  <c r="N207" i="28"/>
  <c r="A207" i="28" s="1"/>
  <c r="N208" i="28"/>
  <c r="A208" i="28" s="1"/>
  <c r="M208" i="28"/>
  <c r="N212" i="28"/>
  <c r="A212" i="28" s="1"/>
  <c r="M212" i="28"/>
  <c r="N214" i="28"/>
  <c r="A214" i="28" s="1"/>
  <c r="M214" i="28"/>
  <c r="M216" i="28"/>
  <c r="N216" i="28"/>
  <c r="A216" i="28" s="1"/>
  <c r="N220" i="28"/>
  <c r="A220" i="28" s="1"/>
  <c r="M220" i="28"/>
  <c r="N222" i="28"/>
  <c r="A222" i="28" s="1"/>
  <c r="M222" i="28"/>
  <c r="M223" i="28"/>
  <c r="N223" i="28"/>
  <c r="A223" i="28" s="1"/>
  <c r="M224" i="28"/>
  <c r="N224" i="28"/>
  <c r="A224" i="28" s="1"/>
  <c r="N229" i="28"/>
  <c r="A229" i="28" s="1"/>
  <c r="M229" i="28"/>
  <c r="N230" i="28"/>
  <c r="A230" i="28" s="1"/>
  <c r="M230" i="28"/>
  <c r="N232" i="28"/>
  <c r="A232" i="28" s="1"/>
  <c r="M232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5" i="28"/>
  <c r="A245" i="28" s="1"/>
  <c r="M245" i="28"/>
  <c r="M247" i="28"/>
  <c r="N247" i="28"/>
  <c r="A247" i="28" s="1"/>
  <c r="N248" i="28"/>
  <c r="A248" i="28" s="1"/>
  <c r="M248" i="28"/>
  <c r="N251" i="28"/>
  <c r="A251" i="28" s="1"/>
  <c r="M251" i="28"/>
  <c r="N252" i="28"/>
  <c r="A252" i="28" s="1"/>
  <c r="M252" i="28"/>
  <c r="N253" i="28"/>
  <c r="A253" i="28" s="1"/>
  <c r="M253" i="28"/>
  <c r="N255" i="28"/>
  <c r="A255" i="28" s="1"/>
  <c r="M255" i="28"/>
  <c r="N256" i="28"/>
  <c r="A256" i="28" s="1"/>
  <c r="M256" i="28"/>
  <c r="M260" i="28"/>
  <c r="N260" i="28"/>
  <c r="A260" i="28" s="1"/>
  <c r="N263" i="28"/>
  <c r="A263" i="28" s="1"/>
  <c r="M263" i="28"/>
  <c r="M267" i="28"/>
  <c r="N267" i="28"/>
  <c r="A267" i="28" s="1"/>
  <c r="N268" i="28"/>
  <c r="A268" i="28" s="1"/>
  <c r="M268" i="28"/>
  <c r="N271" i="28"/>
  <c r="A271" i="28" s="1"/>
  <c r="M271" i="28"/>
  <c r="N273" i="28"/>
  <c r="A273" i="28" s="1"/>
  <c r="M273" i="28"/>
  <c r="M275" i="28"/>
  <c r="N275" i="28"/>
  <c r="A275" i="28" s="1"/>
  <c r="M276" i="28"/>
  <c r="N276" i="28"/>
  <c r="A276" i="28" s="1"/>
  <c r="N279" i="28"/>
  <c r="A279" i="28" s="1"/>
  <c r="M279" i="28"/>
  <c r="M284" i="28"/>
  <c r="N284" i="28"/>
  <c r="A284" i="28" s="1"/>
  <c r="N285" i="28"/>
  <c r="A285" i="28" s="1"/>
  <c r="M285" i="28"/>
  <c r="N287" i="28"/>
  <c r="A287" i="28" s="1"/>
  <c r="M287" i="28"/>
  <c r="N288" i="28"/>
  <c r="A288" i="28" s="1"/>
  <c r="M288" i="28"/>
  <c r="M292" i="28"/>
  <c r="N292" i="28"/>
  <c r="A292" i="28" s="1"/>
  <c r="N293" i="28"/>
  <c r="A293" i="28" s="1"/>
  <c r="M293" i="28"/>
  <c r="N295" i="28"/>
  <c r="A295" i="28" s="1"/>
  <c r="M295" i="28"/>
  <c r="N297" i="28"/>
  <c r="A297" i="28" s="1"/>
  <c r="M297" i="28"/>
  <c r="M299" i="28"/>
  <c r="N299" i="28"/>
  <c r="A299" i="28" s="1"/>
  <c r="N300" i="28"/>
  <c r="A300" i="28" s="1"/>
  <c r="M300" i="28"/>
  <c r="N305" i="28"/>
  <c r="A305" i="28" s="1"/>
  <c r="M305" i="28"/>
  <c r="V9" i="14"/>
  <c r="V10" i="14"/>
  <c r="V6" i="14"/>
  <c r="V7" i="14"/>
  <c r="V8" i="14"/>
  <c r="AN12" i="20"/>
  <c r="AO12" i="20"/>
  <c r="AO11" i="20"/>
  <c r="AJ12" i="20"/>
  <c r="AO8" i="20"/>
  <c r="AL11" i="20"/>
  <c r="AL12" i="20"/>
  <c r="G26" i="20"/>
  <c r="G17" i="20"/>
  <c r="G25" i="20"/>
  <c r="G19" i="20"/>
  <c r="G27" i="20"/>
  <c r="G16" i="20"/>
  <c r="G24" i="20"/>
  <c r="M7" i="15"/>
  <c r="G13" i="20"/>
  <c r="G21" i="20"/>
  <c r="G29" i="20"/>
  <c r="G18" i="20"/>
  <c r="AL10" i="20"/>
  <c r="AO9" i="20"/>
  <c r="AN10" i="20"/>
  <c r="U6" i="20"/>
  <c r="AJ6" i="20" s="1"/>
  <c r="U8" i="20"/>
  <c r="U24" i="20"/>
  <c r="AJ24" i="20" s="1"/>
  <c r="U7" i="20"/>
  <c r="U12" i="20"/>
  <c r="U20" i="20"/>
  <c r="AJ20" i="20" s="1"/>
  <c r="U22" i="20"/>
  <c r="AJ22" i="20" s="1"/>
  <c r="U23" i="20"/>
  <c r="AJ23" i="20" s="1"/>
  <c r="U10" i="20"/>
  <c r="U19" i="20"/>
  <c r="AJ19" i="20" s="1"/>
  <c r="U11" i="20"/>
  <c r="U17" i="20"/>
  <c r="AJ17" i="20" s="1"/>
  <c r="U18" i="20"/>
  <c r="AJ18" i="20" s="1"/>
  <c r="T16" i="20"/>
  <c r="U16" i="20" s="1"/>
  <c r="AJ16" i="20" s="1"/>
  <c r="M7" i="22"/>
  <c r="A7" i="22" s="1"/>
  <c r="AL8" i="20"/>
  <c r="AL9" i="20"/>
  <c r="U29" i="20"/>
  <c r="AJ29" i="20" s="1"/>
  <c r="AN8" i="20"/>
  <c r="AN9" i="20"/>
  <c r="AO10" i="20"/>
  <c r="E10" i="20"/>
  <c r="E14" i="20"/>
  <c r="E18" i="20"/>
  <c r="E22" i="20"/>
  <c r="F22" i="20" s="1"/>
  <c r="E26" i="20"/>
  <c r="F26" i="20" s="1"/>
  <c r="E9" i="13"/>
  <c r="F9" i="13" s="1"/>
  <c r="F12" i="20"/>
  <c r="E13" i="20"/>
  <c r="F13" i="20" s="1"/>
  <c r="E17" i="20"/>
  <c r="E21" i="20"/>
  <c r="E25" i="20"/>
  <c r="E16" i="20"/>
  <c r="E20" i="20"/>
  <c r="F20" i="20" s="1"/>
  <c r="E24" i="20"/>
  <c r="F24" i="20" s="1"/>
  <c r="P6" i="20"/>
  <c r="E29" i="20"/>
  <c r="F29" i="20" s="1"/>
  <c r="F7" i="20"/>
  <c r="F11" i="20"/>
  <c r="E15" i="20"/>
  <c r="E19" i="20"/>
  <c r="E23" i="20"/>
  <c r="E28" i="20"/>
  <c r="AL6" i="20"/>
  <c r="AO7" i="20"/>
  <c r="AM6" i="20"/>
  <c r="AN7" i="20"/>
  <c r="AA7" i="20"/>
  <c r="M6" i="25"/>
  <c r="A6" i="25" s="1"/>
  <c r="AA22" i="20" s="1"/>
  <c r="AM22" i="20" s="1"/>
  <c r="AA8" i="20"/>
  <c r="Z18" i="20"/>
  <c r="Z29" i="20"/>
  <c r="AA12" i="20"/>
  <c r="Z14" i="20"/>
  <c r="Z25" i="20"/>
  <c r="Z27" i="20"/>
  <c r="L8" i="25"/>
  <c r="AA10" i="20"/>
  <c r="Z21" i="20"/>
  <c r="Z23" i="20"/>
  <c r="M7" i="25"/>
  <c r="A7" i="25" s="1"/>
  <c r="AA9" i="20" s="1"/>
  <c r="AA11" i="20"/>
  <c r="AM11" i="20" s="1"/>
  <c r="Z15" i="20"/>
  <c r="Z19" i="20"/>
  <c r="Z16" i="20"/>
  <c r="AA16" i="20" s="1"/>
  <c r="AM16" i="20" s="1"/>
  <c r="Z26" i="20"/>
  <c r="AA26" i="20" s="1"/>
  <c r="AM26" i="20" s="1"/>
  <c r="M6" i="23"/>
  <c r="A6" i="23" s="1"/>
  <c r="W11" i="20" s="1"/>
  <c r="W28" i="20"/>
  <c r="AK28" i="20" s="1"/>
  <c r="W29" i="20"/>
  <c r="AK29" i="20" s="1"/>
  <c r="W6" i="20"/>
  <c r="M10" i="23"/>
  <c r="A10" i="23" s="1"/>
  <c r="W17" i="20"/>
  <c r="AK17" i="20" s="1"/>
  <c r="W25" i="20"/>
  <c r="AK25" i="20" s="1"/>
  <c r="M26" i="28"/>
  <c r="N26" i="28" s="1"/>
  <c r="A26" i="28" s="1"/>
  <c r="M65" i="28"/>
  <c r="M80" i="28"/>
  <c r="N80" i="28" s="1"/>
  <c r="A80" i="28" s="1"/>
  <c r="M119" i="28"/>
  <c r="M188" i="28"/>
  <c r="M228" i="28"/>
  <c r="M238" i="28"/>
  <c r="M265" i="28"/>
  <c r="M280" i="28"/>
  <c r="M43" i="28"/>
  <c r="N43" i="28" s="1"/>
  <c r="A43" i="28" s="1"/>
  <c r="M113" i="28"/>
  <c r="N136" i="28"/>
  <c r="A136" i="28" s="1"/>
  <c r="M138" i="28"/>
  <c r="M142" i="28"/>
  <c r="N160" i="28"/>
  <c r="A160" i="28" s="1"/>
  <c r="M164" i="28"/>
  <c r="M181" i="28"/>
  <c r="M213" i="28"/>
  <c r="M221" i="28"/>
  <c r="N231" i="28"/>
  <c r="A231" i="28" s="1"/>
  <c r="M259" i="28"/>
  <c r="M261" i="28"/>
  <c r="M291" i="28"/>
  <c r="M16" i="28"/>
  <c r="N16" i="28" s="1"/>
  <c r="A16" i="28" s="1"/>
  <c r="M33" i="28"/>
  <c r="N33" i="28" s="1"/>
  <c r="A33" i="28" s="1"/>
  <c r="M244" i="28"/>
  <c r="M257" i="28"/>
  <c r="M272" i="28"/>
  <c r="M289" i="28"/>
  <c r="M304" i="28"/>
  <c r="M283" i="28"/>
  <c r="M9" i="28"/>
  <c r="M27" i="28"/>
  <c r="N27" i="28" s="1"/>
  <c r="A27" i="28" s="1"/>
  <c r="M29" i="28"/>
  <c r="N46" i="28"/>
  <c r="A46" i="28" s="1"/>
  <c r="M64" i="28"/>
  <c r="M103" i="28"/>
  <c r="N106" i="28"/>
  <c r="A106" i="28" s="1"/>
  <c r="M125" i="28"/>
  <c r="M180" i="28"/>
  <c r="N183" i="28"/>
  <c r="A183" i="28" s="1"/>
  <c r="M204" i="28"/>
  <c r="M246" i="28"/>
  <c r="M264" i="28"/>
  <c r="M281" i="28"/>
  <c r="M296" i="28"/>
  <c r="M19" i="28"/>
  <c r="N19" i="28" s="1"/>
  <c r="A19" i="28" s="1"/>
  <c r="M40" i="28"/>
  <c r="N62" i="28"/>
  <c r="A62" i="28" s="1"/>
  <c r="M77" i="28"/>
  <c r="N215" i="28"/>
  <c r="A215" i="28" s="1"/>
  <c r="M277" i="28"/>
  <c r="M51" i="28"/>
  <c r="M53" i="28"/>
  <c r="M89" i="28"/>
  <c r="N89" i="28" s="1"/>
  <c r="A89" i="28" s="1"/>
  <c r="M269" i="28"/>
  <c r="M301" i="28"/>
  <c r="N303" i="28"/>
  <c r="A303" i="28" s="1"/>
  <c r="S13" i="20"/>
  <c r="AI13" i="20" s="1"/>
  <c r="S14" i="20"/>
  <c r="AI14" i="20" s="1"/>
  <c r="S12" i="20"/>
  <c r="AI11" i="20" s="1"/>
  <c r="S6" i="20"/>
  <c r="AI6" i="20" s="1"/>
  <c r="S10" i="20"/>
  <c r="S7" i="20"/>
  <c r="S8" i="20"/>
  <c r="S26" i="20"/>
  <c r="AI26" i="20" s="1"/>
  <c r="R17" i="20"/>
  <c r="S17" i="20" s="1"/>
  <c r="AI17" i="20" s="1"/>
  <c r="R21" i="20"/>
  <c r="S21" i="20" s="1"/>
  <c r="AI21" i="20" s="1"/>
  <c r="R25" i="20"/>
  <c r="S25" i="20" s="1"/>
  <c r="AI25" i="20" s="1"/>
  <c r="R29" i="20"/>
  <c r="S29" i="20" s="1"/>
  <c r="AI29" i="20" s="1"/>
  <c r="R16" i="20"/>
  <c r="S16" i="20" s="1"/>
  <c r="AI16" i="20" s="1"/>
  <c r="R20" i="20"/>
  <c r="S20" i="20" s="1"/>
  <c r="AI20" i="20" s="1"/>
  <c r="R24" i="20"/>
  <c r="S24" i="20" s="1"/>
  <c r="AI24" i="20" s="1"/>
  <c r="R28" i="20"/>
  <c r="S28" i="20" s="1"/>
  <c r="AI28" i="20" s="1"/>
  <c r="U21" i="20"/>
  <c r="AJ21" i="20" s="1"/>
  <c r="W22" i="20"/>
  <c r="AK22" i="20" s="1"/>
  <c r="U25" i="20"/>
  <c r="AJ25" i="20" s="1"/>
  <c r="R15" i="20"/>
  <c r="S15" i="20" s="1"/>
  <c r="AI15" i="20" s="1"/>
  <c r="R19" i="20"/>
  <c r="S19" i="20" s="1"/>
  <c r="AI19" i="20" s="1"/>
  <c r="R23" i="20"/>
  <c r="S23" i="20" s="1"/>
  <c r="AI23" i="20" s="1"/>
  <c r="R27" i="20"/>
  <c r="S27" i="20" s="1"/>
  <c r="AI27" i="20" s="1"/>
  <c r="L8" i="21"/>
  <c r="L7" i="21"/>
  <c r="R18" i="20"/>
  <c r="S18" i="20" s="1"/>
  <c r="AI18" i="20" s="1"/>
  <c r="R22" i="20"/>
  <c r="S22" i="20" s="1"/>
  <c r="AI22" i="20" s="1"/>
  <c r="L9" i="22"/>
  <c r="M9" i="22" s="1"/>
  <c r="A9" i="22" s="1"/>
  <c r="AI16" i="24"/>
  <c r="L7" i="23"/>
  <c r="M7" i="23" s="1"/>
  <c r="A7" i="23" s="1"/>
  <c r="L8" i="23"/>
  <c r="M8" i="23" s="1"/>
  <c r="A8" i="23" s="1"/>
  <c r="L9" i="23"/>
  <c r="M9" i="23" s="1"/>
  <c r="A9" i="23" s="1"/>
  <c r="U46" i="25"/>
  <c r="L6" i="25"/>
  <c r="L7" i="25"/>
  <c r="N203" i="28"/>
  <c r="A203" i="28" s="1"/>
  <c r="M203" i="28"/>
  <c r="N274" i="28"/>
  <c r="A274" i="28" s="1"/>
  <c r="M274" i="28"/>
  <c r="M167" i="28"/>
  <c r="N167" i="28"/>
  <c r="A167" i="28" s="1"/>
  <c r="L6" i="27"/>
  <c r="L7" i="27"/>
  <c r="L9" i="27"/>
  <c r="L8" i="27"/>
  <c r="N195" i="28"/>
  <c r="A195" i="28" s="1"/>
  <c r="M195" i="28"/>
  <c r="N266" i="28"/>
  <c r="A266" i="28" s="1"/>
  <c r="M266" i="28"/>
  <c r="N298" i="28"/>
  <c r="A298" i="28" s="1"/>
  <c r="M298" i="28"/>
  <c r="M45" i="28"/>
  <c r="N45" i="28" s="1"/>
  <c r="A45" i="28" s="1"/>
  <c r="N78" i="28"/>
  <c r="A78" i="28" s="1"/>
  <c r="M78" i="28"/>
  <c r="M12" i="28"/>
  <c r="N12" i="28" s="1"/>
  <c r="A12" i="28" s="1"/>
  <c r="M14" i="28"/>
  <c r="N14" i="28" s="1"/>
  <c r="A14" i="28" s="1"/>
  <c r="N31" i="28"/>
  <c r="A31" i="28" s="1"/>
  <c r="M31" i="28"/>
  <c r="N84" i="28"/>
  <c r="A84" i="28" s="1"/>
  <c r="M84" i="28"/>
  <c r="M18" i="28"/>
  <c r="N18" i="28" s="1"/>
  <c r="M50" i="28"/>
  <c r="N50" i="28" s="1"/>
  <c r="A50" i="28" s="1"/>
  <c r="M94" i="28"/>
  <c r="N94" i="28" s="1"/>
  <c r="A94" i="28" s="1"/>
  <c r="N22" i="28"/>
  <c r="A22" i="28" s="1"/>
  <c r="M66" i="28"/>
  <c r="N66" i="28" s="1"/>
  <c r="A66" i="28" s="1"/>
  <c r="N92" i="28"/>
  <c r="A92" i="28" s="1"/>
  <c r="M92" i="28"/>
  <c r="N102" i="28"/>
  <c r="A102" i="28" s="1"/>
  <c r="M102" i="28"/>
  <c r="M47" i="28"/>
  <c r="N47" i="28" s="1"/>
  <c r="A47" i="28" s="1"/>
  <c r="M86" i="28"/>
  <c r="N86" i="28" s="1"/>
  <c r="A86" i="28" s="1"/>
  <c r="M10" i="28"/>
  <c r="N10" i="28" s="1"/>
  <c r="A10" i="28" s="1"/>
  <c r="M38" i="28"/>
  <c r="N38" i="28" s="1"/>
  <c r="A38" i="28" s="1"/>
  <c r="N64" i="28"/>
  <c r="A64" i="28" s="1"/>
  <c r="M71" i="28"/>
  <c r="N71" i="28" s="1"/>
  <c r="A71" i="28" s="1"/>
  <c r="N118" i="28"/>
  <c r="A118" i="28" s="1"/>
  <c r="M118" i="28"/>
  <c r="N21" i="28"/>
  <c r="A21" i="28" s="1"/>
  <c r="N42" i="28"/>
  <c r="A42" i="28" s="1"/>
  <c r="M69" i="28"/>
  <c r="N69" i="28" s="1"/>
  <c r="A69" i="28" s="1"/>
  <c r="N116" i="28"/>
  <c r="A116" i="28" s="1"/>
  <c r="M116" i="28"/>
  <c r="M151" i="28"/>
  <c r="M163" i="28"/>
  <c r="N163" i="28"/>
  <c r="A163" i="28" s="1"/>
  <c r="N178" i="28"/>
  <c r="A178" i="28" s="1"/>
  <c r="M178" i="28"/>
  <c r="N9" i="28"/>
  <c r="A9" i="28" s="1"/>
  <c r="M13" i="28"/>
  <c r="N13" i="28" s="1"/>
  <c r="A13" i="28" s="1"/>
  <c r="M23" i="28"/>
  <c r="N23" i="28" s="1"/>
  <c r="A23" i="28" s="1"/>
  <c r="M24" i="28"/>
  <c r="N24" i="28" s="1"/>
  <c r="A24" i="28" s="1"/>
  <c r="M30" i="28"/>
  <c r="N30" i="28" s="1"/>
  <c r="A30" i="28" s="1"/>
  <c r="N56" i="28"/>
  <c r="A56" i="28" s="1"/>
  <c r="N61" i="28"/>
  <c r="A61" i="28" s="1"/>
  <c r="M63" i="28"/>
  <c r="N63" i="28" s="1"/>
  <c r="A63" i="28" s="1"/>
  <c r="M68" i="28"/>
  <c r="N68" i="28" s="1"/>
  <c r="A68" i="28" s="1"/>
  <c r="M75" i="28"/>
  <c r="N75" i="28" s="1"/>
  <c r="A75" i="28" s="1"/>
  <c r="N79" i="28"/>
  <c r="A79" i="28" s="1"/>
  <c r="N87" i="28"/>
  <c r="A87" i="28" s="1"/>
  <c r="N95" i="28"/>
  <c r="A95" i="28" s="1"/>
  <c r="N100" i="28"/>
  <c r="A100" i="28" s="1"/>
  <c r="M100" i="28"/>
  <c r="N134" i="28"/>
  <c r="A134" i="28" s="1"/>
  <c r="M134" i="28"/>
  <c r="M147" i="28"/>
  <c r="N147" i="28"/>
  <c r="A147" i="28" s="1"/>
  <c r="N187" i="28"/>
  <c r="A187" i="28" s="1"/>
  <c r="M187" i="28"/>
  <c r="M11" i="28"/>
  <c r="N11" i="28" s="1"/>
  <c r="A11" i="28" s="1"/>
  <c r="M20" i="28"/>
  <c r="N20" i="28" s="1"/>
  <c r="A20" i="28" s="1"/>
  <c r="N32" i="28"/>
  <c r="A32" i="28" s="1"/>
  <c r="N37" i="28"/>
  <c r="A37" i="28" s="1"/>
  <c r="N39" i="28"/>
  <c r="A39" i="28" s="1"/>
  <c r="M39" i="28"/>
  <c r="M44" i="28"/>
  <c r="N44" i="28" s="1"/>
  <c r="A44" i="28" s="1"/>
  <c r="N58" i="28"/>
  <c r="A58" i="28" s="1"/>
  <c r="M70" i="28"/>
  <c r="N70" i="28" s="1"/>
  <c r="A70" i="28" s="1"/>
  <c r="N77" i="28"/>
  <c r="A77" i="28" s="1"/>
  <c r="N85" i="28"/>
  <c r="A85" i="28" s="1"/>
  <c r="N110" i="28"/>
  <c r="A110" i="28" s="1"/>
  <c r="M110" i="28"/>
  <c r="N34" i="28"/>
  <c r="A34" i="28" s="1"/>
  <c r="N72" i="28"/>
  <c r="A72" i="28" s="1"/>
  <c r="N83" i="28"/>
  <c r="A83" i="28" s="1"/>
  <c r="N126" i="28"/>
  <c r="A126" i="28" s="1"/>
  <c r="M126" i="28"/>
  <c r="N219" i="28"/>
  <c r="A219" i="28" s="1"/>
  <c r="M219" i="28"/>
  <c r="N15" i="28"/>
  <c r="A15" i="28" s="1"/>
  <c r="N29" i="28"/>
  <c r="A29" i="28" s="1"/>
  <c r="N48" i="28"/>
  <c r="A48" i="28" s="1"/>
  <c r="N53" i="28"/>
  <c r="A53" i="28" s="1"/>
  <c r="M55" i="28"/>
  <c r="N55" i="28" s="1"/>
  <c r="A55" i="28" s="1"/>
  <c r="M60" i="28"/>
  <c r="N60" i="28" s="1"/>
  <c r="A60" i="28" s="1"/>
  <c r="N74" i="28"/>
  <c r="A74" i="28" s="1"/>
  <c r="N108" i="28"/>
  <c r="A108" i="28" s="1"/>
  <c r="M108" i="28"/>
  <c r="N211" i="28"/>
  <c r="A211" i="28" s="1"/>
  <c r="M211" i="28"/>
  <c r="N185" i="28"/>
  <c r="A185" i="28" s="1"/>
  <c r="M185" i="28"/>
  <c r="N242" i="28"/>
  <c r="A242" i="28" s="1"/>
  <c r="M242" i="28"/>
  <c r="N270" i="28"/>
  <c r="A270" i="28" s="1"/>
  <c r="M270" i="28"/>
  <c r="N302" i="28"/>
  <c r="A302" i="28" s="1"/>
  <c r="M302" i="28"/>
  <c r="M122" i="28"/>
  <c r="M130" i="28"/>
  <c r="N137" i="28"/>
  <c r="A137" i="28" s="1"/>
  <c r="M137" i="28"/>
  <c r="N153" i="28"/>
  <c r="A153" i="28" s="1"/>
  <c r="M153" i="28"/>
  <c r="N169" i="28"/>
  <c r="A169" i="28" s="1"/>
  <c r="M169" i="28"/>
  <c r="N234" i="28"/>
  <c r="A234" i="28" s="1"/>
  <c r="M234" i="28"/>
  <c r="N262" i="28"/>
  <c r="A262" i="28" s="1"/>
  <c r="M262" i="28"/>
  <c r="N294" i="28"/>
  <c r="A294" i="28" s="1"/>
  <c r="M294" i="28"/>
  <c r="L6" i="28"/>
  <c r="M6" i="28" s="1"/>
  <c r="N6" i="28" s="1"/>
  <c r="A6" i="28" s="1"/>
  <c r="L7" i="28"/>
  <c r="M7" i="28" s="1"/>
  <c r="N7" i="28" s="1"/>
  <c r="A7" i="28" s="1"/>
  <c r="L8" i="28"/>
  <c r="M8" i="28" s="1"/>
  <c r="N8" i="28" s="1"/>
  <c r="A8" i="28" s="1"/>
  <c r="AG7" i="20" s="1"/>
  <c r="M85" i="28"/>
  <c r="M93" i="28"/>
  <c r="N93" i="28" s="1"/>
  <c r="A93" i="28" s="1"/>
  <c r="M101" i="28"/>
  <c r="M109" i="28"/>
  <c r="M117" i="28"/>
  <c r="M140" i="28"/>
  <c r="M156" i="28"/>
  <c r="N226" i="28"/>
  <c r="A226" i="28" s="1"/>
  <c r="M226" i="28"/>
  <c r="N243" i="28"/>
  <c r="A243" i="28" s="1"/>
  <c r="M243" i="28"/>
  <c r="N258" i="28"/>
  <c r="A258" i="28" s="1"/>
  <c r="M258" i="28"/>
  <c r="N290" i="28"/>
  <c r="A290" i="28" s="1"/>
  <c r="M290" i="28"/>
  <c r="N175" i="28"/>
  <c r="A175" i="28" s="1"/>
  <c r="N186" i="28"/>
  <c r="A186" i="28" s="1"/>
  <c r="M186" i="28"/>
  <c r="N194" i="28"/>
  <c r="A194" i="28" s="1"/>
  <c r="M194" i="28"/>
  <c r="N202" i="28"/>
  <c r="A202" i="28" s="1"/>
  <c r="M202" i="28"/>
  <c r="N210" i="28"/>
  <c r="A210" i="28" s="1"/>
  <c r="M210" i="28"/>
  <c r="N218" i="28"/>
  <c r="A218" i="28" s="1"/>
  <c r="M218" i="28"/>
  <c r="N254" i="28"/>
  <c r="A254" i="28" s="1"/>
  <c r="M254" i="28"/>
  <c r="N286" i="28"/>
  <c r="A286" i="28" s="1"/>
  <c r="M286" i="28"/>
  <c r="M76" i="28"/>
  <c r="N76" i="28" s="1"/>
  <c r="A76" i="28" s="1"/>
  <c r="M83" i="28"/>
  <c r="M91" i="28"/>
  <c r="N91" i="28" s="1"/>
  <c r="A91" i="28" s="1"/>
  <c r="M99" i="28"/>
  <c r="M107" i="28"/>
  <c r="M115" i="28"/>
  <c r="M121" i="28"/>
  <c r="M129" i="28"/>
  <c r="M143" i="28"/>
  <c r="M146" i="28"/>
  <c r="M159" i="28"/>
  <c r="M162" i="28"/>
  <c r="N171" i="28"/>
  <c r="A171" i="28" s="1"/>
  <c r="N177" i="28"/>
  <c r="A177" i="28" s="1"/>
  <c r="M177" i="28"/>
  <c r="N235" i="28"/>
  <c r="A235" i="28" s="1"/>
  <c r="M235" i="28"/>
  <c r="N250" i="28"/>
  <c r="A250" i="28" s="1"/>
  <c r="M250" i="28"/>
  <c r="N282" i="28"/>
  <c r="A282" i="28" s="1"/>
  <c r="M282" i="28"/>
  <c r="M124" i="28"/>
  <c r="M132" i="28"/>
  <c r="N139" i="28"/>
  <c r="A139" i="28" s="1"/>
  <c r="N145" i="28"/>
  <c r="A145" i="28" s="1"/>
  <c r="M145" i="28"/>
  <c r="N155" i="28"/>
  <c r="A155" i="28" s="1"/>
  <c r="N161" i="28"/>
  <c r="A161" i="28" s="1"/>
  <c r="M161" i="28"/>
  <c r="N227" i="28"/>
  <c r="A227" i="28" s="1"/>
  <c r="M227" i="28"/>
  <c r="N278" i="28"/>
  <c r="A278" i="28" s="1"/>
  <c r="M278" i="28"/>
  <c r="M193" i="28"/>
  <c r="M201" i="28"/>
  <c r="M209" i="28"/>
  <c r="M217" i="28"/>
  <c r="M225" i="28"/>
  <c r="M233" i="28"/>
  <c r="M241" i="28"/>
  <c r="M249" i="28"/>
  <c r="L7" i="14"/>
  <c r="L6" i="14"/>
  <c r="M6" i="14"/>
  <c r="A6" i="14" s="1"/>
  <c r="F7" i="13" s="1"/>
  <c r="M7" i="14"/>
  <c r="A7" i="14" s="1"/>
  <c r="F6" i="13" s="1"/>
  <c r="E23" i="13"/>
  <c r="F23" i="13" s="1"/>
  <c r="E22" i="13"/>
  <c r="F22" i="13" s="1"/>
  <c r="E21" i="13"/>
  <c r="E20" i="13"/>
  <c r="E19" i="13"/>
  <c r="E18" i="13"/>
  <c r="E17" i="13"/>
  <c r="E16" i="13"/>
  <c r="F16" i="13" s="1"/>
  <c r="E15" i="13"/>
  <c r="F15" i="13" s="1"/>
  <c r="E14" i="13"/>
  <c r="F14" i="13" s="1"/>
  <c r="E13" i="13"/>
  <c r="F13" i="13" s="1"/>
  <c r="E8" i="13"/>
  <c r="F8" i="13" s="1"/>
  <c r="M8" i="14"/>
  <c r="A8" i="14" s="1"/>
  <c r="M9" i="14"/>
  <c r="M10" i="14"/>
  <c r="A10" i="14" s="1"/>
  <c r="M11" i="14"/>
  <c r="A11" i="14" s="1"/>
  <c r="M12" i="14"/>
  <c r="A12" i="14" s="1"/>
  <c r="M14" i="14"/>
  <c r="A14" i="14" s="1"/>
  <c r="M18" i="14"/>
  <c r="A18" i="14" s="1"/>
  <c r="M20" i="14"/>
  <c r="A20" i="14" s="1"/>
  <c r="M22" i="14"/>
  <c r="A22" i="14" s="1"/>
  <c r="M24" i="14"/>
  <c r="A24" i="14" s="1"/>
  <c r="M26" i="14"/>
  <c r="A26" i="14" s="1"/>
  <c r="M28" i="14"/>
  <c r="A28" i="14" s="1"/>
  <c r="M30" i="14"/>
  <c r="A30" i="14" s="1"/>
  <c r="M32" i="14"/>
  <c r="A32" i="14" s="1"/>
  <c r="M34" i="14"/>
  <c r="A34" i="14" s="1"/>
  <c r="M36" i="14"/>
  <c r="A36" i="14" s="1"/>
  <c r="M37" i="14"/>
  <c r="A37" i="14" s="1"/>
  <c r="G19" i="13"/>
  <c r="G21" i="13"/>
  <c r="G20" i="13"/>
  <c r="G13" i="13"/>
  <c r="G8" i="13"/>
  <c r="L8" i="16"/>
  <c r="L7" i="16"/>
  <c r="M7" i="16"/>
  <c r="M8" i="16"/>
  <c r="I22" i="13"/>
  <c r="J22" i="13" s="1"/>
  <c r="I23" i="13"/>
  <c r="J23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8" i="13"/>
  <c r="J8" i="13" s="1"/>
  <c r="M15" i="16"/>
  <c r="A15" i="16" s="1"/>
  <c r="M16" i="16"/>
  <c r="A16" i="16" s="1"/>
  <c r="M17" i="16"/>
  <c r="A17" i="16" s="1"/>
  <c r="M18" i="16"/>
  <c r="A18" i="16" s="1"/>
  <c r="M19" i="16"/>
  <c r="A19" i="16" s="1"/>
  <c r="M21" i="16"/>
  <c r="A21" i="16" s="1"/>
  <c r="M22" i="16"/>
  <c r="A22" i="16" s="1"/>
  <c r="M23" i="16"/>
  <c r="A23" i="16" s="1"/>
  <c r="M24" i="16"/>
  <c r="A24" i="16" s="1"/>
  <c r="M25" i="16"/>
  <c r="A25" i="16" s="1"/>
  <c r="M26" i="16"/>
  <c r="A26" i="16" s="1"/>
  <c r="M27" i="16"/>
  <c r="A27" i="16" s="1"/>
  <c r="M29" i="16"/>
  <c r="A29" i="16" s="1"/>
  <c r="M30" i="16"/>
  <c r="A30" i="16" s="1"/>
  <c r="M31" i="16"/>
  <c r="A31" i="16" s="1"/>
  <c r="M32" i="16"/>
  <c r="A32" i="16" s="1"/>
  <c r="M33" i="16"/>
  <c r="A33" i="16" s="1"/>
  <c r="M34" i="16"/>
  <c r="A34" i="16" s="1"/>
  <c r="M35" i="16"/>
  <c r="A35" i="16" s="1"/>
  <c r="M37" i="16"/>
  <c r="A37" i="16" s="1"/>
  <c r="L8" i="17"/>
  <c r="L7" i="17"/>
  <c r="M7" i="17"/>
  <c r="M8" i="17"/>
  <c r="K8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2" i="17"/>
  <c r="A12" i="17" s="1"/>
  <c r="M13" i="17"/>
  <c r="A13" i="17" s="1"/>
  <c r="M14" i="17"/>
  <c r="A14" i="17" s="1"/>
  <c r="M16" i="17"/>
  <c r="A16" i="17" s="1"/>
  <c r="M20" i="17"/>
  <c r="A20" i="17" s="1"/>
  <c r="M22" i="17"/>
  <c r="A22" i="17" s="1"/>
  <c r="M8" i="13"/>
  <c r="M13" i="13"/>
  <c r="M14" i="13"/>
  <c r="M15" i="13"/>
  <c r="M16" i="13"/>
  <c r="M17" i="13"/>
  <c r="M18" i="13"/>
  <c r="M19" i="13"/>
  <c r="M20" i="13"/>
  <c r="M21" i="13"/>
  <c r="M22" i="13"/>
  <c r="M23" i="13"/>
  <c r="AI16" i="18"/>
  <c r="J6" i="13"/>
  <c r="J7" i="13"/>
  <c r="J11" i="13"/>
  <c r="L8" i="19"/>
  <c r="L7" i="19"/>
  <c r="L6" i="19"/>
  <c r="M6" i="19"/>
  <c r="N6" i="19" s="1"/>
  <c r="M7" i="19"/>
  <c r="N7" i="19" s="1"/>
  <c r="A7" i="19" s="1"/>
  <c r="M8" i="19"/>
  <c r="N8" i="19" s="1"/>
  <c r="M9" i="19"/>
  <c r="N9" i="19" s="1"/>
  <c r="M10" i="19"/>
  <c r="N10" i="19" s="1"/>
  <c r="A10" i="19" s="1"/>
  <c r="O8" i="13"/>
  <c r="O13" i="13"/>
  <c r="O14" i="13"/>
  <c r="O15" i="13"/>
  <c r="O16" i="13"/>
  <c r="O17" i="13"/>
  <c r="O18" i="13"/>
  <c r="O19" i="13"/>
  <c r="O20" i="13"/>
  <c r="O21" i="13"/>
  <c r="O22" i="13"/>
  <c r="O23" i="13"/>
  <c r="N11" i="19"/>
  <c r="A11" i="19" s="1"/>
  <c r="M11" i="19"/>
  <c r="N12" i="19"/>
  <c r="M12" i="19"/>
  <c r="N13" i="19"/>
  <c r="M13" i="19"/>
  <c r="N14" i="19"/>
  <c r="A14" i="19" s="1"/>
  <c r="M14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M37" i="19"/>
  <c r="N38" i="19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M46" i="19"/>
  <c r="N47" i="19"/>
  <c r="A47" i="19" s="1"/>
  <c r="M47" i="19"/>
  <c r="N48" i="19"/>
  <c r="A48" i="19" s="1"/>
  <c r="M48" i="19"/>
  <c r="N49" i="19"/>
  <c r="M49" i="19"/>
  <c r="N50" i="19"/>
  <c r="A50" i="19" s="1"/>
  <c r="M50" i="19"/>
  <c r="N51" i="19"/>
  <c r="M51" i="19"/>
  <c r="N52" i="19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M141" i="19"/>
  <c r="N142" i="19"/>
  <c r="M142" i="19"/>
  <c r="N143" i="19"/>
  <c r="M143" i="19"/>
  <c r="N144" i="19"/>
  <c r="A144" i="19" s="1"/>
  <c r="M144" i="19"/>
  <c r="N145" i="19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M153" i="19"/>
  <c r="N154" i="19"/>
  <c r="A154" i="19" s="1"/>
  <c r="M154" i="19"/>
  <c r="N155" i="19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M164" i="19"/>
  <c r="N165" i="19"/>
  <c r="M165" i="19"/>
  <c r="N166" i="19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M187" i="19"/>
  <c r="N188" i="19"/>
  <c r="A188" i="19" s="1"/>
  <c r="M188" i="19"/>
  <c r="N189" i="19"/>
  <c r="M189" i="19"/>
  <c r="N190" i="19"/>
  <c r="M190" i="19"/>
  <c r="N191" i="19"/>
  <c r="M191" i="19"/>
  <c r="N192" i="19"/>
  <c r="A192" i="19" s="1"/>
  <c r="M192" i="19"/>
  <c r="N193" i="19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M201" i="19"/>
  <c r="N202" i="19"/>
  <c r="A202" i="19" s="1"/>
  <c r="M202" i="19"/>
  <c r="N203" i="19"/>
  <c r="M203" i="19"/>
  <c r="N204" i="19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M212" i="19"/>
  <c r="N213" i="19"/>
  <c r="M213" i="19"/>
  <c r="N214" i="19"/>
  <c r="M214" i="19"/>
  <c r="N215" i="19"/>
  <c r="M215" i="19"/>
  <c r="N216" i="19"/>
  <c r="A216" i="19" s="1"/>
  <c r="M216" i="19"/>
  <c r="N217" i="19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A226" i="19" s="1"/>
  <c r="M226" i="19"/>
  <c r="N227" i="19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M239" i="19"/>
  <c r="N240" i="19"/>
  <c r="A240" i="19" s="1"/>
  <c r="M240" i="19"/>
  <c r="N241" i="19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M249" i="19"/>
  <c r="N250" i="19"/>
  <c r="A250" i="19" s="1"/>
  <c r="M250" i="19"/>
  <c r="N251" i="19"/>
  <c r="M251" i="19"/>
  <c r="N252" i="19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M263" i="19"/>
  <c r="N264" i="19"/>
  <c r="A264" i="19" s="1"/>
  <c r="M264" i="19"/>
  <c r="N265" i="19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A274" i="19" s="1"/>
  <c r="M274" i="19"/>
  <c r="N275" i="19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M287" i="19"/>
  <c r="N288" i="19"/>
  <c r="A288" i="19" s="1"/>
  <c r="M288" i="19"/>
  <c r="N289" i="19"/>
  <c r="M289" i="19"/>
  <c r="N290" i="19"/>
  <c r="A290" i="19" s="1"/>
  <c r="M290" i="19"/>
  <c r="N291" i="19"/>
  <c r="M291" i="19"/>
  <c r="N292" i="19"/>
  <c r="A292" i="19" s="1"/>
  <c r="M292" i="19"/>
  <c r="N293" i="19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A298" i="19" s="1"/>
  <c r="M298" i="19"/>
  <c r="N299" i="19"/>
  <c r="M299" i="19"/>
  <c r="N300" i="19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M305" i="19"/>
  <c r="M9" i="18"/>
  <c r="A9" i="18" s="1"/>
  <c r="M11" i="18"/>
  <c r="A11" i="18" s="1"/>
  <c r="M13" i="18"/>
  <c r="A13" i="18" s="1"/>
  <c r="M14" i="18"/>
  <c r="A14" i="18" s="1"/>
  <c r="M16" i="18"/>
  <c r="A16" i="18" s="1"/>
  <c r="I20" i="13"/>
  <c r="J20" i="13" s="1"/>
  <c r="I21" i="13"/>
  <c r="J21" i="13" s="1"/>
  <c r="A6" i="19"/>
  <c r="A7" i="18"/>
  <c r="A18" i="17"/>
  <c r="A26" i="17"/>
  <c r="A10" i="17"/>
  <c r="A7" i="17"/>
  <c r="L7" i="13" s="1"/>
  <c r="A8" i="17"/>
  <c r="L11" i="13" s="1"/>
  <c r="A20" i="16"/>
  <c r="A36" i="16"/>
  <c r="A28" i="16"/>
  <c r="A8" i="16"/>
  <c r="J10" i="13" s="1"/>
  <c r="A11" i="15"/>
  <c r="G14" i="13"/>
  <c r="G22" i="13"/>
  <c r="M20" i="15"/>
  <c r="A20" i="15" s="1"/>
  <c r="M36" i="15"/>
  <c r="A36" i="15" s="1"/>
  <c r="A28" i="15"/>
  <c r="G15" i="13"/>
  <c r="G23" i="13"/>
  <c r="A21" i="15"/>
  <c r="G16" i="13"/>
  <c r="M30" i="15"/>
  <c r="A30" i="15" s="1"/>
  <c r="U46" i="15"/>
  <c r="G17" i="13"/>
  <c r="M15" i="15"/>
  <c r="A15" i="15" s="1"/>
  <c r="M31" i="15"/>
  <c r="A31" i="15" s="1"/>
  <c r="G12" i="13"/>
  <c r="G18" i="13"/>
  <c r="M24" i="15"/>
  <c r="A24" i="15" s="1"/>
  <c r="A19" i="15"/>
  <c r="A22" i="15"/>
  <c r="A32" i="15"/>
  <c r="A35" i="15"/>
  <c r="G11" i="13"/>
  <c r="M9" i="15"/>
  <c r="A9" i="15" s="1"/>
  <c r="M17" i="15"/>
  <c r="A17" i="15" s="1"/>
  <c r="M33" i="15"/>
  <c r="A33" i="15" s="1"/>
  <c r="A18" i="15"/>
  <c r="A34" i="15"/>
  <c r="F10" i="13"/>
  <c r="A262" i="19"/>
  <c r="L8" i="14"/>
  <c r="L7" i="15"/>
  <c r="L8" i="15"/>
  <c r="A8" i="15" s="1"/>
  <c r="H6" i="20" s="1"/>
  <c r="L6" i="15"/>
  <c r="M6" i="15" s="1"/>
  <c r="A6" i="15" s="1"/>
  <c r="AI16" i="16"/>
  <c r="AI16" i="15"/>
  <c r="A7" i="16"/>
  <c r="J9" i="13" s="1"/>
  <c r="L6" i="16"/>
  <c r="A249" i="19"/>
  <c r="A17" i="19"/>
  <c r="L6" i="17"/>
  <c r="L6" i="18"/>
  <c r="L8" i="18"/>
  <c r="A8" i="18"/>
  <c r="A179" i="19"/>
  <c r="A66" i="19"/>
  <c r="A142" i="19"/>
  <c r="A164" i="19"/>
  <c r="A51" i="19"/>
  <c r="A29" i="19"/>
  <c r="A37" i="19"/>
  <c r="A70" i="19"/>
  <c r="AJ16" i="19"/>
  <c r="A52" i="19"/>
  <c r="A236" i="19"/>
  <c r="A49" i="19"/>
  <c r="A62" i="19"/>
  <c r="A13" i="19"/>
  <c r="A30" i="19"/>
  <c r="A38" i="19"/>
  <c r="A212" i="19"/>
  <c r="A300" i="19"/>
  <c r="A23" i="19"/>
  <c r="A177" i="19"/>
  <c r="A9" i="19"/>
  <c r="A204" i="19"/>
  <c r="A286" i="19"/>
  <c r="A31" i="19"/>
  <c r="A39" i="19"/>
  <c r="A193" i="19"/>
  <c r="A252" i="19"/>
  <c r="A275" i="19"/>
  <c r="A46" i="19"/>
  <c r="A54" i="19"/>
  <c r="A225" i="19"/>
  <c r="A265" i="19"/>
  <c r="A153" i="19"/>
  <c r="A289" i="19"/>
  <c r="A203" i="19"/>
  <c r="A299" i="19"/>
  <c r="A217" i="19"/>
  <c r="A227" i="19"/>
  <c r="A276" i="19"/>
  <c r="A8" i="19"/>
  <c r="A61" i="19"/>
  <c r="A155" i="19"/>
  <c r="A169" i="19"/>
  <c r="A180" i="19"/>
  <c r="A241" i="19"/>
  <c r="A190" i="19"/>
  <c r="A228" i="19"/>
  <c r="A145" i="19"/>
  <c r="A156" i="19"/>
  <c r="A214" i="19"/>
  <c r="A297" i="19"/>
  <c r="A166" i="19"/>
  <c r="A201" i="19"/>
  <c r="A238" i="19"/>
  <c r="A251" i="19"/>
  <c r="A273" i="19"/>
  <c r="A293" i="19"/>
  <c r="A267" i="19"/>
  <c r="A291" i="19"/>
  <c r="A143" i="19"/>
  <c r="A167" i="19"/>
  <c r="A191" i="19"/>
  <c r="A215" i="19"/>
  <c r="A239" i="19"/>
  <c r="A263" i="19"/>
  <c r="A287" i="19"/>
  <c r="A305" i="19"/>
  <c r="A141" i="19"/>
  <c r="A165" i="19"/>
  <c r="A189" i="19"/>
  <c r="A213" i="19"/>
  <c r="A237" i="19"/>
  <c r="A139" i="19"/>
  <c r="A163" i="19"/>
  <c r="A187" i="19"/>
  <c r="AI12" i="20" l="1"/>
  <c r="AG6" i="20"/>
  <c r="AG16" i="20"/>
  <c r="AG24" i="20"/>
  <c r="AG26" i="20"/>
  <c r="AG17" i="20"/>
  <c r="AG28" i="20"/>
  <c r="AG12" i="20"/>
  <c r="AG21" i="20"/>
  <c r="AG10" i="20"/>
  <c r="AG23" i="20"/>
  <c r="AG14" i="20"/>
  <c r="AG25" i="20"/>
  <c r="AG15" i="20"/>
  <c r="AG18" i="20"/>
  <c r="AG11" i="20"/>
  <c r="AG20" i="20"/>
  <c r="AG22" i="20"/>
  <c r="AG29" i="20"/>
  <c r="AG27" i="20"/>
  <c r="AG9" i="20"/>
  <c r="AG8" i="20"/>
  <c r="AG13" i="20"/>
  <c r="AG19" i="20"/>
  <c r="AI8" i="20"/>
  <c r="AM12" i="20"/>
  <c r="AJ7" i="20"/>
  <c r="AJ11" i="20"/>
  <c r="AM10" i="20"/>
  <c r="H27" i="20"/>
  <c r="H21" i="20"/>
  <c r="H15" i="20"/>
  <c r="A7" i="15"/>
  <c r="AJ9" i="20"/>
  <c r="AM7" i="20"/>
  <c r="AI10" i="20"/>
  <c r="AJ8" i="20"/>
  <c r="AJ10" i="20"/>
  <c r="W13" i="20"/>
  <c r="AK13" i="20" s="1"/>
  <c r="W18" i="20"/>
  <c r="AK18" i="20" s="1"/>
  <c r="W16" i="20"/>
  <c r="AK16" i="20" s="1"/>
  <c r="W26" i="20"/>
  <c r="AK26" i="20" s="1"/>
  <c r="W14" i="20"/>
  <c r="AK14" i="20" s="1"/>
  <c r="W23" i="20"/>
  <c r="AK23" i="20" s="1"/>
  <c r="W7" i="20"/>
  <c r="W21" i="20"/>
  <c r="AK21" i="20" s="1"/>
  <c r="W10" i="20"/>
  <c r="W20" i="20"/>
  <c r="AK20" i="20" s="1"/>
  <c r="W9" i="20"/>
  <c r="AK12" i="20" s="1"/>
  <c r="W12" i="20"/>
  <c r="AK11" i="20" s="1"/>
  <c r="W24" i="20"/>
  <c r="AK24" i="20" s="1"/>
  <c r="W27" i="20"/>
  <c r="AK27" i="20" s="1"/>
  <c r="W8" i="20"/>
  <c r="W15" i="20"/>
  <c r="AK15" i="20" s="1"/>
  <c r="W19" i="20"/>
  <c r="AK19" i="20" s="1"/>
  <c r="AI9" i="20"/>
  <c r="AM9" i="20"/>
  <c r="AM8" i="20"/>
  <c r="F16" i="20"/>
  <c r="H12" i="20"/>
  <c r="F17" i="13"/>
  <c r="F28" i="20"/>
  <c r="H20" i="20"/>
  <c r="F9" i="20"/>
  <c r="H22" i="20"/>
  <c r="D22" i="20" s="1"/>
  <c r="F14" i="20"/>
  <c r="H11" i="20"/>
  <c r="H28" i="20"/>
  <c r="F23" i="20"/>
  <c r="H16" i="20"/>
  <c r="F25" i="20"/>
  <c r="H18" i="20"/>
  <c r="F10" i="20"/>
  <c r="H29" i="20"/>
  <c r="F18" i="20"/>
  <c r="F12" i="13"/>
  <c r="F20" i="13"/>
  <c r="F19" i="13"/>
  <c r="H23" i="20"/>
  <c r="F19" i="20"/>
  <c r="H9" i="20"/>
  <c r="F8" i="20"/>
  <c r="F21" i="20"/>
  <c r="H14" i="20"/>
  <c r="F6" i="20"/>
  <c r="H17" i="20"/>
  <c r="H7" i="20"/>
  <c r="H13" i="20"/>
  <c r="H24" i="20"/>
  <c r="H26" i="20"/>
  <c r="D26" i="20" s="1"/>
  <c r="F18" i="13"/>
  <c r="F11" i="13"/>
  <c r="H19" i="20"/>
  <c r="F15" i="20"/>
  <c r="H8" i="20"/>
  <c r="H25" i="20"/>
  <c r="F17" i="20"/>
  <c r="H10" i="20"/>
  <c r="F27" i="20"/>
  <c r="AI7" i="20"/>
  <c r="AK6" i="20"/>
  <c r="AA19" i="20"/>
  <c r="AM19" i="20" s="1"/>
  <c r="AA27" i="20"/>
  <c r="AM27" i="20" s="1"/>
  <c r="AA15" i="20"/>
  <c r="AM15" i="20" s="1"/>
  <c r="AA25" i="20"/>
  <c r="AM25" i="20" s="1"/>
  <c r="AA24" i="20"/>
  <c r="AM24" i="20" s="1"/>
  <c r="AA14" i="20"/>
  <c r="AM14" i="20" s="1"/>
  <c r="AA13" i="20"/>
  <c r="AM13" i="20" s="1"/>
  <c r="AA20" i="20"/>
  <c r="AM20" i="20" s="1"/>
  <c r="AA23" i="20"/>
  <c r="AM23" i="20" s="1"/>
  <c r="AA29" i="20"/>
  <c r="AM29" i="20" s="1"/>
  <c r="AA28" i="20"/>
  <c r="AM28" i="20" s="1"/>
  <c r="AA21" i="20"/>
  <c r="AM21" i="20" s="1"/>
  <c r="AA18" i="20"/>
  <c r="AM18" i="20" s="1"/>
  <c r="AA17" i="20"/>
  <c r="AM17" i="20" s="1"/>
  <c r="F21" i="13"/>
  <c r="N6" i="13"/>
  <c r="N9" i="13"/>
  <c r="N7" i="13"/>
  <c r="N10" i="13"/>
  <c r="N12" i="13"/>
  <c r="N11" i="13"/>
  <c r="M6" i="17"/>
  <c r="A6" i="17" s="1"/>
  <c r="M6" i="16"/>
  <c r="A6" i="16" s="1"/>
  <c r="H6" i="13"/>
  <c r="H7" i="13"/>
  <c r="N23" i="13"/>
  <c r="N22" i="13"/>
  <c r="N21" i="13"/>
  <c r="N20" i="13"/>
  <c r="N19" i="13"/>
  <c r="N18" i="13"/>
  <c r="N17" i="13"/>
  <c r="N16" i="13"/>
  <c r="N15" i="13"/>
  <c r="N14" i="13"/>
  <c r="N13" i="13"/>
  <c r="N8" i="13"/>
  <c r="L9" i="13"/>
  <c r="L10" i="13"/>
  <c r="L12" i="13"/>
  <c r="L23" i="13"/>
  <c r="L22" i="13"/>
  <c r="L21" i="13"/>
  <c r="L20" i="13"/>
  <c r="L19" i="13"/>
  <c r="L18" i="13"/>
  <c r="L17" i="13"/>
  <c r="L16" i="13"/>
  <c r="L15" i="13"/>
  <c r="L14" i="13"/>
  <c r="L13" i="13"/>
  <c r="L8" i="13"/>
  <c r="P6" i="13"/>
  <c r="P9" i="13"/>
  <c r="P7" i="13"/>
  <c r="P10" i="13"/>
  <c r="P12" i="13"/>
  <c r="P11" i="13"/>
  <c r="P23" i="13"/>
  <c r="P22" i="13"/>
  <c r="P21" i="13"/>
  <c r="P20" i="13"/>
  <c r="P19" i="13"/>
  <c r="P18" i="13"/>
  <c r="P17" i="13"/>
  <c r="P16" i="13"/>
  <c r="P15" i="13"/>
  <c r="P14" i="13"/>
  <c r="P13" i="13"/>
  <c r="P8" i="13"/>
  <c r="H17" i="13"/>
  <c r="H9" i="13"/>
  <c r="H10" i="13"/>
  <c r="H13" i="13"/>
  <c r="H20" i="13"/>
  <c r="H8" i="13"/>
  <c r="H16" i="13"/>
  <c r="H23" i="13"/>
  <c r="H19" i="13"/>
  <c r="H15" i="13"/>
  <c r="H11" i="13"/>
  <c r="H22" i="13"/>
  <c r="H18" i="13"/>
  <c r="H14" i="13"/>
  <c r="H12" i="13"/>
  <c r="H21" i="13"/>
  <c r="AK8" i="20" l="1"/>
  <c r="D11" i="20"/>
  <c r="D9" i="13"/>
  <c r="D23" i="20"/>
  <c r="D20" i="20"/>
  <c r="D8" i="13"/>
  <c r="D10" i="13"/>
  <c r="D29" i="20"/>
  <c r="AK7" i="20"/>
  <c r="D10" i="20" s="1"/>
  <c r="D16" i="20"/>
  <c r="AK9" i="20"/>
  <c r="D21" i="20"/>
  <c r="D15" i="20"/>
  <c r="AK10" i="20"/>
  <c r="D9" i="20" s="1"/>
  <c r="D27" i="20"/>
  <c r="D22" i="13"/>
  <c r="D7" i="13"/>
  <c r="D17" i="20"/>
  <c r="J12" i="13"/>
  <c r="D12" i="13" s="1"/>
  <c r="J12" i="20"/>
  <c r="D12" i="20" s="1"/>
  <c r="D21" i="13"/>
  <c r="L6" i="13"/>
  <c r="D6" i="13" s="1"/>
  <c r="L6" i="20"/>
  <c r="D6" i="20" s="1"/>
  <c r="D18" i="20"/>
  <c r="D24" i="20"/>
  <c r="D19" i="20"/>
  <c r="D25" i="20"/>
  <c r="D13" i="20"/>
  <c r="D14" i="20"/>
  <c r="D23" i="13"/>
  <c r="D14" i="13"/>
  <c r="D28" i="20"/>
  <c r="D18" i="13"/>
  <c r="D11" i="13"/>
  <c r="D15" i="13"/>
  <c r="D20" i="13"/>
  <c r="D13" i="13"/>
  <c r="D19" i="13"/>
  <c r="D16" i="13"/>
  <c r="D17" i="13"/>
  <c r="D8" i="20" l="1"/>
  <c r="D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<sst xmlns="http://schemas.openxmlformats.org/spreadsheetml/2006/main" count="732" uniqueCount="158">
  <si>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</si>
  <si>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</si>
  <si>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</si>
  <si>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</si>
  <si>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</si>
  <si>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</si>
  <si>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</si>
  <si>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</si>
  <si>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</si>
  <si>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</si>
  <si>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</si>
  <si>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</si>
  <si>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</si>
  <si>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</si>
  <si>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</si>
  <si>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</si>
  <si>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MAINKA Andrzej</t>
  </si>
  <si>
    <t>ADAMCZEWSKI Wojciech</t>
  </si>
  <si>
    <t>PRĘGOWSKI Jerzy</t>
  </si>
  <si>
    <t>KONWIŃSKI Grzegorz</t>
  </si>
  <si>
    <t>TARANCZEWSKI Janusz</t>
  </si>
  <si>
    <t>PANZ Marian</t>
  </si>
  <si>
    <t>MŁYNEK Janusz</t>
  </si>
  <si>
    <t>Liczba uczestników:</t>
  </si>
  <si>
    <t>GP Punkty</t>
  </si>
  <si>
    <t>Bonus za rundę</t>
  </si>
  <si>
    <t>Mnożnik za podium</t>
  </si>
  <si>
    <t>Liczba uczestników połączonych kategorii:</t>
  </si>
  <si>
    <t>miejsce:</t>
  </si>
  <si>
    <t>PABIANICE</t>
  </si>
  <si>
    <t xml:space="preserve"> data: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</si>
  <si>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</si>
  <si>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</si>
  <si>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</si>
  <si>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</si>
  <si>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</si>
  <si>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</si>
  <si>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</si>
  <si>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</si>
  <si>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</si>
  <si>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</si>
  <si>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</si>
  <si>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</si>
  <si>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</si>
  <si>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</si>
  <si>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POL</t>
  </si>
  <si>
    <t>OSSOWSKI Wojciech</t>
  </si>
  <si>
    <t>GRABOWSKI Romuald</t>
  </si>
  <si>
    <t/>
  </si>
  <si>
    <t>JUSZKIEWICZ Piotr</t>
  </si>
  <si>
    <t>x</t>
  </si>
  <si>
    <t>KIERSZNICKI Ryszard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</si>
  <si>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</si>
  <si>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</si>
  <si>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</si>
  <si>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</si>
  <si>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</si>
  <si>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</si>
  <si>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</si>
  <si>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</si>
  <si>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</si>
  <si>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FENCING PARIS</t>
  </si>
  <si>
    <t>NIEPOŁOMICE</t>
  </si>
  <si>
    <t>KATOWICE</t>
  </si>
  <si>
    <t>22-23.10.2022</t>
  </si>
  <si>
    <t xml:space="preserve"> POL</t>
  </si>
  <si>
    <t>ŚWIDNICA</t>
  </si>
  <si>
    <t>11-12.11.2022</t>
  </si>
  <si>
    <t>1k3</t>
  </si>
  <si>
    <t>Podium</t>
  </si>
  <si>
    <t>Współczynnik MPW</t>
  </si>
  <si>
    <t>KRAKÓW</t>
  </si>
  <si>
    <t>3-4.12.2022</t>
  </si>
  <si>
    <t>Punkty MPW</t>
  </si>
  <si>
    <t>AZS POZNAŃ</t>
  </si>
  <si>
    <t>AZS AWF Warszawa</t>
  </si>
  <si>
    <t>Sosnowiec</t>
  </si>
  <si>
    <t>AZS Warszawa</t>
  </si>
  <si>
    <t>SELF MILITARY</t>
  </si>
  <si>
    <t>5k3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</si>
  <si>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</si>
  <si>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</si>
  <si>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Kat.4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</si>
  <si>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</si>
  <si>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</si>
  <si>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</si>
  <si>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</si>
  <si>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</si>
  <si>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</si>
  <si>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</si>
  <si>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</si>
  <si>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</si>
  <si>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</si>
  <si>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08.01.2023</t>
  </si>
  <si>
    <t>Faches-Thumesnil</t>
  </si>
  <si>
    <t>21-22.01.2023</t>
  </si>
  <si>
    <t>Terni</t>
  </si>
  <si>
    <t>Liege</t>
  </si>
  <si>
    <t>Paris</t>
  </si>
  <si>
    <t>Madrid</t>
  </si>
  <si>
    <t>Munich</t>
  </si>
  <si>
    <t>Thionville</t>
  </si>
  <si>
    <t xml:space="preserve"> CARMINA </t>
  </si>
  <si>
    <t xml:space="preserve"> RICCARDO </t>
  </si>
  <si>
    <t xml:space="preserve">  ITA  </t>
  </si>
  <si>
    <t xml:space="preserve"> BOCCONI </t>
  </si>
  <si>
    <t xml:space="preserve"> ANDREA </t>
  </si>
  <si>
    <t xml:space="preserve"> PAROLI </t>
  </si>
  <si>
    <t xml:space="preserve"> GIULIO </t>
  </si>
  <si>
    <t xml:space="preserve"> PRECHTL </t>
  </si>
  <si>
    <t xml:space="preserve"> HANNS </t>
  </si>
  <si>
    <t xml:space="preserve">  GER  </t>
  </si>
  <si>
    <t xml:space="preserve"> MORRIS </t>
  </si>
  <si>
    <t xml:space="preserve"> CARL </t>
  </si>
  <si>
    <t xml:space="preserve">  GBR  </t>
  </si>
  <si>
    <t xml:space="preserve"> ARANY-TOTH </t>
  </si>
  <si>
    <t xml:space="preserve"> LAJOS </t>
  </si>
  <si>
    <t xml:space="preserve">  HUN  </t>
  </si>
  <si>
    <t xml:space="preserve"> BELLET </t>
  </si>
  <si>
    <t xml:space="preserve"> MICHEL </t>
  </si>
  <si>
    <t xml:space="preserve">  FRA  </t>
  </si>
  <si>
    <t xml:space="preserve"> FRANK </t>
  </si>
  <si>
    <t xml:space="preserve"> WOLFGANG WALTER </t>
  </si>
  <si>
    <t xml:space="preserve">  SUI  </t>
  </si>
  <si>
    <t xml:space="preserve"> ALLAIN </t>
  </si>
  <si>
    <t xml:space="preserve"> MARC </t>
  </si>
  <si>
    <t xml:space="preserve"> PAUL </t>
  </si>
  <si>
    <t xml:space="preserve"> GRAHAM </t>
  </si>
  <si>
    <t xml:space="preserve"> AUSSEDAT </t>
  </si>
  <si>
    <t xml:space="preserve"> BERNARD </t>
  </si>
  <si>
    <t xml:space="preserve"> BARON </t>
  </si>
  <si>
    <t xml:space="preserve"> PETER </t>
  </si>
  <si>
    <t xml:space="preserve"> HELFRICHT </t>
  </si>
  <si>
    <t xml:space="preserve"> HELMUT </t>
  </si>
  <si>
    <t xml:space="preserve"> JERZY </t>
  </si>
  <si>
    <t xml:space="preserve">  POL  </t>
  </si>
  <si>
    <t xml:space="preserve"> HUGET </t>
  </si>
  <si>
    <t xml:space="preserve"> PIERRE </t>
  </si>
  <si>
    <t xml:space="preserve">  BEL  </t>
  </si>
  <si>
    <t xml:space="preserve"> DOLEZAL </t>
  </si>
  <si>
    <t xml:space="preserve"> BOHUSLAV </t>
  </si>
  <si>
    <t xml:space="preserve">  CZE  </t>
  </si>
  <si>
    <t xml:space="preserve"> IMREH </t>
  </si>
  <si>
    <t xml:space="preserve"> LASZLO </t>
  </si>
  <si>
    <t xml:space="preserve"> COMPTON </t>
  </si>
  <si>
    <t xml:space="preserve"> MICHAEL </t>
  </si>
  <si>
    <t xml:space="preserve"> SCHNEIDER </t>
  </si>
  <si>
    <t xml:space="preserve"> WILFRIED </t>
  </si>
  <si>
    <t xml:space="preserve"> ZINI </t>
  </si>
  <si>
    <t xml:space="preserve"> ROLAND </t>
  </si>
  <si>
    <t xml:space="preserve"> AMANRICH </t>
  </si>
  <si>
    <t xml:space="preserve"> FRANÇOIS </t>
  </si>
  <si>
    <t xml:space="preserve"> MAGYAR </t>
  </si>
  <si>
    <t xml:space="preserve"> PÉTER </t>
  </si>
  <si>
    <t xml:space="preserve"> CUNEO </t>
  </si>
  <si>
    <t xml:space="preserve"> JEAN </t>
  </si>
  <si>
    <t>AZS AWF POZNAŃ</t>
  </si>
  <si>
    <t> 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</si>
</sst>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sz val="11"/>
      <color theme="1"/>
      <name val="Agency FB"/>
      <family val="2"/>
      <charset val="238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b/>
      <u/>
      <sz val="9"/>
      <color theme="2" tint="-0.499984740745262"/>
      <name val="Arial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FFFFFF"/>
      <name val="Calibri"/>
      <family val="2"/>
    </font>
    <font>
      <sz val="11"/>
      <color rgb="FFBFBFBF"/>
      <name val="Calibri"/>
      <family val="2"/>
    </font>
    <font>
      <i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4" borderId="0" applyNumberFormat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94">
    <xf numFmtId="0" fontId="0" fillId="0" borderId="0" xfId="0"/>
    <xf numFmtId="0" fontId="7" fillId="3" borderId="0" xfId="1" applyAlignment="1">
      <alignment horizontal="center" vertical="center" wrapText="1"/>
    </xf>
    <xf numFmtId="0" fontId="0" fillId="4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2" fillId="5" borderId="0" xfId="0" applyFont="1" applyFill="1"/>
    <xf numFmtId="0" fontId="11" fillId="5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3" fillId="7" borderId="13" xfId="0" applyFont="1" applyFill="1" applyBorder="1" applyAlignment="1">
      <alignment horizontal="center" vertical="center"/>
    </xf>
    <xf numFmtId="1" fontId="14" fillId="7" borderId="12" xfId="0" applyNumberFormat="1" applyFont="1" applyFill="1" applyBorder="1" applyAlignment="1">
      <alignment horizontal="center" vertical="center"/>
    </xf>
    <xf numFmtId="1" fontId="14" fillId="7" borderId="14" xfId="0" applyNumberFormat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1" fontId="14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7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2" fontId="3" fillId="7" borderId="0" xfId="2" applyNumberFormat="1" applyFill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6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left"/>
    </xf>
    <xf numFmtId="0" fontId="26" fillId="6" borderId="0" xfId="0" applyFont="1" applyFill="1" applyAlignment="1">
      <alignment vertical="center" wrapText="1"/>
    </xf>
    <xf numFmtId="1" fontId="24" fillId="7" borderId="0" xfId="0" applyNumberFormat="1" applyFont="1" applyFill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6" fillId="7" borderId="0" xfId="0" applyFont="1" applyFill="1" applyAlignment="1">
      <alignment vertical="center" wrapText="1"/>
    </xf>
    <xf numFmtId="0" fontId="24" fillId="13" borderId="11" xfId="0" applyFont="1" applyFill="1" applyBorder="1" applyAlignment="1">
      <alignment horizontal="left"/>
    </xf>
    <xf numFmtId="0" fontId="28" fillId="5" borderId="0" xfId="0" applyFont="1" applyFill="1"/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9" fillId="5" borderId="0" xfId="0" applyFont="1" applyFill="1"/>
    <xf numFmtId="0" fontId="22" fillId="2" borderId="1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10" fillId="14" borderId="1" xfId="3" applyFont="1" applyBorder="1" applyAlignment="1">
      <alignment horizontal="center" vertical="center" wrapText="1"/>
    </xf>
    <xf numFmtId="0" fontId="10" fillId="14" borderId="9" xfId="3" applyFont="1" applyBorder="1" applyAlignment="1">
      <alignment horizontal="center" vertical="center" wrapText="1"/>
    </xf>
    <xf numFmtId="2" fontId="12" fillId="7" borderId="12" xfId="0" applyNumberFormat="1" applyFont="1" applyFill="1" applyBorder="1" applyAlignment="1">
      <alignment horizontal="center" vertical="center"/>
    </xf>
    <xf numFmtId="2" fontId="14" fillId="7" borderId="12" xfId="0" applyNumberFormat="1" applyFont="1" applyFill="1" applyBorder="1" applyAlignment="1">
      <alignment horizontal="center" vertical="center"/>
    </xf>
    <xf numFmtId="2" fontId="14" fillId="7" borderId="14" xfId="0" applyNumberFormat="1" applyFont="1" applyFill="1" applyBorder="1" applyAlignment="1">
      <alignment horizontal="center" vertical="center"/>
    </xf>
    <xf numFmtId="2" fontId="30" fillId="7" borderId="12" xfId="0" applyNumberFormat="1" applyFont="1" applyFill="1" applyBorder="1" applyAlignment="1">
      <alignment horizontal="center" vertical="center"/>
    </xf>
    <xf numFmtId="2" fontId="30" fillId="7" borderId="16" xfId="0" applyNumberFormat="1" applyFont="1" applyFill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2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2" fillId="8" borderId="0" xfId="4" applyFill="1" applyAlignment="1">
      <alignment horizontal="center" vertical="center"/>
    </xf>
    <xf numFmtId="0" fontId="2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2" fontId="2" fillId="7" borderId="0" xfId="4" applyNumberFormat="1" applyFill="1" applyAlignment="1">
      <alignment horizontal="center" vertical="center"/>
    </xf>
    <xf numFmtId="0" fontId="2" fillId="8" borderId="0" xfId="4" applyFill="1" applyAlignment="1">
      <alignment horizontal="right"/>
    </xf>
    <xf numFmtId="1" fontId="2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2" fontId="6" fillId="7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2" fillId="7" borderId="0" xfId="4" applyNumberFormat="1" applyFill="1"/>
    <xf numFmtId="0" fontId="2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2" fillId="8" borderId="0" xfId="4" applyNumberFormat="1" applyFill="1"/>
    <xf numFmtId="49" fontId="2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2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2" fillId="0" borderId="0" xfId="4" applyNumberFormat="1" applyAlignment="1">
      <alignment horizontal="center"/>
    </xf>
    <xf numFmtId="0" fontId="2" fillId="0" borderId="0" xfId="4"/>
    <xf numFmtId="1" fontId="2" fillId="0" borderId="0" xfId="4" applyNumberFormat="1" applyAlignment="1">
      <alignment horizontal="center"/>
    </xf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1" fontId="2" fillId="7" borderId="0" xfId="4" applyNumberFormat="1" applyFill="1" applyAlignment="1">
      <alignment horizontal="center" vertical="center"/>
    </xf>
    <xf numFmtId="0" fontId="10" fillId="8" borderId="0" xfId="4" applyFont="1" applyFill="1" applyAlignment="1">
      <alignment horizontal="left" vertical="center"/>
    </xf>
    <xf numFmtId="0" fontId="2" fillId="8" borderId="0" xfId="4" applyFill="1" applyAlignment="1">
      <alignment horizontal="left" vertical="center"/>
    </xf>
    <xf numFmtId="164" fontId="2" fillId="7" borderId="0" xfId="4" applyNumberFormat="1" applyFill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32" fillId="7" borderId="12" xfId="0" applyNumberFormat="1" applyFont="1" applyFill="1" applyBorder="1" applyAlignment="1">
      <alignment horizontal="center" vertical="center"/>
    </xf>
    <xf numFmtId="2" fontId="32" fillId="7" borderId="11" xfId="0" applyNumberFormat="1" applyFont="1" applyFill="1" applyBorder="1" applyAlignment="1">
      <alignment horizontal="center" vertical="center"/>
    </xf>
    <xf numFmtId="2" fontId="14" fillId="7" borderId="16" xfId="0" applyNumberFormat="1" applyFont="1" applyFill="1" applyBorder="1" applyAlignment="1">
      <alignment horizontal="center" vertical="center"/>
    </xf>
    <xf numFmtId="14" fontId="8" fillId="8" borderId="0" xfId="5" applyNumberFormat="1" applyFill="1" applyAlignment="1">
      <alignment horizontal="left"/>
    </xf>
    <xf numFmtId="0" fontId="33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right" vertical="center"/>
    </xf>
    <xf numFmtId="0" fontId="34" fillId="1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2" fontId="33" fillId="12" borderId="0" xfId="0" applyNumberFormat="1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 wrapText="1"/>
    </xf>
    <xf numFmtId="0" fontId="36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1" fillId="8" borderId="0" xfId="2" applyFont="1" applyFill="1"/>
    <xf numFmtId="2" fontId="1" fillId="8" borderId="0" xfId="2" applyNumberFormat="1" applyFont="1" applyFill="1"/>
    <xf numFmtId="0" fontId="1" fillId="7" borderId="0" xfId="2" applyFont="1" applyFill="1"/>
    <xf numFmtId="2" fontId="1" fillId="7" borderId="0" xfId="2" applyNumberFormat="1" applyFont="1" applyFill="1"/>
    <xf numFmtId="0" fontId="25" fillId="6" borderId="18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3" fillId="12" borderId="0" xfId="0" applyFont="1" applyFill="1" applyAlignment="1">
      <alignment horizontal="center" vertical="center"/>
    </xf>
    <xf numFmtId="0" fontId="8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22" fillId="2" borderId="3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0" fillId="14" borderId="27" xfId="3" applyFont="1" applyBorder="1" applyAlignment="1">
      <alignment horizontal="center" vertical="center"/>
    </xf>
    <xf numFmtId="0" fontId="10" fillId="14" borderId="28" xfId="3" applyFont="1" applyBorder="1" applyAlignment="1">
      <alignment horizontal="center" vertical="center"/>
    </xf>
    <xf numFmtId="0" fontId="27" fillId="5" borderId="0" xfId="0" applyFont="1" applyFill="1" applyAlignment="1">
      <alignment horizontal="center" vertical="center" wrapText="1"/>
    </xf>
    <xf numFmtId="0" fontId="8" fillId="12" borderId="0" xfId="5" applyFill="1" applyBorder="1" applyAlignment="1"/>
    <xf numFmtId="0" fontId="6" fillId="7" borderId="0" xfId="0" applyFont="1" applyFill="1" applyBorder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5E7BA7E4-6F06-4833-B277-33065FEF7A7B}"/>
    <cellStyle name="Normal 2" xfId="2" xr:uid="{6BDEB572-D171-4437-8AF6-3E93046B07C5}"/>
    <cellStyle name="Normal 2 2 2" xfId="4" xr:uid="{6E90B8C1-09B5-4594-A3C7-4801902E5A4E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02A7FF80E0240E5902CDB5883CB512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6D318B644CF4F66855D2C5CD414600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A3FC8BD675A7445BB2103552F7A39F8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0555CA00D5A84ABAA8F3A0CDB26B45E3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3FE4C367E03749168D635B1DF2ABC0B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66A91A1B6FD442DDB7CD9B7404804DF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sabr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D59-0075-46B7-A054-90895AE3E19F}">
  <dimension ref="A1:U39"/>
  <sheetViews>
    <sheetView tabSelected="1" workbookViewId="0">
      <selection activeCell="B21" sqref="B21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5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5" thickBot="1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>
      <c r="A2" s="4"/>
      <c r="B2" s="2" t="s">
        <v>0</v>
      </c>
      <c r="C2" s="4"/>
      <c r="D2" s="82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R2" s="161" t="s">
        <v>2</v>
      </c>
      <c r="S2" s="162"/>
      <c r="T2" s="162"/>
      <c r="U2" s="163"/>
    </row>
    <row r="3" spans="1:21">
      <c r="A3" s="4"/>
      <c r="B3" s="4"/>
      <c r="C3" s="4"/>
      <c r="D3" s="6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64"/>
      <c r="S3" s="165"/>
      <c r="T3" s="165"/>
      <c r="U3" s="166"/>
    </row>
    <row r="4" spans="1:21" ht="24.75" customHeight="1">
      <c r="A4" s="174" t="s">
        <v>4</v>
      </c>
      <c r="B4" s="176" t="s">
        <v>5</v>
      </c>
      <c r="C4" s="176" t="s">
        <v>6</v>
      </c>
      <c r="D4" s="176" t="s">
        <v>7</v>
      </c>
      <c r="E4" s="172" t="s">
        <v>8</v>
      </c>
      <c r="F4" s="173"/>
      <c r="G4" s="172" t="s">
        <v>9</v>
      </c>
      <c r="H4" s="173"/>
      <c r="I4" s="170" t="s">
        <v>10</v>
      </c>
      <c r="J4" s="171"/>
      <c r="K4" s="170" t="s">
        <v>11</v>
      </c>
      <c r="L4" s="171"/>
      <c r="M4" s="170" t="s">
        <v>12</v>
      </c>
      <c r="N4" s="171"/>
      <c r="O4" s="170" t="s">
        <v>13</v>
      </c>
      <c r="P4" s="171"/>
      <c r="R4" s="167"/>
      <c r="S4" s="168"/>
      <c r="T4" s="168"/>
      <c r="U4" s="169"/>
    </row>
    <row r="5" spans="1:21" ht="18" customHeight="1">
      <c r="A5" s="175"/>
      <c r="B5" s="177"/>
      <c r="C5" s="177"/>
      <c r="D5" s="178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7" t="s">
        <v>15</v>
      </c>
      <c r="O5" s="3" t="s">
        <v>14</v>
      </c>
      <c r="P5" s="7" t="s">
        <v>15</v>
      </c>
    </row>
    <row r="6" spans="1:21" ht="15" customHeight="1">
      <c r="A6" s="8">
        <f>ROW()-5</f>
        <v>1</v>
      </c>
      <c r="B6" s="9" t="s">
        <v>16</v>
      </c>
      <c r="C6" s="10"/>
      <c r="D6" s="90">
        <f>SUM(F6,H6,J6,L6,N6,P6)-MIN(F6,H6,J6,L6,N6)</f>
        <v>280.42823248964169</v>
      </c>
      <c r="E6" s="11" t="str">
        <f>_xlfn.XLOOKUP($B6,'GP1'!$C$6:$C$55,'GP1'!$B$6:$B$55,"")</f>
        <v/>
      </c>
      <c r="F6" s="12">
        <f>_xlfn.XLOOKUP(E6,'GP1'!$B$6:$B$55,'GP1'!$A$6:$A$55,0)</f>
        <v>0</v>
      </c>
      <c r="G6" s="11" t="str">
        <f>_xlfn.XLOOKUP($B6,'GP2'!$C$6:$C$15,'GP2'!$B$6:$B$15,"")</f>
        <v/>
      </c>
      <c r="H6" s="12">
        <f>_xlfn.XLOOKUP(G6,'GP2'!$B$6:$B$15,'GP2'!$A$6:$A$15,0)</f>
        <v>0</v>
      </c>
      <c r="I6" s="11">
        <f>_xlfn.XLOOKUP($B6,'GP3'!$C$6:$C$15,'GP3'!$B$6:$B$15,"")</f>
        <v>1</v>
      </c>
      <c r="J6" s="12">
        <f>_xlfn.XLOOKUP(I6,'GP3'!$B$6:$B$15,'GP3'!$A$6:$A$15,0)</f>
        <v>82.980246132766666</v>
      </c>
      <c r="K6" s="11">
        <f>_xlfn.XLOOKUP($B6,'GP4'!$C$6:$C$15,'GP4'!$B$6:$B$15,"")</f>
        <v>1</v>
      </c>
      <c r="L6" s="12">
        <f>_xlfn.XLOOKUP(K6,'GP4'!$B$6:$B$15,'GP4'!$A$6:$A$15,0)</f>
        <v>82.980246132766666</v>
      </c>
      <c r="M6" s="11" t="str">
        <f>_xlfn.XLOOKUP($B6,'GP5'!$C$6:$C$15,'GP5'!$B$6:$B$15,"")</f>
        <v/>
      </c>
      <c r="N6" s="13">
        <f>_xlfn.XLOOKUP(M6,'GP5'!$B$6:$B$15,'GP5'!$A$6:$A$15,0)</f>
        <v>0</v>
      </c>
      <c r="O6" s="11">
        <f>_xlfn.XLOOKUP(B6,MPW!C$6:C$15,MPW!B$6:B$15,"")</f>
        <v>1</v>
      </c>
      <c r="P6" s="13">
        <f>_xlfn.XLOOKUP(O6,MPW!B$6:B$15,MPW!A$6:A$15,0)</f>
        <v>114.46774022410833</v>
      </c>
    </row>
    <row r="7" spans="1:21" ht="15" customHeight="1">
      <c r="A7" s="8">
        <f>ROW()-5</f>
        <v>2</v>
      </c>
      <c r="B7" s="193" t="s">
        <v>18</v>
      </c>
      <c r="C7" s="14"/>
      <c r="D7" s="90">
        <f>SUM(F7,H7,J7,L7,N7,P7)-MIN(F7,H7,J7,L7,N7)</f>
        <v>155.02345049441203</v>
      </c>
      <c r="E7" s="15" t="str">
        <f>_xlfn.XLOOKUP($B7,'GP1'!$C$6:$C$55,'GP1'!$B$6:$B$55,"")</f>
        <v/>
      </c>
      <c r="F7" s="16">
        <f>_xlfn.XLOOKUP(E7,'GP1'!$B$6:$B$55,'GP1'!$A$6:$A$55,0)</f>
        <v>0</v>
      </c>
      <c r="G7" s="15">
        <f>_xlfn.XLOOKUP($B7,'GP2'!$C$6:$C$15,'GP2'!$B$6:$B$15,"")</f>
        <v>2</v>
      </c>
      <c r="H7" s="16">
        <f>_xlfn.XLOOKUP(G7,'GP2'!$B$6:$B$15,'GP2'!$A$6:$A$15,0)</f>
        <v>8.5595262993692387</v>
      </c>
      <c r="I7" s="15">
        <f>_xlfn.XLOOKUP($B7,'GP3'!$C$6:$C$15,'GP3'!$B$6:$B$15,"")</f>
        <v>2</v>
      </c>
      <c r="J7" s="16">
        <f>_xlfn.XLOOKUP(I7,'GP3'!$B$6:$B$15,'GP3'!$A$6:$A$15,0)</f>
        <v>37.73793949684304</v>
      </c>
      <c r="K7" s="15">
        <f>_xlfn.XLOOKUP($B7,'GP4'!$C$6:$C$15,'GP4'!$B$6:$B$15,"")</f>
        <v>2</v>
      </c>
      <c r="L7" s="16">
        <f>_xlfn.XLOOKUP(K7,'GP4'!$B$6:$B$15,'GP4'!$A$6:$A$15,0)</f>
        <v>37.73793949684304</v>
      </c>
      <c r="M7" s="15" t="str">
        <f>_xlfn.XLOOKUP($B7,'GP5'!$C$6:$C$15,'GP5'!$B$6:$B$15,"")</f>
        <v/>
      </c>
      <c r="N7" s="17">
        <f>_xlfn.XLOOKUP(M7,'GP5'!$B$6:$B$15,'GP5'!$A$6:$A$15,0)</f>
        <v>0</v>
      </c>
      <c r="O7" s="15">
        <f>_xlfn.XLOOKUP(B7,MPW!C$6:C$15,MPW!B$6:B$15,"")</f>
        <v>2</v>
      </c>
      <c r="P7" s="17">
        <f>_xlfn.XLOOKUP(O7,MPW!B$6:B$15,MPW!A$6:A$15,0)</f>
        <v>70.988045201356712</v>
      </c>
    </row>
    <row r="8" spans="1:21" ht="15" customHeight="1">
      <c r="A8" s="8">
        <f>ROW()-5</f>
        <v>3</v>
      </c>
      <c r="B8" s="81" t="s">
        <v>19</v>
      </c>
      <c r="C8" s="14"/>
      <c r="D8" s="90">
        <f>SUM(F8,H8,J8,L8,N8,P8)-MIN(F8,H8,J8,L8,N8)</f>
        <v>110.84429467569696</v>
      </c>
      <c r="E8" s="15" t="str">
        <f>_xlfn.XLOOKUP($B8,'GP1'!$C$6:$C$55,'GP1'!$B$6:$B$55,"")</f>
        <v/>
      </c>
      <c r="F8" s="16">
        <f>_xlfn.XLOOKUP(E8,'GP1'!$B$6:$B$55,'GP1'!$A$6:$A$55,0)</f>
        <v>0</v>
      </c>
      <c r="G8" s="15" t="str">
        <f>_xlfn.XLOOKUP($B8,'GP2'!$C$6:$C$15,'GP2'!$B$6:$B$15,"")</f>
        <v/>
      </c>
      <c r="H8" s="16">
        <f>_xlfn.XLOOKUP(G8,'GP2'!$B$6:$B$15,'GP2'!$A$6:$A$15,0)</f>
        <v>0</v>
      </c>
      <c r="I8" s="15" t="str">
        <f>_xlfn.XLOOKUP($B8,'GP3'!$C$6:$C$15,'GP3'!$B$6:$B$15,"")</f>
        <v/>
      </c>
      <c r="J8" s="16">
        <f>_xlfn.XLOOKUP(I8,'GP3'!$B$6:$B$15,'GP3'!$A$6:$A$15,0)</f>
        <v>0</v>
      </c>
      <c r="K8" s="15" t="str">
        <f>_xlfn.XLOOKUP($B8,'GP4'!$C$6:$C$15,'GP4'!$B$6:$B$15,"")</f>
        <v/>
      </c>
      <c r="L8" s="16">
        <f>_xlfn.XLOOKUP(K8,'GP4'!$B$6:$B$15,'GP4'!$A$6:$A$15,0)</f>
        <v>0</v>
      </c>
      <c r="M8" s="15" t="str">
        <f>_xlfn.XLOOKUP($B8,'GP5'!$C$6:$C$15,'GP5'!$B$6:$B$15,"")</f>
        <v>1k3</v>
      </c>
      <c r="N8" s="17">
        <f>_xlfn.XLOOKUP(M8,'GP5'!$B$6:$B$15,'GP5'!$A$6:$A$15,0)</f>
        <v>96.354085335489259</v>
      </c>
      <c r="O8" s="15" t="str">
        <f>_xlfn.XLOOKUP(B8,MPW!C$6:C$15,MPW!B$6:B$15,"")</f>
        <v>5k3</v>
      </c>
      <c r="P8" s="17">
        <f>_xlfn.XLOOKUP(O8,MPW!B$6:B$15,MPW!A$6:A$15,0)</f>
        <v>14.490209340207695</v>
      </c>
    </row>
    <row r="9" spans="1:21" ht="15" customHeight="1">
      <c r="A9" s="8">
        <f>ROW()-5</f>
        <v>4</v>
      </c>
      <c r="B9" s="9" t="s">
        <v>17</v>
      </c>
      <c r="C9" s="14"/>
      <c r="D9" s="90">
        <f>SUM(F9,H9,J9,L9,N9,P9)-MIN(F9,H9,J9,L9,N9)</f>
        <v>90.352436770568985</v>
      </c>
      <c r="E9" s="15">
        <f>_xlfn.XLOOKUP($B9,'GP1'!$C$6:$C$55,'GP1'!$B$6:$B$55,"")</f>
        <v>1</v>
      </c>
      <c r="F9" s="16">
        <f>_xlfn.XLOOKUP(E9,'GP1'!$B$6:$B$55,'GP1'!$A$6:$A$55,0)</f>
        <v>69</v>
      </c>
      <c r="G9" s="15" t="str">
        <f>_xlfn.XLOOKUP($B9,'GP2'!$C$6:$C$15,'GP2'!$B$6:$B$15,"")</f>
        <v/>
      </c>
      <c r="H9" s="16">
        <f>_xlfn.XLOOKUP(G9,'GP2'!$B$6:$B$15,'GP2'!$A$6:$A$15,0)</f>
        <v>0</v>
      </c>
      <c r="I9" s="15" t="str">
        <f>_xlfn.XLOOKUP($B9,'GP3'!$C$6:$C$15,'GP3'!$B$6:$B$15,"")</f>
        <v/>
      </c>
      <c r="J9" s="16">
        <f>_xlfn.XLOOKUP(I9,'GP3'!$B$6:$B$15,'GP3'!$A$6:$A$15,0)</f>
        <v>0</v>
      </c>
      <c r="K9" s="15" t="str">
        <f>_xlfn.XLOOKUP($B9,'GP4'!$C$6:$C$15,'GP4'!$B$6:$B$15,"")</f>
        <v/>
      </c>
      <c r="L9" s="16">
        <f>_xlfn.XLOOKUP(K9,'GP4'!$B$6:$B$15,'GP4'!$A$6:$A$15,0)</f>
        <v>0</v>
      </c>
      <c r="M9" s="15" t="str">
        <f>_xlfn.XLOOKUP($B9,'GP5'!$C$6:$C$15,'GP5'!$B$6:$B$15,"")</f>
        <v/>
      </c>
      <c r="N9" s="17">
        <f>_xlfn.XLOOKUP(M9,'GP5'!$B$6:$B$15,'GP5'!$A$6:$A$15,0)</f>
        <v>0</v>
      </c>
      <c r="O9" s="15">
        <f>_xlfn.XLOOKUP(B9,MPW!C$6:C$15,MPW!B$6:B$15,"")</f>
        <v>4</v>
      </c>
      <c r="P9" s="17">
        <f>_xlfn.XLOOKUP(O9,MPW!B$6:B$15,MPW!A$6:A$15,0)</f>
        <v>21.352436770568985</v>
      </c>
    </row>
    <row r="10" spans="1:21" ht="15" customHeight="1">
      <c r="A10" s="8">
        <f>ROW()-5</f>
        <v>5</v>
      </c>
      <c r="B10" s="9" t="s">
        <v>21</v>
      </c>
      <c r="C10" s="14"/>
      <c r="D10" s="90">
        <f>SUM(F10,H10,J10,L10,N10,P10)-MIN(F10,H10,J10,L10,N10)</f>
        <v>72.539289449053868</v>
      </c>
      <c r="E10" s="15" t="str">
        <f>_xlfn.XLOOKUP($B10,'GP1'!$C$6:$C$55,'GP1'!$B$6:$B$55,"")</f>
        <v/>
      </c>
      <c r="F10" s="16">
        <f>_xlfn.XLOOKUP(E10,'GP1'!$B$6:$B$55,'GP1'!$A$6:$A$55,0)</f>
        <v>0</v>
      </c>
      <c r="G10" s="15">
        <f>_xlfn.XLOOKUP($B10,'GP2'!$C$6:$C$15,'GP2'!$B$6:$B$15,"")</f>
        <v>1</v>
      </c>
      <c r="H10" s="16">
        <f>_xlfn.XLOOKUP(G10,'GP2'!$B$6:$B$15,'GP2'!$A$6:$A$15,0)</f>
        <v>71.339289449053865</v>
      </c>
      <c r="I10" s="15" t="str">
        <f>_xlfn.XLOOKUP($B10,'GP3'!$C$6:$C$15,'GP3'!$B$6:$B$15,"")</f>
        <v/>
      </c>
      <c r="J10" s="16">
        <f>_xlfn.XLOOKUP(I10,'GP3'!$B$6:$B$15,'GP3'!$A$6:$A$15,0)</f>
        <v>0</v>
      </c>
      <c r="K10" s="15" t="str">
        <f>_xlfn.XLOOKUP($B10,'GP4'!$C$6:$C$15,'GP4'!$B$6:$B$15,"")</f>
        <v/>
      </c>
      <c r="L10" s="16">
        <f>_xlfn.XLOOKUP(K10,'GP4'!$B$6:$B$15,'GP4'!$A$6:$A$15,0)</f>
        <v>0</v>
      </c>
      <c r="M10" s="15" t="str">
        <f>_xlfn.XLOOKUP($B10,'GP5'!$C$6:$C$15,'GP5'!$B$6:$B$15,"")</f>
        <v/>
      </c>
      <c r="N10" s="17">
        <f>_xlfn.XLOOKUP(M10,'GP5'!$B$6:$B$15,'GP5'!$A$6:$A$15,0)</f>
        <v>0</v>
      </c>
      <c r="O10" s="15">
        <f>_xlfn.XLOOKUP(B10,MPW!C$6:C$15,MPW!B$6:B$15,"")</f>
        <v>5</v>
      </c>
      <c r="P10" s="17">
        <f>_xlfn.XLOOKUP(O10,MPW!B$6:B$15,MPW!A$6:A$15,0)</f>
        <v>1.2</v>
      </c>
    </row>
    <row r="11" spans="1:21" ht="15" customHeight="1">
      <c r="A11" s="8">
        <f>ROW()-5</f>
        <v>6</v>
      </c>
      <c r="B11" s="9" t="s">
        <v>22</v>
      </c>
      <c r="C11" s="14"/>
      <c r="D11" s="90">
        <f>SUM(F11,H11,J11,L11,N11,P11)-MIN(F11,H11,J11,L11,N11)</f>
        <v>48.672166594104631</v>
      </c>
      <c r="E11" s="15" t="str">
        <f>_xlfn.XLOOKUP($B11,'GP1'!$C$6:$C$55,'GP1'!$B$6:$B$55,"")</f>
        <v/>
      </c>
      <c r="F11" s="16">
        <f>_xlfn.XLOOKUP(E11,'GP1'!$B$6:$B$55,'GP1'!$A$6:$A$55,0)</f>
        <v>0</v>
      </c>
      <c r="G11" s="15" t="str">
        <f>_xlfn.XLOOKUP($B11,'GP2'!$C$6:$C$15,'GP2'!$B$6:$B$15,"")</f>
        <v/>
      </c>
      <c r="H11" s="16">
        <f>_xlfn.XLOOKUP(G11,'GP2'!$B$6:$B$15,'GP2'!$A$6:$A$15,0)</f>
        <v>0</v>
      </c>
      <c r="I11" s="15">
        <f>_xlfn.XLOOKUP($B11,'GP3'!$C$6:$C$15,'GP3'!$B$6:$B$15,"")</f>
        <v>3</v>
      </c>
      <c r="J11" s="16">
        <f>_xlfn.XLOOKUP(I11,'GP3'!$B$6:$B$15,'GP3'!$A$6:$A$15,0)</f>
        <v>5.3267487109222245</v>
      </c>
      <c r="K11" s="15">
        <f>_xlfn.XLOOKUP($B11,'GP4'!$C$6:$C$15,'GP4'!$B$6:$B$15,"")</f>
        <v>3</v>
      </c>
      <c r="L11" s="16">
        <f>_xlfn.XLOOKUP(K11,'GP4'!$B$6:$B$15,'GP4'!$A$6:$A$15,0)</f>
        <v>5.3267487109222245</v>
      </c>
      <c r="M11" s="15" t="str">
        <f>_xlfn.XLOOKUP($B11,'GP5'!$C$6:$C$15,'GP5'!$B$6:$B$15,"")</f>
        <v/>
      </c>
      <c r="N11" s="17">
        <f>_xlfn.XLOOKUP(M11,'GP5'!$B$6:$B$15,'GP5'!$A$6:$A$15,0)</f>
        <v>0</v>
      </c>
      <c r="O11" s="15">
        <f>_xlfn.XLOOKUP(B11,MPW!C$6:C$15,MPW!B$6:B$15,"")</f>
        <v>3</v>
      </c>
      <c r="P11" s="17">
        <f>_xlfn.XLOOKUP(O11,MPW!B$6:B$15,MPW!A$6:A$15,0)</f>
        <v>38.018669172260182</v>
      </c>
    </row>
    <row r="12" spans="1:21" ht="15" customHeight="1">
      <c r="A12" s="8">
        <f>ROW()-5</f>
        <v>7</v>
      </c>
      <c r="B12" s="9" t="s">
        <v>20</v>
      </c>
      <c r="C12" s="14"/>
      <c r="D12" s="90">
        <f>SUM(F12,H12,J12,L12,N12,P12)-MIN(F12,H12,J12,L12,N12)</f>
        <v>0</v>
      </c>
      <c r="E12" s="15" t="str">
        <f>_xlfn.XLOOKUP($B12,'GP1'!$C$6:$C$55,'GP1'!$B$6:$B$55,"")</f>
        <v/>
      </c>
      <c r="F12" s="16">
        <f>_xlfn.XLOOKUP(E12,'GP1'!$B$6:$B$55,'GP1'!$A$6:$A$55,0)</f>
        <v>0</v>
      </c>
      <c r="G12" s="15" t="str">
        <f>_xlfn.XLOOKUP($B12,'GP2'!$C$6:$C$15,'GP2'!$B$6:$B$15,"")</f>
        <v/>
      </c>
      <c r="H12" s="16">
        <f>_xlfn.XLOOKUP(G12,'GP2'!$B$6:$B$15,'GP2'!$A$6:$A$15,0)</f>
        <v>0</v>
      </c>
      <c r="I12" s="15" t="str">
        <f>_xlfn.XLOOKUP($B12,'GP3'!$C$6:$C$15,'GP3'!$B$6:$B$15,"")</f>
        <v/>
      </c>
      <c r="J12" s="16">
        <f>_xlfn.XLOOKUP(I12,'GP3'!$B$6:$B$15,'GP3'!$A$6:$A$15,0)</f>
        <v>0</v>
      </c>
      <c r="K12" s="15" t="str">
        <f>_xlfn.XLOOKUP($B12,'GP4'!$C$6:$C$15,'GP4'!$B$6:$B$15,"")</f>
        <v/>
      </c>
      <c r="L12" s="16">
        <f>_xlfn.XLOOKUP(K12,'GP4'!$B$6:$B$15,'GP4'!$A$6:$A$15,0)</f>
        <v>0</v>
      </c>
      <c r="M12" s="15" t="str">
        <f>_xlfn.XLOOKUP($B12,'GP5'!$C$6:$C$15,'GP5'!$B$6:$B$15,"")</f>
        <v/>
      </c>
      <c r="N12" s="17">
        <f>_xlfn.XLOOKUP(M12,'GP5'!$B$6:$B$15,'GP5'!$A$6:$A$15,0)</f>
        <v>0</v>
      </c>
      <c r="O12" s="15" t="str">
        <f>_xlfn.XLOOKUP(B12,MPW!C$6:C$15,MPW!B$6:B$15,"")</f>
        <v/>
      </c>
      <c r="P12" s="17">
        <f>_xlfn.XLOOKUP(O12,MPW!B$6:B$15,MPW!A$6:A$15,0)</f>
        <v>0</v>
      </c>
    </row>
    <row r="13" spans="1:21" ht="15" customHeight="1">
      <c r="A13" s="8">
        <f>ROW()-5</f>
        <v>8</v>
      </c>
      <c r="B13" s="9"/>
      <c r="C13" s="14"/>
      <c r="D13" s="90">
        <f>SUM(F13,H13,J13,L13,N13,P13)-MIN(F13,H13,J13,L13,N13)</f>
        <v>0</v>
      </c>
      <c r="E13" s="15" t="str">
        <f>_xlfn.XLOOKUP($B13,'GP1'!$C$6:$C$55,'GP1'!$B$6:$B$55,"")</f>
        <v/>
      </c>
      <c r="F13" s="16">
        <f>_xlfn.XLOOKUP(E13,'GP1'!$B$6:$B$55,'GP1'!$A$6:$A$55,0)</f>
        <v>0</v>
      </c>
      <c r="G13" s="15">
        <f>_xlfn.XLOOKUP($B13,'GP2'!$C$6:$C$15,'GP2'!$B$6:$B$15,"")</f>
        <v>0</v>
      </c>
      <c r="H13" s="16">
        <f>_xlfn.XLOOKUP(G13,'GP2'!$B$6:$B$15,'GP2'!$A$6:$A$15,0)</f>
        <v>0</v>
      </c>
      <c r="I13" s="15" t="str">
        <f>_xlfn.XLOOKUP($B13,'GP3'!$C$6:$C$15,'GP3'!$B$6:$B$15,"")</f>
        <v/>
      </c>
      <c r="J13" s="16">
        <f>_xlfn.XLOOKUP(I13,'GP3'!$B$6:$B$15,'GP3'!$A$6:$A$15,0)</f>
        <v>0</v>
      </c>
      <c r="K13" s="15" t="str">
        <f>_xlfn.XLOOKUP($B13,'GP4'!$C$6:$C$15,'GP4'!$B$6:$B$15,"")</f>
        <v/>
      </c>
      <c r="L13" s="16">
        <f>_xlfn.XLOOKUP(K13,'GP4'!$B$6:$B$15,'GP4'!$A$6:$A$15,0)</f>
        <v>0</v>
      </c>
      <c r="M13" s="15" t="str">
        <f>_xlfn.XLOOKUP($B13,'GP5'!$C$6:$C$15,'GP5'!$B$6:$B$15,"")</f>
        <v/>
      </c>
      <c r="N13" s="17">
        <f>_xlfn.XLOOKUP(M13,'GP5'!$B$6:$B$15,'GP5'!$A$6:$A$15,0)</f>
        <v>0</v>
      </c>
      <c r="O13" s="15" t="str">
        <f>_xlfn.XLOOKUP(B13,MPW!C$6:C$15,MPW!B$6:B$15,"")</f>
        <v/>
      </c>
      <c r="P13" s="17">
        <f>_xlfn.XLOOKUP(O13,MPW!B$6:B$15,MPW!A$6:A$15,0)</f>
        <v>0</v>
      </c>
    </row>
    <row r="14" spans="1:21" ht="15" customHeight="1">
      <c r="A14" s="8">
        <f>ROW()-5</f>
        <v>9</v>
      </c>
      <c r="B14" s="9"/>
      <c r="C14" s="14"/>
      <c r="D14" s="90">
        <f>SUM(F14,H14,J14,L14,N14,P14)-MIN(F14,H14,J14,L14,N14)</f>
        <v>0</v>
      </c>
      <c r="E14" s="15" t="str">
        <f>_xlfn.XLOOKUP($B14,'GP1'!$C$6:$C$55,'GP1'!$B$6:$B$55,"")</f>
        <v/>
      </c>
      <c r="F14" s="16">
        <f>_xlfn.XLOOKUP(E14,'GP1'!$B$6:$B$55,'GP1'!$A$6:$A$55,0)</f>
        <v>0</v>
      </c>
      <c r="G14" s="15">
        <f>_xlfn.XLOOKUP($B14,'GP2'!$C$6:$C$15,'GP2'!$B$6:$B$15,"")</f>
        <v>0</v>
      </c>
      <c r="H14" s="16">
        <f>_xlfn.XLOOKUP(G14,'GP2'!$B$6:$B$15,'GP2'!$A$6:$A$15,0)</f>
        <v>0</v>
      </c>
      <c r="I14" s="15" t="str">
        <f>_xlfn.XLOOKUP($B14,'GP3'!$C$6:$C$15,'GP3'!$B$6:$B$15,"")</f>
        <v/>
      </c>
      <c r="J14" s="16">
        <f>_xlfn.XLOOKUP(I14,'GP3'!$B$6:$B$15,'GP3'!$A$6:$A$15,0)</f>
        <v>0</v>
      </c>
      <c r="K14" s="15" t="str">
        <f>_xlfn.XLOOKUP($B14,'GP4'!$C$6:$C$15,'GP4'!$B$6:$B$15,"")</f>
        <v/>
      </c>
      <c r="L14" s="16">
        <f>_xlfn.XLOOKUP(K14,'GP4'!$B$6:$B$15,'GP4'!$A$6:$A$15,0)</f>
        <v>0</v>
      </c>
      <c r="M14" s="15" t="str">
        <f>_xlfn.XLOOKUP($B14,'GP5'!$C$6:$C$15,'GP5'!$B$6:$B$15,"")</f>
        <v/>
      </c>
      <c r="N14" s="17">
        <f>_xlfn.XLOOKUP(M14,'GP5'!$B$6:$B$15,'GP5'!$A$6:$A$15,0)</f>
        <v>0</v>
      </c>
      <c r="O14" s="15" t="str">
        <f>_xlfn.XLOOKUP(B14,MPW!C$6:C$15,MPW!B$6:B$15,"")</f>
        <v/>
      </c>
      <c r="P14" s="17">
        <f>_xlfn.XLOOKUP(O14,MPW!B$6:B$15,MPW!A$6:A$15,0)</f>
        <v>0</v>
      </c>
    </row>
    <row r="15" spans="1:21" ht="15" customHeight="1">
      <c r="A15" s="8">
        <f>ROW()-5</f>
        <v>10</v>
      </c>
      <c r="B15" s="9"/>
      <c r="C15" s="14"/>
      <c r="D15" s="90">
        <f>SUM(F15,H15,J15,L15,N15,P15)-MIN(F15,H15,J15,L15,N15)</f>
        <v>0</v>
      </c>
      <c r="E15" s="15" t="str">
        <f>_xlfn.XLOOKUP($B15,'GP1'!$C$6:$C$55,'GP1'!$B$6:$B$55,"")</f>
        <v/>
      </c>
      <c r="F15" s="16">
        <f>_xlfn.XLOOKUP(E15,'GP1'!$B$6:$B$55,'GP1'!$A$6:$A$55,0)</f>
        <v>0</v>
      </c>
      <c r="G15" s="15">
        <f>_xlfn.XLOOKUP($B15,'GP2'!$C$6:$C$15,'GP2'!$B$6:$B$15,"")</f>
        <v>0</v>
      </c>
      <c r="H15" s="16">
        <f>_xlfn.XLOOKUP(G15,'GP2'!$B$6:$B$15,'GP2'!$A$6:$A$15,0)</f>
        <v>0</v>
      </c>
      <c r="I15" s="15" t="str">
        <f>_xlfn.XLOOKUP($B15,'GP3'!$C$6:$C$15,'GP3'!$B$6:$B$15,"")</f>
        <v/>
      </c>
      <c r="J15" s="16">
        <f>_xlfn.XLOOKUP(I15,'GP3'!$B$6:$B$15,'GP3'!$A$6:$A$15,0)</f>
        <v>0</v>
      </c>
      <c r="K15" s="15" t="str">
        <f>_xlfn.XLOOKUP($B15,'GP4'!$C$6:$C$15,'GP4'!$B$6:$B$15,"")</f>
        <v/>
      </c>
      <c r="L15" s="16">
        <f>_xlfn.XLOOKUP(K15,'GP4'!$B$6:$B$15,'GP4'!$A$6:$A$15,0)</f>
        <v>0</v>
      </c>
      <c r="M15" s="15" t="str">
        <f>_xlfn.XLOOKUP($B15,'GP5'!$C$6:$C$15,'GP5'!$B$6:$B$15,"")</f>
        <v/>
      </c>
      <c r="N15" s="17">
        <f>_xlfn.XLOOKUP(M15,'GP5'!$B$6:$B$15,'GP5'!$A$6:$A$15,0)</f>
        <v>0</v>
      </c>
      <c r="O15" s="15" t="str">
        <f>_xlfn.XLOOKUP(B15,MPW!C$6:C$15,MPW!B$6:B$15,"")</f>
        <v/>
      </c>
      <c r="P15" s="17">
        <f>_xlfn.XLOOKUP(O15,MPW!B$6:B$15,MPW!A$6:A$15,0)</f>
        <v>0</v>
      </c>
    </row>
    <row r="16" spans="1:21" ht="15" customHeight="1">
      <c r="A16" s="8">
        <f>ROW()-5</f>
        <v>11</v>
      </c>
      <c r="B16" s="9"/>
      <c r="C16" s="14"/>
      <c r="D16" s="90">
        <f>SUM(F16,H16,J16,L16,N16,P16)-MIN(F16,H16,J16,L16,N16)</f>
        <v>0</v>
      </c>
      <c r="E16" s="15" t="str">
        <f>_xlfn.XLOOKUP($B16,'GP1'!$C$6:$C$55,'GP1'!$B$6:$B$55,"")</f>
        <v/>
      </c>
      <c r="F16" s="16">
        <f>_xlfn.XLOOKUP(E16,'GP1'!$B$6:$B$55,'GP1'!$A$6:$A$55,0)</f>
        <v>0</v>
      </c>
      <c r="G16" s="15">
        <f>_xlfn.XLOOKUP($B16,'GP2'!$C$6:$C$15,'GP2'!$B$6:$B$15,"")</f>
        <v>0</v>
      </c>
      <c r="H16" s="16">
        <f>_xlfn.XLOOKUP(G16,'GP2'!$B$6:$B$15,'GP2'!$A$6:$A$15,0)</f>
        <v>0</v>
      </c>
      <c r="I16" s="15" t="str">
        <f>_xlfn.XLOOKUP($B16,'GP3'!$C$6:$C$15,'GP3'!$B$6:$B$15,"")</f>
        <v/>
      </c>
      <c r="J16" s="16">
        <f>_xlfn.XLOOKUP(I16,'GP3'!$B$6:$B$15,'GP3'!$A$6:$A$15,0)</f>
        <v>0</v>
      </c>
      <c r="K16" s="15" t="str">
        <f>_xlfn.XLOOKUP($B16,'GP4'!$C$6:$C$15,'GP4'!$B$6:$B$15,"")</f>
        <v/>
      </c>
      <c r="L16" s="16">
        <f>_xlfn.XLOOKUP(K16,'GP4'!$B$6:$B$15,'GP4'!$A$6:$A$15,0)</f>
        <v>0</v>
      </c>
      <c r="M16" s="15" t="str">
        <f>_xlfn.XLOOKUP($B16,'GP5'!$C$6:$C$15,'GP5'!$B$6:$B$15,"")</f>
        <v/>
      </c>
      <c r="N16" s="17">
        <f>_xlfn.XLOOKUP(M16,'GP5'!$B$6:$B$15,'GP5'!$A$6:$A$15,0)</f>
        <v>0</v>
      </c>
      <c r="O16" s="15" t="str">
        <f>_xlfn.XLOOKUP(B16,MPW!C$6:C$15,MPW!B$6:B$15,"")</f>
        <v/>
      </c>
      <c r="P16" s="17">
        <f>_xlfn.XLOOKUP(O16,MPW!B$6:B$15,MPW!A$6:A$15,0)</f>
        <v>0</v>
      </c>
    </row>
    <row r="17" spans="1:16" ht="15" customHeight="1">
      <c r="A17" s="8">
        <f>ROW()-5</f>
        <v>12</v>
      </c>
      <c r="B17" s="9"/>
      <c r="C17" s="14"/>
      <c r="D17" s="90">
        <f>SUM(F17,H17,J17,L17,N17,P17)-MIN(F17,H17,J17,L17,N17)</f>
        <v>0</v>
      </c>
      <c r="E17" s="15" t="str">
        <f>_xlfn.XLOOKUP($B17,'GP1'!$C$6:$C$55,'GP1'!$B$6:$B$55,"")</f>
        <v/>
      </c>
      <c r="F17" s="16">
        <f>_xlfn.XLOOKUP(E17,'GP1'!$B$6:$B$55,'GP1'!$A$6:$A$55,0)</f>
        <v>0</v>
      </c>
      <c r="G17" s="15">
        <f>_xlfn.XLOOKUP($B17,'GP2'!$C$6:$C$15,'GP2'!$B$6:$B$15,"")</f>
        <v>0</v>
      </c>
      <c r="H17" s="16">
        <f>_xlfn.XLOOKUP(G17,'GP2'!$B$6:$B$15,'GP2'!$A$6:$A$15,0)</f>
        <v>0</v>
      </c>
      <c r="I17" s="15" t="str">
        <f>_xlfn.XLOOKUP($B17,'GP3'!$C$6:$C$15,'GP3'!$B$6:$B$15,"")</f>
        <v/>
      </c>
      <c r="J17" s="16">
        <f>_xlfn.XLOOKUP(I17,'GP3'!$B$6:$B$15,'GP3'!$A$6:$A$15,0)</f>
        <v>0</v>
      </c>
      <c r="K17" s="15" t="str">
        <f>_xlfn.XLOOKUP($B17,'GP4'!$C$6:$C$15,'GP4'!$B$6:$B$15,"")</f>
        <v/>
      </c>
      <c r="L17" s="16">
        <f>_xlfn.XLOOKUP(K17,'GP4'!$B$6:$B$15,'GP4'!$A$6:$A$15,0)</f>
        <v>0</v>
      </c>
      <c r="M17" s="15" t="str">
        <f>_xlfn.XLOOKUP($B17,'GP5'!$C$6:$C$15,'GP5'!$B$6:$B$15,"")</f>
        <v/>
      </c>
      <c r="N17" s="17">
        <f>_xlfn.XLOOKUP(M17,'GP5'!$B$6:$B$15,'GP5'!$A$6:$A$15,0)</f>
        <v>0</v>
      </c>
      <c r="O17" s="15" t="str">
        <f>_xlfn.XLOOKUP(B17,MPW!C$6:C$15,MPW!B$6:B$15,"")</f>
        <v/>
      </c>
      <c r="P17" s="17">
        <f>_xlfn.XLOOKUP(O17,MPW!B$6:B$15,MPW!A$6:A$15,0)</f>
        <v>0</v>
      </c>
    </row>
    <row r="18" spans="1:16" ht="15" customHeight="1">
      <c r="A18" s="8">
        <f>ROW()-5</f>
        <v>13</v>
      </c>
      <c r="B18" s="9"/>
      <c r="C18" s="14"/>
      <c r="D18" s="90">
        <f>SUM(F18,H18,J18,L18,N18,P18)-MIN(F18,H18,J18,L18,N18)</f>
        <v>0</v>
      </c>
      <c r="E18" s="15" t="str">
        <f>_xlfn.XLOOKUP($B18,'GP1'!$C$6:$C$55,'GP1'!$B$6:$B$55,"")</f>
        <v/>
      </c>
      <c r="F18" s="16">
        <f>_xlfn.XLOOKUP(E18,'GP1'!$B$6:$B$55,'GP1'!$A$6:$A$55,0)</f>
        <v>0</v>
      </c>
      <c r="G18" s="15">
        <f>_xlfn.XLOOKUP($B18,'GP2'!$C$6:$C$15,'GP2'!$B$6:$B$15,"")</f>
        <v>0</v>
      </c>
      <c r="H18" s="16">
        <f>_xlfn.XLOOKUP(G18,'GP2'!$B$6:$B$15,'GP2'!$A$6:$A$15,0)</f>
        <v>0</v>
      </c>
      <c r="I18" s="15" t="str">
        <f>_xlfn.XLOOKUP($B18,'GP3'!$C$6:$C$15,'GP3'!$B$6:$B$15,"")</f>
        <v/>
      </c>
      <c r="J18" s="16">
        <f>_xlfn.XLOOKUP(I18,'GP3'!$B$6:$B$15,'GP3'!$A$6:$A$15,0)</f>
        <v>0</v>
      </c>
      <c r="K18" s="15" t="str">
        <f>_xlfn.XLOOKUP($B18,'GP4'!$C$6:$C$15,'GP4'!$B$6:$B$15,"")</f>
        <v/>
      </c>
      <c r="L18" s="16">
        <f>_xlfn.XLOOKUP(K18,'GP4'!$B$6:$B$15,'GP4'!$A$6:$A$15,0)</f>
        <v>0</v>
      </c>
      <c r="M18" s="15" t="str">
        <f>_xlfn.XLOOKUP($B18,'GP5'!$C$6:$C$15,'GP5'!$B$6:$B$15,"")</f>
        <v/>
      </c>
      <c r="N18" s="17">
        <f>_xlfn.XLOOKUP(M18,'GP5'!$B$6:$B$15,'GP5'!$A$6:$A$15,0)</f>
        <v>0</v>
      </c>
      <c r="O18" s="15" t="str">
        <f>_xlfn.XLOOKUP(B18,MPW!C$6:C$15,MPW!B$6:B$15,"")</f>
        <v/>
      </c>
      <c r="P18" s="17">
        <f>_xlfn.XLOOKUP(O18,MPW!B$6:B$15,MPW!A$6:A$15,0)</f>
        <v>0</v>
      </c>
    </row>
    <row r="19" spans="1:16" ht="15" customHeight="1">
      <c r="A19" s="8">
        <f>ROW()-5</f>
        <v>14</v>
      </c>
      <c r="B19" s="9"/>
      <c r="C19" s="14"/>
      <c r="D19" s="90">
        <f>SUM(F19,H19,J19,L19,N19,P19)-MIN(F19,H19,J19,L19,N19)</f>
        <v>0</v>
      </c>
      <c r="E19" s="15" t="str">
        <f>_xlfn.XLOOKUP($B19,'GP1'!$C$6:$C$55,'GP1'!$B$6:$B$55,"")</f>
        <v/>
      </c>
      <c r="F19" s="16">
        <f>_xlfn.XLOOKUP(E19,'GP1'!$B$6:$B$55,'GP1'!$A$6:$A$55,0)</f>
        <v>0</v>
      </c>
      <c r="G19" s="15">
        <f>_xlfn.XLOOKUP($B19,'GP2'!$C$6:$C$15,'GP2'!$B$6:$B$15,"")</f>
        <v>0</v>
      </c>
      <c r="H19" s="16">
        <f>_xlfn.XLOOKUP(G19,'GP2'!$B$6:$B$15,'GP2'!$A$6:$A$15,0)</f>
        <v>0</v>
      </c>
      <c r="I19" s="15" t="str">
        <f>_xlfn.XLOOKUP($B19,'GP3'!$C$6:$C$15,'GP3'!$B$6:$B$15,"")</f>
        <v/>
      </c>
      <c r="J19" s="16">
        <f>_xlfn.XLOOKUP(I19,'GP3'!$B$6:$B$15,'GP3'!$A$6:$A$15,0)</f>
        <v>0</v>
      </c>
      <c r="K19" s="15" t="str">
        <f>_xlfn.XLOOKUP($B19,'GP4'!$C$6:$C$15,'GP4'!$B$6:$B$15,"")</f>
        <v/>
      </c>
      <c r="L19" s="16">
        <f>_xlfn.XLOOKUP(K19,'GP4'!$B$6:$B$15,'GP4'!$A$6:$A$15,0)</f>
        <v>0</v>
      </c>
      <c r="M19" s="15" t="str">
        <f>_xlfn.XLOOKUP($B19,'GP5'!$C$6:$C$15,'GP5'!$B$6:$B$15,"")</f>
        <v/>
      </c>
      <c r="N19" s="17">
        <f>_xlfn.XLOOKUP(M19,'GP5'!$B$6:$B$15,'GP5'!$A$6:$A$15,0)</f>
        <v>0</v>
      </c>
      <c r="O19" s="15" t="str">
        <f>_xlfn.XLOOKUP(B19,MPW!C$6:C$15,MPW!B$6:B$15,"")</f>
        <v/>
      </c>
      <c r="P19" s="17">
        <f>_xlfn.XLOOKUP(O19,MPW!B$6:B$15,MPW!A$6:A$15,0)</f>
        <v>0</v>
      </c>
    </row>
    <row r="20" spans="1:16" ht="15" customHeight="1">
      <c r="A20" s="8">
        <f>ROW()-5</f>
        <v>15</v>
      </c>
      <c r="B20" s="9"/>
      <c r="C20" s="14"/>
      <c r="D20" s="90">
        <f>SUM(F20,H20,J20,L20,N20,P20)-MIN(F20,H20,J20,L20,N20)</f>
        <v>0</v>
      </c>
      <c r="E20" s="15" t="str">
        <f>_xlfn.XLOOKUP($B20,'GP1'!$C$6:$C$55,'GP1'!$B$6:$B$55,"")</f>
        <v/>
      </c>
      <c r="F20" s="16">
        <f>_xlfn.XLOOKUP(E20,'GP1'!$B$6:$B$55,'GP1'!$A$6:$A$55,0)</f>
        <v>0</v>
      </c>
      <c r="G20" s="15">
        <f>_xlfn.XLOOKUP($B20,'GP2'!$C$6:$C$15,'GP2'!$B$6:$B$15,"")</f>
        <v>0</v>
      </c>
      <c r="H20" s="16">
        <f>_xlfn.XLOOKUP(G20,'GP2'!$B$6:$B$15,'GP2'!$A$6:$A$15,0)</f>
        <v>0</v>
      </c>
      <c r="I20" s="15" t="str">
        <f>_xlfn.XLOOKUP($B20,'GP3'!$C$6:$C$15,'GP3'!$B$6:$B$15,"")</f>
        <v/>
      </c>
      <c r="J20" s="16">
        <f>_xlfn.XLOOKUP(I20,'GP3'!$B$6:$B$15,'GP3'!$A$6:$A$15,0)</f>
        <v>0</v>
      </c>
      <c r="K20" s="15" t="str">
        <f>_xlfn.XLOOKUP($B20,'GP4'!$C$6:$C$15,'GP4'!$B$6:$B$15,"")</f>
        <v/>
      </c>
      <c r="L20" s="16">
        <f>_xlfn.XLOOKUP(K20,'GP4'!$B$6:$B$15,'GP4'!$A$6:$A$15,0)</f>
        <v>0</v>
      </c>
      <c r="M20" s="15" t="str">
        <f>_xlfn.XLOOKUP($B20,'GP5'!$C$6:$C$15,'GP5'!$B$6:$B$15,"")</f>
        <v/>
      </c>
      <c r="N20" s="17">
        <f>_xlfn.XLOOKUP(M20,'GP5'!$B$6:$B$15,'GP5'!$A$6:$A$15,0)</f>
        <v>0</v>
      </c>
      <c r="O20" s="15" t="str">
        <f>_xlfn.XLOOKUP(B20,MPW!C$6:C$15,MPW!B$6:B$15,"")</f>
        <v/>
      </c>
      <c r="P20" s="17">
        <f>_xlfn.XLOOKUP(O20,MPW!B$6:B$15,MPW!A$6:A$15,0)</f>
        <v>0</v>
      </c>
    </row>
    <row r="21" spans="1:16" ht="15" customHeight="1">
      <c r="A21" s="8">
        <f>ROW()-5</f>
        <v>16</v>
      </c>
      <c r="B21" s="9"/>
      <c r="C21" s="14"/>
      <c r="D21" s="90">
        <f>SUM(F21,H21,J21,L21,N21,P21)-MIN(F21,H21,J21,L21,N21)</f>
        <v>0</v>
      </c>
      <c r="E21" s="15" t="str">
        <f>_xlfn.XLOOKUP($B21,'GP1'!$C$6:$C$55,'GP1'!$B$6:$B$55,"")</f>
        <v/>
      </c>
      <c r="F21" s="16">
        <f>_xlfn.XLOOKUP(E21,'GP1'!$B$6:$B$55,'GP1'!$A$6:$A$55,0)</f>
        <v>0</v>
      </c>
      <c r="G21" s="15">
        <f>_xlfn.XLOOKUP($B21,'GP2'!$C$6:$C$15,'GP2'!$B$6:$B$15,"")</f>
        <v>0</v>
      </c>
      <c r="H21" s="16">
        <f>_xlfn.XLOOKUP(G21,'GP2'!$B$6:$B$15,'GP2'!$A$6:$A$15,0)</f>
        <v>0</v>
      </c>
      <c r="I21" s="15" t="str">
        <f>_xlfn.XLOOKUP($B21,'GP3'!$C$6:$C$15,'GP3'!$B$6:$B$15,"")</f>
        <v/>
      </c>
      <c r="J21" s="16">
        <f>_xlfn.XLOOKUP(I21,'GP3'!$B$6:$B$15,'GP3'!$A$6:$A$15,0)</f>
        <v>0</v>
      </c>
      <c r="K21" s="15" t="str">
        <f>_xlfn.XLOOKUP($B21,'GP4'!$C$6:$C$15,'GP4'!$B$6:$B$15,"")</f>
        <v/>
      </c>
      <c r="L21" s="16">
        <f>_xlfn.XLOOKUP(K21,'GP4'!$B$6:$B$15,'GP4'!$A$6:$A$15,0)</f>
        <v>0</v>
      </c>
      <c r="M21" s="15" t="str">
        <f>_xlfn.XLOOKUP($B21,'GP5'!$C$6:$C$15,'GP5'!$B$6:$B$15,"")</f>
        <v/>
      </c>
      <c r="N21" s="17">
        <f>_xlfn.XLOOKUP(M21,'GP5'!$B$6:$B$15,'GP5'!$A$6:$A$15,0)</f>
        <v>0</v>
      </c>
      <c r="O21" s="15" t="str">
        <f>_xlfn.XLOOKUP(B21,MPW!C$6:C$15,MPW!B$6:B$15,"")</f>
        <v/>
      </c>
      <c r="P21" s="17">
        <f>_xlfn.XLOOKUP(O21,MPW!B$6:B$15,MPW!A$6:A$15,0)</f>
        <v>0</v>
      </c>
    </row>
    <row r="22" spans="1:16" ht="15" customHeight="1">
      <c r="A22" s="8">
        <f>ROW()-5</f>
        <v>17</v>
      </c>
      <c r="B22" s="9"/>
      <c r="C22" s="14"/>
      <c r="D22" s="90">
        <f>SUM(F22,H22,J22,L22,N22,P22)-MIN(F22,H22,J22,L22,N22)</f>
        <v>0</v>
      </c>
      <c r="E22" s="15" t="str">
        <f>_xlfn.XLOOKUP($B22,'GP1'!$C$6:$C$55,'GP1'!$B$6:$B$55,"")</f>
        <v/>
      </c>
      <c r="F22" s="16">
        <f>_xlfn.XLOOKUP(E22,'GP1'!$B$6:$B$55,'GP1'!$A$6:$A$55,0)</f>
        <v>0</v>
      </c>
      <c r="G22" s="15">
        <f>_xlfn.XLOOKUP($B22,'GP2'!$C$6:$C$15,'GP2'!$B$6:$B$15,"")</f>
        <v>0</v>
      </c>
      <c r="H22" s="16">
        <f>_xlfn.XLOOKUP(G22,'GP2'!$B$6:$B$15,'GP2'!$A$6:$A$15,0)</f>
        <v>0</v>
      </c>
      <c r="I22" s="15" t="str">
        <f>_xlfn.XLOOKUP($B22,'GP3'!$C$6:$C$15,'GP3'!$B$6:$B$15,"")</f>
        <v/>
      </c>
      <c r="J22" s="16">
        <f>_xlfn.XLOOKUP(I22,'GP3'!$B$6:$B$15,'GP3'!$A$6:$A$15,0)</f>
        <v>0</v>
      </c>
      <c r="K22" s="15" t="str">
        <f>_xlfn.XLOOKUP($B22,'GP4'!$C$6:$C$15,'GP4'!$B$6:$B$15,"")</f>
        <v/>
      </c>
      <c r="L22" s="16">
        <f>_xlfn.XLOOKUP(K22,'GP4'!$B$6:$B$15,'GP4'!$A$6:$A$15,0)</f>
        <v>0</v>
      </c>
      <c r="M22" s="15" t="str">
        <f>_xlfn.XLOOKUP($B22,'GP5'!$C$6:$C$15,'GP5'!$B$6:$B$15,"")</f>
        <v/>
      </c>
      <c r="N22" s="17">
        <f>_xlfn.XLOOKUP(M22,'GP5'!$B$6:$B$15,'GP5'!$A$6:$A$15,0)</f>
        <v>0</v>
      </c>
      <c r="O22" s="15" t="str">
        <f>_xlfn.XLOOKUP(B22,MPW!C$6:C$15,MPW!B$6:B$15,"")</f>
        <v/>
      </c>
      <c r="P22" s="17">
        <f>_xlfn.XLOOKUP(O22,MPW!B$6:B$15,MPW!A$6:A$15,0)</f>
        <v>0</v>
      </c>
    </row>
    <row r="23" spans="1:16" ht="15" customHeight="1">
      <c r="A23" s="8">
        <f>ROW()-5</f>
        <v>18</v>
      </c>
      <c r="B23" s="9"/>
      <c r="C23" s="14"/>
      <c r="D23" s="90">
        <f>SUM(F23,H23,J23,L23,N23,P23)-MIN(F23,H23,J23,L23,N23)</f>
        <v>0</v>
      </c>
      <c r="E23" s="15" t="str">
        <f>_xlfn.XLOOKUP($B23,'GP1'!$C$6:$C$55,'GP1'!$B$6:$B$55,"")</f>
        <v/>
      </c>
      <c r="F23" s="16">
        <f>_xlfn.XLOOKUP(E23,'GP1'!$B$6:$B$55,'GP1'!$A$6:$A$55,0)</f>
        <v>0</v>
      </c>
      <c r="G23" s="15">
        <f>_xlfn.XLOOKUP($B23,'GP2'!$C$6:$C$15,'GP2'!$B$6:$B$15,"")</f>
        <v>0</v>
      </c>
      <c r="H23" s="16">
        <f>_xlfn.XLOOKUP(G23,'GP2'!$B$6:$B$15,'GP2'!$A$6:$A$15,0)</f>
        <v>0</v>
      </c>
      <c r="I23" s="15" t="str">
        <f>_xlfn.XLOOKUP($B23,'GP3'!$C$6:$C$15,'GP3'!$B$6:$B$15,"")</f>
        <v/>
      </c>
      <c r="J23" s="16">
        <f>_xlfn.XLOOKUP(I23,'GP3'!$B$6:$B$15,'GP3'!$A$6:$A$15,0)</f>
        <v>0</v>
      </c>
      <c r="K23" s="15" t="str">
        <f>_xlfn.XLOOKUP($B23,'GP4'!$C$6:$C$15,'GP4'!$B$6:$B$15,"")</f>
        <v/>
      </c>
      <c r="L23" s="16">
        <f>_xlfn.XLOOKUP(K23,'GP4'!$B$6:$B$15,'GP4'!$A$6:$A$15,0)</f>
        <v>0</v>
      </c>
      <c r="M23" s="15" t="str">
        <f>_xlfn.XLOOKUP($B23,'GP5'!$C$6:$C$15,'GP5'!$B$6:$B$15,"")</f>
        <v/>
      </c>
      <c r="N23" s="17">
        <f>_xlfn.XLOOKUP(M23,'GP5'!$B$6:$B$15,'GP5'!$A$6:$A$15,0)</f>
        <v>0</v>
      </c>
      <c r="O23" s="15" t="str">
        <f>_xlfn.XLOOKUP(B23,MPW!C$6:C$15,MPW!B$6:B$15,"")</f>
        <v/>
      </c>
      <c r="P23" s="17">
        <f>_xlfn.XLOOKUP(O23,MPW!B$6:B$15,MPW!A$6:A$15,0)</f>
        <v>0</v>
      </c>
    </row>
    <row r="24" spans="1:16" ht="1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1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12CF2D59-0075-46B7-A054-90895AE3E19F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57F6-8EA8-4599-849D-723DDC323430}">
  <sheetPr>
    <tabColor rgb="FF92D050"/>
  </sheetPr>
  <dimension ref="A1:AL343"/>
  <sheetViews>
    <sheetView workbookViewId="0">
      <selection activeCell="C2" sqref="C2:D2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4" width="13.85546875" style="19" customWidth="1"/>
    <col min="15" max="15" width="13.85546875" style="156" customWidth="1"/>
    <col min="16" max="17" width="8.85546875" style="156" bestFit="1"/>
    <col min="18" max="18" width="7.42578125" style="157" bestFit="1" customWidth="1"/>
    <col min="19" max="19" width="8.85546875" style="158" bestFit="1"/>
    <col min="20" max="20" width="9.42578125" style="158" bestFit="1" customWidth="1"/>
    <col min="21" max="21" width="12.140625" style="159" customWidth="1"/>
    <col min="22" max="22" width="5.42578125" style="159" bestFit="1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  <c r="O1" s="146" t="s">
        <v>27</v>
      </c>
      <c r="P1" s="147"/>
      <c r="Q1" s="147"/>
      <c r="R1" s="148"/>
      <c r="S1" s="146"/>
      <c r="T1" s="146" t="s">
        <v>26</v>
      </c>
      <c r="U1" s="149"/>
      <c r="V1" s="149"/>
    </row>
    <row r="2" spans="1:36">
      <c r="A2" s="19"/>
      <c r="B2" s="25" t="s">
        <v>28</v>
      </c>
      <c r="C2" s="179" t="s">
        <v>29</v>
      </c>
      <c r="D2" s="179"/>
      <c r="E2" s="26"/>
      <c r="F2" s="26"/>
      <c r="G2" s="26"/>
      <c r="H2" s="27">
        <v>1</v>
      </c>
      <c r="I2" s="28">
        <v>50</v>
      </c>
      <c r="J2" s="28">
        <v>10</v>
      </c>
      <c r="K2" s="71">
        <f>3*H2^(1/3)</f>
        <v>3</v>
      </c>
      <c r="L2" s="23"/>
      <c r="M2" s="23"/>
      <c r="O2" s="149">
        <v>5</v>
      </c>
      <c r="P2" s="147"/>
      <c r="Q2" s="147"/>
      <c r="R2" s="148"/>
      <c r="S2" s="149"/>
      <c r="T2" s="150">
        <f>3*O2^(1/3)</f>
        <v>5.1299278400300903</v>
      </c>
      <c r="U2" s="149"/>
      <c r="V2" s="149"/>
    </row>
    <row r="3" spans="1:36">
      <c r="A3" s="19"/>
      <c r="B3" s="30" t="s">
        <v>30</v>
      </c>
      <c r="C3" s="180">
        <v>44941</v>
      </c>
      <c r="D3" s="180"/>
      <c r="E3" s="31"/>
      <c r="F3" s="31"/>
      <c r="G3" s="31"/>
      <c r="H3" s="23"/>
      <c r="I3" s="23"/>
      <c r="J3" s="32"/>
      <c r="K3" s="23"/>
      <c r="L3" s="23"/>
      <c r="M3" s="23"/>
      <c r="O3" s="149"/>
      <c r="P3" s="149"/>
      <c r="Q3" s="149"/>
      <c r="R3" s="149"/>
      <c r="S3" s="149"/>
      <c r="T3" s="149"/>
      <c r="U3" s="149"/>
      <c r="V3" s="149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O4" s="181" t="s">
        <v>31</v>
      </c>
      <c r="P4" s="181"/>
      <c r="Q4" s="181"/>
      <c r="R4" s="181"/>
      <c r="S4" s="181"/>
      <c r="T4" s="181"/>
      <c r="U4" s="181"/>
      <c r="V4" s="181"/>
    </row>
    <row r="5" spans="1:36" ht="72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  <c r="O5" s="151" t="s">
        <v>38</v>
      </c>
      <c r="P5" s="151" t="s">
        <v>44</v>
      </c>
      <c r="Q5" s="151"/>
      <c r="R5" s="151" t="s">
        <v>39</v>
      </c>
      <c r="S5" s="151" t="s">
        <v>40</v>
      </c>
      <c r="T5" s="151" t="s">
        <v>41</v>
      </c>
      <c r="U5" s="151" t="s">
        <v>42</v>
      </c>
      <c r="V5" s="151" t="s">
        <v>43</v>
      </c>
    </row>
    <row r="6" spans="1:36" ht="14.45" customHeight="1">
      <c r="A6" s="38">
        <f>M6</f>
        <v>69</v>
      </c>
      <c r="B6" s="39">
        <f>IF(H6&gt;$H$2,"",(ROW()-5))</f>
        <v>1</v>
      </c>
      <c r="C6" s="40" t="s">
        <v>17</v>
      </c>
      <c r="D6" s="40"/>
      <c r="E6" s="40"/>
      <c r="F6" s="40" t="s">
        <v>45</v>
      </c>
      <c r="G6" s="33"/>
      <c r="H6" s="41">
        <v>1</v>
      </c>
      <c r="I6" s="42">
        <f>IF(H2=1,50,IF(H6&lt;$H$2+1,($I$2-($I$2-1)*(LOG(H6)/LOG($H$2))),""))</f>
        <v>50</v>
      </c>
      <c r="J6" s="41">
        <v>1</v>
      </c>
      <c r="K6" s="41">
        <f t="shared" ref="K6:K69" si="0">J6*$J$2</f>
        <v>10</v>
      </c>
      <c r="L6" s="43">
        <f>3*K2</f>
        <v>9</v>
      </c>
      <c r="M6" s="43">
        <f t="shared" ref="M6:M69" si="1">IF(I6&lt;&gt;"",K6+I6+L6,0)</f>
        <v>69</v>
      </c>
      <c r="O6" s="149">
        <v>1</v>
      </c>
      <c r="P6" s="146" t="s">
        <v>46</v>
      </c>
      <c r="Q6" s="149"/>
      <c r="R6" s="150">
        <f>IF(O2=1,50,IF(O6&lt;$O$2+1,($I$2-($I$2-1)*(LOG(O6)/LOG($O$2))),""))</f>
        <v>50</v>
      </c>
      <c r="S6" s="149">
        <f t="shared" ref="S6:S69" si="2">INT(LOG($O$2,2))-ROUNDUP(LOG(O6,2),0)+IF(OR($O$2=1,$O$2=2,$O$2=4,$O$2=8,$O$2=16,$O$2=32,$O$2=64,$O$2=128,$O$2=256),0,1)</f>
        <v>3</v>
      </c>
      <c r="T6" s="149">
        <f t="shared" ref="T6:T69" si="3">S6*$J$2</f>
        <v>30</v>
      </c>
      <c r="U6" s="150">
        <f>3*T2</f>
        <v>15.389783520090271</v>
      </c>
      <c r="V6" s="150">
        <f t="shared" ref="V6:V69" si="4">IF(R6&lt;&gt;"",T6+R6+U6,0)</f>
        <v>95.389783520090276</v>
      </c>
    </row>
    <row r="7" spans="1:36" ht="14.45" customHeight="1">
      <c r="A7" s="44">
        <f t="shared" ref="A7:A37" si="5">M7</f>
        <v>0</v>
      </c>
      <c r="B7" s="45" t="str">
        <f t="shared" ref="B7:B65" si="6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ref="I7:I69" si="7">IF(H7&lt;$H$2+1,($I$2-($I$2-1)*(LOG(H7)/LOG($H$2))),"")</f>
        <v/>
      </c>
      <c r="J7" s="47">
        <f t="shared" ref="J7:J70" si="8">INT(LOG($H$2,2))-ROUNDUP(LOG(H7,2),0)+IF(OR($H$2=1,$H$2=2,$H$2=4,$H$2=8,$H$2=16,$H$2=32,$H$2=64,$H$2=128,$H$2=256),0,1)</f>
        <v>-1</v>
      </c>
      <c r="K7" s="47">
        <f t="shared" si="0"/>
        <v>-10</v>
      </c>
      <c r="L7" s="49">
        <f>2*K2</f>
        <v>6</v>
      </c>
      <c r="M7" s="49">
        <f t="shared" si="1"/>
        <v>0</v>
      </c>
      <c r="O7" s="149">
        <v>2</v>
      </c>
      <c r="P7" s="146" t="s">
        <v>47</v>
      </c>
      <c r="Q7" s="149"/>
      <c r="R7" s="150">
        <f t="shared" ref="R7:R14" si="9">IF(O7&lt;$O$2+1,($I$2-($I$2-1)*(LOG(O7)/LOG($O$2))),"")</f>
        <v>28.896848654403744</v>
      </c>
      <c r="S7" s="149">
        <f t="shared" si="2"/>
        <v>2</v>
      </c>
      <c r="T7" s="149">
        <f t="shared" si="3"/>
        <v>20</v>
      </c>
      <c r="U7" s="150">
        <f>2*T2</f>
        <v>10.259855680060181</v>
      </c>
      <c r="V7" s="150">
        <f t="shared" si="4"/>
        <v>59.156704334463925</v>
      </c>
    </row>
    <row r="8" spans="1:36" ht="14.45" customHeight="1">
      <c r="A8" s="38">
        <f t="shared" si="5"/>
        <v>0</v>
      </c>
      <c r="B8" s="39" t="str">
        <f t="shared" si="6"/>
        <v/>
      </c>
      <c r="C8" s="40"/>
      <c r="D8" s="40"/>
      <c r="E8" s="40"/>
      <c r="F8" s="40"/>
      <c r="G8" s="33"/>
      <c r="H8" s="41">
        <v>3</v>
      </c>
      <c r="I8" s="42" t="str">
        <f t="shared" si="7"/>
        <v/>
      </c>
      <c r="J8" s="41">
        <f t="shared" si="8"/>
        <v>-2</v>
      </c>
      <c r="K8" s="41">
        <f t="shared" si="0"/>
        <v>-20</v>
      </c>
      <c r="L8" s="43">
        <f>K2</f>
        <v>3</v>
      </c>
      <c r="M8" s="43">
        <f t="shared" si="1"/>
        <v>0</v>
      </c>
      <c r="O8" s="149">
        <v>3</v>
      </c>
      <c r="P8" s="153" t="s">
        <v>17</v>
      </c>
      <c r="Q8" s="149"/>
      <c r="R8" s="150">
        <f t="shared" si="9"/>
        <v>16.552296470186725</v>
      </c>
      <c r="S8" s="149">
        <f t="shared" si="2"/>
        <v>1</v>
      </c>
      <c r="T8" s="149">
        <f t="shared" si="3"/>
        <v>10</v>
      </c>
      <c r="U8" s="150">
        <f>T2</f>
        <v>5.1299278400300903</v>
      </c>
      <c r="V8" s="150">
        <f t="shared" si="4"/>
        <v>31.682224310216817</v>
      </c>
    </row>
    <row r="9" spans="1:36" ht="14.45" customHeight="1">
      <c r="A9" s="44">
        <v>0</v>
      </c>
      <c r="B9" s="160" t="s">
        <v>48</v>
      </c>
      <c r="C9" s="77"/>
      <c r="D9" s="46"/>
      <c r="E9" s="46"/>
      <c r="F9" s="46"/>
      <c r="G9" s="33"/>
      <c r="H9" s="47">
        <v>4</v>
      </c>
      <c r="I9" s="48" t="str">
        <f t="shared" si="7"/>
        <v/>
      </c>
      <c r="J9" s="47">
        <f t="shared" si="8"/>
        <v>-2</v>
      </c>
      <c r="K9" s="47">
        <f t="shared" si="0"/>
        <v>-20</v>
      </c>
      <c r="L9" s="49"/>
      <c r="M9" s="49">
        <f t="shared" si="1"/>
        <v>0</v>
      </c>
      <c r="O9" s="149">
        <v>4</v>
      </c>
      <c r="P9" s="146" t="s">
        <v>49</v>
      </c>
      <c r="Q9" s="149"/>
      <c r="R9" s="150">
        <f t="shared" si="9"/>
        <v>7.7936973088074879</v>
      </c>
      <c r="S9" s="149">
        <f t="shared" si="2"/>
        <v>1</v>
      </c>
      <c r="T9" s="149">
        <f t="shared" si="3"/>
        <v>10</v>
      </c>
      <c r="U9" s="150"/>
      <c r="V9" s="150">
        <f t="shared" si="4"/>
        <v>17.793697308807488</v>
      </c>
      <c r="Z9" s="51"/>
      <c r="AA9" s="51"/>
      <c r="AG9" s="52"/>
      <c r="AH9" s="24" t="s">
        <v>50</v>
      </c>
      <c r="AI9" s="24">
        <v>23</v>
      </c>
    </row>
    <row r="10" spans="1:36" ht="14.45" customHeight="1">
      <c r="A10" s="38">
        <f t="shared" si="5"/>
        <v>0</v>
      </c>
      <c r="B10" s="39" t="str">
        <f t="shared" si="6"/>
        <v/>
      </c>
      <c r="C10" s="40"/>
      <c r="D10" s="40"/>
      <c r="E10" s="40"/>
      <c r="F10" s="40"/>
      <c r="G10" s="33"/>
      <c r="H10" s="41">
        <v>5</v>
      </c>
      <c r="I10" s="42" t="str">
        <f t="shared" si="7"/>
        <v/>
      </c>
      <c r="J10" s="41">
        <f t="shared" si="8"/>
        <v>-3</v>
      </c>
      <c r="K10" s="41">
        <f t="shared" si="0"/>
        <v>-30</v>
      </c>
      <c r="L10" s="41"/>
      <c r="M10" s="43">
        <f t="shared" si="1"/>
        <v>0</v>
      </c>
      <c r="O10" s="149">
        <v>5</v>
      </c>
      <c r="P10" s="146" t="s">
        <v>51</v>
      </c>
      <c r="Q10" s="149"/>
      <c r="R10" s="150">
        <f t="shared" si="9"/>
        <v>1</v>
      </c>
      <c r="S10" s="149">
        <f t="shared" si="2"/>
        <v>0</v>
      </c>
      <c r="T10" s="149">
        <f t="shared" si="3"/>
        <v>0</v>
      </c>
      <c r="U10" s="150"/>
      <c r="V10" s="150">
        <f t="shared" si="4"/>
        <v>1</v>
      </c>
      <c r="Z10" s="51"/>
      <c r="AA10" s="51"/>
      <c r="AG10" s="52"/>
      <c r="AH10" s="24" t="s">
        <v>52</v>
      </c>
      <c r="AI10" s="24">
        <v>45</v>
      </c>
    </row>
    <row r="11" spans="1:36" ht="14.45" customHeight="1">
      <c r="A11" s="44">
        <f t="shared" si="5"/>
        <v>0</v>
      </c>
      <c r="B11" s="45" t="str">
        <f t="shared" si="6"/>
        <v/>
      </c>
      <c r="C11" s="46"/>
      <c r="D11" s="46"/>
      <c r="E11" s="46"/>
      <c r="F11" s="46"/>
      <c r="G11" s="33"/>
      <c r="H11" s="47">
        <v>6</v>
      </c>
      <c r="I11" s="48" t="str">
        <f t="shared" si="7"/>
        <v/>
      </c>
      <c r="J11" s="47">
        <f t="shared" si="8"/>
        <v>-3</v>
      </c>
      <c r="K11" s="47">
        <f t="shared" si="0"/>
        <v>-30</v>
      </c>
      <c r="L11" s="47"/>
      <c r="M11" s="49">
        <f t="shared" si="1"/>
        <v>0</v>
      </c>
      <c r="O11" s="149">
        <v>6</v>
      </c>
      <c r="P11" s="149"/>
      <c r="Q11" s="149"/>
      <c r="R11" s="150" t="str">
        <f t="shared" si="9"/>
        <v/>
      </c>
      <c r="S11" s="152">
        <f t="shared" si="2"/>
        <v>0</v>
      </c>
      <c r="T11" s="152">
        <f t="shared" si="3"/>
        <v>0</v>
      </c>
      <c r="U11" s="150"/>
      <c r="V11" s="150">
        <f t="shared" si="4"/>
        <v>0</v>
      </c>
      <c r="Z11" s="51"/>
      <c r="AA11" s="51"/>
      <c r="AG11" s="52"/>
      <c r="AH11" s="24" t="s">
        <v>53</v>
      </c>
      <c r="AI11" s="24">
        <v>50</v>
      </c>
    </row>
    <row r="12" spans="1:36" ht="14.45" customHeight="1">
      <c r="A12" s="38">
        <f t="shared" si="5"/>
        <v>0</v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7"/>
        <v/>
      </c>
      <c r="J12" s="41">
        <f t="shared" si="8"/>
        <v>-3</v>
      </c>
      <c r="K12" s="41">
        <f t="shared" si="0"/>
        <v>-30</v>
      </c>
      <c r="L12" s="41"/>
      <c r="M12" s="43">
        <f t="shared" si="1"/>
        <v>0</v>
      </c>
      <c r="O12" s="149">
        <v>7</v>
      </c>
      <c r="P12" s="149"/>
      <c r="Q12" s="149"/>
      <c r="R12" s="150" t="str">
        <f t="shared" si="9"/>
        <v/>
      </c>
      <c r="S12" s="152">
        <f t="shared" si="2"/>
        <v>0</v>
      </c>
      <c r="T12" s="152">
        <f t="shared" si="3"/>
        <v>0</v>
      </c>
      <c r="U12" s="150"/>
      <c r="V12" s="150">
        <f t="shared" si="4"/>
        <v>0</v>
      </c>
      <c r="Z12" s="51"/>
      <c r="AA12" s="51"/>
      <c r="AG12" s="52"/>
      <c r="AH12" s="24" t="s">
        <v>54</v>
      </c>
      <c r="AI12" s="24">
        <f>AI11-1</f>
        <v>49</v>
      </c>
    </row>
    <row r="13" spans="1:36" ht="14.45" customHeight="1">
      <c r="A13" s="54">
        <f t="shared" si="5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7"/>
        <v/>
      </c>
      <c r="J13" s="47">
        <f t="shared" si="8"/>
        <v>-3</v>
      </c>
      <c r="K13" s="47">
        <f t="shared" si="0"/>
        <v>-30</v>
      </c>
      <c r="L13" s="47"/>
      <c r="M13" s="49">
        <f t="shared" si="1"/>
        <v>0</v>
      </c>
      <c r="O13" s="149">
        <v>8</v>
      </c>
      <c r="P13" s="149"/>
      <c r="Q13" s="149"/>
      <c r="R13" s="150" t="str">
        <f t="shared" si="9"/>
        <v/>
      </c>
      <c r="S13" s="152">
        <f t="shared" si="2"/>
        <v>0</v>
      </c>
      <c r="T13" s="152">
        <f t="shared" si="3"/>
        <v>0</v>
      </c>
      <c r="U13" s="150"/>
      <c r="V13" s="150">
        <f t="shared" si="4"/>
        <v>0</v>
      </c>
      <c r="X13" s="50"/>
      <c r="AG13" s="52"/>
      <c r="AH13" s="24" t="s">
        <v>55</v>
      </c>
      <c r="AI13" s="24">
        <f>LOG(AI9)</f>
        <v>1.3617278360175928</v>
      </c>
    </row>
    <row r="14" spans="1:36">
      <c r="A14" s="55">
        <f t="shared" si="5"/>
        <v>0</v>
      </c>
      <c r="B14" s="39" t="str">
        <f t="shared" si="6"/>
        <v/>
      </c>
      <c r="C14" s="40"/>
      <c r="D14" s="40"/>
      <c r="E14" s="40"/>
      <c r="F14" s="40"/>
      <c r="G14" s="33"/>
      <c r="H14" s="41">
        <v>9</v>
      </c>
      <c r="I14" s="42" t="str">
        <f t="shared" si="7"/>
        <v/>
      </c>
      <c r="J14" s="41">
        <f t="shared" si="8"/>
        <v>-4</v>
      </c>
      <c r="K14" s="41">
        <f t="shared" si="0"/>
        <v>-40</v>
      </c>
      <c r="L14" s="41"/>
      <c r="M14" s="43">
        <f t="shared" si="1"/>
        <v>0</v>
      </c>
      <c r="O14" s="149">
        <v>9</v>
      </c>
      <c r="P14" s="149"/>
      <c r="Q14" s="149"/>
      <c r="R14" s="150" t="str">
        <f t="shared" si="9"/>
        <v/>
      </c>
      <c r="S14" s="152">
        <f t="shared" si="2"/>
        <v>-1</v>
      </c>
      <c r="T14" s="152">
        <f t="shared" si="3"/>
        <v>-10</v>
      </c>
      <c r="U14" s="150"/>
      <c r="V14" s="150">
        <f t="shared" si="4"/>
        <v>0</v>
      </c>
      <c r="X14" s="56"/>
      <c r="Z14" s="51"/>
      <c r="AA14" s="51"/>
      <c r="AG14" s="52"/>
      <c r="AH14" s="24" t="s">
        <v>56</v>
      </c>
      <c r="AI14" s="24">
        <f>LOG(AI10)</f>
        <v>1.6532125137753437</v>
      </c>
    </row>
    <row r="15" spans="1:36">
      <c r="A15" s="54">
        <f t="shared" si="5"/>
        <v>0</v>
      </c>
      <c r="B15" s="45" t="str">
        <f t="shared" si="6"/>
        <v/>
      </c>
      <c r="C15" s="46"/>
      <c r="D15" s="46"/>
      <c r="E15" s="46"/>
      <c r="F15" s="46"/>
      <c r="G15" s="33"/>
      <c r="H15" s="47">
        <v>10</v>
      </c>
      <c r="I15" s="48" t="str">
        <f t="shared" si="7"/>
        <v/>
      </c>
      <c r="J15" s="47">
        <f t="shared" si="8"/>
        <v>-4</v>
      </c>
      <c r="K15" s="47">
        <f t="shared" si="0"/>
        <v>-40</v>
      </c>
      <c r="L15" s="47"/>
      <c r="M15" s="49">
        <f t="shared" si="1"/>
        <v>0</v>
      </c>
      <c r="O15" s="149">
        <v>10</v>
      </c>
      <c r="P15" s="149"/>
      <c r="Q15" s="149"/>
      <c r="R15" s="150"/>
      <c r="S15" s="152">
        <f t="shared" si="2"/>
        <v>-1</v>
      </c>
      <c r="T15" s="152">
        <f t="shared" si="3"/>
        <v>-10</v>
      </c>
      <c r="U15" s="150"/>
      <c r="V15" s="150">
        <f t="shared" si="4"/>
        <v>0</v>
      </c>
      <c r="X15" s="50"/>
      <c r="Z15" s="51"/>
      <c r="AA15" s="51"/>
    </row>
    <row r="16" spans="1:36">
      <c r="A16" s="55">
        <f t="shared" si="5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7"/>
        <v/>
      </c>
      <c r="J16" s="41">
        <f t="shared" si="8"/>
        <v>-4</v>
      </c>
      <c r="K16" s="41">
        <f t="shared" si="0"/>
        <v>-40</v>
      </c>
      <c r="L16" s="41"/>
      <c r="M16" s="43">
        <f t="shared" si="1"/>
        <v>0</v>
      </c>
      <c r="O16" s="149">
        <v>11</v>
      </c>
      <c r="P16" s="149"/>
      <c r="Q16" s="149"/>
      <c r="R16" s="150" t="str">
        <f t="shared" ref="R16:R79" si="10">IF(O16&lt;$O$2+1,($I$2-($I$2-1)*(LOG(O16)/LOG($O$2))),"")</f>
        <v/>
      </c>
      <c r="S16" s="152">
        <f t="shared" si="2"/>
        <v>-1</v>
      </c>
      <c r="T16" s="152">
        <f t="shared" si="3"/>
        <v>-10</v>
      </c>
      <c r="U16" s="150"/>
      <c r="V16" s="150">
        <f t="shared" si="4"/>
        <v>0</v>
      </c>
      <c r="Z16" s="51"/>
      <c r="AA16" s="51"/>
      <c r="AH16" s="58" t="s">
        <v>57</v>
      </c>
      <c r="AI16" s="24">
        <f>AI11-AI12*AI13/AI14</f>
        <v>9.6393909380186855</v>
      </c>
      <c r="AJ16" s="24" t="s">
        <v>58</v>
      </c>
    </row>
    <row r="17" spans="1:22">
      <c r="A17" s="54">
        <f t="shared" si="5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7"/>
        <v/>
      </c>
      <c r="J17" s="47">
        <f t="shared" si="8"/>
        <v>-4</v>
      </c>
      <c r="K17" s="47">
        <f t="shared" si="0"/>
        <v>-40</v>
      </c>
      <c r="L17" s="47"/>
      <c r="M17" s="49">
        <f t="shared" si="1"/>
        <v>0</v>
      </c>
      <c r="O17" s="149">
        <v>12</v>
      </c>
      <c r="P17" s="149"/>
      <c r="Q17" s="149"/>
      <c r="R17" s="150" t="str">
        <f t="shared" si="10"/>
        <v/>
      </c>
      <c r="S17" s="152">
        <f t="shared" si="2"/>
        <v>-1</v>
      </c>
      <c r="T17" s="152">
        <f t="shared" si="3"/>
        <v>-10</v>
      </c>
      <c r="U17" s="150"/>
      <c r="V17" s="150">
        <f t="shared" si="4"/>
        <v>0</v>
      </c>
    </row>
    <row r="18" spans="1:22">
      <c r="A18" s="55">
        <f t="shared" si="5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7"/>
        <v/>
      </c>
      <c r="J18" s="41">
        <f t="shared" si="8"/>
        <v>-4</v>
      </c>
      <c r="K18" s="41">
        <f t="shared" si="0"/>
        <v>-40</v>
      </c>
      <c r="L18" s="41"/>
      <c r="M18" s="43">
        <f t="shared" si="1"/>
        <v>0</v>
      </c>
      <c r="O18" s="149">
        <v>13</v>
      </c>
      <c r="P18" s="149"/>
      <c r="Q18" s="149"/>
      <c r="R18" s="150" t="str">
        <f t="shared" si="10"/>
        <v/>
      </c>
      <c r="S18" s="152">
        <f t="shared" si="2"/>
        <v>-1</v>
      </c>
      <c r="T18" s="152">
        <f t="shared" si="3"/>
        <v>-10</v>
      </c>
      <c r="U18" s="150"/>
      <c r="V18" s="150">
        <f t="shared" si="4"/>
        <v>0</v>
      </c>
    </row>
    <row r="19" spans="1:22">
      <c r="A19" s="54">
        <f t="shared" si="5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7"/>
        <v/>
      </c>
      <c r="J19" s="47">
        <f t="shared" si="8"/>
        <v>-4</v>
      </c>
      <c r="K19" s="47">
        <f t="shared" si="0"/>
        <v>-40</v>
      </c>
      <c r="L19" s="47"/>
      <c r="M19" s="49">
        <f t="shared" si="1"/>
        <v>0</v>
      </c>
      <c r="O19" s="149">
        <v>14</v>
      </c>
      <c r="P19" s="149"/>
      <c r="Q19" s="149"/>
      <c r="R19" s="150" t="str">
        <f t="shared" si="10"/>
        <v/>
      </c>
      <c r="S19" s="152">
        <f t="shared" si="2"/>
        <v>-1</v>
      </c>
      <c r="T19" s="152">
        <f t="shared" si="3"/>
        <v>-10</v>
      </c>
      <c r="U19" s="150"/>
      <c r="V19" s="150">
        <f t="shared" si="4"/>
        <v>0</v>
      </c>
    </row>
    <row r="20" spans="1:22">
      <c r="A20" s="55">
        <f t="shared" si="5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7"/>
        <v/>
      </c>
      <c r="J20" s="41">
        <f t="shared" si="8"/>
        <v>-4</v>
      </c>
      <c r="K20" s="41">
        <f t="shared" si="0"/>
        <v>-40</v>
      </c>
      <c r="L20" s="41"/>
      <c r="M20" s="43">
        <f t="shared" si="1"/>
        <v>0</v>
      </c>
      <c r="O20" s="149">
        <v>15</v>
      </c>
      <c r="P20" s="149"/>
      <c r="Q20" s="149"/>
      <c r="R20" s="150" t="str">
        <f t="shared" si="10"/>
        <v/>
      </c>
      <c r="S20" s="152">
        <f t="shared" si="2"/>
        <v>-1</v>
      </c>
      <c r="T20" s="152">
        <f t="shared" si="3"/>
        <v>-10</v>
      </c>
      <c r="U20" s="150"/>
      <c r="V20" s="150">
        <f t="shared" si="4"/>
        <v>0</v>
      </c>
    </row>
    <row r="21" spans="1:22">
      <c r="A21" s="54">
        <f t="shared" si="5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7"/>
        <v/>
      </c>
      <c r="J21" s="47">
        <f t="shared" si="8"/>
        <v>-4</v>
      </c>
      <c r="K21" s="47">
        <f t="shared" si="0"/>
        <v>-40</v>
      </c>
      <c r="L21" s="47"/>
      <c r="M21" s="49">
        <f t="shared" si="1"/>
        <v>0</v>
      </c>
      <c r="O21" s="149">
        <v>16</v>
      </c>
      <c r="P21" s="149"/>
      <c r="Q21" s="149"/>
      <c r="R21" s="150" t="str">
        <f t="shared" si="10"/>
        <v/>
      </c>
      <c r="S21" s="152">
        <f t="shared" si="2"/>
        <v>-1</v>
      </c>
      <c r="T21" s="152">
        <f t="shared" si="3"/>
        <v>-10</v>
      </c>
      <c r="U21" s="150"/>
      <c r="V21" s="150">
        <f t="shared" si="4"/>
        <v>0</v>
      </c>
    </row>
    <row r="22" spans="1:22">
      <c r="A22" s="55">
        <f t="shared" si="5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7"/>
        <v/>
      </c>
      <c r="J22" s="41">
        <f t="shared" si="8"/>
        <v>-5</v>
      </c>
      <c r="K22" s="41">
        <f t="shared" si="0"/>
        <v>-50</v>
      </c>
      <c r="L22" s="41"/>
      <c r="M22" s="43">
        <f t="shared" si="1"/>
        <v>0</v>
      </c>
      <c r="O22" s="149">
        <v>17</v>
      </c>
      <c r="P22" s="149"/>
      <c r="Q22" s="149"/>
      <c r="R22" s="150" t="str">
        <f t="shared" si="10"/>
        <v/>
      </c>
      <c r="S22" s="152">
        <f t="shared" si="2"/>
        <v>-2</v>
      </c>
      <c r="T22" s="152">
        <f t="shared" si="3"/>
        <v>-20</v>
      </c>
      <c r="U22" s="150"/>
      <c r="V22" s="150">
        <f t="shared" si="4"/>
        <v>0</v>
      </c>
    </row>
    <row r="23" spans="1:22">
      <c r="A23" s="54">
        <f t="shared" si="5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7"/>
        <v/>
      </c>
      <c r="J23" s="47">
        <f t="shared" si="8"/>
        <v>-5</v>
      </c>
      <c r="K23" s="47">
        <f t="shared" si="0"/>
        <v>-50</v>
      </c>
      <c r="L23" s="47"/>
      <c r="M23" s="49">
        <f t="shared" si="1"/>
        <v>0</v>
      </c>
      <c r="O23" s="149">
        <v>18</v>
      </c>
      <c r="P23" s="149"/>
      <c r="Q23" s="149"/>
      <c r="R23" s="150" t="str">
        <f t="shared" si="10"/>
        <v/>
      </c>
      <c r="S23" s="152">
        <f t="shared" si="2"/>
        <v>-2</v>
      </c>
      <c r="T23" s="152">
        <f t="shared" si="3"/>
        <v>-20</v>
      </c>
      <c r="U23" s="150"/>
      <c r="V23" s="150">
        <f t="shared" si="4"/>
        <v>0</v>
      </c>
    </row>
    <row r="24" spans="1:22">
      <c r="A24" s="55">
        <f t="shared" si="5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7"/>
        <v/>
      </c>
      <c r="J24" s="41">
        <f t="shared" si="8"/>
        <v>-5</v>
      </c>
      <c r="K24" s="41">
        <f t="shared" si="0"/>
        <v>-50</v>
      </c>
      <c r="L24" s="41"/>
      <c r="M24" s="43">
        <f t="shared" si="1"/>
        <v>0</v>
      </c>
      <c r="O24" s="149">
        <v>19</v>
      </c>
      <c r="P24" s="149"/>
      <c r="Q24" s="149"/>
      <c r="R24" s="150" t="str">
        <f t="shared" si="10"/>
        <v/>
      </c>
      <c r="S24" s="152">
        <f t="shared" si="2"/>
        <v>-2</v>
      </c>
      <c r="T24" s="152">
        <f t="shared" si="3"/>
        <v>-20</v>
      </c>
      <c r="U24" s="150"/>
      <c r="V24" s="150">
        <f t="shared" si="4"/>
        <v>0</v>
      </c>
    </row>
    <row r="25" spans="1:22">
      <c r="A25" s="54">
        <f t="shared" si="5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7"/>
        <v/>
      </c>
      <c r="J25" s="47">
        <f t="shared" si="8"/>
        <v>-5</v>
      </c>
      <c r="K25" s="47">
        <f t="shared" si="0"/>
        <v>-50</v>
      </c>
      <c r="L25" s="47"/>
      <c r="M25" s="49">
        <f t="shared" si="1"/>
        <v>0</v>
      </c>
      <c r="O25" s="149">
        <v>20</v>
      </c>
      <c r="P25" s="149"/>
      <c r="Q25" s="149"/>
      <c r="R25" s="150" t="str">
        <f t="shared" si="10"/>
        <v/>
      </c>
      <c r="S25" s="152">
        <f t="shared" si="2"/>
        <v>-2</v>
      </c>
      <c r="T25" s="152">
        <f t="shared" si="3"/>
        <v>-20</v>
      </c>
      <c r="U25" s="150"/>
      <c r="V25" s="150">
        <f t="shared" si="4"/>
        <v>0</v>
      </c>
    </row>
    <row r="26" spans="1:22">
      <c r="A26" s="55">
        <f t="shared" si="5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7"/>
        <v/>
      </c>
      <c r="J26" s="41">
        <f t="shared" si="8"/>
        <v>-5</v>
      </c>
      <c r="K26" s="41">
        <f t="shared" si="0"/>
        <v>-50</v>
      </c>
      <c r="L26" s="41"/>
      <c r="M26" s="43">
        <f t="shared" si="1"/>
        <v>0</v>
      </c>
      <c r="O26" s="149">
        <v>21</v>
      </c>
      <c r="P26" s="149"/>
      <c r="Q26" s="149"/>
      <c r="R26" s="150" t="str">
        <f t="shared" si="10"/>
        <v/>
      </c>
      <c r="S26" s="152">
        <f t="shared" si="2"/>
        <v>-2</v>
      </c>
      <c r="T26" s="152">
        <f t="shared" si="3"/>
        <v>-20</v>
      </c>
      <c r="U26" s="150"/>
      <c r="V26" s="150">
        <f t="shared" si="4"/>
        <v>0</v>
      </c>
    </row>
    <row r="27" spans="1:22">
      <c r="A27" s="54">
        <f t="shared" si="5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7"/>
        <v/>
      </c>
      <c r="J27" s="47">
        <f t="shared" si="8"/>
        <v>-5</v>
      </c>
      <c r="K27" s="47">
        <f t="shared" si="0"/>
        <v>-50</v>
      </c>
      <c r="L27" s="47"/>
      <c r="M27" s="49">
        <f t="shared" si="1"/>
        <v>0</v>
      </c>
      <c r="O27" s="149">
        <v>22</v>
      </c>
      <c r="P27" s="149"/>
      <c r="Q27" s="149"/>
      <c r="R27" s="150" t="str">
        <f t="shared" si="10"/>
        <v/>
      </c>
      <c r="S27" s="152">
        <f t="shared" si="2"/>
        <v>-2</v>
      </c>
      <c r="T27" s="152">
        <f t="shared" si="3"/>
        <v>-20</v>
      </c>
      <c r="U27" s="150"/>
      <c r="V27" s="150">
        <f t="shared" si="4"/>
        <v>0</v>
      </c>
    </row>
    <row r="28" spans="1:22">
      <c r="A28" s="55">
        <f t="shared" si="5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7"/>
        <v/>
      </c>
      <c r="J28" s="41">
        <f t="shared" si="8"/>
        <v>-5</v>
      </c>
      <c r="K28" s="41">
        <f t="shared" si="0"/>
        <v>-50</v>
      </c>
      <c r="L28" s="41"/>
      <c r="M28" s="43">
        <f t="shared" si="1"/>
        <v>0</v>
      </c>
      <c r="O28" s="149">
        <v>23</v>
      </c>
      <c r="P28" s="149"/>
      <c r="Q28" s="149"/>
      <c r="R28" s="150" t="str">
        <f t="shared" si="10"/>
        <v/>
      </c>
      <c r="S28" s="152">
        <f t="shared" si="2"/>
        <v>-2</v>
      </c>
      <c r="T28" s="152">
        <f t="shared" si="3"/>
        <v>-20</v>
      </c>
      <c r="U28" s="150"/>
      <c r="V28" s="150">
        <f t="shared" si="4"/>
        <v>0</v>
      </c>
    </row>
    <row r="29" spans="1:22">
      <c r="A29" s="54">
        <f t="shared" si="5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7"/>
        <v/>
      </c>
      <c r="J29" s="47">
        <f t="shared" si="8"/>
        <v>-5</v>
      </c>
      <c r="K29" s="47">
        <f t="shared" si="0"/>
        <v>-50</v>
      </c>
      <c r="L29" s="47"/>
      <c r="M29" s="49">
        <f t="shared" si="1"/>
        <v>0</v>
      </c>
      <c r="O29" s="149">
        <v>24</v>
      </c>
      <c r="P29" s="149"/>
      <c r="Q29" s="149"/>
      <c r="R29" s="150" t="str">
        <f t="shared" si="10"/>
        <v/>
      </c>
      <c r="S29" s="152">
        <f t="shared" si="2"/>
        <v>-2</v>
      </c>
      <c r="T29" s="152">
        <f t="shared" si="3"/>
        <v>-20</v>
      </c>
      <c r="U29" s="150"/>
      <c r="V29" s="150">
        <f t="shared" si="4"/>
        <v>0</v>
      </c>
    </row>
    <row r="30" spans="1:22">
      <c r="A30" s="55">
        <f t="shared" si="5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7"/>
        <v/>
      </c>
      <c r="J30" s="41">
        <f t="shared" si="8"/>
        <v>-5</v>
      </c>
      <c r="K30" s="41">
        <f t="shared" si="0"/>
        <v>-50</v>
      </c>
      <c r="L30" s="41"/>
      <c r="M30" s="43">
        <f t="shared" si="1"/>
        <v>0</v>
      </c>
      <c r="O30" s="149">
        <v>25</v>
      </c>
      <c r="P30" s="149"/>
      <c r="Q30" s="149"/>
      <c r="R30" s="150" t="str">
        <f t="shared" si="10"/>
        <v/>
      </c>
      <c r="S30" s="152">
        <f t="shared" si="2"/>
        <v>-2</v>
      </c>
      <c r="T30" s="152">
        <f t="shared" si="3"/>
        <v>-20</v>
      </c>
      <c r="U30" s="150"/>
      <c r="V30" s="150">
        <f t="shared" si="4"/>
        <v>0</v>
      </c>
    </row>
    <row r="31" spans="1:22">
      <c r="A31" s="54">
        <f t="shared" si="5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7"/>
        <v/>
      </c>
      <c r="J31" s="47">
        <f t="shared" si="8"/>
        <v>-5</v>
      </c>
      <c r="K31" s="47">
        <f t="shared" si="0"/>
        <v>-50</v>
      </c>
      <c r="L31" s="47"/>
      <c r="M31" s="49">
        <f t="shared" si="1"/>
        <v>0</v>
      </c>
      <c r="O31" s="149">
        <v>26</v>
      </c>
      <c r="P31" s="149"/>
      <c r="Q31" s="149"/>
      <c r="R31" s="150" t="str">
        <f t="shared" si="10"/>
        <v/>
      </c>
      <c r="S31" s="152">
        <f t="shared" si="2"/>
        <v>-2</v>
      </c>
      <c r="T31" s="152">
        <f t="shared" si="3"/>
        <v>-20</v>
      </c>
      <c r="U31" s="150"/>
      <c r="V31" s="150">
        <f t="shared" si="4"/>
        <v>0</v>
      </c>
    </row>
    <row r="32" spans="1:22">
      <c r="A32" s="55">
        <f t="shared" si="5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7"/>
        <v/>
      </c>
      <c r="J32" s="41">
        <f t="shared" si="8"/>
        <v>-5</v>
      </c>
      <c r="K32" s="41">
        <f t="shared" si="0"/>
        <v>-50</v>
      </c>
      <c r="L32" s="41"/>
      <c r="M32" s="43">
        <f t="shared" si="1"/>
        <v>0</v>
      </c>
      <c r="O32" s="149">
        <v>27</v>
      </c>
      <c r="P32" s="149"/>
      <c r="Q32" s="149"/>
      <c r="R32" s="150" t="str">
        <f t="shared" si="10"/>
        <v/>
      </c>
      <c r="S32" s="152">
        <f t="shared" si="2"/>
        <v>-2</v>
      </c>
      <c r="T32" s="152">
        <f t="shared" si="3"/>
        <v>-20</v>
      </c>
      <c r="U32" s="150"/>
      <c r="V32" s="150">
        <f t="shared" si="4"/>
        <v>0</v>
      </c>
    </row>
    <row r="33" spans="1:22">
      <c r="A33" s="54">
        <f t="shared" si="5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7"/>
        <v/>
      </c>
      <c r="J33" s="47">
        <f t="shared" si="8"/>
        <v>-5</v>
      </c>
      <c r="K33" s="47">
        <f t="shared" si="0"/>
        <v>-50</v>
      </c>
      <c r="L33" s="47"/>
      <c r="M33" s="49">
        <f t="shared" si="1"/>
        <v>0</v>
      </c>
      <c r="O33" s="149">
        <v>28</v>
      </c>
      <c r="P33" s="149"/>
      <c r="Q33" s="149"/>
      <c r="R33" s="150" t="str">
        <f t="shared" si="10"/>
        <v/>
      </c>
      <c r="S33" s="152">
        <f t="shared" si="2"/>
        <v>-2</v>
      </c>
      <c r="T33" s="152">
        <f t="shared" si="3"/>
        <v>-20</v>
      </c>
      <c r="U33" s="150"/>
      <c r="V33" s="150">
        <f t="shared" si="4"/>
        <v>0</v>
      </c>
    </row>
    <row r="34" spans="1:22">
      <c r="A34" s="55">
        <f t="shared" si="5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7"/>
        <v/>
      </c>
      <c r="J34" s="41">
        <f t="shared" si="8"/>
        <v>-5</v>
      </c>
      <c r="K34" s="41">
        <f t="shared" si="0"/>
        <v>-50</v>
      </c>
      <c r="L34" s="41"/>
      <c r="M34" s="43">
        <f t="shared" si="1"/>
        <v>0</v>
      </c>
      <c r="O34" s="149">
        <v>29</v>
      </c>
      <c r="P34" s="149"/>
      <c r="Q34" s="149"/>
      <c r="R34" s="150" t="str">
        <f t="shared" si="10"/>
        <v/>
      </c>
      <c r="S34" s="152">
        <f t="shared" si="2"/>
        <v>-2</v>
      </c>
      <c r="T34" s="152">
        <f t="shared" si="3"/>
        <v>-20</v>
      </c>
      <c r="U34" s="150"/>
      <c r="V34" s="150">
        <f t="shared" si="4"/>
        <v>0</v>
      </c>
    </row>
    <row r="35" spans="1:22">
      <c r="A35" s="54">
        <f t="shared" si="5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7"/>
        <v/>
      </c>
      <c r="J35" s="47">
        <f t="shared" si="8"/>
        <v>-5</v>
      </c>
      <c r="K35" s="47">
        <f t="shared" si="0"/>
        <v>-50</v>
      </c>
      <c r="L35" s="47"/>
      <c r="M35" s="49">
        <f t="shared" si="1"/>
        <v>0</v>
      </c>
      <c r="O35" s="149">
        <v>30</v>
      </c>
      <c r="P35" s="149"/>
      <c r="Q35" s="149"/>
      <c r="R35" s="150" t="str">
        <f t="shared" si="10"/>
        <v/>
      </c>
      <c r="S35" s="152">
        <f t="shared" si="2"/>
        <v>-2</v>
      </c>
      <c r="T35" s="152">
        <f t="shared" si="3"/>
        <v>-20</v>
      </c>
      <c r="U35" s="150"/>
      <c r="V35" s="150">
        <f t="shared" si="4"/>
        <v>0</v>
      </c>
    </row>
    <row r="36" spans="1:22">
      <c r="A36" s="55">
        <f t="shared" si="5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7"/>
        <v/>
      </c>
      <c r="J36" s="41">
        <f t="shared" si="8"/>
        <v>-5</v>
      </c>
      <c r="K36" s="41">
        <f t="shared" si="0"/>
        <v>-50</v>
      </c>
      <c r="L36" s="41"/>
      <c r="M36" s="43">
        <f t="shared" si="1"/>
        <v>0</v>
      </c>
      <c r="O36" s="149">
        <v>31</v>
      </c>
      <c r="P36" s="149"/>
      <c r="Q36" s="149"/>
      <c r="R36" s="150" t="str">
        <f t="shared" si="10"/>
        <v/>
      </c>
      <c r="S36" s="152">
        <f t="shared" si="2"/>
        <v>-2</v>
      </c>
      <c r="T36" s="152">
        <f t="shared" si="3"/>
        <v>-20</v>
      </c>
      <c r="U36" s="150"/>
      <c r="V36" s="150">
        <f t="shared" si="4"/>
        <v>0</v>
      </c>
    </row>
    <row r="37" spans="1:22">
      <c r="A37" s="54">
        <f t="shared" si="5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7"/>
        <v/>
      </c>
      <c r="J37" s="47">
        <f t="shared" si="8"/>
        <v>-5</v>
      </c>
      <c r="K37" s="47">
        <f t="shared" si="0"/>
        <v>-50</v>
      </c>
      <c r="L37" s="47"/>
      <c r="M37" s="49">
        <f t="shared" si="1"/>
        <v>0</v>
      </c>
      <c r="O37" s="149">
        <v>32</v>
      </c>
      <c r="P37" s="149"/>
      <c r="Q37" s="149"/>
      <c r="R37" s="150" t="str">
        <f t="shared" si="10"/>
        <v/>
      </c>
      <c r="S37" s="152">
        <f t="shared" si="2"/>
        <v>-2</v>
      </c>
      <c r="T37" s="152">
        <f t="shared" si="3"/>
        <v>-20</v>
      </c>
      <c r="U37" s="150"/>
      <c r="V37" s="150">
        <f t="shared" si="4"/>
        <v>0</v>
      </c>
    </row>
    <row r="38" spans="1:22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7"/>
        <v/>
      </c>
      <c r="J38" s="41">
        <f t="shared" si="8"/>
        <v>-6</v>
      </c>
      <c r="K38" s="41">
        <f t="shared" si="0"/>
        <v>-60</v>
      </c>
      <c r="L38" s="41"/>
      <c r="M38" s="43">
        <f t="shared" si="1"/>
        <v>0</v>
      </c>
      <c r="O38" s="149">
        <v>33</v>
      </c>
      <c r="P38" s="149"/>
      <c r="Q38" s="149"/>
      <c r="R38" s="150" t="str">
        <f t="shared" si="10"/>
        <v/>
      </c>
      <c r="S38" s="152">
        <f t="shared" si="2"/>
        <v>-3</v>
      </c>
      <c r="T38" s="152">
        <f t="shared" si="3"/>
        <v>-30</v>
      </c>
      <c r="U38" s="150"/>
      <c r="V38" s="150">
        <f t="shared" si="4"/>
        <v>0</v>
      </c>
    </row>
    <row r="39" spans="1:22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7"/>
        <v/>
      </c>
      <c r="J39" s="47">
        <f t="shared" si="8"/>
        <v>-6</v>
      </c>
      <c r="K39" s="47">
        <f t="shared" si="0"/>
        <v>-60</v>
      </c>
      <c r="L39" s="47"/>
      <c r="M39" s="49">
        <f t="shared" si="1"/>
        <v>0</v>
      </c>
      <c r="O39" s="149">
        <v>34</v>
      </c>
      <c r="P39" s="149"/>
      <c r="Q39" s="149"/>
      <c r="R39" s="150" t="str">
        <f t="shared" si="10"/>
        <v/>
      </c>
      <c r="S39" s="152">
        <f t="shared" si="2"/>
        <v>-3</v>
      </c>
      <c r="T39" s="152">
        <f t="shared" si="3"/>
        <v>-30</v>
      </c>
      <c r="U39" s="150"/>
      <c r="V39" s="150">
        <f t="shared" si="4"/>
        <v>0</v>
      </c>
    </row>
    <row r="40" spans="1:22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7"/>
        <v/>
      </c>
      <c r="J40" s="41">
        <f t="shared" si="8"/>
        <v>-6</v>
      </c>
      <c r="K40" s="41">
        <f t="shared" si="0"/>
        <v>-60</v>
      </c>
      <c r="L40" s="41"/>
      <c r="M40" s="43">
        <f t="shared" si="1"/>
        <v>0</v>
      </c>
      <c r="O40" s="149">
        <v>35</v>
      </c>
      <c r="P40" s="149"/>
      <c r="Q40" s="149"/>
      <c r="R40" s="150" t="str">
        <f t="shared" si="10"/>
        <v/>
      </c>
      <c r="S40" s="152">
        <f t="shared" si="2"/>
        <v>-3</v>
      </c>
      <c r="T40" s="152">
        <f t="shared" si="3"/>
        <v>-30</v>
      </c>
      <c r="U40" s="150"/>
      <c r="V40" s="150">
        <f t="shared" si="4"/>
        <v>0</v>
      </c>
    </row>
    <row r="41" spans="1:22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7"/>
        <v/>
      </c>
      <c r="J41" s="47">
        <f t="shared" si="8"/>
        <v>-6</v>
      </c>
      <c r="K41" s="47">
        <f t="shared" si="0"/>
        <v>-60</v>
      </c>
      <c r="L41" s="47"/>
      <c r="M41" s="49">
        <f t="shared" si="1"/>
        <v>0</v>
      </c>
      <c r="O41" s="149">
        <v>36</v>
      </c>
      <c r="P41" s="149"/>
      <c r="Q41" s="149"/>
      <c r="R41" s="150" t="str">
        <f t="shared" si="10"/>
        <v/>
      </c>
      <c r="S41" s="152">
        <f t="shared" si="2"/>
        <v>-3</v>
      </c>
      <c r="T41" s="152">
        <f t="shared" si="3"/>
        <v>-30</v>
      </c>
      <c r="U41" s="150"/>
      <c r="V41" s="150">
        <f t="shared" si="4"/>
        <v>0</v>
      </c>
    </row>
    <row r="42" spans="1:22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7"/>
        <v/>
      </c>
      <c r="J42" s="41">
        <f t="shared" si="8"/>
        <v>-6</v>
      </c>
      <c r="K42" s="41">
        <f t="shared" si="0"/>
        <v>-60</v>
      </c>
      <c r="L42" s="41"/>
      <c r="M42" s="43">
        <f t="shared" si="1"/>
        <v>0</v>
      </c>
      <c r="O42" s="149">
        <v>37</v>
      </c>
      <c r="P42" s="149"/>
      <c r="Q42" s="149"/>
      <c r="R42" s="150" t="str">
        <f t="shared" si="10"/>
        <v/>
      </c>
      <c r="S42" s="152">
        <f t="shared" si="2"/>
        <v>-3</v>
      </c>
      <c r="T42" s="152">
        <f t="shared" si="3"/>
        <v>-30</v>
      </c>
      <c r="U42" s="150"/>
      <c r="V42" s="150">
        <f t="shared" si="4"/>
        <v>0</v>
      </c>
    </row>
    <row r="43" spans="1:22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7"/>
        <v/>
      </c>
      <c r="J43" s="47">
        <f t="shared" si="8"/>
        <v>-6</v>
      </c>
      <c r="K43" s="47">
        <f t="shared" si="0"/>
        <v>-60</v>
      </c>
      <c r="L43" s="47"/>
      <c r="M43" s="49">
        <f t="shared" si="1"/>
        <v>0</v>
      </c>
      <c r="O43" s="149">
        <v>38</v>
      </c>
      <c r="P43" s="149"/>
      <c r="Q43" s="149"/>
      <c r="R43" s="150" t="str">
        <f t="shared" si="10"/>
        <v/>
      </c>
      <c r="S43" s="152">
        <f t="shared" si="2"/>
        <v>-3</v>
      </c>
      <c r="T43" s="152">
        <f t="shared" si="3"/>
        <v>-30</v>
      </c>
      <c r="U43" s="150"/>
      <c r="V43" s="150">
        <f t="shared" si="4"/>
        <v>0</v>
      </c>
    </row>
    <row r="44" spans="1:22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7"/>
        <v/>
      </c>
      <c r="J44" s="41">
        <f t="shared" si="8"/>
        <v>-6</v>
      </c>
      <c r="K44" s="41">
        <f t="shared" si="0"/>
        <v>-60</v>
      </c>
      <c r="L44" s="41"/>
      <c r="M44" s="43">
        <f t="shared" si="1"/>
        <v>0</v>
      </c>
      <c r="O44" s="149">
        <v>39</v>
      </c>
      <c r="P44" s="149"/>
      <c r="Q44" s="149"/>
      <c r="R44" s="150" t="str">
        <f t="shared" si="10"/>
        <v/>
      </c>
      <c r="S44" s="152">
        <f t="shared" si="2"/>
        <v>-3</v>
      </c>
      <c r="T44" s="152">
        <f t="shared" si="3"/>
        <v>-30</v>
      </c>
      <c r="U44" s="150"/>
      <c r="V44" s="150">
        <f t="shared" si="4"/>
        <v>0</v>
      </c>
    </row>
    <row r="45" spans="1:22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7"/>
        <v/>
      </c>
      <c r="J45" s="47">
        <f t="shared" si="8"/>
        <v>-6</v>
      </c>
      <c r="K45" s="47">
        <f t="shared" si="0"/>
        <v>-60</v>
      </c>
      <c r="L45" s="47"/>
      <c r="M45" s="49">
        <f t="shared" si="1"/>
        <v>0</v>
      </c>
      <c r="O45" s="149">
        <v>40</v>
      </c>
      <c r="P45" s="149"/>
      <c r="Q45" s="149"/>
      <c r="R45" s="150" t="str">
        <f t="shared" si="10"/>
        <v/>
      </c>
      <c r="S45" s="152">
        <f t="shared" si="2"/>
        <v>-3</v>
      </c>
      <c r="T45" s="152">
        <f t="shared" si="3"/>
        <v>-30</v>
      </c>
      <c r="U45" s="150"/>
      <c r="V45" s="150">
        <f t="shared" si="4"/>
        <v>0</v>
      </c>
    </row>
    <row r="46" spans="1:22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7"/>
        <v/>
      </c>
      <c r="J46" s="41">
        <f t="shared" si="8"/>
        <v>-6</v>
      </c>
      <c r="K46" s="41">
        <f t="shared" si="0"/>
        <v>-60</v>
      </c>
      <c r="L46" s="41"/>
      <c r="M46" s="43">
        <f t="shared" si="1"/>
        <v>0</v>
      </c>
      <c r="O46" s="149">
        <v>41</v>
      </c>
      <c r="P46" s="149"/>
      <c r="Q46" s="149"/>
      <c r="R46" s="150" t="str">
        <f t="shared" si="10"/>
        <v/>
      </c>
      <c r="S46" s="152">
        <f t="shared" si="2"/>
        <v>-3</v>
      </c>
      <c r="T46" s="152">
        <f t="shared" si="3"/>
        <v>-30</v>
      </c>
      <c r="U46" s="150"/>
      <c r="V46" s="150">
        <f t="shared" si="4"/>
        <v>0</v>
      </c>
    </row>
    <row r="47" spans="1:22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7"/>
        <v/>
      </c>
      <c r="J47" s="47">
        <f t="shared" si="8"/>
        <v>-6</v>
      </c>
      <c r="K47" s="47">
        <f t="shared" si="0"/>
        <v>-60</v>
      </c>
      <c r="L47" s="47"/>
      <c r="M47" s="49">
        <f t="shared" si="1"/>
        <v>0</v>
      </c>
      <c r="O47" s="149">
        <v>42</v>
      </c>
      <c r="P47" s="149"/>
      <c r="Q47" s="149"/>
      <c r="R47" s="150" t="str">
        <f t="shared" si="10"/>
        <v/>
      </c>
      <c r="S47" s="152">
        <f t="shared" si="2"/>
        <v>-3</v>
      </c>
      <c r="T47" s="152">
        <f t="shared" si="3"/>
        <v>-30</v>
      </c>
      <c r="U47" s="150"/>
      <c r="V47" s="150">
        <f t="shared" si="4"/>
        <v>0</v>
      </c>
    </row>
    <row r="48" spans="1:22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7"/>
        <v/>
      </c>
      <c r="J48" s="41">
        <f t="shared" si="8"/>
        <v>-6</v>
      </c>
      <c r="K48" s="41">
        <f t="shared" si="0"/>
        <v>-60</v>
      </c>
      <c r="L48" s="41"/>
      <c r="M48" s="43">
        <f t="shared" si="1"/>
        <v>0</v>
      </c>
      <c r="O48" s="149">
        <v>43</v>
      </c>
      <c r="P48" s="149"/>
      <c r="Q48" s="149"/>
      <c r="R48" s="150" t="str">
        <f t="shared" si="10"/>
        <v/>
      </c>
      <c r="S48" s="152">
        <f t="shared" si="2"/>
        <v>-3</v>
      </c>
      <c r="T48" s="152">
        <f t="shared" si="3"/>
        <v>-30</v>
      </c>
      <c r="U48" s="150"/>
      <c r="V48" s="150">
        <f t="shared" si="4"/>
        <v>0</v>
      </c>
    </row>
    <row r="49" spans="1:22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7"/>
        <v/>
      </c>
      <c r="J49" s="47">
        <f t="shared" si="8"/>
        <v>-6</v>
      </c>
      <c r="K49" s="47">
        <f t="shared" si="0"/>
        <v>-60</v>
      </c>
      <c r="L49" s="47"/>
      <c r="M49" s="49">
        <f t="shared" si="1"/>
        <v>0</v>
      </c>
      <c r="O49" s="149">
        <v>44</v>
      </c>
      <c r="P49" s="149"/>
      <c r="Q49" s="149"/>
      <c r="R49" s="150" t="str">
        <f t="shared" si="10"/>
        <v/>
      </c>
      <c r="S49" s="152">
        <f t="shared" si="2"/>
        <v>-3</v>
      </c>
      <c r="T49" s="152">
        <f t="shared" si="3"/>
        <v>-30</v>
      </c>
      <c r="U49" s="150"/>
      <c r="V49" s="150">
        <f t="shared" si="4"/>
        <v>0</v>
      </c>
    </row>
    <row r="50" spans="1:22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7"/>
        <v/>
      </c>
      <c r="J50" s="41">
        <f t="shared" si="8"/>
        <v>-6</v>
      </c>
      <c r="K50" s="41">
        <f t="shared" si="0"/>
        <v>-60</v>
      </c>
      <c r="L50" s="41"/>
      <c r="M50" s="43">
        <f t="shared" si="1"/>
        <v>0</v>
      </c>
      <c r="O50" s="149">
        <v>45</v>
      </c>
      <c r="P50" s="149"/>
      <c r="Q50" s="149"/>
      <c r="R50" s="150" t="str">
        <f t="shared" si="10"/>
        <v/>
      </c>
      <c r="S50" s="152">
        <f t="shared" si="2"/>
        <v>-3</v>
      </c>
      <c r="T50" s="152">
        <f t="shared" si="3"/>
        <v>-30</v>
      </c>
      <c r="U50" s="150"/>
      <c r="V50" s="150">
        <f t="shared" si="4"/>
        <v>0</v>
      </c>
    </row>
    <row r="51" spans="1:22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7"/>
        <v/>
      </c>
      <c r="J51" s="47">
        <f t="shared" si="8"/>
        <v>-6</v>
      </c>
      <c r="K51" s="47">
        <f t="shared" si="0"/>
        <v>-60</v>
      </c>
      <c r="L51" s="47"/>
      <c r="M51" s="49">
        <f t="shared" si="1"/>
        <v>0</v>
      </c>
      <c r="O51" s="149">
        <v>46</v>
      </c>
      <c r="P51" s="149"/>
      <c r="Q51" s="149"/>
      <c r="R51" s="150" t="str">
        <f t="shared" si="10"/>
        <v/>
      </c>
      <c r="S51" s="152">
        <f t="shared" si="2"/>
        <v>-3</v>
      </c>
      <c r="T51" s="152">
        <f t="shared" si="3"/>
        <v>-30</v>
      </c>
      <c r="U51" s="150"/>
      <c r="V51" s="150">
        <f t="shared" si="4"/>
        <v>0</v>
      </c>
    </row>
    <row r="52" spans="1:22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7"/>
        <v/>
      </c>
      <c r="J52" s="41">
        <f t="shared" si="8"/>
        <v>-6</v>
      </c>
      <c r="K52" s="41">
        <f t="shared" si="0"/>
        <v>-60</v>
      </c>
      <c r="L52" s="41"/>
      <c r="M52" s="43">
        <f t="shared" si="1"/>
        <v>0</v>
      </c>
      <c r="O52" s="149">
        <v>47</v>
      </c>
      <c r="P52" s="149"/>
      <c r="Q52" s="149"/>
      <c r="R52" s="150" t="str">
        <f t="shared" si="10"/>
        <v/>
      </c>
      <c r="S52" s="152">
        <f t="shared" si="2"/>
        <v>-3</v>
      </c>
      <c r="T52" s="152">
        <f t="shared" si="3"/>
        <v>-30</v>
      </c>
      <c r="U52" s="150"/>
      <c r="V52" s="150">
        <f t="shared" si="4"/>
        <v>0</v>
      </c>
    </row>
    <row r="53" spans="1:22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7"/>
        <v/>
      </c>
      <c r="J53" s="47">
        <f t="shared" si="8"/>
        <v>-6</v>
      </c>
      <c r="K53" s="47">
        <f t="shared" si="0"/>
        <v>-60</v>
      </c>
      <c r="L53" s="47"/>
      <c r="M53" s="49">
        <f t="shared" si="1"/>
        <v>0</v>
      </c>
      <c r="O53" s="149">
        <v>48</v>
      </c>
      <c r="P53" s="149"/>
      <c r="Q53" s="149"/>
      <c r="R53" s="150" t="str">
        <f t="shared" si="10"/>
        <v/>
      </c>
      <c r="S53" s="152">
        <f t="shared" si="2"/>
        <v>-3</v>
      </c>
      <c r="T53" s="152">
        <f t="shared" si="3"/>
        <v>-30</v>
      </c>
      <c r="U53" s="150"/>
      <c r="V53" s="150">
        <f t="shared" si="4"/>
        <v>0</v>
      </c>
    </row>
    <row r="54" spans="1:22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7"/>
        <v/>
      </c>
      <c r="J54" s="41">
        <f t="shared" si="8"/>
        <v>-6</v>
      </c>
      <c r="K54" s="41">
        <f t="shared" si="0"/>
        <v>-60</v>
      </c>
      <c r="L54" s="41"/>
      <c r="M54" s="43">
        <f t="shared" si="1"/>
        <v>0</v>
      </c>
      <c r="O54" s="149">
        <v>49</v>
      </c>
      <c r="P54" s="149"/>
      <c r="Q54" s="149"/>
      <c r="R54" s="150" t="str">
        <f t="shared" si="10"/>
        <v/>
      </c>
      <c r="S54" s="152">
        <f t="shared" si="2"/>
        <v>-3</v>
      </c>
      <c r="T54" s="152">
        <f t="shared" si="3"/>
        <v>-30</v>
      </c>
      <c r="U54" s="150"/>
      <c r="V54" s="150">
        <f t="shared" si="4"/>
        <v>0</v>
      </c>
    </row>
    <row r="55" spans="1:22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7"/>
        <v/>
      </c>
      <c r="J55" s="47">
        <f t="shared" si="8"/>
        <v>-6</v>
      </c>
      <c r="K55" s="47">
        <f t="shared" si="0"/>
        <v>-60</v>
      </c>
      <c r="L55" s="47"/>
      <c r="M55" s="49">
        <f t="shared" si="1"/>
        <v>0</v>
      </c>
      <c r="O55" s="149">
        <v>50</v>
      </c>
      <c r="P55" s="149"/>
      <c r="Q55" s="149"/>
      <c r="R55" s="150" t="str">
        <f t="shared" si="10"/>
        <v/>
      </c>
      <c r="S55" s="152">
        <f t="shared" si="2"/>
        <v>-3</v>
      </c>
      <c r="T55" s="152">
        <f t="shared" si="3"/>
        <v>-30</v>
      </c>
      <c r="U55" s="150"/>
      <c r="V55" s="150">
        <f t="shared" si="4"/>
        <v>0</v>
      </c>
    </row>
    <row r="56" spans="1:22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7"/>
        <v/>
      </c>
      <c r="J56" s="41">
        <f t="shared" si="8"/>
        <v>-6</v>
      </c>
      <c r="K56" s="41">
        <f t="shared" si="0"/>
        <v>-60</v>
      </c>
      <c r="L56" s="41"/>
      <c r="M56" s="43">
        <f t="shared" si="1"/>
        <v>0</v>
      </c>
      <c r="O56" s="149">
        <v>51</v>
      </c>
      <c r="P56" s="149"/>
      <c r="Q56" s="149"/>
      <c r="R56" s="150" t="str">
        <f t="shared" si="10"/>
        <v/>
      </c>
      <c r="S56" s="152">
        <f t="shared" si="2"/>
        <v>-3</v>
      </c>
      <c r="T56" s="152">
        <f t="shared" si="3"/>
        <v>-30</v>
      </c>
      <c r="U56" s="150"/>
      <c r="V56" s="150">
        <f t="shared" si="4"/>
        <v>0</v>
      </c>
    </row>
    <row r="57" spans="1:22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7"/>
        <v/>
      </c>
      <c r="J57" s="47">
        <f t="shared" si="8"/>
        <v>-6</v>
      </c>
      <c r="K57" s="47">
        <f t="shared" si="0"/>
        <v>-60</v>
      </c>
      <c r="L57" s="47"/>
      <c r="M57" s="49">
        <f t="shared" si="1"/>
        <v>0</v>
      </c>
      <c r="O57" s="149">
        <v>52</v>
      </c>
      <c r="P57" s="149"/>
      <c r="Q57" s="149"/>
      <c r="R57" s="150" t="str">
        <f t="shared" si="10"/>
        <v/>
      </c>
      <c r="S57" s="152">
        <f t="shared" si="2"/>
        <v>-3</v>
      </c>
      <c r="T57" s="152">
        <f t="shared" si="3"/>
        <v>-30</v>
      </c>
      <c r="U57" s="150"/>
      <c r="V57" s="150">
        <f t="shared" si="4"/>
        <v>0</v>
      </c>
    </row>
    <row r="58" spans="1:22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7"/>
        <v/>
      </c>
      <c r="J58" s="41">
        <f t="shared" si="8"/>
        <v>-6</v>
      </c>
      <c r="K58" s="41">
        <f t="shared" si="0"/>
        <v>-60</v>
      </c>
      <c r="L58" s="41"/>
      <c r="M58" s="43">
        <f t="shared" si="1"/>
        <v>0</v>
      </c>
      <c r="O58" s="149">
        <v>53</v>
      </c>
      <c r="P58" s="149"/>
      <c r="Q58" s="149"/>
      <c r="R58" s="150" t="str">
        <f t="shared" si="10"/>
        <v/>
      </c>
      <c r="S58" s="152">
        <f t="shared" si="2"/>
        <v>-3</v>
      </c>
      <c r="T58" s="152">
        <f t="shared" si="3"/>
        <v>-30</v>
      </c>
      <c r="U58" s="150"/>
      <c r="V58" s="150">
        <f t="shared" si="4"/>
        <v>0</v>
      </c>
    </row>
    <row r="59" spans="1:22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7"/>
        <v/>
      </c>
      <c r="J59" s="47">
        <f t="shared" si="8"/>
        <v>-6</v>
      </c>
      <c r="K59" s="47">
        <f t="shared" si="0"/>
        <v>-60</v>
      </c>
      <c r="L59" s="47"/>
      <c r="M59" s="49">
        <f t="shared" si="1"/>
        <v>0</v>
      </c>
      <c r="O59" s="149">
        <v>54</v>
      </c>
      <c r="P59" s="149"/>
      <c r="Q59" s="149"/>
      <c r="R59" s="150" t="str">
        <f t="shared" si="10"/>
        <v/>
      </c>
      <c r="S59" s="152">
        <f t="shared" si="2"/>
        <v>-3</v>
      </c>
      <c r="T59" s="152">
        <f t="shared" si="3"/>
        <v>-30</v>
      </c>
      <c r="U59" s="150"/>
      <c r="V59" s="150">
        <f t="shared" si="4"/>
        <v>0</v>
      </c>
    </row>
    <row r="60" spans="1:22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7"/>
        <v/>
      </c>
      <c r="J60" s="41">
        <f t="shared" si="8"/>
        <v>-6</v>
      </c>
      <c r="K60" s="41">
        <f t="shared" si="0"/>
        <v>-60</v>
      </c>
      <c r="L60" s="41"/>
      <c r="M60" s="43">
        <f t="shared" si="1"/>
        <v>0</v>
      </c>
      <c r="O60" s="149">
        <v>55</v>
      </c>
      <c r="P60" s="149"/>
      <c r="Q60" s="149"/>
      <c r="R60" s="150" t="str">
        <f t="shared" si="10"/>
        <v/>
      </c>
      <c r="S60" s="152">
        <f t="shared" si="2"/>
        <v>-3</v>
      </c>
      <c r="T60" s="152">
        <f t="shared" si="3"/>
        <v>-30</v>
      </c>
      <c r="U60" s="150"/>
      <c r="V60" s="150">
        <f t="shared" si="4"/>
        <v>0</v>
      </c>
    </row>
    <row r="61" spans="1:22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7"/>
        <v/>
      </c>
      <c r="J61" s="47">
        <f t="shared" si="8"/>
        <v>-6</v>
      </c>
      <c r="K61" s="47">
        <f t="shared" si="0"/>
        <v>-60</v>
      </c>
      <c r="L61" s="47"/>
      <c r="M61" s="49">
        <f t="shared" si="1"/>
        <v>0</v>
      </c>
      <c r="O61" s="149">
        <v>56</v>
      </c>
      <c r="P61" s="149"/>
      <c r="Q61" s="149"/>
      <c r="R61" s="150" t="str">
        <f t="shared" si="10"/>
        <v/>
      </c>
      <c r="S61" s="152">
        <f t="shared" si="2"/>
        <v>-3</v>
      </c>
      <c r="T61" s="152">
        <f t="shared" si="3"/>
        <v>-30</v>
      </c>
      <c r="U61" s="150"/>
      <c r="V61" s="150">
        <f t="shared" si="4"/>
        <v>0</v>
      </c>
    </row>
    <row r="62" spans="1:22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7"/>
        <v/>
      </c>
      <c r="J62" s="41">
        <f t="shared" si="8"/>
        <v>-6</v>
      </c>
      <c r="K62" s="41">
        <f t="shared" si="0"/>
        <v>-60</v>
      </c>
      <c r="L62" s="41"/>
      <c r="M62" s="43">
        <f t="shared" si="1"/>
        <v>0</v>
      </c>
      <c r="O62" s="149">
        <v>57</v>
      </c>
      <c r="P62" s="149"/>
      <c r="Q62" s="149"/>
      <c r="R62" s="150" t="str">
        <f t="shared" si="10"/>
        <v/>
      </c>
      <c r="S62" s="152">
        <f t="shared" si="2"/>
        <v>-3</v>
      </c>
      <c r="T62" s="152">
        <f t="shared" si="3"/>
        <v>-30</v>
      </c>
      <c r="U62" s="150"/>
      <c r="V62" s="150">
        <f t="shared" si="4"/>
        <v>0</v>
      </c>
    </row>
    <row r="63" spans="1:22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7"/>
        <v/>
      </c>
      <c r="J63" s="47">
        <f t="shared" si="8"/>
        <v>-6</v>
      </c>
      <c r="K63" s="47">
        <f t="shared" si="0"/>
        <v>-60</v>
      </c>
      <c r="L63" s="47"/>
      <c r="M63" s="49">
        <f t="shared" si="1"/>
        <v>0</v>
      </c>
      <c r="O63" s="149">
        <v>58</v>
      </c>
      <c r="P63" s="149"/>
      <c r="Q63" s="149"/>
      <c r="R63" s="150" t="str">
        <f t="shared" si="10"/>
        <v/>
      </c>
      <c r="S63" s="152">
        <f t="shared" si="2"/>
        <v>-3</v>
      </c>
      <c r="T63" s="152">
        <f t="shared" si="3"/>
        <v>-30</v>
      </c>
      <c r="U63" s="150"/>
      <c r="V63" s="150">
        <f t="shared" si="4"/>
        <v>0</v>
      </c>
    </row>
    <row r="64" spans="1:22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7"/>
        <v/>
      </c>
      <c r="J64" s="41">
        <f t="shared" si="8"/>
        <v>-6</v>
      </c>
      <c r="K64" s="41">
        <f t="shared" si="0"/>
        <v>-60</v>
      </c>
      <c r="L64" s="41"/>
      <c r="M64" s="43">
        <f t="shared" si="1"/>
        <v>0</v>
      </c>
      <c r="O64" s="149">
        <v>59</v>
      </c>
      <c r="P64" s="149"/>
      <c r="Q64" s="149"/>
      <c r="R64" s="150" t="str">
        <f t="shared" si="10"/>
        <v/>
      </c>
      <c r="S64" s="152">
        <f t="shared" si="2"/>
        <v>-3</v>
      </c>
      <c r="T64" s="152">
        <f t="shared" si="3"/>
        <v>-30</v>
      </c>
      <c r="U64" s="150"/>
      <c r="V64" s="150">
        <f t="shared" si="4"/>
        <v>0</v>
      </c>
    </row>
    <row r="65" spans="1:22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7"/>
        <v/>
      </c>
      <c r="J65" s="47">
        <f t="shared" si="8"/>
        <v>-6</v>
      </c>
      <c r="K65" s="47">
        <f t="shared" si="0"/>
        <v>-60</v>
      </c>
      <c r="L65" s="47"/>
      <c r="M65" s="49">
        <f t="shared" si="1"/>
        <v>0</v>
      </c>
      <c r="O65" s="149">
        <v>60</v>
      </c>
      <c r="P65" s="149"/>
      <c r="Q65" s="149"/>
      <c r="R65" s="150" t="str">
        <f t="shared" si="10"/>
        <v/>
      </c>
      <c r="S65" s="152">
        <f t="shared" si="2"/>
        <v>-3</v>
      </c>
      <c r="T65" s="152">
        <f t="shared" si="3"/>
        <v>-30</v>
      </c>
      <c r="U65" s="150"/>
      <c r="V65" s="150">
        <f t="shared" si="4"/>
        <v>0</v>
      </c>
    </row>
    <row r="66" spans="1:22">
      <c r="A66" s="62"/>
      <c r="B66" s="39"/>
      <c r="G66" s="19"/>
      <c r="H66" s="41">
        <v>61</v>
      </c>
      <c r="I66" s="42" t="str">
        <f t="shared" si="7"/>
        <v/>
      </c>
      <c r="J66" s="41">
        <f t="shared" si="8"/>
        <v>-6</v>
      </c>
      <c r="K66" s="41">
        <f t="shared" si="0"/>
        <v>-60</v>
      </c>
      <c r="L66" s="41"/>
      <c r="M66" s="43">
        <f t="shared" si="1"/>
        <v>0</v>
      </c>
      <c r="O66" s="149">
        <v>61</v>
      </c>
      <c r="P66" s="149"/>
      <c r="Q66" s="149"/>
      <c r="R66" s="150" t="str">
        <f t="shared" si="10"/>
        <v/>
      </c>
      <c r="S66" s="152">
        <f t="shared" si="2"/>
        <v>-3</v>
      </c>
      <c r="T66" s="152">
        <f t="shared" si="3"/>
        <v>-30</v>
      </c>
      <c r="U66" s="150"/>
      <c r="V66" s="150">
        <f t="shared" si="4"/>
        <v>0</v>
      </c>
    </row>
    <row r="67" spans="1:22">
      <c r="A67" s="62"/>
      <c r="B67" s="45"/>
      <c r="G67" s="19"/>
      <c r="H67" s="41">
        <v>62</v>
      </c>
      <c r="I67" s="42" t="str">
        <f t="shared" si="7"/>
        <v/>
      </c>
      <c r="J67" s="41">
        <f t="shared" si="8"/>
        <v>-6</v>
      </c>
      <c r="K67" s="41">
        <f t="shared" si="0"/>
        <v>-60</v>
      </c>
      <c r="L67" s="41"/>
      <c r="M67" s="43">
        <f t="shared" si="1"/>
        <v>0</v>
      </c>
      <c r="O67" s="149">
        <v>62</v>
      </c>
      <c r="P67" s="149"/>
      <c r="Q67" s="149"/>
      <c r="R67" s="150" t="str">
        <f t="shared" si="10"/>
        <v/>
      </c>
      <c r="S67" s="152">
        <f t="shared" si="2"/>
        <v>-3</v>
      </c>
      <c r="T67" s="152">
        <f t="shared" si="3"/>
        <v>-30</v>
      </c>
      <c r="U67" s="150"/>
      <c r="V67" s="150">
        <f t="shared" si="4"/>
        <v>0</v>
      </c>
    </row>
    <row r="68" spans="1:22">
      <c r="A68" s="62"/>
      <c r="B68" s="39"/>
      <c r="G68" s="19"/>
      <c r="H68" s="41">
        <v>63</v>
      </c>
      <c r="I68" s="42" t="str">
        <f t="shared" si="7"/>
        <v/>
      </c>
      <c r="J68" s="41">
        <f t="shared" si="8"/>
        <v>-6</v>
      </c>
      <c r="K68" s="41">
        <f t="shared" si="0"/>
        <v>-60</v>
      </c>
      <c r="L68" s="41"/>
      <c r="M68" s="43">
        <f t="shared" si="1"/>
        <v>0</v>
      </c>
      <c r="O68" s="149">
        <v>63</v>
      </c>
      <c r="P68" s="149"/>
      <c r="Q68" s="149"/>
      <c r="R68" s="150" t="str">
        <f t="shared" si="10"/>
        <v/>
      </c>
      <c r="S68" s="152">
        <f t="shared" si="2"/>
        <v>-3</v>
      </c>
      <c r="T68" s="152">
        <f t="shared" si="3"/>
        <v>-30</v>
      </c>
      <c r="U68" s="150"/>
      <c r="V68" s="150">
        <f t="shared" si="4"/>
        <v>0</v>
      </c>
    </row>
    <row r="69" spans="1:22">
      <c r="A69" s="62"/>
      <c r="B69" s="45"/>
      <c r="G69" s="19"/>
      <c r="H69" s="41">
        <v>64</v>
      </c>
      <c r="I69" s="42" t="str">
        <f t="shared" si="7"/>
        <v/>
      </c>
      <c r="J69" s="41">
        <f t="shared" si="8"/>
        <v>-6</v>
      </c>
      <c r="K69" s="41">
        <f t="shared" si="0"/>
        <v>-60</v>
      </c>
      <c r="L69" s="41"/>
      <c r="M69" s="43">
        <f t="shared" si="1"/>
        <v>0</v>
      </c>
      <c r="O69" s="149">
        <v>64</v>
      </c>
      <c r="P69" s="149"/>
      <c r="Q69" s="149"/>
      <c r="R69" s="150" t="str">
        <f t="shared" si="10"/>
        <v/>
      </c>
      <c r="S69" s="152">
        <f t="shared" si="2"/>
        <v>-3</v>
      </c>
      <c r="T69" s="152">
        <f t="shared" si="3"/>
        <v>-30</v>
      </c>
      <c r="U69" s="150"/>
      <c r="V69" s="150">
        <f t="shared" si="4"/>
        <v>0</v>
      </c>
    </row>
    <row r="70" spans="1:22">
      <c r="A70" s="62"/>
      <c r="G70" s="19"/>
      <c r="H70" s="41">
        <v>65</v>
      </c>
      <c r="I70" s="42" t="str">
        <f t="shared" ref="I70:I133" si="11">IF(H70&lt;$H$2+1,($I$2-($I$2-1)*(LOG(H70)/LOG($H$2))),"")</f>
        <v/>
      </c>
      <c r="J70" s="41">
        <f t="shared" si="8"/>
        <v>-7</v>
      </c>
      <c r="K70" s="41">
        <f t="shared" ref="K70:K133" si="12">J70*$J$2</f>
        <v>-70</v>
      </c>
      <c r="L70" s="41"/>
      <c r="M70" s="43">
        <f t="shared" ref="M70:M133" si="13">IF(I70&lt;&gt;"",K70+I70+L70,0)</f>
        <v>0</v>
      </c>
      <c r="O70" s="149">
        <v>65</v>
      </c>
      <c r="P70" s="149"/>
      <c r="Q70" s="149"/>
      <c r="R70" s="150" t="str">
        <f t="shared" si="10"/>
        <v/>
      </c>
      <c r="S70" s="152">
        <f t="shared" ref="S70:S133" si="14">INT(LOG($O$2,2))-ROUNDUP(LOG(O70,2),0)+IF(OR($O$2=1,$O$2=2,$O$2=4,$O$2=8,$O$2=16,$O$2=32,$O$2=64,$O$2=128,$O$2=256),0,1)</f>
        <v>-4</v>
      </c>
      <c r="T70" s="152">
        <f t="shared" ref="T70:T133" si="15">S70*$J$2</f>
        <v>-40</v>
      </c>
      <c r="U70" s="150"/>
      <c r="V70" s="150">
        <f t="shared" ref="V70:V133" si="16">IF(R70&lt;&gt;"",T70+R70+U70,0)</f>
        <v>0</v>
      </c>
    </row>
    <row r="71" spans="1:22">
      <c r="A71" s="62"/>
      <c r="G71" s="19"/>
      <c r="H71" s="41">
        <v>66</v>
      </c>
      <c r="I71" s="42" t="str">
        <f t="shared" si="11"/>
        <v/>
      </c>
      <c r="J71" s="41">
        <f t="shared" ref="J71:J134" si="17">INT(LOG($H$2,2))-ROUNDUP(LOG(H71,2),0)+IF(OR($H$2=1,$H$2=2,$H$2=4,$H$2=8,$H$2=16,$H$2=32,$H$2=64,$H$2=128,$H$2=256),0,1)</f>
        <v>-7</v>
      </c>
      <c r="K71" s="41">
        <f t="shared" si="12"/>
        <v>-70</v>
      </c>
      <c r="L71" s="41"/>
      <c r="M71" s="43">
        <f t="shared" si="13"/>
        <v>0</v>
      </c>
      <c r="O71" s="149">
        <v>66</v>
      </c>
      <c r="P71" s="149"/>
      <c r="Q71" s="149"/>
      <c r="R71" s="150" t="str">
        <f t="shared" si="10"/>
        <v/>
      </c>
      <c r="S71" s="152">
        <f t="shared" si="14"/>
        <v>-4</v>
      </c>
      <c r="T71" s="152">
        <f t="shared" si="15"/>
        <v>-40</v>
      </c>
      <c r="U71" s="150"/>
      <c r="V71" s="150">
        <f t="shared" si="16"/>
        <v>0</v>
      </c>
    </row>
    <row r="72" spans="1:22">
      <c r="A72" s="62"/>
      <c r="G72" s="19"/>
      <c r="H72" s="41">
        <v>67</v>
      </c>
      <c r="I72" s="42" t="str">
        <f t="shared" si="11"/>
        <v/>
      </c>
      <c r="J72" s="41">
        <f t="shared" si="17"/>
        <v>-7</v>
      </c>
      <c r="K72" s="41">
        <f t="shared" si="12"/>
        <v>-70</v>
      </c>
      <c r="L72" s="41"/>
      <c r="M72" s="43">
        <f t="shared" si="13"/>
        <v>0</v>
      </c>
      <c r="O72" s="149">
        <v>67</v>
      </c>
      <c r="P72" s="149"/>
      <c r="Q72" s="149"/>
      <c r="R72" s="150" t="str">
        <f t="shared" si="10"/>
        <v/>
      </c>
      <c r="S72" s="152">
        <f t="shared" si="14"/>
        <v>-4</v>
      </c>
      <c r="T72" s="152">
        <f t="shared" si="15"/>
        <v>-40</v>
      </c>
      <c r="U72" s="150"/>
      <c r="V72" s="150">
        <f t="shared" si="16"/>
        <v>0</v>
      </c>
    </row>
    <row r="73" spans="1:22">
      <c r="A73" s="62"/>
      <c r="G73" s="19"/>
      <c r="H73" s="41">
        <v>68</v>
      </c>
      <c r="I73" s="42" t="str">
        <f t="shared" si="11"/>
        <v/>
      </c>
      <c r="J73" s="41">
        <f t="shared" si="17"/>
        <v>-7</v>
      </c>
      <c r="K73" s="41">
        <f t="shared" si="12"/>
        <v>-70</v>
      </c>
      <c r="L73" s="41"/>
      <c r="M73" s="43">
        <f t="shared" si="13"/>
        <v>0</v>
      </c>
      <c r="O73" s="149">
        <v>68</v>
      </c>
      <c r="P73" s="149"/>
      <c r="Q73" s="149"/>
      <c r="R73" s="150" t="str">
        <f t="shared" si="10"/>
        <v/>
      </c>
      <c r="S73" s="152">
        <f t="shared" si="14"/>
        <v>-4</v>
      </c>
      <c r="T73" s="152">
        <f t="shared" si="15"/>
        <v>-40</v>
      </c>
      <c r="U73" s="150"/>
      <c r="V73" s="150">
        <f t="shared" si="16"/>
        <v>0</v>
      </c>
    </row>
    <row r="74" spans="1:22">
      <c r="A74" s="62"/>
      <c r="G74" s="19"/>
      <c r="H74" s="41">
        <v>69</v>
      </c>
      <c r="I74" s="42" t="str">
        <f t="shared" si="11"/>
        <v/>
      </c>
      <c r="J74" s="41">
        <f t="shared" si="17"/>
        <v>-7</v>
      </c>
      <c r="K74" s="41">
        <f t="shared" si="12"/>
        <v>-70</v>
      </c>
      <c r="L74" s="41"/>
      <c r="M74" s="43">
        <f t="shared" si="13"/>
        <v>0</v>
      </c>
      <c r="O74" s="149">
        <v>69</v>
      </c>
      <c r="P74" s="149"/>
      <c r="Q74" s="149"/>
      <c r="R74" s="150" t="str">
        <f t="shared" si="10"/>
        <v/>
      </c>
      <c r="S74" s="152">
        <f t="shared" si="14"/>
        <v>-4</v>
      </c>
      <c r="T74" s="152">
        <f t="shared" si="15"/>
        <v>-40</v>
      </c>
      <c r="U74" s="150"/>
      <c r="V74" s="150">
        <f t="shared" si="16"/>
        <v>0</v>
      </c>
    </row>
    <row r="75" spans="1:22">
      <c r="A75" s="62"/>
      <c r="G75" s="19"/>
      <c r="H75" s="41">
        <v>70</v>
      </c>
      <c r="I75" s="42" t="str">
        <f t="shared" si="11"/>
        <v/>
      </c>
      <c r="J75" s="41">
        <f t="shared" si="17"/>
        <v>-7</v>
      </c>
      <c r="K75" s="41">
        <f t="shared" si="12"/>
        <v>-70</v>
      </c>
      <c r="L75" s="41"/>
      <c r="M75" s="43">
        <f t="shared" si="13"/>
        <v>0</v>
      </c>
      <c r="O75" s="149">
        <v>70</v>
      </c>
      <c r="P75" s="149"/>
      <c r="Q75" s="149"/>
      <c r="R75" s="150" t="str">
        <f t="shared" si="10"/>
        <v/>
      </c>
      <c r="S75" s="152">
        <f t="shared" si="14"/>
        <v>-4</v>
      </c>
      <c r="T75" s="152">
        <f t="shared" si="15"/>
        <v>-40</v>
      </c>
      <c r="U75" s="150"/>
      <c r="V75" s="150">
        <f t="shared" si="16"/>
        <v>0</v>
      </c>
    </row>
    <row r="76" spans="1:22">
      <c r="A76" s="62"/>
      <c r="G76" s="19"/>
      <c r="H76" s="41">
        <v>71</v>
      </c>
      <c r="I76" s="42" t="str">
        <f t="shared" si="11"/>
        <v/>
      </c>
      <c r="J76" s="41">
        <f t="shared" si="17"/>
        <v>-7</v>
      </c>
      <c r="K76" s="41">
        <f t="shared" si="12"/>
        <v>-70</v>
      </c>
      <c r="L76" s="41"/>
      <c r="M76" s="43">
        <f t="shared" si="13"/>
        <v>0</v>
      </c>
      <c r="O76" s="149">
        <v>71</v>
      </c>
      <c r="P76" s="149"/>
      <c r="Q76" s="149"/>
      <c r="R76" s="150" t="str">
        <f t="shared" si="10"/>
        <v/>
      </c>
      <c r="S76" s="152">
        <f t="shared" si="14"/>
        <v>-4</v>
      </c>
      <c r="T76" s="152">
        <f t="shared" si="15"/>
        <v>-40</v>
      </c>
      <c r="U76" s="150"/>
      <c r="V76" s="150">
        <f t="shared" si="16"/>
        <v>0</v>
      </c>
    </row>
    <row r="77" spans="1:22">
      <c r="A77" s="62"/>
      <c r="G77" s="19"/>
      <c r="H77" s="41">
        <v>72</v>
      </c>
      <c r="I77" s="42" t="str">
        <f t="shared" si="11"/>
        <v/>
      </c>
      <c r="J77" s="41">
        <f t="shared" si="17"/>
        <v>-7</v>
      </c>
      <c r="K77" s="41">
        <f t="shared" si="12"/>
        <v>-70</v>
      </c>
      <c r="L77" s="41"/>
      <c r="M77" s="43">
        <f t="shared" si="13"/>
        <v>0</v>
      </c>
      <c r="O77" s="149">
        <v>72</v>
      </c>
      <c r="P77" s="149"/>
      <c r="Q77" s="149"/>
      <c r="R77" s="150" t="str">
        <f t="shared" si="10"/>
        <v/>
      </c>
      <c r="S77" s="152">
        <f t="shared" si="14"/>
        <v>-4</v>
      </c>
      <c r="T77" s="152">
        <f t="shared" si="15"/>
        <v>-40</v>
      </c>
      <c r="U77" s="150"/>
      <c r="V77" s="150">
        <f t="shared" si="16"/>
        <v>0</v>
      </c>
    </row>
    <row r="78" spans="1:22">
      <c r="A78" s="62"/>
      <c r="G78" s="19"/>
      <c r="H78" s="41">
        <v>73</v>
      </c>
      <c r="I78" s="42" t="str">
        <f t="shared" si="11"/>
        <v/>
      </c>
      <c r="J78" s="41">
        <f t="shared" si="17"/>
        <v>-7</v>
      </c>
      <c r="K78" s="41">
        <f t="shared" si="12"/>
        <v>-70</v>
      </c>
      <c r="L78" s="41"/>
      <c r="M78" s="43">
        <f t="shared" si="13"/>
        <v>0</v>
      </c>
      <c r="O78" s="149">
        <v>73</v>
      </c>
      <c r="P78" s="149"/>
      <c r="Q78" s="149"/>
      <c r="R78" s="150" t="str">
        <f t="shared" si="10"/>
        <v/>
      </c>
      <c r="S78" s="152">
        <f t="shared" si="14"/>
        <v>-4</v>
      </c>
      <c r="T78" s="152">
        <f t="shared" si="15"/>
        <v>-40</v>
      </c>
      <c r="U78" s="150"/>
      <c r="V78" s="150">
        <f t="shared" si="16"/>
        <v>0</v>
      </c>
    </row>
    <row r="79" spans="1:22">
      <c r="A79" s="62"/>
      <c r="G79" s="19"/>
      <c r="H79" s="41">
        <v>74</v>
      </c>
      <c r="I79" s="42" t="str">
        <f t="shared" si="11"/>
        <v/>
      </c>
      <c r="J79" s="41">
        <f t="shared" si="17"/>
        <v>-7</v>
      </c>
      <c r="K79" s="41">
        <f t="shared" si="12"/>
        <v>-70</v>
      </c>
      <c r="L79" s="41"/>
      <c r="M79" s="43">
        <f t="shared" si="13"/>
        <v>0</v>
      </c>
      <c r="O79" s="149">
        <v>74</v>
      </c>
      <c r="P79" s="149"/>
      <c r="Q79" s="149"/>
      <c r="R79" s="150" t="str">
        <f t="shared" si="10"/>
        <v/>
      </c>
      <c r="S79" s="152">
        <f t="shared" si="14"/>
        <v>-4</v>
      </c>
      <c r="T79" s="152">
        <f t="shared" si="15"/>
        <v>-40</v>
      </c>
      <c r="U79" s="150"/>
      <c r="V79" s="150">
        <f t="shared" si="16"/>
        <v>0</v>
      </c>
    </row>
    <row r="80" spans="1:22">
      <c r="A80" s="62"/>
      <c r="G80" s="19"/>
      <c r="H80" s="41">
        <v>75</v>
      </c>
      <c r="I80" s="42" t="str">
        <f t="shared" si="11"/>
        <v/>
      </c>
      <c r="J80" s="41">
        <f t="shared" si="17"/>
        <v>-7</v>
      </c>
      <c r="K80" s="41">
        <f t="shared" si="12"/>
        <v>-70</v>
      </c>
      <c r="L80" s="41"/>
      <c r="M80" s="43">
        <f t="shared" si="13"/>
        <v>0</v>
      </c>
      <c r="O80" s="149">
        <v>75</v>
      </c>
      <c r="P80" s="149"/>
      <c r="Q80" s="149"/>
      <c r="R80" s="150" t="str">
        <f t="shared" ref="R80:R143" si="18">IF(O80&lt;$O$2+1,($I$2-($I$2-1)*(LOG(O80)/LOG($O$2))),"")</f>
        <v/>
      </c>
      <c r="S80" s="152">
        <f t="shared" si="14"/>
        <v>-4</v>
      </c>
      <c r="T80" s="152">
        <f t="shared" si="15"/>
        <v>-40</v>
      </c>
      <c r="U80" s="150"/>
      <c r="V80" s="150">
        <f t="shared" si="16"/>
        <v>0</v>
      </c>
    </row>
    <row r="81" spans="1:22">
      <c r="A81" s="62"/>
      <c r="G81" s="19"/>
      <c r="H81" s="41">
        <v>76</v>
      </c>
      <c r="I81" s="42" t="str">
        <f t="shared" si="11"/>
        <v/>
      </c>
      <c r="J81" s="41">
        <f t="shared" si="17"/>
        <v>-7</v>
      </c>
      <c r="K81" s="41">
        <f t="shared" si="12"/>
        <v>-70</v>
      </c>
      <c r="L81" s="41"/>
      <c r="M81" s="43">
        <f t="shared" si="13"/>
        <v>0</v>
      </c>
      <c r="O81" s="149">
        <v>76</v>
      </c>
      <c r="P81" s="149"/>
      <c r="Q81" s="149"/>
      <c r="R81" s="150" t="str">
        <f t="shared" si="18"/>
        <v/>
      </c>
      <c r="S81" s="152">
        <f t="shared" si="14"/>
        <v>-4</v>
      </c>
      <c r="T81" s="152">
        <f t="shared" si="15"/>
        <v>-40</v>
      </c>
      <c r="U81" s="150"/>
      <c r="V81" s="150">
        <f t="shared" si="16"/>
        <v>0</v>
      </c>
    </row>
    <row r="82" spans="1:22">
      <c r="A82" s="62"/>
      <c r="G82" s="19"/>
      <c r="H82" s="41">
        <v>77</v>
      </c>
      <c r="I82" s="42" t="str">
        <f t="shared" si="11"/>
        <v/>
      </c>
      <c r="J82" s="41">
        <f t="shared" si="17"/>
        <v>-7</v>
      </c>
      <c r="K82" s="41">
        <f t="shared" si="12"/>
        <v>-70</v>
      </c>
      <c r="L82" s="41"/>
      <c r="M82" s="43">
        <f t="shared" si="13"/>
        <v>0</v>
      </c>
      <c r="O82" s="149">
        <v>77</v>
      </c>
      <c r="P82" s="149"/>
      <c r="Q82" s="149"/>
      <c r="R82" s="150" t="str">
        <f t="shared" si="18"/>
        <v/>
      </c>
      <c r="S82" s="152">
        <f t="shared" si="14"/>
        <v>-4</v>
      </c>
      <c r="T82" s="152">
        <f t="shared" si="15"/>
        <v>-40</v>
      </c>
      <c r="U82" s="150"/>
      <c r="V82" s="150">
        <f t="shared" si="16"/>
        <v>0</v>
      </c>
    </row>
    <row r="83" spans="1:22">
      <c r="A83" s="62"/>
      <c r="G83" s="19"/>
      <c r="H83" s="41">
        <v>78</v>
      </c>
      <c r="I83" s="42" t="str">
        <f t="shared" si="11"/>
        <v/>
      </c>
      <c r="J83" s="41">
        <f t="shared" si="17"/>
        <v>-7</v>
      </c>
      <c r="K83" s="41">
        <f t="shared" si="12"/>
        <v>-70</v>
      </c>
      <c r="L83" s="41"/>
      <c r="M83" s="43">
        <f t="shared" si="13"/>
        <v>0</v>
      </c>
      <c r="O83" s="149">
        <v>78</v>
      </c>
      <c r="P83" s="149"/>
      <c r="Q83" s="149"/>
      <c r="R83" s="150" t="str">
        <f t="shared" si="18"/>
        <v/>
      </c>
      <c r="S83" s="152">
        <f t="shared" si="14"/>
        <v>-4</v>
      </c>
      <c r="T83" s="152">
        <f t="shared" si="15"/>
        <v>-40</v>
      </c>
      <c r="U83" s="150"/>
      <c r="V83" s="150">
        <f t="shared" si="16"/>
        <v>0</v>
      </c>
    </row>
    <row r="84" spans="1:22">
      <c r="A84" s="62"/>
      <c r="G84" s="19"/>
      <c r="H84" s="41">
        <v>79</v>
      </c>
      <c r="I84" s="42" t="str">
        <f t="shared" si="11"/>
        <v/>
      </c>
      <c r="J84" s="41">
        <f t="shared" si="17"/>
        <v>-7</v>
      </c>
      <c r="K84" s="41">
        <f t="shared" si="12"/>
        <v>-70</v>
      </c>
      <c r="L84" s="41"/>
      <c r="M84" s="43">
        <f t="shared" si="13"/>
        <v>0</v>
      </c>
      <c r="O84" s="149">
        <v>79</v>
      </c>
      <c r="P84" s="149"/>
      <c r="Q84" s="149"/>
      <c r="R84" s="150" t="str">
        <f t="shared" si="18"/>
        <v/>
      </c>
      <c r="S84" s="152">
        <f t="shared" si="14"/>
        <v>-4</v>
      </c>
      <c r="T84" s="152">
        <f t="shared" si="15"/>
        <v>-40</v>
      </c>
      <c r="U84" s="150"/>
      <c r="V84" s="150">
        <f t="shared" si="16"/>
        <v>0</v>
      </c>
    </row>
    <row r="85" spans="1:22">
      <c r="A85" s="62"/>
      <c r="G85" s="19"/>
      <c r="H85" s="41">
        <v>80</v>
      </c>
      <c r="I85" s="42" t="str">
        <f t="shared" si="11"/>
        <v/>
      </c>
      <c r="J85" s="41">
        <f t="shared" si="17"/>
        <v>-7</v>
      </c>
      <c r="K85" s="41">
        <f t="shared" si="12"/>
        <v>-70</v>
      </c>
      <c r="L85" s="41"/>
      <c r="M85" s="43">
        <f t="shared" si="13"/>
        <v>0</v>
      </c>
      <c r="O85" s="149">
        <v>80</v>
      </c>
      <c r="P85" s="149"/>
      <c r="Q85" s="149"/>
      <c r="R85" s="150" t="str">
        <f t="shared" si="18"/>
        <v/>
      </c>
      <c r="S85" s="152">
        <f t="shared" si="14"/>
        <v>-4</v>
      </c>
      <c r="T85" s="152">
        <f t="shared" si="15"/>
        <v>-40</v>
      </c>
      <c r="U85" s="150"/>
      <c r="V85" s="150">
        <f t="shared" si="16"/>
        <v>0</v>
      </c>
    </row>
    <row r="86" spans="1:22">
      <c r="A86" s="62"/>
      <c r="G86" s="19"/>
      <c r="H86" s="41">
        <v>81</v>
      </c>
      <c r="I86" s="42" t="str">
        <f t="shared" si="11"/>
        <v/>
      </c>
      <c r="J86" s="41">
        <f t="shared" si="17"/>
        <v>-7</v>
      </c>
      <c r="K86" s="41">
        <f t="shared" si="12"/>
        <v>-70</v>
      </c>
      <c r="L86" s="41"/>
      <c r="M86" s="43">
        <f t="shared" si="13"/>
        <v>0</v>
      </c>
      <c r="O86" s="149">
        <v>81</v>
      </c>
      <c r="P86" s="149"/>
      <c r="Q86" s="149"/>
      <c r="R86" s="150" t="str">
        <f t="shared" si="18"/>
        <v/>
      </c>
      <c r="S86" s="152">
        <f t="shared" si="14"/>
        <v>-4</v>
      </c>
      <c r="T86" s="152">
        <f t="shared" si="15"/>
        <v>-40</v>
      </c>
      <c r="U86" s="150"/>
      <c r="V86" s="150">
        <f t="shared" si="16"/>
        <v>0</v>
      </c>
    </row>
    <row r="87" spans="1:22">
      <c r="A87" s="62"/>
      <c r="G87" s="19"/>
      <c r="H87" s="41">
        <v>82</v>
      </c>
      <c r="I87" s="42" t="str">
        <f t="shared" si="11"/>
        <v/>
      </c>
      <c r="J87" s="41">
        <f t="shared" si="17"/>
        <v>-7</v>
      </c>
      <c r="K87" s="41">
        <f t="shared" si="12"/>
        <v>-70</v>
      </c>
      <c r="L87" s="41"/>
      <c r="M87" s="43">
        <f t="shared" si="13"/>
        <v>0</v>
      </c>
      <c r="O87" s="149">
        <v>82</v>
      </c>
      <c r="P87" s="149"/>
      <c r="Q87" s="149"/>
      <c r="R87" s="150" t="str">
        <f t="shared" si="18"/>
        <v/>
      </c>
      <c r="S87" s="152">
        <f t="shared" si="14"/>
        <v>-4</v>
      </c>
      <c r="T87" s="152">
        <f t="shared" si="15"/>
        <v>-40</v>
      </c>
      <c r="U87" s="150"/>
      <c r="V87" s="150">
        <f t="shared" si="16"/>
        <v>0</v>
      </c>
    </row>
    <row r="88" spans="1:22">
      <c r="A88" s="62"/>
      <c r="G88" s="19"/>
      <c r="H88" s="41">
        <v>83</v>
      </c>
      <c r="I88" s="42" t="str">
        <f t="shared" si="11"/>
        <v/>
      </c>
      <c r="J88" s="41">
        <f t="shared" si="17"/>
        <v>-7</v>
      </c>
      <c r="K88" s="41">
        <f t="shared" si="12"/>
        <v>-70</v>
      </c>
      <c r="L88" s="41"/>
      <c r="M88" s="43">
        <f t="shared" si="13"/>
        <v>0</v>
      </c>
      <c r="O88" s="149">
        <v>83</v>
      </c>
      <c r="P88" s="149"/>
      <c r="Q88" s="149"/>
      <c r="R88" s="150" t="str">
        <f t="shared" si="18"/>
        <v/>
      </c>
      <c r="S88" s="152">
        <f t="shared" si="14"/>
        <v>-4</v>
      </c>
      <c r="T88" s="152">
        <f t="shared" si="15"/>
        <v>-40</v>
      </c>
      <c r="U88" s="150"/>
      <c r="V88" s="150">
        <f t="shared" si="16"/>
        <v>0</v>
      </c>
    </row>
    <row r="89" spans="1:22">
      <c r="A89" s="62"/>
      <c r="G89" s="19"/>
      <c r="H89" s="41">
        <v>84</v>
      </c>
      <c r="I89" s="42" t="str">
        <f t="shared" si="11"/>
        <v/>
      </c>
      <c r="J89" s="41">
        <f t="shared" si="17"/>
        <v>-7</v>
      </c>
      <c r="K89" s="41">
        <f t="shared" si="12"/>
        <v>-70</v>
      </c>
      <c r="L89" s="41"/>
      <c r="M89" s="43">
        <f t="shared" si="13"/>
        <v>0</v>
      </c>
      <c r="O89" s="149">
        <v>84</v>
      </c>
      <c r="P89" s="149"/>
      <c r="Q89" s="149"/>
      <c r="R89" s="150" t="str">
        <f t="shared" si="18"/>
        <v/>
      </c>
      <c r="S89" s="152">
        <f t="shared" si="14"/>
        <v>-4</v>
      </c>
      <c r="T89" s="152">
        <f t="shared" si="15"/>
        <v>-40</v>
      </c>
      <c r="U89" s="150"/>
      <c r="V89" s="150">
        <f t="shared" si="16"/>
        <v>0</v>
      </c>
    </row>
    <row r="90" spans="1:22">
      <c r="A90" s="62"/>
      <c r="G90" s="19"/>
      <c r="H90" s="41">
        <v>85</v>
      </c>
      <c r="I90" s="42" t="str">
        <f t="shared" si="11"/>
        <v/>
      </c>
      <c r="J90" s="41">
        <f t="shared" si="17"/>
        <v>-7</v>
      </c>
      <c r="K90" s="41">
        <f t="shared" si="12"/>
        <v>-70</v>
      </c>
      <c r="L90" s="41"/>
      <c r="M90" s="43">
        <f t="shared" si="13"/>
        <v>0</v>
      </c>
      <c r="O90" s="149">
        <v>85</v>
      </c>
      <c r="P90" s="149"/>
      <c r="Q90" s="149"/>
      <c r="R90" s="150" t="str">
        <f t="shared" si="18"/>
        <v/>
      </c>
      <c r="S90" s="152">
        <f t="shared" si="14"/>
        <v>-4</v>
      </c>
      <c r="T90" s="152">
        <f t="shared" si="15"/>
        <v>-40</v>
      </c>
      <c r="U90" s="150"/>
      <c r="V90" s="150">
        <f t="shared" si="16"/>
        <v>0</v>
      </c>
    </row>
    <row r="91" spans="1:22">
      <c r="A91" s="62"/>
      <c r="G91" s="19"/>
      <c r="H91" s="41">
        <v>86</v>
      </c>
      <c r="I91" s="42" t="str">
        <f t="shared" si="11"/>
        <v/>
      </c>
      <c r="J91" s="41">
        <f t="shared" si="17"/>
        <v>-7</v>
      </c>
      <c r="K91" s="41">
        <f t="shared" si="12"/>
        <v>-70</v>
      </c>
      <c r="L91" s="41"/>
      <c r="M91" s="43">
        <f t="shared" si="13"/>
        <v>0</v>
      </c>
      <c r="O91" s="149">
        <v>86</v>
      </c>
      <c r="P91" s="149"/>
      <c r="Q91" s="149"/>
      <c r="R91" s="150" t="str">
        <f t="shared" si="18"/>
        <v/>
      </c>
      <c r="S91" s="152">
        <f t="shared" si="14"/>
        <v>-4</v>
      </c>
      <c r="T91" s="152">
        <f t="shared" si="15"/>
        <v>-40</v>
      </c>
      <c r="U91" s="150"/>
      <c r="V91" s="150">
        <f t="shared" si="16"/>
        <v>0</v>
      </c>
    </row>
    <row r="92" spans="1:22">
      <c r="A92" s="62"/>
      <c r="G92" s="19"/>
      <c r="H92" s="41">
        <v>87</v>
      </c>
      <c r="I92" s="42" t="str">
        <f t="shared" si="11"/>
        <v/>
      </c>
      <c r="J92" s="41">
        <f t="shared" si="17"/>
        <v>-7</v>
      </c>
      <c r="K92" s="41">
        <f t="shared" si="12"/>
        <v>-70</v>
      </c>
      <c r="L92" s="41"/>
      <c r="M92" s="43">
        <f t="shared" si="13"/>
        <v>0</v>
      </c>
      <c r="O92" s="149">
        <v>87</v>
      </c>
      <c r="P92" s="149"/>
      <c r="Q92" s="149"/>
      <c r="R92" s="150" t="str">
        <f t="shared" si="18"/>
        <v/>
      </c>
      <c r="S92" s="152">
        <f t="shared" si="14"/>
        <v>-4</v>
      </c>
      <c r="T92" s="152">
        <f t="shared" si="15"/>
        <v>-40</v>
      </c>
      <c r="U92" s="150"/>
      <c r="V92" s="150">
        <f t="shared" si="16"/>
        <v>0</v>
      </c>
    </row>
    <row r="93" spans="1:22">
      <c r="A93" s="62"/>
      <c r="G93" s="19"/>
      <c r="H93" s="41">
        <v>88</v>
      </c>
      <c r="I93" s="42" t="str">
        <f t="shared" si="11"/>
        <v/>
      </c>
      <c r="J93" s="41">
        <f t="shared" si="17"/>
        <v>-7</v>
      </c>
      <c r="K93" s="41">
        <f t="shared" si="12"/>
        <v>-70</v>
      </c>
      <c r="L93" s="41"/>
      <c r="M93" s="43">
        <f t="shared" si="13"/>
        <v>0</v>
      </c>
      <c r="O93" s="149">
        <v>88</v>
      </c>
      <c r="P93" s="149"/>
      <c r="Q93" s="149"/>
      <c r="R93" s="150" t="str">
        <f t="shared" si="18"/>
        <v/>
      </c>
      <c r="S93" s="152">
        <f t="shared" si="14"/>
        <v>-4</v>
      </c>
      <c r="T93" s="152">
        <f t="shared" si="15"/>
        <v>-40</v>
      </c>
      <c r="U93" s="150"/>
      <c r="V93" s="150">
        <f t="shared" si="16"/>
        <v>0</v>
      </c>
    </row>
    <row r="94" spans="1:22">
      <c r="A94" s="62"/>
      <c r="G94" s="19"/>
      <c r="H94" s="41">
        <v>89</v>
      </c>
      <c r="I94" s="42" t="str">
        <f t="shared" si="11"/>
        <v/>
      </c>
      <c r="J94" s="41">
        <f t="shared" si="17"/>
        <v>-7</v>
      </c>
      <c r="K94" s="41">
        <f t="shared" si="12"/>
        <v>-70</v>
      </c>
      <c r="L94" s="41"/>
      <c r="M94" s="43">
        <f t="shared" si="13"/>
        <v>0</v>
      </c>
      <c r="O94" s="149">
        <v>89</v>
      </c>
      <c r="P94" s="149"/>
      <c r="Q94" s="149"/>
      <c r="R94" s="150" t="str">
        <f t="shared" si="18"/>
        <v/>
      </c>
      <c r="S94" s="152">
        <f t="shared" si="14"/>
        <v>-4</v>
      </c>
      <c r="T94" s="152">
        <f t="shared" si="15"/>
        <v>-40</v>
      </c>
      <c r="U94" s="150"/>
      <c r="V94" s="150">
        <f t="shared" si="16"/>
        <v>0</v>
      </c>
    </row>
    <row r="95" spans="1:22">
      <c r="A95" s="62"/>
      <c r="G95" s="19"/>
      <c r="H95" s="41">
        <v>90</v>
      </c>
      <c r="I95" s="42" t="str">
        <f t="shared" si="11"/>
        <v/>
      </c>
      <c r="J95" s="41">
        <f t="shared" si="17"/>
        <v>-7</v>
      </c>
      <c r="K95" s="41">
        <f t="shared" si="12"/>
        <v>-70</v>
      </c>
      <c r="L95" s="41"/>
      <c r="M95" s="43">
        <f t="shared" si="13"/>
        <v>0</v>
      </c>
      <c r="O95" s="149">
        <v>90</v>
      </c>
      <c r="P95" s="149"/>
      <c r="Q95" s="149"/>
      <c r="R95" s="150" t="str">
        <f t="shared" si="18"/>
        <v/>
      </c>
      <c r="S95" s="152">
        <f t="shared" si="14"/>
        <v>-4</v>
      </c>
      <c r="T95" s="152">
        <f t="shared" si="15"/>
        <v>-40</v>
      </c>
      <c r="U95" s="150"/>
      <c r="V95" s="150">
        <f t="shared" si="16"/>
        <v>0</v>
      </c>
    </row>
    <row r="96" spans="1:22">
      <c r="A96" s="62"/>
      <c r="G96" s="19"/>
      <c r="H96" s="41">
        <v>91</v>
      </c>
      <c r="I96" s="42" t="str">
        <f t="shared" si="11"/>
        <v/>
      </c>
      <c r="J96" s="41">
        <f t="shared" si="17"/>
        <v>-7</v>
      </c>
      <c r="K96" s="41">
        <f t="shared" si="12"/>
        <v>-70</v>
      </c>
      <c r="L96" s="41"/>
      <c r="M96" s="43">
        <f t="shared" si="13"/>
        <v>0</v>
      </c>
      <c r="O96" s="149">
        <v>91</v>
      </c>
      <c r="P96" s="149"/>
      <c r="Q96" s="149"/>
      <c r="R96" s="150" t="str">
        <f t="shared" si="18"/>
        <v/>
      </c>
      <c r="S96" s="152">
        <f t="shared" si="14"/>
        <v>-4</v>
      </c>
      <c r="T96" s="152">
        <f t="shared" si="15"/>
        <v>-40</v>
      </c>
      <c r="U96" s="150"/>
      <c r="V96" s="150">
        <f t="shared" si="16"/>
        <v>0</v>
      </c>
    </row>
    <row r="97" spans="1:22">
      <c r="A97" s="62"/>
      <c r="G97" s="19"/>
      <c r="H97" s="41">
        <v>92</v>
      </c>
      <c r="I97" s="42" t="str">
        <f t="shared" si="11"/>
        <v/>
      </c>
      <c r="J97" s="41">
        <f t="shared" si="17"/>
        <v>-7</v>
      </c>
      <c r="K97" s="41">
        <f t="shared" si="12"/>
        <v>-70</v>
      </c>
      <c r="L97" s="41"/>
      <c r="M97" s="43">
        <f t="shared" si="13"/>
        <v>0</v>
      </c>
      <c r="O97" s="149">
        <v>92</v>
      </c>
      <c r="P97" s="149"/>
      <c r="Q97" s="149"/>
      <c r="R97" s="150" t="str">
        <f t="shared" si="18"/>
        <v/>
      </c>
      <c r="S97" s="152">
        <f t="shared" si="14"/>
        <v>-4</v>
      </c>
      <c r="T97" s="152">
        <f t="shared" si="15"/>
        <v>-40</v>
      </c>
      <c r="U97" s="150"/>
      <c r="V97" s="150">
        <f t="shared" si="16"/>
        <v>0</v>
      </c>
    </row>
    <row r="98" spans="1:22">
      <c r="A98" s="62"/>
      <c r="G98" s="19"/>
      <c r="H98" s="41">
        <v>93</v>
      </c>
      <c r="I98" s="42" t="str">
        <f t="shared" si="11"/>
        <v/>
      </c>
      <c r="J98" s="41">
        <f t="shared" si="17"/>
        <v>-7</v>
      </c>
      <c r="K98" s="41">
        <f t="shared" si="12"/>
        <v>-70</v>
      </c>
      <c r="L98" s="41"/>
      <c r="M98" s="43">
        <f t="shared" si="13"/>
        <v>0</v>
      </c>
      <c r="O98" s="149">
        <v>93</v>
      </c>
      <c r="P98" s="149"/>
      <c r="Q98" s="149"/>
      <c r="R98" s="150" t="str">
        <f t="shared" si="18"/>
        <v/>
      </c>
      <c r="S98" s="152">
        <f t="shared" si="14"/>
        <v>-4</v>
      </c>
      <c r="T98" s="152">
        <f t="shared" si="15"/>
        <v>-40</v>
      </c>
      <c r="U98" s="150"/>
      <c r="V98" s="150">
        <f t="shared" si="16"/>
        <v>0</v>
      </c>
    </row>
    <row r="99" spans="1:22">
      <c r="A99" s="62"/>
      <c r="G99" s="19"/>
      <c r="H99" s="41">
        <v>94</v>
      </c>
      <c r="I99" s="42" t="str">
        <f t="shared" si="11"/>
        <v/>
      </c>
      <c r="J99" s="41">
        <f t="shared" si="17"/>
        <v>-7</v>
      </c>
      <c r="K99" s="41">
        <f t="shared" si="12"/>
        <v>-70</v>
      </c>
      <c r="L99" s="41"/>
      <c r="M99" s="43">
        <f t="shared" si="13"/>
        <v>0</v>
      </c>
      <c r="O99" s="149">
        <v>94</v>
      </c>
      <c r="P99" s="149"/>
      <c r="Q99" s="149"/>
      <c r="R99" s="150" t="str">
        <f t="shared" si="18"/>
        <v/>
      </c>
      <c r="S99" s="152">
        <f t="shared" si="14"/>
        <v>-4</v>
      </c>
      <c r="T99" s="152">
        <f t="shared" si="15"/>
        <v>-40</v>
      </c>
      <c r="U99" s="150"/>
      <c r="V99" s="150">
        <f t="shared" si="16"/>
        <v>0</v>
      </c>
    </row>
    <row r="100" spans="1:22">
      <c r="A100" s="62"/>
      <c r="G100" s="19"/>
      <c r="H100" s="41">
        <v>95</v>
      </c>
      <c r="I100" s="42" t="str">
        <f t="shared" si="11"/>
        <v/>
      </c>
      <c r="J100" s="41">
        <f t="shared" si="17"/>
        <v>-7</v>
      </c>
      <c r="K100" s="41">
        <f t="shared" si="12"/>
        <v>-70</v>
      </c>
      <c r="L100" s="41"/>
      <c r="M100" s="43">
        <f t="shared" si="13"/>
        <v>0</v>
      </c>
      <c r="O100" s="149">
        <v>95</v>
      </c>
      <c r="P100" s="149"/>
      <c r="Q100" s="149"/>
      <c r="R100" s="150" t="str">
        <f t="shared" si="18"/>
        <v/>
      </c>
      <c r="S100" s="152">
        <f t="shared" si="14"/>
        <v>-4</v>
      </c>
      <c r="T100" s="152">
        <f t="shared" si="15"/>
        <v>-40</v>
      </c>
      <c r="U100" s="150"/>
      <c r="V100" s="150">
        <f t="shared" si="16"/>
        <v>0</v>
      </c>
    </row>
    <row r="101" spans="1:22">
      <c r="A101" s="62"/>
      <c r="G101" s="19"/>
      <c r="H101" s="41">
        <v>96</v>
      </c>
      <c r="I101" s="42" t="str">
        <f t="shared" si="11"/>
        <v/>
      </c>
      <c r="J101" s="41">
        <f t="shared" si="17"/>
        <v>-7</v>
      </c>
      <c r="K101" s="41">
        <f t="shared" si="12"/>
        <v>-70</v>
      </c>
      <c r="L101" s="41"/>
      <c r="M101" s="43">
        <f t="shared" si="13"/>
        <v>0</v>
      </c>
      <c r="O101" s="149">
        <v>96</v>
      </c>
      <c r="P101" s="149"/>
      <c r="Q101" s="149"/>
      <c r="R101" s="150" t="str">
        <f t="shared" si="18"/>
        <v/>
      </c>
      <c r="S101" s="152">
        <f t="shared" si="14"/>
        <v>-4</v>
      </c>
      <c r="T101" s="152">
        <f t="shared" si="15"/>
        <v>-40</v>
      </c>
      <c r="U101" s="150"/>
      <c r="V101" s="150">
        <f t="shared" si="16"/>
        <v>0</v>
      </c>
    </row>
    <row r="102" spans="1:22">
      <c r="A102" s="62"/>
      <c r="G102" s="19"/>
      <c r="H102" s="41">
        <v>97</v>
      </c>
      <c r="I102" s="42" t="str">
        <f t="shared" si="11"/>
        <v/>
      </c>
      <c r="J102" s="41">
        <f t="shared" si="17"/>
        <v>-7</v>
      </c>
      <c r="K102" s="41">
        <f t="shared" si="12"/>
        <v>-70</v>
      </c>
      <c r="L102" s="41"/>
      <c r="M102" s="43">
        <f t="shared" si="13"/>
        <v>0</v>
      </c>
      <c r="O102" s="149">
        <v>97</v>
      </c>
      <c r="P102" s="149"/>
      <c r="Q102" s="149"/>
      <c r="R102" s="150" t="str">
        <f t="shared" si="18"/>
        <v/>
      </c>
      <c r="S102" s="152">
        <f t="shared" si="14"/>
        <v>-4</v>
      </c>
      <c r="T102" s="152">
        <f t="shared" si="15"/>
        <v>-40</v>
      </c>
      <c r="U102" s="150"/>
      <c r="V102" s="150">
        <f t="shared" si="16"/>
        <v>0</v>
      </c>
    </row>
    <row r="103" spans="1:22">
      <c r="A103" s="62"/>
      <c r="G103" s="19"/>
      <c r="H103" s="41">
        <v>98</v>
      </c>
      <c r="I103" s="42" t="str">
        <f t="shared" si="11"/>
        <v/>
      </c>
      <c r="J103" s="41">
        <f t="shared" si="17"/>
        <v>-7</v>
      </c>
      <c r="K103" s="41">
        <f t="shared" si="12"/>
        <v>-70</v>
      </c>
      <c r="L103" s="41"/>
      <c r="M103" s="43">
        <f t="shared" si="13"/>
        <v>0</v>
      </c>
      <c r="O103" s="149">
        <v>98</v>
      </c>
      <c r="P103" s="149"/>
      <c r="Q103" s="149"/>
      <c r="R103" s="150" t="str">
        <f t="shared" si="18"/>
        <v/>
      </c>
      <c r="S103" s="152">
        <f t="shared" si="14"/>
        <v>-4</v>
      </c>
      <c r="T103" s="152">
        <f t="shared" si="15"/>
        <v>-40</v>
      </c>
      <c r="U103" s="150"/>
      <c r="V103" s="150">
        <f t="shared" si="16"/>
        <v>0</v>
      </c>
    </row>
    <row r="104" spans="1:22">
      <c r="A104" s="62"/>
      <c r="G104" s="19"/>
      <c r="H104" s="41">
        <v>99</v>
      </c>
      <c r="I104" s="42" t="str">
        <f t="shared" si="11"/>
        <v/>
      </c>
      <c r="J104" s="41">
        <f t="shared" si="17"/>
        <v>-7</v>
      </c>
      <c r="K104" s="41">
        <f t="shared" si="12"/>
        <v>-70</v>
      </c>
      <c r="L104" s="41"/>
      <c r="M104" s="43">
        <f t="shared" si="13"/>
        <v>0</v>
      </c>
      <c r="O104" s="149">
        <v>99</v>
      </c>
      <c r="P104" s="149"/>
      <c r="Q104" s="149"/>
      <c r="R104" s="150" t="str">
        <f t="shared" si="18"/>
        <v/>
      </c>
      <c r="S104" s="152">
        <f t="shared" si="14"/>
        <v>-4</v>
      </c>
      <c r="T104" s="152">
        <f t="shared" si="15"/>
        <v>-40</v>
      </c>
      <c r="U104" s="150"/>
      <c r="V104" s="150">
        <f t="shared" si="16"/>
        <v>0</v>
      </c>
    </row>
    <row r="105" spans="1:22">
      <c r="A105" s="62"/>
      <c r="G105" s="19"/>
      <c r="H105" s="41">
        <v>100</v>
      </c>
      <c r="I105" s="42" t="str">
        <f t="shared" si="11"/>
        <v/>
      </c>
      <c r="J105" s="41">
        <f t="shared" si="17"/>
        <v>-7</v>
      </c>
      <c r="K105" s="41">
        <f t="shared" si="12"/>
        <v>-70</v>
      </c>
      <c r="L105" s="41"/>
      <c r="M105" s="43">
        <f t="shared" si="13"/>
        <v>0</v>
      </c>
      <c r="O105" s="149">
        <v>100</v>
      </c>
      <c r="P105" s="149"/>
      <c r="Q105" s="149"/>
      <c r="R105" s="150" t="str">
        <f t="shared" si="18"/>
        <v/>
      </c>
      <c r="S105" s="152">
        <f t="shared" si="14"/>
        <v>-4</v>
      </c>
      <c r="T105" s="152">
        <f t="shared" si="15"/>
        <v>-40</v>
      </c>
      <c r="U105" s="150"/>
      <c r="V105" s="150">
        <f t="shared" si="16"/>
        <v>0</v>
      </c>
    </row>
    <row r="106" spans="1:22">
      <c r="A106" s="62"/>
      <c r="G106" s="19"/>
      <c r="H106" s="41">
        <v>101</v>
      </c>
      <c r="I106" s="42" t="str">
        <f t="shared" si="11"/>
        <v/>
      </c>
      <c r="J106" s="41">
        <f t="shared" si="17"/>
        <v>-7</v>
      </c>
      <c r="K106" s="41">
        <f t="shared" si="12"/>
        <v>-70</v>
      </c>
      <c r="L106" s="41"/>
      <c r="M106" s="43">
        <f t="shared" si="13"/>
        <v>0</v>
      </c>
      <c r="O106" s="149">
        <v>101</v>
      </c>
      <c r="P106" s="149"/>
      <c r="Q106" s="149"/>
      <c r="R106" s="150" t="str">
        <f t="shared" si="18"/>
        <v/>
      </c>
      <c r="S106" s="152">
        <f t="shared" si="14"/>
        <v>-4</v>
      </c>
      <c r="T106" s="152">
        <f t="shared" si="15"/>
        <v>-40</v>
      </c>
      <c r="U106" s="150"/>
      <c r="V106" s="150">
        <f t="shared" si="16"/>
        <v>0</v>
      </c>
    </row>
    <row r="107" spans="1:22">
      <c r="A107" s="62"/>
      <c r="G107" s="19"/>
      <c r="H107" s="41">
        <v>102</v>
      </c>
      <c r="I107" s="42" t="str">
        <f t="shared" si="11"/>
        <v/>
      </c>
      <c r="J107" s="41">
        <f t="shared" si="17"/>
        <v>-7</v>
      </c>
      <c r="K107" s="41">
        <f t="shared" si="12"/>
        <v>-70</v>
      </c>
      <c r="L107" s="41"/>
      <c r="M107" s="43">
        <f t="shared" si="13"/>
        <v>0</v>
      </c>
      <c r="O107" s="149">
        <v>102</v>
      </c>
      <c r="P107" s="149"/>
      <c r="Q107" s="149"/>
      <c r="R107" s="150" t="str">
        <f t="shared" si="18"/>
        <v/>
      </c>
      <c r="S107" s="152">
        <f t="shared" si="14"/>
        <v>-4</v>
      </c>
      <c r="T107" s="152">
        <f t="shared" si="15"/>
        <v>-40</v>
      </c>
      <c r="U107" s="150"/>
      <c r="V107" s="150">
        <f t="shared" si="16"/>
        <v>0</v>
      </c>
    </row>
    <row r="108" spans="1:22">
      <c r="A108" s="62"/>
      <c r="G108" s="19"/>
      <c r="H108" s="41">
        <v>103</v>
      </c>
      <c r="I108" s="42" t="str">
        <f t="shared" si="11"/>
        <v/>
      </c>
      <c r="J108" s="41">
        <f t="shared" si="17"/>
        <v>-7</v>
      </c>
      <c r="K108" s="41">
        <f t="shared" si="12"/>
        <v>-70</v>
      </c>
      <c r="L108" s="41"/>
      <c r="M108" s="43">
        <f t="shared" si="13"/>
        <v>0</v>
      </c>
      <c r="O108" s="149">
        <v>103</v>
      </c>
      <c r="P108" s="149"/>
      <c r="Q108" s="149"/>
      <c r="R108" s="150" t="str">
        <f t="shared" si="18"/>
        <v/>
      </c>
      <c r="S108" s="152">
        <f t="shared" si="14"/>
        <v>-4</v>
      </c>
      <c r="T108" s="152">
        <f t="shared" si="15"/>
        <v>-40</v>
      </c>
      <c r="U108" s="150"/>
      <c r="V108" s="150">
        <f t="shared" si="16"/>
        <v>0</v>
      </c>
    </row>
    <row r="109" spans="1:22">
      <c r="A109" s="62"/>
      <c r="G109" s="19"/>
      <c r="H109" s="41">
        <v>104</v>
      </c>
      <c r="I109" s="42" t="str">
        <f t="shared" si="11"/>
        <v/>
      </c>
      <c r="J109" s="41">
        <f t="shared" si="17"/>
        <v>-7</v>
      </c>
      <c r="K109" s="41">
        <f t="shared" si="12"/>
        <v>-70</v>
      </c>
      <c r="L109" s="41"/>
      <c r="M109" s="43">
        <f t="shared" si="13"/>
        <v>0</v>
      </c>
      <c r="O109" s="149">
        <v>104</v>
      </c>
      <c r="P109" s="149"/>
      <c r="Q109" s="149"/>
      <c r="R109" s="150" t="str">
        <f t="shared" si="18"/>
        <v/>
      </c>
      <c r="S109" s="152">
        <f t="shared" si="14"/>
        <v>-4</v>
      </c>
      <c r="T109" s="152">
        <f t="shared" si="15"/>
        <v>-40</v>
      </c>
      <c r="U109" s="150"/>
      <c r="V109" s="150">
        <f t="shared" si="16"/>
        <v>0</v>
      </c>
    </row>
    <row r="110" spans="1:22">
      <c r="A110" s="62"/>
      <c r="G110" s="19"/>
      <c r="H110" s="41">
        <v>105</v>
      </c>
      <c r="I110" s="42" t="str">
        <f t="shared" si="11"/>
        <v/>
      </c>
      <c r="J110" s="41">
        <f t="shared" si="17"/>
        <v>-7</v>
      </c>
      <c r="K110" s="41">
        <f t="shared" si="12"/>
        <v>-70</v>
      </c>
      <c r="L110" s="41"/>
      <c r="M110" s="43">
        <f t="shared" si="13"/>
        <v>0</v>
      </c>
      <c r="O110" s="149">
        <v>105</v>
      </c>
      <c r="P110" s="149"/>
      <c r="Q110" s="149"/>
      <c r="R110" s="150" t="str">
        <f t="shared" si="18"/>
        <v/>
      </c>
      <c r="S110" s="152">
        <f t="shared" si="14"/>
        <v>-4</v>
      </c>
      <c r="T110" s="152">
        <f t="shared" si="15"/>
        <v>-40</v>
      </c>
      <c r="U110" s="150"/>
      <c r="V110" s="150">
        <f t="shared" si="16"/>
        <v>0</v>
      </c>
    </row>
    <row r="111" spans="1:22">
      <c r="A111" s="62"/>
      <c r="G111" s="19"/>
      <c r="H111" s="41">
        <v>106</v>
      </c>
      <c r="I111" s="42" t="str">
        <f t="shared" si="11"/>
        <v/>
      </c>
      <c r="J111" s="41">
        <f t="shared" si="17"/>
        <v>-7</v>
      </c>
      <c r="K111" s="41">
        <f t="shared" si="12"/>
        <v>-70</v>
      </c>
      <c r="L111" s="41"/>
      <c r="M111" s="43">
        <f t="shared" si="13"/>
        <v>0</v>
      </c>
      <c r="O111" s="149">
        <v>106</v>
      </c>
      <c r="P111" s="149"/>
      <c r="Q111" s="149"/>
      <c r="R111" s="150" t="str">
        <f t="shared" si="18"/>
        <v/>
      </c>
      <c r="S111" s="152">
        <f t="shared" si="14"/>
        <v>-4</v>
      </c>
      <c r="T111" s="152">
        <f t="shared" si="15"/>
        <v>-40</v>
      </c>
      <c r="U111" s="150"/>
      <c r="V111" s="150">
        <f t="shared" si="16"/>
        <v>0</v>
      </c>
    </row>
    <row r="112" spans="1:22">
      <c r="A112" s="62"/>
      <c r="G112" s="19"/>
      <c r="H112" s="41">
        <v>107</v>
      </c>
      <c r="I112" s="42" t="str">
        <f t="shared" si="11"/>
        <v/>
      </c>
      <c r="J112" s="41">
        <f t="shared" si="17"/>
        <v>-7</v>
      </c>
      <c r="K112" s="41">
        <f t="shared" si="12"/>
        <v>-70</v>
      </c>
      <c r="L112" s="41"/>
      <c r="M112" s="43">
        <f t="shared" si="13"/>
        <v>0</v>
      </c>
      <c r="O112" s="149">
        <v>107</v>
      </c>
      <c r="P112" s="149"/>
      <c r="Q112" s="149"/>
      <c r="R112" s="150" t="str">
        <f t="shared" si="18"/>
        <v/>
      </c>
      <c r="S112" s="152">
        <f t="shared" si="14"/>
        <v>-4</v>
      </c>
      <c r="T112" s="152">
        <f t="shared" si="15"/>
        <v>-40</v>
      </c>
      <c r="U112" s="150"/>
      <c r="V112" s="150">
        <f t="shared" si="16"/>
        <v>0</v>
      </c>
    </row>
    <row r="113" spans="1:22">
      <c r="A113" s="62"/>
      <c r="G113" s="19"/>
      <c r="H113" s="41">
        <v>108</v>
      </c>
      <c r="I113" s="42" t="str">
        <f t="shared" si="11"/>
        <v/>
      </c>
      <c r="J113" s="41">
        <f t="shared" si="17"/>
        <v>-7</v>
      </c>
      <c r="K113" s="41">
        <f t="shared" si="12"/>
        <v>-70</v>
      </c>
      <c r="L113" s="41"/>
      <c r="M113" s="43">
        <f t="shared" si="13"/>
        <v>0</v>
      </c>
      <c r="O113" s="149">
        <v>108</v>
      </c>
      <c r="P113" s="149"/>
      <c r="Q113" s="149"/>
      <c r="R113" s="150" t="str">
        <f t="shared" si="18"/>
        <v/>
      </c>
      <c r="S113" s="152">
        <f t="shared" si="14"/>
        <v>-4</v>
      </c>
      <c r="T113" s="152">
        <f t="shared" si="15"/>
        <v>-40</v>
      </c>
      <c r="U113" s="150"/>
      <c r="V113" s="150">
        <f t="shared" si="16"/>
        <v>0</v>
      </c>
    </row>
    <row r="114" spans="1:22">
      <c r="A114" s="62"/>
      <c r="G114" s="19"/>
      <c r="H114" s="41">
        <v>109</v>
      </c>
      <c r="I114" s="42" t="str">
        <f t="shared" si="11"/>
        <v/>
      </c>
      <c r="J114" s="41">
        <f t="shared" si="17"/>
        <v>-7</v>
      </c>
      <c r="K114" s="41">
        <f t="shared" si="12"/>
        <v>-70</v>
      </c>
      <c r="L114" s="41"/>
      <c r="M114" s="43">
        <f t="shared" si="13"/>
        <v>0</v>
      </c>
      <c r="O114" s="149">
        <v>109</v>
      </c>
      <c r="P114" s="149"/>
      <c r="Q114" s="149"/>
      <c r="R114" s="150" t="str">
        <f t="shared" si="18"/>
        <v/>
      </c>
      <c r="S114" s="152">
        <f t="shared" si="14"/>
        <v>-4</v>
      </c>
      <c r="T114" s="152">
        <f t="shared" si="15"/>
        <v>-40</v>
      </c>
      <c r="U114" s="150"/>
      <c r="V114" s="150">
        <f t="shared" si="16"/>
        <v>0</v>
      </c>
    </row>
    <row r="115" spans="1:22">
      <c r="A115" s="62"/>
      <c r="G115" s="19"/>
      <c r="H115" s="41">
        <v>110</v>
      </c>
      <c r="I115" s="42" t="str">
        <f t="shared" si="11"/>
        <v/>
      </c>
      <c r="J115" s="41">
        <f t="shared" si="17"/>
        <v>-7</v>
      </c>
      <c r="K115" s="41">
        <f t="shared" si="12"/>
        <v>-70</v>
      </c>
      <c r="L115" s="41"/>
      <c r="M115" s="43">
        <f t="shared" si="13"/>
        <v>0</v>
      </c>
      <c r="O115" s="149">
        <v>110</v>
      </c>
      <c r="P115" s="149"/>
      <c r="Q115" s="149"/>
      <c r="R115" s="150" t="str">
        <f t="shared" si="18"/>
        <v/>
      </c>
      <c r="S115" s="152">
        <f t="shared" si="14"/>
        <v>-4</v>
      </c>
      <c r="T115" s="152">
        <f t="shared" si="15"/>
        <v>-40</v>
      </c>
      <c r="U115" s="150"/>
      <c r="V115" s="150">
        <f t="shared" si="16"/>
        <v>0</v>
      </c>
    </row>
    <row r="116" spans="1:22">
      <c r="A116" s="62"/>
      <c r="G116" s="19"/>
      <c r="H116" s="41">
        <v>111</v>
      </c>
      <c r="I116" s="42" t="str">
        <f t="shared" si="11"/>
        <v/>
      </c>
      <c r="J116" s="41">
        <f t="shared" si="17"/>
        <v>-7</v>
      </c>
      <c r="K116" s="41">
        <f t="shared" si="12"/>
        <v>-70</v>
      </c>
      <c r="L116" s="41"/>
      <c r="M116" s="43">
        <f t="shared" si="13"/>
        <v>0</v>
      </c>
      <c r="O116" s="149">
        <v>111</v>
      </c>
      <c r="P116" s="149"/>
      <c r="Q116" s="149"/>
      <c r="R116" s="150" t="str">
        <f t="shared" si="18"/>
        <v/>
      </c>
      <c r="S116" s="152">
        <f t="shared" si="14"/>
        <v>-4</v>
      </c>
      <c r="T116" s="152">
        <f t="shared" si="15"/>
        <v>-40</v>
      </c>
      <c r="U116" s="150"/>
      <c r="V116" s="150">
        <f t="shared" si="16"/>
        <v>0</v>
      </c>
    </row>
    <row r="117" spans="1:22">
      <c r="A117" s="62"/>
      <c r="G117" s="19"/>
      <c r="H117" s="41">
        <v>112</v>
      </c>
      <c r="I117" s="42" t="str">
        <f t="shared" si="11"/>
        <v/>
      </c>
      <c r="J117" s="41">
        <f t="shared" si="17"/>
        <v>-7</v>
      </c>
      <c r="K117" s="41">
        <f t="shared" si="12"/>
        <v>-70</v>
      </c>
      <c r="L117" s="41"/>
      <c r="M117" s="43">
        <f t="shared" si="13"/>
        <v>0</v>
      </c>
      <c r="O117" s="149">
        <v>112</v>
      </c>
      <c r="P117" s="149"/>
      <c r="Q117" s="149"/>
      <c r="R117" s="150" t="str">
        <f t="shared" si="18"/>
        <v/>
      </c>
      <c r="S117" s="152">
        <f t="shared" si="14"/>
        <v>-4</v>
      </c>
      <c r="T117" s="152">
        <f t="shared" si="15"/>
        <v>-40</v>
      </c>
      <c r="U117" s="150"/>
      <c r="V117" s="150">
        <f t="shared" si="16"/>
        <v>0</v>
      </c>
    </row>
    <row r="118" spans="1:22">
      <c r="A118" s="62"/>
      <c r="G118" s="19"/>
      <c r="H118" s="41">
        <v>113</v>
      </c>
      <c r="I118" s="42" t="str">
        <f t="shared" si="11"/>
        <v/>
      </c>
      <c r="J118" s="41">
        <f t="shared" si="17"/>
        <v>-7</v>
      </c>
      <c r="K118" s="41">
        <f t="shared" si="12"/>
        <v>-70</v>
      </c>
      <c r="L118" s="41"/>
      <c r="M118" s="43">
        <f t="shared" si="13"/>
        <v>0</v>
      </c>
      <c r="O118" s="149">
        <v>113</v>
      </c>
      <c r="P118" s="149"/>
      <c r="Q118" s="149"/>
      <c r="R118" s="150" t="str">
        <f t="shared" si="18"/>
        <v/>
      </c>
      <c r="S118" s="152">
        <f t="shared" si="14"/>
        <v>-4</v>
      </c>
      <c r="T118" s="152">
        <f t="shared" si="15"/>
        <v>-40</v>
      </c>
      <c r="U118" s="150"/>
      <c r="V118" s="150">
        <f t="shared" si="16"/>
        <v>0</v>
      </c>
    </row>
    <row r="119" spans="1:22">
      <c r="A119" s="62"/>
      <c r="G119" s="19"/>
      <c r="H119" s="41">
        <v>114</v>
      </c>
      <c r="I119" s="42" t="str">
        <f t="shared" si="11"/>
        <v/>
      </c>
      <c r="J119" s="41">
        <f t="shared" si="17"/>
        <v>-7</v>
      </c>
      <c r="K119" s="41">
        <f t="shared" si="12"/>
        <v>-70</v>
      </c>
      <c r="L119" s="41"/>
      <c r="M119" s="43">
        <f t="shared" si="13"/>
        <v>0</v>
      </c>
      <c r="O119" s="149">
        <v>114</v>
      </c>
      <c r="P119" s="149"/>
      <c r="Q119" s="149"/>
      <c r="R119" s="150" t="str">
        <f t="shared" si="18"/>
        <v/>
      </c>
      <c r="S119" s="152">
        <f t="shared" si="14"/>
        <v>-4</v>
      </c>
      <c r="T119" s="152">
        <f t="shared" si="15"/>
        <v>-40</v>
      </c>
      <c r="U119" s="150"/>
      <c r="V119" s="150">
        <f t="shared" si="16"/>
        <v>0</v>
      </c>
    </row>
    <row r="120" spans="1:22">
      <c r="A120" s="62"/>
      <c r="G120" s="19"/>
      <c r="H120" s="41">
        <v>115</v>
      </c>
      <c r="I120" s="42" t="str">
        <f t="shared" si="11"/>
        <v/>
      </c>
      <c r="J120" s="41">
        <f t="shared" si="17"/>
        <v>-7</v>
      </c>
      <c r="K120" s="41">
        <f t="shared" si="12"/>
        <v>-70</v>
      </c>
      <c r="L120" s="41"/>
      <c r="M120" s="43">
        <f t="shared" si="13"/>
        <v>0</v>
      </c>
      <c r="O120" s="149">
        <v>115</v>
      </c>
      <c r="P120" s="149"/>
      <c r="Q120" s="149"/>
      <c r="R120" s="150" t="str">
        <f t="shared" si="18"/>
        <v/>
      </c>
      <c r="S120" s="152">
        <f t="shared" si="14"/>
        <v>-4</v>
      </c>
      <c r="T120" s="152">
        <f t="shared" si="15"/>
        <v>-40</v>
      </c>
      <c r="U120" s="150"/>
      <c r="V120" s="150">
        <f t="shared" si="16"/>
        <v>0</v>
      </c>
    </row>
    <row r="121" spans="1:22">
      <c r="A121" s="62"/>
      <c r="G121" s="19"/>
      <c r="H121" s="41">
        <v>116</v>
      </c>
      <c r="I121" s="42" t="str">
        <f t="shared" si="11"/>
        <v/>
      </c>
      <c r="J121" s="41">
        <f t="shared" si="17"/>
        <v>-7</v>
      </c>
      <c r="K121" s="41">
        <f t="shared" si="12"/>
        <v>-70</v>
      </c>
      <c r="L121" s="41"/>
      <c r="M121" s="43">
        <f t="shared" si="13"/>
        <v>0</v>
      </c>
      <c r="O121" s="149">
        <v>116</v>
      </c>
      <c r="P121" s="149"/>
      <c r="Q121" s="149"/>
      <c r="R121" s="150" t="str">
        <f t="shared" si="18"/>
        <v/>
      </c>
      <c r="S121" s="152">
        <f t="shared" si="14"/>
        <v>-4</v>
      </c>
      <c r="T121" s="152">
        <f t="shared" si="15"/>
        <v>-40</v>
      </c>
      <c r="U121" s="150"/>
      <c r="V121" s="150">
        <f t="shared" si="16"/>
        <v>0</v>
      </c>
    </row>
    <row r="122" spans="1:22">
      <c r="A122" s="62"/>
      <c r="G122" s="19"/>
      <c r="H122" s="41">
        <v>117</v>
      </c>
      <c r="I122" s="42" t="str">
        <f t="shared" si="11"/>
        <v/>
      </c>
      <c r="J122" s="41">
        <f t="shared" si="17"/>
        <v>-7</v>
      </c>
      <c r="K122" s="41">
        <f t="shared" si="12"/>
        <v>-70</v>
      </c>
      <c r="L122" s="41"/>
      <c r="M122" s="43">
        <f t="shared" si="13"/>
        <v>0</v>
      </c>
      <c r="O122" s="149">
        <v>117</v>
      </c>
      <c r="P122" s="149"/>
      <c r="Q122" s="149"/>
      <c r="R122" s="150" t="str">
        <f t="shared" si="18"/>
        <v/>
      </c>
      <c r="S122" s="152">
        <f t="shared" si="14"/>
        <v>-4</v>
      </c>
      <c r="T122" s="152">
        <f t="shared" si="15"/>
        <v>-40</v>
      </c>
      <c r="U122" s="150"/>
      <c r="V122" s="150">
        <f t="shared" si="16"/>
        <v>0</v>
      </c>
    </row>
    <row r="123" spans="1:22">
      <c r="A123" s="62"/>
      <c r="G123" s="19"/>
      <c r="H123" s="41">
        <v>118</v>
      </c>
      <c r="I123" s="42" t="str">
        <f t="shared" si="11"/>
        <v/>
      </c>
      <c r="J123" s="41">
        <f t="shared" si="17"/>
        <v>-7</v>
      </c>
      <c r="K123" s="41">
        <f t="shared" si="12"/>
        <v>-70</v>
      </c>
      <c r="L123" s="41"/>
      <c r="M123" s="43">
        <f t="shared" si="13"/>
        <v>0</v>
      </c>
      <c r="O123" s="149">
        <v>118</v>
      </c>
      <c r="P123" s="149"/>
      <c r="Q123" s="149"/>
      <c r="R123" s="150" t="str">
        <f t="shared" si="18"/>
        <v/>
      </c>
      <c r="S123" s="152">
        <f t="shared" si="14"/>
        <v>-4</v>
      </c>
      <c r="T123" s="152">
        <f t="shared" si="15"/>
        <v>-40</v>
      </c>
      <c r="U123" s="150"/>
      <c r="V123" s="150">
        <f t="shared" si="16"/>
        <v>0</v>
      </c>
    </row>
    <row r="124" spans="1:22">
      <c r="A124" s="62"/>
      <c r="G124" s="19"/>
      <c r="H124" s="41">
        <v>119</v>
      </c>
      <c r="I124" s="42" t="str">
        <f t="shared" si="11"/>
        <v/>
      </c>
      <c r="J124" s="41">
        <f t="shared" si="17"/>
        <v>-7</v>
      </c>
      <c r="K124" s="41">
        <f t="shared" si="12"/>
        <v>-70</v>
      </c>
      <c r="L124" s="41"/>
      <c r="M124" s="43">
        <f t="shared" si="13"/>
        <v>0</v>
      </c>
      <c r="O124" s="149">
        <v>119</v>
      </c>
      <c r="P124" s="149"/>
      <c r="Q124" s="149"/>
      <c r="R124" s="150" t="str">
        <f t="shared" si="18"/>
        <v/>
      </c>
      <c r="S124" s="152">
        <f t="shared" si="14"/>
        <v>-4</v>
      </c>
      <c r="T124" s="152">
        <f t="shared" si="15"/>
        <v>-40</v>
      </c>
      <c r="U124" s="150"/>
      <c r="V124" s="150">
        <f t="shared" si="16"/>
        <v>0</v>
      </c>
    </row>
    <row r="125" spans="1:22">
      <c r="A125" s="62"/>
      <c r="G125" s="19"/>
      <c r="H125" s="41">
        <v>120</v>
      </c>
      <c r="I125" s="42" t="str">
        <f t="shared" si="11"/>
        <v/>
      </c>
      <c r="J125" s="41">
        <f t="shared" si="17"/>
        <v>-7</v>
      </c>
      <c r="K125" s="41">
        <f t="shared" si="12"/>
        <v>-70</v>
      </c>
      <c r="L125" s="41"/>
      <c r="M125" s="43">
        <f t="shared" si="13"/>
        <v>0</v>
      </c>
      <c r="O125" s="149">
        <v>120</v>
      </c>
      <c r="P125" s="149"/>
      <c r="Q125" s="149"/>
      <c r="R125" s="150" t="str">
        <f t="shared" si="18"/>
        <v/>
      </c>
      <c r="S125" s="152">
        <f t="shared" si="14"/>
        <v>-4</v>
      </c>
      <c r="T125" s="152">
        <f t="shared" si="15"/>
        <v>-40</v>
      </c>
      <c r="U125" s="150"/>
      <c r="V125" s="150">
        <f t="shared" si="16"/>
        <v>0</v>
      </c>
    </row>
    <row r="126" spans="1:22">
      <c r="A126" s="62"/>
      <c r="G126" s="19"/>
      <c r="H126" s="41">
        <v>121</v>
      </c>
      <c r="I126" s="42" t="str">
        <f t="shared" si="11"/>
        <v/>
      </c>
      <c r="J126" s="41">
        <f t="shared" si="17"/>
        <v>-7</v>
      </c>
      <c r="K126" s="41">
        <f t="shared" si="12"/>
        <v>-70</v>
      </c>
      <c r="L126" s="41"/>
      <c r="M126" s="43">
        <f t="shared" si="13"/>
        <v>0</v>
      </c>
      <c r="O126" s="149">
        <v>121</v>
      </c>
      <c r="P126" s="149"/>
      <c r="Q126" s="149"/>
      <c r="R126" s="150" t="str">
        <f t="shared" si="18"/>
        <v/>
      </c>
      <c r="S126" s="152">
        <f t="shared" si="14"/>
        <v>-4</v>
      </c>
      <c r="T126" s="152">
        <f t="shared" si="15"/>
        <v>-40</v>
      </c>
      <c r="U126" s="150"/>
      <c r="V126" s="150">
        <f t="shared" si="16"/>
        <v>0</v>
      </c>
    </row>
    <row r="127" spans="1:22">
      <c r="A127" s="62"/>
      <c r="G127" s="19"/>
      <c r="H127" s="41">
        <v>122</v>
      </c>
      <c r="I127" s="42" t="str">
        <f t="shared" si="11"/>
        <v/>
      </c>
      <c r="J127" s="41">
        <f t="shared" si="17"/>
        <v>-7</v>
      </c>
      <c r="K127" s="41">
        <f t="shared" si="12"/>
        <v>-70</v>
      </c>
      <c r="L127" s="41"/>
      <c r="M127" s="43">
        <f t="shared" si="13"/>
        <v>0</v>
      </c>
      <c r="O127" s="149">
        <v>122</v>
      </c>
      <c r="P127" s="149"/>
      <c r="Q127" s="149"/>
      <c r="R127" s="150" t="str">
        <f t="shared" si="18"/>
        <v/>
      </c>
      <c r="S127" s="152">
        <f t="shared" si="14"/>
        <v>-4</v>
      </c>
      <c r="T127" s="152">
        <f t="shared" si="15"/>
        <v>-40</v>
      </c>
      <c r="U127" s="150"/>
      <c r="V127" s="150">
        <f t="shared" si="16"/>
        <v>0</v>
      </c>
    </row>
    <row r="128" spans="1:22">
      <c r="A128" s="62"/>
      <c r="G128" s="19"/>
      <c r="H128" s="41">
        <v>123</v>
      </c>
      <c r="I128" s="42" t="str">
        <f t="shared" si="11"/>
        <v/>
      </c>
      <c r="J128" s="41">
        <f t="shared" si="17"/>
        <v>-7</v>
      </c>
      <c r="K128" s="41">
        <f t="shared" si="12"/>
        <v>-70</v>
      </c>
      <c r="L128" s="41"/>
      <c r="M128" s="43">
        <f t="shared" si="13"/>
        <v>0</v>
      </c>
      <c r="O128" s="149">
        <v>123</v>
      </c>
      <c r="P128" s="149"/>
      <c r="Q128" s="149"/>
      <c r="R128" s="150" t="str">
        <f t="shared" si="18"/>
        <v/>
      </c>
      <c r="S128" s="152">
        <f t="shared" si="14"/>
        <v>-4</v>
      </c>
      <c r="T128" s="152">
        <f t="shared" si="15"/>
        <v>-40</v>
      </c>
      <c r="U128" s="150"/>
      <c r="V128" s="150">
        <f t="shared" si="16"/>
        <v>0</v>
      </c>
    </row>
    <row r="129" spans="1:22">
      <c r="A129" s="62"/>
      <c r="G129" s="19"/>
      <c r="H129" s="41">
        <v>124</v>
      </c>
      <c r="I129" s="42" t="str">
        <f t="shared" si="11"/>
        <v/>
      </c>
      <c r="J129" s="41">
        <f t="shared" si="17"/>
        <v>-7</v>
      </c>
      <c r="K129" s="41">
        <f t="shared" si="12"/>
        <v>-70</v>
      </c>
      <c r="L129" s="41"/>
      <c r="M129" s="43">
        <f t="shared" si="13"/>
        <v>0</v>
      </c>
      <c r="O129" s="149">
        <v>124</v>
      </c>
      <c r="P129" s="149"/>
      <c r="Q129" s="149"/>
      <c r="R129" s="150" t="str">
        <f t="shared" si="18"/>
        <v/>
      </c>
      <c r="S129" s="152">
        <f t="shared" si="14"/>
        <v>-4</v>
      </c>
      <c r="T129" s="152">
        <f t="shared" si="15"/>
        <v>-40</v>
      </c>
      <c r="U129" s="150"/>
      <c r="V129" s="150">
        <f t="shared" si="16"/>
        <v>0</v>
      </c>
    </row>
    <row r="130" spans="1:22">
      <c r="A130" s="62"/>
      <c r="G130" s="19"/>
      <c r="H130" s="41">
        <v>125</v>
      </c>
      <c r="I130" s="42" t="str">
        <f t="shared" si="11"/>
        <v/>
      </c>
      <c r="J130" s="41">
        <f t="shared" si="17"/>
        <v>-7</v>
      </c>
      <c r="K130" s="41">
        <f t="shared" si="12"/>
        <v>-70</v>
      </c>
      <c r="L130" s="41"/>
      <c r="M130" s="43">
        <f t="shared" si="13"/>
        <v>0</v>
      </c>
      <c r="O130" s="149">
        <v>125</v>
      </c>
      <c r="P130" s="149"/>
      <c r="Q130" s="149"/>
      <c r="R130" s="150" t="str">
        <f t="shared" si="18"/>
        <v/>
      </c>
      <c r="S130" s="152">
        <f t="shared" si="14"/>
        <v>-4</v>
      </c>
      <c r="T130" s="152">
        <f t="shared" si="15"/>
        <v>-40</v>
      </c>
      <c r="U130" s="150"/>
      <c r="V130" s="150">
        <f t="shared" si="16"/>
        <v>0</v>
      </c>
    </row>
    <row r="131" spans="1:22">
      <c r="A131" s="62"/>
      <c r="G131" s="19"/>
      <c r="H131" s="41">
        <v>126</v>
      </c>
      <c r="I131" s="42" t="str">
        <f t="shared" si="11"/>
        <v/>
      </c>
      <c r="J131" s="41">
        <f t="shared" si="17"/>
        <v>-7</v>
      </c>
      <c r="K131" s="41">
        <f t="shared" si="12"/>
        <v>-70</v>
      </c>
      <c r="L131" s="41"/>
      <c r="M131" s="43">
        <f t="shared" si="13"/>
        <v>0</v>
      </c>
      <c r="O131" s="149">
        <v>126</v>
      </c>
      <c r="P131" s="149"/>
      <c r="Q131" s="149"/>
      <c r="R131" s="150" t="str">
        <f t="shared" si="18"/>
        <v/>
      </c>
      <c r="S131" s="152">
        <f t="shared" si="14"/>
        <v>-4</v>
      </c>
      <c r="T131" s="152">
        <f t="shared" si="15"/>
        <v>-40</v>
      </c>
      <c r="U131" s="150"/>
      <c r="V131" s="150">
        <f t="shared" si="16"/>
        <v>0</v>
      </c>
    </row>
    <row r="132" spans="1:22">
      <c r="A132" s="62"/>
      <c r="G132" s="19"/>
      <c r="H132" s="41">
        <v>127</v>
      </c>
      <c r="I132" s="42" t="str">
        <f t="shared" si="11"/>
        <v/>
      </c>
      <c r="J132" s="41">
        <f t="shared" si="17"/>
        <v>-7</v>
      </c>
      <c r="K132" s="41">
        <f t="shared" si="12"/>
        <v>-70</v>
      </c>
      <c r="L132" s="41"/>
      <c r="M132" s="43">
        <f t="shared" si="13"/>
        <v>0</v>
      </c>
      <c r="O132" s="149">
        <v>127</v>
      </c>
      <c r="P132" s="149"/>
      <c r="Q132" s="149"/>
      <c r="R132" s="150" t="str">
        <f t="shared" si="18"/>
        <v/>
      </c>
      <c r="S132" s="152">
        <f t="shared" si="14"/>
        <v>-4</v>
      </c>
      <c r="T132" s="152">
        <f t="shared" si="15"/>
        <v>-40</v>
      </c>
      <c r="U132" s="150"/>
      <c r="V132" s="150">
        <f t="shared" si="16"/>
        <v>0</v>
      </c>
    </row>
    <row r="133" spans="1:22">
      <c r="A133" s="62"/>
      <c r="G133" s="19"/>
      <c r="H133" s="41">
        <v>128</v>
      </c>
      <c r="I133" s="42" t="str">
        <f t="shared" si="11"/>
        <v/>
      </c>
      <c r="J133" s="41">
        <f t="shared" si="17"/>
        <v>-7</v>
      </c>
      <c r="K133" s="41">
        <f t="shared" si="12"/>
        <v>-70</v>
      </c>
      <c r="L133" s="41"/>
      <c r="M133" s="43">
        <f t="shared" si="13"/>
        <v>0</v>
      </c>
      <c r="O133" s="149">
        <v>128</v>
      </c>
      <c r="P133" s="149"/>
      <c r="Q133" s="149"/>
      <c r="R133" s="150" t="str">
        <f t="shared" si="18"/>
        <v/>
      </c>
      <c r="S133" s="152">
        <f t="shared" si="14"/>
        <v>-4</v>
      </c>
      <c r="T133" s="152">
        <f t="shared" si="15"/>
        <v>-40</v>
      </c>
      <c r="U133" s="150"/>
      <c r="V133" s="150">
        <f t="shared" si="16"/>
        <v>0</v>
      </c>
    </row>
    <row r="134" spans="1:22">
      <c r="A134" s="62"/>
      <c r="G134" s="19"/>
      <c r="H134" s="41">
        <v>129</v>
      </c>
      <c r="I134" s="42" t="str">
        <f t="shared" ref="I134:I197" si="19">IF(H134&lt;$H$2+1,($I$2-($I$2-1)*(LOG(H134)/LOG($H$2))),"")</f>
        <v/>
      </c>
      <c r="J134" s="41">
        <f t="shared" si="17"/>
        <v>-8</v>
      </c>
      <c r="K134" s="41">
        <f t="shared" ref="K134:K197" si="20">J134*$J$2</f>
        <v>-80</v>
      </c>
      <c r="L134" s="41"/>
      <c r="M134" s="43">
        <f t="shared" ref="M134:M197" si="21">IF(I134&lt;&gt;"",K134+I134+L134,0)</f>
        <v>0</v>
      </c>
      <c r="O134" s="149">
        <v>129</v>
      </c>
      <c r="P134" s="149"/>
      <c r="Q134" s="149"/>
      <c r="R134" s="150" t="str">
        <f t="shared" si="18"/>
        <v/>
      </c>
      <c r="S134" s="152">
        <f t="shared" ref="S134:S197" si="22">INT(LOG($O$2,2))-ROUNDUP(LOG(O134,2),0)+IF(OR($O$2=1,$O$2=2,$O$2=4,$O$2=8,$O$2=16,$O$2=32,$O$2=64,$O$2=128,$O$2=256),0,1)</f>
        <v>-5</v>
      </c>
      <c r="T134" s="152">
        <f t="shared" ref="T134:T197" si="23">S134*$J$2</f>
        <v>-50</v>
      </c>
      <c r="U134" s="150"/>
      <c r="V134" s="150">
        <f t="shared" ref="V134:V197" si="24">IF(R134&lt;&gt;"",T134+R134+U134,0)</f>
        <v>0</v>
      </c>
    </row>
    <row r="135" spans="1:22">
      <c r="A135" s="62"/>
      <c r="G135" s="19"/>
      <c r="H135" s="41">
        <v>130</v>
      </c>
      <c r="I135" s="42" t="str">
        <f t="shared" si="19"/>
        <v/>
      </c>
      <c r="J135" s="41">
        <f t="shared" ref="J135:J198" si="25">INT(LOG($H$2,2))-ROUNDUP(LOG(H135,2),0)+IF(OR($H$2=1,$H$2=2,$H$2=4,$H$2=8,$H$2=16,$H$2=32,$H$2=64,$H$2=128,$H$2=256),0,1)</f>
        <v>-8</v>
      </c>
      <c r="K135" s="41">
        <f t="shared" si="20"/>
        <v>-80</v>
      </c>
      <c r="L135" s="41"/>
      <c r="M135" s="43">
        <f t="shared" si="21"/>
        <v>0</v>
      </c>
      <c r="O135" s="149">
        <v>130</v>
      </c>
      <c r="P135" s="149"/>
      <c r="Q135" s="149"/>
      <c r="R135" s="150" t="str">
        <f t="shared" si="18"/>
        <v/>
      </c>
      <c r="S135" s="152">
        <f t="shared" si="22"/>
        <v>-5</v>
      </c>
      <c r="T135" s="152">
        <f t="shared" si="23"/>
        <v>-50</v>
      </c>
      <c r="U135" s="150"/>
      <c r="V135" s="150">
        <f t="shared" si="24"/>
        <v>0</v>
      </c>
    </row>
    <row r="136" spans="1:22">
      <c r="A136" s="62"/>
      <c r="G136" s="19"/>
      <c r="H136" s="41">
        <v>131</v>
      </c>
      <c r="I136" s="42" t="str">
        <f t="shared" si="19"/>
        <v/>
      </c>
      <c r="J136" s="41">
        <f t="shared" si="25"/>
        <v>-8</v>
      </c>
      <c r="K136" s="41">
        <f t="shared" si="20"/>
        <v>-80</v>
      </c>
      <c r="L136" s="41"/>
      <c r="M136" s="43">
        <f t="shared" si="21"/>
        <v>0</v>
      </c>
      <c r="O136" s="149">
        <v>131</v>
      </c>
      <c r="P136" s="149"/>
      <c r="Q136" s="149"/>
      <c r="R136" s="150" t="str">
        <f t="shared" si="18"/>
        <v/>
      </c>
      <c r="S136" s="152">
        <f t="shared" si="22"/>
        <v>-5</v>
      </c>
      <c r="T136" s="152">
        <f t="shared" si="23"/>
        <v>-50</v>
      </c>
      <c r="U136" s="150"/>
      <c r="V136" s="150">
        <f t="shared" si="24"/>
        <v>0</v>
      </c>
    </row>
    <row r="137" spans="1:22">
      <c r="A137" s="62"/>
      <c r="G137" s="19"/>
      <c r="H137" s="41">
        <v>132</v>
      </c>
      <c r="I137" s="42" t="str">
        <f t="shared" si="19"/>
        <v/>
      </c>
      <c r="J137" s="41">
        <f t="shared" si="25"/>
        <v>-8</v>
      </c>
      <c r="K137" s="41">
        <f t="shared" si="20"/>
        <v>-80</v>
      </c>
      <c r="L137" s="41"/>
      <c r="M137" s="43">
        <f t="shared" si="21"/>
        <v>0</v>
      </c>
      <c r="O137" s="149">
        <v>132</v>
      </c>
      <c r="P137" s="149"/>
      <c r="Q137" s="149"/>
      <c r="R137" s="150" t="str">
        <f t="shared" si="18"/>
        <v/>
      </c>
      <c r="S137" s="152">
        <f t="shared" si="22"/>
        <v>-5</v>
      </c>
      <c r="T137" s="152">
        <f t="shared" si="23"/>
        <v>-50</v>
      </c>
      <c r="U137" s="150"/>
      <c r="V137" s="150">
        <f t="shared" si="24"/>
        <v>0</v>
      </c>
    </row>
    <row r="138" spans="1:22">
      <c r="A138" s="62"/>
      <c r="G138" s="19"/>
      <c r="H138" s="41">
        <v>133</v>
      </c>
      <c r="I138" s="42" t="str">
        <f t="shared" si="19"/>
        <v/>
      </c>
      <c r="J138" s="41">
        <f t="shared" si="25"/>
        <v>-8</v>
      </c>
      <c r="K138" s="41">
        <f t="shared" si="20"/>
        <v>-80</v>
      </c>
      <c r="L138" s="41"/>
      <c r="M138" s="43">
        <f t="shared" si="21"/>
        <v>0</v>
      </c>
      <c r="O138" s="149">
        <v>133</v>
      </c>
      <c r="P138" s="149"/>
      <c r="Q138" s="149"/>
      <c r="R138" s="150" t="str">
        <f t="shared" si="18"/>
        <v/>
      </c>
      <c r="S138" s="152">
        <f t="shared" si="22"/>
        <v>-5</v>
      </c>
      <c r="T138" s="152">
        <f t="shared" si="23"/>
        <v>-50</v>
      </c>
      <c r="U138" s="150"/>
      <c r="V138" s="150">
        <f t="shared" si="24"/>
        <v>0</v>
      </c>
    </row>
    <row r="139" spans="1:22">
      <c r="A139" s="62"/>
      <c r="G139" s="19"/>
      <c r="H139" s="41">
        <v>134</v>
      </c>
      <c r="I139" s="42" t="str">
        <f t="shared" si="19"/>
        <v/>
      </c>
      <c r="J139" s="41">
        <f t="shared" si="25"/>
        <v>-8</v>
      </c>
      <c r="K139" s="41">
        <f t="shared" si="20"/>
        <v>-80</v>
      </c>
      <c r="L139" s="41"/>
      <c r="M139" s="43">
        <f t="shared" si="21"/>
        <v>0</v>
      </c>
      <c r="O139" s="149">
        <v>134</v>
      </c>
      <c r="P139" s="149"/>
      <c r="Q139" s="149"/>
      <c r="R139" s="150" t="str">
        <f t="shared" si="18"/>
        <v/>
      </c>
      <c r="S139" s="152">
        <f t="shared" si="22"/>
        <v>-5</v>
      </c>
      <c r="T139" s="152">
        <f t="shared" si="23"/>
        <v>-50</v>
      </c>
      <c r="U139" s="150"/>
      <c r="V139" s="150">
        <f t="shared" si="24"/>
        <v>0</v>
      </c>
    </row>
    <row r="140" spans="1:22">
      <c r="A140" s="62"/>
      <c r="G140" s="19"/>
      <c r="H140" s="41">
        <v>135</v>
      </c>
      <c r="I140" s="42" t="str">
        <f t="shared" si="19"/>
        <v/>
      </c>
      <c r="J140" s="41">
        <f t="shared" si="25"/>
        <v>-8</v>
      </c>
      <c r="K140" s="41">
        <f t="shared" si="20"/>
        <v>-80</v>
      </c>
      <c r="L140" s="41"/>
      <c r="M140" s="43">
        <f t="shared" si="21"/>
        <v>0</v>
      </c>
      <c r="O140" s="149">
        <v>135</v>
      </c>
      <c r="P140" s="149"/>
      <c r="Q140" s="149"/>
      <c r="R140" s="150" t="str">
        <f t="shared" si="18"/>
        <v/>
      </c>
      <c r="S140" s="152">
        <f t="shared" si="22"/>
        <v>-5</v>
      </c>
      <c r="T140" s="152">
        <f t="shared" si="23"/>
        <v>-50</v>
      </c>
      <c r="U140" s="150"/>
      <c r="V140" s="150">
        <f t="shared" si="24"/>
        <v>0</v>
      </c>
    </row>
    <row r="141" spans="1:22">
      <c r="A141" s="62"/>
      <c r="G141" s="19"/>
      <c r="H141" s="41">
        <v>136</v>
      </c>
      <c r="I141" s="42" t="str">
        <f t="shared" si="19"/>
        <v/>
      </c>
      <c r="J141" s="41">
        <f t="shared" si="25"/>
        <v>-8</v>
      </c>
      <c r="K141" s="41">
        <f t="shared" si="20"/>
        <v>-80</v>
      </c>
      <c r="L141" s="41"/>
      <c r="M141" s="43">
        <f t="shared" si="21"/>
        <v>0</v>
      </c>
      <c r="O141" s="149">
        <v>136</v>
      </c>
      <c r="P141" s="149"/>
      <c r="Q141" s="149"/>
      <c r="R141" s="150" t="str">
        <f t="shared" si="18"/>
        <v/>
      </c>
      <c r="S141" s="152">
        <f t="shared" si="22"/>
        <v>-5</v>
      </c>
      <c r="T141" s="152">
        <f t="shared" si="23"/>
        <v>-50</v>
      </c>
      <c r="U141" s="150"/>
      <c r="V141" s="150">
        <f t="shared" si="24"/>
        <v>0</v>
      </c>
    </row>
    <row r="142" spans="1:22">
      <c r="A142" s="62"/>
      <c r="G142" s="19"/>
      <c r="H142" s="41">
        <v>137</v>
      </c>
      <c r="I142" s="42" t="str">
        <f t="shared" si="19"/>
        <v/>
      </c>
      <c r="J142" s="41">
        <f t="shared" si="25"/>
        <v>-8</v>
      </c>
      <c r="K142" s="41">
        <f t="shared" si="20"/>
        <v>-80</v>
      </c>
      <c r="L142" s="41"/>
      <c r="M142" s="43">
        <f t="shared" si="21"/>
        <v>0</v>
      </c>
      <c r="O142" s="149">
        <v>137</v>
      </c>
      <c r="P142" s="149"/>
      <c r="Q142" s="149"/>
      <c r="R142" s="150" t="str">
        <f t="shared" si="18"/>
        <v/>
      </c>
      <c r="S142" s="152">
        <f t="shared" si="22"/>
        <v>-5</v>
      </c>
      <c r="T142" s="152">
        <f t="shared" si="23"/>
        <v>-50</v>
      </c>
      <c r="U142" s="150"/>
      <c r="V142" s="150">
        <f t="shared" si="24"/>
        <v>0</v>
      </c>
    </row>
    <row r="143" spans="1:22">
      <c r="A143" s="62"/>
      <c r="G143" s="19"/>
      <c r="H143" s="41">
        <v>138</v>
      </c>
      <c r="I143" s="42" t="str">
        <f t="shared" si="19"/>
        <v/>
      </c>
      <c r="J143" s="41">
        <f t="shared" si="25"/>
        <v>-8</v>
      </c>
      <c r="K143" s="41">
        <f t="shared" si="20"/>
        <v>-80</v>
      </c>
      <c r="L143" s="41"/>
      <c r="M143" s="43">
        <f t="shared" si="21"/>
        <v>0</v>
      </c>
      <c r="O143" s="149">
        <v>138</v>
      </c>
      <c r="P143" s="149"/>
      <c r="Q143" s="149"/>
      <c r="R143" s="150" t="str">
        <f t="shared" si="18"/>
        <v/>
      </c>
      <c r="S143" s="152">
        <f t="shared" si="22"/>
        <v>-5</v>
      </c>
      <c r="T143" s="152">
        <f t="shared" si="23"/>
        <v>-50</v>
      </c>
      <c r="U143" s="150"/>
      <c r="V143" s="150">
        <f t="shared" si="24"/>
        <v>0</v>
      </c>
    </row>
    <row r="144" spans="1:22">
      <c r="A144" s="62"/>
      <c r="G144" s="19"/>
      <c r="H144" s="41">
        <v>139</v>
      </c>
      <c r="I144" s="42" t="str">
        <f t="shared" si="19"/>
        <v/>
      </c>
      <c r="J144" s="41">
        <f t="shared" si="25"/>
        <v>-8</v>
      </c>
      <c r="K144" s="41">
        <f t="shared" si="20"/>
        <v>-80</v>
      </c>
      <c r="L144" s="41"/>
      <c r="M144" s="43">
        <f t="shared" si="21"/>
        <v>0</v>
      </c>
      <c r="O144" s="149">
        <v>139</v>
      </c>
      <c r="P144" s="149"/>
      <c r="Q144" s="149"/>
      <c r="R144" s="150" t="str">
        <f t="shared" ref="R144:R207" si="26">IF(O144&lt;$O$2+1,($I$2-($I$2-1)*(LOG(O144)/LOG($O$2))),"")</f>
        <v/>
      </c>
      <c r="S144" s="152">
        <f t="shared" si="22"/>
        <v>-5</v>
      </c>
      <c r="T144" s="152">
        <f t="shared" si="23"/>
        <v>-50</v>
      </c>
      <c r="U144" s="150"/>
      <c r="V144" s="150">
        <f t="shared" si="24"/>
        <v>0</v>
      </c>
    </row>
    <row r="145" spans="1:22">
      <c r="A145" s="62"/>
      <c r="G145" s="19"/>
      <c r="H145" s="41">
        <v>140</v>
      </c>
      <c r="I145" s="42" t="str">
        <f t="shared" si="19"/>
        <v/>
      </c>
      <c r="J145" s="41">
        <f t="shared" si="25"/>
        <v>-8</v>
      </c>
      <c r="K145" s="41">
        <f t="shared" si="20"/>
        <v>-80</v>
      </c>
      <c r="L145" s="41"/>
      <c r="M145" s="43">
        <f t="shared" si="21"/>
        <v>0</v>
      </c>
      <c r="O145" s="149">
        <v>140</v>
      </c>
      <c r="P145" s="149"/>
      <c r="Q145" s="149"/>
      <c r="R145" s="150" t="str">
        <f t="shared" si="26"/>
        <v/>
      </c>
      <c r="S145" s="152">
        <f t="shared" si="22"/>
        <v>-5</v>
      </c>
      <c r="T145" s="152">
        <f t="shared" si="23"/>
        <v>-50</v>
      </c>
      <c r="U145" s="150"/>
      <c r="V145" s="150">
        <f t="shared" si="24"/>
        <v>0</v>
      </c>
    </row>
    <row r="146" spans="1:22">
      <c r="A146" s="62"/>
      <c r="G146" s="19"/>
      <c r="H146" s="41">
        <v>141</v>
      </c>
      <c r="I146" s="42" t="str">
        <f t="shared" si="19"/>
        <v/>
      </c>
      <c r="J146" s="41">
        <f t="shared" si="25"/>
        <v>-8</v>
      </c>
      <c r="K146" s="41">
        <f t="shared" si="20"/>
        <v>-80</v>
      </c>
      <c r="L146" s="41"/>
      <c r="M146" s="43">
        <f t="shared" si="21"/>
        <v>0</v>
      </c>
      <c r="O146" s="149">
        <v>141</v>
      </c>
      <c r="P146" s="149"/>
      <c r="Q146" s="149"/>
      <c r="R146" s="150" t="str">
        <f t="shared" si="26"/>
        <v/>
      </c>
      <c r="S146" s="152">
        <f t="shared" si="22"/>
        <v>-5</v>
      </c>
      <c r="T146" s="152">
        <f t="shared" si="23"/>
        <v>-50</v>
      </c>
      <c r="U146" s="150"/>
      <c r="V146" s="150">
        <f t="shared" si="24"/>
        <v>0</v>
      </c>
    </row>
    <row r="147" spans="1:22">
      <c r="A147" s="62"/>
      <c r="G147" s="19"/>
      <c r="H147" s="41">
        <v>142</v>
      </c>
      <c r="I147" s="42" t="str">
        <f t="shared" si="19"/>
        <v/>
      </c>
      <c r="J147" s="41">
        <f t="shared" si="25"/>
        <v>-8</v>
      </c>
      <c r="K147" s="41">
        <f t="shared" si="20"/>
        <v>-80</v>
      </c>
      <c r="L147" s="41"/>
      <c r="M147" s="43">
        <f t="shared" si="21"/>
        <v>0</v>
      </c>
      <c r="O147" s="149">
        <v>142</v>
      </c>
      <c r="P147" s="149"/>
      <c r="Q147" s="149"/>
      <c r="R147" s="150" t="str">
        <f t="shared" si="26"/>
        <v/>
      </c>
      <c r="S147" s="152">
        <f t="shared" si="22"/>
        <v>-5</v>
      </c>
      <c r="T147" s="152">
        <f t="shared" si="23"/>
        <v>-50</v>
      </c>
      <c r="U147" s="150"/>
      <c r="V147" s="150">
        <f t="shared" si="24"/>
        <v>0</v>
      </c>
    </row>
    <row r="148" spans="1:22">
      <c r="A148" s="62"/>
      <c r="G148" s="19"/>
      <c r="H148" s="41">
        <v>143</v>
      </c>
      <c r="I148" s="42" t="str">
        <f t="shared" si="19"/>
        <v/>
      </c>
      <c r="J148" s="41">
        <f t="shared" si="25"/>
        <v>-8</v>
      </c>
      <c r="K148" s="41">
        <f t="shared" si="20"/>
        <v>-80</v>
      </c>
      <c r="L148" s="41"/>
      <c r="M148" s="43">
        <f t="shared" si="21"/>
        <v>0</v>
      </c>
      <c r="O148" s="149">
        <v>143</v>
      </c>
      <c r="P148" s="149"/>
      <c r="Q148" s="149"/>
      <c r="R148" s="150" t="str">
        <f t="shared" si="26"/>
        <v/>
      </c>
      <c r="S148" s="152">
        <f t="shared" si="22"/>
        <v>-5</v>
      </c>
      <c r="T148" s="152">
        <f t="shared" si="23"/>
        <v>-50</v>
      </c>
      <c r="U148" s="150"/>
      <c r="V148" s="150">
        <f t="shared" si="24"/>
        <v>0</v>
      </c>
    </row>
    <row r="149" spans="1:22">
      <c r="A149" s="62"/>
      <c r="G149" s="19"/>
      <c r="H149" s="41">
        <v>144</v>
      </c>
      <c r="I149" s="42" t="str">
        <f t="shared" si="19"/>
        <v/>
      </c>
      <c r="J149" s="41">
        <f t="shared" si="25"/>
        <v>-8</v>
      </c>
      <c r="K149" s="41">
        <f t="shared" si="20"/>
        <v>-80</v>
      </c>
      <c r="L149" s="41"/>
      <c r="M149" s="43">
        <f t="shared" si="21"/>
        <v>0</v>
      </c>
      <c r="O149" s="149">
        <v>144</v>
      </c>
      <c r="P149" s="149"/>
      <c r="Q149" s="149"/>
      <c r="R149" s="150" t="str">
        <f t="shared" si="26"/>
        <v/>
      </c>
      <c r="S149" s="152">
        <f t="shared" si="22"/>
        <v>-5</v>
      </c>
      <c r="T149" s="152">
        <f t="shared" si="23"/>
        <v>-50</v>
      </c>
      <c r="U149" s="150"/>
      <c r="V149" s="150">
        <f t="shared" si="24"/>
        <v>0</v>
      </c>
    </row>
    <row r="150" spans="1:22">
      <c r="A150" s="62"/>
      <c r="G150" s="19"/>
      <c r="H150" s="41">
        <v>145</v>
      </c>
      <c r="I150" s="42" t="str">
        <f t="shared" si="19"/>
        <v/>
      </c>
      <c r="J150" s="41">
        <f t="shared" si="25"/>
        <v>-8</v>
      </c>
      <c r="K150" s="41">
        <f t="shared" si="20"/>
        <v>-80</v>
      </c>
      <c r="L150" s="41"/>
      <c r="M150" s="43">
        <f t="shared" si="21"/>
        <v>0</v>
      </c>
      <c r="O150" s="149">
        <v>145</v>
      </c>
      <c r="P150" s="149"/>
      <c r="Q150" s="149"/>
      <c r="R150" s="150" t="str">
        <f t="shared" si="26"/>
        <v/>
      </c>
      <c r="S150" s="152">
        <f t="shared" si="22"/>
        <v>-5</v>
      </c>
      <c r="T150" s="152">
        <f t="shared" si="23"/>
        <v>-50</v>
      </c>
      <c r="U150" s="150"/>
      <c r="V150" s="150">
        <f t="shared" si="24"/>
        <v>0</v>
      </c>
    </row>
    <row r="151" spans="1:22">
      <c r="A151" s="62"/>
      <c r="G151" s="19"/>
      <c r="H151" s="41">
        <v>146</v>
      </c>
      <c r="I151" s="42" t="str">
        <f t="shared" si="19"/>
        <v/>
      </c>
      <c r="J151" s="41">
        <f t="shared" si="25"/>
        <v>-8</v>
      </c>
      <c r="K151" s="41">
        <f t="shared" si="20"/>
        <v>-80</v>
      </c>
      <c r="L151" s="41"/>
      <c r="M151" s="43">
        <f t="shared" si="21"/>
        <v>0</v>
      </c>
      <c r="O151" s="149">
        <v>146</v>
      </c>
      <c r="P151" s="149"/>
      <c r="Q151" s="149"/>
      <c r="R151" s="150" t="str">
        <f t="shared" si="26"/>
        <v/>
      </c>
      <c r="S151" s="152">
        <f t="shared" si="22"/>
        <v>-5</v>
      </c>
      <c r="T151" s="152">
        <f t="shared" si="23"/>
        <v>-50</v>
      </c>
      <c r="U151" s="150"/>
      <c r="V151" s="150">
        <f t="shared" si="24"/>
        <v>0</v>
      </c>
    </row>
    <row r="152" spans="1:22">
      <c r="A152" s="62"/>
      <c r="G152" s="19"/>
      <c r="H152" s="41">
        <v>147</v>
      </c>
      <c r="I152" s="42" t="str">
        <f t="shared" si="19"/>
        <v/>
      </c>
      <c r="J152" s="41">
        <f t="shared" si="25"/>
        <v>-8</v>
      </c>
      <c r="K152" s="41">
        <f t="shared" si="20"/>
        <v>-80</v>
      </c>
      <c r="L152" s="41"/>
      <c r="M152" s="43">
        <f t="shared" si="21"/>
        <v>0</v>
      </c>
      <c r="O152" s="149">
        <v>147</v>
      </c>
      <c r="P152" s="149"/>
      <c r="Q152" s="149"/>
      <c r="R152" s="150" t="str">
        <f t="shared" si="26"/>
        <v/>
      </c>
      <c r="S152" s="152">
        <f t="shared" si="22"/>
        <v>-5</v>
      </c>
      <c r="T152" s="152">
        <f t="shared" si="23"/>
        <v>-50</v>
      </c>
      <c r="U152" s="150"/>
      <c r="V152" s="150">
        <f t="shared" si="24"/>
        <v>0</v>
      </c>
    </row>
    <row r="153" spans="1:22">
      <c r="A153" s="62"/>
      <c r="G153" s="19"/>
      <c r="H153" s="41">
        <v>148</v>
      </c>
      <c r="I153" s="42" t="str">
        <f t="shared" si="19"/>
        <v/>
      </c>
      <c r="J153" s="41">
        <f t="shared" si="25"/>
        <v>-8</v>
      </c>
      <c r="K153" s="41">
        <f t="shared" si="20"/>
        <v>-80</v>
      </c>
      <c r="L153" s="41"/>
      <c r="M153" s="43">
        <f t="shared" si="21"/>
        <v>0</v>
      </c>
      <c r="O153" s="149">
        <v>148</v>
      </c>
      <c r="P153" s="149"/>
      <c r="Q153" s="149"/>
      <c r="R153" s="150" t="str">
        <f t="shared" si="26"/>
        <v/>
      </c>
      <c r="S153" s="152">
        <f t="shared" si="22"/>
        <v>-5</v>
      </c>
      <c r="T153" s="152">
        <f t="shared" si="23"/>
        <v>-50</v>
      </c>
      <c r="U153" s="150"/>
      <c r="V153" s="150">
        <f t="shared" si="24"/>
        <v>0</v>
      </c>
    </row>
    <row r="154" spans="1:22">
      <c r="A154" s="62"/>
      <c r="G154" s="19"/>
      <c r="H154" s="41">
        <v>149</v>
      </c>
      <c r="I154" s="42" t="str">
        <f t="shared" si="19"/>
        <v/>
      </c>
      <c r="J154" s="41">
        <f t="shared" si="25"/>
        <v>-8</v>
      </c>
      <c r="K154" s="41">
        <f t="shared" si="20"/>
        <v>-80</v>
      </c>
      <c r="L154" s="41"/>
      <c r="M154" s="43">
        <f t="shared" si="21"/>
        <v>0</v>
      </c>
      <c r="O154" s="149">
        <v>149</v>
      </c>
      <c r="P154" s="149"/>
      <c r="Q154" s="149"/>
      <c r="R154" s="150" t="str">
        <f t="shared" si="26"/>
        <v/>
      </c>
      <c r="S154" s="152">
        <f t="shared" si="22"/>
        <v>-5</v>
      </c>
      <c r="T154" s="152">
        <f t="shared" si="23"/>
        <v>-50</v>
      </c>
      <c r="U154" s="150"/>
      <c r="V154" s="150">
        <f t="shared" si="24"/>
        <v>0</v>
      </c>
    </row>
    <row r="155" spans="1:22">
      <c r="A155" s="62"/>
      <c r="G155" s="19"/>
      <c r="H155" s="41">
        <v>150</v>
      </c>
      <c r="I155" s="42" t="str">
        <f t="shared" si="19"/>
        <v/>
      </c>
      <c r="J155" s="41">
        <f t="shared" si="25"/>
        <v>-8</v>
      </c>
      <c r="K155" s="41">
        <f t="shared" si="20"/>
        <v>-80</v>
      </c>
      <c r="L155" s="41"/>
      <c r="M155" s="43">
        <f t="shared" si="21"/>
        <v>0</v>
      </c>
      <c r="O155" s="149">
        <v>150</v>
      </c>
      <c r="P155" s="149"/>
      <c r="Q155" s="149"/>
      <c r="R155" s="150" t="str">
        <f t="shared" si="26"/>
        <v/>
      </c>
      <c r="S155" s="152">
        <f t="shared" si="22"/>
        <v>-5</v>
      </c>
      <c r="T155" s="152">
        <f t="shared" si="23"/>
        <v>-50</v>
      </c>
      <c r="U155" s="150"/>
      <c r="V155" s="150">
        <f t="shared" si="24"/>
        <v>0</v>
      </c>
    </row>
    <row r="156" spans="1:22">
      <c r="A156" s="62"/>
      <c r="G156" s="19"/>
      <c r="H156" s="41">
        <v>151</v>
      </c>
      <c r="I156" s="42" t="str">
        <f t="shared" si="19"/>
        <v/>
      </c>
      <c r="J156" s="41">
        <f t="shared" si="25"/>
        <v>-8</v>
      </c>
      <c r="K156" s="41">
        <f t="shared" si="20"/>
        <v>-80</v>
      </c>
      <c r="L156" s="41"/>
      <c r="M156" s="43">
        <f t="shared" si="21"/>
        <v>0</v>
      </c>
      <c r="O156" s="149">
        <v>151</v>
      </c>
      <c r="P156" s="149"/>
      <c r="Q156" s="149"/>
      <c r="R156" s="150" t="str">
        <f t="shared" si="26"/>
        <v/>
      </c>
      <c r="S156" s="152">
        <f t="shared" si="22"/>
        <v>-5</v>
      </c>
      <c r="T156" s="152">
        <f t="shared" si="23"/>
        <v>-50</v>
      </c>
      <c r="U156" s="150"/>
      <c r="V156" s="150">
        <f t="shared" si="24"/>
        <v>0</v>
      </c>
    </row>
    <row r="157" spans="1:22">
      <c r="A157" s="62"/>
      <c r="G157" s="19"/>
      <c r="H157" s="41">
        <v>152</v>
      </c>
      <c r="I157" s="42" t="str">
        <f t="shared" si="19"/>
        <v/>
      </c>
      <c r="J157" s="41">
        <f t="shared" si="25"/>
        <v>-8</v>
      </c>
      <c r="K157" s="41">
        <f t="shared" si="20"/>
        <v>-80</v>
      </c>
      <c r="L157" s="41"/>
      <c r="M157" s="43">
        <f t="shared" si="21"/>
        <v>0</v>
      </c>
      <c r="O157" s="149">
        <v>152</v>
      </c>
      <c r="P157" s="149"/>
      <c r="Q157" s="149"/>
      <c r="R157" s="150" t="str">
        <f t="shared" si="26"/>
        <v/>
      </c>
      <c r="S157" s="152">
        <f t="shared" si="22"/>
        <v>-5</v>
      </c>
      <c r="T157" s="152">
        <f t="shared" si="23"/>
        <v>-50</v>
      </c>
      <c r="U157" s="150"/>
      <c r="V157" s="150">
        <f t="shared" si="24"/>
        <v>0</v>
      </c>
    </row>
    <row r="158" spans="1:22">
      <c r="A158" s="62"/>
      <c r="G158" s="19"/>
      <c r="H158" s="41">
        <v>153</v>
      </c>
      <c r="I158" s="42" t="str">
        <f t="shared" si="19"/>
        <v/>
      </c>
      <c r="J158" s="41">
        <f t="shared" si="25"/>
        <v>-8</v>
      </c>
      <c r="K158" s="41">
        <f t="shared" si="20"/>
        <v>-80</v>
      </c>
      <c r="L158" s="41"/>
      <c r="M158" s="43">
        <f t="shared" si="21"/>
        <v>0</v>
      </c>
      <c r="O158" s="149">
        <v>153</v>
      </c>
      <c r="P158" s="149"/>
      <c r="Q158" s="149"/>
      <c r="R158" s="150" t="str">
        <f t="shared" si="26"/>
        <v/>
      </c>
      <c r="S158" s="152">
        <f t="shared" si="22"/>
        <v>-5</v>
      </c>
      <c r="T158" s="152">
        <f t="shared" si="23"/>
        <v>-50</v>
      </c>
      <c r="U158" s="150"/>
      <c r="V158" s="150">
        <f t="shared" si="24"/>
        <v>0</v>
      </c>
    </row>
    <row r="159" spans="1:22">
      <c r="A159" s="62"/>
      <c r="G159" s="19"/>
      <c r="H159" s="41">
        <v>154</v>
      </c>
      <c r="I159" s="42" t="str">
        <f t="shared" si="19"/>
        <v/>
      </c>
      <c r="J159" s="41">
        <f t="shared" si="25"/>
        <v>-8</v>
      </c>
      <c r="K159" s="41">
        <f t="shared" si="20"/>
        <v>-80</v>
      </c>
      <c r="L159" s="41"/>
      <c r="M159" s="43">
        <f t="shared" si="21"/>
        <v>0</v>
      </c>
      <c r="O159" s="149">
        <v>154</v>
      </c>
      <c r="P159" s="149"/>
      <c r="Q159" s="149"/>
      <c r="R159" s="150" t="str">
        <f t="shared" si="26"/>
        <v/>
      </c>
      <c r="S159" s="152">
        <f t="shared" si="22"/>
        <v>-5</v>
      </c>
      <c r="T159" s="152">
        <f t="shared" si="23"/>
        <v>-50</v>
      </c>
      <c r="U159" s="150"/>
      <c r="V159" s="150">
        <f t="shared" si="24"/>
        <v>0</v>
      </c>
    </row>
    <row r="160" spans="1:22">
      <c r="A160" s="62"/>
      <c r="G160" s="19"/>
      <c r="H160" s="41">
        <v>155</v>
      </c>
      <c r="I160" s="42" t="str">
        <f t="shared" si="19"/>
        <v/>
      </c>
      <c r="J160" s="41">
        <f t="shared" si="25"/>
        <v>-8</v>
      </c>
      <c r="K160" s="41">
        <f t="shared" si="20"/>
        <v>-80</v>
      </c>
      <c r="L160" s="41"/>
      <c r="M160" s="43">
        <f t="shared" si="21"/>
        <v>0</v>
      </c>
      <c r="O160" s="149">
        <v>155</v>
      </c>
      <c r="P160" s="149"/>
      <c r="Q160" s="149"/>
      <c r="R160" s="150" t="str">
        <f t="shared" si="26"/>
        <v/>
      </c>
      <c r="S160" s="152">
        <f t="shared" si="22"/>
        <v>-5</v>
      </c>
      <c r="T160" s="152">
        <f t="shared" si="23"/>
        <v>-50</v>
      </c>
      <c r="U160" s="150"/>
      <c r="V160" s="150">
        <f t="shared" si="24"/>
        <v>0</v>
      </c>
    </row>
    <row r="161" spans="1:22">
      <c r="A161" s="62"/>
      <c r="G161" s="19"/>
      <c r="H161" s="41">
        <v>156</v>
      </c>
      <c r="I161" s="42" t="str">
        <f t="shared" si="19"/>
        <v/>
      </c>
      <c r="J161" s="41">
        <f t="shared" si="25"/>
        <v>-8</v>
      </c>
      <c r="K161" s="41">
        <f t="shared" si="20"/>
        <v>-80</v>
      </c>
      <c r="L161" s="41"/>
      <c r="M161" s="43">
        <f t="shared" si="21"/>
        <v>0</v>
      </c>
      <c r="O161" s="149">
        <v>156</v>
      </c>
      <c r="P161" s="149"/>
      <c r="Q161" s="149"/>
      <c r="R161" s="150" t="str">
        <f t="shared" si="26"/>
        <v/>
      </c>
      <c r="S161" s="152">
        <f t="shared" si="22"/>
        <v>-5</v>
      </c>
      <c r="T161" s="152">
        <f t="shared" si="23"/>
        <v>-50</v>
      </c>
      <c r="U161" s="150"/>
      <c r="V161" s="150">
        <f t="shared" si="24"/>
        <v>0</v>
      </c>
    </row>
    <row r="162" spans="1:22">
      <c r="A162" s="62"/>
      <c r="G162" s="19"/>
      <c r="H162" s="41">
        <v>157</v>
      </c>
      <c r="I162" s="42" t="str">
        <f t="shared" si="19"/>
        <v/>
      </c>
      <c r="J162" s="41">
        <f t="shared" si="25"/>
        <v>-8</v>
      </c>
      <c r="K162" s="41">
        <f t="shared" si="20"/>
        <v>-80</v>
      </c>
      <c r="L162" s="41"/>
      <c r="M162" s="43">
        <f t="shared" si="21"/>
        <v>0</v>
      </c>
      <c r="O162" s="149">
        <v>157</v>
      </c>
      <c r="P162" s="149"/>
      <c r="Q162" s="149"/>
      <c r="R162" s="150" t="str">
        <f t="shared" si="26"/>
        <v/>
      </c>
      <c r="S162" s="152">
        <f t="shared" si="22"/>
        <v>-5</v>
      </c>
      <c r="T162" s="152">
        <f t="shared" si="23"/>
        <v>-50</v>
      </c>
      <c r="U162" s="150"/>
      <c r="V162" s="150">
        <f t="shared" si="24"/>
        <v>0</v>
      </c>
    </row>
    <row r="163" spans="1:22">
      <c r="A163" s="62"/>
      <c r="G163" s="19"/>
      <c r="H163" s="41">
        <v>158</v>
      </c>
      <c r="I163" s="42" t="str">
        <f t="shared" si="19"/>
        <v/>
      </c>
      <c r="J163" s="41">
        <f t="shared" si="25"/>
        <v>-8</v>
      </c>
      <c r="K163" s="41">
        <f t="shared" si="20"/>
        <v>-80</v>
      </c>
      <c r="L163" s="41"/>
      <c r="M163" s="43">
        <f t="shared" si="21"/>
        <v>0</v>
      </c>
      <c r="O163" s="149">
        <v>158</v>
      </c>
      <c r="P163" s="149"/>
      <c r="Q163" s="149"/>
      <c r="R163" s="150" t="str">
        <f t="shared" si="26"/>
        <v/>
      </c>
      <c r="S163" s="152">
        <f t="shared" si="22"/>
        <v>-5</v>
      </c>
      <c r="T163" s="152">
        <f t="shared" si="23"/>
        <v>-50</v>
      </c>
      <c r="U163" s="150"/>
      <c r="V163" s="150">
        <f t="shared" si="24"/>
        <v>0</v>
      </c>
    </row>
    <row r="164" spans="1:22">
      <c r="A164" s="62"/>
      <c r="G164" s="19"/>
      <c r="H164" s="41">
        <v>159</v>
      </c>
      <c r="I164" s="42" t="str">
        <f t="shared" si="19"/>
        <v/>
      </c>
      <c r="J164" s="41">
        <f t="shared" si="25"/>
        <v>-8</v>
      </c>
      <c r="K164" s="41">
        <f t="shared" si="20"/>
        <v>-80</v>
      </c>
      <c r="L164" s="41"/>
      <c r="M164" s="43">
        <f t="shared" si="21"/>
        <v>0</v>
      </c>
      <c r="O164" s="149">
        <v>159</v>
      </c>
      <c r="P164" s="149"/>
      <c r="Q164" s="149"/>
      <c r="R164" s="150" t="str">
        <f t="shared" si="26"/>
        <v/>
      </c>
      <c r="S164" s="152">
        <f t="shared" si="22"/>
        <v>-5</v>
      </c>
      <c r="T164" s="152">
        <f t="shared" si="23"/>
        <v>-50</v>
      </c>
      <c r="U164" s="150"/>
      <c r="V164" s="150">
        <f t="shared" si="24"/>
        <v>0</v>
      </c>
    </row>
    <row r="165" spans="1:22">
      <c r="A165" s="62"/>
      <c r="G165" s="19"/>
      <c r="H165" s="41">
        <v>160</v>
      </c>
      <c r="I165" s="42" t="str">
        <f t="shared" si="19"/>
        <v/>
      </c>
      <c r="J165" s="41">
        <f t="shared" si="25"/>
        <v>-8</v>
      </c>
      <c r="K165" s="41">
        <f t="shared" si="20"/>
        <v>-80</v>
      </c>
      <c r="L165" s="41"/>
      <c r="M165" s="43">
        <f t="shared" si="21"/>
        <v>0</v>
      </c>
      <c r="O165" s="149">
        <v>160</v>
      </c>
      <c r="P165" s="149"/>
      <c r="Q165" s="149"/>
      <c r="R165" s="150" t="str">
        <f t="shared" si="26"/>
        <v/>
      </c>
      <c r="S165" s="152">
        <f t="shared" si="22"/>
        <v>-5</v>
      </c>
      <c r="T165" s="152">
        <f t="shared" si="23"/>
        <v>-50</v>
      </c>
      <c r="U165" s="150"/>
      <c r="V165" s="150">
        <f t="shared" si="24"/>
        <v>0</v>
      </c>
    </row>
    <row r="166" spans="1:22">
      <c r="A166" s="62"/>
      <c r="G166" s="19"/>
      <c r="H166" s="41">
        <v>161</v>
      </c>
      <c r="I166" s="42" t="str">
        <f t="shared" si="19"/>
        <v/>
      </c>
      <c r="J166" s="41">
        <f t="shared" si="25"/>
        <v>-8</v>
      </c>
      <c r="K166" s="41">
        <f t="shared" si="20"/>
        <v>-80</v>
      </c>
      <c r="L166" s="41"/>
      <c r="M166" s="43">
        <f t="shared" si="21"/>
        <v>0</v>
      </c>
      <c r="O166" s="149">
        <v>161</v>
      </c>
      <c r="P166" s="149"/>
      <c r="Q166" s="149"/>
      <c r="R166" s="150" t="str">
        <f t="shared" si="26"/>
        <v/>
      </c>
      <c r="S166" s="152">
        <f t="shared" si="22"/>
        <v>-5</v>
      </c>
      <c r="T166" s="152">
        <f t="shared" si="23"/>
        <v>-50</v>
      </c>
      <c r="U166" s="150"/>
      <c r="V166" s="150">
        <f t="shared" si="24"/>
        <v>0</v>
      </c>
    </row>
    <row r="167" spans="1:22">
      <c r="A167" s="62"/>
      <c r="G167" s="19"/>
      <c r="H167" s="41">
        <v>162</v>
      </c>
      <c r="I167" s="42" t="str">
        <f t="shared" si="19"/>
        <v/>
      </c>
      <c r="J167" s="41">
        <f t="shared" si="25"/>
        <v>-8</v>
      </c>
      <c r="K167" s="41">
        <f t="shared" si="20"/>
        <v>-80</v>
      </c>
      <c r="L167" s="41"/>
      <c r="M167" s="43">
        <f t="shared" si="21"/>
        <v>0</v>
      </c>
      <c r="O167" s="149">
        <v>162</v>
      </c>
      <c r="P167" s="149"/>
      <c r="Q167" s="149"/>
      <c r="R167" s="150" t="str">
        <f t="shared" si="26"/>
        <v/>
      </c>
      <c r="S167" s="152">
        <f t="shared" si="22"/>
        <v>-5</v>
      </c>
      <c r="T167" s="152">
        <f t="shared" si="23"/>
        <v>-50</v>
      </c>
      <c r="U167" s="150"/>
      <c r="V167" s="150">
        <f t="shared" si="24"/>
        <v>0</v>
      </c>
    </row>
    <row r="168" spans="1:22">
      <c r="A168" s="62"/>
      <c r="G168" s="19"/>
      <c r="H168" s="41">
        <v>163</v>
      </c>
      <c r="I168" s="42" t="str">
        <f t="shared" si="19"/>
        <v/>
      </c>
      <c r="J168" s="41">
        <f t="shared" si="25"/>
        <v>-8</v>
      </c>
      <c r="K168" s="41">
        <f t="shared" si="20"/>
        <v>-80</v>
      </c>
      <c r="L168" s="41"/>
      <c r="M168" s="43">
        <f t="shared" si="21"/>
        <v>0</v>
      </c>
      <c r="O168" s="149">
        <v>163</v>
      </c>
      <c r="P168" s="149"/>
      <c r="Q168" s="149"/>
      <c r="R168" s="150" t="str">
        <f t="shared" si="26"/>
        <v/>
      </c>
      <c r="S168" s="152">
        <f t="shared" si="22"/>
        <v>-5</v>
      </c>
      <c r="T168" s="152">
        <f t="shared" si="23"/>
        <v>-50</v>
      </c>
      <c r="U168" s="150"/>
      <c r="V168" s="150">
        <f t="shared" si="24"/>
        <v>0</v>
      </c>
    </row>
    <row r="169" spans="1:22">
      <c r="A169" s="62"/>
      <c r="G169" s="19"/>
      <c r="H169" s="41">
        <v>164</v>
      </c>
      <c r="I169" s="42" t="str">
        <f t="shared" si="19"/>
        <v/>
      </c>
      <c r="J169" s="41">
        <f t="shared" si="25"/>
        <v>-8</v>
      </c>
      <c r="K169" s="41">
        <f t="shared" si="20"/>
        <v>-80</v>
      </c>
      <c r="L169" s="41"/>
      <c r="M169" s="43">
        <f t="shared" si="21"/>
        <v>0</v>
      </c>
      <c r="O169" s="149">
        <v>164</v>
      </c>
      <c r="P169" s="149"/>
      <c r="Q169" s="149"/>
      <c r="R169" s="150" t="str">
        <f t="shared" si="26"/>
        <v/>
      </c>
      <c r="S169" s="152">
        <f t="shared" si="22"/>
        <v>-5</v>
      </c>
      <c r="T169" s="152">
        <f t="shared" si="23"/>
        <v>-50</v>
      </c>
      <c r="U169" s="150"/>
      <c r="V169" s="150">
        <f t="shared" si="24"/>
        <v>0</v>
      </c>
    </row>
    <row r="170" spans="1:22">
      <c r="A170" s="62"/>
      <c r="G170" s="19"/>
      <c r="H170" s="41">
        <v>165</v>
      </c>
      <c r="I170" s="42" t="str">
        <f t="shared" si="19"/>
        <v/>
      </c>
      <c r="J170" s="41">
        <f t="shared" si="25"/>
        <v>-8</v>
      </c>
      <c r="K170" s="41">
        <f t="shared" si="20"/>
        <v>-80</v>
      </c>
      <c r="L170" s="41"/>
      <c r="M170" s="43">
        <f t="shared" si="21"/>
        <v>0</v>
      </c>
      <c r="O170" s="149">
        <v>165</v>
      </c>
      <c r="P170" s="149"/>
      <c r="Q170" s="149"/>
      <c r="R170" s="150" t="str">
        <f t="shared" si="26"/>
        <v/>
      </c>
      <c r="S170" s="152">
        <f t="shared" si="22"/>
        <v>-5</v>
      </c>
      <c r="T170" s="152">
        <f t="shared" si="23"/>
        <v>-50</v>
      </c>
      <c r="U170" s="150"/>
      <c r="V170" s="150">
        <f t="shared" si="24"/>
        <v>0</v>
      </c>
    </row>
    <row r="171" spans="1:22">
      <c r="A171" s="62"/>
      <c r="G171" s="19"/>
      <c r="H171" s="41">
        <v>166</v>
      </c>
      <c r="I171" s="42" t="str">
        <f t="shared" si="19"/>
        <v/>
      </c>
      <c r="J171" s="41">
        <f t="shared" si="25"/>
        <v>-8</v>
      </c>
      <c r="K171" s="41">
        <f t="shared" si="20"/>
        <v>-80</v>
      </c>
      <c r="L171" s="41"/>
      <c r="M171" s="43">
        <f t="shared" si="21"/>
        <v>0</v>
      </c>
      <c r="O171" s="149">
        <v>166</v>
      </c>
      <c r="P171" s="149"/>
      <c r="Q171" s="149"/>
      <c r="R171" s="150" t="str">
        <f t="shared" si="26"/>
        <v/>
      </c>
      <c r="S171" s="152">
        <f t="shared" si="22"/>
        <v>-5</v>
      </c>
      <c r="T171" s="152">
        <f t="shared" si="23"/>
        <v>-50</v>
      </c>
      <c r="U171" s="150"/>
      <c r="V171" s="150">
        <f t="shared" si="24"/>
        <v>0</v>
      </c>
    </row>
    <row r="172" spans="1:22">
      <c r="A172" s="62"/>
      <c r="G172" s="19"/>
      <c r="H172" s="41">
        <v>167</v>
      </c>
      <c r="I172" s="42" t="str">
        <f t="shared" si="19"/>
        <v/>
      </c>
      <c r="J172" s="41">
        <f t="shared" si="25"/>
        <v>-8</v>
      </c>
      <c r="K172" s="41">
        <f t="shared" si="20"/>
        <v>-80</v>
      </c>
      <c r="L172" s="41"/>
      <c r="M172" s="43">
        <f t="shared" si="21"/>
        <v>0</v>
      </c>
      <c r="O172" s="149">
        <v>167</v>
      </c>
      <c r="P172" s="149"/>
      <c r="Q172" s="149"/>
      <c r="R172" s="150" t="str">
        <f t="shared" si="26"/>
        <v/>
      </c>
      <c r="S172" s="152">
        <f t="shared" si="22"/>
        <v>-5</v>
      </c>
      <c r="T172" s="152">
        <f t="shared" si="23"/>
        <v>-50</v>
      </c>
      <c r="U172" s="150"/>
      <c r="V172" s="150">
        <f t="shared" si="24"/>
        <v>0</v>
      </c>
    </row>
    <row r="173" spans="1:22">
      <c r="A173" s="62"/>
      <c r="G173" s="19"/>
      <c r="H173" s="41">
        <v>168</v>
      </c>
      <c r="I173" s="42" t="str">
        <f t="shared" si="19"/>
        <v/>
      </c>
      <c r="J173" s="41">
        <f t="shared" si="25"/>
        <v>-8</v>
      </c>
      <c r="K173" s="41">
        <f t="shared" si="20"/>
        <v>-80</v>
      </c>
      <c r="L173" s="41"/>
      <c r="M173" s="43">
        <f t="shared" si="21"/>
        <v>0</v>
      </c>
      <c r="O173" s="149">
        <v>168</v>
      </c>
      <c r="P173" s="149"/>
      <c r="Q173" s="149"/>
      <c r="R173" s="150" t="str">
        <f t="shared" si="26"/>
        <v/>
      </c>
      <c r="S173" s="152">
        <f t="shared" si="22"/>
        <v>-5</v>
      </c>
      <c r="T173" s="152">
        <f t="shared" si="23"/>
        <v>-50</v>
      </c>
      <c r="U173" s="150"/>
      <c r="V173" s="150">
        <f t="shared" si="24"/>
        <v>0</v>
      </c>
    </row>
    <row r="174" spans="1:22">
      <c r="A174" s="62"/>
      <c r="G174" s="19"/>
      <c r="H174" s="41">
        <v>169</v>
      </c>
      <c r="I174" s="42" t="str">
        <f t="shared" si="19"/>
        <v/>
      </c>
      <c r="J174" s="41">
        <f t="shared" si="25"/>
        <v>-8</v>
      </c>
      <c r="K174" s="41">
        <f t="shared" si="20"/>
        <v>-80</v>
      </c>
      <c r="L174" s="41"/>
      <c r="M174" s="43">
        <f t="shared" si="21"/>
        <v>0</v>
      </c>
      <c r="O174" s="149">
        <v>169</v>
      </c>
      <c r="P174" s="149"/>
      <c r="Q174" s="149"/>
      <c r="R174" s="150" t="str">
        <f t="shared" si="26"/>
        <v/>
      </c>
      <c r="S174" s="152">
        <f t="shared" si="22"/>
        <v>-5</v>
      </c>
      <c r="T174" s="152">
        <f t="shared" si="23"/>
        <v>-50</v>
      </c>
      <c r="U174" s="150"/>
      <c r="V174" s="150">
        <f t="shared" si="24"/>
        <v>0</v>
      </c>
    </row>
    <row r="175" spans="1:22">
      <c r="A175" s="62"/>
      <c r="G175" s="19"/>
      <c r="H175" s="41">
        <v>170</v>
      </c>
      <c r="I175" s="42" t="str">
        <f t="shared" si="19"/>
        <v/>
      </c>
      <c r="J175" s="41">
        <f t="shared" si="25"/>
        <v>-8</v>
      </c>
      <c r="K175" s="41">
        <f t="shared" si="20"/>
        <v>-80</v>
      </c>
      <c r="L175" s="41"/>
      <c r="M175" s="43">
        <f t="shared" si="21"/>
        <v>0</v>
      </c>
      <c r="O175" s="149">
        <v>170</v>
      </c>
      <c r="P175" s="149"/>
      <c r="Q175" s="149"/>
      <c r="R175" s="150" t="str">
        <f t="shared" si="26"/>
        <v/>
      </c>
      <c r="S175" s="152">
        <f t="shared" si="22"/>
        <v>-5</v>
      </c>
      <c r="T175" s="152">
        <f t="shared" si="23"/>
        <v>-50</v>
      </c>
      <c r="U175" s="150"/>
      <c r="V175" s="150">
        <f t="shared" si="24"/>
        <v>0</v>
      </c>
    </row>
    <row r="176" spans="1:22">
      <c r="A176" s="62"/>
      <c r="G176" s="19"/>
      <c r="H176" s="41">
        <v>171</v>
      </c>
      <c r="I176" s="42" t="str">
        <f t="shared" si="19"/>
        <v/>
      </c>
      <c r="J176" s="41">
        <f t="shared" si="25"/>
        <v>-8</v>
      </c>
      <c r="K176" s="41">
        <f t="shared" si="20"/>
        <v>-80</v>
      </c>
      <c r="L176" s="41"/>
      <c r="M176" s="43">
        <f t="shared" si="21"/>
        <v>0</v>
      </c>
      <c r="O176" s="149">
        <v>171</v>
      </c>
      <c r="P176" s="149"/>
      <c r="Q176" s="149"/>
      <c r="R176" s="150" t="str">
        <f t="shared" si="26"/>
        <v/>
      </c>
      <c r="S176" s="152">
        <f t="shared" si="22"/>
        <v>-5</v>
      </c>
      <c r="T176" s="152">
        <f t="shared" si="23"/>
        <v>-50</v>
      </c>
      <c r="U176" s="150"/>
      <c r="V176" s="150">
        <f t="shared" si="24"/>
        <v>0</v>
      </c>
    </row>
    <row r="177" spans="1:22">
      <c r="A177" s="62"/>
      <c r="G177" s="19"/>
      <c r="H177" s="41">
        <v>172</v>
      </c>
      <c r="I177" s="42" t="str">
        <f t="shared" si="19"/>
        <v/>
      </c>
      <c r="J177" s="41">
        <f t="shared" si="25"/>
        <v>-8</v>
      </c>
      <c r="K177" s="41">
        <f t="shared" si="20"/>
        <v>-80</v>
      </c>
      <c r="L177" s="41"/>
      <c r="M177" s="43">
        <f t="shared" si="21"/>
        <v>0</v>
      </c>
      <c r="O177" s="149">
        <v>172</v>
      </c>
      <c r="P177" s="149"/>
      <c r="Q177" s="149"/>
      <c r="R177" s="150" t="str">
        <f t="shared" si="26"/>
        <v/>
      </c>
      <c r="S177" s="152">
        <f t="shared" si="22"/>
        <v>-5</v>
      </c>
      <c r="T177" s="152">
        <f t="shared" si="23"/>
        <v>-50</v>
      </c>
      <c r="U177" s="150"/>
      <c r="V177" s="150">
        <f t="shared" si="24"/>
        <v>0</v>
      </c>
    </row>
    <row r="178" spans="1:22">
      <c r="A178" s="62"/>
      <c r="G178" s="19"/>
      <c r="H178" s="41">
        <v>173</v>
      </c>
      <c r="I178" s="42" t="str">
        <f t="shared" si="19"/>
        <v/>
      </c>
      <c r="J178" s="41">
        <f t="shared" si="25"/>
        <v>-8</v>
      </c>
      <c r="K178" s="41">
        <f t="shared" si="20"/>
        <v>-80</v>
      </c>
      <c r="L178" s="41"/>
      <c r="M178" s="43">
        <f t="shared" si="21"/>
        <v>0</v>
      </c>
      <c r="O178" s="149">
        <v>173</v>
      </c>
      <c r="P178" s="149"/>
      <c r="Q178" s="149"/>
      <c r="R178" s="150" t="str">
        <f t="shared" si="26"/>
        <v/>
      </c>
      <c r="S178" s="152">
        <f t="shared" si="22"/>
        <v>-5</v>
      </c>
      <c r="T178" s="152">
        <f t="shared" si="23"/>
        <v>-50</v>
      </c>
      <c r="U178" s="150"/>
      <c r="V178" s="150">
        <f t="shared" si="24"/>
        <v>0</v>
      </c>
    </row>
    <row r="179" spans="1:22">
      <c r="A179" s="62"/>
      <c r="G179" s="19"/>
      <c r="H179" s="41">
        <v>174</v>
      </c>
      <c r="I179" s="42" t="str">
        <f t="shared" si="19"/>
        <v/>
      </c>
      <c r="J179" s="41">
        <f t="shared" si="25"/>
        <v>-8</v>
      </c>
      <c r="K179" s="41">
        <f t="shared" si="20"/>
        <v>-80</v>
      </c>
      <c r="L179" s="41"/>
      <c r="M179" s="43">
        <f t="shared" si="21"/>
        <v>0</v>
      </c>
      <c r="O179" s="149">
        <v>174</v>
      </c>
      <c r="P179" s="149"/>
      <c r="Q179" s="149"/>
      <c r="R179" s="150" t="str">
        <f t="shared" si="26"/>
        <v/>
      </c>
      <c r="S179" s="152">
        <f t="shared" si="22"/>
        <v>-5</v>
      </c>
      <c r="T179" s="152">
        <f t="shared" si="23"/>
        <v>-50</v>
      </c>
      <c r="U179" s="150"/>
      <c r="V179" s="150">
        <f t="shared" si="24"/>
        <v>0</v>
      </c>
    </row>
    <row r="180" spans="1:22">
      <c r="A180" s="62"/>
      <c r="G180" s="19"/>
      <c r="H180" s="41">
        <v>175</v>
      </c>
      <c r="I180" s="42" t="str">
        <f t="shared" si="19"/>
        <v/>
      </c>
      <c r="J180" s="41">
        <f t="shared" si="25"/>
        <v>-8</v>
      </c>
      <c r="K180" s="41">
        <f t="shared" si="20"/>
        <v>-80</v>
      </c>
      <c r="L180" s="41"/>
      <c r="M180" s="43">
        <f t="shared" si="21"/>
        <v>0</v>
      </c>
      <c r="O180" s="149">
        <v>175</v>
      </c>
      <c r="P180" s="149"/>
      <c r="Q180" s="149"/>
      <c r="R180" s="150" t="str">
        <f t="shared" si="26"/>
        <v/>
      </c>
      <c r="S180" s="152">
        <f t="shared" si="22"/>
        <v>-5</v>
      </c>
      <c r="T180" s="152">
        <f t="shared" si="23"/>
        <v>-50</v>
      </c>
      <c r="U180" s="150"/>
      <c r="V180" s="150">
        <f t="shared" si="24"/>
        <v>0</v>
      </c>
    </row>
    <row r="181" spans="1:22">
      <c r="A181" s="62"/>
      <c r="G181" s="19"/>
      <c r="H181" s="41">
        <v>176</v>
      </c>
      <c r="I181" s="42" t="str">
        <f t="shared" si="19"/>
        <v/>
      </c>
      <c r="J181" s="41">
        <f t="shared" si="25"/>
        <v>-8</v>
      </c>
      <c r="K181" s="41">
        <f t="shared" si="20"/>
        <v>-80</v>
      </c>
      <c r="L181" s="41"/>
      <c r="M181" s="43">
        <f t="shared" si="21"/>
        <v>0</v>
      </c>
      <c r="O181" s="149">
        <v>176</v>
      </c>
      <c r="P181" s="149"/>
      <c r="Q181" s="149"/>
      <c r="R181" s="150" t="str">
        <f t="shared" si="26"/>
        <v/>
      </c>
      <c r="S181" s="152">
        <f t="shared" si="22"/>
        <v>-5</v>
      </c>
      <c r="T181" s="152">
        <f t="shared" si="23"/>
        <v>-50</v>
      </c>
      <c r="U181" s="150"/>
      <c r="V181" s="150">
        <f t="shared" si="24"/>
        <v>0</v>
      </c>
    </row>
    <row r="182" spans="1:22">
      <c r="A182" s="62"/>
      <c r="G182" s="19"/>
      <c r="H182" s="41">
        <v>177</v>
      </c>
      <c r="I182" s="42" t="str">
        <f t="shared" si="19"/>
        <v/>
      </c>
      <c r="J182" s="41">
        <f t="shared" si="25"/>
        <v>-8</v>
      </c>
      <c r="K182" s="41">
        <f t="shared" si="20"/>
        <v>-80</v>
      </c>
      <c r="L182" s="41"/>
      <c r="M182" s="43">
        <f t="shared" si="21"/>
        <v>0</v>
      </c>
      <c r="O182" s="149">
        <v>177</v>
      </c>
      <c r="P182" s="149"/>
      <c r="Q182" s="149"/>
      <c r="R182" s="150" t="str">
        <f t="shared" si="26"/>
        <v/>
      </c>
      <c r="S182" s="152">
        <f t="shared" si="22"/>
        <v>-5</v>
      </c>
      <c r="T182" s="152">
        <f t="shared" si="23"/>
        <v>-50</v>
      </c>
      <c r="U182" s="150"/>
      <c r="V182" s="150">
        <f t="shared" si="24"/>
        <v>0</v>
      </c>
    </row>
    <row r="183" spans="1:22">
      <c r="A183" s="62"/>
      <c r="G183" s="19"/>
      <c r="H183" s="41">
        <v>178</v>
      </c>
      <c r="I183" s="42" t="str">
        <f t="shared" si="19"/>
        <v/>
      </c>
      <c r="J183" s="41">
        <f t="shared" si="25"/>
        <v>-8</v>
      </c>
      <c r="K183" s="41">
        <f t="shared" si="20"/>
        <v>-80</v>
      </c>
      <c r="L183" s="41"/>
      <c r="M183" s="43">
        <f t="shared" si="21"/>
        <v>0</v>
      </c>
      <c r="O183" s="149">
        <v>178</v>
      </c>
      <c r="P183" s="149"/>
      <c r="Q183" s="149"/>
      <c r="R183" s="150" t="str">
        <f t="shared" si="26"/>
        <v/>
      </c>
      <c r="S183" s="152">
        <f t="shared" si="22"/>
        <v>-5</v>
      </c>
      <c r="T183" s="152">
        <f t="shared" si="23"/>
        <v>-50</v>
      </c>
      <c r="U183" s="150"/>
      <c r="V183" s="150">
        <f t="shared" si="24"/>
        <v>0</v>
      </c>
    </row>
    <row r="184" spans="1:22">
      <c r="A184" s="62"/>
      <c r="G184" s="19"/>
      <c r="H184" s="41">
        <v>179</v>
      </c>
      <c r="I184" s="42" t="str">
        <f t="shared" si="19"/>
        <v/>
      </c>
      <c r="J184" s="41">
        <f t="shared" si="25"/>
        <v>-8</v>
      </c>
      <c r="K184" s="41">
        <f t="shared" si="20"/>
        <v>-80</v>
      </c>
      <c r="L184" s="41"/>
      <c r="M184" s="43">
        <f t="shared" si="21"/>
        <v>0</v>
      </c>
      <c r="O184" s="149">
        <v>179</v>
      </c>
      <c r="P184" s="149"/>
      <c r="Q184" s="149"/>
      <c r="R184" s="150" t="str">
        <f t="shared" si="26"/>
        <v/>
      </c>
      <c r="S184" s="152">
        <f t="shared" si="22"/>
        <v>-5</v>
      </c>
      <c r="T184" s="152">
        <f t="shared" si="23"/>
        <v>-50</v>
      </c>
      <c r="U184" s="150"/>
      <c r="V184" s="150">
        <f t="shared" si="24"/>
        <v>0</v>
      </c>
    </row>
    <row r="185" spans="1:22">
      <c r="A185" s="62"/>
      <c r="G185" s="19"/>
      <c r="H185" s="41">
        <v>180</v>
      </c>
      <c r="I185" s="42" t="str">
        <f t="shared" si="19"/>
        <v/>
      </c>
      <c r="J185" s="41">
        <f t="shared" si="25"/>
        <v>-8</v>
      </c>
      <c r="K185" s="41">
        <f t="shared" si="20"/>
        <v>-80</v>
      </c>
      <c r="L185" s="41"/>
      <c r="M185" s="43">
        <f t="shared" si="21"/>
        <v>0</v>
      </c>
      <c r="O185" s="149">
        <v>180</v>
      </c>
      <c r="P185" s="149"/>
      <c r="Q185" s="149"/>
      <c r="R185" s="150" t="str">
        <f t="shared" si="26"/>
        <v/>
      </c>
      <c r="S185" s="152">
        <f t="shared" si="22"/>
        <v>-5</v>
      </c>
      <c r="T185" s="152">
        <f t="shared" si="23"/>
        <v>-50</v>
      </c>
      <c r="U185" s="150"/>
      <c r="V185" s="150">
        <f t="shared" si="24"/>
        <v>0</v>
      </c>
    </row>
    <row r="186" spans="1:22">
      <c r="A186" s="62"/>
      <c r="G186" s="19"/>
      <c r="H186" s="41">
        <v>181</v>
      </c>
      <c r="I186" s="42" t="str">
        <f t="shared" si="19"/>
        <v/>
      </c>
      <c r="J186" s="41">
        <f t="shared" si="25"/>
        <v>-8</v>
      </c>
      <c r="K186" s="41">
        <f t="shared" si="20"/>
        <v>-80</v>
      </c>
      <c r="L186" s="41"/>
      <c r="M186" s="43">
        <f t="shared" si="21"/>
        <v>0</v>
      </c>
      <c r="O186" s="149">
        <v>181</v>
      </c>
      <c r="P186" s="149"/>
      <c r="Q186" s="149"/>
      <c r="R186" s="150" t="str">
        <f t="shared" si="26"/>
        <v/>
      </c>
      <c r="S186" s="152">
        <f t="shared" si="22"/>
        <v>-5</v>
      </c>
      <c r="T186" s="152">
        <f t="shared" si="23"/>
        <v>-50</v>
      </c>
      <c r="U186" s="150"/>
      <c r="V186" s="150">
        <f t="shared" si="24"/>
        <v>0</v>
      </c>
    </row>
    <row r="187" spans="1:22">
      <c r="A187" s="62"/>
      <c r="G187" s="19"/>
      <c r="H187" s="41">
        <v>182</v>
      </c>
      <c r="I187" s="42" t="str">
        <f t="shared" si="19"/>
        <v/>
      </c>
      <c r="J187" s="41">
        <f t="shared" si="25"/>
        <v>-8</v>
      </c>
      <c r="K187" s="41">
        <f t="shared" si="20"/>
        <v>-80</v>
      </c>
      <c r="L187" s="41"/>
      <c r="M187" s="43">
        <f t="shared" si="21"/>
        <v>0</v>
      </c>
      <c r="O187" s="149">
        <v>182</v>
      </c>
      <c r="P187" s="149"/>
      <c r="Q187" s="149"/>
      <c r="R187" s="150" t="str">
        <f t="shared" si="26"/>
        <v/>
      </c>
      <c r="S187" s="152">
        <f t="shared" si="22"/>
        <v>-5</v>
      </c>
      <c r="T187" s="152">
        <f t="shared" si="23"/>
        <v>-50</v>
      </c>
      <c r="U187" s="150"/>
      <c r="V187" s="150">
        <f t="shared" si="24"/>
        <v>0</v>
      </c>
    </row>
    <row r="188" spans="1:22">
      <c r="A188" s="62"/>
      <c r="G188" s="19"/>
      <c r="H188" s="41">
        <v>183</v>
      </c>
      <c r="I188" s="42" t="str">
        <f t="shared" si="19"/>
        <v/>
      </c>
      <c r="J188" s="41">
        <f t="shared" si="25"/>
        <v>-8</v>
      </c>
      <c r="K188" s="41">
        <f t="shared" si="20"/>
        <v>-80</v>
      </c>
      <c r="L188" s="41"/>
      <c r="M188" s="43">
        <f t="shared" si="21"/>
        <v>0</v>
      </c>
      <c r="O188" s="149">
        <v>183</v>
      </c>
      <c r="P188" s="149"/>
      <c r="Q188" s="149"/>
      <c r="R188" s="150" t="str">
        <f t="shared" si="26"/>
        <v/>
      </c>
      <c r="S188" s="152">
        <f t="shared" si="22"/>
        <v>-5</v>
      </c>
      <c r="T188" s="152">
        <f t="shared" si="23"/>
        <v>-50</v>
      </c>
      <c r="U188" s="150"/>
      <c r="V188" s="150">
        <f t="shared" si="24"/>
        <v>0</v>
      </c>
    </row>
    <row r="189" spans="1:22">
      <c r="A189" s="62"/>
      <c r="G189" s="19"/>
      <c r="H189" s="41">
        <v>184</v>
      </c>
      <c r="I189" s="42" t="str">
        <f t="shared" si="19"/>
        <v/>
      </c>
      <c r="J189" s="41">
        <f t="shared" si="25"/>
        <v>-8</v>
      </c>
      <c r="K189" s="41">
        <f t="shared" si="20"/>
        <v>-80</v>
      </c>
      <c r="L189" s="41"/>
      <c r="M189" s="43">
        <f t="shared" si="21"/>
        <v>0</v>
      </c>
      <c r="O189" s="149">
        <v>184</v>
      </c>
      <c r="P189" s="149"/>
      <c r="Q189" s="149"/>
      <c r="R189" s="150" t="str">
        <f t="shared" si="26"/>
        <v/>
      </c>
      <c r="S189" s="152">
        <f t="shared" si="22"/>
        <v>-5</v>
      </c>
      <c r="T189" s="152">
        <f t="shared" si="23"/>
        <v>-50</v>
      </c>
      <c r="U189" s="150"/>
      <c r="V189" s="150">
        <f t="shared" si="24"/>
        <v>0</v>
      </c>
    </row>
    <row r="190" spans="1:22">
      <c r="A190" s="62"/>
      <c r="G190" s="19"/>
      <c r="H190" s="41">
        <v>185</v>
      </c>
      <c r="I190" s="42" t="str">
        <f t="shared" si="19"/>
        <v/>
      </c>
      <c r="J190" s="41">
        <f t="shared" si="25"/>
        <v>-8</v>
      </c>
      <c r="K190" s="41">
        <f t="shared" si="20"/>
        <v>-80</v>
      </c>
      <c r="L190" s="41"/>
      <c r="M190" s="43">
        <f t="shared" si="21"/>
        <v>0</v>
      </c>
      <c r="O190" s="149">
        <v>185</v>
      </c>
      <c r="P190" s="149"/>
      <c r="Q190" s="149"/>
      <c r="R190" s="150" t="str">
        <f t="shared" si="26"/>
        <v/>
      </c>
      <c r="S190" s="152">
        <f t="shared" si="22"/>
        <v>-5</v>
      </c>
      <c r="T190" s="152">
        <f t="shared" si="23"/>
        <v>-50</v>
      </c>
      <c r="U190" s="150"/>
      <c r="V190" s="150">
        <f t="shared" si="24"/>
        <v>0</v>
      </c>
    </row>
    <row r="191" spans="1:22">
      <c r="A191" s="62"/>
      <c r="G191" s="19"/>
      <c r="H191" s="41">
        <v>186</v>
      </c>
      <c r="I191" s="42" t="str">
        <f t="shared" si="19"/>
        <v/>
      </c>
      <c r="J191" s="41">
        <f t="shared" si="25"/>
        <v>-8</v>
      </c>
      <c r="K191" s="41">
        <f t="shared" si="20"/>
        <v>-80</v>
      </c>
      <c r="L191" s="41"/>
      <c r="M191" s="43">
        <f t="shared" si="21"/>
        <v>0</v>
      </c>
      <c r="O191" s="149">
        <v>186</v>
      </c>
      <c r="P191" s="149"/>
      <c r="Q191" s="149"/>
      <c r="R191" s="150" t="str">
        <f t="shared" si="26"/>
        <v/>
      </c>
      <c r="S191" s="152">
        <f t="shared" si="22"/>
        <v>-5</v>
      </c>
      <c r="T191" s="152">
        <f t="shared" si="23"/>
        <v>-50</v>
      </c>
      <c r="U191" s="150"/>
      <c r="V191" s="150">
        <f t="shared" si="24"/>
        <v>0</v>
      </c>
    </row>
    <row r="192" spans="1:22">
      <c r="A192" s="62"/>
      <c r="G192" s="19"/>
      <c r="H192" s="41">
        <v>187</v>
      </c>
      <c r="I192" s="42" t="str">
        <f t="shared" si="19"/>
        <v/>
      </c>
      <c r="J192" s="41">
        <f t="shared" si="25"/>
        <v>-8</v>
      </c>
      <c r="K192" s="41">
        <f t="shared" si="20"/>
        <v>-80</v>
      </c>
      <c r="L192" s="41"/>
      <c r="M192" s="43">
        <f t="shared" si="21"/>
        <v>0</v>
      </c>
      <c r="O192" s="149">
        <v>187</v>
      </c>
      <c r="P192" s="149"/>
      <c r="Q192" s="149"/>
      <c r="R192" s="150" t="str">
        <f t="shared" si="26"/>
        <v/>
      </c>
      <c r="S192" s="152">
        <f t="shared" si="22"/>
        <v>-5</v>
      </c>
      <c r="T192" s="152">
        <f t="shared" si="23"/>
        <v>-50</v>
      </c>
      <c r="U192" s="150"/>
      <c r="V192" s="150">
        <f t="shared" si="24"/>
        <v>0</v>
      </c>
    </row>
    <row r="193" spans="1:22">
      <c r="A193" s="62"/>
      <c r="G193" s="19"/>
      <c r="H193" s="41">
        <v>188</v>
      </c>
      <c r="I193" s="42" t="str">
        <f t="shared" si="19"/>
        <v/>
      </c>
      <c r="J193" s="41">
        <f t="shared" si="25"/>
        <v>-8</v>
      </c>
      <c r="K193" s="41">
        <f t="shared" si="20"/>
        <v>-80</v>
      </c>
      <c r="L193" s="41"/>
      <c r="M193" s="43">
        <f t="shared" si="21"/>
        <v>0</v>
      </c>
      <c r="O193" s="149">
        <v>188</v>
      </c>
      <c r="P193" s="149"/>
      <c r="Q193" s="149"/>
      <c r="R193" s="150" t="str">
        <f t="shared" si="26"/>
        <v/>
      </c>
      <c r="S193" s="152">
        <f t="shared" si="22"/>
        <v>-5</v>
      </c>
      <c r="T193" s="152">
        <f t="shared" si="23"/>
        <v>-50</v>
      </c>
      <c r="U193" s="150"/>
      <c r="V193" s="150">
        <f t="shared" si="24"/>
        <v>0</v>
      </c>
    </row>
    <row r="194" spans="1:22">
      <c r="A194" s="62"/>
      <c r="G194" s="19"/>
      <c r="H194" s="41">
        <v>189</v>
      </c>
      <c r="I194" s="42" t="str">
        <f t="shared" si="19"/>
        <v/>
      </c>
      <c r="J194" s="41">
        <f t="shared" si="25"/>
        <v>-8</v>
      </c>
      <c r="K194" s="41">
        <f t="shared" si="20"/>
        <v>-80</v>
      </c>
      <c r="L194" s="41"/>
      <c r="M194" s="43">
        <f t="shared" si="21"/>
        <v>0</v>
      </c>
      <c r="O194" s="149">
        <v>189</v>
      </c>
      <c r="P194" s="149"/>
      <c r="Q194" s="149"/>
      <c r="R194" s="150" t="str">
        <f t="shared" si="26"/>
        <v/>
      </c>
      <c r="S194" s="152">
        <f t="shared" si="22"/>
        <v>-5</v>
      </c>
      <c r="T194" s="152">
        <f t="shared" si="23"/>
        <v>-50</v>
      </c>
      <c r="U194" s="150"/>
      <c r="V194" s="150">
        <f t="shared" si="24"/>
        <v>0</v>
      </c>
    </row>
    <row r="195" spans="1:22">
      <c r="A195" s="62"/>
      <c r="G195" s="19"/>
      <c r="H195" s="41">
        <v>190</v>
      </c>
      <c r="I195" s="42" t="str">
        <f t="shared" si="19"/>
        <v/>
      </c>
      <c r="J195" s="41">
        <f t="shared" si="25"/>
        <v>-8</v>
      </c>
      <c r="K195" s="41">
        <f t="shared" si="20"/>
        <v>-80</v>
      </c>
      <c r="L195" s="41"/>
      <c r="M195" s="43">
        <f t="shared" si="21"/>
        <v>0</v>
      </c>
      <c r="O195" s="149">
        <v>190</v>
      </c>
      <c r="P195" s="149"/>
      <c r="Q195" s="149"/>
      <c r="R195" s="150" t="str">
        <f t="shared" si="26"/>
        <v/>
      </c>
      <c r="S195" s="152">
        <f t="shared" si="22"/>
        <v>-5</v>
      </c>
      <c r="T195" s="152">
        <f t="shared" si="23"/>
        <v>-50</v>
      </c>
      <c r="U195" s="150"/>
      <c r="V195" s="150">
        <f t="shared" si="24"/>
        <v>0</v>
      </c>
    </row>
    <row r="196" spans="1:22">
      <c r="A196" s="62"/>
      <c r="G196" s="19"/>
      <c r="H196" s="41">
        <v>191</v>
      </c>
      <c r="I196" s="42" t="str">
        <f t="shared" si="19"/>
        <v/>
      </c>
      <c r="J196" s="41">
        <f t="shared" si="25"/>
        <v>-8</v>
      </c>
      <c r="K196" s="41">
        <f t="shared" si="20"/>
        <v>-80</v>
      </c>
      <c r="L196" s="41"/>
      <c r="M196" s="43">
        <f t="shared" si="21"/>
        <v>0</v>
      </c>
      <c r="O196" s="149">
        <v>191</v>
      </c>
      <c r="P196" s="149"/>
      <c r="Q196" s="149"/>
      <c r="R196" s="150" t="str">
        <f t="shared" si="26"/>
        <v/>
      </c>
      <c r="S196" s="152">
        <f t="shared" si="22"/>
        <v>-5</v>
      </c>
      <c r="T196" s="152">
        <f t="shared" si="23"/>
        <v>-50</v>
      </c>
      <c r="U196" s="150"/>
      <c r="V196" s="150">
        <f t="shared" si="24"/>
        <v>0</v>
      </c>
    </row>
    <row r="197" spans="1:22">
      <c r="A197" s="62"/>
      <c r="G197" s="19"/>
      <c r="H197" s="41">
        <v>192</v>
      </c>
      <c r="I197" s="42" t="str">
        <f t="shared" si="19"/>
        <v/>
      </c>
      <c r="J197" s="41">
        <f t="shared" si="25"/>
        <v>-8</v>
      </c>
      <c r="K197" s="41">
        <f t="shared" si="20"/>
        <v>-80</v>
      </c>
      <c r="L197" s="41"/>
      <c r="M197" s="43">
        <f t="shared" si="21"/>
        <v>0</v>
      </c>
      <c r="O197" s="149">
        <v>192</v>
      </c>
      <c r="P197" s="149"/>
      <c r="Q197" s="149"/>
      <c r="R197" s="150" t="str">
        <f t="shared" si="26"/>
        <v/>
      </c>
      <c r="S197" s="152">
        <f t="shared" si="22"/>
        <v>-5</v>
      </c>
      <c r="T197" s="152">
        <f t="shared" si="23"/>
        <v>-50</v>
      </c>
      <c r="U197" s="150"/>
      <c r="V197" s="150">
        <f t="shared" si="24"/>
        <v>0</v>
      </c>
    </row>
    <row r="198" spans="1:22">
      <c r="A198" s="62"/>
      <c r="G198" s="19"/>
      <c r="H198" s="41">
        <v>193</v>
      </c>
      <c r="I198" s="42" t="str">
        <f t="shared" ref="I198:I261" si="27">IF(H198&lt;$H$2+1,($I$2-($I$2-1)*(LOG(H198)/LOG($H$2))),"")</f>
        <v/>
      </c>
      <c r="J198" s="41">
        <f t="shared" si="25"/>
        <v>-8</v>
      </c>
      <c r="K198" s="41">
        <f t="shared" ref="K198:K261" si="28">J198*$J$2</f>
        <v>-80</v>
      </c>
      <c r="L198" s="41"/>
      <c r="M198" s="43">
        <f t="shared" ref="M198:M261" si="29">IF(I198&lt;&gt;"",K198+I198+L198,0)</f>
        <v>0</v>
      </c>
      <c r="O198" s="149">
        <v>193</v>
      </c>
      <c r="P198" s="149"/>
      <c r="Q198" s="149"/>
      <c r="R198" s="150" t="str">
        <f t="shared" si="26"/>
        <v/>
      </c>
      <c r="S198" s="152">
        <f t="shared" ref="S198:S261" si="30">INT(LOG($O$2,2))-ROUNDUP(LOG(O198,2),0)+IF(OR($O$2=1,$O$2=2,$O$2=4,$O$2=8,$O$2=16,$O$2=32,$O$2=64,$O$2=128,$O$2=256),0,1)</f>
        <v>-5</v>
      </c>
      <c r="T198" s="152">
        <f t="shared" ref="T198:T261" si="31">S198*$J$2</f>
        <v>-50</v>
      </c>
      <c r="U198" s="150"/>
      <c r="V198" s="150">
        <f t="shared" ref="V198:V261" si="32">IF(R198&lt;&gt;"",T198+R198+U198,0)</f>
        <v>0</v>
      </c>
    </row>
    <row r="199" spans="1:22">
      <c r="A199" s="62"/>
      <c r="G199" s="19"/>
      <c r="H199" s="41">
        <v>194</v>
      </c>
      <c r="I199" s="42" t="str">
        <f t="shared" si="27"/>
        <v/>
      </c>
      <c r="J199" s="41">
        <f t="shared" ref="J199:J262" si="33">INT(LOG($H$2,2))-ROUNDUP(LOG(H199,2),0)+IF(OR($H$2=1,$H$2=2,$H$2=4,$H$2=8,$H$2=16,$H$2=32,$H$2=64,$H$2=128,$H$2=256),0,1)</f>
        <v>-8</v>
      </c>
      <c r="K199" s="41">
        <f t="shared" si="28"/>
        <v>-80</v>
      </c>
      <c r="L199" s="41"/>
      <c r="M199" s="43">
        <f t="shared" si="29"/>
        <v>0</v>
      </c>
      <c r="O199" s="149">
        <v>194</v>
      </c>
      <c r="P199" s="149"/>
      <c r="Q199" s="149"/>
      <c r="R199" s="150" t="str">
        <f t="shared" si="26"/>
        <v/>
      </c>
      <c r="S199" s="152">
        <f t="shared" si="30"/>
        <v>-5</v>
      </c>
      <c r="T199" s="152">
        <f t="shared" si="31"/>
        <v>-50</v>
      </c>
      <c r="U199" s="150"/>
      <c r="V199" s="150">
        <f t="shared" si="32"/>
        <v>0</v>
      </c>
    </row>
    <row r="200" spans="1:22">
      <c r="A200" s="62"/>
      <c r="G200" s="19"/>
      <c r="H200" s="41">
        <v>195</v>
      </c>
      <c r="I200" s="42" t="str">
        <f t="shared" si="27"/>
        <v/>
      </c>
      <c r="J200" s="41">
        <f t="shared" si="33"/>
        <v>-8</v>
      </c>
      <c r="K200" s="41">
        <f t="shared" si="28"/>
        <v>-80</v>
      </c>
      <c r="L200" s="41"/>
      <c r="M200" s="43">
        <f t="shared" si="29"/>
        <v>0</v>
      </c>
      <c r="O200" s="149">
        <v>195</v>
      </c>
      <c r="P200" s="149"/>
      <c r="Q200" s="149"/>
      <c r="R200" s="150" t="str">
        <f t="shared" si="26"/>
        <v/>
      </c>
      <c r="S200" s="152">
        <f t="shared" si="30"/>
        <v>-5</v>
      </c>
      <c r="T200" s="152">
        <f t="shared" si="31"/>
        <v>-50</v>
      </c>
      <c r="U200" s="150"/>
      <c r="V200" s="150">
        <f t="shared" si="32"/>
        <v>0</v>
      </c>
    </row>
    <row r="201" spans="1:22">
      <c r="A201" s="62"/>
      <c r="G201" s="19"/>
      <c r="H201" s="41">
        <v>196</v>
      </c>
      <c r="I201" s="42" t="str">
        <f t="shared" si="27"/>
        <v/>
      </c>
      <c r="J201" s="41">
        <f t="shared" si="33"/>
        <v>-8</v>
      </c>
      <c r="K201" s="41">
        <f t="shared" si="28"/>
        <v>-80</v>
      </c>
      <c r="L201" s="41"/>
      <c r="M201" s="43">
        <f t="shared" si="29"/>
        <v>0</v>
      </c>
      <c r="O201" s="149">
        <v>196</v>
      </c>
      <c r="P201" s="149"/>
      <c r="Q201" s="149"/>
      <c r="R201" s="150" t="str">
        <f t="shared" si="26"/>
        <v/>
      </c>
      <c r="S201" s="152">
        <f t="shared" si="30"/>
        <v>-5</v>
      </c>
      <c r="T201" s="152">
        <f t="shared" si="31"/>
        <v>-50</v>
      </c>
      <c r="U201" s="150"/>
      <c r="V201" s="150">
        <f t="shared" si="32"/>
        <v>0</v>
      </c>
    </row>
    <row r="202" spans="1:22">
      <c r="A202" s="62"/>
      <c r="G202" s="19"/>
      <c r="H202" s="41">
        <v>197</v>
      </c>
      <c r="I202" s="42" t="str">
        <f t="shared" si="27"/>
        <v/>
      </c>
      <c r="J202" s="41">
        <f t="shared" si="33"/>
        <v>-8</v>
      </c>
      <c r="K202" s="41">
        <f t="shared" si="28"/>
        <v>-80</v>
      </c>
      <c r="L202" s="41"/>
      <c r="M202" s="43">
        <f t="shared" si="29"/>
        <v>0</v>
      </c>
      <c r="O202" s="149">
        <v>197</v>
      </c>
      <c r="P202" s="149"/>
      <c r="Q202" s="149"/>
      <c r="R202" s="150" t="str">
        <f t="shared" si="26"/>
        <v/>
      </c>
      <c r="S202" s="152">
        <f t="shared" si="30"/>
        <v>-5</v>
      </c>
      <c r="T202" s="152">
        <f t="shared" si="31"/>
        <v>-50</v>
      </c>
      <c r="U202" s="150"/>
      <c r="V202" s="150">
        <f t="shared" si="32"/>
        <v>0</v>
      </c>
    </row>
    <row r="203" spans="1:22">
      <c r="A203" s="62"/>
      <c r="G203" s="19"/>
      <c r="H203" s="41">
        <v>198</v>
      </c>
      <c r="I203" s="42" t="str">
        <f t="shared" si="27"/>
        <v/>
      </c>
      <c r="J203" s="41">
        <f t="shared" si="33"/>
        <v>-8</v>
      </c>
      <c r="K203" s="41">
        <f t="shared" si="28"/>
        <v>-80</v>
      </c>
      <c r="L203" s="41"/>
      <c r="M203" s="43">
        <f t="shared" si="29"/>
        <v>0</v>
      </c>
      <c r="O203" s="149">
        <v>198</v>
      </c>
      <c r="P203" s="149"/>
      <c r="Q203" s="149"/>
      <c r="R203" s="150" t="str">
        <f t="shared" si="26"/>
        <v/>
      </c>
      <c r="S203" s="152">
        <f t="shared" si="30"/>
        <v>-5</v>
      </c>
      <c r="T203" s="152">
        <f t="shared" si="31"/>
        <v>-50</v>
      </c>
      <c r="U203" s="150"/>
      <c r="V203" s="150">
        <f t="shared" si="32"/>
        <v>0</v>
      </c>
    </row>
    <row r="204" spans="1:22">
      <c r="A204" s="62"/>
      <c r="G204" s="19"/>
      <c r="H204" s="41">
        <v>199</v>
      </c>
      <c r="I204" s="42" t="str">
        <f t="shared" si="27"/>
        <v/>
      </c>
      <c r="J204" s="41">
        <f t="shared" si="33"/>
        <v>-8</v>
      </c>
      <c r="K204" s="41">
        <f t="shared" si="28"/>
        <v>-80</v>
      </c>
      <c r="L204" s="41"/>
      <c r="M204" s="43">
        <f t="shared" si="29"/>
        <v>0</v>
      </c>
      <c r="O204" s="149">
        <v>199</v>
      </c>
      <c r="P204" s="149"/>
      <c r="Q204" s="149"/>
      <c r="R204" s="150" t="str">
        <f t="shared" si="26"/>
        <v/>
      </c>
      <c r="S204" s="152">
        <f t="shared" si="30"/>
        <v>-5</v>
      </c>
      <c r="T204" s="152">
        <f t="shared" si="31"/>
        <v>-50</v>
      </c>
      <c r="U204" s="150"/>
      <c r="V204" s="150">
        <f t="shared" si="32"/>
        <v>0</v>
      </c>
    </row>
    <row r="205" spans="1:22">
      <c r="A205" s="62"/>
      <c r="G205" s="19"/>
      <c r="H205" s="41">
        <v>200</v>
      </c>
      <c r="I205" s="42" t="str">
        <f t="shared" si="27"/>
        <v/>
      </c>
      <c r="J205" s="41">
        <f t="shared" si="33"/>
        <v>-8</v>
      </c>
      <c r="K205" s="41">
        <f t="shared" si="28"/>
        <v>-80</v>
      </c>
      <c r="L205" s="41"/>
      <c r="M205" s="43">
        <f t="shared" si="29"/>
        <v>0</v>
      </c>
      <c r="O205" s="149">
        <v>200</v>
      </c>
      <c r="P205" s="149"/>
      <c r="Q205" s="149"/>
      <c r="R205" s="150" t="str">
        <f t="shared" si="26"/>
        <v/>
      </c>
      <c r="S205" s="152">
        <f t="shared" si="30"/>
        <v>-5</v>
      </c>
      <c r="T205" s="152">
        <f t="shared" si="31"/>
        <v>-50</v>
      </c>
      <c r="U205" s="150"/>
      <c r="V205" s="150">
        <f t="shared" si="32"/>
        <v>0</v>
      </c>
    </row>
    <row r="206" spans="1:22">
      <c r="A206" s="62"/>
      <c r="G206" s="19"/>
      <c r="H206" s="41">
        <v>201</v>
      </c>
      <c r="I206" s="42" t="str">
        <f t="shared" si="27"/>
        <v/>
      </c>
      <c r="J206" s="41">
        <f t="shared" si="33"/>
        <v>-8</v>
      </c>
      <c r="K206" s="41">
        <f t="shared" si="28"/>
        <v>-80</v>
      </c>
      <c r="L206" s="41"/>
      <c r="M206" s="43">
        <f t="shared" si="29"/>
        <v>0</v>
      </c>
      <c r="O206" s="149">
        <v>201</v>
      </c>
      <c r="P206" s="149"/>
      <c r="Q206" s="149"/>
      <c r="R206" s="150" t="str">
        <f t="shared" si="26"/>
        <v/>
      </c>
      <c r="S206" s="152">
        <f t="shared" si="30"/>
        <v>-5</v>
      </c>
      <c r="T206" s="152">
        <f t="shared" si="31"/>
        <v>-50</v>
      </c>
      <c r="U206" s="150"/>
      <c r="V206" s="150">
        <f t="shared" si="32"/>
        <v>0</v>
      </c>
    </row>
    <row r="207" spans="1:22">
      <c r="A207" s="62"/>
      <c r="G207" s="19"/>
      <c r="H207" s="41">
        <v>202</v>
      </c>
      <c r="I207" s="42" t="str">
        <f t="shared" si="27"/>
        <v/>
      </c>
      <c r="J207" s="41">
        <f t="shared" si="33"/>
        <v>-8</v>
      </c>
      <c r="K207" s="41">
        <f t="shared" si="28"/>
        <v>-80</v>
      </c>
      <c r="L207" s="41"/>
      <c r="M207" s="43">
        <f t="shared" si="29"/>
        <v>0</v>
      </c>
      <c r="O207" s="149">
        <v>202</v>
      </c>
      <c r="P207" s="149"/>
      <c r="Q207" s="149"/>
      <c r="R207" s="150" t="str">
        <f t="shared" si="26"/>
        <v/>
      </c>
      <c r="S207" s="152">
        <f t="shared" si="30"/>
        <v>-5</v>
      </c>
      <c r="T207" s="152">
        <f t="shared" si="31"/>
        <v>-50</v>
      </c>
      <c r="U207" s="150"/>
      <c r="V207" s="150">
        <f t="shared" si="32"/>
        <v>0</v>
      </c>
    </row>
    <row r="208" spans="1:22">
      <c r="A208" s="62"/>
      <c r="G208" s="19"/>
      <c r="H208" s="41">
        <v>203</v>
      </c>
      <c r="I208" s="42" t="str">
        <f t="shared" si="27"/>
        <v/>
      </c>
      <c r="J208" s="41">
        <f t="shared" si="33"/>
        <v>-8</v>
      </c>
      <c r="K208" s="41">
        <f t="shared" si="28"/>
        <v>-80</v>
      </c>
      <c r="L208" s="41"/>
      <c r="M208" s="43">
        <f t="shared" si="29"/>
        <v>0</v>
      </c>
      <c r="O208" s="149">
        <v>203</v>
      </c>
      <c r="P208" s="149"/>
      <c r="Q208" s="149"/>
      <c r="R208" s="150" t="str">
        <f t="shared" ref="R208:R271" si="34">IF(O208&lt;$O$2+1,($I$2-($I$2-1)*(LOG(O208)/LOG($O$2))),"")</f>
        <v/>
      </c>
      <c r="S208" s="152">
        <f t="shared" si="30"/>
        <v>-5</v>
      </c>
      <c r="T208" s="152">
        <f t="shared" si="31"/>
        <v>-50</v>
      </c>
      <c r="U208" s="150"/>
      <c r="V208" s="150">
        <f t="shared" si="32"/>
        <v>0</v>
      </c>
    </row>
    <row r="209" spans="1:22">
      <c r="A209" s="62"/>
      <c r="G209" s="19"/>
      <c r="H209" s="41">
        <v>204</v>
      </c>
      <c r="I209" s="42" t="str">
        <f t="shared" si="27"/>
        <v/>
      </c>
      <c r="J209" s="41">
        <f t="shared" si="33"/>
        <v>-8</v>
      </c>
      <c r="K209" s="41">
        <f t="shared" si="28"/>
        <v>-80</v>
      </c>
      <c r="L209" s="41"/>
      <c r="M209" s="43">
        <f t="shared" si="29"/>
        <v>0</v>
      </c>
      <c r="O209" s="149">
        <v>204</v>
      </c>
      <c r="P209" s="149"/>
      <c r="Q209" s="149"/>
      <c r="R209" s="150" t="str">
        <f t="shared" si="34"/>
        <v/>
      </c>
      <c r="S209" s="152">
        <f t="shared" si="30"/>
        <v>-5</v>
      </c>
      <c r="T209" s="152">
        <f t="shared" si="31"/>
        <v>-50</v>
      </c>
      <c r="U209" s="150"/>
      <c r="V209" s="150">
        <f t="shared" si="32"/>
        <v>0</v>
      </c>
    </row>
    <row r="210" spans="1:22">
      <c r="A210" s="62"/>
      <c r="G210" s="19"/>
      <c r="H210" s="41">
        <v>205</v>
      </c>
      <c r="I210" s="42" t="str">
        <f t="shared" si="27"/>
        <v/>
      </c>
      <c r="J210" s="41">
        <f t="shared" si="33"/>
        <v>-8</v>
      </c>
      <c r="K210" s="41">
        <f t="shared" si="28"/>
        <v>-80</v>
      </c>
      <c r="L210" s="41"/>
      <c r="M210" s="43">
        <f t="shared" si="29"/>
        <v>0</v>
      </c>
      <c r="O210" s="149">
        <v>205</v>
      </c>
      <c r="P210" s="149"/>
      <c r="Q210" s="149"/>
      <c r="R210" s="150" t="str">
        <f t="shared" si="34"/>
        <v/>
      </c>
      <c r="S210" s="152">
        <f t="shared" si="30"/>
        <v>-5</v>
      </c>
      <c r="T210" s="152">
        <f t="shared" si="31"/>
        <v>-50</v>
      </c>
      <c r="U210" s="150"/>
      <c r="V210" s="150">
        <f t="shared" si="32"/>
        <v>0</v>
      </c>
    </row>
    <row r="211" spans="1:22">
      <c r="A211" s="62"/>
      <c r="G211" s="19"/>
      <c r="H211" s="41">
        <v>206</v>
      </c>
      <c r="I211" s="42" t="str">
        <f t="shared" si="27"/>
        <v/>
      </c>
      <c r="J211" s="41">
        <f t="shared" si="33"/>
        <v>-8</v>
      </c>
      <c r="K211" s="41">
        <f t="shared" si="28"/>
        <v>-80</v>
      </c>
      <c r="L211" s="41"/>
      <c r="M211" s="43">
        <f t="shared" si="29"/>
        <v>0</v>
      </c>
      <c r="O211" s="149">
        <v>206</v>
      </c>
      <c r="P211" s="149"/>
      <c r="Q211" s="149"/>
      <c r="R211" s="150" t="str">
        <f t="shared" si="34"/>
        <v/>
      </c>
      <c r="S211" s="152">
        <f t="shared" si="30"/>
        <v>-5</v>
      </c>
      <c r="T211" s="152">
        <f t="shared" si="31"/>
        <v>-50</v>
      </c>
      <c r="U211" s="150"/>
      <c r="V211" s="150">
        <f t="shared" si="32"/>
        <v>0</v>
      </c>
    </row>
    <row r="212" spans="1:22">
      <c r="A212" s="62"/>
      <c r="G212" s="19"/>
      <c r="H212" s="41">
        <v>207</v>
      </c>
      <c r="I212" s="42" t="str">
        <f t="shared" si="27"/>
        <v/>
      </c>
      <c r="J212" s="41">
        <f t="shared" si="33"/>
        <v>-8</v>
      </c>
      <c r="K212" s="41">
        <f t="shared" si="28"/>
        <v>-80</v>
      </c>
      <c r="L212" s="41"/>
      <c r="M212" s="43">
        <f t="shared" si="29"/>
        <v>0</v>
      </c>
      <c r="O212" s="149">
        <v>207</v>
      </c>
      <c r="P212" s="149"/>
      <c r="Q212" s="149"/>
      <c r="R212" s="150" t="str">
        <f t="shared" si="34"/>
        <v/>
      </c>
      <c r="S212" s="152">
        <f t="shared" si="30"/>
        <v>-5</v>
      </c>
      <c r="T212" s="152">
        <f t="shared" si="31"/>
        <v>-50</v>
      </c>
      <c r="U212" s="150"/>
      <c r="V212" s="150">
        <f t="shared" si="32"/>
        <v>0</v>
      </c>
    </row>
    <row r="213" spans="1:22">
      <c r="A213" s="62"/>
      <c r="G213" s="19"/>
      <c r="H213" s="41">
        <v>208</v>
      </c>
      <c r="I213" s="42" t="str">
        <f t="shared" si="27"/>
        <v/>
      </c>
      <c r="J213" s="41">
        <f t="shared" si="33"/>
        <v>-8</v>
      </c>
      <c r="K213" s="41">
        <f t="shared" si="28"/>
        <v>-80</v>
      </c>
      <c r="L213" s="41"/>
      <c r="M213" s="43">
        <f t="shared" si="29"/>
        <v>0</v>
      </c>
      <c r="O213" s="149">
        <v>208</v>
      </c>
      <c r="P213" s="149"/>
      <c r="Q213" s="149"/>
      <c r="R213" s="150" t="str">
        <f t="shared" si="34"/>
        <v/>
      </c>
      <c r="S213" s="152">
        <f t="shared" si="30"/>
        <v>-5</v>
      </c>
      <c r="T213" s="152">
        <f t="shared" si="31"/>
        <v>-50</v>
      </c>
      <c r="U213" s="150"/>
      <c r="V213" s="150">
        <f t="shared" si="32"/>
        <v>0</v>
      </c>
    </row>
    <row r="214" spans="1:22">
      <c r="A214" s="62"/>
      <c r="G214" s="19"/>
      <c r="H214" s="41">
        <v>209</v>
      </c>
      <c r="I214" s="42" t="str">
        <f t="shared" si="27"/>
        <v/>
      </c>
      <c r="J214" s="41">
        <f t="shared" si="33"/>
        <v>-8</v>
      </c>
      <c r="K214" s="41">
        <f t="shared" si="28"/>
        <v>-80</v>
      </c>
      <c r="L214" s="41"/>
      <c r="M214" s="43">
        <f t="shared" si="29"/>
        <v>0</v>
      </c>
      <c r="O214" s="149">
        <v>209</v>
      </c>
      <c r="P214" s="149"/>
      <c r="Q214" s="149"/>
      <c r="R214" s="150" t="str">
        <f t="shared" si="34"/>
        <v/>
      </c>
      <c r="S214" s="152">
        <f t="shared" si="30"/>
        <v>-5</v>
      </c>
      <c r="T214" s="152">
        <f t="shared" si="31"/>
        <v>-50</v>
      </c>
      <c r="U214" s="150"/>
      <c r="V214" s="150">
        <f t="shared" si="32"/>
        <v>0</v>
      </c>
    </row>
    <row r="215" spans="1:22">
      <c r="A215" s="62"/>
      <c r="G215" s="19"/>
      <c r="H215" s="41">
        <v>210</v>
      </c>
      <c r="I215" s="42" t="str">
        <f t="shared" si="27"/>
        <v/>
      </c>
      <c r="J215" s="41">
        <f t="shared" si="33"/>
        <v>-8</v>
      </c>
      <c r="K215" s="41">
        <f t="shared" si="28"/>
        <v>-80</v>
      </c>
      <c r="L215" s="41"/>
      <c r="M215" s="43">
        <f t="shared" si="29"/>
        <v>0</v>
      </c>
      <c r="O215" s="149">
        <v>210</v>
      </c>
      <c r="P215" s="149"/>
      <c r="Q215" s="149"/>
      <c r="R215" s="150" t="str">
        <f t="shared" si="34"/>
        <v/>
      </c>
      <c r="S215" s="152">
        <f t="shared" si="30"/>
        <v>-5</v>
      </c>
      <c r="T215" s="152">
        <f t="shared" si="31"/>
        <v>-50</v>
      </c>
      <c r="U215" s="150"/>
      <c r="V215" s="150">
        <f t="shared" si="32"/>
        <v>0</v>
      </c>
    </row>
    <row r="216" spans="1:22">
      <c r="A216" s="62"/>
      <c r="G216" s="19"/>
      <c r="H216" s="41">
        <v>211</v>
      </c>
      <c r="I216" s="42" t="str">
        <f t="shared" si="27"/>
        <v/>
      </c>
      <c r="J216" s="41">
        <f t="shared" si="33"/>
        <v>-8</v>
      </c>
      <c r="K216" s="41">
        <f t="shared" si="28"/>
        <v>-80</v>
      </c>
      <c r="L216" s="41"/>
      <c r="M216" s="43">
        <f t="shared" si="29"/>
        <v>0</v>
      </c>
      <c r="O216" s="149">
        <v>211</v>
      </c>
      <c r="P216" s="149"/>
      <c r="Q216" s="149"/>
      <c r="R216" s="150" t="str">
        <f t="shared" si="34"/>
        <v/>
      </c>
      <c r="S216" s="152">
        <f t="shared" si="30"/>
        <v>-5</v>
      </c>
      <c r="T216" s="152">
        <f t="shared" si="31"/>
        <v>-50</v>
      </c>
      <c r="U216" s="150"/>
      <c r="V216" s="150">
        <f t="shared" si="32"/>
        <v>0</v>
      </c>
    </row>
    <row r="217" spans="1:22">
      <c r="A217" s="62"/>
      <c r="G217" s="19"/>
      <c r="H217" s="41">
        <v>212</v>
      </c>
      <c r="I217" s="42" t="str">
        <f t="shared" si="27"/>
        <v/>
      </c>
      <c r="J217" s="41">
        <f t="shared" si="33"/>
        <v>-8</v>
      </c>
      <c r="K217" s="41">
        <f t="shared" si="28"/>
        <v>-80</v>
      </c>
      <c r="L217" s="41"/>
      <c r="M217" s="43">
        <f t="shared" si="29"/>
        <v>0</v>
      </c>
      <c r="O217" s="149">
        <v>212</v>
      </c>
      <c r="P217" s="149"/>
      <c r="Q217" s="149"/>
      <c r="R217" s="150" t="str">
        <f t="shared" si="34"/>
        <v/>
      </c>
      <c r="S217" s="152">
        <f t="shared" si="30"/>
        <v>-5</v>
      </c>
      <c r="T217" s="152">
        <f t="shared" si="31"/>
        <v>-50</v>
      </c>
      <c r="U217" s="150"/>
      <c r="V217" s="150">
        <f t="shared" si="32"/>
        <v>0</v>
      </c>
    </row>
    <row r="218" spans="1:22">
      <c r="A218" s="62"/>
      <c r="G218" s="19"/>
      <c r="H218" s="41">
        <v>213</v>
      </c>
      <c r="I218" s="42" t="str">
        <f t="shared" si="27"/>
        <v/>
      </c>
      <c r="J218" s="41">
        <f t="shared" si="33"/>
        <v>-8</v>
      </c>
      <c r="K218" s="41">
        <f t="shared" si="28"/>
        <v>-80</v>
      </c>
      <c r="L218" s="41"/>
      <c r="M218" s="43">
        <f t="shared" si="29"/>
        <v>0</v>
      </c>
      <c r="O218" s="149">
        <v>213</v>
      </c>
      <c r="P218" s="149"/>
      <c r="Q218" s="149"/>
      <c r="R218" s="150" t="str">
        <f t="shared" si="34"/>
        <v/>
      </c>
      <c r="S218" s="152">
        <f t="shared" si="30"/>
        <v>-5</v>
      </c>
      <c r="T218" s="152">
        <f t="shared" si="31"/>
        <v>-50</v>
      </c>
      <c r="U218" s="150"/>
      <c r="V218" s="150">
        <f t="shared" si="32"/>
        <v>0</v>
      </c>
    </row>
    <row r="219" spans="1:22">
      <c r="A219" s="62"/>
      <c r="G219" s="19"/>
      <c r="H219" s="41">
        <v>214</v>
      </c>
      <c r="I219" s="42" t="str">
        <f t="shared" si="27"/>
        <v/>
      </c>
      <c r="J219" s="41">
        <f t="shared" si="33"/>
        <v>-8</v>
      </c>
      <c r="K219" s="41">
        <f t="shared" si="28"/>
        <v>-80</v>
      </c>
      <c r="L219" s="41"/>
      <c r="M219" s="43">
        <f t="shared" si="29"/>
        <v>0</v>
      </c>
      <c r="O219" s="149">
        <v>214</v>
      </c>
      <c r="P219" s="149"/>
      <c r="Q219" s="149"/>
      <c r="R219" s="150" t="str">
        <f t="shared" si="34"/>
        <v/>
      </c>
      <c r="S219" s="152">
        <f t="shared" si="30"/>
        <v>-5</v>
      </c>
      <c r="T219" s="152">
        <f t="shared" si="31"/>
        <v>-50</v>
      </c>
      <c r="U219" s="150"/>
      <c r="V219" s="150">
        <f t="shared" si="32"/>
        <v>0</v>
      </c>
    </row>
    <row r="220" spans="1:22">
      <c r="A220" s="62"/>
      <c r="G220" s="19"/>
      <c r="H220" s="41">
        <v>215</v>
      </c>
      <c r="I220" s="42" t="str">
        <f t="shared" si="27"/>
        <v/>
      </c>
      <c r="J220" s="41">
        <f t="shared" si="33"/>
        <v>-8</v>
      </c>
      <c r="K220" s="41">
        <f t="shared" si="28"/>
        <v>-80</v>
      </c>
      <c r="L220" s="41"/>
      <c r="M220" s="43">
        <f t="shared" si="29"/>
        <v>0</v>
      </c>
      <c r="O220" s="149">
        <v>215</v>
      </c>
      <c r="P220" s="149"/>
      <c r="Q220" s="149"/>
      <c r="R220" s="150" t="str">
        <f t="shared" si="34"/>
        <v/>
      </c>
      <c r="S220" s="152">
        <f t="shared" si="30"/>
        <v>-5</v>
      </c>
      <c r="T220" s="152">
        <f t="shared" si="31"/>
        <v>-50</v>
      </c>
      <c r="U220" s="150"/>
      <c r="V220" s="150">
        <f t="shared" si="32"/>
        <v>0</v>
      </c>
    </row>
    <row r="221" spans="1:22">
      <c r="A221" s="62"/>
      <c r="G221" s="19"/>
      <c r="H221" s="41">
        <v>216</v>
      </c>
      <c r="I221" s="42" t="str">
        <f t="shared" si="27"/>
        <v/>
      </c>
      <c r="J221" s="41">
        <f t="shared" si="33"/>
        <v>-8</v>
      </c>
      <c r="K221" s="41">
        <f t="shared" si="28"/>
        <v>-80</v>
      </c>
      <c r="L221" s="41"/>
      <c r="M221" s="43">
        <f t="shared" si="29"/>
        <v>0</v>
      </c>
      <c r="O221" s="149">
        <v>216</v>
      </c>
      <c r="P221" s="149"/>
      <c r="Q221" s="149"/>
      <c r="R221" s="150" t="str">
        <f t="shared" si="34"/>
        <v/>
      </c>
      <c r="S221" s="152">
        <f t="shared" si="30"/>
        <v>-5</v>
      </c>
      <c r="T221" s="152">
        <f t="shared" si="31"/>
        <v>-50</v>
      </c>
      <c r="U221" s="150"/>
      <c r="V221" s="150">
        <f t="shared" si="32"/>
        <v>0</v>
      </c>
    </row>
    <row r="222" spans="1:22">
      <c r="A222" s="62"/>
      <c r="G222" s="19"/>
      <c r="H222" s="41">
        <v>217</v>
      </c>
      <c r="I222" s="42" t="str">
        <f t="shared" si="27"/>
        <v/>
      </c>
      <c r="J222" s="41">
        <f t="shared" si="33"/>
        <v>-8</v>
      </c>
      <c r="K222" s="41">
        <f t="shared" si="28"/>
        <v>-80</v>
      </c>
      <c r="L222" s="41"/>
      <c r="M222" s="43">
        <f t="shared" si="29"/>
        <v>0</v>
      </c>
      <c r="O222" s="149">
        <v>217</v>
      </c>
      <c r="P222" s="149"/>
      <c r="Q222" s="149"/>
      <c r="R222" s="150" t="str">
        <f t="shared" si="34"/>
        <v/>
      </c>
      <c r="S222" s="152">
        <f t="shared" si="30"/>
        <v>-5</v>
      </c>
      <c r="T222" s="152">
        <f t="shared" si="31"/>
        <v>-50</v>
      </c>
      <c r="U222" s="150"/>
      <c r="V222" s="150">
        <f t="shared" si="32"/>
        <v>0</v>
      </c>
    </row>
    <row r="223" spans="1:22">
      <c r="A223" s="62"/>
      <c r="G223" s="19"/>
      <c r="H223" s="41">
        <v>218</v>
      </c>
      <c r="I223" s="42" t="str">
        <f t="shared" si="27"/>
        <v/>
      </c>
      <c r="J223" s="41">
        <f t="shared" si="33"/>
        <v>-8</v>
      </c>
      <c r="K223" s="41">
        <f t="shared" si="28"/>
        <v>-80</v>
      </c>
      <c r="L223" s="41"/>
      <c r="M223" s="43">
        <f t="shared" si="29"/>
        <v>0</v>
      </c>
      <c r="O223" s="149">
        <v>218</v>
      </c>
      <c r="P223" s="149"/>
      <c r="Q223" s="149"/>
      <c r="R223" s="150" t="str">
        <f t="shared" si="34"/>
        <v/>
      </c>
      <c r="S223" s="152">
        <f t="shared" si="30"/>
        <v>-5</v>
      </c>
      <c r="T223" s="152">
        <f t="shared" si="31"/>
        <v>-50</v>
      </c>
      <c r="U223" s="150"/>
      <c r="V223" s="150">
        <f t="shared" si="32"/>
        <v>0</v>
      </c>
    </row>
    <row r="224" spans="1:22">
      <c r="A224" s="62"/>
      <c r="G224" s="19"/>
      <c r="H224" s="41">
        <v>219</v>
      </c>
      <c r="I224" s="42" t="str">
        <f t="shared" si="27"/>
        <v/>
      </c>
      <c r="J224" s="41">
        <f t="shared" si="33"/>
        <v>-8</v>
      </c>
      <c r="K224" s="41">
        <f t="shared" si="28"/>
        <v>-80</v>
      </c>
      <c r="L224" s="41"/>
      <c r="M224" s="43">
        <f t="shared" si="29"/>
        <v>0</v>
      </c>
      <c r="O224" s="149">
        <v>219</v>
      </c>
      <c r="P224" s="149"/>
      <c r="Q224" s="149"/>
      <c r="R224" s="150" t="str">
        <f t="shared" si="34"/>
        <v/>
      </c>
      <c r="S224" s="152">
        <f t="shared" si="30"/>
        <v>-5</v>
      </c>
      <c r="T224" s="152">
        <f t="shared" si="31"/>
        <v>-50</v>
      </c>
      <c r="U224" s="150"/>
      <c r="V224" s="150">
        <f t="shared" si="32"/>
        <v>0</v>
      </c>
    </row>
    <row r="225" spans="1:22">
      <c r="A225" s="62"/>
      <c r="G225" s="19"/>
      <c r="H225" s="41">
        <v>220</v>
      </c>
      <c r="I225" s="42" t="str">
        <f t="shared" si="27"/>
        <v/>
      </c>
      <c r="J225" s="41">
        <f t="shared" si="33"/>
        <v>-8</v>
      </c>
      <c r="K225" s="41">
        <f t="shared" si="28"/>
        <v>-80</v>
      </c>
      <c r="L225" s="41"/>
      <c r="M225" s="43">
        <f t="shared" si="29"/>
        <v>0</v>
      </c>
      <c r="O225" s="149">
        <v>220</v>
      </c>
      <c r="P225" s="149"/>
      <c r="Q225" s="149"/>
      <c r="R225" s="150" t="str">
        <f t="shared" si="34"/>
        <v/>
      </c>
      <c r="S225" s="152">
        <f t="shared" si="30"/>
        <v>-5</v>
      </c>
      <c r="T225" s="152">
        <f t="shared" si="31"/>
        <v>-50</v>
      </c>
      <c r="U225" s="150"/>
      <c r="V225" s="150">
        <f t="shared" si="32"/>
        <v>0</v>
      </c>
    </row>
    <row r="226" spans="1:22">
      <c r="A226" s="62"/>
      <c r="G226" s="19"/>
      <c r="H226" s="41">
        <v>221</v>
      </c>
      <c r="I226" s="42" t="str">
        <f t="shared" si="27"/>
        <v/>
      </c>
      <c r="J226" s="41">
        <f t="shared" si="33"/>
        <v>-8</v>
      </c>
      <c r="K226" s="41">
        <f t="shared" si="28"/>
        <v>-80</v>
      </c>
      <c r="L226" s="41"/>
      <c r="M226" s="43">
        <f t="shared" si="29"/>
        <v>0</v>
      </c>
      <c r="O226" s="149">
        <v>221</v>
      </c>
      <c r="P226" s="149"/>
      <c r="Q226" s="149"/>
      <c r="R226" s="150" t="str">
        <f t="shared" si="34"/>
        <v/>
      </c>
      <c r="S226" s="152">
        <f t="shared" si="30"/>
        <v>-5</v>
      </c>
      <c r="T226" s="152">
        <f t="shared" si="31"/>
        <v>-50</v>
      </c>
      <c r="U226" s="150"/>
      <c r="V226" s="150">
        <f t="shared" si="32"/>
        <v>0</v>
      </c>
    </row>
    <row r="227" spans="1:22">
      <c r="A227" s="62"/>
      <c r="G227" s="19"/>
      <c r="H227" s="41">
        <v>222</v>
      </c>
      <c r="I227" s="42" t="str">
        <f t="shared" si="27"/>
        <v/>
      </c>
      <c r="J227" s="41">
        <f t="shared" si="33"/>
        <v>-8</v>
      </c>
      <c r="K227" s="41">
        <f t="shared" si="28"/>
        <v>-80</v>
      </c>
      <c r="L227" s="41"/>
      <c r="M227" s="43">
        <f t="shared" si="29"/>
        <v>0</v>
      </c>
      <c r="O227" s="149">
        <v>222</v>
      </c>
      <c r="P227" s="149"/>
      <c r="Q227" s="149"/>
      <c r="R227" s="150" t="str">
        <f t="shared" si="34"/>
        <v/>
      </c>
      <c r="S227" s="152">
        <f t="shared" si="30"/>
        <v>-5</v>
      </c>
      <c r="T227" s="152">
        <f t="shared" si="31"/>
        <v>-50</v>
      </c>
      <c r="U227" s="150"/>
      <c r="V227" s="150">
        <f t="shared" si="32"/>
        <v>0</v>
      </c>
    </row>
    <row r="228" spans="1:22">
      <c r="A228" s="62"/>
      <c r="G228" s="19"/>
      <c r="H228" s="41">
        <v>223</v>
      </c>
      <c r="I228" s="42" t="str">
        <f t="shared" si="27"/>
        <v/>
      </c>
      <c r="J228" s="41">
        <f t="shared" si="33"/>
        <v>-8</v>
      </c>
      <c r="K228" s="41">
        <f t="shared" si="28"/>
        <v>-80</v>
      </c>
      <c r="L228" s="41"/>
      <c r="M228" s="43">
        <f t="shared" si="29"/>
        <v>0</v>
      </c>
      <c r="O228" s="149">
        <v>223</v>
      </c>
      <c r="P228" s="149"/>
      <c r="Q228" s="149"/>
      <c r="R228" s="150" t="str">
        <f t="shared" si="34"/>
        <v/>
      </c>
      <c r="S228" s="152">
        <f t="shared" si="30"/>
        <v>-5</v>
      </c>
      <c r="T228" s="152">
        <f t="shared" si="31"/>
        <v>-50</v>
      </c>
      <c r="U228" s="150"/>
      <c r="V228" s="150">
        <f t="shared" si="32"/>
        <v>0</v>
      </c>
    </row>
    <row r="229" spans="1:22">
      <c r="A229" s="62"/>
      <c r="G229" s="19"/>
      <c r="H229" s="41">
        <v>224</v>
      </c>
      <c r="I229" s="42" t="str">
        <f t="shared" si="27"/>
        <v/>
      </c>
      <c r="J229" s="41">
        <f t="shared" si="33"/>
        <v>-8</v>
      </c>
      <c r="K229" s="41">
        <f t="shared" si="28"/>
        <v>-80</v>
      </c>
      <c r="L229" s="41"/>
      <c r="M229" s="43">
        <f t="shared" si="29"/>
        <v>0</v>
      </c>
      <c r="O229" s="149">
        <v>224</v>
      </c>
      <c r="P229" s="149"/>
      <c r="Q229" s="149"/>
      <c r="R229" s="150" t="str">
        <f t="shared" si="34"/>
        <v/>
      </c>
      <c r="S229" s="152">
        <f t="shared" si="30"/>
        <v>-5</v>
      </c>
      <c r="T229" s="152">
        <f t="shared" si="31"/>
        <v>-50</v>
      </c>
      <c r="U229" s="150"/>
      <c r="V229" s="150">
        <f t="shared" si="32"/>
        <v>0</v>
      </c>
    </row>
    <row r="230" spans="1:22">
      <c r="A230" s="62"/>
      <c r="G230" s="19"/>
      <c r="H230" s="41">
        <v>225</v>
      </c>
      <c r="I230" s="42" t="str">
        <f t="shared" si="27"/>
        <v/>
      </c>
      <c r="J230" s="41">
        <f t="shared" si="33"/>
        <v>-8</v>
      </c>
      <c r="K230" s="41">
        <f t="shared" si="28"/>
        <v>-80</v>
      </c>
      <c r="L230" s="41"/>
      <c r="M230" s="43">
        <f t="shared" si="29"/>
        <v>0</v>
      </c>
      <c r="O230" s="149">
        <v>225</v>
      </c>
      <c r="P230" s="149"/>
      <c r="Q230" s="149"/>
      <c r="R230" s="150" t="str">
        <f t="shared" si="34"/>
        <v/>
      </c>
      <c r="S230" s="152">
        <f t="shared" si="30"/>
        <v>-5</v>
      </c>
      <c r="T230" s="152">
        <f t="shared" si="31"/>
        <v>-50</v>
      </c>
      <c r="U230" s="150"/>
      <c r="V230" s="150">
        <f t="shared" si="32"/>
        <v>0</v>
      </c>
    </row>
    <row r="231" spans="1:22">
      <c r="A231" s="62"/>
      <c r="G231" s="19"/>
      <c r="H231" s="41">
        <v>226</v>
      </c>
      <c r="I231" s="42" t="str">
        <f t="shared" si="27"/>
        <v/>
      </c>
      <c r="J231" s="41">
        <f t="shared" si="33"/>
        <v>-8</v>
      </c>
      <c r="K231" s="41">
        <f t="shared" si="28"/>
        <v>-80</v>
      </c>
      <c r="L231" s="41"/>
      <c r="M231" s="43">
        <f t="shared" si="29"/>
        <v>0</v>
      </c>
      <c r="O231" s="149">
        <v>226</v>
      </c>
      <c r="P231" s="149"/>
      <c r="Q231" s="149"/>
      <c r="R231" s="150" t="str">
        <f t="shared" si="34"/>
        <v/>
      </c>
      <c r="S231" s="152">
        <f t="shared" si="30"/>
        <v>-5</v>
      </c>
      <c r="T231" s="152">
        <f t="shared" si="31"/>
        <v>-50</v>
      </c>
      <c r="U231" s="150"/>
      <c r="V231" s="150">
        <f t="shared" si="32"/>
        <v>0</v>
      </c>
    </row>
    <row r="232" spans="1:22">
      <c r="A232" s="62"/>
      <c r="G232" s="19"/>
      <c r="H232" s="41">
        <v>227</v>
      </c>
      <c r="I232" s="42" t="str">
        <f t="shared" si="27"/>
        <v/>
      </c>
      <c r="J232" s="41">
        <f t="shared" si="33"/>
        <v>-8</v>
      </c>
      <c r="K232" s="41">
        <f t="shared" si="28"/>
        <v>-80</v>
      </c>
      <c r="L232" s="41"/>
      <c r="M232" s="43">
        <f t="shared" si="29"/>
        <v>0</v>
      </c>
      <c r="O232" s="149">
        <v>227</v>
      </c>
      <c r="P232" s="149"/>
      <c r="Q232" s="149"/>
      <c r="R232" s="150" t="str">
        <f t="shared" si="34"/>
        <v/>
      </c>
      <c r="S232" s="152">
        <f t="shared" si="30"/>
        <v>-5</v>
      </c>
      <c r="T232" s="152">
        <f t="shared" si="31"/>
        <v>-50</v>
      </c>
      <c r="U232" s="150"/>
      <c r="V232" s="150">
        <f t="shared" si="32"/>
        <v>0</v>
      </c>
    </row>
    <row r="233" spans="1:22">
      <c r="A233" s="62"/>
      <c r="G233" s="19"/>
      <c r="H233" s="41">
        <v>228</v>
      </c>
      <c r="I233" s="42" t="str">
        <f t="shared" si="27"/>
        <v/>
      </c>
      <c r="J233" s="41">
        <f t="shared" si="33"/>
        <v>-8</v>
      </c>
      <c r="K233" s="41">
        <f t="shared" si="28"/>
        <v>-80</v>
      </c>
      <c r="L233" s="41"/>
      <c r="M233" s="43">
        <f t="shared" si="29"/>
        <v>0</v>
      </c>
      <c r="O233" s="149">
        <v>228</v>
      </c>
      <c r="P233" s="149"/>
      <c r="Q233" s="149"/>
      <c r="R233" s="150" t="str">
        <f t="shared" si="34"/>
        <v/>
      </c>
      <c r="S233" s="152">
        <f t="shared" si="30"/>
        <v>-5</v>
      </c>
      <c r="T233" s="152">
        <f t="shared" si="31"/>
        <v>-50</v>
      </c>
      <c r="U233" s="150"/>
      <c r="V233" s="150">
        <f t="shared" si="32"/>
        <v>0</v>
      </c>
    </row>
    <row r="234" spans="1:22">
      <c r="A234" s="62"/>
      <c r="G234" s="19"/>
      <c r="H234" s="41">
        <v>229</v>
      </c>
      <c r="I234" s="42" t="str">
        <f t="shared" si="27"/>
        <v/>
      </c>
      <c r="J234" s="41">
        <f t="shared" si="33"/>
        <v>-8</v>
      </c>
      <c r="K234" s="41">
        <f t="shared" si="28"/>
        <v>-80</v>
      </c>
      <c r="L234" s="41"/>
      <c r="M234" s="43">
        <f t="shared" si="29"/>
        <v>0</v>
      </c>
      <c r="O234" s="149">
        <v>229</v>
      </c>
      <c r="P234" s="149"/>
      <c r="Q234" s="149"/>
      <c r="R234" s="150" t="str">
        <f t="shared" si="34"/>
        <v/>
      </c>
      <c r="S234" s="152">
        <f t="shared" si="30"/>
        <v>-5</v>
      </c>
      <c r="T234" s="152">
        <f t="shared" si="31"/>
        <v>-50</v>
      </c>
      <c r="U234" s="150"/>
      <c r="V234" s="150">
        <f t="shared" si="32"/>
        <v>0</v>
      </c>
    </row>
    <row r="235" spans="1:22">
      <c r="A235" s="62"/>
      <c r="G235" s="19"/>
      <c r="H235" s="41">
        <v>230</v>
      </c>
      <c r="I235" s="42" t="str">
        <f t="shared" si="27"/>
        <v/>
      </c>
      <c r="J235" s="41">
        <f t="shared" si="33"/>
        <v>-8</v>
      </c>
      <c r="K235" s="41">
        <f t="shared" si="28"/>
        <v>-80</v>
      </c>
      <c r="L235" s="41"/>
      <c r="M235" s="43">
        <f t="shared" si="29"/>
        <v>0</v>
      </c>
      <c r="O235" s="149">
        <v>230</v>
      </c>
      <c r="P235" s="149"/>
      <c r="Q235" s="149"/>
      <c r="R235" s="150" t="str">
        <f t="shared" si="34"/>
        <v/>
      </c>
      <c r="S235" s="152">
        <f t="shared" si="30"/>
        <v>-5</v>
      </c>
      <c r="T235" s="152">
        <f t="shared" si="31"/>
        <v>-50</v>
      </c>
      <c r="U235" s="150"/>
      <c r="V235" s="150">
        <f t="shared" si="32"/>
        <v>0</v>
      </c>
    </row>
    <row r="236" spans="1:22">
      <c r="A236" s="62"/>
      <c r="G236" s="19"/>
      <c r="H236" s="41">
        <v>231</v>
      </c>
      <c r="I236" s="42" t="str">
        <f t="shared" si="27"/>
        <v/>
      </c>
      <c r="J236" s="41">
        <f t="shared" si="33"/>
        <v>-8</v>
      </c>
      <c r="K236" s="41">
        <f t="shared" si="28"/>
        <v>-80</v>
      </c>
      <c r="L236" s="41"/>
      <c r="M236" s="43">
        <f t="shared" si="29"/>
        <v>0</v>
      </c>
      <c r="O236" s="149">
        <v>231</v>
      </c>
      <c r="P236" s="149"/>
      <c r="Q236" s="149"/>
      <c r="R236" s="150" t="str">
        <f t="shared" si="34"/>
        <v/>
      </c>
      <c r="S236" s="152">
        <f t="shared" si="30"/>
        <v>-5</v>
      </c>
      <c r="T236" s="152">
        <f t="shared" si="31"/>
        <v>-50</v>
      </c>
      <c r="U236" s="150"/>
      <c r="V236" s="150">
        <f t="shared" si="32"/>
        <v>0</v>
      </c>
    </row>
    <row r="237" spans="1:22">
      <c r="A237" s="62"/>
      <c r="G237" s="19"/>
      <c r="H237" s="41">
        <v>232</v>
      </c>
      <c r="I237" s="42" t="str">
        <f t="shared" si="27"/>
        <v/>
      </c>
      <c r="J237" s="41">
        <f t="shared" si="33"/>
        <v>-8</v>
      </c>
      <c r="K237" s="41">
        <f t="shared" si="28"/>
        <v>-80</v>
      </c>
      <c r="L237" s="41"/>
      <c r="M237" s="43">
        <f t="shared" si="29"/>
        <v>0</v>
      </c>
      <c r="O237" s="149">
        <v>232</v>
      </c>
      <c r="P237" s="149"/>
      <c r="Q237" s="149"/>
      <c r="R237" s="150" t="str">
        <f t="shared" si="34"/>
        <v/>
      </c>
      <c r="S237" s="152">
        <f t="shared" si="30"/>
        <v>-5</v>
      </c>
      <c r="T237" s="152">
        <f t="shared" si="31"/>
        <v>-50</v>
      </c>
      <c r="U237" s="150"/>
      <c r="V237" s="150">
        <f t="shared" si="32"/>
        <v>0</v>
      </c>
    </row>
    <row r="238" spans="1:22">
      <c r="A238" s="62"/>
      <c r="G238" s="19"/>
      <c r="H238" s="41">
        <v>233</v>
      </c>
      <c r="I238" s="42" t="str">
        <f t="shared" si="27"/>
        <v/>
      </c>
      <c r="J238" s="41">
        <f t="shared" si="33"/>
        <v>-8</v>
      </c>
      <c r="K238" s="41">
        <f t="shared" si="28"/>
        <v>-80</v>
      </c>
      <c r="L238" s="41"/>
      <c r="M238" s="43">
        <f t="shared" si="29"/>
        <v>0</v>
      </c>
      <c r="O238" s="149">
        <v>233</v>
      </c>
      <c r="P238" s="149"/>
      <c r="Q238" s="149"/>
      <c r="R238" s="150" t="str">
        <f t="shared" si="34"/>
        <v/>
      </c>
      <c r="S238" s="152">
        <f t="shared" si="30"/>
        <v>-5</v>
      </c>
      <c r="T238" s="152">
        <f t="shared" si="31"/>
        <v>-50</v>
      </c>
      <c r="U238" s="150"/>
      <c r="V238" s="150">
        <f t="shared" si="32"/>
        <v>0</v>
      </c>
    </row>
    <row r="239" spans="1:22">
      <c r="A239" s="62"/>
      <c r="G239" s="19"/>
      <c r="H239" s="41">
        <v>234</v>
      </c>
      <c r="I239" s="42" t="str">
        <f t="shared" si="27"/>
        <v/>
      </c>
      <c r="J239" s="41">
        <f t="shared" si="33"/>
        <v>-8</v>
      </c>
      <c r="K239" s="41">
        <f t="shared" si="28"/>
        <v>-80</v>
      </c>
      <c r="L239" s="41"/>
      <c r="M239" s="43">
        <f t="shared" si="29"/>
        <v>0</v>
      </c>
      <c r="O239" s="149">
        <v>234</v>
      </c>
      <c r="P239" s="149"/>
      <c r="Q239" s="149"/>
      <c r="R239" s="150" t="str">
        <f t="shared" si="34"/>
        <v/>
      </c>
      <c r="S239" s="152">
        <f t="shared" si="30"/>
        <v>-5</v>
      </c>
      <c r="T239" s="152">
        <f t="shared" si="31"/>
        <v>-50</v>
      </c>
      <c r="U239" s="150"/>
      <c r="V239" s="150">
        <f t="shared" si="32"/>
        <v>0</v>
      </c>
    </row>
    <row r="240" spans="1:22">
      <c r="A240" s="62"/>
      <c r="G240" s="19"/>
      <c r="H240" s="41">
        <v>235</v>
      </c>
      <c r="I240" s="42" t="str">
        <f t="shared" si="27"/>
        <v/>
      </c>
      <c r="J240" s="41">
        <f t="shared" si="33"/>
        <v>-8</v>
      </c>
      <c r="K240" s="41">
        <f t="shared" si="28"/>
        <v>-80</v>
      </c>
      <c r="L240" s="41"/>
      <c r="M240" s="43">
        <f t="shared" si="29"/>
        <v>0</v>
      </c>
      <c r="O240" s="149">
        <v>235</v>
      </c>
      <c r="P240" s="149"/>
      <c r="Q240" s="149"/>
      <c r="R240" s="150" t="str">
        <f t="shared" si="34"/>
        <v/>
      </c>
      <c r="S240" s="152">
        <f t="shared" si="30"/>
        <v>-5</v>
      </c>
      <c r="T240" s="152">
        <f t="shared" si="31"/>
        <v>-50</v>
      </c>
      <c r="U240" s="150"/>
      <c r="V240" s="150">
        <f t="shared" si="32"/>
        <v>0</v>
      </c>
    </row>
    <row r="241" spans="1:22">
      <c r="A241" s="62"/>
      <c r="G241" s="19"/>
      <c r="H241" s="41">
        <v>236</v>
      </c>
      <c r="I241" s="42" t="str">
        <f t="shared" si="27"/>
        <v/>
      </c>
      <c r="J241" s="41">
        <f t="shared" si="33"/>
        <v>-8</v>
      </c>
      <c r="K241" s="41">
        <f t="shared" si="28"/>
        <v>-80</v>
      </c>
      <c r="L241" s="41"/>
      <c r="M241" s="43">
        <f t="shared" si="29"/>
        <v>0</v>
      </c>
      <c r="O241" s="149">
        <v>236</v>
      </c>
      <c r="P241" s="149"/>
      <c r="Q241" s="149"/>
      <c r="R241" s="150" t="str">
        <f t="shared" si="34"/>
        <v/>
      </c>
      <c r="S241" s="152">
        <f t="shared" si="30"/>
        <v>-5</v>
      </c>
      <c r="T241" s="152">
        <f t="shared" si="31"/>
        <v>-50</v>
      </c>
      <c r="U241" s="150"/>
      <c r="V241" s="150">
        <f t="shared" si="32"/>
        <v>0</v>
      </c>
    </row>
    <row r="242" spans="1:22">
      <c r="A242" s="62"/>
      <c r="G242" s="19"/>
      <c r="H242" s="41">
        <v>237</v>
      </c>
      <c r="I242" s="42" t="str">
        <f t="shared" si="27"/>
        <v/>
      </c>
      <c r="J242" s="41">
        <f t="shared" si="33"/>
        <v>-8</v>
      </c>
      <c r="K242" s="41">
        <f t="shared" si="28"/>
        <v>-80</v>
      </c>
      <c r="L242" s="41"/>
      <c r="M242" s="43">
        <f t="shared" si="29"/>
        <v>0</v>
      </c>
      <c r="O242" s="149">
        <v>237</v>
      </c>
      <c r="P242" s="149"/>
      <c r="Q242" s="149"/>
      <c r="R242" s="150" t="str">
        <f t="shared" si="34"/>
        <v/>
      </c>
      <c r="S242" s="152">
        <f t="shared" si="30"/>
        <v>-5</v>
      </c>
      <c r="T242" s="152">
        <f t="shared" si="31"/>
        <v>-50</v>
      </c>
      <c r="U242" s="150"/>
      <c r="V242" s="150">
        <f t="shared" si="32"/>
        <v>0</v>
      </c>
    </row>
    <row r="243" spans="1:22">
      <c r="A243" s="62"/>
      <c r="G243" s="19"/>
      <c r="H243" s="41">
        <v>238</v>
      </c>
      <c r="I243" s="42" t="str">
        <f t="shared" si="27"/>
        <v/>
      </c>
      <c r="J243" s="41">
        <f t="shared" si="33"/>
        <v>-8</v>
      </c>
      <c r="K243" s="41">
        <f t="shared" si="28"/>
        <v>-80</v>
      </c>
      <c r="L243" s="41"/>
      <c r="M243" s="43">
        <f t="shared" si="29"/>
        <v>0</v>
      </c>
      <c r="O243" s="149">
        <v>238</v>
      </c>
      <c r="P243" s="149"/>
      <c r="Q243" s="149"/>
      <c r="R243" s="150" t="str">
        <f t="shared" si="34"/>
        <v/>
      </c>
      <c r="S243" s="152">
        <f t="shared" si="30"/>
        <v>-5</v>
      </c>
      <c r="T243" s="152">
        <f t="shared" si="31"/>
        <v>-50</v>
      </c>
      <c r="U243" s="150"/>
      <c r="V243" s="150">
        <f t="shared" si="32"/>
        <v>0</v>
      </c>
    </row>
    <row r="244" spans="1:22">
      <c r="A244" s="62"/>
      <c r="G244" s="19"/>
      <c r="H244" s="41">
        <v>239</v>
      </c>
      <c r="I244" s="42" t="str">
        <f t="shared" si="27"/>
        <v/>
      </c>
      <c r="J244" s="41">
        <f t="shared" si="33"/>
        <v>-8</v>
      </c>
      <c r="K244" s="41">
        <f t="shared" si="28"/>
        <v>-80</v>
      </c>
      <c r="L244" s="41"/>
      <c r="M244" s="43">
        <f t="shared" si="29"/>
        <v>0</v>
      </c>
      <c r="O244" s="149">
        <v>239</v>
      </c>
      <c r="P244" s="149"/>
      <c r="Q244" s="149"/>
      <c r="R244" s="150" t="str">
        <f t="shared" si="34"/>
        <v/>
      </c>
      <c r="S244" s="152">
        <f t="shared" si="30"/>
        <v>-5</v>
      </c>
      <c r="T244" s="152">
        <f t="shared" si="31"/>
        <v>-50</v>
      </c>
      <c r="U244" s="150"/>
      <c r="V244" s="150">
        <f t="shared" si="32"/>
        <v>0</v>
      </c>
    </row>
    <row r="245" spans="1:22">
      <c r="A245" s="62"/>
      <c r="G245" s="19"/>
      <c r="H245" s="41">
        <v>240</v>
      </c>
      <c r="I245" s="42" t="str">
        <f t="shared" si="27"/>
        <v/>
      </c>
      <c r="J245" s="41">
        <f t="shared" si="33"/>
        <v>-8</v>
      </c>
      <c r="K245" s="41">
        <f t="shared" si="28"/>
        <v>-80</v>
      </c>
      <c r="L245" s="41"/>
      <c r="M245" s="43">
        <f t="shared" si="29"/>
        <v>0</v>
      </c>
      <c r="O245" s="149">
        <v>240</v>
      </c>
      <c r="P245" s="149"/>
      <c r="Q245" s="149"/>
      <c r="R245" s="150" t="str">
        <f t="shared" si="34"/>
        <v/>
      </c>
      <c r="S245" s="152">
        <f t="shared" si="30"/>
        <v>-5</v>
      </c>
      <c r="T245" s="152">
        <f t="shared" si="31"/>
        <v>-50</v>
      </c>
      <c r="U245" s="150"/>
      <c r="V245" s="150">
        <f t="shared" si="32"/>
        <v>0</v>
      </c>
    </row>
    <row r="246" spans="1:22">
      <c r="A246" s="62"/>
      <c r="G246" s="19"/>
      <c r="H246" s="41">
        <v>241</v>
      </c>
      <c r="I246" s="42" t="str">
        <f t="shared" si="27"/>
        <v/>
      </c>
      <c r="J246" s="41">
        <f t="shared" si="33"/>
        <v>-8</v>
      </c>
      <c r="K246" s="41">
        <f t="shared" si="28"/>
        <v>-80</v>
      </c>
      <c r="L246" s="41"/>
      <c r="M246" s="43">
        <f t="shared" si="29"/>
        <v>0</v>
      </c>
      <c r="O246" s="149">
        <v>241</v>
      </c>
      <c r="P246" s="149"/>
      <c r="Q246" s="149"/>
      <c r="R246" s="150" t="str">
        <f t="shared" si="34"/>
        <v/>
      </c>
      <c r="S246" s="152">
        <f t="shared" si="30"/>
        <v>-5</v>
      </c>
      <c r="T246" s="152">
        <f t="shared" si="31"/>
        <v>-50</v>
      </c>
      <c r="U246" s="150"/>
      <c r="V246" s="150">
        <f t="shared" si="32"/>
        <v>0</v>
      </c>
    </row>
    <row r="247" spans="1:22">
      <c r="A247" s="62"/>
      <c r="G247" s="19"/>
      <c r="H247" s="41">
        <v>242</v>
      </c>
      <c r="I247" s="42" t="str">
        <f t="shared" si="27"/>
        <v/>
      </c>
      <c r="J247" s="41">
        <f t="shared" si="33"/>
        <v>-8</v>
      </c>
      <c r="K247" s="41">
        <f t="shared" si="28"/>
        <v>-80</v>
      </c>
      <c r="L247" s="41"/>
      <c r="M247" s="43">
        <f t="shared" si="29"/>
        <v>0</v>
      </c>
      <c r="O247" s="149">
        <v>242</v>
      </c>
      <c r="P247" s="149"/>
      <c r="Q247" s="149"/>
      <c r="R247" s="150" t="str">
        <f t="shared" si="34"/>
        <v/>
      </c>
      <c r="S247" s="152">
        <f t="shared" si="30"/>
        <v>-5</v>
      </c>
      <c r="T247" s="152">
        <f t="shared" si="31"/>
        <v>-50</v>
      </c>
      <c r="U247" s="150"/>
      <c r="V247" s="150">
        <f t="shared" si="32"/>
        <v>0</v>
      </c>
    </row>
    <row r="248" spans="1:22">
      <c r="A248" s="62"/>
      <c r="G248" s="19"/>
      <c r="H248" s="41">
        <v>243</v>
      </c>
      <c r="I248" s="42" t="str">
        <f t="shared" si="27"/>
        <v/>
      </c>
      <c r="J248" s="41">
        <f t="shared" si="33"/>
        <v>-8</v>
      </c>
      <c r="K248" s="41">
        <f t="shared" si="28"/>
        <v>-80</v>
      </c>
      <c r="L248" s="41"/>
      <c r="M248" s="43">
        <f t="shared" si="29"/>
        <v>0</v>
      </c>
      <c r="O248" s="149">
        <v>243</v>
      </c>
      <c r="P248" s="149"/>
      <c r="Q248" s="149"/>
      <c r="R248" s="150" t="str">
        <f t="shared" si="34"/>
        <v/>
      </c>
      <c r="S248" s="152">
        <f t="shared" si="30"/>
        <v>-5</v>
      </c>
      <c r="T248" s="152">
        <f t="shared" si="31"/>
        <v>-50</v>
      </c>
      <c r="U248" s="150"/>
      <c r="V248" s="150">
        <f t="shared" si="32"/>
        <v>0</v>
      </c>
    </row>
    <row r="249" spans="1:22">
      <c r="A249" s="62"/>
      <c r="G249" s="19"/>
      <c r="H249" s="41">
        <v>244</v>
      </c>
      <c r="I249" s="42" t="str">
        <f t="shared" si="27"/>
        <v/>
      </c>
      <c r="J249" s="41">
        <f t="shared" si="33"/>
        <v>-8</v>
      </c>
      <c r="K249" s="41">
        <f t="shared" si="28"/>
        <v>-80</v>
      </c>
      <c r="L249" s="41"/>
      <c r="M249" s="43">
        <f t="shared" si="29"/>
        <v>0</v>
      </c>
      <c r="O249" s="149">
        <v>244</v>
      </c>
      <c r="P249" s="149"/>
      <c r="Q249" s="149"/>
      <c r="R249" s="150" t="str">
        <f t="shared" si="34"/>
        <v/>
      </c>
      <c r="S249" s="152">
        <f t="shared" si="30"/>
        <v>-5</v>
      </c>
      <c r="T249" s="152">
        <f t="shared" si="31"/>
        <v>-50</v>
      </c>
      <c r="U249" s="150"/>
      <c r="V249" s="150">
        <f t="shared" si="32"/>
        <v>0</v>
      </c>
    </row>
    <row r="250" spans="1:22">
      <c r="A250" s="62"/>
      <c r="G250" s="19"/>
      <c r="H250" s="41">
        <v>245</v>
      </c>
      <c r="I250" s="42" t="str">
        <f t="shared" si="27"/>
        <v/>
      </c>
      <c r="J250" s="41">
        <f t="shared" si="33"/>
        <v>-8</v>
      </c>
      <c r="K250" s="41">
        <f t="shared" si="28"/>
        <v>-80</v>
      </c>
      <c r="L250" s="41"/>
      <c r="M250" s="43">
        <f t="shared" si="29"/>
        <v>0</v>
      </c>
      <c r="O250" s="149">
        <v>245</v>
      </c>
      <c r="P250" s="149"/>
      <c r="Q250" s="149"/>
      <c r="R250" s="150" t="str">
        <f t="shared" si="34"/>
        <v/>
      </c>
      <c r="S250" s="152">
        <f t="shared" si="30"/>
        <v>-5</v>
      </c>
      <c r="T250" s="152">
        <f t="shared" si="31"/>
        <v>-50</v>
      </c>
      <c r="U250" s="150"/>
      <c r="V250" s="150">
        <f t="shared" si="32"/>
        <v>0</v>
      </c>
    </row>
    <row r="251" spans="1:22">
      <c r="A251" s="62"/>
      <c r="G251" s="19"/>
      <c r="H251" s="41">
        <v>246</v>
      </c>
      <c r="I251" s="42" t="str">
        <f t="shared" si="27"/>
        <v/>
      </c>
      <c r="J251" s="41">
        <f t="shared" si="33"/>
        <v>-8</v>
      </c>
      <c r="K251" s="41">
        <f t="shared" si="28"/>
        <v>-80</v>
      </c>
      <c r="L251" s="41"/>
      <c r="M251" s="43">
        <f t="shared" si="29"/>
        <v>0</v>
      </c>
      <c r="O251" s="149">
        <v>246</v>
      </c>
      <c r="P251" s="149"/>
      <c r="Q251" s="149"/>
      <c r="R251" s="150" t="str">
        <f t="shared" si="34"/>
        <v/>
      </c>
      <c r="S251" s="152">
        <f t="shared" si="30"/>
        <v>-5</v>
      </c>
      <c r="T251" s="152">
        <f t="shared" si="31"/>
        <v>-50</v>
      </c>
      <c r="U251" s="150"/>
      <c r="V251" s="150">
        <f t="shared" si="32"/>
        <v>0</v>
      </c>
    </row>
    <row r="252" spans="1:22">
      <c r="A252" s="62"/>
      <c r="G252" s="19"/>
      <c r="H252" s="41">
        <v>247</v>
      </c>
      <c r="I252" s="42" t="str">
        <f t="shared" si="27"/>
        <v/>
      </c>
      <c r="J252" s="41">
        <f t="shared" si="33"/>
        <v>-8</v>
      </c>
      <c r="K252" s="41">
        <f t="shared" si="28"/>
        <v>-80</v>
      </c>
      <c r="L252" s="41"/>
      <c r="M252" s="43">
        <f t="shared" si="29"/>
        <v>0</v>
      </c>
      <c r="O252" s="149">
        <v>247</v>
      </c>
      <c r="P252" s="149"/>
      <c r="Q252" s="149"/>
      <c r="R252" s="150" t="str">
        <f t="shared" si="34"/>
        <v/>
      </c>
      <c r="S252" s="152">
        <f t="shared" si="30"/>
        <v>-5</v>
      </c>
      <c r="T252" s="152">
        <f t="shared" si="31"/>
        <v>-50</v>
      </c>
      <c r="U252" s="150"/>
      <c r="V252" s="150">
        <f t="shared" si="32"/>
        <v>0</v>
      </c>
    </row>
    <row r="253" spans="1:22">
      <c r="A253" s="62"/>
      <c r="G253" s="19"/>
      <c r="H253" s="41">
        <v>248</v>
      </c>
      <c r="I253" s="42" t="str">
        <f t="shared" si="27"/>
        <v/>
      </c>
      <c r="J253" s="41">
        <f t="shared" si="33"/>
        <v>-8</v>
      </c>
      <c r="K253" s="41">
        <f t="shared" si="28"/>
        <v>-80</v>
      </c>
      <c r="L253" s="41"/>
      <c r="M253" s="43">
        <f t="shared" si="29"/>
        <v>0</v>
      </c>
      <c r="O253" s="149">
        <v>248</v>
      </c>
      <c r="P253" s="149"/>
      <c r="Q253" s="149"/>
      <c r="R253" s="150" t="str">
        <f t="shared" si="34"/>
        <v/>
      </c>
      <c r="S253" s="152">
        <f t="shared" si="30"/>
        <v>-5</v>
      </c>
      <c r="T253" s="152">
        <f t="shared" si="31"/>
        <v>-50</v>
      </c>
      <c r="U253" s="150"/>
      <c r="V253" s="150">
        <f t="shared" si="32"/>
        <v>0</v>
      </c>
    </row>
    <row r="254" spans="1:22">
      <c r="A254" s="62"/>
      <c r="G254" s="19"/>
      <c r="H254" s="41">
        <v>249</v>
      </c>
      <c r="I254" s="42" t="str">
        <f t="shared" si="27"/>
        <v/>
      </c>
      <c r="J254" s="41">
        <f t="shared" si="33"/>
        <v>-8</v>
      </c>
      <c r="K254" s="41">
        <f t="shared" si="28"/>
        <v>-80</v>
      </c>
      <c r="L254" s="41"/>
      <c r="M254" s="43">
        <f t="shared" si="29"/>
        <v>0</v>
      </c>
      <c r="O254" s="149">
        <v>249</v>
      </c>
      <c r="P254" s="149"/>
      <c r="Q254" s="149"/>
      <c r="R254" s="150" t="str">
        <f t="shared" si="34"/>
        <v/>
      </c>
      <c r="S254" s="152">
        <f t="shared" si="30"/>
        <v>-5</v>
      </c>
      <c r="T254" s="152">
        <f t="shared" si="31"/>
        <v>-50</v>
      </c>
      <c r="U254" s="150"/>
      <c r="V254" s="150">
        <f t="shared" si="32"/>
        <v>0</v>
      </c>
    </row>
    <row r="255" spans="1:22">
      <c r="A255" s="62"/>
      <c r="G255" s="19"/>
      <c r="H255" s="41">
        <v>250</v>
      </c>
      <c r="I255" s="42" t="str">
        <f t="shared" si="27"/>
        <v/>
      </c>
      <c r="J255" s="41">
        <f t="shared" si="33"/>
        <v>-8</v>
      </c>
      <c r="K255" s="41">
        <f t="shared" si="28"/>
        <v>-80</v>
      </c>
      <c r="L255" s="41"/>
      <c r="M255" s="43">
        <f t="shared" si="29"/>
        <v>0</v>
      </c>
      <c r="O255" s="149">
        <v>250</v>
      </c>
      <c r="P255" s="149"/>
      <c r="Q255" s="149"/>
      <c r="R255" s="150" t="str">
        <f t="shared" si="34"/>
        <v/>
      </c>
      <c r="S255" s="152">
        <f t="shared" si="30"/>
        <v>-5</v>
      </c>
      <c r="T255" s="152">
        <f t="shared" si="31"/>
        <v>-50</v>
      </c>
      <c r="U255" s="150"/>
      <c r="V255" s="150">
        <f t="shared" si="32"/>
        <v>0</v>
      </c>
    </row>
    <row r="256" spans="1:22">
      <c r="A256" s="62"/>
      <c r="G256" s="19"/>
      <c r="H256" s="41">
        <v>251</v>
      </c>
      <c r="I256" s="42" t="str">
        <f t="shared" si="27"/>
        <v/>
      </c>
      <c r="J256" s="41">
        <f t="shared" si="33"/>
        <v>-8</v>
      </c>
      <c r="K256" s="41">
        <f t="shared" si="28"/>
        <v>-80</v>
      </c>
      <c r="L256" s="41"/>
      <c r="M256" s="43">
        <f t="shared" si="29"/>
        <v>0</v>
      </c>
      <c r="O256" s="149">
        <v>251</v>
      </c>
      <c r="P256" s="149"/>
      <c r="Q256" s="149"/>
      <c r="R256" s="150" t="str">
        <f t="shared" si="34"/>
        <v/>
      </c>
      <c r="S256" s="152">
        <f t="shared" si="30"/>
        <v>-5</v>
      </c>
      <c r="T256" s="152">
        <f t="shared" si="31"/>
        <v>-50</v>
      </c>
      <c r="U256" s="150"/>
      <c r="V256" s="150">
        <f t="shared" si="32"/>
        <v>0</v>
      </c>
    </row>
    <row r="257" spans="1:22">
      <c r="A257" s="62"/>
      <c r="G257" s="19"/>
      <c r="H257" s="41">
        <v>252</v>
      </c>
      <c r="I257" s="42" t="str">
        <f t="shared" si="27"/>
        <v/>
      </c>
      <c r="J257" s="41">
        <f t="shared" si="33"/>
        <v>-8</v>
      </c>
      <c r="K257" s="41">
        <f t="shared" si="28"/>
        <v>-80</v>
      </c>
      <c r="L257" s="41"/>
      <c r="M257" s="43">
        <f t="shared" si="29"/>
        <v>0</v>
      </c>
      <c r="O257" s="149">
        <v>252</v>
      </c>
      <c r="P257" s="149"/>
      <c r="Q257" s="149"/>
      <c r="R257" s="150" t="str">
        <f t="shared" si="34"/>
        <v/>
      </c>
      <c r="S257" s="152">
        <f t="shared" si="30"/>
        <v>-5</v>
      </c>
      <c r="T257" s="152">
        <f t="shared" si="31"/>
        <v>-50</v>
      </c>
      <c r="U257" s="150"/>
      <c r="V257" s="150">
        <f t="shared" si="32"/>
        <v>0</v>
      </c>
    </row>
    <row r="258" spans="1:22">
      <c r="A258" s="62"/>
      <c r="G258" s="19"/>
      <c r="H258" s="41">
        <v>253</v>
      </c>
      <c r="I258" s="42" t="str">
        <f t="shared" si="27"/>
        <v/>
      </c>
      <c r="J258" s="41">
        <f t="shared" si="33"/>
        <v>-8</v>
      </c>
      <c r="K258" s="41">
        <f t="shared" si="28"/>
        <v>-80</v>
      </c>
      <c r="L258" s="41"/>
      <c r="M258" s="43">
        <f t="shared" si="29"/>
        <v>0</v>
      </c>
      <c r="O258" s="149">
        <v>253</v>
      </c>
      <c r="P258" s="149"/>
      <c r="Q258" s="149"/>
      <c r="R258" s="150" t="str">
        <f t="shared" si="34"/>
        <v/>
      </c>
      <c r="S258" s="152">
        <f t="shared" si="30"/>
        <v>-5</v>
      </c>
      <c r="T258" s="152">
        <f t="shared" si="31"/>
        <v>-50</v>
      </c>
      <c r="U258" s="150"/>
      <c r="V258" s="150">
        <f t="shared" si="32"/>
        <v>0</v>
      </c>
    </row>
    <row r="259" spans="1:22">
      <c r="A259" s="62"/>
      <c r="G259" s="19"/>
      <c r="H259" s="41">
        <v>254</v>
      </c>
      <c r="I259" s="42" t="str">
        <f t="shared" si="27"/>
        <v/>
      </c>
      <c r="J259" s="41">
        <f t="shared" si="33"/>
        <v>-8</v>
      </c>
      <c r="K259" s="41">
        <f t="shared" si="28"/>
        <v>-80</v>
      </c>
      <c r="L259" s="41"/>
      <c r="M259" s="43">
        <f t="shared" si="29"/>
        <v>0</v>
      </c>
      <c r="O259" s="149">
        <v>254</v>
      </c>
      <c r="P259" s="149"/>
      <c r="Q259" s="149"/>
      <c r="R259" s="150" t="str">
        <f t="shared" si="34"/>
        <v/>
      </c>
      <c r="S259" s="152">
        <f t="shared" si="30"/>
        <v>-5</v>
      </c>
      <c r="T259" s="152">
        <f t="shared" si="31"/>
        <v>-50</v>
      </c>
      <c r="U259" s="150"/>
      <c r="V259" s="150">
        <f t="shared" si="32"/>
        <v>0</v>
      </c>
    </row>
    <row r="260" spans="1:22">
      <c r="A260" s="62"/>
      <c r="G260" s="19"/>
      <c r="H260" s="41">
        <v>255</v>
      </c>
      <c r="I260" s="42" t="str">
        <f t="shared" si="27"/>
        <v/>
      </c>
      <c r="J260" s="41">
        <f t="shared" si="33"/>
        <v>-8</v>
      </c>
      <c r="K260" s="41">
        <f t="shared" si="28"/>
        <v>-80</v>
      </c>
      <c r="L260" s="41"/>
      <c r="M260" s="43">
        <f t="shared" si="29"/>
        <v>0</v>
      </c>
      <c r="O260" s="149">
        <v>255</v>
      </c>
      <c r="P260" s="149"/>
      <c r="Q260" s="149"/>
      <c r="R260" s="150" t="str">
        <f t="shared" si="34"/>
        <v/>
      </c>
      <c r="S260" s="152">
        <f t="shared" si="30"/>
        <v>-5</v>
      </c>
      <c r="T260" s="152">
        <f t="shared" si="31"/>
        <v>-50</v>
      </c>
      <c r="U260" s="150"/>
      <c r="V260" s="150">
        <f t="shared" si="32"/>
        <v>0</v>
      </c>
    </row>
    <row r="261" spans="1:22">
      <c r="A261" s="62"/>
      <c r="G261" s="19"/>
      <c r="H261" s="41">
        <v>256</v>
      </c>
      <c r="I261" s="42" t="str">
        <f t="shared" si="27"/>
        <v/>
      </c>
      <c r="J261" s="41">
        <f t="shared" si="33"/>
        <v>-8</v>
      </c>
      <c r="K261" s="41">
        <f t="shared" si="28"/>
        <v>-80</v>
      </c>
      <c r="L261" s="41"/>
      <c r="M261" s="43">
        <f t="shared" si="29"/>
        <v>0</v>
      </c>
      <c r="O261" s="149">
        <v>256</v>
      </c>
      <c r="P261" s="149"/>
      <c r="Q261" s="149"/>
      <c r="R261" s="150" t="str">
        <f t="shared" si="34"/>
        <v/>
      </c>
      <c r="S261" s="152">
        <f t="shared" si="30"/>
        <v>-5</v>
      </c>
      <c r="T261" s="152">
        <f t="shared" si="31"/>
        <v>-50</v>
      </c>
      <c r="U261" s="150"/>
      <c r="V261" s="150">
        <f t="shared" si="32"/>
        <v>0</v>
      </c>
    </row>
    <row r="262" spans="1:22">
      <c r="A262" s="62"/>
      <c r="G262" s="19"/>
      <c r="H262" s="41">
        <v>257</v>
      </c>
      <c r="I262" s="42" t="str">
        <f t="shared" ref="I262:I305" si="35">IF(H262&lt;$H$2+1,($I$2-($I$2-1)*(LOG(H262)/LOG($H$2))),"")</f>
        <v/>
      </c>
      <c r="J262" s="41">
        <f t="shared" si="33"/>
        <v>-9</v>
      </c>
      <c r="K262" s="41">
        <f t="shared" ref="K262:K305" si="36">J262*$J$2</f>
        <v>-90</v>
      </c>
      <c r="L262" s="41"/>
      <c r="M262" s="43">
        <f t="shared" ref="M262:M305" si="37">IF(I262&lt;&gt;"",K262+I262+L262,0)</f>
        <v>0</v>
      </c>
      <c r="O262" s="149">
        <v>257</v>
      </c>
      <c r="P262" s="149"/>
      <c r="Q262" s="149"/>
      <c r="R262" s="150" t="str">
        <f t="shared" si="34"/>
        <v/>
      </c>
      <c r="S262" s="152">
        <f t="shared" ref="S262:S305" si="38">INT(LOG($O$2,2))-ROUNDUP(LOG(O262,2),0)+IF(OR($O$2=1,$O$2=2,$O$2=4,$O$2=8,$O$2=16,$O$2=32,$O$2=64,$O$2=128,$O$2=256),0,1)</f>
        <v>-6</v>
      </c>
      <c r="T262" s="152">
        <f t="shared" ref="T262:T305" si="39">S262*$J$2</f>
        <v>-60</v>
      </c>
      <c r="U262" s="150"/>
      <c r="V262" s="150">
        <f t="shared" ref="V262:V305" si="40">IF(R262&lt;&gt;"",T262+R262+U262,0)</f>
        <v>0</v>
      </c>
    </row>
    <row r="263" spans="1:22">
      <c r="A263" s="62"/>
      <c r="G263" s="19"/>
      <c r="H263" s="41">
        <v>258</v>
      </c>
      <c r="I263" s="42" t="str">
        <f t="shared" si="35"/>
        <v/>
      </c>
      <c r="J263" s="41">
        <f t="shared" ref="J263:J326" si="41">INT(LOG($H$2,2))-ROUNDUP(LOG(H263,2),0)+IF(OR($H$2=1,$H$2=2,$H$2=4,$H$2=8,$H$2=16,$H$2=32,$H$2=64,$H$2=128,$H$2=256),0,1)</f>
        <v>-9</v>
      </c>
      <c r="K263" s="41">
        <f t="shared" si="36"/>
        <v>-90</v>
      </c>
      <c r="L263" s="41"/>
      <c r="M263" s="43">
        <f t="shared" si="37"/>
        <v>0</v>
      </c>
      <c r="O263" s="149">
        <v>258</v>
      </c>
      <c r="P263" s="149"/>
      <c r="Q263" s="149"/>
      <c r="R263" s="150" t="str">
        <f t="shared" si="34"/>
        <v/>
      </c>
      <c r="S263" s="152">
        <f t="shared" si="38"/>
        <v>-6</v>
      </c>
      <c r="T263" s="152">
        <f t="shared" si="39"/>
        <v>-60</v>
      </c>
      <c r="U263" s="150"/>
      <c r="V263" s="150">
        <f t="shared" si="40"/>
        <v>0</v>
      </c>
    </row>
    <row r="264" spans="1:22">
      <c r="A264" s="62"/>
      <c r="G264" s="19"/>
      <c r="H264" s="41">
        <v>259</v>
      </c>
      <c r="I264" s="42" t="str">
        <f t="shared" si="35"/>
        <v/>
      </c>
      <c r="J264" s="41">
        <f t="shared" si="41"/>
        <v>-9</v>
      </c>
      <c r="K264" s="41">
        <f t="shared" si="36"/>
        <v>-90</v>
      </c>
      <c r="L264" s="41"/>
      <c r="M264" s="43">
        <f t="shared" si="37"/>
        <v>0</v>
      </c>
      <c r="O264" s="149">
        <v>259</v>
      </c>
      <c r="P264" s="149"/>
      <c r="Q264" s="149"/>
      <c r="R264" s="150" t="str">
        <f t="shared" si="34"/>
        <v/>
      </c>
      <c r="S264" s="152">
        <f t="shared" si="38"/>
        <v>-6</v>
      </c>
      <c r="T264" s="152">
        <f t="shared" si="39"/>
        <v>-60</v>
      </c>
      <c r="U264" s="150"/>
      <c r="V264" s="150">
        <f t="shared" si="40"/>
        <v>0</v>
      </c>
    </row>
    <row r="265" spans="1:22">
      <c r="A265" s="62"/>
      <c r="G265" s="19"/>
      <c r="H265" s="41">
        <v>260</v>
      </c>
      <c r="I265" s="42" t="str">
        <f t="shared" si="35"/>
        <v/>
      </c>
      <c r="J265" s="41">
        <f t="shared" si="41"/>
        <v>-9</v>
      </c>
      <c r="K265" s="41">
        <f t="shared" si="36"/>
        <v>-90</v>
      </c>
      <c r="L265" s="41"/>
      <c r="M265" s="43">
        <f t="shared" si="37"/>
        <v>0</v>
      </c>
      <c r="O265" s="149">
        <v>260</v>
      </c>
      <c r="P265" s="149"/>
      <c r="Q265" s="149"/>
      <c r="R265" s="150" t="str">
        <f t="shared" si="34"/>
        <v/>
      </c>
      <c r="S265" s="152">
        <f t="shared" si="38"/>
        <v>-6</v>
      </c>
      <c r="T265" s="152">
        <f t="shared" si="39"/>
        <v>-60</v>
      </c>
      <c r="U265" s="150"/>
      <c r="V265" s="150">
        <f t="shared" si="40"/>
        <v>0</v>
      </c>
    </row>
    <row r="266" spans="1:22">
      <c r="A266" s="62"/>
      <c r="G266" s="19"/>
      <c r="H266" s="41">
        <v>261</v>
      </c>
      <c r="I266" s="42" t="str">
        <f t="shared" si="35"/>
        <v/>
      </c>
      <c r="J266" s="41">
        <f t="shared" si="41"/>
        <v>-9</v>
      </c>
      <c r="K266" s="41">
        <f t="shared" si="36"/>
        <v>-90</v>
      </c>
      <c r="L266" s="41"/>
      <c r="M266" s="43">
        <f t="shared" si="37"/>
        <v>0</v>
      </c>
      <c r="O266" s="149">
        <v>261</v>
      </c>
      <c r="P266" s="149"/>
      <c r="Q266" s="149"/>
      <c r="R266" s="150" t="str">
        <f t="shared" si="34"/>
        <v/>
      </c>
      <c r="S266" s="152">
        <f t="shared" si="38"/>
        <v>-6</v>
      </c>
      <c r="T266" s="152">
        <f t="shared" si="39"/>
        <v>-60</v>
      </c>
      <c r="U266" s="150"/>
      <c r="V266" s="150">
        <f t="shared" si="40"/>
        <v>0</v>
      </c>
    </row>
    <row r="267" spans="1:22">
      <c r="A267" s="62"/>
      <c r="G267" s="19"/>
      <c r="H267" s="41">
        <v>262</v>
      </c>
      <c r="I267" s="42" t="str">
        <f t="shared" si="35"/>
        <v/>
      </c>
      <c r="J267" s="41">
        <f t="shared" si="41"/>
        <v>-9</v>
      </c>
      <c r="K267" s="41">
        <f t="shared" si="36"/>
        <v>-90</v>
      </c>
      <c r="L267" s="41"/>
      <c r="M267" s="43">
        <f t="shared" si="37"/>
        <v>0</v>
      </c>
      <c r="O267" s="149">
        <v>262</v>
      </c>
      <c r="P267" s="149"/>
      <c r="Q267" s="149"/>
      <c r="R267" s="150" t="str">
        <f t="shared" si="34"/>
        <v/>
      </c>
      <c r="S267" s="152">
        <f t="shared" si="38"/>
        <v>-6</v>
      </c>
      <c r="T267" s="152">
        <f t="shared" si="39"/>
        <v>-60</v>
      </c>
      <c r="U267" s="150"/>
      <c r="V267" s="150">
        <f t="shared" si="40"/>
        <v>0</v>
      </c>
    </row>
    <row r="268" spans="1:22">
      <c r="A268" s="62"/>
      <c r="G268" s="19"/>
      <c r="H268" s="41">
        <v>263</v>
      </c>
      <c r="I268" s="42" t="str">
        <f t="shared" si="35"/>
        <v/>
      </c>
      <c r="J268" s="41">
        <f t="shared" si="41"/>
        <v>-9</v>
      </c>
      <c r="K268" s="41">
        <f t="shared" si="36"/>
        <v>-90</v>
      </c>
      <c r="L268" s="41"/>
      <c r="M268" s="43">
        <f t="shared" si="37"/>
        <v>0</v>
      </c>
      <c r="O268" s="149">
        <v>263</v>
      </c>
      <c r="P268" s="149"/>
      <c r="Q268" s="149"/>
      <c r="R268" s="150" t="str">
        <f t="shared" si="34"/>
        <v/>
      </c>
      <c r="S268" s="152">
        <f t="shared" si="38"/>
        <v>-6</v>
      </c>
      <c r="T268" s="152">
        <f t="shared" si="39"/>
        <v>-60</v>
      </c>
      <c r="U268" s="150"/>
      <c r="V268" s="150">
        <f t="shared" si="40"/>
        <v>0</v>
      </c>
    </row>
    <row r="269" spans="1:22">
      <c r="A269" s="62"/>
      <c r="G269" s="19"/>
      <c r="H269" s="41">
        <v>264</v>
      </c>
      <c r="I269" s="42" t="str">
        <f t="shared" si="35"/>
        <v/>
      </c>
      <c r="J269" s="41">
        <f t="shared" si="41"/>
        <v>-9</v>
      </c>
      <c r="K269" s="41">
        <f t="shared" si="36"/>
        <v>-90</v>
      </c>
      <c r="L269" s="41"/>
      <c r="M269" s="43">
        <f t="shared" si="37"/>
        <v>0</v>
      </c>
      <c r="O269" s="149">
        <v>264</v>
      </c>
      <c r="P269" s="149"/>
      <c r="Q269" s="149"/>
      <c r="R269" s="150" t="str">
        <f t="shared" si="34"/>
        <v/>
      </c>
      <c r="S269" s="152">
        <f t="shared" si="38"/>
        <v>-6</v>
      </c>
      <c r="T269" s="152">
        <f t="shared" si="39"/>
        <v>-60</v>
      </c>
      <c r="U269" s="150"/>
      <c r="V269" s="150">
        <f t="shared" si="40"/>
        <v>0</v>
      </c>
    </row>
    <row r="270" spans="1:22">
      <c r="A270" s="62"/>
      <c r="G270" s="19"/>
      <c r="H270" s="41">
        <v>265</v>
      </c>
      <c r="I270" s="42" t="str">
        <f t="shared" si="35"/>
        <v/>
      </c>
      <c r="J270" s="41">
        <f t="shared" si="41"/>
        <v>-9</v>
      </c>
      <c r="K270" s="41">
        <f t="shared" si="36"/>
        <v>-90</v>
      </c>
      <c r="L270" s="41"/>
      <c r="M270" s="43">
        <f t="shared" si="37"/>
        <v>0</v>
      </c>
      <c r="O270" s="149">
        <v>265</v>
      </c>
      <c r="P270" s="149"/>
      <c r="Q270" s="149"/>
      <c r="R270" s="150" t="str">
        <f t="shared" si="34"/>
        <v/>
      </c>
      <c r="S270" s="152">
        <f t="shared" si="38"/>
        <v>-6</v>
      </c>
      <c r="T270" s="152">
        <f t="shared" si="39"/>
        <v>-60</v>
      </c>
      <c r="U270" s="150"/>
      <c r="V270" s="150">
        <f t="shared" si="40"/>
        <v>0</v>
      </c>
    </row>
    <row r="271" spans="1:22">
      <c r="A271" s="62"/>
      <c r="G271" s="19"/>
      <c r="H271" s="41">
        <v>266</v>
      </c>
      <c r="I271" s="42" t="str">
        <f t="shared" si="35"/>
        <v/>
      </c>
      <c r="J271" s="41">
        <f t="shared" si="41"/>
        <v>-9</v>
      </c>
      <c r="K271" s="41">
        <f t="shared" si="36"/>
        <v>-90</v>
      </c>
      <c r="L271" s="41"/>
      <c r="M271" s="43">
        <f t="shared" si="37"/>
        <v>0</v>
      </c>
      <c r="O271" s="149">
        <v>266</v>
      </c>
      <c r="P271" s="149"/>
      <c r="Q271" s="149"/>
      <c r="R271" s="150" t="str">
        <f t="shared" si="34"/>
        <v/>
      </c>
      <c r="S271" s="152">
        <f t="shared" si="38"/>
        <v>-6</v>
      </c>
      <c r="T271" s="152">
        <f t="shared" si="39"/>
        <v>-60</v>
      </c>
      <c r="U271" s="150"/>
      <c r="V271" s="150">
        <f t="shared" si="40"/>
        <v>0</v>
      </c>
    </row>
    <row r="272" spans="1:22">
      <c r="A272" s="62"/>
      <c r="G272" s="19"/>
      <c r="H272" s="41">
        <v>267</v>
      </c>
      <c r="I272" s="42" t="str">
        <f t="shared" si="35"/>
        <v/>
      </c>
      <c r="J272" s="41">
        <f t="shared" si="41"/>
        <v>-9</v>
      </c>
      <c r="K272" s="41">
        <f t="shared" si="36"/>
        <v>-90</v>
      </c>
      <c r="L272" s="41"/>
      <c r="M272" s="43">
        <f t="shared" si="37"/>
        <v>0</v>
      </c>
      <c r="O272" s="149">
        <v>267</v>
      </c>
      <c r="P272" s="149"/>
      <c r="Q272" s="149"/>
      <c r="R272" s="150" t="str">
        <f t="shared" ref="R272:R305" si="42">IF(O272&lt;$O$2+1,($I$2-($I$2-1)*(LOG(O272)/LOG($O$2))),"")</f>
        <v/>
      </c>
      <c r="S272" s="152">
        <f t="shared" si="38"/>
        <v>-6</v>
      </c>
      <c r="T272" s="152">
        <f t="shared" si="39"/>
        <v>-60</v>
      </c>
      <c r="U272" s="150"/>
      <c r="V272" s="150">
        <f t="shared" si="40"/>
        <v>0</v>
      </c>
    </row>
    <row r="273" spans="1:22">
      <c r="A273" s="62"/>
      <c r="G273" s="19"/>
      <c r="H273" s="41">
        <v>268</v>
      </c>
      <c r="I273" s="42" t="str">
        <f t="shared" si="35"/>
        <v/>
      </c>
      <c r="J273" s="41">
        <f t="shared" si="41"/>
        <v>-9</v>
      </c>
      <c r="K273" s="41">
        <f t="shared" si="36"/>
        <v>-90</v>
      </c>
      <c r="L273" s="41"/>
      <c r="M273" s="43">
        <f t="shared" si="37"/>
        <v>0</v>
      </c>
      <c r="O273" s="149">
        <v>268</v>
      </c>
      <c r="P273" s="149"/>
      <c r="Q273" s="149"/>
      <c r="R273" s="150" t="str">
        <f t="shared" si="42"/>
        <v/>
      </c>
      <c r="S273" s="152">
        <f t="shared" si="38"/>
        <v>-6</v>
      </c>
      <c r="T273" s="152">
        <f t="shared" si="39"/>
        <v>-60</v>
      </c>
      <c r="U273" s="150"/>
      <c r="V273" s="150">
        <f t="shared" si="40"/>
        <v>0</v>
      </c>
    </row>
    <row r="274" spans="1:22">
      <c r="A274" s="62"/>
      <c r="G274" s="19"/>
      <c r="H274" s="41">
        <v>269</v>
      </c>
      <c r="I274" s="42" t="str">
        <f t="shared" si="35"/>
        <v/>
      </c>
      <c r="J274" s="41">
        <f t="shared" si="41"/>
        <v>-9</v>
      </c>
      <c r="K274" s="41">
        <f t="shared" si="36"/>
        <v>-90</v>
      </c>
      <c r="L274" s="41"/>
      <c r="M274" s="43">
        <f t="shared" si="37"/>
        <v>0</v>
      </c>
      <c r="O274" s="149">
        <v>269</v>
      </c>
      <c r="P274" s="149"/>
      <c r="Q274" s="149"/>
      <c r="R274" s="150" t="str">
        <f t="shared" si="42"/>
        <v/>
      </c>
      <c r="S274" s="152">
        <f t="shared" si="38"/>
        <v>-6</v>
      </c>
      <c r="T274" s="152">
        <f t="shared" si="39"/>
        <v>-60</v>
      </c>
      <c r="U274" s="150"/>
      <c r="V274" s="150">
        <f t="shared" si="40"/>
        <v>0</v>
      </c>
    </row>
    <row r="275" spans="1:22">
      <c r="A275" s="62"/>
      <c r="G275" s="19"/>
      <c r="H275" s="41">
        <v>270</v>
      </c>
      <c r="I275" s="42" t="str">
        <f t="shared" si="35"/>
        <v/>
      </c>
      <c r="J275" s="41">
        <f t="shared" si="41"/>
        <v>-9</v>
      </c>
      <c r="K275" s="41">
        <f t="shared" si="36"/>
        <v>-90</v>
      </c>
      <c r="L275" s="41"/>
      <c r="M275" s="43">
        <f t="shared" si="37"/>
        <v>0</v>
      </c>
      <c r="O275" s="149">
        <v>270</v>
      </c>
      <c r="P275" s="149"/>
      <c r="Q275" s="149"/>
      <c r="R275" s="150" t="str">
        <f t="shared" si="42"/>
        <v/>
      </c>
      <c r="S275" s="152">
        <f t="shared" si="38"/>
        <v>-6</v>
      </c>
      <c r="T275" s="152">
        <f t="shared" si="39"/>
        <v>-60</v>
      </c>
      <c r="U275" s="150"/>
      <c r="V275" s="150">
        <f t="shared" si="40"/>
        <v>0</v>
      </c>
    </row>
    <row r="276" spans="1:22">
      <c r="A276" s="62"/>
      <c r="G276" s="19"/>
      <c r="H276" s="41">
        <v>271</v>
      </c>
      <c r="I276" s="42" t="str">
        <f t="shared" si="35"/>
        <v/>
      </c>
      <c r="J276" s="41">
        <f t="shared" si="41"/>
        <v>-9</v>
      </c>
      <c r="K276" s="41">
        <f t="shared" si="36"/>
        <v>-90</v>
      </c>
      <c r="L276" s="41"/>
      <c r="M276" s="43">
        <f t="shared" si="37"/>
        <v>0</v>
      </c>
      <c r="O276" s="149">
        <v>271</v>
      </c>
      <c r="P276" s="149"/>
      <c r="Q276" s="149"/>
      <c r="R276" s="150" t="str">
        <f t="shared" si="42"/>
        <v/>
      </c>
      <c r="S276" s="152">
        <f t="shared" si="38"/>
        <v>-6</v>
      </c>
      <c r="T276" s="152">
        <f t="shared" si="39"/>
        <v>-60</v>
      </c>
      <c r="U276" s="150"/>
      <c r="V276" s="150">
        <f t="shared" si="40"/>
        <v>0</v>
      </c>
    </row>
    <row r="277" spans="1:22">
      <c r="A277" s="62"/>
      <c r="G277" s="19"/>
      <c r="H277" s="41">
        <v>272</v>
      </c>
      <c r="I277" s="42" t="str">
        <f t="shared" si="35"/>
        <v/>
      </c>
      <c r="J277" s="41">
        <f t="shared" si="41"/>
        <v>-9</v>
      </c>
      <c r="K277" s="41">
        <f t="shared" si="36"/>
        <v>-90</v>
      </c>
      <c r="L277" s="41"/>
      <c r="M277" s="43">
        <f t="shared" si="37"/>
        <v>0</v>
      </c>
      <c r="O277" s="149">
        <v>272</v>
      </c>
      <c r="P277" s="149"/>
      <c r="Q277" s="149"/>
      <c r="R277" s="150" t="str">
        <f t="shared" si="42"/>
        <v/>
      </c>
      <c r="S277" s="152">
        <f t="shared" si="38"/>
        <v>-6</v>
      </c>
      <c r="T277" s="152">
        <f t="shared" si="39"/>
        <v>-60</v>
      </c>
      <c r="U277" s="150"/>
      <c r="V277" s="150">
        <f t="shared" si="40"/>
        <v>0</v>
      </c>
    </row>
    <row r="278" spans="1:22">
      <c r="A278" s="62"/>
      <c r="G278" s="19"/>
      <c r="H278" s="41">
        <v>273</v>
      </c>
      <c r="I278" s="42" t="str">
        <f t="shared" si="35"/>
        <v/>
      </c>
      <c r="J278" s="41">
        <f t="shared" si="41"/>
        <v>-9</v>
      </c>
      <c r="K278" s="41">
        <f t="shared" si="36"/>
        <v>-90</v>
      </c>
      <c r="L278" s="41"/>
      <c r="M278" s="43">
        <f t="shared" si="37"/>
        <v>0</v>
      </c>
      <c r="O278" s="149">
        <v>273</v>
      </c>
      <c r="P278" s="149"/>
      <c r="Q278" s="149"/>
      <c r="R278" s="150" t="str">
        <f t="shared" si="42"/>
        <v/>
      </c>
      <c r="S278" s="152">
        <f t="shared" si="38"/>
        <v>-6</v>
      </c>
      <c r="T278" s="152">
        <f t="shared" si="39"/>
        <v>-60</v>
      </c>
      <c r="U278" s="150"/>
      <c r="V278" s="150">
        <f t="shared" si="40"/>
        <v>0</v>
      </c>
    </row>
    <row r="279" spans="1:22">
      <c r="A279" s="62"/>
      <c r="G279" s="19"/>
      <c r="H279" s="41">
        <v>274</v>
      </c>
      <c r="I279" s="42" t="str">
        <f t="shared" si="35"/>
        <v/>
      </c>
      <c r="J279" s="41">
        <f t="shared" si="41"/>
        <v>-9</v>
      </c>
      <c r="K279" s="41">
        <f t="shared" si="36"/>
        <v>-90</v>
      </c>
      <c r="L279" s="41"/>
      <c r="M279" s="43">
        <f t="shared" si="37"/>
        <v>0</v>
      </c>
      <c r="O279" s="149">
        <v>274</v>
      </c>
      <c r="P279" s="149"/>
      <c r="Q279" s="149"/>
      <c r="R279" s="150" t="str">
        <f t="shared" si="42"/>
        <v/>
      </c>
      <c r="S279" s="152">
        <f t="shared" si="38"/>
        <v>-6</v>
      </c>
      <c r="T279" s="152">
        <f t="shared" si="39"/>
        <v>-60</v>
      </c>
      <c r="U279" s="150"/>
      <c r="V279" s="150">
        <f t="shared" si="40"/>
        <v>0</v>
      </c>
    </row>
    <row r="280" spans="1:22">
      <c r="A280" s="62"/>
      <c r="G280" s="19"/>
      <c r="H280" s="41">
        <v>275</v>
      </c>
      <c r="I280" s="42" t="str">
        <f t="shared" si="35"/>
        <v/>
      </c>
      <c r="J280" s="41">
        <f t="shared" si="41"/>
        <v>-9</v>
      </c>
      <c r="K280" s="41">
        <f t="shared" si="36"/>
        <v>-90</v>
      </c>
      <c r="L280" s="41"/>
      <c r="M280" s="43">
        <f t="shared" si="37"/>
        <v>0</v>
      </c>
      <c r="O280" s="149">
        <v>275</v>
      </c>
      <c r="P280" s="149"/>
      <c r="Q280" s="149"/>
      <c r="R280" s="150" t="str">
        <f t="shared" si="42"/>
        <v/>
      </c>
      <c r="S280" s="152">
        <f t="shared" si="38"/>
        <v>-6</v>
      </c>
      <c r="T280" s="152">
        <f t="shared" si="39"/>
        <v>-60</v>
      </c>
      <c r="U280" s="150"/>
      <c r="V280" s="150">
        <f t="shared" si="40"/>
        <v>0</v>
      </c>
    </row>
    <row r="281" spans="1:22">
      <c r="A281" s="62"/>
      <c r="G281" s="19"/>
      <c r="H281" s="41">
        <v>276</v>
      </c>
      <c r="I281" s="42" t="str">
        <f t="shared" si="35"/>
        <v/>
      </c>
      <c r="J281" s="41">
        <f t="shared" si="41"/>
        <v>-9</v>
      </c>
      <c r="K281" s="41">
        <f t="shared" si="36"/>
        <v>-90</v>
      </c>
      <c r="L281" s="41"/>
      <c r="M281" s="43">
        <f t="shared" si="37"/>
        <v>0</v>
      </c>
      <c r="O281" s="149">
        <v>276</v>
      </c>
      <c r="P281" s="149"/>
      <c r="Q281" s="149"/>
      <c r="R281" s="150" t="str">
        <f t="shared" si="42"/>
        <v/>
      </c>
      <c r="S281" s="152">
        <f t="shared" si="38"/>
        <v>-6</v>
      </c>
      <c r="T281" s="152">
        <f t="shared" si="39"/>
        <v>-60</v>
      </c>
      <c r="U281" s="150"/>
      <c r="V281" s="150">
        <f t="shared" si="40"/>
        <v>0</v>
      </c>
    </row>
    <row r="282" spans="1:22">
      <c r="A282" s="62"/>
      <c r="G282" s="19"/>
      <c r="H282" s="41">
        <v>277</v>
      </c>
      <c r="I282" s="42" t="str">
        <f t="shared" si="35"/>
        <v/>
      </c>
      <c r="J282" s="41">
        <f t="shared" si="41"/>
        <v>-9</v>
      </c>
      <c r="K282" s="41">
        <f t="shared" si="36"/>
        <v>-90</v>
      </c>
      <c r="L282" s="41"/>
      <c r="M282" s="43">
        <f t="shared" si="37"/>
        <v>0</v>
      </c>
      <c r="O282" s="149">
        <v>277</v>
      </c>
      <c r="P282" s="149"/>
      <c r="Q282" s="149"/>
      <c r="R282" s="150" t="str">
        <f t="shared" si="42"/>
        <v/>
      </c>
      <c r="S282" s="152">
        <f t="shared" si="38"/>
        <v>-6</v>
      </c>
      <c r="T282" s="152">
        <f t="shared" si="39"/>
        <v>-60</v>
      </c>
      <c r="U282" s="150"/>
      <c r="V282" s="150">
        <f t="shared" si="40"/>
        <v>0</v>
      </c>
    </row>
    <row r="283" spans="1:22">
      <c r="A283" s="62"/>
      <c r="G283" s="19"/>
      <c r="H283" s="41">
        <v>278</v>
      </c>
      <c r="I283" s="42" t="str">
        <f t="shared" si="35"/>
        <v/>
      </c>
      <c r="J283" s="41">
        <f t="shared" si="41"/>
        <v>-9</v>
      </c>
      <c r="K283" s="41">
        <f t="shared" si="36"/>
        <v>-90</v>
      </c>
      <c r="L283" s="41"/>
      <c r="M283" s="43">
        <f t="shared" si="37"/>
        <v>0</v>
      </c>
      <c r="O283" s="149">
        <v>278</v>
      </c>
      <c r="P283" s="149"/>
      <c r="Q283" s="149"/>
      <c r="R283" s="150" t="str">
        <f t="shared" si="42"/>
        <v/>
      </c>
      <c r="S283" s="152">
        <f t="shared" si="38"/>
        <v>-6</v>
      </c>
      <c r="T283" s="152">
        <f t="shared" si="39"/>
        <v>-60</v>
      </c>
      <c r="U283" s="150"/>
      <c r="V283" s="150">
        <f t="shared" si="40"/>
        <v>0</v>
      </c>
    </row>
    <row r="284" spans="1:22">
      <c r="A284" s="62"/>
      <c r="G284" s="19"/>
      <c r="H284" s="41">
        <v>279</v>
      </c>
      <c r="I284" s="42" t="str">
        <f t="shared" si="35"/>
        <v/>
      </c>
      <c r="J284" s="41">
        <f t="shared" si="41"/>
        <v>-9</v>
      </c>
      <c r="K284" s="41">
        <f t="shared" si="36"/>
        <v>-90</v>
      </c>
      <c r="L284" s="41"/>
      <c r="M284" s="43">
        <f t="shared" si="37"/>
        <v>0</v>
      </c>
      <c r="O284" s="149">
        <v>279</v>
      </c>
      <c r="P284" s="149"/>
      <c r="Q284" s="149"/>
      <c r="R284" s="150" t="str">
        <f t="shared" si="42"/>
        <v/>
      </c>
      <c r="S284" s="152">
        <f t="shared" si="38"/>
        <v>-6</v>
      </c>
      <c r="T284" s="152">
        <f t="shared" si="39"/>
        <v>-60</v>
      </c>
      <c r="U284" s="150"/>
      <c r="V284" s="150">
        <f t="shared" si="40"/>
        <v>0</v>
      </c>
    </row>
    <row r="285" spans="1:22">
      <c r="A285" s="62"/>
      <c r="G285" s="19"/>
      <c r="H285" s="41">
        <v>280</v>
      </c>
      <c r="I285" s="42" t="str">
        <f t="shared" si="35"/>
        <v/>
      </c>
      <c r="J285" s="41">
        <f t="shared" si="41"/>
        <v>-9</v>
      </c>
      <c r="K285" s="41">
        <f t="shared" si="36"/>
        <v>-90</v>
      </c>
      <c r="L285" s="41"/>
      <c r="M285" s="43">
        <f t="shared" si="37"/>
        <v>0</v>
      </c>
      <c r="O285" s="149">
        <v>280</v>
      </c>
      <c r="P285" s="149"/>
      <c r="Q285" s="149"/>
      <c r="R285" s="150" t="str">
        <f t="shared" si="42"/>
        <v/>
      </c>
      <c r="S285" s="152">
        <f t="shared" si="38"/>
        <v>-6</v>
      </c>
      <c r="T285" s="152">
        <f t="shared" si="39"/>
        <v>-60</v>
      </c>
      <c r="U285" s="150"/>
      <c r="V285" s="150">
        <f t="shared" si="40"/>
        <v>0</v>
      </c>
    </row>
    <row r="286" spans="1:22">
      <c r="A286" s="62"/>
      <c r="G286" s="19"/>
      <c r="H286" s="41">
        <v>281</v>
      </c>
      <c r="I286" s="42" t="str">
        <f t="shared" si="35"/>
        <v/>
      </c>
      <c r="J286" s="41">
        <f t="shared" si="41"/>
        <v>-9</v>
      </c>
      <c r="K286" s="41">
        <f t="shared" si="36"/>
        <v>-90</v>
      </c>
      <c r="L286" s="41"/>
      <c r="M286" s="43">
        <f t="shared" si="37"/>
        <v>0</v>
      </c>
      <c r="O286" s="149">
        <v>281</v>
      </c>
      <c r="P286" s="149"/>
      <c r="Q286" s="149"/>
      <c r="R286" s="150" t="str">
        <f t="shared" si="42"/>
        <v/>
      </c>
      <c r="S286" s="152">
        <f t="shared" si="38"/>
        <v>-6</v>
      </c>
      <c r="T286" s="152">
        <f t="shared" si="39"/>
        <v>-60</v>
      </c>
      <c r="U286" s="150"/>
      <c r="V286" s="150">
        <f t="shared" si="40"/>
        <v>0</v>
      </c>
    </row>
    <row r="287" spans="1:22">
      <c r="A287" s="62"/>
      <c r="G287" s="19"/>
      <c r="H287" s="41">
        <v>282</v>
      </c>
      <c r="I287" s="42" t="str">
        <f t="shared" si="35"/>
        <v/>
      </c>
      <c r="J287" s="41">
        <f t="shared" si="41"/>
        <v>-9</v>
      </c>
      <c r="K287" s="41">
        <f t="shared" si="36"/>
        <v>-90</v>
      </c>
      <c r="L287" s="41"/>
      <c r="M287" s="43">
        <f t="shared" si="37"/>
        <v>0</v>
      </c>
      <c r="O287" s="149">
        <v>282</v>
      </c>
      <c r="P287" s="149"/>
      <c r="Q287" s="149"/>
      <c r="R287" s="150" t="str">
        <f t="shared" si="42"/>
        <v/>
      </c>
      <c r="S287" s="152">
        <f t="shared" si="38"/>
        <v>-6</v>
      </c>
      <c r="T287" s="152">
        <f t="shared" si="39"/>
        <v>-60</v>
      </c>
      <c r="U287" s="150"/>
      <c r="V287" s="150">
        <f t="shared" si="40"/>
        <v>0</v>
      </c>
    </row>
    <row r="288" spans="1:22">
      <c r="A288" s="62"/>
      <c r="G288" s="19"/>
      <c r="H288" s="41">
        <v>283</v>
      </c>
      <c r="I288" s="42" t="str">
        <f t="shared" si="35"/>
        <v/>
      </c>
      <c r="J288" s="41">
        <f t="shared" si="41"/>
        <v>-9</v>
      </c>
      <c r="K288" s="41">
        <f t="shared" si="36"/>
        <v>-90</v>
      </c>
      <c r="L288" s="41"/>
      <c r="M288" s="43">
        <f t="shared" si="37"/>
        <v>0</v>
      </c>
      <c r="O288" s="149">
        <v>283</v>
      </c>
      <c r="P288" s="149"/>
      <c r="Q288" s="149"/>
      <c r="R288" s="150" t="str">
        <f t="shared" si="42"/>
        <v/>
      </c>
      <c r="S288" s="152">
        <f t="shared" si="38"/>
        <v>-6</v>
      </c>
      <c r="T288" s="152">
        <f t="shared" si="39"/>
        <v>-60</v>
      </c>
      <c r="U288" s="150"/>
      <c r="V288" s="150">
        <f t="shared" si="40"/>
        <v>0</v>
      </c>
    </row>
    <row r="289" spans="1:22">
      <c r="A289" s="62"/>
      <c r="G289" s="19"/>
      <c r="H289" s="41">
        <v>284</v>
      </c>
      <c r="I289" s="42" t="str">
        <f t="shared" si="35"/>
        <v/>
      </c>
      <c r="J289" s="41">
        <f t="shared" si="41"/>
        <v>-9</v>
      </c>
      <c r="K289" s="41">
        <f t="shared" si="36"/>
        <v>-90</v>
      </c>
      <c r="L289" s="41"/>
      <c r="M289" s="43">
        <f t="shared" si="37"/>
        <v>0</v>
      </c>
      <c r="O289" s="149">
        <v>284</v>
      </c>
      <c r="P289" s="149"/>
      <c r="Q289" s="149"/>
      <c r="R289" s="150" t="str">
        <f t="shared" si="42"/>
        <v/>
      </c>
      <c r="S289" s="152">
        <f t="shared" si="38"/>
        <v>-6</v>
      </c>
      <c r="T289" s="152">
        <f t="shared" si="39"/>
        <v>-60</v>
      </c>
      <c r="U289" s="150"/>
      <c r="V289" s="150">
        <f t="shared" si="40"/>
        <v>0</v>
      </c>
    </row>
    <row r="290" spans="1:22">
      <c r="A290" s="62"/>
      <c r="G290" s="19"/>
      <c r="H290" s="41">
        <v>285</v>
      </c>
      <c r="I290" s="42" t="str">
        <f t="shared" si="35"/>
        <v/>
      </c>
      <c r="J290" s="41">
        <f t="shared" si="41"/>
        <v>-9</v>
      </c>
      <c r="K290" s="41">
        <f t="shared" si="36"/>
        <v>-90</v>
      </c>
      <c r="L290" s="41"/>
      <c r="M290" s="43">
        <f t="shared" si="37"/>
        <v>0</v>
      </c>
      <c r="O290" s="149">
        <v>285</v>
      </c>
      <c r="P290" s="149"/>
      <c r="Q290" s="149"/>
      <c r="R290" s="150" t="str">
        <f t="shared" si="42"/>
        <v/>
      </c>
      <c r="S290" s="152">
        <f t="shared" si="38"/>
        <v>-6</v>
      </c>
      <c r="T290" s="152">
        <f t="shared" si="39"/>
        <v>-60</v>
      </c>
      <c r="U290" s="150"/>
      <c r="V290" s="150">
        <f t="shared" si="40"/>
        <v>0</v>
      </c>
    </row>
    <row r="291" spans="1:22">
      <c r="A291" s="62"/>
      <c r="G291" s="19"/>
      <c r="H291" s="41">
        <v>286</v>
      </c>
      <c r="I291" s="42" t="str">
        <f t="shared" si="35"/>
        <v/>
      </c>
      <c r="J291" s="41">
        <f t="shared" si="41"/>
        <v>-9</v>
      </c>
      <c r="K291" s="41">
        <f t="shared" si="36"/>
        <v>-90</v>
      </c>
      <c r="L291" s="41"/>
      <c r="M291" s="43">
        <f t="shared" si="37"/>
        <v>0</v>
      </c>
      <c r="O291" s="149">
        <v>286</v>
      </c>
      <c r="P291" s="149"/>
      <c r="Q291" s="149"/>
      <c r="R291" s="150" t="str">
        <f t="shared" si="42"/>
        <v/>
      </c>
      <c r="S291" s="152">
        <f t="shared" si="38"/>
        <v>-6</v>
      </c>
      <c r="T291" s="152">
        <f t="shared" si="39"/>
        <v>-60</v>
      </c>
      <c r="U291" s="150"/>
      <c r="V291" s="150">
        <f t="shared" si="40"/>
        <v>0</v>
      </c>
    </row>
    <row r="292" spans="1:22">
      <c r="A292" s="62"/>
      <c r="G292" s="19"/>
      <c r="H292" s="41">
        <v>287</v>
      </c>
      <c r="I292" s="42" t="str">
        <f t="shared" si="35"/>
        <v/>
      </c>
      <c r="J292" s="41">
        <f t="shared" si="41"/>
        <v>-9</v>
      </c>
      <c r="K292" s="41">
        <f t="shared" si="36"/>
        <v>-90</v>
      </c>
      <c r="L292" s="41"/>
      <c r="M292" s="43">
        <f t="shared" si="37"/>
        <v>0</v>
      </c>
      <c r="O292" s="149">
        <v>287</v>
      </c>
      <c r="P292" s="149"/>
      <c r="Q292" s="149"/>
      <c r="R292" s="150" t="str">
        <f t="shared" si="42"/>
        <v/>
      </c>
      <c r="S292" s="152">
        <f t="shared" si="38"/>
        <v>-6</v>
      </c>
      <c r="T292" s="152">
        <f t="shared" si="39"/>
        <v>-60</v>
      </c>
      <c r="U292" s="150"/>
      <c r="V292" s="150">
        <f t="shared" si="40"/>
        <v>0</v>
      </c>
    </row>
    <row r="293" spans="1:22">
      <c r="A293" s="62"/>
      <c r="G293" s="19"/>
      <c r="H293" s="41">
        <v>288</v>
      </c>
      <c r="I293" s="42" t="str">
        <f t="shared" si="35"/>
        <v/>
      </c>
      <c r="J293" s="41">
        <f t="shared" si="41"/>
        <v>-9</v>
      </c>
      <c r="K293" s="41">
        <f t="shared" si="36"/>
        <v>-90</v>
      </c>
      <c r="L293" s="41"/>
      <c r="M293" s="43">
        <f t="shared" si="37"/>
        <v>0</v>
      </c>
      <c r="O293" s="149">
        <v>288</v>
      </c>
      <c r="P293" s="149"/>
      <c r="Q293" s="149"/>
      <c r="R293" s="150" t="str">
        <f t="shared" si="42"/>
        <v/>
      </c>
      <c r="S293" s="152">
        <f t="shared" si="38"/>
        <v>-6</v>
      </c>
      <c r="T293" s="152">
        <f t="shared" si="39"/>
        <v>-60</v>
      </c>
      <c r="U293" s="150"/>
      <c r="V293" s="150">
        <f t="shared" si="40"/>
        <v>0</v>
      </c>
    </row>
    <row r="294" spans="1:22">
      <c r="A294" s="62"/>
      <c r="G294" s="19"/>
      <c r="H294" s="41">
        <v>289</v>
      </c>
      <c r="I294" s="42" t="str">
        <f t="shared" si="35"/>
        <v/>
      </c>
      <c r="J294" s="41">
        <f t="shared" si="41"/>
        <v>-9</v>
      </c>
      <c r="K294" s="41">
        <f t="shared" si="36"/>
        <v>-90</v>
      </c>
      <c r="L294" s="41"/>
      <c r="M294" s="43">
        <f t="shared" si="37"/>
        <v>0</v>
      </c>
      <c r="O294" s="149">
        <v>289</v>
      </c>
      <c r="P294" s="149"/>
      <c r="Q294" s="149"/>
      <c r="R294" s="150" t="str">
        <f t="shared" si="42"/>
        <v/>
      </c>
      <c r="S294" s="152">
        <f t="shared" si="38"/>
        <v>-6</v>
      </c>
      <c r="T294" s="152">
        <f t="shared" si="39"/>
        <v>-60</v>
      </c>
      <c r="U294" s="150"/>
      <c r="V294" s="150">
        <f t="shared" si="40"/>
        <v>0</v>
      </c>
    </row>
    <row r="295" spans="1:22">
      <c r="A295" s="62"/>
      <c r="G295" s="19"/>
      <c r="H295" s="41">
        <v>290</v>
      </c>
      <c r="I295" s="42" t="str">
        <f t="shared" si="35"/>
        <v/>
      </c>
      <c r="J295" s="41">
        <f t="shared" si="41"/>
        <v>-9</v>
      </c>
      <c r="K295" s="41">
        <f t="shared" si="36"/>
        <v>-90</v>
      </c>
      <c r="L295" s="41"/>
      <c r="M295" s="43">
        <f t="shared" si="37"/>
        <v>0</v>
      </c>
      <c r="O295" s="149">
        <v>290</v>
      </c>
      <c r="P295" s="149"/>
      <c r="Q295" s="149"/>
      <c r="R295" s="150" t="str">
        <f t="shared" si="42"/>
        <v/>
      </c>
      <c r="S295" s="152">
        <f t="shared" si="38"/>
        <v>-6</v>
      </c>
      <c r="T295" s="152">
        <f t="shared" si="39"/>
        <v>-60</v>
      </c>
      <c r="U295" s="150"/>
      <c r="V295" s="150">
        <f t="shared" si="40"/>
        <v>0</v>
      </c>
    </row>
    <row r="296" spans="1:22">
      <c r="A296" s="62"/>
      <c r="G296" s="19"/>
      <c r="H296" s="41">
        <v>291</v>
      </c>
      <c r="I296" s="42" t="str">
        <f t="shared" si="35"/>
        <v/>
      </c>
      <c r="J296" s="41">
        <f t="shared" si="41"/>
        <v>-9</v>
      </c>
      <c r="K296" s="41">
        <f t="shared" si="36"/>
        <v>-90</v>
      </c>
      <c r="L296" s="41"/>
      <c r="M296" s="43">
        <f t="shared" si="37"/>
        <v>0</v>
      </c>
      <c r="O296" s="149">
        <v>291</v>
      </c>
      <c r="P296" s="149"/>
      <c r="Q296" s="149"/>
      <c r="R296" s="150" t="str">
        <f t="shared" si="42"/>
        <v/>
      </c>
      <c r="S296" s="152">
        <f t="shared" si="38"/>
        <v>-6</v>
      </c>
      <c r="T296" s="152">
        <f t="shared" si="39"/>
        <v>-60</v>
      </c>
      <c r="U296" s="150"/>
      <c r="V296" s="150">
        <f t="shared" si="40"/>
        <v>0</v>
      </c>
    </row>
    <row r="297" spans="1:22">
      <c r="A297" s="62"/>
      <c r="G297" s="19"/>
      <c r="H297" s="41">
        <v>292</v>
      </c>
      <c r="I297" s="42" t="str">
        <f t="shared" si="35"/>
        <v/>
      </c>
      <c r="J297" s="41">
        <f t="shared" si="41"/>
        <v>-9</v>
      </c>
      <c r="K297" s="41">
        <f t="shared" si="36"/>
        <v>-90</v>
      </c>
      <c r="L297" s="41"/>
      <c r="M297" s="43">
        <f t="shared" si="37"/>
        <v>0</v>
      </c>
      <c r="O297" s="149">
        <v>292</v>
      </c>
      <c r="P297" s="149"/>
      <c r="Q297" s="149"/>
      <c r="R297" s="150" t="str">
        <f t="shared" si="42"/>
        <v/>
      </c>
      <c r="S297" s="152">
        <f t="shared" si="38"/>
        <v>-6</v>
      </c>
      <c r="T297" s="152">
        <f t="shared" si="39"/>
        <v>-60</v>
      </c>
      <c r="U297" s="150"/>
      <c r="V297" s="150">
        <f t="shared" si="40"/>
        <v>0</v>
      </c>
    </row>
    <row r="298" spans="1:22">
      <c r="A298" s="62"/>
      <c r="G298" s="19"/>
      <c r="H298" s="41">
        <v>293</v>
      </c>
      <c r="I298" s="42" t="str">
        <f t="shared" si="35"/>
        <v/>
      </c>
      <c r="J298" s="41">
        <f t="shared" si="41"/>
        <v>-9</v>
      </c>
      <c r="K298" s="41">
        <f t="shared" si="36"/>
        <v>-90</v>
      </c>
      <c r="L298" s="41"/>
      <c r="M298" s="43">
        <f t="shared" si="37"/>
        <v>0</v>
      </c>
      <c r="O298" s="149">
        <v>293</v>
      </c>
      <c r="P298" s="149"/>
      <c r="Q298" s="149"/>
      <c r="R298" s="150" t="str">
        <f t="shared" si="42"/>
        <v/>
      </c>
      <c r="S298" s="152">
        <f t="shared" si="38"/>
        <v>-6</v>
      </c>
      <c r="T298" s="152">
        <f t="shared" si="39"/>
        <v>-60</v>
      </c>
      <c r="U298" s="150"/>
      <c r="V298" s="150">
        <f t="shared" si="40"/>
        <v>0</v>
      </c>
    </row>
    <row r="299" spans="1:22">
      <c r="A299" s="62"/>
      <c r="G299" s="19"/>
      <c r="H299" s="41">
        <v>294</v>
      </c>
      <c r="I299" s="42" t="str">
        <f t="shared" si="35"/>
        <v/>
      </c>
      <c r="J299" s="41">
        <f t="shared" si="41"/>
        <v>-9</v>
      </c>
      <c r="K299" s="41">
        <f t="shared" si="36"/>
        <v>-90</v>
      </c>
      <c r="L299" s="41"/>
      <c r="M299" s="43">
        <f t="shared" si="37"/>
        <v>0</v>
      </c>
      <c r="O299" s="149">
        <v>294</v>
      </c>
      <c r="P299" s="149"/>
      <c r="Q299" s="149"/>
      <c r="R299" s="150" t="str">
        <f t="shared" si="42"/>
        <v/>
      </c>
      <c r="S299" s="152">
        <f t="shared" si="38"/>
        <v>-6</v>
      </c>
      <c r="T299" s="152">
        <f t="shared" si="39"/>
        <v>-60</v>
      </c>
      <c r="U299" s="150"/>
      <c r="V299" s="150">
        <f t="shared" si="40"/>
        <v>0</v>
      </c>
    </row>
    <row r="300" spans="1:22">
      <c r="A300" s="62"/>
      <c r="G300" s="19"/>
      <c r="H300" s="41">
        <v>295</v>
      </c>
      <c r="I300" s="42" t="str">
        <f t="shared" si="35"/>
        <v/>
      </c>
      <c r="J300" s="41">
        <f t="shared" si="41"/>
        <v>-9</v>
      </c>
      <c r="K300" s="41">
        <f t="shared" si="36"/>
        <v>-90</v>
      </c>
      <c r="L300" s="41"/>
      <c r="M300" s="43">
        <f t="shared" si="37"/>
        <v>0</v>
      </c>
      <c r="O300" s="149">
        <v>295</v>
      </c>
      <c r="P300" s="149"/>
      <c r="Q300" s="149"/>
      <c r="R300" s="150" t="str">
        <f t="shared" si="42"/>
        <v/>
      </c>
      <c r="S300" s="152">
        <f t="shared" si="38"/>
        <v>-6</v>
      </c>
      <c r="T300" s="152">
        <f t="shared" si="39"/>
        <v>-60</v>
      </c>
      <c r="U300" s="150"/>
      <c r="V300" s="150">
        <f t="shared" si="40"/>
        <v>0</v>
      </c>
    </row>
    <row r="301" spans="1:22">
      <c r="A301" s="62"/>
      <c r="G301" s="19"/>
      <c r="H301" s="41">
        <v>296</v>
      </c>
      <c r="I301" s="42" t="str">
        <f t="shared" si="35"/>
        <v/>
      </c>
      <c r="J301" s="41">
        <f t="shared" si="41"/>
        <v>-9</v>
      </c>
      <c r="K301" s="41">
        <f t="shared" si="36"/>
        <v>-90</v>
      </c>
      <c r="L301" s="41"/>
      <c r="M301" s="43">
        <f t="shared" si="37"/>
        <v>0</v>
      </c>
      <c r="O301" s="149">
        <v>296</v>
      </c>
      <c r="P301" s="149"/>
      <c r="Q301" s="149"/>
      <c r="R301" s="150" t="str">
        <f t="shared" si="42"/>
        <v/>
      </c>
      <c r="S301" s="152">
        <f t="shared" si="38"/>
        <v>-6</v>
      </c>
      <c r="T301" s="152">
        <f t="shared" si="39"/>
        <v>-60</v>
      </c>
      <c r="U301" s="150"/>
      <c r="V301" s="150">
        <f t="shared" si="40"/>
        <v>0</v>
      </c>
    </row>
    <row r="302" spans="1:22">
      <c r="A302" s="62"/>
      <c r="G302" s="19"/>
      <c r="H302" s="41">
        <v>297</v>
      </c>
      <c r="I302" s="42" t="str">
        <f t="shared" si="35"/>
        <v/>
      </c>
      <c r="J302" s="41">
        <f t="shared" si="41"/>
        <v>-9</v>
      </c>
      <c r="K302" s="41">
        <f t="shared" si="36"/>
        <v>-90</v>
      </c>
      <c r="L302" s="41"/>
      <c r="M302" s="43">
        <f t="shared" si="37"/>
        <v>0</v>
      </c>
      <c r="O302" s="149">
        <v>297</v>
      </c>
      <c r="P302" s="149"/>
      <c r="Q302" s="149"/>
      <c r="R302" s="150" t="str">
        <f t="shared" si="42"/>
        <v/>
      </c>
      <c r="S302" s="152">
        <f t="shared" si="38"/>
        <v>-6</v>
      </c>
      <c r="T302" s="152">
        <f t="shared" si="39"/>
        <v>-60</v>
      </c>
      <c r="U302" s="150"/>
      <c r="V302" s="150">
        <f t="shared" si="40"/>
        <v>0</v>
      </c>
    </row>
    <row r="303" spans="1:22">
      <c r="A303" s="62"/>
      <c r="G303" s="19"/>
      <c r="H303" s="41">
        <v>298</v>
      </c>
      <c r="I303" s="42" t="str">
        <f t="shared" si="35"/>
        <v/>
      </c>
      <c r="J303" s="41">
        <f t="shared" si="41"/>
        <v>-9</v>
      </c>
      <c r="K303" s="41">
        <f t="shared" si="36"/>
        <v>-90</v>
      </c>
      <c r="L303" s="41"/>
      <c r="M303" s="43">
        <f t="shared" si="37"/>
        <v>0</v>
      </c>
      <c r="O303" s="149">
        <v>298</v>
      </c>
      <c r="P303" s="149"/>
      <c r="Q303" s="149"/>
      <c r="R303" s="150" t="str">
        <f t="shared" si="42"/>
        <v/>
      </c>
      <c r="S303" s="152">
        <f t="shared" si="38"/>
        <v>-6</v>
      </c>
      <c r="T303" s="152">
        <f t="shared" si="39"/>
        <v>-60</v>
      </c>
      <c r="U303" s="150"/>
      <c r="V303" s="150">
        <f t="shared" si="40"/>
        <v>0</v>
      </c>
    </row>
    <row r="304" spans="1:22">
      <c r="A304" s="62"/>
      <c r="G304" s="19"/>
      <c r="H304" s="41">
        <v>299</v>
      </c>
      <c r="I304" s="42" t="str">
        <f t="shared" si="35"/>
        <v/>
      </c>
      <c r="J304" s="41">
        <f t="shared" si="41"/>
        <v>-9</v>
      </c>
      <c r="K304" s="41">
        <f t="shared" si="36"/>
        <v>-90</v>
      </c>
      <c r="L304" s="41"/>
      <c r="M304" s="43">
        <f t="shared" si="37"/>
        <v>0</v>
      </c>
      <c r="O304" s="149">
        <v>299</v>
      </c>
      <c r="P304" s="149"/>
      <c r="Q304" s="149"/>
      <c r="R304" s="150" t="str">
        <f t="shared" si="42"/>
        <v/>
      </c>
      <c r="S304" s="152">
        <f t="shared" si="38"/>
        <v>-6</v>
      </c>
      <c r="T304" s="152">
        <f t="shared" si="39"/>
        <v>-60</v>
      </c>
      <c r="U304" s="150"/>
      <c r="V304" s="150">
        <f t="shared" si="40"/>
        <v>0</v>
      </c>
    </row>
    <row r="305" spans="1:22">
      <c r="A305" s="62"/>
      <c r="G305" s="19"/>
      <c r="H305" s="41">
        <v>300</v>
      </c>
      <c r="I305" s="42" t="str">
        <f t="shared" si="35"/>
        <v/>
      </c>
      <c r="J305" s="41">
        <f t="shared" si="41"/>
        <v>-9</v>
      </c>
      <c r="K305" s="41">
        <f t="shared" si="36"/>
        <v>-90</v>
      </c>
      <c r="L305" s="41"/>
      <c r="M305" s="43">
        <f t="shared" si="37"/>
        <v>0</v>
      </c>
      <c r="O305" s="149">
        <v>300</v>
      </c>
      <c r="P305" s="149"/>
      <c r="Q305" s="149"/>
      <c r="R305" s="150" t="str">
        <f t="shared" si="42"/>
        <v/>
      </c>
      <c r="S305" s="152">
        <f t="shared" si="38"/>
        <v>-6</v>
      </c>
      <c r="T305" s="152">
        <f t="shared" si="39"/>
        <v>-60</v>
      </c>
      <c r="U305" s="150"/>
      <c r="V305" s="150">
        <f t="shared" si="40"/>
        <v>0</v>
      </c>
    </row>
    <row r="306" spans="1:22">
      <c r="A306" s="64"/>
      <c r="J306" s="65" t="e">
        <f t="shared" si="41"/>
        <v>#NUM!</v>
      </c>
      <c r="O306" s="154"/>
      <c r="P306" s="154"/>
      <c r="Q306" s="154"/>
      <c r="R306" s="155"/>
      <c r="S306" s="154"/>
      <c r="T306" s="154"/>
      <c r="U306" s="155"/>
      <c r="V306" s="155"/>
    </row>
    <row r="307" spans="1:22">
      <c r="J307" s="65" t="e">
        <f t="shared" si="41"/>
        <v>#NUM!</v>
      </c>
      <c r="O307" s="154"/>
      <c r="P307" s="154"/>
      <c r="Q307" s="154"/>
      <c r="R307" s="155"/>
      <c r="S307" s="154"/>
      <c r="T307" s="154"/>
      <c r="U307" s="155"/>
      <c r="V307" s="155"/>
    </row>
    <row r="308" spans="1:22">
      <c r="J308" s="65" t="e">
        <f t="shared" si="41"/>
        <v>#NUM!</v>
      </c>
      <c r="O308" s="154"/>
      <c r="P308" s="154"/>
      <c r="Q308" s="154"/>
      <c r="R308" s="155"/>
      <c r="S308" s="154"/>
      <c r="T308" s="154"/>
      <c r="U308" s="155"/>
      <c r="V308" s="155"/>
    </row>
    <row r="309" spans="1:22">
      <c r="J309" s="65" t="e">
        <f t="shared" si="41"/>
        <v>#NUM!</v>
      </c>
      <c r="O309" s="154"/>
      <c r="P309" s="154"/>
      <c r="Q309" s="154"/>
      <c r="R309" s="155"/>
      <c r="S309" s="154"/>
      <c r="T309" s="154"/>
      <c r="U309" s="155"/>
      <c r="V309" s="155"/>
    </row>
    <row r="310" spans="1:22">
      <c r="J310" s="65" t="e">
        <f t="shared" si="41"/>
        <v>#NUM!</v>
      </c>
      <c r="O310" s="154"/>
      <c r="P310" s="154"/>
      <c r="Q310" s="154"/>
      <c r="R310" s="155"/>
      <c r="S310" s="154"/>
      <c r="T310" s="154"/>
      <c r="U310" s="155"/>
      <c r="V310" s="155"/>
    </row>
    <row r="311" spans="1:22">
      <c r="J311" s="65" t="e">
        <f t="shared" si="41"/>
        <v>#NUM!</v>
      </c>
      <c r="O311" s="154"/>
      <c r="P311" s="154"/>
      <c r="Q311" s="154"/>
      <c r="R311" s="155"/>
      <c r="S311" s="154"/>
      <c r="T311" s="154"/>
      <c r="U311" s="155"/>
      <c r="V311" s="155"/>
    </row>
    <row r="312" spans="1:22">
      <c r="J312" s="65" t="e">
        <f t="shared" si="41"/>
        <v>#NUM!</v>
      </c>
      <c r="O312" s="154"/>
      <c r="P312" s="154"/>
      <c r="Q312" s="154"/>
      <c r="R312" s="155"/>
      <c r="S312" s="154"/>
      <c r="T312" s="154"/>
      <c r="U312" s="155"/>
      <c r="V312" s="155"/>
    </row>
    <row r="313" spans="1:22">
      <c r="J313" s="65" t="e">
        <f t="shared" si="41"/>
        <v>#NUM!</v>
      </c>
      <c r="O313" s="154"/>
      <c r="P313" s="154"/>
      <c r="Q313" s="154"/>
      <c r="R313" s="155"/>
      <c r="S313" s="154"/>
      <c r="T313" s="154"/>
      <c r="U313" s="155"/>
      <c r="V313" s="155"/>
    </row>
    <row r="314" spans="1:22">
      <c r="J314" s="65" t="e">
        <f t="shared" si="41"/>
        <v>#NUM!</v>
      </c>
      <c r="L314" s="67"/>
      <c r="O314" s="154"/>
      <c r="P314" s="154"/>
      <c r="Q314" s="154"/>
      <c r="R314" s="155"/>
      <c r="S314" s="154"/>
      <c r="T314" s="154"/>
      <c r="U314" s="155"/>
      <c r="V314" s="155"/>
    </row>
    <row r="315" spans="1:22">
      <c r="J315" s="65" t="e">
        <f t="shared" si="41"/>
        <v>#NUM!</v>
      </c>
      <c r="L315" s="67"/>
      <c r="O315" s="154"/>
      <c r="P315" s="154"/>
      <c r="Q315" s="154"/>
      <c r="R315" s="155"/>
      <c r="S315" s="154"/>
      <c r="T315" s="154"/>
      <c r="U315" s="155"/>
      <c r="V315" s="155"/>
    </row>
    <row r="316" spans="1:22">
      <c r="J316" s="65" t="e">
        <f t="shared" si="41"/>
        <v>#NUM!</v>
      </c>
      <c r="L316" s="67"/>
      <c r="O316" s="154"/>
      <c r="P316" s="154"/>
      <c r="Q316" s="154"/>
      <c r="R316" s="155"/>
      <c r="S316" s="154"/>
      <c r="T316" s="154"/>
      <c r="U316" s="155"/>
      <c r="V316" s="155"/>
    </row>
    <row r="317" spans="1:22">
      <c r="J317" s="65" t="e">
        <f t="shared" si="41"/>
        <v>#NUM!</v>
      </c>
      <c r="L317" s="67"/>
      <c r="O317" s="154"/>
      <c r="P317" s="154"/>
      <c r="Q317" s="154"/>
      <c r="R317" s="155"/>
      <c r="S317" s="154"/>
      <c r="T317" s="154"/>
      <c r="U317" s="155"/>
      <c r="V317" s="155"/>
    </row>
    <row r="318" spans="1:22">
      <c r="J318" s="65" t="e">
        <f t="shared" si="41"/>
        <v>#NUM!</v>
      </c>
      <c r="O318" s="154"/>
      <c r="P318" s="154"/>
      <c r="Q318" s="154"/>
      <c r="R318" s="155"/>
      <c r="S318" s="154"/>
      <c r="T318" s="154"/>
      <c r="U318" s="155"/>
      <c r="V318" s="155"/>
    </row>
    <row r="319" spans="1:22">
      <c r="J319" s="65" t="e">
        <f t="shared" si="41"/>
        <v>#NUM!</v>
      </c>
    </row>
    <row r="320" spans="1:22">
      <c r="J320" s="65" t="e">
        <f t="shared" si="41"/>
        <v>#NUM!</v>
      </c>
    </row>
    <row r="321" spans="10:10">
      <c r="J321" s="65" t="e">
        <f t="shared" si="41"/>
        <v>#NUM!</v>
      </c>
    </row>
    <row r="322" spans="10:10">
      <c r="J322" s="65" t="e">
        <f t="shared" si="41"/>
        <v>#NUM!</v>
      </c>
    </row>
    <row r="323" spans="10:10">
      <c r="J323" s="65" t="e">
        <f t="shared" si="41"/>
        <v>#NUM!</v>
      </c>
    </row>
    <row r="324" spans="10:10">
      <c r="J324" s="65" t="e">
        <f t="shared" si="41"/>
        <v>#NUM!</v>
      </c>
    </row>
    <row r="325" spans="10:10">
      <c r="J325" s="65" t="e">
        <f t="shared" si="41"/>
        <v>#NUM!</v>
      </c>
    </row>
    <row r="326" spans="10:10">
      <c r="J326" s="65" t="e">
        <f t="shared" si="41"/>
        <v>#NUM!</v>
      </c>
    </row>
    <row r="327" spans="10:10">
      <c r="J327" s="65" t="e">
        <f t="shared" ref="J327:J343" si="43">INT(LOG($H$2,2))-ROUNDUP(LOG(H327,2),0)+IF(OR($H$2=1,$H$2=2,$H$2=4,$H$2=8,$H$2=16,$H$2=32,$H$2=64,$H$2=128,$H$2=256),0,1)</f>
        <v>#NUM!</v>
      </c>
    </row>
    <row r="328" spans="10:10">
      <c r="J328" s="65" t="e">
        <f t="shared" si="43"/>
        <v>#NUM!</v>
      </c>
    </row>
    <row r="329" spans="10:10">
      <c r="J329" s="65" t="e">
        <f t="shared" si="43"/>
        <v>#NUM!</v>
      </c>
    </row>
    <row r="330" spans="10:10">
      <c r="J330" s="65" t="e">
        <f t="shared" si="43"/>
        <v>#NUM!</v>
      </c>
    </row>
    <row r="331" spans="10:10">
      <c r="J331" s="65" t="e">
        <f t="shared" si="43"/>
        <v>#NUM!</v>
      </c>
    </row>
    <row r="332" spans="10:10">
      <c r="J332" s="65" t="e">
        <f t="shared" si="43"/>
        <v>#NUM!</v>
      </c>
    </row>
    <row r="333" spans="10:10">
      <c r="J333" s="65" t="e">
        <f t="shared" si="43"/>
        <v>#NUM!</v>
      </c>
    </row>
    <row r="334" spans="10:10">
      <c r="J334" s="65" t="e">
        <f t="shared" si="43"/>
        <v>#NUM!</v>
      </c>
    </row>
    <row r="335" spans="10:10">
      <c r="J335" s="65" t="e">
        <f t="shared" si="43"/>
        <v>#NUM!</v>
      </c>
    </row>
    <row r="336" spans="10:10">
      <c r="J336" s="65" t="e">
        <f t="shared" si="43"/>
        <v>#NUM!</v>
      </c>
    </row>
    <row r="337" spans="10:10">
      <c r="J337" s="65" t="e">
        <f t="shared" si="43"/>
        <v>#NUM!</v>
      </c>
    </row>
    <row r="338" spans="10:10">
      <c r="J338" s="65" t="e">
        <f t="shared" si="43"/>
        <v>#NUM!</v>
      </c>
    </row>
    <row r="339" spans="10:10">
      <c r="J339" s="65" t="e">
        <f t="shared" si="43"/>
        <v>#NUM!</v>
      </c>
    </row>
    <row r="340" spans="10:10">
      <c r="J340" s="65" t="e">
        <f t="shared" si="43"/>
        <v>#NUM!</v>
      </c>
    </row>
    <row r="341" spans="10:10">
      <c r="J341" s="65" t="e">
        <f t="shared" si="43"/>
        <v>#NUM!</v>
      </c>
    </row>
    <row r="342" spans="10:10">
      <c r="J342" s="65" t="e">
        <f t="shared" si="43"/>
        <v>#NUM!</v>
      </c>
    </row>
    <row r="343" spans="10:10">
      <c r="J343" s="65" t="e">
        <f t="shared" si="43"/>
        <v>#NUM!</v>
      </c>
    </row>
  </sheetData>
  <mergeCells count="3">
    <mergeCell ref="C2:D2"/>
    <mergeCell ref="C3:D3"/>
    <mergeCell ref="O4:V4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49DBFC0B-2ACD-4E2E-A3D8-986AE17DD57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B6A0-EAC8-4BE2-95C9-F3A08679C3C9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>
      <c r="A2" s="19"/>
      <c r="B2" s="25" t="s">
        <v>28</v>
      </c>
      <c r="C2" s="179" t="s">
        <v>59</v>
      </c>
      <c r="D2" s="179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23"/>
      <c r="M2" s="23"/>
    </row>
    <row r="3" spans="1:36">
      <c r="A3" s="19"/>
      <c r="B3" s="30" t="s">
        <v>30</v>
      </c>
      <c r="C3" s="180" t="s">
        <v>60</v>
      </c>
      <c r="D3" s="18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>
      <c r="A6" s="38">
        <f>M6</f>
        <v>71.339289449053865</v>
      </c>
      <c r="B6" s="39">
        <v>1</v>
      </c>
      <c r="C6" s="40" t="s">
        <v>21</v>
      </c>
      <c r="D6" s="40" t="s">
        <v>61</v>
      </c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0">J6*$J$2</f>
        <v>10</v>
      </c>
      <c r="L6" s="43">
        <f>3*K2</f>
        <v>11.339289449053858</v>
      </c>
      <c r="M6" s="43">
        <f t="shared" ref="M6:M69" si="1">IF(I6&lt;&gt;"",K6+I6+L6,0)</f>
        <v>71.339289449053865</v>
      </c>
    </row>
    <row r="7" spans="1:36" ht="14.45" customHeight="1">
      <c r="A7" s="44">
        <f t="shared" ref="A7:A37" si="2">M7</f>
        <v>8.5595262993692387</v>
      </c>
      <c r="B7" s="45">
        <v>2</v>
      </c>
      <c r="C7" s="46" t="s">
        <v>18</v>
      </c>
      <c r="D7" s="46"/>
      <c r="E7" s="46"/>
      <c r="F7" s="46"/>
      <c r="G7" s="33"/>
      <c r="H7" s="47">
        <v>2</v>
      </c>
      <c r="I7" s="48">
        <f t="shared" ref="I7:I69" si="3">IF(H7&lt;$H$2+1,($I$2-($I$2-1)*(LOG(H7)/LOG($H$2))),"")</f>
        <v>1</v>
      </c>
      <c r="J7" s="47">
        <f t="shared" ref="J7:J70" si="4">INT(LOG($H$2,2))-ROUNDUP(LOG(H7,2),0)+IF(OR($H$2=1,$H$2=2,$H$2=4,$H$2=8,$H$2=16,$H$2=32,$H$2=64,$H$2=128,$H$2=256),0,1)</f>
        <v>0</v>
      </c>
      <c r="K7" s="47">
        <f t="shared" si="0"/>
        <v>0</v>
      </c>
      <c r="L7" s="49">
        <f>2*K2</f>
        <v>7.5595262993692387</v>
      </c>
      <c r="M7" s="49">
        <f t="shared" si="1"/>
        <v>8.5595262993692387</v>
      </c>
    </row>
    <row r="8" spans="1:36" ht="14.45" customHeight="1">
      <c r="A8" s="38">
        <f t="shared" si="2"/>
        <v>0</v>
      </c>
      <c r="B8" s="39"/>
      <c r="C8" s="40"/>
      <c r="D8" s="40"/>
      <c r="E8" s="40"/>
      <c r="F8" s="40"/>
      <c r="G8" s="33"/>
      <c r="H8" s="41">
        <v>3</v>
      </c>
      <c r="I8" s="42" t="str">
        <f t="shared" si="3"/>
        <v/>
      </c>
      <c r="J8" s="41">
        <f t="shared" si="4"/>
        <v>-1</v>
      </c>
      <c r="K8" s="41">
        <f t="shared" si="0"/>
        <v>-10</v>
      </c>
      <c r="L8" s="43">
        <f>K2</f>
        <v>3.7797631496846193</v>
      </c>
      <c r="M8" s="43">
        <f t="shared" si="1"/>
        <v>0</v>
      </c>
    </row>
    <row r="9" spans="1:36" ht="14.45" customHeight="1">
      <c r="A9" s="44">
        <f t="shared" si="2"/>
        <v>0</v>
      </c>
      <c r="B9" s="45" t="str">
        <f t="shared" ref="B9:B13" si="5">IF(H9&gt;$H$2,"",(ROW()-5))</f>
        <v/>
      </c>
      <c r="C9" s="46"/>
      <c r="D9" s="46"/>
      <c r="E9" s="46"/>
      <c r="F9" s="46"/>
      <c r="G9" s="33"/>
      <c r="H9" s="47">
        <v>4</v>
      </c>
      <c r="I9" s="48" t="str">
        <f t="shared" si="3"/>
        <v/>
      </c>
      <c r="J9" s="47">
        <f t="shared" si="4"/>
        <v>-1</v>
      </c>
      <c r="K9" s="47">
        <f t="shared" si="0"/>
        <v>-10</v>
      </c>
      <c r="L9" s="49"/>
      <c r="M9" s="49">
        <f t="shared" si="1"/>
        <v>0</v>
      </c>
      <c r="V9" s="50"/>
      <c r="Z9" s="51"/>
      <c r="AA9" s="51"/>
      <c r="AG9" s="52"/>
      <c r="AH9" s="24" t="s">
        <v>50</v>
      </c>
      <c r="AI9" s="24">
        <v>23</v>
      </c>
    </row>
    <row r="10" spans="1:36" ht="14.45" customHeight="1">
      <c r="A10" s="38">
        <f t="shared" si="2"/>
        <v>0</v>
      </c>
      <c r="B10" s="39" t="str">
        <f t="shared" si="5"/>
        <v/>
      </c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>
        <f t="shared" si="4"/>
        <v>-2</v>
      </c>
      <c r="K10" s="41">
        <f t="shared" si="0"/>
        <v>-20</v>
      </c>
      <c r="L10" s="41"/>
      <c r="M10" s="43">
        <f t="shared" si="1"/>
        <v>0</v>
      </c>
      <c r="V10" s="50"/>
      <c r="Z10" s="51"/>
      <c r="AA10" s="51"/>
      <c r="AG10" s="52"/>
      <c r="AH10" s="24" t="s">
        <v>52</v>
      </c>
      <c r="AI10" s="24">
        <v>45</v>
      </c>
    </row>
    <row r="11" spans="1:36" ht="14.45" customHeight="1">
      <c r="A11" s="44">
        <f t="shared" si="2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-2</v>
      </c>
      <c r="K11" s="47">
        <f t="shared" si="0"/>
        <v>-20</v>
      </c>
      <c r="L11" s="47"/>
      <c r="M11" s="49">
        <f t="shared" si="1"/>
        <v>0</v>
      </c>
      <c r="V11" s="53"/>
      <c r="Z11" s="51"/>
      <c r="AA11" s="51"/>
      <c r="AG11" s="52"/>
      <c r="AH11" s="24" t="s">
        <v>53</v>
      </c>
      <c r="AI11" s="24">
        <v>50</v>
      </c>
    </row>
    <row r="12" spans="1:36" ht="14.45" customHeight="1">
      <c r="A12" s="38">
        <f t="shared" si="2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-2</v>
      </c>
      <c r="K12" s="41">
        <f t="shared" si="0"/>
        <v>-20</v>
      </c>
      <c r="L12" s="41"/>
      <c r="M12" s="43">
        <f t="shared" si="1"/>
        <v>0</v>
      </c>
      <c r="Z12" s="51"/>
      <c r="AA12" s="51"/>
      <c r="AG12" s="52"/>
      <c r="AH12" s="24" t="s">
        <v>54</v>
      </c>
      <c r="AI12" s="24">
        <f>AI11-1</f>
        <v>49</v>
      </c>
    </row>
    <row r="13" spans="1:36" ht="14.45" customHeight="1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-2</v>
      </c>
      <c r="K13" s="47">
        <f t="shared" si="0"/>
        <v>-20</v>
      </c>
      <c r="L13" s="47"/>
      <c r="M13" s="49">
        <f t="shared" si="1"/>
        <v>0</v>
      </c>
      <c r="X13" s="50"/>
      <c r="AG13" s="52"/>
      <c r="AH13" s="24" t="s">
        <v>55</v>
      </c>
      <c r="AI13" s="24">
        <f>LOG(AI9)</f>
        <v>1.3617278360175928</v>
      </c>
    </row>
    <row r="14" spans="1:36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-3</v>
      </c>
      <c r="K14" s="41">
        <f t="shared" si="0"/>
        <v>-30</v>
      </c>
      <c r="L14" s="41"/>
      <c r="M14" s="43">
        <f t="shared" si="1"/>
        <v>0</v>
      </c>
      <c r="X14" s="56"/>
      <c r="Z14" s="51"/>
      <c r="AA14" s="51"/>
      <c r="AG14" s="52"/>
      <c r="AH14" s="24" t="s">
        <v>56</v>
      </c>
      <c r="AI14" s="24">
        <f>LOG(AI10)</f>
        <v>1.6532125137753437</v>
      </c>
    </row>
    <row r="15" spans="1:36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-3</v>
      </c>
      <c r="K15" s="47">
        <f t="shared" si="0"/>
        <v>-30</v>
      </c>
      <c r="L15" s="47"/>
      <c r="M15" s="49">
        <f t="shared" si="1"/>
        <v>0</v>
      </c>
      <c r="X15" s="50"/>
      <c r="Z15" s="51"/>
      <c r="AA15" s="51"/>
    </row>
    <row r="16" spans="1:36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-3</v>
      </c>
      <c r="K16" s="41">
        <f t="shared" si="0"/>
        <v>-30</v>
      </c>
      <c r="L16" s="41"/>
      <c r="M16" s="43">
        <f t="shared" si="1"/>
        <v>0</v>
      </c>
      <c r="R16" s="57"/>
      <c r="Z16" s="51"/>
      <c r="AA16" s="51"/>
      <c r="AH16" s="58" t="s">
        <v>57</v>
      </c>
      <c r="AI16" s="24">
        <f>AI11-AI12*AI13/AI14</f>
        <v>9.6393909380186855</v>
      </c>
      <c r="AJ16" s="24" t="s">
        <v>58</v>
      </c>
    </row>
    <row r="17" spans="1:19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-3</v>
      </c>
      <c r="K17" s="47">
        <f t="shared" si="0"/>
        <v>-30</v>
      </c>
      <c r="L17" s="47"/>
      <c r="M17" s="49">
        <f t="shared" si="1"/>
        <v>0</v>
      </c>
    </row>
    <row r="18" spans="1:19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-3</v>
      </c>
      <c r="K18" s="41">
        <f t="shared" si="0"/>
        <v>-30</v>
      </c>
      <c r="L18" s="41"/>
      <c r="M18" s="43">
        <f t="shared" si="1"/>
        <v>0</v>
      </c>
    </row>
    <row r="19" spans="1:19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-3</v>
      </c>
      <c r="K19" s="47">
        <f t="shared" si="0"/>
        <v>-30</v>
      </c>
      <c r="L19" s="47"/>
      <c r="M19" s="49">
        <f t="shared" si="1"/>
        <v>0</v>
      </c>
    </row>
    <row r="20" spans="1:19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-3</v>
      </c>
      <c r="K20" s="41">
        <f t="shared" si="0"/>
        <v>-30</v>
      </c>
      <c r="L20" s="41"/>
      <c r="M20" s="43">
        <f t="shared" si="1"/>
        <v>0</v>
      </c>
      <c r="R20" s="59"/>
      <c r="S20" s="60"/>
    </row>
    <row r="21" spans="1:19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-3</v>
      </c>
      <c r="K21" s="47">
        <f t="shared" si="0"/>
        <v>-30</v>
      </c>
      <c r="L21" s="47"/>
      <c r="M21" s="49">
        <f t="shared" si="1"/>
        <v>0</v>
      </c>
    </row>
    <row r="22" spans="1:19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-4</v>
      </c>
      <c r="K22" s="41">
        <f t="shared" si="0"/>
        <v>-40</v>
      </c>
      <c r="L22" s="41"/>
      <c r="M22" s="43">
        <f t="shared" si="1"/>
        <v>0</v>
      </c>
    </row>
    <row r="23" spans="1:19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-4</v>
      </c>
      <c r="K23" s="47">
        <f t="shared" si="0"/>
        <v>-40</v>
      </c>
      <c r="L23" s="47"/>
      <c r="M23" s="49">
        <f t="shared" si="1"/>
        <v>0</v>
      </c>
    </row>
    <row r="24" spans="1:19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-4</v>
      </c>
      <c r="K24" s="41">
        <f t="shared" si="0"/>
        <v>-40</v>
      </c>
      <c r="L24" s="41"/>
      <c r="M24" s="43">
        <f t="shared" si="1"/>
        <v>0</v>
      </c>
      <c r="R24" s="59"/>
      <c r="S24" s="60"/>
    </row>
    <row r="25" spans="1:19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-4</v>
      </c>
      <c r="K25" s="47">
        <f t="shared" si="0"/>
        <v>-40</v>
      </c>
      <c r="L25" s="47"/>
      <c r="M25" s="49">
        <f t="shared" si="1"/>
        <v>0</v>
      </c>
    </row>
    <row r="26" spans="1:19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-4</v>
      </c>
      <c r="K26" s="41">
        <f t="shared" si="0"/>
        <v>-40</v>
      </c>
      <c r="L26" s="41"/>
      <c r="M26" s="43">
        <f t="shared" si="1"/>
        <v>0</v>
      </c>
    </row>
    <row r="27" spans="1:19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-4</v>
      </c>
      <c r="K27" s="47">
        <f t="shared" si="0"/>
        <v>-40</v>
      </c>
      <c r="L27" s="47"/>
      <c r="M27" s="49">
        <f t="shared" si="1"/>
        <v>0</v>
      </c>
    </row>
    <row r="28" spans="1:19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-4</v>
      </c>
      <c r="K28" s="41">
        <f t="shared" si="0"/>
        <v>-40</v>
      </c>
      <c r="L28" s="41"/>
      <c r="M28" s="43">
        <f t="shared" si="1"/>
        <v>0</v>
      </c>
      <c r="R28" s="59"/>
      <c r="S28" s="60"/>
    </row>
    <row r="29" spans="1:19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-4</v>
      </c>
      <c r="K29" s="47">
        <f t="shared" si="0"/>
        <v>-40</v>
      </c>
      <c r="L29" s="47"/>
      <c r="M29" s="49">
        <f t="shared" si="1"/>
        <v>0</v>
      </c>
    </row>
    <row r="30" spans="1:19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-4</v>
      </c>
      <c r="K30" s="41">
        <f t="shared" si="0"/>
        <v>-40</v>
      </c>
      <c r="L30" s="41"/>
      <c r="M30" s="43">
        <f t="shared" si="1"/>
        <v>0</v>
      </c>
    </row>
    <row r="31" spans="1:19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-4</v>
      </c>
      <c r="K31" s="47">
        <f t="shared" si="0"/>
        <v>-40</v>
      </c>
      <c r="L31" s="47"/>
      <c r="M31" s="49">
        <f t="shared" si="1"/>
        <v>0</v>
      </c>
    </row>
    <row r="32" spans="1:19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-4</v>
      </c>
      <c r="K32" s="41">
        <f t="shared" si="0"/>
        <v>-40</v>
      </c>
      <c r="L32" s="41"/>
      <c r="M32" s="43">
        <f t="shared" si="1"/>
        <v>0</v>
      </c>
      <c r="R32" s="59"/>
      <c r="S32" s="60"/>
    </row>
    <row r="33" spans="1:21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-4</v>
      </c>
      <c r="K33" s="47">
        <f t="shared" si="0"/>
        <v>-40</v>
      </c>
      <c r="L33" s="47"/>
      <c r="M33" s="49">
        <f t="shared" si="1"/>
        <v>0</v>
      </c>
    </row>
    <row r="34" spans="1:21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-4</v>
      </c>
      <c r="K34" s="41">
        <f t="shared" si="0"/>
        <v>-40</v>
      </c>
      <c r="L34" s="41"/>
      <c r="M34" s="43">
        <f t="shared" si="1"/>
        <v>0</v>
      </c>
    </row>
    <row r="35" spans="1:21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-4</v>
      </c>
      <c r="K35" s="47">
        <f t="shared" si="0"/>
        <v>-40</v>
      </c>
      <c r="L35" s="47"/>
      <c r="M35" s="49">
        <f t="shared" si="1"/>
        <v>0</v>
      </c>
    </row>
    <row r="36" spans="1:21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-4</v>
      </c>
      <c r="K36" s="41">
        <f t="shared" si="0"/>
        <v>-40</v>
      </c>
      <c r="L36" s="41"/>
      <c r="M36" s="43">
        <f t="shared" si="1"/>
        <v>0</v>
      </c>
      <c r="R36" s="59"/>
      <c r="S36" s="60"/>
    </row>
    <row r="37" spans="1:21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-4</v>
      </c>
      <c r="K37" s="47">
        <f t="shared" si="0"/>
        <v>-40</v>
      </c>
      <c r="L37" s="47"/>
      <c r="M37" s="49">
        <f t="shared" si="1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-5</v>
      </c>
      <c r="K38" s="41">
        <f t="shared" si="0"/>
        <v>-50</v>
      </c>
      <c r="L38" s="41"/>
      <c r="M38" s="43">
        <f t="shared" si="1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-5</v>
      </c>
      <c r="K39" s="47">
        <f t="shared" si="0"/>
        <v>-50</v>
      </c>
      <c r="L39" s="47"/>
      <c r="M39" s="49">
        <f t="shared" si="1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-5</v>
      </c>
      <c r="K40" s="41">
        <f t="shared" si="0"/>
        <v>-50</v>
      </c>
      <c r="L40" s="41"/>
      <c r="M40" s="43">
        <f t="shared" si="1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-5</v>
      </c>
      <c r="K41" s="47">
        <f t="shared" si="0"/>
        <v>-50</v>
      </c>
      <c r="L41" s="47"/>
      <c r="M41" s="49">
        <f t="shared" si="1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-5</v>
      </c>
      <c r="K42" s="41">
        <f t="shared" si="0"/>
        <v>-50</v>
      </c>
      <c r="L42" s="41"/>
      <c r="M42" s="43">
        <f t="shared" si="1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-5</v>
      </c>
      <c r="K43" s="47">
        <f t="shared" si="0"/>
        <v>-50</v>
      </c>
      <c r="L43" s="47"/>
      <c r="M43" s="49">
        <f t="shared" si="1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-5</v>
      </c>
      <c r="K44" s="41">
        <f t="shared" si="0"/>
        <v>-50</v>
      </c>
      <c r="L44" s="41"/>
      <c r="M44" s="43">
        <f t="shared" si="1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-5</v>
      </c>
      <c r="K45" s="47">
        <f t="shared" si="0"/>
        <v>-50</v>
      </c>
      <c r="L45" s="47"/>
      <c r="M45" s="49">
        <f t="shared" si="1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-5</v>
      </c>
      <c r="K46" s="41">
        <f t="shared" si="0"/>
        <v>-50</v>
      </c>
      <c r="L46" s="41"/>
      <c r="M46" s="43">
        <f t="shared" si="1"/>
        <v>0</v>
      </c>
      <c r="R46" s="19">
        <f>LOG($H$2,2)</f>
        <v>1</v>
      </c>
      <c r="T46" s="24">
        <f>LOG(H38,2)</f>
        <v>5.0443941193584534</v>
      </c>
      <c r="U46" s="24">
        <f>R46-T46</f>
        <v>-4.0443941193584534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-5</v>
      </c>
      <c r="K47" s="47">
        <f t="shared" si="0"/>
        <v>-50</v>
      </c>
      <c r="L47" s="47"/>
      <c r="M47" s="49">
        <f t="shared" si="1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-5</v>
      </c>
      <c r="K48" s="41">
        <f t="shared" si="0"/>
        <v>-50</v>
      </c>
      <c r="L48" s="41"/>
      <c r="M48" s="43">
        <f t="shared" si="1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-5</v>
      </c>
      <c r="K49" s="47">
        <f t="shared" si="0"/>
        <v>-50</v>
      </c>
      <c r="L49" s="47"/>
      <c r="M49" s="49">
        <f t="shared" si="1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-5</v>
      </c>
      <c r="K50" s="41">
        <f t="shared" si="0"/>
        <v>-50</v>
      </c>
      <c r="L50" s="41"/>
      <c r="M50" s="43">
        <f t="shared" si="1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-5</v>
      </c>
      <c r="K51" s="47">
        <f t="shared" si="0"/>
        <v>-50</v>
      </c>
      <c r="L51" s="47"/>
      <c r="M51" s="49">
        <f t="shared" si="1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-5</v>
      </c>
      <c r="K52" s="41">
        <f t="shared" si="0"/>
        <v>-50</v>
      </c>
      <c r="L52" s="41"/>
      <c r="M52" s="43">
        <f t="shared" si="1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-5</v>
      </c>
      <c r="K53" s="47">
        <f t="shared" si="0"/>
        <v>-50</v>
      </c>
      <c r="L53" s="47"/>
      <c r="M53" s="49">
        <f t="shared" si="1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-5</v>
      </c>
      <c r="K54" s="41">
        <f t="shared" si="0"/>
        <v>-50</v>
      </c>
      <c r="L54" s="41"/>
      <c r="M54" s="43">
        <f t="shared" si="1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-5</v>
      </c>
      <c r="K55" s="47">
        <f t="shared" si="0"/>
        <v>-50</v>
      </c>
      <c r="L55" s="47"/>
      <c r="M55" s="49">
        <f t="shared" si="1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-5</v>
      </c>
      <c r="K56" s="41">
        <f t="shared" si="0"/>
        <v>-50</v>
      </c>
      <c r="L56" s="41"/>
      <c r="M56" s="43">
        <f t="shared" si="1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-5</v>
      </c>
      <c r="K57" s="47">
        <f t="shared" si="0"/>
        <v>-50</v>
      </c>
      <c r="L57" s="47"/>
      <c r="M57" s="49">
        <f t="shared" si="1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-5</v>
      </c>
      <c r="K58" s="41">
        <f t="shared" si="0"/>
        <v>-50</v>
      </c>
      <c r="L58" s="41"/>
      <c r="M58" s="43">
        <f t="shared" si="1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-5</v>
      </c>
      <c r="K59" s="47">
        <f t="shared" si="0"/>
        <v>-50</v>
      </c>
      <c r="L59" s="47"/>
      <c r="M59" s="49">
        <f t="shared" si="1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-5</v>
      </c>
      <c r="K60" s="41">
        <f t="shared" si="0"/>
        <v>-50</v>
      </c>
      <c r="L60" s="41"/>
      <c r="M60" s="43">
        <f t="shared" si="1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-5</v>
      </c>
      <c r="K61" s="47">
        <f t="shared" si="0"/>
        <v>-50</v>
      </c>
      <c r="L61" s="47"/>
      <c r="M61" s="49">
        <f t="shared" si="1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-5</v>
      </c>
      <c r="K62" s="41">
        <f t="shared" si="0"/>
        <v>-50</v>
      </c>
      <c r="L62" s="41"/>
      <c r="M62" s="43">
        <f t="shared" si="1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-5</v>
      </c>
      <c r="K63" s="47">
        <f t="shared" si="0"/>
        <v>-50</v>
      </c>
      <c r="L63" s="47"/>
      <c r="M63" s="49">
        <f t="shared" si="1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-5</v>
      </c>
      <c r="K64" s="41">
        <f t="shared" si="0"/>
        <v>-50</v>
      </c>
      <c r="L64" s="41"/>
      <c r="M64" s="43">
        <f t="shared" si="1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-5</v>
      </c>
      <c r="K65" s="47">
        <f t="shared" si="0"/>
        <v>-50</v>
      </c>
      <c r="L65" s="47"/>
      <c r="M65" s="49">
        <f t="shared" si="1"/>
        <v>0</v>
      </c>
    </row>
    <row r="66" spans="1:13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-5</v>
      </c>
      <c r="K66" s="41">
        <f t="shared" si="0"/>
        <v>-50</v>
      </c>
      <c r="L66" s="41"/>
      <c r="M66" s="43">
        <f t="shared" si="1"/>
        <v>0</v>
      </c>
    </row>
    <row r="67" spans="1:13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-5</v>
      </c>
      <c r="K67" s="41">
        <f t="shared" si="0"/>
        <v>-50</v>
      </c>
      <c r="L67" s="41"/>
      <c r="M67" s="43">
        <f t="shared" si="1"/>
        <v>0</v>
      </c>
    </row>
    <row r="68" spans="1:13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-5</v>
      </c>
      <c r="K68" s="41">
        <f t="shared" si="0"/>
        <v>-50</v>
      </c>
      <c r="L68" s="41"/>
      <c r="M68" s="43">
        <f t="shared" si="1"/>
        <v>0</v>
      </c>
    </row>
    <row r="69" spans="1:13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-5</v>
      </c>
      <c r="K69" s="41">
        <f t="shared" si="0"/>
        <v>-50</v>
      </c>
      <c r="L69" s="41"/>
      <c r="M69" s="43">
        <f t="shared" si="1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-6</v>
      </c>
      <c r="K70" s="41">
        <f t="shared" ref="K70:K133" si="8">J70*$J$2</f>
        <v>-60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-6</v>
      </c>
      <c r="K71" s="41">
        <f t="shared" si="8"/>
        <v>-60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-6</v>
      </c>
      <c r="K72" s="41">
        <f t="shared" si="8"/>
        <v>-60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-6</v>
      </c>
      <c r="K73" s="41">
        <f t="shared" si="8"/>
        <v>-60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-6</v>
      </c>
      <c r="K74" s="41">
        <f t="shared" si="8"/>
        <v>-60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-6</v>
      </c>
      <c r="K75" s="41">
        <f t="shared" si="8"/>
        <v>-60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-6</v>
      </c>
      <c r="K76" s="41">
        <f t="shared" si="8"/>
        <v>-60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-6</v>
      </c>
      <c r="K77" s="41">
        <f t="shared" si="8"/>
        <v>-60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-6</v>
      </c>
      <c r="K78" s="41">
        <f t="shared" si="8"/>
        <v>-60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-6</v>
      </c>
      <c r="K79" s="41">
        <f t="shared" si="8"/>
        <v>-60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-6</v>
      </c>
      <c r="K80" s="41">
        <f t="shared" si="8"/>
        <v>-60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-6</v>
      </c>
      <c r="K81" s="41">
        <f t="shared" si="8"/>
        <v>-60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-6</v>
      </c>
      <c r="K82" s="41">
        <f t="shared" si="8"/>
        <v>-60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-6</v>
      </c>
      <c r="K83" s="41">
        <f t="shared" si="8"/>
        <v>-60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-6</v>
      </c>
      <c r="K84" s="41">
        <f t="shared" si="8"/>
        <v>-60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-6</v>
      </c>
      <c r="K85" s="41">
        <f t="shared" si="8"/>
        <v>-60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-6</v>
      </c>
      <c r="K86" s="41">
        <f t="shared" si="8"/>
        <v>-60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-6</v>
      </c>
      <c r="K87" s="41">
        <f t="shared" si="8"/>
        <v>-60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-6</v>
      </c>
      <c r="K88" s="41">
        <f t="shared" si="8"/>
        <v>-60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-6</v>
      </c>
      <c r="K89" s="41">
        <f t="shared" si="8"/>
        <v>-60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-6</v>
      </c>
      <c r="K90" s="41">
        <f t="shared" si="8"/>
        <v>-60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-6</v>
      </c>
      <c r="K91" s="41">
        <f t="shared" si="8"/>
        <v>-60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-6</v>
      </c>
      <c r="K92" s="41">
        <f t="shared" si="8"/>
        <v>-60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-6</v>
      </c>
      <c r="K93" s="41">
        <f t="shared" si="8"/>
        <v>-60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-6</v>
      </c>
      <c r="K94" s="41">
        <f t="shared" si="8"/>
        <v>-60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-6</v>
      </c>
      <c r="K95" s="41">
        <f t="shared" si="8"/>
        <v>-60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-6</v>
      </c>
      <c r="K96" s="41">
        <f t="shared" si="8"/>
        <v>-60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-6</v>
      </c>
      <c r="K97" s="41">
        <f t="shared" si="8"/>
        <v>-60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-6</v>
      </c>
      <c r="K98" s="41">
        <f t="shared" si="8"/>
        <v>-60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-6</v>
      </c>
      <c r="K99" s="41">
        <f t="shared" si="8"/>
        <v>-60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-6</v>
      </c>
      <c r="K100" s="41">
        <f t="shared" si="8"/>
        <v>-60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-6</v>
      </c>
      <c r="K101" s="41">
        <f t="shared" si="8"/>
        <v>-60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-6</v>
      </c>
      <c r="K102" s="41">
        <f t="shared" si="8"/>
        <v>-60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-6</v>
      </c>
      <c r="K103" s="41">
        <f t="shared" si="8"/>
        <v>-60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-6</v>
      </c>
      <c r="K104" s="41">
        <f t="shared" si="8"/>
        <v>-60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-6</v>
      </c>
      <c r="K105" s="41">
        <f t="shared" si="8"/>
        <v>-60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-6</v>
      </c>
      <c r="K106" s="41">
        <f t="shared" si="8"/>
        <v>-60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-6</v>
      </c>
      <c r="K107" s="41">
        <f t="shared" si="8"/>
        <v>-60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-6</v>
      </c>
      <c r="K108" s="41">
        <f t="shared" si="8"/>
        <v>-60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-6</v>
      </c>
      <c r="K109" s="41">
        <f t="shared" si="8"/>
        <v>-60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-6</v>
      </c>
      <c r="K110" s="41">
        <f t="shared" si="8"/>
        <v>-60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-6</v>
      </c>
      <c r="K111" s="41">
        <f t="shared" si="8"/>
        <v>-60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-6</v>
      </c>
      <c r="K112" s="41">
        <f t="shared" si="8"/>
        <v>-60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-6</v>
      </c>
      <c r="K113" s="41">
        <f t="shared" si="8"/>
        <v>-60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-6</v>
      </c>
      <c r="K114" s="41">
        <f t="shared" si="8"/>
        <v>-60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-6</v>
      </c>
      <c r="K115" s="41">
        <f t="shared" si="8"/>
        <v>-60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-6</v>
      </c>
      <c r="K116" s="41">
        <f t="shared" si="8"/>
        <v>-60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-6</v>
      </c>
      <c r="K117" s="41">
        <f t="shared" si="8"/>
        <v>-60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-6</v>
      </c>
      <c r="K118" s="41">
        <f t="shared" si="8"/>
        <v>-60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-6</v>
      </c>
      <c r="K119" s="41">
        <f t="shared" si="8"/>
        <v>-60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-6</v>
      </c>
      <c r="K120" s="41">
        <f t="shared" si="8"/>
        <v>-60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-6</v>
      </c>
      <c r="K121" s="41">
        <f t="shared" si="8"/>
        <v>-60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-6</v>
      </c>
      <c r="K122" s="41">
        <f t="shared" si="8"/>
        <v>-60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-6</v>
      </c>
      <c r="K123" s="41">
        <f t="shared" si="8"/>
        <v>-60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-6</v>
      </c>
      <c r="K124" s="41">
        <f t="shared" si="8"/>
        <v>-60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-6</v>
      </c>
      <c r="K125" s="41">
        <f t="shared" si="8"/>
        <v>-60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-6</v>
      </c>
      <c r="K126" s="41">
        <f t="shared" si="8"/>
        <v>-60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-6</v>
      </c>
      <c r="K127" s="41">
        <f t="shared" si="8"/>
        <v>-60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-6</v>
      </c>
      <c r="K128" s="41">
        <f t="shared" si="8"/>
        <v>-60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-6</v>
      </c>
      <c r="K129" s="41">
        <f t="shared" si="8"/>
        <v>-60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-6</v>
      </c>
      <c r="K130" s="41">
        <f t="shared" si="8"/>
        <v>-60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-6</v>
      </c>
      <c r="K131" s="41">
        <f t="shared" si="8"/>
        <v>-60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-6</v>
      </c>
      <c r="K132" s="41">
        <f t="shared" si="8"/>
        <v>-60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-6</v>
      </c>
      <c r="K133" s="41">
        <f t="shared" si="8"/>
        <v>-60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-7</v>
      </c>
      <c r="K134" s="41">
        <f t="shared" ref="K134:K197" si="12">J134*$J$2</f>
        <v>-70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-7</v>
      </c>
      <c r="K135" s="41">
        <f t="shared" si="12"/>
        <v>-70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-7</v>
      </c>
      <c r="K136" s="41">
        <f t="shared" si="12"/>
        <v>-70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-7</v>
      </c>
      <c r="K137" s="41">
        <f t="shared" si="12"/>
        <v>-70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-7</v>
      </c>
      <c r="K138" s="41">
        <f t="shared" si="12"/>
        <v>-70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-7</v>
      </c>
      <c r="K139" s="41">
        <f t="shared" si="12"/>
        <v>-70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-7</v>
      </c>
      <c r="K140" s="41">
        <f t="shared" si="12"/>
        <v>-70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-7</v>
      </c>
      <c r="K141" s="41">
        <f t="shared" si="12"/>
        <v>-70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-7</v>
      </c>
      <c r="K142" s="41">
        <f t="shared" si="12"/>
        <v>-70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-7</v>
      </c>
      <c r="K143" s="41">
        <f t="shared" si="12"/>
        <v>-70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-7</v>
      </c>
      <c r="K144" s="41">
        <f t="shared" si="12"/>
        <v>-70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-7</v>
      </c>
      <c r="K145" s="41">
        <f t="shared" si="12"/>
        <v>-70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-7</v>
      </c>
      <c r="K146" s="41">
        <f t="shared" si="12"/>
        <v>-70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-7</v>
      </c>
      <c r="K147" s="41">
        <f t="shared" si="12"/>
        <v>-70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-7</v>
      </c>
      <c r="K148" s="41">
        <f t="shared" si="12"/>
        <v>-70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-7</v>
      </c>
      <c r="K149" s="41">
        <f t="shared" si="12"/>
        <v>-70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-7</v>
      </c>
      <c r="K150" s="41">
        <f t="shared" si="12"/>
        <v>-70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-7</v>
      </c>
      <c r="K151" s="41">
        <f t="shared" si="12"/>
        <v>-70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-7</v>
      </c>
      <c r="K152" s="41">
        <f t="shared" si="12"/>
        <v>-70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-7</v>
      </c>
      <c r="K153" s="41">
        <f t="shared" si="12"/>
        <v>-70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-7</v>
      </c>
      <c r="K154" s="41">
        <f t="shared" si="12"/>
        <v>-70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-7</v>
      </c>
      <c r="K155" s="41">
        <f t="shared" si="12"/>
        <v>-70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-7</v>
      </c>
      <c r="K156" s="41">
        <f t="shared" si="12"/>
        <v>-70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-7</v>
      </c>
      <c r="K157" s="41">
        <f t="shared" si="12"/>
        <v>-70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-7</v>
      </c>
      <c r="K158" s="41">
        <f t="shared" si="12"/>
        <v>-70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-7</v>
      </c>
      <c r="K159" s="41">
        <f t="shared" si="12"/>
        <v>-70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-7</v>
      </c>
      <c r="K160" s="41">
        <f t="shared" si="12"/>
        <v>-70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-7</v>
      </c>
      <c r="K161" s="41">
        <f t="shared" si="12"/>
        <v>-70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-7</v>
      </c>
      <c r="K162" s="41">
        <f t="shared" si="12"/>
        <v>-70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-7</v>
      </c>
      <c r="K163" s="41">
        <f t="shared" si="12"/>
        <v>-70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-7</v>
      </c>
      <c r="K164" s="41">
        <f t="shared" si="12"/>
        <v>-70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-7</v>
      </c>
      <c r="K165" s="41">
        <f t="shared" si="12"/>
        <v>-70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-7</v>
      </c>
      <c r="K166" s="41">
        <f t="shared" si="12"/>
        <v>-70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-7</v>
      </c>
      <c r="K167" s="41">
        <f t="shared" si="12"/>
        <v>-70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-7</v>
      </c>
      <c r="K168" s="41">
        <f t="shared" si="12"/>
        <v>-70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-7</v>
      </c>
      <c r="K169" s="41">
        <f t="shared" si="12"/>
        <v>-70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-7</v>
      </c>
      <c r="K170" s="41">
        <f t="shared" si="12"/>
        <v>-70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-7</v>
      </c>
      <c r="K171" s="41">
        <f t="shared" si="12"/>
        <v>-70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-7</v>
      </c>
      <c r="K172" s="41">
        <f t="shared" si="12"/>
        <v>-70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-7</v>
      </c>
      <c r="K173" s="41">
        <f t="shared" si="12"/>
        <v>-70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-7</v>
      </c>
      <c r="K174" s="41">
        <f t="shared" si="12"/>
        <v>-70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-7</v>
      </c>
      <c r="K175" s="41">
        <f t="shared" si="12"/>
        <v>-70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-7</v>
      </c>
      <c r="K176" s="41">
        <f t="shared" si="12"/>
        <v>-70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-7</v>
      </c>
      <c r="K177" s="41">
        <f t="shared" si="12"/>
        <v>-70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-7</v>
      </c>
      <c r="K178" s="41">
        <f t="shared" si="12"/>
        <v>-70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-7</v>
      </c>
      <c r="K179" s="41">
        <f t="shared" si="12"/>
        <v>-70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-7</v>
      </c>
      <c r="K180" s="41">
        <f t="shared" si="12"/>
        <v>-70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-7</v>
      </c>
      <c r="K181" s="41">
        <f t="shared" si="12"/>
        <v>-70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-7</v>
      </c>
      <c r="K182" s="41">
        <f t="shared" si="12"/>
        <v>-70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-7</v>
      </c>
      <c r="K183" s="41">
        <f t="shared" si="12"/>
        <v>-70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-7</v>
      </c>
      <c r="K184" s="41">
        <f t="shared" si="12"/>
        <v>-70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-7</v>
      </c>
      <c r="K185" s="41">
        <f t="shared" si="12"/>
        <v>-70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-7</v>
      </c>
      <c r="K186" s="41">
        <f t="shared" si="12"/>
        <v>-70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-7</v>
      </c>
      <c r="K187" s="41">
        <f t="shared" si="12"/>
        <v>-70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-7</v>
      </c>
      <c r="K188" s="41">
        <f t="shared" si="12"/>
        <v>-70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-7</v>
      </c>
      <c r="K189" s="41">
        <f t="shared" si="12"/>
        <v>-70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-7</v>
      </c>
      <c r="K190" s="41">
        <f t="shared" si="12"/>
        <v>-70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-7</v>
      </c>
      <c r="K191" s="41">
        <f t="shared" si="12"/>
        <v>-70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-7</v>
      </c>
      <c r="K192" s="41">
        <f t="shared" si="12"/>
        <v>-70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-7</v>
      </c>
      <c r="K193" s="41">
        <f t="shared" si="12"/>
        <v>-70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-7</v>
      </c>
      <c r="K194" s="41">
        <f t="shared" si="12"/>
        <v>-70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-7</v>
      </c>
      <c r="K195" s="41">
        <f t="shared" si="12"/>
        <v>-70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-7</v>
      </c>
      <c r="K196" s="41">
        <f t="shared" si="12"/>
        <v>-70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-7</v>
      </c>
      <c r="K197" s="41">
        <f t="shared" si="12"/>
        <v>-70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-7</v>
      </c>
      <c r="K198" s="41">
        <f t="shared" ref="K198:K261" si="16">J198*$J$2</f>
        <v>-70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-7</v>
      </c>
      <c r="K199" s="41">
        <f t="shared" si="16"/>
        <v>-70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-7</v>
      </c>
      <c r="K200" s="41">
        <f t="shared" si="16"/>
        <v>-70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-7</v>
      </c>
      <c r="K201" s="41">
        <f t="shared" si="16"/>
        <v>-70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-7</v>
      </c>
      <c r="K202" s="41">
        <f t="shared" si="16"/>
        <v>-70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-7</v>
      </c>
      <c r="K203" s="41">
        <f t="shared" si="16"/>
        <v>-70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-7</v>
      </c>
      <c r="K204" s="41">
        <f t="shared" si="16"/>
        <v>-70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-7</v>
      </c>
      <c r="K205" s="41">
        <f t="shared" si="16"/>
        <v>-70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-7</v>
      </c>
      <c r="K206" s="41">
        <f t="shared" si="16"/>
        <v>-70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-7</v>
      </c>
      <c r="K207" s="41">
        <f t="shared" si="16"/>
        <v>-70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-7</v>
      </c>
      <c r="K208" s="41">
        <f t="shared" si="16"/>
        <v>-70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-7</v>
      </c>
      <c r="K209" s="41">
        <f t="shared" si="16"/>
        <v>-70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-7</v>
      </c>
      <c r="K210" s="41">
        <f t="shared" si="16"/>
        <v>-70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-7</v>
      </c>
      <c r="K211" s="41">
        <f t="shared" si="16"/>
        <v>-70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-7</v>
      </c>
      <c r="K212" s="41">
        <f t="shared" si="16"/>
        <v>-70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-7</v>
      </c>
      <c r="K213" s="41">
        <f t="shared" si="16"/>
        <v>-70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-7</v>
      </c>
      <c r="K214" s="41">
        <f t="shared" si="16"/>
        <v>-70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-7</v>
      </c>
      <c r="K215" s="41">
        <f t="shared" si="16"/>
        <v>-70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-7</v>
      </c>
      <c r="K216" s="41">
        <f t="shared" si="16"/>
        <v>-70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-7</v>
      </c>
      <c r="K217" s="41">
        <f t="shared" si="16"/>
        <v>-70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-7</v>
      </c>
      <c r="K218" s="41">
        <f t="shared" si="16"/>
        <v>-70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-7</v>
      </c>
      <c r="K219" s="41">
        <f t="shared" si="16"/>
        <v>-70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-7</v>
      </c>
      <c r="K220" s="41">
        <f t="shared" si="16"/>
        <v>-70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-7</v>
      </c>
      <c r="K221" s="41">
        <f t="shared" si="16"/>
        <v>-70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-7</v>
      </c>
      <c r="K222" s="41">
        <f t="shared" si="16"/>
        <v>-70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-7</v>
      </c>
      <c r="K223" s="41">
        <f t="shared" si="16"/>
        <v>-70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-7</v>
      </c>
      <c r="K224" s="41">
        <f t="shared" si="16"/>
        <v>-70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-7</v>
      </c>
      <c r="K225" s="41">
        <f t="shared" si="16"/>
        <v>-70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-7</v>
      </c>
      <c r="K226" s="41">
        <f t="shared" si="16"/>
        <v>-70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-7</v>
      </c>
      <c r="K227" s="41">
        <f t="shared" si="16"/>
        <v>-70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-7</v>
      </c>
      <c r="K228" s="41">
        <f t="shared" si="16"/>
        <v>-70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-7</v>
      </c>
      <c r="K229" s="41">
        <f t="shared" si="16"/>
        <v>-70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-7</v>
      </c>
      <c r="K230" s="41">
        <f t="shared" si="16"/>
        <v>-70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-7</v>
      </c>
      <c r="K231" s="41">
        <f t="shared" si="16"/>
        <v>-70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-7</v>
      </c>
      <c r="K232" s="41">
        <f t="shared" si="16"/>
        <v>-70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-7</v>
      </c>
      <c r="K233" s="41">
        <f t="shared" si="16"/>
        <v>-70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-7</v>
      </c>
      <c r="K234" s="41">
        <f t="shared" si="16"/>
        <v>-70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-7</v>
      </c>
      <c r="K235" s="41">
        <f t="shared" si="16"/>
        <v>-70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-7</v>
      </c>
      <c r="K236" s="41">
        <f t="shared" si="16"/>
        <v>-70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-7</v>
      </c>
      <c r="K237" s="41">
        <f t="shared" si="16"/>
        <v>-70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-7</v>
      </c>
      <c r="K238" s="41">
        <f t="shared" si="16"/>
        <v>-70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-7</v>
      </c>
      <c r="K239" s="41">
        <f t="shared" si="16"/>
        <v>-70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-7</v>
      </c>
      <c r="K240" s="41">
        <f t="shared" si="16"/>
        <v>-70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-7</v>
      </c>
      <c r="K241" s="41">
        <f t="shared" si="16"/>
        <v>-70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-7</v>
      </c>
      <c r="K242" s="41">
        <f t="shared" si="16"/>
        <v>-70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-7</v>
      </c>
      <c r="K243" s="41">
        <f t="shared" si="16"/>
        <v>-70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-7</v>
      </c>
      <c r="K244" s="41">
        <f t="shared" si="16"/>
        <v>-70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-7</v>
      </c>
      <c r="K245" s="41">
        <f t="shared" si="16"/>
        <v>-70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-7</v>
      </c>
      <c r="K246" s="41">
        <f t="shared" si="16"/>
        <v>-70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-7</v>
      </c>
      <c r="K247" s="41">
        <f t="shared" si="16"/>
        <v>-70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-7</v>
      </c>
      <c r="K248" s="41">
        <f t="shared" si="16"/>
        <v>-70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-7</v>
      </c>
      <c r="K249" s="41">
        <f t="shared" si="16"/>
        <v>-70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-7</v>
      </c>
      <c r="K250" s="41">
        <f t="shared" si="16"/>
        <v>-70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-7</v>
      </c>
      <c r="K251" s="41">
        <f t="shared" si="16"/>
        <v>-70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-7</v>
      </c>
      <c r="K252" s="41">
        <f t="shared" si="16"/>
        <v>-70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-7</v>
      </c>
      <c r="K253" s="41">
        <f t="shared" si="16"/>
        <v>-70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-7</v>
      </c>
      <c r="K254" s="41">
        <f t="shared" si="16"/>
        <v>-70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-7</v>
      </c>
      <c r="K255" s="41">
        <f t="shared" si="16"/>
        <v>-70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-7</v>
      </c>
      <c r="K256" s="41">
        <f t="shared" si="16"/>
        <v>-70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-7</v>
      </c>
      <c r="K257" s="41">
        <f t="shared" si="16"/>
        <v>-70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-7</v>
      </c>
      <c r="K258" s="41">
        <f t="shared" si="16"/>
        <v>-70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-7</v>
      </c>
      <c r="K259" s="41">
        <f t="shared" si="16"/>
        <v>-70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-7</v>
      </c>
      <c r="K260" s="41">
        <f t="shared" si="16"/>
        <v>-70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-7</v>
      </c>
      <c r="K261" s="41">
        <f t="shared" si="16"/>
        <v>-70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-8</v>
      </c>
      <c r="K262" s="41">
        <f t="shared" ref="K262:K305" si="20">J262*$J$2</f>
        <v>-80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-8</v>
      </c>
      <c r="K263" s="41">
        <f t="shared" si="20"/>
        <v>-80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-8</v>
      </c>
      <c r="K264" s="41">
        <f t="shared" si="20"/>
        <v>-80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-8</v>
      </c>
      <c r="K265" s="41">
        <f t="shared" si="20"/>
        <v>-80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-8</v>
      </c>
      <c r="K266" s="41">
        <f t="shared" si="20"/>
        <v>-80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-8</v>
      </c>
      <c r="K267" s="41">
        <f t="shared" si="20"/>
        <v>-80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-8</v>
      </c>
      <c r="K268" s="41">
        <f t="shared" si="20"/>
        <v>-80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-8</v>
      </c>
      <c r="K269" s="41">
        <f t="shared" si="20"/>
        <v>-80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-8</v>
      </c>
      <c r="K270" s="41">
        <f t="shared" si="20"/>
        <v>-80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-8</v>
      </c>
      <c r="K271" s="41">
        <f t="shared" si="20"/>
        <v>-80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-8</v>
      </c>
      <c r="K272" s="41">
        <f t="shared" si="20"/>
        <v>-80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-8</v>
      </c>
      <c r="K273" s="41">
        <f t="shared" si="20"/>
        <v>-80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-8</v>
      </c>
      <c r="K274" s="41">
        <f t="shared" si="20"/>
        <v>-80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-8</v>
      </c>
      <c r="K275" s="41">
        <f t="shared" si="20"/>
        <v>-80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-8</v>
      </c>
      <c r="K276" s="41">
        <f t="shared" si="20"/>
        <v>-80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-8</v>
      </c>
      <c r="K277" s="41">
        <f t="shared" si="20"/>
        <v>-80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-8</v>
      </c>
      <c r="K278" s="41">
        <f t="shared" si="20"/>
        <v>-80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-8</v>
      </c>
      <c r="K279" s="41">
        <f t="shared" si="20"/>
        <v>-80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-8</v>
      </c>
      <c r="K280" s="41">
        <f t="shared" si="20"/>
        <v>-80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-8</v>
      </c>
      <c r="K281" s="41">
        <f t="shared" si="20"/>
        <v>-80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-8</v>
      </c>
      <c r="K282" s="41">
        <f t="shared" si="20"/>
        <v>-80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-8</v>
      </c>
      <c r="K283" s="41">
        <f t="shared" si="20"/>
        <v>-80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-8</v>
      </c>
      <c r="K284" s="41">
        <f t="shared" si="20"/>
        <v>-80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-8</v>
      </c>
      <c r="K285" s="41">
        <f t="shared" si="20"/>
        <v>-80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-8</v>
      </c>
      <c r="K286" s="41">
        <f t="shared" si="20"/>
        <v>-80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-8</v>
      </c>
      <c r="K287" s="41">
        <f t="shared" si="20"/>
        <v>-80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-8</v>
      </c>
      <c r="K288" s="41">
        <f t="shared" si="20"/>
        <v>-80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-8</v>
      </c>
      <c r="K289" s="41">
        <f t="shared" si="20"/>
        <v>-80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-8</v>
      </c>
      <c r="K290" s="41">
        <f t="shared" si="20"/>
        <v>-80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-8</v>
      </c>
      <c r="K291" s="41">
        <f t="shared" si="20"/>
        <v>-80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-8</v>
      </c>
      <c r="K292" s="41">
        <f t="shared" si="20"/>
        <v>-80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-8</v>
      </c>
      <c r="K293" s="41">
        <f t="shared" si="20"/>
        <v>-80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-8</v>
      </c>
      <c r="K294" s="41">
        <f t="shared" si="20"/>
        <v>-80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-8</v>
      </c>
      <c r="K295" s="41">
        <f t="shared" si="20"/>
        <v>-80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-8</v>
      </c>
      <c r="K296" s="41">
        <f t="shared" si="20"/>
        <v>-80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-8</v>
      </c>
      <c r="K297" s="41">
        <f t="shared" si="20"/>
        <v>-80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-8</v>
      </c>
      <c r="K298" s="41">
        <f t="shared" si="20"/>
        <v>-80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-8</v>
      </c>
      <c r="K299" s="41">
        <f t="shared" si="20"/>
        <v>-80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-8</v>
      </c>
      <c r="K300" s="41">
        <f t="shared" si="20"/>
        <v>-80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-8</v>
      </c>
      <c r="K301" s="41">
        <f t="shared" si="20"/>
        <v>-80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-8</v>
      </c>
      <c r="K302" s="41">
        <f t="shared" si="20"/>
        <v>-80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-8</v>
      </c>
      <c r="K303" s="41">
        <f t="shared" si="20"/>
        <v>-80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-8</v>
      </c>
      <c r="K304" s="41">
        <f t="shared" si="20"/>
        <v>-80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-8</v>
      </c>
      <c r="K305" s="41">
        <f t="shared" si="20"/>
        <v>-80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4B7ECC5B-4759-4D35-A3A2-B34F8B414C59}">
      <formula1>#REF!</formula1>
    </dataValidation>
  </dataValidations>
  <hyperlinks>
    <hyperlink ref="C2:D2" r:id="rId1" display="TORUŃ" xr:uid="{0218CD60-F214-48CE-B505-97D1C7E188D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483D-FF67-4C70-94CF-F1B6C00EA737}">
  <sheetPr>
    <tabColor rgb="FF92D050"/>
  </sheetPr>
  <dimension ref="A1:AL317"/>
  <sheetViews>
    <sheetView workbookViewId="0">
      <selection activeCell="C4" sqref="C4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>
      <c r="A2" s="19"/>
      <c r="B2" s="25" t="s">
        <v>28</v>
      </c>
      <c r="C2" s="179" t="s">
        <v>62</v>
      </c>
      <c r="D2" s="179"/>
      <c r="E2" s="26"/>
      <c r="F2" s="26"/>
      <c r="G2" s="26"/>
      <c r="H2" s="27">
        <v>3</v>
      </c>
      <c r="I2" s="28">
        <v>50</v>
      </c>
      <c r="J2" s="28">
        <v>10</v>
      </c>
      <c r="K2" s="29">
        <f>3*H2^(1/3)</f>
        <v>4.3267487109222245</v>
      </c>
      <c r="L2" s="23"/>
      <c r="M2" s="23"/>
    </row>
    <row r="3" spans="1:36">
      <c r="A3" s="19"/>
      <c r="B3" s="30" t="s">
        <v>30</v>
      </c>
      <c r="C3" s="180">
        <v>45095</v>
      </c>
      <c r="D3" s="18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>
      <c r="A6" s="38">
        <f>M6</f>
        <v>82.980246132766666</v>
      </c>
      <c r="B6" s="72">
        <v>1</v>
      </c>
      <c r="C6" s="74" t="s">
        <v>16</v>
      </c>
      <c r="D6" s="74" t="s">
        <v>156</v>
      </c>
      <c r="E6" s="74"/>
      <c r="F6" s="40" t="s">
        <v>157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0">J6*$J$2</f>
        <v>20</v>
      </c>
      <c r="L6" s="43">
        <f>3*K2</f>
        <v>12.980246132766673</v>
      </c>
      <c r="M6" s="43">
        <f t="shared" ref="M6:M69" si="1">IF(I6&lt;&gt;"",K6+I6+L6,0)</f>
        <v>82.980246132766666</v>
      </c>
    </row>
    <row r="7" spans="1:36" ht="14.45" customHeight="1">
      <c r="A7" s="44">
        <f t="shared" ref="A7:A37" si="2">M7</f>
        <v>37.73793949684304</v>
      </c>
      <c r="B7" s="73">
        <v>2</v>
      </c>
      <c r="C7" s="75" t="s">
        <v>18</v>
      </c>
      <c r="D7" s="75"/>
      <c r="E7" s="75"/>
      <c r="F7" s="46" t="s">
        <v>157</v>
      </c>
      <c r="G7" s="33"/>
      <c r="H7" s="47">
        <v>2</v>
      </c>
      <c r="I7" s="48">
        <f t="shared" ref="I7:I69" si="3">IF(H7&lt;$H$2+1,($I$2-($I$2-1)*(LOG(H7)/LOG($H$2))),"")</f>
        <v>19.084442074998588</v>
      </c>
      <c r="J7" s="47">
        <f t="shared" ref="J7:J70" si="4">INT(LOG($H$2,2))-ROUNDUP(LOG(H7,2),0)+IF(OR($H$2=1,$H$2=2,$H$2=4,$H$2=8,$H$2=16,$H$2=32,$H$2=64,$H$2=128,$H$2=256),0,1)</f>
        <v>1</v>
      </c>
      <c r="K7" s="47">
        <f t="shared" si="0"/>
        <v>10</v>
      </c>
      <c r="L7" s="49">
        <f>2*K2</f>
        <v>8.6534974218444489</v>
      </c>
      <c r="M7" s="49">
        <f t="shared" si="1"/>
        <v>37.73793949684304</v>
      </c>
    </row>
    <row r="8" spans="1:36" ht="14.45" customHeight="1">
      <c r="A8" s="38">
        <f t="shared" si="2"/>
        <v>5.3267487109222245</v>
      </c>
      <c r="B8" s="72">
        <v>3</v>
      </c>
      <c r="C8" s="74" t="s">
        <v>22</v>
      </c>
      <c r="D8" s="74"/>
      <c r="E8" s="74"/>
      <c r="F8" s="40" t="s">
        <v>157</v>
      </c>
      <c r="G8" s="33"/>
      <c r="H8" s="41">
        <v>3</v>
      </c>
      <c r="I8" s="42">
        <f t="shared" si="3"/>
        <v>1</v>
      </c>
      <c r="J8" s="41">
        <f t="shared" si="4"/>
        <v>0</v>
      </c>
      <c r="K8" s="41">
        <f t="shared" si="0"/>
        <v>0</v>
      </c>
      <c r="L8" s="43">
        <f>K2</f>
        <v>4.3267487109222245</v>
      </c>
      <c r="M8" s="43">
        <f t="shared" si="1"/>
        <v>5.3267487109222245</v>
      </c>
    </row>
    <row r="9" spans="1:36" ht="14.45" customHeight="1">
      <c r="A9" s="44">
        <f t="shared" si="2"/>
        <v>0</v>
      </c>
      <c r="B9" s="45" t="str">
        <f t="shared" ref="B9:B13" si="5">IF(H9&gt;$H$2,"",(ROW()-5))</f>
        <v/>
      </c>
      <c r="C9" s="46"/>
      <c r="D9" s="46"/>
      <c r="E9" s="46"/>
      <c r="F9" s="46"/>
      <c r="G9" s="33"/>
      <c r="H9" s="47">
        <v>4</v>
      </c>
      <c r="I9" s="48" t="str">
        <f t="shared" si="3"/>
        <v/>
      </c>
      <c r="J9" s="47">
        <f t="shared" si="4"/>
        <v>0</v>
      </c>
      <c r="K9" s="47">
        <f t="shared" si="0"/>
        <v>0</v>
      </c>
      <c r="L9" s="49"/>
      <c r="M9" s="49">
        <f t="shared" si="1"/>
        <v>0</v>
      </c>
      <c r="V9" s="50"/>
      <c r="Z9" s="51"/>
      <c r="AA9" s="51"/>
      <c r="AG9" s="52"/>
      <c r="AH9" s="24" t="s">
        <v>50</v>
      </c>
      <c r="AI9" s="24">
        <v>23</v>
      </c>
    </row>
    <row r="10" spans="1:36" ht="14.45" customHeight="1">
      <c r="A10" s="38">
        <f t="shared" si="2"/>
        <v>0</v>
      </c>
      <c r="B10" s="39" t="str">
        <f t="shared" si="5"/>
        <v/>
      </c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>
        <f t="shared" si="4"/>
        <v>-1</v>
      </c>
      <c r="K10" s="41">
        <f t="shared" si="0"/>
        <v>-10</v>
      </c>
      <c r="L10" s="41"/>
      <c r="M10" s="43">
        <f t="shared" si="1"/>
        <v>0</v>
      </c>
      <c r="V10" s="50"/>
      <c r="Z10" s="51"/>
      <c r="AA10" s="51"/>
      <c r="AG10" s="52"/>
      <c r="AH10" s="24" t="s">
        <v>52</v>
      </c>
      <c r="AI10" s="24">
        <v>45</v>
      </c>
    </row>
    <row r="11" spans="1:36" ht="14.45" customHeight="1">
      <c r="A11" s="44">
        <f t="shared" si="2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-1</v>
      </c>
      <c r="K11" s="47">
        <f t="shared" si="0"/>
        <v>-10</v>
      </c>
      <c r="L11" s="47"/>
      <c r="M11" s="49">
        <f t="shared" si="1"/>
        <v>0</v>
      </c>
      <c r="V11" s="53"/>
      <c r="Z11" s="51"/>
      <c r="AA11" s="51"/>
      <c r="AG11" s="52"/>
      <c r="AH11" s="24" t="s">
        <v>53</v>
      </c>
      <c r="AI11" s="24">
        <v>50</v>
      </c>
    </row>
    <row r="12" spans="1:36" ht="14.45" customHeight="1">
      <c r="A12" s="38">
        <f t="shared" si="2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-1</v>
      </c>
      <c r="K12" s="41">
        <f t="shared" si="0"/>
        <v>-10</v>
      </c>
      <c r="L12" s="41"/>
      <c r="M12" s="43">
        <f t="shared" si="1"/>
        <v>0</v>
      </c>
      <c r="Z12" s="51"/>
      <c r="AA12" s="51"/>
      <c r="AG12" s="52"/>
      <c r="AH12" s="24" t="s">
        <v>54</v>
      </c>
      <c r="AI12" s="24">
        <f>AI11-1</f>
        <v>49</v>
      </c>
    </row>
    <row r="13" spans="1:36" ht="14.45" customHeight="1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-1</v>
      </c>
      <c r="K13" s="47">
        <f t="shared" si="0"/>
        <v>-10</v>
      </c>
      <c r="L13" s="47"/>
      <c r="M13" s="49">
        <f t="shared" si="1"/>
        <v>0</v>
      </c>
      <c r="X13" s="50"/>
      <c r="AG13" s="52"/>
      <c r="AH13" s="24" t="s">
        <v>55</v>
      </c>
      <c r="AI13" s="24">
        <f>LOG(AI9)</f>
        <v>1.3617278360175928</v>
      </c>
    </row>
    <row r="14" spans="1:36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-2</v>
      </c>
      <c r="K14" s="41">
        <f t="shared" si="0"/>
        <v>-20</v>
      </c>
      <c r="L14" s="41"/>
      <c r="M14" s="43">
        <f t="shared" si="1"/>
        <v>0</v>
      </c>
      <c r="X14" s="56"/>
      <c r="Z14" s="51"/>
      <c r="AA14" s="51"/>
      <c r="AG14" s="52"/>
      <c r="AH14" s="24" t="s">
        <v>56</v>
      </c>
      <c r="AI14" s="24">
        <f>LOG(AI10)</f>
        <v>1.6532125137753437</v>
      </c>
    </row>
    <row r="15" spans="1:36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-2</v>
      </c>
      <c r="K15" s="47">
        <f t="shared" si="0"/>
        <v>-20</v>
      </c>
      <c r="L15" s="47"/>
      <c r="M15" s="49">
        <f t="shared" si="1"/>
        <v>0</v>
      </c>
      <c r="X15" s="50"/>
      <c r="Z15" s="51"/>
      <c r="AA15" s="51"/>
    </row>
    <row r="16" spans="1:36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-2</v>
      </c>
      <c r="K16" s="41">
        <f t="shared" si="0"/>
        <v>-20</v>
      </c>
      <c r="L16" s="41"/>
      <c r="M16" s="43">
        <f t="shared" si="1"/>
        <v>0</v>
      </c>
      <c r="R16" s="57"/>
      <c r="Z16" s="51"/>
      <c r="AA16" s="51"/>
      <c r="AH16" s="58" t="s">
        <v>57</v>
      </c>
      <c r="AI16" s="24">
        <f>AI11-AI12*AI13/AI14</f>
        <v>9.6393909380186855</v>
      </c>
      <c r="AJ16" s="24" t="s">
        <v>58</v>
      </c>
    </row>
    <row r="17" spans="1:19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-2</v>
      </c>
      <c r="K17" s="47">
        <f t="shared" si="0"/>
        <v>-20</v>
      </c>
      <c r="L17" s="47"/>
      <c r="M17" s="49">
        <f t="shared" si="1"/>
        <v>0</v>
      </c>
    </row>
    <row r="18" spans="1:19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-2</v>
      </c>
      <c r="K18" s="41">
        <f t="shared" si="0"/>
        <v>-20</v>
      </c>
      <c r="L18" s="41"/>
      <c r="M18" s="43">
        <f t="shared" si="1"/>
        <v>0</v>
      </c>
    </row>
    <row r="19" spans="1:19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-2</v>
      </c>
      <c r="K19" s="47">
        <f t="shared" si="0"/>
        <v>-20</v>
      </c>
      <c r="L19" s="47"/>
      <c r="M19" s="49">
        <f t="shared" si="1"/>
        <v>0</v>
      </c>
    </row>
    <row r="20" spans="1:19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-2</v>
      </c>
      <c r="K20" s="41">
        <f t="shared" si="0"/>
        <v>-20</v>
      </c>
      <c r="L20" s="41"/>
      <c r="M20" s="43">
        <f t="shared" si="1"/>
        <v>0</v>
      </c>
      <c r="R20" s="59"/>
      <c r="S20" s="60"/>
    </row>
    <row r="21" spans="1:19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-2</v>
      </c>
      <c r="K21" s="47">
        <f t="shared" si="0"/>
        <v>-20</v>
      </c>
      <c r="L21" s="47"/>
      <c r="M21" s="49">
        <f t="shared" si="1"/>
        <v>0</v>
      </c>
    </row>
    <row r="22" spans="1:19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-3</v>
      </c>
      <c r="K22" s="41">
        <f t="shared" si="0"/>
        <v>-30</v>
      </c>
      <c r="L22" s="41"/>
      <c r="M22" s="43">
        <f t="shared" si="1"/>
        <v>0</v>
      </c>
    </row>
    <row r="23" spans="1:19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-3</v>
      </c>
      <c r="K23" s="47">
        <f t="shared" si="0"/>
        <v>-30</v>
      </c>
      <c r="L23" s="47"/>
      <c r="M23" s="49">
        <f t="shared" si="1"/>
        <v>0</v>
      </c>
    </row>
    <row r="24" spans="1:19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-3</v>
      </c>
      <c r="K24" s="41">
        <f t="shared" si="0"/>
        <v>-30</v>
      </c>
      <c r="L24" s="41"/>
      <c r="M24" s="43">
        <f t="shared" si="1"/>
        <v>0</v>
      </c>
      <c r="R24" s="59"/>
      <c r="S24" s="60"/>
    </row>
    <row r="25" spans="1:19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-3</v>
      </c>
      <c r="K25" s="47">
        <f t="shared" si="0"/>
        <v>-30</v>
      </c>
      <c r="L25" s="47"/>
      <c r="M25" s="49">
        <f t="shared" si="1"/>
        <v>0</v>
      </c>
    </row>
    <row r="26" spans="1:19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-3</v>
      </c>
      <c r="K26" s="41">
        <f t="shared" si="0"/>
        <v>-30</v>
      </c>
      <c r="L26" s="41"/>
      <c r="M26" s="43">
        <f t="shared" si="1"/>
        <v>0</v>
      </c>
    </row>
    <row r="27" spans="1:19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-3</v>
      </c>
      <c r="K27" s="47">
        <f t="shared" si="0"/>
        <v>-30</v>
      </c>
      <c r="L27" s="47"/>
      <c r="M27" s="49">
        <f t="shared" si="1"/>
        <v>0</v>
      </c>
    </row>
    <row r="28" spans="1:19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-3</v>
      </c>
      <c r="K28" s="41">
        <f t="shared" si="0"/>
        <v>-30</v>
      </c>
      <c r="L28" s="41"/>
      <c r="M28" s="43">
        <f t="shared" si="1"/>
        <v>0</v>
      </c>
      <c r="R28" s="59"/>
      <c r="S28" s="60"/>
    </row>
    <row r="29" spans="1:19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-3</v>
      </c>
      <c r="K29" s="47">
        <f t="shared" si="0"/>
        <v>-30</v>
      </c>
      <c r="L29" s="47"/>
      <c r="M29" s="49">
        <f t="shared" si="1"/>
        <v>0</v>
      </c>
    </row>
    <row r="30" spans="1:19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-3</v>
      </c>
      <c r="K30" s="41">
        <f t="shared" si="0"/>
        <v>-30</v>
      </c>
      <c r="L30" s="41"/>
      <c r="M30" s="43">
        <f t="shared" si="1"/>
        <v>0</v>
      </c>
    </row>
    <row r="31" spans="1:19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-3</v>
      </c>
      <c r="K31" s="47">
        <f t="shared" si="0"/>
        <v>-30</v>
      </c>
      <c r="L31" s="47"/>
      <c r="M31" s="49">
        <f t="shared" si="1"/>
        <v>0</v>
      </c>
    </row>
    <row r="32" spans="1:19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-3</v>
      </c>
      <c r="K32" s="41">
        <f t="shared" si="0"/>
        <v>-30</v>
      </c>
      <c r="L32" s="41"/>
      <c r="M32" s="43">
        <f t="shared" si="1"/>
        <v>0</v>
      </c>
      <c r="R32" s="59"/>
      <c r="S32" s="60"/>
    </row>
    <row r="33" spans="1:21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-3</v>
      </c>
      <c r="K33" s="47">
        <f t="shared" si="0"/>
        <v>-30</v>
      </c>
      <c r="L33" s="47"/>
      <c r="M33" s="49">
        <f t="shared" si="1"/>
        <v>0</v>
      </c>
    </row>
    <row r="34" spans="1:21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-3</v>
      </c>
      <c r="K34" s="41">
        <f t="shared" si="0"/>
        <v>-30</v>
      </c>
      <c r="L34" s="41"/>
      <c r="M34" s="43">
        <f t="shared" si="1"/>
        <v>0</v>
      </c>
    </row>
    <row r="35" spans="1:21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-3</v>
      </c>
      <c r="K35" s="47">
        <f t="shared" si="0"/>
        <v>-30</v>
      </c>
      <c r="L35" s="47"/>
      <c r="M35" s="49">
        <f t="shared" si="1"/>
        <v>0</v>
      </c>
    </row>
    <row r="36" spans="1:21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-3</v>
      </c>
      <c r="K36" s="41">
        <f t="shared" si="0"/>
        <v>-30</v>
      </c>
      <c r="L36" s="41"/>
      <c r="M36" s="43">
        <f t="shared" si="1"/>
        <v>0</v>
      </c>
      <c r="R36" s="59"/>
      <c r="S36" s="60"/>
    </row>
    <row r="37" spans="1:21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-3</v>
      </c>
      <c r="K37" s="47">
        <f t="shared" si="0"/>
        <v>-30</v>
      </c>
      <c r="L37" s="47"/>
      <c r="M37" s="49">
        <f t="shared" si="1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-4</v>
      </c>
      <c r="K38" s="41">
        <f t="shared" si="0"/>
        <v>-40</v>
      </c>
      <c r="L38" s="41"/>
      <c r="M38" s="43">
        <f t="shared" si="1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-4</v>
      </c>
      <c r="K39" s="47">
        <f t="shared" si="0"/>
        <v>-40</v>
      </c>
      <c r="L39" s="47"/>
      <c r="M39" s="49">
        <f t="shared" si="1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-4</v>
      </c>
      <c r="K40" s="41">
        <f t="shared" si="0"/>
        <v>-40</v>
      </c>
      <c r="L40" s="41"/>
      <c r="M40" s="43">
        <f t="shared" si="1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-4</v>
      </c>
      <c r="K41" s="47">
        <f t="shared" si="0"/>
        <v>-40</v>
      </c>
      <c r="L41" s="47"/>
      <c r="M41" s="49">
        <f t="shared" si="1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-4</v>
      </c>
      <c r="K42" s="41">
        <f t="shared" si="0"/>
        <v>-40</v>
      </c>
      <c r="L42" s="41"/>
      <c r="M42" s="43">
        <f t="shared" si="1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-4</v>
      </c>
      <c r="K43" s="47">
        <f t="shared" si="0"/>
        <v>-40</v>
      </c>
      <c r="L43" s="47"/>
      <c r="M43" s="49">
        <f t="shared" si="1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-4</v>
      </c>
      <c r="K44" s="41">
        <f t="shared" si="0"/>
        <v>-40</v>
      </c>
      <c r="L44" s="41"/>
      <c r="M44" s="43">
        <f t="shared" si="1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-4</v>
      </c>
      <c r="K45" s="47">
        <f t="shared" si="0"/>
        <v>-40</v>
      </c>
      <c r="L45" s="47"/>
      <c r="M45" s="49">
        <f t="shared" si="1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-4</v>
      </c>
      <c r="K46" s="41">
        <f t="shared" si="0"/>
        <v>-40</v>
      </c>
      <c r="L46" s="41"/>
      <c r="M46" s="43">
        <f t="shared" si="1"/>
        <v>0</v>
      </c>
      <c r="R46" s="19">
        <f>LOG($H$2,2)</f>
        <v>1.5849625007211563</v>
      </c>
      <c r="T46" s="24">
        <f>LOG(H38,2)</f>
        <v>5.0443941193584534</v>
      </c>
      <c r="U46" s="24">
        <f>R46-T46</f>
        <v>-3.4594316186372973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-4</v>
      </c>
      <c r="K47" s="47">
        <f t="shared" si="0"/>
        <v>-40</v>
      </c>
      <c r="L47" s="47"/>
      <c r="M47" s="49">
        <f t="shared" si="1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-4</v>
      </c>
      <c r="K48" s="41">
        <f t="shared" si="0"/>
        <v>-40</v>
      </c>
      <c r="L48" s="41"/>
      <c r="M48" s="43">
        <f t="shared" si="1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-4</v>
      </c>
      <c r="K49" s="47">
        <f t="shared" si="0"/>
        <v>-40</v>
      </c>
      <c r="L49" s="47"/>
      <c r="M49" s="49">
        <f t="shared" si="1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-4</v>
      </c>
      <c r="K50" s="41">
        <f t="shared" si="0"/>
        <v>-40</v>
      </c>
      <c r="L50" s="41"/>
      <c r="M50" s="43">
        <f t="shared" si="1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-4</v>
      </c>
      <c r="K51" s="47">
        <f t="shared" si="0"/>
        <v>-40</v>
      </c>
      <c r="L51" s="47"/>
      <c r="M51" s="49">
        <f t="shared" si="1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-4</v>
      </c>
      <c r="K52" s="41">
        <f t="shared" si="0"/>
        <v>-40</v>
      </c>
      <c r="L52" s="41"/>
      <c r="M52" s="43">
        <f t="shared" si="1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-4</v>
      </c>
      <c r="K53" s="47">
        <f t="shared" si="0"/>
        <v>-40</v>
      </c>
      <c r="L53" s="47"/>
      <c r="M53" s="49">
        <f t="shared" si="1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-4</v>
      </c>
      <c r="K54" s="41">
        <f t="shared" si="0"/>
        <v>-40</v>
      </c>
      <c r="L54" s="41"/>
      <c r="M54" s="43">
        <f t="shared" si="1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-4</v>
      </c>
      <c r="K55" s="47">
        <f t="shared" si="0"/>
        <v>-40</v>
      </c>
      <c r="L55" s="47"/>
      <c r="M55" s="49">
        <f t="shared" si="1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-4</v>
      </c>
      <c r="K56" s="41">
        <f t="shared" si="0"/>
        <v>-40</v>
      </c>
      <c r="L56" s="41"/>
      <c r="M56" s="43">
        <f t="shared" si="1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-4</v>
      </c>
      <c r="K57" s="47">
        <f t="shared" si="0"/>
        <v>-40</v>
      </c>
      <c r="L57" s="47"/>
      <c r="M57" s="49">
        <f t="shared" si="1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-4</v>
      </c>
      <c r="K58" s="41">
        <f t="shared" si="0"/>
        <v>-40</v>
      </c>
      <c r="L58" s="41"/>
      <c r="M58" s="43">
        <f t="shared" si="1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-4</v>
      </c>
      <c r="K59" s="47">
        <f t="shared" si="0"/>
        <v>-40</v>
      </c>
      <c r="L59" s="47"/>
      <c r="M59" s="49">
        <f t="shared" si="1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-4</v>
      </c>
      <c r="K60" s="41">
        <f t="shared" si="0"/>
        <v>-40</v>
      </c>
      <c r="L60" s="41"/>
      <c r="M60" s="43">
        <f t="shared" si="1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-4</v>
      </c>
      <c r="K61" s="47">
        <f t="shared" si="0"/>
        <v>-40</v>
      </c>
      <c r="L61" s="47"/>
      <c r="M61" s="49">
        <f t="shared" si="1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-4</v>
      </c>
      <c r="K62" s="41">
        <f t="shared" si="0"/>
        <v>-40</v>
      </c>
      <c r="L62" s="41"/>
      <c r="M62" s="43">
        <f t="shared" si="1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-4</v>
      </c>
      <c r="K63" s="47">
        <f t="shared" si="0"/>
        <v>-40</v>
      </c>
      <c r="L63" s="47"/>
      <c r="M63" s="49">
        <f t="shared" si="1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-4</v>
      </c>
      <c r="K64" s="41">
        <f t="shared" si="0"/>
        <v>-40</v>
      </c>
      <c r="L64" s="41"/>
      <c r="M64" s="43">
        <f t="shared" si="1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-4</v>
      </c>
      <c r="K65" s="47">
        <f t="shared" si="0"/>
        <v>-40</v>
      </c>
      <c r="L65" s="47"/>
      <c r="M65" s="49">
        <f t="shared" si="1"/>
        <v>0</v>
      </c>
    </row>
    <row r="66" spans="1:13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-4</v>
      </c>
      <c r="K66" s="41">
        <f t="shared" si="0"/>
        <v>-40</v>
      </c>
      <c r="L66" s="41"/>
      <c r="M66" s="43">
        <f t="shared" si="1"/>
        <v>0</v>
      </c>
    </row>
    <row r="67" spans="1:13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-4</v>
      </c>
      <c r="K67" s="41">
        <f t="shared" si="0"/>
        <v>-40</v>
      </c>
      <c r="L67" s="41"/>
      <c r="M67" s="43">
        <f t="shared" si="1"/>
        <v>0</v>
      </c>
    </row>
    <row r="68" spans="1:13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-4</v>
      </c>
      <c r="K68" s="41">
        <f t="shared" si="0"/>
        <v>-40</v>
      </c>
      <c r="L68" s="41"/>
      <c r="M68" s="43">
        <f t="shared" si="1"/>
        <v>0</v>
      </c>
    </row>
    <row r="69" spans="1:13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-4</v>
      </c>
      <c r="K69" s="41">
        <f t="shared" si="0"/>
        <v>-40</v>
      </c>
      <c r="L69" s="41"/>
      <c r="M69" s="43">
        <f t="shared" si="1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-5</v>
      </c>
      <c r="K70" s="41">
        <f t="shared" ref="K70:K133" si="8">J70*$J$2</f>
        <v>-50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-5</v>
      </c>
      <c r="K71" s="41">
        <f t="shared" si="8"/>
        <v>-50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-5</v>
      </c>
      <c r="K72" s="41">
        <f t="shared" si="8"/>
        <v>-50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-5</v>
      </c>
      <c r="K73" s="41">
        <f t="shared" si="8"/>
        <v>-50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-5</v>
      </c>
      <c r="K74" s="41">
        <f t="shared" si="8"/>
        <v>-50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-5</v>
      </c>
      <c r="K75" s="41">
        <f t="shared" si="8"/>
        <v>-50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-5</v>
      </c>
      <c r="K76" s="41">
        <f t="shared" si="8"/>
        <v>-50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-5</v>
      </c>
      <c r="K77" s="41">
        <f t="shared" si="8"/>
        <v>-50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-5</v>
      </c>
      <c r="K78" s="41">
        <f t="shared" si="8"/>
        <v>-50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-5</v>
      </c>
      <c r="K79" s="41">
        <f t="shared" si="8"/>
        <v>-50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-5</v>
      </c>
      <c r="K80" s="41">
        <f t="shared" si="8"/>
        <v>-50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-5</v>
      </c>
      <c r="K81" s="41">
        <f t="shared" si="8"/>
        <v>-50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-5</v>
      </c>
      <c r="K82" s="41">
        <f t="shared" si="8"/>
        <v>-50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-5</v>
      </c>
      <c r="K83" s="41">
        <f t="shared" si="8"/>
        <v>-50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-5</v>
      </c>
      <c r="K84" s="41">
        <f t="shared" si="8"/>
        <v>-50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-5</v>
      </c>
      <c r="K85" s="41">
        <f t="shared" si="8"/>
        <v>-50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-5</v>
      </c>
      <c r="K86" s="41">
        <f t="shared" si="8"/>
        <v>-50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-5</v>
      </c>
      <c r="K87" s="41">
        <f t="shared" si="8"/>
        <v>-50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-5</v>
      </c>
      <c r="K88" s="41">
        <f t="shared" si="8"/>
        <v>-50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-5</v>
      </c>
      <c r="K89" s="41">
        <f t="shared" si="8"/>
        <v>-50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-5</v>
      </c>
      <c r="K90" s="41">
        <f t="shared" si="8"/>
        <v>-50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-5</v>
      </c>
      <c r="K91" s="41">
        <f t="shared" si="8"/>
        <v>-50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-5</v>
      </c>
      <c r="K92" s="41">
        <f t="shared" si="8"/>
        <v>-50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-5</v>
      </c>
      <c r="K93" s="41">
        <f t="shared" si="8"/>
        <v>-50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-5</v>
      </c>
      <c r="K94" s="41">
        <f t="shared" si="8"/>
        <v>-50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-5</v>
      </c>
      <c r="K95" s="41">
        <f t="shared" si="8"/>
        <v>-50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-5</v>
      </c>
      <c r="K96" s="41">
        <f t="shared" si="8"/>
        <v>-50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-5</v>
      </c>
      <c r="K97" s="41">
        <f t="shared" si="8"/>
        <v>-50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-5</v>
      </c>
      <c r="K98" s="41">
        <f t="shared" si="8"/>
        <v>-50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-5</v>
      </c>
      <c r="K99" s="41">
        <f t="shared" si="8"/>
        <v>-50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-5</v>
      </c>
      <c r="K100" s="41">
        <f t="shared" si="8"/>
        <v>-50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-5</v>
      </c>
      <c r="K101" s="41">
        <f t="shared" si="8"/>
        <v>-50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-5</v>
      </c>
      <c r="K102" s="41">
        <f t="shared" si="8"/>
        <v>-50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-5</v>
      </c>
      <c r="K103" s="41">
        <f t="shared" si="8"/>
        <v>-50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-5</v>
      </c>
      <c r="K104" s="41">
        <f t="shared" si="8"/>
        <v>-50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-5</v>
      </c>
      <c r="K105" s="41">
        <f t="shared" si="8"/>
        <v>-50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-5</v>
      </c>
      <c r="K106" s="41">
        <f t="shared" si="8"/>
        <v>-50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-5</v>
      </c>
      <c r="K107" s="41">
        <f t="shared" si="8"/>
        <v>-50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-5</v>
      </c>
      <c r="K108" s="41">
        <f t="shared" si="8"/>
        <v>-50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-5</v>
      </c>
      <c r="K109" s="41">
        <f t="shared" si="8"/>
        <v>-50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-5</v>
      </c>
      <c r="K110" s="41">
        <f t="shared" si="8"/>
        <v>-50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-5</v>
      </c>
      <c r="K111" s="41">
        <f t="shared" si="8"/>
        <v>-50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-5</v>
      </c>
      <c r="K112" s="41">
        <f t="shared" si="8"/>
        <v>-50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-5</v>
      </c>
      <c r="K113" s="41">
        <f t="shared" si="8"/>
        <v>-50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-5</v>
      </c>
      <c r="K114" s="41">
        <f t="shared" si="8"/>
        <v>-50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-5</v>
      </c>
      <c r="K115" s="41">
        <f t="shared" si="8"/>
        <v>-50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-5</v>
      </c>
      <c r="K116" s="41">
        <f t="shared" si="8"/>
        <v>-50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-5</v>
      </c>
      <c r="K117" s="41">
        <f t="shared" si="8"/>
        <v>-50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-5</v>
      </c>
      <c r="K118" s="41">
        <f t="shared" si="8"/>
        <v>-50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-5</v>
      </c>
      <c r="K119" s="41">
        <f t="shared" si="8"/>
        <v>-50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-5</v>
      </c>
      <c r="K120" s="41">
        <f t="shared" si="8"/>
        <v>-50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-5</v>
      </c>
      <c r="K121" s="41">
        <f t="shared" si="8"/>
        <v>-50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-5</v>
      </c>
      <c r="K122" s="41">
        <f t="shared" si="8"/>
        <v>-50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-5</v>
      </c>
      <c r="K123" s="41">
        <f t="shared" si="8"/>
        <v>-50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-5</v>
      </c>
      <c r="K124" s="41">
        <f t="shared" si="8"/>
        <v>-50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-5</v>
      </c>
      <c r="K125" s="41">
        <f t="shared" si="8"/>
        <v>-50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-5</v>
      </c>
      <c r="K126" s="41">
        <f t="shared" si="8"/>
        <v>-50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-5</v>
      </c>
      <c r="K127" s="41">
        <f t="shared" si="8"/>
        <v>-50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-5</v>
      </c>
      <c r="K128" s="41">
        <f t="shared" si="8"/>
        <v>-50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-5</v>
      </c>
      <c r="K129" s="41">
        <f t="shared" si="8"/>
        <v>-50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-5</v>
      </c>
      <c r="K130" s="41">
        <f t="shared" si="8"/>
        <v>-50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-5</v>
      </c>
      <c r="K131" s="41">
        <f t="shared" si="8"/>
        <v>-50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-5</v>
      </c>
      <c r="K132" s="41">
        <f t="shared" si="8"/>
        <v>-50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-5</v>
      </c>
      <c r="K133" s="41">
        <f t="shared" si="8"/>
        <v>-50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-6</v>
      </c>
      <c r="K134" s="41">
        <f t="shared" ref="K134:K197" si="12">J134*$J$2</f>
        <v>-60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-6</v>
      </c>
      <c r="K135" s="41">
        <f t="shared" si="12"/>
        <v>-60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-6</v>
      </c>
      <c r="K136" s="41">
        <f t="shared" si="12"/>
        <v>-60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-6</v>
      </c>
      <c r="K137" s="41">
        <f t="shared" si="12"/>
        <v>-60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-6</v>
      </c>
      <c r="K138" s="41">
        <f t="shared" si="12"/>
        <v>-60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-6</v>
      </c>
      <c r="K139" s="41">
        <f t="shared" si="12"/>
        <v>-60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-6</v>
      </c>
      <c r="K140" s="41">
        <f t="shared" si="12"/>
        <v>-60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-6</v>
      </c>
      <c r="K141" s="41">
        <f t="shared" si="12"/>
        <v>-60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-6</v>
      </c>
      <c r="K142" s="41">
        <f t="shared" si="12"/>
        <v>-60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-6</v>
      </c>
      <c r="K143" s="41">
        <f t="shared" si="12"/>
        <v>-60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-6</v>
      </c>
      <c r="K144" s="41">
        <f t="shared" si="12"/>
        <v>-60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-6</v>
      </c>
      <c r="K145" s="41">
        <f t="shared" si="12"/>
        <v>-60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-6</v>
      </c>
      <c r="K146" s="41">
        <f t="shared" si="12"/>
        <v>-60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-6</v>
      </c>
      <c r="K147" s="41">
        <f t="shared" si="12"/>
        <v>-60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-6</v>
      </c>
      <c r="K148" s="41">
        <f t="shared" si="12"/>
        <v>-60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-6</v>
      </c>
      <c r="K149" s="41">
        <f t="shared" si="12"/>
        <v>-60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-6</v>
      </c>
      <c r="K150" s="41">
        <f t="shared" si="12"/>
        <v>-60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-6</v>
      </c>
      <c r="K151" s="41">
        <f t="shared" si="12"/>
        <v>-60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-6</v>
      </c>
      <c r="K152" s="41">
        <f t="shared" si="12"/>
        <v>-60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-6</v>
      </c>
      <c r="K153" s="41">
        <f t="shared" si="12"/>
        <v>-60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-6</v>
      </c>
      <c r="K154" s="41">
        <f t="shared" si="12"/>
        <v>-60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-6</v>
      </c>
      <c r="K155" s="41">
        <f t="shared" si="12"/>
        <v>-60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-6</v>
      </c>
      <c r="K156" s="41">
        <f t="shared" si="12"/>
        <v>-60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-6</v>
      </c>
      <c r="K157" s="41">
        <f t="shared" si="12"/>
        <v>-60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-6</v>
      </c>
      <c r="K158" s="41">
        <f t="shared" si="12"/>
        <v>-60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-6</v>
      </c>
      <c r="K159" s="41">
        <f t="shared" si="12"/>
        <v>-60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-6</v>
      </c>
      <c r="K160" s="41">
        <f t="shared" si="12"/>
        <v>-60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-6</v>
      </c>
      <c r="K161" s="41">
        <f t="shared" si="12"/>
        <v>-60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-6</v>
      </c>
      <c r="K162" s="41">
        <f t="shared" si="12"/>
        <v>-60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-6</v>
      </c>
      <c r="K163" s="41">
        <f t="shared" si="12"/>
        <v>-60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-6</v>
      </c>
      <c r="K164" s="41">
        <f t="shared" si="12"/>
        <v>-60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-6</v>
      </c>
      <c r="K165" s="41">
        <f t="shared" si="12"/>
        <v>-60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-6</v>
      </c>
      <c r="K166" s="41">
        <f t="shared" si="12"/>
        <v>-60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-6</v>
      </c>
      <c r="K167" s="41">
        <f t="shared" si="12"/>
        <v>-60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-6</v>
      </c>
      <c r="K168" s="41">
        <f t="shared" si="12"/>
        <v>-60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-6</v>
      </c>
      <c r="K169" s="41">
        <f t="shared" si="12"/>
        <v>-60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-6</v>
      </c>
      <c r="K170" s="41">
        <f t="shared" si="12"/>
        <v>-60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-6</v>
      </c>
      <c r="K171" s="41">
        <f t="shared" si="12"/>
        <v>-60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-6</v>
      </c>
      <c r="K172" s="41">
        <f t="shared" si="12"/>
        <v>-60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-6</v>
      </c>
      <c r="K173" s="41">
        <f t="shared" si="12"/>
        <v>-60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-6</v>
      </c>
      <c r="K174" s="41">
        <f t="shared" si="12"/>
        <v>-60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-6</v>
      </c>
      <c r="K175" s="41">
        <f t="shared" si="12"/>
        <v>-60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-6</v>
      </c>
      <c r="K176" s="41">
        <f t="shared" si="12"/>
        <v>-60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-6</v>
      </c>
      <c r="K177" s="41">
        <f t="shared" si="12"/>
        <v>-60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-6</v>
      </c>
      <c r="K178" s="41">
        <f t="shared" si="12"/>
        <v>-60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-6</v>
      </c>
      <c r="K179" s="41">
        <f t="shared" si="12"/>
        <v>-60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-6</v>
      </c>
      <c r="K180" s="41">
        <f t="shared" si="12"/>
        <v>-60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-6</v>
      </c>
      <c r="K181" s="41">
        <f t="shared" si="12"/>
        <v>-60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-6</v>
      </c>
      <c r="K182" s="41">
        <f t="shared" si="12"/>
        <v>-60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-6</v>
      </c>
      <c r="K183" s="41">
        <f t="shared" si="12"/>
        <v>-60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-6</v>
      </c>
      <c r="K184" s="41">
        <f t="shared" si="12"/>
        <v>-60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-6</v>
      </c>
      <c r="K185" s="41">
        <f t="shared" si="12"/>
        <v>-60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-6</v>
      </c>
      <c r="K186" s="41">
        <f t="shared" si="12"/>
        <v>-60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-6</v>
      </c>
      <c r="K187" s="41">
        <f t="shared" si="12"/>
        <v>-60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-6</v>
      </c>
      <c r="K188" s="41">
        <f t="shared" si="12"/>
        <v>-60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-6</v>
      </c>
      <c r="K189" s="41">
        <f t="shared" si="12"/>
        <v>-60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-6</v>
      </c>
      <c r="K190" s="41">
        <f t="shared" si="12"/>
        <v>-60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-6</v>
      </c>
      <c r="K191" s="41">
        <f t="shared" si="12"/>
        <v>-60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-6</v>
      </c>
      <c r="K192" s="41">
        <f t="shared" si="12"/>
        <v>-60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-6</v>
      </c>
      <c r="K193" s="41">
        <f t="shared" si="12"/>
        <v>-60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-6</v>
      </c>
      <c r="K194" s="41">
        <f t="shared" si="12"/>
        <v>-60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-6</v>
      </c>
      <c r="K195" s="41">
        <f t="shared" si="12"/>
        <v>-60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-6</v>
      </c>
      <c r="K196" s="41">
        <f t="shared" si="12"/>
        <v>-60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-6</v>
      </c>
      <c r="K197" s="41">
        <f t="shared" si="12"/>
        <v>-60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-6</v>
      </c>
      <c r="K198" s="41">
        <f t="shared" ref="K198:K261" si="16">J198*$J$2</f>
        <v>-60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-6</v>
      </c>
      <c r="K199" s="41">
        <f t="shared" si="16"/>
        <v>-60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-6</v>
      </c>
      <c r="K200" s="41">
        <f t="shared" si="16"/>
        <v>-60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-6</v>
      </c>
      <c r="K201" s="41">
        <f t="shared" si="16"/>
        <v>-60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-6</v>
      </c>
      <c r="K202" s="41">
        <f t="shared" si="16"/>
        <v>-60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-6</v>
      </c>
      <c r="K203" s="41">
        <f t="shared" si="16"/>
        <v>-60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-6</v>
      </c>
      <c r="K204" s="41">
        <f t="shared" si="16"/>
        <v>-60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-6</v>
      </c>
      <c r="K205" s="41">
        <f t="shared" si="16"/>
        <v>-60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-6</v>
      </c>
      <c r="K206" s="41">
        <f t="shared" si="16"/>
        <v>-60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-6</v>
      </c>
      <c r="K207" s="41">
        <f t="shared" si="16"/>
        <v>-60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-6</v>
      </c>
      <c r="K208" s="41">
        <f t="shared" si="16"/>
        <v>-60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-6</v>
      </c>
      <c r="K209" s="41">
        <f t="shared" si="16"/>
        <v>-60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-6</v>
      </c>
      <c r="K210" s="41">
        <f t="shared" si="16"/>
        <v>-60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-6</v>
      </c>
      <c r="K211" s="41">
        <f t="shared" si="16"/>
        <v>-60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-6</v>
      </c>
      <c r="K212" s="41">
        <f t="shared" si="16"/>
        <v>-60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-6</v>
      </c>
      <c r="K213" s="41">
        <f t="shared" si="16"/>
        <v>-60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-6</v>
      </c>
      <c r="K214" s="41">
        <f t="shared" si="16"/>
        <v>-60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-6</v>
      </c>
      <c r="K215" s="41">
        <f t="shared" si="16"/>
        <v>-60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-6</v>
      </c>
      <c r="K216" s="41">
        <f t="shared" si="16"/>
        <v>-60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-6</v>
      </c>
      <c r="K217" s="41">
        <f t="shared" si="16"/>
        <v>-60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-6</v>
      </c>
      <c r="K218" s="41">
        <f t="shared" si="16"/>
        <v>-60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-6</v>
      </c>
      <c r="K219" s="41">
        <f t="shared" si="16"/>
        <v>-60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-6</v>
      </c>
      <c r="K220" s="41">
        <f t="shared" si="16"/>
        <v>-60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-6</v>
      </c>
      <c r="K221" s="41">
        <f t="shared" si="16"/>
        <v>-60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-6</v>
      </c>
      <c r="K222" s="41">
        <f t="shared" si="16"/>
        <v>-60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-6</v>
      </c>
      <c r="K223" s="41">
        <f t="shared" si="16"/>
        <v>-60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-6</v>
      </c>
      <c r="K224" s="41">
        <f t="shared" si="16"/>
        <v>-60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-6</v>
      </c>
      <c r="K225" s="41">
        <f t="shared" si="16"/>
        <v>-60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-6</v>
      </c>
      <c r="K226" s="41">
        <f t="shared" si="16"/>
        <v>-60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-6</v>
      </c>
      <c r="K227" s="41">
        <f t="shared" si="16"/>
        <v>-60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-6</v>
      </c>
      <c r="K228" s="41">
        <f t="shared" si="16"/>
        <v>-60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-6</v>
      </c>
      <c r="K229" s="41">
        <f t="shared" si="16"/>
        <v>-60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-6</v>
      </c>
      <c r="K230" s="41">
        <f t="shared" si="16"/>
        <v>-60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-6</v>
      </c>
      <c r="K231" s="41">
        <f t="shared" si="16"/>
        <v>-60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-6</v>
      </c>
      <c r="K232" s="41">
        <f t="shared" si="16"/>
        <v>-60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-6</v>
      </c>
      <c r="K233" s="41">
        <f t="shared" si="16"/>
        <v>-60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-6</v>
      </c>
      <c r="K234" s="41">
        <f t="shared" si="16"/>
        <v>-60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-6</v>
      </c>
      <c r="K235" s="41">
        <f t="shared" si="16"/>
        <v>-60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-6</v>
      </c>
      <c r="K236" s="41">
        <f t="shared" si="16"/>
        <v>-60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-6</v>
      </c>
      <c r="K237" s="41">
        <f t="shared" si="16"/>
        <v>-60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-6</v>
      </c>
      <c r="K238" s="41">
        <f t="shared" si="16"/>
        <v>-60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-6</v>
      </c>
      <c r="K239" s="41">
        <f t="shared" si="16"/>
        <v>-60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-6</v>
      </c>
      <c r="K240" s="41">
        <f t="shared" si="16"/>
        <v>-60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-6</v>
      </c>
      <c r="K241" s="41">
        <f t="shared" si="16"/>
        <v>-60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-6</v>
      </c>
      <c r="K242" s="41">
        <f t="shared" si="16"/>
        <v>-60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-6</v>
      </c>
      <c r="K243" s="41">
        <f t="shared" si="16"/>
        <v>-60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-6</v>
      </c>
      <c r="K244" s="41">
        <f t="shared" si="16"/>
        <v>-60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-6</v>
      </c>
      <c r="K245" s="41">
        <f t="shared" si="16"/>
        <v>-60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-6</v>
      </c>
      <c r="K246" s="41">
        <f t="shared" si="16"/>
        <v>-60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-6</v>
      </c>
      <c r="K247" s="41">
        <f t="shared" si="16"/>
        <v>-60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-6</v>
      </c>
      <c r="K248" s="41">
        <f t="shared" si="16"/>
        <v>-60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-6</v>
      </c>
      <c r="K249" s="41">
        <f t="shared" si="16"/>
        <v>-60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-6</v>
      </c>
      <c r="K250" s="41">
        <f t="shared" si="16"/>
        <v>-60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-6</v>
      </c>
      <c r="K251" s="41">
        <f t="shared" si="16"/>
        <v>-60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-6</v>
      </c>
      <c r="K252" s="41">
        <f t="shared" si="16"/>
        <v>-60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-6</v>
      </c>
      <c r="K253" s="41">
        <f t="shared" si="16"/>
        <v>-60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-6</v>
      </c>
      <c r="K254" s="41">
        <f t="shared" si="16"/>
        <v>-60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-6</v>
      </c>
      <c r="K255" s="41">
        <f t="shared" si="16"/>
        <v>-60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-6</v>
      </c>
      <c r="K256" s="41">
        <f t="shared" si="16"/>
        <v>-60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-6</v>
      </c>
      <c r="K257" s="41">
        <f t="shared" si="16"/>
        <v>-60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-6</v>
      </c>
      <c r="K258" s="41">
        <f t="shared" si="16"/>
        <v>-60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-6</v>
      </c>
      <c r="K259" s="41">
        <f t="shared" si="16"/>
        <v>-60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-6</v>
      </c>
      <c r="K260" s="41">
        <f t="shared" si="16"/>
        <v>-60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-6</v>
      </c>
      <c r="K261" s="41">
        <f t="shared" si="16"/>
        <v>-60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-7</v>
      </c>
      <c r="K262" s="41">
        <f t="shared" ref="K262:K305" si="20">J262*$J$2</f>
        <v>-70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-7</v>
      </c>
      <c r="K263" s="41">
        <f t="shared" si="20"/>
        <v>-70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-7</v>
      </c>
      <c r="K264" s="41">
        <f t="shared" si="20"/>
        <v>-70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-7</v>
      </c>
      <c r="K265" s="41">
        <f t="shared" si="20"/>
        <v>-70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-7</v>
      </c>
      <c r="K266" s="41">
        <f t="shared" si="20"/>
        <v>-70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-7</v>
      </c>
      <c r="K267" s="41">
        <f t="shared" si="20"/>
        <v>-70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-7</v>
      </c>
      <c r="K268" s="41">
        <f t="shared" si="20"/>
        <v>-70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-7</v>
      </c>
      <c r="K269" s="41">
        <f t="shared" si="20"/>
        <v>-70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-7</v>
      </c>
      <c r="K270" s="41">
        <f t="shared" si="20"/>
        <v>-70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-7</v>
      </c>
      <c r="K271" s="41">
        <f t="shared" si="20"/>
        <v>-70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-7</v>
      </c>
      <c r="K272" s="41">
        <f t="shared" si="20"/>
        <v>-70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-7</v>
      </c>
      <c r="K273" s="41">
        <f t="shared" si="20"/>
        <v>-70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-7</v>
      </c>
      <c r="K274" s="41">
        <f t="shared" si="20"/>
        <v>-70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-7</v>
      </c>
      <c r="K275" s="41">
        <f t="shared" si="20"/>
        <v>-70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-7</v>
      </c>
      <c r="K276" s="41">
        <f t="shared" si="20"/>
        <v>-70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-7</v>
      </c>
      <c r="K277" s="41">
        <f t="shared" si="20"/>
        <v>-70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-7</v>
      </c>
      <c r="K278" s="41">
        <f t="shared" si="20"/>
        <v>-70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-7</v>
      </c>
      <c r="K279" s="41">
        <f t="shared" si="20"/>
        <v>-70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-7</v>
      </c>
      <c r="K280" s="41">
        <f t="shared" si="20"/>
        <v>-70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-7</v>
      </c>
      <c r="K281" s="41">
        <f t="shared" si="20"/>
        <v>-70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-7</v>
      </c>
      <c r="K282" s="41">
        <f t="shared" si="20"/>
        <v>-70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-7</v>
      </c>
      <c r="K283" s="41">
        <f t="shared" si="20"/>
        <v>-70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-7</v>
      </c>
      <c r="K284" s="41">
        <f t="shared" si="20"/>
        <v>-70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-7</v>
      </c>
      <c r="K285" s="41">
        <f t="shared" si="20"/>
        <v>-70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-7</v>
      </c>
      <c r="K286" s="41">
        <f t="shared" si="20"/>
        <v>-70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-7</v>
      </c>
      <c r="K287" s="41">
        <f t="shared" si="20"/>
        <v>-70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-7</v>
      </c>
      <c r="K288" s="41">
        <f t="shared" si="20"/>
        <v>-70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-7</v>
      </c>
      <c r="K289" s="41">
        <f t="shared" si="20"/>
        <v>-70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-7</v>
      </c>
      <c r="K290" s="41">
        <f t="shared" si="20"/>
        <v>-70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-7</v>
      </c>
      <c r="K291" s="41">
        <f t="shared" si="20"/>
        <v>-70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-7</v>
      </c>
      <c r="K292" s="41">
        <f t="shared" si="20"/>
        <v>-70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-7</v>
      </c>
      <c r="K293" s="41">
        <f t="shared" si="20"/>
        <v>-70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-7</v>
      </c>
      <c r="K294" s="41">
        <f t="shared" si="20"/>
        <v>-70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-7</v>
      </c>
      <c r="K295" s="41">
        <f t="shared" si="20"/>
        <v>-70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-7</v>
      </c>
      <c r="K296" s="41">
        <f t="shared" si="20"/>
        <v>-70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-7</v>
      </c>
      <c r="K297" s="41">
        <f t="shared" si="20"/>
        <v>-70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-7</v>
      </c>
      <c r="K298" s="41">
        <f t="shared" si="20"/>
        <v>-70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-7</v>
      </c>
      <c r="K299" s="41">
        <f t="shared" si="20"/>
        <v>-70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-7</v>
      </c>
      <c r="K300" s="41">
        <f t="shared" si="20"/>
        <v>-70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-7</v>
      </c>
      <c r="K301" s="41">
        <f t="shared" si="20"/>
        <v>-70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-7</v>
      </c>
      <c r="K302" s="41">
        <f t="shared" si="20"/>
        <v>-70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-7</v>
      </c>
      <c r="K303" s="41">
        <f t="shared" si="20"/>
        <v>-70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-7</v>
      </c>
      <c r="K304" s="41">
        <f t="shared" si="20"/>
        <v>-70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-7</v>
      </c>
      <c r="K305" s="41">
        <f t="shared" si="20"/>
        <v>-70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97B302E1-0428-48D2-A521-198595AF73F5}">
      <formula1>#REF!</formula1>
    </dataValidation>
  </dataValidations>
  <hyperlinks>
    <hyperlink ref="C2:D2" r:id="rId1" display="NIEPOŁOMICE" xr:uid="{71FDA190-751E-42F4-AF94-F17CF17AA1F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2052-8AE6-4B87-8AD8-336DD3A3E587}">
  <sheetPr>
    <tabColor theme="7" tint="0.79998168889431442"/>
  </sheetPr>
  <dimension ref="A1:AL317"/>
  <sheetViews>
    <sheetView workbookViewId="0">
      <selection activeCell="C23" sqref="C23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ht="14.45" customHeight="1">
      <c r="A2" s="19"/>
      <c r="B2" s="25" t="s">
        <v>28</v>
      </c>
      <c r="C2" s="182" t="s">
        <v>63</v>
      </c>
      <c r="D2" s="182"/>
      <c r="E2" s="26"/>
      <c r="F2" s="26"/>
      <c r="G2" s="26"/>
      <c r="H2" s="27">
        <v>3</v>
      </c>
      <c r="I2" s="28">
        <v>50</v>
      </c>
      <c r="J2" s="28">
        <v>10</v>
      </c>
      <c r="K2" s="29">
        <f>3*H2^(1/3)</f>
        <v>4.3267487109222245</v>
      </c>
      <c r="L2" s="23"/>
      <c r="M2" s="23"/>
    </row>
    <row r="3" spans="1:36" ht="14.45" customHeight="1">
      <c r="A3" s="19"/>
      <c r="B3" s="30" t="s">
        <v>30</v>
      </c>
      <c r="C3" s="183" t="s">
        <v>64</v>
      </c>
      <c r="D3" s="183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>
      <c r="A6" s="38">
        <f>M6</f>
        <v>82.980246132766666</v>
      </c>
      <c r="B6" s="39">
        <f t="shared" ref="B6:B13" si="0">IF(H6&gt;$H$2,"",(ROW()-5))</f>
        <v>1</v>
      </c>
      <c r="C6" s="40" t="s">
        <v>16</v>
      </c>
      <c r="D6" s="40"/>
      <c r="E6" s="40"/>
      <c r="F6" s="40" t="s">
        <v>65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1">J6*$J$2</f>
        <v>20</v>
      </c>
      <c r="L6" s="43">
        <f>3*K2</f>
        <v>12.980246132766673</v>
      </c>
      <c r="M6" s="43">
        <f t="shared" ref="M6:M69" si="2">IF(I6&lt;&gt;"",K6+I6+L6,0)</f>
        <v>82.980246132766666</v>
      </c>
    </row>
    <row r="7" spans="1:36" ht="14.45" customHeight="1">
      <c r="A7" s="44">
        <f t="shared" ref="A7:A37" si="3">M7</f>
        <v>37.73793949684304</v>
      </c>
      <c r="B7" s="45">
        <f t="shared" si="0"/>
        <v>2</v>
      </c>
      <c r="C7" s="46" t="s">
        <v>18</v>
      </c>
      <c r="D7" s="46"/>
      <c r="E7" s="46"/>
      <c r="F7" s="46" t="s">
        <v>65</v>
      </c>
      <c r="G7" s="33"/>
      <c r="H7" s="47">
        <v>2</v>
      </c>
      <c r="I7" s="48">
        <f t="shared" ref="I7:I69" si="4">IF(H7&lt;$H$2+1,($I$2-($I$2-1)*(LOG(H7)/LOG($H$2))),"")</f>
        <v>19.084442074998588</v>
      </c>
      <c r="J7" s="47">
        <f t="shared" ref="J7:J70" si="5">INT(LOG($H$2,2))-ROUNDUP(LOG(H7,2),0)+IF(OR($H$2=1,$H$2=2,$H$2=4,$H$2=8,$H$2=16,$H$2=32,$H$2=64,$H$2=128,$H$2=256),0,1)</f>
        <v>1</v>
      </c>
      <c r="K7" s="47">
        <f t="shared" si="1"/>
        <v>10</v>
      </c>
      <c r="L7" s="49">
        <f>2*K2</f>
        <v>8.6534974218444489</v>
      </c>
      <c r="M7" s="49">
        <f t="shared" si="2"/>
        <v>37.73793949684304</v>
      </c>
    </row>
    <row r="8" spans="1:36" ht="14.45" customHeight="1">
      <c r="A8" s="38">
        <f t="shared" si="3"/>
        <v>5.3267487109222245</v>
      </c>
      <c r="B8" s="39">
        <f t="shared" si="0"/>
        <v>3</v>
      </c>
      <c r="C8" s="40" t="s">
        <v>22</v>
      </c>
      <c r="D8" s="40"/>
      <c r="E8" s="40"/>
      <c r="F8" s="40" t="s">
        <v>65</v>
      </c>
      <c r="G8" s="33"/>
      <c r="H8" s="41">
        <v>3</v>
      </c>
      <c r="I8" s="42">
        <f t="shared" si="4"/>
        <v>1</v>
      </c>
      <c r="J8" s="41">
        <f t="shared" si="5"/>
        <v>0</v>
      </c>
      <c r="K8" s="41">
        <f t="shared" si="1"/>
        <v>0</v>
      </c>
      <c r="L8" s="43">
        <f>K2</f>
        <v>4.3267487109222245</v>
      </c>
      <c r="M8" s="43">
        <f t="shared" si="2"/>
        <v>5.3267487109222245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0</v>
      </c>
      <c r="K9" s="47">
        <f t="shared" si="1"/>
        <v>0</v>
      </c>
      <c r="L9" s="49"/>
      <c r="M9" s="49">
        <f t="shared" si="2"/>
        <v>0</v>
      </c>
      <c r="V9" s="50"/>
      <c r="Z9" s="51"/>
      <c r="AA9" s="51"/>
      <c r="AG9" s="52"/>
      <c r="AH9" s="24" t="s">
        <v>50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-1</v>
      </c>
      <c r="K10" s="41">
        <f t="shared" si="1"/>
        <v>-10</v>
      </c>
      <c r="L10" s="41"/>
      <c r="M10" s="43">
        <f t="shared" si="2"/>
        <v>0</v>
      </c>
      <c r="V10" s="50"/>
      <c r="Z10" s="51"/>
      <c r="AA10" s="51"/>
      <c r="AG10" s="52"/>
      <c r="AH10" s="24" t="s">
        <v>52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-1</v>
      </c>
      <c r="K11" s="47">
        <f t="shared" si="1"/>
        <v>-10</v>
      </c>
      <c r="L11" s="47"/>
      <c r="M11" s="49">
        <f t="shared" si="2"/>
        <v>0</v>
      </c>
      <c r="V11" s="53"/>
      <c r="Z11" s="51"/>
      <c r="AA11" s="51"/>
      <c r="AG11" s="52"/>
      <c r="AH11" s="24" t="s">
        <v>53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-1</v>
      </c>
      <c r="K12" s="41">
        <f t="shared" si="1"/>
        <v>-10</v>
      </c>
      <c r="L12" s="41"/>
      <c r="M12" s="43">
        <f t="shared" si="2"/>
        <v>0</v>
      </c>
      <c r="Z12" s="51"/>
      <c r="AA12" s="51"/>
      <c r="AG12" s="52"/>
      <c r="AH12" s="24" t="s">
        <v>54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-1</v>
      </c>
      <c r="K13" s="47">
        <f t="shared" si="1"/>
        <v>-10</v>
      </c>
      <c r="L13" s="47"/>
      <c r="M13" s="49">
        <f t="shared" si="2"/>
        <v>0</v>
      </c>
      <c r="X13" s="50"/>
      <c r="AG13" s="52"/>
      <c r="AH13" s="24" t="s">
        <v>55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-2</v>
      </c>
      <c r="K14" s="41">
        <f t="shared" si="1"/>
        <v>-20</v>
      </c>
      <c r="L14" s="41"/>
      <c r="M14" s="43">
        <f t="shared" si="2"/>
        <v>0</v>
      </c>
      <c r="X14" s="56"/>
      <c r="Z14" s="51"/>
      <c r="AA14" s="51"/>
      <c r="AG14" s="52"/>
      <c r="AH14" s="24" t="s">
        <v>56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-2</v>
      </c>
      <c r="K15" s="47">
        <f t="shared" si="1"/>
        <v>-20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-2</v>
      </c>
      <c r="K16" s="41">
        <f t="shared" si="1"/>
        <v>-20</v>
      </c>
      <c r="L16" s="41"/>
      <c r="M16" s="43">
        <f t="shared" si="2"/>
        <v>0</v>
      </c>
      <c r="R16" s="57"/>
      <c r="Z16" s="51"/>
      <c r="AA16" s="51"/>
      <c r="AH16" s="58" t="s">
        <v>57</v>
      </c>
      <c r="AI16" s="24">
        <f>AI11-AI12*AI13/AI14</f>
        <v>9.6393909380186855</v>
      </c>
      <c r="AJ16" s="24" t="s">
        <v>58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-2</v>
      </c>
      <c r="K17" s="47">
        <f t="shared" si="1"/>
        <v>-20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-2</v>
      </c>
      <c r="K18" s="41">
        <f t="shared" si="1"/>
        <v>-20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-2</v>
      </c>
      <c r="K19" s="47">
        <f t="shared" si="1"/>
        <v>-20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-2</v>
      </c>
      <c r="K20" s="41">
        <f t="shared" si="1"/>
        <v>-20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-2</v>
      </c>
      <c r="K21" s="47">
        <f t="shared" si="1"/>
        <v>-20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-3</v>
      </c>
      <c r="K22" s="41">
        <f t="shared" si="1"/>
        <v>-30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-3</v>
      </c>
      <c r="K23" s="47">
        <f t="shared" si="1"/>
        <v>-30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-3</v>
      </c>
      <c r="K24" s="41">
        <f t="shared" si="1"/>
        <v>-30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-3</v>
      </c>
      <c r="K25" s="47">
        <f t="shared" si="1"/>
        <v>-30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-3</v>
      </c>
      <c r="K26" s="41">
        <f t="shared" si="1"/>
        <v>-30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-3</v>
      </c>
      <c r="K27" s="47">
        <f t="shared" si="1"/>
        <v>-30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-3</v>
      </c>
      <c r="K28" s="41">
        <f t="shared" si="1"/>
        <v>-30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-3</v>
      </c>
      <c r="K29" s="47">
        <f t="shared" si="1"/>
        <v>-30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-3</v>
      </c>
      <c r="K30" s="41">
        <f t="shared" si="1"/>
        <v>-30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-3</v>
      </c>
      <c r="K31" s="47">
        <f t="shared" si="1"/>
        <v>-30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-3</v>
      </c>
      <c r="K32" s="41">
        <f t="shared" si="1"/>
        <v>-30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-3</v>
      </c>
      <c r="K33" s="47">
        <f t="shared" si="1"/>
        <v>-30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-3</v>
      </c>
      <c r="K34" s="41">
        <f t="shared" si="1"/>
        <v>-30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-3</v>
      </c>
      <c r="K35" s="47">
        <f t="shared" si="1"/>
        <v>-30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-3</v>
      </c>
      <c r="K36" s="41">
        <f t="shared" si="1"/>
        <v>-30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-3</v>
      </c>
      <c r="K37" s="47">
        <f t="shared" si="1"/>
        <v>-30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-4</v>
      </c>
      <c r="K38" s="41">
        <f t="shared" si="1"/>
        <v>-40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-4</v>
      </c>
      <c r="K39" s="47">
        <f t="shared" si="1"/>
        <v>-40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-4</v>
      </c>
      <c r="K40" s="41">
        <f t="shared" si="1"/>
        <v>-40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-4</v>
      </c>
      <c r="K41" s="47">
        <f t="shared" si="1"/>
        <v>-40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-4</v>
      </c>
      <c r="K42" s="41">
        <f t="shared" si="1"/>
        <v>-40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-4</v>
      </c>
      <c r="K43" s="47">
        <f t="shared" si="1"/>
        <v>-40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-4</v>
      </c>
      <c r="K44" s="41">
        <f t="shared" si="1"/>
        <v>-40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-4</v>
      </c>
      <c r="K45" s="47">
        <f t="shared" si="1"/>
        <v>-40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-4</v>
      </c>
      <c r="K46" s="41">
        <f t="shared" si="1"/>
        <v>-40</v>
      </c>
      <c r="L46" s="41"/>
      <c r="M46" s="43">
        <f t="shared" si="2"/>
        <v>0</v>
      </c>
      <c r="R46" s="19">
        <f>LOG($H$2,2)</f>
        <v>1.5849625007211563</v>
      </c>
      <c r="T46" s="24">
        <f>LOG(H38,2)</f>
        <v>5.0443941193584534</v>
      </c>
      <c r="U46" s="24">
        <f>R46-T46</f>
        <v>-3.4594316186372973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-4</v>
      </c>
      <c r="K47" s="47">
        <f t="shared" si="1"/>
        <v>-40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-4</v>
      </c>
      <c r="K48" s="41">
        <f t="shared" si="1"/>
        <v>-40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-4</v>
      </c>
      <c r="K49" s="47">
        <f t="shared" si="1"/>
        <v>-40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-4</v>
      </c>
      <c r="K50" s="41">
        <f t="shared" si="1"/>
        <v>-40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-4</v>
      </c>
      <c r="K51" s="47">
        <f t="shared" si="1"/>
        <v>-40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-4</v>
      </c>
      <c r="K52" s="41">
        <f t="shared" si="1"/>
        <v>-40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-4</v>
      </c>
      <c r="K53" s="47">
        <f t="shared" si="1"/>
        <v>-40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-4</v>
      </c>
      <c r="K54" s="41">
        <f t="shared" si="1"/>
        <v>-40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-4</v>
      </c>
      <c r="K55" s="47">
        <f t="shared" si="1"/>
        <v>-40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-4</v>
      </c>
      <c r="K56" s="41">
        <f t="shared" si="1"/>
        <v>-40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-4</v>
      </c>
      <c r="K57" s="47">
        <f t="shared" si="1"/>
        <v>-40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-4</v>
      </c>
      <c r="K58" s="41">
        <f t="shared" si="1"/>
        <v>-40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-4</v>
      </c>
      <c r="K59" s="47">
        <f t="shared" si="1"/>
        <v>-40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-4</v>
      </c>
      <c r="K60" s="41">
        <f t="shared" si="1"/>
        <v>-40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-4</v>
      </c>
      <c r="K61" s="47">
        <f t="shared" si="1"/>
        <v>-40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-4</v>
      </c>
      <c r="K62" s="41">
        <f t="shared" si="1"/>
        <v>-40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-4</v>
      </c>
      <c r="K63" s="47">
        <f t="shared" si="1"/>
        <v>-40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-4</v>
      </c>
      <c r="K64" s="41">
        <f t="shared" si="1"/>
        <v>-40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-4</v>
      </c>
      <c r="K65" s="47">
        <f t="shared" si="1"/>
        <v>-40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-4</v>
      </c>
      <c r="K66" s="41">
        <f t="shared" si="1"/>
        <v>-40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-4</v>
      </c>
      <c r="K67" s="41">
        <f t="shared" si="1"/>
        <v>-40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-4</v>
      </c>
      <c r="K68" s="41">
        <f t="shared" si="1"/>
        <v>-40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-4</v>
      </c>
      <c r="K69" s="41">
        <f t="shared" si="1"/>
        <v>-40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-5</v>
      </c>
      <c r="K70" s="41">
        <f t="shared" ref="K70:K133" si="8">J70*$J$2</f>
        <v>-50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-5</v>
      </c>
      <c r="K71" s="41">
        <f t="shared" si="8"/>
        <v>-50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-5</v>
      </c>
      <c r="K72" s="41">
        <f t="shared" si="8"/>
        <v>-50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-5</v>
      </c>
      <c r="K73" s="41">
        <f t="shared" si="8"/>
        <v>-50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-5</v>
      </c>
      <c r="K74" s="41">
        <f t="shared" si="8"/>
        <v>-50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-5</v>
      </c>
      <c r="K75" s="41">
        <f t="shared" si="8"/>
        <v>-50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-5</v>
      </c>
      <c r="K76" s="41">
        <f t="shared" si="8"/>
        <v>-50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-5</v>
      </c>
      <c r="K77" s="41">
        <f t="shared" si="8"/>
        <v>-50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-5</v>
      </c>
      <c r="K78" s="41">
        <f t="shared" si="8"/>
        <v>-50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-5</v>
      </c>
      <c r="K79" s="41">
        <f t="shared" si="8"/>
        <v>-50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-5</v>
      </c>
      <c r="K80" s="41">
        <f t="shared" si="8"/>
        <v>-50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-5</v>
      </c>
      <c r="K81" s="41">
        <f t="shared" si="8"/>
        <v>-50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-5</v>
      </c>
      <c r="K82" s="41">
        <f t="shared" si="8"/>
        <v>-50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-5</v>
      </c>
      <c r="K83" s="41">
        <f t="shared" si="8"/>
        <v>-50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-5</v>
      </c>
      <c r="K84" s="41">
        <f t="shared" si="8"/>
        <v>-50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-5</v>
      </c>
      <c r="K85" s="41">
        <f t="shared" si="8"/>
        <v>-50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-5</v>
      </c>
      <c r="K86" s="41">
        <f t="shared" si="8"/>
        <v>-50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-5</v>
      </c>
      <c r="K87" s="41">
        <f t="shared" si="8"/>
        <v>-50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-5</v>
      </c>
      <c r="K88" s="41">
        <f t="shared" si="8"/>
        <v>-50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-5</v>
      </c>
      <c r="K89" s="41">
        <f t="shared" si="8"/>
        <v>-50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-5</v>
      </c>
      <c r="K90" s="41">
        <f t="shared" si="8"/>
        <v>-50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-5</v>
      </c>
      <c r="K91" s="41">
        <f t="shared" si="8"/>
        <v>-50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-5</v>
      </c>
      <c r="K92" s="41">
        <f t="shared" si="8"/>
        <v>-50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-5</v>
      </c>
      <c r="K93" s="41">
        <f t="shared" si="8"/>
        <v>-50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-5</v>
      </c>
      <c r="K94" s="41">
        <f t="shared" si="8"/>
        <v>-50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-5</v>
      </c>
      <c r="K95" s="41">
        <f t="shared" si="8"/>
        <v>-50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-5</v>
      </c>
      <c r="K96" s="41">
        <f t="shared" si="8"/>
        <v>-50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-5</v>
      </c>
      <c r="K97" s="41">
        <f t="shared" si="8"/>
        <v>-50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-5</v>
      </c>
      <c r="K98" s="41">
        <f t="shared" si="8"/>
        <v>-50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-5</v>
      </c>
      <c r="K99" s="41">
        <f t="shared" si="8"/>
        <v>-50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-5</v>
      </c>
      <c r="K100" s="41">
        <f t="shared" si="8"/>
        <v>-50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-5</v>
      </c>
      <c r="K101" s="41">
        <f t="shared" si="8"/>
        <v>-50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-5</v>
      </c>
      <c r="K102" s="41">
        <f t="shared" si="8"/>
        <v>-50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-5</v>
      </c>
      <c r="K103" s="41">
        <f t="shared" si="8"/>
        <v>-50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-5</v>
      </c>
      <c r="K104" s="41">
        <f t="shared" si="8"/>
        <v>-50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-5</v>
      </c>
      <c r="K105" s="41">
        <f t="shared" si="8"/>
        <v>-50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-5</v>
      </c>
      <c r="K106" s="41">
        <f t="shared" si="8"/>
        <v>-50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-5</v>
      </c>
      <c r="K107" s="41">
        <f t="shared" si="8"/>
        <v>-50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-5</v>
      </c>
      <c r="K108" s="41">
        <f t="shared" si="8"/>
        <v>-50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-5</v>
      </c>
      <c r="K109" s="41">
        <f t="shared" si="8"/>
        <v>-50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-5</v>
      </c>
      <c r="K110" s="41">
        <f t="shared" si="8"/>
        <v>-50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-5</v>
      </c>
      <c r="K111" s="41">
        <f t="shared" si="8"/>
        <v>-50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-5</v>
      </c>
      <c r="K112" s="41">
        <f t="shared" si="8"/>
        <v>-50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-5</v>
      </c>
      <c r="K113" s="41">
        <f t="shared" si="8"/>
        <v>-50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-5</v>
      </c>
      <c r="K114" s="41">
        <f t="shared" si="8"/>
        <v>-50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-5</v>
      </c>
      <c r="K115" s="41">
        <f t="shared" si="8"/>
        <v>-50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-5</v>
      </c>
      <c r="K116" s="41">
        <f t="shared" si="8"/>
        <v>-50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-5</v>
      </c>
      <c r="K117" s="41">
        <f t="shared" si="8"/>
        <v>-50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-5</v>
      </c>
      <c r="K118" s="41">
        <f t="shared" si="8"/>
        <v>-50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-5</v>
      </c>
      <c r="K119" s="41">
        <f t="shared" si="8"/>
        <v>-50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-5</v>
      </c>
      <c r="K120" s="41">
        <f t="shared" si="8"/>
        <v>-50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-5</v>
      </c>
      <c r="K121" s="41">
        <f t="shared" si="8"/>
        <v>-50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-5</v>
      </c>
      <c r="K122" s="41">
        <f t="shared" si="8"/>
        <v>-50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-5</v>
      </c>
      <c r="K123" s="41">
        <f t="shared" si="8"/>
        <v>-50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-5</v>
      </c>
      <c r="K124" s="41">
        <f t="shared" si="8"/>
        <v>-50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-5</v>
      </c>
      <c r="K125" s="41">
        <f t="shared" si="8"/>
        <v>-50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-5</v>
      </c>
      <c r="K126" s="41">
        <f t="shared" si="8"/>
        <v>-50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-5</v>
      </c>
      <c r="K127" s="41">
        <f t="shared" si="8"/>
        <v>-50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-5</v>
      </c>
      <c r="K128" s="41">
        <f t="shared" si="8"/>
        <v>-50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-5</v>
      </c>
      <c r="K129" s="41">
        <f t="shared" si="8"/>
        <v>-50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-5</v>
      </c>
      <c r="K130" s="41">
        <f t="shared" si="8"/>
        <v>-50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-5</v>
      </c>
      <c r="K131" s="41">
        <f t="shared" si="8"/>
        <v>-50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-5</v>
      </c>
      <c r="K132" s="41">
        <f t="shared" si="8"/>
        <v>-50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-5</v>
      </c>
      <c r="K133" s="41">
        <f t="shared" si="8"/>
        <v>-50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-6</v>
      </c>
      <c r="K134" s="41">
        <f t="shared" ref="K134:K197" si="12">J134*$J$2</f>
        <v>-60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-6</v>
      </c>
      <c r="K135" s="41">
        <f t="shared" si="12"/>
        <v>-60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-6</v>
      </c>
      <c r="K136" s="41">
        <f t="shared" si="12"/>
        <v>-60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-6</v>
      </c>
      <c r="K137" s="41">
        <f t="shared" si="12"/>
        <v>-60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-6</v>
      </c>
      <c r="K138" s="41">
        <f t="shared" si="12"/>
        <v>-60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-6</v>
      </c>
      <c r="K139" s="41">
        <f t="shared" si="12"/>
        <v>-60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-6</v>
      </c>
      <c r="K140" s="41">
        <f t="shared" si="12"/>
        <v>-60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-6</v>
      </c>
      <c r="K141" s="41">
        <f t="shared" si="12"/>
        <v>-60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-6</v>
      </c>
      <c r="K142" s="41">
        <f t="shared" si="12"/>
        <v>-60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-6</v>
      </c>
      <c r="K143" s="41">
        <f t="shared" si="12"/>
        <v>-60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-6</v>
      </c>
      <c r="K144" s="41">
        <f t="shared" si="12"/>
        <v>-60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-6</v>
      </c>
      <c r="K145" s="41">
        <f t="shared" si="12"/>
        <v>-60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-6</v>
      </c>
      <c r="K146" s="41">
        <f t="shared" si="12"/>
        <v>-60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-6</v>
      </c>
      <c r="K147" s="41">
        <f t="shared" si="12"/>
        <v>-60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-6</v>
      </c>
      <c r="K148" s="41">
        <f t="shared" si="12"/>
        <v>-60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-6</v>
      </c>
      <c r="K149" s="41">
        <f t="shared" si="12"/>
        <v>-60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-6</v>
      </c>
      <c r="K150" s="41">
        <f t="shared" si="12"/>
        <v>-60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-6</v>
      </c>
      <c r="K151" s="41">
        <f t="shared" si="12"/>
        <v>-60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-6</v>
      </c>
      <c r="K152" s="41">
        <f t="shared" si="12"/>
        <v>-60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-6</v>
      </c>
      <c r="K153" s="41">
        <f t="shared" si="12"/>
        <v>-60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-6</v>
      </c>
      <c r="K154" s="41">
        <f t="shared" si="12"/>
        <v>-60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-6</v>
      </c>
      <c r="K155" s="41">
        <f t="shared" si="12"/>
        <v>-60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-6</v>
      </c>
      <c r="K156" s="41">
        <f t="shared" si="12"/>
        <v>-60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-6</v>
      </c>
      <c r="K157" s="41">
        <f t="shared" si="12"/>
        <v>-60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-6</v>
      </c>
      <c r="K158" s="41">
        <f t="shared" si="12"/>
        <v>-60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-6</v>
      </c>
      <c r="K159" s="41">
        <f t="shared" si="12"/>
        <v>-60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-6</v>
      </c>
      <c r="K160" s="41">
        <f t="shared" si="12"/>
        <v>-60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-6</v>
      </c>
      <c r="K161" s="41">
        <f t="shared" si="12"/>
        <v>-60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-6</v>
      </c>
      <c r="K162" s="41">
        <f t="shared" si="12"/>
        <v>-60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-6</v>
      </c>
      <c r="K163" s="41">
        <f t="shared" si="12"/>
        <v>-60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-6</v>
      </c>
      <c r="K164" s="41">
        <f t="shared" si="12"/>
        <v>-60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-6</v>
      </c>
      <c r="K165" s="41">
        <f t="shared" si="12"/>
        <v>-60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-6</v>
      </c>
      <c r="K166" s="41">
        <f t="shared" si="12"/>
        <v>-60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-6</v>
      </c>
      <c r="K167" s="41">
        <f t="shared" si="12"/>
        <v>-60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-6</v>
      </c>
      <c r="K168" s="41">
        <f t="shared" si="12"/>
        <v>-60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-6</v>
      </c>
      <c r="K169" s="41">
        <f t="shared" si="12"/>
        <v>-60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-6</v>
      </c>
      <c r="K170" s="41">
        <f t="shared" si="12"/>
        <v>-60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-6</v>
      </c>
      <c r="K171" s="41">
        <f t="shared" si="12"/>
        <v>-60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-6</v>
      </c>
      <c r="K172" s="41">
        <f t="shared" si="12"/>
        <v>-60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-6</v>
      </c>
      <c r="K173" s="41">
        <f t="shared" si="12"/>
        <v>-60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-6</v>
      </c>
      <c r="K174" s="41">
        <f t="shared" si="12"/>
        <v>-60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-6</v>
      </c>
      <c r="K175" s="41">
        <f t="shared" si="12"/>
        <v>-60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-6</v>
      </c>
      <c r="K176" s="41">
        <f t="shared" si="12"/>
        <v>-60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-6</v>
      </c>
      <c r="K177" s="41">
        <f t="shared" si="12"/>
        <v>-60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-6</v>
      </c>
      <c r="K178" s="41">
        <f t="shared" si="12"/>
        <v>-60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-6</v>
      </c>
      <c r="K179" s="41">
        <f t="shared" si="12"/>
        <v>-60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-6</v>
      </c>
      <c r="K180" s="41">
        <f t="shared" si="12"/>
        <v>-60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-6</v>
      </c>
      <c r="K181" s="41">
        <f t="shared" si="12"/>
        <v>-60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-6</v>
      </c>
      <c r="K182" s="41">
        <f t="shared" si="12"/>
        <v>-60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-6</v>
      </c>
      <c r="K183" s="41">
        <f t="shared" si="12"/>
        <v>-60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-6</v>
      </c>
      <c r="K184" s="41">
        <f t="shared" si="12"/>
        <v>-60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-6</v>
      </c>
      <c r="K185" s="41">
        <f t="shared" si="12"/>
        <v>-60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-6</v>
      </c>
      <c r="K186" s="41">
        <f t="shared" si="12"/>
        <v>-60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-6</v>
      </c>
      <c r="K187" s="41">
        <f t="shared" si="12"/>
        <v>-60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-6</v>
      </c>
      <c r="K188" s="41">
        <f t="shared" si="12"/>
        <v>-60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-6</v>
      </c>
      <c r="K189" s="41">
        <f t="shared" si="12"/>
        <v>-60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-6</v>
      </c>
      <c r="K190" s="41">
        <f t="shared" si="12"/>
        <v>-60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-6</v>
      </c>
      <c r="K191" s="41">
        <f t="shared" si="12"/>
        <v>-60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-6</v>
      </c>
      <c r="K192" s="41">
        <f t="shared" si="12"/>
        <v>-60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-6</v>
      </c>
      <c r="K193" s="41">
        <f t="shared" si="12"/>
        <v>-60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-6</v>
      </c>
      <c r="K194" s="41">
        <f t="shared" si="12"/>
        <v>-60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-6</v>
      </c>
      <c r="K195" s="41">
        <f t="shared" si="12"/>
        <v>-60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-6</v>
      </c>
      <c r="K196" s="41">
        <f t="shared" si="12"/>
        <v>-60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-6</v>
      </c>
      <c r="K197" s="41">
        <f t="shared" si="12"/>
        <v>-60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-6</v>
      </c>
      <c r="K198" s="41">
        <f t="shared" ref="K198:K261" si="16">J198*$J$2</f>
        <v>-60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-6</v>
      </c>
      <c r="K199" s="41">
        <f t="shared" si="16"/>
        <v>-60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-6</v>
      </c>
      <c r="K200" s="41">
        <f t="shared" si="16"/>
        <v>-60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-6</v>
      </c>
      <c r="K201" s="41">
        <f t="shared" si="16"/>
        <v>-60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-6</v>
      </c>
      <c r="K202" s="41">
        <f t="shared" si="16"/>
        <v>-60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-6</v>
      </c>
      <c r="K203" s="41">
        <f t="shared" si="16"/>
        <v>-60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-6</v>
      </c>
      <c r="K204" s="41">
        <f t="shared" si="16"/>
        <v>-60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-6</v>
      </c>
      <c r="K205" s="41">
        <f t="shared" si="16"/>
        <v>-60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-6</v>
      </c>
      <c r="K206" s="41">
        <f t="shared" si="16"/>
        <v>-60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-6</v>
      </c>
      <c r="K207" s="41">
        <f t="shared" si="16"/>
        <v>-60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-6</v>
      </c>
      <c r="K208" s="41">
        <f t="shared" si="16"/>
        <v>-60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-6</v>
      </c>
      <c r="K209" s="41">
        <f t="shared" si="16"/>
        <v>-60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-6</v>
      </c>
      <c r="K210" s="41">
        <f t="shared" si="16"/>
        <v>-60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-6</v>
      </c>
      <c r="K211" s="41">
        <f t="shared" si="16"/>
        <v>-60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-6</v>
      </c>
      <c r="K212" s="41">
        <f t="shared" si="16"/>
        <v>-60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-6</v>
      </c>
      <c r="K213" s="41">
        <f t="shared" si="16"/>
        <v>-60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-6</v>
      </c>
      <c r="K214" s="41">
        <f t="shared" si="16"/>
        <v>-60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-6</v>
      </c>
      <c r="K215" s="41">
        <f t="shared" si="16"/>
        <v>-60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-6</v>
      </c>
      <c r="K216" s="41">
        <f t="shared" si="16"/>
        <v>-60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-6</v>
      </c>
      <c r="K217" s="41">
        <f t="shared" si="16"/>
        <v>-60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-6</v>
      </c>
      <c r="K218" s="41">
        <f t="shared" si="16"/>
        <v>-60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-6</v>
      </c>
      <c r="K219" s="41">
        <f t="shared" si="16"/>
        <v>-60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-6</v>
      </c>
      <c r="K220" s="41">
        <f t="shared" si="16"/>
        <v>-60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-6</v>
      </c>
      <c r="K221" s="41">
        <f t="shared" si="16"/>
        <v>-60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-6</v>
      </c>
      <c r="K222" s="41">
        <f t="shared" si="16"/>
        <v>-60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-6</v>
      </c>
      <c r="K223" s="41">
        <f t="shared" si="16"/>
        <v>-60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-6</v>
      </c>
      <c r="K224" s="41">
        <f t="shared" si="16"/>
        <v>-60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-6</v>
      </c>
      <c r="K225" s="41">
        <f t="shared" si="16"/>
        <v>-60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-6</v>
      </c>
      <c r="K226" s="41">
        <f t="shared" si="16"/>
        <v>-60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-6</v>
      </c>
      <c r="K227" s="41">
        <f t="shared" si="16"/>
        <v>-60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-6</v>
      </c>
      <c r="K228" s="41">
        <f t="shared" si="16"/>
        <v>-60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-6</v>
      </c>
      <c r="K229" s="41">
        <f t="shared" si="16"/>
        <v>-60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-6</v>
      </c>
      <c r="K230" s="41">
        <f t="shared" si="16"/>
        <v>-60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-6</v>
      </c>
      <c r="K231" s="41">
        <f t="shared" si="16"/>
        <v>-60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-6</v>
      </c>
      <c r="K232" s="41">
        <f t="shared" si="16"/>
        <v>-60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-6</v>
      </c>
      <c r="K233" s="41">
        <f t="shared" si="16"/>
        <v>-60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-6</v>
      </c>
      <c r="K234" s="41">
        <f t="shared" si="16"/>
        <v>-60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-6</v>
      </c>
      <c r="K235" s="41">
        <f t="shared" si="16"/>
        <v>-60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-6</v>
      </c>
      <c r="K236" s="41">
        <f t="shared" si="16"/>
        <v>-60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-6</v>
      </c>
      <c r="K237" s="41">
        <f t="shared" si="16"/>
        <v>-60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-6</v>
      </c>
      <c r="K238" s="41">
        <f t="shared" si="16"/>
        <v>-60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-6</v>
      </c>
      <c r="K239" s="41">
        <f t="shared" si="16"/>
        <v>-60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-6</v>
      </c>
      <c r="K240" s="41">
        <f t="shared" si="16"/>
        <v>-60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-6</v>
      </c>
      <c r="K241" s="41">
        <f t="shared" si="16"/>
        <v>-60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-6</v>
      </c>
      <c r="K242" s="41">
        <f t="shared" si="16"/>
        <v>-60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-6</v>
      </c>
      <c r="K243" s="41">
        <f t="shared" si="16"/>
        <v>-60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-6</v>
      </c>
      <c r="K244" s="41">
        <f t="shared" si="16"/>
        <v>-60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-6</v>
      </c>
      <c r="K245" s="41">
        <f t="shared" si="16"/>
        <v>-60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-6</v>
      </c>
      <c r="K246" s="41">
        <f t="shared" si="16"/>
        <v>-60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-6</v>
      </c>
      <c r="K247" s="41">
        <f t="shared" si="16"/>
        <v>-60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-6</v>
      </c>
      <c r="K248" s="41">
        <f t="shared" si="16"/>
        <v>-60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-6</v>
      </c>
      <c r="K249" s="41">
        <f t="shared" si="16"/>
        <v>-60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-6</v>
      </c>
      <c r="K250" s="41">
        <f t="shared" si="16"/>
        <v>-60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-6</v>
      </c>
      <c r="K251" s="41">
        <f t="shared" si="16"/>
        <v>-60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-6</v>
      </c>
      <c r="K252" s="41">
        <f t="shared" si="16"/>
        <v>-60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-6</v>
      </c>
      <c r="K253" s="41">
        <f t="shared" si="16"/>
        <v>-60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-6</v>
      </c>
      <c r="K254" s="41">
        <f t="shared" si="16"/>
        <v>-60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-6</v>
      </c>
      <c r="K255" s="41">
        <f t="shared" si="16"/>
        <v>-60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-6</v>
      </c>
      <c r="K256" s="41">
        <f t="shared" si="16"/>
        <v>-60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-6</v>
      </c>
      <c r="K257" s="41">
        <f t="shared" si="16"/>
        <v>-60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-6</v>
      </c>
      <c r="K258" s="41">
        <f t="shared" si="16"/>
        <v>-60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-6</v>
      </c>
      <c r="K259" s="41">
        <f t="shared" si="16"/>
        <v>-60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-6</v>
      </c>
      <c r="K260" s="41">
        <f t="shared" si="16"/>
        <v>-60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-6</v>
      </c>
      <c r="K261" s="41">
        <f t="shared" si="16"/>
        <v>-60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-7</v>
      </c>
      <c r="K262" s="41">
        <f t="shared" ref="K262:K305" si="20">J262*$J$2</f>
        <v>-70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-7</v>
      </c>
      <c r="K263" s="41">
        <f t="shared" si="20"/>
        <v>-70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-7</v>
      </c>
      <c r="K264" s="41">
        <f t="shared" si="20"/>
        <v>-70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-7</v>
      </c>
      <c r="K265" s="41">
        <f t="shared" si="20"/>
        <v>-70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-7</v>
      </c>
      <c r="K266" s="41">
        <f t="shared" si="20"/>
        <v>-70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-7</v>
      </c>
      <c r="K267" s="41">
        <f t="shared" si="20"/>
        <v>-70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-7</v>
      </c>
      <c r="K268" s="41">
        <f t="shared" si="20"/>
        <v>-70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-7</v>
      </c>
      <c r="K269" s="41">
        <f t="shared" si="20"/>
        <v>-70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-7</v>
      </c>
      <c r="K270" s="41">
        <f t="shared" si="20"/>
        <v>-70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-7</v>
      </c>
      <c r="K271" s="41">
        <f t="shared" si="20"/>
        <v>-70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-7</v>
      </c>
      <c r="K272" s="41">
        <f t="shared" si="20"/>
        <v>-70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-7</v>
      </c>
      <c r="K273" s="41">
        <f t="shared" si="20"/>
        <v>-70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-7</v>
      </c>
      <c r="K274" s="41">
        <f t="shared" si="20"/>
        <v>-70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-7</v>
      </c>
      <c r="K275" s="41">
        <f t="shared" si="20"/>
        <v>-70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-7</v>
      </c>
      <c r="K276" s="41">
        <f t="shared" si="20"/>
        <v>-70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-7</v>
      </c>
      <c r="K277" s="41">
        <f t="shared" si="20"/>
        <v>-70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-7</v>
      </c>
      <c r="K278" s="41">
        <f t="shared" si="20"/>
        <v>-70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-7</v>
      </c>
      <c r="K279" s="41">
        <f t="shared" si="20"/>
        <v>-70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-7</v>
      </c>
      <c r="K280" s="41">
        <f t="shared" si="20"/>
        <v>-70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-7</v>
      </c>
      <c r="K281" s="41">
        <f t="shared" si="20"/>
        <v>-70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-7</v>
      </c>
      <c r="K282" s="41">
        <f t="shared" si="20"/>
        <v>-70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-7</v>
      </c>
      <c r="K283" s="41">
        <f t="shared" si="20"/>
        <v>-70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-7</v>
      </c>
      <c r="K284" s="41">
        <f t="shared" si="20"/>
        <v>-70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-7</v>
      </c>
      <c r="K285" s="41">
        <f t="shared" si="20"/>
        <v>-70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-7</v>
      </c>
      <c r="K286" s="41">
        <f t="shared" si="20"/>
        <v>-70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-7</v>
      </c>
      <c r="K287" s="41">
        <f t="shared" si="20"/>
        <v>-70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-7</v>
      </c>
      <c r="K288" s="41">
        <f t="shared" si="20"/>
        <v>-70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-7</v>
      </c>
      <c r="K289" s="41">
        <f t="shared" si="20"/>
        <v>-70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-7</v>
      </c>
      <c r="K290" s="41">
        <f t="shared" si="20"/>
        <v>-70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-7</v>
      </c>
      <c r="K291" s="41">
        <f t="shared" si="20"/>
        <v>-70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-7</v>
      </c>
      <c r="K292" s="41">
        <f t="shared" si="20"/>
        <v>-70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-7</v>
      </c>
      <c r="K293" s="41">
        <f t="shared" si="20"/>
        <v>-70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-7</v>
      </c>
      <c r="K294" s="41">
        <f t="shared" si="20"/>
        <v>-70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-7</v>
      </c>
      <c r="K295" s="41">
        <f t="shared" si="20"/>
        <v>-70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-7</v>
      </c>
      <c r="K296" s="41">
        <f t="shared" si="20"/>
        <v>-70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-7</v>
      </c>
      <c r="K297" s="41">
        <f t="shared" si="20"/>
        <v>-70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-7</v>
      </c>
      <c r="K298" s="41">
        <f t="shared" si="20"/>
        <v>-70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-7</v>
      </c>
      <c r="K299" s="41">
        <f t="shared" si="20"/>
        <v>-70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-7</v>
      </c>
      <c r="K300" s="41">
        <f t="shared" si="20"/>
        <v>-70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-7</v>
      </c>
      <c r="K301" s="41">
        <f t="shared" si="20"/>
        <v>-70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-7</v>
      </c>
      <c r="K302" s="41">
        <f t="shared" si="20"/>
        <v>-70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-7</v>
      </c>
      <c r="K303" s="41">
        <f t="shared" si="20"/>
        <v>-70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-7</v>
      </c>
      <c r="K304" s="41">
        <f t="shared" si="20"/>
        <v>-70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-7</v>
      </c>
      <c r="K305" s="41">
        <f t="shared" si="20"/>
        <v>-70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D5A0976C-12D4-4D91-B6B3-957E05D5FF22}">
      <formula1>#REF!</formula1>
    </dataValidation>
  </dataValidations>
  <hyperlinks>
    <hyperlink ref="C2" r:id="rId1" display="https://www.fencingtimelive.com/events/results/E6795C11B70B499C94D479525BD4076D" xr:uid="{DF9AF3E9-A776-45D3-BE9F-CEA035CCB629}"/>
    <hyperlink ref="C2:D2" r:id="rId2" display="KATOWICE" xr:uid="{5D092EC9-23B6-4F34-AFF6-1E5EB8F558CE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F108-5BEC-4712-B11C-FB283568B9BC}">
  <sheetPr>
    <tabColor theme="7" tint="0.79998168889431442"/>
  </sheetPr>
  <dimension ref="A1:AL317"/>
  <sheetViews>
    <sheetView workbookViewId="0">
      <selection activeCell="B7" sqref="B7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ht="14.45" customHeight="1">
      <c r="A2" s="19"/>
      <c r="B2" s="25" t="s">
        <v>28</v>
      </c>
      <c r="C2" s="179" t="s">
        <v>66</v>
      </c>
      <c r="D2" s="179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45" customHeight="1">
      <c r="A3" s="19"/>
      <c r="B3" s="30" t="s">
        <v>30</v>
      </c>
      <c r="C3" s="180" t="s">
        <v>67</v>
      </c>
      <c r="D3" s="18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>
      <c r="A6" s="78">
        <v>96.354085335489259</v>
      </c>
      <c r="B6" s="79" t="s">
        <v>68</v>
      </c>
      <c r="C6" s="80" t="s">
        <v>19</v>
      </c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0">J6*$J$2</f>
        <v>#NUM!</v>
      </c>
      <c r="L6" s="43">
        <f>3*K2</f>
        <v>0</v>
      </c>
      <c r="M6" s="43">
        <f t="shared" ref="M6:M69" si="1">IF(I6&lt;&gt;"",K6+I6+L6,0)</f>
        <v>0</v>
      </c>
    </row>
    <row r="7" spans="1:36" ht="14.45" customHeight="1">
      <c r="A7" s="44">
        <f t="shared" ref="A7:A37" si="2">M7</f>
        <v>0</v>
      </c>
      <c r="B7" s="45" t="str">
        <f t="shared" ref="B7:B13" si="3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0"/>
        <v>#NUM!</v>
      </c>
      <c r="L7" s="49">
        <f>2*K2</f>
        <v>0</v>
      </c>
      <c r="M7" s="49">
        <f t="shared" si="1"/>
        <v>0</v>
      </c>
    </row>
    <row r="8" spans="1:36" ht="14.45" customHeight="1">
      <c r="A8" s="38">
        <f t="shared" si="2"/>
        <v>0</v>
      </c>
      <c r="B8" s="39" t="str">
        <f t="shared" si="3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0"/>
        <v>#NUM!</v>
      </c>
      <c r="L8" s="43">
        <f>K2</f>
        <v>0</v>
      </c>
      <c r="M8" s="43">
        <f t="shared" si="1"/>
        <v>0</v>
      </c>
    </row>
    <row r="9" spans="1:36" ht="14.45" customHeight="1">
      <c r="A9" s="44">
        <f t="shared" si="2"/>
        <v>0</v>
      </c>
      <c r="B9" s="45" t="str">
        <f t="shared" si="3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0"/>
        <v>#NUM!</v>
      </c>
      <c r="L9" s="49"/>
      <c r="M9" s="49">
        <f t="shared" si="1"/>
        <v>0</v>
      </c>
      <c r="V9" s="50"/>
      <c r="Z9" s="51"/>
      <c r="AA9" s="51"/>
      <c r="AG9" s="52"/>
      <c r="AH9" s="24" t="s">
        <v>50</v>
      </c>
      <c r="AI9" s="24">
        <v>23</v>
      </c>
    </row>
    <row r="10" spans="1:36" ht="14.45" customHeight="1">
      <c r="A10" s="38">
        <f t="shared" si="2"/>
        <v>0</v>
      </c>
      <c r="B10" s="39" t="str">
        <f t="shared" si="3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0"/>
        <v>#NUM!</v>
      </c>
      <c r="L10" s="41"/>
      <c r="M10" s="43">
        <f t="shared" si="1"/>
        <v>0</v>
      </c>
      <c r="V10" s="50"/>
      <c r="Z10" s="51"/>
      <c r="AA10" s="51"/>
      <c r="AG10" s="52"/>
      <c r="AH10" s="24" t="s">
        <v>52</v>
      </c>
      <c r="AI10" s="24">
        <v>45</v>
      </c>
    </row>
    <row r="11" spans="1:36" ht="14.45" customHeight="1">
      <c r="A11" s="44">
        <f t="shared" si="2"/>
        <v>0</v>
      </c>
      <c r="B11" s="45" t="str">
        <f t="shared" si="3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0"/>
        <v>#NUM!</v>
      </c>
      <c r="L11" s="47"/>
      <c r="M11" s="49">
        <f t="shared" si="1"/>
        <v>0</v>
      </c>
      <c r="V11" s="53"/>
      <c r="Z11" s="51"/>
      <c r="AA11" s="51"/>
      <c r="AG11" s="52"/>
      <c r="AH11" s="24" t="s">
        <v>53</v>
      </c>
      <c r="AI11" s="24">
        <v>50</v>
      </c>
    </row>
    <row r="12" spans="1:36" ht="14.45" customHeight="1">
      <c r="A12" s="38">
        <f t="shared" si="2"/>
        <v>0</v>
      </c>
      <c r="B12" s="39" t="str">
        <f t="shared" si="3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0"/>
        <v>#NUM!</v>
      </c>
      <c r="L12" s="41"/>
      <c r="M12" s="43">
        <f t="shared" si="1"/>
        <v>0</v>
      </c>
      <c r="Z12" s="51"/>
      <c r="AA12" s="51"/>
      <c r="AG12" s="52"/>
      <c r="AH12" s="24" t="s">
        <v>54</v>
      </c>
      <c r="AI12" s="24">
        <f>AI11-1</f>
        <v>49</v>
      </c>
    </row>
    <row r="13" spans="1:36" ht="14.45" customHeight="1">
      <c r="A13" s="54">
        <f t="shared" si="2"/>
        <v>0</v>
      </c>
      <c r="B13" s="45" t="str">
        <f t="shared" si="3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0"/>
        <v>#NUM!</v>
      </c>
      <c r="L13" s="47"/>
      <c r="M13" s="49">
        <f t="shared" si="1"/>
        <v>0</v>
      </c>
      <c r="X13" s="50"/>
      <c r="AG13" s="52"/>
      <c r="AH13" s="24" t="s">
        <v>55</v>
      </c>
      <c r="AI13" s="24">
        <f>LOG(AI9)</f>
        <v>1.3617278360175928</v>
      </c>
    </row>
    <row r="14" spans="1:36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0"/>
        <v>#NUM!</v>
      </c>
      <c r="L14" s="41"/>
      <c r="M14" s="43">
        <f t="shared" si="1"/>
        <v>0</v>
      </c>
      <c r="X14" s="56"/>
      <c r="Z14" s="51"/>
      <c r="AA14" s="51"/>
      <c r="AG14" s="52"/>
      <c r="AH14" s="24" t="s">
        <v>56</v>
      </c>
      <c r="AI14" s="24">
        <f>LOG(AI10)</f>
        <v>1.6532125137753437</v>
      </c>
    </row>
    <row r="15" spans="1:36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0"/>
        <v>#NUM!</v>
      </c>
      <c r="L15" s="47"/>
      <c r="M15" s="49">
        <f t="shared" si="1"/>
        <v>0</v>
      </c>
      <c r="X15" s="50"/>
      <c r="Z15" s="51"/>
      <c r="AA15" s="51"/>
    </row>
    <row r="16" spans="1:36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0"/>
        <v>#NUM!</v>
      </c>
      <c r="L16" s="41"/>
      <c r="M16" s="43">
        <f t="shared" si="1"/>
        <v>0</v>
      </c>
      <c r="R16" s="57"/>
      <c r="Z16" s="51"/>
      <c r="AA16" s="51"/>
      <c r="AH16" s="58" t="s">
        <v>57</v>
      </c>
      <c r="AI16" s="24">
        <f>AI11-AI12*AI13/AI14</f>
        <v>9.6393909380186855</v>
      </c>
      <c r="AJ16" s="24" t="s">
        <v>58</v>
      </c>
    </row>
    <row r="17" spans="1:19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0"/>
        <v>#NUM!</v>
      </c>
      <c r="L17" s="47"/>
      <c r="M17" s="49">
        <f t="shared" si="1"/>
        <v>0</v>
      </c>
    </row>
    <row r="18" spans="1:19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0"/>
        <v>#NUM!</v>
      </c>
      <c r="L18" s="41"/>
      <c r="M18" s="43">
        <f t="shared" si="1"/>
        <v>0</v>
      </c>
    </row>
    <row r="19" spans="1:19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0"/>
        <v>#NUM!</v>
      </c>
      <c r="L19" s="47"/>
      <c r="M19" s="49">
        <f t="shared" si="1"/>
        <v>0</v>
      </c>
    </row>
    <row r="20" spans="1:19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0"/>
        <v>#NUM!</v>
      </c>
      <c r="L20" s="41"/>
      <c r="M20" s="43">
        <f t="shared" si="1"/>
        <v>0</v>
      </c>
      <c r="R20" s="59"/>
      <c r="S20" s="60"/>
    </row>
    <row r="21" spans="1:19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0"/>
        <v>#NUM!</v>
      </c>
      <c r="L21" s="47"/>
      <c r="M21" s="49">
        <f t="shared" si="1"/>
        <v>0</v>
      </c>
    </row>
    <row r="22" spans="1:19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0"/>
        <v>#NUM!</v>
      </c>
      <c r="L22" s="41"/>
      <c r="M22" s="43">
        <f t="shared" si="1"/>
        <v>0</v>
      </c>
    </row>
    <row r="23" spans="1:19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0"/>
        <v>#NUM!</v>
      </c>
      <c r="L23" s="47"/>
      <c r="M23" s="49">
        <f t="shared" si="1"/>
        <v>0</v>
      </c>
    </row>
    <row r="24" spans="1:19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0"/>
        <v>#NUM!</v>
      </c>
      <c r="L24" s="41"/>
      <c r="M24" s="43">
        <f t="shared" si="1"/>
        <v>0</v>
      </c>
      <c r="R24" s="59"/>
      <c r="S24" s="60"/>
    </row>
    <row r="25" spans="1:19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0"/>
        <v>#NUM!</v>
      </c>
      <c r="L25" s="47"/>
      <c r="M25" s="49">
        <f t="shared" si="1"/>
        <v>0</v>
      </c>
    </row>
    <row r="26" spans="1:19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0"/>
        <v>#NUM!</v>
      </c>
      <c r="L26" s="41"/>
      <c r="M26" s="43">
        <f t="shared" si="1"/>
        <v>0</v>
      </c>
    </row>
    <row r="27" spans="1:19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0"/>
        <v>#NUM!</v>
      </c>
      <c r="L27" s="47"/>
      <c r="M27" s="49">
        <f t="shared" si="1"/>
        <v>0</v>
      </c>
    </row>
    <row r="28" spans="1:19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0"/>
        <v>#NUM!</v>
      </c>
      <c r="L28" s="41"/>
      <c r="M28" s="43">
        <f t="shared" si="1"/>
        <v>0</v>
      </c>
      <c r="R28" s="59"/>
      <c r="S28" s="60"/>
    </row>
    <row r="29" spans="1:19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0"/>
        <v>#NUM!</v>
      </c>
      <c r="L29" s="47"/>
      <c r="M29" s="49">
        <f t="shared" si="1"/>
        <v>0</v>
      </c>
    </row>
    <row r="30" spans="1:19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0"/>
        <v>#NUM!</v>
      </c>
      <c r="L30" s="41"/>
      <c r="M30" s="43">
        <f t="shared" si="1"/>
        <v>0</v>
      </c>
    </row>
    <row r="31" spans="1:19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0"/>
        <v>#NUM!</v>
      </c>
      <c r="L31" s="47"/>
      <c r="M31" s="49">
        <f t="shared" si="1"/>
        <v>0</v>
      </c>
    </row>
    <row r="32" spans="1:19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0"/>
        <v>#NUM!</v>
      </c>
      <c r="L32" s="41"/>
      <c r="M32" s="43">
        <f t="shared" si="1"/>
        <v>0</v>
      </c>
      <c r="R32" s="59"/>
      <c r="S32" s="60"/>
    </row>
    <row r="33" spans="1:21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0"/>
        <v>#NUM!</v>
      </c>
      <c r="L33" s="47"/>
      <c r="M33" s="49">
        <f t="shared" si="1"/>
        <v>0</v>
      </c>
    </row>
    <row r="34" spans="1:21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0"/>
        <v>#NUM!</v>
      </c>
      <c r="L34" s="41"/>
      <c r="M34" s="43">
        <f t="shared" si="1"/>
        <v>0</v>
      </c>
    </row>
    <row r="35" spans="1:21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0"/>
        <v>#NUM!</v>
      </c>
      <c r="L35" s="47"/>
      <c r="M35" s="49">
        <f t="shared" si="1"/>
        <v>0</v>
      </c>
    </row>
    <row r="36" spans="1:21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0"/>
        <v>#NUM!</v>
      </c>
      <c r="L36" s="41"/>
      <c r="M36" s="43">
        <f t="shared" si="1"/>
        <v>0</v>
      </c>
      <c r="R36" s="59"/>
      <c r="S36" s="60"/>
    </row>
    <row r="37" spans="1:21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0"/>
        <v>#NUM!</v>
      </c>
      <c r="L37" s="47"/>
      <c r="M37" s="49">
        <f t="shared" si="1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0"/>
        <v>#NUM!</v>
      </c>
      <c r="L38" s="41"/>
      <c r="M38" s="43">
        <f t="shared" si="1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0"/>
        <v>#NUM!</v>
      </c>
      <c r="L39" s="47"/>
      <c r="M39" s="49">
        <f t="shared" si="1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0"/>
        <v>#NUM!</v>
      </c>
      <c r="L40" s="41"/>
      <c r="M40" s="43">
        <f t="shared" si="1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0"/>
        <v>#NUM!</v>
      </c>
      <c r="L41" s="47"/>
      <c r="M41" s="49">
        <f t="shared" si="1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0"/>
        <v>#NUM!</v>
      </c>
      <c r="L42" s="41"/>
      <c r="M42" s="43">
        <f t="shared" si="1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0"/>
        <v>#NUM!</v>
      </c>
      <c r="L43" s="47"/>
      <c r="M43" s="49">
        <f t="shared" si="1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0"/>
        <v>#NUM!</v>
      </c>
      <c r="L44" s="41"/>
      <c r="M44" s="43">
        <f t="shared" si="1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0"/>
        <v>#NUM!</v>
      </c>
      <c r="L45" s="47"/>
      <c r="M45" s="49">
        <f t="shared" si="1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0"/>
        <v>#NUM!</v>
      </c>
      <c r="L46" s="41"/>
      <c r="M46" s="43">
        <f t="shared" si="1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0"/>
        <v>#NUM!</v>
      </c>
      <c r="L47" s="47"/>
      <c r="M47" s="49">
        <f t="shared" si="1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0"/>
        <v>#NUM!</v>
      </c>
      <c r="L48" s="41"/>
      <c r="M48" s="43">
        <f t="shared" si="1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0"/>
        <v>#NUM!</v>
      </c>
      <c r="L49" s="47"/>
      <c r="M49" s="49">
        <f t="shared" si="1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0"/>
        <v>#NUM!</v>
      </c>
      <c r="L50" s="41"/>
      <c r="M50" s="43">
        <f t="shared" si="1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0"/>
        <v>#NUM!</v>
      </c>
      <c r="L51" s="47"/>
      <c r="M51" s="49">
        <f t="shared" si="1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0"/>
        <v>#NUM!</v>
      </c>
      <c r="L52" s="41"/>
      <c r="M52" s="43">
        <f t="shared" si="1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0"/>
        <v>#NUM!</v>
      </c>
      <c r="L53" s="47"/>
      <c r="M53" s="49">
        <f t="shared" si="1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0"/>
        <v>#NUM!</v>
      </c>
      <c r="L54" s="41"/>
      <c r="M54" s="43">
        <f t="shared" si="1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0"/>
        <v>#NUM!</v>
      </c>
      <c r="L55" s="47"/>
      <c r="M55" s="49">
        <f t="shared" si="1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0"/>
        <v>#NUM!</v>
      </c>
      <c r="L56" s="41"/>
      <c r="M56" s="43">
        <f t="shared" si="1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0"/>
        <v>#NUM!</v>
      </c>
      <c r="L57" s="47"/>
      <c r="M57" s="49">
        <f t="shared" si="1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0"/>
        <v>#NUM!</v>
      </c>
      <c r="L58" s="41"/>
      <c r="M58" s="43">
        <f t="shared" si="1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0"/>
        <v>#NUM!</v>
      </c>
      <c r="L59" s="47"/>
      <c r="M59" s="49">
        <f t="shared" si="1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0"/>
        <v>#NUM!</v>
      </c>
      <c r="L60" s="41"/>
      <c r="M60" s="43">
        <f t="shared" si="1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0"/>
        <v>#NUM!</v>
      </c>
      <c r="L61" s="47"/>
      <c r="M61" s="49">
        <f t="shared" si="1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0"/>
        <v>#NUM!</v>
      </c>
      <c r="L62" s="41"/>
      <c r="M62" s="43">
        <f t="shared" si="1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0"/>
        <v>#NUM!</v>
      </c>
      <c r="L63" s="47"/>
      <c r="M63" s="49">
        <f t="shared" si="1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0"/>
        <v>#NUM!</v>
      </c>
      <c r="L64" s="41"/>
      <c r="M64" s="43">
        <f t="shared" si="1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0"/>
        <v>#NUM!</v>
      </c>
      <c r="L65" s="47"/>
      <c r="M65" s="49">
        <f t="shared" si="1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0"/>
        <v>#NUM!</v>
      </c>
      <c r="L66" s="41"/>
      <c r="M66" s="43">
        <f t="shared" si="1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0"/>
        <v>#NUM!</v>
      </c>
      <c r="L67" s="41"/>
      <c r="M67" s="43">
        <f t="shared" si="1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0"/>
        <v>#NUM!</v>
      </c>
      <c r="L68" s="41"/>
      <c r="M68" s="43">
        <f t="shared" si="1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0"/>
        <v>#NUM!</v>
      </c>
      <c r="L69" s="41"/>
      <c r="M69" s="43">
        <f t="shared" si="1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2357A95D-2350-48BC-B380-47AF0AC9F750}">
      <formula1>#REF!</formula1>
    </dataValidation>
  </dataValidations>
  <hyperlinks>
    <hyperlink ref="C2:D2" r:id="rId1" location="today" display="ŚWIDNICA" xr:uid="{6DE47C6F-066F-4513-934C-AFEBA1B5408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0EC7-963D-4EB4-9A20-7C3B09977EDC}">
  <sheetPr>
    <tabColor theme="7" tint="0.79998168889431442"/>
  </sheetPr>
  <dimension ref="A1:AM317"/>
  <sheetViews>
    <sheetView workbookViewId="0">
      <selection activeCell="C16" sqref="C16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69</v>
      </c>
      <c r="L1" s="68" t="s">
        <v>70</v>
      </c>
      <c r="M1" s="69"/>
      <c r="N1" s="23"/>
    </row>
    <row r="2" spans="1:37">
      <c r="A2" s="19"/>
      <c r="B2" s="25" t="s">
        <v>28</v>
      </c>
      <c r="C2" s="179" t="s">
        <v>71</v>
      </c>
      <c r="D2" s="179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70">
        <f>1.2</f>
        <v>1.2</v>
      </c>
      <c r="M2" s="23"/>
      <c r="N2" s="23"/>
    </row>
    <row r="3" spans="1:37">
      <c r="A3" s="19"/>
      <c r="B3" s="30" t="s">
        <v>30</v>
      </c>
      <c r="C3" s="180" t="s">
        <v>72</v>
      </c>
      <c r="D3" s="180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  <c r="N5" s="35" t="s">
        <v>73</v>
      </c>
    </row>
    <row r="6" spans="1:37" ht="14.45" customHeight="1">
      <c r="A6" s="38">
        <f>N6</f>
        <v>114.46774022410833</v>
      </c>
      <c r="B6" s="39">
        <v>1</v>
      </c>
      <c r="C6" s="40" t="s">
        <v>16</v>
      </c>
      <c r="D6" s="40" t="s">
        <v>74</v>
      </c>
      <c r="E6" s="40"/>
      <c r="F6" s="40" t="s">
        <v>65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15.389783520090271</v>
      </c>
      <c r="M6" s="43">
        <f t="shared" ref="M6:M69" si="1">IF(I6&lt;&gt;"",K6+I6+L6,0)</f>
        <v>95.389783520090276</v>
      </c>
      <c r="N6" s="43">
        <f t="shared" ref="N6:N69" si="2">IF(I6&lt;&gt;"",M6*L$2,0)</f>
        <v>114.46774022410833</v>
      </c>
    </row>
    <row r="7" spans="1:37" ht="14.45" customHeight="1">
      <c r="A7" s="44">
        <f t="shared" ref="A7:A70" si="3">N7</f>
        <v>70.988045201356712</v>
      </c>
      <c r="B7" s="45">
        <v>2</v>
      </c>
      <c r="C7" s="46" t="s">
        <v>18</v>
      </c>
      <c r="D7" s="46" t="s">
        <v>75</v>
      </c>
      <c r="E7" s="46"/>
      <c r="F7" s="46" t="s">
        <v>65</v>
      </c>
      <c r="G7" s="33"/>
      <c r="H7" s="47">
        <v>2</v>
      </c>
      <c r="I7" s="48">
        <f t="shared" ref="I7:I69" si="4">IF(H7&lt;$H$2+1,($I$2-($I$2-1)*(LOG(H7)/LOG($H$2))),"")</f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10.259855680060181</v>
      </c>
      <c r="M7" s="49">
        <f t="shared" si="1"/>
        <v>59.156704334463925</v>
      </c>
      <c r="N7" s="49">
        <f t="shared" si="2"/>
        <v>70.988045201356712</v>
      </c>
    </row>
    <row r="8" spans="1:37" ht="14.45" customHeight="1">
      <c r="A8" s="38">
        <f t="shared" si="3"/>
        <v>38.018669172260182</v>
      </c>
      <c r="B8" s="39">
        <v>3</v>
      </c>
      <c r="C8" s="40" t="s">
        <v>22</v>
      </c>
      <c r="D8" s="40" t="s">
        <v>76</v>
      </c>
      <c r="E8" s="40"/>
      <c r="F8" s="40" t="s">
        <v>65</v>
      </c>
      <c r="G8" s="33"/>
      <c r="H8" s="41">
        <v>3</v>
      </c>
      <c r="I8" s="42">
        <f t="shared" si="4"/>
        <v>16.552296470186725</v>
      </c>
      <c r="J8" s="41">
        <f t="shared" si="5"/>
        <v>1</v>
      </c>
      <c r="K8" s="41">
        <f t="shared" si="0"/>
        <v>10</v>
      </c>
      <c r="L8" s="43">
        <f>K2</f>
        <v>5.1299278400300903</v>
      </c>
      <c r="M8" s="43">
        <f t="shared" si="1"/>
        <v>31.682224310216817</v>
      </c>
      <c r="N8" s="43">
        <f t="shared" si="2"/>
        <v>38.018669172260182</v>
      </c>
    </row>
    <row r="9" spans="1:37" ht="14.45" customHeight="1">
      <c r="A9" s="44">
        <f t="shared" si="3"/>
        <v>21.352436770568985</v>
      </c>
      <c r="B9" s="45">
        <v>4</v>
      </c>
      <c r="C9" s="46" t="s">
        <v>17</v>
      </c>
      <c r="D9" s="46" t="s">
        <v>77</v>
      </c>
      <c r="E9" s="46"/>
      <c r="F9" s="46" t="s">
        <v>65</v>
      </c>
      <c r="G9" s="33"/>
      <c r="H9" s="47">
        <v>4</v>
      </c>
      <c r="I9" s="48">
        <f t="shared" si="4"/>
        <v>7.7936973088074879</v>
      </c>
      <c r="J9" s="47">
        <f t="shared" si="5"/>
        <v>1</v>
      </c>
      <c r="K9" s="47">
        <f t="shared" si="0"/>
        <v>10</v>
      </c>
      <c r="L9" s="49"/>
      <c r="M9" s="49">
        <f t="shared" si="1"/>
        <v>17.793697308807488</v>
      </c>
      <c r="N9" s="49">
        <f t="shared" si="2"/>
        <v>21.352436770568985</v>
      </c>
      <c r="W9" s="50"/>
      <c r="AA9" s="51"/>
      <c r="AB9" s="51"/>
      <c r="AH9" s="52"/>
      <c r="AI9" s="24" t="s">
        <v>50</v>
      </c>
      <c r="AJ9" s="24">
        <v>23</v>
      </c>
    </row>
    <row r="10" spans="1:37" ht="14.45" customHeight="1">
      <c r="A10" s="38">
        <f t="shared" si="3"/>
        <v>1.2</v>
      </c>
      <c r="B10" s="39">
        <v>5</v>
      </c>
      <c r="C10" s="40" t="s">
        <v>21</v>
      </c>
      <c r="D10" s="40" t="s">
        <v>78</v>
      </c>
      <c r="E10" s="40"/>
      <c r="F10" s="40" t="s">
        <v>65</v>
      </c>
      <c r="G10" s="33"/>
      <c r="H10" s="41">
        <v>5</v>
      </c>
      <c r="I10" s="42">
        <f t="shared" si="4"/>
        <v>1</v>
      </c>
      <c r="J10" s="41">
        <f t="shared" si="5"/>
        <v>0</v>
      </c>
      <c r="K10" s="41">
        <f t="shared" si="0"/>
        <v>0</v>
      </c>
      <c r="L10" s="41"/>
      <c r="M10" s="43">
        <f t="shared" si="1"/>
        <v>1</v>
      </c>
      <c r="N10" s="43">
        <f t="shared" si="2"/>
        <v>1.2</v>
      </c>
      <c r="W10" s="50"/>
      <c r="AA10" s="51"/>
      <c r="AB10" s="51"/>
      <c r="AH10" s="52"/>
      <c r="AI10" s="24" t="s">
        <v>52</v>
      </c>
      <c r="AJ10" s="24">
        <v>45</v>
      </c>
    </row>
    <row r="11" spans="1:37" ht="14.45" customHeight="1">
      <c r="A11" s="44">
        <f t="shared" si="3"/>
        <v>0</v>
      </c>
      <c r="B11" s="45" t="str">
        <f t="shared" ref="B11:B13" si="6"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0</v>
      </c>
      <c r="K11" s="47">
        <f t="shared" si="0"/>
        <v>0</v>
      </c>
      <c r="L11" s="47"/>
      <c r="M11" s="49">
        <f t="shared" si="1"/>
        <v>0</v>
      </c>
      <c r="N11" s="49">
        <f t="shared" si="2"/>
        <v>0</v>
      </c>
      <c r="W11" s="53"/>
      <c r="AA11" s="51"/>
      <c r="AB11" s="51"/>
      <c r="AH11" s="52"/>
      <c r="AI11" s="24" t="s">
        <v>53</v>
      </c>
      <c r="AJ11" s="24">
        <v>50</v>
      </c>
    </row>
    <row r="12" spans="1:37" ht="14.45" customHeight="1">
      <c r="A12" s="78">
        <v>14.490209340207695</v>
      </c>
      <c r="B12" s="79" t="s">
        <v>79</v>
      </c>
      <c r="C12" s="80" t="s">
        <v>19</v>
      </c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0"/>
        <v>0</v>
      </c>
      <c r="L12" s="41"/>
      <c r="M12" s="43">
        <f t="shared" si="1"/>
        <v>0</v>
      </c>
      <c r="N12" s="43">
        <f t="shared" si="2"/>
        <v>0</v>
      </c>
      <c r="AA12" s="51"/>
      <c r="AB12" s="51"/>
      <c r="AH12" s="52"/>
      <c r="AI12" s="24" t="s">
        <v>54</v>
      </c>
      <c r="AJ12" s="24">
        <f>AJ11-1</f>
        <v>49</v>
      </c>
    </row>
    <row r="13" spans="1:37" ht="14.45" customHeight="1">
      <c r="A13" s="54">
        <f t="shared" si="3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0"/>
        <v>0</v>
      </c>
      <c r="L13" s="47"/>
      <c r="M13" s="49">
        <f t="shared" si="1"/>
        <v>0</v>
      </c>
      <c r="N13" s="49">
        <f t="shared" si="2"/>
        <v>0</v>
      </c>
      <c r="Y13" s="50"/>
      <c r="AH13" s="52"/>
      <c r="AI13" s="24" t="s">
        <v>55</v>
      </c>
      <c r="AJ13" s="24">
        <f>LOG(AJ9)</f>
        <v>1.3617278360175928</v>
      </c>
    </row>
    <row r="14" spans="1:37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0"/>
        <v>-10</v>
      </c>
      <c r="L14" s="41"/>
      <c r="M14" s="43">
        <f t="shared" si="1"/>
        <v>0</v>
      </c>
      <c r="N14" s="43">
        <f t="shared" si="2"/>
        <v>0</v>
      </c>
      <c r="Y14" s="56"/>
      <c r="AA14" s="51"/>
      <c r="AB14" s="51"/>
      <c r="AH14" s="52"/>
      <c r="AI14" s="24" t="s">
        <v>56</v>
      </c>
      <c r="AJ14" s="24">
        <f>LOG(AJ10)</f>
        <v>1.6532125137753437</v>
      </c>
    </row>
    <row r="15" spans="1:37">
      <c r="A15" s="54">
        <f t="shared" si="3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0"/>
        <v>-10</v>
      </c>
      <c r="L15" s="47"/>
      <c r="M15" s="49">
        <f t="shared" si="1"/>
        <v>0</v>
      </c>
      <c r="N15" s="49">
        <f t="shared" si="2"/>
        <v>0</v>
      </c>
      <c r="Y15" s="50"/>
      <c r="AA15" s="51"/>
      <c r="AB15" s="51"/>
    </row>
    <row r="16" spans="1:37">
      <c r="A16" s="55">
        <f t="shared" si="3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0"/>
        <v>-10</v>
      </c>
      <c r="L16" s="41"/>
      <c r="M16" s="43">
        <f t="shared" si="1"/>
        <v>0</v>
      </c>
      <c r="N16" s="43">
        <f t="shared" si="2"/>
        <v>0</v>
      </c>
      <c r="S16" s="57"/>
      <c r="AA16" s="51"/>
      <c r="AB16" s="51"/>
      <c r="AI16" s="58" t="s">
        <v>57</v>
      </c>
      <c r="AJ16" s="24">
        <f>AJ11-AJ12*AJ13/AJ14</f>
        <v>9.6393909380186855</v>
      </c>
      <c r="AK16" s="24" t="s">
        <v>58</v>
      </c>
    </row>
    <row r="17" spans="1:20">
      <c r="A17" s="54">
        <f t="shared" si="3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0"/>
        <v>-10</v>
      </c>
      <c r="L17" s="47"/>
      <c r="M17" s="49">
        <f t="shared" si="1"/>
        <v>0</v>
      </c>
      <c r="N17" s="49">
        <f t="shared" si="2"/>
        <v>0</v>
      </c>
    </row>
    <row r="18" spans="1:20">
      <c r="A18" s="55">
        <f t="shared" si="3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0"/>
        <v>-10</v>
      </c>
      <c r="L18" s="41"/>
      <c r="M18" s="43">
        <f t="shared" si="1"/>
        <v>0</v>
      </c>
      <c r="N18" s="43">
        <f t="shared" si="2"/>
        <v>0</v>
      </c>
    </row>
    <row r="19" spans="1:20">
      <c r="A19" s="54">
        <f t="shared" si="3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0"/>
        <v>-10</v>
      </c>
      <c r="L19" s="47"/>
      <c r="M19" s="49">
        <f t="shared" si="1"/>
        <v>0</v>
      </c>
      <c r="N19" s="49">
        <f t="shared" si="2"/>
        <v>0</v>
      </c>
    </row>
    <row r="20" spans="1:20">
      <c r="A20" s="55">
        <f t="shared" si="3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0"/>
        <v>-10</v>
      </c>
      <c r="L20" s="41"/>
      <c r="M20" s="43">
        <f t="shared" si="1"/>
        <v>0</v>
      </c>
      <c r="N20" s="43">
        <f t="shared" si="2"/>
        <v>0</v>
      </c>
      <c r="S20" s="59"/>
      <c r="T20" s="60"/>
    </row>
    <row r="21" spans="1:20">
      <c r="A21" s="54">
        <f t="shared" si="3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0"/>
        <v>-10</v>
      </c>
      <c r="L21" s="47"/>
      <c r="M21" s="49">
        <f t="shared" si="1"/>
        <v>0</v>
      </c>
      <c r="N21" s="49">
        <f t="shared" si="2"/>
        <v>0</v>
      </c>
    </row>
    <row r="22" spans="1:20">
      <c r="A22" s="55">
        <f t="shared" si="3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0"/>
        <v>-20</v>
      </c>
      <c r="L22" s="41"/>
      <c r="M22" s="43">
        <f t="shared" si="1"/>
        <v>0</v>
      </c>
      <c r="N22" s="43">
        <f t="shared" si="2"/>
        <v>0</v>
      </c>
    </row>
    <row r="23" spans="1:20">
      <c r="A23" s="54">
        <f t="shared" si="3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0"/>
        <v>-20</v>
      </c>
      <c r="L23" s="47"/>
      <c r="M23" s="49">
        <f t="shared" si="1"/>
        <v>0</v>
      </c>
      <c r="N23" s="49">
        <f t="shared" si="2"/>
        <v>0</v>
      </c>
    </row>
    <row r="24" spans="1:20">
      <c r="A24" s="55">
        <f t="shared" si="3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0"/>
        <v>-20</v>
      </c>
      <c r="L24" s="41"/>
      <c r="M24" s="43">
        <f t="shared" si="1"/>
        <v>0</v>
      </c>
      <c r="N24" s="43">
        <f t="shared" si="2"/>
        <v>0</v>
      </c>
      <c r="S24" s="59"/>
      <c r="T24" s="60"/>
    </row>
    <row r="25" spans="1:20">
      <c r="A25" s="54">
        <f t="shared" si="3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0"/>
        <v>-20</v>
      </c>
      <c r="L25" s="47"/>
      <c r="M25" s="49">
        <f t="shared" si="1"/>
        <v>0</v>
      </c>
      <c r="N25" s="49">
        <f t="shared" si="2"/>
        <v>0</v>
      </c>
    </row>
    <row r="26" spans="1:20">
      <c r="A26" s="55">
        <f t="shared" si="3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0"/>
        <v>-20</v>
      </c>
      <c r="L26" s="41"/>
      <c r="M26" s="43">
        <f t="shared" si="1"/>
        <v>0</v>
      </c>
      <c r="N26" s="43">
        <f t="shared" si="2"/>
        <v>0</v>
      </c>
    </row>
    <row r="27" spans="1:20">
      <c r="A27" s="54">
        <f t="shared" si="3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0"/>
        <v>-20</v>
      </c>
      <c r="L27" s="47"/>
      <c r="M27" s="49">
        <f t="shared" si="1"/>
        <v>0</v>
      </c>
      <c r="N27" s="49">
        <f t="shared" si="2"/>
        <v>0</v>
      </c>
    </row>
    <row r="28" spans="1:20">
      <c r="A28" s="55">
        <f t="shared" si="3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0"/>
        <v>-20</v>
      </c>
      <c r="L28" s="41"/>
      <c r="M28" s="43">
        <f t="shared" si="1"/>
        <v>0</v>
      </c>
      <c r="N28" s="43">
        <f t="shared" si="2"/>
        <v>0</v>
      </c>
      <c r="S28" s="59"/>
      <c r="T28" s="60"/>
    </row>
    <row r="29" spans="1:20">
      <c r="A29" s="54">
        <f t="shared" si="3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0"/>
        <v>-20</v>
      </c>
      <c r="L29" s="47"/>
      <c r="M29" s="49">
        <f t="shared" si="1"/>
        <v>0</v>
      </c>
      <c r="N29" s="49">
        <f t="shared" si="2"/>
        <v>0</v>
      </c>
    </row>
    <row r="30" spans="1:20">
      <c r="A30" s="55">
        <f t="shared" si="3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0"/>
        <v>-20</v>
      </c>
      <c r="L30" s="41"/>
      <c r="M30" s="43">
        <f t="shared" si="1"/>
        <v>0</v>
      </c>
      <c r="N30" s="43">
        <f t="shared" si="2"/>
        <v>0</v>
      </c>
    </row>
    <row r="31" spans="1:20">
      <c r="A31" s="54">
        <f t="shared" si="3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0"/>
        <v>-20</v>
      </c>
      <c r="L31" s="47"/>
      <c r="M31" s="49">
        <f t="shared" si="1"/>
        <v>0</v>
      </c>
      <c r="N31" s="49">
        <f t="shared" si="2"/>
        <v>0</v>
      </c>
    </row>
    <row r="32" spans="1:20">
      <c r="A32" s="55">
        <f t="shared" si="3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0"/>
        <v>-20</v>
      </c>
      <c r="L32" s="41"/>
      <c r="M32" s="43">
        <f t="shared" si="1"/>
        <v>0</v>
      </c>
      <c r="N32" s="43">
        <f t="shared" si="2"/>
        <v>0</v>
      </c>
      <c r="S32" s="59"/>
      <c r="T32" s="60"/>
    </row>
    <row r="33" spans="1:22">
      <c r="A33" s="54">
        <f t="shared" si="3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0"/>
        <v>-20</v>
      </c>
      <c r="L33" s="47"/>
      <c r="M33" s="49">
        <f t="shared" si="1"/>
        <v>0</v>
      </c>
      <c r="N33" s="49">
        <f t="shared" si="2"/>
        <v>0</v>
      </c>
    </row>
    <row r="34" spans="1:22">
      <c r="A34" s="55">
        <f t="shared" si="3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0"/>
        <v>-20</v>
      </c>
      <c r="L34" s="41"/>
      <c r="M34" s="43">
        <f t="shared" si="1"/>
        <v>0</v>
      </c>
      <c r="N34" s="43">
        <f t="shared" si="2"/>
        <v>0</v>
      </c>
    </row>
    <row r="35" spans="1:22">
      <c r="A35" s="54">
        <f t="shared" si="3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0"/>
        <v>-20</v>
      </c>
      <c r="L35" s="47"/>
      <c r="M35" s="49">
        <f t="shared" si="1"/>
        <v>0</v>
      </c>
      <c r="N35" s="49">
        <f t="shared" si="2"/>
        <v>0</v>
      </c>
    </row>
    <row r="36" spans="1:22">
      <c r="A36" s="55">
        <f t="shared" si="3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0"/>
        <v>-20</v>
      </c>
      <c r="L36" s="41"/>
      <c r="M36" s="43">
        <f t="shared" si="1"/>
        <v>0</v>
      </c>
      <c r="N36" s="43">
        <f t="shared" si="2"/>
        <v>0</v>
      </c>
      <c r="S36" s="59"/>
      <c r="T36" s="60"/>
    </row>
    <row r="37" spans="1:22">
      <c r="A37" s="54">
        <f t="shared" si="3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0"/>
        <v>-20</v>
      </c>
      <c r="L37" s="47"/>
      <c r="M37" s="49">
        <f t="shared" si="1"/>
        <v>0</v>
      </c>
      <c r="N37" s="49">
        <f t="shared" si="2"/>
        <v>0</v>
      </c>
    </row>
    <row r="38" spans="1:22">
      <c r="A38" s="55">
        <f t="shared" si="3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0"/>
        <v>-30</v>
      </c>
      <c r="L38" s="41"/>
      <c r="M38" s="43">
        <f t="shared" si="1"/>
        <v>0</v>
      </c>
      <c r="N38" s="43">
        <f t="shared" si="2"/>
        <v>0</v>
      </c>
    </row>
    <row r="39" spans="1:22">
      <c r="A39" s="54">
        <f t="shared" si="3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0"/>
        <v>-30</v>
      </c>
      <c r="L39" s="47"/>
      <c r="M39" s="49">
        <f t="shared" si="1"/>
        <v>0</v>
      </c>
      <c r="N39" s="49">
        <f t="shared" si="2"/>
        <v>0</v>
      </c>
    </row>
    <row r="40" spans="1:22">
      <c r="A40" s="55">
        <f t="shared" si="3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0"/>
        <v>-30</v>
      </c>
      <c r="L40" s="41"/>
      <c r="M40" s="43">
        <f t="shared" si="1"/>
        <v>0</v>
      </c>
      <c r="N40" s="43">
        <f t="shared" si="2"/>
        <v>0</v>
      </c>
    </row>
    <row r="41" spans="1:22">
      <c r="A41" s="54">
        <f t="shared" si="3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0"/>
        <v>-30</v>
      </c>
      <c r="L41" s="47"/>
      <c r="M41" s="49">
        <f t="shared" si="1"/>
        <v>0</v>
      </c>
      <c r="N41" s="49">
        <f t="shared" si="2"/>
        <v>0</v>
      </c>
      <c r="T41" s="61"/>
    </row>
    <row r="42" spans="1:22">
      <c r="A42" s="55">
        <f t="shared" si="3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0"/>
        <v>-30</v>
      </c>
      <c r="L42" s="41"/>
      <c r="M42" s="43">
        <f t="shared" si="1"/>
        <v>0</v>
      </c>
      <c r="N42" s="43">
        <f t="shared" si="2"/>
        <v>0</v>
      </c>
    </row>
    <row r="43" spans="1:22">
      <c r="A43" s="54">
        <f t="shared" si="3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0"/>
        <v>-30</v>
      </c>
      <c r="L43" s="47"/>
      <c r="M43" s="49">
        <f t="shared" si="1"/>
        <v>0</v>
      </c>
      <c r="N43" s="49">
        <f t="shared" si="2"/>
        <v>0</v>
      </c>
    </row>
    <row r="44" spans="1:22">
      <c r="A44" s="55">
        <f t="shared" si="3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0"/>
        <v>-30</v>
      </c>
      <c r="L44" s="41"/>
      <c r="M44" s="43">
        <f t="shared" si="1"/>
        <v>0</v>
      </c>
      <c r="N44" s="43">
        <f t="shared" si="2"/>
        <v>0</v>
      </c>
    </row>
    <row r="45" spans="1:22">
      <c r="A45" s="54">
        <f t="shared" si="3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0"/>
        <v>-30</v>
      </c>
      <c r="L45" s="47"/>
      <c r="M45" s="49">
        <f t="shared" si="1"/>
        <v>0</v>
      </c>
      <c r="N45" s="49">
        <f t="shared" si="2"/>
        <v>0</v>
      </c>
    </row>
    <row r="46" spans="1:22">
      <c r="A46" s="55">
        <f t="shared" si="3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0"/>
        <v>-30</v>
      </c>
      <c r="L46" s="41"/>
      <c r="M46" s="43">
        <f t="shared" si="1"/>
        <v>0</v>
      </c>
      <c r="N46" s="43">
        <f t="shared" si="2"/>
        <v>0</v>
      </c>
      <c r="S46" s="19">
        <f>LOG($H$2,2)</f>
        <v>2.3219280948873622</v>
      </c>
      <c r="U46" s="24">
        <f>LOG(H38,2)</f>
        <v>5.0443941193584534</v>
      </c>
      <c r="V46" s="24">
        <f>S46-U46</f>
        <v>-2.7224660244710912</v>
      </c>
    </row>
    <row r="47" spans="1:22">
      <c r="A47" s="54">
        <f t="shared" si="3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0"/>
        <v>-30</v>
      </c>
      <c r="L47" s="47"/>
      <c r="M47" s="49">
        <f t="shared" si="1"/>
        <v>0</v>
      </c>
      <c r="N47" s="49">
        <f t="shared" si="2"/>
        <v>0</v>
      </c>
    </row>
    <row r="48" spans="1:22">
      <c r="A48" s="55">
        <f t="shared" si="3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0"/>
        <v>-30</v>
      </c>
      <c r="L48" s="41"/>
      <c r="M48" s="43">
        <f t="shared" si="1"/>
        <v>0</v>
      </c>
      <c r="N48" s="43">
        <f t="shared" si="2"/>
        <v>0</v>
      </c>
    </row>
    <row r="49" spans="1:14">
      <c r="A49" s="54">
        <f t="shared" si="3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0"/>
        <v>-30</v>
      </c>
      <c r="L49" s="47"/>
      <c r="M49" s="49">
        <f t="shared" si="1"/>
        <v>0</v>
      </c>
      <c r="N49" s="49">
        <f t="shared" si="2"/>
        <v>0</v>
      </c>
    </row>
    <row r="50" spans="1:14">
      <c r="A50" s="55">
        <f t="shared" si="3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0"/>
        <v>-30</v>
      </c>
      <c r="L50" s="41"/>
      <c r="M50" s="43">
        <f t="shared" si="1"/>
        <v>0</v>
      </c>
      <c r="N50" s="43">
        <f t="shared" si="2"/>
        <v>0</v>
      </c>
    </row>
    <row r="51" spans="1:14">
      <c r="A51" s="54">
        <f t="shared" si="3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0"/>
        <v>-30</v>
      </c>
      <c r="L51" s="47"/>
      <c r="M51" s="49">
        <f t="shared" si="1"/>
        <v>0</v>
      </c>
      <c r="N51" s="49">
        <f t="shared" si="2"/>
        <v>0</v>
      </c>
    </row>
    <row r="52" spans="1:14">
      <c r="A52" s="55">
        <f t="shared" si="3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0"/>
        <v>-30</v>
      </c>
      <c r="L52" s="41"/>
      <c r="M52" s="43">
        <f t="shared" si="1"/>
        <v>0</v>
      </c>
      <c r="N52" s="43">
        <f t="shared" si="2"/>
        <v>0</v>
      </c>
    </row>
    <row r="53" spans="1:14">
      <c r="A53" s="54">
        <f t="shared" si="3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0"/>
        <v>-30</v>
      </c>
      <c r="L53" s="47"/>
      <c r="M53" s="49">
        <f t="shared" si="1"/>
        <v>0</v>
      </c>
      <c r="N53" s="49">
        <f t="shared" si="2"/>
        <v>0</v>
      </c>
    </row>
    <row r="54" spans="1:14">
      <c r="A54" s="55">
        <f t="shared" si="3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0"/>
        <v>-30</v>
      </c>
      <c r="L54" s="41"/>
      <c r="M54" s="43">
        <f t="shared" si="1"/>
        <v>0</v>
      </c>
      <c r="N54" s="43">
        <f t="shared" si="2"/>
        <v>0</v>
      </c>
    </row>
    <row r="55" spans="1:14">
      <c r="A55" s="54">
        <f t="shared" si="3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0"/>
        <v>-30</v>
      </c>
      <c r="L55" s="47"/>
      <c r="M55" s="49">
        <f t="shared" si="1"/>
        <v>0</v>
      </c>
      <c r="N55" s="49">
        <f t="shared" si="2"/>
        <v>0</v>
      </c>
    </row>
    <row r="56" spans="1:14">
      <c r="A56" s="55">
        <f t="shared" si="3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0"/>
        <v>-30</v>
      </c>
      <c r="L56" s="41"/>
      <c r="M56" s="43">
        <f t="shared" si="1"/>
        <v>0</v>
      </c>
      <c r="N56" s="43">
        <f t="shared" si="2"/>
        <v>0</v>
      </c>
    </row>
    <row r="57" spans="1:14">
      <c r="A57" s="54">
        <f t="shared" si="3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0"/>
        <v>-30</v>
      </c>
      <c r="L57" s="47"/>
      <c r="M57" s="49">
        <f t="shared" si="1"/>
        <v>0</v>
      </c>
      <c r="N57" s="49">
        <f t="shared" si="2"/>
        <v>0</v>
      </c>
    </row>
    <row r="58" spans="1:14">
      <c r="A58" s="55">
        <f t="shared" si="3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0"/>
        <v>-30</v>
      </c>
      <c r="L58" s="41"/>
      <c r="M58" s="43">
        <f t="shared" si="1"/>
        <v>0</v>
      </c>
      <c r="N58" s="43">
        <f t="shared" si="2"/>
        <v>0</v>
      </c>
    </row>
    <row r="59" spans="1:14">
      <c r="A59" s="54">
        <f t="shared" si="3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0"/>
        <v>-30</v>
      </c>
      <c r="L59" s="47"/>
      <c r="M59" s="49">
        <f t="shared" si="1"/>
        <v>0</v>
      </c>
      <c r="N59" s="49">
        <f t="shared" si="2"/>
        <v>0</v>
      </c>
    </row>
    <row r="60" spans="1:14">
      <c r="A60" s="55">
        <f t="shared" si="3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0"/>
        <v>-30</v>
      </c>
      <c r="L60" s="41"/>
      <c r="M60" s="43">
        <f t="shared" si="1"/>
        <v>0</v>
      </c>
      <c r="N60" s="43">
        <f t="shared" si="2"/>
        <v>0</v>
      </c>
    </row>
    <row r="61" spans="1:14">
      <c r="A61" s="54">
        <f t="shared" si="3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0"/>
        <v>-30</v>
      </c>
      <c r="L61" s="47"/>
      <c r="M61" s="49">
        <f t="shared" si="1"/>
        <v>0</v>
      </c>
      <c r="N61" s="49">
        <f t="shared" si="2"/>
        <v>0</v>
      </c>
    </row>
    <row r="62" spans="1:14">
      <c r="A62" s="55">
        <f t="shared" si="3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0"/>
        <v>-30</v>
      </c>
      <c r="L62" s="41"/>
      <c r="M62" s="43">
        <f t="shared" si="1"/>
        <v>0</v>
      </c>
      <c r="N62" s="43">
        <f t="shared" si="2"/>
        <v>0</v>
      </c>
    </row>
    <row r="63" spans="1:14">
      <c r="A63" s="54">
        <f t="shared" si="3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0"/>
        <v>-30</v>
      </c>
      <c r="L63" s="47"/>
      <c r="M63" s="49">
        <f t="shared" si="1"/>
        <v>0</v>
      </c>
      <c r="N63" s="49">
        <f t="shared" si="2"/>
        <v>0</v>
      </c>
    </row>
    <row r="64" spans="1:14">
      <c r="A64" s="55">
        <f t="shared" si="3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0"/>
        <v>-30</v>
      </c>
      <c r="L64" s="41"/>
      <c r="M64" s="43">
        <f t="shared" si="1"/>
        <v>0</v>
      </c>
      <c r="N64" s="43">
        <f t="shared" si="2"/>
        <v>0</v>
      </c>
    </row>
    <row r="65" spans="1:14">
      <c r="A65" s="54">
        <f t="shared" si="3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0"/>
        <v>-30</v>
      </c>
      <c r="L65" s="47"/>
      <c r="M65" s="49">
        <f t="shared" si="1"/>
        <v>0</v>
      </c>
      <c r="N65" s="49">
        <f t="shared" si="2"/>
        <v>0</v>
      </c>
    </row>
    <row r="66" spans="1:14">
      <c r="A66" s="62">
        <f t="shared" si="3"/>
        <v>0</v>
      </c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0"/>
        <v>-30</v>
      </c>
      <c r="L66" s="41"/>
      <c r="M66" s="43">
        <f t="shared" si="1"/>
        <v>0</v>
      </c>
      <c r="N66" s="43">
        <f t="shared" si="2"/>
        <v>0</v>
      </c>
    </row>
    <row r="67" spans="1:14">
      <c r="A67" s="62">
        <f t="shared" si="3"/>
        <v>0</v>
      </c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0"/>
        <v>-30</v>
      </c>
      <c r="L67" s="41"/>
      <c r="M67" s="43">
        <f t="shared" si="1"/>
        <v>0</v>
      </c>
      <c r="N67" s="43">
        <f t="shared" si="2"/>
        <v>0</v>
      </c>
    </row>
    <row r="68" spans="1:14">
      <c r="A68" s="62">
        <f t="shared" si="3"/>
        <v>0</v>
      </c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0"/>
        <v>-30</v>
      </c>
      <c r="L68" s="41"/>
      <c r="M68" s="43">
        <f t="shared" si="1"/>
        <v>0</v>
      </c>
      <c r="N68" s="43">
        <f t="shared" si="2"/>
        <v>0</v>
      </c>
    </row>
    <row r="69" spans="1:14">
      <c r="A69" s="62">
        <f t="shared" si="3"/>
        <v>0</v>
      </c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0"/>
        <v>-30</v>
      </c>
      <c r="L69" s="41"/>
      <c r="M69" s="43">
        <f t="shared" si="1"/>
        <v>0</v>
      </c>
      <c r="N69" s="43">
        <f t="shared" si="2"/>
        <v>0</v>
      </c>
    </row>
    <row r="70" spans="1:14">
      <c r="A70" s="62">
        <f t="shared" si="3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>
        <f t="shared" ref="J71:J134" si="13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  <c r="N71" s="43">
        <f t="shared" si="11"/>
        <v>0</v>
      </c>
    </row>
    <row r="72" spans="1:14">
      <c r="A72" s="62">
        <f t="shared" si="12"/>
        <v>0</v>
      </c>
      <c r="G72" s="19"/>
      <c r="H72" s="41">
        <v>67</v>
      </c>
      <c r="I72" s="42" t="str">
        <f t="shared" si="8"/>
        <v/>
      </c>
      <c r="J72" s="41">
        <f t="shared" si="13"/>
        <v>-4</v>
      </c>
      <c r="K72" s="41">
        <f t="shared" si="9"/>
        <v>-40</v>
      </c>
      <c r="L72" s="41"/>
      <c r="M72" s="43">
        <f t="shared" si="10"/>
        <v>0</v>
      </c>
      <c r="N72" s="43">
        <f t="shared" si="11"/>
        <v>0</v>
      </c>
    </row>
    <row r="73" spans="1:14">
      <c r="A73" s="62">
        <f t="shared" si="12"/>
        <v>0</v>
      </c>
      <c r="G73" s="19"/>
      <c r="H73" s="41">
        <v>68</v>
      </c>
      <c r="I73" s="42" t="str">
        <f t="shared" si="8"/>
        <v/>
      </c>
      <c r="J73" s="41">
        <f t="shared" si="13"/>
        <v>-4</v>
      </c>
      <c r="K73" s="41">
        <f t="shared" si="9"/>
        <v>-40</v>
      </c>
      <c r="L73" s="41"/>
      <c r="M73" s="43">
        <f t="shared" si="10"/>
        <v>0</v>
      </c>
      <c r="N73" s="43">
        <f t="shared" si="11"/>
        <v>0</v>
      </c>
    </row>
    <row r="74" spans="1:14">
      <c r="A74" s="62">
        <f t="shared" si="12"/>
        <v>0</v>
      </c>
      <c r="G74" s="19"/>
      <c r="H74" s="41">
        <v>69</v>
      </c>
      <c r="I74" s="42" t="str">
        <f t="shared" si="8"/>
        <v/>
      </c>
      <c r="J74" s="41">
        <f t="shared" si="13"/>
        <v>-4</v>
      </c>
      <c r="K74" s="41">
        <f t="shared" si="9"/>
        <v>-40</v>
      </c>
      <c r="L74" s="41"/>
      <c r="M74" s="43">
        <f t="shared" si="10"/>
        <v>0</v>
      </c>
      <c r="N74" s="43">
        <f t="shared" si="11"/>
        <v>0</v>
      </c>
    </row>
    <row r="75" spans="1:14">
      <c r="A75" s="62">
        <f t="shared" si="12"/>
        <v>0</v>
      </c>
      <c r="G75" s="19"/>
      <c r="H75" s="41">
        <v>70</v>
      </c>
      <c r="I75" s="42" t="str">
        <f t="shared" si="8"/>
        <v/>
      </c>
      <c r="J75" s="41">
        <f t="shared" si="13"/>
        <v>-4</v>
      </c>
      <c r="K75" s="41">
        <f t="shared" si="9"/>
        <v>-40</v>
      </c>
      <c r="L75" s="41"/>
      <c r="M75" s="43">
        <f t="shared" si="10"/>
        <v>0</v>
      </c>
      <c r="N75" s="43">
        <f t="shared" si="11"/>
        <v>0</v>
      </c>
    </row>
    <row r="76" spans="1:14">
      <c r="A76" s="62">
        <f t="shared" si="12"/>
        <v>0</v>
      </c>
      <c r="G76" s="19"/>
      <c r="H76" s="41">
        <v>71</v>
      </c>
      <c r="I76" s="42" t="str">
        <f t="shared" si="8"/>
        <v/>
      </c>
      <c r="J76" s="41">
        <f t="shared" si="13"/>
        <v>-4</v>
      </c>
      <c r="K76" s="41">
        <f t="shared" si="9"/>
        <v>-40</v>
      </c>
      <c r="L76" s="41"/>
      <c r="M76" s="43">
        <f t="shared" si="10"/>
        <v>0</v>
      </c>
      <c r="N76" s="43">
        <f t="shared" si="11"/>
        <v>0</v>
      </c>
    </row>
    <row r="77" spans="1:14">
      <c r="A77" s="62">
        <f t="shared" si="12"/>
        <v>0</v>
      </c>
      <c r="G77" s="19"/>
      <c r="H77" s="41">
        <v>72</v>
      </c>
      <c r="I77" s="42" t="str">
        <f t="shared" si="8"/>
        <v/>
      </c>
      <c r="J77" s="41">
        <f t="shared" si="13"/>
        <v>-4</v>
      </c>
      <c r="K77" s="41">
        <f t="shared" si="9"/>
        <v>-40</v>
      </c>
      <c r="L77" s="41"/>
      <c r="M77" s="43">
        <f t="shared" si="10"/>
        <v>0</v>
      </c>
      <c r="N77" s="43">
        <f t="shared" si="11"/>
        <v>0</v>
      </c>
    </row>
    <row r="78" spans="1:14">
      <c r="A78" s="62">
        <f t="shared" si="12"/>
        <v>0</v>
      </c>
      <c r="G78" s="19"/>
      <c r="H78" s="41">
        <v>73</v>
      </c>
      <c r="I78" s="42" t="str">
        <f t="shared" si="8"/>
        <v/>
      </c>
      <c r="J78" s="41">
        <f t="shared" si="13"/>
        <v>-4</v>
      </c>
      <c r="K78" s="41">
        <f t="shared" si="9"/>
        <v>-40</v>
      </c>
      <c r="L78" s="41"/>
      <c r="M78" s="43">
        <f t="shared" si="10"/>
        <v>0</v>
      </c>
      <c r="N78" s="43">
        <f t="shared" si="11"/>
        <v>0</v>
      </c>
    </row>
    <row r="79" spans="1:14">
      <c r="A79" s="62">
        <f t="shared" si="12"/>
        <v>0</v>
      </c>
      <c r="G79" s="19"/>
      <c r="H79" s="41">
        <v>74</v>
      </c>
      <c r="I79" s="42" t="str">
        <f t="shared" si="8"/>
        <v/>
      </c>
      <c r="J79" s="41">
        <f t="shared" si="13"/>
        <v>-4</v>
      </c>
      <c r="K79" s="41">
        <f t="shared" si="9"/>
        <v>-40</v>
      </c>
      <c r="L79" s="41"/>
      <c r="M79" s="43">
        <f t="shared" si="10"/>
        <v>0</v>
      </c>
      <c r="N79" s="43">
        <f t="shared" si="11"/>
        <v>0</v>
      </c>
    </row>
    <row r="80" spans="1:14">
      <c r="A80" s="62">
        <f t="shared" si="12"/>
        <v>0</v>
      </c>
      <c r="G80" s="19"/>
      <c r="H80" s="41">
        <v>75</v>
      </c>
      <c r="I80" s="42" t="str">
        <f t="shared" si="8"/>
        <v/>
      </c>
      <c r="J80" s="41">
        <f t="shared" si="13"/>
        <v>-4</v>
      </c>
      <c r="K80" s="41">
        <f t="shared" si="9"/>
        <v>-40</v>
      </c>
      <c r="L80" s="41"/>
      <c r="M80" s="43">
        <f t="shared" si="10"/>
        <v>0</v>
      </c>
      <c r="N80" s="43">
        <f t="shared" si="11"/>
        <v>0</v>
      </c>
    </row>
    <row r="81" spans="1:14">
      <c r="A81" s="62">
        <f t="shared" si="12"/>
        <v>0</v>
      </c>
      <c r="G81" s="19"/>
      <c r="H81" s="41">
        <v>76</v>
      </c>
      <c r="I81" s="42" t="str">
        <f t="shared" si="8"/>
        <v/>
      </c>
      <c r="J81" s="41">
        <f t="shared" si="13"/>
        <v>-4</v>
      </c>
      <c r="K81" s="41">
        <f t="shared" si="9"/>
        <v>-40</v>
      </c>
      <c r="L81" s="41"/>
      <c r="M81" s="43">
        <f t="shared" si="10"/>
        <v>0</v>
      </c>
      <c r="N81" s="43">
        <f t="shared" si="11"/>
        <v>0</v>
      </c>
    </row>
    <row r="82" spans="1:14">
      <c r="A82" s="62">
        <f t="shared" si="12"/>
        <v>0</v>
      </c>
      <c r="G82" s="19"/>
      <c r="H82" s="41">
        <v>77</v>
      </c>
      <c r="I82" s="42" t="str">
        <f t="shared" si="8"/>
        <v/>
      </c>
      <c r="J82" s="41">
        <f t="shared" si="13"/>
        <v>-4</v>
      </c>
      <c r="K82" s="41">
        <f t="shared" si="9"/>
        <v>-40</v>
      </c>
      <c r="L82" s="41"/>
      <c r="M82" s="43">
        <f t="shared" si="10"/>
        <v>0</v>
      </c>
      <c r="N82" s="43">
        <f t="shared" si="11"/>
        <v>0</v>
      </c>
    </row>
    <row r="83" spans="1:14">
      <c r="A83" s="62">
        <f t="shared" si="12"/>
        <v>0</v>
      </c>
      <c r="G83" s="19"/>
      <c r="H83" s="41">
        <v>78</v>
      </c>
      <c r="I83" s="42" t="str">
        <f t="shared" si="8"/>
        <v/>
      </c>
      <c r="J83" s="41">
        <f t="shared" si="13"/>
        <v>-4</v>
      </c>
      <c r="K83" s="41">
        <f t="shared" si="9"/>
        <v>-40</v>
      </c>
      <c r="L83" s="41"/>
      <c r="M83" s="43">
        <f t="shared" si="10"/>
        <v>0</v>
      </c>
      <c r="N83" s="43">
        <f t="shared" si="11"/>
        <v>0</v>
      </c>
    </row>
    <row r="84" spans="1:14">
      <c r="A84" s="62">
        <f t="shared" si="12"/>
        <v>0</v>
      </c>
      <c r="G84" s="19"/>
      <c r="H84" s="41">
        <v>79</v>
      </c>
      <c r="I84" s="42" t="str">
        <f t="shared" si="8"/>
        <v/>
      </c>
      <c r="J84" s="41">
        <f t="shared" si="13"/>
        <v>-4</v>
      </c>
      <c r="K84" s="41">
        <f t="shared" si="9"/>
        <v>-40</v>
      </c>
      <c r="L84" s="41"/>
      <c r="M84" s="43">
        <f t="shared" si="10"/>
        <v>0</v>
      </c>
      <c r="N84" s="43">
        <f t="shared" si="11"/>
        <v>0</v>
      </c>
    </row>
    <row r="85" spans="1:14">
      <c r="A85" s="62">
        <f t="shared" si="12"/>
        <v>0</v>
      </c>
      <c r="G85" s="19"/>
      <c r="H85" s="41">
        <v>80</v>
      </c>
      <c r="I85" s="42" t="str">
        <f t="shared" si="8"/>
        <v/>
      </c>
      <c r="J85" s="41">
        <f t="shared" si="13"/>
        <v>-4</v>
      </c>
      <c r="K85" s="41">
        <f t="shared" si="9"/>
        <v>-40</v>
      </c>
      <c r="L85" s="41"/>
      <c r="M85" s="43">
        <f t="shared" si="10"/>
        <v>0</v>
      </c>
      <c r="N85" s="43">
        <f t="shared" si="11"/>
        <v>0</v>
      </c>
    </row>
    <row r="86" spans="1:14">
      <c r="A86" s="62">
        <f t="shared" si="12"/>
        <v>0</v>
      </c>
      <c r="G86" s="19"/>
      <c r="H86" s="41">
        <v>81</v>
      </c>
      <c r="I86" s="42" t="str">
        <f t="shared" si="8"/>
        <v/>
      </c>
      <c r="J86" s="41">
        <f t="shared" si="13"/>
        <v>-4</v>
      </c>
      <c r="K86" s="41">
        <f t="shared" si="9"/>
        <v>-40</v>
      </c>
      <c r="L86" s="41"/>
      <c r="M86" s="43">
        <f t="shared" si="10"/>
        <v>0</v>
      </c>
      <c r="N86" s="43">
        <f t="shared" si="11"/>
        <v>0</v>
      </c>
    </row>
    <row r="87" spans="1:14">
      <c r="A87" s="62">
        <f t="shared" si="12"/>
        <v>0</v>
      </c>
      <c r="G87" s="19"/>
      <c r="H87" s="41">
        <v>82</v>
      </c>
      <c r="I87" s="42" t="str">
        <f t="shared" si="8"/>
        <v/>
      </c>
      <c r="J87" s="41">
        <f t="shared" si="13"/>
        <v>-4</v>
      </c>
      <c r="K87" s="41">
        <f t="shared" si="9"/>
        <v>-40</v>
      </c>
      <c r="L87" s="41"/>
      <c r="M87" s="43">
        <f t="shared" si="10"/>
        <v>0</v>
      </c>
      <c r="N87" s="43">
        <f t="shared" si="11"/>
        <v>0</v>
      </c>
    </row>
    <row r="88" spans="1:14">
      <c r="A88" s="62">
        <f t="shared" si="12"/>
        <v>0</v>
      </c>
      <c r="G88" s="19"/>
      <c r="H88" s="41">
        <v>83</v>
      </c>
      <c r="I88" s="42" t="str">
        <f t="shared" si="8"/>
        <v/>
      </c>
      <c r="J88" s="41">
        <f t="shared" si="13"/>
        <v>-4</v>
      </c>
      <c r="K88" s="41">
        <f t="shared" si="9"/>
        <v>-40</v>
      </c>
      <c r="L88" s="41"/>
      <c r="M88" s="43">
        <f t="shared" si="10"/>
        <v>0</v>
      </c>
      <c r="N88" s="43">
        <f t="shared" si="11"/>
        <v>0</v>
      </c>
    </row>
    <row r="89" spans="1:14">
      <c r="A89" s="62">
        <f t="shared" si="12"/>
        <v>0</v>
      </c>
      <c r="G89" s="19"/>
      <c r="H89" s="41">
        <v>84</v>
      </c>
      <c r="I89" s="42" t="str">
        <f t="shared" si="8"/>
        <v/>
      </c>
      <c r="J89" s="41">
        <f t="shared" si="13"/>
        <v>-4</v>
      </c>
      <c r="K89" s="41">
        <f t="shared" si="9"/>
        <v>-40</v>
      </c>
      <c r="L89" s="41"/>
      <c r="M89" s="43">
        <f t="shared" si="10"/>
        <v>0</v>
      </c>
      <c r="N89" s="43">
        <f t="shared" si="11"/>
        <v>0</v>
      </c>
    </row>
    <row r="90" spans="1:14">
      <c r="A90" s="62">
        <f t="shared" si="12"/>
        <v>0</v>
      </c>
      <c r="G90" s="19"/>
      <c r="H90" s="41">
        <v>85</v>
      </c>
      <c r="I90" s="42" t="str">
        <f t="shared" si="8"/>
        <v/>
      </c>
      <c r="J90" s="41">
        <f t="shared" si="13"/>
        <v>-4</v>
      </c>
      <c r="K90" s="41">
        <f t="shared" si="9"/>
        <v>-40</v>
      </c>
      <c r="L90" s="41"/>
      <c r="M90" s="43">
        <f t="shared" si="10"/>
        <v>0</v>
      </c>
      <c r="N90" s="43">
        <f t="shared" si="11"/>
        <v>0</v>
      </c>
    </row>
    <row r="91" spans="1:14">
      <c r="A91" s="62">
        <f t="shared" si="12"/>
        <v>0</v>
      </c>
      <c r="G91" s="19"/>
      <c r="H91" s="41">
        <v>86</v>
      </c>
      <c r="I91" s="42" t="str">
        <f t="shared" si="8"/>
        <v/>
      </c>
      <c r="J91" s="41">
        <f t="shared" si="13"/>
        <v>-4</v>
      </c>
      <c r="K91" s="41">
        <f t="shared" si="9"/>
        <v>-40</v>
      </c>
      <c r="L91" s="41"/>
      <c r="M91" s="43">
        <f t="shared" si="10"/>
        <v>0</v>
      </c>
      <c r="N91" s="43">
        <f t="shared" si="11"/>
        <v>0</v>
      </c>
    </row>
    <row r="92" spans="1:14">
      <c r="A92" s="62">
        <f t="shared" si="12"/>
        <v>0</v>
      </c>
      <c r="G92" s="19"/>
      <c r="H92" s="41">
        <v>87</v>
      </c>
      <c r="I92" s="42" t="str">
        <f t="shared" si="8"/>
        <v/>
      </c>
      <c r="J92" s="41">
        <f t="shared" si="13"/>
        <v>-4</v>
      </c>
      <c r="K92" s="41">
        <f t="shared" si="9"/>
        <v>-40</v>
      </c>
      <c r="L92" s="41"/>
      <c r="M92" s="43">
        <f t="shared" si="10"/>
        <v>0</v>
      </c>
      <c r="N92" s="43">
        <f t="shared" si="11"/>
        <v>0</v>
      </c>
    </row>
    <row r="93" spans="1:14">
      <c r="A93" s="62">
        <f t="shared" si="12"/>
        <v>0</v>
      </c>
      <c r="G93" s="19"/>
      <c r="H93" s="41">
        <v>88</v>
      </c>
      <c r="I93" s="42" t="str">
        <f t="shared" si="8"/>
        <v/>
      </c>
      <c r="J93" s="41">
        <f t="shared" si="13"/>
        <v>-4</v>
      </c>
      <c r="K93" s="41">
        <f t="shared" si="9"/>
        <v>-40</v>
      </c>
      <c r="L93" s="41"/>
      <c r="M93" s="43">
        <f t="shared" si="10"/>
        <v>0</v>
      </c>
      <c r="N93" s="43">
        <f t="shared" si="11"/>
        <v>0</v>
      </c>
    </row>
    <row r="94" spans="1:14">
      <c r="A94" s="62">
        <f t="shared" si="12"/>
        <v>0</v>
      </c>
      <c r="G94" s="19"/>
      <c r="H94" s="41">
        <v>89</v>
      </c>
      <c r="I94" s="42" t="str">
        <f t="shared" si="8"/>
        <v/>
      </c>
      <c r="J94" s="41">
        <f t="shared" si="13"/>
        <v>-4</v>
      </c>
      <c r="K94" s="41">
        <f t="shared" si="9"/>
        <v>-40</v>
      </c>
      <c r="L94" s="41"/>
      <c r="M94" s="43">
        <f t="shared" si="10"/>
        <v>0</v>
      </c>
      <c r="N94" s="43">
        <f t="shared" si="11"/>
        <v>0</v>
      </c>
    </row>
    <row r="95" spans="1:14">
      <c r="A95" s="62">
        <f t="shared" si="12"/>
        <v>0</v>
      </c>
      <c r="G95" s="19"/>
      <c r="H95" s="41">
        <v>90</v>
      </c>
      <c r="I95" s="42" t="str">
        <f t="shared" si="8"/>
        <v/>
      </c>
      <c r="J95" s="41">
        <f t="shared" si="13"/>
        <v>-4</v>
      </c>
      <c r="K95" s="41">
        <f t="shared" si="9"/>
        <v>-40</v>
      </c>
      <c r="L95" s="41"/>
      <c r="M95" s="43">
        <f t="shared" si="10"/>
        <v>0</v>
      </c>
      <c r="N95" s="43">
        <f t="shared" si="11"/>
        <v>0</v>
      </c>
    </row>
    <row r="96" spans="1:14">
      <c r="A96" s="62">
        <f t="shared" si="12"/>
        <v>0</v>
      </c>
      <c r="G96" s="19"/>
      <c r="H96" s="41">
        <v>91</v>
      </c>
      <c r="I96" s="42" t="str">
        <f t="shared" si="8"/>
        <v/>
      </c>
      <c r="J96" s="41">
        <f t="shared" si="13"/>
        <v>-4</v>
      </c>
      <c r="K96" s="41">
        <f t="shared" si="9"/>
        <v>-40</v>
      </c>
      <c r="L96" s="41"/>
      <c r="M96" s="43">
        <f t="shared" si="10"/>
        <v>0</v>
      </c>
      <c r="N96" s="43">
        <f t="shared" si="11"/>
        <v>0</v>
      </c>
    </row>
    <row r="97" spans="1:14">
      <c r="A97" s="62">
        <f t="shared" si="12"/>
        <v>0</v>
      </c>
      <c r="G97" s="19"/>
      <c r="H97" s="41">
        <v>92</v>
      </c>
      <c r="I97" s="42" t="str">
        <f t="shared" si="8"/>
        <v/>
      </c>
      <c r="J97" s="41">
        <f t="shared" si="13"/>
        <v>-4</v>
      </c>
      <c r="K97" s="41">
        <f t="shared" si="9"/>
        <v>-40</v>
      </c>
      <c r="L97" s="41"/>
      <c r="M97" s="43">
        <f t="shared" si="10"/>
        <v>0</v>
      </c>
      <c r="N97" s="43">
        <f t="shared" si="11"/>
        <v>0</v>
      </c>
    </row>
    <row r="98" spans="1:14">
      <c r="A98" s="62">
        <f t="shared" si="12"/>
        <v>0</v>
      </c>
      <c r="G98" s="19"/>
      <c r="H98" s="41">
        <v>93</v>
      </c>
      <c r="I98" s="42" t="str">
        <f t="shared" si="8"/>
        <v/>
      </c>
      <c r="J98" s="41">
        <f t="shared" si="13"/>
        <v>-4</v>
      </c>
      <c r="K98" s="41">
        <f t="shared" si="9"/>
        <v>-40</v>
      </c>
      <c r="L98" s="41"/>
      <c r="M98" s="43">
        <f t="shared" si="10"/>
        <v>0</v>
      </c>
      <c r="N98" s="43">
        <f t="shared" si="11"/>
        <v>0</v>
      </c>
    </row>
    <row r="99" spans="1:14">
      <c r="A99" s="62">
        <f t="shared" si="12"/>
        <v>0</v>
      </c>
      <c r="G99" s="19"/>
      <c r="H99" s="41">
        <v>94</v>
      </c>
      <c r="I99" s="42" t="str">
        <f t="shared" si="8"/>
        <v/>
      </c>
      <c r="J99" s="41">
        <f t="shared" si="13"/>
        <v>-4</v>
      </c>
      <c r="K99" s="41">
        <f t="shared" si="9"/>
        <v>-40</v>
      </c>
      <c r="L99" s="41"/>
      <c r="M99" s="43">
        <f t="shared" si="10"/>
        <v>0</v>
      </c>
      <c r="N99" s="43">
        <f t="shared" si="11"/>
        <v>0</v>
      </c>
    </row>
    <row r="100" spans="1:14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>
        <f t="shared" si="13"/>
        <v>-4</v>
      </c>
      <c r="K100" s="41">
        <f t="shared" si="9"/>
        <v>-40</v>
      </c>
      <c r="L100" s="41"/>
      <c r="M100" s="43">
        <f t="shared" si="10"/>
        <v>0</v>
      </c>
      <c r="N100" s="43">
        <f t="shared" si="11"/>
        <v>0</v>
      </c>
    </row>
    <row r="101" spans="1:14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>
        <f t="shared" si="13"/>
        <v>-4</v>
      </c>
      <c r="K101" s="41">
        <f t="shared" si="9"/>
        <v>-40</v>
      </c>
      <c r="L101" s="41"/>
      <c r="M101" s="43">
        <f t="shared" si="10"/>
        <v>0</v>
      </c>
      <c r="N101" s="43">
        <f t="shared" si="11"/>
        <v>0</v>
      </c>
    </row>
    <row r="102" spans="1:14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>
        <f t="shared" si="13"/>
        <v>-4</v>
      </c>
      <c r="K102" s="41">
        <f t="shared" si="9"/>
        <v>-40</v>
      </c>
      <c r="L102" s="41"/>
      <c r="M102" s="43">
        <f t="shared" si="10"/>
        <v>0</v>
      </c>
      <c r="N102" s="43">
        <f t="shared" si="11"/>
        <v>0</v>
      </c>
    </row>
    <row r="103" spans="1:14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>
        <f t="shared" si="13"/>
        <v>-4</v>
      </c>
      <c r="K103" s="41">
        <f t="shared" si="9"/>
        <v>-40</v>
      </c>
      <c r="L103" s="41"/>
      <c r="M103" s="43">
        <f t="shared" si="10"/>
        <v>0</v>
      </c>
      <c r="N103" s="43">
        <f t="shared" si="11"/>
        <v>0</v>
      </c>
    </row>
    <row r="104" spans="1:14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>
        <f t="shared" si="13"/>
        <v>-4</v>
      </c>
      <c r="K104" s="41">
        <f t="shared" si="9"/>
        <v>-40</v>
      </c>
      <c r="L104" s="41"/>
      <c r="M104" s="43">
        <f t="shared" si="10"/>
        <v>0</v>
      </c>
      <c r="N104" s="43">
        <f t="shared" si="11"/>
        <v>0</v>
      </c>
    </row>
    <row r="105" spans="1:14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>
        <f t="shared" si="13"/>
        <v>-4</v>
      </c>
      <c r="K105" s="41">
        <f t="shared" si="9"/>
        <v>-40</v>
      </c>
      <c r="L105" s="41"/>
      <c r="M105" s="43">
        <f t="shared" si="10"/>
        <v>0</v>
      </c>
      <c r="N105" s="43">
        <f t="shared" si="11"/>
        <v>0</v>
      </c>
    </row>
    <row r="106" spans="1:14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>
        <f t="shared" si="13"/>
        <v>-4</v>
      </c>
      <c r="K106" s="41">
        <f t="shared" si="9"/>
        <v>-40</v>
      </c>
      <c r="L106" s="41"/>
      <c r="M106" s="43">
        <f t="shared" si="10"/>
        <v>0</v>
      </c>
      <c r="N106" s="43">
        <f t="shared" si="11"/>
        <v>0</v>
      </c>
    </row>
    <row r="107" spans="1:14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>
        <f t="shared" si="13"/>
        <v>-4</v>
      </c>
      <c r="K107" s="41">
        <f t="shared" si="9"/>
        <v>-40</v>
      </c>
      <c r="L107" s="41"/>
      <c r="M107" s="43">
        <f t="shared" si="10"/>
        <v>0</v>
      </c>
      <c r="N107" s="43">
        <f t="shared" si="11"/>
        <v>0</v>
      </c>
    </row>
    <row r="108" spans="1:14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>
        <f t="shared" si="13"/>
        <v>-4</v>
      </c>
      <c r="K108" s="41">
        <f t="shared" si="9"/>
        <v>-40</v>
      </c>
      <c r="L108" s="41"/>
      <c r="M108" s="43">
        <f t="shared" si="10"/>
        <v>0</v>
      </c>
      <c r="N108" s="43">
        <f t="shared" si="11"/>
        <v>0</v>
      </c>
    </row>
    <row r="109" spans="1:14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>
        <f t="shared" si="13"/>
        <v>-4</v>
      </c>
      <c r="K109" s="41">
        <f t="shared" si="9"/>
        <v>-40</v>
      </c>
      <c r="L109" s="41"/>
      <c r="M109" s="43">
        <f t="shared" si="10"/>
        <v>0</v>
      </c>
      <c r="N109" s="43">
        <f t="shared" si="11"/>
        <v>0</v>
      </c>
    </row>
    <row r="110" spans="1:14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>
        <f t="shared" si="13"/>
        <v>-4</v>
      </c>
      <c r="K110" s="41">
        <f t="shared" si="9"/>
        <v>-40</v>
      </c>
      <c r="L110" s="41"/>
      <c r="M110" s="43">
        <f t="shared" si="10"/>
        <v>0</v>
      </c>
      <c r="N110" s="43">
        <f t="shared" si="11"/>
        <v>0</v>
      </c>
    </row>
    <row r="111" spans="1:14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>
        <f t="shared" si="13"/>
        <v>-4</v>
      </c>
      <c r="K111" s="41">
        <f t="shared" si="9"/>
        <v>-40</v>
      </c>
      <c r="L111" s="41"/>
      <c r="M111" s="43">
        <f t="shared" si="10"/>
        <v>0</v>
      </c>
      <c r="N111" s="43">
        <f t="shared" si="11"/>
        <v>0</v>
      </c>
    </row>
    <row r="112" spans="1:14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>
        <f t="shared" si="13"/>
        <v>-4</v>
      </c>
      <c r="K112" s="41">
        <f t="shared" si="9"/>
        <v>-40</v>
      </c>
      <c r="L112" s="41"/>
      <c r="M112" s="43">
        <f t="shared" si="10"/>
        <v>0</v>
      </c>
      <c r="N112" s="43">
        <f t="shared" si="11"/>
        <v>0</v>
      </c>
    </row>
    <row r="113" spans="1:14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>
        <f t="shared" si="13"/>
        <v>-4</v>
      </c>
      <c r="K113" s="41">
        <f t="shared" si="9"/>
        <v>-40</v>
      </c>
      <c r="L113" s="41"/>
      <c r="M113" s="43">
        <f t="shared" si="10"/>
        <v>0</v>
      </c>
      <c r="N113" s="43">
        <f t="shared" si="11"/>
        <v>0</v>
      </c>
    </row>
    <row r="114" spans="1:14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>
        <f t="shared" si="13"/>
        <v>-4</v>
      </c>
      <c r="K114" s="41">
        <f t="shared" si="9"/>
        <v>-40</v>
      </c>
      <c r="L114" s="41"/>
      <c r="M114" s="43">
        <f t="shared" si="10"/>
        <v>0</v>
      </c>
      <c r="N114" s="43">
        <f t="shared" si="11"/>
        <v>0</v>
      </c>
    </row>
    <row r="115" spans="1:14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>
        <f t="shared" si="13"/>
        <v>-4</v>
      </c>
      <c r="K115" s="41">
        <f t="shared" si="9"/>
        <v>-40</v>
      </c>
      <c r="L115" s="41"/>
      <c r="M115" s="43">
        <f t="shared" si="10"/>
        <v>0</v>
      </c>
      <c r="N115" s="43">
        <f t="shared" si="11"/>
        <v>0</v>
      </c>
    </row>
    <row r="116" spans="1:14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>
        <f t="shared" si="13"/>
        <v>-4</v>
      </c>
      <c r="K116" s="41">
        <f t="shared" si="9"/>
        <v>-40</v>
      </c>
      <c r="L116" s="41"/>
      <c r="M116" s="43">
        <f t="shared" si="10"/>
        <v>0</v>
      </c>
      <c r="N116" s="43">
        <f t="shared" si="11"/>
        <v>0</v>
      </c>
    </row>
    <row r="117" spans="1:14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>
        <f t="shared" si="13"/>
        <v>-4</v>
      </c>
      <c r="K117" s="41">
        <f t="shared" si="9"/>
        <v>-40</v>
      </c>
      <c r="L117" s="41"/>
      <c r="M117" s="43">
        <f t="shared" si="10"/>
        <v>0</v>
      </c>
      <c r="N117" s="43">
        <f t="shared" si="11"/>
        <v>0</v>
      </c>
    </row>
    <row r="118" spans="1:14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>
        <f t="shared" si="13"/>
        <v>-4</v>
      </c>
      <c r="K118" s="41">
        <f t="shared" si="9"/>
        <v>-40</v>
      </c>
      <c r="L118" s="41"/>
      <c r="M118" s="43">
        <f t="shared" si="10"/>
        <v>0</v>
      </c>
      <c r="N118" s="43">
        <f t="shared" si="11"/>
        <v>0</v>
      </c>
    </row>
    <row r="119" spans="1:14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>
        <f t="shared" si="13"/>
        <v>-4</v>
      </c>
      <c r="K119" s="41">
        <f t="shared" si="9"/>
        <v>-40</v>
      </c>
      <c r="L119" s="41"/>
      <c r="M119" s="43">
        <f t="shared" si="10"/>
        <v>0</v>
      </c>
      <c r="N119" s="43">
        <f t="shared" si="11"/>
        <v>0</v>
      </c>
    </row>
    <row r="120" spans="1:14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>
        <f t="shared" si="13"/>
        <v>-4</v>
      </c>
      <c r="K120" s="41">
        <f t="shared" si="9"/>
        <v>-40</v>
      </c>
      <c r="L120" s="41"/>
      <c r="M120" s="43">
        <f t="shared" si="10"/>
        <v>0</v>
      </c>
      <c r="N120" s="43">
        <f t="shared" si="11"/>
        <v>0</v>
      </c>
    </row>
    <row r="121" spans="1:14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>
        <f t="shared" si="13"/>
        <v>-4</v>
      </c>
      <c r="K121" s="41">
        <f t="shared" si="9"/>
        <v>-40</v>
      </c>
      <c r="L121" s="41"/>
      <c r="M121" s="43">
        <f t="shared" si="10"/>
        <v>0</v>
      </c>
      <c r="N121" s="43">
        <f t="shared" si="11"/>
        <v>0</v>
      </c>
    </row>
    <row r="122" spans="1:14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>
        <f t="shared" si="13"/>
        <v>-4</v>
      </c>
      <c r="K122" s="41">
        <f t="shared" si="9"/>
        <v>-40</v>
      </c>
      <c r="L122" s="41"/>
      <c r="M122" s="43">
        <f t="shared" si="10"/>
        <v>0</v>
      </c>
      <c r="N122" s="43">
        <f t="shared" si="11"/>
        <v>0</v>
      </c>
    </row>
    <row r="123" spans="1:14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>
        <f t="shared" si="13"/>
        <v>-4</v>
      </c>
      <c r="K123" s="41">
        <f t="shared" si="9"/>
        <v>-40</v>
      </c>
      <c r="L123" s="41"/>
      <c r="M123" s="43">
        <f t="shared" si="10"/>
        <v>0</v>
      </c>
      <c r="N123" s="43">
        <f t="shared" si="11"/>
        <v>0</v>
      </c>
    </row>
    <row r="124" spans="1:14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>
        <f t="shared" si="13"/>
        <v>-4</v>
      </c>
      <c r="K124" s="41">
        <f t="shared" si="9"/>
        <v>-40</v>
      </c>
      <c r="L124" s="41"/>
      <c r="M124" s="43">
        <f t="shared" si="10"/>
        <v>0</v>
      </c>
      <c r="N124" s="43">
        <f t="shared" si="11"/>
        <v>0</v>
      </c>
    </row>
    <row r="125" spans="1:14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>
        <f t="shared" si="13"/>
        <v>-4</v>
      </c>
      <c r="K125" s="41">
        <f t="shared" si="9"/>
        <v>-40</v>
      </c>
      <c r="L125" s="41"/>
      <c r="M125" s="43">
        <f t="shared" si="10"/>
        <v>0</v>
      </c>
      <c r="N125" s="43">
        <f t="shared" si="11"/>
        <v>0</v>
      </c>
    </row>
    <row r="126" spans="1:14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>
        <f t="shared" si="13"/>
        <v>-4</v>
      </c>
      <c r="K126" s="41">
        <f t="shared" si="9"/>
        <v>-40</v>
      </c>
      <c r="L126" s="41"/>
      <c r="M126" s="43">
        <f t="shared" si="10"/>
        <v>0</v>
      </c>
      <c r="N126" s="43">
        <f t="shared" si="11"/>
        <v>0</v>
      </c>
    </row>
    <row r="127" spans="1:14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>
        <f t="shared" si="13"/>
        <v>-4</v>
      </c>
      <c r="K127" s="41">
        <f t="shared" si="9"/>
        <v>-40</v>
      </c>
      <c r="L127" s="41"/>
      <c r="M127" s="43">
        <f t="shared" si="10"/>
        <v>0</v>
      </c>
      <c r="N127" s="43">
        <f t="shared" si="11"/>
        <v>0</v>
      </c>
    </row>
    <row r="128" spans="1:14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>
        <f t="shared" si="13"/>
        <v>-4</v>
      </c>
      <c r="K128" s="41">
        <f t="shared" si="9"/>
        <v>-40</v>
      </c>
      <c r="L128" s="41"/>
      <c r="M128" s="43">
        <f t="shared" si="10"/>
        <v>0</v>
      </c>
      <c r="N128" s="43">
        <f t="shared" si="11"/>
        <v>0</v>
      </c>
    </row>
    <row r="129" spans="1:14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>
        <f t="shared" si="13"/>
        <v>-4</v>
      </c>
      <c r="K129" s="41">
        <f t="shared" si="9"/>
        <v>-40</v>
      </c>
      <c r="L129" s="41"/>
      <c r="M129" s="43">
        <f t="shared" si="10"/>
        <v>0</v>
      </c>
      <c r="N129" s="43">
        <f t="shared" si="11"/>
        <v>0</v>
      </c>
    </row>
    <row r="130" spans="1:14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>
        <f t="shared" si="13"/>
        <v>-4</v>
      </c>
      <c r="K130" s="41">
        <f t="shared" si="9"/>
        <v>-40</v>
      </c>
      <c r="L130" s="41"/>
      <c r="M130" s="43">
        <f t="shared" si="10"/>
        <v>0</v>
      </c>
      <c r="N130" s="43">
        <f t="shared" si="11"/>
        <v>0</v>
      </c>
    </row>
    <row r="131" spans="1:14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>
        <f t="shared" si="13"/>
        <v>-4</v>
      </c>
      <c r="K131" s="41">
        <f t="shared" si="9"/>
        <v>-40</v>
      </c>
      <c r="L131" s="41"/>
      <c r="M131" s="43">
        <f t="shared" si="10"/>
        <v>0</v>
      </c>
      <c r="N131" s="43">
        <f t="shared" si="11"/>
        <v>0</v>
      </c>
    </row>
    <row r="132" spans="1:14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>
        <f t="shared" si="13"/>
        <v>-4</v>
      </c>
      <c r="K132" s="41">
        <f t="shared" si="9"/>
        <v>-40</v>
      </c>
      <c r="L132" s="41"/>
      <c r="M132" s="43">
        <f t="shared" si="10"/>
        <v>0</v>
      </c>
      <c r="N132" s="43">
        <f t="shared" si="11"/>
        <v>0</v>
      </c>
    </row>
    <row r="133" spans="1:14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>
        <f t="shared" si="13"/>
        <v>-4</v>
      </c>
      <c r="K133" s="41">
        <f t="shared" si="9"/>
        <v>-40</v>
      </c>
      <c r="L133" s="41"/>
      <c r="M133" s="43">
        <f t="shared" si="10"/>
        <v>0</v>
      </c>
      <c r="N133" s="43">
        <f t="shared" si="11"/>
        <v>0</v>
      </c>
    </row>
    <row r="134" spans="1:14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3"/>
        <v>-5</v>
      </c>
      <c r="K134" s="41">
        <f t="shared" ref="K134:K197" si="15">J134*$J$2</f>
        <v>-50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>
        <f t="shared" ref="J135:J198" si="19">INT(LOG($H$2,2))-ROUNDUP(LOG(H135,2),0)+IF(OR($H$2=1,$H$2=2,$H$2=4,$H$2=8,$H$2=16,$H$2=32,$H$2=64,$H$2=128,$H$2=256),0,1)</f>
        <v>-5</v>
      </c>
      <c r="K135" s="41">
        <f t="shared" si="15"/>
        <v>-50</v>
      </c>
      <c r="L135" s="41"/>
      <c r="M135" s="43">
        <f t="shared" si="16"/>
        <v>0</v>
      </c>
      <c r="N135" s="43">
        <f t="shared" si="17"/>
        <v>0</v>
      </c>
    </row>
    <row r="136" spans="1:14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>
        <f t="shared" si="19"/>
        <v>-5</v>
      </c>
      <c r="K136" s="41">
        <f t="shared" si="15"/>
        <v>-50</v>
      </c>
      <c r="L136" s="41"/>
      <c r="M136" s="43">
        <f t="shared" si="16"/>
        <v>0</v>
      </c>
      <c r="N136" s="43">
        <f t="shared" si="17"/>
        <v>0</v>
      </c>
    </row>
    <row r="137" spans="1:14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>
        <f t="shared" si="19"/>
        <v>-5</v>
      </c>
      <c r="K137" s="41">
        <f t="shared" si="15"/>
        <v>-50</v>
      </c>
      <c r="L137" s="41"/>
      <c r="M137" s="43">
        <f t="shared" si="16"/>
        <v>0</v>
      </c>
      <c r="N137" s="43">
        <f t="shared" si="17"/>
        <v>0</v>
      </c>
    </row>
    <row r="138" spans="1:14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>
        <f t="shared" si="19"/>
        <v>-5</v>
      </c>
      <c r="K138" s="41">
        <f t="shared" si="15"/>
        <v>-50</v>
      </c>
      <c r="L138" s="41"/>
      <c r="M138" s="43">
        <f t="shared" si="16"/>
        <v>0</v>
      </c>
      <c r="N138" s="43">
        <f t="shared" si="17"/>
        <v>0</v>
      </c>
    </row>
    <row r="139" spans="1:14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>
        <f t="shared" si="19"/>
        <v>-5</v>
      </c>
      <c r="K139" s="41">
        <f t="shared" si="15"/>
        <v>-50</v>
      </c>
      <c r="L139" s="41"/>
      <c r="M139" s="43">
        <f t="shared" si="16"/>
        <v>0</v>
      </c>
      <c r="N139" s="43">
        <f t="shared" si="17"/>
        <v>0</v>
      </c>
    </row>
    <row r="140" spans="1:14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>
        <f t="shared" si="19"/>
        <v>-5</v>
      </c>
      <c r="K140" s="41">
        <f t="shared" si="15"/>
        <v>-50</v>
      </c>
      <c r="L140" s="41"/>
      <c r="M140" s="43">
        <f t="shared" si="16"/>
        <v>0</v>
      </c>
      <c r="N140" s="43">
        <f t="shared" si="17"/>
        <v>0</v>
      </c>
    </row>
    <row r="141" spans="1:14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>
        <f t="shared" si="19"/>
        <v>-5</v>
      </c>
      <c r="K141" s="41">
        <f t="shared" si="15"/>
        <v>-50</v>
      </c>
      <c r="L141" s="41"/>
      <c r="M141" s="43">
        <f t="shared" si="16"/>
        <v>0</v>
      </c>
      <c r="N141" s="43">
        <f t="shared" si="17"/>
        <v>0</v>
      </c>
    </row>
    <row r="142" spans="1:14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>
        <f t="shared" si="19"/>
        <v>-5</v>
      </c>
      <c r="K142" s="41">
        <f t="shared" si="15"/>
        <v>-50</v>
      </c>
      <c r="L142" s="41"/>
      <c r="M142" s="43">
        <f t="shared" si="16"/>
        <v>0</v>
      </c>
      <c r="N142" s="43">
        <f t="shared" si="17"/>
        <v>0</v>
      </c>
    </row>
    <row r="143" spans="1:14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>
        <f t="shared" si="19"/>
        <v>-5</v>
      </c>
      <c r="K143" s="41">
        <f t="shared" si="15"/>
        <v>-50</v>
      </c>
      <c r="L143" s="41"/>
      <c r="M143" s="43">
        <f t="shared" si="16"/>
        <v>0</v>
      </c>
      <c r="N143" s="43">
        <f t="shared" si="17"/>
        <v>0</v>
      </c>
    </row>
    <row r="144" spans="1:14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>
        <f t="shared" si="19"/>
        <v>-5</v>
      </c>
      <c r="K144" s="41">
        <f t="shared" si="15"/>
        <v>-50</v>
      </c>
      <c r="L144" s="41"/>
      <c r="M144" s="43">
        <f t="shared" si="16"/>
        <v>0</v>
      </c>
      <c r="N144" s="43">
        <f t="shared" si="17"/>
        <v>0</v>
      </c>
    </row>
    <row r="145" spans="1:14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>
        <f t="shared" si="19"/>
        <v>-5</v>
      </c>
      <c r="K145" s="41">
        <f t="shared" si="15"/>
        <v>-50</v>
      </c>
      <c r="L145" s="41"/>
      <c r="M145" s="43">
        <f t="shared" si="16"/>
        <v>0</v>
      </c>
      <c r="N145" s="43">
        <f t="shared" si="17"/>
        <v>0</v>
      </c>
    </row>
    <row r="146" spans="1:14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>
        <f t="shared" si="19"/>
        <v>-5</v>
      </c>
      <c r="K146" s="41">
        <f t="shared" si="15"/>
        <v>-50</v>
      </c>
      <c r="L146" s="41"/>
      <c r="M146" s="43">
        <f t="shared" si="16"/>
        <v>0</v>
      </c>
      <c r="N146" s="43">
        <f t="shared" si="17"/>
        <v>0</v>
      </c>
    </row>
    <row r="147" spans="1:14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>
        <f t="shared" si="19"/>
        <v>-5</v>
      </c>
      <c r="K147" s="41">
        <f t="shared" si="15"/>
        <v>-50</v>
      </c>
      <c r="L147" s="41"/>
      <c r="M147" s="43">
        <f t="shared" si="16"/>
        <v>0</v>
      </c>
      <c r="N147" s="43">
        <f t="shared" si="17"/>
        <v>0</v>
      </c>
    </row>
    <row r="148" spans="1:14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>
        <f t="shared" si="19"/>
        <v>-5</v>
      </c>
      <c r="K148" s="41">
        <f t="shared" si="15"/>
        <v>-50</v>
      </c>
      <c r="L148" s="41"/>
      <c r="M148" s="43">
        <f t="shared" si="16"/>
        <v>0</v>
      </c>
      <c r="N148" s="43">
        <f t="shared" si="17"/>
        <v>0</v>
      </c>
    </row>
    <row r="149" spans="1:14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>
        <f t="shared" si="19"/>
        <v>-5</v>
      </c>
      <c r="K149" s="41">
        <f t="shared" si="15"/>
        <v>-50</v>
      </c>
      <c r="L149" s="41"/>
      <c r="M149" s="43">
        <f t="shared" si="16"/>
        <v>0</v>
      </c>
      <c r="N149" s="43">
        <f t="shared" si="17"/>
        <v>0</v>
      </c>
    </row>
    <row r="150" spans="1:14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>
        <f t="shared" si="19"/>
        <v>-5</v>
      </c>
      <c r="K150" s="41">
        <f t="shared" si="15"/>
        <v>-50</v>
      </c>
      <c r="L150" s="41"/>
      <c r="M150" s="43">
        <f t="shared" si="16"/>
        <v>0</v>
      </c>
      <c r="N150" s="43">
        <f t="shared" si="17"/>
        <v>0</v>
      </c>
    </row>
    <row r="151" spans="1:14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>
        <f t="shared" si="19"/>
        <v>-5</v>
      </c>
      <c r="K151" s="41">
        <f t="shared" si="15"/>
        <v>-50</v>
      </c>
      <c r="L151" s="41"/>
      <c r="M151" s="43">
        <f t="shared" si="16"/>
        <v>0</v>
      </c>
      <c r="N151" s="43">
        <f t="shared" si="17"/>
        <v>0</v>
      </c>
    </row>
    <row r="152" spans="1:14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>
        <f t="shared" si="19"/>
        <v>-5</v>
      </c>
      <c r="K152" s="41">
        <f t="shared" si="15"/>
        <v>-50</v>
      </c>
      <c r="L152" s="41"/>
      <c r="M152" s="43">
        <f t="shared" si="16"/>
        <v>0</v>
      </c>
      <c r="N152" s="43">
        <f t="shared" si="17"/>
        <v>0</v>
      </c>
    </row>
    <row r="153" spans="1:14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>
        <f t="shared" si="19"/>
        <v>-5</v>
      </c>
      <c r="K153" s="41">
        <f t="shared" si="15"/>
        <v>-50</v>
      </c>
      <c r="L153" s="41"/>
      <c r="M153" s="43">
        <f t="shared" si="16"/>
        <v>0</v>
      </c>
      <c r="N153" s="43">
        <f t="shared" si="17"/>
        <v>0</v>
      </c>
    </row>
    <row r="154" spans="1:14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>
        <f t="shared" si="19"/>
        <v>-5</v>
      </c>
      <c r="K154" s="41">
        <f t="shared" si="15"/>
        <v>-50</v>
      </c>
      <c r="L154" s="41"/>
      <c r="M154" s="43">
        <f t="shared" si="16"/>
        <v>0</v>
      </c>
      <c r="N154" s="43">
        <f t="shared" si="17"/>
        <v>0</v>
      </c>
    </row>
    <row r="155" spans="1:14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>
        <f t="shared" si="19"/>
        <v>-5</v>
      </c>
      <c r="K155" s="41">
        <f t="shared" si="15"/>
        <v>-50</v>
      </c>
      <c r="L155" s="41"/>
      <c r="M155" s="43">
        <f t="shared" si="16"/>
        <v>0</v>
      </c>
      <c r="N155" s="43">
        <f t="shared" si="17"/>
        <v>0</v>
      </c>
    </row>
    <row r="156" spans="1:14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>
        <f t="shared" si="19"/>
        <v>-5</v>
      </c>
      <c r="K156" s="41">
        <f t="shared" si="15"/>
        <v>-50</v>
      </c>
      <c r="L156" s="41"/>
      <c r="M156" s="43">
        <f t="shared" si="16"/>
        <v>0</v>
      </c>
      <c r="N156" s="43">
        <f t="shared" si="17"/>
        <v>0</v>
      </c>
    </row>
    <row r="157" spans="1:14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>
        <f t="shared" si="19"/>
        <v>-5</v>
      </c>
      <c r="K157" s="41">
        <f t="shared" si="15"/>
        <v>-50</v>
      </c>
      <c r="L157" s="41"/>
      <c r="M157" s="43">
        <f t="shared" si="16"/>
        <v>0</v>
      </c>
      <c r="N157" s="43">
        <f t="shared" si="17"/>
        <v>0</v>
      </c>
    </row>
    <row r="158" spans="1:14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>
        <f t="shared" si="19"/>
        <v>-5</v>
      </c>
      <c r="K158" s="41">
        <f t="shared" si="15"/>
        <v>-50</v>
      </c>
      <c r="L158" s="41"/>
      <c r="M158" s="43">
        <f t="shared" si="16"/>
        <v>0</v>
      </c>
      <c r="N158" s="43">
        <f t="shared" si="17"/>
        <v>0</v>
      </c>
    </row>
    <row r="159" spans="1:14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>
        <f t="shared" si="19"/>
        <v>-5</v>
      </c>
      <c r="K159" s="41">
        <f t="shared" si="15"/>
        <v>-50</v>
      </c>
      <c r="L159" s="41"/>
      <c r="M159" s="43">
        <f t="shared" si="16"/>
        <v>0</v>
      </c>
      <c r="N159" s="43">
        <f t="shared" si="17"/>
        <v>0</v>
      </c>
    </row>
    <row r="160" spans="1:14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>
        <f t="shared" si="19"/>
        <v>-5</v>
      </c>
      <c r="K160" s="41">
        <f t="shared" si="15"/>
        <v>-50</v>
      </c>
      <c r="L160" s="41"/>
      <c r="M160" s="43">
        <f t="shared" si="16"/>
        <v>0</v>
      </c>
      <c r="N160" s="43">
        <f t="shared" si="17"/>
        <v>0</v>
      </c>
    </row>
    <row r="161" spans="1:14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>
        <f t="shared" si="19"/>
        <v>-5</v>
      </c>
      <c r="K161" s="41">
        <f t="shared" si="15"/>
        <v>-50</v>
      </c>
      <c r="L161" s="41"/>
      <c r="M161" s="43">
        <f t="shared" si="16"/>
        <v>0</v>
      </c>
      <c r="N161" s="43">
        <f t="shared" si="17"/>
        <v>0</v>
      </c>
    </row>
    <row r="162" spans="1:14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>
        <f t="shared" si="19"/>
        <v>-5</v>
      </c>
      <c r="K162" s="41">
        <f t="shared" si="15"/>
        <v>-50</v>
      </c>
      <c r="L162" s="41"/>
      <c r="M162" s="43">
        <f t="shared" si="16"/>
        <v>0</v>
      </c>
      <c r="N162" s="43">
        <f t="shared" si="17"/>
        <v>0</v>
      </c>
    </row>
    <row r="163" spans="1:14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>
        <f t="shared" si="19"/>
        <v>-5</v>
      </c>
      <c r="K163" s="41">
        <f t="shared" si="15"/>
        <v>-50</v>
      </c>
      <c r="L163" s="41"/>
      <c r="M163" s="43">
        <f t="shared" si="16"/>
        <v>0</v>
      </c>
      <c r="N163" s="43">
        <f t="shared" si="17"/>
        <v>0</v>
      </c>
    </row>
    <row r="164" spans="1:14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>
        <f t="shared" si="19"/>
        <v>-5</v>
      </c>
      <c r="K164" s="41">
        <f t="shared" si="15"/>
        <v>-50</v>
      </c>
      <c r="L164" s="41"/>
      <c r="M164" s="43">
        <f t="shared" si="16"/>
        <v>0</v>
      </c>
      <c r="N164" s="43">
        <f t="shared" si="17"/>
        <v>0</v>
      </c>
    </row>
    <row r="165" spans="1:14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>
        <f t="shared" si="19"/>
        <v>-5</v>
      </c>
      <c r="K165" s="41">
        <f t="shared" si="15"/>
        <v>-50</v>
      </c>
      <c r="L165" s="41"/>
      <c r="M165" s="43">
        <f t="shared" si="16"/>
        <v>0</v>
      </c>
      <c r="N165" s="43">
        <f t="shared" si="17"/>
        <v>0</v>
      </c>
    </row>
    <row r="166" spans="1:14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>
        <f t="shared" si="19"/>
        <v>-5</v>
      </c>
      <c r="K166" s="41">
        <f t="shared" si="15"/>
        <v>-50</v>
      </c>
      <c r="L166" s="41"/>
      <c r="M166" s="43">
        <f t="shared" si="16"/>
        <v>0</v>
      </c>
      <c r="N166" s="43">
        <f t="shared" si="17"/>
        <v>0</v>
      </c>
    </row>
    <row r="167" spans="1:14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>
        <f t="shared" si="19"/>
        <v>-5</v>
      </c>
      <c r="K167" s="41">
        <f t="shared" si="15"/>
        <v>-50</v>
      </c>
      <c r="L167" s="41"/>
      <c r="M167" s="43">
        <f t="shared" si="16"/>
        <v>0</v>
      </c>
      <c r="N167" s="43">
        <f t="shared" si="17"/>
        <v>0</v>
      </c>
    </row>
    <row r="168" spans="1:14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>
        <f t="shared" si="19"/>
        <v>-5</v>
      </c>
      <c r="K168" s="41">
        <f t="shared" si="15"/>
        <v>-50</v>
      </c>
      <c r="L168" s="41"/>
      <c r="M168" s="43">
        <f t="shared" si="16"/>
        <v>0</v>
      </c>
      <c r="N168" s="43">
        <f t="shared" si="17"/>
        <v>0</v>
      </c>
    </row>
    <row r="169" spans="1:14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>
        <f t="shared" si="19"/>
        <v>-5</v>
      </c>
      <c r="K169" s="41">
        <f t="shared" si="15"/>
        <v>-50</v>
      </c>
      <c r="L169" s="41"/>
      <c r="M169" s="43">
        <f t="shared" si="16"/>
        <v>0</v>
      </c>
      <c r="N169" s="43">
        <f t="shared" si="17"/>
        <v>0</v>
      </c>
    </row>
    <row r="170" spans="1:14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>
        <f t="shared" si="19"/>
        <v>-5</v>
      </c>
      <c r="K170" s="41">
        <f t="shared" si="15"/>
        <v>-50</v>
      </c>
      <c r="L170" s="41"/>
      <c r="M170" s="43">
        <f t="shared" si="16"/>
        <v>0</v>
      </c>
      <c r="N170" s="43">
        <f t="shared" si="17"/>
        <v>0</v>
      </c>
    </row>
    <row r="171" spans="1:14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>
        <f t="shared" si="19"/>
        <v>-5</v>
      </c>
      <c r="K171" s="41">
        <f t="shared" si="15"/>
        <v>-50</v>
      </c>
      <c r="L171" s="41"/>
      <c r="M171" s="43">
        <f t="shared" si="16"/>
        <v>0</v>
      </c>
      <c r="N171" s="43">
        <f t="shared" si="17"/>
        <v>0</v>
      </c>
    </row>
    <row r="172" spans="1:14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>
        <f t="shared" si="19"/>
        <v>-5</v>
      </c>
      <c r="K172" s="41">
        <f t="shared" si="15"/>
        <v>-50</v>
      </c>
      <c r="L172" s="41"/>
      <c r="M172" s="43">
        <f t="shared" si="16"/>
        <v>0</v>
      </c>
      <c r="N172" s="43">
        <f t="shared" si="17"/>
        <v>0</v>
      </c>
    </row>
    <row r="173" spans="1:14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>
        <f t="shared" si="19"/>
        <v>-5</v>
      </c>
      <c r="K173" s="41">
        <f t="shared" si="15"/>
        <v>-50</v>
      </c>
      <c r="L173" s="41"/>
      <c r="M173" s="43">
        <f t="shared" si="16"/>
        <v>0</v>
      </c>
      <c r="N173" s="43">
        <f t="shared" si="17"/>
        <v>0</v>
      </c>
    </row>
    <row r="174" spans="1:14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>
        <f t="shared" si="19"/>
        <v>-5</v>
      </c>
      <c r="K174" s="41">
        <f t="shared" si="15"/>
        <v>-50</v>
      </c>
      <c r="L174" s="41"/>
      <c r="M174" s="43">
        <f t="shared" si="16"/>
        <v>0</v>
      </c>
      <c r="N174" s="43">
        <f t="shared" si="17"/>
        <v>0</v>
      </c>
    </row>
    <row r="175" spans="1:14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>
        <f t="shared" si="19"/>
        <v>-5</v>
      </c>
      <c r="K175" s="41">
        <f t="shared" si="15"/>
        <v>-50</v>
      </c>
      <c r="L175" s="41"/>
      <c r="M175" s="43">
        <f t="shared" si="16"/>
        <v>0</v>
      </c>
      <c r="N175" s="43">
        <f t="shared" si="17"/>
        <v>0</v>
      </c>
    </row>
    <row r="176" spans="1:14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>
        <f t="shared" si="19"/>
        <v>-5</v>
      </c>
      <c r="K176" s="41">
        <f t="shared" si="15"/>
        <v>-50</v>
      </c>
      <c r="L176" s="41"/>
      <c r="M176" s="43">
        <f t="shared" si="16"/>
        <v>0</v>
      </c>
      <c r="N176" s="43">
        <f t="shared" si="17"/>
        <v>0</v>
      </c>
    </row>
    <row r="177" spans="1:14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>
        <f t="shared" si="19"/>
        <v>-5</v>
      </c>
      <c r="K177" s="41">
        <f t="shared" si="15"/>
        <v>-50</v>
      </c>
      <c r="L177" s="41"/>
      <c r="M177" s="43">
        <f t="shared" si="16"/>
        <v>0</v>
      </c>
      <c r="N177" s="43">
        <f t="shared" si="17"/>
        <v>0</v>
      </c>
    </row>
    <row r="178" spans="1:14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>
        <f t="shared" si="19"/>
        <v>-5</v>
      </c>
      <c r="K178" s="41">
        <f t="shared" si="15"/>
        <v>-50</v>
      </c>
      <c r="L178" s="41"/>
      <c r="M178" s="43">
        <f t="shared" si="16"/>
        <v>0</v>
      </c>
      <c r="N178" s="43">
        <f t="shared" si="17"/>
        <v>0</v>
      </c>
    </row>
    <row r="179" spans="1:14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>
        <f t="shared" si="19"/>
        <v>-5</v>
      </c>
      <c r="K179" s="41">
        <f t="shared" si="15"/>
        <v>-50</v>
      </c>
      <c r="L179" s="41"/>
      <c r="M179" s="43">
        <f t="shared" si="16"/>
        <v>0</v>
      </c>
      <c r="N179" s="43">
        <f t="shared" si="17"/>
        <v>0</v>
      </c>
    </row>
    <row r="180" spans="1:14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>
        <f t="shared" si="19"/>
        <v>-5</v>
      </c>
      <c r="K180" s="41">
        <f t="shared" si="15"/>
        <v>-50</v>
      </c>
      <c r="L180" s="41"/>
      <c r="M180" s="43">
        <f t="shared" si="16"/>
        <v>0</v>
      </c>
      <c r="N180" s="43">
        <f t="shared" si="17"/>
        <v>0</v>
      </c>
    </row>
    <row r="181" spans="1:14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>
        <f t="shared" si="19"/>
        <v>-5</v>
      </c>
      <c r="K181" s="41">
        <f t="shared" si="15"/>
        <v>-50</v>
      </c>
      <c r="L181" s="41"/>
      <c r="M181" s="43">
        <f t="shared" si="16"/>
        <v>0</v>
      </c>
      <c r="N181" s="43">
        <f t="shared" si="17"/>
        <v>0</v>
      </c>
    </row>
    <row r="182" spans="1:14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>
        <f t="shared" si="19"/>
        <v>-5</v>
      </c>
      <c r="K182" s="41">
        <f t="shared" si="15"/>
        <v>-50</v>
      </c>
      <c r="L182" s="41"/>
      <c r="M182" s="43">
        <f t="shared" si="16"/>
        <v>0</v>
      </c>
      <c r="N182" s="43">
        <f t="shared" si="17"/>
        <v>0</v>
      </c>
    </row>
    <row r="183" spans="1:14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>
        <f t="shared" si="19"/>
        <v>-5</v>
      </c>
      <c r="K183" s="41">
        <f t="shared" si="15"/>
        <v>-50</v>
      </c>
      <c r="L183" s="41"/>
      <c r="M183" s="43">
        <f t="shared" si="16"/>
        <v>0</v>
      </c>
      <c r="N183" s="43">
        <f t="shared" si="17"/>
        <v>0</v>
      </c>
    </row>
    <row r="184" spans="1:14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>
        <f t="shared" si="19"/>
        <v>-5</v>
      </c>
      <c r="K184" s="41">
        <f t="shared" si="15"/>
        <v>-50</v>
      </c>
      <c r="L184" s="41"/>
      <c r="M184" s="43">
        <f t="shared" si="16"/>
        <v>0</v>
      </c>
      <c r="N184" s="43">
        <f t="shared" si="17"/>
        <v>0</v>
      </c>
    </row>
    <row r="185" spans="1:14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>
        <f t="shared" si="19"/>
        <v>-5</v>
      </c>
      <c r="K185" s="41">
        <f t="shared" si="15"/>
        <v>-50</v>
      </c>
      <c r="L185" s="41"/>
      <c r="M185" s="43">
        <f t="shared" si="16"/>
        <v>0</v>
      </c>
      <c r="N185" s="43">
        <f t="shared" si="17"/>
        <v>0</v>
      </c>
    </row>
    <row r="186" spans="1:14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>
        <f t="shared" si="19"/>
        <v>-5</v>
      </c>
      <c r="K186" s="41">
        <f t="shared" si="15"/>
        <v>-50</v>
      </c>
      <c r="L186" s="41"/>
      <c r="M186" s="43">
        <f t="shared" si="16"/>
        <v>0</v>
      </c>
      <c r="N186" s="43">
        <f t="shared" si="17"/>
        <v>0</v>
      </c>
    </row>
    <row r="187" spans="1:14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>
        <f t="shared" si="19"/>
        <v>-5</v>
      </c>
      <c r="K187" s="41">
        <f t="shared" si="15"/>
        <v>-50</v>
      </c>
      <c r="L187" s="41"/>
      <c r="M187" s="43">
        <f t="shared" si="16"/>
        <v>0</v>
      </c>
      <c r="N187" s="43">
        <f t="shared" si="17"/>
        <v>0</v>
      </c>
    </row>
    <row r="188" spans="1:14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>
        <f t="shared" si="19"/>
        <v>-5</v>
      </c>
      <c r="K188" s="41">
        <f t="shared" si="15"/>
        <v>-50</v>
      </c>
      <c r="L188" s="41"/>
      <c r="M188" s="43">
        <f t="shared" si="16"/>
        <v>0</v>
      </c>
      <c r="N188" s="43">
        <f t="shared" si="17"/>
        <v>0</v>
      </c>
    </row>
    <row r="189" spans="1:14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>
        <f t="shared" si="19"/>
        <v>-5</v>
      </c>
      <c r="K189" s="41">
        <f t="shared" si="15"/>
        <v>-50</v>
      </c>
      <c r="L189" s="41"/>
      <c r="M189" s="43">
        <f t="shared" si="16"/>
        <v>0</v>
      </c>
      <c r="N189" s="43">
        <f t="shared" si="17"/>
        <v>0</v>
      </c>
    </row>
    <row r="190" spans="1:14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>
        <f t="shared" si="19"/>
        <v>-5</v>
      </c>
      <c r="K190" s="41">
        <f t="shared" si="15"/>
        <v>-50</v>
      </c>
      <c r="L190" s="41"/>
      <c r="M190" s="43">
        <f t="shared" si="16"/>
        <v>0</v>
      </c>
      <c r="N190" s="43">
        <f t="shared" si="17"/>
        <v>0</v>
      </c>
    </row>
    <row r="191" spans="1:14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>
        <f t="shared" si="19"/>
        <v>-5</v>
      </c>
      <c r="K191" s="41">
        <f t="shared" si="15"/>
        <v>-50</v>
      </c>
      <c r="L191" s="41"/>
      <c r="M191" s="43">
        <f t="shared" si="16"/>
        <v>0</v>
      </c>
      <c r="N191" s="43">
        <f t="shared" si="17"/>
        <v>0</v>
      </c>
    </row>
    <row r="192" spans="1:14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>
        <f t="shared" si="19"/>
        <v>-5</v>
      </c>
      <c r="K192" s="41">
        <f t="shared" si="15"/>
        <v>-50</v>
      </c>
      <c r="L192" s="41"/>
      <c r="M192" s="43">
        <f t="shared" si="16"/>
        <v>0</v>
      </c>
      <c r="N192" s="43">
        <f t="shared" si="17"/>
        <v>0</v>
      </c>
    </row>
    <row r="193" spans="1:14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>
        <f t="shared" si="19"/>
        <v>-5</v>
      </c>
      <c r="K193" s="41">
        <f t="shared" si="15"/>
        <v>-50</v>
      </c>
      <c r="L193" s="41"/>
      <c r="M193" s="43">
        <f t="shared" si="16"/>
        <v>0</v>
      </c>
      <c r="N193" s="43">
        <f t="shared" si="17"/>
        <v>0</v>
      </c>
    </row>
    <row r="194" spans="1:14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>
        <f t="shared" si="19"/>
        <v>-5</v>
      </c>
      <c r="K194" s="41">
        <f t="shared" si="15"/>
        <v>-50</v>
      </c>
      <c r="L194" s="41"/>
      <c r="M194" s="43">
        <f t="shared" si="16"/>
        <v>0</v>
      </c>
      <c r="N194" s="43">
        <f t="shared" si="17"/>
        <v>0</v>
      </c>
    </row>
    <row r="195" spans="1:14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>
        <f t="shared" si="19"/>
        <v>-5</v>
      </c>
      <c r="K195" s="41">
        <f t="shared" si="15"/>
        <v>-50</v>
      </c>
      <c r="L195" s="41"/>
      <c r="M195" s="43">
        <f t="shared" si="16"/>
        <v>0</v>
      </c>
      <c r="N195" s="43">
        <f t="shared" si="17"/>
        <v>0</v>
      </c>
    </row>
    <row r="196" spans="1:14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>
        <f t="shared" si="19"/>
        <v>-5</v>
      </c>
      <c r="K196" s="41">
        <f t="shared" si="15"/>
        <v>-50</v>
      </c>
      <c r="L196" s="41"/>
      <c r="M196" s="43">
        <f t="shared" si="16"/>
        <v>0</v>
      </c>
      <c r="N196" s="43">
        <f t="shared" si="17"/>
        <v>0</v>
      </c>
    </row>
    <row r="197" spans="1:14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>
        <f t="shared" si="19"/>
        <v>-5</v>
      </c>
      <c r="K197" s="41">
        <f t="shared" si="15"/>
        <v>-50</v>
      </c>
      <c r="L197" s="41"/>
      <c r="M197" s="43">
        <f t="shared" si="16"/>
        <v>0</v>
      </c>
      <c r="N197" s="43">
        <f t="shared" si="17"/>
        <v>0</v>
      </c>
    </row>
    <row r="198" spans="1:14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9"/>
        <v>-5</v>
      </c>
      <c r="K198" s="41">
        <f t="shared" ref="K198:K261" si="21">J198*$J$2</f>
        <v>-50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>
        <f t="shared" ref="J199:J262" si="25">INT(LOG($H$2,2))-ROUNDUP(LOG(H199,2),0)+IF(OR($H$2=1,$H$2=2,$H$2=4,$H$2=8,$H$2=16,$H$2=32,$H$2=64,$H$2=128,$H$2=256),0,1)</f>
        <v>-5</v>
      </c>
      <c r="K199" s="41">
        <f t="shared" si="21"/>
        <v>-50</v>
      </c>
      <c r="L199" s="41"/>
      <c r="M199" s="43">
        <f t="shared" si="22"/>
        <v>0</v>
      </c>
      <c r="N199" s="43">
        <f t="shared" si="23"/>
        <v>0</v>
      </c>
    </row>
    <row r="200" spans="1:14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>
        <f t="shared" si="25"/>
        <v>-5</v>
      </c>
      <c r="K200" s="41">
        <f t="shared" si="21"/>
        <v>-50</v>
      </c>
      <c r="L200" s="41"/>
      <c r="M200" s="43">
        <f t="shared" si="22"/>
        <v>0</v>
      </c>
      <c r="N200" s="43">
        <f t="shared" si="23"/>
        <v>0</v>
      </c>
    </row>
    <row r="201" spans="1:14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>
        <f t="shared" si="25"/>
        <v>-5</v>
      </c>
      <c r="K201" s="41">
        <f t="shared" si="21"/>
        <v>-50</v>
      </c>
      <c r="L201" s="41"/>
      <c r="M201" s="43">
        <f t="shared" si="22"/>
        <v>0</v>
      </c>
      <c r="N201" s="43">
        <f t="shared" si="23"/>
        <v>0</v>
      </c>
    </row>
    <row r="202" spans="1:14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>
        <f t="shared" si="25"/>
        <v>-5</v>
      </c>
      <c r="K202" s="41">
        <f t="shared" si="21"/>
        <v>-50</v>
      </c>
      <c r="L202" s="41"/>
      <c r="M202" s="43">
        <f t="shared" si="22"/>
        <v>0</v>
      </c>
      <c r="N202" s="43">
        <f t="shared" si="23"/>
        <v>0</v>
      </c>
    </row>
    <row r="203" spans="1:14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>
        <f t="shared" si="25"/>
        <v>-5</v>
      </c>
      <c r="K203" s="41">
        <f t="shared" si="21"/>
        <v>-50</v>
      </c>
      <c r="L203" s="41"/>
      <c r="M203" s="43">
        <f t="shared" si="22"/>
        <v>0</v>
      </c>
      <c r="N203" s="43">
        <f t="shared" si="23"/>
        <v>0</v>
      </c>
    </row>
    <row r="204" spans="1:14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>
        <f t="shared" si="25"/>
        <v>-5</v>
      </c>
      <c r="K204" s="41">
        <f t="shared" si="21"/>
        <v>-50</v>
      </c>
      <c r="L204" s="41"/>
      <c r="M204" s="43">
        <f t="shared" si="22"/>
        <v>0</v>
      </c>
      <c r="N204" s="43">
        <f t="shared" si="23"/>
        <v>0</v>
      </c>
    </row>
    <row r="205" spans="1:14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>
        <f t="shared" si="25"/>
        <v>-5</v>
      </c>
      <c r="K205" s="41">
        <f t="shared" si="21"/>
        <v>-50</v>
      </c>
      <c r="L205" s="41"/>
      <c r="M205" s="43">
        <f t="shared" si="22"/>
        <v>0</v>
      </c>
      <c r="N205" s="43">
        <f t="shared" si="23"/>
        <v>0</v>
      </c>
    </row>
    <row r="206" spans="1:14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>
        <f t="shared" si="25"/>
        <v>-5</v>
      </c>
      <c r="K206" s="41">
        <f t="shared" si="21"/>
        <v>-50</v>
      </c>
      <c r="L206" s="41"/>
      <c r="M206" s="43">
        <f t="shared" si="22"/>
        <v>0</v>
      </c>
      <c r="N206" s="43">
        <f t="shared" si="23"/>
        <v>0</v>
      </c>
    </row>
    <row r="207" spans="1:14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>
        <f t="shared" si="25"/>
        <v>-5</v>
      </c>
      <c r="K207" s="41">
        <f t="shared" si="21"/>
        <v>-50</v>
      </c>
      <c r="L207" s="41"/>
      <c r="M207" s="43">
        <f t="shared" si="22"/>
        <v>0</v>
      </c>
      <c r="N207" s="43">
        <f t="shared" si="23"/>
        <v>0</v>
      </c>
    </row>
    <row r="208" spans="1:14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>
        <f t="shared" si="25"/>
        <v>-5</v>
      </c>
      <c r="K208" s="41">
        <f t="shared" si="21"/>
        <v>-50</v>
      </c>
      <c r="L208" s="41"/>
      <c r="M208" s="43">
        <f t="shared" si="22"/>
        <v>0</v>
      </c>
      <c r="N208" s="43">
        <f t="shared" si="23"/>
        <v>0</v>
      </c>
    </row>
    <row r="209" spans="1:14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>
        <f t="shared" si="25"/>
        <v>-5</v>
      </c>
      <c r="K209" s="41">
        <f t="shared" si="21"/>
        <v>-50</v>
      </c>
      <c r="L209" s="41"/>
      <c r="M209" s="43">
        <f t="shared" si="22"/>
        <v>0</v>
      </c>
      <c r="N209" s="43">
        <f t="shared" si="23"/>
        <v>0</v>
      </c>
    </row>
    <row r="210" spans="1:14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>
        <f t="shared" si="25"/>
        <v>-5</v>
      </c>
      <c r="K210" s="41">
        <f t="shared" si="21"/>
        <v>-50</v>
      </c>
      <c r="L210" s="41"/>
      <c r="M210" s="43">
        <f t="shared" si="22"/>
        <v>0</v>
      </c>
      <c r="N210" s="43">
        <f t="shared" si="23"/>
        <v>0</v>
      </c>
    </row>
    <row r="211" spans="1:14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>
        <f t="shared" si="25"/>
        <v>-5</v>
      </c>
      <c r="K211" s="41">
        <f t="shared" si="21"/>
        <v>-50</v>
      </c>
      <c r="L211" s="41"/>
      <c r="M211" s="43">
        <f t="shared" si="22"/>
        <v>0</v>
      </c>
      <c r="N211" s="43">
        <f t="shared" si="23"/>
        <v>0</v>
      </c>
    </row>
    <row r="212" spans="1:14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>
        <f t="shared" si="25"/>
        <v>-5</v>
      </c>
      <c r="K212" s="41">
        <f t="shared" si="21"/>
        <v>-50</v>
      </c>
      <c r="L212" s="41"/>
      <c r="M212" s="43">
        <f t="shared" si="22"/>
        <v>0</v>
      </c>
      <c r="N212" s="43">
        <f t="shared" si="23"/>
        <v>0</v>
      </c>
    </row>
    <row r="213" spans="1:14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>
        <f t="shared" si="25"/>
        <v>-5</v>
      </c>
      <c r="K213" s="41">
        <f t="shared" si="21"/>
        <v>-50</v>
      </c>
      <c r="L213" s="41"/>
      <c r="M213" s="43">
        <f t="shared" si="22"/>
        <v>0</v>
      </c>
      <c r="N213" s="43">
        <f t="shared" si="23"/>
        <v>0</v>
      </c>
    </row>
    <row r="214" spans="1:14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>
        <f t="shared" si="25"/>
        <v>-5</v>
      </c>
      <c r="K214" s="41">
        <f t="shared" si="21"/>
        <v>-50</v>
      </c>
      <c r="L214" s="41"/>
      <c r="M214" s="43">
        <f t="shared" si="22"/>
        <v>0</v>
      </c>
      <c r="N214" s="43">
        <f t="shared" si="23"/>
        <v>0</v>
      </c>
    </row>
    <row r="215" spans="1:14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>
        <f t="shared" si="25"/>
        <v>-5</v>
      </c>
      <c r="K215" s="41">
        <f t="shared" si="21"/>
        <v>-50</v>
      </c>
      <c r="L215" s="41"/>
      <c r="M215" s="43">
        <f t="shared" si="22"/>
        <v>0</v>
      </c>
      <c r="N215" s="43">
        <f t="shared" si="23"/>
        <v>0</v>
      </c>
    </row>
    <row r="216" spans="1:14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>
        <f t="shared" si="25"/>
        <v>-5</v>
      </c>
      <c r="K216" s="41">
        <f t="shared" si="21"/>
        <v>-50</v>
      </c>
      <c r="L216" s="41"/>
      <c r="M216" s="43">
        <f t="shared" si="22"/>
        <v>0</v>
      </c>
      <c r="N216" s="43">
        <f t="shared" si="23"/>
        <v>0</v>
      </c>
    </row>
    <row r="217" spans="1:14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>
        <f t="shared" si="25"/>
        <v>-5</v>
      </c>
      <c r="K217" s="41">
        <f t="shared" si="21"/>
        <v>-50</v>
      </c>
      <c r="L217" s="41"/>
      <c r="M217" s="43">
        <f t="shared" si="22"/>
        <v>0</v>
      </c>
      <c r="N217" s="43">
        <f t="shared" si="23"/>
        <v>0</v>
      </c>
    </row>
    <row r="218" spans="1:14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>
        <f t="shared" si="25"/>
        <v>-5</v>
      </c>
      <c r="K218" s="41">
        <f t="shared" si="21"/>
        <v>-50</v>
      </c>
      <c r="L218" s="41"/>
      <c r="M218" s="43">
        <f t="shared" si="22"/>
        <v>0</v>
      </c>
      <c r="N218" s="43">
        <f t="shared" si="23"/>
        <v>0</v>
      </c>
    </row>
    <row r="219" spans="1:14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>
        <f t="shared" si="25"/>
        <v>-5</v>
      </c>
      <c r="K219" s="41">
        <f t="shared" si="21"/>
        <v>-50</v>
      </c>
      <c r="L219" s="41"/>
      <c r="M219" s="43">
        <f t="shared" si="22"/>
        <v>0</v>
      </c>
      <c r="N219" s="43">
        <f t="shared" si="23"/>
        <v>0</v>
      </c>
    </row>
    <row r="220" spans="1:14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>
        <f t="shared" si="25"/>
        <v>-5</v>
      </c>
      <c r="K220" s="41">
        <f t="shared" si="21"/>
        <v>-50</v>
      </c>
      <c r="L220" s="41"/>
      <c r="M220" s="43">
        <f t="shared" si="22"/>
        <v>0</v>
      </c>
      <c r="N220" s="43">
        <f t="shared" si="23"/>
        <v>0</v>
      </c>
    </row>
    <row r="221" spans="1:14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>
        <f t="shared" si="25"/>
        <v>-5</v>
      </c>
      <c r="K221" s="41">
        <f t="shared" si="21"/>
        <v>-50</v>
      </c>
      <c r="L221" s="41"/>
      <c r="M221" s="43">
        <f t="shared" si="22"/>
        <v>0</v>
      </c>
      <c r="N221" s="43">
        <f t="shared" si="23"/>
        <v>0</v>
      </c>
    </row>
    <row r="222" spans="1:14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>
        <f t="shared" si="25"/>
        <v>-5</v>
      </c>
      <c r="K222" s="41">
        <f t="shared" si="21"/>
        <v>-50</v>
      </c>
      <c r="L222" s="41"/>
      <c r="M222" s="43">
        <f t="shared" si="22"/>
        <v>0</v>
      </c>
      <c r="N222" s="43">
        <f t="shared" si="23"/>
        <v>0</v>
      </c>
    </row>
    <row r="223" spans="1:14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>
        <f t="shared" si="25"/>
        <v>-5</v>
      </c>
      <c r="K223" s="41">
        <f t="shared" si="21"/>
        <v>-50</v>
      </c>
      <c r="L223" s="41"/>
      <c r="M223" s="43">
        <f t="shared" si="22"/>
        <v>0</v>
      </c>
      <c r="N223" s="43">
        <f t="shared" si="23"/>
        <v>0</v>
      </c>
    </row>
    <row r="224" spans="1:14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>
        <f t="shared" si="25"/>
        <v>-5</v>
      </c>
      <c r="K224" s="41">
        <f t="shared" si="21"/>
        <v>-50</v>
      </c>
      <c r="L224" s="41"/>
      <c r="M224" s="43">
        <f t="shared" si="22"/>
        <v>0</v>
      </c>
      <c r="N224" s="43">
        <f t="shared" si="23"/>
        <v>0</v>
      </c>
    </row>
    <row r="225" spans="1:14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>
        <f t="shared" si="25"/>
        <v>-5</v>
      </c>
      <c r="K225" s="41">
        <f t="shared" si="21"/>
        <v>-50</v>
      </c>
      <c r="L225" s="41"/>
      <c r="M225" s="43">
        <f t="shared" si="22"/>
        <v>0</v>
      </c>
      <c r="N225" s="43">
        <f t="shared" si="23"/>
        <v>0</v>
      </c>
    </row>
    <row r="226" spans="1:14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>
        <f t="shared" si="25"/>
        <v>-5</v>
      </c>
      <c r="K226" s="41">
        <f t="shared" si="21"/>
        <v>-50</v>
      </c>
      <c r="L226" s="41"/>
      <c r="M226" s="43">
        <f t="shared" si="22"/>
        <v>0</v>
      </c>
      <c r="N226" s="43">
        <f t="shared" si="23"/>
        <v>0</v>
      </c>
    </row>
    <row r="227" spans="1:14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>
        <f t="shared" si="25"/>
        <v>-5</v>
      </c>
      <c r="K227" s="41">
        <f t="shared" si="21"/>
        <v>-50</v>
      </c>
      <c r="L227" s="41"/>
      <c r="M227" s="43">
        <f t="shared" si="22"/>
        <v>0</v>
      </c>
      <c r="N227" s="43">
        <f t="shared" si="23"/>
        <v>0</v>
      </c>
    </row>
    <row r="228" spans="1:14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>
        <f t="shared" si="25"/>
        <v>-5</v>
      </c>
      <c r="K228" s="41">
        <f t="shared" si="21"/>
        <v>-50</v>
      </c>
      <c r="L228" s="41"/>
      <c r="M228" s="43">
        <f t="shared" si="22"/>
        <v>0</v>
      </c>
      <c r="N228" s="43">
        <f t="shared" si="23"/>
        <v>0</v>
      </c>
    </row>
    <row r="229" spans="1:14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>
        <f t="shared" si="25"/>
        <v>-5</v>
      </c>
      <c r="K229" s="41">
        <f t="shared" si="21"/>
        <v>-50</v>
      </c>
      <c r="L229" s="41"/>
      <c r="M229" s="43">
        <f t="shared" si="22"/>
        <v>0</v>
      </c>
      <c r="N229" s="43">
        <f t="shared" si="23"/>
        <v>0</v>
      </c>
    </row>
    <row r="230" spans="1:14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>
        <f t="shared" si="25"/>
        <v>-5</v>
      </c>
      <c r="K230" s="41">
        <f t="shared" si="21"/>
        <v>-50</v>
      </c>
      <c r="L230" s="41"/>
      <c r="M230" s="43">
        <f t="shared" si="22"/>
        <v>0</v>
      </c>
      <c r="N230" s="43">
        <f t="shared" si="23"/>
        <v>0</v>
      </c>
    </row>
    <row r="231" spans="1:14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>
        <f t="shared" si="25"/>
        <v>-5</v>
      </c>
      <c r="K231" s="41">
        <f t="shared" si="21"/>
        <v>-50</v>
      </c>
      <c r="L231" s="41"/>
      <c r="M231" s="43">
        <f t="shared" si="22"/>
        <v>0</v>
      </c>
      <c r="N231" s="43">
        <f t="shared" si="23"/>
        <v>0</v>
      </c>
    </row>
    <row r="232" spans="1:14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>
        <f t="shared" si="25"/>
        <v>-5</v>
      </c>
      <c r="K232" s="41">
        <f t="shared" si="21"/>
        <v>-50</v>
      </c>
      <c r="L232" s="41"/>
      <c r="M232" s="43">
        <f t="shared" si="22"/>
        <v>0</v>
      </c>
      <c r="N232" s="43">
        <f t="shared" si="23"/>
        <v>0</v>
      </c>
    </row>
    <row r="233" spans="1:14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>
        <f t="shared" si="25"/>
        <v>-5</v>
      </c>
      <c r="K233" s="41">
        <f t="shared" si="21"/>
        <v>-50</v>
      </c>
      <c r="L233" s="41"/>
      <c r="M233" s="43">
        <f t="shared" si="22"/>
        <v>0</v>
      </c>
      <c r="N233" s="43">
        <f t="shared" si="23"/>
        <v>0</v>
      </c>
    </row>
    <row r="234" spans="1:14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>
        <f t="shared" si="25"/>
        <v>-5</v>
      </c>
      <c r="K234" s="41">
        <f t="shared" si="21"/>
        <v>-50</v>
      </c>
      <c r="L234" s="41"/>
      <c r="M234" s="43">
        <f t="shared" si="22"/>
        <v>0</v>
      </c>
      <c r="N234" s="43">
        <f t="shared" si="23"/>
        <v>0</v>
      </c>
    </row>
    <row r="235" spans="1:14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>
        <f t="shared" si="25"/>
        <v>-5</v>
      </c>
      <c r="K235" s="41">
        <f t="shared" si="21"/>
        <v>-50</v>
      </c>
      <c r="L235" s="41"/>
      <c r="M235" s="43">
        <f t="shared" si="22"/>
        <v>0</v>
      </c>
      <c r="N235" s="43">
        <f t="shared" si="23"/>
        <v>0</v>
      </c>
    </row>
    <row r="236" spans="1:14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>
        <f t="shared" si="25"/>
        <v>-5</v>
      </c>
      <c r="K236" s="41">
        <f t="shared" si="21"/>
        <v>-50</v>
      </c>
      <c r="L236" s="41"/>
      <c r="M236" s="43">
        <f t="shared" si="22"/>
        <v>0</v>
      </c>
      <c r="N236" s="43">
        <f t="shared" si="23"/>
        <v>0</v>
      </c>
    </row>
    <row r="237" spans="1:14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>
        <f t="shared" si="25"/>
        <v>-5</v>
      </c>
      <c r="K237" s="41">
        <f t="shared" si="21"/>
        <v>-50</v>
      </c>
      <c r="L237" s="41"/>
      <c r="M237" s="43">
        <f t="shared" si="22"/>
        <v>0</v>
      </c>
      <c r="N237" s="43">
        <f t="shared" si="23"/>
        <v>0</v>
      </c>
    </row>
    <row r="238" spans="1:14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>
        <f t="shared" si="25"/>
        <v>-5</v>
      </c>
      <c r="K238" s="41">
        <f t="shared" si="21"/>
        <v>-50</v>
      </c>
      <c r="L238" s="41"/>
      <c r="M238" s="43">
        <f t="shared" si="22"/>
        <v>0</v>
      </c>
      <c r="N238" s="43">
        <f t="shared" si="23"/>
        <v>0</v>
      </c>
    </row>
    <row r="239" spans="1:14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>
        <f t="shared" si="25"/>
        <v>-5</v>
      </c>
      <c r="K239" s="41">
        <f t="shared" si="21"/>
        <v>-50</v>
      </c>
      <c r="L239" s="41"/>
      <c r="M239" s="43">
        <f t="shared" si="22"/>
        <v>0</v>
      </c>
      <c r="N239" s="43">
        <f t="shared" si="23"/>
        <v>0</v>
      </c>
    </row>
    <row r="240" spans="1:14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>
        <f t="shared" si="25"/>
        <v>-5</v>
      </c>
      <c r="K240" s="41">
        <f t="shared" si="21"/>
        <v>-50</v>
      </c>
      <c r="L240" s="41"/>
      <c r="M240" s="43">
        <f t="shared" si="22"/>
        <v>0</v>
      </c>
      <c r="N240" s="43">
        <f t="shared" si="23"/>
        <v>0</v>
      </c>
    </row>
    <row r="241" spans="1:14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>
        <f t="shared" si="25"/>
        <v>-5</v>
      </c>
      <c r="K241" s="41">
        <f t="shared" si="21"/>
        <v>-50</v>
      </c>
      <c r="L241" s="41"/>
      <c r="M241" s="43">
        <f t="shared" si="22"/>
        <v>0</v>
      </c>
      <c r="N241" s="43">
        <f t="shared" si="23"/>
        <v>0</v>
      </c>
    </row>
    <row r="242" spans="1:14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>
        <f t="shared" si="25"/>
        <v>-5</v>
      </c>
      <c r="K242" s="41">
        <f t="shared" si="21"/>
        <v>-50</v>
      </c>
      <c r="L242" s="41"/>
      <c r="M242" s="43">
        <f t="shared" si="22"/>
        <v>0</v>
      </c>
      <c r="N242" s="43">
        <f t="shared" si="23"/>
        <v>0</v>
      </c>
    </row>
    <row r="243" spans="1:14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>
        <f t="shared" si="25"/>
        <v>-5</v>
      </c>
      <c r="K243" s="41">
        <f t="shared" si="21"/>
        <v>-50</v>
      </c>
      <c r="L243" s="41"/>
      <c r="M243" s="43">
        <f t="shared" si="22"/>
        <v>0</v>
      </c>
      <c r="N243" s="43">
        <f t="shared" si="23"/>
        <v>0</v>
      </c>
    </row>
    <row r="244" spans="1:14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>
        <f t="shared" si="25"/>
        <v>-5</v>
      </c>
      <c r="K244" s="41">
        <f t="shared" si="21"/>
        <v>-50</v>
      </c>
      <c r="L244" s="41"/>
      <c r="M244" s="43">
        <f t="shared" si="22"/>
        <v>0</v>
      </c>
      <c r="N244" s="43">
        <f t="shared" si="23"/>
        <v>0</v>
      </c>
    </row>
    <row r="245" spans="1:14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>
        <f t="shared" si="25"/>
        <v>-5</v>
      </c>
      <c r="K245" s="41">
        <f t="shared" si="21"/>
        <v>-50</v>
      </c>
      <c r="L245" s="41"/>
      <c r="M245" s="43">
        <f t="shared" si="22"/>
        <v>0</v>
      </c>
      <c r="N245" s="43">
        <f t="shared" si="23"/>
        <v>0</v>
      </c>
    </row>
    <row r="246" spans="1:14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>
        <f t="shared" si="25"/>
        <v>-5</v>
      </c>
      <c r="K246" s="41">
        <f t="shared" si="21"/>
        <v>-50</v>
      </c>
      <c r="L246" s="41"/>
      <c r="M246" s="43">
        <f t="shared" si="22"/>
        <v>0</v>
      </c>
      <c r="N246" s="43">
        <f t="shared" si="23"/>
        <v>0</v>
      </c>
    </row>
    <row r="247" spans="1:14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>
        <f t="shared" si="25"/>
        <v>-5</v>
      </c>
      <c r="K247" s="41">
        <f t="shared" si="21"/>
        <v>-50</v>
      </c>
      <c r="L247" s="41"/>
      <c r="M247" s="43">
        <f t="shared" si="22"/>
        <v>0</v>
      </c>
      <c r="N247" s="43">
        <f t="shared" si="23"/>
        <v>0</v>
      </c>
    </row>
    <row r="248" spans="1:14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>
        <f t="shared" si="25"/>
        <v>-5</v>
      </c>
      <c r="K248" s="41">
        <f t="shared" si="21"/>
        <v>-50</v>
      </c>
      <c r="L248" s="41"/>
      <c r="M248" s="43">
        <f t="shared" si="22"/>
        <v>0</v>
      </c>
      <c r="N248" s="43">
        <f t="shared" si="23"/>
        <v>0</v>
      </c>
    </row>
    <row r="249" spans="1:14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>
        <f t="shared" si="25"/>
        <v>-5</v>
      </c>
      <c r="K249" s="41">
        <f t="shared" si="21"/>
        <v>-50</v>
      </c>
      <c r="L249" s="41"/>
      <c r="M249" s="43">
        <f t="shared" si="22"/>
        <v>0</v>
      </c>
      <c r="N249" s="43">
        <f t="shared" si="23"/>
        <v>0</v>
      </c>
    </row>
    <row r="250" spans="1:14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>
        <f t="shared" si="25"/>
        <v>-5</v>
      </c>
      <c r="K250" s="41">
        <f t="shared" si="21"/>
        <v>-50</v>
      </c>
      <c r="L250" s="41"/>
      <c r="M250" s="43">
        <f t="shared" si="22"/>
        <v>0</v>
      </c>
      <c r="N250" s="43">
        <f t="shared" si="23"/>
        <v>0</v>
      </c>
    </row>
    <row r="251" spans="1:14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>
        <f t="shared" si="25"/>
        <v>-5</v>
      </c>
      <c r="K251" s="41">
        <f t="shared" si="21"/>
        <v>-50</v>
      </c>
      <c r="L251" s="41"/>
      <c r="M251" s="43">
        <f t="shared" si="22"/>
        <v>0</v>
      </c>
      <c r="N251" s="43">
        <f t="shared" si="23"/>
        <v>0</v>
      </c>
    </row>
    <row r="252" spans="1:14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>
        <f t="shared" si="25"/>
        <v>-5</v>
      </c>
      <c r="K252" s="41">
        <f t="shared" si="21"/>
        <v>-50</v>
      </c>
      <c r="L252" s="41"/>
      <c r="M252" s="43">
        <f t="shared" si="22"/>
        <v>0</v>
      </c>
      <c r="N252" s="43">
        <f t="shared" si="23"/>
        <v>0</v>
      </c>
    </row>
    <row r="253" spans="1:14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>
        <f t="shared" si="25"/>
        <v>-5</v>
      </c>
      <c r="K253" s="41">
        <f t="shared" si="21"/>
        <v>-50</v>
      </c>
      <c r="L253" s="41"/>
      <c r="M253" s="43">
        <f t="shared" si="22"/>
        <v>0</v>
      </c>
      <c r="N253" s="43">
        <f t="shared" si="23"/>
        <v>0</v>
      </c>
    </row>
    <row r="254" spans="1:14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>
        <f t="shared" si="25"/>
        <v>-5</v>
      </c>
      <c r="K254" s="41">
        <f t="shared" si="21"/>
        <v>-50</v>
      </c>
      <c r="L254" s="41"/>
      <c r="M254" s="43">
        <f t="shared" si="22"/>
        <v>0</v>
      </c>
      <c r="N254" s="43">
        <f t="shared" si="23"/>
        <v>0</v>
      </c>
    </row>
    <row r="255" spans="1:14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>
        <f t="shared" si="25"/>
        <v>-5</v>
      </c>
      <c r="K255" s="41">
        <f t="shared" si="21"/>
        <v>-50</v>
      </c>
      <c r="L255" s="41"/>
      <c r="M255" s="43">
        <f t="shared" si="22"/>
        <v>0</v>
      </c>
      <c r="N255" s="43">
        <f t="shared" si="23"/>
        <v>0</v>
      </c>
    </row>
    <row r="256" spans="1:14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>
        <f t="shared" si="25"/>
        <v>-5</v>
      </c>
      <c r="K256" s="41">
        <f t="shared" si="21"/>
        <v>-50</v>
      </c>
      <c r="L256" s="41"/>
      <c r="M256" s="43">
        <f t="shared" si="22"/>
        <v>0</v>
      </c>
      <c r="N256" s="43">
        <f t="shared" si="23"/>
        <v>0</v>
      </c>
    </row>
    <row r="257" spans="1:14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>
        <f t="shared" si="25"/>
        <v>-5</v>
      </c>
      <c r="K257" s="41">
        <f t="shared" si="21"/>
        <v>-50</v>
      </c>
      <c r="L257" s="41"/>
      <c r="M257" s="43">
        <f t="shared" si="22"/>
        <v>0</v>
      </c>
      <c r="N257" s="43">
        <f t="shared" si="23"/>
        <v>0</v>
      </c>
    </row>
    <row r="258" spans="1:14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>
        <f t="shared" si="25"/>
        <v>-5</v>
      </c>
      <c r="K258" s="41">
        <f t="shared" si="21"/>
        <v>-50</v>
      </c>
      <c r="L258" s="41"/>
      <c r="M258" s="43">
        <f t="shared" si="22"/>
        <v>0</v>
      </c>
      <c r="N258" s="43">
        <f t="shared" si="23"/>
        <v>0</v>
      </c>
    </row>
    <row r="259" spans="1:14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>
        <f t="shared" si="25"/>
        <v>-5</v>
      </c>
      <c r="K259" s="41">
        <f t="shared" si="21"/>
        <v>-50</v>
      </c>
      <c r="L259" s="41"/>
      <c r="M259" s="43">
        <f t="shared" si="22"/>
        <v>0</v>
      </c>
      <c r="N259" s="43">
        <f t="shared" si="23"/>
        <v>0</v>
      </c>
    </row>
    <row r="260" spans="1:14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>
        <f t="shared" si="25"/>
        <v>-5</v>
      </c>
      <c r="K260" s="41">
        <f t="shared" si="21"/>
        <v>-50</v>
      </c>
      <c r="L260" s="41"/>
      <c r="M260" s="43">
        <f t="shared" si="22"/>
        <v>0</v>
      </c>
      <c r="N260" s="43">
        <f t="shared" si="23"/>
        <v>0</v>
      </c>
    </row>
    <row r="261" spans="1:14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>
        <f t="shared" si="25"/>
        <v>-5</v>
      </c>
      <c r="K261" s="41">
        <f t="shared" si="21"/>
        <v>-50</v>
      </c>
      <c r="L261" s="41"/>
      <c r="M261" s="43">
        <f t="shared" si="22"/>
        <v>0</v>
      </c>
      <c r="N261" s="43">
        <f t="shared" si="23"/>
        <v>0</v>
      </c>
    </row>
    <row r="262" spans="1:14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5"/>
        <v>-6</v>
      </c>
      <c r="K262" s="41">
        <f t="shared" ref="K262:K305" si="27">J262*$J$2</f>
        <v>-60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>
        <f t="shared" ref="J263:J305" si="31">INT(LOG($H$2,2))-ROUNDUP(LOG(H263,2),0)+IF(OR($H$2=1,$H$2=2,$H$2=4,$H$2=8,$H$2=16,$H$2=32,$H$2=64,$H$2=128,$H$2=256),0,1)</f>
        <v>-6</v>
      </c>
      <c r="K263" s="41">
        <f t="shared" si="27"/>
        <v>-60</v>
      </c>
      <c r="L263" s="41"/>
      <c r="M263" s="43">
        <f t="shared" si="28"/>
        <v>0</v>
      </c>
      <c r="N263" s="43">
        <f t="shared" si="29"/>
        <v>0</v>
      </c>
    </row>
    <row r="264" spans="1:14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>
        <f t="shared" si="31"/>
        <v>-6</v>
      </c>
      <c r="K264" s="41">
        <f t="shared" si="27"/>
        <v>-60</v>
      </c>
      <c r="L264" s="41"/>
      <c r="M264" s="43">
        <f t="shared" si="28"/>
        <v>0</v>
      </c>
      <c r="N264" s="43">
        <f t="shared" si="29"/>
        <v>0</v>
      </c>
    </row>
    <row r="265" spans="1:14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>
        <f t="shared" si="31"/>
        <v>-6</v>
      </c>
      <c r="K265" s="41">
        <f t="shared" si="27"/>
        <v>-60</v>
      </c>
      <c r="L265" s="41"/>
      <c r="M265" s="43">
        <f t="shared" si="28"/>
        <v>0</v>
      </c>
      <c r="N265" s="43">
        <f t="shared" si="29"/>
        <v>0</v>
      </c>
    </row>
    <row r="266" spans="1:14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>
        <f t="shared" si="31"/>
        <v>-6</v>
      </c>
      <c r="K266" s="41">
        <f t="shared" si="27"/>
        <v>-60</v>
      </c>
      <c r="L266" s="41"/>
      <c r="M266" s="43">
        <f t="shared" si="28"/>
        <v>0</v>
      </c>
      <c r="N266" s="43">
        <f t="shared" si="29"/>
        <v>0</v>
      </c>
    </row>
    <row r="267" spans="1:14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>
        <f t="shared" si="31"/>
        <v>-6</v>
      </c>
      <c r="K267" s="41">
        <f t="shared" si="27"/>
        <v>-60</v>
      </c>
      <c r="L267" s="41"/>
      <c r="M267" s="43">
        <f t="shared" si="28"/>
        <v>0</v>
      </c>
      <c r="N267" s="43">
        <f t="shared" si="29"/>
        <v>0</v>
      </c>
    </row>
    <row r="268" spans="1:14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>
        <f t="shared" si="31"/>
        <v>-6</v>
      </c>
      <c r="K268" s="41">
        <f t="shared" si="27"/>
        <v>-60</v>
      </c>
      <c r="L268" s="41"/>
      <c r="M268" s="43">
        <f t="shared" si="28"/>
        <v>0</v>
      </c>
      <c r="N268" s="43">
        <f t="shared" si="29"/>
        <v>0</v>
      </c>
    </row>
    <row r="269" spans="1:14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>
        <f t="shared" si="31"/>
        <v>-6</v>
      </c>
      <c r="K269" s="41">
        <f t="shared" si="27"/>
        <v>-60</v>
      </c>
      <c r="L269" s="41"/>
      <c r="M269" s="43">
        <f t="shared" si="28"/>
        <v>0</v>
      </c>
      <c r="N269" s="43">
        <f t="shared" si="29"/>
        <v>0</v>
      </c>
    </row>
    <row r="270" spans="1:14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>
        <f t="shared" si="31"/>
        <v>-6</v>
      </c>
      <c r="K270" s="41">
        <f t="shared" si="27"/>
        <v>-60</v>
      </c>
      <c r="L270" s="41"/>
      <c r="M270" s="43">
        <f t="shared" si="28"/>
        <v>0</v>
      </c>
      <c r="N270" s="43">
        <f t="shared" si="29"/>
        <v>0</v>
      </c>
    </row>
    <row r="271" spans="1:14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>
        <f t="shared" si="31"/>
        <v>-6</v>
      </c>
      <c r="K271" s="41">
        <f t="shared" si="27"/>
        <v>-60</v>
      </c>
      <c r="L271" s="41"/>
      <c r="M271" s="43">
        <f t="shared" si="28"/>
        <v>0</v>
      </c>
      <c r="N271" s="43">
        <f t="shared" si="29"/>
        <v>0</v>
      </c>
    </row>
    <row r="272" spans="1:14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>
        <f t="shared" si="31"/>
        <v>-6</v>
      </c>
      <c r="K272" s="41">
        <f t="shared" si="27"/>
        <v>-60</v>
      </c>
      <c r="L272" s="41"/>
      <c r="M272" s="43">
        <f t="shared" si="28"/>
        <v>0</v>
      </c>
      <c r="N272" s="43">
        <f t="shared" si="29"/>
        <v>0</v>
      </c>
    </row>
    <row r="273" spans="1:14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>
        <f t="shared" si="31"/>
        <v>-6</v>
      </c>
      <c r="K273" s="41">
        <f t="shared" si="27"/>
        <v>-60</v>
      </c>
      <c r="L273" s="41"/>
      <c r="M273" s="43">
        <f t="shared" si="28"/>
        <v>0</v>
      </c>
      <c r="N273" s="43">
        <f t="shared" si="29"/>
        <v>0</v>
      </c>
    </row>
    <row r="274" spans="1:14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>
        <f t="shared" si="31"/>
        <v>-6</v>
      </c>
      <c r="K274" s="41">
        <f t="shared" si="27"/>
        <v>-60</v>
      </c>
      <c r="L274" s="41"/>
      <c r="M274" s="43">
        <f t="shared" si="28"/>
        <v>0</v>
      </c>
      <c r="N274" s="43">
        <f t="shared" si="29"/>
        <v>0</v>
      </c>
    </row>
    <row r="275" spans="1:14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>
        <f t="shared" si="31"/>
        <v>-6</v>
      </c>
      <c r="K275" s="41">
        <f t="shared" si="27"/>
        <v>-60</v>
      </c>
      <c r="L275" s="41"/>
      <c r="M275" s="43">
        <f t="shared" si="28"/>
        <v>0</v>
      </c>
      <c r="N275" s="43">
        <f t="shared" si="29"/>
        <v>0</v>
      </c>
    </row>
    <row r="276" spans="1:14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>
        <f t="shared" si="31"/>
        <v>-6</v>
      </c>
      <c r="K276" s="41">
        <f t="shared" si="27"/>
        <v>-60</v>
      </c>
      <c r="L276" s="41"/>
      <c r="M276" s="43">
        <f t="shared" si="28"/>
        <v>0</v>
      </c>
      <c r="N276" s="43">
        <f t="shared" si="29"/>
        <v>0</v>
      </c>
    </row>
    <row r="277" spans="1:14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>
        <f t="shared" si="31"/>
        <v>-6</v>
      </c>
      <c r="K277" s="41">
        <f t="shared" si="27"/>
        <v>-60</v>
      </c>
      <c r="L277" s="41"/>
      <c r="M277" s="43">
        <f t="shared" si="28"/>
        <v>0</v>
      </c>
      <c r="N277" s="43">
        <f t="shared" si="29"/>
        <v>0</v>
      </c>
    </row>
    <row r="278" spans="1:14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>
        <f t="shared" si="31"/>
        <v>-6</v>
      </c>
      <c r="K278" s="41">
        <f t="shared" si="27"/>
        <v>-60</v>
      </c>
      <c r="L278" s="41"/>
      <c r="M278" s="43">
        <f t="shared" si="28"/>
        <v>0</v>
      </c>
      <c r="N278" s="43">
        <f t="shared" si="29"/>
        <v>0</v>
      </c>
    </row>
    <row r="279" spans="1:14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>
        <f t="shared" si="31"/>
        <v>-6</v>
      </c>
      <c r="K279" s="41">
        <f t="shared" si="27"/>
        <v>-60</v>
      </c>
      <c r="L279" s="41"/>
      <c r="M279" s="43">
        <f t="shared" si="28"/>
        <v>0</v>
      </c>
      <c r="N279" s="43">
        <f t="shared" si="29"/>
        <v>0</v>
      </c>
    </row>
    <row r="280" spans="1:14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>
        <f t="shared" si="31"/>
        <v>-6</v>
      </c>
      <c r="K280" s="41">
        <f t="shared" si="27"/>
        <v>-60</v>
      </c>
      <c r="L280" s="41"/>
      <c r="M280" s="43">
        <f t="shared" si="28"/>
        <v>0</v>
      </c>
      <c r="N280" s="43">
        <f t="shared" si="29"/>
        <v>0</v>
      </c>
    </row>
    <row r="281" spans="1:14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>
        <f t="shared" si="31"/>
        <v>-6</v>
      </c>
      <c r="K281" s="41">
        <f t="shared" si="27"/>
        <v>-60</v>
      </c>
      <c r="L281" s="41"/>
      <c r="M281" s="43">
        <f t="shared" si="28"/>
        <v>0</v>
      </c>
      <c r="N281" s="43">
        <f t="shared" si="29"/>
        <v>0</v>
      </c>
    </row>
    <row r="282" spans="1:14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>
        <f t="shared" si="31"/>
        <v>-6</v>
      </c>
      <c r="K282" s="41">
        <f t="shared" si="27"/>
        <v>-60</v>
      </c>
      <c r="L282" s="41"/>
      <c r="M282" s="43">
        <f t="shared" si="28"/>
        <v>0</v>
      </c>
      <c r="N282" s="43">
        <f t="shared" si="29"/>
        <v>0</v>
      </c>
    </row>
    <row r="283" spans="1:14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>
        <f t="shared" si="31"/>
        <v>-6</v>
      </c>
      <c r="K283" s="41">
        <f t="shared" si="27"/>
        <v>-60</v>
      </c>
      <c r="L283" s="41"/>
      <c r="M283" s="43">
        <f t="shared" si="28"/>
        <v>0</v>
      </c>
      <c r="N283" s="43">
        <f t="shared" si="29"/>
        <v>0</v>
      </c>
    </row>
    <row r="284" spans="1:14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>
        <f t="shared" si="31"/>
        <v>-6</v>
      </c>
      <c r="K284" s="41">
        <f t="shared" si="27"/>
        <v>-60</v>
      </c>
      <c r="L284" s="41"/>
      <c r="M284" s="43">
        <f t="shared" si="28"/>
        <v>0</v>
      </c>
      <c r="N284" s="43">
        <f t="shared" si="29"/>
        <v>0</v>
      </c>
    </row>
    <row r="285" spans="1:14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>
        <f t="shared" si="31"/>
        <v>-6</v>
      </c>
      <c r="K285" s="41">
        <f t="shared" si="27"/>
        <v>-60</v>
      </c>
      <c r="L285" s="41"/>
      <c r="M285" s="43">
        <f t="shared" si="28"/>
        <v>0</v>
      </c>
      <c r="N285" s="43">
        <f t="shared" si="29"/>
        <v>0</v>
      </c>
    </row>
    <row r="286" spans="1:14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>
        <f t="shared" si="31"/>
        <v>-6</v>
      </c>
      <c r="K286" s="41">
        <f t="shared" si="27"/>
        <v>-60</v>
      </c>
      <c r="L286" s="41"/>
      <c r="M286" s="43">
        <f t="shared" si="28"/>
        <v>0</v>
      </c>
      <c r="N286" s="43">
        <f t="shared" si="29"/>
        <v>0</v>
      </c>
    </row>
    <row r="287" spans="1:14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>
        <f t="shared" si="31"/>
        <v>-6</v>
      </c>
      <c r="K287" s="41">
        <f t="shared" si="27"/>
        <v>-60</v>
      </c>
      <c r="L287" s="41"/>
      <c r="M287" s="43">
        <f t="shared" si="28"/>
        <v>0</v>
      </c>
      <c r="N287" s="43">
        <f t="shared" si="29"/>
        <v>0</v>
      </c>
    </row>
    <row r="288" spans="1:14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>
        <f t="shared" si="31"/>
        <v>-6</v>
      </c>
      <c r="K288" s="41">
        <f t="shared" si="27"/>
        <v>-60</v>
      </c>
      <c r="L288" s="41"/>
      <c r="M288" s="43">
        <f t="shared" si="28"/>
        <v>0</v>
      </c>
      <c r="N288" s="43">
        <f t="shared" si="29"/>
        <v>0</v>
      </c>
    </row>
    <row r="289" spans="1:14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>
        <f t="shared" si="31"/>
        <v>-6</v>
      </c>
      <c r="K289" s="41">
        <f t="shared" si="27"/>
        <v>-60</v>
      </c>
      <c r="L289" s="41"/>
      <c r="M289" s="43">
        <f t="shared" si="28"/>
        <v>0</v>
      </c>
      <c r="N289" s="43">
        <f t="shared" si="29"/>
        <v>0</v>
      </c>
    </row>
    <row r="290" spans="1:14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>
        <f t="shared" si="31"/>
        <v>-6</v>
      </c>
      <c r="K290" s="41">
        <f t="shared" si="27"/>
        <v>-60</v>
      </c>
      <c r="L290" s="41"/>
      <c r="M290" s="43">
        <f t="shared" si="28"/>
        <v>0</v>
      </c>
      <c r="N290" s="43">
        <f t="shared" si="29"/>
        <v>0</v>
      </c>
    </row>
    <row r="291" spans="1:14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>
        <f t="shared" si="31"/>
        <v>-6</v>
      </c>
      <c r="K291" s="41">
        <f t="shared" si="27"/>
        <v>-60</v>
      </c>
      <c r="L291" s="41"/>
      <c r="M291" s="43">
        <f t="shared" si="28"/>
        <v>0</v>
      </c>
      <c r="N291" s="43">
        <f t="shared" si="29"/>
        <v>0</v>
      </c>
    </row>
    <row r="292" spans="1:14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>
        <f t="shared" si="31"/>
        <v>-6</v>
      </c>
      <c r="K292" s="41">
        <f t="shared" si="27"/>
        <v>-60</v>
      </c>
      <c r="L292" s="41"/>
      <c r="M292" s="43">
        <f t="shared" si="28"/>
        <v>0</v>
      </c>
      <c r="N292" s="43">
        <f t="shared" si="29"/>
        <v>0</v>
      </c>
    </row>
    <row r="293" spans="1:14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>
        <f t="shared" si="31"/>
        <v>-6</v>
      </c>
      <c r="K293" s="41">
        <f t="shared" si="27"/>
        <v>-60</v>
      </c>
      <c r="L293" s="41"/>
      <c r="M293" s="43">
        <f t="shared" si="28"/>
        <v>0</v>
      </c>
      <c r="N293" s="43">
        <f t="shared" si="29"/>
        <v>0</v>
      </c>
    </row>
    <row r="294" spans="1:14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>
        <f t="shared" si="31"/>
        <v>-6</v>
      </c>
      <c r="K294" s="41">
        <f t="shared" si="27"/>
        <v>-60</v>
      </c>
      <c r="L294" s="41"/>
      <c r="M294" s="43">
        <f t="shared" si="28"/>
        <v>0</v>
      </c>
      <c r="N294" s="43">
        <f t="shared" si="29"/>
        <v>0</v>
      </c>
    </row>
    <row r="295" spans="1:14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>
        <f t="shared" si="31"/>
        <v>-6</v>
      </c>
      <c r="K295" s="41">
        <f t="shared" si="27"/>
        <v>-60</v>
      </c>
      <c r="L295" s="41"/>
      <c r="M295" s="43">
        <f t="shared" si="28"/>
        <v>0</v>
      </c>
      <c r="N295" s="43">
        <f t="shared" si="29"/>
        <v>0</v>
      </c>
    </row>
    <row r="296" spans="1:14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>
        <f t="shared" si="31"/>
        <v>-6</v>
      </c>
      <c r="K296" s="41">
        <f t="shared" si="27"/>
        <v>-60</v>
      </c>
      <c r="L296" s="41"/>
      <c r="M296" s="43">
        <f t="shared" si="28"/>
        <v>0</v>
      </c>
      <c r="N296" s="43">
        <f t="shared" si="29"/>
        <v>0</v>
      </c>
    </row>
    <row r="297" spans="1:14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>
        <f t="shared" si="31"/>
        <v>-6</v>
      </c>
      <c r="K297" s="41">
        <f t="shared" si="27"/>
        <v>-60</v>
      </c>
      <c r="L297" s="41"/>
      <c r="M297" s="43">
        <f t="shared" si="28"/>
        <v>0</v>
      </c>
      <c r="N297" s="43">
        <f t="shared" si="29"/>
        <v>0</v>
      </c>
    </row>
    <row r="298" spans="1:14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>
        <f t="shared" si="31"/>
        <v>-6</v>
      </c>
      <c r="K298" s="41">
        <f t="shared" si="27"/>
        <v>-60</v>
      </c>
      <c r="L298" s="41"/>
      <c r="M298" s="43">
        <f t="shared" si="28"/>
        <v>0</v>
      </c>
      <c r="N298" s="43">
        <f t="shared" si="29"/>
        <v>0</v>
      </c>
    </row>
    <row r="299" spans="1:14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>
        <f t="shared" si="31"/>
        <v>-6</v>
      </c>
      <c r="K299" s="41">
        <f t="shared" si="27"/>
        <v>-60</v>
      </c>
      <c r="L299" s="41"/>
      <c r="M299" s="43">
        <f t="shared" si="28"/>
        <v>0</v>
      </c>
      <c r="N299" s="43">
        <f t="shared" si="29"/>
        <v>0</v>
      </c>
    </row>
    <row r="300" spans="1:14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>
        <f t="shared" si="31"/>
        <v>-6</v>
      </c>
      <c r="K300" s="41">
        <f t="shared" si="27"/>
        <v>-60</v>
      </c>
      <c r="L300" s="41"/>
      <c r="M300" s="43">
        <f t="shared" si="28"/>
        <v>0</v>
      </c>
      <c r="N300" s="43">
        <f t="shared" si="29"/>
        <v>0</v>
      </c>
    </row>
    <row r="301" spans="1:14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>
        <f t="shared" si="31"/>
        <v>-6</v>
      </c>
      <c r="K301" s="41">
        <f t="shared" si="27"/>
        <v>-60</v>
      </c>
      <c r="L301" s="41"/>
      <c r="M301" s="43">
        <f t="shared" si="28"/>
        <v>0</v>
      </c>
      <c r="N301" s="43">
        <f t="shared" si="29"/>
        <v>0</v>
      </c>
    </row>
    <row r="302" spans="1:14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>
        <f t="shared" si="31"/>
        <v>-6</v>
      </c>
      <c r="K302" s="41">
        <f t="shared" si="27"/>
        <v>-60</v>
      </c>
      <c r="L302" s="41"/>
      <c r="M302" s="43">
        <f t="shared" si="28"/>
        <v>0</v>
      </c>
      <c r="N302" s="43">
        <f t="shared" si="29"/>
        <v>0</v>
      </c>
    </row>
    <row r="303" spans="1:14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>
        <f t="shared" si="31"/>
        <v>-6</v>
      </c>
      <c r="K303" s="41">
        <f t="shared" si="27"/>
        <v>-60</v>
      </c>
      <c r="L303" s="41"/>
      <c r="M303" s="43">
        <f t="shared" si="28"/>
        <v>0</v>
      </c>
      <c r="N303" s="43">
        <f t="shared" si="29"/>
        <v>0</v>
      </c>
    </row>
    <row r="304" spans="1:14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>
        <f t="shared" si="31"/>
        <v>-6</v>
      </c>
      <c r="K304" s="41">
        <f t="shared" si="27"/>
        <v>-60</v>
      </c>
      <c r="L304" s="41"/>
      <c r="M304" s="43">
        <f t="shared" si="28"/>
        <v>0</v>
      </c>
      <c r="N304" s="43">
        <f t="shared" si="29"/>
        <v>0</v>
      </c>
    </row>
    <row r="305" spans="1:17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>
        <f t="shared" si="31"/>
        <v>-6</v>
      </c>
      <c r="K305" s="41">
        <f t="shared" si="27"/>
        <v>-60</v>
      </c>
      <c r="L305" s="41"/>
      <c r="M305" s="43">
        <f t="shared" si="28"/>
        <v>0</v>
      </c>
      <c r="N305" s="43">
        <f t="shared" si="29"/>
        <v>0</v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9AE4FCD9-2EF0-43BB-AE62-B057040C3CAC}">
      <formula1>#REF!</formula1>
    </dataValidation>
  </dataValidations>
  <hyperlinks>
    <hyperlink ref="C2:D2" r:id="rId1" display="KRAKÓW" xr:uid="{0A61B863-53AE-4B7F-964D-9E3DA8E9F05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D593-7460-49E9-98F2-269067447EC3}">
  <dimension ref="A1:AO169"/>
  <sheetViews>
    <sheetView workbookViewId="0">
      <selection activeCell="C12" sqref="C12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>
      <c r="A1" s="4"/>
      <c r="B1" s="4"/>
      <c r="C1" s="4"/>
      <c r="D1" s="191" t="s">
        <v>80</v>
      </c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R1" s="161" t="s">
        <v>81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3"/>
    </row>
    <row r="2" spans="1:41" ht="13.7" customHeight="1">
      <c r="A2" s="4"/>
      <c r="B2" s="2" t="s">
        <v>0</v>
      </c>
      <c r="C2" s="4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R2" s="164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6"/>
    </row>
    <row r="3" spans="1:41" ht="13.7" customHeight="1" thickBot="1">
      <c r="A3" s="4"/>
      <c r="B3" s="4"/>
      <c r="C3" s="4"/>
      <c r="D3" s="85" t="s">
        <v>82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67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9"/>
    </row>
    <row r="4" spans="1:41" ht="24.75" customHeight="1" thickTop="1">
      <c r="A4" s="184" t="s">
        <v>4</v>
      </c>
      <c r="B4" s="186" t="s">
        <v>5</v>
      </c>
      <c r="C4" s="186" t="s">
        <v>6</v>
      </c>
      <c r="D4" s="186" t="s">
        <v>7</v>
      </c>
      <c r="E4" s="170" t="s">
        <v>8</v>
      </c>
      <c r="F4" s="171"/>
      <c r="G4" s="170" t="s">
        <v>9</v>
      </c>
      <c r="H4" s="171"/>
      <c r="I4" s="170" t="s">
        <v>10</v>
      </c>
      <c r="J4" s="171"/>
      <c r="K4" s="170" t="s">
        <v>11</v>
      </c>
      <c r="L4" s="171"/>
      <c r="M4" s="170" t="s">
        <v>12</v>
      </c>
      <c r="N4" s="171"/>
      <c r="O4" s="170" t="s">
        <v>13</v>
      </c>
      <c r="P4" s="171"/>
      <c r="R4" s="189" t="s">
        <v>83</v>
      </c>
      <c r="S4" s="190"/>
      <c r="T4" s="189" t="s">
        <v>84</v>
      </c>
      <c r="U4" s="190"/>
      <c r="V4" s="189" t="s">
        <v>85</v>
      </c>
      <c r="W4" s="190"/>
      <c r="X4" s="189" t="s">
        <v>86</v>
      </c>
      <c r="Y4" s="190"/>
      <c r="Z4" s="189" t="s">
        <v>87</v>
      </c>
      <c r="AA4" s="190"/>
      <c r="AB4" s="189" t="s">
        <v>88</v>
      </c>
      <c r="AC4" s="190"/>
      <c r="AD4" s="189" t="s">
        <v>89</v>
      </c>
      <c r="AE4" s="190"/>
      <c r="AF4" s="189" t="s">
        <v>90</v>
      </c>
      <c r="AG4" s="190"/>
    </row>
    <row r="5" spans="1:41" ht="18" customHeight="1">
      <c r="A5" s="185"/>
      <c r="B5" s="187"/>
      <c r="C5" s="187"/>
      <c r="D5" s="188"/>
      <c r="E5" s="86" t="s">
        <v>14</v>
      </c>
      <c r="F5" s="86" t="s">
        <v>15</v>
      </c>
      <c r="G5" s="86" t="s">
        <v>14</v>
      </c>
      <c r="H5" s="86" t="s">
        <v>15</v>
      </c>
      <c r="I5" s="86" t="s">
        <v>14</v>
      </c>
      <c r="J5" s="86" t="s">
        <v>15</v>
      </c>
      <c r="K5" s="86" t="s">
        <v>14</v>
      </c>
      <c r="L5" s="86" t="s">
        <v>15</v>
      </c>
      <c r="M5" s="86" t="s">
        <v>14</v>
      </c>
      <c r="N5" s="87" t="s">
        <v>15</v>
      </c>
      <c r="O5" s="86" t="s">
        <v>14</v>
      </c>
      <c r="P5" s="87" t="s">
        <v>15</v>
      </c>
      <c r="R5" s="88" t="s">
        <v>14</v>
      </c>
      <c r="S5" s="88" t="s">
        <v>15</v>
      </c>
      <c r="T5" s="88" t="s">
        <v>14</v>
      </c>
      <c r="U5" s="88" t="s">
        <v>15</v>
      </c>
      <c r="V5" s="88" t="s">
        <v>14</v>
      </c>
      <c r="W5" s="88" t="s">
        <v>15</v>
      </c>
      <c r="X5" s="88" t="s">
        <v>14</v>
      </c>
      <c r="Y5" s="88" t="s">
        <v>15</v>
      </c>
      <c r="Z5" s="88" t="s">
        <v>14</v>
      </c>
      <c r="AA5" s="89" t="s">
        <v>15</v>
      </c>
      <c r="AB5" s="88" t="s">
        <v>14</v>
      </c>
      <c r="AC5" s="89" t="s">
        <v>15</v>
      </c>
      <c r="AD5" s="88" t="s">
        <v>14</v>
      </c>
      <c r="AE5" s="89" t="s">
        <v>15</v>
      </c>
      <c r="AF5" s="88" t="s">
        <v>14</v>
      </c>
      <c r="AG5" s="89" t="s">
        <v>15</v>
      </c>
    </row>
    <row r="6" spans="1:41" ht="14.85" customHeight="1">
      <c r="A6" s="8">
        <f>ROW()-5</f>
        <v>1</v>
      </c>
      <c r="B6" s="9" t="s">
        <v>16</v>
      </c>
      <c r="C6" s="10"/>
      <c r="D6" s="90">
        <f>SUM(F6,H6,J6,L6,N6,P6)-MIN(F6,H6,J6,L6,N6)+SUM(LARGE(AI6:AO6,1),LARGE(AI6:AO6,2),AG6)</f>
        <v>280.42823248964169</v>
      </c>
      <c r="E6" s="11" t="str">
        <f>_xlfn.XLOOKUP($B6,'GP1'!$C$6:$C$55,'GP1'!$B$6:$B$55,"")</f>
        <v/>
      </c>
      <c r="F6" s="91">
        <f>_xlfn.XLOOKUP(E6,'GP1'!$B$6:$B$55,'GP1'!$A$6:$A$55,0)</f>
        <v>0</v>
      </c>
      <c r="G6" s="11" t="str">
        <f>_xlfn.XLOOKUP($B6,'GP2'!$C$6:$C$15,'GP2'!$B$6:$B$15,"")</f>
        <v/>
      </c>
      <c r="H6" s="142">
        <f>_xlfn.XLOOKUP(G6,'GP2'!$B$6:$B$15,'GP2'!$A$6:$A$15,0)</f>
        <v>0</v>
      </c>
      <c r="I6" s="11">
        <f>_xlfn.XLOOKUP($B6,'GP3'!$C$6:$C$15,'GP3'!$B$6:$B$15,"")</f>
        <v>1</v>
      </c>
      <c r="J6" s="91">
        <f>_xlfn.XLOOKUP(I6,'GP3'!$B$6:$B$15,'GP3'!$A$6:$A$15,0)</f>
        <v>82.980246132766666</v>
      </c>
      <c r="K6" s="11">
        <f>_xlfn.XLOOKUP($B6,'GP4'!$C$6:$C$15,'GP4'!$B$6:$B$15,"")</f>
        <v>1</v>
      </c>
      <c r="L6" s="91">
        <f>_xlfn.XLOOKUP(K6,'GP4'!$B$6:$B$15,'GP4'!$A$6:$A$15,0)</f>
        <v>82.980246132766666</v>
      </c>
      <c r="M6" s="11" t="str">
        <f>_xlfn.XLOOKUP($B6,'GP5'!$C$6:$C$15,'GP5'!$B$6:$B$15,"")</f>
        <v/>
      </c>
      <c r="N6" s="92">
        <f>_xlfn.XLOOKUP(M6,'GP5'!$B$6:$B$15,'GP5'!$A$6:$A$15,0)</f>
        <v>0</v>
      </c>
      <c r="O6" s="11">
        <f>_xlfn.XLOOKUP(B6,MPW!C$6:C$15,MPW!B$6:B$15,"")</f>
        <v>1</v>
      </c>
      <c r="P6" s="92">
        <f>_xlfn.XLOOKUP(O6,MPW!B$6:B$15,MPW!A$6:A$15,0)</f>
        <v>114.46774022410833</v>
      </c>
      <c r="R6" s="11" t="str">
        <f>_xlfn.XLOOKUP($B6,'PEW1'!$C$6:$C$201,'PEW1'!$B$6:$B$201,"")</f>
        <v/>
      </c>
      <c r="S6" s="93">
        <f>_xlfn.XLOOKUP(R6,'PEW1'!$B$6:$B$201,'PEW1'!$A$6:$A$201,0)</f>
        <v>0</v>
      </c>
      <c r="T6" s="11" t="str">
        <f>_xlfn.XLOOKUP($B6,'PEW2'!$C$6:$C$201,'PEW2'!$B$6:$B$201,"")</f>
        <v/>
      </c>
      <c r="U6" s="93">
        <f>_xlfn.XLOOKUP(T6,'PEW2'!$B$6:$B$201,'PEW2'!$A$6:$A$201,0)</f>
        <v>0</v>
      </c>
      <c r="V6" s="11" t="str">
        <f>_xlfn.XLOOKUP($B6,'PEW3'!$C$6:$C$201,'PEW3'!$B$6:$B$201,"")</f>
        <v/>
      </c>
      <c r="W6" s="93">
        <f>_xlfn.XLOOKUP(V6,'PEW3'!$B$6:$B$201,'PEW3'!$A$6:$A$201,0)</f>
        <v>0</v>
      </c>
      <c r="X6" s="11" t="str">
        <f>_xlfn.XLOOKUP($B6,'PEW4'!$C$6:$C$201,'PEW4'!$B$6:$B$201,"")</f>
        <v/>
      </c>
      <c r="Y6" s="93">
        <f>_xlfn.XLOOKUP(X6,'PEW4'!$B$6:$B$201,'PEW4'!$A$6:$A$201,0)</f>
        <v>0</v>
      </c>
      <c r="Z6" s="11" t="str">
        <f>_xlfn.XLOOKUP($B6,'PEW5'!$C$6:$C$201,'PEW5'!$B$6:$B$201,"")</f>
        <v/>
      </c>
      <c r="AA6" s="93">
        <f>_xlfn.XLOOKUP(Z6,'PEW5'!$B$6:$B$201,'PEW5'!$A$6:$A$201,0)</f>
        <v>0</v>
      </c>
      <c r="AB6" s="11" t="str">
        <f>_xlfn.XLOOKUP($B6,'PEW6'!$C$6:$C$201,'PEW6'!$B$6:$B$201,"")</f>
        <v/>
      </c>
      <c r="AC6" s="93">
        <f>_xlfn.XLOOKUP(AB6,'PEW6'!$B$6:$B$201,'PEW6'!$A$6:$A$201,0)</f>
        <v>0</v>
      </c>
      <c r="AD6" s="11" t="str">
        <f>_xlfn.XLOOKUP($B6,'PEW7'!$C$6:$C$201,'PEW7'!$B$6:$B$201,"")</f>
        <v/>
      </c>
      <c r="AE6" s="93">
        <f>_xlfn.XLOOKUP(AD6,'PEW7'!$B$6:$B$201,'PEW7'!$A$6:$A$201,0)</f>
        <v>0</v>
      </c>
      <c r="AF6" s="11" t="str" cm="1">
        <f t="array" ref="AF6">_xlfn.XLOOKUP($B6,IMEW!C$6:C$201,IMEW!$B$6:B$201,"")</f>
        <v/>
      </c>
      <c r="AG6" s="94">
        <f>_xlfn.XLOOKUP(AF6,IMEW!$B$6:$B$201,IMEW!$A$6:$A$201,0)</f>
        <v>0</v>
      </c>
      <c r="AI6" s="95">
        <f t="shared" ref="AI6:AI29" si="0">S6</f>
        <v>0</v>
      </c>
      <c r="AJ6" s="95">
        <f t="shared" ref="AJ6:AJ29" si="1">U6</f>
        <v>0</v>
      </c>
      <c r="AK6" s="95">
        <f t="shared" ref="AK6:AK29" si="2">W6</f>
        <v>0</v>
      </c>
      <c r="AL6" s="95">
        <f t="shared" ref="AL6:AL29" si="3">Y6</f>
        <v>0</v>
      </c>
      <c r="AM6" s="95">
        <f t="shared" ref="AM6:AM29" si="4">AA6</f>
        <v>0</v>
      </c>
      <c r="AN6" s="95">
        <f t="shared" ref="AN6:AN29" si="5">AC6</f>
        <v>0</v>
      </c>
      <c r="AO6" s="95">
        <f t="shared" ref="AO6:AO29" si="6">AE6</f>
        <v>0</v>
      </c>
    </row>
    <row r="7" spans="1:41" ht="14.85" customHeight="1">
      <c r="A7" s="8">
        <f>ROW()-5</f>
        <v>2</v>
      </c>
      <c r="B7" s="76" t="s">
        <v>18</v>
      </c>
      <c r="C7" s="14"/>
      <c r="D7" s="90">
        <f>SUM(F7,H7,J7,L7,N7,P7)-MIN(F7,H7,J7,L7,N7)+SUM(LARGE(AI7:AO7,1),LARGE(AI7:AO7,2),AG7)</f>
        <v>177.53314360976248</v>
      </c>
      <c r="E7" s="15" t="str">
        <f>_xlfn.XLOOKUP($B7,'GP1'!$C$6:$C$55,'GP1'!$B$6:$B$55,"")</f>
        <v/>
      </c>
      <c r="F7" s="141">
        <f>_xlfn.XLOOKUP(E7,'GP1'!$B$6:$B$55,'GP1'!$A$6:$A$55,0)</f>
        <v>0</v>
      </c>
      <c r="G7" s="15">
        <f>_xlfn.XLOOKUP($B7,'GP2'!$C$6:$C$15,'GP2'!$B$6:$B$15,"")</f>
        <v>2</v>
      </c>
      <c r="H7" s="141">
        <f>_xlfn.XLOOKUP(G7,'GP2'!$B$6:$B$15,'GP2'!$A$6:$A$15,0)</f>
        <v>8.5595262993692387</v>
      </c>
      <c r="I7" s="15">
        <f>_xlfn.XLOOKUP($B7,'GP3'!$C$6:$C$15,'GP3'!$B$6:$B$15,"")</f>
        <v>2</v>
      </c>
      <c r="J7" s="141">
        <f>_xlfn.XLOOKUP(I7,'GP3'!$B$6:$B$15,'GP3'!$A$6:$A$15,0)</f>
        <v>37.73793949684304</v>
      </c>
      <c r="K7" s="15">
        <f>_xlfn.XLOOKUP($B7,'GP4'!$C$6:$C$15,'GP4'!$B$6:$B$15,"")</f>
        <v>2</v>
      </c>
      <c r="L7" s="141">
        <f>_xlfn.XLOOKUP(K7,'GP4'!$B$6:$B$15,'GP4'!$A$6:$A$15,0)</f>
        <v>37.73793949684304</v>
      </c>
      <c r="M7" s="15" t="str">
        <f>_xlfn.XLOOKUP($B7,'GP5'!$C$6:$C$15,'GP5'!$B$6:$B$15,"")</f>
        <v/>
      </c>
      <c r="N7" s="144">
        <f>_xlfn.XLOOKUP(M7,'GP5'!$B$6:$B$15,'GP5'!$A$6:$A$15,0)</f>
        <v>0</v>
      </c>
      <c r="O7" s="15">
        <f>_xlfn.XLOOKUP(B7,MPW!C$6:C$15,MPW!B$6:B$15,"")</f>
        <v>2</v>
      </c>
      <c r="P7" s="144">
        <f>_xlfn.XLOOKUP(O7,MPW!B$6:B$15,MPW!A$6:A$15,0)</f>
        <v>70.988045201356712</v>
      </c>
      <c r="R7" s="11" t="str">
        <f>_xlfn.XLOOKUP($B7,'PEW1'!$C$6:$C$201,'PEW1'!$B$6:$B$201,"")</f>
        <v/>
      </c>
      <c r="S7" s="93">
        <f>_xlfn.XLOOKUP(R7,'PEW1'!$B$6:$B$201,'PEW1'!$A$6:$A$201,0)</f>
        <v>0</v>
      </c>
      <c r="T7" s="11" t="str">
        <f>_xlfn.XLOOKUP($B7,'PEW2'!$C$6:$C$201,'PEW2'!$B$6:$B$201,"")</f>
        <v/>
      </c>
      <c r="U7" s="93">
        <f>_xlfn.XLOOKUP(T7,'PEW2'!$B$6:$B$201,'PEW2'!$A$6:$A$201,0)</f>
        <v>0</v>
      </c>
      <c r="V7" s="11" t="str">
        <f>_xlfn.XLOOKUP($B7,'PEW3'!$C$6:$C$201,'PEW3'!$B$6:$B$201,"")</f>
        <v/>
      </c>
      <c r="W7" s="93">
        <f>_xlfn.XLOOKUP(V7,'PEW3'!$B$6:$B$201,'PEW3'!$A$6:$A$201,0)</f>
        <v>0</v>
      </c>
      <c r="X7" s="11" t="str">
        <f>_xlfn.XLOOKUP($B7,'PEW4'!$C$6:$C$201,'PEW4'!$B$6:$B$201,"")</f>
        <v/>
      </c>
      <c r="Y7" s="93">
        <f>_xlfn.XLOOKUP(X7,'PEW4'!$B$6:$B$201,'PEW4'!$A$6:$A$201,0)</f>
        <v>0</v>
      </c>
      <c r="Z7" s="11" t="str">
        <f>_xlfn.XLOOKUP($B7,'PEW5'!$C$6:$C$201,'PEW5'!$B$6:$B$201,"")</f>
        <v/>
      </c>
      <c r="AA7" s="93">
        <f>_xlfn.XLOOKUP(Z7,'PEW5'!$B$6:$B$201,'PEW5'!$A$6:$A$201,0)</f>
        <v>0</v>
      </c>
      <c r="AB7" s="11" t="str">
        <f>_xlfn.XLOOKUP($B7,'PEW6'!$C$6:$C$201,'PEW6'!$B$6:$B$201,"")</f>
        <v/>
      </c>
      <c r="AC7" s="93">
        <f>_xlfn.XLOOKUP(AB7,'PEW6'!$B$6:$B$201,'PEW6'!$A$6:$A$201,0)</f>
        <v>0</v>
      </c>
      <c r="AD7" s="11" t="str">
        <f>_xlfn.XLOOKUP($B7,'PEW7'!$C$6:$C$201,'PEW7'!$B$6:$B$201,"")</f>
        <v/>
      </c>
      <c r="AE7" s="93">
        <f>_xlfn.XLOOKUP(AD7,'PEW7'!$B$6:$B$201,'PEW7'!$A$6:$A$201,0)</f>
        <v>0</v>
      </c>
      <c r="AF7" s="11" cm="1">
        <f t="array" ref="AF7">_xlfn.XLOOKUP($B7,IMEW!C$6:C$201,IMEW!$B$6:B$201,"")</f>
        <v>14</v>
      </c>
      <c r="AG7" s="94">
        <f>_xlfn.XLOOKUP(AF7,IMEW!$B$6:$B$201,IMEW!$A$6:$A$201,0)</f>
        <v>22.509693115350458</v>
      </c>
      <c r="AI7" s="95">
        <f t="shared" si="0"/>
        <v>0</v>
      </c>
      <c r="AJ7" s="95">
        <f t="shared" si="1"/>
        <v>0</v>
      </c>
      <c r="AK7" s="95">
        <f t="shared" si="2"/>
        <v>0</v>
      </c>
      <c r="AL7" s="95">
        <f t="shared" si="3"/>
        <v>0</v>
      </c>
      <c r="AM7" s="95">
        <f t="shared" si="4"/>
        <v>0</v>
      </c>
      <c r="AN7" s="95">
        <f t="shared" si="5"/>
        <v>0</v>
      </c>
      <c r="AO7" s="95">
        <f t="shared" si="6"/>
        <v>0</v>
      </c>
    </row>
    <row r="8" spans="1:41" ht="15.75" customHeight="1">
      <c r="A8" s="8">
        <f>ROW()-5</f>
        <v>3</v>
      </c>
      <c r="B8" s="81" t="s">
        <v>19</v>
      </c>
      <c r="C8" s="14"/>
      <c r="D8" s="90">
        <f>SUM(F8,H8,J8,L8,N8,P8)-MIN(F8,H8,J8,L8,N8)+SUM(LARGE(AI8:AO8,1),LARGE(AI8:AO8,2),AG8)</f>
        <v>110.84429467569696</v>
      </c>
      <c r="E8" s="15" t="str">
        <f>_xlfn.XLOOKUP($B8,'GP1'!$C$6:$C$55,'GP1'!$B$6:$B$55,"")</f>
        <v/>
      </c>
      <c r="F8" s="141">
        <f>_xlfn.XLOOKUP(E8,'GP1'!$B$6:$B$55,'GP1'!$A$6:$A$55,0)</f>
        <v>0</v>
      </c>
      <c r="G8" s="15" t="str">
        <f>_xlfn.XLOOKUP($B8,'GP2'!$C$6:$C$15,'GP2'!$B$6:$B$15,"")</f>
        <v/>
      </c>
      <c r="H8" s="143">
        <f>_xlfn.XLOOKUP(G8,'GP2'!$B$6:$B$15,'GP2'!$A$6:$A$15,0)</f>
        <v>0</v>
      </c>
      <c r="I8" s="15" t="str">
        <f>_xlfn.XLOOKUP($B8,'GP3'!$C$6:$C$15,'GP3'!$B$6:$B$15,"")</f>
        <v/>
      </c>
      <c r="J8" s="141">
        <f>_xlfn.XLOOKUP(I8,'GP3'!$B$6:$B$15,'GP3'!$A$6:$A$15,0)</f>
        <v>0</v>
      </c>
      <c r="K8" s="15" t="str">
        <f>_xlfn.XLOOKUP($B8,'GP4'!$C$6:$C$15,'GP4'!$B$6:$B$15,"")</f>
        <v/>
      </c>
      <c r="L8" s="141">
        <f>_xlfn.XLOOKUP(K8,'GP4'!$B$6:$B$15,'GP4'!$A$6:$A$15,0)</f>
        <v>0</v>
      </c>
      <c r="M8" s="15" t="str">
        <f>_xlfn.XLOOKUP($B8,'GP5'!$C$6:$C$15,'GP5'!$B$6:$B$15,"")</f>
        <v>1k3</v>
      </c>
      <c r="N8" s="144">
        <f>_xlfn.XLOOKUP(M8,'GP5'!$B$6:$B$15,'GP5'!$A$6:$A$15,0)</f>
        <v>96.354085335489259</v>
      </c>
      <c r="O8" s="15" t="str">
        <f>_xlfn.XLOOKUP(B8,MPW!C$6:C$15,MPW!B$6:B$15,"")</f>
        <v>5k3</v>
      </c>
      <c r="P8" s="144">
        <f>_xlfn.XLOOKUP(O8,MPW!B$6:B$15,MPW!A$6:A$15,0)</f>
        <v>14.490209340207695</v>
      </c>
      <c r="R8" s="11" t="str">
        <f>_xlfn.XLOOKUP($B8,'PEW1'!$C$6:$C$201,'PEW1'!$B$6:$B$201,"")</f>
        <v/>
      </c>
      <c r="S8" s="93">
        <f>_xlfn.XLOOKUP(R8,'PEW1'!$B$6:$B$201,'PEW1'!$A$6:$A$201,0)</f>
        <v>0</v>
      </c>
      <c r="T8" s="11" t="str">
        <f>_xlfn.XLOOKUP($B8,'PEW2'!$C$6:$C$201,'PEW2'!$B$6:$B$201,"")</f>
        <v/>
      </c>
      <c r="U8" s="93">
        <f>_xlfn.XLOOKUP(T8,'PEW2'!$B$6:$B$201,'PEW2'!$A$6:$A$201,0)</f>
        <v>0</v>
      </c>
      <c r="V8" s="11" t="str">
        <f>_xlfn.XLOOKUP($B8,'PEW3'!$C$6:$C$201,'PEW3'!$B$6:$B$201,"")</f>
        <v/>
      </c>
      <c r="W8" s="93">
        <f>_xlfn.XLOOKUP(V8,'PEW3'!$B$6:$B$201,'PEW3'!$A$6:$A$201,0)</f>
        <v>0</v>
      </c>
      <c r="X8" s="11" t="str">
        <f>_xlfn.XLOOKUP($B8,'PEW4'!$C$6:$C$201,'PEW4'!$B$6:$B$201,"")</f>
        <v/>
      </c>
      <c r="Y8" s="93">
        <f>_xlfn.XLOOKUP(X8,'PEW4'!$B$6:$B$201,'PEW4'!$A$6:$A$201,0)</f>
        <v>0</v>
      </c>
      <c r="Z8" s="11" t="str">
        <f>_xlfn.XLOOKUP($B8,'PEW5'!$C$6:$C$201,'PEW5'!$B$6:$B$201,"")</f>
        <v/>
      </c>
      <c r="AA8" s="93">
        <f>_xlfn.XLOOKUP(Z8,'PEW5'!$B$6:$B$201,'PEW5'!$A$6:$A$201,0)</f>
        <v>0</v>
      </c>
      <c r="AB8" s="11" t="str">
        <f>_xlfn.XLOOKUP($B8,'PEW6'!$C$6:$C$201,'PEW6'!$B$6:$B$201,"")</f>
        <v/>
      </c>
      <c r="AC8" s="93">
        <f>_xlfn.XLOOKUP(AB8,'PEW6'!$B$6:$B$201,'PEW6'!$A$6:$A$201,0)</f>
        <v>0</v>
      </c>
      <c r="AD8" s="11" t="str">
        <f>_xlfn.XLOOKUP($B8,'PEW7'!$C$6:$C$201,'PEW7'!$B$6:$B$201,"")</f>
        <v/>
      </c>
      <c r="AE8" s="93">
        <f>_xlfn.XLOOKUP(AD8,'PEW7'!$B$6:$B$201,'PEW7'!$A$6:$A$201,0)</f>
        <v>0</v>
      </c>
      <c r="AF8" s="11" t="str" cm="1">
        <f t="array" ref="AF8">_xlfn.XLOOKUP($B8,IMEW!C$6:C$201,IMEW!$B$6:B$201,"")</f>
        <v/>
      </c>
      <c r="AG8" s="94">
        <f>_xlfn.XLOOKUP(AF8,IMEW!$B$6:$B$201,IMEW!$A$6:$A$201,0)</f>
        <v>0</v>
      </c>
      <c r="AI8" s="95">
        <f t="shared" si="0"/>
        <v>0</v>
      </c>
      <c r="AJ8" s="95">
        <f t="shared" si="1"/>
        <v>0</v>
      </c>
      <c r="AK8" s="95">
        <f t="shared" si="2"/>
        <v>0</v>
      </c>
      <c r="AL8" s="95">
        <f t="shared" si="3"/>
        <v>0</v>
      </c>
      <c r="AM8" s="95">
        <f t="shared" si="4"/>
        <v>0</v>
      </c>
      <c r="AN8" s="95">
        <f t="shared" si="5"/>
        <v>0</v>
      </c>
      <c r="AO8" s="95">
        <f t="shared" si="6"/>
        <v>0</v>
      </c>
    </row>
    <row r="9" spans="1:41" ht="14.85" customHeight="1">
      <c r="A9" s="8">
        <f>ROW()-5</f>
        <v>4</v>
      </c>
      <c r="B9" s="9" t="s">
        <v>21</v>
      </c>
      <c r="C9" s="14"/>
      <c r="D9" s="90">
        <f>SUM(F9,H9,J9,L9,N9,P9)-MIN(F9,H9,J9,L9,N9)+SUM(LARGE(AI9:AO9,1),LARGE(AI9:AO9,2),AG9)</f>
        <v>96.425564459345338</v>
      </c>
      <c r="E9" s="15" t="str">
        <f>_xlfn.XLOOKUP($B9,'GP1'!$C$6:$C$55,'GP1'!$B$6:$B$55,"")</f>
        <v/>
      </c>
      <c r="F9" s="141">
        <f>_xlfn.XLOOKUP(E9,'GP1'!$B$6:$B$55,'GP1'!$A$6:$A$55,0)</f>
        <v>0</v>
      </c>
      <c r="G9" s="15">
        <f>_xlfn.XLOOKUP($B9,'GP2'!$C$6:$C$15,'GP2'!$B$6:$B$15,"")</f>
        <v>1</v>
      </c>
      <c r="H9" s="141">
        <f>_xlfn.XLOOKUP(G9,'GP2'!$B$6:$B$15,'GP2'!$A$6:$A$15,0)</f>
        <v>71.339289449053865</v>
      </c>
      <c r="I9" s="15" t="str">
        <f>_xlfn.XLOOKUP($B9,'GP3'!$C$6:$C$15,'GP3'!$B$6:$B$15,"")</f>
        <v/>
      </c>
      <c r="J9" s="141">
        <f>_xlfn.XLOOKUP(I9,'GP3'!$B$6:$B$15,'GP3'!$A$6:$A$15,0)</f>
        <v>0</v>
      </c>
      <c r="K9" s="15" t="str">
        <f>_xlfn.XLOOKUP($B9,'GP4'!$C$6:$C$15,'GP4'!$B$6:$B$15,"")</f>
        <v/>
      </c>
      <c r="L9" s="141">
        <f>_xlfn.XLOOKUP(K9,'GP4'!$B$6:$B$15,'GP4'!$A$6:$A$15,0)</f>
        <v>0</v>
      </c>
      <c r="M9" s="15" t="str">
        <f>_xlfn.XLOOKUP($B9,'GP5'!$C$6:$C$15,'GP5'!$B$6:$B$15,"")</f>
        <v/>
      </c>
      <c r="N9" s="144">
        <f>_xlfn.XLOOKUP(M9,'GP5'!$B$6:$B$15,'GP5'!$A$6:$A$15,0)</f>
        <v>0</v>
      </c>
      <c r="O9" s="15">
        <f>_xlfn.XLOOKUP(B9,MPW!C$6:C$15,MPW!B$6:B$15,"")</f>
        <v>5</v>
      </c>
      <c r="P9" s="144">
        <f>_xlfn.XLOOKUP(O9,MPW!B$6:B$15,MPW!A$6:A$15,0)</f>
        <v>1.2</v>
      </c>
      <c r="R9" s="11" t="str">
        <f>_xlfn.XLOOKUP($B9,'PEW1'!$C$6:$C$201,'PEW1'!$B$6:$B$201,"")</f>
        <v/>
      </c>
      <c r="S9" s="93">
        <f>_xlfn.XLOOKUP(R9,'PEW1'!$B$6:$B$201,'PEW1'!$A$6:$A$201,0)</f>
        <v>0</v>
      </c>
      <c r="T9" s="11">
        <f>_xlfn.XLOOKUP($B9,'PEW2'!$C$6:$C$201,'PEW2'!$B$6:$B$201,"")</f>
        <v>3</v>
      </c>
      <c r="U9" s="93">
        <f>_xlfn.XLOOKUP(T9,'PEW2'!$B$6:$B$201,'PEW2'!$A$6:$A$201,0)</f>
        <v>5.3267487109222245</v>
      </c>
      <c r="V9" s="11" t="str">
        <f>_xlfn.XLOOKUP($B9,'PEW3'!$C$6:$C$201,'PEW3'!$B$6:$B$201,"")</f>
        <v/>
      </c>
      <c r="W9" s="93">
        <f>_xlfn.XLOOKUP(V9,'PEW3'!$B$6:$B$201,'PEW3'!$A$6:$A$201,0)</f>
        <v>0</v>
      </c>
      <c r="X9" s="11" t="str">
        <f>_xlfn.XLOOKUP($B9,'PEW4'!$C$6:$C$201,'PEW4'!$B$6:$B$201,"")</f>
        <v/>
      </c>
      <c r="Y9" s="93">
        <f>_xlfn.XLOOKUP(X9,'PEW4'!$B$6:$B$201,'PEW4'!$A$6:$A$201,0)</f>
        <v>0</v>
      </c>
      <c r="Z9" s="11">
        <f>_xlfn.XLOOKUP($B9,'PEW5'!$C$6:$C$201,'PEW5'!$B$6:$B$201,"")</f>
        <v>2</v>
      </c>
      <c r="AA9" s="93">
        <f>_xlfn.XLOOKUP(Z9,'PEW5'!$B$6:$B$201,'PEW5'!$A$6:$A$201,0)</f>
        <v>18.559526299369239</v>
      </c>
      <c r="AB9" s="11" t="str">
        <f>_xlfn.XLOOKUP($B9,'PEW6'!$C$6:$C$201,'PEW6'!$B$6:$B$201,"")</f>
        <v/>
      </c>
      <c r="AC9" s="93">
        <f>_xlfn.XLOOKUP(AB9,'PEW6'!$B$6:$B$201,'PEW6'!$A$6:$A$201,0)</f>
        <v>0</v>
      </c>
      <c r="AD9" s="11" t="str">
        <f>_xlfn.XLOOKUP($B9,'PEW7'!$C$6:$C$201,'PEW7'!$B$6:$B$201,"")</f>
        <v/>
      </c>
      <c r="AE9" s="93">
        <f>_xlfn.XLOOKUP(AD9,'PEW7'!$B$6:$B$201,'PEW7'!$A$6:$A$201,0)</f>
        <v>0</v>
      </c>
      <c r="AF9" s="11" t="str" cm="1">
        <f t="array" ref="AF9">_xlfn.XLOOKUP($B9,IMEW!C$6:C$201,IMEW!$B$6:B$201,"")</f>
        <v/>
      </c>
      <c r="AG9" s="94">
        <f>_xlfn.XLOOKUP(AF9,IMEW!$B$6:$B$201,IMEW!$A$6:$A$201,0)</f>
        <v>0</v>
      </c>
      <c r="AI9" s="95">
        <f t="shared" si="0"/>
        <v>0</v>
      </c>
      <c r="AJ9" s="95">
        <f t="shared" si="1"/>
        <v>5.3267487109222245</v>
      </c>
      <c r="AK9" s="95">
        <f t="shared" si="2"/>
        <v>0</v>
      </c>
      <c r="AL9" s="95">
        <f t="shared" si="3"/>
        <v>0</v>
      </c>
      <c r="AM9" s="95">
        <f t="shared" si="4"/>
        <v>18.559526299369239</v>
      </c>
      <c r="AN9" s="95">
        <f t="shared" si="5"/>
        <v>0</v>
      </c>
      <c r="AO9" s="95">
        <f t="shared" si="6"/>
        <v>0</v>
      </c>
    </row>
    <row r="10" spans="1:41" ht="14.85" customHeight="1">
      <c r="A10" s="8">
        <f>ROW()-5</f>
        <v>5</v>
      </c>
      <c r="B10" s="9" t="s">
        <v>17</v>
      </c>
      <c r="C10" s="14"/>
      <c r="D10" s="90">
        <f>SUM(F10,H10,J10,L10,N10,P10)-MIN(F10,H10,J10,L10,N10)+SUM(LARGE(AI10:AO10,1),LARGE(AI10:AO10,2),AG10)</f>
        <v>90.352436770568985</v>
      </c>
      <c r="E10" s="15">
        <f>_xlfn.XLOOKUP($B10,'GP1'!$C$6:$C$55,'GP1'!$B$6:$B$55,"")</f>
        <v>1</v>
      </c>
      <c r="F10" s="141">
        <f>_xlfn.XLOOKUP(E10,'GP1'!$B$6:$B$55,'GP1'!$A$6:$A$55,0)</f>
        <v>69</v>
      </c>
      <c r="G10" s="15" t="str">
        <f>_xlfn.XLOOKUP($B10,'GP2'!$C$6:$C$15,'GP2'!$B$6:$B$15,"")</f>
        <v/>
      </c>
      <c r="H10" s="143">
        <f>_xlfn.XLOOKUP(G10,'GP2'!$B$6:$B$15,'GP2'!$A$6:$A$15,0)</f>
        <v>0</v>
      </c>
      <c r="I10" s="15" t="str">
        <f>_xlfn.XLOOKUP($B10,'GP3'!$C$6:$C$15,'GP3'!$B$6:$B$15,"")</f>
        <v/>
      </c>
      <c r="J10" s="141">
        <f>_xlfn.XLOOKUP(I10,'GP3'!$B$6:$B$15,'GP3'!$A$6:$A$15,0)</f>
        <v>0</v>
      </c>
      <c r="K10" s="15" t="str">
        <f>_xlfn.XLOOKUP($B10,'GP4'!$C$6:$C$15,'GP4'!$B$6:$B$15,"")</f>
        <v/>
      </c>
      <c r="L10" s="141">
        <f>_xlfn.XLOOKUP(K10,'GP4'!$B$6:$B$15,'GP4'!$A$6:$A$15,0)</f>
        <v>0</v>
      </c>
      <c r="M10" s="15" t="str">
        <f>_xlfn.XLOOKUP($B10,'GP5'!$C$6:$C$15,'GP5'!$B$6:$B$15,"")</f>
        <v/>
      </c>
      <c r="N10" s="144">
        <f>_xlfn.XLOOKUP(M10,'GP5'!$B$6:$B$15,'GP5'!$A$6:$A$15,0)</f>
        <v>0</v>
      </c>
      <c r="O10" s="15">
        <f>_xlfn.XLOOKUP(B10,MPW!C$6:C$15,MPW!B$6:B$15,"")</f>
        <v>4</v>
      </c>
      <c r="P10" s="144">
        <f>_xlfn.XLOOKUP(O10,MPW!B$6:B$15,MPW!A$6:A$15,0)</f>
        <v>21.352436770568985</v>
      </c>
      <c r="R10" s="11" t="str">
        <f>_xlfn.XLOOKUP($B10,'PEW1'!$C$6:$C$201,'PEW1'!$B$6:$B$201,"")</f>
        <v/>
      </c>
      <c r="S10" s="93">
        <f>_xlfn.XLOOKUP(R10,'PEW1'!$B$6:$B$201,'PEW1'!$A$6:$A$201,0)</f>
        <v>0</v>
      </c>
      <c r="T10" s="11" t="str">
        <f>_xlfn.XLOOKUP($B10,'PEW2'!$C$6:$C$201,'PEW2'!$B$6:$B$201,"")</f>
        <v/>
      </c>
      <c r="U10" s="93">
        <f>_xlfn.XLOOKUP(T10,'PEW2'!$B$6:$B$201,'PEW2'!$A$6:$A$201,0)</f>
        <v>0</v>
      </c>
      <c r="V10" s="11" t="str">
        <f>_xlfn.XLOOKUP($B10,'PEW3'!$C$6:$C$201,'PEW3'!$B$6:$B$201,"")</f>
        <v/>
      </c>
      <c r="W10" s="93">
        <f>_xlfn.XLOOKUP(V10,'PEW3'!$B$6:$B$201,'PEW3'!$A$6:$A$201,0)</f>
        <v>0</v>
      </c>
      <c r="X10" s="11" t="str">
        <f>_xlfn.XLOOKUP($B10,'PEW4'!$C$6:$C$201,'PEW4'!$B$6:$B$201,"")</f>
        <v/>
      </c>
      <c r="Y10" s="93">
        <f>_xlfn.XLOOKUP(X10,'PEW4'!$B$6:$B$201,'PEW4'!$A$6:$A$201,0)</f>
        <v>0</v>
      </c>
      <c r="Z10" s="11" t="str">
        <f>_xlfn.XLOOKUP($B10,'PEW5'!$C$6:$C$201,'PEW5'!$B$6:$B$201,"")</f>
        <v/>
      </c>
      <c r="AA10" s="93">
        <f>_xlfn.XLOOKUP(Z10,'PEW5'!$B$6:$B$201,'PEW5'!$A$6:$A$201,0)</f>
        <v>0</v>
      </c>
      <c r="AB10" s="11" t="str">
        <f>_xlfn.XLOOKUP($B10,'PEW6'!$C$6:$C$201,'PEW6'!$B$6:$B$201,"")</f>
        <v/>
      </c>
      <c r="AC10" s="93">
        <f>_xlfn.XLOOKUP(AB10,'PEW6'!$B$6:$B$201,'PEW6'!$A$6:$A$201,0)</f>
        <v>0</v>
      </c>
      <c r="AD10" s="11" t="str">
        <f>_xlfn.XLOOKUP($B10,'PEW7'!$C$6:$C$201,'PEW7'!$B$6:$B$201,"")</f>
        <v/>
      </c>
      <c r="AE10" s="93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94">
        <f>_xlfn.XLOOKUP(AF10,IMEW!$B$6:$B$201,IMEW!$A$6:$A$201,0)</f>
        <v>0</v>
      </c>
      <c r="AI10" s="95">
        <f t="shared" si="0"/>
        <v>0</v>
      </c>
      <c r="AJ10" s="95">
        <f t="shared" si="1"/>
        <v>0</v>
      </c>
      <c r="AK10" s="95">
        <f t="shared" si="2"/>
        <v>0</v>
      </c>
      <c r="AL10" s="95">
        <f t="shared" si="3"/>
        <v>0</v>
      </c>
      <c r="AM10" s="95">
        <f t="shared" si="4"/>
        <v>0</v>
      </c>
      <c r="AN10" s="95">
        <f t="shared" si="5"/>
        <v>0</v>
      </c>
      <c r="AO10" s="95">
        <f t="shared" si="6"/>
        <v>0</v>
      </c>
    </row>
    <row r="11" spans="1:41" ht="14.85" customHeight="1">
      <c r="A11" s="8">
        <f>ROW()-5</f>
        <v>6</v>
      </c>
      <c r="B11" s="9" t="s">
        <v>22</v>
      </c>
      <c r="C11" s="14"/>
      <c r="D11" s="90">
        <f>SUM(F11,H11,J11,L11,N11,P11)-MIN(F11,H11,J11,L11,N11)+SUM(LARGE(AI11:AO11,1),LARGE(AI11:AO11,2),AG11)</f>
        <v>48.672166594104631</v>
      </c>
      <c r="E11" s="15" t="str">
        <f>_xlfn.XLOOKUP($B11,'GP1'!$C$6:$C$55,'GP1'!$B$6:$B$55,"")</f>
        <v/>
      </c>
      <c r="F11" s="141">
        <f>_xlfn.XLOOKUP(E11,'GP1'!$B$6:$B$55,'GP1'!$A$6:$A$55,0)</f>
        <v>0</v>
      </c>
      <c r="G11" s="15" t="str">
        <f>_xlfn.XLOOKUP($B11,'GP2'!$C$6:$C$15,'GP2'!$B$6:$B$15,"")</f>
        <v/>
      </c>
      <c r="H11" s="143">
        <f>_xlfn.XLOOKUP(G11,'GP2'!$B$6:$B$15,'GP2'!$A$6:$A$15,0)</f>
        <v>0</v>
      </c>
      <c r="I11" s="15">
        <f>_xlfn.XLOOKUP($B11,'GP3'!$C$6:$C$15,'GP3'!$B$6:$B$15,"")</f>
        <v>3</v>
      </c>
      <c r="J11" s="141">
        <f>_xlfn.XLOOKUP(I11,'GP3'!$B$6:$B$15,'GP3'!$A$6:$A$15,0)</f>
        <v>5.3267487109222245</v>
      </c>
      <c r="K11" s="15">
        <f>_xlfn.XLOOKUP($B11,'GP4'!$C$6:$C$15,'GP4'!$B$6:$B$15,"")</f>
        <v>3</v>
      </c>
      <c r="L11" s="141">
        <f>_xlfn.XLOOKUP(K11,'GP4'!$B$6:$B$15,'GP4'!$A$6:$A$15,0)</f>
        <v>5.3267487109222245</v>
      </c>
      <c r="M11" s="15" t="str">
        <f>_xlfn.XLOOKUP($B11,'GP5'!$C$6:$C$15,'GP5'!$B$6:$B$15,"")</f>
        <v/>
      </c>
      <c r="N11" s="144">
        <f>_xlfn.XLOOKUP(M11,'GP5'!$B$6:$B$15,'GP5'!$A$6:$A$15,0)</f>
        <v>0</v>
      </c>
      <c r="O11" s="15">
        <f>_xlfn.XLOOKUP(B11,MPW!C$6:C$15,MPW!B$6:B$15,"")</f>
        <v>3</v>
      </c>
      <c r="P11" s="144">
        <f>_xlfn.XLOOKUP(O11,MPW!B$6:B$15,MPW!A$6:A$15,0)</f>
        <v>38.018669172260182</v>
      </c>
      <c r="R11" s="11" t="str">
        <f>_xlfn.XLOOKUP($B11,'PEW1'!$C$6:$C$201,'PEW1'!$B$6:$B$201,"")</f>
        <v/>
      </c>
      <c r="S11" s="93">
        <f>_xlfn.XLOOKUP(R11,'PEW1'!$B$6:$B$201,'PEW1'!$A$6:$A$201,0)</f>
        <v>0</v>
      </c>
      <c r="T11" s="11" t="str">
        <f>_xlfn.XLOOKUP($B11,'PEW2'!$C$6:$C$201,'PEW2'!$B$6:$B$201,"")</f>
        <v/>
      </c>
      <c r="U11" s="93">
        <f>_xlfn.XLOOKUP(T11,'PEW2'!$B$6:$B$201,'PEW2'!$A$6:$A$201,0)</f>
        <v>0</v>
      </c>
      <c r="V11" s="11" t="str">
        <f>_xlfn.XLOOKUP($B11,'PEW3'!$C$6:$C$201,'PEW3'!$B$6:$B$201,"")</f>
        <v/>
      </c>
      <c r="W11" s="93">
        <f>_xlfn.XLOOKUP(V11,'PEW3'!$B$6:$B$201,'PEW3'!$A$6:$A$201,0)</f>
        <v>0</v>
      </c>
      <c r="X11" s="11" t="str">
        <f>_xlfn.XLOOKUP($B11,'PEW4'!$C$6:$C$201,'PEW4'!$B$6:$B$201,"")</f>
        <v/>
      </c>
      <c r="Y11" s="93">
        <f>_xlfn.XLOOKUP(X11,'PEW4'!$B$6:$B$201,'PEW4'!$A$6:$A$201,0)</f>
        <v>0</v>
      </c>
      <c r="Z11" s="11" t="str">
        <f>_xlfn.XLOOKUP($B11,'PEW5'!$C$6:$C$201,'PEW5'!$B$6:$B$201,"")</f>
        <v/>
      </c>
      <c r="AA11" s="93">
        <f>_xlfn.XLOOKUP(Z11,'PEW5'!$B$6:$B$201,'PEW5'!$A$6:$A$201,0)</f>
        <v>0</v>
      </c>
      <c r="AB11" s="11" t="str">
        <f>_xlfn.XLOOKUP($B11,'PEW6'!$C$6:$C$201,'PEW6'!$B$6:$B$201,"")</f>
        <v/>
      </c>
      <c r="AC11" s="93">
        <f>_xlfn.XLOOKUP(AB11,'PEW6'!$B$6:$B$201,'PEW6'!$A$6:$A$201,0)</f>
        <v>0</v>
      </c>
      <c r="AD11" s="11" t="str">
        <f>_xlfn.XLOOKUP($B11,'PEW7'!$C$6:$C$201,'PEW7'!$B$6:$B$201,"")</f>
        <v/>
      </c>
      <c r="AE11" s="93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94">
        <f>_xlfn.XLOOKUP(AF11,IMEW!$B$6:$B$201,IMEW!$A$6:$A$201,0)</f>
        <v>0</v>
      </c>
      <c r="AI11" s="95">
        <f t="shared" si="0"/>
        <v>0</v>
      </c>
      <c r="AJ11" s="95">
        <f t="shared" si="1"/>
        <v>0</v>
      </c>
      <c r="AK11" s="95">
        <f t="shared" si="2"/>
        <v>0</v>
      </c>
      <c r="AL11" s="95">
        <f t="shared" si="3"/>
        <v>0</v>
      </c>
      <c r="AM11" s="95">
        <f t="shared" si="4"/>
        <v>0</v>
      </c>
      <c r="AN11" s="95">
        <f t="shared" si="5"/>
        <v>0</v>
      </c>
      <c r="AO11" s="95">
        <f t="shared" si="6"/>
        <v>0</v>
      </c>
    </row>
    <row r="12" spans="1:41" ht="14.85" customHeight="1">
      <c r="A12" s="8">
        <f>ROW()-5</f>
        <v>7</v>
      </c>
      <c r="B12" s="9" t="s">
        <v>20</v>
      </c>
      <c r="C12" s="14"/>
      <c r="D12" s="90">
        <f>SUM(F12,H12,J12,L12,N12,P12)-MIN(F12,H12,J12,L12,N12)+SUM(LARGE(AI12:AO12,1),LARGE(AI12:AO12,2),AG12)</f>
        <v>0</v>
      </c>
      <c r="E12" s="15" t="str">
        <f>_xlfn.XLOOKUP($B12,'GP1'!$C$6:$C$55,'GP1'!$B$6:$B$55,"")</f>
        <v/>
      </c>
      <c r="F12" s="141">
        <f>_xlfn.XLOOKUP(E12,'GP1'!$B$6:$B$55,'GP1'!$A$6:$A$55,0)</f>
        <v>0</v>
      </c>
      <c r="G12" s="15" t="str">
        <f>_xlfn.XLOOKUP($B12,'GP2'!$C$6:$C$15,'GP2'!$B$6:$B$15,"")</f>
        <v/>
      </c>
      <c r="H12" s="143">
        <f>_xlfn.XLOOKUP(G12,'GP2'!$B$6:$B$15,'GP2'!$A$6:$A$15,0)</f>
        <v>0</v>
      </c>
      <c r="I12" s="15" t="str">
        <f>_xlfn.XLOOKUP($B12,'GP3'!$C$6:$C$15,'GP3'!$B$6:$B$15,"")</f>
        <v/>
      </c>
      <c r="J12" s="141">
        <f>_xlfn.XLOOKUP(I12,'GP3'!$B$6:$B$15,'GP3'!$A$6:$A$15,0)</f>
        <v>0</v>
      </c>
      <c r="K12" s="15" t="str">
        <f>_xlfn.XLOOKUP($B12,'GP4'!$C$6:$C$15,'GP4'!$B$6:$B$15,"")</f>
        <v/>
      </c>
      <c r="L12" s="141">
        <f>_xlfn.XLOOKUP(K12,'GP4'!$B$6:$B$15,'GP4'!$A$6:$A$15,0)</f>
        <v>0</v>
      </c>
      <c r="M12" s="15" t="str">
        <f>_xlfn.XLOOKUP($B12,'GP5'!$C$6:$C$15,'GP5'!$B$6:$B$15,"")</f>
        <v/>
      </c>
      <c r="N12" s="144">
        <f>_xlfn.XLOOKUP(M12,'GP5'!$B$6:$B$15,'GP5'!$A$6:$A$15,0)</f>
        <v>0</v>
      </c>
      <c r="O12" s="15" t="str">
        <f>_xlfn.XLOOKUP(B12,MPW!C$6:C$15,MPW!B$6:B$15,"")</f>
        <v/>
      </c>
      <c r="P12" s="144">
        <f>_xlfn.XLOOKUP(O12,MPW!B$6:B$15,MPW!A$6:A$15,0)</f>
        <v>0</v>
      </c>
      <c r="R12" s="11" t="str">
        <f>_xlfn.XLOOKUP($B12,'PEW1'!$C$6:$C$201,'PEW1'!$B$6:$B$201,"")</f>
        <v/>
      </c>
      <c r="S12" s="93">
        <f>_xlfn.XLOOKUP(R12,'PEW1'!$B$6:$B$201,'PEW1'!$A$6:$A$201,0)</f>
        <v>0</v>
      </c>
      <c r="T12" s="11" t="str">
        <f>_xlfn.XLOOKUP($B12,'PEW2'!$C$6:$C$201,'PEW2'!$B$6:$B$201,"")</f>
        <v/>
      </c>
      <c r="U12" s="93">
        <f>_xlfn.XLOOKUP(T12,'PEW2'!$B$6:$B$201,'PEW2'!$A$6:$A$201,0)</f>
        <v>0</v>
      </c>
      <c r="V12" s="11" t="str">
        <f>_xlfn.XLOOKUP($B12,'PEW3'!$C$6:$C$201,'PEW3'!$B$6:$B$201,"")</f>
        <v/>
      </c>
      <c r="W12" s="93">
        <f>_xlfn.XLOOKUP(V12,'PEW3'!$B$6:$B$201,'PEW3'!$A$6:$A$201,0)</f>
        <v>0</v>
      </c>
      <c r="X12" s="11" t="str">
        <f>_xlfn.XLOOKUP($B12,'PEW4'!$C$6:$C$201,'PEW4'!$B$6:$B$201,"")</f>
        <v/>
      </c>
      <c r="Y12" s="93">
        <f>_xlfn.XLOOKUP(X12,'PEW4'!$B$6:$B$201,'PEW4'!$A$6:$A$201,0)</f>
        <v>0</v>
      </c>
      <c r="Z12" s="11" t="str">
        <f>_xlfn.XLOOKUP($B12,'PEW5'!$C$6:$C$201,'PEW5'!$B$6:$B$201,"")</f>
        <v/>
      </c>
      <c r="AA12" s="93">
        <f>_xlfn.XLOOKUP(Z12,'PEW5'!$B$6:$B$201,'PEW5'!$A$6:$A$201,0)</f>
        <v>0</v>
      </c>
      <c r="AB12" s="11" t="str">
        <f>_xlfn.XLOOKUP($B12,'PEW6'!$C$6:$C$201,'PEW6'!$B$6:$B$201,"")</f>
        <v/>
      </c>
      <c r="AC12" s="93">
        <f>_xlfn.XLOOKUP(AB12,'PEW6'!$B$6:$B$201,'PEW6'!$A$6:$A$201,0)</f>
        <v>0</v>
      </c>
      <c r="AD12" s="11" t="str">
        <f>_xlfn.XLOOKUP($B12,'PEW7'!$C$6:$C$201,'PEW7'!$B$6:$B$201,"")</f>
        <v/>
      </c>
      <c r="AE12" s="93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94">
        <f>_xlfn.XLOOKUP(AF12,IMEW!$B$6:$B$201,IMEW!$A$6:$A$201,0)</f>
        <v>0</v>
      </c>
      <c r="AI12" s="95">
        <f t="shared" si="0"/>
        <v>0</v>
      </c>
      <c r="AJ12" s="95">
        <f t="shared" si="1"/>
        <v>0</v>
      </c>
      <c r="AK12" s="95">
        <f t="shared" si="2"/>
        <v>0</v>
      </c>
      <c r="AL12" s="95">
        <f t="shared" si="3"/>
        <v>0</v>
      </c>
      <c r="AM12" s="95">
        <f t="shared" si="4"/>
        <v>0</v>
      </c>
      <c r="AN12" s="95">
        <f t="shared" si="5"/>
        <v>0</v>
      </c>
      <c r="AO12" s="95">
        <f t="shared" si="6"/>
        <v>0</v>
      </c>
    </row>
    <row r="13" spans="1:41" ht="14.85" customHeight="1">
      <c r="A13" s="8">
        <f>ROW()-5</f>
        <v>8</v>
      </c>
      <c r="B13" s="9"/>
      <c r="C13" s="14"/>
      <c r="D13" s="90">
        <f>SUM(F13,H13,J13,L13,N13,P13)-MIN(F13,H13,J13,L13,N13)+SUM(LARGE(AI13:AO13,1),LARGE(AI13:AO13,2),AG13)</f>
        <v>0</v>
      </c>
      <c r="E13" s="15" t="str">
        <f>_xlfn.XLOOKUP($B13,'GP1'!$C$6:$C$55,'GP1'!$B$6:$B$55,"")</f>
        <v/>
      </c>
      <c r="F13" s="141">
        <f>_xlfn.XLOOKUP(E13,'GP1'!$B$6:$B$55,'GP1'!$A$6:$A$55,0)</f>
        <v>0</v>
      </c>
      <c r="G13" s="15">
        <f>_xlfn.XLOOKUP($B13,'GP2'!$C$6:$C$15,'GP2'!$B$6:$B$15,"")</f>
        <v>0</v>
      </c>
      <c r="H13" s="143">
        <f>_xlfn.XLOOKUP(G13,'GP2'!$B$6:$B$15,'GP2'!$A$6:$A$15,0)</f>
        <v>0</v>
      </c>
      <c r="I13" s="15" t="str">
        <f>_xlfn.XLOOKUP($B13,'GP3'!$C$6:$C$15,'GP3'!$B$6:$B$15,"")</f>
        <v/>
      </c>
      <c r="J13" s="141">
        <f>_xlfn.XLOOKUP(I13,'GP3'!$B$6:$B$15,'GP3'!$A$6:$A$15,0)</f>
        <v>0</v>
      </c>
      <c r="K13" s="15" t="str">
        <f>_xlfn.XLOOKUP($B13,'GP4'!$C$6:$C$15,'GP4'!$B$6:$B$15,"")</f>
        <v/>
      </c>
      <c r="L13" s="141">
        <f>_xlfn.XLOOKUP(K13,'GP4'!$B$6:$B$15,'GP4'!$A$6:$A$15,0)</f>
        <v>0</v>
      </c>
      <c r="M13" s="15" t="str">
        <f>_xlfn.XLOOKUP($B13,'GP5'!$C$6:$C$15,'GP5'!$B$6:$B$15,"")</f>
        <v/>
      </c>
      <c r="N13" s="144">
        <f>_xlfn.XLOOKUP(M13,'GP5'!$B$6:$B$15,'GP5'!$A$6:$A$15,0)</f>
        <v>0</v>
      </c>
      <c r="O13" s="15" t="str">
        <f>_xlfn.XLOOKUP(B13,MPW!C$6:C$15,MPW!B$6:B$15,"")</f>
        <v/>
      </c>
      <c r="P13" s="144">
        <f>_xlfn.XLOOKUP(O13,MPW!B$6:B$15,MPW!A$6:A$15,0)</f>
        <v>0</v>
      </c>
      <c r="R13" s="11" t="str">
        <f>_xlfn.XLOOKUP($B13,'PEW1'!$C$6:$C$201,'PEW1'!$B$6:$B$201,"")</f>
        <v/>
      </c>
      <c r="S13" s="93">
        <f>_xlfn.XLOOKUP(R13,'PEW1'!$B$6:$B$201,'PEW1'!$A$6:$A$201,0)</f>
        <v>0</v>
      </c>
      <c r="T13" s="11" t="str">
        <f>_xlfn.XLOOKUP($B13,'PEW2'!$C$6:$C$201,'PEW2'!$B$6:$B$201,"")</f>
        <v/>
      </c>
      <c r="U13" s="93">
        <f>_xlfn.XLOOKUP(T13,'PEW2'!$B$6:$B$201,'PEW2'!$A$6:$A$201,0)</f>
        <v>0</v>
      </c>
      <c r="V13" s="11" t="str">
        <f>_xlfn.XLOOKUP($B13,'PEW3'!$C$6:$C$201,'PEW3'!$B$6:$B$201,"")</f>
        <v/>
      </c>
      <c r="W13" s="93">
        <f>_xlfn.XLOOKUP(V13,'PEW3'!$B$6:$B$201,'PEW3'!$A$6:$A$201,0)</f>
        <v>0</v>
      </c>
      <c r="X13" s="11" t="str">
        <f>_xlfn.XLOOKUP($B13,'PEW4'!$C$6:$C$201,'PEW4'!$B$6:$B$201,"")</f>
        <v/>
      </c>
      <c r="Y13" s="93">
        <f>_xlfn.XLOOKUP(X13,'PEW4'!$B$6:$B$201,'PEW4'!$A$6:$A$201,0)</f>
        <v>0</v>
      </c>
      <c r="Z13" s="11" t="str">
        <f>_xlfn.XLOOKUP($B13,'PEW5'!$C$6:$C$201,'PEW5'!$B$6:$B$201,"")</f>
        <v/>
      </c>
      <c r="AA13" s="93">
        <f>_xlfn.XLOOKUP(Z13,'PEW5'!$B$6:$B$201,'PEW5'!$A$6:$A$201,0)</f>
        <v>0</v>
      </c>
      <c r="AB13" s="11" t="str">
        <f>_xlfn.XLOOKUP($B13,'PEW6'!$C$6:$C$201,'PEW6'!$B$6:$B$201,"")</f>
        <v/>
      </c>
      <c r="AC13" s="93">
        <f>_xlfn.XLOOKUP(AB13,'PEW6'!$B$6:$B$201,'PEW6'!$A$6:$A$201,0)</f>
        <v>0</v>
      </c>
      <c r="AD13" s="11" t="str">
        <f>_xlfn.XLOOKUP($B13,'PEW7'!$C$6:$C$201,'PEW7'!$B$6:$B$201,"")</f>
        <v/>
      </c>
      <c r="AE13" s="93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94">
        <f>_xlfn.XLOOKUP(AF13,IMEW!$B$6:$B$201,IMEW!$A$6:$A$201,0)</f>
        <v>0</v>
      </c>
      <c r="AI13" s="95">
        <f t="shared" si="0"/>
        <v>0</v>
      </c>
      <c r="AJ13" s="95">
        <f t="shared" si="1"/>
        <v>0</v>
      </c>
      <c r="AK13" s="95">
        <f t="shared" si="2"/>
        <v>0</v>
      </c>
      <c r="AL13" s="95">
        <f t="shared" si="3"/>
        <v>0</v>
      </c>
      <c r="AM13" s="95">
        <f t="shared" si="4"/>
        <v>0</v>
      </c>
      <c r="AN13" s="95">
        <f t="shared" si="5"/>
        <v>0</v>
      </c>
      <c r="AO13" s="95">
        <f t="shared" si="6"/>
        <v>0</v>
      </c>
    </row>
    <row r="14" spans="1:41" ht="14.85" customHeight="1">
      <c r="A14" s="8">
        <f>ROW()-5</f>
        <v>9</v>
      </c>
      <c r="B14" s="9"/>
      <c r="C14" s="14"/>
      <c r="D14" s="90">
        <f>SUM(F14,H14,J14,L14,N14,P14)-MIN(F14,H14,J14,L14,N14)+SUM(LARGE(AI14:AO14,1),LARGE(AI14:AO14,2),AG14)</f>
        <v>0</v>
      </c>
      <c r="E14" s="15" t="str">
        <f>_xlfn.XLOOKUP($B14,'GP1'!$C$6:$C$55,'GP1'!$B$6:$B$55,"")</f>
        <v/>
      </c>
      <c r="F14" s="141">
        <f>_xlfn.XLOOKUP(E14,'GP1'!$B$6:$B$55,'GP1'!$A$6:$A$55,0)</f>
        <v>0</v>
      </c>
      <c r="G14" s="15">
        <f>_xlfn.XLOOKUP($B14,'GP2'!$C$6:$C$15,'GP2'!$B$6:$B$15,"")</f>
        <v>0</v>
      </c>
      <c r="H14" s="143">
        <f>_xlfn.XLOOKUP(G14,'GP2'!$B$6:$B$15,'GP2'!$A$6:$A$15,0)</f>
        <v>0</v>
      </c>
      <c r="I14" s="15" t="str">
        <f>_xlfn.XLOOKUP($B14,'GP3'!$C$6:$C$15,'GP3'!$B$6:$B$15,"")</f>
        <v/>
      </c>
      <c r="J14" s="141">
        <f>_xlfn.XLOOKUP(I14,'GP3'!$B$6:$B$15,'GP3'!$A$6:$A$15,0)</f>
        <v>0</v>
      </c>
      <c r="K14" s="15" t="str">
        <f>_xlfn.XLOOKUP($B14,'GP4'!$C$6:$C$15,'GP4'!$B$6:$B$15,"")</f>
        <v/>
      </c>
      <c r="L14" s="141">
        <f>_xlfn.XLOOKUP(K14,'GP4'!$B$6:$B$15,'GP4'!$A$6:$A$15,0)</f>
        <v>0</v>
      </c>
      <c r="M14" s="15" t="str">
        <f>_xlfn.XLOOKUP($B14,'GP5'!$C$6:$C$15,'GP5'!$B$6:$B$15,"")</f>
        <v/>
      </c>
      <c r="N14" s="144">
        <f>_xlfn.XLOOKUP(M14,'GP5'!$B$6:$B$15,'GP5'!$A$6:$A$15,0)</f>
        <v>0</v>
      </c>
      <c r="O14" s="15" t="str">
        <f>_xlfn.XLOOKUP(B14,MPW!C$6:C$15,MPW!B$6:B$15,"")</f>
        <v/>
      </c>
      <c r="P14" s="144">
        <f>_xlfn.XLOOKUP(O14,MPW!B$6:B$15,MPW!A$6:A$15,0)</f>
        <v>0</v>
      </c>
      <c r="R14" s="11" t="str">
        <f>_xlfn.XLOOKUP($B14,'PEW1'!$C$6:$C$201,'PEW1'!$B$6:$B$201,"")</f>
        <v/>
      </c>
      <c r="S14" s="93">
        <f>_xlfn.XLOOKUP(R14,'PEW1'!$B$6:$B$201,'PEW1'!$A$6:$A$201,0)</f>
        <v>0</v>
      </c>
      <c r="T14" s="11" t="str">
        <f>_xlfn.XLOOKUP($B14,'PEW2'!$C$6:$C$201,'PEW2'!$B$6:$B$201,"")</f>
        <v/>
      </c>
      <c r="U14" s="93">
        <f>_xlfn.XLOOKUP(T14,'PEW2'!$B$6:$B$201,'PEW2'!$A$6:$A$201,0)</f>
        <v>0</v>
      </c>
      <c r="V14" s="11" t="str">
        <f>_xlfn.XLOOKUP($B14,'PEW3'!$C$6:$C$201,'PEW3'!$B$6:$B$201,"")</f>
        <v/>
      </c>
      <c r="W14" s="93">
        <f>_xlfn.XLOOKUP(V14,'PEW3'!$B$6:$B$201,'PEW3'!$A$6:$A$201,0)</f>
        <v>0</v>
      </c>
      <c r="X14" s="11" t="str">
        <f>_xlfn.XLOOKUP($B14,'PEW4'!$C$6:$C$201,'PEW4'!$B$6:$B$201,"")</f>
        <v/>
      </c>
      <c r="Y14" s="93">
        <f>_xlfn.XLOOKUP(X14,'PEW4'!$B$6:$B$201,'PEW4'!$A$6:$A$201,0)</f>
        <v>0</v>
      </c>
      <c r="Z14" s="11" t="str">
        <f>_xlfn.XLOOKUP($B14,'PEW5'!$C$6:$C$201,'PEW5'!$B$6:$B$201,"")</f>
        <v/>
      </c>
      <c r="AA14" s="93">
        <f>_xlfn.XLOOKUP(Z14,'PEW5'!$B$6:$B$201,'PEW5'!$A$6:$A$201,0)</f>
        <v>0</v>
      </c>
      <c r="AB14" s="11" t="str">
        <f>_xlfn.XLOOKUP($B14,'PEW6'!$C$6:$C$201,'PEW6'!$B$6:$B$201,"")</f>
        <v/>
      </c>
      <c r="AC14" s="93">
        <f>_xlfn.XLOOKUP(AB14,'PEW6'!$B$6:$B$201,'PEW6'!$A$6:$A$201,0)</f>
        <v>0</v>
      </c>
      <c r="AD14" s="11" t="str">
        <f>_xlfn.XLOOKUP($B14,'PEW7'!$C$6:$C$201,'PEW7'!$B$6:$B$201,"")</f>
        <v/>
      </c>
      <c r="AE14" s="93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94">
        <f>_xlfn.XLOOKUP(AF14,IMEW!$B$6:$B$201,IMEW!$A$6:$A$201,0)</f>
        <v>0</v>
      </c>
      <c r="AI14" s="95">
        <f t="shared" si="0"/>
        <v>0</v>
      </c>
      <c r="AJ14" s="95">
        <f t="shared" si="1"/>
        <v>0</v>
      </c>
      <c r="AK14" s="95">
        <f t="shared" si="2"/>
        <v>0</v>
      </c>
      <c r="AL14" s="95">
        <f t="shared" si="3"/>
        <v>0</v>
      </c>
      <c r="AM14" s="95">
        <f t="shared" si="4"/>
        <v>0</v>
      </c>
      <c r="AN14" s="95">
        <f t="shared" si="5"/>
        <v>0</v>
      </c>
      <c r="AO14" s="95">
        <f t="shared" si="6"/>
        <v>0</v>
      </c>
    </row>
    <row r="15" spans="1:41" ht="14.85" customHeight="1">
      <c r="A15" s="8">
        <f>ROW()-5</f>
        <v>10</v>
      </c>
      <c r="B15" s="9"/>
      <c r="C15" s="14"/>
      <c r="D15" s="90">
        <f>SUM(F15,H15,J15,L15,N15,P15)-MIN(F15,H15,J15,L15,N15)+SUM(LARGE(AI15:AO15,1),LARGE(AI15:AO15,2),AG15)</f>
        <v>0</v>
      </c>
      <c r="E15" s="15" t="str">
        <f>_xlfn.XLOOKUP($B15,'GP1'!$C$6:$C$55,'GP1'!$B$6:$B$55,"")</f>
        <v/>
      </c>
      <c r="F15" s="141">
        <f>_xlfn.XLOOKUP(E15,'GP1'!$B$6:$B$55,'GP1'!$A$6:$A$55,0)</f>
        <v>0</v>
      </c>
      <c r="G15" s="15">
        <f>_xlfn.XLOOKUP($B15,'GP2'!$C$6:$C$15,'GP2'!$B$6:$B$15,"")</f>
        <v>0</v>
      </c>
      <c r="H15" s="143">
        <f>_xlfn.XLOOKUP(G15,'GP2'!$B$6:$B$15,'GP2'!$A$6:$A$15,0)</f>
        <v>0</v>
      </c>
      <c r="I15" s="15" t="str">
        <f>_xlfn.XLOOKUP($B15,'GP3'!$C$6:$C$15,'GP3'!$B$6:$B$15,"")</f>
        <v/>
      </c>
      <c r="J15" s="141">
        <f>_xlfn.XLOOKUP(I15,'GP3'!$B$6:$B$15,'GP3'!$A$6:$A$15,0)</f>
        <v>0</v>
      </c>
      <c r="K15" s="15" t="str">
        <f>_xlfn.XLOOKUP($B15,'GP4'!$C$6:$C$15,'GP4'!$B$6:$B$15,"")</f>
        <v/>
      </c>
      <c r="L15" s="141">
        <f>_xlfn.XLOOKUP(K15,'GP4'!$B$6:$B$15,'GP4'!$A$6:$A$15,0)</f>
        <v>0</v>
      </c>
      <c r="M15" s="15" t="str">
        <f>_xlfn.XLOOKUP($B15,'GP5'!$C$6:$C$15,'GP5'!$B$6:$B$15,"")</f>
        <v/>
      </c>
      <c r="N15" s="144">
        <f>_xlfn.XLOOKUP(M15,'GP5'!$B$6:$B$15,'GP5'!$A$6:$A$15,0)</f>
        <v>0</v>
      </c>
      <c r="O15" s="15" t="str">
        <f>_xlfn.XLOOKUP(B15,MPW!C$6:C$15,MPW!B$6:B$15,"")</f>
        <v/>
      </c>
      <c r="P15" s="144">
        <f>_xlfn.XLOOKUP(O15,MPW!B$6:B$15,MPW!A$6:A$15,0)</f>
        <v>0</v>
      </c>
      <c r="R15" s="11" t="str">
        <f>_xlfn.XLOOKUP($B15,'PEW1'!$C$6:$C$201,'PEW1'!$B$6:$B$201,"")</f>
        <v/>
      </c>
      <c r="S15" s="93">
        <f>_xlfn.XLOOKUP(R15,'PEW1'!$B$6:$B$201,'PEW1'!$A$6:$A$201,0)</f>
        <v>0</v>
      </c>
      <c r="T15" s="11" t="str">
        <f>_xlfn.XLOOKUP($B15,'PEW2'!$C$6:$C$201,'PEW2'!$B$6:$B$201,"")</f>
        <v/>
      </c>
      <c r="U15" s="93">
        <f>_xlfn.XLOOKUP(T15,'PEW2'!$B$6:$B$201,'PEW2'!$A$6:$A$201,0)</f>
        <v>0</v>
      </c>
      <c r="V15" s="11" t="str">
        <f>_xlfn.XLOOKUP($B15,'PEW3'!$C$6:$C$201,'PEW3'!$B$6:$B$201,"")</f>
        <v/>
      </c>
      <c r="W15" s="93">
        <f>_xlfn.XLOOKUP(V15,'PEW3'!$B$6:$B$201,'PEW3'!$A$6:$A$201,0)</f>
        <v>0</v>
      </c>
      <c r="X15" s="11" t="str">
        <f>_xlfn.XLOOKUP($B15,'PEW4'!$C$6:$C$201,'PEW4'!$B$6:$B$201,"")</f>
        <v/>
      </c>
      <c r="Y15" s="93">
        <f>_xlfn.XLOOKUP(X15,'PEW4'!$B$6:$B$201,'PEW4'!$A$6:$A$201,0)</f>
        <v>0</v>
      </c>
      <c r="Z15" s="11" t="str">
        <f>_xlfn.XLOOKUP($B15,'PEW5'!$C$6:$C$201,'PEW5'!$B$6:$B$201,"")</f>
        <v/>
      </c>
      <c r="AA15" s="93">
        <f>_xlfn.XLOOKUP(Z15,'PEW5'!$B$6:$B$201,'PEW5'!$A$6:$A$201,0)</f>
        <v>0</v>
      </c>
      <c r="AB15" s="11" t="str">
        <f>_xlfn.XLOOKUP($B15,'PEW6'!$C$6:$C$201,'PEW6'!$B$6:$B$201,"")</f>
        <v/>
      </c>
      <c r="AC15" s="93">
        <f>_xlfn.XLOOKUP(AB15,'PEW6'!$B$6:$B$201,'PEW6'!$A$6:$A$201,0)</f>
        <v>0</v>
      </c>
      <c r="AD15" s="11" t="str">
        <f>_xlfn.XLOOKUP($B15,'PEW7'!$C$6:$C$201,'PEW7'!$B$6:$B$201,"")</f>
        <v/>
      </c>
      <c r="AE15" s="93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94">
        <f>_xlfn.XLOOKUP(AF15,IMEW!$B$6:$B$201,IMEW!$A$6:$A$201,0)</f>
        <v>0</v>
      </c>
      <c r="AI15" s="95">
        <f t="shared" si="0"/>
        <v>0</v>
      </c>
      <c r="AJ15" s="95">
        <f t="shared" si="1"/>
        <v>0</v>
      </c>
      <c r="AK15" s="95">
        <f t="shared" si="2"/>
        <v>0</v>
      </c>
      <c r="AL15" s="95">
        <f t="shared" si="3"/>
        <v>0</v>
      </c>
      <c r="AM15" s="95">
        <f t="shared" si="4"/>
        <v>0</v>
      </c>
      <c r="AN15" s="95">
        <f t="shared" si="5"/>
        <v>0</v>
      </c>
      <c r="AO15" s="95">
        <f t="shared" si="6"/>
        <v>0</v>
      </c>
    </row>
    <row r="16" spans="1:41" ht="14.85" customHeight="1">
      <c r="A16" s="8">
        <f>ROW()-5</f>
        <v>11</v>
      </c>
      <c r="B16" s="9"/>
      <c r="C16" s="14"/>
      <c r="D16" s="90">
        <f>SUM(F16,H16,J16,L16,N16,P16)-MIN(F16,H16,J16,L16,N16)+SUM(LARGE(AI16:AO16,1),LARGE(AI16:AO16,2),AG16)</f>
        <v>0</v>
      </c>
      <c r="E16" s="15" t="str">
        <f>_xlfn.XLOOKUP($B16,'GP1'!$C$6:$C$55,'GP1'!$B$6:$B$55,"")</f>
        <v/>
      </c>
      <c r="F16" s="141">
        <f>_xlfn.XLOOKUP(E16,'GP1'!$B$6:$B$55,'GP1'!$A$6:$A$55,0)</f>
        <v>0</v>
      </c>
      <c r="G16" s="15">
        <f>_xlfn.XLOOKUP($B16,'GP2'!$C$6:$C$15,'GP2'!$B$6:$B$15,"")</f>
        <v>0</v>
      </c>
      <c r="H16" s="143">
        <f>_xlfn.XLOOKUP(G16,'GP2'!$B$6:$B$15,'GP2'!$A$6:$A$15,0)</f>
        <v>0</v>
      </c>
      <c r="I16" s="15" t="str">
        <f>_xlfn.XLOOKUP($B16,'GP3'!$C$6:$C$15,'GP3'!$B$6:$B$15,"")</f>
        <v/>
      </c>
      <c r="J16" s="141">
        <f>_xlfn.XLOOKUP(I16,'GP3'!$B$6:$B$15,'GP3'!$A$6:$A$15,0)</f>
        <v>0</v>
      </c>
      <c r="K16" s="15" t="str">
        <f>_xlfn.XLOOKUP($B16,'GP4'!$C$6:$C$15,'GP4'!$B$6:$B$15,"")</f>
        <v/>
      </c>
      <c r="L16" s="141">
        <f>_xlfn.XLOOKUP(K16,'GP4'!$B$6:$B$15,'GP4'!$A$6:$A$15,0)</f>
        <v>0</v>
      </c>
      <c r="M16" s="15" t="str">
        <f>_xlfn.XLOOKUP($B16,'GP5'!$C$6:$C$15,'GP5'!$B$6:$B$15,"")</f>
        <v/>
      </c>
      <c r="N16" s="144">
        <f>_xlfn.XLOOKUP(M16,'GP5'!$B$6:$B$15,'GP5'!$A$6:$A$15,0)</f>
        <v>0</v>
      </c>
      <c r="O16" s="15" t="str">
        <f>_xlfn.XLOOKUP(B16,MPW!C$6:C$15,MPW!B$6:B$15,"")</f>
        <v/>
      </c>
      <c r="P16" s="144">
        <f>_xlfn.XLOOKUP(O16,MPW!B$6:B$15,MPW!A$6:A$15,0)</f>
        <v>0</v>
      </c>
      <c r="R16" s="11" t="str">
        <f>_xlfn.XLOOKUP($B16,'PEW1'!$C$6:$C$201,'PEW1'!$B$6:$B$201,"")</f>
        <v/>
      </c>
      <c r="S16" s="93">
        <f>_xlfn.XLOOKUP(R16,'PEW1'!$B$6:$B$201,'PEW1'!$A$6:$A$201,0)</f>
        <v>0</v>
      </c>
      <c r="T16" s="11" t="str">
        <f>_xlfn.XLOOKUP($B16,'PEW2'!$C$6:$C$201,'PEW2'!$B$6:$B$201,"")</f>
        <v/>
      </c>
      <c r="U16" s="93">
        <f>_xlfn.XLOOKUP(T16,'PEW2'!$B$6:$B$201,'PEW2'!$A$6:$A$201,0)</f>
        <v>0</v>
      </c>
      <c r="V16" s="11" t="str">
        <f>_xlfn.XLOOKUP($B16,'PEW3'!$C$6:$C$201,'PEW3'!$B$6:$B$201,"")</f>
        <v/>
      </c>
      <c r="W16" s="93">
        <f>_xlfn.XLOOKUP(V16,'PEW3'!$B$6:$B$201,'PEW3'!$A$6:$A$201,0)</f>
        <v>0</v>
      </c>
      <c r="X16" s="11" t="str">
        <f>_xlfn.XLOOKUP($B16,'PEW4'!$C$6:$C$201,'PEW4'!$B$6:$B$201,"")</f>
        <v/>
      </c>
      <c r="Y16" s="93">
        <f>_xlfn.XLOOKUP(X16,'PEW4'!$B$6:$B$201,'PEW4'!$A$6:$A$201,0)</f>
        <v>0</v>
      </c>
      <c r="Z16" s="11" t="str">
        <f>_xlfn.XLOOKUP($B16,'PEW5'!$C$6:$C$201,'PEW5'!$B$6:$B$201,"")</f>
        <v/>
      </c>
      <c r="AA16" s="93">
        <f>_xlfn.XLOOKUP(Z16,'PEW5'!$B$6:$B$201,'PEW5'!$A$6:$A$201,0)</f>
        <v>0</v>
      </c>
      <c r="AB16" s="11" t="str">
        <f>_xlfn.XLOOKUP($B16,'PEW6'!$C$6:$C$201,'PEW6'!$B$6:$B$201,"")</f>
        <v/>
      </c>
      <c r="AC16" s="93">
        <f>_xlfn.XLOOKUP(AB16,'PEW6'!$B$6:$B$201,'PEW6'!$A$6:$A$201,0)</f>
        <v>0</v>
      </c>
      <c r="AD16" s="11" t="str">
        <f>_xlfn.XLOOKUP($B16,'PEW7'!$C$6:$C$201,'PEW7'!$B$6:$B$201,"")</f>
        <v/>
      </c>
      <c r="AE16" s="93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94">
        <f>_xlfn.XLOOKUP(AF16,IMEW!$B$6:$B$201,IMEW!$A$6:$A$201,0)</f>
        <v>0</v>
      </c>
      <c r="AI16" s="95">
        <f t="shared" si="0"/>
        <v>0</v>
      </c>
      <c r="AJ16" s="95">
        <f t="shared" si="1"/>
        <v>0</v>
      </c>
      <c r="AK16" s="95">
        <f t="shared" si="2"/>
        <v>0</v>
      </c>
      <c r="AL16" s="95">
        <f t="shared" si="3"/>
        <v>0</v>
      </c>
      <c r="AM16" s="95">
        <f t="shared" si="4"/>
        <v>0</v>
      </c>
      <c r="AN16" s="95">
        <f t="shared" si="5"/>
        <v>0</v>
      </c>
      <c r="AO16" s="95">
        <f t="shared" si="6"/>
        <v>0</v>
      </c>
    </row>
    <row r="17" spans="1:41" ht="14.85" customHeight="1">
      <c r="A17" s="8">
        <f>ROW()-5</f>
        <v>12</v>
      </c>
      <c r="B17" s="9"/>
      <c r="C17" s="14"/>
      <c r="D17" s="90">
        <f>SUM(F17,H17,J17,L17,N17,P17)-MIN(F17,H17,J17,L17,N17)+SUM(LARGE(AI17:AO17,1),LARGE(AI17:AO17,2),AG17)</f>
        <v>0</v>
      </c>
      <c r="E17" s="15" t="str">
        <f>_xlfn.XLOOKUP($B17,'GP1'!$C$6:$C$55,'GP1'!$B$6:$B$55,"")</f>
        <v/>
      </c>
      <c r="F17" s="141">
        <f>_xlfn.XLOOKUP(E17,'GP1'!$B$6:$B$55,'GP1'!$A$6:$A$55,0)</f>
        <v>0</v>
      </c>
      <c r="G17" s="15">
        <f>_xlfn.XLOOKUP($B17,'GP2'!$C$6:$C$15,'GP2'!$B$6:$B$15,"")</f>
        <v>0</v>
      </c>
      <c r="H17" s="143">
        <f>_xlfn.XLOOKUP(G17,'GP2'!$B$6:$B$15,'GP2'!$A$6:$A$15,0)</f>
        <v>0</v>
      </c>
      <c r="I17" s="15" t="str">
        <f>_xlfn.XLOOKUP($B17,'GP3'!$C$6:$C$15,'GP3'!$B$6:$B$15,"")</f>
        <v/>
      </c>
      <c r="J17" s="141">
        <f>_xlfn.XLOOKUP(I17,'GP3'!$B$6:$B$15,'GP3'!$A$6:$A$15,0)</f>
        <v>0</v>
      </c>
      <c r="K17" s="15" t="str">
        <f>_xlfn.XLOOKUP($B17,'GP4'!$C$6:$C$15,'GP4'!$B$6:$B$15,"")</f>
        <v/>
      </c>
      <c r="L17" s="141">
        <f>_xlfn.XLOOKUP(K17,'GP4'!$B$6:$B$15,'GP4'!$A$6:$A$15,0)</f>
        <v>0</v>
      </c>
      <c r="M17" s="15" t="str">
        <f>_xlfn.XLOOKUP($B17,'GP5'!$C$6:$C$15,'GP5'!$B$6:$B$15,"")</f>
        <v/>
      </c>
      <c r="N17" s="144">
        <f>_xlfn.XLOOKUP(M17,'GP5'!$B$6:$B$15,'GP5'!$A$6:$A$15,0)</f>
        <v>0</v>
      </c>
      <c r="O17" s="15" t="str">
        <f>_xlfn.XLOOKUP(B17,MPW!C$6:C$15,MPW!B$6:B$15,"")</f>
        <v/>
      </c>
      <c r="P17" s="144">
        <f>_xlfn.XLOOKUP(O17,MPW!B$6:B$15,MPW!A$6:A$15,0)</f>
        <v>0</v>
      </c>
      <c r="R17" s="11" t="str">
        <f>_xlfn.XLOOKUP($B17,'PEW1'!$C$6:$C$201,'PEW1'!$B$6:$B$201,"")</f>
        <v/>
      </c>
      <c r="S17" s="93">
        <f>_xlfn.XLOOKUP(R17,'PEW1'!$B$6:$B$201,'PEW1'!$A$6:$A$201,0)</f>
        <v>0</v>
      </c>
      <c r="T17" s="11" t="str">
        <f>_xlfn.XLOOKUP($B17,'PEW2'!$C$6:$C$201,'PEW2'!$B$6:$B$201,"")</f>
        <v/>
      </c>
      <c r="U17" s="93">
        <f>_xlfn.XLOOKUP(T17,'PEW2'!$B$6:$B$201,'PEW2'!$A$6:$A$201,0)</f>
        <v>0</v>
      </c>
      <c r="V17" s="11" t="str">
        <f>_xlfn.XLOOKUP($B17,'PEW3'!$C$6:$C$201,'PEW3'!$B$6:$B$201,"")</f>
        <v/>
      </c>
      <c r="W17" s="93">
        <f>_xlfn.XLOOKUP(V17,'PEW3'!$B$6:$B$201,'PEW3'!$A$6:$A$201,0)</f>
        <v>0</v>
      </c>
      <c r="X17" s="11" t="str">
        <f>_xlfn.XLOOKUP($B17,'PEW4'!$C$6:$C$201,'PEW4'!$B$6:$B$201,"")</f>
        <v/>
      </c>
      <c r="Y17" s="93">
        <f>_xlfn.XLOOKUP(X17,'PEW4'!$B$6:$B$201,'PEW4'!$A$6:$A$201,0)</f>
        <v>0</v>
      </c>
      <c r="Z17" s="11" t="str">
        <f>_xlfn.XLOOKUP($B17,'PEW5'!$C$6:$C$201,'PEW5'!$B$6:$B$201,"")</f>
        <v/>
      </c>
      <c r="AA17" s="93">
        <f>_xlfn.XLOOKUP(Z17,'PEW5'!$B$6:$B$201,'PEW5'!$A$6:$A$201,0)</f>
        <v>0</v>
      </c>
      <c r="AB17" s="11" t="str">
        <f>_xlfn.XLOOKUP($B17,'PEW6'!$C$6:$C$201,'PEW6'!$B$6:$B$201,"")</f>
        <v/>
      </c>
      <c r="AC17" s="93">
        <f>_xlfn.XLOOKUP(AB17,'PEW6'!$B$6:$B$201,'PEW6'!$A$6:$A$201,0)</f>
        <v>0</v>
      </c>
      <c r="AD17" s="11" t="str">
        <f>_xlfn.XLOOKUP($B17,'PEW7'!$C$6:$C$201,'PEW7'!$B$6:$B$201,"")</f>
        <v/>
      </c>
      <c r="AE17" s="93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94">
        <f>_xlfn.XLOOKUP(AF17,IMEW!$B$6:$B$201,IMEW!$A$6:$A$201,0)</f>
        <v>0</v>
      </c>
      <c r="AI17" s="95">
        <f t="shared" si="0"/>
        <v>0</v>
      </c>
      <c r="AJ17" s="95">
        <f t="shared" si="1"/>
        <v>0</v>
      </c>
      <c r="AK17" s="95">
        <f t="shared" si="2"/>
        <v>0</v>
      </c>
      <c r="AL17" s="95">
        <f t="shared" si="3"/>
        <v>0</v>
      </c>
      <c r="AM17" s="95">
        <f t="shared" si="4"/>
        <v>0</v>
      </c>
      <c r="AN17" s="95">
        <f t="shared" si="5"/>
        <v>0</v>
      </c>
      <c r="AO17" s="95">
        <f t="shared" si="6"/>
        <v>0</v>
      </c>
    </row>
    <row r="18" spans="1:41" ht="14.85" customHeight="1">
      <c r="A18" s="8">
        <f>ROW()-5</f>
        <v>13</v>
      </c>
      <c r="B18" s="9"/>
      <c r="C18" s="14"/>
      <c r="D18" s="90">
        <f>SUM(F18,H18,J18,L18,N18,P18)-MIN(F18,H18,J18,L18,N18)+SUM(LARGE(AI18:AO18,1),LARGE(AI18:AO18,2),AG18)</f>
        <v>0</v>
      </c>
      <c r="E18" s="15" t="str">
        <f>_xlfn.XLOOKUP($B18,'GP1'!$C$6:$C$55,'GP1'!$B$6:$B$55,"")</f>
        <v/>
      </c>
      <c r="F18" s="141">
        <f>_xlfn.XLOOKUP(E18,'GP1'!$B$6:$B$55,'GP1'!$A$6:$A$55,0)</f>
        <v>0</v>
      </c>
      <c r="G18" s="15">
        <f>_xlfn.XLOOKUP($B18,'GP2'!$C$6:$C$15,'GP2'!$B$6:$B$15,"")</f>
        <v>0</v>
      </c>
      <c r="H18" s="143">
        <f>_xlfn.XLOOKUP(G18,'GP2'!$B$6:$B$15,'GP2'!$A$6:$A$15,0)</f>
        <v>0</v>
      </c>
      <c r="I18" s="15" t="str">
        <f>_xlfn.XLOOKUP($B18,'GP3'!$C$6:$C$15,'GP3'!$B$6:$B$15,"")</f>
        <v/>
      </c>
      <c r="J18" s="141">
        <f>_xlfn.XLOOKUP(I18,'GP3'!$B$6:$B$15,'GP3'!$A$6:$A$15,0)</f>
        <v>0</v>
      </c>
      <c r="K18" s="15" t="str">
        <f>_xlfn.XLOOKUP($B18,'GP4'!$C$6:$C$15,'GP4'!$B$6:$B$15,"")</f>
        <v/>
      </c>
      <c r="L18" s="141">
        <f>_xlfn.XLOOKUP(K18,'GP4'!$B$6:$B$15,'GP4'!$A$6:$A$15,0)</f>
        <v>0</v>
      </c>
      <c r="M18" s="15" t="str">
        <f>_xlfn.XLOOKUP($B18,'GP5'!$C$6:$C$15,'GP5'!$B$6:$B$15,"")</f>
        <v/>
      </c>
      <c r="N18" s="144">
        <f>_xlfn.XLOOKUP(M18,'GP5'!$B$6:$B$15,'GP5'!$A$6:$A$15,0)</f>
        <v>0</v>
      </c>
      <c r="O18" s="15" t="str">
        <f>_xlfn.XLOOKUP(B18,MPW!C$6:C$15,MPW!B$6:B$15,"")</f>
        <v/>
      </c>
      <c r="P18" s="144">
        <f>_xlfn.XLOOKUP(O18,MPW!B$6:B$15,MPW!A$6:A$15,0)</f>
        <v>0</v>
      </c>
      <c r="R18" s="11" t="str">
        <f>_xlfn.XLOOKUP($B18,'PEW1'!$C$6:$C$201,'PEW1'!$B$6:$B$201,"")</f>
        <v/>
      </c>
      <c r="S18" s="93">
        <f>_xlfn.XLOOKUP(R18,'PEW1'!$B$6:$B$201,'PEW1'!$A$6:$A$201,0)</f>
        <v>0</v>
      </c>
      <c r="T18" s="11" t="str">
        <f>_xlfn.XLOOKUP($B18,'PEW2'!$C$6:$C$201,'PEW2'!$B$6:$B$201,"")</f>
        <v/>
      </c>
      <c r="U18" s="93">
        <f>_xlfn.XLOOKUP(T18,'PEW2'!$B$6:$B$201,'PEW2'!$A$6:$A$201,0)</f>
        <v>0</v>
      </c>
      <c r="V18" s="11" t="str">
        <f>_xlfn.XLOOKUP($B18,'PEW3'!$C$6:$C$201,'PEW3'!$B$6:$B$201,"")</f>
        <v/>
      </c>
      <c r="W18" s="93">
        <f>_xlfn.XLOOKUP(V18,'PEW3'!$B$6:$B$201,'PEW3'!$A$6:$A$201,0)</f>
        <v>0</v>
      </c>
      <c r="X18" s="11" t="str">
        <f>_xlfn.XLOOKUP($B18,'PEW4'!$C$6:$C$201,'PEW4'!$B$6:$B$201,"")</f>
        <v/>
      </c>
      <c r="Y18" s="93">
        <f>_xlfn.XLOOKUP(X18,'PEW4'!$B$6:$B$201,'PEW4'!$A$6:$A$201,0)</f>
        <v>0</v>
      </c>
      <c r="Z18" s="11" t="str">
        <f>_xlfn.XLOOKUP($B18,'PEW5'!$C$6:$C$201,'PEW5'!$B$6:$B$201,"")</f>
        <v/>
      </c>
      <c r="AA18" s="93">
        <f>_xlfn.XLOOKUP(Z18,'PEW5'!$B$6:$B$201,'PEW5'!$A$6:$A$201,0)</f>
        <v>0</v>
      </c>
      <c r="AB18" s="11" t="str">
        <f>_xlfn.XLOOKUP($B18,'PEW6'!$C$6:$C$201,'PEW6'!$B$6:$B$201,"")</f>
        <v/>
      </c>
      <c r="AC18" s="93">
        <f>_xlfn.XLOOKUP(AB18,'PEW6'!$B$6:$B$201,'PEW6'!$A$6:$A$201,0)</f>
        <v>0</v>
      </c>
      <c r="AD18" s="11" t="str">
        <f>_xlfn.XLOOKUP($B18,'PEW7'!$C$6:$C$201,'PEW7'!$B$6:$B$201,"")</f>
        <v/>
      </c>
      <c r="AE18" s="93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94">
        <f>_xlfn.XLOOKUP(AF18,IMEW!$B$6:$B$201,IMEW!$A$6:$A$201,0)</f>
        <v>0</v>
      </c>
      <c r="AI18" s="95">
        <f t="shared" si="0"/>
        <v>0</v>
      </c>
      <c r="AJ18" s="95">
        <f t="shared" si="1"/>
        <v>0</v>
      </c>
      <c r="AK18" s="95">
        <f t="shared" si="2"/>
        <v>0</v>
      </c>
      <c r="AL18" s="95">
        <f t="shared" si="3"/>
        <v>0</v>
      </c>
      <c r="AM18" s="95">
        <f t="shared" si="4"/>
        <v>0</v>
      </c>
      <c r="AN18" s="95">
        <f t="shared" si="5"/>
        <v>0</v>
      </c>
      <c r="AO18" s="95">
        <f t="shared" si="6"/>
        <v>0</v>
      </c>
    </row>
    <row r="19" spans="1:41" ht="14.85" customHeight="1">
      <c r="A19" s="8">
        <f>ROW()-5</f>
        <v>14</v>
      </c>
      <c r="B19" s="9"/>
      <c r="C19" s="14"/>
      <c r="D19" s="90">
        <f>SUM(F19,H19,J19,L19,N19,P19)-MIN(F19,H19,J19,L19,N19)+SUM(LARGE(AI19:AO19,1),LARGE(AI19:AO19,2),AG19)</f>
        <v>0</v>
      </c>
      <c r="E19" s="15" t="str">
        <f>_xlfn.XLOOKUP($B19,'GP1'!$C$6:$C$55,'GP1'!$B$6:$B$55,"")</f>
        <v/>
      </c>
      <c r="F19" s="141">
        <f>_xlfn.XLOOKUP(E19,'GP1'!$B$6:$B$55,'GP1'!$A$6:$A$55,0)</f>
        <v>0</v>
      </c>
      <c r="G19" s="15">
        <f>_xlfn.XLOOKUP($B19,'GP2'!$C$6:$C$15,'GP2'!$B$6:$B$15,"")</f>
        <v>0</v>
      </c>
      <c r="H19" s="143">
        <f>_xlfn.XLOOKUP(G19,'GP2'!$B$6:$B$15,'GP2'!$A$6:$A$15,0)</f>
        <v>0</v>
      </c>
      <c r="I19" s="15" t="str">
        <f>_xlfn.XLOOKUP($B19,'GP3'!$C$6:$C$15,'GP3'!$B$6:$B$15,"")</f>
        <v/>
      </c>
      <c r="J19" s="141">
        <f>_xlfn.XLOOKUP(I19,'GP3'!$B$6:$B$15,'GP3'!$A$6:$A$15,0)</f>
        <v>0</v>
      </c>
      <c r="K19" s="15" t="str">
        <f>_xlfn.XLOOKUP($B19,'GP4'!$C$6:$C$15,'GP4'!$B$6:$B$15,"")</f>
        <v/>
      </c>
      <c r="L19" s="141">
        <f>_xlfn.XLOOKUP(K19,'GP4'!$B$6:$B$15,'GP4'!$A$6:$A$15,0)</f>
        <v>0</v>
      </c>
      <c r="M19" s="15" t="str">
        <f>_xlfn.XLOOKUP($B19,'GP5'!$C$6:$C$15,'GP5'!$B$6:$B$15,"")</f>
        <v/>
      </c>
      <c r="N19" s="144">
        <f>_xlfn.XLOOKUP(M19,'GP5'!$B$6:$B$15,'GP5'!$A$6:$A$15,0)</f>
        <v>0</v>
      </c>
      <c r="O19" s="15" t="str">
        <f>_xlfn.XLOOKUP(B19,MPW!C$6:C$15,MPW!B$6:B$15,"")</f>
        <v/>
      </c>
      <c r="P19" s="144">
        <f>_xlfn.XLOOKUP(O19,MPW!B$6:B$15,MPW!A$6:A$15,0)</f>
        <v>0</v>
      </c>
      <c r="R19" s="11" t="str">
        <f>_xlfn.XLOOKUP($B19,'PEW1'!$C$6:$C$201,'PEW1'!$B$6:$B$201,"")</f>
        <v/>
      </c>
      <c r="S19" s="93">
        <f>_xlfn.XLOOKUP(R19,'PEW1'!$B$6:$B$201,'PEW1'!$A$6:$A$201,0)</f>
        <v>0</v>
      </c>
      <c r="T19" s="11" t="str">
        <f>_xlfn.XLOOKUP($B19,'PEW2'!$C$6:$C$201,'PEW2'!$B$6:$B$201,"")</f>
        <v/>
      </c>
      <c r="U19" s="93">
        <f>_xlfn.XLOOKUP(T19,'PEW2'!$B$6:$B$201,'PEW2'!$A$6:$A$201,0)</f>
        <v>0</v>
      </c>
      <c r="V19" s="11" t="str">
        <f>_xlfn.XLOOKUP($B19,'PEW3'!$C$6:$C$201,'PEW3'!$B$6:$B$201,"")</f>
        <v/>
      </c>
      <c r="W19" s="93">
        <f>_xlfn.XLOOKUP(V19,'PEW3'!$B$6:$B$201,'PEW3'!$A$6:$A$201,0)</f>
        <v>0</v>
      </c>
      <c r="X19" s="11" t="str">
        <f>_xlfn.XLOOKUP($B19,'PEW4'!$C$6:$C$201,'PEW4'!$B$6:$B$201,"")</f>
        <v/>
      </c>
      <c r="Y19" s="93">
        <f>_xlfn.XLOOKUP(X19,'PEW4'!$B$6:$B$201,'PEW4'!$A$6:$A$201,0)</f>
        <v>0</v>
      </c>
      <c r="Z19" s="11" t="str">
        <f>_xlfn.XLOOKUP($B19,'PEW5'!$C$6:$C$201,'PEW5'!$B$6:$B$201,"")</f>
        <v/>
      </c>
      <c r="AA19" s="93">
        <f>_xlfn.XLOOKUP(Z19,'PEW5'!$B$6:$B$201,'PEW5'!$A$6:$A$201,0)</f>
        <v>0</v>
      </c>
      <c r="AB19" s="11" t="str">
        <f>_xlfn.XLOOKUP($B19,'PEW6'!$C$6:$C$201,'PEW6'!$B$6:$B$201,"")</f>
        <v/>
      </c>
      <c r="AC19" s="93">
        <f>_xlfn.XLOOKUP(AB19,'PEW6'!$B$6:$B$201,'PEW6'!$A$6:$A$201,0)</f>
        <v>0</v>
      </c>
      <c r="AD19" s="11" t="str">
        <f>_xlfn.XLOOKUP($B19,'PEW7'!$C$6:$C$201,'PEW7'!$B$6:$B$201,"")</f>
        <v/>
      </c>
      <c r="AE19" s="93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94">
        <f>_xlfn.XLOOKUP(AF19,IMEW!$B$6:$B$201,IMEW!$A$6:$A$201,0)</f>
        <v>0</v>
      </c>
      <c r="AI19" s="95">
        <f t="shared" si="0"/>
        <v>0</v>
      </c>
      <c r="AJ19" s="95">
        <f t="shared" si="1"/>
        <v>0</v>
      </c>
      <c r="AK19" s="95">
        <f t="shared" si="2"/>
        <v>0</v>
      </c>
      <c r="AL19" s="95">
        <f t="shared" si="3"/>
        <v>0</v>
      </c>
      <c r="AM19" s="95">
        <f t="shared" si="4"/>
        <v>0</v>
      </c>
      <c r="AN19" s="95">
        <f t="shared" si="5"/>
        <v>0</v>
      </c>
      <c r="AO19" s="95">
        <f t="shared" si="6"/>
        <v>0</v>
      </c>
    </row>
    <row r="20" spans="1:41" ht="14.85" customHeight="1">
      <c r="A20" s="8">
        <f>ROW()-5</f>
        <v>15</v>
      </c>
      <c r="B20" s="9"/>
      <c r="C20" s="14"/>
      <c r="D20" s="90">
        <f>SUM(F20,H20,J20,L20,N20,P20)-MIN(F20,H20,J20,L20,N20)+SUM(LARGE(AI20:AO20,1),LARGE(AI20:AO20,2),AG20)</f>
        <v>0</v>
      </c>
      <c r="E20" s="15" t="str">
        <f>_xlfn.XLOOKUP($B20,'GP1'!$C$6:$C$55,'GP1'!$B$6:$B$55,"")</f>
        <v/>
      </c>
      <c r="F20" s="141">
        <f>_xlfn.XLOOKUP(E20,'GP1'!$B$6:$B$55,'GP1'!$A$6:$A$55,0)</f>
        <v>0</v>
      </c>
      <c r="G20" s="15">
        <f>_xlfn.XLOOKUP($B20,'GP2'!$C$6:$C$15,'GP2'!$B$6:$B$15,"")</f>
        <v>0</v>
      </c>
      <c r="H20" s="143">
        <f>_xlfn.XLOOKUP(G20,'GP2'!$B$6:$B$15,'GP2'!$A$6:$A$15,0)</f>
        <v>0</v>
      </c>
      <c r="I20" s="15" t="str">
        <f>_xlfn.XLOOKUP($B20,'GP3'!$C$6:$C$15,'GP3'!$B$6:$B$15,"")</f>
        <v/>
      </c>
      <c r="J20" s="141">
        <f>_xlfn.XLOOKUP(I20,'GP3'!$B$6:$B$15,'GP3'!$A$6:$A$15,0)</f>
        <v>0</v>
      </c>
      <c r="K20" s="15" t="str">
        <f>_xlfn.XLOOKUP($B20,'GP4'!$C$6:$C$15,'GP4'!$B$6:$B$15,"")</f>
        <v/>
      </c>
      <c r="L20" s="141">
        <f>_xlfn.XLOOKUP(K20,'GP4'!$B$6:$B$15,'GP4'!$A$6:$A$15,0)</f>
        <v>0</v>
      </c>
      <c r="M20" s="15" t="str">
        <f>_xlfn.XLOOKUP($B20,'GP5'!$C$6:$C$15,'GP5'!$B$6:$B$15,"")</f>
        <v/>
      </c>
      <c r="N20" s="144">
        <f>_xlfn.XLOOKUP(M20,'GP5'!$B$6:$B$15,'GP5'!$A$6:$A$15,0)</f>
        <v>0</v>
      </c>
      <c r="O20" s="15" t="str">
        <f>_xlfn.XLOOKUP(B20,MPW!C$6:C$15,MPW!B$6:B$15,"")</f>
        <v/>
      </c>
      <c r="P20" s="144">
        <f>_xlfn.XLOOKUP(O20,MPW!B$6:B$15,MPW!A$6:A$15,0)</f>
        <v>0</v>
      </c>
      <c r="R20" s="11" t="str">
        <f>_xlfn.XLOOKUP($B20,'PEW1'!$C$6:$C$201,'PEW1'!$B$6:$B$201,"")</f>
        <v/>
      </c>
      <c r="S20" s="93">
        <f>_xlfn.XLOOKUP(R20,'PEW1'!$B$6:$B$201,'PEW1'!$A$6:$A$201,0)</f>
        <v>0</v>
      </c>
      <c r="T20" s="11" t="str">
        <f>_xlfn.XLOOKUP($B20,'PEW2'!$C$6:$C$201,'PEW2'!$B$6:$B$201,"")</f>
        <v/>
      </c>
      <c r="U20" s="93">
        <f>_xlfn.XLOOKUP(T20,'PEW2'!$B$6:$B$201,'PEW2'!$A$6:$A$201,0)</f>
        <v>0</v>
      </c>
      <c r="V20" s="11" t="str">
        <f>_xlfn.XLOOKUP($B20,'PEW3'!$C$6:$C$201,'PEW3'!$B$6:$B$201,"")</f>
        <v/>
      </c>
      <c r="W20" s="93">
        <f>_xlfn.XLOOKUP(V20,'PEW3'!$B$6:$B$201,'PEW3'!$A$6:$A$201,0)</f>
        <v>0</v>
      </c>
      <c r="X20" s="11" t="str">
        <f>_xlfn.XLOOKUP($B20,'PEW4'!$C$6:$C$201,'PEW4'!$B$6:$B$201,"")</f>
        <v/>
      </c>
      <c r="Y20" s="93">
        <f>_xlfn.XLOOKUP(X20,'PEW4'!$B$6:$B$201,'PEW4'!$A$6:$A$201,0)</f>
        <v>0</v>
      </c>
      <c r="Z20" s="11" t="str">
        <f>_xlfn.XLOOKUP($B20,'PEW5'!$C$6:$C$201,'PEW5'!$B$6:$B$201,"")</f>
        <v/>
      </c>
      <c r="AA20" s="93">
        <f>_xlfn.XLOOKUP(Z20,'PEW5'!$B$6:$B$201,'PEW5'!$A$6:$A$201,0)</f>
        <v>0</v>
      </c>
      <c r="AB20" s="11" t="str">
        <f>_xlfn.XLOOKUP($B20,'PEW6'!$C$6:$C$201,'PEW6'!$B$6:$B$201,"")</f>
        <v/>
      </c>
      <c r="AC20" s="93">
        <f>_xlfn.XLOOKUP(AB20,'PEW6'!$B$6:$B$201,'PEW6'!$A$6:$A$201,0)</f>
        <v>0</v>
      </c>
      <c r="AD20" s="11" t="str">
        <f>_xlfn.XLOOKUP($B20,'PEW7'!$C$6:$C$201,'PEW7'!$B$6:$B$201,"")</f>
        <v/>
      </c>
      <c r="AE20" s="93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94">
        <f>_xlfn.XLOOKUP(AF20,IMEW!$B$6:$B$201,IMEW!$A$6:$A$201,0)</f>
        <v>0</v>
      </c>
      <c r="AI20" s="95">
        <f t="shared" si="0"/>
        <v>0</v>
      </c>
      <c r="AJ20" s="95">
        <f t="shared" si="1"/>
        <v>0</v>
      </c>
      <c r="AK20" s="95">
        <f t="shared" si="2"/>
        <v>0</v>
      </c>
      <c r="AL20" s="95">
        <f t="shared" si="3"/>
        <v>0</v>
      </c>
      <c r="AM20" s="95">
        <f t="shared" si="4"/>
        <v>0</v>
      </c>
      <c r="AN20" s="95">
        <f t="shared" si="5"/>
        <v>0</v>
      </c>
      <c r="AO20" s="95">
        <f t="shared" si="6"/>
        <v>0</v>
      </c>
    </row>
    <row r="21" spans="1:41" ht="14.85" customHeight="1">
      <c r="A21" s="8">
        <f>ROW()-5</f>
        <v>16</v>
      </c>
      <c r="B21" s="9"/>
      <c r="C21" s="14"/>
      <c r="D21" s="90">
        <f>SUM(F21,H21,J21,L21,N21,P21)-MIN(F21,H21,J21,L21,N21)+SUM(LARGE(AI21:AO21,1),LARGE(AI21:AO21,2),AG21)</f>
        <v>0</v>
      </c>
      <c r="E21" s="15" t="str">
        <f>_xlfn.XLOOKUP($B21,'GP1'!$C$6:$C$55,'GP1'!$B$6:$B$55,"")</f>
        <v/>
      </c>
      <c r="F21" s="141">
        <f>_xlfn.XLOOKUP(E21,'GP1'!$B$6:$B$55,'GP1'!$A$6:$A$55,0)</f>
        <v>0</v>
      </c>
      <c r="G21" s="15">
        <f>_xlfn.XLOOKUP($B21,'GP2'!$C$6:$C$15,'GP2'!$B$6:$B$15,"")</f>
        <v>0</v>
      </c>
      <c r="H21" s="143">
        <f>_xlfn.XLOOKUP(G21,'GP2'!$B$6:$B$15,'GP2'!$A$6:$A$15,0)</f>
        <v>0</v>
      </c>
      <c r="I21" s="15" t="str">
        <f>_xlfn.XLOOKUP($B21,'GP3'!$C$6:$C$15,'GP3'!$B$6:$B$15,"")</f>
        <v/>
      </c>
      <c r="J21" s="141">
        <f>_xlfn.XLOOKUP(I21,'GP3'!$B$6:$B$15,'GP3'!$A$6:$A$15,0)</f>
        <v>0</v>
      </c>
      <c r="K21" s="15" t="str">
        <f>_xlfn.XLOOKUP($B21,'GP4'!$C$6:$C$15,'GP4'!$B$6:$B$15,"")</f>
        <v/>
      </c>
      <c r="L21" s="141">
        <f>_xlfn.XLOOKUP(K21,'GP4'!$B$6:$B$15,'GP4'!$A$6:$A$15,0)</f>
        <v>0</v>
      </c>
      <c r="M21" s="15" t="str">
        <f>_xlfn.XLOOKUP($B21,'GP5'!$C$6:$C$15,'GP5'!$B$6:$B$15,"")</f>
        <v/>
      </c>
      <c r="N21" s="144">
        <f>_xlfn.XLOOKUP(M21,'GP5'!$B$6:$B$15,'GP5'!$A$6:$A$15,0)</f>
        <v>0</v>
      </c>
      <c r="O21" s="15" t="str">
        <f>_xlfn.XLOOKUP(B21,MPW!C$6:C$15,MPW!B$6:B$15,"")</f>
        <v/>
      </c>
      <c r="P21" s="144">
        <f>_xlfn.XLOOKUP(O21,MPW!B$6:B$15,MPW!A$6:A$15,0)</f>
        <v>0</v>
      </c>
      <c r="R21" s="11" t="str">
        <f>_xlfn.XLOOKUP($B21,'PEW1'!$C$6:$C$201,'PEW1'!$B$6:$B$201,"")</f>
        <v/>
      </c>
      <c r="S21" s="93">
        <f>_xlfn.XLOOKUP(R21,'PEW1'!$B$6:$B$201,'PEW1'!$A$6:$A$201,0)</f>
        <v>0</v>
      </c>
      <c r="T21" s="11" t="str">
        <f>_xlfn.XLOOKUP($B21,'PEW2'!$C$6:$C$201,'PEW2'!$B$6:$B$201,"")</f>
        <v/>
      </c>
      <c r="U21" s="93">
        <f>_xlfn.XLOOKUP(T21,'PEW2'!$B$6:$B$201,'PEW2'!$A$6:$A$201,0)</f>
        <v>0</v>
      </c>
      <c r="V21" s="11" t="str">
        <f>_xlfn.XLOOKUP($B21,'PEW3'!$C$6:$C$201,'PEW3'!$B$6:$B$201,"")</f>
        <v/>
      </c>
      <c r="W21" s="93">
        <f>_xlfn.XLOOKUP(V21,'PEW3'!$B$6:$B$201,'PEW3'!$A$6:$A$201,0)</f>
        <v>0</v>
      </c>
      <c r="X21" s="11" t="str">
        <f>_xlfn.XLOOKUP($B21,'PEW4'!$C$6:$C$201,'PEW4'!$B$6:$B$201,"")</f>
        <v/>
      </c>
      <c r="Y21" s="93">
        <f>_xlfn.XLOOKUP(X21,'PEW4'!$B$6:$B$201,'PEW4'!$A$6:$A$201,0)</f>
        <v>0</v>
      </c>
      <c r="Z21" s="11" t="str">
        <f>_xlfn.XLOOKUP($B21,'PEW5'!$C$6:$C$201,'PEW5'!$B$6:$B$201,"")</f>
        <v/>
      </c>
      <c r="AA21" s="93">
        <f>_xlfn.XLOOKUP(Z21,'PEW5'!$B$6:$B$201,'PEW5'!$A$6:$A$201,0)</f>
        <v>0</v>
      </c>
      <c r="AB21" s="11" t="str">
        <f>_xlfn.XLOOKUP($B21,'PEW6'!$C$6:$C$201,'PEW6'!$B$6:$B$201,"")</f>
        <v/>
      </c>
      <c r="AC21" s="93">
        <f>_xlfn.XLOOKUP(AB21,'PEW6'!$B$6:$B$201,'PEW6'!$A$6:$A$201,0)</f>
        <v>0</v>
      </c>
      <c r="AD21" s="11" t="str">
        <f>_xlfn.XLOOKUP($B21,'PEW7'!$C$6:$C$201,'PEW7'!$B$6:$B$201,"")</f>
        <v/>
      </c>
      <c r="AE21" s="93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94">
        <f>_xlfn.XLOOKUP(AF21,IMEW!$B$6:$B$201,IMEW!$A$6:$A$201,0)</f>
        <v>0</v>
      </c>
      <c r="AI21" s="95">
        <f t="shared" si="0"/>
        <v>0</v>
      </c>
      <c r="AJ21" s="95">
        <f t="shared" si="1"/>
        <v>0</v>
      </c>
      <c r="AK21" s="95">
        <f t="shared" si="2"/>
        <v>0</v>
      </c>
      <c r="AL21" s="95">
        <f t="shared" si="3"/>
        <v>0</v>
      </c>
      <c r="AM21" s="95">
        <f t="shared" si="4"/>
        <v>0</v>
      </c>
      <c r="AN21" s="95">
        <f t="shared" si="5"/>
        <v>0</v>
      </c>
      <c r="AO21" s="95">
        <f t="shared" si="6"/>
        <v>0</v>
      </c>
    </row>
    <row r="22" spans="1:41" ht="14.85" customHeight="1">
      <c r="A22" s="8">
        <f>ROW()-5</f>
        <v>17</v>
      </c>
      <c r="B22" s="76"/>
      <c r="C22" s="14"/>
      <c r="D22" s="90">
        <f>SUM(F22,H22,J22,L22,N22,P22)-MIN(F22,H22,J22,L22,N22)+SUM(LARGE(AI22:AO22,1),LARGE(AI22:AO22,2),AG22)</f>
        <v>0</v>
      </c>
      <c r="E22" s="15" t="str">
        <f>_xlfn.XLOOKUP($B22,'GP1'!$C$6:$C$55,'GP1'!$B$6:$B$55,"")</f>
        <v/>
      </c>
      <c r="F22" s="141">
        <f>_xlfn.XLOOKUP(E22,'GP1'!$B$6:$B$55,'GP1'!$A$6:$A$55,0)</f>
        <v>0</v>
      </c>
      <c r="G22" s="15">
        <f>_xlfn.XLOOKUP($B22,'GP2'!$C$6:$C$15,'GP2'!$B$6:$B$15,"")</f>
        <v>0</v>
      </c>
      <c r="H22" s="143">
        <f>_xlfn.XLOOKUP(G22,'GP2'!$B$6:$B$15,'GP2'!$A$6:$A$15,0)</f>
        <v>0</v>
      </c>
      <c r="I22" s="15" t="str">
        <f>_xlfn.XLOOKUP($B22,'GP3'!$C$6:$C$15,'GP3'!$B$6:$B$15,"")</f>
        <v/>
      </c>
      <c r="J22" s="141">
        <f>_xlfn.XLOOKUP(I22,'GP3'!$B$6:$B$15,'GP3'!$A$6:$A$15,0)</f>
        <v>0</v>
      </c>
      <c r="K22" s="15" t="str">
        <f>_xlfn.XLOOKUP($B22,'GP4'!$C$6:$C$15,'GP4'!$B$6:$B$15,"")</f>
        <v/>
      </c>
      <c r="L22" s="141">
        <f>_xlfn.XLOOKUP(K22,'GP4'!$B$6:$B$15,'GP4'!$A$6:$A$15,0)</f>
        <v>0</v>
      </c>
      <c r="M22" s="15" t="str">
        <f>_xlfn.XLOOKUP($B22,'GP5'!$C$6:$C$15,'GP5'!$B$6:$B$15,"")</f>
        <v/>
      </c>
      <c r="N22" s="144">
        <f>_xlfn.XLOOKUP(M22,'GP5'!$B$6:$B$15,'GP5'!$A$6:$A$15,0)</f>
        <v>0</v>
      </c>
      <c r="O22" s="15" t="str">
        <f>_xlfn.XLOOKUP(B22,MPW!C$6:C$15,MPW!B$6:B$15,"")</f>
        <v/>
      </c>
      <c r="P22" s="144">
        <f>_xlfn.XLOOKUP(O22,MPW!B$6:B$15,MPW!A$6:A$15,0)</f>
        <v>0</v>
      </c>
      <c r="R22" s="11" t="str">
        <f>_xlfn.XLOOKUP($B22,'PEW1'!$C$6:$C$201,'PEW1'!$B$6:$B$201,"")</f>
        <v/>
      </c>
      <c r="S22" s="93">
        <f>_xlfn.XLOOKUP(R22,'PEW1'!$B$6:$B$201,'PEW1'!$A$6:$A$201,0)</f>
        <v>0</v>
      </c>
      <c r="T22" s="11" t="str">
        <f>_xlfn.XLOOKUP($B22,'PEW2'!$C$6:$C$201,'PEW2'!$B$6:$B$201,"")</f>
        <v/>
      </c>
      <c r="U22" s="93">
        <f>_xlfn.XLOOKUP(T22,'PEW2'!$B$6:$B$201,'PEW2'!$A$6:$A$201,0)</f>
        <v>0</v>
      </c>
      <c r="V22" s="11" t="str">
        <f>_xlfn.XLOOKUP($B22,'PEW3'!$C$6:$C$201,'PEW3'!$B$6:$B$201,"")</f>
        <v/>
      </c>
      <c r="W22" s="93">
        <f>_xlfn.XLOOKUP(V22,'PEW3'!$B$6:$B$201,'PEW3'!$A$6:$A$201,0)</f>
        <v>0</v>
      </c>
      <c r="X22" s="11" t="str">
        <f>_xlfn.XLOOKUP($B22,'PEW4'!$C$6:$C$201,'PEW4'!$B$6:$B$201,"")</f>
        <v/>
      </c>
      <c r="Y22" s="93">
        <f>_xlfn.XLOOKUP(X22,'PEW4'!$B$6:$B$201,'PEW4'!$A$6:$A$201,0)</f>
        <v>0</v>
      </c>
      <c r="Z22" s="11" t="str">
        <f>_xlfn.XLOOKUP($B22,'PEW5'!$C$6:$C$201,'PEW5'!$B$6:$B$201,"")</f>
        <v/>
      </c>
      <c r="AA22" s="93">
        <f>_xlfn.XLOOKUP(Z22,'PEW5'!$B$6:$B$201,'PEW5'!$A$6:$A$201,0)</f>
        <v>0</v>
      </c>
      <c r="AB22" s="11" t="str">
        <f>_xlfn.XLOOKUP($B22,'PEW6'!$C$6:$C$201,'PEW6'!$B$6:$B$201,"")</f>
        <v/>
      </c>
      <c r="AC22" s="93">
        <f>_xlfn.XLOOKUP(AB22,'PEW6'!$B$6:$B$201,'PEW6'!$A$6:$A$201,0)</f>
        <v>0</v>
      </c>
      <c r="AD22" s="11" t="str">
        <f>_xlfn.XLOOKUP($B22,'PEW7'!$C$6:$C$201,'PEW7'!$B$6:$B$201,"")</f>
        <v/>
      </c>
      <c r="AE22" s="93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94">
        <f>_xlfn.XLOOKUP(AF22,IMEW!$B$6:$B$201,IMEW!$A$6:$A$201,0)</f>
        <v>0</v>
      </c>
      <c r="AI22" s="95">
        <f t="shared" si="0"/>
        <v>0</v>
      </c>
      <c r="AJ22" s="95">
        <f t="shared" si="1"/>
        <v>0</v>
      </c>
      <c r="AK22" s="95">
        <f t="shared" si="2"/>
        <v>0</v>
      </c>
      <c r="AL22" s="95">
        <f t="shared" si="3"/>
        <v>0</v>
      </c>
      <c r="AM22" s="95">
        <f t="shared" si="4"/>
        <v>0</v>
      </c>
      <c r="AN22" s="95">
        <f t="shared" si="5"/>
        <v>0</v>
      </c>
      <c r="AO22" s="95">
        <f t="shared" si="6"/>
        <v>0</v>
      </c>
    </row>
    <row r="23" spans="1:41" ht="14.85" customHeight="1">
      <c r="A23" s="8">
        <f>ROW()-5</f>
        <v>18</v>
      </c>
      <c r="B23" s="9"/>
      <c r="C23" s="14"/>
      <c r="D23" s="90">
        <f>SUM(F23,H23,J23,L23,N23,P23)-MIN(F23,H23,J23,L23,N23)+SUM(LARGE(AI23:AO23,1),LARGE(AI23:AO23,2),AG23)</f>
        <v>0</v>
      </c>
      <c r="E23" s="15" t="str">
        <f>_xlfn.XLOOKUP($B23,'GP1'!$C$6:$C$55,'GP1'!$B$6:$B$55,"")</f>
        <v/>
      </c>
      <c r="F23" s="141">
        <f>_xlfn.XLOOKUP(E23,'GP1'!$B$6:$B$55,'GP1'!$A$6:$A$55,0)</f>
        <v>0</v>
      </c>
      <c r="G23" s="15">
        <f>_xlfn.XLOOKUP($B23,'GP2'!$C$6:$C$15,'GP2'!$B$6:$B$15,"")</f>
        <v>0</v>
      </c>
      <c r="H23" s="143">
        <f>_xlfn.XLOOKUP(G23,'GP2'!$B$6:$B$15,'GP2'!$A$6:$A$15,0)</f>
        <v>0</v>
      </c>
      <c r="I23" s="15" t="str">
        <f>_xlfn.XLOOKUP($B23,'GP3'!$C$6:$C$15,'GP3'!$B$6:$B$15,"")</f>
        <v/>
      </c>
      <c r="J23" s="141">
        <f>_xlfn.XLOOKUP(I23,'GP3'!$B$6:$B$15,'GP3'!$A$6:$A$15,0)</f>
        <v>0</v>
      </c>
      <c r="K23" s="15" t="str">
        <f>_xlfn.XLOOKUP($B23,'GP4'!$C$6:$C$15,'GP4'!$B$6:$B$15,"")</f>
        <v/>
      </c>
      <c r="L23" s="141">
        <f>_xlfn.XLOOKUP(K23,'GP4'!$B$6:$B$15,'GP4'!$A$6:$A$15,0)</f>
        <v>0</v>
      </c>
      <c r="M23" s="15" t="str">
        <f>_xlfn.XLOOKUP($B23,'GP5'!$C$6:$C$15,'GP5'!$B$6:$B$15,"")</f>
        <v/>
      </c>
      <c r="N23" s="144">
        <f>_xlfn.XLOOKUP(M23,'GP5'!$B$6:$B$15,'GP5'!$A$6:$A$15,0)</f>
        <v>0</v>
      </c>
      <c r="O23" s="15" t="str">
        <f>_xlfn.XLOOKUP(B23,MPW!C$6:C$15,MPW!B$6:B$15,"")</f>
        <v/>
      </c>
      <c r="P23" s="144">
        <f>_xlfn.XLOOKUP(O23,MPW!B$6:B$15,MPW!A$6:A$15,0)</f>
        <v>0</v>
      </c>
      <c r="R23" s="11" t="str">
        <f>_xlfn.XLOOKUP($B23,'PEW1'!$C$6:$C$201,'PEW1'!$B$6:$B$201,"")</f>
        <v/>
      </c>
      <c r="S23" s="93">
        <f>_xlfn.XLOOKUP(R23,'PEW1'!$B$6:$B$201,'PEW1'!$A$6:$A$201,0)</f>
        <v>0</v>
      </c>
      <c r="T23" s="11" t="str">
        <f>_xlfn.XLOOKUP($B23,'PEW2'!$C$6:$C$201,'PEW2'!$B$6:$B$201,"")</f>
        <v/>
      </c>
      <c r="U23" s="93">
        <f>_xlfn.XLOOKUP(T23,'PEW2'!$B$6:$B$201,'PEW2'!$A$6:$A$201,0)</f>
        <v>0</v>
      </c>
      <c r="V23" s="11" t="str">
        <f>_xlfn.XLOOKUP($B23,'PEW3'!$C$6:$C$201,'PEW3'!$B$6:$B$201,"")</f>
        <v/>
      </c>
      <c r="W23" s="93">
        <f>_xlfn.XLOOKUP(V23,'PEW3'!$B$6:$B$201,'PEW3'!$A$6:$A$201,0)</f>
        <v>0</v>
      </c>
      <c r="X23" s="11" t="str">
        <f>_xlfn.XLOOKUP($B23,'PEW4'!$C$6:$C$201,'PEW4'!$B$6:$B$201,"")</f>
        <v/>
      </c>
      <c r="Y23" s="93">
        <f>_xlfn.XLOOKUP(X23,'PEW4'!$B$6:$B$201,'PEW4'!$A$6:$A$201,0)</f>
        <v>0</v>
      </c>
      <c r="Z23" s="11" t="str">
        <f>_xlfn.XLOOKUP($B23,'PEW5'!$C$6:$C$201,'PEW5'!$B$6:$B$201,"")</f>
        <v/>
      </c>
      <c r="AA23" s="93">
        <f>_xlfn.XLOOKUP(Z23,'PEW5'!$B$6:$B$201,'PEW5'!$A$6:$A$201,0)</f>
        <v>0</v>
      </c>
      <c r="AB23" s="11" t="str">
        <f>_xlfn.XLOOKUP($B23,'PEW6'!$C$6:$C$201,'PEW6'!$B$6:$B$201,"")</f>
        <v/>
      </c>
      <c r="AC23" s="93">
        <f>_xlfn.XLOOKUP(AB23,'PEW6'!$B$6:$B$201,'PEW6'!$A$6:$A$201,0)</f>
        <v>0</v>
      </c>
      <c r="AD23" s="11" t="str">
        <f>_xlfn.XLOOKUP($B23,'PEW7'!$C$6:$C$201,'PEW7'!$B$6:$B$201,"")</f>
        <v/>
      </c>
      <c r="AE23" s="93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94">
        <f>_xlfn.XLOOKUP(AF23,IMEW!$B$6:$B$201,IMEW!$A$6:$A$201,0)</f>
        <v>0</v>
      </c>
      <c r="AI23" s="95">
        <f t="shared" si="0"/>
        <v>0</v>
      </c>
      <c r="AJ23" s="95">
        <f t="shared" si="1"/>
        <v>0</v>
      </c>
      <c r="AK23" s="95">
        <f t="shared" si="2"/>
        <v>0</v>
      </c>
      <c r="AL23" s="95">
        <f t="shared" si="3"/>
        <v>0</v>
      </c>
      <c r="AM23" s="95">
        <f t="shared" si="4"/>
        <v>0</v>
      </c>
      <c r="AN23" s="95">
        <f t="shared" si="5"/>
        <v>0</v>
      </c>
      <c r="AO23" s="95">
        <f t="shared" si="6"/>
        <v>0</v>
      </c>
    </row>
    <row r="24" spans="1:41" ht="14.25">
      <c r="A24" s="8">
        <f>ROW()-5</f>
        <v>19</v>
      </c>
      <c r="B24" s="9"/>
      <c r="C24" s="14"/>
      <c r="D24" s="90">
        <f>SUM(F24,H24,J24,L24,N24,P24)-MIN(F24,H24,J24,L24,N24)+SUM(LARGE(AI24:AO24,1),LARGE(AI24:AO24,2),AG24)</f>
        <v>0</v>
      </c>
      <c r="E24" s="15" t="str">
        <f>_xlfn.XLOOKUP($B24,'GP1'!$C$6:$C$55,'GP1'!$B$6:$B$55,"")</f>
        <v/>
      </c>
      <c r="F24" s="141">
        <f>_xlfn.XLOOKUP(E24,'GP1'!$B$6:$B$55,'GP1'!$A$6:$A$55,0)</f>
        <v>0</v>
      </c>
      <c r="G24" s="15">
        <f>_xlfn.XLOOKUP($B24,'GP2'!$C$6:$C$15,'GP2'!$B$6:$B$15,"")</f>
        <v>0</v>
      </c>
      <c r="H24" s="143">
        <f>_xlfn.XLOOKUP(G24,'GP2'!$B$6:$B$15,'GP2'!$A$6:$A$15,0)</f>
        <v>0</v>
      </c>
      <c r="I24" s="15" t="str">
        <f>_xlfn.XLOOKUP($B24,'GP3'!$C$6:$C$15,'GP3'!$B$6:$B$15,"")</f>
        <v/>
      </c>
      <c r="J24" s="141">
        <f>_xlfn.XLOOKUP(I24,'GP3'!$B$6:$B$15,'GP3'!$A$6:$A$15,0)</f>
        <v>0</v>
      </c>
      <c r="K24" s="15" t="str">
        <f>_xlfn.XLOOKUP($B24,'GP4'!$C$6:$C$15,'GP4'!$B$6:$B$15,"")</f>
        <v/>
      </c>
      <c r="L24" s="141">
        <f>_xlfn.XLOOKUP(K24,'GP4'!$B$6:$B$15,'GP4'!$A$6:$A$15,0)</f>
        <v>0</v>
      </c>
      <c r="M24" s="15" t="str">
        <f>_xlfn.XLOOKUP($B24,'GP5'!$C$6:$C$15,'GP5'!$B$6:$B$15,"")</f>
        <v/>
      </c>
      <c r="N24" s="144">
        <f>_xlfn.XLOOKUP(M24,'GP5'!$B$6:$B$15,'GP5'!$A$6:$A$15,0)</f>
        <v>0</v>
      </c>
      <c r="O24" s="15" t="str">
        <f>_xlfn.XLOOKUP(B24,MPW!C$6:C$15,MPW!B$6:B$15,"")</f>
        <v/>
      </c>
      <c r="P24" s="144">
        <f>_xlfn.XLOOKUP(O24,MPW!B$6:B$15,MPW!A$6:A$15,0)</f>
        <v>0</v>
      </c>
      <c r="R24" s="11" t="str">
        <f>_xlfn.XLOOKUP($B24,'PEW1'!$C$6:$C$201,'PEW1'!$B$6:$B$201,"")</f>
        <v/>
      </c>
      <c r="S24" s="93">
        <f>_xlfn.XLOOKUP(R24,'PEW1'!$B$6:$B$201,'PEW1'!$A$6:$A$201,0)</f>
        <v>0</v>
      </c>
      <c r="T24" s="11" t="str">
        <f>_xlfn.XLOOKUP($B24,'PEW2'!$C$6:$C$201,'PEW2'!$B$6:$B$201,"")</f>
        <v/>
      </c>
      <c r="U24" s="93">
        <f>_xlfn.XLOOKUP(T24,'PEW2'!$B$6:$B$201,'PEW2'!$A$6:$A$201,0)</f>
        <v>0</v>
      </c>
      <c r="V24" s="11" t="str">
        <f>_xlfn.XLOOKUP($B24,'PEW3'!$C$6:$C$201,'PEW3'!$B$6:$B$201,"")</f>
        <v/>
      </c>
      <c r="W24" s="93">
        <f>_xlfn.XLOOKUP(V24,'PEW3'!$B$6:$B$201,'PEW3'!$A$6:$A$201,0)</f>
        <v>0</v>
      </c>
      <c r="X24" s="11" t="str">
        <f>_xlfn.XLOOKUP($B24,'PEW4'!$C$6:$C$201,'PEW4'!$B$6:$B$201,"")</f>
        <v/>
      </c>
      <c r="Y24" s="93">
        <f>_xlfn.XLOOKUP(X24,'PEW4'!$B$6:$B$201,'PEW4'!$A$6:$A$201,0)</f>
        <v>0</v>
      </c>
      <c r="Z24" s="11" t="str">
        <f>_xlfn.XLOOKUP($B24,'PEW5'!$C$6:$C$201,'PEW5'!$B$6:$B$201,"")</f>
        <v/>
      </c>
      <c r="AA24" s="93">
        <f>_xlfn.XLOOKUP(Z24,'PEW5'!$B$6:$B$201,'PEW5'!$A$6:$A$201,0)</f>
        <v>0</v>
      </c>
      <c r="AB24" s="11" t="str">
        <f>_xlfn.XLOOKUP($B24,'PEW6'!$C$6:$C$201,'PEW6'!$B$6:$B$201,"")</f>
        <v/>
      </c>
      <c r="AC24" s="93">
        <f>_xlfn.XLOOKUP(AB24,'PEW6'!$B$6:$B$201,'PEW6'!$A$6:$A$201,0)</f>
        <v>0</v>
      </c>
      <c r="AD24" s="11" t="str">
        <f>_xlfn.XLOOKUP($B24,'PEW7'!$C$6:$C$201,'PEW7'!$B$6:$B$201,"")</f>
        <v/>
      </c>
      <c r="AE24" s="93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94">
        <f>_xlfn.XLOOKUP(AF24,IMEW!$B$6:$B$201,IMEW!$A$6:$A$201,0)</f>
        <v>0</v>
      </c>
      <c r="AI24" s="95">
        <f t="shared" si="0"/>
        <v>0</v>
      </c>
      <c r="AJ24" s="95">
        <f t="shared" si="1"/>
        <v>0</v>
      </c>
      <c r="AK24" s="95">
        <f t="shared" si="2"/>
        <v>0</v>
      </c>
      <c r="AL24" s="95">
        <f t="shared" si="3"/>
        <v>0</v>
      </c>
      <c r="AM24" s="95">
        <f t="shared" si="4"/>
        <v>0</v>
      </c>
      <c r="AN24" s="95">
        <f t="shared" si="5"/>
        <v>0</v>
      </c>
      <c r="AO24" s="95">
        <f t="shared" si="6"/>
        <v>0</v>
      </c>
    </row>
    <row r="25" spans="1:41" ht="14.25">
      <c r="A25" s="8">
        <f>ROW()-5</f>
        <v>20</v>
      </c>
      <c r="B25" s="9"/>
      <c r="C25" s="14"/>
      <c r="D25" s="90">
        <f>SUM(F25,H25,J25,L25,N25,P25)-MIN(F25,H25,J25,L25,N25)+SUM(LARGE(AI25:AO25,1),LARGE(AI25:AO25,2),AG25)</f>
        <v>0</v>
      </c>
      <c r="E25" s="15" t="str">
        <f>_xlfn.XLOOKUP($B25,'GP1'!$C$6:$C$55,'GP1'!$B$6:$B$55,"")</f>
        <v/>
      </c>
      <c r="F25" s="141">
        <f>_xlfn.XLOOKUP(E25,'GP1'!$B$6:$B$55,'GP1'!$A$6:$A$55,0)</f>
        <v>0</v>
      </c>
      <c r="G25" s="15">
        <f>_xlfn.XLOOKUP($B25,'GP2'!$C$6:$C$15,'GP2'!$B$6:$B$15,"")</f>
        <v>0</v>
      </c>
      <c r="H25" s="143">
        <f>_xlfn.XLOOKUP(G25,'GP2'!$B$6:$B$15,'GP2'!$A$6:$A$15,0)</f>
        <v>0</v>
      </c>
      <c r="I25" s="15" t="str">
        <f>_xlfn.XLOOKUP($B25,'GP3'!$C$6:$C$15,'GP3'!$B$6:$B$15,"")</f>
        <v/>
      </c>
      <c r="J25" s="141">
        <f>_xlfn.XLOOKUP(I25,'GP3'!$B$6:$B$15,'GP3'!$A$6:$A$15,0)</f>
        <v>0</v>
      </c>
      <c r="K25" s="15" t="str">
        <f>_xlfn.XLOOKUP($B25,'GP4'!$C$6:$C$15,'GP4'!$B$6:$B$15,"")</f>
        <v/>
      </c>
      <c r="L25" s="141">
        <f>_xlfn.XLOOKUP(K25,'GP4'!$B$6:$B$15,'GP4'!$A$6:$A$15,0)</f>
        <v>0</v>
      </c>
      <c r="M25" s="15" t="str">
        <f>_xlfn.XLOOKUP($B25,'GP5'!$C$6:$C$15,'GP5'!$B$6:$B$15,"")</f>
        <v/>
      </c>
      <c r="N25" s="144">
        <f>_xlfn.XLOOKUP(M25,'GP5'!$B$6:$B$15,'GP5'!$A$6:$A$15,0)</f>
        <v>0</v>
      </c>
      <c r="O25" s="15" t="str">
        <f>_xlfn.XLOOKUP(B25,MPW!C$6:C$15,MPW!B$6:B$15,"")</f>
        <v/>
      </c>
      <c r="P25" s="144">
        <f>_xlfn.XLOOKUP(O25,MPW!B$6:B$15,MPW!A$6:A$15,0)</f>
        <v>0</v>
      </c>
      <c r="R25" s="11" t="str">
        <f>_xlfn.XLOOKUP($B25,'PEW1'!$C$6:$C$201,'PEW1'!$B$6:$B$201,"")</f>
        <v/>
      </c>
      <c r="S25" s="93">
        <f>_xlfn.XLOOKUP(R25,'PEW1'!$B$6:$B$201,'PEW1'!$A$6:$A$201,0)</f>
        <v>0</v>
      </c>
      <c r="T25" s="11" t="str">
        <f>_xlfn.XLOOKUP($B25,'PEW2'!$C$6:$C$201,'PEW2'!$B$6:$B$201,"")</f>
        <v/>
      </c>
      <c r="U25" s="93">
        <f>_xlfn.XLOOKUP(T25,'PEW2'!$B$6:$B$201,'PEW2'!$A$6:$A$201,0)</f>
        <v>0</v>
      </c>
      <c r="V25" s="11" t="str">
        <f>_xlfn.XLOOKUP($B25,'PEW3'!$C$6:$C$201,'PEW3'!$B$6:$B$201,"")</f>
        <v/>
      </c>
      <c r="W25" s="93">
        <f>_xlfn.XLOOKUP(V25,'PEW3'!$B$6:$B$201,'PEW3'!$A$6:$A$201,0)</f>
        <v>0</v>
      </c>
      <c r="X25" s="11" t="str">
        <f>_xlfn.XLOOKUP($B25,'PEW4'!$C$6:$C$201,'PEW4'!$B$6:$B$201,"")</f>
        <v/>
      </c>
      <c r="Y25" s="93">
        <f>_xlfn.XLOOKUP(X25,'PEW4'!$B$6:$B$201,'PEW4'!$A$6:$A$201,0)</f>
        <v>0</v>
      </c>
      <c r="Z25" s="11" t="str">
        <f>_xlfn.XLOOKUP($B25,'PEW5'!$C$6:$C$201,'PEW5'!$B$6:$B$201,"")</f>
        <v/>
      </c>
      <c r="AA25" s="93">
        <f>_xlfn.XLOOKUP(Z25,'PEW5'!$B$6:$B$201,'PEW5'!$A$6:$A$201,0)</f>
        <v>0</v>
      </c>
      <c r="AB25" s="11" t="str">
        <f>_xlfn.XLOOKUP($B25,'PEW6'!$C$6:$C$201,'PEW6'!$B$6:$B$201,"")</f>
        <v/>
      </c>
      <c r="AC25" s="93">
        <f>_xlfn.XLOOKUP(AB25,'PEW6'!$B$6:$B$201,'PEW6'!$A$6:$A$201,0)</f>
        <v>0</v>
      </c>
      <c r="AD25" s="11" t="str">
        <f>_xlfn.XLOOKUP($B25,'PEW7'!$C$6:$C$201,'PEW7'!$B$6:$B$201,"")</f>
        <v/>
      </c>
      <c r="AE25" s="93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94">
        <f>_xlfn.XLOOKUP(AF25,IMEW!$B$6:$B$201,IMEW!$A$6:$A$201,0)</f>
        <v>0</v>
      </c>
      <c r="AI25" s="95">
        <f t="shared" si="0"/>
        <v>0</v>
      </c>
      <c r="AJ25" s="95">
        <f t="shared" si="1"/>
        <v>0</v>
      </c>
      <c r="AK25" s="95">
        <f t="shared" si="2"/>
        <v>0</v>
      </c>
      <c r="AL25" s="95">
        <f t="shared" si="3"/>
        <v>0</v>
      </c>
      <c r="AM25" s="95">
        <f t="shared" si="4"/>
        <v>0</v>
      </c>
      <c r="AN25" s="95">
        <f t="shared" si="5"/>
        <v>0</v>
      </c>
      <c r="AO25" s="95">
        <f t="shared" si="6"/>
        <v>0</v>
      </c>
    </row>
    <row r="26" spans="1:41" ht="14.25">
      <c r="A26" s="8">
        <f>ROW()-5</f>
        <v>21</v>
      </c>
      <c r="B26" s="9"/>
      <c r="C26" s="14"/>
      <c r="D26" s="90">
        <f>SUM(F26,H26,J26,L26,N26,P26)-MIN(F26,H26,J26,L26,N26)+SUM(LARGE(AI26:AO26,1),LARGE(AI26:AO26,2),AG26)</f>
        <v>0</v>
      </c>
      <c r="E26" s="15" t="str">
        <f>_xlfn.XLOOKUP($B26,'GP1'!$C$6:$C$55,'GP1'!$B$6:$B$55,"")</f>
        <v/>
      </c>
      <c r="F26" s="141">
        <f>_xlfn.XLOOKUP(E26,'GP1'!$B$6:$B$55,'GP1'!$A$6:$A$55,0)</f>
        <v>0</v>
      </c>
      <c r="G26" s="15">
        <f>_xlfn.XLOOKUP($B26,'GP2'!$C$6:$C$15,'GP2'!$B$6:$B$15,"")</f>
        <v>0</v>
      </c>
      <c r="H26" s="143">
        <f>_xlfn.XLOOKUP(G26,'GP2'!$B$6:$B$15,'GP2'!$A$6:$A$15,0)</f>
        <v>0</v>
      </c>
      <c r="I26" s="15" t="str">
        <f>_xlfn.XLOOKUP($B26,'GP3'!$C$6:$C$15,'GP3'!$B$6:$B$15,"")</f>
        <v/>
      </c>
      <c r="J26" s="141">
        <f>_xlfn.XLOOKUP(I26,'GP3'!$B$6:$B$15,'GP3'!$A$6:$A$15,0)</f>
        <v>0</v>
      </c>
      <c r="K26" s="15" t="str">
        <f>_xlfn.XLOOKUP($B26,'GP4'!$C$6:$C$15,'GP4'!$B$6:$B$15,"")</f>
        <v/>
      </c>
      <c r="L26" s="141">
        <f>_xlfn.XLOOKUP(K26,'GP4'!$B$6:$B$15,'GP4'!$A$6:$A$15,0)</f>
        <v>0</v>
      </c>
      <c r="M26" s="15" t="str">
        <f>_xlfn.XLOOKUP($B26,'GP5'!$C$6:$C$15,'GP5'!$B$6:$B$15,"")</f>
        <v/>
      </c>
      <c r="N26" s="144">
        <f>_xlfn.XLOOKUP(M26,'GP5'!$B$6:$B$15,'GP5'!$A$6:$A$15,0)</f>
        <v>0</v>
      </c>
      <c r="O26" s="15" t="str">
        <f>_xlfn.XLOOKUP(B26,MPW!C$6:C$15,MPW!B$6:B$15,"")</f>
        <v/>
      </c>
      <c r="P26" s="144">
        <f>_xlfn.XLOOKUP(O26,MPW!B$6:B$15,MPW!A$6:A$15,0)</f>
        <v>0</v>
      </c>
      <c r="R26" s="11" t="str">
        <f>_xlfn.XLOOKUP($B26,'PEW1'!$C$6:$C$201,'PEW1'!$B$6:$B$201,"")</f>
        <v/>
      </c>
      <c r="S26" s="93">
        <f>_xlfn.XLOOKUP(R26,'PEW1'!$B$6:$B$201,'PEW1'!$A$6:$A$201,0)</f>
        <v>0</v>
      </c>
      <c r="T26" s="11" t="str">
        <f>_xlfn.XLOOKUP($B26,'PEW2'!$C$6:$C$201,'PEW2'!$B$6:$B$201,"")</f>
        <v/>
      </c>
      <c r="U26" s="93">
        <f>_xlfn.XLOOKUP(T26,'PEW2'!$B$6:$B$201,'PEW2'!$A$6:$A$201,0)</f>
        <v>0</v>
      </c>
      <c r="V26" s="11" t="str">
        <f>_xlfn.XLOOKUP($B26,'PEW3'!$C$6:$C$201,'PEW3'!$B$6:$B$201,"")</f>
        <v/>
      </c>
      <c r="W26" s="93">
        <f>_xlfn.XLOOKUP(V26,'PEW3'!$B$6:$B$201,'PEW3'!$A$6:$A$201,0)</f>
        <v>0</v>
      </c>
      <c r="X26" s="11" t="str">
        <f>_xlfn.XLOOKUP($B26,'PEW4'!$C$6:$C$201,'PEW4'!$B$6:$B$201,"")</f>
        <v/>
      </c>
      <c r="Y26" s="93">
        <f>_xlfn.XLOOKUP(X26,'PEW4'!$B$6:$B$201,'PEW4'!$A$6:$A$201,0)</f>
        <v>0</v>
      </c>
      <c r="Z26" s="11" t="str">
        <f>_xlfn.XLOOKUP($B26,'PEW5'!$C$6:$C$201,'PEW5'!$B$6:$B$201,"")</f>
        <v/>
      </c>
      <c r="AA26" s="93">
        <f>_xlfn.XLOOKUP(Z26,'PEW5'!$B$6:$B$201,'PEW5'!$A$6:$A$201,0)</f>
        <v>0</v>
      </c>
      <c r="AB26" s="11" t="str">
        <f>_xlfn.XLOOKUP($B26,'PEW6'!$C$6:$C$201,'PEW6'!$B$6:$B$201,"")</f>
        <v/>
      </c>
      <c r="AC26" s="93">
        <f>_xlfn.XLOOKUP(AB26,'PEW6'!$B$6:$B$201,'PEW6'!$A$6:$A$201,0)</f>
        <v>0</v>
      </c>
      <c r="AD26" s="11" t="str">
        <f>_xlfn.XLOOKUP($B26,'PEW7'!$C$6:$C$201,'PEW7'!$B$6:$B$201,"")</f>
        <v/>
      </c>
      <c r="AE26" s="93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94">
        <f>_xlfn.XLOOKUP(AF26,IMEW!$B$6:$B$201,IMEW!$A$6:$A$201,0)</f>
        <v>0</v>
      </c>
      <c r="AI26" s="95">
        <f t="shared" si="0"/>
        <v>0</v>
      </c>
      <c r="AJ26" s="95">
        <f t="shared" si="1"/>
        <v>0</v>
      </c>
      <c r="AK26" s="95">
        <f t="shared" si="2"/>
        <v>0</v>
      </c>
      <c r="AL26" s="95">
        <f t="shared" si="3"/>
        <v>0</v>
      </c>
      <c r="AM26" s="95">
        <f t="shared" si="4"/>
        <v>0</v>
      </c>
      <c r="AN26" s="95">
        <f t="shared" si="5"/>
        <v>0</v>
      </c>
      <c r="AO26" s="95">
        <f t="shared" si="6"/>
        <v>0</v>
      </c>
    </row>
    <row r="27" spans="1:41" ht="14.25">
      <c r="A27" s="8">
        <f>ROW()-5</f>
        <v>22</v>
      </c>
      <c r="B27" s="9"/>
      <c r="C27" s="14"/>
      <c r="D27" s="90">
        <f>SUM(F27,H27,J27,L27,N27,P27)-MIN(F27,H27,J27,L27,N27)+SUM(LARGE(AI27:AO27,1),LARGE(AI27:AO27,2),AG27)</f>
        <v>0</v>
      </c>
      <c r="E27" s="15" t="str">
        <f>_xlfn.XLOOKUP($B27,'GP1'!$C$6:$C$55,'GP1'!$B$6:$B$55,"")</f>
        <v/>
      </c>
      <c r="F27" s="141">
        <f>_xlfn.XLOOKUP(E27,'GP1'!$B$6:$B$55,'GP1'!$A$6:$A$55,0)</f>
        <v>0</v>
      </c>
      <c r="G27" s="15">
        <f>_xlfn.XLOOKUP($B27,'GP2'!$C$6:$C$15,'GP2'!$B$6:$B$15,"")</f>
        <v>0</v>
      </c>
      <c r="H27" s="143">
        <f>_xlfn.XLOOKUP(G27,'GP2'!$B$6:$B$15,'GP2'!$A$6:$A$15,0)</f>
        <v>0</v>
      </c>
      <c r="I27" s="15" t="str">
        <f>_xlfn.XLOOKUP($B27,'GP3'!$C$6:$C$15,'GP3'!$B$6:$B$15,"")</f>
        <v/>
      </c>
      <c r="J27" s="141">
        <f>_xlfn.XLOOKUP(I27,'GP3'!$B$6:$B$15,'GP3'!$A$6:$A$15,0)</f>
        <v>0</v>
      </c>
      <c r="K27" s="15" t="str">
        <f>_xlfn.XLOOKUP($B27,'GP4'!$C$6:$C$15,'GP4'!$B$6:$B$15,"")</f>
        <v/>
      </c>
      <c r="L27" s="141">
        <f>_xlfn.XLOOKUP(K27,'GP4'!$B$6:$B$15,'GP4'!$A$6:$A$15,0)</f>
        <v>0</v>
      </c>
      <c r="M27" s="15" t="str">
        <f>_xlfn.XLOOKUP($B27,'GP5'!$C$6:$C$15,'GP5'!$B$6:$B$15,"")</f>
        <v/>
      </c>
      <c r="N27" s="144">
        <f>_xlfn.XLOOKUP(M27,'GP5'!$B$6:$B$15,'GP5'!$A$6:$A$15,0)</f>
        <v>0</v>
      </c>
      <c r="O27" s="15" t="str">
        <f>_xlfn.XLOOKUP(B27,MPW!C$6:C$15,MPW!B$6:B$15,"")</f>
        <v/>
      </c>
      <c r="P27" s="144">
        <f>_xlfn.XLOOKUP(O27,MPW!B$6:B$15,MPW!A$6:A$15,0)</f>
        <v>0</v>
      </c>
      <c r="R27" s="11" t="str">
        <f>_xlfn.XLOOKUP($B27,'PEW1'!$C$6:$C$201,'PEW1'!$B$6:$B$201,"")</f>
        <v/>
      </c>
      <c r="S27" s="93">
        <f>_xlfn.XLOOKUP(R27,'PEW1'!$B$6:$B$201,'PEW1'!$A$6:$A$201,0)</f>
        <v>0</v>
      </c>
      <c r="T27" s="11" t="str">
        <f>_xlfn.XLOOKUP($B27,'PEW2'!$C$6:$C$201,'PEW2'!$B$6:$B$201,"")</f>
        <v/>
      </c>
      <c r="U27" s="93">
        <f>_xlfn.XLOOKUP(T27,'PEW2'!$B$6:$B$201,'PEW2'!$A$6:$A$201,0)</f>
        <v>0</v>
      </c>
      <c r="V27" s="11" t="str">
        <f>_xlfn.XLOOKUP($B27,'PEW3'!$C$6:$C$201,'PEW3'!$B$6:$B$201,"")</f>
        <v/>
      </c>
      <c r="W27" s="93">
        <f>_xlfn.XLOOKUP(V27,'PEW3'!$B$6:$B$201,'PEW3'!$A$6:$A$201,0)</f>
        <v>0</v>
      </c>
      <c r="X27" s="11" t="str">
        <f>_xlfn.XLOOKUP($B27,'PEW4'!$C$6:$C$201,'PEW4'!$B$6:$B$201,"")</f>
        <v/>
      </c>
      <c r="Y27" s="93">
        <f>_xlfn.XLOOKUP(X27,'PEW4'!$B$6:$B$201,'PEW4'!$A$6:$A$201,0)</f>
        <v>0</v>
      </c>
      <c r="Z27" s="11" t="str">
        <f>_xlfn.XLOOKUP($B27,'PEW5'!$C$6:$C$201,'PEW5'!$B$6:$B$201,"")</f>
        <v/>
      </c>
      <c r="AA27" s="93">
        <f>_xlfn.XLOOKUP(Z27,'PEW5'!$B$6:$B$201,'PEW5'!$A$6:$A$201,0)</f>
        <v>0</v>
      </c>
      <c r="AB27" s="11" t="str">
        <f>_xlfn.XLOOKUP($B27,'PEW6'!$C$6:$C$201,'PEW6'!$B$6:$B$201,"")</f>
        <v/>
      </c>
      <c r="AC27" s="93">
        <f>_xlfn.XLOOKUP(AB27,'PEW6'!$B$6:$B$201,'PEW6'!$A$6:$A$201,0)</f>
        <v>0</v>
      </c>
      <c r="AD27" s="11" t="str">
        <f>_xlfn.XLOOKUP($B27,'PEW7'!$C$6:$C$201,'PEW7'!$B$6:$B$201,"")</f>
        <v/>
      </c>
      <c r="AE27" s="93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94">
        <f>_xlfn.XLOOKUP(AF27,IMEW!$B$6:$B$201,IMEW!$A$6:$A$201,0)</f>
        <v>0</v>
      </c>
      <c r="AI27" s="95">
        <f t="shared" si="0"/>
        <v>0</v>
      </c>
      <c r="AJ27" s="95">
        <f t="shared" si="1"/>
        <v>0</v>
      </c>
      <c r="AK27" s="95">
        <f t="shared" si="2"/>
        <v>0</v>
      </c>
      <c r="AL27" s="95">
        <f t="shared" si="3"/>
        <v>0</v>
      </c>
      <c r="AM27" s="95">
        <f t="shared" si="4"/>
        <v>0</v>
      </c>
      <c r="AN27" s="95">
        <f t="shared" si="5"/>
        <v>0</v>
      </c>
      <c r="AO27" s="95">
        <f t="shared" si="6"/>
        <v>0</v>
      </c>
    </row>
    <row r="28" spans="1:41" ht="14.25">
      <c r="A28" s="8">
        <f>ROW()-5</f>
        <v>23</v>
      </c>
      <c r="B28" s="9"/>
      <c r="C28" s="14"/>
      <c r="D28" s="90">
        <f>SUM(F28,H28,J28,L28,N28,P28)-MIN(F28,H28,J28,L28,N28)+SUM(LARGE(AI28:AO28,1),LARGE(AI28:AO28,2),AG28)</f>
        <v>0</v>
      </c>
      <c r="E28" s="15" t="str">
        <f>_xlfn.XLOOKUP($B28,'GP1'!$C$6:$C$55,'GP1'!$B$6:$B$55,"")</f>
        <v/>
      </c>
      <c r="F28" s="141">
        <f>_xlfn.XLOOKUP(E28,'GP1'!$B$6:$B$55,'GP1'!$A$6:$A$55,0)</f>
        <v>0</v>
      </c>
      <c r="G28" s="15">
        <f>_xlfn.XLOOKUP($B28,'GP2'!$C$6:$C$15,'GP2'!$B$6:$B$15,"")</f>
        <v>0</v>
      </c>
      <c r="H28" s="143">
        <f>_xlfn.XLOOKUP(G28,'GP2'!$B$6:$B$15,'GP2'!$A$6:$A$15,0)</f>
        <v>0</v>
      </c>
      <c r="I28" s="15" t="str">
        <f>_xlfn.XLOOKUP($B28,'GP3'!$C$6:$C$15,'GP3'!$B$6:$B$15,"")</f>
        <v/>
      </c>
      <c r="J28" s="141">
        <f>_xlfn.XLOOKUP(I28,'GP3'!$B$6:$B$15,'GP3'!$A$6:$A$15,0)</f>
        <v>0</v>
      </c>
      <c r="K28" s="15" t="str">
        <f>_xlfn.XLOOKUP($B28,'GP4'!$C$6:$C$15,'GP4'!$B$6:$B$15,"")</f>
        <v/>
      </c>
      <c r="L28" s="141">
        <f>_xlfn.XLOOKUP(K28,'GP4'!$B$6:$B$15,'GP4'!$A$6:$A$15,0)</f>
        <v>0</v>
      </c>
      <c r="M28" s="15" t="str">
        <f>_xlfn.XLOOKUP($B28,'GP5'!$C$6:$C$15,'GP5'!$B$6:$B$15,"")</f>
        <v/>
      </c>
      <c r="N28" s="144">
        <f>_xlfn.XLOOKUP(M28,'GP5'!$B$6:$B$15,'GP5'!$A$6:$A$15,0)</f>
        <v>0</v>
      </c>
      <c r="O28" s="15" t="str">
        <f>_xlfn.XLOOKUP(B28,MPW!C$6:C$15,MPW!B$6:B$15,"")</f>
        <v/>
      </c>
      <c r="P28" s="144">
        <f>_xlfn.XLOOKUP(O28,MPW!B$6:B$15,MPW!A$6:A$15,0)</f>
        <v>0</v>
      </c>
      <c r="R28" s="11" t="str">
        <f>_xlfn.XLOOKUP($B28,'PEW1'!$C$6:$C$201,'PEW1'!$B$6:$B$201,"")</f>
        <v/>
      </c>
      <c r="S28" s="93">
        <f>_xlfn.XLOOKUP(R28,'PEW1'!$B$6:$B$201,'PEW1'!$A$6:$A$201,0)</f>
        <v>0</v>
      </c>
      <c r="T28" s="11" t="str">
        <f>_xlfn.XLOOKUP($B28,'PEW2'!$C$6:$C$201,'PEW2'!$B$6:$B$201,"")</f>
        <v/>
      </c>
      <c r="U28" s="93">
        <f>_xlfn.XLOOKUP(T28,'PEW2'!$B$6:$B$201,'PEW2'!$A$6:$A$201,0)</f>
        <v>0</v>
      </c>
      <c r="V28" s="11" t="str">
        <f>_xlfn.XLOOKUP($B28,'PEW3'!$C$6:$C$201,'PEW3'!$B$6:$B$201,"")</f>
        <v/>
      </c>
      <c r="W28" s="93">
        <f>_xlfn.XLOOKUP(V28,'PEW3'!$B$6:$B$201,'PEW3'!$A$6:$A$201,0)</f>
        <v>0</v>
      </c>
      <c r="X28" s="11" t="str">
        <f>_xlfn.XLOOKUP($B28,'PEW4'!$C$6:$C$201,'PEW4'!$B$6:$B$201,"")</f>
        <v/>
      </c>
      <c r="Y28" s="93">
        <f>_xlfn.XLOOKUP(X28,'PEW4'!$B$6:$B$201,'PEW4'!$A$6:$A$201,0)</f>
        <v>0</v>
      </c>
      <c r="Z28" s="11" t="str">
        <f>_xlfn.XLOOKUP($B28,'PEW5'!$C$6:$C$201,'PEW5'!$B$6:$B$201,"")</f>
        <v/>
      </c>
      <c r="AA28" s="93">
        <f>_xlfn.XLOOKUP(Z28,'PEW5'!$B$6:$B$201,'PEW5'!$A$6:$A$201,0)</f>
        <v>0</v>
      </c>
      <c r="AB28" s="11" t="str">
        <f>_xlfn.XLOOKUP($B28,'PEW6'!$C$6:$C$201,'PEW6'!$B$6:$B$201,"")</f>
        <v/>
      </c>
      <c r="AC28" s="93">
        <f>_xlfn.XLOOKUP(AB28,'PEW6'!$B$6:$B$201,'PEW6'!$A$6:$A$201,0)</f>
        <v>0</v>
      </c>
      <c r="AD28" s="11" t="str">
        <f>_xlfn.XLOOKUP($B28,'PEW7'!$C$6:$C$201,'PEW7'!$B$6:$B$201,"")</f>
        <v/>
      </c>
      <c r="AE28" s="93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94">
        <f>_xlfn.XLOOKUP(AF28,IMEW!$B$6:$B$201,IMEW!$A$6:$A$201,0)</f>
        <v>0</v>
      </c>
      <c r="AI28" s="95">
        <f t="shared" si="0"/>
        <v>0</v>
      </c>
      <c r="AJ28" s="95">
        <f t="shared" si="1"/>
        <v>0</v>
      </c>
      <c r="AK28" s="95">
        <f t="shared" si="2"/>
        <v>0</v>
      </c>
      <c r="AL28" s="95">
        <f t="shared" si="3"/>
        <v>0</v>
      </c>
      <c r="AM28" s="95">
        <f t="shared" si="4"/>
        <v>0</v>
      </c>
      <c r="AN28" s="95">
        <f t="shared" si="5"/>
        <v>0</v>
      </c>
      <c r="AO28" s="95">
        <f t="shared" si="6"/>
        <v>0</v>
      </c>
    </row>
    <row r="29" spans="1:41" ht="14.25">
      <c r="A29" s="8">
        <f>ROW()-5</f>
        <v>24</v>
      </c>
      <c r="B29" s="9"/>
      <c r="C29" s="14"/>
      <c r="D29" s="90">
        <f>SUM(F29,H29,J29,L29,N29,P29)-MIN(F29,H29,J29,L29,N29)+SUM(LARGE(AI29:AO29,1),LARGE(AI29:AO29,2),AG29)</f>
        <v>0</v>
      </c>
      <c r="E29" s="15" t="str">
        <f>_xlfn.XLOOKUP($B29,'GP1'!$C$6:$C$55,'GP1'!$B$6:$B$55,"")</f>
        <v/>
      </c>
      <c r="F29" s="141">
        <f>_xlfn.XLOOKUP(E29,'GP1'!$B$6:$B$55,'GP1'!$A$6:$A$55,0)</f>
        <v>0</v>
      </c>
      <c r="G29" s="15">
        <f>_xlfn.XLOOKUP($B29,'GP2'!$C$6:$C$15,'GP2'!$B$6:$B$15,"")</f>
        <v>0</v>
      </c>
      <c r="H29" s="143">
        <f>_xlfn.XLOOKUP(G29,'GP2'!$B$6:$B$15,'GP2'!$A$6:$A$15,0)</f>
        <v>0</v>
      </c>
      <c r="I29" s="15" t="str">
        <f>_xlfn.XLOOKUP($B29,'GP3'!$C$6:$C$15,'GP3'!$B$6:$B$15,"")</f>
        <v/>
      </c>
      <c r="J29" s="141">
        <f>_xlfn.XLOOKUP(I29,'GP3'!$B$6:$B$15,'GP3'!$A$6:$A$15,0)</f>
        <v>0</v>
      </c>
      <c r="K29" s="15" t="str">
        <f>_xlfn.XLOOKUP($B29,'GP4'!$C$6:$C$15,'GP4'!$B$6:$B$15,"")</f>
        <v/>
      </c>
      <c r="L29" s="141">
        <f>_xlfn.XLOOKUP(K29,'GP4'!$B$6:$B$15,'GP4'!$A$6:$A$15,0)</f>
        <v>0</v>
      </c>
      <c r="M29" s="15" t="str">
        <f>_xlfn.XLOOKUP($B29,'GP5'!$C$6:$C$15,'GP5'!$B$6:$B$15,"")</f>
        <v/>
      </c>
      <c r="N29" s="144">
        <f>_xlfn.XLOOKUP(M29,'GP5'!$B$6:$B$15,'GP5'!$A$6:$A$15,0)</f>
        <v>0</v>
      </c>
      <c r="O29" s="15" t="str">
        <f>_xlfn.XLOOKUP(B29,MPW!C$6:C$15,MPW!B$6:B$15,"")</f>
        <v/>
      </c>
      <c r="P29" s="144">
        <f>_xlfn.XLOOKUP(O29,MPW!B$6:B$15,MPW!A$6:A$15,0)</f>
        <v>0</v>
      </c>
      <c r="R29" s="11" t="str">
        <f>_xlfn.XLOOKUP($B29,'PEW1'!$C$6:$C$201,'PEW1'!$B$6:$B$201,"")</f>
        <v/>
      </c>
      <c r="S29" s="93">
        <f>_xlfn.XLOOKUP(R29,'PEW1'!$B$6:$B$201,'PEW1'!$A$6:$A$201,0)</f>
        <v>0</v>
      </c>
      <c r="T29" s="11" t="str">
        <f>_xlfn.XLOOKUP($B29,'PEW2'!$C$6:$C$201,'PEW2'!$B$6:$B$201,"")</f>
        <v/>
      </c>
      <c r="U29" s="93">
        <f>_xlfn.XLOOKUP(T29,'PEW2'!$B$6:$B$201,'PEW2'!$A$6:$A$201,0)</f>
        <v>0</v>
      </c>
      <c r="V29" s="11" t="str">
        <f>_xlfn.XLOOKUP($B29,'PEW3'!$C$6:$C$201,'PEW3'!$B$6:$B$201,"")</f>
        <v/>
      </c>
      <c r="W29" s="93">
        <f>_xlfn.XLOOKUP(V29,'PEW3'!$B$6:$B$201,'PEW3'!$A$6:$A$201,0)</f>
        <v>0</v>
      </c>
      <c r="X29" s="11" t="str">
        <f>_xlfn.XLOOKUP($B29,'PEW4'!$C$6:$C$201,'PEW4'!$B$6:$B$201,"")</f>
        <v/>
      </c>
      <c r="Y29" s="93">
        <f>_xlfn.XLOOKUP(X29,'PEW4'!$B$6:$B$201,'PEW4'!$A$6:$A$201,0)</f>
        <v>0</v>
      </c>
      <c r="Z29" s="11" t="str">
        <f>_xlfn.XLOOKUP($B29,'PEW5'!$C$6:$C$201,'PEW5'!$B$6:$B$201,"")</f>
        <v/>
      </c>
      <c r="AA29" s="93">
        <f>_xlfn.XLOOKUP(Z29,'PEW5'!$B$6:$B$201,'PEW5'!$A$6:$A$201,0)</f>
        <v>0</v>
      </c>
      <c r="AB29" s="11" t="str">
        <f>_xlfn.XLOOKUP($B29,'PEW6'!$C$6:$C$201,'PEW6'!$B$6:$B$201,"")</f>
        <v/>
      </c>
      <c r="AC29" s="93">
        <f>_xlfn.XLOOKUP(AB29,'PEW6'!$B$6:$B$201,'PEW6'!$A$6:$A$201,0)</f>
        <v>0</v>
      </c>
      <c r="AD29" s="11" t="str">
        <f>_xlfn.XLOOKUP($B29,'PEW7'!$C$6:$C$201,'PEW7'!$B$6:$B$201,"")</f>
        <v/>
      </c>
      <c r="AE29" s="93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94">
        <f>_xlfn.XLOOKUP(AF29,IMEW!$B$6:$B$201,IMEW!$A$6:$A$201,0)</f>
        <v>0</v>
      </c>
      <c r="AI29" s="95">
        <f t="shared" si="0"/>
        <v>0</v>
      </c>
      <c r="AJ29" s="95">
        <f t="shared" si="1"/>
        <v>0</v>
      </c>
      <c r="AK29" s="95">
        <f t="shared" si="2"/>
        <v>0</v>
      </c>
      <c r="AL29" s="95">
        <f t="shared" si="3"/>
        <v>0</v>
      </c>
      <c r="AM29" s="95">
        <f t="shared" si="4"/>
        <v>0</v>
      </c>
      <c r="AN29" s="95">
        <f t="shared" si="5"/>
        <v>0</v>
      </c>
      <c r="AO29" s="95">
        <f t="shared" si="6"/>
        <v>0</v>
      </c>
    </row>
    <row r="30" spans="1:4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4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4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169" spans="3:3">
      <c r="C169" t="s">
        <v>50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7A00-5DB9-4AAB-99E8-146B083D28E3}">
  <sheetPr>
    <tabColor rgb="FF92D050"/>
  </sheetPr>
  <dimension ref="A1:AL374"/>
  <sheetViews>
    <sheetView workbookViewId="0">
      <selection activeCell="E20" sqref="E20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.28515625" style="134" customWidth="1"/>
    <col min="11" max="11" width="8.7109375" style="134" customWidth="1"/>
    <col min="12" max="12" width="11" style="134" customWidth="1"/>
    <col min="13" max="13" width="12.2851562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>
      <c r="A2" s="96"/>
      <c r="B2" s="25" t="s">
        <v>28</v>
      </c>
      <c r="C2" s="145" t="s">
        <v>92</v>
      </c>
      <c r="D2" s="83"/>
      <c r="E2" s="26"/>
      <c r="F2" s="26"/>
      <c r="G2" s="26"/>
      <c r="H2" s="102">
        <v>0</v>
      </c>
      <c r="I2" s="103">
        <v>50</v>
      </c>
      <c r="J2" s="103">
        <v>10</v>
      </c>
      <c r="K2" s="104">
        <f>3*H2^(1/3)</f>
        <v>0</v>
      </c>
      <c r="L2" s="100"/>
      <c r="M2" s="100"/>
      <c r="N2" s="96"/>
      <c r="O2" s="96"/>
      <c r="P2" s="96"/>
      <c r="Q2" s="96"/>
      <c r="R2" s="96"/>
    </row>
    <row r="3" spans="1:36" s="101" customFormat="1">
      <c r="A3" s="96"/>
      <c r="B3" s="105" t="s">
        <v>30</v>
      </c>
      <c r="C3" s="84" t="s">
        <v>93</v>
      </c>
      <c r="D3" s="84"/>
      <c r="E3" s="31"/>
      <c r="F3" s="31"/>
      <c r="G3" s="31"/>
      <c r="H3" s="100"/>
      <c r="I3" s="100"/>
      <c r="J3" s="106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6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9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37" si="0">M6</f>
        <v>0</v>
      </c>
      <c r="B6" s="39" t="str">
        <f>IF(H6&gt;$H$2,"",(ROW()-5))</f>
        <v/>
      </c>
      <c r="C6" s="40" t="s">
        <v>50</v>
      </c>
      <c r="D6" s="40"/>
      <c r="E6" s="40"/>
      <c r="F6" s="40" t="s">
        <v>45</v>
      </c>
      <c r="G6" s="33"/>
      <c r="H6" s="111">
        <v>1</v>
      </c>
      <c r="I6" s="112" t="str">
        <f t="shared" ref="I6:I69" si="1">IF(H6&lt;$H$2+1,($I$2-($I$2-1)*(LOG(H6)/LOG($H$2))),"")</f>
        <v/>
      </c>
      <c r="J6" s="111" t="e">
        <f t="shared" ref="J6:J69" si="2">INT(LOG($H$2,2))-ROUNDUP(LOG(H6,2),0)+IF(OR($H$2=1,$H$2=2,$H$2=4,$H$2=8,$H$2=16,$H$2=32,$H$2=64,$H$2=128,$H$2=256),0,1)</f>
        <v>#NUM!</v>
      </c>
      <c r="K6" s="111" t="e">
        <f t="shared" ref="K6:K69" si="3">J6*$J$2</f>
        <v>#NUM!</v>
      </c>
      <c r="L6" s="113">
        <f>3*K2</f>
        <v>0</v>
      </c>
      <c r="M6" s="113">
        <f t="shared" ref="M6:M69" si="4">IF(I6&lt;&gt;"",K6+I6+L6,0)</f>
        <v>0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0</v>
      </c>
      <c r="B7" s="45" t="str">
        <f>IF(H7&gt;$H$2,"",(ROW()-5))</f>
        <v/>
      </c>
      <c r="C7" s="46" t="s">
        <v>50</v>
      </c>
      <c r="D7" s="46"/>
      <c r="E7" s="46"/>
      <c r="F7" s="46" t="s">
        <v>45</v>
      </c>
      <c r="G7" s="33"/>
      <c r="H7" s="115">
        <v>2</v>
      </c>
      <c r="I7" s="116" t="str">
        <f t="shared" si="1"/>
        <v/>
      </c>
      <c r="J7" s="115" t="e">
        <f t="shared" si="2"/>
        <v>#NUM!</v>
      </c>
      <c r="K7" s="115" t="e">
        <f t="shared" si="3"/>
        <v>#NUM!</v>
      </c>
      <c r="L7" s="117">
        <f>2*K2</f>
        <v>0</v>
      </c>
      <c r="M7" s="117">
        <f t="shared" si="4"/>
        <v>0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0</v>
      </c>
      <c r="B8" s="39" t="str">
        <f>IF(H8&gt;$H$2,"",(ROW()-5))</f>
        <v/>
      </c>
      <c r="C8" s="40" t="s">
        <v>50</v>
      </c>
      <c r="D8" s="40"/>
      <c r="E8" s="40"/>
      <c r="F8" s="40" t="s">
        <v>45</v>
      </c>
      <c r="G8" s="33"/>
      <c r="H8" s="111">
        <v>3</v>
      </c>
      <c r="I8" s="112" t="str">
        <f t="shared" si="1"/>
        <v/>
      </c>
      <c r="J8" s="111" t="e">
        <f t="shared" si="2"/>
        <v>#NUM!</v>
      </c>
      <c r="K8" s="111" t="e">
        <f t="shared" si="3"/>
        <v>#NUM!</v>
      </c>
      <c r="L8" s="113">
        <f>K2</f>
        <v>0</v>
      </c>
      <c r="M8" s="113">
        <f t="shared" si="4"/>
        <v>0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0</v>
      </c>
      <c r="B9" s="45" t="str">
        <f>IF(H9&gt;$H$2,"",(ROW()-5))</f>
        <v/>
      </c>
      <c r="C9" s="46" t="s">
        <v>50</v>
      </c>
      <c r="D9" s="46"/>
      <c r="E9" s="46"/>
      <c r="F9" s="46"/>
      <c r="G9" s="33"/>
      <c r="H9" s="115">
        <v>3</v>
      </c>
      <c r="I9" s="116" t="str">
        <f t="shared" si="1"/>
        <v/>
      </c>
      <c r="J9" s="115" t="e">
        <f t="shared" si="2"/>
        <v>#NUM!</v>
      </c>
      <c r="K9" s="115" t="e">
        <f t="shared" si="3"/>
        <v>#NUM!</v>
      </c>
      <c r="L9" s="117">
        <f>K2</f>
        <v>0</v>
      </c>
      <c r="M9" s="117">
        <f t="shared" si="4"/>
        <v>0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65" si="5">IF(H10&gt;$H$2,"",(ROW()-5))</f>
        <v/>
      </c>
      <c r="C10" s="40" t="s">
        <v>50</v>
      </c>
      <c r="D10" s="40"/>
      <c r="E10" s="40"/>
      <c r="F10" s="40"/>
      <c r="G10" s="33"/>
      <c r="H10" s="111">
        <v>5</v>
      </c>
      <c r="I10" s="112" t="str">
        <f t="shared" si="1"/>
        <v/>
      </c>
      <c r="J10" s="111" t="e">
        <f t="shared" si="2"/>
        <v>#NUM!</v>
      </c>
      <c r="K10" s="111" t="e">
        <f t="shared" si="3"/>
        <v>#NUM!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 t="s">
        <v>50</v>
      </c>
      <c r="D11" s="46"/>
      <c r="E11" s="46"/>
      <c r="F11" s="46"/>
      <c r="G11" s="33"/>
      <c r="H11" s="115">
        <v>6</v>
      </c>
      <c r="I11" s="116" t="str">
        <f t="shared" si="1"/>
        <v/>
      </c>
      <c r="J11" s="115" t="e">
        <f t="shared" si="2"/>
        <v>#NUM!</v>
      </c>
      <c r="K11" s="115" t="e">
        <f t="shared" si="3"/>
        <v>#NUM!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 t="s">
        <v>50</v>
      </c>
      <c r="D12" s="40"/>
      <c r="E12" s="40"/>
      <c r="F12" s="40"/>
      <c r="G12" s="33"/>
      <c r="H12" s="111">
        <v>7</v>
      </c>
      <c r="I12" s="112" t="str">
        <f t="shared" si="1"/>
        <v/>
      </c>
      <c r="J12" s="111" t="e">
        <f t="shared" si="2"/>
        <v>#NUM!</v>
      </c>
      <c r="K12" s="111" t="e">
        <f t="shared" si="3"/>
        <v>#NUM!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/>
      <c r="D13" s="46"/>
      <c r="E13" s="46"/>
      <c r="F13" s="46"/>
      <c r="G13" s="33"/>
      <c r="H13" s="115">
        <v>8</v>
      </c>
      <c r="I13" s="116" t="str">
        <f t="shared" si="1"/>
        <v/>
      </c>
      <c r="J13" s="115" t="e">
        <f t="shared" si="2"/>
        <v>#NUM!</v>
      </c>
      <c r="K13" s="115" t="e">
        <f t="shared" si="3"/>
        <v>#NUM!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/>
      <c r="D14" s="40"/>
      <c r="E14" s="40"/>
      <c r="F14" s="40"/>
      <c r="G14" s="33"/>
      <c r="H14" s="111">
        <v>9</v>
      </c>
      <c r="I14" s="112" t="str">
        <f t="shared" si="1"/>
        <v/>
      </c>
      <c r="J14" s="111" t="e">
        <f t="shared" si="2"/>
        <v>#NUM!</v>
      </c>
      <c r="K14" s="111" t="e">
        <f t="shared" si="3"/>
        <v>#NUM!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/>
      <c r="D15" s="46"/>
      <c r="E15" s="46"/>
      <c r="F15" s="46"/>
      <c r="G15" s="33"/>
      <c r="H15" s="115">
        <v>10</v>
      </c>
      <c r="I15" s="116" t="str">
        <f t="shared" si="1"/>
        <v/>
      </c>
      <c r="J15" s="115" t="e">
        <f t="shared" si="2"/>
        <v>#NUM!</v>
      </c>
      <c r="K15" s="115" t="e">
        <f t="shared" si="3"/>
        <v>#NUM!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/>
      <c r="D16" s="40"/>
      <c r="E16" s="40"/>
      <c r="F16" s="40"/>
      <c r="G16" s="33"/>
      <c r="H16" s="111">
        <v>11</v>
      </c>
      <c r="I16" s="112" t="str">
        <f t="shared" si="1"/>
        <v/>
      </c>
      <c r="J16" s="111" t="e">
        <f t="shared" si="2"/>
        <v>#NUM!</v>
      </c>
      <c r="K16" s="111" t="e">
        <f t="shared" si="3"/>
        <v>#NUM!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/>
      <c r="D17" s="46"/>
      <c r="E17" s="46"/>
      <c r="F17" s="46"/>
      <c r="G17" s="33"/>
      <c r="H17" s="115">
        <v>12</v>
      </c>
      <c r="I17" s="116" t="str">
        <f t="shared" si="1"/>
        <v/>
      </c>
      <c r="J17" s="115" t="e">
        <f t="shared" si="2"/>
        <v>#NUM!</v>
      </c>
      <c r="K17" s="115" t="e">
        <f t="shared" si="3"/>
        <v>#NUM!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40"/>
      <c r="D18" s="40"/>
      <c r="E18" s="40"/>
      <c r="F18" s="40"/>
      <c r="G18" s="33"/>
      <c r="H18" s="111">
        <v>13</v>
      </c>
      <c r="I18" s="112" t="str">
        <f t="shared" si="1"/>
        <v/>
      </c>
      <c r="J18" s="111" t="e">
        <f t="shared" si="2"/>
        <v>#NUM!</v>
      </c>
      <c r="K18" s="111" t="e">
        <f t="shared" si="3"/>
        <v>#NUM!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/>
      <c r="D19" s="46"/>
      <c r="E19" s="46"/>
      <c r="F19" s="46"/>
      <c r="G19" s="33"/>
      <c r="H19" s="115">
        <v>14</v>
      </c>
      <c r="I19" s="116" t="str">
        <f t="shared" si="1"/>
        <v/>
      </c>
      <c r="J19" s="115" t="e">
        <f t="shared" si="2"/>
        <v>#NUM!</v>
      </c>
      <c r="K19" s="115" t="e">
        <f t="shared" si="3"/>
        <v>#NUM!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/>
      <c r="D20" s="40"/>
      <c r="E20" s="40"/>
      <c r="F20" s="40"/>
      <c r="G20" s="33"/>
      <c r="H20" s="111">
        <v>15</v>
      </c>
      <c r="I20" s="112" t="str">
        <f t="shared" si="1"/>
        <v/>
      </c>
      <c r="J20" s="111" t="e">
        <f t="shared" si="2"/>
        <v>#NUM!</v>
      </c>
      <c r="K20" s="111" t="e">
        <f t="shared" si="3"/>
        <v>#NUM!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/>
      <c r="D21" s="46"/>
      <c r="E21" s="46"/>
      <c r="F21" s="46"/>
      <c r="G21" s="33"/>
      <c r="H21" s="115">
        <v>16</v>
      </c>
      <c r="I21" s="116" t="str">
        <f t="shared" si="1"/>
        <v/>
      </c>
      <c r="J21" s="115" t="e">
        <f t="shared" si="2"/>
        <v>#NUM!</v>
      </c>
      <c r="K21" s="115" t="e">
        <f t="shared" si="3"/>
        <v>#NUM!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/>
      <c r="D22" s="40"/>
      <c r="E22" s="40"/>
      <c r="F22" s="40"/>
      <c r="G22" s="33"/>
      <c r="H22" s="111">
        <v>17</v>
      </c>
      <c r="I22" s="112" t="str">
        <f t="shared" si="1"/>
        <v/>
      </c>
      <c r="J22" s="111" t="e">
        <f t="shared" si="2"/>
        <v>#NUM!</v>
      </c>
      <c r="K22" s="111" t="e">
        <f t="shared" si="3"/>
        <v>#NUM!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/>
      <c r="D23" s="46"/>
      <c r="E23" s="46"/>
      <c r="F23" s="46"/>
      <c r="G23" s="33"/>
      <c r="H23" s="115">
        <v>18</v>
      </c>
      <c r="I23" s="116" t="str">
        <f t="shared" si="1"/>
        <v/>
      </c>
      <c r="J23" s="115" t="e">
        <f t="shared" si="2"/>
        <v>#NUM!</v>
      </c>
      <c r="K23" s="115" t="e">
        <f t="shared" si="3"/>
        <v>#NUM!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/>
      <c r="D24" s="40"/>
      <c r="E24" s="40"/>
      <c r="F24" s="40"/>
      <c r="G24" s="33"/>
      <c r="H24" s="111">
        <v>19</v>
      </c>
      <c r="I24" s="112" t="str">
        <f t="shared" si="1"/>
        <v/>
      </c>
      <c r="J24" s="111" t="e">
        <f t="shared" si="2"/>
        <v>#NUM!</v>
      </c>
      <c r="K24" s="111" t="e">
        <f t="shared" si="3"/>
        <v>#NUM!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5" t="e">
        <f t="shared" si="2"/>
        <v>#NUM!</v>
      </c>
      <c r="K25" s="115" t="e">
        <f t="shared" si="3"/>
        <v>#NUM!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1" t="e">
        <f t="shared" si="2"/>
        <v>#NUM!</v>
      </c>
      <c r="K26" s="111" t="e">
        <f t="shared" si="3"/>
        <v>#NUM!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5" t="e">
        <f t="shared" si="2"/>
        <v>#NUM!</v>
      </c>
      <c r="K27" s="115" t="e">
        <f t="shared" si="3"/>
        <v>#NUM!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1" t="e">
        <f t="shared" si="2"/>
        <v>#NUM!</v>
      </c>
      <c r="K28" s="111" t="e">
        <f t="shared" si="3"/>
        <v>#NUM!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5" t="e">
        <f t="shared" si="2"/>
        <v>#NUM!</v>
      </c>
      <c r="K29" s="115" t="e">
        <f t="shared" si="3"/>
        <v>#NUM!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1" t="e">
        <f t="shared" si="2"/>
        <v>#NUM!</v>
      </c>
      <c r="K30" s="111" t="e">
        <f t="shared" si="3"/>
        <v>#NUM!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5" t="e">
        <f t="shared" si="2"/>
        <v>#NUM!</v>
      </c>
      <c r="K31" s="115" t="e">
        <f t="shared" si="3"/>
        <v>#NUM!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1" t="e">
        <f t="shared" si="2"/>
        <v>#NUM!</v>
      </c>
      <c r="K32" s="111" t="e">
        <f t="shared" si="3"/>
        <v>#NUM!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21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5" t="e">
        <f t="shared" si="2"/>
        <v>#NUM!</v>
      </c>
      <c r="K33" s="115" t="e">
        <f t="shared" si="3"/>
        <v>#NUM!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21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1" t="e">
        <f t="shared" si="2"/>
        <v>#NUM!</v>
      </c>
      <c r="K34" s="111" t="e">
        <f t="shared" si="3"/>
        <v>#NUM!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21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5" t="e">
        <f t="shared" si="2"/>
        <v>#NUM!</v>
      </c>
      <c r="K35" s="115" t="e">
        <f t="shared" si="3"/>
        <v>#NUM!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21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1" t="e">
        <f t="shared" si="2"/>
        <v>#NUM!</v>
      </c>
      <c r="K36" s="111" t="e">
        <f t="shared" si="3"/>
        <v>#NUM!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21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5" t="e">
        <f t="shared" si="2"/>
        <v>#NUM!</v>
      </c>
      <c r="K37" s="115" t="e">
        <f t="shared" si="3"/>
        <v>#NUM!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21" s="101" customFormat="1">
      <c r="A38" s="110"/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1" t="e">
        <f t="shared" si="2"/>
        <v>#NUM!</v>
      </c>
      <c r="K38" s="111" t="e">
        <f t="shared" si="3"/>
        <v>#NUM!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21" s="101" customFormat="1">
      <c r="A39" s="114"/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5" t="e">
        <f t="shared" si="2"/>
        <v>#NUM!</v>
      </c>
      <c r="K39" s="115" t="e">
        <f t="shared" si="3"/>
        <v>#NUM!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21" s="101" customFormat="1">
      <c r="A40" s="110"/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1" t="e">
        <f t="shared" si="2"/>
        <v>#NUM!</v>
      </c>
      <c r="K40" s="111" t="e">
        <f t="shared" si="3"/>
        <v>#NUM!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21" s="101" customFormat="1">
      <c r="A41" s="114"/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5" t="e">
        <f t="shared" si="2"/>
        <v>#NUM!</v>
      </c>
      <c r="K41" s="115" t="e">
        <f t="shared" si="3"/>
        <v>#NUM!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21" s="101" customFormat="1">
      <c r="A42" s="110"/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1" t="e">
        <f t="shared" si="2"/>
        <v>#NUM!</v>
      </c>
      <c r="K42" s="111" t="e">
        <f t="shared" si="3"/>
        <v>#NUM!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21" s="101" customFormat="1">
      <c r="A43" s="114"/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5" t="e">
        <f t="shared" si="2"/>
        <v>#NUM!</v>
      </c>
      <c r="K43" s="115" t="e">
        <f t="shared" si="3"/>
        <v>#NUM!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21" s="101" customFormat="1">
      <c r="A44" s="110"/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1" t="e">
        <f t="shared" si="2"/>
        <v>#NUM!</v>
      </c>
      <c r="K44" s="111" t="e">
        <f t="shared" si="3"/>
        <v>#NUM!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21" s="101" customFormat="1">
      <c r="A45" s="114"/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5" t="e">
        <f t="shared" si="2"/>
        <v>#NUM!</v>
      </c>
      <c r="K45" s="115" t="e">
        <f t="shared" si="3"/>
        <v>#NUM!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21" s="101" customFormat="1">
      <c r="A46" s="110"/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1" t="e">
        <f t="shared" si="2"/>
        <v>#NUM!</v>
      </c>
      <c r="K46" s="111" t="e">
        <f t="shared" si="3"/>
        <v>#NUM!</v>
      </c>
      <c r="L46" s="111"/>
      <c r="M46" s="113">
        <f t="shared" si="4"/>
        <v>0</v>
      </c>
      <c r="N46" s="96"/>
      <c r="O46" s="96"/>
      <c r="P46" s="96"/>
      <c r="Q46" s="96"/>
      <c r="R46" s="96" t="e">
        <f>LOG($H$2,2)</f>
        <v>#NUM!</v>
      </c>
      <c r="T46" s="101">
        <f>LOG(H38,2)</f>
        <v>5.0443941193584534</v>
      </c>
      <c r="U46" s="101" t="e">
        <f>R46-T46</f>
        <v>#NUM!</v>
      </c>
    </row>
    <row r="47" spans="1:21" s="101" customFormat="1">
      <c r="A47" s="114"/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5" t="e">
        <f t="shared" si="2"/>
        <v>#NUM!</v>
      </c>
      <c r="K47" s="115" t="e">
        <f t="shared" si="3"/>
        <v>#NUM!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21" s="101" customFormat="1">
      <c r="A48" s="110"/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1" t="e">
        <f t="shared" si="2"/>
        <v>#NUM!</v>
      </c>
      <c r="K48" s="111" t="e">
        <f t="shared" si="3"/>
        <v>#NUM!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 s="96" customFormat="1">
      <c r="A49" s="114"/>
      <c r="B49" s="45" t="str">
        <f t="shared" si="5"/>
        <v/>
      </c>
      <c r="C49" s="46"/>
      <c r="D49" s="46"/>
      <c r="E49" s="46"/>
      <c r="F49" s="46"/>
      <c r="H49" s="115">
        <v>44</v>
      </c>
      <c r="I49" s="116" t="str">
        <f t="shared" si="1"/>
        <v/>
      </c>
      <c r="J49" s="115" t="e">
        <f t="shared" si="2"/>
        <v>#NUM!</v>
      </c>
      <c r="K49" s="115" t="e">
        <f t="shared" si="3"/>
        <v>#NUM!</v>
      </c>
      <c r="L49" s="115"/>
      <c r="M49" s="117">
        <f t="shared" si="4"/>
        <v>0</v>
      </c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s="96" customFormat="1">
      <c r="A50" s="110"/>
      <c r="B50" s="39" t="str">
        <f t="shared" si="5"/>
        <v/>
      </c>
      <c r="C50" s="40"/>
      <c r="D50" s="40"/>
      <c r="E50" s="40"/>
      <c r="F50" s="40"/>
      <c r="H50" s="111">
        <v>45</v>
      </c>
      <c r="I50" s="112" t="str">
        <f t="shared" si="1"/>
        <v/>
      </c>
      <c r="J50" s="111" t="e">
        <f t="shared" si="2"/>
        <v>#NUM!</v>
      </c>
      <c r="K50" s="111" t="e">
        <f t="shared" si="3"/>
        <v>#NUM!</v>
      </c>
      <c r="L50" s="111"/>
      <c r="M50" s="113">
        <f t="shared" si="4"/>
        <v>0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s="96" customFormat="1">
      <c r="A51" s="114"/>
      <c r="B51" s="45" t="str">
        <f t="shared" si="5"/>
        <v/>
      </c>
      <c r="C51" s="46"/>
      <c r="D51" s="46"/>
      <c r="E51" s="46"/>
      <c r="F51" s="46"/>
      <c r="H51" s="115">
        <v>46</v>
      </c>
      <c r="I51" s="116" t="str">
        <f t="shared" si="1"/>
        <v/>
      </c>
      <c r="J51" s="115" t="e">
        <f t="shared" si="2"/>
        <v>#NUM!</v>
      </c>
      <c r="K51" s="115" t="e">
        <f t="shared" si="3"/>
        <v>#NUM!</v>
      </c>
      <c r="L51" s="115"/>
      <c r="M51" s="117">
        <f t="shared" si="4"/>
        <v>0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s="96" customFormat="1">
      <c r="A52" s="128"/>
      <c r="B52" s="39" t="str">
        <f t="shared" si="5"/>
        <v/>
      </c>
      <c r="C52" s="40"/>
      <c r="D52" s="40"/>
      <c r="E52" s="40"/>
      <c r="F52" s="40"/>
      <c r="H52" s="111">
        <v>47</v>
      </c>
      <c r="I52" s="112" t="str">
        <f t="shared" si="1"/>
        <v/>
      </c>
      <c r="J52" s="111" t="e">
        <f t="shared" si="2"/>
        <v>#NUM!</v>
      </c>
      <c r="K52" s="111" t="e">
        <f t="shared" si="3"/>
        <v>#NUM!</v>
      </c>
      <c r="L52" s="111"/>
      <c r="M52" s="113">
        <f t="shared" si="4"/>
        <v>0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s="96" customFormat="1">
      <c r="A53" s="129"/>
      <c r="B53" s="45" t="str">
        <f t="shared" si="5"/>
        <v/>
      </c>
      <c r="C53" s="46"/>
      <c r="D53" s="46"/>
      <c r="E53" s="46"/>
      <c r="F53" s="46"/>
      <c r="H53" s="115">
        <v>48</v>
      </c>
      <c r="I53" s="116" t="str">
        <f t="shared" si="1"/>
        <v/>
      </c>
      <c r="J53" s="115" t="e">
        <f t="shared" si="2"/>
        <v>#NUM!</v>
      </c>
      <c r="K53" s="115" t="e">
        <f t="shared" si="3"/>
        <v>#NUM!</v>
      </c>
      <c r="L53" s="115"/>
      <c r="M53" s="117">
        <f t="shared" si="4"/>
        <v>0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s="96" customFormat="1">
      <c r="A54" s="128"/>
      <c r="B54" s="39" t="str">
        <f t="shared" si="5"/>
        <v/>
      </c>
      <c r="C54" s="40"/>
      <c r="D54" s="40"/>
      <c r="E54" s="40"/>
      <c r="F54" s="40"/>
      <c r="H54" s="111">
        <v>49</v>
      </c>
      <c r="I54" s="112" t="str">
        <f t="shared" si="1"/>
        <v/>
      </c>
      <c r="J54" s="111" t="e">
        <f t="shared" si="2"/>
        <v>#NUM!</v>
      </c>
      <c r="K54" s="111" t="e">
        <f t="shared" si="3"/>
        <v>#NUM!</v>
      </c>
      <c r="L54" s="111"/>
      <c r="M54" s="113">
        <f t="shared" si="4"/>
        <v>0</v>
      </c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s="96" customFormat="1">
      <c r="A55" s="129"/>
      <c r="B55" s="45" t="str">
        <f t="shared" si="5"/>
        <v/>
      </c>
      <c r="C55" s="46"/>
      <c r="D55" s="46"/>
      <c r="E55" s="46"/>
      <c r="F55" s="46"/>
      <c r="H55" s="115">
        <v>50</v>
      </c>
      <c r="I55" s="116" t="str">
        <f t="shared" si="1"/>
        <v/>
      </c>
      <c r="J55" s="115" t="e">
        <f t="shared" si="2"/>
        <v>#NUM!</v>
      </c>
      <c r="K55" s="115" t="e">
        <f t="shared" si="3"/>
        <v>#NUM!</v>
      </c>
      <c r="L55" s="115"/>
      <c r="M55" s="117">
        <f t="shared" si="4"/>
        <v>0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s="96" customFormat="1">
      <c r="A56" s="128"/>
      <c r="B56" s="39" t="str">
        <f t="shared" si="5"/>
        <v/>
      </c>
      <c r="C56" s="40"/>
      <c r="D56" s="40"/>
      <c r="E56" s="40"/>
      <c r="F56" s="40"/>
      <c r="H56" s="111">
        <v>51</v>
      </c>
      <c r="I56" s="112" t="str">
        <f t="shared" si="1"/>
        <v/>
      </c>
      <c r="J56" s="111" t="e">
        <f t="shared" si="2"/>
        <v>#NUM!</v>
      </c>
      <c r="K56" s="111" t="e">
        <f t="shared" si="3"/>
        <v>#NUM!</v>
      </c>
      <c r="L56" s="111"/>
      <c r="M56" s="113">
        <f t="shared" si="4"/>
        <v>0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s="96" customFormat="1">
      <c r="A57" s="129"/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5" t="e">
        <f t="shared" si="2"/>
        <v>#NUM!</v>
      </c>
      <c r="K57" s="115" t="e">
        <f t="shared" si="3"/>
        <v>#NUM!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28"/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1" t="e">
        <f t="shared" si="2"/>
        <v>#NUM!</v>
      </c>
      <c r="K58" s="111" t="e">
        <f t="shared" si="3"/>
        <v>#NUM!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29"/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5" t="e">
        <f t="shared" si="2"/>
        <v>#NUM!</v>
      </c>
      <c r="K59" s="115" t="e">
        <f t="shared" si="3"/>
        <v>#NUM!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28"/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1" t="e">
        <f t="shared" si="2"/>
        <v>#NUM!</v>
      </c>
      <c r="K60" s="111" t="e">
        <f t="shared" si="3"/>
        <v>#NUM!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29"/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5" t="e">
        <f t="shared" si="2"/>
        <v>#NUM!</v>
      </c>
      <c r="K61" s="115" t="e">
        <f t="shared" si="3"/>
        <v>#NUM!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28"/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1" t="e">
        <f t="shared" si="2"/>
        <v>#NUM!</v>
      </c>
      <c r="K62" s="111" t="e">
        <f t="shared" si="3"/>
        <v>#NUM!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29"/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5" t="e">
        <f t="shared" si="2"/>
        <v>#NUM!</v>
      </c>
      <c r="K63" s="115" t="e">
        <f t="shared" si="3"/>
        <v>#NUM!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28"/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1" t="e">
        <f t="shared" si="2"/>
        <v>#NUM!</v>
      </c>
      <c r="K64" s="111" t="e">
        <f t="shared" si="3"/>
        <v>#NUM!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29"/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5" t="e">
        <f t="shared" si="2"/>
        <v>#NUM!</v>
      </c>
      <c r="K65" s="115" t="e">
        <f t="shared" si="3"/>
        <v>#NUM!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30"/>
      <c r="B66" s="39"/>
      <c r="C66" s="131"/>
      <c r="D66" s="131"/>
      <c r="E66" s="131"/>
      <c r="F66" s="131"/>
      <c r="H66" s="111">
        <v>61</v>
      </c>
      <c r="I66" s="112" t="str">
        <f t="shared" si="1"/>
        <v/>
      </c>
      <c r="J66" s="111" t="e">
        <f t="shared" si="2"/>
        <v>#NUM!</v>
      </c>
      <c r="K66" s="111" t="e">
        <f t="shared" si="3"/>
        <v>#NUM!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30"/>
      <c r="B67" s="45"/>
      <c r="C67" s="131"/>
      <c r="D67" s="131"/>
      <c r="E67" s="131"/>
      <c r="F67" s="131"/>
      <c r="H67" s="111">
        <v>62</v>
      </c>
      <c r="I67" s="112" t="str">
        <f t="shared" si="1"/>
        <v/>
      </c>
      <c r="J67" s="111" t="e">
        <f t="shared" si="2"/>
        <v>#NUM!</v>
      </c>
      <c r="K67" s="111" t="e">
        <f t="shared" si="3"/>
        <v>#NUM!</v>
      </c>
      <c r="L67" s="111"/>
      <c r="M67" s="113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30"/>
      <c r="B68" s="39"/>
      <c r="C68" s="131"/>
      <c r="D68" s="131"/>
      <c r="E68" s="131"/>
      <c r="F68" s="131"/>
      <c r="H68" s="111">
        <v>63</v>
      </c>
      <c r="I68" s="112" t="str">
        <f t="shared" si="1"/>
        <v/>
      </c>
      <c r="J68" s="111" t="e">
        <f t="shared" si="2"/>
        <v>#NUM!</v>
      </c>
      <c r="K68" s="111" t="e">
        <f t="shared" si="3"/>
        <v>#NUM!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30"/>
      <c r="B69" s="45"/>
      <c r="C69" s="131"/>
      <c r="D69" s="131"/>
      <c r="E69" s="131"/>
      <c r="F69" s="131"/>
      <c r="H69" s="111">
        <v>64</v>
      </c>
      <c r="I69" s="112" t="str">
        <f t="shared" si="1"/>
        <v/>
      </c>
      <c r="J69" s="111" t="e">
        <f t="shared" si="2"/>
        <v>#NUM!</v>
      </c>
      <c r="K69" s="111" t="e">
        <f t="shared" si="3"/>
        <v>#NUM!</v>
      </c>
      <c r="L69" s="111"/>
      <c r="M69" s="113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30"/>
      <c r="B70" s="131"/>
      <c r="C70" s="131"/>
      <c r="D70" s="131"/>
      <c r="E70" s="131"/>
      <c r="F70" s="131"/>
      <c r="H70" s="111">
        <v>65</v>
      </c>
      <c r="I70" s="112" t="str">
        <f t="shared" ref="I70:I133" si="6">IF(H70&lt;$H$2+1,($I$2-($I$2-1)*(LOG(H70)/LOG($H$2))),"")</f>
        <v/>
      </c>
      <c r="J70" s="111" t="e">
        <f t="shared" ref="J70:J133" si="7">INT(LOG($H$2,2))-ROUNDUP(LOG(H70,2),0)+IF(OR($H$2=1,$H$2=2,$H$2=4,$H$2=8,$H$2=16,$H$2=32,$H$2=64,$H$2=128,$H$2=256),0,1)</f>
        <v>#NUM!</v>
      </c>
      <c r="K70" s="111" t="e">
        <f t="shared" ref="K70:K133" si="8">J70*$J$2</f>
        <v>#NUM!</v>
      </c>
      <c r="L70" s="111"/>
      <c r="M70" s="113">
        <f t="shared" ref="M70:M133" si="9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30"/>
      <c r="B71" s="131"/>
      <c r="C71" s="131"/>
      <c r="D71" s="131"/>
      <c r="E71" s="131"/>
      <c r="F71" s="131"/>
      <c r="H71" s="111">
        <v>66</v>
      </c>
      <c r="I71" s="112" t="str">
        <f t="shared" si="6"/>
        <v/>
      </c>
      <c r="J71" s="111" t="e">
        <f t="shared" si="7"/>
        <v>#NUM!</v>
      </c>
      <c r="K71" s="111" t="e">
        <f t="shared" si="8"/>
        <v>#NUM!</v>
      </c>
      <c r="L71" s="111"/>
      <c r="M71" s="113">
        <f t="shared" si="9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30"/>
      <c r="B72" s="131"/>
      <c r="C72" s="131"/>
      <c r="D72" s="131"/>
      <c r="E72" s="131"/>
      <c r="F72" s="131"/>
      <c r="H72" s="111">
        <v>67</v>
      </c>
      <c r="I72" s="112" t="str">
        <f t="shared" si="6"/>
        <v/>
      </c>
      <c r="J72" s="111" t="e">
        <f t="shared" si="7"/>
        <v>#NUM!</v>
      </c>
      <c r="K72" s="111" t="e">
        <f t="shared" si="8"/>
        <v>#NUM!</v>
      </c>
      <c r="L72" s="111"/>
      <c r="M72" s="113">
        <f t="shared" si="9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30"/>
      <c r="B73" s="131"/>
      <c r="C73" s="131"/>
      <c r="D73" s="131"/>
      <c r="E73" s="131"/>
      <c r="F73" s="131"/>
      <c r="H73" s="111">
        <v>68</v>
      </c>
      <c r="I73" s="112" t="str">
        <f t="shared" si="6"/>
        <v/>
      </c>
      <c r="J73" s="111" t="e">
        <f t="shared" si="7"/>
        <v>#NUM!</v>
      </c>
      <c r="K73" s="111" t="e">
        <f t="shared" si="8"/>
        <v>#NUM!</v>
      </c>
      <c r="L73" s="111"/>
      <c r="M73" s="113">
        <f t="shared" si="9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30"/>
      <c r="B74" s="131"/>
      <c r="C74" s="131"/>
      <c r="D74" s="131"/>
      <c r="E74" s="131"/>
      <c r="F74" s="131"/>
      <c r="H74" s="111">
        <v>69</v>
      </c>
      <c r="I74" s="112" t="str">
        <f t="shared" si="6"/>
        <v/>
      </c>
      <c r="J74" s="111" t="e">
        <f t="shared" si="7"/>
        <v>#NUM!</v>
      </c>
      <c r="K74" s="111" t="e">
        <f t="shared" si="8"/>
        <v>#NUM!</v>
      </c>
      <c r="L74" s="111"/>
      <c r="M74" s="113">
        <f t="shared" si="9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30"/>
      <c r="B75" s="131"/>
      <c r="C75" s="131"/>
      <c r="D75" s="131"/>
      <c r="E75" s="131"/>
      <c r="F75" s="131"/>
      <c r="H75" s="111">
        <v>70</v>
      </c>
      <c r="I75" s="112" t="str">
        <f t="shared" si="6"/>
        <v/>
      </c>
      <c r="J75" s="111" t="e">
        <f t="shared" si="7"/>
        <v>#NUM!</v>
      </c>
      <c r="K75" s="111" t="e">
        <f t="shared" si="8"/>
        <v>#NUM!</v>
      </c>
      <c r="L75" s="111"/>
      <c r="M75" s="113">
        <f t="shared" si="9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30"/>
      <c r="B76" s="131"/>
      <c r="C76" s="131"/>
      <c r="D76" s="131"/>
      <c r="E76" s="131"/>
      <c r="F76" s="131"/>
      <c r="H76" s="111">
        <v>71</v>
      </c>
      <c r="I76" s="112" t="str">
        <f t="shared" si="6"/>
        <v/>
      </c>
      <c r="J76" s="111" t="e">
        <f t="shared" si="7"/>
        <v>#NUM!</v>
      </c>
      <c r="K76" s="111" t="e">
        <f t="shared" si="8"/>
        <v>#NUM!</v>
      </c>
      <c r="L76" s="111"/>
      <c r="M76" s="113">
        <f t="shared" si="9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30"/>
      <c r="B77" s="131"/>
      <c r="C77" s="131"/>
      <c r="D77" s="131"/>
      <c r="E77" s="131"/>
      <c r="F77" s="131"/>
      <c r="H77" s="111">
        <v>72</v>
      </c>
      <c r="I77" s="112" t="str">
        <f t="shared" si="6"/>
        <v/>
      </c>
      <c r="J77" s="111" t="e">
        <f t="shared" si="7"/>
        <v>#NUM!</v>
      </c>
      <c r="K77" s="111" t="e">
        <f t="shared" si="8"/>
        <v>#NUM!</v>
      </c>
      <c r="L77" s="111"/>
      <c r="M77" s="113">
        <f t="shared" si="9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30"/>
      <c r="B78" s="131"/>
      <c r="C78" s="131"/>
      <c r="D78" s="131"/>
      <c r="E78" s="131"/>
      <c r="F78" s="131"/>
      <c r="H78" s="111">
        <v>73</v>
      </c>
      <c r="I78" s="112" t="str">
        <f t="shared" si="6"/>
        <v/>
      </c>
      <c r="J78" s="111" t="e">
        <f t="shared" si="7"/>
        <v>#NUM!</v>
      </c>
      <c r="K78" s="111" t="e">
        <f t="shared" si="8"/>
        <v>#NUM!</v>
      </c>
      <c r="L78" s="111"/>
      <c r="M78" s="113">
        <f t="shared" si="9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30"/>
      <c r="B79" s="131"/>
      <c r="C79" s="131"/>
      <c r="D79" s="131"/>
      <c r="E79" s="131"/>
      <c r="F79" s="131"/>
      <c r="H79" s="111">
        <v>74</v>
      </c>
      <c r="I79" s="112" t="str">
        <f t="shared" si="6"/>
        <v/>
      </c>
      <c r="J79" s="111" t="e">
        <f t="shared" si="7"/>
        <v>#NUM!</v>
      </c>
      <c r="K79" s="111" t="e">
        <f t="shared" si="8"/>
        <v>#NUM!</v>
      </c>
      <c r="L79" s="111"/>
      <c r="M79" s="113">
        <f t="shared" si="9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30"/>
      <c r="B80" s="131"/>
      <c r="C80" s="131"/>
      <c r="D80" s="131"/>
      <c r="E80" s="131"/>
      <c r="F80" s="131"/>
      <c r="H80" s="111">
        <v>75</v>
      </c>
      <c r="I80" s="112" t="str">
        <f t="shared" si="6"/>
        <v/>
      </c>
      <c r="J80" s="111" t="e">
        <f t="shared" si="7"/>
        <v>#NUM!</v>
      </c>
      <c r="K80" s="111" t="e">
        <f t="shared" si="8"/>
        <v>#NUM!</v>
      </c>
      <c r="L80" s="111"/>
      <c r="M80" s="113">
        <f t="shared" si="9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30"/>
      <c r="B81" s="131"/>
      <c r="C81" s="131"/>
      <c r="D81" s="131"/>
      <c r="E81" s="131"/>
      <c r="F81" s="131"/>
      <c r="H81" s="111">
        <v>76</v>
      </c>
      <c r="I81" s="112" t="str">
        <f t="shared" si="6"/>
        <v/>
      </c>
      <c r="J81" s="111" t="e">
        <f t="shared" si="7"/>
        <v>#NUM!</v>
      </c>
      <c r="K81" s="111" t="e">
        <f t="shared" si="8"/>
        <v>#NUM!</v>
      </c>
      <c r="L81" s="111"/>
      <c r="M81" s="113">
        <f t="shared" si="9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30"/>
      <c r="B82" s="131"/>
      <c r="C82" s="131"/>
      <c r="D82" s="131"/>
      <c r="E82" s="131"/>
      <c r="F82" s="131"/>
      <c r="H82" s="111">
        <v>77</v>
      </c>
      <c r="I82" s="112" t="str">
        <f t="shared" si="6"/>
        <v/>
      </c>
      <c r="J82" s="111" t="e">
        <f t="shared" si="7"/>
        <v>#NUM!</v>
      </c>
      <c r="K82" s="111" t="e">
        <f t="shared" si="8"/>
        <v>#NUM!</v>
      </c>
      <c r="L82" s="111"/>
      <c r="M82" s="113">
        <f t="shared" si="9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30"/>
      <c r="B83" s="131"/>
      <c r="C83" s="131"/>
      <c r="D83" s="131"/>
      <c r="E83" s="131"/>
      <c r="F83" s="131"/>
      <c r="H83" s="111">
        <v>78</v>
      </c>
      <c r="I83" s="112" t="str">
        <f t="shared" si="6"/>
        <v/>
      </c>
      <c r="J83" s="111" t="e">
        <f t="shared" si="7"/>
        <v>#NUM!</v>
      </c>
      <c r="K83" s="111" t="e">
        <f t="shared" si="8"/>
        <v>#NUM!</v>
      </c>
      <c r="L83" s="111"/>
      <c r="M83" s="113">
        <f t="shared" si="9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30"/>
      <c r="B84" s="131"/>
      <c r="C84" s="131"/>
      <c r="D84" s="131"/>
      <c r="E84" s="131"/>
      <c r="F84" s="131"/>
      <c r="H84" s="111">
        <v>79</v>
      </c>
      <c r="I84" s="112" t="str">
        <f t="shared" si="6"/>
        <v/>
      </c>
      <c r="J84" s="111" t="e">
        <f t="shared" si="7"/>
        <v>#NUM!</v>
      </c>
      <c r="K84" s="111" t="e">
        <f t="shared" si="8"/>
        <v>#NUM!</v>
      </c>
      <c r="L84" s="111"/>
      <c r="M84" s="113">
        <f t="shared" si="9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30"/>
      <c r="B85" s="131"/>
      <c r="C85" s="131"/>
      <c r="D85" s="131"/>
      <c r="E85" s="131"/>
      <c r="F85" s="131"/>
      <c r="H85" s="111">
        <v>80</v>
      </c>
      <c r="I85" s="112" t="str">
        <f t="shared" si="6"/>
        <v/>
      </c>
      <c r="J85" s="111" t="e">
        <f t="shared" si="7"/>
        <v>#NUM!</v>
      </c>
      <c r="K85" s="111" t="e">
        <f t="shared" si="8"/>
        <v>#NUM!</v>
      </c>
      <c r="L85" s="111"/>
      <c r="M85" s="113">
        <f t="shared" si="9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30"/>
      <c r="B86" s="131"/>
      <c r="C86" s="131"/>
      <c r="D86" s="131"/>
      <c r="E86" s="131"/>
      <c r="F86" s="131"/>
      <c r="H86" s="111">
        <v>81</v>
      </c>
      <c r="I86" s="112" t="str">
        <f t="shared" si="6"/>
        <v/>
      </c>
      <c r="J86" s="111" t="e">
        <f t="shared" si="7"/>
        <v>#NUM!</v>
      </c>
      <c r="K86" s="111" t="e">
        <f t="shared" si="8"/>
        <v>#NUM!</v>
      </c>
      <c r="L86" s="111"/>
      <c r="M86" s="113">
        <f t="shared" si="9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30"/>
      <c r="B87" s="131"/>
      <c r="C87" s="131"/>
      <c r="D87" s="131"/>
      <c r="E87" s="131"/>
      <c r="F87" s="131"/>
      <c r="H87" s="111">
        <v>82</v>
      </c>
      <c r="I87" s="112" t="str">
        <f t="shared" si="6"/>
        <v/>
      </c>
      <c r="J87" s="111" t="e">
        <f t="shared" si="7"/>
        <v>#NUM!</v>
      </c>
      <c r="K87" s="111" t="e">
        <f t="shared" si="8"/>
        <v>#NUM!</v>
      </c>
      <c r="L87" s="111"/>
      <c r="M87" s="113">
        <f t="shared" si="9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30"/>
      <c r="B88" s="131"/>
      <c r="C88" s="131"/>
      <c r="D88" s="131"/>
      <c r="E88" s="131"/>
      <c r="F88" s="131"/>
      <c r="H88" s="111">
        <v>83</v>
      </c>
      <c r="I88" s="112" t="str">
        <f t="shared" si="6"/>
        <v/>
      </c>
      <c r="J88" s="111" t="e">
        <f t="shared" si="7"/>
        <v>#NUM!</v>
      </c>
      <c r="K88" s="111" t="e">
        <f t="shared" si="8"/>
        <v>#NUM!</v>
      </c>
      <c r="L88" s="111"/>
      <c r="M88" s="113">
        <f t="shared" si="9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30"/>
      <c r="B89" s="131"/>
      <c r="C89" s="131"/>
      <c r="D89" s="131"/>
      <c r="E89" s="131"/>
      <c r="F89" s="131"/>
      <c r="H89" s="111">
        <v>84</v>
      </c>
      <c r="I89" s="112" t="str">
        <f t="shared" si="6"/>
        <v/>
      </c>
      <c r="J89" s="111" t="e">
        <f t="shared" si="7"/>
        <v>#NUM!</v>
      </c>
      <c r="K89" s="111" t="e">
        <f t="shared" si="8"/>
        <v>#NUM!</v>
      </c>
      <c r="L89" s="111"/>
      <c r="M89" s="113">
        <f t="shared" si="9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30"/>
      <c r="B90" s="131"/>
      <c r="C90" s="131"/>
      <c r="D90" s="131"/>
      <c r="E90" s="131"/>
      <c r="F90" s="131"/>
      <c r="H90" s="111">
        <v>85</v>
      </c>
      <c r="I90" s="112" t="str">
        <f t="shared" si="6"/>
        <v/>
      </c>
      <c r="J90" s="111" t="e">
        <f t="shared" si="7"/>
        <v>#NUM!</v>
      </c>
      <c r="K90" s="111" t="e">
        <f t="shared" si="8"/>
        <v>#NUM!</v>
      </c>
      <c r="L90" s="111"/>
      <c r="M90" s="113">
        <f t="shared" si="9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30"/>
      <c r="B91" s="131"/>
      <c r="C91" s="131"/>
      <c r="D91" s="131"/>
      <c r="E91" s="131"/>
      <c r="F91" s="131"/>
      <c r="H91" s="111">
        <v>86</v>
      </c>
      <c r="I91" s="112" t="str">
        <f t="shared" si="6"/>
        <v/>
      </c>
      <c r="J91" s="111" t="e">
        <f t="shared" si="7"/>
        <v>#NUM!</v>
      </c>
      <c r="K91" s="111" t="e">
        <f t="shared" si="8"/>
        <v>#NUM!</v>
      </c>
      <c r="L91" s="111"/>
      <c r="M91" s="113">
        <f t="shared" si="9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30"/>
      <c r="B92" s="131"/>
      <c r="C92" s="131"/>
      <c r="D92" s="131"/>
      <c r="E92" s="131"/>
      <c r="F92" s="131"/>
      <c r="H92" s="111">
        <v>87</v>
      </c>
      <c r="I92" s="112" t="str">
        <f t="shared" si="6"/>
        <v/>
      </c>
      <c r="J92" s="111" t="e">
        <f t="shared" si="7"/>
        <v>#NUM!</v>
      </c>
      <c r="K92" s="111" t="e">
        <f t="shared" si="8"/>
        <v>#NUM!</v>
      </c>
      <c r="L92" s="111"/>
      <c r="M92" s="113">
        <f t="shared" si="9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30"/>
      <c r="B93" s="131"/>
      <c r="C93" s="131"/>
      <c r="D93" s="131"/>
      <c r="E93" s="131"/>
      <c r="F93" s="131"/>
      <c r="H93" s="111">
        <v>88</v>
      </c>
      <c r="I93" s="112" t="str">
        <f t="shared" si="6"/>
        <v/>
      </c>
      <c r="J93" s="111" t="e">
        <f t="shared" si="7"/>
        <v>#NUM!</v>
      </c>
      <c r="K93" s="111" t="e">
        <f t="shared" si="8"/>
        <v>#NUM!</v>
      </c>
      <c r="L93" s="111"/>
      <c r="M93" s="113">
        <f t="shared" si="9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30"/>
      <c r="B94" s="131"/>
      <c r="C94" s="131"/>
      <c r="D94" s="131"/>
      <c r="E94" s="131"/>
      <c r="F94" s="131"/>
      <c r="H94" s="111">
        <v>89</v>
      </c>
      <c r="I94" s="112" t="str">
        <f t="shared" si="6"/>
        <v/>
      </c>
      <c r="J94" s="111" t="e">
        <f t="shared" si="7"/>
        <v>#NUM!</v>
      </c>
      <c r="K94" s="111" t="e">
        <f t="shared" si="8"/>
        <v>#NUM!</v>
      </c>
      <c r="L94" s="111"/>
      <c r="M94" s="113">
        <f t="shared" si="9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30"/>
      <c r="B95" s="131"/>
      <c r="C95" s="131"/>
      <c r="D95" s="131"/>
      <c r="E95" s="131"/>
      <c r="F95" s="131"/>
      <c r="H95" s="111">
        <v>90</v>
      </c>
      <c r="I95" s="112" t="str">
        <f t="shared" si="6"/>
        <v/>
      </c>
      <c r="J95" s="111" t="e">
        <f t="shared" si="7"/>
        <v>#NUM!</v>
      </c>
      <c r="K95" s="111" t="e">
        <f t="shared" si="8"/>
        <v>#NUM!</v>
      </c>
      <c r="L95" s="111"/>
      <c r="M95" s="113">
        <f t="shared" si="9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30"/>
      <c r="B96" s="131"/>
      <c r="C96" s="131"/>
      <c r="D96" s="131"/>
      <c r="E96" s="131"/>
      <c r="F96" s="131"/>
      <c r="H96" s="111">
        <v>91</v>
      </c>
      <c r="I96" s="112" t="str">
        <f t="shared" si="6"/>
        <v/>
      </c>
      <c r="J96" s="111" t="e">
        <f t="shared" si="7"/>
        <v>#NUM!</v>
      </c>
      <c r="K96" s="111" t="e">
        <f t="shared" si="8"/>
        <v>#NUM!</v>
      </c>
      <c r="L96" s="111"/>
      <c r="M96" s="113">
        <f t="shared" si="9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30"/>
      <c r="B97" s="131"/>
      <c r="C97" s="131"/>
      <c r="D97" s="131"/>
      <c r="E97" s="131"/>
      <c r="F97" s="131"/>
      <c r="H97" s="111">
        <v>92</v>
      </c>
      <c r="I97" s="112" t="str">
        <f t="shared" si="6"/>
        <v/>
      </c>
      <c r="J97" s="111" t="e">
        <f t="shared" si="7"/>
        <v>#NUM!</v>
      </c>
      <c r="K97" s="111" t="e">
        <f t="shared" si="8"/>
        <v>#NUM!</v>
      </c>
      <c r="L97" s="111"/>
      <c r="M97" s="113">
        <f t="shared" si="9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30"/>
      <c r="B98" s="131"/>
      <c r="C98" s="131"/>
      <c r="D98" s="131"/>
      <c r="E98" s="131"/>
      <c r="F98" s="131"/>
      <c r="H98" s="111">
        <v>93</v>
      </c>
      <c r="I98" s="112" t="str">
        <f t="shared" si="6"/>
        <v/>
      </c>
      <c r="J98" s="111" t="e">
        <f t="shared" si="7"/>
        <v>#NUM!</v>
      </c>
      <c r="K98" s="111" t="e">
        <f t="shared" si="8"/>
        <v>#NUM!</v>
      </c>
      <c r="L98" s="111"/>
      <c r="M98" s="113">
        <f t="shared" si="9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30"/>
      <c r="B99" s="131"/>
      <c r="C99" s="131"/>
      <c r="D99" s="131"/>
      <c r="E99" s="131"/>
      <c r="F99" s="131"/>
      <c r="H99" s="111">
        <v>94</v>
      </c>
      <c r="I99" s="112" t="str">
        <f t="shared" si="6"/>
        <v/>
      </c>
      <c r="J99" s="111" t="e">
        <f t="shared" si="7"/>
        <v>#NUM!</v>
      </c>
      <c r="K99" s="111" t="e">
        <f t="shared" si="8"/>
        <v>#NUM!</v>
      </c>
      <c r="L99" s="111"/>
      <c r="M99" s="113">
        <f t="shared" si="9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30"/>
      <c r="B100" s="131"/>
      <c r="C100" s="131"/>
      <c r="D100" s="131"/>
      <c r="E100" s="131"/>
      <c r="F100" s="131"/>
      <c r="H100" s="111">
        <v>95</v>
      </c>
      <c r="I100" s="112" t="str">
        <f t="shared" si="6"/>
        <v/>
      </c>
      <c r="J100" s="111" t="e">
        <f t="shared" si="7"/>
        <v>#NUM!</v>
      </c>
      <c r="K100" s="111" t="e">
        <f t="shared" si="8"/>
        <v>#NUM!</v>
      </c>
      <c r="L100" s="111"/>
      <c r="M100" s="113">
        <f t="shared" si="9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30"/>
      <c r="B101" s="131"/>
      <c r="C101" s="131"/>
      <c r="D101" s="131"/>
      <c r="E101" s="131"/>
      <c r="F101" s="131"/>
      <c r="H101" s="111">
        <v>96</v>
      </c>
      <c r="I101" s="112" t="str">
        <f t="shared" si="6"/>
        <v/>
      </c>
      <c r="J101" s="111" t="e">
        <f t="shared" si="7"/>
        <v>#NUM!</v>
      </c>
      <c r="K101" s="111" t="e">
        <f t="shared" si="8"/>
        <v>#NUM!</v>
      </c>
      <c r="L101" s="111"/>
      <c r="M101" s="113">
        <f t="shared" si="9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30"/>
      <c r="B102" s="131"/>
      <c r="C102" s="131"/>
      <c r="D102" s="131"/>
      <c r="E102" s="131"/>
      <c r="F102" s="131"/>
      <c r="H102" s="111">
        <v>97</v>
      </c>
      <c r="I102" s="112" t="str">
        <f t="shared" si="6"/>
        <v/>
      </c>
      <c r="J102" s="111" t="e">
        <f t="shared" si="7"/>
        <v>#NUM!</v>
      </c>
      <c r="K102" s="111" t="e">
        <f t="shared" si="8"/>
        <v>#NUM!</v>
      </c>
      <c r="L102" s="111"/>
      <c r="M102" s="113">
        <f t="shared" si="9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30"/>
      <c r="B103" s="131"/>
      <c r="C103" s="131"/>
      <c r="D103" s="131"/>
      <c r="E103" s="131"/>
      <c r="F103" s="131"/>
      <c r="H103" s="111">
        <v>98</v>
      </c>
      <c r="I103" s="112" t="str">
        <f t="shared" si="6"/>
        <v/>
      </c>
      <c r="J103" s="111" t="e">
        <f t="shared" si="7"/>
        <v>#NUM!</v>
      </c>
      <c r="K103" s="111" t="e">
        <f t="shared" si="8"/>
        <v>#NUM!</v>
      </c>
      <c r="L103" s="111"/>
      <c r="M103" s="113">
        <f t="shared" si="9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30"/>
      <c r="B104" s="131"/>
      <c r="C104" s="131"/>
      <c r="D104" s="131"/>
      <c r="E104" s="131"/>
      <c r="F104" s="131"/>
      <c r="H104" s="111">
        <v>99</v>
      </c>
      <c r="I104" s="112" t="str">
        <f t="shared" si="6"/>
        <v/>
      </c>
      <c r="J104" s="111" t="e">
        <f t="shared" si="7"/>
        <v>#NUM!</v>
      </c>
      <c r="K104" s="111" t="e">
        <f t="shared" si="8"/>
        <v>#NUM!</v>
      </c>
      <c r="L104" s="111"/>
      <c r="M104" s="113">
        <f t="shared" si="9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30"/>
      <c r="B105" s="131"/>
      <c r="C105" s="131"/>
      <c r="D105" s="131"/>
      <c r="E105" s="131"/>
      <c r="F105" s="131"/>
      <c r="H105" s="111">
        <v>100</v>
      </c>
      <c r="I105" s="112" t="str">
        <f t="shared" si="6"/>
        <v/>
      </c>
      <c r="J105" s="111" t="e">
        <f t="shared" si="7"/>
        <v>#NUM!</v>
      </c>
      <c r="K105" s="111" t="e">
        <f t="shared" si="8"/>
        <v>#NUM!</v>
      </c>
      <c r="L105" s="111"/>
      <c r="M105" s="113">
        <f t="shared" si="9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30"/>
      <c r="B106" s="131"/>
      <c r="C106" s="131"/>
      <c r="D106" s="131"/>
      <c r="E106" s="131"/>
      <c r="F106" s="131"/>
      <c r="H106" s="111">
        <v>101</v>
      </c>
      <c r="I106" s="112" t="str">
        <f t="shared" si="6"/>
        <v/>
      </c>
      <c r="J106" s="111" t="e">
        <f t="shared" si="7"/>
        <v>#NUM!</v>
      </c>
      <c r="K106" s="111" t="e">
        <f t="shared" si="8"/>
        <v>#NUM!</v>
      </c>
      <c r="L106" s="111"/>
      <c r="M106" s="113">
        <f t="shared" si="9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30"/>
      <c r="B107" s="131"/>
      <c r="C107" s="131"/>
      <c r="D107" s="131"/>
      <c r="E107" s="131"/>
      <c r="F107" s="131"/>
      <c r="H107" s="111">
        <v>102</v>
      </c>
      <c r="I107" s="112" t="str">
        <f t="shared" si="6"/>
        <v/>
      </c>
      <c r="J107" s="111" t="e">
        <f t="shared" si="7"/>
        <v>#NUM!</v>
      </c>
      <c r="K107" s="111" t="e">
        <f t="shared" si="8"/>
        <v>#NUM!</v>
      </c>
      <c r="L107" s="111"/>
      <c r="M107" s="113">
        <f t="shared" si="9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30"/>
      <c r="B108" s="131"/>
      <c r="C108" s="131"/>
      <c r="D108" s="131"/>
      <c r="E108" s="131"/>
      <c r="F108" s="131"/>
      <c r="H108" s="111">
        <v>103</v>
      </c>
      <c r="I108" s="112" t="str">
        <f t="shared" si="6"/>
        <v/>
      </c>
      <c r="J108" s="111" t="e">
        <f t="shared" si="7"/>
        <v>#NUM!</v>
      </c>
      <c r="K108" s="111" t="e">
        <f t="shared" si="8"/>
        <v>#NUM!</v>
      </c>
      <c r="L108" s="111"/>
      <c r="M108" s="113">
        <f t="shared" si="9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30"/>
      <c r="B109" s="131"/>
      <c r="C109" s="131"/>
      <c r="D109" s="131"/>
      <c r="E109" s="131"/>
      <c r="F109" s="131"/>
      <c r="H109" s="111">
        <v>104</v>
      </c>
      <c r="I109" s="112" t="str">
        <f t="shared" si="6"/>
        <v/>
      </c>
      <c r="J109" s="111" t="e">
        <f t="shared" si="7"/>
        <v>#NUM!</v>
      </c>
      <c r="K109" s="111" t="e">
        <f t="shared" si="8"/>
        <v>#NUM!</v>
      </c>
      <c r="L109" s="111"/>
      <c r="M109" s="113">
        <f t="shared" si="9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30"/>
      <c r="B110" s="131"/>
      <c r="C110" s="131"/>
      <c r="D110" s="131"/>
      <c r="E110" s="131"/>
      <c r="F110" s="131"/>
      <c r="H110" s="111">
        <v>105</v>
      </c>
      <c r="I110" s="112" t="str">
        <f t="shared" si="6"/>
        <v/>
      </c>
      <c r="J110" s="111" t="e">
        <f t="shared" si="7"/>
        <v>#NUM!</v>
      </c>
      <c r="K110" s="111" t="e">
        <f t="shared" si="8"/>
        <v>#NUM!</v>
      </c>
      <c r="L110" s="111"/>
      <c r="M110" s="113">
        <f t="shared" si="9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30"/>
      <c r="B111" s="131"/>
      <c r="C111" s="131"/>
      <c r="D111" s="131"/>
      <c r="E111" s="131"/>
      <c r="F111" s="131"/>
      <c r="H111" s="111">
        <v>106</v>
      </c>
      <c r="I111" s="112" t="str">
        <f t="shared" si="6"/>
        <v/>
      </c>
      <c r="J111" s="111" t="e">
        <f t="shared" si="7"/>
        <v>#NUM!</v>
      </c>
      <c r="K111" s="111" t="e">
        <f t="shared" si="8"/>
        <v>#NUM!</v>
      </c>
      <c r="L111" s="111"/>
      <c r="M111" s="113">
        <f t="shared" si="9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30"/>
      <c r="B112" s="131"/>
      <c r="C112" s="131"/>
      <c r="D112" s="131"/>
      <c r="E112" s="131"/>
      <c r="F112" s="131"/>
      <c r="H112" s="111">
        <v>107</v>
      </c>
      <c r="I112" s="112" t="str">
        <f t="shared" si="6"/>
        <v/>
      </c>
      <c r="J112" s="111" t="e">
        <f t="shared" si="7"/>
        <v>#NUM!</v>
      </c>
      <c r="K112" s="111" t="e">
        <f t="shared" si="8"/>
        <v>#NUM!</v>
      </c>
      <c r="L112" s="111"/>
      <c r="M112" s="113">
        <f t="shared" si="9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30"/>
      <c r="B113" s="131"/>
      <c r="C113" s="131"/>
      <c r="D113" s="131"/>
      <c r="E113" s="131"/>
      <c r="F113" s="131"/>
      <c r="H113" s="111">
        <v>108</v>
      </c>
      <c r="I113" s="112" t="str">
        <f t="shared" si="6"/>
        <v/>
      </c>
      <c r="J113" s="111" t="e">
        <f t="shared" si="7"/>
        <v>#NUM!</v>
      </c>
      <c r="K113" s="111" t="e">
        <f t="shared" si="8"/>
        <v>#NUM!</v>
      </c>
      <c r="L113" s="111"/>
      <c r="M113" s="113">
        <f t="shared" si="9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30"/>
      <c r="B114" s="131"/>
      <c r="C114" s="131"/>
      <c r="D114" s="131"/>
      <c r="E114" s="131"/>
      <c r="F114" s="131"/>
      <c r="H114" s="111">
        <v>109</v>
      </c>
      <c r="I114" s="112" t="str">
        <f t="shared" si="6"/>
        <v/>
      </c>
      <c r="J114" s="111" t="e">
        <f t="shared" si="7"/>
        <v>#NUM!</v>
      </c>
      <c r="K114" s="111" t="e">
        <f t="shared" si="8"/>
        <v>#NUM!</v>
      </c>
      <c r="L114" s="111"/>
      <c r="M114" s="113">
        <f t="shared" si="9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30"/>
      <c r="B115" s="131"/>
      <c r="C115" s="131"/>
      <c r="D115" s="131"/>
      <c r="E115" s="131"/>
      <c r="F115" s="131"/>
      <c r="H115" s="111">
        <v>110</v>
      </c>
      <c r="I115" s="112" t="str">
        <f t="shared" si="6"/>
        <v/>
      </c>
      <c r="J115" s="111" t="e">
        <f t="shared" si="7"/>
        <v>#NUM!</v>
      </c>
      <c r="K115" s="111" t="e">
        <f t="shared" si="8"/>
        <v>#NUM!</v>
      </c>
      <c r="L115" s="111"/>
      <c r="M115" s="113">
        <f t="shared" si="9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30"/>
      <c r="B116" s="131"/>
      <c r="C116" s="131"/>
      <c r="D116" s="131"/>
      <c r="E116" s="131"/>
      <c r="F116" s="131"/>
      <c r="H116" s="111">
        <v>111</v>
      </c>
      <c r="I116" s="112" t="str">
        <f t="shared" si="6"/>
        <v/>
      </c>
      <c r="J116" s="111" t="e">
        <f t="shared" si="7"/>
        <v>#NUM!</v>
      </c>
      <c r="K116" s="111" t="e">
        <f t="shared" si="8"/>
        <v>#NUM!</v>
      </c>
      <c r="L116" s="111"/>
      <c r="M116" s="113">
        <f t="shared" si="9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30"/>
      <c r="B117" s="131"/>
      <c r="C117" s="131"/>
      <c r="D117" s="131"/>
      <c r="E117" s="131"/>
      <c r="F117" s="131"/>
      <c r="H117" s="111">
        <v>112</v>
      </c>
      <c r="I117" s="112" t="str">
        <f t="shared" si="6"/>
        <v/>
      </c>
      <c r="J117" s="111" t="e">
        <f t="shared" si="7"/>
        <v>#NUM!</v>
      </c>
      <c r="K117" s="111" t="e">
        <f t="shared" si="8"/>
        <v>#NUM!</v>
      </c>
      <c r="L117" s="111"/>
      <c r="M117" s="113">
        <f t="shared" si="9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30"/>
      <c r="B118" s="131"/>
      <c r="C118" s="131"/>
      <c r="D118" s="131"/>
      <c r="E118" s="131"/>
      <c r="F118" s="131"/>
      <c r="H118" s="111">
        <v>113</v>
      </c>
      <c r="I118" s="112" t="str">
        <f t="shared" si="6"/>
        <v/>
      </c>
      <c r="J118" s="111" t="e">
        <f t="shared" si="7"/>
        <v>#NUM!</v>
      </c>
      <c r="K118" s="111" t="e">
        <f t="shared" si="8"/>
        <v>#NUM!</v>
      </c>
      <c r="L118" s="111"/>
      <c r="M118" s="113">
        <f t="shared" si="9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30"/>
      <c r="B119" s="131"/>
      <c r="C119" s="131"/>
      <c r="D119" s="131"/>
      <c r="E119" s="131"/>
      <c r="F119" s="131"/>
      <c r="H119" s="111">
        <v>114</v>
      </c>
      <c r="I119" s="112" t="str">
        <f t="shared" si="6"/>
        <v/>
      </c>
      <c r="J119" s="111" t="e">
        <f t="shared" si="7"/>
        <v>#NUM!</v>
      </c>
      <c r="K119" s="111" t="e">
        <f t="shared" si="8"/>
        <v>#NUM!</v>
      </c>
      <c r="L119" s="111"/>
      <c r="M119" s="113">
        <f t="shared" si="9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30"/>
      <c r="B120" s="131"/>
      <c r="C120" s="131"/>
      <c r="D120" s="131"/>
      <c r="E120" s="131"/>
      <c r="F120" s="131"/>
      <c r="H120" s="111">
        <v>115</v>
      </c>
      <c r="I120" s="112" t="str">
        <f t="shared" si="6"/>
        <v/>
      </c>
      <c r="J120" s="111" t="e">
        <f t="shared" si="7"/>
        <v>#NUM!</v>
      </c>
      <c r="K120" s="111" t="e">
        <f t="shared" si="8"/>
        <v>#NUM!</v>
      </c>
      <c r="L120" s="111"/>
      <c r="M120" s="113">
        <f t="shared" si="9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30"/>
      <c r="B121" s="131"/>
      <c r="C121" s="131"/>
      <c r="D121" s="131"/>
      <c r="E121" s="131"/>
      <c r="F121" s="131"/>
      <c r="H121" s="111">
        <v>116</v>
      </c>
      <c r="I121" s="112" t="str">
        <f t="shared" si="6"/>
        <v/>
      </c>
      <c r="J121" s="111" t="e">
        <f t="shared" si="7"/>
        <v>#NUM!</v>
      </c>
      <c r="K121" s="111" t="e">
        <f t="shared" si="8"/>
        <v>#NUM!</v>
      </c>
      <c r="L121" s="111"/>
      <c r="M121" s="113">
        <f t="shared" si="9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30"/>
      <c r="B122" s="131"/>
      <c r="C122" s="131"/>
      <c r="D122" s="131"/>
      <c r="E122" s="131"/>
      <c r="F122" s="131"/>
      <c r="H122" s="111">
        <v>117</v>
      </c>
      <c r="I122" s="112" t="str">
        <f t="shared" si="6"/>
        <v/>
      </c>
      <c r="J122" s="111" t="e">
        <f t="shared" si="7"/>
        <v>#NUM!</v>
      </c>
      <c r="K122" s="111" t="e">
        <f t="shared" si="8"/>
        <v>#NUM!</v>
      </c>
      <c r="L122" s="111"/>
      <c r="M122" s="113">
        <f t="shared" si="9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30"/>
      <c r="B123" s="131"/>
      <c r="C123" s="131"/>
      <c r="D123" s="131"/>
      <c r="E123" s="131"/>
      <c r="F123" s="131"/>
      <c r="H123" s="111">
        <v>118</v>
      </c>
      <c r="I123" s="112" t="str">
        <f t="shared" si="6"/>
        <v/>
      </c>
      <c r="J123" s="111" t="e">
        <f t="shared" si="7"/>
        <v>#NUM!</v>
      </c>
      <c r="K123" s="111" t="e">
        <f t="shared" si="8"/>
        <v>#NUM!</v>
      </c>
      <c r="L123" s="111"/>
      <c r="M123" s="113">
        <f t="shared" si="9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30"/>
      <c r="B124" s="131"/>
      <c r="C124" s="131"/>
      <c r="D124" s="131"/>
      <c r="E124" s="131"/>
      <c r="F124" s="131"/>
      <c r="H124" s="111">
        <v>119</v>
      </c>
      <c r="I124" s="112" t="str">
        <f t="shared" si="6"/>
        <v/>
      </c>
      <c r="J124" s="111" t="e">
        <f t="shared" si="7"/>
        <v>#NUM!</v>
      </c>
      <c r="K124" s="111" t="e">
        <f t="shared" si="8"/>
        <v>#NUM!</v>
      </c>
      <c r="L124" s="111"/>
      <c r="M124" s="113">
        <f t="shared" si="9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30"/>
      <c r="B125" s="131"/>
      <c r="C125" s="131"/>
      <c r="D125" s="131"/>
      <c r="E125" s="131"/>
      <c r="F125" s="131"/>
      <c r="H125" s="111">
        <v>120</v>
      </c>
      <c r="I125" s="112" t="str">
        <f t="shared" si="6"/>
        <v/>
      </c>
      <c r="J125" s="111" t="e">
        <f t="shared" si="7"/>
        <v>#NUM!</v>
      </c>
      <c r="K125" s="111" t="e">
        <f t="shared" si="8"/>
        <v>#NUM!</v>
      </c>
      <c r="L125" s="111"/>
      <c r="M125" s="113">
        <f t="shared" si="9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30"/>
      <c r="B126" s="131"/>
      <c r="C126" s="131"/>
      <c r="D126" s="131"/>
      <c r="E126" s="131"/>
      <c r="F126" s="131"/>
      <c r="H126" s="111">
        <v>121</v>
      </c>
      <c r="I126" s="112" t="str">
        <f t="shared" si="6"/>
        <v/>
      </c>
      <c r="J126" s="111" t="e">
        <f t="shared" si="7"/>
        <v>#NUM!</v>
      </c>
      <c r="K126" s="111" t="e">
        <f t="shared" si="8"/>
        <v>#NUM!</v>
      </c>
      <c r="L126" s="111"/>
      <c r="M126" s="113">
        <f t="shared" si="9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30"/>
      <c r="B127" s="131"/>
      <c r="C127" s="131"/>
      <c r="D127" s="131"/>
      <c r="E127" s="131"/>
      <c r="F127" s="131"/>
      <c r="H127" s="111">
        <v>122</v>
      </c>
      <c r="I127" s="112" t="str">
        <f t="shared" si="6"/>
        <v/>
      </c>
      <c r="J127" s="111" t="e">
        <f t="shared" si="7"/>
        <v>#NUM!</v>
      </c>
      <c r="K127" s="111" t="e">
        <f t="shared" si="8"/>
        <v>#NUM!</v>
      </c>
      <c r="L127" s="111"/>
      <c r="M127" s="113">
        <f t="shared" si="9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30"/>
      <c r="B128" s="131"/>
      <c r="C128" s="131"/>
      <c r="D128" s="131"/>
      <c r="E128" s="131"/>
      <c r="F128" s="131"/>
      <c r="H128" s="111">
        <v>123</v>
      </c>
      <c r="I128" s="112" t="str">
        <f t="shared" si="6"/>
        <v/>
      </c>
      <c r="J128" s="111" t="e">
        <f t="shared" si="7"/>
        <v>#NUM!</v>
      </c>
      <c r="K128" s="111" t="e">
        <f t="shared" si="8"/>
        <v>#NUM!</v>
      </c>
      <c r="L128" s="111"/>
      <c r="M128" s="113">
        <f t="shared" si="9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30"/>
      <c r="B129" s="131"/>
      <c r="C129" s="131"/>
      <c r="D129" s="131"/>
      <c r="E129" s="131"/>
      <c r="F129" s="131"/>
      <c r="H129" s="111">
        <v>124</v>
      </c>
      <c r="I129" s="112" t="str">
        <f t="shared" si="6"/>
        <v/>
      </c>
      <c r="J129" s="111" t="e">
        <f t="shared" si="7"/>
        <v>#NUM!</v>
      </c>
      <c r="K129" s="111" t="e">
        <f t="shared" si="8"/>
        <v>#NUM!</v>
      </c>
      <c r="L129" s="111"/>
      <c r="M129" s="113">
        <f t="shared" si="9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30"/>
      <c r="B130" s="131"/>
      <c r="C130" s="131"/>
      <c r="D130" s="131"/>
      <c r="E130" s="131"/>
      <c r="F130" s="131"/>
      <c r="H130" s="111">
        <v>125</v>
      </c>
      <c r="I130" s="112" t="str">
        <f t="shared" si="6"/>
        <v/>
      </c>
      <c r="J130" s="111" t="e">
        <f t="shared" si="7"/>
        <v>#NUM!</v>
      </c>
      <c r="K130" s="111" t="e">
        <f t="shared" si="8"/>
        <v>#NUM!</v>
      </c>
      <c r="L130" s="111"/>
      <c r="M130" s="113">
        <f t="shared" si="9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30"/>
      <c r="B131" s="131"/>
      <c r="C131" s="131"/>
      <c r="D131" s="131"/>
      <c r="E131" s="131"/>
      <c r="F131" s="131"/>
      <c r="H131" s="111">
        <v>126</v>
      </c>
      <c r="I131" s="112" t="str">
        <f t="shared" si="6"/>
        <v/>
      </c>
      <c r="J131" s="111" t="e">
        <f t="shared" si="7"/>
        <v>#NUM!</v>
      </c>
      <c r="K131" s="111" t="e">
        <f t="shared" si="8"/>
        <v>#NUM!</v>
      </c>
      <c r="L131" s="111"/>
      <c r="M131" s="113">
        <f t="shared" si="9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30"/>
      <c r="B132" s="131"/>
      <c r="C132" s="131"/>
      <c r="D132" s="131"/>
      <c r="E132" s="131"/>
      <c r="F132" s="131"/>
      <c r="H132" s="111">
        <v>127</v>
      </c>
      <c r="I132" s="112" t="str">
        <f t="shared" si="6"/>
        <v/>
      </c>
      <c r="J132" s="111" t="e">
        <f t="shared" si="7"/>
        <v>#NUM!</v>
      </c>
      <c r="K132" s="111" t="e">
        <f t="shared" si="8"/>
        <v>#NUM!</v>
      </c>
      <c r="L132" s="111"/>
      <c r="M132" s="113">
        <f t="shared" si="9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30"/>
      <c r="B133" s="131"/>
      <c r="C133" s="131"/>
      <c r="D133" s="131"/>
      <c r="E133" s="131"/>
      <c r="F133" s="131"/>
      <c r="H133" s="111">
        <v>128</v>
      </c>
      <c r="I133" s="112" t="str">
        <f t="shared" si="6"/>
        <v/>
      </c>
      <c r="J133" s="111" t="e">
        <f t="shared" si="7"/>
        <v>#NUM!</v>
      </c>
      <c r="K133" s="111" t="e">
        <f t="shared" si="8"/>
        <v>#NUM!</v>
      </c>
      <c r="L133" s="111"/>
      <c r="M133" s="113">
        <f t="shared" si="9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30"/>
      <c r="B134" s="131"/>
      <c r="C134" s="131"/>
      <c r="D134" s="131"/>
      <c r="E134" s="131"/>
      <c r="F134" s="131"/>
      <c r="H134" s="111">
        <v>129</v>
      </c>
      <c r="I134" s="112" t="str">
        <f t="shared" ref="I134:I197" si="10">IF(H134&lt;$H$2+1,($I$2-($I$2-1)*(LOG(H134)/LOG($H$2))),"")</f>
        <v/>
      </c>
      <c r="J134" s="111" t="e">
        <f t="shared" ref="J134:J197" si="11">INT(LOG($H$2,2))-ROUNDUP(LOG(H134,2),0)+IF(OR($H$2=1,$H$2=2,$H$2=4,$H$2=8,$H$2=16,$H$2=32,$H$2=64,$H$2=128,$H$2=256),0,1)</f>
        <v>#NUM!</v>
      </c>
      <c r="K134" s="111" t="e">
        <f t="shared" ref="K134:K197" si="12">J134*$J$2</f>
        <v>#NUM!</v>
      </c>
      <c r="L134" s="111"/>
      <c r="M134" s="113">
        <f t="shared" ref="M134:M197" si="13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30"/>
      <c r="B135" s="131"/>
      <c r="C135" s="131"/>
      <c r="D135" s="131"/>
      <c r="E135" s="131"/>
      <c r="F135" s="131"/>
      <c r="H135" s="111">
        <v>130</v>
      </c>
      <c r="I135" s="112" t="str">
        <f t="shared" si="10"/>
        <v/>
      </c>
      <c r="J135" s="111" t="e">
        <f t="shared" si="11"/>
        <v>#NUM!</v>
      </c>
      <c r="K135" s="111" t="e">
        <f t="shared" si="12"/>
        <v>#NUM!</v>
      </c>
      <c r="L135" s="111"/>
      <c r="M135" s="113">
        <f t="shared" si="13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30"/>
      <c r="B136" s="131"/>
      <c r="C136" s="131"/>
      <c r="D136" s="131"/>
      <c r="E136" s="131"/>
      <c r="F136" s="131"/>
      <c r="H136" s="111">
        <v>131</v>
      </c>
      <c r="I136" s="112" t="str">
        <f t="shared" si="10"/>
        <v/>
      </c>
      <c r="J136" s="111" t="e">
        <f t="shared" si="11"/>
        <v>#NUM!</v>
      </c>
      <c r="K136" s="111" t="e">
        <f t="shared" si="12"/>
        <v>#NUM!</v>
      </c>
      <c r="L136" s="111"/>
      <c r="M136" s="113">
        <f t="shared" si="13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30"/>
      <c r="B137" s="131"/>
      <c r="C137" s="131"/>
      <c r="D137" s="131"/>
      <c r="E137" s="131"/>
      <c r="F137" s="131"/>
      <c r="H137" s="111">
        <v>132</v>
      </c>
      <c r="I137" s="112" t="str">
        <f t="shared" si="10"/>
        <v/>
      </c>
      <c r="J137" s="111" t="e">
        <f t="shared" si="11"/>
        <v>#NUM!</v>
      </c>
      <c r="K137" s="111" t="e">
        <f t="shared" si="12"/>
        <v>#NUM!</v>
      </c>
      <c r="L137" s="111"/>
      <c r="M137" s="113">
        <f t="shared" si="13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30"/>
      <c r="B138" s="131"/>
      <c r="C138" s="131"/>
      <c r="D138" s="131"/>
      <c r="E138" s="131"/>
      <c r="F138" s="131"/>
      <c r="H138" s="111">
        <v>133</v>
      </c>
      <c r="I138" s="112" t="str">
        <f t="shared" si="10"/>
        <v/>
      </c>
      <c r="J138" s="111" t="e">
        <f t="shared" si="11"/>
        <v>#NUM!</v>
      </c>
      <c r="K138" s="111" t="e">
        <f t="shared" si="12"/>
        <v>#NUM!</v>
      </c>
      <c r="L138" s="111"/>
      <c r="M138" s="113">
        <f t="shared" si="13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30"/>
      <c r="B139" s="131"/>
      <c r="C139" s="131"/>
      <c r="D139" s="131"/>
      <c r="E139" s="131"/>
      <c r="F139" s="131"/>
      <c r="H139" s="111">
        <v>134</v>
      </c>
      <c r="I139" s="112" t="str">
        <f t="shared" si="10"/>
        <v/>
      </c>
      <c r="J139" s="111" t="e">
        <f t="shared" si="11"/>
        <v>#NUM!</v>
      </c>
      <c r="K139" s="111" t="e">
        <f t="shared" si="12"/>
        <v>#NUM!</v>
      </c>
      <c r="L139" s="111"/>
      <c r="M139" s="113">
        <f t="shared" si="13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30"/>
      <c r="B140" s="131"/>
      <c r="C140" s="131"/>
      <c r="D140" s="131"/>
      <c r="E140" s="131"/>
      <c r="F140" s="131"/>
      <c r="H140" s="111">
        <v>135</v>
      </c>
      <c r="I140" s="112" t="str">
        <f t="shared" si="10"/>
        <v/>
      </c>
      <c r="J140" s="111" t="e">
        <f t="shared" si="11"/>
        <v>#NUM!</v>
      </c>
      <c r="K140" s="111" t="e">
        <f t="shared" si="12"/>
        <v>#NUM!</v>
      </c>
      <c r="L140" s="111"/>
      <c r="M140" s="113">
        <f t="shared" si="13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s="96" customFormat="1">
      <c r="A141" s="130"/>
      <c r="B141" s="131"/>
      <c r="C141" s="131"/>
      <c r="D141" s="131"/>
      <c r="E141" s="131"/>
      <c r="F141" s="131"/>
      <c r="H141" s="111">
        <v>136</v>
      </c>
      <c r="I141" s="112" t="str">
        <f t="shared" si="10"/>
        <v/>
      </c>
      <c r="J141" s="111" t="e">
        <f t="shared" si="11"/>
        <v>#NUM!</v>
      </c>
      <c r="K141" s="111" t="e">
        <f t="shared" si="12"/>
        <v>#NUM!</v>
      </c>
      <c r="L141" s="111"/>
      <c r="M141" s="113">
        <f t="shared" si="13"/>
        <v>0</v>
      </c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s="96" customFormat="1">
      <c r="A142" s="130"/>
      <c r="B142" s="131"/>
      <c r="C142" s="131"/>
      <c r="D142" s="131"/>
      <c r="E142" s="131"/>
      <c r="F142" s="131"/>
      <c r="H142" s="111">
        <v>137</v>
      </c>
      <c r="I142" s="112" t="str">
        <f t="shared" si="10"/>
        <v/>
      </c>
      <c r="J142" s="111" t="e">
        <f t="shared" si="11"/>
        <v>#NUM!</v>
      </c>
      <c r="K142" s="111" t="e">
        <f t="shared" si="12"/>
        <v>#NUM!</v>
      </c>
      <c r="L142" s="111"/>
      <c r="M142" s="113">
        <f t="shared" si="13"/>
        <v>0</v>
      </c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s="96" customFormat="1">
      <c r="A143" s="130"/>
      <c r="B143" s="131"/>
      <c r="C143" s="131"/>
      <c r="D143" s="131"/>
      <c r="E143" s="131"/>
      <c r="F143" s="131"/>
      <c r="H143" s="111">
        <v>138</v>
      </c>
      <c r="I143" s="112" t="str">
        <f t="shared" si="10"/>
        <v/>
      </c>
      <c r="J143" s="111" t="e">
        <f t="shared" si="11"/>
        <v>#NUM!</v>
      </c>
      <c r="K143" s="111" t="e">
        <f t="shared" si="12"/>
        <v>#NUM!</v>
      </c>
      <c r="L143" s="111"/>
      <c r="M143" s="113">
        <f t="shared" si="13"/>
        <v>0</v>
      </c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s="96" customFormat="1">
      <c r="A144" s="130"/>
      <c r="B144" s="131"/>
      <c r="C144" s="131"/>
      <c r="D144" s="131"/>
      <c r="E144" s="131"/>
      <c r="F144" s="131"/>
      <c r="H144" s="111">
        <v>139</v>
      </c>
      <c r="I144" s="112" t="str">
        <f t="shared" si="10"/>
        <v/>
      </c>
      <c r="J144" s="111" t="e">
        <f t="shared" si="11"/>
        <v>#NUM!</v>
      </c>
      <c r="K144" s="111" t="e">
        <f t="shared" si="12"/>
        <v>#NUM!</v>
      </c>
      <c r="L144" s="111"/>
      <c r="M144" s="113">
        <f t="shared" si="13"/>
        <v>0</v>
      </c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s="96" customFormat="1">
      <c r="A145" s="130"/>
      <c r="B145" s="131"/>
      <c r="C145" s="131"/>
      <c r="D145" s="131"/>
      <c r="E145" s="131"/>
      <c r="F145" s="131"/>
      <c r="H145" s="111">
        <v>140</v>
      </c>
      <c r="I145" s="112" t="str">
        <f t="shared" si="10"/>
        <v/>
      </c>
      <c r="J145" s="111" t="e">
        <f t="shared" si="11"/>
        <v>#NUM!</v>
      </c>
      <c r="K145" s="111" t="e">
        <f t="shared" si="12"/>
        <v>#NUM!</v>
      </c>
      <c r="L145" s="111"/>
      <c r="M145" s="113">
        <f t="shared" si="13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0"/>
      <c r="B146" s="131"/>
      <c r="C146" s="131"/>
      <c r="D146" s="131"/>
      <c r="E146" s="131"/>
      <c r="F146" s="131"/>
      <c r="H146" s="111">
        <v>141</v>
      </c>
      <c r="I146" s="112" t="str">
        <f t="shared" si="10"/>
        <v/>
      </c>
      <c r="J146" s="111" t="e">
        <f t="shared" si="11"/>
        <v>#NUM!</v>
      </c>
      <c r="K146" s="111" t="e">
        <f t="shared" si="12"/>
        <v>#NUM!</v>
      </c>
      <c r="L146" s="111"/>
      <c r="M146" s="113">
        <f t="shared" si="13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0"/>
      <c r="B147" s="131"/>
      <c r="C147" s="131"/>
      <c r="D147" s="131"/>
      <c r="E147" s="131"/>
      <c r="F147" s="131"/>
      <c r="H147" s="111">
        <v>142</v>
      </c>
      <c r="I147" s="112" t="str">
        <f t="shared" si="10"/>
        <v/>
      </c>
      <c r="J147" s="111" t="e">
        <f t="shared" si="11"/>
        <v>#NUM!</v>
      </c>
      <c r="K147" s="111" t="e">
        <f t="shared" si="12"/>
        <v>#NUM!</v>
      </c>
      <c r="L147" s="111"/>
      <c r="M147" s="113">
        <f t="shared" si="13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0"/>
      <c r="B148" s="131"/>
      <c r="C148" s="131"/>
      <c r="D148" s="131"/>
      <c r="E148" s="131"/>
      <c r="F148" s="131"/>
      <c r="H148" s="111">
        <v>143</v>
      </c>
      <c r="I148" s="112" t="str">
        <f t="shared" si="10"/>
        <v/>
      </c>
      <c r="J148" s="111" t="e">
        <f t="shared" si="11"/>
        <v>#NUM!</v>
      </c>
      <c r="K148" s="111" t="e">
        <f t="shared" si="12"/>
        <v>#NUM!</v>
      </c>
      <c r="L148" s="111"/>
      <c r="M148" s="113">
        <f t="shared" si="13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0"/>
      <c r="B149" s="131"/>
      <c r="C149" s="131"/>
      <c r="D149" s="131"/>
      <c r="E149" s="131"/>
      <c r="F149" s="131"/>
      <c r="H149" s="111">
        <v>144</v>
      </c>
      <c r="I149" s="112" t="str">
        <f t="shared" si="10"/>
        <v/>
      </c>
      <c r="J149" s="111" t="e">
        <f t="shared" si="11"/>
        <v>#NUM!</v>
      </c>
      <c r="K149" s="111" t="e">
        <f t="shared" si="12"/>
        <v>#NUM!</v>
      </c>
      <c r="L149" s="111"/>
      <c r="M149" s="113">
        <f t="shared" si="13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0"/>
      <c r="B150" s="131"/>
      <c r="C150" s="131"/>
      <c r="D150" s="131"/>
      <c r="E150" s="131"/>
      <c r="F150" s="131"/>
      <c r="H150" s="111">
        <v>145</v>
      </c>
      <c r="I150" s="112" t="str">
        <f t="shared" si="10"/>
        <v/>
      </c>
      <c r="J150" s="111" t="e">
        <f t="shared" si="11"/>
        <v>#NUM!</v>
      </c>
      <c r="K150" s="111" t="e">
        <f t="shared" si="12"/>
        <v>#NUM!</v>
      </c>
      <c r="L150" s="111"/>
      <c r="M150" s="113">
        <f t="shared" si="13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0"/>
      <c r="B151" s="131"/>
      <c r="C151" s="131"/>
      <c r="D151" s="131"/>
      <c r="E151" s="131"/>
      <c r="F151" s="131"/>
      <c r="H151" s="111">
        <v>146</v>
      </c>
      <c r="I151" s="112" t="str">
        <f t="shared" si="10"/>
        <v/>
      </c>
      <c r="J151" s="111" t="e">
        <f t="shared" si="11"/>
        <v>#NUM!</v>
      </c>
      <c r="K151" s="111" t="e">
        <f t="shared" si="12"/>
        <v>#NUM!</v>
      </c>
      <c r="L151" s="111"/>
      <c r="M151" s="113">
        <f t="shared" si="13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0"/>
      <c r="B152" s="131"/>
      <c r="C152" s="131"/>
      <c r="D152" s="131"/>
      <c r="E152" s="131"/>
      <c r="F152" s="131"/>
      <c r="H152" s="111">
        <v>147</v>
      </c>
      <c r="I152" s="112" t="str">
        <f t="shared" si="10"/>
        <v/>
      </c>
      <c r="J152" s="111" t="e">
        <f t="shared" si="11"/>
        <v>#NUM!</v>
      </c>
      <c r="K152" s="111" t="e">
        <f t="shared" si="12"/>
        <v>#NUM!</v>
      </c>
      <c r="L152" s="111"/>
      <c r="M152" s="113">
        <f t="shared" si="13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0"/>
      <c r="B153" s="131"/>
      <c r="C153" s="131"/>
      <c r="D153" s="131"/>
      <c r="E153" s="131"/>
      <c r="F153" s="131"/>
      <c r="H153" s="111">
        <v>148</v>
      </c>
      <c r="I153" s="112" t="str">
        <f t="shared" si="10"/>
        <v/>
      </c>
      <c r="J153" s="111" t="e">
        <f t="shared" si="11"/>
        <v>#NUM!</v>
      </c>
      <c r="K153" s="111" t="e">
        <f t="shared" si="12"/>
        <v>#NUM!</v>
      </c>
      <c r="L153" s="111"/>
      <c r="M153" s="113">
        <f t="shared" si="13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0"/>
      <c r="B154" s="131"/>
      <c r="C154" s="131"/>
      <c r="D154" s="131"/>
      <c r="E154" s="131"/>
      <c r="F154" s="131"/>
      <c r="H154" s="111">
        <v>149</v>
      </c>
      <c r="I154" s="112" t="str">
        <f t="shared" si="10"/>
        <v/>
      </c>
      <c r="J154" s="111" t="e">
        <f t="shared" si="11"/>
        <v>#NUM!</v>
      </c>
      <c r="K154" s="111" t="e">
        <f t="shared" si="12"/>
        <v>#NUM!</v>
      </c>
      <c r="L154" s="111"/>
      <c r="M154" s="113">
        <f t="shared" si="13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1">
        <v>150</v>
      </c>
      <c r="I155" s="112" t="str">
        <f t="shared" si="10"/>
        <v/>
      </c>
      <c r="J155" s="111" t="e">
        <f t="shared" si="11"/>
        <v>#NUM!</v>
      </c>
      <c r="K155" s="111" t="e">
        <f t="shared" si="12"/>
        <v>#NUM!</v>
      </c>
      <c r="L155" s="111"/>
      <c r="M155" s="113">
        <f t="shared" si="13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0"/>
        <v/>
      </c>
      <c r="J156" s="111" t="e">
        <f t="shared" si="11"/>
        <v>#NUM!</v>
      </c>
      <c r="K156" s="111" t="e">
        <f t="shared" si="12"/>
        <v>#NUM!</v>
      </c>
      <c r="L156" s="111"/>
      <c r="M156" s="113">
        <f t="shared" si="13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1">
        <v>152</v>
      </c>
      <c r="I157" s="112" t="str">
        <f t="shared" si="10"/>
        <v/>
      </c>
      <c r="J157" s="111" t="e">
        <f t="shared" si="11"/>
        <v>#NUM!</v>
      </c>
      <c r="K157" s="111" t="e">
        <f t="shared" si="12"/>
        <v>#NUM!</v>
      </c>
      <c r="L157" s="111"/>
      <c r="M157" s="113">
        <f t="shared" si="13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0"/>
        <v/>
      </c>
      <c r="J158" s="111" t="e">
        <f t="shared" si="11"/>
        <v>#NUM!</v>
      </c>
      <c r="K158" s="111" t="e">
        <f t="shared" si="12"/>
        <v>#NUM!</v>
      </c>
      <c r="L158" s="111"/>
      <c r="M158" s="113">
        <f t="shared" si="13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1">
        <v>154</v>
      </c>
      <c r="I159" s="112" t="str">
        <f t="shared" si="10"/>
        <v/>
      </c>
      <c r="J159" s="111" t="e">
        <f t="shared" si="11"/>
        <v>#NUM!</v>
      </c>
      <c r="K159" s="111" t="e">
        <f t="shared" si="12"/>
        <v>#NUM!</v>
      </c>
      <c r="L159" s="111"/>
      <c r="M159" s="113">
        <f t="shared" si="13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0"/>
        <v/>
      </c>
      <c r="J160" s="111" t="e">
        <f t="shared" si="11"/>
        <v>#NUM!</v>
      </c>
      <c r="K160" s="111" t="e">
        <f t="shared" si="12"/>
        <v>#NUM!</v>
      </c>
      <c r="L160" s="111"/>
      <c r="M160" s="113">
        <f t="shared" si="13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1">
        <v>156</v>
      </c>
      <c r="I161" s="112" t="str">
        <f t="shared" si="10"/>
        <v/>
      </c>
      <c r="J161" s="111" t="e">
        <f t="shared" si="11"/>
        <v>#NUM!</v>
      </c>
      <c r="K161" s="111" t="e">
        <f t="shared" si="12"/>
        <v>#NUM!</v>
      </c>
      <c r="L161" s="111"/>
      <c r="M161" s="113">
        <f t="shared" si="13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0"/>
        <v/>
      </c>
      <c r="J162" s="111" t="e">
        <f t="shared" si="11"/>
        <v>#NUM!</v>
      </c>
      <c r="K162" s="111" t="e">
        <f t="shared" si="12"/>
        <v>#NUM!</v>
      </c>
      <c r="L162" s="111"/>
      <c r="M162" s="113">
        <f t="shared" si="13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1">
        <v>158</v>
      </c>
      <c r="I163" s="112" t="str">
        <f t="shared" si="10"/>
        <v/>
      </c>
      <c r="J163" s="111" t="e">
        <f t="shared" si="11"/>
        <v>#NUM!</v>
      </c>
      <c r="K163" s="111" t="e">
        <f t="shared" si="12"/>
        <v>#NUM!</v>
      </c>
      <c r="L163" s="111"/>
      <c r="M163" s="113">
        <f t="shared" si="13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0"/>
        <v/>
      </c>
      <c r="J164" s="111" t="e">
        <f t="shared" si="11"/>
        <v>#NUM!</v>
      </c>
      <c r="K164" s="111" t="e">
        <f t="shared" si="12"/>
        <v>#NUM!</v>
      </c>
      <c r="L164" s="111"/>
      <c r="M164" s="113">
        <f t="shared" si="13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1">
        <v>160</v>
      </c>
      <c r="I165" s="112" t="str">
        <f t="shared" si="10"/>
        <v/>
      </c>
      <c r="J165" s="111" t="e">
        <f t="shared" si="11"/>
        <v>#NUM!</v>
      </c>
      <c r="K165" s="111" t="e">
        <f t="shared" si="12"/>
        <v>#NUM!</v>
      </c>
      <c r="L165" s="111"/>
      <c r="M165" s="113">
        <f t="shared" si="13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0"/>
        <v/>
      </c>
      <c r="J166" s="111" t="e">
        <f t="shared" si="11"/>
        <v>#NUM!</v>
      </c>
      <c r="K166" s="111" t="e">
        <f t="shared" si="12"/>
        <v>#NUM!</v>
      </c>
      <c r="L166" s="111"/>
      <c r="M166" s="113">
        <f t="shared" si="13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1">
        <v>162</v>
      </c>
      <c r="I167" s="112" t="str">
        <f t="shared" si="10"/>
        <v/>
      </c>
      <c r="J167" s="111" t="e">
        <f t="shared" si="11"/>
        <v>#NUM!</v>
      </c>
      <c r="K167" s="111" t="e">
        <f t="shared" si="12"/>
        <v>#NUM!</v>
      </c>
      <c r="L167" s="111"/>
      <c r="M167" s="113">
        <f t="shared" si="13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0"/>
        <v/>
      </c>
      <c r="J168" s="111" t="e">
        <f t="shared" si="11"/>
        <v>#NUM!</v>
      </c>
      <c r="K168" s="111" t="e">
        <f t="shared" si="12"/>
        <v>#NUM!</v>
      </c>
      <c r="L168" s="111"/>
      <c r="M168" s="113">
        <f t="shared" si="13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1">
        <v>164</v>
      </c>
      <c r="I169" s="112" t="str">
        <f t="shared" si="10"/>
        <v/>
      </c>
      <c r="J169" s="111" t="e">
        <f t="shared" si="11"/>
        <v>#NUM!</v>
      </c>
      <c r="K169" s="111" t="e">
        <f t="shared" si="12"/>
        <v>#NUM!</v>
      </c>
      <c r="L169" s="111"/>
      <c r="M169" s="113">
        <f t="shared" si="13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0"/>
        <v/>
      </c>
      <c r="J170" s="111" t="e">
        <f t="shared" si="11"/>
        <v>#NUM!</v>
      </c>
      <c r="K170" s="111" t="e">
        <f t="shared" si="12"/>
        <v>#NUM!</v>
      </c>
      <c r="L170" s="111"/>
      <c r="M170" s="113">
        <f t="shared" si="13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1">
        <v>166</v>
      </c>
      <c r="I171" s="112" t="str">
        <f t="shared" si="10"/>
        <v/>
      </c>
      <c r="J171" s="111" t="e">
        <f t="shared" si="11"/>
        <v>#NUM!</v>
      </c>
      <c r="K171" s="111" t="e">
        <f t="shared" si="12"/>
        <v>#NUM!</v>
      </c>
      <c r="L171" s="111"/>
      <c r="M171" s="113">
        <f t="shared" si="13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0"/>
        <v/>
      </c>
      <c r="J172" s="111" t="e">
        <f t="shared" si="11"/>
        <v>#NUM!</v>
      </c>
      <c r="K172" s="111" t="e">
        <f t="shared" si="12"/>
        <v>#NUM!</v>
      </c>
      <c r="L172" s="111"/>
      <c r="M172" s="113">
        <f t="shared" si="13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1">
        <v>168</v>
      </c>
      <c r="I173" s="112" t="str">
        <f t="shared" si="10"/>
        <v/>
      </c>
      <c r="J173" s="111" t="e">
        <f t="shared" si="11"/>
        <v>#NUM!</v>
      </c>
      <c r="K173" s="111" t="e">
        <f t="shared" si="12"/>
        <v>#NUM!</v>
      </c>
      <c r="L173" s="111"/>
      <c r="M173" s="113">
        <f t="shared" si="13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0"/>
        <v/>
      </c>
      <c r="J174" s="111" t="e">
        <f t="shared" si="11"/>
        <v>#NUM!</v>
      </c>
      <c r="K174" s="111" t="e">
        <f t="shared" si="12"/>
        <v>#NUM!</v>
      </c>
      <c r="L174" s="111"/>
      <c r="M174" s="113">
        <f t="shared" si="13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1">
        <v>170</v>
      </c>
      <c r="I175" s="112" t="str">
        <f t="shared" si="10"/>
        <v/>
      </c>
      <c r="J175" s="111" t="e">
        <f t="shared" si="11"/>
        <v>#NUM!</v>
      </c>
      <c r="K175" s="111" t="e">
        <f t="shared" si="12"/>
        <v>#NUM!</v>
      </c>
      <c r="L175" s="111"/>
      <c r="M175" s="113">
        <f t="shared" si="13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0"/>
        <v/>
      </c>
      <c r="J176" s="111" t="e">
        <f t="shared" si="11"/>
        <v>#NUM!</v>
      </c>
      <c r="K176" s="111" t="e">
        <f t="shared" si="12"/>
        <v>#NUM!</v>
      </c>
      <c r="L176" s="111"/>
      <c r="M176" s="113">
        <f t="shared" si="13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1">
        <v>172</v>
      </c>
      <c r="I177" s="112" t="str">
        <f t="shared" si="10"/>
        <v/>
      </c>
      <c r="J177" s="111" t="e">
        <f t="shared" si="11"/>
        <v>#NUM!</v>
      </c>
      <c r="K177" s="111" t="e">
        <f t="shared" si="12"/>
        <v>#NUM!</v>
      </c>
      <c r="L177" s="111"/>
      <c r="M177" s="113">
        <f t="shared" si="13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0"/>
        <v/>
      </c>
      <c r="J178" s="111" t="e">
        <f t="shared" si="11"/>
        <v>#NUM!</v>
      </c>
      <c r="K178" s="111" t="e">
        <f t="shared" si="12"/>
        <v>#NUM!</v>
      </c>
      <c r="L178" s="111"/>
      <c r="M178" s="113">
        <f t="shared" si="13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1">
        <v>174</v>
      </c>
      <c r="I179" s="112" t="str">
        <f t="shared" si="10"/>
        <v/>
      </c>
      <c r="J179" s="111" t="e">
        <f t="shared" si="11"/>
        <v>#NUM!</v>
      </c>
      <c r="K179" s="111" t="e">
        <f t="shared" si="12"/>
        <v>#NUM!</v>
      </c>
      <c r="L179" s="111"/>
      <c r="M179" s="113">
        <f t="shared" si="13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0"/>
        <v/>
      </c>
      <c r="J180" s="111" t="e">
        <f t="shared" si="11"/>
        <v>#NUM!</v>
      </c>
      <c r="K180" s="111" t="e">
        <f t="shared" si="12"/>
        <v>#NUM!</v>
      </c>
      <c r="L180" s="111"/>
      <c r="M180" s="113">
        <f t="shared" si="13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1">
        <v>176</v>
      </c>
      <c r="I181" s="112" t="str">
        <f t="shared" si="10"/>
        <v/>
      </c>
      <c r="J181" s="111" t="e">
        <f t="shared" si="11"/>
        <v>#NUM!</v>
      </c>
      <c r="K181" s="111" t="e">
        <f t="shared" si="12"/>
        <v>#NUM!</v>
      </c>
      <c r="L181" s="111"/>
      <c r="M181" s="113">
        <f t="shared" si="13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0"/>
        <v/>
      </c>
      <c r="J182" s="111" t="e">
        <f t="shared" si="11"/>
        <v>#NUM!</v>
      </c>
      <c r="K182" s="111" t="e">
        <f t="shared" si="12"/>
        <v>#NUM!</v>
      </c>
      <c r="L182" s="111"/>
      <c r="M182" s="113">
        <f t="shared" si="13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1">
        <v>178</v>
      </c>
      <c r="I183" s="112" t="str">
        <f t="shared" si="10"/>
        <v/>
      </c>
      <c r="J183" s="111" t="e">
        <f t="shared" si="11"/>
        <v>#NUM!</v>
      </c>
      <c r="K183" s="111" t="e">
        <f t="shared" si="12"/>
        <v>#NUM!</v>
      </c>
      <c r="L183" s="111"/>
      <c r="M183" s="113">
        <f t="shared" si="13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0"/>
        <v/>
      </c>
      <c r="J184" s="111" t="e">
        <f t="shared" si="11"/>
        <v>#NUM!</v>
      </c>
      <c r="K184" s="111" t="e">
        <f t="shared" si="12"/>
        <v>#NUM!</v>
      </c>
      <c r="L184" s="111"/>
      <c r="M184" s="113">
        <f t="shared" si="13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1">
        <v>180</v>
      </c>
      <c r="I185" s="112" t="str">
        <f t="shared" si="10"/>
        <v/>
      </c>
      <c r="J185" s="111" t="e">
        <f t="shared" si="11"/>
        <v>#NUM!</v>
      </c>
      <c r="K185" s="111" t="e">
        <f t="shared" si="12"/>
        <v>#NUM!</v>
      </c>
      <c r="L185" s="111"/>
      <c r="M185" s="113">
        <f t="shared" si="13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0"/>
        <v/>
      </c>
      <c r="J186" s="111" t="e">
        <f t="shared" si="11"/>
        <v>#NUM!</v>
      </c>
      <c r="K186" s="111" t="e">
        <f t="shared" si="12"/>
        <v>#NUM!</v>
      </c>
      <c r="L186" s="111"/>
      <c r="M186" s="113">
        <f t="shared" si="13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1">
        <v>182</v>
      </c>
      <c r="I187" s="112" t="str">
        <f t="shared" si="10"/>
        <v/>
      </c>
      <c r="J187" s="111" t="e">
        <f t="shared" si="11"/>
        <v>#NUM!</v>
      </c>
      <c r="K187" s="111" t="e">
        <f t="shared" si="12"/>
        <v>#NUM!</v>
      </c>
      <c r="L187" s="111"/>
      <c r="M187" s="113">
        <f t="shared" si="13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0"/>
        <v/>
      </c>
      <c r="J188" s="111" t="e">
        <f t="shared" si="11"/>
        <v>#NUM!</v>
      </c>
      <c r="K188" s="111" t="e">
        <f t="shared" si="12"/>
        <v>#NUM!</v>
      </c>
      <c r="L188" s="111"/>
      <c r="M188" s="113">
        <f t="shared" si="13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1">
        <v>184</v>
      </c>
      <c r="I189" s="112" t="str">
        <f t="shared" si="10"/>
        <v/>
      </c>
      <c r="J189" s="111" t="e">
        <f t="shared" si="11"/>
        <v>#NUM!</v>
      </c>
      <c r="K189" s="111" t="e">
        <f t="shared" si="12"/>
        <v>#NUM!</v>
      </c>
      <c r="L189" s="111"/>
      <c r="M189" s="113">
        <f t="shared" si="13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0"/>
        <v/>
      </c>
      <c r="J190" s="111" t="e">
        <f t="shared" si="11"/>
        <v>#NUM!</v>
      </c>
      <c r="K190" s="111" t="e">
        <f t="shared" si="12"/>
        <v>#NUM!</v>
      </c>
      <c r="L190" s="111"/>
      <c r="M190" s="113">
        <f t="shared" si="13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1">
        <v>186</v>
      </c>
      <c r="I191" s="112" t="str">
        <f t="shared" si="10"/>
        <v/>
      </c>
      <c r="J191" s="111" t="e">
        <f t="shared" si="11"/>
        <v>#NUM!</v>
      </c>
      <c r="K191" s="111" t="e">
        <f t="shared" si="12"/>
        <v>#NUM!</v>
      </c>
      <c r="L191" s="111"/>
      <c r="M191" s="113">
        <f t="shared" si="13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0"/>
        <v/>
      </c>
      <c r="J192" s="111" t="e">
        <f t="shared" si="11"/>
        <v>#NUM!</v>
      </c>
      <c r="K192" s="111" t="e">
        <f t="shared" si="12"/>
        <v>#NUM!</v>
      </c>
      <c r="L192" s="111"/>
      <c r="M192" s="113">
        <f t="shared" si="13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1">
        <v>188</v>
      </c>
      <c r="I193" s="112" t="str">
        <f t="shared" si="10"/>
        <v/>
      </c>
      <c r="J193" s="111" t="e">
        <f t="shared" si="11"/>
        <v>#NUM!</v>
      </c>
      <c r="K193" s="111" t="e">
        <f t="shared" si="12"/>
        <v>#NUM!</v>
      </c>
      <c r="L193" s="111"/>
      <c r="M193" s="113">
        <f t="shared" si="13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0"/>
        <v/>
      </c>
      <c r="J194" s="111" t="e">
        <f t="shared" si="11"/>
        <v>#NUM!</v>
      </c>
      <c r="K194" s="111" t="e">
        <f t="shared" si="12"/>
        <v>#NUM!</v>
      </c>
      <c r="L194" s="111"/>
      <c r="M194" s="113">
        <f t="shared" si="13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1">
        <v>190</v>
      </c>
      <c r="I195" s="112" t="str">
        <f t="shared" si="10"/>
        <v/>
      </c>
      <c r="J195" s="111" t="e">
        <f t="shared" si="11"/>
        <v>#NUM!</v>
      </c>
      <c r="K195" s="111" t="e">
        <f t="shared" si="12"/>
        <v>#NUM!</v>
      </c>
      <c r="L195" s="111"/>
      <c r="M195" s="113">
        <f t="shared" si="13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0"/>
        <v/>
      </c>
      <c r="J196" s="111" t="e">
        <f t="shared" si="11"/>
        <v>#NUM!</v>
      </c>
      <c r="K196" s="111" t="e">
        <f t="shared" si="12"/>
        <v>#NUM!</v>
      </c>
      <c r="L196" s="111"/>
      <c r="M196" s="113">
        <f t="shared" si="13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1">
        <v>192</v>
      </c>
      <c r="I197" s="112" t="str">
        <f t="shared" si="10"/>
        <v/>
      </c>
      <c r="J197" s="111" t="e">
        <f t="shared" si="11"/>
        <v>#NUM!</v>
      </c>
      <c r="K197" s="111" t="e">
        <f t="shared" si="12"/>
        <v>#NUM!</v>
      </c>
      <c r="L197" s="111"/>
      <c r="M197" s="113">
        <f t="shared" si="13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4">IF(H198&lt;$H$2+1,($I$2-($I$2-1)*(LOG(H198)/LOG($H$2))),"")</f>
        <v/>
      </c>
      <c r="J198" s="111" t="e">
        <f t="shared" ref="J198:J261" si="15">INT(LOG($H$2,2))-ROUNDUP(LOG(H198,2),0)+IF(OR($H$2=1,$H$2=2,$H$2=4,$H$2=8,$H$2=16,$H$2=32,$H$2=64,$H$2=128,$H$2=256),0,1)</f>
        <v>#NUM!</v>
      </c>
      <c r="K198" s="111" t="e">
        <f t="shared" ref="K198:K261" si="16">J198*$J$2</f>
        <v>#NUM!</v>
      </c>
      <c r="L198" s="111"/>
      <c r="M198" s="113">
        <f t="shared" ref="M198:M261" si="17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1">
        <v>194</v>
      </c>
      <c r="I199" s="112" t="str">
        <f t="shared" si="14"/>
        <v/>
      </c>
      <c r="J199" s="111" t="e">
        <f t="shared" si="15"/>
        <v>#NUM!</v>
      </c>
      <c r="K199" s="111" t="e">
        <f t="shared" si="16"/>
        <v>#NUM!</v>
      </c>
      <c r="L199" s="111"/>
      <c r="M199" s="113">
        <f t="shared" si="17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4"/>
        <v/>
      </c>
      <c r="J200" s="111" t="e">
        <f t="shared" si="15"/>
        <v>#NUM!</v>
      </c>
      <c r="K200" s="111" t="e">
        <f t="shared" si="16"/>
        <v>#NUM!</v>
      </c>
      <c r="L200" s="111"/>
      <c r="M200" s="113">
        <f t="shared" si="17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1">
        <v>196</v>
      </c>
      <c r="I201" s="112" t="str">
        <f t="shared" si="14"/>
        <v/>
      </c>
      <c r="J201" s="111" t="e">
        <f t="shared" si="15"/>
        <v>#NUM!</v>
      </c>
      <c r="K201" s="111" t="e">
        <f t="shared" si="16"/>
        <v>#NUM!</v>
      </c>
      <c r="L201" s="111"/>
      <c r="M201" s="113">
        <f t="shared" si="17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4"/>
        <v/>
      </c>
      <c r="J202" s="111" t="e">
        <f t="shared" si="15"/>
        <v>#NUM!</v>
      </c>
      <c r="K202" s="111" t="e">
        <f t="shared" si="16"/>
        <v>#NUM!</v>
      </c>
      <c r="L202" s="111"/>
      <c r="M202" s="113">
        <f t="shared" si="17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1">
        <v>198</v>
      </c>
      <c r="I203" s="112" t="str">
        <f t="shared" si="14"/>
        <v/>
      </c>
      <c r="J203" s="111" t="e">
        <f t="shared" si="15"/>
        <v>#NUM!</v>
      </c>
      <c r="K203" s="111" t="e">
        <f t="shared" si="16"/>
        <v>#NUM!</v>
      </c>
      <c r="L203" s="111"/>
      <c r="M203" s="113">
        <f t="shared" si="17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4"/>
        <v/>
      </c>
      <c r="J204" s="111" t="e">
        <f t="shared" si="15"/>
        <v>#NUM!</v>
      </c>
      <c r="K204" s="111" t="e">
        <f t="shared" si="16"/>
        <v>#NUM!</v>
      </c>
      <c r="L204" s="111"/>
      <c r="M204" s="113">
        <f t="shared" si="17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1">
        <v>200</v>
      </c>
      <c r="I205" s="112" t="str">
        <f t="shared" si="14"/>
        <v/>
      </c>
      <c r="J205" s="111" t="e">
        <f t="shared" si="15"/>
        <v>#NUM!</v>
      </c>
      <c r="K205" s="111" t="e">
        <f t="shared" si="16"/>
        <v>#NUM!</v>
      </c>
      <c r="L205" s="111"/>
      <c r="M205" s="113">
        <f t="shared" si="17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4"/>
        <v/>
      </c>
      <c r="J206" s="111" t="e">
        <f t="shared" si="15"/>
        <v>#NUM!</v>
      </c>
      <c r="K206" s="111" t="e">
        <f t="shared" si="16"/>
        <v>#NUM!</v>
      </c>
      <c r="L206" s="111"/>
      <c r="M206" s="113">
        <f t="shared" si="17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1">
        <v>202</v>
      </c>
      <c r="I207" s="112" t="str">
        <f t="shared" si="14"/>
        <v/>
      </c>
      <c r="J207" s="111" t="e">
        <f t="shared" si="15"/>
        <v>#NUM!</v>
      </c>
      <c r="K207" s="111" t="e">
        <f t="shared" si="16"/>
        <v>#NUM!</v>
      </c>
      <c r="L207" s="111"/>
      <c r="M207" s="113">
        <f t="shared" si="17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4"/>
        <v/>
      </c>
      <c r="J208" s="111" t="e">
        <f t="shared" si="15"/>
        <v>#NUM!</v>
      </c>
      <c r="K208" s="111" t="e">
        <f t="shared" si="16"/>
        <v>#NUM!</v>
      </c>
      <c r="L208" s="111"/>
      <c r="M208" s="113">
        <f t="shared" si="17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1">
        <v>204</v>
      </c>
      <c r="I209" s="112" t="str">
        <f t="shared" si="14"/>
        <v/>
      </c>
      <c r="J209" s="111" t="e">
        <f t="shared" si="15"/>
        <v>#NUM!</v>
      </c>
      <c r="K209" s="111" t="e">
        <f t="shared" si="16"/>
        <v>#NUM!</v>
      </c>
      <c r="L209" s="111"/>
      <c r="M209" s="113">
        <f t="shared" si="17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4"/>
        <v/>
      </c>
      <c r="J210" s="111" t="e">
        <f t="shared" si="15"/>
        <v>#NUM!</v>
      </c>
      <c r="K210" s="111" t="e">
        <f t="shared" si="16"/>
        <v>#NUM!</v>
      </c>
      <c r="L210" s="111"/>
      <c r="M210" s="113">
        <f t="shared" si="17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1">
        <v>206</v>
      </c>
      <c r="I211" s="112" t="str">
        <f t="shared" si="14"/>
        <v/>
      </c>
      <c r="J211" s="111" t="e">
        <f t="shared" si="15"/>
        <v>#NUM!</v>
      </c>
      <c r="K211" s="111" t="e">
        <f t="shared" si="16"/>
        <v>#NUM!</v>
      </c>
      <c r="L211" s="111"/>
      <c r="M211" s="113">
        <f t="shared" si="17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4"/>
        <v/>
      </c>
      <c r="J212" s="111" t="e">
        <f t="shared" si="15"/>
        <v>#NUM!</v>
      </c>
      <c r="K212" s="111" t="e">
        <f t="shared" si="16"/>
        <v>#NUM!</v>
      </c>
      <c r="L212" s="111"/>
      <c r="M212" s="113">
        <f t="shared" si="17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1">
        <v>208</v>
      </c>
      <c r="I213" s="112" t="str">
        <f t="shared" si="14"/>
        <v/>
      </c>
      <c r="J213" s="111" t="e">
        <f t="shared" si="15"/>
        <v>#NUM!</v>
      </c>
      <c r="K213" s="111" t="e">
        <f t="shared" si="16"/>
        <v>#NUM!</v>
      </c>
      <c r="L213" s="111"/>
      <c r="M213" s="113">
        <f t="shared" si="17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4"/>
        <v/>
      </c>
      <c r="J214" s="111" t="e">
        <f t="shared" si="15"/>
        <v>#NUM!</v>
      </c>
      <c r="K214" s="111" t="e">
        <f t="shared" si="16"/>
        <v>#NUM!</v>
      </c>
      <c r="L214" s="111"/>
      <c r="M214" s="113">
        <f t="shared" si="17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1">
        <v>210</v>
      </c>
      <c r="I215" s="112" t="str">
        <f t="shared" si="14"/>
        <v/>
      </c>
      <c r="J215" s="111" t="e">
        <f t="shared" si="15"/>
        <v>#NUM!</v>
      </c>
      <c r="K215" s="111" t="e">
        <f t="shared" si="16"/>
        <v>#NUM!</v>
      </c>
      <c r="L215" s="111"/>
      <c r="M215" s="113">
        <f t="shared" si="17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4"/>
        <v/>
      </c>
      <c r="J216" s="111" t="e">
        <f t="shared" si="15"/>
        <v>#NUM!</v>
      </c>
      <c r="K216" s="111" t="e">
        <f t="shared" si="16"/>
        <v>#NUM!</v>
      </c>
      <c r="L216" s="111"/>
      <c r="M216" s="113">
        <f t="shared" si="17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1">
        <v>212</v>
      </c>
      <c r="I217" s="112" t="str">
        <f t="shared" si="14"/>
        <v/>
      </c>
      <c r="J217" s="111" t="e">
        <f t="shared" si="15"/>
        <v>#NUM!</v>
      </c>
      <c r="K217" s="111" t="e">
        <f t="shared" si="16"/>
        <v>#NUM!</v>
      </c>
      <c r="L217" s="111"/>
      <c r="M217" s="113">
        <f t="shared" si="17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4"/>
        <v/>
      </c>
      <c r="J218" s="111" t="e">
        <f t="shared" si="15"/>
        <v>#NUM!</v>
      </c>
      <c r="K218" s="111" t="e">
        <f t="shared" si="16"/>
        <v>#NUM!</v>
      </c>
      <c r="L218" s="111"/>
      <c r="M218" s="113">
        <f t="shared" si="17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1">
        <v>214</v>
      </c>
      <c r="I219" s="112" t="str">
        <f t="shared" si="14"/>
        <v/>
      </c>
      <c r="J219" s="111" t="e">
        <f t="shared" si="15"/>
        <v>#NUM!</v>
      </c>
      <c r="K219" s="111" t="e">
        <f t="shared" si="16"/>
        <v>#NUM!</v>
      </c>
      <c r="L219" s="111"/>
      <c r="M219" s="113">
        <f t="shared" si="17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4"/>
        <v/>
      </c>
      <c r="J220" s="111" t="e">
        <f t="shared" si="15"/>
        <v>#NUM!</v>
      </c>
      <c r="K220" s="111" t="e">
        <f t="shared" si="16"/>
        <v>#NUM!</v>
      </c>
      <c r="L220" s="111"/>
      <c r="M220" s="113">
        <f t="shared" si="17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1">
        <v>216</v>
      </c>
      <c r="I221" s="112" t="str">
        <f t="shared" si="14"/>
        <v/>
      </c>
      <c r="J221" s="111" t="e">
        <f t="shared" si="15"/>
        <v>#NUM!</v>
      </c>
      <c r="K221" s="111" t="e">
        <f t="shared" si="16"/>
        <v>#NUM!</v>
      </c>
      <c r="L221" s="111"/>
      <c r="M221" s="113">
        <f t="shared" si="17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4"/>
        <v/>
      </c>
      <c r="J222" s="111" t="e">
        <f t="shared" si="15"/>
        <v>#NUM!</v>
      </c>
      <c r="K222" s="111" t="e">
        <f t="shared" si="16"/>
        <v>#NUM!</v>
      </c>
      <c r="L222" s="111"/>
      <c r="M222" s="113">
        <f t="shared" si="17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1">
        <v>218</v>
      </c>
      <c r="I223" s="112" t="str">
        <f t="shared" si="14"/>
        <v/>
      </c>
      <c r="J223" s="111" t="e">
        <f t="shared" si="15"/>
        <v>#NUM!</v>
      </c>
      <c r="K223" s="111" t="e">
        <f t="shared" si="16"/>
        <v>#NUM!</v>
      </c>
      <c r="L223" s="111"/>
      <c r="M223" s="113">
        <f t="shared" si="17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4"/>
        <v/>
      </c>
      <c r="J224" s="111" t="e">
        <f t="shared" si="15"/>
        <v>#NUM!</v>
      </c>
      <c r="K224" s="111" t="e">
        <f t="shared" si="16"/>
        <v>#NUM!</v>
      </c>
      <c r="L224" s="111"/>
      <c r="M224" s="113">
        <f t="shared" si="17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1">
        <v>220</v>
      </c>
      <c r="I225" s="112" t="str">
        <f t="shared" si="14"/>
        <v/>
      </c>
      <c r="J225" s="111" t="e">
        <f t="shared" si="15"/>
        <v>#NUM!</v>
      </c>
      <c r="K225" s="111" t="e">
        <f t="shared" si="16"/>
        <v>#NUM!</v>
      </c>
      <c r="L225" s="111"/>
      <c r="M225" s="113">
        <f t="shared" si="17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4"/>
        <v/>
      </c>
      <c r="J226" s="111" t="e">
        <f t="shared" si="15"/>
        <v>#NUM!</v>
      </c>
      <c r="K226" s="111" t="e">
        <f t="shared" si="16"/>
        <v>#NUM!</v>
      </c>
      <c r="L226" s="111"/>
      <c r="M226" s="113">
        <f t="shared" si="17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1">
        <v>222</v>
      </c>
      <c r="I227" s="112" t="str">
        <f t="shared" si="14"/>
        <v/>
      </c>
      <c r="J227" s="111" t="e">
        <f t="shared" si="15"/>
        <v>#NUM!</v>
      </c>
      <c r="K227" s="111" t="e">
        <f t="shared" si="16"/>
        <v>#NUM!</v>
      </c>
      <c r="L227" s="111"/>
      <c r="M227" s="113">
        <f t="shared" si="17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4"/>
        <v/>
      </c>
      <c r="J228" s="111" t="e">
        <f t="shared" si="15"/>
        <v>#NUM!</v>
      </c>
      <c r="K228" s="111" t="e">
        <f t="shared" si="16"/>
        <v>#NUM!</v>
      </c>
      <c r="L228" s="111"/>
      <c r="M228" s="113">
        <f t="shared" si="17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1">
        <v>224</v>
      </c>
      <c r="I229" s="112" t="str">
        <f t="shared" si="14"/>
        <v/>
      </c>
      <c r="J229" s="111" t="e">
        <f t="shared" si="15"/>
        <v>#NUM!</v>
      </c>
      <c r="K229" s="111" t="e">
        <f t="shared" si="16"/>
        <v>#NUM!</v>
      </c>
      <c r="L229" s="111"/>
      <c r="M229" s="113">
        <f t="shared" si="17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4"/>
        <v/>
      </c>
      <c r="J230" s="111" t="e">
        <f t="shared" si="15"/>
        <v>#NUM!</v>
      </c>
      <c r="K230" s="111" t="e">
        <f t="shared" si="16"/>
        <v>#NUM!</v>
      </c>
      <c r="L230" s="111"/>
      <c r="M230" s="113">
        <f t="shared" si="17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1">
        <v>226</v>
      </c>
      <c r="I231" s="112" t="str">
        <f t="shared" si="14"/>
        <v/>
      </c>
      <c r="J231" s="111" t="e">
        <f t="shared" si="15"/>
        <v>#NUM!</v>
      </c>
      <c r="K231" s="111" t="e">
        <f t="shared" si="16"/>
        <v>#NUM!</v>
      </c>
      <c r="L231" s="111"/>
      <c r="M231" s="113">
        <f t="shared" si="17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4"/>
        <v/>
      </c>
      <c r="J232" s="111" t="e">
        <f t="shared" si="15"/>
        <v>#NUM!</v>
      </c>
      <c r="K232" s="111" t="e">
        <f t="shared" si="16"/>
        <v>#NUM!</v>
      </c>
      <c r="L232" s="111"/>
      <c r="M232" s="113">
        <f t="shared" si="17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1">
        <v>228</v>
      </c>
      <c r="I233" s="112" t="str">
        <f t="shared" si="14"/>
        <v/>
      </c>
      <c r="J233" s="111" t="e">
        <f t="shared" si="15"/>
        <v>#NUM!</v>
      </c>
      <c r="K233" s="111" t="e">
        <f t="shared" si="16"/>
        <v>#NUM!</v>
      </c>
      <c r="L233" s="111"/>
      <c r="M233" s="113">
        <f t="shared" si="17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4"/>
        <v/>
      </c>
      <c r="J234" s="111" t="e">
        <f t="shared" si="15"/>
        <v>#NUM!</v>
      </c>
      <c r="K234" s="111" t="e">
        <f t="shared" si="16"/>
        <v>#NUM!</v>
      </c>
      <c r="L234" s="111"/>
      <c r="M234" s="113">
        <f t="shared" si="17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1">
        <v>230</v>
      </c>
      <c r="I235" s="112" t="str">
        <f t="shared" si="14"/>
        <v/>
      </c>
      <c r="J235" s="111" t="e">
        <f t="shared" si="15"/>
        <v>#NUM!</v>
      </c>
      <c r="K235" s="111" t="e">
        <f t="shared" si="16"/>
        <v>#NUM!</v>
      </c>
      <c r="L235" s="111"/>
      <c r="M235" s="113">
        <f t="shared" si="17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4"/>
        <v/>
      </c>
      <c r="J236" s="111" t="e">
        <f t="shared" si="15"/>
        <v>#NUM!</v>
      </c>
      <c r="K236" s="111" t="e">
        <f t="shared" si="16"/>
        <v>#NUM!</v>
      </c>
      <c r="L236" s="111"/>
      <c r="M236" s="113">
        <f t="shared" si="17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1">
        <v>232</v>
      </c>
      <c r="I237" s="112" t="str">
        <f t="shared" si="14"/>
        <v/>
      </c>
      <c r="J237" s="111" t="e">
        <f t="shared" si="15"/>
        <v>#NUM!</v>
      </c>
      <c r="K237" s="111" t="e">
        <f t="shared" si="16"/>
        <v>#NUM!</v>
      </c>
      <c r="L237" s="111"/>
      <c r="M237" s="113">
        <f t="shared" si="17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4"/>
        <v/>
      </c>
      <c r="J238" s="111" t="e">
        <f t="shared" si="15"/>
        <v>#NUM!</v>
      </c>
      <c r="K238" s="111" t="e">
        <f t="shared" si="16"/>
        <v>#NUM!</v>
      </c>
      <c r="L238" s="111"/>
      <c r="M238" s="113">
        <f t="shared" si="17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1">
        <v>234</v>
      </c>
      <c r="I239" s="112" t="str">
        <f t="shared" si="14"/>
        <v/>
      </c>
      <c r="J239" s="111" t="e">
        <f t="shared" si="15"/>
        <v>#NUM!</v>
      </c>
      <c r="K239" s="111" t="e">
        <f t="shared" si="16"/>
        <v>#NUM!</v>
      </c>
      <c r="L239" s="111"/>
      <c r="M239" s="113">
        <f t="shared" si="17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4"/>
        <v/>
      </c>
      <c r="J240" s="111" t="e">
        <f t="shared" si="15"/>
        <v>#NUM!</v>
      </c>
      <c r="K240" s="111" t="e">
        <f t="shared" si="16"/>
        <v>#NUM!</v>
      </c>
      <c r="L240" s="111"/>
      <c r="M240" s="113">
        <f t="shared" si="17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1">
        <v>236</v>
      </c>
      <c r="I241" s="112" t="str">
        <f t="shared" si="14"/>
        <v/>
      </c>
      <c r="J241" s="111" t="e">
        <f t="shared" si="15"/>
        <v>#NUM!</v>
      </c>
      <c r="K241" s="111" t="e">
        <f t="shared" si="16"/>
        <v>#NUM!</v>
      </c>
      <c r="L241" s="111"/>
      <c r="M241" s="113">
        <f t="shared" si="17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4"/>
        <v/>
      </c>
      <c r="J242" s="111" t="e">
        <f t="shared" si="15"/>
        <v>#NUM!</v>
      </c>
      <c r="K242" s="111" t="e">
        <f t="shared" si="16"/>
        <v>#NUM!</v>
      </c>
      <c r="L242" s="111"/>
      <c r="M242" s="113">
        <f t="shared" si="17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1">
        <v>238</v>
      </c>
      <c r="I243" s="112" t="str">
        <f t="shared" si="14"/>
        <v/>
      </c>
      <c r="J243" s="111" t="e">
        <f t="shared" si="15"/>
        <v>#NUM!</v>
      </c>
      <c r="K243" s="111" t="e">
        <f t="shared" si="16"/>
        <v>#NUM!</v>
      </c>
      <c r="L243" s="111"/>
      <c r="M243" s="113">
        <f t="shared" si="17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4"/>
        <v/>
      </c>
      <c r="J244" s="111" t="e">
        <f t="shared" si="15"/>
        <v>#NUM!</v>
      </c>
      <c r="K244" s="111" t="e">
        <f t="shared" si="16"/>
        <v>#NUM!</v>
      </c>
      <c r="L244" s="111"/>
      <c r="M244" s="113">
        <f t="shared" si="17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1">
        <v>240</v>
      </c>
      <c r="I245" s="112" t="str">
        <f t="shared" si="14"/>
        <v/>
      </c>
      <c r="J245" s="111" t="e">
        <f t="shared" si="15"/>
        <v>#NUM!</v>
      </c>
      <c r="K245" s="111" t="e">
        <f t="shared" si="16"/>
        <v>#NUM!</v>
      </c>
      <c r="L245" s="111"/>
      <c r="M245" s="113">
        <f t="shared" si="17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4"/>
        <v/>
      </c>
      <c r="J246" s="111" t="e">
        <f t="shared" si="15"/>
        <v>#NUM!</v>
      </c>
      <c r="K246" s="111" t="e">
        <f t="shared" si="16"/>
        <v>#NUM!</v>
      </c>
      <c r="L246" s="111"/>
      <c r="M246" s="113">
        <f t="shared" si="17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1">
        <v>242</v>
      </c>
      <c r="I247" s="112" t="str">
        <f t="shared" si="14"/>
        <v/>
      </c>
      <c r="J247" s="111" t="e">
        <f t="shared" si="15"/>
        <v>#NUM!</v>
      </c>
      <c r="K247" s="111" t="e">
        <f t="shared" si="16"/>
        <v>#NUM!</v>
      </c>
      <c r="L247" s="111"/>
      <c r="M247" s="113">
        <f t="shared" si="17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4"/>
        <v/>
      </c>
      <c r="J248" s="111" t="e">
        <f t="shared" si="15"/>
        <v>#NUM!</v>
      </c>
      <c r="K248" s="111" t="e">
        <f t="shared" si="16"/>
        <v>#NUM!</v>
      </c>
      <c r="L248" s="111"/>
      <c r="M248" s="113">
        <f t="shared" si="17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1">
        <v>244</v>
      </c>
      <c r="I249" s="112" t="str">
        <f t="shared" si="14"/>
        <v/>
      </c>
      <c r="J249" s="111" t="e">
        <f t="shared" si="15"/>
        <v>#NUM!</v>
      </c>
      <c r="K249" s="111" t="e">
        <f t="shared" si="16"/>
        <v>#NUM!</v>
      </c>
      <c r="L249" s="111"/>
      <c r="M249" s="113">
        <f t="shared" si="17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4"/>
        <v/>
      </c>
      <c r="J250" s="111" t="e">
        <f t="shared" si="15"/>
        <v>#NUM!</v>
      </c>
      <c r="K250" s="111" t="e">
        <f t="shared" si="16"/>
        <v>#NUM!</v>
      </c>
      <c r="L250" s="111"/>
      <c r="M250" s="113">
        <f t="shared" si="17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1">
        <v>246</v>
      </c>
      <c r="I251" s="112" t="str">
        <f t="shared" si="14"/>
        <v/>
      </c>
      <c r="J251" s="111" t="e">
        <f t="shared" si="15"/>
        <v>#NUM!</v>
      </c>
      <c r="K251" s="111" t="e">
        <f t="shared" si="16"/>
        <v>#NUM!</v>
      </c>
      <c r="L251" s="111"/>
      <c r="M251" s="113">
        <f t="shared" si="17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4"/>
        <v/>
      </c>
      <c r="J252" s="111" t="e">
        <f t="shared" si="15"/>
        <v>#NUM!</v>
      </c>
      <c r="K252" s="111" t="e">
        <f t="shared" si="16"/>
        <v>#NUM!</v>
      </c>
      <c r="L252" s="111"/>
      <c r="M252" s="113">
        <f t="shared" si="17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1">
        <v>248</v>
      </c>
      <c r="I253" s="112" t="str">
        <f t="shared" si="14"/>
        <v/>
      </c>
      <c r="J253" s="111" t="e">
        <f t="shared" si="15"/>
        <v>#NUM!</v>
      </c>
      <c r="K253" s="111" t="e">
        <f t="shared" si="16"/>
        <v>#NUM!</v>
      </c>
      <c r="L253" s="111"/>
      <c r="M253" s="113">
        <f t="shared" si="17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4"/>
        <v/>
      </c>
      <c r="J254" s="111" t="e">
        <f t="shared" si="15"/>
        <v>#NUM!</v>
      </c>
      <c r="K254" s="111" t="e">
        <f t="shared" si="16"/>
        <v>#NUM!</v>
      </c>
      <c r="L254" s="111"/>
      <c r="M254" s="113">
        <f t="shared" si="17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1">
        <v>250</v>
      </c>
      <c r="I255" s="112" t="str">
        <f t="shared" si="14"/>
        <v/>
      </c>
      <c r="J255" s="111" t="e">
        <f t="shared" si="15"/>
        <v>#NUM!</v>
      </c>
      <c r="K255" s="111" t="e">
        <f t="shared" si="16"/>
        <v>#NUM!</v>
      </c>
      <c r="L255" s="111"/>
      <c r="M255" s="113">
        <f t="shared" si="17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4"/>
        <v/>
      </c>
      <c r="J256" s="111" t="e">
        <f t="shared" si="15"/>
        <v>#NUM!</v>
      </c>
      <c r="K256" s="111" t="e">
        <f t="shared" si="16"/>
        <v>#NUM!</v>
      </c>
      <c r="L256" s="111"/>
      <c r="M256" s="113">
        <f t="shared" si="17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1">
        <v>252</v>
      </c>
      <c r="I257" s="112" t="str">
        <f t="shared" si="14"/>
        <v/>
      </c>
      <c r="J257" s="111" t="e">
        <f t="shared" si="15"/>
        <v>#NUM!</v>
      </c>
      <c r="K257" s="111" t="e">
        <f t="shared" si="16"/>
        <v>#NUM!</v>
      </c>
      <c r="L257" s="111"/>
      <c r="M257" s="113">
        <f t="shared" si="17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4"/>
        <v/>
      </c>
      <c r="J258" s="111" t="e">
        <f t="shared" si="15"/>
        <v>#NUM!</v>
      </c>
      <c r="K258" s="111" t="e">
        <f t="shared" si="16"/>
        <v>#NUM!</v>
      </c>
      <c r="L258" s="111"/>
      <c r="M258" s="113">
        <f t="shared" si="17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1">
        <v>254</v>
      </c>
      <c r="I259" s="112" t="str">
        <f t="shared" si="14"/>
        <v/>
      </c>
      <c r="J259" s="111" t="e">
        <f t="shared" si="15"/>
        <v>#NUM!</v>
      </c>
      <c r="K259" s="111" t="e">
        <f t="shared" si="16"/>
        <v>#NUM!</v>
      </c>
      <c r="L259" s="111"/>
      <c r="M259" s="113">
        <f t="shared" si="17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4"/>
        <v/>
      </c>
      <c r="J260" s="111" t="e">
        <f t="shared" si="15"/>
        <v>#NUM!</v>
      </c>
      <c r="K260" s="111" t="e">
        <f t="shared" si="16"/>
        <v>#NUM!</v>
      </c>
      <c r="L260" s="111"/>
      <c r="M260" s="113">
        <f t="shared" si="17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1">
        <v>256</v>
      </c>
      <c r="I261" s="112" t="str">
        <f t="shared" si="14"/>
        <v/>
      </c>
      <c r="J261" s="111" t="e">
        <f t="shared" si="15"/>
        <v>#NUM!</v>
      </c>
      <c r="K261" s="111" t="e">
        <f t="shared" si="16"/>
        <v>#NUM!</v>
      </c>
      <c r="L261" s="111"/>
      <c r="M261" s="113">
        <f t="shared" si="17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18">IF(H262&lt;$H$2+1,($I$2-($I$2-1)*(LOG(H262)/LOG($H$2))),"")</f>
        <v/>
      </c>
      <c r="J262" s="111" t="e">
        <f t="shared" ref="J262:J325" si="19">INT(LOG($H$2,2))-ROUNDUP(LOG(H262,2),0)+IF(OR($H$2=1,$H$2=2,$H$2=4,$H$2=8,$H$2=16,$H$2=32,$H$2=64,$H$2=128,$H$2=256),0,1)</f>
        <v>#NUM!</v>
      </c>
      <c r="K262" s="111" t="e">
        <f t="shared" ref="K262:K305" si="20">J262*$J$2</f>
        <v>#NUM!</v>
      </c>
      <c r="L262" s="111"/>
      <c r="M262" s="113">
        <f t="shared" ref="M262:M305" si="21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1">
        <v>258</v>
      </c>
      <c r="I263" s="112" t="str">
        <f t="shared" si="18"/>
        <v/>
      </c>
      <c r="J263" s="111" t="e">
        <f t="shared" si="19"/>
        <v>#NUM!</v>
      </c>
      <c r="K263" s="111" t="e">
        <f t="shared" si="20"/>
        <v>#NUM!</v>
      </c>
      <c r="L263" s="111"/>
      <c r="M263" s="113">
        <f t="shared" si="21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18"/>
        <v/>
      </c>
      <c r="J264" s="111" t="e">
        <f t="shared" si="19"/>
        <v>#NUM!</v>
      </c>
      <c r="K264" s="111" t="e">
        <f t="shared" si="20"/>
        <v>#NUM!</v>
      </c>
      <c r="L264" s="111"/>
      <c r="M264" s="113">
        <f t="shared" si="21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1">
        <v>260</v>
      </c>
      <c r="I265" s="112" t="str">
        <f t="shared" si="18"/>
        <v/>
      </c>
      <c r="J265" s="111" t="e">
        <f t="shared" si="19"/>
        <v>#NUM!</v>
      </c>
      <c r="K265" s="111" t="e">
        <f t="shared" si="20"/>
        <v>#NUM!</v>
      </c>
      <c r="L265" s="111"/>
      <c r="M265" s="113">
        <f t="shared" si="21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18"/>
        <v/>
      </c>
      <c r="J266" s="111" t="e">
        <f t="shared" si="19"/>
        <v>#NUM!</v>
      </c>
      <c r="K266" s="111" t="e">
        <f t="shared" si="20"/>
        <v>#NUM!</v>
      </c>
      <c r="L266" s="111"/>
      <c r="M266" s="113">
        <f t="shared" si="21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1">
        <v>262</v>
      </c>
      <c r="I267" s="112" t="str">
        <f t="shared" si="18"/>
        <v/>
      </c>
      <c r="J267" s="111" t="e">
        <f t="shared" si="19"/>
        <v>#NUM!</v>
      </c>
      <c r="K267" s="111" t="e">
        <f t="shared" si="20"/>
        <v>#NUM!</v>
      </c>
      <c r="L267" s="111"/>
      <c r="M267" s="113">
        <f t="shared" si="21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18"/>
        <v/>
      </c>
      <c r="J268" s="111" t="e">
        <f t="shared" si="19"/>
        <v>#NUM!</v>
      </c>
      <c r="K268" s="111" t="e">
        <f t="shared" si="20"/>
        <v>#NUM!</v>
      </c>
      <c r="L268" s="111"/>
      <c r="M268" s="113">
        <f t="shared" si="21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1">
        <v>264</v>
      </c>
      <c r="I269" s="112" t="str">
        <f t="shared" si="18"/>
        <v/>
      </c>
      <c r="J269" s="111" t="e">
        <f t="shared" si="19"/>
        <v>#NUM!</v>
      </c>
      <c r="K269" s="111" t="e">
        <f t="shared" si="20"/>
        <v>#NUM!</v>
      </c>
      <c r="L269" s="111"/>
      <c r="M269" s="113">
        <f t="shared" si="21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18"/>
        <v/>
      </c>
      <c r="J270" s="111" t="e">
        <f t="shared" si="19"/>
        <v>#NUM!</v>
      </c>
      <c r="K270" s="111" t="e">
        <f t="shared" si="20"/>
        <v>#NUM!</v>
      </c>
      <c r="L270" s="111"/>
      <c r="M270" s="113">
        <f t="shared" si="21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1">
        <v>266</v>
      </c>
      <c r="I271" s="112" t="str">
        <f t="shared" si="18"/>
        <v/>
      </c>
      <c r="J271" s="111" t="e">
        <f t="shared" si="19"/>
        <v>#NUM!</v>
      </c>
      <c r="K271" s="111" t="e">
        <f t="shared" si="20"/>
        <v>#NUM!</v>
      </c>
      <c r="L271" s="111"/>
      <c r="M271" s="113">
        <f t="shared" si="21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18"/>
        <v/>
      </c>
      <c r="J272" s="111" t="e">
        <f t="shared" si="19"/>
        <v>#NUM!</v>
      </c>
      <c r="K272" s="111" t="e">
        <f t="shared" si="20"/>
        <v>#NUM!</v>
      </c>
      <c r="L272" s="111"/>
      <c r="M272" s="113">
        <f t="shared" si="21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1">
        <v>268</v>
      </c>
      <c r="I273" s="112" t="str">
        <f t="shared" si="18"/>
        <v/>
      </c>
      <c r="J273" s="111" t="e">
        <f t="shared" si="19"/>
        <v>#NUM!</v>
      </c>
      <c r="K273" s="111" t="e">
        <f t="shared" si="20"/>
        <v>#NUM!</v>
      </c>
      <c r="L273" s="111"/>
      <c r="M273" s="113">
        <f t="shared" si="21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18"/>
        <v/>
      </c>
      <c r="J274" s="111" t="e">
        <f t="shared" si="19"/>
        <v>#NUM!</v>
      </c>
      <c r="K274" s="111" t="e">
        <f t="shared" si="20"/>
        <v>#NUM!</v>
      </c>
      <c r="L274" s="111"/>
      <c r="M274" s="113">
        <f t="shared" si="21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1">
        <v>270</v>
      </c>
      <c r="I275" s="112" t="str">
        <f t="shared" si="18"/>
        <v/>
      </c>
      <c r="J275" s="111" t="e">
        <f t="shared" si="19"/>
        <v>#NUM!</v>
      </c>
      <c r="K275" s="111" t="e">
        <f t="shared" si="20"/>
        <v>#NUM!</v>
      </c>
      <c r="L275" s="111"/>
      <c r="M275" s="113">
        <f t="shared" si="21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18"/>
        <v/>
      </c>
      <c r="J276" s="111" t="e">
        <f t="shared" si="19"/>
        <v>#NUM!</v>
      </c>
      <c r="K276" s="111" t="e">
        <f t="shared" si="20"/>
        <v>#NUM!</v>
      </c>
      <c r="L276" s="111"/>
      <c r="M276" s="113">
        <f t="shared" si="21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1">
        <v>272</v>
      </c>
      <c r="I277" s="112" t="str">
        <f t="shared" si="18"/>
        <v/>
      </c>
      <c r="J277" s="111" t="e">
        <f t="shared" si="19"/>
        <v>#NUM!</v>
      </c>
      <c r="K277" s="111" t="e">
        <f t="shared" si="20"/>
        <v>#NUM!</v>
      </c>
      <c r="L277" s="111"/>
      <c r="M277" s="113">
        <f t="shared" si="21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18"/>
        <v/>
      </c>
      <c r="J278" s="111" t="e">
        <f t="shared" si="19"/>
        <v>#NUM!</v>
      </c>
      <c r="K278" s="111" t="e">
        <f t="shared" si="20"/>
        <v>#NUM!</v>
      </c>
      <c r="L278" s="111"/>
      <c r="M278" s="113">
        <f t="shared" si="21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1">
        <v>274</v>
      </c>
      <c r="I279" s="112" t="str">
        <f t="shared" si="18"/>
        <v/>
      </c>
      <c r="J279" s="111" t="e">
        <f t="shared" si="19"/>
        <v>#NUM!</v>
      </c>
      <c r="K279" s="111" t="e">
        <f t="shared" si="20"/>
        <v>#NUM!</v>
      </c>
      <c r="L279" s="111"/>
      <c r="M279" s="113">
        <f t="shared" si="21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18"/>
        <v/>
      </c>
      <c r="J280" s="111" t="e">
        <f t="shared" si="19"/>
        <v>#NUM!</v>
      </c>
      <c r="K280" s="111" t="e">
        <f t="shared" si="20"/>
        <v>#NUM!</v>
      </c>
      <c r="L280" s="111"/>
      <c r="M280" s="113">
        <f t="shared" si="21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1">
        <v>276</v>
      </c>
      <c r="I281" s="112" t="str">
        <f t="shared" si="18"/>
        <v/>
      </c>
      <c r="J281" s="111" t="e">
        <f t="shared" si="19"/>
        <v>#NUM!</v>
      </c>
      <c r="K281" s="111" t="e">
        <f t="shared" si="20"/>
        <v>#NUM!</v>
      </c>
      <c r="L281" s="111"/>
      <c r="M281" s="113">
        <f t="shared" si="21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18"/>
        <v/>
      </c>
      <c r="J282" s="111" t="e">
        <f t="shared" si="19"/>
        <v>#NUM!</v>
      </c>
      <c r="K282" s="111" t="e">
        <f t="shared" si="20"/>
        <v>#NUM!</v>
      </c>
      <c r="L282" s="111"/>
      <c r="M282" s="113">
        <f t="shared" si="21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1">
        <v>278</v>
      </c>
      <c r="I283" s="112" t="str">
        <f t="shared" si="18"/>
        <v/>
      </c>
      <c r="J283" s="111" t="e">
        <f t="shared" si="19"/>
        <v>#NUM!</v>
      </c>
      <c r="K283" s="111" t="e">
        <f t="shared" si="20"/>
        <v>#NUM!</v>
      </c>
      <c r="L283" s="111"/>
      <c r="M283" s="113">
        <f t="shared" si="21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18"/>
        <v/>
      </c>
      <c r="J284" s="111" t="e">
        <f t="shared" si="19"/>
        <v>#NUM!</v>
      </c>
      <c r="K284" s="111" t="e">
        <f t="shared" si="20"/>
        <v>#NUM!</v>
      </c>
      <c r="L284" s="111"/>
      <c r="M284" s="113">
        <f t="shared" si="21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1">
        <v>280</v>
      </c>
      <c r="I285" s="112" t="str">
        <f t="shared" si="18"/>
        <v/>
      </c>
      <c r="J285" s="111" t="e">
        <f t="shared" si="19"/>
        <v>#NUM!</v>
      </c>
      <c r="K285" s="111" t="e">
        <f t="shared" si="20"/>
        <v>#NUM!</v>
      </c>
      <c r="L285" s="111"/>
      <c r="M285" s="113">
        <f t="shared" si="21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18"/>
        <v/>
      </c>
      <c r="J286" s="111" t="e">
        <f t="shared" si="19"/>
        <v>#NUM!</v>
      </c>
      <c r="K286" s="111" t="e">
        <f t="shared" si="20"/>
        <v>#NUM!</v>
      </c>
      <c r="L286" s="111"/>
      <c r="M286" s="113">
        <f t="shared" si="21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1">
        <v>282</v>
      </c>
      <c r="I287" s="112" t="str">
        <f t="shared" si="18"/>
        <v/>
      </c>
      <c r="J287" s="111" t="e">
        <f t="shared" si="19"/>
        <v>#NUM!</v>
      </c>
      <c r="K287" s="111" t="e">
        <f t="shared" si="20"/>
        <v>#NUM!</v>
      </c>
      <c r="L287" s="111"/>
      <c r="M287" s="113">
        <f t="shared" si="21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18"/>
        <v/>
      </c>
      <c r="J288" s="111" t="e">
        <f t="shared" si="19"/>
        <v>#NUM!</v>
      </c>
      <c r="K288" s="111" t="e">
        <f t="shared" si="20"/>
        <v>#NUM!</v>
      </c>
      <c r="L288" s="111"/>
      <c r="M288" s="113">
        <f t="shared" si="21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1">
        <v>284</v>
      </c>
      <c r="I289" s="112" t="str">
        <f t="shared" si="18"/>
        <v/>
      </c>
      <c r="J289" s="111" t="e">
        <f t="shared" si="19"/>
        <v>#NUM!</v>
      </c>
      <c r="K289" s="111" t="e">
        <f t="shared" si="20"/>
        <v>#NUM!</v>
      </c>
      <c r="L289" s="111"/>
      <c r="M289" s="113">
        <f t="shared" si="21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18"/>
        <v/>
      </c>
      <c r="J290" s="111" t="e">
        <f t="shared" si="19"/>
        <v>#NUM!</v>
      </c>
      <c r="K290" s="111" t="e">
        <f t="shared" si="20"/>
        <v>#NUM!</v>
      </c>
      <c r="L290" s="111"/>
      <c r="M290" s="113">
        <f t="shared" si="21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1">
        <v>286</v>
      </c>
      <c r="I291" s="112" t="str">
        <f t="shared" si="18"/>
        <v/>
      </c>
      <c r="J291" s="111" t="e">
        <f t="shared" si="19"/>
        <v>#NUM!</v>
      </c>
      <c r="K291" s="111" t="e">
        <f t="shared" si="20"/>
        <v>#NUM!</v>
      </c>
      <c r="L291" s="111"/>
      <c r="M291" s="113">
        <f t="shared" si="21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18"/>
        <v/>
      </c>
      <c r="J292" s="111" t="e">
        <f t="shared" si="19"/>
        <v>#NUM!</v>
      </c>
      <c r="K292" s="111" t="e">
        <f t="shared" si="20"/>
        <v>#NUM!</v>
      </c>
      <c r="L292" s="111"/>
      <c r="M292" s="113">
        <f t="shared" si="21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18"/>
        <v/>
      </c>
      <c r="J293" s="111" t="e">
        <f t="shared" si="19"/>
        <v>#NUM!</v>
      </c>
      <c r="K293" s="111" t="e">
        <f t="shared" si="20"/>
        <v>#NUM!</v>
      </c>
      <c r="L293" s="111"/>
      <c r="M293" s="113">
        <f t="shared" si="21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18"/>
        <v/>
      </c>
      <c r="J294" s="111" t="e">
        <f t="shared" si="19"/>
        <v>#NUM!</v>
      </c>
      <c r="K294" s="111" t="e">
        <f t="shared" si="20"/>
        <v>#NUM!</v>
      </c>
      <c r="L294" s="111"/>
      <c r="M294" s="113">
        <f t="shared" si="21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18"/>
        <v/>
      </c>
      <c r="J295" s="111" t="e">
        <f t="shared" si="19"/>
        <v>#NUM!</v>
      </c>
      <c r="K295" s="111" t="e">
        <f t="shared" si="20"/>
        <v>#NUM!</v>
      </c>
      <c r="L295" s="111"/>
      <c r="M295" s="113">
        <f t="shared" si="21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18"/>
        <v/>
      </c>
      <c r="J296" s="111" t="e">
        <f t="shared" si="19"/>
        <v>#NUM!</v>
      </c>
      <c r="K296" s="111" t="e">
        <f t="shared" si="20"/>
        <v>#NUM!</v>
      </c>
      <c r="L296" s="111"/>
      <c r="M296" s="113">
        <f t="shared" si="21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18"/>
        <v/>
      </c>
      <c r="J297" s="111" t="e">
        <f t="shared" si="19"/>
        <v>#NUM!</v>
      </c>
      <c r="K297" s="111" t="e">
        <f t="shared" si="20"/>
        <v>#NUM!</v>
      </c>
      <c r="L297" s="111"/>
      <c r="M297" s="113">
        <f t="shared" si="21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18"/>
        <v/>
      </c>
      <c r="J298" s="111" t="e">
        <f t="shared" si="19"/>
        <v>#NUM!</v>
      </c>
      <c r="K298" s="111" t="e">
        <f t="shared" si="20"/>
        <v>#NUM!</v>
      </c>
      <c r="L298" s="111"/>
      <c r="M298" s="113">
        <f t="shared" si="21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18"/>
        <v/>
      </c>
      <c r="J299" s="111" t="e">
        <f t="shared" si="19"/>
        <v>#NUM!</v>
      </c>
      <c r="K299" s="111" t="e">
        <f t="shared" si="20"/>
        <v>#NUM!</v>
      </c>
      <c r="L299" s="111"/>
      <c r="M299" s="113">
        <f t="shared" si="21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18"/>
        <v/>
      </c>
      <c r="J300" s="111" t="e">
        <f t="shared" si="19"/>
        <v>#NUM!</v>
      </c>
      <c r="K300" s="111" t="e">
        <f t="shared" si="20"/>
        <v>#NUM!</v>
      </c>
      <c r="L300" s="111"/>
      <c r="M300" s="113">
        <f t="shared" si="21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18"/>
        <v/>
      </c>
      <c r="J301" s="111" t="e">
        <f t="shared" si="19"/>
        <v>#NUM!</v>
      </c>
      <c r="K301" s="111" t="e">
        <f t="shared" si="20"/>
        <v>#NUM!</v>
      </c>
      <c r="L301" s="111"/>
      <c r="M301" s="113">
        <f t="shared" si="21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18"/>
        <v/>
      </c>
      <c r="J302" s="111" t="e">
        <f t="shared" si="19"/>
        <v>#NUM!</v>
      </c>
      <c r="K302" s="111" t="e">
        <f t="shared" si="20"/>
        <v>#NUM!</v>
      </c>
      <c r="L302" s="111"/>
      <c r="M302" s="113">
        <f t="shared" si="21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18"/>
        <v/>
      </c>
      <c r="J303" s="111" t="e">
        <f t="shared" si="19"/>
        <v>#NUM!</v>
      </c>
      <c r="K303" s="111" t="e">
        <f t="shared" si="20"/>
        <v>#NUM!</v>
      </c>
      <c r="L303" s="111"/>
      <c r="M303" s="113">
        <f t="shared" si="21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18"/>
        <v/>
      </c>
      <c r="J304" s="111" t="e">
        <f t="shared" si="19"/>
        <v>#NUM!</v>
      </c>
      <c r="K304" s="111" t="e">
        <f t="shared" si="20"/>
        <v>#NUM!</v>
      </c>
      <c r="L304" s="111"/>
      <c r="M304" s="113">
        <f t="shared" si="21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18"/>
        <v/>
      </c>
      <c r="J305" s="111" t="e">
        <f t="shared" si="19"/>
        <v>#NUM!</v>
      </c>
      <c r="K305" s="111" t="e">
        <f t="shared" si="20"/>
        <v>#NUM!</v>
      </c>
      <c r="L305" s="111"/>
      <c r="M305" s="113">
        <f t="shared" si="21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 t="e">
        <f t="shared" si="19"/>
        <v>#NUM!</v>
      </c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07" spans="1:38" s="96" customFormat="1">
      <c r="A307" s="131"/>
      <c r="B307" s="131"/>
      <c r="C307" s="131"/>
      <c r="D307" s="131"/>
      <c r="E307" s="131"/>
      <c r="F307" s="131"/>
      <c r="G307" s="131"/>
      <c r="H307" s="134"/>
      <c r="I307" s="134"/>
      <c r="J307" s="134" t="e">
        <f t="shared" si="19"/>
        <v>#NUM!</v>
      </c>
      <c r="K307" s="134"/>
      <c r="L307" s="134"/>
      <c r="M307" s="135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</row>
    <row r="308" spans="1:38" s="96" customFormat="1">
      <c r="A308" s="131"/>
      <c r="B308" s="131"/>
      <c r="C308" s="131"/>
      <c r="D308" s="131"/>
      <c r="E308" s="131"/>
      <c r="F308" s="131"/>
      <c r="G308" s="131"/>
      <c r="H308" s="134"/>
      <c r="I308" s="134"/>
      <c r="J308" s="134" t="e">
        <f t="shared" si="19"/>
        <v>#NUM!</v>
      </c>
      <c r="K308" s="134"/>
      <c r="L308" s="134"/>
      <c r="M308" s="135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</row>
    <row r="309" spans="1:38" s="96" customFormat="1">
      <c r="A309" s="131"/>
      <c r="B309" s="131"/>
      <c r="C309" s="131"/>
      <c r="D309" s="131"/>
      <c r="E309" s="131"/>
      <c r="F309" s="131"/>
      <c r="G309" s="131"/>
      <c r="H309" s="134"/>
      <c r="I309" s="134"/>
      <c r="J309" s="134" t="e">
        <f t="shared" si="19"/>
        <v>#NUM!</v>
      </c>
      <c r="K309" s="134"/>
      <c r="L309" s="134"/>
      <c r="M309" s="135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</row>
    <row r="310" spans="1:38" s="96" customFormat="1">
      <c r="A310" s="131"/>
      <c r="B310" s="131"/>
      <c r="C310" s="131"/>
      <c r="D310" s="131"/>
      <c r="E310" s="131"/>
      <c r="F310" s="131"/>
      <c r="G310" s="131"/>
      <c r="H310" s="134"/>
      <c r="I310" s="134"/>
      <c r="J310" s="134" t="e">
        <f t="shared" si="19"/>
        <v>#NUM!</v>
      </c>
      <c r="K310" s="134"/>
      <c r="L310" s="134"/>
      <c r="M310" s="135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</row>
    <row r="311" spans="1:38" s="96" customFormat="1">
      <c r="A311" s="131"/>
      <c r="B311" s="131"/>
      <c r="C311" s="131"/>
      <c r="D311" s="131"/>
      <c r="E311" s="131"/>
      <c r="F311" s="131"/>
      <c r="G311" s="131"/>
      <c r="H311" s="134"/>
      <c r="I311" s="134"/>
      <c r="J311" s="134" t="e">
        <f t="shared" si="19"/>
        <v>#NUM!</v>
      </c>
      <c r="K311" s="134"/>
      <c r="L311" s="134"/>
      <c r="M311" s="135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</row>
    <row r="312" spans="1:38" s="96" customFormat="1">
      <c r="A312" s="131"/>
      <c r="B312" s="131"/>
      <c r="C312" s="131"/>
      <c r="D312" s="131"/>
      <c r="E312" s="131"/>
      <c r="F312" s="131"/>
      <c r="G312" s="131"/>
      <c r="H312" s="134"/>
      <c r="I312" s="134"/>
      <c r="J312" s="134" t="e">
        <f t="shared" si="19"/>
        <v>#NUM!</v>
      </c>
      <c r="K312" s="134"/>
      <c r="L312" s="134"/>
      <c r="M312" s="135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</row>
    <row r="313" spans="1:38" s="96" customFormat="1">
      <c r="A313" s="131"/>
      <c r="B313" s="131"/>
      <c r="C313" s="131"/>
      <c r="D313" s="131"/>
      <c r="E313" s="131"/>
      <c r="F313" s="131"/>
      <c r="G313" s="131"/>
      <c r="H313" s="134"/>
      <c r="I313" s="134"/>
      <c r="J313" s="134" t="e">
        <f t="shared" si="19"/>
        <v>#NUM!</v>
      </c>
      <c r="K313" s="134"/>
      <c r="L313" s="134"/>
      <c r="M313" s="135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 t="e">
        <f t="shared" si="19"/>
        <v>#NUM!</v>
      </c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 t="e">
        <f t="shared" si="19"/>
        <v>#NUM!</v>
      </c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 t="e">
        <f t="shared" si="19"/>
        <v>#NUM!</v>
      </c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 t="e">
        <f t="shared" si="19"/>
        <v>#NUM!</v>
      </c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  <row r="318" spans="1:38" s="96" customFormat="1">
      <c r="A318" s="131"/>
      <c r="B318" s="131"/>
      <c r="C318" s="131"/>
      <c r="D318" s="131"/>
      <c r="E318" s="131"/>
      <c r="F318" s="131"/>
      <c r="G318" s="131"/>
      <c r="H318" s="134"/>
      <c r="I318" s="134"/>
      <c r="J318" s="134" t="e">
        <f t="shared" si="19"/>
        <v>#NUM!</v>
      </c>
      <c r="K318" s="134"/>
      <c r="L318" s="134"/>
      <c r="M318" s="135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</row>
    <row r="319" spans="1:38" s="96" customFormat="1">
      <c r="A319" s="131"/>
      <c r="B319" s="131"/>
      <c r="C319" s="131"/>
      <c r="D319" s="131"/>
      <c r="E319" s="131"/>
      <c r="F319" s="131"/>
      <c r="G319" s="131"/>
      <c r="H319" s="134"/>
      <c r="I319" s="134"/>
      <c r="J319" s="134" t="e">
        <f t="shared" si="19"/>
        <v>#NUM!</v>
      </c>
      <c r="K319" s="134"/>
      <c r="L319" s="134"/>
      <c r="M319" s="135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</row>
    <row r="320" spans="1:38" s="96" customFormat="1">
      <c r="A320" s="131"/>
      <c r="B320" s="131"/>
      <c r="C320" s="131"/>
      <c r="D320" s="131"/>
      <c r="E320" s="131"/>
      <c r="F320" s="131"/>
      <c r="G320" s="131"/>
      <c r="H320" s="134"/>
      <c r="I320" s="134"/>
      <c r="J320" s="134" t="e">
        <f t="shared" si="19"/>
        <v>#NUM!</v>
      </c>
      <c r="K320" s="134"/>
      <c r="L320" s="134"/>
      <c r="M320" s="135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</row>
    <row r="321" spans="10:38" s="134" customFormat="1">
      <c r="J321" s="134" t="e">
        <f t="shared" si="19"/>
        <v>#NUM!</v>
      </c>
      <c r="M321" s="135"/>
      <c r="N321" s="96"/>
      <c r="O321" s="96"/>
      <c r="P321" s="96"/>
      <c r="Q321" s="96"/>
      <c r="R321" s="96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</row>
    <row r="322" spans="10:38" s="134" customFormat="1">
      <c r="J322" s="134" t="e">
        <f t="shared" si="19"/>
        <v>#NUM!</v>
      </c>
      <c r="M322" s="135"/>
      <c r="N322" s="96"/>
      <c r="O322" s="96"/>
      <c r="P322" s="96"/>
      <c r="Q322" s="96"/>
      <c r="R322" s="96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</row>
    <row r="323" spans="10:38" s="134" customFormat="1">
      <c r="J323" s="134" t="e">
        <f t="shared" si="19"/>
        <v>#NUM!</v>
      </c>
      <c r="M323" s="135"/>
      <c r="N323" s="96"/>
      <c r="O323" s="96"/>
      <c r="P323" s="96"/>
      <c r="Q323" s="96"/>
      <c r="R323" s="96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</row>
    <row r="324" spans="10:38" s="134" customFormat="1">
      <c r="J324" s="134" t="e">
        <f t="shared" si="19"/>
        <v>#NUM!</v>
      </c>
      <c r="M324" s="135"/>
      <c r="N324" s="96"/>
      <c r="O324" s="96"/>
      <c r="P324" s="96"/>
      <c r="Q324" s="96"/>
      <c r="R324" s="96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</row>
    <row r="325" spans="10:38" s="134" customFormat="1">
      <c r="J325" s="134" t="e">
        <f t="shared" si="19"/>
        <v>#NUM!</v>
      </c>
      <c r="M325" s="135"/>
      <c r="N325" s="96"/>
      <c r="O325" s="96"/>
      <c r="P325" s="96"/>
      <c r="Q325" s="96"/>
      <c r="R325" s="96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</row>
    <row r="326" spans="10:38" s="134" customFormat="1">
      <c r="J326" s="134" t="e">
        <f t="shared" ref="J326:J374" si="22">INT(LOG($H$2,2))-ROUNDUP(LOG(H326,2),0)+IF(OR($H$2=1,$H$2=2,$H$2=4,$H$2=8,$H$2=16,$H$2=32,$H$2=64,$H$2=128,$H$2=256),0,1)</f>
        <v>#NUM!</v>
      </c>
      <c r="M326" s="135"/>
      <c r="N326" s="96"/>
      <c r="O326" s="96"/>
      <c r="P326" s="96"/>
      <c r="Q326" s="96"/>
      <c r="R326" s="96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</row>
    <row r="327" spans="10:38" s="134" customFormat="1">
      <c r="J327" s="134" t="e">
        <f t="shared" si="22"/>
        <v>#NUM!</v>
      </c>
      <c r="M327" s="135"/>
      <c r="N327" s="96"/>
      <c r="O327" s="96"/>
      <c r="P327" s="96"/>
      <c r="Q327" s="96"/>
      <c r="R327" s="96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</row>
    <row r="328" spans="10:38" s="134" customFormat="1">
      <c r="J328" s="134" t="e">
        <f t="shared" si="22"/>
        <v>#NUM!</v>
      </c>
      <c r="M328" s="135"/>
      <c r="N328" s="96"/>
      <c r="O328" s="96"/>
      <c r="P328" s="96"/>
      <c r="Q328" s="96"/>
      <c r="R328" s="96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</row>
    <row r="329" spans="10:38" s="134" customFormat="1">
      <c r="J329" s="134" t="e">
        <f t="shared" si="22"/>
        <v>#NUM!</v>
      </c>
      <c r="M329" s="135"/>
      <c r="N329" s="96"/>
      <c r="O329" s="96"/>
      <c r="P329" s="96"/>
      <c r="Q329" s="96"/>
      <c r="R329" s="96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</row>
    <row r="330" spans="10:38" s="134" customFormat="1">
      <c r="J330" s="134" t="e">
        <f t="shared" si="22"/>
        <v>#NUM!</v>
      </c>
      <c r="M330" s="135"/>
      <c r="N330" s="96"/>
      <c r="O330" s="96"/>
      <c r="P330" s="96"/>
      <c r="Q330" s="96"/>
      <c r="R330" s="96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</row>
    <row r="331" spans="10:38" s="134" customFormat="1">
      <c r="J331" s="134" t="e">
        <f t="shared" si="22"/>
        <v>#NUM!</v>
      </c>
      <c r="M331" s="135"/>
      <c r="N331" s="96"/>
      <c r="O331" s="96"/>
      <c r="P331" s="96"/>
      <c r="Q331" s="96"/>
      <c r="R331" s="96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</row>
    <row r="332" spans="10:38" s="134" customFormat="1">
      <c r="J332" s="134" t="e">
        <f t="shared" si="22"/>
        <v>#NUM!</v>
      </c>
      <c r="M332" s="135"/>
      <c r="N332" s="96"/>
      <c r="O332" s="96"/>
      <c r="P332" s="96"/>
      <c r="Q332" s="96"/>
      <c r="R332" s="96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</row>
    <row r="333" spans="10:38" s="134" customFormat="1">
      <c r="J333" s="134" t="e">
        <f t="shared" si="22"/>
        <v>#NUM!</v>
      </c>
      <c r="M333" s="135"/>
      <c r="N333" s="96"/>
      <c r="O333" s="96"/>
      <c r="P333" s="96"/>
      <c r="Q333" s="96"/>
      <c r="R333" s="96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</row>
    <row r="334" spans="10:38" s="134" customFormat="1">
      <c r="J334" s="134" t="e">
        <f t="shared" si="22"/>
        <v>#NUM!</v>
      </c>
      <c r="M334" s="135"/>
      <c r="N334" s="96"/>
      <c r="O334" s="96"/>
      <c r="P334" s="96"/>
      <c r="Q334" s="96"/>
      <c r="R334" s="96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</row>
    <row r="335" spans="10:38" s="134" customFormat="1">
      <c r="J335" s="134" t="e">
        <f t="shared" si="22"/>
        <v>#NUM!</v>
      </c>
      <c r="M335" s="135"/>
      <c r="N335" s="96"/>
      <c r="O335" s="96"/>
      <c r="P335" s="96"/>
      <c r="Q335" s="96"/>
      <c r="R335" s="96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</row>
    <row r="336" spans="10:38" s="134" customFormat="1">
      <c r="J336" s="134" t="e">
        <f t="shared" si="22"/>
        <v>#NUM!</v>
      </c>
      <c r="M336" s="135"/>
      <c r="N336" s="96"/>
      <c r="O336" s="96"/>
      <c r="P336" s="96"/>
      <c r="Q336" s="96"/>
      <c r="R336" s="96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</row>
    <row r="337" spans="10:38" s="134" customFormat="1">
      <c r="J337" s="134" t="e">
        <f t="shared" si="22"/>
        <v>#NUM!</v>
      </c>
      <c r="M337" s="135"/>
      <c r="N337" s="96"/>
      <c r="O337" s="96"/>
      <c r="P337" s="96"/>
      <c r="Q337" s="96"/>
      <c r="R337" s="96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</row>
    <row r="338" spans="10:38" s="134" customFormat="1">
      <c r="J338" s="134" t="e">
        <f t="shared" si="22"/>
        <v>#NUM!</v>
      </c>
      <c r="M338" s="135"/>
      <c r="N338" s="96"/>
      <c r="O338" s="96"/>
      <c r="P338" s="96"/>
      <c r="Q338" s="96"/>
      <c r="R338" s="96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</row>
    <row r="339" spans="10:38" s="134" customFormat="1">
      <c r="J339" s="134" t="e">
        <f t="shared" si="22"/>
        <v>#NUM!</v>
      </c>
      <c r="M339" s="135"/>
      <c r="N339" s="96"/>
      <c r="O339" s="96"/>
      <c r="P339" s="96"/>
      <c r="Q339" s="96"/>
      <c r="R339" s="96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</row>
    <row r="340" spans="10:38" s="134" customFormat="1">
      <c r="J340" s="134" t="e">
        <f t="shared" si="22"/>
        <v>#NUM!</v>
      </c>
      <c r="M340" s="135"/>
      <c r="N340" s="96"/>
      <c r="O340" s="96"/>
      <c r="P340" s="96"/>
      <c r="Q340" s="96"/>
      <c r="R340" s="96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</row>
    <row r="341" spans="10:38" s="134" customFormat="1">
      <c r="J341" s="134" t="e">
        <f t="shared" si="22"/>
        <v>#NUM!</v>
      </c>
      <c r="M341" s="135"/>
      <c r="N341" s="96"/>
      <c r="O341" s="96"/>
      <c r="P341" s="96"/>
      <c r="Q341" s="96"/>
      <c r="R341" s="96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</row>
    <row r="342" spans="10:38" s="134" customFormat="1">
      <c r="J342" s="134" t="e">
        <f t="shared" si="22"/>
        <v>#NUM!</v>
      </c>
      <c r="M342" s="135"/>
      <c r="N342" s="96"/>
      <c r="O342" s="96"/>
      <c r="P342" s="96"/>
      <c r="Q342" s="96"/>
      <c r="R342" s="96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</row>
    <row r="343" spans="10:38" s="134" customFormat="1">
      <c r="J343" s="134" t="e">
        <f t="shared" si="22"/>
        <v>#NUM!</v>
      </c>
      <c r="M343" s="135"/>
      <c r="N343" s="96"/>
      <c r="O343" s="96"/>
      <c r="P343" s="96"/>
      <c r="Q343" s="96"/>
      <c r="R343" s="96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</row>
    <row r="344" spans="10:38" s="134" customFormat="1">
      <c r="J344" s="134" t="e">
        <f t="shared" si="22"/>
        <v>#NUM!</v>
      </c>
      <c r="M344" s="135"/>
      <c r="N344" s="96"/>
      <c r="O344" s="96"/>
      <c r="P344" s="96"/>
      <c r="Q344" s="96"/>
      <c r="R344" s="96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</row>
    <row r="345" spans="10:38" s="134" customFormat="1">
      <c r="J345" s="134" t="e">
        <f t="shared" si="22"/>
        <v>#NUM!</v>
      </c>
      <c r="M345" s="135"/>
      <c r="N345" s="96"/>
      <c r="O345" s="96"/>
      <c r="P345" s="96"/>
      <c r="Q345" s="96"/>
      <c r="R345" s="96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</row>
    <row r="346" spans="10:38" s="134" customFormat="1">
      <c r="J346" s="134" t="e">
        <f t="shared" si="22"/>
        <v>#NUM!</v>
      </c>
      <c r="M346" s="135"/>
      <c r="N346" s="96"/>
      <c r="O346" s="96"/>
      <c r="P346" s="96"/>
      <c r="Q346" s="96"/>
      <c r="R346" s="96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</row>
    <row r="347" spans="10:38" s="134" customFormat="1">
      <c r="J347" s="134" t="e">
        <f t="shared" si="22"/>
        <v>#NUM!</v>
      </c>
      <c r="M347" s="135"/>
      <c r="N347" s="96"/>
      <c r="O347" s="96"/>
      <c r="P347" s="96"/>
      <c r="Q347" s="96"/>
      <c r="R347" s="96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</row>
    <row r="348" spans="10:38" s="134" customFormat="1">
      <c r="J348" s="134" t="e">
        <f t="shared" si="22"/>
        <v>#NUM!</v>
      </c>
      <c r="M348" s="135"/>
      <c r="N348" s="96"/>
      <c r="O348" s="96"/>
      <c r="P348" s="96"/>
      <c r="Q348" s="96"/>
      <c r="R348" s="96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</row>
    <row r="349" spans="10:38" s="134" customFormat="1">
      <c r="J349" s="134" t="e">
        <f t="shared" si="22"/>
        <v>#NUM!</v>
      </c>
      <c r="M349" s="135"/>
      <c r="N349" s="96"/>
      <c r="O349" s="96"/>
      <c r="P349" s="96"/>
      <c r="Q349" s="96"/>
      <c r="R349" s="96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</row>
    <row r="350" spans="10:38" s="134" customFormat="1">
      <c r="J350" s="134" t="e">
        <f t="shared" si="22"/>
        <v>#NUM!</v>
      </c>
      <c r="M350" s="135"/>
      <c r="N350" s="96"/>
      <c r="O350" s="96"/>
      <c r="P350" s="96"/>
      <c r="Q350" s="96"/>
      <c r="R350" s="96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</row>
    <row r="351" spans="10:38" s="134" customFormat="1">
      <c r="J351" s="134" t="e">
        <f t="shared" si="22"/>
        <v>#NUM!</v>
      </c>
      <c r="M351" s="135"/>
      <c r="N351" s="96"/>
      <c r="O351" s="96"/>
      <c r="P351" s="96"/>
      <c r="Q351" s="96"/>
      <c r="R351" s="96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</row>
    <row r="352" spans="10:38" s="134" customFormat="1">
      <c r="J352" s="134" t="e">
        <f t="shared" si="22"/>
        <v>#NUM!</v>
      </c>
      <c r="M352" s="135"/>
      <c r="N352" s="96"/>
      <c r="O352" s="96"/>
      <c r="P352" s="96"/>
      <c r="Q352" s="96"/>
      <c r="R352" s="96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</row>
    <row r="353" spans="10:38" s="134" customFormat="1">
      <c r="J353" s="134" t="e">
        <f t="shared" si="22"/>
        <v>#NUM!</v>
      </c>
      <c r="M353" s="135"/>
      <c r="N353" s="96"/>
      <c r="O353" s="96"/>
      <c r="P353" s="96"/>
      <c r="Q353" s="96"/>
      <c r="R353" s="96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</row>
    <row r="354" spans="10:38" s="134" customFormat="1">
      <c r="J354" s="134" t="e">
        <f t="shared" si="22"/>
        <v>#NUM!</v>
      </c>
      <c r="M354" s="135"/>
      <c r="N354" s="96"/>
      <c r="O354" s="96"/>
      <c r="P354" s="96"/>
      <c r="Q354" s="96"/>
      <c r="R354" s="96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</row>
    <row r="355" spans="10:38" s="134" customFormat="1">
      <c r="J355" s="134" t="e">
        <f t="shared" si="22"/>
        <v>#NUM!</v>
      </c>
      <c r="M355" s="135"/>
      <c r="N355" s="96"/>
      <c r="O355" s="96"/>
      <c r="P355" s="96"/>
      <c r="Q355" s="96"/>
      <c r="R355" s="96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</row>
    <row r="356" spans="10:38" s="134" customFormat="1">
      <c r="J356" s="134" t="e">
        <f t="shared" si="22"/>
        <v>#NUM!</v>
      </c>
      <c r="M356" s="135"/>
      <c r="N356" s="96"/>
      <c r="O356" s="96"/>
      <c r="P356" s="96"/>
      <c r="Q356" s="96"/>
      <c r="R356" s="96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</row>
    <row r="357" spans="10:38" s="134" customFormat="1">
      <c r="J357" s="134" t="e">
        <f t="shared" si="22"/>
        <v>#NUM!</v>
      </c>
      <c r="M357" s="135"/>
      <c r="N357" s="96"/>
      <c r="O357" s="96"/>
      <c r="P357" s="96"/>
      <c r="Q357" s="96"/>
      <c r="R357" s="96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</row>
    <row r="358" spans="10:38" s="134" customFormat="1">
      <c r="J358" s="134" t="e">
        <f t="shared" si="22"/>
        <v>#NUM!</v>
      </c>
      <c r="M358" s="135"/>
      <c r="N358" s="96"/>
      <c r="O358" s="96"/>
      <c r="P358" s="96"/>
      <c r="Q358" s="96"/>
      <c r="R358" s="96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</row>
    <row r="359" spans="10:38" s="134" customFormat="1">
      <c r="J359" s="134" t="e">
        <f t="shared" si="22"/>
        <v>#NUM!</v>
      </c>
      <c r="M359" s="135"/>
      <c r="N359" s="96"/>
      <c r="O359" s="96"/>
      <c r="P359" s="96"/>
      <c r="Q359" s="96"/>
      <c r="R359" s="96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</row>
    <row r="360" spans="10:38" s="134" customFormat="1">
      <c r="J360" s="134" t="e">
        <f t="shared" si="22"/>
        <v>#NUM!</v>
      </c>
      <c r="M360" s="135"/>
      <c r="N360" s="96"/>
      <c r="O360" s="96"/>
      <c r="P360" s="96"/>
      <c r="Q360" s="96"/>
      <c r="R360" s="96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</row>
    <row r="361" spans="10:38" s="134" customFormat="1">
      <c r="J361" s="134" t="e">
        <f t="shared" si="22"/>
        <v>#NUM!</v>
      </c>
      <c r="M361" s="135"/>
      <c r="N361" s="96"/>
      <c r="O361" s="96"/>
      <c r="P361" s="96"/>
      <c r="Q361" s="96"/>
      <c r="R361" s="96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</row>
    <row r="362" spans="10:38" s="134" customFormat="1">
      <c r="J362" s="134" t="e">
        <f t="shared" si="22"/>
        <v>#NUM!</v>
      </c>
      <c r="M362" s="135"/>
      <c r="N362" s="96"/>
      <c r="O362" s="96"/>
      <c r="P362" s="96"/>
      <c r="Q362" s="96"/>
      <c r="R362" s="96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</row>
    <row r="363" spans="10:38" s="134" customFormat="1">
      <c r="J363" s="134" t="e">
        <f t="shared" si="22"/>
        <v>#NUM!</v>
      </c>
      <c r="M363" s="135"/>
      <c r="N363" s="96"/>
      <c r="O363" s="96"/>
      <c r="P363" s="96"/>
      <c r="Q363" s="96"/>
      <c r="R363" s="96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</row>
    <row r="364" spans="10:38" s="134" customFormat="1">
      <c r="J364" s="134" t="e">
        <f t="shared" si="22"/>
        <v>#NUM!</v>
      </c>
      <c r="M364" s="135"/>
      <c r="N364" s="96"/>
      <c r="O364" s="96"/>
      <c r="P364" s="96"/>
      <c r="Q364" s="96"/>
      <c r="R364" s="96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</row>
    <row r="365" spans="10:38" s="134" customFormat="1">
      <c r="J365" s="134" t="e">
        <f t="shared" si="22"/>
        <v>#NUM!</v>
      </c>
      <c r="M365" s="135"/>
      <c r="N365" s="96"/>
      <c r="O365" s="96"/>
      <c r="P365" s="96"/>
      <c r="Q365" s="96"/>
      <c r="R365" s="96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</row>
    <row r="366" spans="10:38" s="134" customFormat="1">
      <c r="J366" s="134" t="e">
        <f t="shared" si="22"/>
        <v>#NUM!</v>
      </c>
      <c r="M366" s="135"/>
      <c r="N366" s="96"/>
      <c r="O366" s="96"/>
      <c r="P366" s="96"/>
      <c r="Q366" s="96"/>
      <c r="R366" s="96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</row>
    <row r="367" spans="10:38" s="134" customFormat="1">
      <c r="J367" s="134" t="e">
        <f t="shared" si="22"/>
        <v>#NUM!</v>
      </c>
      <c r="M367" s="135"/>
      <c r="N367" s="96"/>
      <c r="O367" s="96"/>
      <c r="P367" s="96"/>
      <c r="Q367" s="96"/>
      <c r="R367" s="96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</row>
    <row r="368" spans="10:38" s="134" customFormat="1">
      <c r="J368" s="134" t="e">
        <f t="shared" si="22"/>
        <v>#NUM!</v>
      </c>
      <c r="M368" s="135"/>
      <c r="N368" s="96"/>
      <c r="O368" s="96"/>
      <c r="P368" s="96"/>
      <c r="Q368" s="96"/>
      <c r="R368" s="96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</row>
    <row r="369" spans="10:38" s="134" customFormat="1">
      <c r="J369" s="134" t="e">
        <f t="shared" si="22"/>
        <v>#NUM!</v>
      </c>
      <c r="M369" s="135"/>
      <c r="N369" s="96"/>
      <c r="O369" s="96"/>
      <c r="P369" s="96"/>
      <c r="Q369" s="96"/>
      <c r="R369" s="96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</row>
    <row r="370" spans="10:38" s="134" customFormat="1">
      <c r="J370" s="134" t="e">
        <f t="shared" si="22"/>
        <v>#NUM!</v>
      </c>
      <c r="M370" s="135"/>
      <c r="N370" s="96"/>
      <c r="O370" s="96"/>
      <c r="P370" s="96"/>
      <c r="Q370" s="96"/>
      <c r="R370" s="96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</row>
    <row r="371" spans="10:38" s="134" customFormat="1">
      <c r="J371" s="134" t="e">
        <f t="shared" si="22"/>
        <v>#NUM!</v>
      </c>
      <c r="M371" s="135"/>
      <c r="N371" s="96"/>
      <c r="O371" s="96"/>
      <c r="P371" s="96"/>
      <c r="Q371" s="96"/>
      <c r="R371" s="96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</row>
    <row r="372" spans="10:38" s="134" customFormat="1">
      <c r="J372" s="134" t="e">
        <f t="shared" si="22"/>
        <v>#NUM!</v>
      </c>
      <c r="M372" s="135"/>
      <c r="N372" s="96"/>
      <c r="O372" s="96"/>
      <c r="P372" s="96"/>
      <c r="Q372" s="96"/>
      <c r="R372" s="96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</row>
    <row r="373" spans="10:38" s="134" customFormat="1">
      <c r="J373" s="134" t="e">
        <f t="shared" si="22"/>
        <v>#NUM!</v>
      </c>
      <c r="M373" s="135"/>
      <c r="N373" s="96"/>
      <c r="O373" s="96"/>
      <c r="P373" s="96"/>
      <c r="Q373" s="96"/>
      <c r="R373" s="96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</row>
    <row r="374" spans="10:38" s="134" customFormat="1">
      <c r="J374" s="134" t="e">
        <f t="shared" si="22"/>
        <v>#NUM!</v>
      </c>
      <c r="M374" s="135"/>
      <c r="N374" s="96"/>
      <c r="O374" s="96"/>
      <c r="P374" s="96"/>
      <c r="Q374" s="96"/>
      <c r="R374" s="96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</row>
  </sheetData>
  <conditionalFormatting sqref="J9:K305">
    <cfRule type="cellIs" dxfId="11" priority="1" operator="lessThanOrEqual">
      <formula>0</formula>
    </cfRule>
  </conditionalFormatting>
  <hyperlinks>
    <hyperlink ref="C2" r:id="rId1" xr:uid="{A7230250-A0E0-4767-A34D-89D05C53E909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6E80-C106-4CC3-A4D5-5A304CE22884}">
  <sheetPr>
    <tabColor rgb="FF92D050"/>
  </sheetPr>
  <dimension ref="A1:AL374"/>
  <sheetViews>
    <sheetView zoomScaleNormal="100" workbookViewId="0">
      <selection activeCell="F35" sqref="F35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.28515625" style="134" customWidth="1"/>
    <col min="11" max="11" width="8.7109375" style="134" customWidth="1"/>
    <col min="12" max="12" width="11" style="134" customWidth="1"/>
    <col min="13" max="13" width="12.2851562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>
      <c r="A2" s="96"/>
      <c r="B2" s="25" t="s">
        <v>28</v>
      </c>
      <c r="C2" s="84" t="s">
        <v>94</v>
      </c>
      <c r="D2" s="83"/>
      <c r="E2" s="26"/>
      <c r="F2" s="26"/>
      <c r="G2" s="26"/>
      <c r="H2" s="102">
        <v>3</v>
      </c>
      <c r="I2" s="103">
        <v>50</v>
      </c>
      <c r="J2" s="103">
        <v>10</v>
      </c>
      <c r="K2" s="104">
        <f>3*H2^(1/3)</f>
        <v>4.3267487109222245</v>
      </c>
      <c r="L2" s="100"/>
      <c r="M2" s="100"/>
      <c r="N2" s="96"/>
      <c r="O2" s="96"/>
      <c r="P2" s="96"/>
      <c r="Q2" s="96"/>
      <c r="R2" s="96"/>
    </row>
    <row r="3" spans="1:36" s="101" customFormat="1">
      <c r="A3" s="96"/>
      <c r="B3" s="105" t="s">
        <v>30</v>
      </c>
      <c r="C3" s="84" t="s">
        <v>95</v>
      </c>
      <c r="D3" s="84"/>
      <c r="E3" s="31"/>
      <c r="F3" s="31"/>
      <c r="G3" s="31"/>
      <c r="H3" s="100"/>
      <c r="I3" s="100"/>
      <c r="J3" s="106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6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9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37" si="0">M6</f>
        <v>82.980246132766666</v>
      </c>
      <c r="B6" s="39">
        <f>IF(H6&gt;$H$2,"",(ROW()-5))</f>
        <v>1</v>
      </c>
      <c r="C6" s="40" t="s">
        <v>50</v>
      </c>
      <c r="D6" s="40"/>
      <c r="E6" s="40"/>
      <c r="F6" s="40" t="s">
        <v>45</v>
      </c>
      <c r="G6" s="33"/>
      <c r="H6" s="111">
        <v>1</v>
      </c>
      <c r="I6" s="112">
        <f t="shared" ref="I6:I69" si="1">IF(H6&lt;$H$2+1,($I$2-($I$2-1)*(LOG(H6)/LOG($H$2))),"")</f>
        <v>50</v>
      </c>
      <c r="J6" s="111">
        <f t="shared" ref="J6:J69" si="2">INT(LOG($H$2,2))-ROUNDUP(LOG(H6,2),0)+IF(OR($H$2=1,$H$2=2,$H$2=4,$H$2=8,$H$2=16,$H$2=32,$H$2=64,$H$2=128,$H$2=256),0,1)</f>
        <v>2</v>
      </c>
      <c r="K6" s="111">
        <f t="shared" ref="K6:K69" si="3">J6*$J$2</f>
        <v>20</v>
      </c>
      <c r="L6" s="113">
        <f>3*K2</f>
        <v>12.980246132766673</v>
      </c>
      <c r="M6" s="113">
        <f t="shared" ref="M6:M69" si="4">IF(I6&lt;&gt;"",K6+I6+L6,0)</f>
        <v>82.980246132766666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37.73793949684304</v>
      </c>
      <c r="B7" s="45">
        <f>IF(H7&gt;$H$2,"",(ROW()-5))</f>
        <v>2</v>
      </c>
      <c r="C7" s="46" t="s">
        <v>50</v>
      </c>
      <c r="D7" s="46"/>
      <c r="E7" s="46"/>
      <c r="F7" s="46" t="s">
        <v>45</v>
      </c>
      <c r="G7" s="33"/>
      <c r="H7" s="115">
        <v>2</v>
      </c>
      <c r="I7" s="116">
        <f t="shared" si="1"/>
        <v>19.084442074998588</v>
      </c>
      <c r="J7" s="115">
        <f t="shared" si="2"/>
        <v>1</v>
      </c>
      <c r="K7" s="115">
        <f t="shared" si="3"/>
        <v>10</v>
      </c>
      <c r="L7" s="117">
        <f>2*K2</f>
        <v>8.6534974218444489</v>
      </c>
      <c r="M7" s="117">
        <f t="shared" si="4"/>
        <v>37.73793949684304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5.3267487109222245</v>
      </c>
      <c r="B8" s="39">
        <f>IF(H8&gt;$H$2,"",(ROW()-5))</f>
        <v>3</v>
      </c>
      <c r="C8" s="40" t="s">
        <v>21</v>
      </c>
      <c r="D8" s="40"/>
      <c r="E8" s="40"/>
      <c r="F8" s="40" t="s">
        <v>45</v>
      </c>
      <c r="G8" s="33"/>
      <c r="H8" s="111">
        <v>3</v>
      </c>
      <c r="I8" s="112">
        <f t="shared" si="1"/>
        <v>1</v>
      </c>
      <c r="J8" s="111">
        <f t="shared" si="2"/>
        <v>0</v>
      </c>
      <c r="K8" s="111">
        <f t="shared" si="3"/>
        <v>0</v>
      </c>
      <c r="L8" s="113">
        <f>K2</f>
        <v>4.3267487109222245</v>
      </c>
      <c r="M8" s="113">
        <f t="shared" si="4"/>
        <v>5.3267487109222245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5.3267487109222245</v>
      </c>
      <c r="B9" s="45">
        <f>IF(H9&gt;$H$2,"",3)</f>
        <v>3</v>
      </c>
      <c r="C9" s="46" t="s">
        <v>50</v>
      </c>
      <c r="D9" s="46"/>
      <c r="E9" s="46"/>
      <c r="F9" s="46"/>
      <c r="G9" s="33"/>
      <c r="H9" s="115">
        <v>3</v>
      </c>
      <c r="I9" s="116">
        <f t="shared" si="1"/>
        <v>1</v>
      </c>
      <c r="J9" s="115">
        <f t="shared" si="2"/>
        <v>0</v>
      </c>
      <c r="K9" s="115">
        <f t="shared" si="3"/>
        <v>0</v>
      </c>
      <c r="L9" s="117">
        <f>K2</f>
        <v>4.3267487109222245</v>
      </c>
      <c r="M9" s="117">
        <f t="shared" si="4"/>
        <v>5.3267487109222245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65" si="5">IF(H10&gt;$H$2,"",(ROW()-5))</f>
        <v/>
      </c>
      <c r="C10" s="40"/>
      <c r="D10" s="40"/>
      <c r="E10" s="40"/>
      <c r="F10" s="40"/>
      <c r="G10" s="33"/>
      <c r="H10" s="111">
        <v>5</v>
      </c>
      <c r="I10" s="112" t="str">
        <f t="shared" si="1"/>
        <v/>
      </c>
      <c r="J10" s="111">
        <f t="shared" si="2"/>
        <v>-1</v>
      </c>
      <c r="K10" s="111">
        <f t="shared" si="3"/>
        <v>-10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/>
      <c r="D11" s="46"/>
      <c r="E11" s="46"/>
      <c r="F11" s="46"/>
      <c r="G11" s="33"/>
      <c r="H11" s="115">
        <v>6</v>
      </c>
      <c r="I11" s="116" t="str">
        <f t="shared" si="1"/>
        <v/>
      </c>
      <c r="J11" s="115">
        <f t="shared" si="2"/>
        <v>-1</v>
      </c>
      <c r="K11" s="115">
        <f t="shared" si="3"/>
        <v>-10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/>
      <c r="D12" s="40"/>
      <c r="E12" s="40"/>
      <c r="F12" s="40"/>
      <c r="G12" s="33"/>
      <c r="H12" s="111">
        <v>7</v>
      </c>
      <c r="I12" s="112" t="str">
        <f t="shared" si="1"/>
        <v/>
      </c>
      <c r="J12" s="111">
        <f t="shared" si="2"/>
        <v>-1</v>
      </c>
      <c r="K12" s="111">
        <f t="shared" si="3"/>
        <v>-10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/>
      <c r="D13" s="46"/>
      <c r="E13" s="46"/>
      <c r="F13" s="46"/>
      <c r="G13" s="33"/>
      <c r="H13" s="115">
        <v>8</v>
      </c>
      <c r="I13" s="116" t="str">
        <f t="shared" si="1"/>
        <v/>
      </c>
      <c r="J13" s="115">
        <f t="shared" si="2"/>
        <v>-1</v>
      </c>
      <c r="K13" s="115">
        <f t="shared" si="3"/>
        <v>-10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/>
      <c r="D14" s="40"/>
      <c r="E14" s="40"/>
      <c r="F14" s="40"/>
      <c r="G14" s="33"/>
      <c r="H14" s="111">
        <v>9</v>
      </c>
      <c r="I14" s="112" t="str">
        <f t="shared" si="1"/>
        <v/>
      </c>
      <c r="J14" s="111">
        <f t="shared" si="2"/>
        <v>-2</v>
      </c>
      <c r="K14" s="111">
        <f t="shared" si="3"/>
        <v>-20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/>
      <c r="D15" s="46"/>
      <c r="E15" s="46"/>
      <c r="F15" s="46"/>
      <c r="G15" s="33"/>
      <c r="H15" s="115">
        <v>10</v>
      </c>
      <c r="I15" s="116" t="str">
        <f t="shared" si="1"/>
        <v/>
      </c>
      <c r="J15" s="115">
        <f t="shared" si="2"/>
        <v>-2</v>
      </c>
      <c r="K15" s="115">
        <f t="shared" si="3"/>
        <v>-20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/>
      <c r="D16" s="40"/>
      <c r="E16" s="40"/>
      <c r="F16" s="40"/>
      <c r="G16" s="33"/>
      <c r="H16" s="111">
        <v>11</v>
      </c>
      <c r="I16" s="112" t="str">
        <f t="shared" si="1"/>
        <v/>
      </c>
      <c r="J16" s="111">
        <f t="shared" si="2"/>
        <v>-2</v>
      </c>
      <c r="K16" s="111">
        <f t="shared" si="3"/>
        <v>-20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/>
      <c r="D17" s="46"/>
      <c r="E17" s="46"/>
      <c r="F17" s="46"/>
      <c r="G17" s="33"/>
      <c r="H17" s="115">
        <v>12</v>
      </c>
      <c r="I17" s="116" t="str">
        <f t="shared" si="1"/>
        <v/>
      </c>
      <c r="J17" s="115">
        <f t="shared" si="2"/>
        <v>-2</v>
      </c>
      <c r="K17" s="115">
        <f t="shared" si="3"/>
        <v>-20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40"/>
      <c r="D18" s="40"/>
      <c r="E18" s="40"/>
      <c r="F18" s="40"/>
      <c r="G18" s="33"/>
      <c r="H18" s="111">
        <v>13</v>
      </c>
      <c r="I18" s="112" t="str">
        <f t="shared" si="1"/>
        <v/>
      </c>
      <c r="J18" s="111">
        <f t="shared" si="2"/>
        <v>-2</v>
      </c>
      <c r="K18" s="111">
        <f t="shared" si="3"/>
        <v>-20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/>
      <c r="D19" s="46"/>
      <c r="E19" s="46"/>
      <c r="F19" s="46"/>
      <c r="G19" s="33"/>
      <c r="H19" s="115">
        <v>14</v>
      </c>
      <c r="I19" s="116" t="str">
        <f t="shared" si="1"/>
        <v/>
      </c>
      <c r="J19" s="115">
        <f t="shared" si="2"/>
        <v>-2</v>
      </c>
      <c r="K19" s="115">
        <f t="shared" si="3"/>
        <v>-20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/>
      <c r="D20" s="40"/>
      <c r="E20" s="40"/>
      <c r="F20" s="40"/>
      <c r="G20" s="33"/>
      <c r="H20" s="111">
        <v>15</v>
      </c>
      <c r="I20" s="112" t="str">
        <f t="shared" si="1"/>
        <v/>
      </c>
      <c r="J20" s="111">
        <f t="shared" si="2"/>
        <v>-2</v>
      </c>
      <c r="K20" s="111">
        <f t="shared" si="3"/>
        <v>-20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/>
      <c r="D21" s="46"/>
      <c r="E21" s="46"/>
      <c r="F21" s="46"/>
      <c r="G21" s="33"/>
      <c r="H21" s="115">
        <v>16</v>
      </c>
      <c r="I21" s="116" t="str">
        <f t="shared" si="1"/>
        <v/>
      </c>
      <c r="J21" s="115">
        <f t="shared" si="2"/>
        <v>-2</v>
      </c>
      <c r="K21" s="115">
        <f t="shared" si="3"/>
        <v>-20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/>
      <c r="D22" s="40"/>
      <c r="E22" s="40"/>
      <c r="F22" s="40"/>
      <c r="G22" s="33"/>
      <c r="H22" s="111">
        <v>17</v>
      </c>
      <c r="I22" s="112" t="str">
        <f t="shared" si="1"/>
        <v/>
      </c>
      <c r="J22" s="111">
        <f t="shared" si="2"/>
        <v>-3</v>
      </c>
      <c r="K22" s="111">
        <f t="shared" si="3"/>
        <v>-30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/>
      <c r="D23" s="46"/>
      <c r="E23" s="46"/>
      <c r="F23" s="46"/>
      <c r="G23" s="33"/>
      <c r="H23" s="115">
        <v>18</v>
      </c>
      <c r="I23" s="116" t="str">
        <f t="shared" si="1"/>
        <v/>
      </c>
      <c r="J23" s="115">
        <f t="shared" si="2"/>
        <v>-3</v>
      </c>
      <c r="K23" s="115">
        <f t="shared" si="3"/>
        <v>-30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/>
      <c r="D24" s="40"/>
      <c r="E24" s="40"/>
      <c r="F24" s="40"/>
      <c r="G24" s="33"/>
      <c r="H24" s="111">
        <v>19</v>
      </c>
      <c r="I24" s="112" t="str">
        <f t="shared" si="1"/>
        <v/>
      </c>
      <c r="J24" s="111">
        <f t="shared" si="2"/>
        <v>-3</v>
      </c>
      <c r="K24" s="111">
        <f t="shared" si="3"/>
        <v>-30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5">
        <f t="shared" si="2"/>
        <v>-3</v>
      </c>
      <c r="K25" s="115">
        <f t="shared" si="3"/>
        <v>-30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1">
        <f t="shared" si="2"/>
        <v>-3</v>
      </c>
      <c r="K26" s="111">
        <f t="shared" si="3"/>
        <v>-30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5">
        <f t="shared" si="2"/>
        <v>-3</v>
      </c>
      <c r="K27" s="115">
        <f t="shared" si="3"/>
        <v>-30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1">
        <f t="shared" si="2"/>
        <v>-3</v>
      </c>
      <c r="K28" s="111">
        <f t="shared" si="3"/>
        <v>-30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5">
        <f t="shared" si="2"/>
        <v>-3</v>
      </c>
      <c r="K29" s="115">
        <f t="shared" si="3"/>
        <v>-30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1">
        <f t="shared" si="2"/>
        <v>-3</v>
      </c>
      <c r="K30" s="111">
        <f t="shared" si="3"/>
        <v>-30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5">
        <f t="shared" si="2"/>
        <v>-3</v>
      </c>
      <c r="K31" s="115">
        <f t="shared" si="3"/>
        <v>-30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1">
        <f t="shared" si="2"/>
        <v>-3</v>
      </c>
      <c r="K32" s="111">
        <f t="shared" si="3"/>
        <v>-30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21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5">
        <f t="shared" si="2"/>
        <v>-3</v>
      </c>
      <c r="K33" s="115">
        <f t="shared" si="3"/>
        <v>-30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21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1">
        <f t="shared" si="2"/>
        <v>-3</v>
      </c>
      <c r="K34" s="111">
        <f t="shared" si="3"/>
        <v>-30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21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5">
        <f t="shared" si="2"/>
        <v>-3</v>
      </c>
      <c r="K35" s="115">
        <f t="shared" si="3"/>
        <v>-30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21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1">
        <f t="shared" si="2"/>
        <v>-3</v>
      </c>
      <c r="K36" s="111">
        <f t="shared" si="3"/>
        <v>-30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21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5">
        <f t="shared" si="2"/>
        <v>-3</v>
      </c>
      <c r="K37" s="115">
        <f t="shared" si="3"/>
        <v>-30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21" s="101" customFormat="1">
      <c r="A38" s="110"/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1">
        <f t="shared" si="2"/>
        <v>-4</v>
      </c>
      <c r="K38" s="111">
        <f t="shared" si="3"/>
        <v>-40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21" s="101" customFormat="1">
      <c r="A39" s="114"/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5">
        <f t="shared" si="2"/>
        <v>-4</v>
      </c>
      <c r="K39" s="115">
        <f t="shared" si="3"/>
        <v>-40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21" s="101" customFormat="1">
      <c r="A40" s="110"/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1">
        <f t="shared" si="2"/>
        <v>-4</v>
      </c>
      <c r="K40" s="111">
        <f t="shared" si="3"/>
        <v>-40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21" s="101" customFormat="1">
      <c r="A41" s="114"/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5">
        <f t="shared" si="2"/>
        <v>-4</v>
      </c>
      <c r="K41" s="115">
        <f t="shared" si="3"/>
        <v>-40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21" s="101" customFormat="1">
      <c r="A42" s="110"/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1">
        <f t="shared" si="2"/>
        <v>-4</v>
      </c>
      <c r="K42" s="111">
        <f t="shared" si="3"/>
        <v>-40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21" s="101" customFormat="1">
      <c r="A43" s="114"/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5">
        <f t="shared" si="2"/>
        <v>-4</v>
      </c>
      <c r="K43" s="115">
        <f t="shared" si="3"/>
        <v>-40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21" s="101" customFormat="1">
      <c r="A44" s="110"/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1">
        <f t="shared" si="2"/>
        <v>-4</v>
      </c>
      <c r="K44" s="111">
        <f t="shared" si="3"/>
        <v>-40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21" s="101" customFormat="1">
      <c r="A45" s="114"/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5">
        <f t="shared" si="2"/>
        <v>-4</v>
      </c>
      <c r="K45" s="115">
        <f t="shared" si="3"/>
        <v>-40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21" s="101" customFormat="1">
      <c r="A46" s="110"/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1">
        <f t="shared" si="2"/>
        <v>-4</v>
      </c>
      <c r="K46" s="111">
        <f t="shared" si="3"/>
        <v>-40</v>
      </c>
      <c r="L46" s="111"/>
      <c r="M46" s="113">
        <f t="shared" si="4"/>
        <v>0</v>
      </c>
      <c r="N46" s="96"/>
      <c r="O46" s="96"/>
      <c r="P46" s="96"/>
      <c r="Q46" s="96"/>
      <c r="R46" s="96">
        <f>LOG($H$2,2)</f>
        <v>1.5849625007211563</v>
      </c>
      <c r="T46" s="101">
        <f>LOG(H38,2)</f>
        <v>5.0443941193584534</v>
      </c>
      <c r="U46" s="101">
        <f>R46-T46</f>
        <v>-3.4594316186372973</v>
      </c>
    </row>
    <row r="47" spans="1:21" s="101" customFormat="1">
      <c r="A47" s="114"/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5">
        <f t="shared" si="2"/>
        <v>-4</v>
      </c>
      <c r="K47" s="115">
        <f t="shared" si="3"/>
        <v>-40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21" s="101" customFormat="1">
      <c r="A48" s="110"/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1">
        <f t="shared" si="2"/>
        <v>-4</v>
      </c>
      <c r="K48" s="111">
        <f t="shared" si="3"/>
        <v>-40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 s="96" customFormat="1">
      <c r="A49" s="114"/>
      <c r="B49" s="45" t="str">
        <f t="shared" si="5"/>
        <v/>
      </c>
      <c r="C49" s="46"/>
      <c r="D49" s="46"/>
      <c r="E49" s="46"/>
      <c r="F49" s="46"/>
      <c r="H49" s="115">
        <v>44</v>
      </c>
      <c r="I49" s="116" t="str">
        <f t="shared" si="1"/>
        <v/>
      </c>
      <c r="J49" s="115">
        <f t="shared" si="2"/>
        <v>-4</v>
      </c>
      <c r="K49" s="115">
        <f t="shared" si="3"/>
        <v>-40</v>
      </c>
      <c r="L49" s="115"/>
      <c r="M49" s="117">
        <f t="shared" si="4"/>
        <v>0</v>
      </c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s="96" customFormat="1">
      <c r="A50" s="110"/>
      <c r="B50" s="39" t="str">
        <f t="shared" si="5"/>
        <v/>
      </c>
      <c r="C50" s="40"/>
      <c r="D50" s="40"/>
      <c r="E50" s="40"/>
      <c r="F50" s="40"/>
      <c r="H50" s="111">
        <v>45</v>
      </c>
      <c r="I50" s="112" t="str">
        <f t="shared" si="1"/>
        <v/>
      </c>
      <c r="J50" s="111">
        <f t="shared" si="2"/>
        <v>-4</v>
      </c>
      <c r="K50" s="111">
        <f t="shared" si="3"/>
        <v>-40</v>
      </c>
      <c r="L50" s="111"/>
      <c r="M50" s="113">
        <f t="shared" si="4"/>
        <v>0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s="96" customFormat="1">
      <c r="A51" s="114"/>
      <c r="B51" s="45" t="str">
        <f t="shared" si="5"/>
        <v/>
      </c>
      <c r="C51" s="46"/>
      <c r="D51" s="46"/>
      <c r="E51" s="46"/>
      <c r="F51" s="46"/>
      <c r="H51" s="115">
        <v>46</v>
      </c>
      <c r="I51" s="116" t="str">
        <f t="shared" si="1"/>
        <v/>
      </c>
      <c r="J51" s="115">
        <f t="shared" si="2"/>
        <v>-4</v>
      </c>
      <c r="K51" s="115">
        <f t="shared" si="3"/>
        <v>-40</v>
      </c>
      <c r="L51" s="115"/>
      <c r="M51" s="117">
        <f t="shared" si="4"/>
        <v>0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s="96" customFormat="1">
      <c r="A52" s="110"/>
      <c r="B52" s="39" t="str">
        <f t="shared" si="5"/>
        <v/>
      </c>
      <c r="C52" s="40"/>
      <c r="D52" s="40"/>
      <c r="E52" s="40"/>
      <c r="F52" s="40"/>
      <c r="H52" s="111">
        <v>47</v>
      </c>
      <c r="I52" s="112" t="str">
        <f t="shared" si="1"/>
        <v/>
      </c>
      <c r="J52" s="111">
        <f t="shared" si="2"/>
        <v>-4</v>
      </c>
      <c r="K52" s="111">
        <f t="shared" si="3"/>
        <v>-40</v>
      </c>
      <c r="L52" s="111"/>
      <c r="M52" s="113">
        <f t="shared" si="4"/>
        <v>0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s="96" customFormat="1">
      <c r="A53" s="114"/>
      <c r="B53" s="45" t="str">
        <f t="shared" si="5"/>
        <v/>
      </c>
      <c r="C53" s="46"/>
      <c r="D53" s="46"/>
      <c r="E53" s="46"/>
      <c r="F53" s="46"/>
      <c r="H53" s="115">
        <v>48</v>
      </c>
      <c r="I53" s="116" t="str">
        <f t="shared" si="1"/>
        <v/>
      </c>
      <c r="J53" s="115">
        <f t="shared" si="2"/>
        <v>-4</v>
      </c>
      <c r="K53" s="115">
        <f t="shared" si="3"/>
        <v>-40</v>
      </c>
      <c r="L53" s="115"/>
      <c r="M53" s="117">
        <f t="shared" si="4"/>
        <v>0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s="96" customFormat="1">
      <c r="A54" s="110"/>
      <c r="B54" s="39" t="str">
        <f t="shared" si="5"/>
        <v/>
      </c>
      <c r="C54" s="40"/>
      <c r="D54" s="40"/>
      <c r="E54" s="40"/>
      <c r="F54" s="40"/>
      <c r="H54" s="111">
        <v>49</v>
      </c>
      <c r="I54" s="112" t="str">
        <f t="shared" si="1"/>
        <v/>
      </c>
      <c r="J54" s="111">
        <f t="shared" si="2"/>
        <v>-4</v>
      </c>
      <c r="K54" s="111">
        <f t="shared" si="3"/>
        <v>-40</v>
      </c>
      <c r="L54" s="111"/>
      <c r="M54" s="113">
        <f t="shared" si="4"/>
        <v>0</v>
      </c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s="96" customFormat="1">
      <c r="A55" s="114"/>
      <c r="B55" s="45" t="str">
        <f t="shared" si="5"/>
        <v/>
      </c>
      <c r="C55" s="46"/>
      <c r="D55" s="46"/>
      <c r="E55" s="46"/>
      <c r="F55" s="46"/>
      <c r="H55" s="115">
        <v>50</v>
      </c>
      <c r="I55" s="116" t="str">
        <f t="shared" si="1"/>
        <v/>
      </c>
      <c r="J55" s="115">
        <f t="shared" si="2"/>
        <v>-4</v>
      </c>
      <c r="K55" s="115">
        <f t="shared" si="3"/>
        <v>-40</v>
      </c>
      <c r="L55" s="115"/>
      <c r="M55" s="117">
        <f t="shared" si="4"/>
        <v>0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s="96" customFormat="1">
      <c r="A56" s="110"/>
      <c r="B56" s="39" t="str">
        <f t="shared" si="5"/>
        <v/>
      </c>
      <c r="C56" s="40"/>
      <c r="D56" s="40"/>
      <c r="E56" s="40"/>
      <c r="F56" s="40"/>
      <c r="H56" s="111">
        <v>51</v>
      </c>
      <c r="I56" s="112" t="str">
        <f t="shared" si="1"/>
        <v/>
      </c>
      <c r="J56" s="111">
        <f t="shared" si="2"/>
        <v>-4</v>
      </c>
      <c r="K56" s="111">
        <f t="shared" si="3"/>
        <v>-40</v>
      </c>
      <c r="L56" s="111"/>
      <c r="M56" s="113">
        <f t="shared" si="4"/>
        <v>0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s="96" customFormat="1">
      <c r="A57" s="114"/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5">
        <f t="shared" si="2"/>
        <v>-4</v>
      </c>
      <c r="K57" s="115">
        <f t="shared" si="3"/>
        <v>-40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10"/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1">
        <f t="shared" si="2"/>
        <v>-4</v>
      </c>
      <c r="K58" s="111">
        <f t="shared" si="3"/>
        <v>-40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14"/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5">
        <f t="shared" si="2"/>
        <v>-4</v>
      </c>
      <c r="K59" s="115">
        <f t="shared" si="3"/>
        <v>-40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10"/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1">
        <f t="shared" si="2"/>
        <v>-4</v>
      </c>
      <c r="K60" s="111">
        <f t="shared" si="3"/>
        <v>-40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14"/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5">
        <f t="shared" si="2"/>
        <v>-4</v>
      </c>
      <c r="K61" s="115">
        <f t="shared" si="3"/>
        <v>-40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10"/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1">
        <f t="shared" si="2"/>
        <v>-4</v>
      </c>
      <c r="K62" s="111">
        <f t="shared" si="3"/>
        <v>-40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14"/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5">
        <f t="shared" si="2"/>
        <v>-4</v>
      </c>
      <c r="K63" s="115">
        <f t="shared" si="3"/>
        <v>-40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10"/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1">
        <f t="shared" si="2"/>
        <v>-4</v>
      </c>
      <c r="K64" s="111">
        <f t="shared" si="3"/>
        <v>-40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14"/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5">
        <f t="shared" si="2"/>
        <v>-4</v>
      </c>
      <c r="K65" s="115">
        <f t="shared" si="3"/>
        <v>-40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30"/>
      <c r="B66" s="39"/>
      <c r="C66" s="131"/>
      <c r="D66" s="131"/>
      <c r="E66" s="131"/>
      <c r="F66" s="131"/>
      <c r="H66" s="111">
        <v>61</v>
      </c>
      <c r="I66" s="112" t="str">
        <f t="shared" si="1"/>
        <v/>
      </c>
      <c r="J66" s="111">
        <f t="shared" si="2"/>
        <v>-4</v>
      </c>
      <c r="K66" s="111">
        <f t="shared" si="3"/>
        <v>-40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30"/>
      <c r="B67" s="45"/>
      <c r="C67" s="131"/>
      <c r="D67" s="131"/>
      <c r="E67" s="131"/>
      <c r="F67" s="131"/>
      <c r="H67" s="111">
        <v>62</v>
      </c>
      <c r="I67" s="112" t="str">
        <f t="shared" si="1"/>
        <v/>
      </c>
      <c r="J67" s="111">
        <f t="shared" si="2"/>
        <v>-4</v>
      </c>
      <c r="K67" s="111">
        <f t="shared" si="3"/>
        <v>-40</v>
      </c>
      <c r="L67" s="111"/>
      <c r="M67" s="113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30"/>
      <c r="B68" s="39"/>
      <c r="C68" s="131"/>
      <c r="D68" s="131"/>
      <c r="E68" s="131"/>
      <c r="F68" s="131"/>
      <c r="H68" s="111">
        <v>63</v>
      </c>
      <c r="I68" s="112" t="str">
        <f t="shared" si="1"/>
        <v/>
      </c>
      <c r="J68" s="111">
        <f t="shared" si="2"/>
        <v>-4</v>
      </c>
      <c r="K68" s="111">
        <f t="shared" si="3"/>
        <v>-40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30"/>
      <c r="B69" s="45"/>
      <c r="C69" s="131"/>
      <c r="D69" s="131"/>
      <c r="E69" s="131"/>
      <c r="F69" s="131"/>
      <c r="H69" s="111">
        <v>64</v>
      </c>
      <c r="I69" s="112" t="str">
        <f t="shared" si="1"/>
        <v/>
      </c>
      <c r="J69" s="111">
        <f t="shared" si="2"/>
        <v>-4</v>
      </c>
      <c r="K69" s="111">
        <f t="shared" si="3"/>
        <v>-40</v>
      </c>
      <c r="L69" s="111"/>
      <c r="M69" s="113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30"/>
      <c r="B70" s="131"/>
      <c r="C70" s="131"/>
      <c r="D70" s="131"/>
      <c r="E70" s="131"/>
      <c r="F70" s="131"/>
      <c r="H70" s="111">
        <v>65</v>
      </c>
      <c r="I70" s="112" t="str">
        <f t="shared" ref="I70:I133" si="6">IF(H70&lt;$H$2+1,($I$2-($I$2-1)*(LOG(H70)/LOG($H$2))),"")</f>
        <v/>
      </c>
      <c r="J70" s="111">
        <f t="shared" ref="J70:J133" si="7">INT(LOG($H$2,2))-ROUNDUP(LOG(H70,2),0)+IF(OR($H$2=1,$H$2=2,$H$2=4,$H$2=8,$H$2=16,$H$2=32,$H$2=64,$H$2=128,$H$2=256),0,1)</f>
        <v>-5</v>
      </c>
      <c r="K70" s="111">
        <f t="shared" ref="K70:K133" si="8">J70*$J$2</f>
        <v>-50</v>
      </c>
      <c r="L70" s="111"/>
      <c r="M70" s="113">
        <f t="shared" ref="M70:M133" si="9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30"/>
      <c r="B71" s="131"/>
      <c r="C71" s="131"/>
      <c r="D71" s="131"/>
      <c r="E71" s="131"/>
      <c r="F71" s="131"/>
      <c r="H71" s="111">
        <v>66</v>
      </c>
      <c r="I71" s="112" t="str">
        <f t="shared" si="6"/>
        <v/>
      </c>
      <c r="J71" s="111">
        <f t="shared" si="7"/>
        <v>-5</v>
      </c>
      <c r="K71" s="111">
        <f t="shared" si="8"/>
        <v>-50</v>
      </c>
      <c r="L71" s="111"/>
      <c r="M71" s="113">
        <f t="shared" si="9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30"/>
      <c r="B72" s="131"/>
      <c r="C72" s="131"/>
      <c r="D72" s="131"/>
      <c r="E72" s="131"/>
      <c r="F72" s="131"/>
      <c r="H72" s="111">
        <v>67</v>
      </c>
      <c r="I72" s="112" t="str">
        <f t="shared" si="6"/>
        <v/>
      </c>
      <c r="J72" s="111">
        <f t="shared" si="7"/>
        <v>-5</v>
      </c>
      <c r="K72" s="111">
        <f t="shared" si="8"/>
        <v>-50</v>
      </c>
      <c r="L72" s="111"/>
      <c r="M72" s="113">
        <f t="shared" si="9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30"/>
      <c r="B73" s="131"/>
      <c r="C73" s="131"/>
      <c r="D73" s="131"/>
      <c r="E73" s="131"/>
      <c r="F73" s="131"/>
      <c r="H73" s="111">
        <v>68</v>
      </c>
      <c r="I73" s="112" t="str">
        <f t="shared" si="6"/>
        <v/>
      </c>
      <c r="J73" s="111">
        <f t="shared" si="7"/>
        <v>-5</v>
      </c>
      <c r="K73" s="111">
        <f t="shared" si="8"/>
        <v>-50</v>
      </c>
      <c r="L73" s="111"/>
      <c r="M73" s="113">
        <f t="shared" si="9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30"/>
      <c r="B74" s="131"/>
      <c r="C74" s="131"/>
      <c r="D74" s="131"/>
      <c r="E74" s="131"/>
      <c r="F74" s="131"/>
      <c r="H74" s="111">
        <v>69</v>
      </c>
      <c r="I74" s="112" t="str">
        <f t="shared" si="6"/>
        <v/>
      </c>
      <c r="J74" s="111">
        <f t="shared" si="7"/>
        <v>-5</v>
      </c>
      <c r="K74" s="111">
        <f t="shared" si="8"/>
        <v>-50</v>
      </c>
      <c r="L74" s="111"/>
      <c r="M74" s="113">
        <f t="shared" si="9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30"/>
      <c r="B75" s="131"/>
      <c r="C75" s="131"/>
      <c r="D75" s="131"/>
      <c r="E75" s="131"/>
      <c r="F75" s="131"/>
      <c r="H75" s="111">
        <v>70</v>
      </c>
      <c r="I75" s="112" t="str">
        <f t="shared" si="6"/>
        <v/>
      </c>
      <c r="J75" s="111">
        <f t="shared" si="7"/>
        <v>-5</v>
      </c>
      <c r="K75" s="111">
        <f t="shared" si="8"/>
        <v>-50</v>
      </c>
      <c r="L75" s="111"/>
      <c r="M75" s="113">
        <f t="shared" si="9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30"/>
      <c r="B76" s="131"/>
      <c r="C76" s="131"/>
      <c r="D76" s="131"/>
      <c r="E76" s="131"/>
      <c r="F76" s="131"/>
      <c r="H76" s="111">
        <v>71</v>
      </c>
      <c r="I76" s="112" t="str">
        <f t="shared" si="6"/>
        <v/>
      </c>
      <c r="J76" s="111">
        <f t="shared" si="7"/>
        <v>-5</v>
      </c>
      <c r="K76" s="111">
        <f t="shared" si="8"/>
        <v>-50</v>
      </c>
      <c r="L76" s="111"/>
      <c r="M76" s="113">
        <f t="shared" si="9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30"/>
      <c r="B77" s="131"/>
      <c r="C77" s="131"/>
      <c r="D77" s="131"/>
      <c r="E77" s="131"/>
      <c r="F77" s="131"/>
      <c r="H77" s="111">
        <v>72</v>
      </c>
      <c r="I77" s="112" t="str">
        <f t="shared" si="6"/>
        <v/>
      </c>
      <c r="J77" s="111">
        <f t="shared" si="7"/>
        <v>-5</v>
      </c>
      <c r="K77" s="111">
        <f t="shared" si="8"/>
        <v>-50</v>
      </c>
      <c r="L77" s="111"/>
      <c r="M77" s="113">
        <f t="shared" si="9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30"/>
      <c r="B78" s="131"/>
      <c r="C78" s="131"/>
      <c r="D78" s="131"/>
      <c r="E78" s="131"/>
      <c r="F78" s="131"/>
      <c r="H78" s="111">
        <v>73</v>
      </c>
      <c r="I78" s="112" t="str">
        <f t="shared" si="6"/>
        <v/>
      </c>
      <c r="J78" s="111">
        <f t="shared" si="7"/>
        <v>-5</v>
      </c>
      <c r="K78" s="111">
        <f t="shared" si="8"/>
        <v>-50</v>
      </c>
      <c r="L78" s="111"/>
      <c r="M78" s="113">
        <f t="shared" si="9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30"/>
      <c r="B79" s="131"/>
      <c r="C79" s="131"/>
      <c r="D79" s="131"/>
      <c r="E79" s="131"/>
      <c r="F79" s="131"/>
      <c r="H79" s="111">
        <v>74</v>
      </c>
      <c r="I79" s="112" t="str">
        <f t="shared" si="6"/>
        <v/>
      </c>
      <c r="J79" s="111">
        <f t="shared" si="7"/>
        <v>-5</v>
      </c>
      <c r="K79" s="111">
        <f t="shared" si="8"/>
        <v>-50</v>
      </c>
      <c r="L79" s="111"/>
      <c r="M79" s="113">
        <f t="shared" si="9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30"/>
      <c r="B80" s="131"/>
      <c r="C80" s="131"/>
      <c r="D80" s="131"/>
      <c r="E80" s="131"/>
      <c r="F80" s="131"/>
      <c r="H80" s="111">
        <v>75</v>
      </c>
      <c r="I80" s="112" t="str">
        <f t="shared" si="6"/>
        <v/>
      </c>
      <c r="J80" s="111">
        <f t="shared" si="7"/>
        <v>-5</v>
      </c>
      <c r="K80" s="111">
        <f t="shared" si="8"/>
        <v>-50</v>
      </c>
      <c r="L80" s="111"/>
      <c r="M80" s="113">
        <f t="shared" si="9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30"/>
      <c r="B81" s="131"/>
      <c r="C81" s="131"/>
      <c r="D81" s="131"/>
      <c r="E81" s="131"/>
      <c r="F81" s="131"/>
      <c r="H81" s="111">
        <v>76</v>
      </c>
      <c r="I81" s="112" t="str">
        <f t="shared" si="6"/>
        <v/>
      </c>
      <c r="J81" s="111">
        <f t="shared" si="7"/>
        <v>-5</v>
      </c>
      <c r="K81" s="111">
        <f t="shared" si="8"/>
        <v>-50</v>
      </c>
      <c r="L81" s="111"/>
      <c r="M81" s="113">
        <f t="shared" si="9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30"/>
      <c r="B82" s="131"/>
      <c r="C82" s="131"/>
      <c r="D82" s="131"/>
      <c r="E82" s="131"/>
      <c r="F82" s="131"/>
      <c r="H82" s="111">
        <v>77</v>
      </c>
      <c r="I82" s="112" t="str">
        <f t="shared" si="6"/>
        <v/>
      </c>
      <c r="J82" s="111">
        <f t="shared" si="7"/>
        <v>-5</v>
      </c>
      <c r="K82" s="111">
        <f t="shared" si="8"/>
        <v>-50</v>
      </c>
      <c r="L82" s="111"/>
      <c r="M82" s="113">
        <f t="shared" si="9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30"/>
      <c r="B83" s="131"/>
      <c r="C83" s="131"/>
      <c r="D83" s="131"/>
      <c r="E83" s="131"/>
      <c r="F83" s="131"/>
      <c r="H83" s="111">
        <v>78</v>
      </c>
      <c r="I83" s="112" t="str">
        <f t="shared" si="6"/>
        <v/>
      </c>
      <c r="J83" s="111">
        <f t="shared" si="7"/>
        <v>-5</v>
      </c>
      <c r="K83" s="111">
        <f t="shared" si="8"/>
        <v>-50</v>
      </c>
      <c r="L83" s="111"/>
      <c r="M83" s="113">
        <f t="shared" si="9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30"/>
      <c r="B84" s="131"/>
      <c r="C84" s="131"/>
      <c r="D84" s="131"/>
      <c r="E84" s="131"/>
      <c r="F84" s="131"/>
      <c r="H84" s="111">
        <v>79</v>
      </c>
      <c r="I84" s="112" t="str">
        <f t="shared" si="6"/>
        <v/>
      </c>
      <c r="J84" s="111">
        <f t="shared" si="7"/>
        <v>-5</v>
      </c>
      <c r="K84" s="111">
        <f t="shared" si="8"/>
        <v>-50</v>
      </c>
      <c r="L84" s="111"/>
      <c r="M84" s="113">
        <f t="shared" si="9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30"/>
      <c r="B85" s="131"/>
      <c r="C85" s="131"/>
      <c r="D85" s="131"/>
      <c r="E85" s="131"/>
      <c r="F85" s="131"/>
      <c r="H85" s="111">
        <v>80</v>
      </c>
      <c r="I85" s="112" t="str">
        <f t="shared" si="6"/>
        <v/>
      </c>
      <c r="J85" s="111">
        <f t="shared" si="7"/>
        <v>-5</v>
      </c>
      <c r="K85" s="111">
        <f t="shared" si="8"/>
        <v>-50</v>
      </c>
      <c r="L85" s="111"/>
      <c r="M85" s="113">
        <f t="shared" si="9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30"/>
      <c r="B86" s="131"/>
      <c r="C86" s="131"/>
      <c r="D86" s="131"/>
      <c r="E86" s="131"/>
      <c r="F86" s="131"/>
      <c r="H86" s="111">
        <v>81</v>
      </c>
      <c r="I86" s="112" t="str">
        <f t="shared" si="6"/>
        <v/>
      </c>
      <c r="J86" s="111">
        <f t="shared" si="7"/>
        <v>-5</v>
      </c>
      <c r="K86" s="111">
        <f t="shared" si="8"/>
        <v>-50</v>
      </c>
      <c r="L86" s="111"/>
      <c r="M86" s="113">
        <f t="shared" si="9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30"/>
      <c r="B87" s="131"/>
      <c r="C87" s="131"/>
      <c r="D87" s="131"/>
      <c r="E87" s="131"/>
      <c r="F87" s="131"/>
      <c r="H87" s="111">
        <v>82</v>
      </c>
      <c r="I87" s="112" t="str">
        <f t="shared" si="6"/>
        <v/>
      </c>
      <c r="J87" s="111">
        <f t="shared" si="7"/>
        <v>-5</v>
      </c>
      <c r="K87" s="111">
        <f t="shared" si="8"/>
        <v>-50</v>
      </c>
      <c r="L87" s="111"/>
      <c r="M87" s="113">
        <f t="shared" si="9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30"/>
      <c r="B88" s="131"/>
      <c r="C88" s="131"/>
      <c r="D88" s="131"/>
      <c r="E88" s="131"/>
      <c r="F88" s="131"/>
      <c r="H88" s="111">
        <v>83</v>
      </c>
      <c r="I88" s="112" t="str">
        <f t="shared" si="6"/>
        <v/>
      </c>
      <c r="J88" s="111">
        <f t="shared" si="7"/>
        <v>-5</v>
      </c>
      <c r="K88" s="111">
        <f t="shared" si="8"/>
        <v>-50</v>
      </c>
      <c r="L88" s="111"/>
      <c r="M88" s="113">
        <f t="shared" si="9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30"/>
      <c r="B89" s="131"/>
      <c r="C89" s="131"/>
      <c r="D89" s="131"/>
      <c r="E89" s="131"/>
      <c r="F89" s="131"/>
      <c r="H89" s="111">
        <v>84</v>
      </c>
      <c r="I89" s="112" t="str">
        <f t="shared" si="6"/>
        <v/>
      </c>
      <c r="J89" s="111">
        <f t="shared" si="7"/>
        <v>-5</v>
      </c>
      <c r="K89" s="111">
        <f t="shared" si="8"/>
        <v>-50</v>
      </c>
      <c r="L89" s="111"/>
      <c r="M89" s="113">
        <f t="shared" si="9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30"/>
      <c r="B90" s="131"/>
      <c r="C90" s="131"/>
      <c r="D90" s="131"/>
      <c r="E90" s="131"/>
      <c r="F90" s="131"/>
      <c r="H90" s="111">
        <v>85</v>
      </c>
      <c r="I90" s="112" t="str">
        <f t="shared" si="6"/>
        <v/>
      </c>
      <c r="J90" s="111">
        <f t="shared" si="7"/>
        <v>-5</v>
      </c>
      <c r="K90" s="111">
        <f t="shared" si="8"/>
        <v>-50</v>
      </c>
      <c r="L90" s="111"/>
      <c r="M90" s="113">
        <f t="shared" si="9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30"/>
      <c r="B91" s="131"/>
      <c r="C91" s="131"/>
      <c r="D91" s="131"/>
      <c r="E91" s="131"/>
      <c r="F91" s="131"/>
      <c r="H91" s="111">
        <v>86</v>
      </c>
      <c r="I91" s="112" t="str">
        <f t="shared" si="6"/>
        <v/>
      </c>
      <c r="J91" s="111">
        <f t="shared" si="7"/>
        <v>-5</v>
      </c>
      <c r="K91" s="111">
        <f t="shared" si="8"/>
        <v>-50</v>
      </c>
      <c r="L91" s="111"/>
      <c r="M91" s="113">
        <f t="shared" si="9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30"/>
      <c r="B92" s="131"/>
      <c r="C92" s="131"/>
      <c r="D92" s="131"/>
      <c r="E92" s="131"/>
      <c r="F92" s="131"/>
      <c r="H92" s="111">
        <v>87</v>
      </c>
      <c r="I92" s="112" t="str">
        <f t="shared" si="6"/>
        <v/>
      </c>
      <c r="J92" s="111">
        <f t="shared" si="7"/>
        <v>-5</v>
      </c>
      <c r="K92" s="111">
        <f t="shared" si="8"/>
        <v>-50</v>
      </c>
      <c r="L92" s="111"/>
      <c r="M92" s="113">
        <f t="shared" si="9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30"/>
      <c r="B93" s="131"/>
      <c r="C93" s="131"/>
      <c r="D93" s="131"/>
      <c r="E93" s="131"/>
      <c r="F93" s="131"/>
      <c r="H93" s="111">
        <v>88</v>
      </c>
      <c r="I93" s="112" t="str">
        <f t="shared" si="6"/>
        <v/>
      </c>
      <c r="J93" s="111">
        <f t="shared" si="7"/>
        <v>-5</v>
      </c>
      <c r="K93" s="111">
        <f t="shared" si="8"/>
        <v>-50</v>
      </c>
      <c r="L93" s="111"/>
      <c r="M93" s="113">
        <f t="shared" si="9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30"/>
      <c r="B94" s="131"/>
      <c r="C94" s="131"/>
      <c r="D94" s="131"/>
      <c r="E94" s="131"/>
      <c r="F94" s="131"/>
      <c r="H94" s="111">
        <v>89</v>
      </c>
      <c r="I94" s="112" t="str">
        <f t="shared" si="6"/>
        <v/>
      </c>
      <c r="J94" s="111">
        <f t="shared" si="7"/>
        <v>-5</v>
      </c>
      <c r="K94" s="111">
        <f t="shared" si="8"/>
        <v>-50</v>
      </c>
      <c r="L94" s="111"/>
      <c r="M94" s="113">
        <f t="shared" si="9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30"/>
      <c r="B95" s="131"/>
      <c r="C95" s="131"/>
      <c r="D95" s="131"/>
      <c r="E95" s="131"/>
      <c r="F95" s="131"/>
      <c r="H95" s="111">
        <v>90</v>
      </c>
      <c r="I95" s="112" t="str">
        <f t="shared" si="6"/>
        <v/>
      </c>
      <c r="J95" s="111">
        <f t="shared" si="7"/>
        <v>-5</v>
      </c>
      <c r="K95" s="111">
        <f t="shared" si="8"/>
        <v>-50</v>
      </c>
      <c r="L95" s="111"/>
      <c r="M95" s="113">
        <f t="shared" si="9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30"/>
      <c r="B96" s="131"/>
      <c r="C96" s="131"/>
      <c r="D96" s="131"/>
      <c r="E96" s="131"/>
      <c r="F96" s="131"/>
      <c r="H96" s="111">
        <v>91</v>
      </c>
      <c r="I96" s="112" t="str">
        <f t="shared" si="6"/>
        <v/>
      </c>
      <c r="J96" s="111">
        <f t="shared" si="7"/>
        <v>-5</v>
      </c>
      <c r="K96" s="111">
        <f t="shared" si="8"/>
        <v>-50</v>
      </c>
      <c r="L96" s="111"/>
      <c r="M96" s="113">
        <f t="shared" si="9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30"/>
      <c r="B97" s="131"/>
      <c r="C97" s="131"/>
      <c r="D97" s="131"/>
      <c r="E97" s="131"/>
      <c r="F97" s="131"/>
      <c r="H97" s="111">
        <v>92</v>
      </c>
      <c r="I97" s="112" t="str">
        <f t="shared" si="6"/>
        <v/>
      </c>
      <c r="J97" s="111">
        <f t="shared" si="7"/>
        <v>-5</v>
      </c>
      <c r="K97" s="111">
        <f t="shared" si="8"/>
        <v>-50</v>
      </c>
      <c r="L97" s="111"/>
      <c r="M97" s="113">
        <f t="shared" si="9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30"/>
      <c r="B98" s="131"/>
      <c r="C98" s="131"/>
      <c r="D98" s="131"/>
      <c r="E98" s="131"/>
      <c r="F98" s="131"/>
      <c r="H98" s="111">
        <v>93</v>
      </c>
      <c r="I98" s="112" t="str">
        <f t="shared" si="6"/>
        <v/>
      </c>
      <c r="J98" s="111">
        <f t="shared" si="7"/>
        <v>-5</v>
      </c>
      <c r="K98" s="111">
        <f t="shared" si="8"/>
        <v>-50</v>
      </c>
      <c r="L98" s="111"/>
      <c r="M98" s="113">
        <f t="shared" si="9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30"/>
      <c r="B99" s="131"/>
      <c r="C99" s="131"/>
      <c r="D99" s="131"/>
      <c r="E99" s="131"/>
      <c r="F99" s="131"/>
      <c r="H99" s="111">
        <v>94</v>
      </c>
      <c r="I99" s="112" t="str">
        <f t="shared" si="6"/>
        <v/>
      </c>
      <c r="J99" s="111">
        <f t="shared" si="7"/>
        <v>-5</v>
      </c>
      <c r="K99" s="111">
        <f t="shared" si="8"/>
        <v>-50</v>
      </c>
      <c r="L99" s="111"/>
      <c r="M99" s="113">
        <f t="shared" si="9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30"/>
      <c r="B100" s="131"/>
      <c r="C100" s="131"/>
      <c r="D100" s="131"/>
      <c r="E100" s="131"/>
      <c r="F100" s="131"/>
      <c r="H100" s="111">
        <v>95</v>
      </c>
      <c r="I100" s="112" t="str">
        <f t="shared" si="6"/>
        <v/>
      </c>
      <c r="J100" s="111">
        <f t="shared" si="7"/>
        <v>-5</v>
      </c>
      <c r="K100" s="111">
        <f t="shared" si="8"/>
        <v>-50</v>
      </c>
      <c r="L100" s="111"/>
      <c r="M100" s="113">
        <f t="shared" si="9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32"/>
      <c r="B101" s="131"/>
      <c r="C101" s="131"/>
      <c r="D101" s="131"/>
      <c r="E101" s="131"/>
      <c r="F101" s="131"/>
      <c r="H101" s="111">
        <v>96</v>
      </c>
      <c r="I101" s="112" t="str">
        <f t="shared" si="6"/>
        <v/>
      </c>
      <c r="J101" s="111">
        <f t="shared" si="7"/>
        <v>-5</v>
      </c>
      <c r="K101" s="111">
        <f t="shared" si="8"/>
        <v>-50</v>
      </c>
      <c r="L101" s="111"/>
      <c r="M101" s="113">
        <f t="shared" si="9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32"/>
      <c r="B102" s="131"/>
      <c r="C102" s="131"/>
      <c r="D102" s="131"/>
      <c r="E102" s="131"/>
      <c r="F102" s="131"/>
      <c r="H102" s="111">
        <v>97</v>
      </c>
      <c r="I102" s="112" t="str">
        <f t="shared" si="6"/>
        <v/>
      </c>
      <c r="J102" s="111">
        <f t="shared" si="7"/>
        <v>-5</v>
      </c>
      <c r="K102" s="111">
        <f t="shared" si="8"/>
        <v>-50</v>
      </c>
      <c r="L102" s="111"/>
      <c r="M102" s="113">
        <f t="shared" si="9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32"/>
      <c r="B103" s="131"/>
      <c r="C103" s="131"/>
      <c r="D103" s="131"/>
      <c r="E103" s="131"/>
      <c r="F103" s="131"/>
      <c r="H103" s="111">
        <v>98</v>
      </c>
      <c r="I103" s="112" t="str">
        <f t="shared" si="6"/>
        <v/>
      </c>
      <c r="J103" s="111">
        <f t="shared" si="7"/>
        <v>-5</v>
      </c>
      <c r="K103" s="111">
        <f t="shared" si="8"/>
        <v>-50</v>
      </c>
      <c r="L103" s="111"/>
      <c r="M103" s="113">
        <f t="shared" si="9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32"/>
      <c r="B104" s="131"/>
      <c r="C104" s="131"/>
      <c r="D104" s="131"/>
      <c r="E104" s="131"/>
      <c r="F104" s="131"/>
      <c r="H104" s="111">
        <v>99</v>
      </c>
      <c r="I104" s="112" t="str">
        <f t="shared" si="6"/>
        <v/>
      </c>
      <c r="J104" s="111">
        <f t="shared" si="7"/>
        <v>-5</v>
      </c>
      <c r="K104" s="111">
        <f t="shared" si="8"/>
        <v>-50</v>
      </c>
      <c r="L104" s="111"/>
      <c r="M104" s="113">
        <f t="shared" si="9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32"/>
      <c r="B105" s="131"/>
      <c r="C105" s="131"/>
      <c r="D105" s="131"/>
      <c r="E105" s="131"/>
      <c r="F105" s="131"/>
      <c r="H105" s="111">
        <v>100</v>
      </c>
      <c r="I105" s="112" t="str">
        <f t="shared" si="6"/>
        <v/>
      </c>
      <c r="J105" s="111">
        <f t="shared" si="7"/>
        <v>-5</v>
      </c>
      <c r="K105" s="111">
        <f t="shared" si="8"/>
        <v>-50</v>
      </c>
      <c r="L105" s="111"/>
      <c r="M105" s="113">
        <f t="shared" si="9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32"/>
      <c r="B106" s="131"/>
      <c r="C106" s="131"/>
      <c r="D106" s="131"/>
      <c r="E106" s="131"/>
      <c r="F106" s="131"/>
      <c r="H106" s="111">
        <v>101</v>
      </c>
      <c r="I106" s="112" t="str">
        <f t="shared" si="6"/>
        <v/>
      </c>
      <c r="J106" s="111">
        <f t="shared" si="7"/>
        <v>-5</v>
      </c>
      <c r="K106" s="111">
        <f t="shared" si="8"/>
        <v>-50</v>
      </c>
      <c r="L106" s="111"/>
      <c r="M106" s="113">
        <f t="shared" si="9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32"/>
      <c r="B107" s="131"/>
      <c r="C107" s="131"/>
      <c r="D107" s="131"/>
      <c r="E107" s="131"/>
      <c r="F107" s="131"/>
      <c r="H107" s="111">
        <v>102</v>
      </c>
      <c r="I107" s="112" t="str">
        <f t="shared" si="6"/>
        <v/>
      </c>
      <c r="J107" s="111">
        <f t="shared" si="7"/>
        <v>-5</v>
      </c>
      <c r="K107" s="111">
        <f t="shared" si="8"/>
        <v>-50</v>
      </c>
      <c r="L107" s="111"/>
      <c r="M107" s="113">
        <f t="shared" si="9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32"/>
      <c r="B108" s="131"/>
      <c r="C108" s="131"/>
      <c r="D108" s="131"/>
      <c r="E108" s="131"/>
      <c r="F108" s="131"/>
      <c r="H108" s="111">
        <v>103</v>
      </c>
      <c r="I108" s="112" t="str">
        <f t="shared" si="6"/>
        <v/>
      </c>
      <c r="J108" s="111">
        <f t="shared" si="7"/>
        <v>-5</v>
      </c>
      <c r="K108" s="111">
        <f t="shared" si="8"/>
        <v>-50</v>
      </c>
      <c r="L108" s="111"/>
      <c r="M108" s="113">
        <f t="shared" si="9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32"/>
      <c r="B109" s="131"/>
      <c r="C109" s="131"/>
      <c r="D109" s="131"/>
      <c r="E109" s="131"/>
      <c r="F109" s="131"/>
      <c r="H109" s="111">
        <v>104</v>
      </c>
      <c r="I109" s="112" t="str">
        <f t="shared" si="6"/>
        <v/>
      </c>
      <c r="J109" s="111">
        <f t="shared" si="7"/>
        <v>-5</v>
      </c>
      <c r="K109" s="111">
        <f t="shared" si="8"/>
        <v>-50</v>
      </c>
      <c r="L109" s="111"/>
      <c r="M109" s="113">
        <f t="shared" si="9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32"/>
      <c r="B110" s="131"/>
      <c r="C110" s="131"/>
      <c r="D110" s="131"/>
      <c r="E110" s="131"/>
      <c r="F110" s="131"/>
      <c r="H110" s="111">
        <v>105</v>
      </c>
      <c r="I110" s="112" t="str">
        <f t="shared" si="6"/>
        <v/>
      </c>
      <c r="J110" s="111">
        <f t="shared" si="7"/>
        <v>-5</v>
      </c>
      <c r="K110" s="111">
        <f t="shared" si="8"/>
        <v>-50</v>
      </c>
      <c r="L110" s="111"/>
      <c r="M110" s="113">
        <f t="shared" si="9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32"/>
      <c r="B111" s="131"/>
      <c r="C111" s="131"/>
      <c r="D111" s="131"/>
      <c r="E111" s="131"/>
      <c r="F111" s="131"/>
      <c r="H111" s="111">
        <v>106</v>
      </c>
      <c r="I111" s="112" t="str">
        <f t="shared" si="6"/>
        <v/>
      </c>
      <c r="J111" s="111">
        <f t="shared" si="7"/>
        <v>-5</v>
      </c>
      <c r="K111" s="111">
        <f t="shared" si="8"/>
        <v>-50</v>
      </c>
      <c r="L111" s="111"/>
      <c r="M111" s="113">
        <f t="shared" si="9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32"/>
      <c r="B112" s="131"/>
      <c r="C112" s="131"/>
      <c r="D112" s="131"/>
      <c r="E112" s="131"/>
      <c r="F112" s="131"/>
      <c r="H112" s="111">
        <v>107</v>
      </c>
      <c r="I112" s="112" t="str">
        <f t="shared" si="6"/>
        <v/>
      </c>
      <c r="J112" s="111">
        <f t="shared" si="7"/>
        <v>-5</v>
      </c>
      <c r="K112" s="111">
        <f t="shared" si="8"/>
        <v>-50</v>
      </c>
      <c r="L112" s="111"/>
      <c r="M112" s="113">
        <f t="shared" si="9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32"/>
      <c r="B113" s="131"/>
      <c r="C113" s="131"/>
      <c r="D113" s="131"/>
      <c r="E113" s="131"/>
      <c r="F113" s="131"/>
      <c r="H113" s="111">
        <v>108</v>
      </c>
      <c r="I113" s="112" t="str">
        <f t="shared" si="6"/>
        <v/>
      </c>
      <c r="J113" s="111">
        <f t="shared" si="7"/>
        <v>-5</v>
      </c>
      <c r="K113" s="111">
        <f t="shared" si="8"/>
        <v>-50</v>
      </c>
      <c r="L113" s="111"/>
      <c r="M113" s="113">
        <f t="shared" si="9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32"/>
      <c r="B114" s="131"/>
      <c r="C114" s="131"/>
      <c r="D114" s="131"/>
      <c r="E114" s="131"/>
      <c r="F114" s="131"/>
      <c r="H114" s="111">
        <v>109</v>
      </c>
      <c r="I114" s="112" t="str">
        <f t="shared" si="6"/>
        <v/>
      </c>
      <c r="J114" s="111">
        <f t="shared" si="7"/>
        <v>-5</v>
      </c>
      <c r="K114" s="111">
        <f t="shared" si="8"/>
        <v>-50</v>
      </c>
      <c r="L114" s="111"/>
      <c r="M114" s="113">
        <f t="shared" si="9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32"/>
      <c r="B115" s="131"/>
      <c r="C115" s="131"/>
      <c r="D115" s="131"/>
      <c r="E115" s="131"/>
      <c r="F115" s="131"/>
      <c r="H115" s="111">
        <v>110</v>
      </c>
      <c r="I115" s="112" t="str">
        <f t="shared" si="6"/>
        <v/>
      </c>
      <c r="J115" s="111">
        <f t="shared" si="7"/>
        <v>-5</v>
      </c>
      <c r="K115" s="111">
        <f t="shared" si="8"/>
        <v>-50</v>
      </c>
      <c r="L115" s="111"/>
      <c r="M115" s="113">
        <f t="shared" si="9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32"/>
      <c r="B116" s="131"/>
      <c r="C116" s="131"/>
      <c r="D116" s="131"/>
      <c r="E116" s="131"/>
      <c r="F116" s="131"/>
      <c r="H116" s="111">
        <v>111</v>
      </c>
      <c r="I116" s="112" t="str">
        <f t="shared" si="6"/>
        <v/>
      </c>
      <c r="J116" s="111">
        <f t="shared" si="7"/>
        <v>-5</v>
      </c>
      <c r="K116" s="111">
        <f t="shared" si="8"/>
        <v>-50</v>
      </c>
      <c r="L116" s="111"/>
      <c r="M116" s="113">
        <f t="shared" si="9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32"/>
      <c r="B117" s="131"/>
      <c r="C117" s="131"/>
      <c r="D117" s="131"/>
      <c r="E117" s="131"/>
      <c r="F117" s="131"/>
      <c r="H117" s="111">
        <v>112</v>
      </c>
      <c r="I117" s="112" t="str">
        <f t="shared" si="6"/>
        <v/>
      </c>
      <c r="J117" s="111">
        <f t="shared" si="7"/>
        <v>-5</v>
      </c>
      <c r="K117" s="111">
        <f t="shared" si="8"/>
        <v>-50</v>
      </c>
      <c r="L117" s="111"/>
      <c r="M117" s="113">
        <f t="shared" si="9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32"/>
      <c r="B118" s="131"/>
      <c r="C118" s="131"/>
      <c r="D118" s="131"/>
      <c r="E118" s="131"/>
      <c r="F118" s="131"/>
      <c r="H118" s="111">
        <v>113</v>
      </c>
      <c r="I118" s="112" t="str">
        <f t="shared" si="6"/>
        <v/>
      </c>
      <c r="J118" s="111">
        <f t="shared" si="7"/>
        <v>-5</v>
      </c>
      <c r="K118" s="111">
        <f t="shared" si="8"/>
        <v>-50</v>
      </c>
      <c r="L118" s="111"/>
      <c r="M118" s="113">
        <f t="shared" si="9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32"/>
      <c r="B119" s="131"/>
      <c r="C119" s="131"/>
      <c r="D119" s="131"/>
      <c r="E119" s="131"/>
      <c r="F119" s="131"/>
      <c r="H119" s="111">
        <v>114</v>
      </c>
      <c r="I119" s="112" t="str">
        <f t="shared" si="6"/>
        <v/>
      </c>
      <c r="J119" s="111">
        <f t="shared" si="7"/>
        <v>-5</v>
      </c>
      <c r="K119" s="111">
        <f t="shared" si="8"/>
        <v>-50</v>
      </c>
      <c r="L119" s="111"/>
      <c r="M119" s="113">
        <f t="shared" si="9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32"/>
      <c r="B120" s="131"/>
      <c r="C120" s="131"/>
      <c r="D120" s="131"/>
      <c r="E120" s="131"/>
      <c r="F120" s="131"/>
      <c r="H120" s="111">
        <v>115</v>
      </c>
      <c r="I120" s="112" t="str">
        <f t="shared" si="6"/>
        <v/>
      </c>
      <c r="J120" s="111">
        <f t="shared" si="7"/>
        <v>-5</v>
      </c>
      <c r="K120" s="111">
        <f t="shared" si="8"/>
        <v>-50</v>
      </c>
      <c r="L120" s="111"/>
      <c r="M120" s="113">
        <f t="shared" si="9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32"/>
      <c r="B121" s="131"/>
      <c r="C121" s="131"/>
      <c r="D121" s="131"/>
      <c r="E121" s="131"/>
      <c r="F121" s="131"/>
      <c r="H121" s="111">
        <v>116</v>
      </c>
      <c r="I121" s="112" t="str">
        <f t="shared" si="6"/>
        <v/>
      </c>
      <c r="J121" s="111">
        <f t="shared" si="7"/>
        <v>-5</v>
      </c>
      <c r="K121" s="111">
        <f t="shared" si="8"/>
        <v>-50</v>
      </c>
      <c r="L121" s="111"/>
      <c r="M121" s="113">
        <f t="shared" si="9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32"/>
      <c r="B122" s="131"/>
      <c r="C122" s="131"/>
      <c r="D122" s="131"/>
      <c r="E122" s="131"/>
      <c r="F122" s="131"/>
      <c r="H122" s="111">
        <v>117</v>
      </c>
      <c r="I122" s="112" t="str">
        <f t="shared" si="6"/>
        <v/>
      </c>
      <c r="J122" s="111">
        <f t="shared" si="7"/>
        <v>-5</v>
      </c>
      <c r="K122" s="111">
        <f t="shared" si="8"/>
        <v>-50</v>
      </c>
      <c r="L122" s="111"/>
      <c r="M122" s="113">
        <f t="shared" si="9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32"/>
      <c r="B123" s="131"/>
      <c r="C123" s="131"/>
      <c r="D123" s="131"/>
      <c r="E123" s="131"/>
      <c r="F123" s="131"/>
      <c r="H123" s="111">
        <v>118</v>
      </c>
      <c r="I123" s="112" t="str">
        <f t="shared" si="6"/>
        <v/>
      </c>
      <c r="J123" s="111">
        <f t="shared" si="7"/>
        <v>-5</v>
      </c>
      <c r="K123" s="111">
        <f t="shared" si="8"/>
        <v>-50</v>
      </c>
      <c r="L123" s="111"/>
      <c r="M123" s="113">
        <f t="shared" si="9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32"/>
      <c r="B124" s="131"/>
      <c r="C124" s="131"/>
      <c r="D124" s="131"/>
      <c r="E124" s="131"/>
      <c r="F124" s="131"/>
      <c r="H124" s="111">
        <v>119</v>
      </c>
      <c r="I124" s="112" t="str">
        <f t="shared" si="6"/>
        <v/>
      </c>
      <c r="J124" s="111">
        <f t="shared" si="7"/>
        <v>-5</v>
      </c>
      <c r="K124" s="111">
        <f t="shared" si="8"/>
        <v>-50</v>
      </c>
      <c r="L124" s="111"/>
      <c r="M124" s="113">
        <f t="shared" si="9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32"/>
      <c r="B125" s="131"/>
      <c r="C125" s="131"/>
      <c r="D125" s="131"/>
      <c r="E125" s="131"/>
      <c r="F125" s="131"/>
      <c r="H125" s="111">
        <v>120</v>
      </c>
      <c r="I125" s="112" t="str">
        <f t="shared" si="6"/>
        <v/>
      </c>
      <c r="J125" s="111">
        <f t="shared" si="7"/>
        <v>-5</v>
      </c>
      <c r="K125" s="111">
        <f t="shared" si="8"/>
        <v>-50</v>
      </c>
      <c r="L125" s="111"/>
      <c r="M125" s="113">
        <f t="shared" si="9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32"/>
      <c r="B126" s="131"/>
      <c r="C126" s="131"/>
      <c r="D126" s="131"/>
      <c r="E126" s="131"/>
      <c r="F126" s="131"/>
      <c r="H126" s="111">
        <v>121</v>
      </c>
      <c r="I126" s="112" t="str">
        <f t="shared" si="6"/>
        <v/>
      </c>
      <c r="J126" s="111">
        <f t="shared" si="7"/>
        <v>-5</v>
      </c>
      <c r="K126" s="111">
        <f t="shared" si="8"/>
        <v>-50</v>
      </c>
      <c r="L126" s="111"/>
      <c r="M126" s="113">
        <f t="shared" si="9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32"/>
      <c r="B127" s="131"/>
      <c r="C127" s="131"/>
      <c r="D127" s="131"/>
      <c r="E127" s="131"/>
      <c r="F127" s="131"/>
      <c r="H127" s="111">
        <v>122</v>
      </c>
      <c r="I127" s="112" t="str">
        <f t="shared" si="6"/>
        <v/>
      </c>
      <c r="J127" s="111">
        <f t="shared" si="7"/>
        <v>-5</v>
      </c>
      <c r="K127" s="111">
        <f t="shared" si="8"/>
        <v>-50</v>
      </c>
      <c r="L127" s="111"/>
      <c r="M127" s="113">
        <f t="shared" si="9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32"/>
      <c r="B128" s="131"/>
      <c r="C128" s="131"/>
      <c r="D128" s="131"/>
      <c r="E128" s="131"/>
      <c r="F128" s="131"/>
      <c r="H128" s="111">
        <v>123</v>
      </c>
      <c r="I128" s="112" t="str">
        <f t="shared" si="6"/>
        <v/>
      </c>
      <c r="J128" s="111">
        <f t="shared" si="7"/>
        <v>-5</v>
      </c>
      <c r="K128" s="111">
        <f t="shared" si="8"/>
        <v>-50</v>
      </c>
      <c r="L128" s="111"/>
      <c r="M128" s="113">
        <f t="shared" si="9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32"/>
      <c r="B129" s="131"/>
      <c r="C129" s="131"/>
      <c r="D129" s="131"/>
      <c r="E129" s="131"/>
      <c r="F129" s="131"/>
      <c r="H129" s="111">
        <v>124</v>
      </c>
      <c r="I129" s="112" t="str">
        <f t="shared" si="6"/>
        <v/>
      </c>
      <c r="J129" s="111">
        <f t="shared" si="7"/>
        <v>-5</v>
      </c>
      <c r="K129" s="111">
        <f t="shared" si="8"/>
        <v>-50</v>
      </c>
      <c r="L129" s="111"/>
      <c r="M129" s="113">
        <f t="shared" si="9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32"/>
      <c r="B130" s="131"/>
      <c r="C130" s="131"/>
      <c r="D130" s="131"/>
      <c r="E130" s="131"/>
      <c r="F130" s="131"/>
      <c r="H130" s="111">
        <v>125</v>
      </c>
      <c r="I130" s="112" t="str">
        <f t="shared" si="6"/>
        <v/>
      </c>
      <c r="J130" s="111">
        <f t="shared" si="7"/>
        <v>-5</v>
      </c>
      <c r="K130" s="111">
        <f t="shared" si="8"/>
        <v>-50</v>
      </c>
      <c r="L130" s="111"/>
      <c r="M130" s="113">
        <f t="shared" si="9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32"/>
      <c r="B131" s="131"/>
      <c r="C131" s="131"/>
      <c r="D131" s="131"/>
      <c r="E131" s="131"/>
      <c r="F131" s="131"/>
      <c r="H131" s="111">
        <v>126</v>
      </c>
      <c r="I131" s="112" t="str">
        <f t="shared" si="6"/>
        <v/>
      </c>
      <c r="J131" s="111">
        <f t="shared" si="7"/>
        <v>-5</v>
      </c>
      <c r="K131" s="111">
        <f t="shared" si="8"/>
        <v>-50</v>
      </c>
      <c r="L131" s="111"/>
      <c r="M131" s="113">
        <f t="shared" si="9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32"/>
      <c r="B132" s="131"/>
      <c r="C132" s="131"/>
      <c r="D132" s="131"/>
      <c r="E132" s="131"/>
      <c r="F132" s="131"/>
      <c r="H132" s="111">
        <v>127</v>
      </c>
      <c r="I132" s="112" t="str">
        <f t="shared" si="6"/>
        <v/>
      </c>
      <c r="J132" s="111">
        <f t="shared" si="7"/>
        <v>-5</v>
      </c>
      <c r="K132" s="111">
        <f t="shared" si="8"/>
        <v>-50</v>
      </c>
      <c r="L132" s="111"/>
      <c r="M132" s="113">
        <f t="shared" si="9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32"/>
      <c r="B133" s="131"/>
      <c r="C133" s="131"/>
      <c r="D133" s="131"/>
      <c r="E133" s="131"/>
      <c r="F133" s="131"/>
      <c r="H133" s="111">
        <v>128</v>
      </c>
      <c r="I133" s="112" t="str">
        <f t="shared" si="6"/>
        <v/>
      </c>
      <c r="J133" s="111">
        <f t="shared" si="7"/>
        <v>-5</v>
      </c>
      <c r="K133" s="111">
        <f t="shared" si="8"/>
        <v>-50</v>
      </c>
      <c r="L133" s="111"/>
      <c r="M133" s="113">
        <f t="shared" si="9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32"/>
      <c r="B134" s="131"/>
      <c r="C134" s="131"/>
      <c r="D134" s="131"/>
      <c r="E134" s="131"/>
      <c r="F134" s="131"/>
      <c r="H134" s="111">
        <v>129</v>
      </c>
      <c r="I134" s="112" t="str">
        <f t="shared" ref="I134:I197" si="10">IF(H134&lt;$H$2+1,($I$2-($I$2-1)*(LOG(H134)/LOG($H$2))),"")</f>
        <v/>
      </c>
      <c r="J134" s="111">
        <f t="shared" ref="J134:J197" si="11">INT(LOG($H$2,2))-ROUNDUP(LOG(H134,2),0)+IF(OR($H$2=1,$H$2=2,$H$2=4,$H$2=8,$H$2=16,$H$2=32,$H$2=64,$H$2=128,$H$2=256),0,1)</f>
        <v>-6</v>
      </c>
      <c r="K134" s="111">
        <f t="shared" ref="K134:K197" si="12">J134*$J$2</f>
        <v>-60</v>
      </c>
      <c r="L134" s="111"/>
      <c r="M134" s="113">
        <f t="shared" ref="M134:M197" si="13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32"/>
      <c r="B135" s="131"/>
      <c r="C135" s="131"/>
      <c r="D135" s="131"/>
      <c r="E135" s="131"/>
      <c r="F135" s="131"/>
      <c r="H135" s="111">
        <v>130</v>
      </c>
      <c r="I135" s="112" t="str">
        <f t="shared" si="10"/>
        <v/>
      </c>
      <c r="J135" s="111">
        <f t="shared" si="11"/>
        <v>-6</v>
      </c>
      <c r="K135" s="111">
        <f t="shared" si="12"/>
        <v>-60</v>
      </c>
      <c r="L135" s="111"/>
      <c r="M135" s="113">
        <f t="shared" si="13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32"/>
      <c r="B136" s="131"/>
      <c r="C136" s="131"/>
      <c r="D136" s="131"/>
      <c r="E136" s="131"/>
      <c r="F136" s="131"/>
      <c r="H136" s="111">
        <v>131</v>
      </c>
      <c r="I136" s="112" t="str">
        <f t="shared" si="10"/>
        <v/>
      </c>
      <c r="J136" s="111">
        <f t="shared" si="11"/>
        <v>-6</v>
      </c>
      <c r="K136" s="111">
        <f t="shared" si="12"/>
        <v>-60</v>
      </c>
      <c r="L136" s="111"/>
      <c r="M136" s="113">
        <f t="shared" si="13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32"/>
      <c r="B137" s="131"/>
      <c r="C137" s="131"/>
      <c r="D137" s="131"/>
      <c r="E137" s="131"/>
      <c r="F137" s="131"/>
      <c r="H137" s="111">
        <v>132</v>
      </c>
      <c r="I137" s="112" t="str">
        <f t="shared" si="10"/>
        <v/>
      </c>
      <c r="J137" s="111">
        <f t="shared" si="11"/>
        <v>-6</v>
      </c>
      <c r="K137" s="111">
        <f t="shared" si="12"/>
        <v>-60</v>
      </c>
      <c r="L137" s="111"/>
      <c r="M137" s="113">
        <f t="shared" si="13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32"/>
      <c r="B138" s="131"/>
      <c r="C138" s="131"/>
      <c r="D138" s="131"/>
      <c r="E138" s="131"/>
      <c r="F138" s="131"/>
      <c r="H138" s="111">
        <v>133</v>
      </c>
      <c r="I138" s="112" t="str">
        <f t="shared" si="10"/>
        <v/>
      </c>
      <c r="J138" s="111">
        <f t="shared" si="11"/>
        <v>-6</v>
      </c>
      <c r="K138" s="111">
        <f t="shared" si="12"/>
        <v>-60</v>
      </c>
      <c r="L138" s="111"/>
      <c r="M138" s="113">
        <f t="shared" si="13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32"/>
      <c r="B139" s="131"/>
      <c r="C139" s="131"/>
      <c r="D139" s="131"/>
      <c r="E139" s="131"/>
      <c r="F139" s="131"/>
      <c r="H139" s="111">
        <v>134</v>
      </c>
      <c r="I139" s="112" t="str">
        <f t="shared" si="10"/>
        <v/>
      </c>
      <c r="J139" s="111">
        <f t="shared" si="11"/>
        <v>-6</v>
      </c>
      <c r="K139" s="111">
        <f t="shared" si="12"/>
        <v>-60</v>
      </c>
      <c r="L139" s="111"/>
      <c r="M139" s="113">
        <f t="shared" si="13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32"/>
      <c r="B140" s="131"/>
      <c r="C140" s="131"/>
      <c r="D140" s="131"/>
      <c r="E140" s="131"/>
      <c r="F140" s="131"/>
      <c r="H140" s="111">
        <v>135</v>
      </c>
      <c r="I140" s="112" t="str">
        <f t="shared" si="10"/>
        <v/>
      </c>
      <c r="J140" s="111">
        <f t="shared" si="11"/>
        <v>-6</v>
      </c>
      <c r="K140" s="111">
        <f t="shared" si="12"/>
        <v>-60</v>
      </c>
      <c r="L140" s="111"/>
      <c r="M140" s="113">
        <f t="shared" si="13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s="96" customFormat="1">
      <c r="A141" s="132"/>
      <c r="B141" s="131"/>
      <c r="C141" s="131"/>
      <c r="D141" s="131"/>
      <c r="E141" s="131"/>
      <c r="F141" s="131"/>
      <c r="H141" s="111">
        <v>136</v>
      </c>
      <c r="I141" s="112" t="str">
        <f t="shared" si="10"/>
        <v/>
      </c>
      <c r="J141" s="111">
        <f t="shared" si="11"/>
        <v>-6</v>
      </c>
      <c r="K141" s="111">
        <f t="shared" si="12"/>
        <v>-60</v>
      </c>
      <c r="L141" s="111"/>
      <c r="M141" s="113">
        <f t="shared" si="13"/>
        <v>0</v>
      </c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s="96" customFormat="1">
      <c r="A142" s="132"/>
      <c r="B142" s="131"/>
      <c r="C142" s="131"/>
      <c r="D142" s="131"/>
      <c r="E142" s="131"/>
      <c r="F142" s="131"/>
      <c r="H142" s="111">
        <v>137</v>
      </c>
      <c r="I142" s="112" t="str">
        <f t="shared" si="10"/>
        <v/>
      </c>
      <c r="J142" s="111">
        <f t="shared" si="11"/>
        <v>-6</v>
      </c>
      <c r="K142" s="111">
        <f t="shared" si="12"/>
        <v>-60</v>
      </c>
      <c r="L142" s="111"/>
      <c r="M142" s="113">
        <f t="shared" si="13"/>
        <v>0</v>
      </c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s="96" customFormat="1">
      <c r="A143" s="132"/>
      <c r="B143" s="131"/>
      <c r="C143" s="131"/>
      <c r="D143" s="131"/>
      <c r="E143" s="131"/>
      <c r="F143" s="131"/>
      <c r="H143" s="111">
        <v>138</v>
      </c>
      <c r="I143" s="112" t="str">
        <f t="shared" si="10"/>
        <v/>
      </c>
      <c r="J143" s="111">
        <f t="shared" si="11"/>
        <v>-6</v>
      </c>
      <c r="K143" s="111">
        <f t="shared" si="12"/>
        <v>-60</v>
      </c>
      <c r="L143" s="111"/>
      <c r="M143" s="113">
        <f t="shared" si="13"/>
        <v>0</v>
      </c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s="96" customFormat="1">
      <c r="A144" s="132"/>
      <c r="B144" s="131"/>
      <c r="C144" s="131"/>
      <c r="D144" s="131"/>
      <c r="E144" s="131"/>
      <c r="F144" s="131"/>
      <c r="H144" s="111">
        <v>139</v>
      </c>
      <c r="I144" s="112" t="str">
        <f t="shared" si="10"/>
        <v/>
      </c>
      <c r="J144" s="111">
        <f t="shared" si="11"/>
        <v>-6</v>
      </c>
      <c r="K144" s="111">
        <f t="shared" si="12"/>
        <v>-60</v>
      </c>
      <c r="L144" s="111"/>
      <c r="M144" s="113">
        <f t="shared" si="13"/>
        <v>0</v>
      </c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s="96" customFormat="1">
      <c r="A145" s="132"/>
      <c r="B145" s="131"/>
      <c r="C145" s="131"/>
      <c r="D145" s="131"/>
      <c r="E145" s="131"/>
      <c r="F145" s="131"/>
      <c r="H145" s="111">
        <v>140</v>
      </c>
      <c r="I145" s="112" t="str">
        <f t="shared" si="10"/>
        <v/>
      </c>
      <c r="J145" s="111">
        <f t="shared" si="11"/>
        <v>-6</v>
      </c>
      <c r="K145" s="111">
        <f t="shared" si="12"/>
        <v>-60</v>
      </c>
      <c r="L145" s="111"/>
      <c r="M145" s="113">
        <f t="shared" si="13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2"/>
      <c r="B146" s="131"/>
      <c r="C146" s="131"/>
      <c r="D146" s="131"/>
      <c r="E146" s="131"/>
      <c r="F146" s="131"/>
      <c r="H146" s="111">
        <v>141</v>
      </c>
      <c r="I146" s="112" t="str">
        <f t="shared" si="10"/>
        <v/>
      </c>
      <c r="J146" s="111">
        <f t="shared" si="11"/>
        <v>-6</v>
      </c>
      <c r="K146" s="111">
        <f t="shared" si="12"/>
        <v>-60</v>
      </c>
      <c r="L146" s="111"/>
      <c r="M146" s="113">
        <f t="shared" si="13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2"/>
      <c r="B147" s="131"/>
      <c r="C147" s="131"/>
      <c r="D147" s="131"/>
      <c r="E147" s="131"/>
      <c r="F147" s="131"/>
      <c r="H147" s="111">
        <v>142</v>
      </c>
      <c r="I147" s="112" t="str">
        <f t="shared" si="10"/>
        <v/>
      </c>
      <c r="J147" s="111">
        <f t="shared" si="11"/>
        <v>-6</v>
      </c>
      <c r="K147" s="111">
        <f t="shared" si="12"/>
        <v>-60</v>
      </c>
      <c r="L147" s="111"/>
      <c r="M147" s="113">
        <f t="shared" si="13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2"/>
      <c r="B148" s="131"/>
      <c r="C148" s="131"/>
      <c r="D148" s="131"/>
      <c r="E148" s="131"/>
      <c r="F148" s="131"/>
      <c r="H148" s="111">
        <v>143</v>
      </c>
      <c r="I148" s="112" t="str">
        <f t="shared" si="10"/>
        <v/>
      </c>
      <c r="J148" s="111">
        <f t="shared" si="11"/>
        <v>-6</v>
      </c>
      <c r="K148" s="111">
        <f t="shared" si="12"/>
        <v>-60</v>
      </c>
      <c r="L148" s="111"/>
      <c r="M148" s="113">
        <f t="shared" si="13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2"/>
      <c r="B149" s="131"/>
      <c r="C149" s="131"/>
      <c r="D149" s="131"/>
      <c r="E149" s="131"/>
      <c r="F149" s="131"/>
      <c r="H149" s="111">
        <v>144</v>
      </c>
      <c r="I149" s="112" t="str">
        <f t="shared" si="10"/>
        <v/>
      </c>
      <c r="J149" s="111">
        <f t="shared" si="11"/>
        <v>-6</v>
      </c>
      <c r="K149" s="111">
        <f t="shared" si="12"/>
        <v>-60</v>
      </c>
      <c r="L149" s="111"/>
      <c r="M149" s="113">
        <f t="shared" si="13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2"/>
      <c r="B150" s="131"/>
      <c r="C150" s="131"/>
      <c r="D150" s="131"/>
      <c r="E150" s="131"/>
      <c r="F150" s="131"/>
      <c r="H150" s="111">
        <v>145</v>
      </c>
      <c r="I150" s="112" t="str">
        <f t="shared" si="10"/>
        <v/>
      </c>
      <c r="J150" s="111">
        <f t="shared" si="11"/>
        <v>-6</v>
      </c>
      <c r="K150" s="111">
        <f t="shared" si="12"/>
        <v>-60</v>
      </c>
      <c r="L150" s="111"/>
      <c r="M150" s="113">
        <f t="shared" si="13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2"/>
      <c r="B151" s="131"/>
      <c r="C151" s="131"/>
      <c r="D151" s="131"/>
      <c r="E151" s="131"/>
      <c r="F151" s="131"/>
      <c r="H151" s="111">
        <v>146</v>
      </c>
      <c r="I151" s="112" t="str">
        <f t="shared" si="10"/>
        <v/>
      </c>
      <c r="J151" s="111">
        <f t="shared" si="11"/>
        <v>-6</v>
      </c>
      <c r="K151" s="111">
        <f t="shared" si="12"/>
        <v>-60</v>
      </c>
      <c r="L151" s="111"/>
      <c r="M151" s="113">
        <f t="shared" si="13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2"/>
      <c r="B152" s="131"/>
      <c r="C152" s="131"/>
      <c r="D152" s="131"/>
      <c r="E152" s="131"/>
      <c r="F152" s="131"/>
      <c r="H152" s="111">
        <v>147</v>
      </c>
      <c r="I152" s="112" t="str">
        <f t="shared" si="10"/>
        <v/>
      </c>
      <c r="J152" s="111">
        <f t="shared" si="11"/>
        <v>-6</v>
      </c>
      <c r="K152" s="111">
        <f t="shared" si="12"/>
        <v>-60</v>
      </c>
      <c r="L152" s="111"/>
      <c r="M152" s="113">
        <f t="shared" si="13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2"/>
      <c r="B153" s="131"/>
      <c r="C153" s="131"/>
      <c r="D153" s="131"/>
      <c r="E153" s="131"/>
      <c r="F153" s="131"/>
      <c r="H153" s="111">
        <v>148</v>
      </c>
      <c r="I153" s="112" t="str">
        <f t="shared" si="10"/>
        <v/>
      </c>
      <c r="J153" s="111">
        <f t="shared" si="11"/>
        <v>-6</v>
      </c>
      <c r="K153" s="111">
        <f t="shared" si="12"/>
        <v>-60</v>
      </c>
      <c r="L153" s="111"/>
      <c r="M153" s="113">
        <f t="shared" si="13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2"/>
      <c r="B154" s="131"/>
      <c r="C154" s="131"/>
      <c r="D154" s="131"/>
      <c r="E154" s="131"/>
      <c r="F154" s="131"/>
      <c r="H154" s="111">
        <v>149</v>
      </c>
      <c r="I154" s="112" t="str">
        <f t="shared" si="10"/>
        <v/>
      </c>
      <c r="J154" s="111">
        <f t="shared" si="11"/>
        <v>-6</v>
      </c>
      <c r="K154" s="111">
        <f t="shared" si="12"/>
        <v>-60</v>
      </c>
      <c r="L154" s="111"/>
      <c r="M154" s="113">
        <f t="shared" si="13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1">
        <v>150</v>
      </c>
      <c r="I155" s="112" t="str">
        <f t="shared" si="10"/>
        <v/>
      </c>
      <c r="J155" s="111">
        <f t="shared" si="11"/>
        <v>-6</v>
      </c>
      <c r="K155" s="111">
        <f t="shared" si="12"/>
        <v>-60</v>
      </c>
      <c r="L155" s="111"/>
      <c r="M155" s="113">
        <f t="shared" si="13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0"/>
        <v/>
      </c>
      <c r="J156" s="111">
        <f t="shared" si="11"/>
        <v>-6</v>
      </c>
      <c r="K156" s="111">
        <f t="shared" si="12"/>
        <v>-60</v>
      </c>
      <c r="L156" s="111"/>
      <c r="M156" s="113">
        <f t="shared" si="13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1">
        <v>152</v>
      </c>
      <c r="I157" s="112" t="str">
        <f t="shared" si="10"/>
        <v/>
      </c>
      <c r="J157" s="111">
        <f t="shared" si="11"/>
        <v>-6</v>
      </c>
      <c r="K157" s="111">
        <f t="shared" si="12"/>
        <v>-60</v>
      </c>
      <c r="L157" s="111"/>
      <c r="M157" s="113">
        <f t="shared" si="13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0"/>
        <v/>
      </c>
      <c r="J158" s="111">
        <f t="shared" si="11"/>
        <v>-6</v>
      </c>
      <c r="K158" s="111">
        <f t="shared" si="12"/>
        <v>-60</v>
      </c>
      <c r="L158" s="111"/>
      <c r="M158" s="113">
        <f t="shared" si="13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1">
        <v>154</v>
      </c>
      <c r="I159" s="112" t="str">
        <f t="shared" si="10"/>
        <v/>
      </c>
      <c r="J159" s="111">
        <f t="shared" si="11"/>
        <v>-6</v>
      </c>
      <c r="K159" s="111">
        <f t="shared" si="12"/>
        <v>-60</v>
      </c>
      <c r="L159" s="111"/>
      <c r="M159" s="113">
        <f t="shared" si="13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0"/>
        <v/>
      </c>
      <c r="J160" s="111">
        <f t="shared" si="11"/>
        <v>-6</v>
      </c>
      <c r="K160" s="111">
        <f t="shared" si="12"/>
        <v>-60</v>
      </c>
      <c r="L160" s="111"/>
      <c r="M160" s="113">
        <f t="shared" si="13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1">
        <v>156</v>
      </c>
      <c r="I161" s="112" t="str">
        <f t="shared" si="10"/>
        <v/>
      </c>
      <c r="J161" s="111">
        <f t="shared" si="11"/>
        <v>-6</v>
      </c>
      <c r="K161" s="111">
        <f t="shared" si="12"/>
        <v>-60</v>
      </c>
      <c r="L161" s="111"/>
      <c r="M161" s="113">
        <f t="shared" si="13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0"/>
        <v/>
      </c>
      <c r="J162" s="111">
        <f t="shared" si="11"/>
        <v>-6</v>
      </c>
      <c r="K162" s="111">
        <f t="shared" si="12"/>
        <v>-60</v>
      </c>
      <c r="L162" s="111"/>
      <c r="M162" s="113">
        <f t="shared" si="13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1">
        <v>158</v>
      </c>
      <c r="I163" s="112" t="str">
        <f t="shared" si="10"/>
        <v/>
      </c>
      <c r="J163" s="111">
        <f t="shared" si="11"/>
        <v>-6</v>
      </c>
      <c r="K163" s="111">
        <f t="shared" si="12"/>
        <v>-60</v>
      </c>
      <c r="L163" s="111"/>
      <c r="M163" s="113">
        <f t="shared" si="13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0"/>
        <v/>
      </c>
      <c r="J164" s="111">
        <f t="shared" si="11"/>
        <v>-6</v>
      </c>
      <c r="K164" s="111">
        <f t="shared" si="12"/>
        <v>-60</v>
      </c>
      <c r="L164" s="111"/>
      <c r="M164" s="113">
        <f t="shared" si="13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1">
        <v>160</v>
      </c>
      <c r="I165" s="112" t="str">
        <f t="shared" si="10"/>
        <v/>
      </c>
      <c r="J165" s="111">
        <f t="shared" si="11"/>
        <v>-6</v>
      </c>
      <c r="K165" s="111">
        <f t="shared" si="12"/>
        <v>-60</v>
      </c>
      <c r="L165" s="111"/>
      <c r="M165" s="113">
        <f t="shared" si="13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0"/>
        <v/>
      </c>
      <c r="J166" s="111">
        <f t="shared" si="11"/>
        <v>-6</v>
      </c>
      <c r="K166" s="111">
        <f t="shared" si="12"/>
        <v>-60</v>
      </c>
      <c r="L166" s="111"/>
      <c r="M166" s="113">
        <f t="shared" si="13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1">
        <v>162</v>
      </c>
      <c r="I167" s="112" t="str">
        <f t="shared" si="10"/>
        <v/>
      </c>
      <c r="J167" s="111">
        <f t="shared" si="11"/>
        <v>-6</v>
      </c>
      <c r="K167" s="111">
        <f t="shared" si="12"/>
        <v>-60</v>
      </c>
      <c r="L167" s="111"/>
      <c r="M167" s="113">
        <f t="shared" si="13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0"/>
        <v/>
      </c>
      <c r="J168" s="111">
        <f t="shared" si="11"/>
        <v>-6</v>
      </c>
      <c r="K168" s="111">
        <f t="shared" si="12"/>
        <v>-60</v>
      </c>
      <c r="L168" s="111"/>
      <c r="M168" s="113">
        <f t="shared" si="13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1">
        <v>164</v>
      </c>
      <c r="I169" s="112" t="str">
        <f t="shared" si="10"/>
        <v/>
      </c>
      <c r="J169" s="111">
        <f t="shared" si="11"/>
        <v>-6</v>
      </c>
      <c r="K169" s="111">
        <f t="shared" si="12"/>
        <v>-60</v>
      </c>
      <c r="L169" s="111"/>
      <c r="M169" s="113">
        <f t="shared" si="13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0"/>
        <v/>
      </c>
      <c r="J170" s="111">
        <f t="shared" si="11"/>
        <v>-6</v>
      </c>
      <c r="K170" s="111">
        <f t="shared" si="12"/>
        <v>-60</v>
      </c>
      <c r="L170" s="111"/>
      <c r="M170" s="113">
        <f t="shared" si="13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1">
        <v>166</v>
      </c>
      <c r="I171" s="112" t="str">
        <f t="shared" si="10"/>
        <v/>
      </c>
      <c r="J171" s="111">
        <f t="shared" si="11"/>
        <v>-6</v>
      </c>
      <c r="K171" s="111">
        <f t="shared" si="12"/>
        <v>-60</v>
      </c>
      <c r="L171" s="111"/>
      <c r="M171" s="113">
        <f t="shared" si="13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0"/>
        <v/>
      </c>
      <c r="J172" s="111">
        <f t="shared" si="11"/>
        <v>-6</v>
      </c>
      <c r="K172" s="111">
        <f t="shared" si="12"/>
        <v>-60</v>
      </c>
      <c r="L172" s="111"/>
      <c r="M172" s="113">
        <f t="shared" si="13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1">
        <v>168</v>
      </c>
      <c r="I173" s="112" t="str">
        <f t="shared" si="10"/>
        <v/>
      </c>
      <c r="J173" s="111">
        <f t="shared" si="11"/>
        <v>-6</v>
      </c>
      <c r="K173" s="111">
        <f t="shared" si="12"/>
        <v>-60</v>
      </c>
      <c r="L173" s="111"/>
      <c r="M173" s="113">
        <f t="shared" si="13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0"/>
        <v/>
      </c>
      <c r="J174" s="111">
        <f t="shared" si="11"/>
        <v>-6</v>
      </c>
      <c r="K174" s="111">
        <f t="shared" si="12"/>
        <v>-60</v>
      </c>
      <c r="L174" s="111"/>
      <c r="M174" s="113">
        <f t="shared" si="13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1">
        <v>170</v>
      </c>
      <c r="I175" s="112" t="str">
        <f t="shared" si="10"/>
        <v/>
      </c>
      <c r="J175" s="111">
        <f t="shared" si="11"/>
        <v>-6</v>
      </c>
      <c r="K175" s="111">
        <f t="shared" si="12"/>
        <v>-60</v>
      </c>
      <c r="L175" s="111"/>
      <c r="M175" s="113">
        <f t="shared" si="13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0"/>
        <v/>
      </c>
      <c r="J176" s="111">
        <f t="shared" si="11"/>
        <v>-6</v>
      </c>
      <c r="K176" s="111">
        <f t="shared" si="12"/>
        <v>-60</v>
      </c>
      <c r="L176" s="111"/>
      <c r="M176" s="113">
        <f t="shared" si="13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1">
        <v>172</v>
      </c>
      <c r="I177" s="112" t="str">
        <f t="shared" si="10"/>
        <v/>
      </c>
      <c r="J177" s="111">
        <f t="shared" si="11"/>
        <v>-6</v>
      </c>
      <c r="K177" s="111">
        <f t="shared" si="12"/>
        <v>-60</v>
      </c>
      <c r="L177" s="111"/>
      <c r="M177" s="113">
        <f t="shared" si="13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0"/>
        <v/>
      </c>
      <c r="J178" s="111">
        <f t="shared" si="11"/>
        <v>-6</v>
      </c>
      <c r="K178" s="111">
        <f t="shared" si="12"/>
        <v>-60</v>
      </c>
      <c r="L178" s="111"/>
      <c r="M178" s="113">
        <f t="shared" si="13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1">
        <v>174</v>
      </c>
      <c r="I179" s="112" t="str">
        <f t="shared" si="10"/>
        <v/>
      </c>
      <c r="J179" s="111">
        <f t="shared" si="11"/>
        <v>-6</v>
      </c>
      <c r="K179" s="111">
        <f t="shared" si="12"/>
        <v>-60</v>
      </c>
      <c r="L179" s="111"/>
      <c r="M179" s="113">
        <f t="shared" si="13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0"/>
        <v/>
      </c>
      <c r="J180" s="111">
        <f t="shared" si="11"/>
        <v>-6</v>
      </c>
      <c r="K180" s="111">
        <f t="shared" si="12"/>
        <v>-60</v>
      </c>
      <c r="L180" s="111"/>
      <c r="M180" s="113">
        <f t="shared" si="13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1">
        <v>176</v>
      </c>
      <c r="I181" s="112" t="str">
        <f t="shared" si="10"/>
        <v/>
      </c>
      <c r="J181" s="111">
        <f t="shared" si="11"/>
        <v>-6</v>
      </c>
      <c r="K181" s="111">
        <f t="shared" si="12"/>
        <v>-60</v>
      </c>
      <c r="L181" s="111"/>
      <c r="M181" s="113">
        <f t="shared" si="13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0"/>
        <v/>
      </c>
      <c r="J182" s="111">
        <f t="shared" si="11"/>
        <v>-6</v>
      </c>
      <c r="K182" s="111">
        <f t="shared" si="12"/>
        <v>-60</v>
      </c>
      <c r="L182" s="111"/>
      <c r="M182" s="113">
        <f t="shared" si="13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1">
        <v>178</v>
      </c>
      <c r="I183" s="112" t="str">
        <f t="shared" si="10"/>
        <v/>
      </c>
      <c r="J183" s="111">
        <f t="shared" si="11"/>
        <v>-6</v>
      </c>
      <c r="K183" s="111">
        <f t="shared" si="12"/>
        <v>-60</v>
      </c>
      <c r="L183" s="111"/>
      <c r="M183" s="113">
        <f t="shared" si="13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0"/>
        <v/>
      </c>
      <c r="J184" s="111">
        <f t="shared" si="11"/>
        <v>-6</v>
      </c>
      <c r="K184" s="111">
        <f t="shared" si="12"/>
        <v>-60</v>
      </c>
      <c r="L184" s="111"/>
      <c r="M184" s="113">
        <f t="shared" si="13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1">
        <v>180</v>
      </c>
      <c r="I185" s="112" t="str">
        <f t="shared" si="10"/>
        <v/>
      </c>
      <c r="J185" s="111">
        <f t="shared" si="11"/>
        <v>-6</v>
      </c>
      <c r="K185" s="111">
        <f t="shared" si="12"/>
        <v>-60</v>
      </c>
      <c r="L185" s="111"/>
      <c r="M185" s="113">
        <f t="shared" si="13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0"/>
        <v/>
      </c>
      <c r="J186" s="111">
        <f t="shared" si="11"/>
        <v>-6</v>
      </c>
      <c r="K186" s="111">
        <f t="shared" si="12"/>
        <v>-60</v>
      </c>
      <c r="L186" s="111"/>
      <c r="M186" s="113">
        <f t="shared" si="13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1">
        <v>182</v>
      </c>
      <c r="I187" s="112" t="str">
        <f t="shared" si="10"/>
        <v/>
      </c>
      <c r="J187" s="111">
        <f t="shared" si="11"/>
        <v>-6</v>
      </c>
      <c r="K187" s="111">
        <f t="shared" si="12"/>
        <v>-60</v>
      </c>
      <c r="L187" s="111"/>
      <c r="M187" s="113">
        <f t="shared" si="13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0"/>
        <v/>
      </c>
      <c r="J188" s="111">
        <f t="shared" si="11"/>
        <v>-6</v>
      </c>
      <c r="K188" s="111">
        <f t="shared" si="12"/>
        <v>-60</v>
      </c>
      <c r="L188" s="111"/>
      <c r="M188" s="113">
        <f t="shared" si="13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1">
        <v>184</v>
      </c>
      <c r="I189" s="112" t="str">
        <f t="shared" si="10"/>
        <v/>
      </c>
      <c r="J189" s="111">
        <f t="shared" si="11"/>
        <v>-6</v>
      </c>
      <c r="K189" s="111">
        <f t="shared" si="12"/>
        <v>-60</v>
      </c>
      <c r="L189" s="111"/>
      <c r="M189" s="113">
        <f t="shared" si="13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0"/>
        <v/>
      </c>
      <c r="J190" s="111">
        <f t="shared" si="11"/>
        <v>-6</v>
      </c>
      <c r="K190" s="111">
        <f t="shared" si="12"/>
        <v>-60</v>
      </c>
      <c r="L190" s="111"/>
      <c r="M190" s="113">
        <f t="shared" si="13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1">
        <v>186</v>
      </c>
      <c r="I191" s="112" t="str">
        <f t="shared" si="10"/>
        <v/>
      </c>
      <c r="J191" s="111">
        <f t="shared" si="11"/>
        <v>-6</v>
      </c>
      <c r="K191" s="111">
        <f t="shared" si="12"/>
        <v>-60</v>
      </c>
      <c r="L191" s="111"/>
      <c r="M191" s="113">
        <f t="shared" si="13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0"/>
        <v/>
      </c>
      <c r="J192" s="111">
        <f t="shared" si="11"/>
        <v>-6</v>
      </c>
      <c r="K192" s="111">
        <f t="shared" si="12"/>
        <v>-60</v>
      </c>
      <c r="L192" s="111"/>
      <c r="M192" s="113">
        <f t="shared" si="13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1">
        <v>188</v>
      </c>
      <c r="I193" s="112" t="str">
        <f t="shared" si="10"/>
        <v/>
      </c>
      <c r="J193" s="111">
        <f t="shared" si="11"/>
        <v>-6</v>
      </c>
      <c r="K193" s="111">
        <f t="shared" si="12"/>
        <v>-60</v>
      </c>
      <c r="L193" s="111"/>
      <c r="M193" s="113">
        <f t="shared" si="13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0"/>
        <v/>
      </c>
      <c r="J194" s="111">
        <f t="shared" si="11"/>
        <v>-6</v>
      </c>
      <c r="K194" s="111">
        <f t="shared" si="12"/>
        <v>-60</v>
      </c>
      <c r="L194" s="111"/>
      <c r="M194" s="113">
        <f t="shared" si="13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1">
        <v>190</v>
      </c>
      <c r="I195" s="112" t="str">
        <f t="shared" si="10"/>
        <v/>
      </c>
      <c r="J195" s="111">
        <f t="shared" si="11"/>
        <v>-6</v>
      </c>
      <c r="K195" s="111">
        <f t="shared" si="12"/>
        <v>-60</v>
      </c>
      <c r="L195" s="111"/>
      <c r="M195" s="113">
        <f t="shared" si="13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0"/>
        <v/>
      </c>
      <c r="J196" s="111">
        <f t="shared" si="11"/>
        <v>-6</v>
      </c>
      <c r="K196" s="111">
        <f t="shared" si="12"/>
        <v>-60</v>
      </c>
      <c r="L196" s="111"/>
      <c r="M196" s="113">
        <f t="shared" si="13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1">
        <v>192</v>
      </c>
      <c r="I197" s="112" t="str">
        <f t="shared" si="10"/>
        <v/>
      </c>
      <c r="J197" s="111">
        <f t="shared" si="11"/>
        <v>-6</v>
      </c>
      <c r="K197" s="111">
        <f t="shared" si="12"/>
        <v>-60</v>
      </c>
      <c r="L197" s="111"/>
      <c r="M197" s="113">
        <f t="shared" si="13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4">IF(H198&lt;$H$2+1,($I$2-($I$2-1)*(LOG(H198)/LOG($H$2))),"")</f>
        <v/>
      </c>
      <c r="J198" s="111">
        <f t="shared" ref="J198:J261" si="15">INT(LOG($H$2,2))-ROUNDUP(LOG(H198,2),0)+IF(OR($H$2=1,$H$2=2,$H$2=4,$H$2=8,$H$2=16,$H$2=32,$H$2=64,$H$2=128,$H$2=256),0,1)</f>
        <v>-6</v>
      </c>
      <c r="K198" s="111">
        <f t="shared" ref="K198:K261" si="16">J198*$J$2</f>
        <v>-60</v>
      </c>
      <c r="L198" s="111"/>
      <c r="M198" s="113">
        <f t="shared" ref="M198:M261" si="17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1">
        <v>194</v>
      </c>
      <c r="I199" s="112" t="str">
        <f t="shared" si="14"/>
        <v/>
      </c>
      <c r="J199" s="111">
        <f t="shared" si="15"/>
        <v>-6</v>
      </c>
      <c r="K199" s="111">
        <f t="shared" si="16"/>
        <v>-60</v>
      </c>
      <c r="L199" s="111"/>
      <c r="M199" s="113">
        <f t="shared" si="17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4"/>
        <v/>
      </c>
      <c r="J200" s="111">
        <f t="shared" si="15"/>
        <v>-6</v>
      </c>
      <c r="K200" s="111">
        <f t="shared" si="16"/>
        <v>-60</v>
      </c>
      <c r="L200" s="111"/>
      <c r="M200" s="113">
        <f t="shared" si="17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1">
        <v>196</v>
      </c>
      <c r="I201" s="112" t="str">
        <f t="shared" si="14"/>
        <v/>
      </c>
      <c r="J201" s="111">
        <f t="shared" si="15"/>
        <v>-6</v>
      </c>
      <c r="K201" s="111">
        <f t="shared" si="16"/>
        <v>-60</v>
      </c>
      <c r="L201" s="111"/>
      <c r="M201" s="113">
        <f t="shared" si="17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4"/>
        <v/>
      </c>
      <c r="J202" s="111">
        <f t="shared" si="15"/>
        <v>-6</v>
      </c>
      <c r="K202" s="111">
        <f t="shared" si="16"/>
        <v>-60</v>
      </c>
      <c r="L202" s="111"/>
      <c r="M202" s="113">
        <f t="shared" si="17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1">
        <v>198</v>
      </c>
      <c r="I203" s="112" t="str">
        <f t="shared" si="14"/>
        <v/>
      </c>
      <c r="J203" s="111">
        <f t="shared" si="15"/>
        <v>-6</v>
      </c>
      <c r="K203" s="111">
        <f t="shared" si="16"/>
        <v>-60</v>
      </c>
      <c r="L203" s="111"/>
      <c r="M203" s="113">
        <f t="shared" si="17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4"/>
        <v/>
      </c>
      <c r="J204" s="111">
        <f t="shared" si="15"/>
        <v>-6</v>
      </c>
      <c r="K204" s="111">
        <f t="shared" si="16"/>
        <v>-60</v>
      </c>
      <c r="L204" s="111"/>
      <c r="M204" s="113">
        <f t="shared" si="17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1">
        <v>200</v>
      </c>
      <c r="I205" s="112" t="str">
        <f t="shared" si="14"/>
        <v/>
      </c>
      <c r="J205" s="111">
        <f t="shared" si="15"/>
        <v>-6</v>
      </c>
      <c r="K205" s="111">
        <f t="shared" si="16"/>
        <v>-60</v>
      </c>
      <c r="L205" s="111"/>
      <c r="M205" s="113">
        <f t="shared" si="17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4"/>
        <v/>
      </c>
      <c r="J206" s="111">
        <f t="shared" si="15"/>
        <v>-6</v>
      </c>
      <c r="K206" s="111">
        <f t="shared" si="16"/>
        <v>-60</v>
      </c>
      <c r="L206" s="111"/>
      <c r="M206" s="113">
        <f t="shared" si="17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1">
        <v>202</v>
      </c>
      <c r="I207" s="112" t="str">
        <f t="shared" si="14"/>
        <v/>
      </c>
      <c r="J207" s="111">
        <f t="shared" si="15"/>
        <v>-6</v>
      </c>
      <c r="K207" s="111">
        <f t="shared" si="16"/>
        <v>-60</v>
      </c>
      <c r="L207" s="111"/>
      <c r="M207" s="113">
        <f t="shared" si="17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4"/>
        <v/>
      </c>
      <c r="J208" s="111">
        <f t="shared" si="15"/>
        <v>-6</v>
      </c>
      <c r="K208" s="111">
        <f t="shared" si="16"/>
        <v>-60</v>
      </c>
      <c r="L208" s="111"/>
      <c r="M208" s="113">
        <f t="shared" si="17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1">
        <v>204</v>
      </c>
      <c r="I209" s="112" t="str">
        <f t="shared" si="14"/>
        <v/>
      </c>
      <c r="J209" s="111">
        <f t="shared" si="15"/>
        <v>-6</v>
      </c>
      <c r="K209" s="111">
        <f t="shared" si="16"/>
        <v>-60</v>
      </c>
      <c r="L209" s="111"/>
      <c r="M209" s="113">
        <f t="shared" si="17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4"/>
        <v/>
      </c>
      <c r="J210" s="111">
        <f t="shared" si="15"/>
        <v>-6</v>
      </c>
      <c r="K210" s="111">
        <f t="shared" si="16"/>
        <v>-60</v>
      </c>
      <c r="L210" s="111"/>
      <c r="M210" s="113">
        <f t="shared" si="17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1">
        <v>206</v>
      </c>
      <c r="I211" s="112" t="str">
        <f t="shared" si="14"/>
        <v/>
      </c>
      <c r="J211" s="111">
        <f t="shared" si="15"/>
        <v>-6</v>
      </c>
      <c r="K211" s="111">
        <f t="shared" si="16"/>
        <v>-60</v>
      </c>
      <c r="L211" s="111"/>
      <c r="M211" s="113">
        <f t="shared" si="17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4"/>
        <v/>
      </c>
      <c r="J212" s="111">
        <f t="shared" si="15"/>
        <v>-6</v>
      </c>
      <c r="K212" s="111">
        <f t="shared" si="16"/>
        <v>-60</v>
      </c>
      <c r="L212" s="111"/>
      <c r="M212" s="113">
        <f t="shared" si="17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1">
        <v>208</v>
      </c>
      <c r="I213" s="112" t="str">
        <f t="shared" si="14"/>
        <v/>
      </c>
      <c r="J213" s="111">
        <f t="shared" si="15"/>
        <v>-6</v>
      </c>
      <c r="K213" s="111">
        <f t="shared" si="16"/>
        <v>-60</v>
      </c>
      <c r="L213" s="111"/>
      <c r="M213" s="113">
        <f t="shared" si="17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4"/>
        <v/>
      </c>
      <c r="J214" s="111">
        <f t="shared" si="15"/>
        <v>-6</v>
      </c>
      <c r="K214" s="111">
        <f t="shared" si="16"/>
        <v>-60</v>
      </c>
      <c r="L214" s="111"/>
      <c r="M214" s="113">
        <f t="shared" si="17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1">
        <v>210</v>
      </c>
      <c r="I215" s="112" t="str">
        <f t="shared" si="14"/>
        <v/>
      </c>
      <c r="J215" s="111">
        <f t="shared" si="15"/>
        <v>-6</v>
      </c>
      <c r="K215" s="111">
        <f t="shared" si="16"/>
        <v>-60</v>
      </c>
      <c r="L215" s="111"/>
      <c r="M215" s="113">
        <f t="shared" si="17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4"/>
        <v/>
      </c>
      <c r="J216" s="111">
        <f t="shared" si="15"/>
        <v>-6</v>
      </c>
      <c r="K216" s="111">
        <f t="shared" si="16"/>
        <v>-60</v>
      </c>
      <c r="L216" s="111"/>
      <c r="M216" s="113">
        <f t="shared" si="17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1">
        <v>212</v>
      </c>
      <c r="I217" s="112" t="str">
        <f t="shared" si="14"/>
        <v/>
      </c>
      <c r="J217" s="111">
        <f t="shared" si="15"/>
        <v>-6</v>
      </c>
      <c r="K217" s="111">
        <f t="shared" si="16"/>
        <v>-60</v>
      </c>
      <c r="L217" s="111"/>
      <c r="M217" s="113">
        <f t="shared" si="17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4"/>
        <v/>
      </c>
      <c r="J218" s="111">
        <f t="shared" si="15"/>
        <v>-6</v>
      </c>
      <c r="K218" s="111">
        <f t="shared" si="16"/>
        <v>-60</v>
      </c>
      <c r="L218" s="111"/>
      <c r="M218" s="113">
        <f t="shared" si="17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1">
        <v>214</v>
      </c>
      <c r="I219" s="112" t="str">
        <f t="shared" si="14"/>
        <v/>
      </c>
      <c r="J219" s="111">
        <f t="shared" si="15"/>
        <v>-6</v>
      </c>
      <c r="K219" s="111">
        <f t="shared" si="16"/>
        <v>-60</v>
      </c>
      <c r="L219" s="111"/>
      <c r="M219" s="113">
        <f t="shared" si="17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4"/>
        <v/>
      </c>
      <c r="J220" s="111">
        <f t="shared" si="15"/>
        <v>-6</v>
      </c>
      <c r="K220" s="111">
        <f t="shared" si="16"/>
        <v>-60</v>
      </c>
      <c r="L220" s="111"/>
      <c r="M220" s="113">
        <f t="shared" si="17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1">
        <v>216</v>
      </c>
      <c r="I221" s="112" t="str">
        <f t="shared" si="14"/>
        <v/>
      </c>
      <c r="J221" s="111">
        <f t="shared" si="15"/>
        <v>-6</v>
      </c>
      <c r="K221" s="111">
        <f t="shared" si="16"/>
        <v>-60</v>
      </c>
      <c r="L221" s="111"/>
      <c r="M221" s="113">
        <f t="shared" si="17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4"/>
        <v/>
      </c>
      <c r="J222" s="111">
        <f t="shared" si="15"/>
        <v>-6</v>
      </c>
      <c r="K222" s="111">
        <f t="shared" si="16"/>
        <v>-60</v>
      </c>
      <c r="L222" s="111"/>
      <c r="M222" s="113">
        <f t="shared" si="17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1">
        <v>218</v>
      </c>
      <c r="I223" s="112" t="str">
        <f t="shared" si="14"/>
        <v/>
      </c>
      <c r="J223" s="111">
        <f t="shared" si="15"/>
        <v>-6</v>
      </c>
      <c r="K223" s="111">
        <f t="shared" si="16"/>
        <v>-60</v>
      </c>
      <c r="L223" s="111"/>
      <c r="M223" s="113">
        <f t="shared" si="17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4"/>
        <v/>
      </c>
      <c r="J224" s="111">
        <f t="shared" si="15"/>
        <v>-6</v>
      </c>
      <c r="K224" s="111">
        <f t="shared" si="16"/>
        <v>-60</v>
      </c>
      <c r="L224" s="111"/>
      <c r="M224" s="113">
        <f t="shared" si="17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1">
        <v>220</v>
      </c>
      <c r="I225" s="112" t="str">
        <f t="shared" si="14"/>
        <v/>
      </c>
      <c r="J225" s="111">
        <f t="shared" si="15"/>
        <v>-6</v>
      </c>
      <c r="K225" s="111">
        <f t="shared" si="16"/>
        <v>-60</v>
      </c>
      <c r="L225" s="111"/>
      <c r="M225" s="113">
        <f t="shared" si="17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4"/>
        <v/>
      </c>
      <c r="J226" s="111">
        <f t="shared" si="15"/>
        <v>-6</v>
      </c>
      <c r="K226" s="111">
        <f t="shared" si="16"/>
        <v>-60</v>
      </c>
      <c r="L226" s="111"/>
      <c r="M226" s="113">
        <f t="shared" si="17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1">
        <v>222</v>
      </c>
      <c r="I227" s="112" t="str">
        <f t="shared" si="14"/>
        <v/>
      </c>
      <c r="J227" s="111">
        <f t="shared" si="15"/>
        <v>-6</v>
      </c>
      <c r="K227" s="111">
        <f t="shared" si="16"/>
        <v>-60</v>
      </c>
      <c r="L227" s="111"/>
      <c r="M227" s="113">
        <f t="shared" si="17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4"/>
        <v/>
      </c>
      <c r="J228" s="111">
        <f t="shared" si="15"/>
        <v>-6</v>
      </c>
      <c r="K228" s="111">
        <f t="shared" si="16"/>
        <v>-60</v>
      </c>
      <c r="L228" s="111"/>
      <c r="M228" s="113">
        <f t="shared" si="17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1">
        <v>224</v>
      </c>
      <c r="I229" s="112" t="str">
        <f t="shared" si="14"/>
        <v/>
      </c>
      <c r="J229" s="111">
        <f t="shared" si="15"/>
        <v>-6</v>
      </c>
      <c r="K229" s="111">
        <f t="shared" si="16"/>
        <v>-60</v>
      </c>
      <c r="L229" s="111"/>
      <c r="M229" s="113">
        <f t="shared" si="17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4"/>
        <v/>
      </c>
      <c r="J230" s="111">
        <f t="shared" si="15"/>
        <v>-6</v>
      </c>
      <c r="K230" s="111">
        <f t="shared" si="16"/>
        <v>-60</v>
      </c>
      <c r="L230" s="111"/>
      <c r="M230" s="113">
        <f t="shared" si="17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1">
        <v>226</v>
      </c>
      <c r="I231" s="112" t="str">
        <f t="shared" si="14"/>
        <v/>
      </c>
      <c r="J231" s="111">
        <f t="shared" si="15"/>
        <v>-6</v>
      </c>
      <c r="K231" s="111">
        <f t="shared" si="16"/>
        <v>-60</v>
      </c>
      <c r="L231" s="111"/>
      <c r="M231" s="113">
        <f t="shared" si="17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4"/>
        <v/>
      </c>
      <c r="J232" s="111">
        <f t="shared" si="15"/>
        <v>-6</v>
      </c>
      <c r="K232" s="111">
        <f t="shared" si="16"/>
        <v>-60</v>
      </c>
      <c r="L232" s="111"/>
      <c r="M232" s="113">
        <f t="shared" si="17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1">
        <v>228</v>
      </c>
      <c r="I233" s="112" t="str">
        <f t="shared" si="14"/>
        <v/>
      </c>
      <c r="J233" s="111">
        <f t="shared" si="15"/>
        <v>-6</v>
      </c>
      <c r="K233" s="111">
        <f t="shared" si="16"/>
        <v>-60</v>
      </c>
      <c r="L233" s="111"/>
      <c r="M233" s="113">
        <f t="shared" si="17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4"/>
        <v/>
      </c>
      <c r="J234" s="111">
        <f t="shared" si="15"/>
        <v>-6</v>
      </c>
      <c r="K234" s="111">
        <f t="shared" si="16"/>
        <v>-60</v>
      </c>
      <c r="L234" s="111"/>
      <c r="M234" s="113">
        <f t="shared" si="17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1">
        <v>230</v>
      </c>
      <c r="I235" s="112" t="str">
        <f t="shared" si="14"/>
        <v/>
      </c>
      <c r="J235" s="111">
        <f t="shared" si="15"/>
        <v>-6</v>
      </c>
      <c r="K235" s="111">
        <f t="shared" si="16"/>
        <v>-60</v>
      </c>
      <c r="L235" s="111"/>
      <c r="M235" s="113">
        <f t="shared" si="17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4"/>
        <v/>
      </c>
      <c r="J236" s="111">
        <f t="shared" si="15"/>
        <v>-6</v>
      </c>
      <c r="K236" s="111">
        <f t="shared" si="16"/>
        <v>-60</v>
      </c>
      <c r="L236" s="111"/>
      <c r="M236" s="113">
        <f t="shared" si="17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1">
        <v>232</v>
      </c>
      <c r="I237" s="112" t="str">
        <f t="shared" si="14"/>
        <v/>
      </c>
      <c r="J237" s="111">
        <f t="shared" si="15"/>
        <v>-6</v>
      </c>
      <c r="K237" s="111">
        <f t="shared" si="16"/>
        <v>-60</v>
      </c>
      <c r="L237" s="111"/>
      <c r="M237" s="113">
        <f t="shared" si="17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4"/>
        <v/>
      </c>
      <c r="J238" s="111">
        <f t="shared" si="15"/>
        <v>-6</v>
      </c>
      <c r="K238" s="111">
        <f t="shared" si="16"/>
        <v>-60</v>
      </c>
      <c r="L238" s="111"/>
      <c r="M238" s="113">
        <f t="shared" si="17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1">
        <v>234</v>
      </c>
      <c r="I239" s="112" t="str">
        <f t="shared" si="14"/>
        <v/>
      </c>
      <c r="J239" s="111">
        <f t="shared" si="15"/>
        <v>-6</v>
      </c>
      <c r="K239" s="111">
        <f t="shared" si="16"/>
        <v>-60</v>
      </c>
      <c r="L239" s="111"/>
      <c r="M239" s="113">
        <f t="shared" si="17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4"/>
        <v/>
      </c>
      <c r="J240" s="111">
        <f t="shared" si="15"/>
        <v>-6</v>
      </c>
      <c r="K240" s="111">
        <f t="shared" si="16"/>
        <v>-60</v>
      </c>
      <c r="L240" s="111"/>
      <c r="M240" s="113">
        <f t="shared" si="17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1">
        <v>236</v>
      </c>
      <c r="I241" s="112" t="str">
        <f t="shared" si="14"/>
        <v/>
      </c>
      <c r="J241" s="111">
        <f t="shared" si="15"/>
        <v>-6</v>
      </c>
      <c r="K241" s="111">
        <f t="shared" si="16"/>
        <v>-60</v>
      </c>
      <c r="L241" s="111"/>
      <c r="M241" s="113">
        <f t="shared" si="17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4"/>
        <v/>
      </c>
      <c r="J242" s="111">
        <f t="shared" si="15"/>
        <v>-6</v>
      </c>
      <c r="K242" s="111">
        <f t="shared" si="16"/>
        <v>-60</v>
      </c>
      <c r="L242" s="111"/>
      <c r="M242" s="113">
        <f t="shared" si="17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1">
        <v>238</v>
      </c>
      <c r="I243" s="112" t="str">
        <f t="shared" si="14"/>
        <v/>
      </c>
      <c r="J243" s="111">
        <f t="shared" si="15"/>
        <v>-6</v>
      </c>
      <c r="K243" s="111">
        <f t="shared" si="16"/>
        <v>-60</v>
      </c>
      <c r="L243" s="111"/>
      <c r="M243" s="113">
        <f t="shared" si="17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4"/>
        <v/>
      </c>
      <c r="J244" s="111">
        <f t="shared" si="15"/>
        <v>-6</v>
      </c>
      <c r="K244" s="111">
        <f t="shared" si="16"/>
        <v>-60</v>
      </c>
      <c r="L244" s="111"/>
      <c r="M244" s="113">
        <f t="shared" si="17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1">
        <v>240</v>
      </c>
      <c r="I245" s="112" t="str">
        <f t="shared" si="14"/>
        <v/>
      </c>
      <c r="J245" s="111">
        <f t="shared" si="15"/>
        <v>-6</v>
      </c>
      <c r="K245" s="111">
        <f t="shared" si="16"/>
        <v>-60</v>
      </c>
      <c r="L245" s="111"/>
      <c r="M245" s="113">
        <f t="shared" si="17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4"/>
        <v/>
      </c>
      <c r="J246" s="111">
        <f t="shared" si="15"/>
        <v>-6</v>
      </c>
      <c r="K246" s="111">
        <f t="shared" si="16"/>
        <v>-60</v>
      </c>
      <c r="L246" s="111"/>
      <c r="M246" s="113">
        <f t="shared" si="17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1">
        <v>242</v>
      </c>
      <c r="I247" s="112" t="str">
        <f t="shared" si="14"/>
        <v/>
      </c>
      <c r="J247" s="111">
        <f t="shared" si="15"/>
        <v>-6</v>
      </c>
      <c r="K247" s="111">
        <f t="shared" si="16"/>
        <v>-60</v>
      </c>
      <c r="L247" s="111"/>
      <c r="M247" s="113">
        <f t="shared" si="17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4"/>
        <v/>
      </c>
      <c r="J248" s="111">
        <f t="shared" si="15"/>
        <v>-6</v>
      </c>
      <c r="K248" s="111">
        <f t="shared" si="16"/>
        <v>-60</v>
      </c>
      <c r="L248" s="111"/>
      <c r="M248" s="113">
        <f t="shared" si="17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1">
        <v>244</v>
      </c>
      <c r="I249" s="112" t="str">
        <f t="shared" si="14"/>
        <v/>
      </c>
      <c r="J249" s="111">
        <f t="shared" si="15"/>
        <v>-6</v>
      </c>
      <c r="K249" s="111">
        <f t="shared" si="16"/>
        <v>-60</v>
      </c>
      <c r="L249" s="111"/>
      <c r="M249" s="113">
        <f t="shared" si="17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4"/>
        <v/>
      </c>
      <c r="J250" s="111">
        <f t="shared" si="15"/>
        <v>-6</v>
      </c>
      <c r="K250" s="111">
        <f t="shared" si="16"/>
        <v>-60</v>
      </c>
      <c r="L250" s="111"/>
      <c r="M250" s="113">
        <f t="shared" si="17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1">
        <v>246</v>
      </c>
      <c r="I251" s="112" t="str">
        <f t="shared" si="14"/>
        <v/>
      </c>
      <c r="J251" s="111">
        <f t="shared" si="15"/>
        <v>-6</v>
      </c>
      <c r="K251" s="111">
        <f t="shared" si="16"/>
        <v>-60</v>
      </c>
      <c r="L251" s="111"/>
      <c r="M251" s="113">
        <f t="shared" si="17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4"/>
        <v/>
      </c>
      <c r="J252" s="111">
        <f t="shared" si="15"/>
        <v>-6</v>
      </c>
      <c r="K252" s="111">
        <f t="shared" si="16"/>
        <v>-60</v>
      </c>
      <c r="L252" s="111"/>
      <c r="M252" s="113">
        <f t="shared" si="17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1">
        <v>248</v>
      </c>
      <c r="I253" s="112" t="str">
        <f t="shared" si="14"/>
        <v/>
      </c>
      <c r="J253" s="111">
        <f t="shared" si="15"/>
        <v>-6</v>
      </c>
      <c r="K253" s="111">
        <f t="shared" si="16"/>
        <v>-60</v>
      </c>
      <c r="L253" s="111"/>
      <c r="M253" s="113">
        <f t="shared" si="17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4"/>
        <v/>
      </c>
      <c r="J254" s="111">
        <f t="shared" si="15"/>
        <v>-6</v>
      </c>
      <c r="K254" s="111">
        <f t="shared" si="16"/>
        <v>-60</v>
      </c>
      <c r="L254" s="111"/>
      <c r="M254" s="113">
        <f t="shared" si="17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1">
        <v>250</v>
      </c>
      <c r="I255" s="112" t="str">
        <f t="shared" si="14"/>
        <v/>
      </c>
      <c r="J255" s="111">
        <f t="shared" si="15"/>
        <v>-6</v>
      </c>
      <c r="K255" s="111">
        <f t="shared" si="16"/>
        <v>-60</v>
      </c>
      <c r="L255" s="111"/>
      <c r="M255" s="113">
        <f t="shared" si="17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4"/>
        <v/>
      </c>
      <c r="J256" s="111">
        <f t="shared" si="15"/>
        <v>-6</v>
      </c>
      <c r="K256" s="111">
        <f t="shared" si="16"/>
        <v>-60</v>
      </c>
      <c r="L256" s="111"/>
      <c r="M256" s="113">
        <f t="shared" si="17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1">
        <v>252</v>
      </c>
      <c r="I257" s="112" t="str">
        <f t="shared" si="14"/>
        <v/>
      </c>
      <c r="J257" s="111">
        <f t="shared" si="15"/>
        <v>-6</v>
      </c>
      <c r="K257" s="111">
        <f t="shared" si="16"/>
        <v>-60</v>
      </c>
      <c r="L257" s="111"/>
      <c r="M257" s="113">
        <f t="shared" si="17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4"/>
        <v/>
      </c>
      <c r="J258" s="111">
        <f t="shared" si="15"/>
        <v>-6</v>
      </c>
      <c r="K258" s="111">
        <f t="shared" si="16"/>
        <v>-60</v>
      </c>
      <c r="L258" s="111"/>
      <c r="M258" s="113">
        <f t="shared" si="17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1">
        <v>254</v>
      </c>
      <c r="I259" s="112" t="str">
        <f t="shared" si="14"/>
        <v/>
      </c>
      <c r="J259" s="111">
        <f t="shared" si="15"/>
        <v>-6</v>
      </c>
      <c r="K259" s="111">
        <f t="shared" si="16"/>
        <v>-60</v>
      </c>
      <c r="L259" s="111"/>
      <c r="M259" s="113">
        <f t="shared" si="17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4"/>
        <v/>
      </c>
      <c r="J260" s="111">
        <f t="shared" si="15"/>
        <v>-6</v>
      </c>
      <c r="K260" s="111">
        <f t="shared" si="16"/>
        <v>-60</v>
      </c>
      <c r="L260" s="111"/>
      <c r="M260" s="113">
        <f t="shared" si="17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1">
        <v>256</v>
      </c>
      <c r="I261" s="112" t="str">
        <f t="shared" si="14"/>
        <v/>
      </c>
      <c r="J261" s="111">
        <f t="shared" si="15"/>
        <v>-6</v>
      </c>
      <c r="K261" s="111">
        <f t="shared" si="16"/>
        <v>-60</v>
      </c>
      <c r="L261" s="111"/>
      <c r="M261" s="113">
        <f t="shared" si="17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18">IF(H262&lt;$H$2+1,($I$2-($I$2-1)*(LOG(H262)/LOG($H$2))),"")</f>
        <v/>
      </c>
      <c r="J262" s="111">
        <f t="shared" ref="J262:J325" si="19">INT(LOG($H$2,2))-ROUNDUP(LOG(H262,2),0)+IF(OR($H$2=1,$H$2=2,$H$2=4,$H$2=8,$H$2=16,$H$2=32,$H$2=64,$H$2=128,$H$2=256),0,1)</f>
        <v>-7</v>
      </c>
      <c r="K262" s="111">
        <f t="shared" ref="K262:K305" si="20">J262*$J$2</f>
        <v>-70</v>
      </c>
      <c r="L262" s="111"/>
      <c r="M262" s="113">
        <f t="shared" ref="M262:M305" si="21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1">
        <v>258</v>
      </c>
      <c r="I263" s="112" t="str">
        <f t="shared" si="18"/>
        <v/>
      </c>
      <c r="J263" s="111">
        <f t="shared" si="19"/>
        <v>-7</v>
      </c>
      <c r="K263" s="111">
        <f t="shared" si="20"/>
        <v>-70</v>
      </c>
      <c r="L263" s="111"/>
      <c r="M263" s="113">
        <f t="shared" si="21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18"/>
        <v/>
      </c>
      <c r="J264" s="111">
        <f t="shared" si="19"/>
        <v>-7</v>
      </c>
      <c r="K264" s="111">
        <f t="shared" si="20"/>
        <v>-70</v>
      </c>
      <c r="L264" s="111"/>
      <c r="M264" s="113">
        <f t="shared" si="21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1">
        <v>260</v>
      </c>
      <c r="I265" s="112" t="str">
        <f t="shared" si="18"/>
        <v/>
      </c>
      <c r="J265" s="111">
        <f t="shared" si="19"/>
        <v>-7</v>
      </c>
      <c r="K265" s="111">
        <f t="shared" si="20"/>
        <v>-70</v>
      </c>
      <c r="L265" s="111"/>
      <c r="M265" s="113">
        <f t="shared" si="21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18"/>
        <v/>
      </c>
      <c r="J266" s="111">
        <f t="shared" si="19"/>
        <v>-7</v>
      </c>
      <c r="K266" s="111">
        <f t="shared" si="20"/>
        <v>-70</v>
      </c>
      <c r="L266" s="111"/>
      <c r="M266" s="113">
        <f t="shared" si="21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1">
        <v>262</v>
      </c>
      <c r="I267" s="112" t="str">
        <f t="shared" si="18"/>
        <v/>
      </c>
      <c r="J267" s="111">
        <f t="shared" si="19"/>
        <v>-7</v>
      </c>
      <c r="K267" s="111">
        <f t="shared" si="20"/>
        <v>-70</v>
      </c>
      <c r="L267" s="111"/>
      <c r="M267" s="113">
        <f t="shared" si="21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18"/>
        <v/>
      </c>
      <c r="J268" s="111">
        <f t="shared" si="19"/>
        <v>-7</v>
      </c>
      <c r="K268" s="111">
        <f t="shared" si="20"/>
        <v>-70</v>
      </c>
      <c r="L268" s="111"/>
      <c r="M268" s="113">
        <f t="shared" si="21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1">
        <v>264</v>
      </c>
      <c r="I269" s="112" t="str">
        <f t="shared" si="18"/>
        <v/>
      </c>
      <c r="J269" s="111">
        <f t="shared" si="19"/>
        <v>-7</v>
      </c>
      <c r="K269" s="111">
        <f t="shared" si="20"/>
        <v>-70</v>
      </c>
      <c r="L269" s="111"/>
      <c r="M269" s="113">
        <f t="shared" si="21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18"/>
        <v/>
      </c>
      <c r="J270" s="111">
        <f t="shared" si="19"/>
        <v>-7</v>
      </c>
      <c r="K270" s="111">
        <f t="shared" si="20"/>
        <v>-70</v>
      </c>
      <c r="L270" s="111"/>
      <c r="M270" s="113">
        <f t="shared" si="21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1">
        <v>266</v>
      </c>
      <c r="I271" s="112" t="str">
        <f t="shared" si="18"/>
        <v/>
      </c>
      <c r="J271" s="111">
        <f t="shared" si="19"/>
        <v>-7</v>
      </c>
      <c r="K271" s="111">
        <f t="shared" si="20"/>
        <v>-70</v>
      </c>
      <c r="L271" s="111"/>
      <c r="M271" s="113">
        <f t="shared" si="21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18"/>
        <v/>
      </c>
      <c r="J272" s="111">
        <f t="shared" si="19"/>
        <v>-7</v>
      </c>
      <c r="K272" s="111">
        <f t="shared" si="20"/>
        <v>-70</v>
      </c>
      <c r="L272" s="111"/>
      <c r="M272" s="113">
        <f t="shared" si="21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1">
        <v>268</v>
      </c>
      <c r="I273" s="112" t="str">
        <f t="shared" si="18"/>
        <v/>
      </c>
      <c r="J273" s="111">
        <f t="shared" si="19"/>
        <v>-7</v>
      </c>
      <c r="K273" s="111">
        <f t="shared" si="20"/>
        <v>-70</v>
      </c>
      <c r="L273" s="111"/>
      <c r="M273" s="113">
        <f t="shared" si="21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18"/>
        <v/>
      </c>
      <c r="J274" s="111">
        <f t="shared" si="19"/>
        <v>-7</v>
      </c>
      <c r="K274" s="111">
        <f t="shared" si="20"/>
        <v>-70</v>
      </c>
      <c r="L274" s="111"/>
      <c r="M274" s="113">
        <f t="shared" si="21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1">
        <v>270</v>
      </c>
      <c r="I275" s="112" t="str">
        <f t="shared" si="18"/>
        <v/>
      </c>
      <c r="J275" s="111">
        <f t="shared" si="19"/>
        <v>-7</v>
      </c>
      <c r="K275" s="111">
        <f t="shared" si="20"/>
        <v>-70</v>
      </c>
      <c r="L275" s="111"/>
      <c r="M275" s="113">
        <f t="shared" si="21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18"/>
        <v/>
      </c>
      <c r="J276" s="111">
        <f t="shared" si="19"/>
        <v>-7</v>
      </c>
      <c r="K276" s="111">
        <f t="shared" si="20"/>
        <v>-70</v>
      </c>
      <c r="L276" s="111"/>
      <c r="M276" s="113">
        <f t="shared" si="21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1">
        <v>272</v>
      </c>
      <c r="I277" s="112" t="str">
        <f t="shared" si="18"/>
        <v/>
      </c>
      <c r="J277" s="111">
        <f t="shared" si="19"/>
        <v>-7</v>
      </c>
      <c r="K277" s="111">
        <f t="shared" si="20"/>
        <v>-70</v>
      </c>
      <c r="L277" s="111"/>
      <c r="M277" s="113">
        <f t="shared" si="21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18"/>
        <v/>
      </c>
      <c r="J278" s="111">
        <f t="shared" si="19"/>
        <v>-7</v>
      </c>
      <c r="K278" s="111">
        <f t="shared" si="20"/>
        <v>-70</v>
      </c>
      <c r="L278" s="111"/>
      <c r="M278" s="113">
        <f t="shared" si="21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1">
        <v>274</v>
      </c>
      <c r="I279" s="112" t="str">
        <f t="shared" si="18"/>
        <v/>
      </c>
      <c r="J279" s="111">
        <f t="shared" si="19"/>
        <v>-7</v>
      </c>
      <c r="K279" s="111">
        <f t="shared" si="20"/>
        <v>-70</v>
      </c>
      <c r="L279" s="111"/>
      <c r="M279" s="113">
        <f t="shared" si="21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18"/>
        <v/>
      </c>
      <c r="J280" s="111">
        <f t="shared" si="19"/>
        <v>-7</v>
      </c>
      <c r="K280" s="111">
        <f t="shared" si="20"/>
        <v>-70</v>
      </c>
      <c r="L280" s="111"/>
      <c r="M280" s="113">
        <f t="shared" si="21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1">
        <v>276</v>
      </c>
      <c r="I281" s="112" t="str">
        <f t="shared" si="18"/>
        <v/>
      </c>
      <c r="J281" s="111">
        <f t="shared" si="19"/>
        <v>-7</v>
      </c>
      <c r="K281" s="111">
        <f t="shared" si="20"/>
        <v>-70</v>
      </c>
      <c r="L281" s="111"/>
      <c r="M281" s="113">
        <f t="shared" si="21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18"/>
        <v/>
      </c>
      <c r="J282" s="111">
        <f t="shared" si="19"/>
        <v>-7</v>
      </c>
      <c r="K282" s="111">
        <f t="shared" si="20"/>
        <v>-70</v>
      </c>
      <c r="L282" s="111"/>
      <c r="M282" s="113">
        <f t="shared" si="21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1">
        <v>278</v>
      </c>
      <c r="I283" s="112" t="str">
        <f t="shared" si="18"/>
        <v/>
      </c>
      <c r="J283" s="111">
        <f t="shared" si="19"/>
        <v>-7</v>
      </c>
      <c r="K283" s="111">
        <f t="shared" si="20"/>
        <v>-70</v>
      </c>
      <c r="L283" s="111"/>
      <c r="M283" s="113">
        <f t="shared" si="21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18"/>
        <v/>
      </c>
      <c r="J284" s="111">
        <f t="shared" si="19"/>
        <v>-7</v>
      </c>
      <c r="K284" s="111">
        <f t="shared" si="20"/>
        <v>-70</v>
      </c>
      <c r="L284" s="111"/>
      <c r="M284" s="113">
        <f t="shared" si="21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1">
        <v>280</v>
      </c>
      <c r="I285" s="112" t="str">
        <f t="shared" si="18"/>
        <v/>
      </c>
      <c r="J285" s="111">
        <f t="shared" si="19"/>
        <v>-7</v>
      </c>
      <c r="K285" s="111">
        <f t="shared" si="20"/>
        <v>-70</v>
      </c>
      <c r="L285" s="111"/>
      <c r="M285" s="113">
        <f t="shared" si="21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18"/>
        <v/>
      </c>
      <c r="J286" s="111">
        <f t="shared" si="19"/>
        <v>-7</v>
      </c>
      <c r="K286" s="111">
        <f t="shared" si="20"/>
        <v>-70</v>
      </c>
      <c r="L286" s="111"/>
      <c r="M286" s="113">
        <f t="shared" si="21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1">
        <v>282</v>
      </c>
      <c r="I287" s="112" t="str">
        <f t="shared" si="18"/>
        <v/>
      </c>
      <c r="J287" s="111">
        <f t="shared" si="19"/>
        <v>-7</v>
      </c>
      <c r="K287" s="111">
        <f t="shared" si="20"/>
        <v>-70</v>
      </c>
      <c r="L287" s="111"/>
      <c r="M287" s="113">
        <f t="shared" si="21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18"/>
        <v/>
      </c>
      <c r="J288" s="111">
        <f t="shared" si="19"/>
        <v>-7</v>
      </c>
      <c r="K288" s="111">
        <f t="shared" si="20"/>
        <v>-70</v>
      </c>
      <c r="L288" s="111"/>
      <c r="M288" s="113">
        <f t="shared" si="21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1">
        <v>284</v>
      </c>
      <c r="I289" s="112" t="str">
        <f t="shared" si="18"/>
        <v/>
      </c>
      <c r="J289" s="111">
        <f t="shared" si="19"/>
        <v>-7</v>
      </c>
      <c r="K289" s="111">
        <f t="shared" si="20"/>
        <v>-70</v>
      </c>
      <c r="L289" s="111"/>
      <c r="M289" s="113">
        <f t="shared" si="21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18"/>
        <v/>
      </c>
      <c r="J290" s="111">
        <f t="shared" si="19"/>
        <v>-7</v>
      </c>
      <c r="K290" s="111">
        <f t="shared" si="20"/>
        <v>-70</v>
      </c>
      <c r="L290" s="111"/>
      <c r="M290" s="113">
        <f t="shared" si="21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1">
        <v>286</v>
      </c>
      <c r="I291" s="112" t="str">
        <f t="shared" si="18"/>
        <v/>
      </c>
      <c r="J291" s="111">
        <f t="shared" si="19"/>
        <v>-7</v>
      </c>
      <c r="K291" s="111">
        <f t="shared" si="20"/>
        <v>-70</v>
      </c>
      <c r="L291" s="111"/>
      <c r="M291" s="113">
        <f t="shared" si="21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18"/>
        <v/>
      </c>
      <c r="J292" s="111">
        <f t="shared" si="19"/>
        <v>-7</v>
      </c>
      <c r="K292" s="111">
        <f t="shared" si="20"/>
        <v>-70</v>
      </c>
      <c r="L292" s="111"/>
      <c r="M292" s="113">
        <f t="shared" si="21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18"/>
        <v/>
      </c>
      <c r="J293" s="111">
        <f t="shared" si="19"/>
        <v>-7</v>
      </c>
      <c r="K293" s="111">
        <f t="shared" si="20"/>
        <v>-70</v>
      </c>
      <c r="L293" s="111"/>
      <c r="M293" s="113">
        <f t="shared" si="21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18"/>
        <v/>
      </c>
      <c r="J294" s="111">
        <f t="shared" si="19"/>
        <v>-7</v>
      </c>
      <c r="K294" s="111">
        <f t="shared" si="20"/>
        <v>-70</v>
      </c>
      <c r="L294" s="111"/>
      <c r="M294" s="113">
        <f t="shared" si="21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18"/>
        <v/>
      </c>
      <c r="J295" s="111">
        <f t="shared" si="19"/>
        <v>-7</v>
      </c>
      <c r="K295" s="111">
        <f t="shared" si="20"/>
        <v>-70</v>
      </c>
      <c r="L295" s="111"/>
      <c r="M295" s="113">
        <f t="shared" si="21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18"/>
        <v/>
      </c>
      <c r="J296" s="111">
        <f t="shared" si="19"/>
        <v>-7</v>
      </c>
      <c r="K296" s="111">
        <f t="shared" si="20"/>
        <v>-70</v>
      </c>
      <c r="L296" s="111"/>
      <c r="M296" s="113">
        <f t="shared" si="21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18"/>
        <v/>
      </c>
      <c r="J297" s="111">
        <f t="shared" si="19"/>
        <v>-7</v>
      </c>
      <c r="K297" s="111">
        <f t="shared" si="20"/>
        <v>-70</v>
      </c>
      <c r="L297" s="111"/>
      <c r="M297" s="113">
        <f t="shared" si="21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18"/>
        <v/>
      </c>
      <c r="J298" s="111">
        <f t="shared" si="19"/>
        <v>-7</v>
      </c>
      <c r="K298" s="111">
        <f t="shared" si="20"/>
        <v>-70</v>
      </c>
      <c r="L298" s="111"/>
      <c r="M298" s="113">
        <f t="shared" si="21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18"/>
        <v/>
      </c>
      <c r="J299" s="111">
        <f t="shared" si="19"/>
        <v>-7</v>
      </c>
      <c r="K299" s="111">
        <f t="shared" si="20"/>
        <v>-70</v>
      </c>
      <c r="L299" s="111"/>
      <c r="M299" s="113">
        <f t="shared" si="21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18"/>
        <v/>
      </c>
      <c r="J300" s="111">
        <f t="shared" si="19"/>
        <v>-7</v>
      </c>
      <c r="K300" s="111">
        <f t="shared" si="20"/>
        <v>-70</v>
      </c>
      <c r="L300" s="111"/>
      <c r="M300" s="113">
        <f t="shared" si="21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18"/>
        <v/>
      </c>
      <c r="J301" s="111">
        <f t="shared" si="19"/>
        <v>-7</v>
      </c>
      <c r="K301" s="111">
        <f t="shared" si="20"/>
        <v>-70</v>
      </c>
      <c r="L301" s="111"/>
      <c r="M301" s="113">
        <f t="shared" si="21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18"/>
        <v/>
      </c>
      <c r="J302" s="111">
        <f t="shared" si="19"/>
        <v>-7</v>
      </c>
      <c r="K302" s="111">
        <f t="shared" si="20"/>
        <v>-70</v>
      </c>
      <c r="L302" s="111"/>
      <c r="M302" s="113">
        <f t="shared" si="21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18"/>
        <v/>
      </c>
      <c r="J303" s="111">
        <f t="shared" si="19"/>
        <v>-7</v>
      </c>
      <c r="K303" s="111">
        <f t="shared" si="20"/>
        <v>-70</v>
      </c>
      <c r="L303" s="111"/>
      <c r="M303" s="113">
        <f t="shared" si="21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18"/>
        <v/>
      </c>
      <c r="J304" s="111">
        <f t="shared" si="19"/>
        <v>-7</v>
      </c>
      <c r="K304" s="111">
        <f t="shared" si="20"/>
        <v>-70</v>
      </c>
      <c r="L304" s="111"/>
      <c r="M304" s="113">
        <f t="shared" si="21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18"/>
        <v/>
      </c>
      <c r="J305" s="111">
        <f t="shared" si="19"/>
        <v>-7</v>
      </c>
      <c r="K305" s="111">
        <f t="shared" si="20"/>
        <v>-70</v>
      </c>
      <c r="L305" s="111"/>
      <c r="M305" s="113">
        <f t="shared" si="21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 t="e">
        <f t="shared" si="19"/>
        <v>#NUM!</v>
      </c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07" spans="1:38" s="96" customFormat="1">
      <c r="A307" s="131"/>
      <c r="B307" s="131"/>
      <c r="C307" s="131"/>
      <c r="D307" s="131"/>
      <c r="E307" s="131"/>
      <c r="F307" s="131"/>
      <c r="G307" s="131"/>
      <c r="H307" s="134"/>
      <c r="I307" s="134"/>
      <c r="J307" s="134" t="e">
        <f t="shared" si="19"/>
        <v>#NUM!</v>
      </c>
      <c r="K307" s="134"/>
      <c r="L307" s="134"/>
      <c r="M307" s="135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</row>
    <row r="308" spans="1:38" s="96" customFormat="1">
      <c r="A308" s="131"/>
      <c r="B308" s="131"/>
      <c r="C308" s="131"/>
      <c r="D308" s="131"/>
      <c r="E308" s="131"/>
      <c r="F308" s="131"/>
      <c r="G308" s="131"/>
      <c r="H308" s="134"/>
      <c r="I308" s="134"/>
      <c r="J308" s="134" t="e">
        <f t="shared" si="19"/>
        <v>#NUM!</v>
      </c>
      <c r="K308" s="134"/>
      <c r="L308" s="134"/>
      <c r="M308" s="135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</row>
    <row r="309" spans="1:38" s="96" customFormat="1">
      <c r="A309" s="131"/>
      <c r="B309" s="131"/>
      <c r="C309" s="131"/>
      <c r="D309" s="131"/>
      <c r="E309" s="131"/>
      <c r="F309" s="131"/>
      <c r="G309" s="131"/>
      <c r="H309" s="134"/>
      <c r="I309" s="134"/>
      <c r="J309" s="134" t="e">
        <f t="shared" si="19"/>
        <v>#NUM!</v>
      </c>
      <c r="K309" s="134"/>
      <c r="L309" s="134"/>
      <c r="M309" s="135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</row>
    <row r="310" spans="1:38" s="96" customFormat="1">
      <c r="A310" s="131"/>
      <c r="B310" s="131"/>
      <c r="C310" s="131"/>
      <c r="D310" s="131"/>
      <c r="E310" s="131"/>
      <c r="F310" s="131"/>
      <c r="G310" s="131"/>
      <c r="H310" s="134"/>
      <c r="I310" s="134"/>
      <c r="J310" s="134" t="e">
        <f t="shared" si="19"/>
        <v>#NUM!</v>
      </c>
      <c r="K310" s="134"/>
      <c r="L310" s="134"/>
      <c r="M310" s="135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</row>
    <row r="311" spans="1:38" s="96" customFormat="1">
      <c r="A311" s="131"/>
      <c r="B311" s="131"/>
      <c r="C311" s="131"/>
      <c r="D311" s="131"/>
      <c r="E311" s="131"/>
      <c r="F311" s="131"/>
      <c r="G311" s="131"/>
      <c r="H311" s="134"/>
      <c r="I311" s="134"/>
      <c r="J311" s="134" t="e">
        <f t="shared" si="19"/>
        <v>#NUM!</v>
      </c>
      <c r="K311" s="134"/>
      <c r="L311" s="134"/>
      <c r="M311" s="135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</row>
    <row r="312" spans="1:38" s="96" customFormat="1">
      <c r="A312" s="131"/>
      <c r="B312" s="131"/>
      <c r="C312" s="131"/>
      <c r="D312" s="131"/>
      <c r="E312" s="131"/>
      <c r="F312" s="131"/>
      <c r="G312" s="131"/>
      <c r="H312" s="134"/>
      <c r="I312" s="134"/>
      <c r="J312" s="134" t="e">
        <f t="shared" si="19"/>
        <v>#NUM!</v>
      </c>
      <c r="K312" s="134"/>
      <c r="L312" s="134"/>
      <c r="M312" s="135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</row>
    <row r="313" spans="1:38" s="96" customFormat="1">
      <c r="A313" s="131"/>
      <c r="B313" s="131"/>
      <c r="C313" s="131"/>
      <c r="D313" s="131"/>
      <c r="E313" s="131"/>
      <c r="F313" s="131"/>
      <c r="G313" s="131"/>
      <c r="H313" s="134"/>
      <c r="I313" s="134"/>
      <c r="J313" s="134" t="e">
        <f t="shared" si="19"/>
        <v>#NUM!</v>
      </c>
      <c r="K313" s="134"/>
      <c r="L313" s="134"/>
      <c r="M313" s="135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 t="e">
        <f t="shared" si="19"/>
        <v>#NUM!</v>
      </c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 t="e">
        <f t="shared" si="19"/>
        <v>#NUM!</v>
      </c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 t="e">
        <f t="shared" si="19"/>
        <v>#NUM!</v>
      </c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 t="e">
        <f t="shared" si="19"/>
        <v>#NUM!</v>
      </c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  <row r="318" spans="1:38" s="96" customFormat="1">
      <c r="A318" s="131"/>
      <c r="B318" s="131"/>
      <c r="C318" s="131"/>
      <c r="D318" s="131"/>
      <c r="E318" s="131"/>
      <c r="F318" s="131"/>
      <c r="G318" s="131"/>
      <c r="H318" s="134"/>
      <c r="I318" s="134"/>
      <c r="J318" s="134" t="e">
        <f t="shared" si="19"/>
        <v>#NUM!</v>
      </c>
      <c r="K318" s="134"/>
      <c r="L318" s="134"/>
      <c r="M318" s="135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</row>
    <row r="319" spans="1:38" s="96" customFormat="1">
      <c r="A319" s="131"/>
      <c r="B319" s="131"/>
      <c r="C319" s="131"/>
      <c r="D319" s="131"/>
      <c r="E319" s="131"/>
      <c r="F319" s="131"/>
      <c r="G319" s="131"/>
      <c r="H319" s="134"/>
      <c r="I319" s="134"/>
      <c r="J319" s="134" t="e">
        <f t="shared" si="19"/>
        <v>#NUM!</v>
      </c>
      <c r="K319" s="134"/>
      <c r="L319" s="134"/>
      <c r="M319" s="135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</row>
    <row r="320" spans="1:38" s="96" customFormat="1">
      <c r="A320" s="131"/>
      <c r="B320" s="131"/>
      <c r="C320" s="131"/>
      <c r="D320" s="131"/>
      <c r="E320" s="131"/>
      <c r="F320" s="131"/>
      <c r="G320" s="131"/>
      <c r="H320" s="134"/>
      <c r="I320" s="134"/>
      <c r="J320" s="134" t="e">
        <f t="shared" si="19"/>
        <v>#NUM!</v>
      </c>
      <c r="K320" s="134"/>
      <c r="L320" s="134"/>
      <c r="M320" s="135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</row>
    <row r="321" spans="10:38" s="134" customFormat="1">
      <c r="J321" s="134" t="e">
        <f t="shared" si="19"/>
        <v>#NUM!</v>
      </c>
      <c r="M321" s="135"/>
      <c r="N321" s="96"/>
      <c r="O321" s="96"/>
      <c r="P321" s="96"/>
      <c r="Q321" s="96"/>
      <c r="R321" s="96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</row>
    <row r="322" spans="10:38" s="134" customFormat="1">
      <c r="J322" s="134" t="e">
        <f t="shared" si="19"/>
        <v>#NUM!</v>
      </c>
      <c r="M322" s="135"/>
      <c r="N322" s="96"/>
      <c r="O322" s="96"/>
      <c r="P322" s="96"/>
      <c r="Q322" s="96"/>
      <c r="R322" s="96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</row>
    <row r="323" spans="10:38" s="134" customFormat="1">
      <c r="J323" s="134" t="e">
        <f t="shared" si="19"/>
        <v>#NUM!</v>
      </c>
      <c r="M323" s="135"/>
      <c r="N323" s="96"/>
      <c r="O323" s="96"/>
      <c r="P323" s="96"/>
      <c r="Q323" s="96"/>
      <c r="R323" s="96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</row>
    <row r="324" spans="10:38" s="134" customFormat="1">
      <c r="J324" s="134" t="e">
        <f t="shared" si="19"/>
        <v>#NUM!</v>
      </c>
      <c r="M324" s="135"/>
      <c r="N324" s="96"/>
      <c r="O324" s="96"/>
      <c r="P324" s="96"/>
      <c r="Q324" s="96"/>
      <c r="R324" s="96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</row>
    <row r="325" spans="10:38" s="134" customFormat="1">
      <c r="J325" s="134" t="e">
        <f t="shared" si="19"/>
        <v>#NUM!</v>
      </c>
      <c r="M325" s="135"/>
      <c r="N325" s="96"/>
      <c r="O325" s="96"/>
      <c r="P325" s="96"/>
      <c r="Q325" s="96"/>
      <c r="R325" s="96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</row>
    <row r="326" spans="10:38" s="134" customFormat="1">
      <c r="J326" s="134" t="e">
        <f t="shared" ref="J326:J374" si="22">INT(LOG($H$2,2))-ROUNDUP(LOG(H326,2),0)+IF(OR($H$2=1,$H$2=2,$H$2=4,$H$2=8,$H$2=16,$H$2=32,$H$2=64,$H$2=128,$H$2=256),0,1)</f>
        <v>#NUM!</v>
      </c>
      <c r="M326" s="135"/>
      <c r="N326" s="96"/>
      <c r="O326" s="96"/>
      <c r="P326" s="96"/>
      <c r="Q326" s="96"/>
      <c r="R326" s="96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</row>
    <row r="327" spans="10:38" s="134" customFormat="1">
      <c r="J327" s="134" t="e">
        <f t="shared" si="22"/>
        <v>#NUM!</v>
      </c>
      <c r="M327" s="135"/>
      <c r="N327" s="96"/>
      <c r="O327" s="96"/>
      <c r="P327" s="96"/>
      <c r="Q327" s="96"/>
      <c r="R327" s="96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</row>
    <row r="328" spans="10:38" s="134" customFormat="1">
      <c r="J328" s="134" t="e">
        <f t="shared" si="22"/>
        <v>#NUM!</v>
      </c>
      <c r="M328" s="135"/>
      <c r="N328" s="96"/>
      <c r="O328" s="96"/>
      <c r="P328" s="96"/>
      <c r="Q328" s="96"/>
      <c r="R328" s="96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</row>
    <row r="329" spans="10:38" s="134" customFormat="1">
      <c r="J329" s="134" t="e">
        <f t="shared" si="22"/>
        <v>#NUM!</v>
      </c>
      <c r="M329" s="135"/>
      <c r="N329" s="96"/>
      <c r="O329" s="96"/>
      <c r="P329" s="96"/>
      <c r="Q329" s="96"/>
      <c r="R329" s="96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</row>
    <row r="330" spans="10:38" s="134" customFormat="1">
      <c r="J330" s="134" t="e">
        <f t="shared" si="22"/>
        <v>#NUM!</v>
      </c>
      <c r="M330" s="135"/>
      <c r="N330" s="96"/>
      <c r="O330" s="96"/>
      <c r="P330" s="96"/>
      <c r="Q330" s="96"/>
      <c r="R330" s="96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</row>
    <row r="331" spans="10:38" s="134" customFormat="1">
      <c r="J331" s="134" t="e">
        <f t="shared" si="22"/>
        <v>#NUM!</v>
      </c>
      <c r="M331" s="135"/>
      <c r="N331" s="96"/>
      <c r="O331" s="96"/>
      <c r="P331" s="96"/>
      <c r="Q331" s="96"/>
      <c r="R331" s="96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</row>
    <row r="332" spans="10:38" s="134" customFormat="1">
      <c r="J332" s="134" t="e">
        <f t="shared" si="22"/>
        <v>#NUM!</v>
      </c>
      <c r="M332" s="135"/>
      <c r="N332" s="96"/>
      <c r="O332" s="96"/>
      <c r="P332" s="96"/>
      <c r="Q332" s="96"/>
      <c r="R332" s="96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</row>
    <row r="333" spans="10:38" s="134" customFormat="1">
      <c r="J333" s="134" t="e">
        <f t="shared" si="22"/>
        <v>#NUM!</v>
      </c>
      <c r="M333" s="135"/>
      <c r="N333" s="96"/>
      <c r="O333" s="96"/>
      <c r="P333" s="96"/>
      <c r="Q333" s="96"/>
      <c r="R333" s="96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</row>
    <row r="334" spans="10:38" s="134" customFormat="1">
      <c r="J334" s="134" t="e">
        <f t="shared" si="22"/>
        <v>#NUM!</v>
      </c>
      <c r="M334" s="135"/>
      <c r="N334" s="96"/>
      <c r="O334" s="96"/>
      <c r="P334" s="96"/>
      <c r="Q334" s="96"/>
      <c r="R334" s="96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</row>
    <row r="335" spans="10:38" s="134" customFormat="1">
      <c r="J335" s="134" t="e">
        <f t="shared" si="22"/>
        <v>#NUM!</v>
      </c>
      <c r="M335" s="135"/>
      <c r="N335" s="96"/>
      <c r="O335" s="96"/>
      <c r="P335" s="96"/>
      <c r="Q335" s="96"/>
      <c r="R335" s="96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</row>
    <row r="336" spans="10:38" s="134" customFormat="1">
      <c r="J336" s="134" t="e">
        <f t="shared" si="22"/>
        <v>#NUM!</v>
      </c>
      <c r="M336" s="135"/>
      <c r="N336" s="96"/>
      <c r="O336" s="96"/>
      <c r="P336" s="96"/>
      <c r="Q336" s="96"/>
      <c r="R336" s="96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</row>
    <row r="337" spans="10:38" s="134" customFormat="1">
      <c r="J337" s="134" t="e">
        <f t="shared" si="22"/>
        <v>#NUM!</v>
      </c>
      <c r="M337" s="135"/>
      <c r="N337" s="96"/>
      <c r="O337" s="96"/>
      <c r="P337" s="96"/>
      <c r="Q337" s="96"/>
      <c r="R337" s="96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</row>
    <row r="338" spans="10:38" s="134" customFormat="1">
      <c r="J338" s="134" t="e">
        <f t="shared" si="22"/>
        <v>#NUM!</v>
      </c>
      <c r="M338" s="135"/>
      <c r="N338" s="96"/>
      <c r="O338" s="96"/>
      <c r="P338" s="96"/>
      <c r="Q338" s="96"/>
      <c r="R338" s="96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</row>
    <row r="339" spans="10:38" s="134" customFormat="1">
      <c r="J339" s="134" t="e">
        <f t="shared" si="22"/>
        <v>#NUM!</v>
      </c>
      <c r="M339" s="135"/>
      <c r="N339" s="96"/>
      <c r="O339" s="96"/>
      <c r="P339" s="96"/>
      <c r="Q339" s="96"/>
      <c r="R339" s="96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</row>
    <row r="340" spans="10:38" s="134" customFormat="1">
      <c r="J340" s="134" t="e">
        <f t="shared" si="22"/>
        <v>#NUM!</v>
      </c>
      <c r="M340" s="135"/>
      <c r="N340" s="96"/>
      <c r="O340" s="96"/>
      <c r="P340" s="96"/>
      <c r="Q340" s="96"/>
      <c r="R340" s="96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</row>
    <row r="341" spans="10:38" s="134" customFormat="1">
      <c r="J341" s="134" t="e">
        <f t="shared" si="22"/>
        <v>#NUM!</v>
      </c>
      <c r="M341" s="135"/>
      <c r="N341" s="96"/>
      <c r="O341" s="96"/>
      <c r="P341" s="96"/>
      <c r="Q341" s="96"/>
      <c r="R341" s="96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</row>
    <row r="342" spans="10:38" s="134" customFormat="1">
      <c r="J342" s="134" t="e">
        <f t="shared" si="22"/>
        <v>#NUM!</v>
      </c>
      <c r="M342" s="135"/>
      <c r="N342" s="96"/>
      <c r="O342" s="96"/>
      <c r="P342" s="96"/>
      <c r="Q342" s="96"/>
      <c r="R342" s="96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</row>
    <row r="343" spans="10:38" s="134" customFormat="1">
      <c r="J343" s="134" t="e">
        <f t="shared" si="22"/>
        <v>#NUM!</v>
      </c>
      <c r="M343" s="135"/>
      <c r="N343" s="96"/>
      <c r="O343" s="96"/>
      <c r="P343" s="96"/>
      <c r="Q343" s="96"/>
      <c r="R343" s="96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</row>
    <row r="344" spans="10:38" s="134" customFormat="1">
      <c r="J344" s="134" t="e">
        <f t="shared" si="22"/>
        <v>#NUM!</v>
      </c>
      <c r="M344" s="135"/>
      <c r="N344" s="96"/>
      <c r="O344" s="96"/>
      <c r="P344" s="96"/>
      <c r="Q344" s="96"/>
      <c r="R344" s="96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</row>
    <row r="345" spans="10:38" s="134" customFormat="1">
      <c r="J345" s="134" t="e">
        <f t="shared" si="22"/>
        <v>#NUM!</v>
      </c>
      <c r="M345" s="135"/>
      <c r="N345" s="96"/>
      <c r="O345" s="96"/>
      <c r="P345" s="96"/>
      <c r="Q345" s="96"/>
      <c r="R345" s="96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</row>
    <row r="346" spans="10:38" s="134" customFormat="1">
      <c r="J346" s="134" t="e">
        <f t="shared" si="22"/>
        <v>#NUM!</v>
      </c>
      <c r="M346" s="135"/>
      <c r="N346" s="96"/>
      <c r="O346" s="96"/>
      <c r="P346" s="96"/>
      <c r="Q346" s="96"/>
      <c r="R346" s="96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</row>
    <row r="347" spans="10:38" s="134" customFormat="1">
      <c r="J347" s="134" t="e">
        <f t="shared" si="22"/>
        <v>#NUM!</v>
      </c>
      <c r="M347" s="135"/>
      <c r="N347" s="96"/>
      <c r="O347" s="96"/>
      <c r="P347" s="96"/>
      <c r="Q347" s="96"/>
      <c r="R347" s="96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</row>
    <row r="348" spans="10:38" s="134" customFormat="1">
      <c r="J348" s="134" t="e">
        <f t="shared" si="22"/>
        <v>#NUM!</v>
      </c>
      <c r="M348" s="135"/>
      <c r="N348" s="96"/>
      <c r="O348" s="96"/>
      <c r="P348" s="96"/>
      <c r="Q348" s="96"/>
      <c r="R348" s="96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</row>
    <row r="349" spans="10:38" s="134" customFormat="1">
      <c r="J349" s="134" t="e">
        <f t="shared" si="22"/>
        <v>#NUM!</v>
      </c>
      <c r="M349" s="135"/>
      <c r="N349" s="96"/>
      <c r="O349" s="96"/>
      <c r="P349" s="96"/>
      <c r="Q349" s="96"/>
      <c r="R349" s="96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</row>
    <row r="350" spans="10:38" s="134" customFormat="1">
      <c r="J350" s="134" t="e">
        <f t="shared" si="22"/>
        <v>#NUM!</v>
      </c>
      <c r="M350" s="135"/>
      <c r="N350" s="96"/>
      <c r="O350" s="96"/>
      <c r="P350" s="96"/>
      <c r="Q350" s="96"/>
      <c r="R350" s="96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</row>
    <row r="351" spans="10:38" s="134" customFormat="1">
      <c r="J351" s="134" t="e">
        <f t="shared" si="22"/>
        <v>#NUM!</v>
      </c>
      <c r="M351" s="135"/>
      <c r="N351" s="96"/>
      <c r="O351" s="96"/>
      <c r="P351" s="96"/>
      <c r="Q351" s="96"/>
      <c r="R351" s="96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</row>
    <row r="352" spans="10:38" s="134" customFormat="1">
      <c r="J352" s="134" t="e">
        <f t="shared" si="22"/>
        <v>#NUM!</v>
      </c>
      <c r="M352" s="135"/>
      <c r="N352" s="96"/>
      <c r="O352" s="96"/>
      <c r="P352" s="96"/>
      <c r="Q352" s="96"/>
      <c r="R352" s="96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</row>
    <row r="353" spans="10:38" s="134" customFormat="1">
      <c r="J353" s="134" t="e">
        <f t="shared" si="22"/>
        <v>#NUM!</v>
      </c>
      <c r="M353" s="135"/>
      <c r="N353" s="96"/>
      <c r="O353" s="96"/>
      <c r="P353" s="96"/>
      <c r="Q353" s="96"/>
      <c r="R353" s="96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</row>
    <row r="354" spans="10:38" s="134" customFormat="1">
      <c r="J354" s="134" t="e">
        <f t="shared" si="22"/>
        <v>#NUM!</v>
      </c>
      <c r="M354" s="135"/>
      <c r="N354" s="96"/>
      <c r="O354" s="96"/>
      <c r="P354" s="96"/>
      <c r="Q354" s="96"/>
      <c r="R354" s="96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</row>
    <row r="355" spans="10:38" s="134" customFormat="1">
      <c r="J355" s="134" t="e">
        <f t="shared" si="22"/>
        <v>#NUM!</v>
      </c>
      <c r="M355" s="135"/>
      <c r="N355" s="96"/>
      <c r="O355" s="96"/>
      <c r="P355" s="96"/>
      <c r="Q355" s="96"/>
      <c r="R355" s="96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</row>
    <row r="356" spans="10:38" s="134" customFormat="1">
      <c r="J356" s="134" t="e">
        <f t="shared" si="22"/>
        <v>#NUM!</v>
      </c>
      <c r="M356" s="135"/>
      <c r="N356" s="96"/>
      <c r="O356" s="96"/>
      <c r="P356" s="96"/>
      <c r="Q356" s="96"/>
      <c r="R356" s="96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</row>
    <row r="357" spans="10:38" s="134" customFormat="1">
      <c r="J357" s="134" t="e">
        <f t="shared" si="22"/>
        <v>#NUM!</v>
      </c>
      <c r="M357" s="135"/>
      <c r="N357" s="96"/>
      <c r="O357" s="96"/>
      <c r="P357" s="96"/>
      <c r="Q357" s="96"/>
      <c r="R357" s="96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</row>
    <row r="358" spans="10:38" s="134" customFormat="1">
      <c r="J358" s="134" t="e">
        <f t="shared" si="22"/>
        <v>#NUM!</v>
      </c>
      <c r="M358" s="135"/>
      <c r="N358" s="96"/>
      <c r="O358" s="96"/>
      <c r="P358" s="96"/>
      <c r="Q358" s="96"/>
      <c r="R358" s="96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</row>
    <row r="359" spans="10:38" s="134" customFormat="1">
      <c r="J359" s="134" t="e">
        <f t="shared" si="22"/>
        <v>#NUM!</v>
      </c>
      <c r="M359" s="135"/>
      <c r="N359" s="96"/>
      <c r="O359" s="96"/>
      <c r="P359" s="96"/>
      <c r="Q359" s="96"/>
      <c r="R359" s="96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</row>
    <row r="360" spans="10:38" s="134" customFormat="1">
      <c r="J360" s="134" t="e">
        <f t="shared" si="22"/>
        <v>#NUM!</v>
      </c>
      <c r="M360" s="135"/>
      <c r="N360" s="96"/>
      <c r="O360" s="96"/>
      <c r="P360" s="96"/>
      <c r="Q360" s="96"/>
      <c r="R360" s="96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</row>
    <row r="361" spans="10:38" s="134" customFormat="1">
      <c r="J361" s="134" t="e">
        <f t="shared" si="22"/>
        <v>#NUM!</v>
      </c>
      <c r="M361" s="135"/>
      <c r="N361" s="96"/>
      <c r="O361" s="96"/>
      <c r="P361" s="96"/>
      <c r="Q361" s="96"/>
      <c r="R361" s="96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</row>
    <row r="362" spans="10:38" s="134" customFormat="1">
      <c r="J362" s="134" t="e">
        <f t="shared" si="22"/>
        <v>#NUM!</v>
      </c>
      <c r="M362" s="135"/>
      <c r="N362" s="96"/>
      <c r="O362" s="96"/>
      <c r="P362" s="96"/>
      <c r="Q362" s="96"/>
      <c r="R362" s="96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</row>
    <row r="363" spans="10:38" s="134" customFormat="1">
      <c r="J363" s="134" t="e">
        <f t="shared" si="22"/>
        <v>#NUM!</v>
      </c>
      <c r="M363" s="135"/>
      <c r="N363" s="96"/>
      <c r="O363" s="96"/>
      <c r="P363" s="96"/>
      <c r="Q363" s="96"/>
      <c r="R363" s="96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</row>
    <row r="364" spans="10:38" s="134" customFormat="1">
      <c r="J364" s="134" t="e">
        <f t="shared" si="22"/>
        <v>#NUM!</v>
      </c>
      <c r="M364" s="135"/>
      <c r="N364" s="96"/>
      <c r="O364" s="96"/>
      <c r="P364" s="96"/>
      <c r="Q364" s="96"/>
      <c r="R364" s="96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</row>
    <row r="365" spans="10:38" s="134" customFormat="1">
      <c r="J365" s="134" t="e">
        <f t="shared" si="22"/>
        <v>#NUM!</v>
      </c>
      <c r="M365" s="135"/>
      <c r="N365" s="96"/>
      <c r="O365" s="96"/>
      <c r="P365" s="96"/>
      <c r="Q365" s="96"/>
      <c r="R365" s="96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</row>
    <row r="366" spans="10:38" s="134" customFormat="1">
      <c r="J366" s="134" t="e">
        <f t="shared" si="22"/>
        <v>#NUM!</v>
      </c>
      <c r="M366" s="135"/>
      <c r="N366" s="96"/>
      <c r="O366" s="96"/>
      <c r="P366" s="96"/>
      <c r="Q366" s="96"/>
      <c r="R366" s="96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</row>
    <row r="367" spans="10:38" s="134" customFormat="1">
      <c r="J367" s="134" t="e">
        <f t="shared" si="22"/>
        <v>#NUM!</v>
      </c>
      <c r="M367" s="135"/>
      <c r="N367" s="96"/>
      <c r="O367" s="96"/>
      <c r="P367" s="96"/>
      <c r="Q367" s="96"/>
      <c r="R367" s="96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</row>
    <row r="368" spans="10:38" s="134" customFormat="1">
      <c r="J368" s="134" t="e">
        <f t="shared" si="22"/>
        <v>#NUM!</v>
      </c>
      <c r="M368" s="135"/>
      <c r="N368" s="96"/>
      <c r="O368" s="96"/>
      <c r="P368" s="96"/>
      <c r="Q368" s="96"/>
      <c r="R368" s="96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</row>
    <row r="369" spans="10:38" s="134" customFormat="1">
      <c r="J369" s="134" t="e">
        <f t="shared" si="22"/>
        <v>#NUM!</v>
      </c>
      <c r="M369" s="135"/>
      <c r="N369" s="96"/>
      <c r="O369" s="96"/>
      <c r="P369" s="96"/>
      <c r="Q369" s="96"/>
      <c r="R369" s="96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</row>
    <row r="370" spans="10:38" s="134" customFormat="1">
      <c r="J370" s="134" t="e">
        <f t="shared" si="22"/>
        <v>#NUM!</v>
      </c>
      <c r="M370" s="135"/>
      <c r="N370" s="96"/>
      <c r="O370" s="96"/>
      <c r="P370" s="96"/>
      <c r="Q370" s="96"/>
      <c r="R370" s="96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</row>
    <row r="371" spans="10:38" s="134" customFormat="1">
      <c r="J371" s="134" t="e">
        <f t="shared" si="22"/>
        <v>#NUM!</v>
      </c>
      <c r="M371" s="135"/>
      <c r="N371" s="96"/>
      <c r="O371" s="96"/>
      <c r="P371" s="96"/>
      <c r="Q371" s="96"/>
      <c r="R371" s="96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</row>
    <row r="372" spans="10:38" s="134" customFormat="1">
      <c r="J372" s="134" t="e">
        <f t="shared" si="22"/>
        <v>#NUM!</v>
      </c>
      <c r="M372" s="135"/>
      <c r="N372" s="96"/>
      <c r="O372" s="96"/>
      <c r="P372" s="96"/>
      <c r="Q372" s="96"/>
      <c r="R372" s="96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</row>
    <row r="373" spans="10:38" s="134" customFormat="1">
      <c r="J373" s="134" t="e">
        <f t="shared" si="22"/>
        <v>#NUM!</v>
      </c>
      <c r="M373" s="135"/>
      <c r="N373" s="96"/>
      <c r="O373" s="96"/>
      <c r="P373" s="96"/>
      <c r="Q373" s="96"/>
      <c r="R373" s="96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</row>
    <row r="374" spans="10:38" s="134" customFormat="1">
      <c r="J374" s="134" t="e">
        <f t="shared" si="22"/>
        <v>#NUM!</v>
      </c>
      <c r="M374" s="135"/>
      <c r="N374" s="96"/>
      <c r="O374" s="96"/>
      <c r="P374" s="96"/>
      <c r="Q374" s="96"/>
      <c r="R374" s="96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C839-3CE6-43EF-B47B-6ED9936D0B9A}">
  <sheetPr>
    <tabColor rgb="FF92D050"/>
  </sheetPr>
  <dimension ref="A1:AL317"/>
  <sheetViews>
    <sheetView workbookViewId="0">
      <selection activeCell="C6" sqref="C6:C10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43.710937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.28515625" style="134" customWidth="1"/>
    <col min="11" max="11" width="8.7109375" style="134" customWidth="1"/>
    <col min="12" max="12" width="11" style="134" customWidth="1"/>
    <col min="13" max="13" width="12.2851562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>
      <c r="A2" s="96"/>
      <c r="B2" s="25" t="s">
        <v>28</v>
      </c>
      <c r="C2" s="84" t="s">
        <v>96</v>
      </c>
      <c r="D2" s="83"/>
      <c r="E2" s="26"/>
      <c r="F2" s="26"/>
      <c r="G2" s="26"/>
      <c r="H2" s="102">
        <v>0</v>
      </c>
      <c r="I2" s="103">
        <v>50</v>
      </c>
      <c r="J2" s="103">
        <v>10</v>
      </c>
      <c r="K2" s="137">
        <f>3*H2^(1/3)</f>
        <v>0</v>
      </c>
      <c r="L2" s="100"/>
      <c r="M2" s="100"/>
      <c r="N2" s="96"/>
      <c r="O2" s="96"/>
      <c r="P2" s="96"/>
      <c r="Q2" s="96"/>
      <c r="R2" s="96"/>
    </row>
    <row r="3" spans="1:36" s="101" customFormat="1">
      <c r="A3" s="96"/>
      <c r="B3" s="105" t="s">
        <v>30</v>
      </c>
      <c r="C3" s="84">
        <v>45262</v>
      </c>
      <c r="D3" s="84"/>
      <c r="E3" s="31"/>
      <c r="F3" s="31"/>
      <c r="G3" s="31"/>
      <c r="H3" s="100"/>
      <c r="I3" s="100"/>
      <c r="J3" s="106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6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9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37" si="0">M6</f>
        <v>0</v>
      </c>
      <c r="B6" s="39" t="str">
        <f>IF(H6&gt;$H$2,"",(ROW()-5))</f>
        <v/>
      </c>
      <c r="C6" s="40"/>
      <c r="D6" s="40"/>
      <c r="E6" s="40"/>
      <c r="F6" s="40"/>
      <c r="G6" s="33"/>
      <c r="H6" s="111">
        <v>1</v>
      </c>
      <c r="I6" s="112" t="str">
        <f t="shared" ref="I6:I69" si="1">IF(H6&lt;$H$2+1,($I$2-($I$2-1)*(LOG(H6)/LOG($H$2))),"")</f>
        <v/>
      </c>
      <c r="J6" s="111" t="e">
        <f t="shared" ref="J6:J9" si="2">INT(LOG($H$2,2))-ROUNDUP(LOG(H6,2),0)+IF(OR($H$2=1,$H$2=2,$H$2=4,$H$2=8,$H$2=16,$H$2=32,$H$2=64,$H$2=128,$H$2=256),0,1)</f>
        <v>#NUM!</v>
      </c>
      <c r="K6" s="111" t="e">
        <f t="shared" ref="K6:K69" si="3">J6*$J$2</f>
        <v>#NUM!</v>
      </c>
      <c r="L6" s="113">
        <f>3*K2</f>
        <v>0</v>
      </c>
      <c r="M6" s="113">
        <f t="shared" ref="M6:M69" si="4">IF(I6&lt;&gt;"",K6+I6+L6,0)</f>
        <v>0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0</v>
      </c>
      <c r="B7" s="45" t="str">
        <f>IF(H7&gt;$H$2,"",(ROW()-5))</f>
        <v/>
      </c>
      <c r="C7" s="46"/>
      <c r="D7" s="46"/>
      <c r="E7" s="46"/>
      <c r="F7" s="46"/>
      <c r="G7" s="33"/>
      <c r="H7" s="115">
        <v>2</v>
      </c>
      <c r="I7" s="116" t="str">
        <f t="shared" si="1"/>
        <v/>
      </c>
      <c r="J7" s="115" t="e">
        <f t="shared" si="2"/>
        <v>#NUM!</v>
      </c>
      <c r="K7" s="115" t="e">
        <f t="shared" si="3"/>
        <v>#NUM!</v>
      </c>
      <c r="L7" s="117">
        <f>2*K2</f>
        <v>0</v>
      </c>
      <c r="M7" s="117">
        <f t="shared" si="4"/>
        <v>0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0</v>
      </c>
      <c r="B8" s="39" t="str">
        <f>IF(H8&gt;$H$2,"",(ROW()-5))</f>
        <v/>
      </c>
      <c r="C8" s="76"/>
      <c r="D8" s="40"/>
      <c r="E8" s="40"/>
      <c r="F8" s="40"/>
      <c r="G8" s="33"/>
      <c r="H8" s="111">
        <v>3</v>
      </c>
      <c r="I8" s="112" t="str">
        <f t="shared" si="1"/>
        <v/>
      </c>
      <c r="J8" s="111" t="e">
        <f t="shared" si="2"/>
        <v>#NUM!</v>
      </c>
      <c r="K8" s="111" t="e">
        <f t="shared" si="3"/>
        <v>#NUM!</v>
      </c>
      <c r="L8" s="113">
        <f>K2</f>
        <v>0</v>
      </c>
      <c r="M8" s="113">
        <f t="shared" si="4"/>
        <v>0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0</v>
      </c>
      <c r="B9" s="45" t="str">
        <f>IF(H9&gt;$H$2,"",3)</f>
        <v/>
      </c>
      <c r="C9" s="46"/>
      <c r="D9" s="46"/>
      <c r="E9" s="46"/>
      <c r="F9" s="46"/>
      <c r="G9" s="33"/>
      <c r="H9" s="115">
        <v>3</v>
      </c>
      <c r="I9" s="116" t="str">
        <f t="shared" si="1"/>
        <v/>
      </c>
      <c r="J9" s="115" t="e">
        <f t="shared" si="2"/>
        <v>#NUM!</v>
      </c>
      <c r="K9" s="115" t="e">
        <f t="shared" si="3"/>
        <v>#NUM!</v>
      </c>
      <c r="L9" s="117">
        <f>K2</f>
        <v>0</v>
      </c>
      <c r="M9" s="117">
        <f t="shared" si="4"/>
        <v>0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65" si="5">IF(H10&gt;$H$2,"",(ROW()-5))</f>
        <v/>
      </c>
      <c r="C10" s="40"/>
      <c r="D10" s="40"/>
      <c r="E10" s="40"/>
      <c r="F10" s="40"/>
      <c r="G10" s="33"/>
      <c r="H10" s="111">
        <v>5</v>
      </c>
      <c r="I10" s="112" t="str">
        <f t="shared" si="1"/>
        <v/>
      </c>
      <c r="J10" s="111" t="e">
        <f t="shared" ref="J10:J73" si="6">INT(LOG($H$2,2))-ROUNDUP(LOG(H10,2),0)+IF(OR($H$2=1,$H$2=2,$H$2=4,$H$2=8,$H$2=16,$H$2=32,$H$2=64,$H$2=128,$H$2=256),0,1)</f>
        <v>#NUM!</v>
      </c>
      <c r="K10" s="111" t="e">
        <f t="shared" si="3"/>
        <v>#NUM!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/>
      <c r="D11" s="46"/>
      <c r="E11" s="46"/>
      <c r="F11" s="46"/>
      <c r="G11" s="33"/>
      <c r="H11" s="115">
        <v>6</v>
      </c>
      <c r="I11" s="116" t="str">
        <f t="shared" si="1"/>
        <v/>
      </c>
      <c r="J11" s="115" t="e">
        <f t="shared" si="6"/>
        <v>#NUM!</v>
      </c>
      <c r="K11" s="115" t="e">
        <f t="shared" si="3"/>
        <v>#NUM!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/>
      <c r="D12" s="40"/>
      <c r="E12" s="40"/>
      <c r="F12" s="40"/>
      <c r="G12" s="33"/>
      <c r="H12" s="111">
        <v>7</v>
      </c>
      <c r="I12" s="112" t="str">
        <f t="shared" si="1"/>
        <v/>
      </c>
      <c r="J12" s="111" t="e">
        <f t="shared" si="6"/>
        <v>#NUM!</v>
      </c>
      <c r="K12" s="111" t="e">
        <f t="shared" si="3"/>
        <v>#NUM!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/>
      <c r="D13" s="46"/>
      <c r="E13" s="46"/>
      <c r="F13" s="46"/>
      <c r="G13" s="33"/>
      <c r="H13" s="115">
        <v>8</v>
      </c>
      <c r="I13" s="116" t="str">
        <f t="shared" si="1"/>
        <v/>
      </c>
      <c r="J13" s="115" t="e">
        <f t="shared" si="6"/>
        <v>#NUM!</v>
      </c>
      <c r="K13" s="115" t="e">
        <f t="shared" si="3"/>
        <v>#NUM!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/>
      <c r="D14" s="40"/>
      <c r="E14" s="40"/>
      <c r="F14" s="40"/>
      <c r="G14" s="33"/>
      <c r="H14" s="111">
        <v>9</v>
      </c>
      <c r="I14" s="112" t="str">
        <f t="shared" si="1"/>
        <v/>
      </c>
      <c r="J14" s="111" t="e">
        <f t="shared" si="6"/>
        <v>#NUM!</v>
      </c>
      <c r="K14" s="111" t="e">
        <f t="shared" si="3"/>
        <v>#NUM!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/>
      <c r="D15" s="46"/>
      <c r="E15" s="46"/>
      <c r="F15" s="46"/>
      <c r="G15" s="33"/>
      <c r="H15" s="115">
        <v>10</v>
      </c>
      <c r="I15" s="116" t="str">
        <f t="shared" si="1"/>
        <v/>
      </c>
      <c r="J15" s="115" t="e">
        <f t="shared" si="6"/>
        <v>#NUM!</v>
      </c>
      <c r="K15" s="115" t="e">
        <f t="shared" si="3"/>
        <v>#NUM!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/>
      <c r="D16" s="40"/>
      <c r="E16" s="40"/>
      <c r="F16" s="40"/>
      <c r="G16" s="33"/>
      <c r="H16" s="111">
        <v>11</v>
      </c>
      <c r="I16" s="112" t="str">
        <f t="shared" si="1"/>
        <v/>
      </c>
      <c r="J16" s="111" t="e">
        <f t="shared" si="6"/>
        <v>#NUM!</v>
      </c>
      <c r="K16" s="111" t="e">
        <f t="shared" si="3"/>
        <v>#NUM!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/>
      <c r="D17" s="46"/>
      <c r="E17" s="46"/>
      <c r="F17" s="46"/>
      <c r="G17" s="33"/>
      <c r="H17" s="115">
        <v>12</v>
      </c>
      <c r="I17" s="116" t="str">
        <f t="shared" si="1"/>
        <v/>
      </c>
      <c r="J17" s="115" t="e">
        <f t="shared" si="6"/>
        <v>#NUM!</v>
      </c>
      <c r="K17" s="115" t="e">
        <f t="shared" si="3"/>
        <v>#NUM!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80"/>
      <c r="D18" s="40"/>
      <c r="E18" s="40"/>
      <c r="F18" s="40"/>
      <c r="G18" s="33"/>
      <c r="H18" s="111">
        <v>13</v>
      </c>
      <c r="I18" s="112" t="str">
        <f t="shared" si="1"/>
        <v/>
      </c>
      <c r="J18" s="111" t="e">
        <f t="shared" si="6"/>
        <v>#NUM!</v>
      </c>
      <c r="K18" s="111" t="e">
        <f t="shared" si="3"/>
        <v>#NUM!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/>
      <c r="D19" s="46"/>
      <c r="E19" s="46"/>
      <c r="F19" s="46"/>
      <c r="G19" s="33"/>
      <c r="H19" s="115">
        <v>14</v>
      </c>
      <c r="I19" s="116" t="str">
        <f t="shared" si="1"/>
        <v/>
      </c>
      <c r="J19" s="115" t="e">
        <f t="shared" si="6"/>
        <v>#NUM!</v>
      </c>
      <c r="K19" s="115" t="e">
        <f t="shared" si="3"/>
        <v>#NUM!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/>
      <c r="D20" s="40"/>
      <c r="E20" s="40"/>
      <c r="F20" s="40"/>
      <c r="G20" s="33"/>
      <c r="H20" s="111">
        <v>15</v>
      </c>
      <c r="I20" s="112" t="str">
        <f t="shared" si="1"/>
        <v/>
      </c>
      <c r="J20" s="111" t="e">
        <f t="shared" si="6"/>
        <v>#NUM!</v>
      </c>
      <c r="K20" s="111" t="e">
        <f t="shared" si="3"/>
        <v>#NUM!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/>
      <c r="D21" s="46"/>
      <c r="E21" s="46"/>
      <c r="F21" s="46"/>
      <c r="G21" s="33"/>
      <c r="H21" s="115">
        <v>16</v>
      </c>
      <c r="I21" s="116" t="str">
        <f t="shared" si="1"/>
        <v/>
      </c>
      <c r="J21" s="115" t="e">
        <f t="shared" si="6"/>
        <v>#NUM!</v>
      </c>
      <c r="K21" s="115" t="e">
        <f t="shared" si="3"/>
        <v>#NUM!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/>
      <c r="D22" s="40"/>
      <c r="E22" s="40"/>
      <c r="F22" s="40"/>
      <c r="G22" s="33"/>
      <c r="H22" s="111">
        <v>17</v>
      </c>
      <c r="I22" s="112" t="str">
        <f t="shared" si="1"/>
        <v/>
      </c>
      <c r="J22" s="111" t="e">
        <f t="shared" si="6"/>
        <v>#NUM!</v>
      </c>
      <c r="K22" s="111" t="e">
        <f t="shared" si="3"/>
        <v>#NUM!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/>
      <c r="D23" s="46"/>
      <c r="E23" s="46"/>
      <c r="F23" s="46"/>
      <c r="G23" s="33"/>
      <c r="H23" s="115">
        <v>18</v>
      </c>
      <c r="I23" s="116" t="str">
        <f t="shared" si="1"/>
        <v/>
      </c>
      <c r="J23" s="115" t="e">
        <f t="shared" si="6"/>
        <v>#NUM!</v>
      </c>
      <c r="K23" s="115" t="e">
        <f t="shared" si="3"/>
        <v>#NUM!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/>
      <c r="D24" s="40"/>
      <c r="E24" s="40"/>
      <c r="F24" s="40"/>
      <c r="G24" s="33"/>
      <c r="H24" s="111">
        <v>19</v>
      </c>
      <c r="I24" s="112" t="str">
        <f t="shared" si="1"/>
        <v/>
      </c>
      <c r="J24" s="111" t="e">
        <f t="shared" si="6"/>
        <v>#NUM!</v>
      </c>
      <c r="K24" s="111" t="e">
        <f t="shared" si="3"/>
        <v>#NUM!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5" t="e">
        <f t="shared" si="6"/>
        <v>#NUM!</v>
      </c>
      <c r="K25" s="115" t="e">
        <f t="shared" si="3"/>
        <v>#NUM!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1" t="e">
        <f t="shared" si="6"/>
        <v>#NUM!</v>
      </c>
      <c r="K26" s="111" t="e">
        <f t="shared" si="3"/>
        <v>#NUM!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5" t="e">
        <f t="shared" si="6"/>
        <v>#NUM!</v>
      </c>
      <c r="K27" s="115" t="e">
        <f t="shared" si="3"/>
        <v>#NUM!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1" t="e">
        <f t="shared" si="6"/>
        <v>#NUM!</v>
      </c>
      <c r="K28" s="111" t="e">
        <f t="shared" si="3"/>
        <v>#NUM!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5" t="e">
        <f t="shared" si="6"/>
        <v>#NUM!</v>
      </c>
      <c r="K29" s="115" t="e">
        <f t="shared" si="3"/>
        <v>#NUM!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1" t="e">
        <f t="shared" si="6"/>
        <v>#NUM!</v>
      </c>
      <c r="K30" s="111" t="e">
        <f t="shared" si="3"/>
        <v>#NUM!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5" t="e">
        <f t="shared" si="6"/>
        <v>#NUM!</v>
      </c>
      <c r="K31" s="115" t="e">
        <f t="shared" si="3"/>
        <v>#NUM!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1" t="e">
        <f t="shared" si="6"/>
        <v>#NUM!</v>
      </c>
      <c r="K32" s="111" t="e">
        <f t="shared" si="3"/>
        <v>#NUM!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21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5" t="e">
        <f t="shared" si="6"/>
        <v>#NUM!</v>
      </c>
      <c r="K33" s="115" t="e">
        <f t="shared" si="3"/>
        <v>#NUM!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21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1" t="e">
        <f t="shared" si="6"/>
        <v>#NUM!</v>
      </c>
      <c r="K34" s="111" t="e">
        <f t="shared" si="3"/>
        <v>#NUM!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21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5" t="e">
        <f t="shared" si="6"/>
        <v>#NUM!</v>
      </c>
      <c r="K35" s="115" t="e">
        <f t="shared" si="3"/>
        <v>#NUM!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21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1" t="e">
        <f t="shared" si="6"/>
        <v>#NUM!</v>
      </c>
      <c r="K36" s="111" t="e">
        <f t="shared" si="3"/>
        <v>#NUM!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21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5" t="e">
        <f t="shared" si="6"/>
        <v>#NUM!</v>
      </c>
      <c r="K37" s="115" t="e">
        <f t="shared" si="3"/>
        <v>#NUM!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21" s="101" customFormat="1">
      <c r="A38" s="110"/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1" t="e">
        <f t="shared" si="6"/>
        <v>#NUM!</v>
      </c>
      <c r="K38" s="111" t="e">
        <f t="shared" si="3"/>
        <v>#NUM!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21" s="101" customFormat="1">
      <c r="A39" s="114"/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5" t="e">
        <f t="shared" si="6"/>
        <v>#NUM!</v>
      </c>
      <c r="K39" s="115" t="e">
        <f t="shared" si="3"/>
        <v>#NUM!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21" s="101" customFormat="1">
      <c r="A40" s="110"/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1" t="e">
        <f t="shared" si="6"/>
        <v>#NUM!</v>
      </c>
      <c r="K40" s="111" t="e">
        <f t="shared" si="3"/>
        <v>#NUM!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21" s="101" customFormat="1">
      <c r="A41" s="114"/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5" t="e">
        <f t="shared" si="6"/>
        <v>#NUM!</v>
      </c>
      <c r="K41" s="115" t="e">
        <f t="shared" si="3"/>
        <v>#NUM!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21" s="101" customFormat="1">
      <c r="A42" s="110"/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1" t="e">
        <f t="shared" si="6"/>
        <v>#NUM!</v>
      </c>
      <c r="K42" s="111" t="e">
        <f t="shared" si="3"/>
        <v>#NUM!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21" s="101" customFormat="1">
      <c r="A43" s="114"/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5" t="e">
        <f t="shared" si="6"/>
        <v>#NUM!</v>
      </c>
      <c r="K43" s="115" t="e">
        <f t="shared" si="3"/>
        <v>#NUM!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21" s="101" customFormat="1">
      <c r="A44" s="110"/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1" t="e">
        <f t="shared" si="6"/>
        <v>#NUM!</v>
      </c>
      <c r="K44" s="111" t="e">
        <f t="shared" si="3"/>
        <v>#NUM!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21" s="101" customFormat="1">
      <c r="A45" s="114"/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5" t="e">
        <f t="shared" si="6"/>
        <v>#NUM!</v>
      </c>
      <c r="K45" s="115" t="e">
        <f t="shared" si="3"/>
        <v>#NUM!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21" s="101" customFormat="1">
      <c r="A46" s="110"/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1" t="e">
        <f t="shared" si="6"/>
        <v>#NUM!</v>
      </c>
      <c r="K46" s="111" t="e">
        <f t="shared" si="3"/>
        <v>#NUM!</v>
      </c>
      <c r="L46" s="111"/>
      <c r="M46" s="113">
        <f t="shared" si="4"/>
        <v>0</v>
      </c>
      <c r="N46" s="96"/>
      <c r="O46" s="96"/>
      <c r="P46" s="96"/>
      <c r="Q46" s="96"/>
      <c r="R46" s="96" t="e">
        <f>LOG($H$2,2)</f>
        <v>#NUM!</v>
      </c>
      <c r="T46" s="101">
        <f>LOG(H38,2)</f>
        <v>5.0443941193584534</v>
      </c>
      <c r="U46" s="101" t="e">
        <f>R46-T46</f>
        <v>#NUM!</v>
      </c>
    </row>
    <row r="47" spans="1:21" s="101" customFormat="1">
      <c r="A47" s="114"/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5" t="e">
        <f t="shared" si="6"/>
        <v>#NUM!</v>
      </c>
      <c r="K47" s="115" t="e">
        <f t="shared" si="3"/>
        <v>#NUM!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21" s="101" customFormat="1">
      <c r="A48" s="110"/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1" t="e">
        <f t="shared" si="6"/>
        <v>#NUM!</v>
      </c>
      <c r="K48" s="111" t="e">
        <f t="shared" si="3"/>
        <v>#NUM!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 s="96" customFormat="1">
      <c r="A49" s="114"/>
      <c r="B49" s="45" t="str">
        <f t="shared" si="5"/>
        <v/>
      </c>
      <c r="C49" s="46"/>
      <c r="D49" s="46"/>
      <c r="E49" s="46"/>
      <c r="F49" s="46"/>
      <c r="H49" s="115">
        <v>44</v>
      </c>
      <c r="I49" s="116" t="str">
        <f t="shared" si="1"/>
        <v/>
      </c>
      <c r="J49" s="115" t="e">
        <f t="shared" si="6"/>
        <v>#NUM!</v>
      </c>
      <c r="K49" s="115" t="e">
        <f t="shared" si="3"/>
        <v>#NUM!</v>
      </c>
      <c r="L49" s="115"/>
      <c r="M49" s="117">
        <f t="shared" si="4"/>
        <v>0</v>
      </c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s="96" customFormat="1">
      <c r="A50" s="110"/>
      <c r="B50" s="39" t="str">
        <f t="shared" si="5"/>
        <v/>
      </c>
      <c r="C50" s="40"/>
      <c r="D50" s="40"/>
      <c r="E50" s="40"/>
      <c r="F50" s="40"/>
      <c r="H50" s="111">
        <v>45</v>
      </c>
      <c r="I50" s="112" t="str">
        <f t="shared" si="1"/>
        <v/>
      </c>
      <c r="J50" s="111" t="e">
        <f t="shared" si="6"/>
        <v>#NUM!</v>
      </c>
      <c r="K50" s="111" t="e">
        <f t="shared" si="3"/>
        <v>#NUM!</v>
      </c>
      <c r="L50" s="111"/>
      <c r="M50" s="113">
        <f t="shared" si="4"/>
        <v>0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s="96" customFormat="1">
      <c r="A51" s="114"/>
      <c r="B51" s="45" t="str">
        <f t="shared" si="5"/>
        <v/>
      </c>
      <c r="C51" s="46"/>
      <c r="D51" s="46"/>
      <c r="E51" s="46"/>
      <c r="F51" s="46"/>
      <c r="H51" s="115">
        <v>46</v>
      </c>
      <c r="I51" s="116" t="str">
        <f t="shared" si="1"/>
        <v/>
      </c>
      <c r="J51" s="115" t="e">
        <f t="shared" si="6"/>
        <v>#NUM!</v>
      </c>
      <c r="K51" s="115" t="e">
        <f t="shared" si="3"/>
        <v>#NUM!</v>
      </c>
      <c r="L51" s="115"/>
      <c r="M51" s="117">
        <f t="shared" si="4"/>
        <v>0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s="96" customFormat="1">
      <c r="A52" s="110"/>
      <c r="B52" s="39" t="str">
        <f t="shared" si="5"/>
        <v/>
      </c>
      <c r="C52" s="40"/>
      <c r="D52" s="40"/>
      <c r="E52" s="40"/>
      <c r="F52" s="40"/>
      <c r="H52" s="111">
        <v>47</v>
      </c>
      <c r="I52" s="112" t="str">
        <f t="shared" si="1"/>
        <v/>
      </c>
      <c r="J52" s="111" t="e">
        <f t="shared" si="6"/>
        <v>#NUM!</v>
      </c>
      <c r="K52" s="111" t="e">
        <f t="shared" si="3"/>
        <v>#NUM!</v>
      </c>
      <c r="L52" s="111"/>
      <c r="M52" s="113">
        <f t="shared" si="4"/>
        <v>0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s="96" customFormat="1">
      <c r="A53" s="114"/>
      <c r="B53" s="45" t="str">
        <f t="shared" si="5"/>
        <v/>
      </c>
      <c r="C53" s="46"/>
      <c r="D53" s="46"/>
      <c r="E53" s="46"/>
      <c r="F53" s="46"/>
      <c r="H53" s="115">
        <v>48</v>
      </c>
      <c r="I53" s="116" t="str">
        <f t="shared" si="1"/>
        <v/>
      </c>
      <c r="J53" s="115" t="e">
        <f t="shared" si="6"/>
        <v>#NUM!</v>
      </c>
      <c r="K53" s="115" t="e">
        <f t="shared" si="3"/>
        <v>#NUM!</v>
      </c>
      <c r="L53" s="115"/>
      <c r="M53" s="117">
        <f t="shared" si="4"/>
        <v>0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s="96" customFormat="1">
      <c r="A54" s="110"/>
      <c r="B54" s="39" t="str">
        <f t="shared" si="5"/>
        <v/>
      </c>
      <c r="C54" s="40"/>
      <c r="D54" s="40"/>
      <c r="E54" s="40"/>
      <c r="F54" s="40"/>
      <c r="H54" s="111">
        <v>49</v>
      </c>
      <c r="I54" s="112" t="str">
        <f t="shared" si="1"/>
        <v/>
      </c>
      <c r="J54" s="111" t="e">
        <f t="shared" si="6"/>
        <v>#NUM!</v>
      </c>
      <c r="K54" s="111" t="e">
        <f t="shared" si="3"/>
        <v>#NUM!</v>
      </c>
      <c r="L54" s="111"/>
      <c r="M54" s="113">
        <f t="shared" si="4"/>
        <v>0</v>
      </c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s="96" customFormat="1">
      <c r="A55" s="114"/>
      <c r="B55" s="45" t="str">
        <f t="shared" si="5"/>
        <v/>
      </c>
      <c r="C55" s="46"/>
      <c r="D55" s="46"/>
      <c r="E55" s="46"/>
      <c r="F55" s="46"/>
      <c r="H55" s="115">
        <v>50</v>
      </c>
      <c r="I55" s="116" t="str">
        <f t="shared" si="1"/>
        <v/>
      </c>
      <c r="J55" s="115" t="e">
        <f t="shared" si="6"/>
        <v>#NUM!</v>
      </c>
      <c r="K55" s="115" t="e">
        <f t="shared" si="3"/>
        <v>#NUM!</v>
      </c>
      <c r="L55" s="115"/>
      <c r="M55" s="117">
        <f t="shared" si="4"/>
        <v>0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s="96" customFormat="1">
      <c r="A56" s="110"/>
      <c r="B56" s="39" t="str">
        <f t="shared" si="5"/>
        <v/>
      </c>
      <c r="C56" s="40"/>
      <c r="D56" s="40"/>
      <c r="E56" s="40"/>
      <c r="F56" s="40"/>
      <c r="H56" s="111">
        <v>51</v>
      </c>
      <c r="I56" s="112" t="str">
        <f t="shared" si="1"/>
        <v/>
      </c>
      <c r="J56" s="111" t="e">
        <f t="shared" si="6"/>
        <v>#NUM!</v>
      </c>
      <c r="K56" s="111" t="e">
        <f t="shared" si="3"/>
        <v>#NUM!</v>
      </c>
      <c r="L56" s="111"/>
      <c r="M56" s="113">
        <f t="shared" si="4"/>
        <v>0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s="96" customFormat="1">
      <c r="A57" s="114"/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5" t="e">
        <f t="shared" si="6"/>
        <v>#NUM!</v>
      </c>
      <c r="K57" s="115" t="e">
        <f t="shared" si="3"/>
        <v>#NUM!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10"/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1" t="e">
        <f t="shared" si="6"/>
        <v>#NUM!</v>
      </c>
      <c r="K58" s="111" t="e">
        <f t="shared" si="3"/>
        <v>#NUM!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14"/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5" t="e">
        <f t="shared" si="6"/>
        <v>#NUM!</v>
      </c>
      <c r="K59" s="115" t="e">
        <f t="shared" si="3"/>
        <v>#NUM!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10"/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1" t="e">
        <f t="shared" si="6"/>
        <v>#NUM!</v>
      </c>
      <c r="K60" s="111" t="e">
        <f t="shared" si="3"/>
        <v>#NUM!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14"/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5" t="e">
        <f t="shared" si="6"/>
        <v>#NUM!</v>
      </c>
      <c r="K61" s="115" t="e">
        <f t="shared" si="3"/>
        <v>#NUM!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10"/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1" t="e">
        <f t="shared" si="6"/>
        <v>#NUM!</v>
      </c>
      <c r="K62" s="111" t="e">
        <f t="shared" si="3"/>
        <v>#NUM!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14"/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5" t="e">
        <f t="shared" si="6"/>
        <v>#NUM!</v>
      </c>
      <c r="K63" s="115" t="e">
        <f t="shared" si="3"/>
        <v>#NUM!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10"/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1" t="e">
        <f t="shared" si="6"/>
        <v>#NUM!</v>
      </c>
      <c r="K64" s="111" t="e">
        <f t="shared" si="3"/>
        <v>#NUM!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14"/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5" t="e">
        <f t="shared" si="6"/>
        <v>#NUM!</v>
      </c>
      <c r="K65" s="115" t="e">
        <f t="shared" si="3"/>
        <v>#NUM!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10"/>
      <c r="B66" s="39"/>
      <c r="C66" s="131"/>
      <c r="D66" s="131"/>
      <c r="E66" s="131"/>
      <c r="F66" s="131"/>
      <c r="H66" s="111">
        <v>61</v>
      </c>
      <c r="I66" s="112" t="str">
        <f t="shared" si="1"/>
        <v/>
      </c>
      <c r="J66" s="111" t="e">
        <f t="shared" si="6"/>
        <v>#NUM!</v>
      </c>
      <c r="K66" s="111" t="e">
        <f t="shared" si="3"/>
        <v>#NUM!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14"/>
      <c r="B67" s="45"/>
      <c r="C67" s="131"/>
      <c r="D67" s="131"/>
      <c r="E67" s="131"/>
      <c r="F67" s="131"/>
      <c r="H67" s="111">
        <v>62</v>
      </c>
      <c r="I67" s="112" t="str">
        <f t="shared" si="1"/>
        <v/>
      </c>
      <c r="J67" s="111" t="e">
        <f t="shared" si="6"/>
        <v>#NUM!</v>
      </c>
      <c r="K67" s="111" t="e">
        <f t="shared" si="3"/>
        <v>#NUM!</v>
      </c>
      <c r="L67" s="111"/>
      <c r="M67" s="113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32"/>
      <c r="B68" s="39"/>
      <c r="C68" s="131"/>
      <c r="D68" s="131"/>
      <c r="E68" s="131"/>
      <c r="F68" s="131"/>
      <c r="H68" s="111">
        <v>63</v>
      </c>
      <c r="I68" s="112" t="str">
        <f t="shared" si="1"/>
        <v/>
      </c>
      <c r="J68" s="111" t="e">
        <f t="shared" si="6"/>
        <v>#NUM!</v>
      </c>
      <c r="K68" s="111" t="e">
        <f t="shared" si="3"/>
        <v>#NUM!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32"/>
      <c r="B69" s="45"/>
      <c r="C69" s="131"/>
      <c r="D69" s="131"/>
      <c r="E69" s="131"/>
      <c r="F69" s="131"/>
      <c r="H69" s="111">
        <v>64</v>
      </c>
      <c r="I69" s="112" t="str">
        <f t="shared" si="1"/>
        <v/>
      </c>
      <c r="J69" s="111" t="e">
        <f t="shared" si="6"/>
        <v>#NUM!</v>
      </c>
      <c r="K69" s="111" t="e">
        <f t="shared" si="3"/>
        <v>#NUM!</v>
      </c>
      <c r="L69" s="111"/>
      <c r="M69" s="113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32"/>
      <c r="B70" s="131"/>
      <c r="C70" s="131"/>
      <c r="D70" s="131"/>
      <c r="E70" s="131"/>
      <c r="F70" s="131"/>
      <c r="H70" s="111">
        <v>65</v>
      </c>
      <c r="I70" s="112" t="str">
        <f t="shared" ref="I70:I133" si="7">IF(H70&lt;$H$2+1,($I$2-($I$2-1)*(LOG(H70)/LOG($H$2))),"")</f>
        <v/>
      </c>
      <c r="J70" s="111" t="e">
        <f t="shared" si="6"/>
        <v>#NUM!</v>
      </c>
      <c r="K70" s="111" t="e">
        <f t="shared" ref="K70:K133" si="8">J70*$J$2</f>
        <v>#NUM!</v>
      </c>
      <c r="L70" s="111"/>
      <c r="M70" s="113">
        <f t="shared" ref="M70:M133" si="9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32"/>
      <c r="B71" s="131"/>
      <c r="C71" s="131"/>
      <c r="D71" s="131"/>
      <c r="E71" s="131"/>
      <c r="F71" s="131"/>
      <c r="H71" s="111">
        <v>66</v>
      </c>
      <c r="I71" s="112" t="str">
        <f t="shared" si="7"/>
        <v/>
      </c>
      <c r="J71" s="111" t="e">
        <f t="shared" si="6"/>
        <v>#NUM!</v>
      </c>
      <c r="K71" s="111" t="e">
        <f t="shared" si="8"/>
        <v>#NUM!</v>
      </c>
      <c r="L71" s="111"/>
      <c r="M71" s="113">
        <f t="shared" si="9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32"/>
      <c r="B72" s="131"/>
      <c r="C72" s="131"/>
      <c r="D72" s="131"/>
      <c r="E72" s="131"/>
      <c r="F72" s="131"/>
      <c r="H72" s="111">
        <v>67</v>
      </c>
      <c r="I72" s="112" t="str">
        <f t="shared" si="7"/>
        <v/>
      </c>
      <c r="J72" s="111" t="e">
        <f t="shared" si="6"/>
        <v>#NUM!</v>
      </c>
      <c r="K72" s="111" t="e">
        <f t="shared" si="8"/>
        <v>#NUM!</v>
      </c>
      <c r="L72" s="111"/>
      <c r="M72" s="113">
        <f t="shared" si="9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32"/>
      <c r="B73" s="131"/>
      <c r="C73" s="131"/>
      <c r="D73" s="131"/>
      <c r="E73" s="131"/>
      <c r="F73" s="131"/>
      <c r="H73" s="111">
        <v>68</v>
      </c>
      <c r="I73" s="112" t="str">
        <f t="shared" si="7"/>
        <v/>
      </c>
      <c r="J73" s="111" t="e">
        <f t="shared" si="6"/>
        <v>#NUM!</v>
      </c>
      <c r="K73" s="111" t="e">
        <f t="shared" si="8"/>
        <v>#NUM!</v>
      </c>
      <c r="L73" s="111"/>
      <c r="M73" s="113">
        <f t="shared" si="9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32"/>
      <c r="B74" s="131"/>
      <c r="C74" s="131"/>
      <c r="D74" s="131"/>
      <c r="E74" s="131"/>
      <c r="F74" s="131"/>
      <c r="H74" s="111">
        <v>69</v>
      </c>
      <c r="I74" s="112" t="str">
        <f t="shared" si="7"/>
        <v/>
      </c>
      <c r="J74" s="111" t="e">
        <f t="shared" ref="J74:J137" si="10">INT(LOG($H$2,2))-ROUNDUP(LOG(H74,2),0)+IF(OR($H$2=1,$H$2=2,$H$2=4,$H$2=8,$H$2=16,$H$2=32,$H$2=64,$H$2=128,$H$2=256),0,1)</f>
        <v>#NUM!</v>
      </c>
      <c r="K74" s="111" t="e">
        <f t="shared" si="8"/>
        <v>#NUM!</v>
      </c>
      <c r="L74" s="111"/>
      <c r="M74" s="113">
        <f t="shared" si="9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32"/>
      <c r="B75" s="131"/>
      <c r="C75" s="131"/>
      <c r="D75" s="131"/>
      <c r="E75" s="131"/>
      <c r="F75" s="131"/>
      <c r="H75" s="111">
        <v>70</v>
      </c>
      <c r="I75" s="112" t="str">
        <f t="shared" si="7"/>
        <v/>
      </c>
      <c r="J75" s="111" t="e">
        <f t="shared" si="10"/>
        <v>#NUM!</v>
      </c>
      <c r="K75" s="111" t="e">
        <f t="shared" si="8"/>
        <v>#NUM!</v>
      </c>
      <c r="L75" s="111"/>
      <c r="M75" s="113">
        <f t="shared" si="9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32"/>
      <c r="B76" s="131"/>
      <c r="C76" s="131"/>
      <c r="D76" s="131"/>
      <c r="E76" s="131"/>
      <c r="F76" s="131"/>
      <c r="H76" s="111">
        <v>71</v>
      </c>
      <c r="I76" s="112" t="str">
        <f t="shared" si="7"/>
        <v/>
      </c>
      <c r="J76" s="111" t="e">
        <f t="shared" si="10"/>
        <v>#NUM!</v>
      </c>
      <c r="K76" s="111" t="e">
        <f t="shared" si="8"/>
        <v>#NUM!</v>
      </c>
      <c r="L76" s="111"/>
      <c r="M76" s="113">
        <f t="shared" si="9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32"/>
      <c r="B77" s="131"/>
      <c r="C77" s="131"/>
      <c r="D77" s="131"/>
      <c r="E77" s="131"/>
      <c r="F77" s="131"/>
      <c r="H77" s="111">
        <v>72</v>
      </c>
      <c r="I77" s="112" t="str">
        <f t="shared" si="7"/>
        <v/>
      </c>
      <c r="J77" s="111" t="e">
        <f t="shared" si="10"/>
        <v>#NUM!</v>
      </c>
      <c r="K77" s="111" t="e">
        <f t="shared" si="8"/>
        <v>#NUM!</v>
      </c>
      <c r="L77" s="111"/>
      <c r="M77" s="113">
        <f t="shared" si="9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32"/>
      <c r="B78" s="131"/>
      <c r="C78" s="131"/>
      <c r="D78" s="131"/>
      <c r="E78" s="131"/>
      <c r="F78" s="131"/>
      <c r="H78" s="111">
        <v>73</v>
      </c>
      <c r="I78" s="112" t="str">
        <f t="shared" si="7"/>
        <v/>
      </c>
      <c r="J78" s="111" t="e">
        <f t="shared" si="10"/>
        <v>#NUM!</v>
      </c>
      <c r="K78" s="111" t="e">
        <f t="shared" si="8"/>
        <v>#NUM!</v>
      </c>
      <c r="L78" s="111"/>
      <c r="M78" s="113">
        <f t="shared" si="9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32"/>
      <c r="B79" s="131"/>
      <c r="C79" s="131"/>
      <c r="D79" s="131"/>
      <c r="E79" s="131"/>
      <c r="F79" s="131"/>
      <c r="H79" s="111">
        <v>74</v>
      </c>
      <c r="I79" s="112" t="str">
        <f t="shared" si="7"/>
        <v/>
      </c>
      <c r="J79" s="111" t="e">
        <f t="shared" si="10"/>
        <v>#NUM!</v>
      </c>
      <c r="K79" s="111" t="e">
        <f t="shared" si="8"/>
        <v>#NUM!</v>
      </c>
      <c r="L79" s="111"/>
      <c r="M79" s="113">
        <f t="shared" si="9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32"/>
      <c r="B80" s="131"/>
      <c r="C80" s="131"/>
      <c r="D80" s="131"/>
      <c r="E80" s="131"/>
      <c r="F80" s="131"/>
      <c r="H80" s="111">
        <v>75</v>
      </c>
      <c r="I80" s="112" t="str">
        <f t="shared" si="7"/>
        <v/>
      </c>
      <c r="J80" s="111" t="e">
        <f t="shared" si="10"/>
        <v>#NUM!</v>
      </c>
      <c r="K80" s="111" t="e">
        <f t="shared" si="8"/>
        <v>#NUM!</v>
      </c>
      <c r="L80" s="111"/>
      <c r="M80" s="113">
        <f t="shared" si="9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32"/>
      <c r="B81" s="131"/>
      <c r="C81" s="131"/>
      <c r="D81" s="131"/>
      <c r="E81" s="131"/>
      <c r="F81" s="131"/>
      <c r="H81" s="111">
        <v>76</v>
      </c>
      <c r="I81" s="112" t="str">
        <f t="shared" si="7"/>
        <v/>
      </c>
      <c r="J81" s="111" t="e">
        <f t="shared" si="10"/>
        <v>#NUM!</v>
      </c>
      <c r="K81" s="111" t="e">
        <f t="shared" si="8"/>
        <v>#NUM!</v>
      </c>
      <c r="L81" s="111"/>
      <c r="M81" s="113">
        <f t="shared" si="9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32"/>
      <c r="B82" s="131"/>
      <c r="C82" s="131"/>
      <c r="D82" s="131"/>
      <c r="E82" s="131"/>
      <c r="F82" s="131"/>
      <c r="H82" s="111">
        <v>77</v>
      </c>
      <c r="I82" s="112" t="str">
        <f t="shared" si="7"/>
        <v/>
      </c>
      <c r="J82" s="111" t="e">
        <f t="shared" si="10"/>
        <v>#NUM!</v>
      </c>
      <c r="K82" s="111" t="e">
        <f t="shared" si="8"/>
        <v>#NUM!</v>
      </c>
      <c r="L82" s="111"/>
      <c r="M82" s="113">
        <f t="shared" si="9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32"/>
      <c r="B83" s="131"/>
      <c r="C83" s="131"/>
      <c r="D83" s="131"/>
      <c r="E83" s="131"/>
      <c r="F83" s="131"/>
      <c r="H83" s="111">
        <v>78</v>
      </c>
      <c r="I83" s="112" t="str">
        <f t="shared" si="7"/>
        <v/>
      </c>
      <c r="J83" s="111" t="e">
        <f t="shared" si="10"/>
        <v>#NUM!</v>
      </c>
      <c r="K83" s="111" t="e">
        <f t="shared" si="8"/>
        <v>#NUM!</v>
      </c>
      <c r="L83" s="111"/>
      <c r="M83" s="113">
        <f t="shared" si="9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32"/>
      <c r="B84" s="131"/>
      <c r="C84" s="131"/>
      <c r="D84" s="131"/>
      <c r="E84" s="131"/>
      <c r="F84" s="131"/>
      <c r="H84" s="111">
        <v>79</v>
      </c>
      <c r="I84" s="112" t="str">
        <f t="shared" si="7"/>
        <v/>
      </c>
      <c r="J84" s="111" t="e">
        <f t="shared" si="10"/>
        <v>#NUM!</v>
      </c>
      <c r="K84" s="111" t="e">
        <f t="shared" si="8"/>
        <v>#NUM!</v>
      </c>
      <c r="L84" s="111"/>
      <c r="M84" s="113">
        <f t="shared" si="9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32"/>
      <c r="B85" s="131"/>
      <c r="C85" s="131"/>
      <c r="D85" s="131"/>
      <c r="E85" s="131"/>
      <c r="F85" s="131"/>
      <c r="H85" s="111">
        <v>80</v>
      </c>
      <c r="I85" s="112" t="str">
        <f t="shared" si="7"/>
        <v/>
      </c>
      <c r="J85" s="111" t="e">
        <f t="shared" si="10"/>
        <v>#NUM!</v>
      </c>
      <c r="K85" s="111" t="e">
        <f t="shared" si="8"/>
        <v>#NUM!</v>
      </c>
      <c r="L85" s="111"/>
      <c r="M85" s="113">
        <f t="shared" si="9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32"/>
      <c r="B86" s="131"/>
      <c r="C86" s="131"/>
      <c r="D86" s="131"/>
      <c r="E86" s="131"/>
      <c r="F86" s="131"/>
      <c r="H86" s="111">
        <v>81</v>
      </c>
      <c r="I86" s="112" t="str">
        <f t="shared" si="7"/>
        <v/>
      </c>
      <c r="J86" s="111" t="e">
        <f t="shared" si="10"/>
        <v>#NUM!</v>
      </c>
      <c r="K86" s="111" t="e">
        <f t="shared" si="8"/>
        <v>#NUM!</v>
      </c>
      <c r="L86" s="111"/>
      <c r="M86" s="113">
        <f t="shared" si="9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32"/>
      <c r="B87" s="131"/>
      <c r="C87" s="131"/>
      <c r="D87" s="131"/>
      <c r="E87" s="131"/>
      <c r="F87" s="131"/>
      <c r="H87" s="111">
        <v>82</v>
      </c>
      <c r="I87" s="112" t="str">
        <f t="shared" si="7"/>
        <v/>
      </c>
      <c r="J87" s="111" t="e">
        <f t="shared" si="10"/>
        <v>#NUM!</v>
      </c>
      <c r="K87" s="111" t="e">
        <f t="shared" si="8"/>
        <v>#NUM!</v>
      </c>
      <c r="L87" s="111"/>
      <c r="M87" s="113">
        <f t="shared" si="9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32"/>
      <c r="B88" s="131"/>
      <c r="C88" s="131"/>
      <c r="D88" s="131"/>
      <c r="E88" s="131"/>
      <c r="F88" s="131"/>
      <c r="H88" s="111">
        <v>83</v>
      </c>
      <c r="I88" s="112" t="str">
        <f t="shared" si="7"/>
        <v/>
      </c>
      <c r="J88" s="111" t="e">
        <f t="shared" si="10"/>
        <v>#NUM!</v>
      </c>
      <c r="K88" s="111" t="e">
        <f t="shared" si="8"/>
        <v>#NUM!</v>
      </c>
      <c r="L88" s="111"/>
      <c r="M88" s="113">
        <f t="shared" si="9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32"/>
      <c r="B89" s="131"/>
      <c r="C89" s="131"/>
      <c r="D89" s="131"/>
      <c r="E89" s="131"/>
      <c r="F89" s="131"/>
      <c r="H89" s="111">
        <v>84</v>
      </c>
      <c r="I89" s="112" t="str">
        <f t="shared" si="7"/>
        <v/>
      </c>
      <c r="J89" s="111" t="e">
        <f t="shared" si="10"/>
        <v>#NUM!</v>
      </c>
      <c r="K89" s="111" t="e">
        <f t="shared" si="8"/>
        <v>#NUM!</v>
      </c>
      <c r="L89" s="111"/>
      <c r="M89" s="113">
        <f t="shared" si="9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32"/>
      <c r="B90" s="131"/>
      <c r="C90" s="131"/>
      <c r="D90" s="131"/>
      <c r="E90" s="131"/>
      <c r="F90" s="131"/>
      <c r="H90" s="111">
        <v>85</v>
      </c>
      <c r="I90" s="112" t="str">
        <f t="shared" si="7"/>
        <v/>
      </c>
      <c r="J90" s="111" t="e">
        <f t="shared" si="10"/>
        <v>#NUM!</v>
      </c>
      <c r="K90" s="111" t="e">
        <f t="shared" si="8"/>
        <v>#NUM!</v>
      </c>
      <c r="L90" s="111"/>
      <c r="M90" s="113">
        <f t="shared" si="9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32"/>
      <c r="B91" s="131"/>
      <c r="C91" s="131"/>
      <c r="D91" s="131"/>
      <c r="E91" s="131"/>
      <c r="F91" s="131"/>
      <c r="H91" s="111">
        <v>86</v>
      </c>
      <c r="I91" s="112" t="str">
        <f t="shared" si="7"/>
        <v/>
      </c>
      <c r="J91" s="111" t="e">
        <f t="shared" si="10"/>
        <v>#NUM!</v>
      </c>
      <c r="K91" s="111" t="e">
        <f t="shared" si="8"/>
        <v>#NUM!</v>
      </c>
      <c r="L91" s="111"/>
      <c r="M91" s="113">
        <f t="shared" si="9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32"/>
      <c r="B92" s="131"/>
      <c r="C92" s="131"/>
      <c r="D92" s="131"/>
      <c r="E92" s="131"/>
      <c r="F92" s="131"/>
      <c r="H92" s="111">
        <v>87</v>
      </c>
      <c r="I92" s="112" t="str">
        <f t="shared" si="7"/>
        <v/>
      </c>
      <c r="J92" s="111" t="e">
        <f t="shared" si="10"/>
        <v>#NUM!</v>
      </c>
      <c r="K92" s="111" t="e">
        <f t="shared" si="8"/>
        <v>#NUM!</v>
      </c>
      <c r="L92" s="111"/>
      <c r="M92" s="113">
        <f t="shared" si="9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32"/>
      <c r="B93" s="131"/>
      <c r="C93" s="131"/>
      <c r="D93" s="131"/>
      <c r="E93" s="131"/>
      <c r="F93" s="131"/>
      <c r="H93" s="111">
        <v>88</v>
      </c>
      <c r="I93" s="112" t="str">
        <f t="shared" si="7"/>
        <v/>
      </c>
      <c r="J93" s="111" t="e">
        <f t="shared" si="10"/>
        <v>#NUM!</v>
      </c>
      <c r="K93" s="111" t="e">
        <f t="shared" si="8"/>
        <v>#NUM!</v>
      </c>
      <c r="L93" s="111"/>
      <c r="M93" s="113">
        <f t="shared" si="9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32"/>
      <c r="B94" s="131"/>
      <c r="C94" s="131"/>
      <c r="D94" s="131"/>
      <c r="E94" s="131"/>
      <c r="F94" s="131"/>
      <c r="H94" s="111">
        <v>89</v>
      </c>
      <c r="I94" s="112" t="str">
        <f t="shared" si="7"/>
        <v/>
      </c>
      <c r="J94" s="111" t="e">
        <f t="shared" si="10"/>
        <v>#NUM!</v>
      </c>
      <c r="K94" s="111" t="e">
        <f t="shared" si="8"/>
        <v>#NUM!</v>
      </c>
      <c r="L94" s="111"/>
      <c r="M94" s="113">
        <f t="shared" si="9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32"/>
      <c r="B95" s="131"/>
      <c r="C95" s="131"/>
      <c r="D95" s="131"/>
      <c r="E95" s="131"/>
      <c r="F95" s="131"/>
      <c r="H95" s="111">
        <v>90</v>
      </c>
      <c r="I95" s="112" t="str">
        <f t="shared" si="7"/>
        <v/>
      </c>
      <c r="J95" s="111" t="e">
        <f t="shared" si="10"/>
        <v>#NUM!</v>
      </c>
      <c r="K95" s="111" t="e">
        <f t="shared" si="8"/>
        <v>#NUM!</v>
      </c>
      <c r="L95" s="111"/>
      <c r="M95" s="113">
        <f t="shared" si="9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32"/>
      <c r="B96" s="131"/>
      <c r="C96" s="131"/>
      <c r="D96" s="131"/>
      <c r="E96" s="131"/>
      <c r="F96" s="131"/>
      <c r="H96" s="111">
        <v>91</v>
      </c>
      <c r="I96" s="112" t="str">
        <f t="shared" si="7"/>
        <v/>
      </c>
      <c r="J96" s="111" t="e">
        <f t="shared" si="10"/>
        <v>#NUM!</v>
      </c>
      <c r="K96" s="111" t="e">
        <f t="shared" si="8"/>
        <v>#NUM!</v>
      </c>
      <c r="L96" s="111"/>
      <c r="M96" s="113">
        <f t="shared" si="9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32"/>
      <c r="B97" s="131"/>
      <c r="C97" s="131"/>
      <c r="D97" s="131"/>
      <c r="E97" s="131"/>
      <c r="F97" s="131"/>
      <c r="H97" s="111">
        <v>92</v>
      </c>
      <c r="I97" s="112" t="str">
        <f t="shared" si="7"/>
        <v/>
      </c>
      <c r="J97" s="111" t="e">
        <f t="shared" si="10"/>
        <v>#NUM!</v>
      </c>
      <c r="K97" s="111" t="e">
        <f t="shared" si="8"/>
        <v>#NUM!</v>
      </c>
      <c r="L97" s="111"/>
      <c r="M97" s="113">
        <f t="shared" si="9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32"/>
      <c r="B98" s="131"/>
      <c r="C98" s="131"/>
      <c r="D98" s="131"/>
      <c r="E98" s="131"/>
      <c r="F98" s="131"/>
      <c r="H98" s="111">
        <v>93</v>
      </c>
      <c r="I98" s="112" t="str">
        <f t="shared" si="7"/>
        <v/>
      </c>
      <c r="J98" s="111" t="e">
        <f t="shared" si="10"/>
        <v>#NUM!</v>
      </c>
      <c r="K98" s="111" t="e">
        <f t="shared" si="8"/>
        <v>#NUM!</v>
      </c>
      <c r="L98" s="111"/>
      <c r="M98" s="113">
        <f t="shared" si="9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32"/>
      <c r="B99" s="131"/>
      <c r="C99" s="131"/>
      <c r="D99" s="131"/>
      <c r="E99" s="131"/>
      <c r="F99" s="131"/>
      <c r="H99" s="111">
        <v>94</v>
      </c>
      <c r="I99" s="112" t="str">
        <f t="shared" si="7"/>
        <v/>
      </c>
      <c r="J99" s="111" t="e">
        <f t="shared" si="10"/>
        <v>#NUM!</v>
      </c>
      <c r="K99" s="111" t="e">
        <f t="shared" si="8"/>
        <v>#NUM!</v>
      </c>
      <c r="L99" s="111"/>
      <c r="M99" s="113">
        <f t="shared" si="9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32"/>
      <c r="B100" s="131"/>
      <c r="C100" s="131"/>
      <c r="D100" s="131"/>
      <c r="E100" s="131"/>
      <c r="F100" s="131"/>
      <c r="H100" s="111">
        <v>95</v>
      </c>
      <c r="I100" s="112" t="str">
        <f t="shared" si="7"/>
        <v/>
      </c>
      <c r="J100" s="111" t="e">
        <f t="shared" si="10"/>
        <v>#NUM!</v>
      </c>
      <c r="K100" s="111" t="e">
        <f t="shared" si="8"/>
        <v>#NUM!</v>
      </c>
      <c r="L100" s="111"/>
      <c r="M100" s="113">
        <f t="shared" si="9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32"/>
      <c r="B101" s="131"/>
      <c r="C101" s="131"/>
      <c r="D101" s="131"/>
      <c r="E101" s="131"/>
      <c r="F101" s="131"/>
      <c r="H101" s="111">
        <v>96</v>
      </c>
      <c r="I101" s="112" t="str">
        <f t="shared" si="7"/>
        <v/>
      </c>
      <c r="J101" s="111" t="e">
        <f t="shared" si="10"/>
        <v>#NUM!</v>
      </c>
      <c r="K101" s="111" t="e">
        <f t="shared" si="8"/>
        <v>#NUM!</v>
      </c>
      <c r="L101" s="111"/>
      <c r="M101" s="113">
        <f t="shared" si="9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32"/>
      <c r="B102" s="131"/>
      <c r="C102" s="131"/>
      <c r="D102" s="131"/>
      <c r="E102" s="131"/>
      <c r="F102" s="131"/>
      <c r="H102" s="111">
        <v>97</v>
      </c>
      <c r="I102" s="112" t="str">
        <f t="shared" si="7"/>
        <v/>
      </c>
      <c r="J102" s="111" t="e">
        <f t="shared" si="10"/>
        <v>#NUM!</v>
      </c>
      <c r="K102" s="111" t="e">
        <f t="shared" si="8"/>
        <v>#NUM!</v>
      </c>
      <c r="L102" s="111"/>
      <c r="M102" s="113">
        <f t="shared" si="9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32"/>
      <c r="B103" s="131"/>
      <c r="C103" s="131"/>
      <c r="D103" s="131"/>
      <c r="E103" s="131"/>
      <c r="F103" s="131"/>
      <c r="H103" s="111">
        <v>98</v>
      </c>
      <c r="I103" s="112" t="str">
        <f t="shared" si="7"/>
        <v/>
      </c>
      <c r="J103" s="111" t="e">
        <f t="shared" si="10"/>
        <v>#NUM!</v>
      </c>
      <c r="K103" s="111" t="e">
        <f t="shared" si="8"/>
        <v>#NUM!</v>
      </c>
      <c r="L103" s="111"/>
      <c r="M103" s="113">
        <f t="shared" si="9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32"/>
      <c r="B104" s="131"/>
      <c r="C104" s="131"/>
      <c r="D104" s="131"/>
      <c r="E104" s="131"/>
      <c r="F104" s="131"/>
      <c r="H104" s="111">
        <v>99</v>
      </c>
      <c r="I104" s="112" t="str">
        <f t="shared" si="7"/>
        <v/>
      </c>
      <c r="J104" s="111" t="e">
        <f t="shared" si="10"/>
        <v>#NUM!</v>
      </c>
      <c r="K104" s="111" t="e">
        <f t="shared" si="8"/>
        <v>#NUM!</v>
      </c>
      <c r="L104" s="111"/>
      <c r="M104" s="113">
        <f t="shared" si="9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32"/>
      <c r="B105" s="131"/>
      <c r="C105" s="131"/>
      <c r="D105" s="131"/>
      <c r="E105" s="131"/>
      <c r="F105" s="131"/>
      <c r="H105" s="111">
        <v>100</v>
      </c>
      <c r="I105" s="112" t="str">
        <f t="shared" si="7"/>
        <v/>
      </c>
      <c r="J105" s="111" t="e">
        <f t="shared" si="10"/>
        <v>#NUM!</v>
      </c>
      <c r="K105" s="111" t="e">
        <f t="shared" si="8"/>
        <v>#NUM!</v>
      </c>
      <c r="L105" s="111"/>
      <c r="M105" s="113">
        <f t="shared" si="9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32"/>
      <c r="B106" s="131"/>
      <c r="C106" s="131"/>
      <c r="D106" s="131"/>
      <c r="E106" s="131"/>
      <c r="F106" s="131"/>
      <c r="H106" s="111">
        <v>101</v>
      </c>
      <c r="I106" s="112" t="str">
        <f t="shared" si="7"/>
        <v/>
      </c>
      <c r="J106" s="111" t="e">
        <f t="shared" si="10"/>
        <v>#NUM!</v>
      </c>
      <c r="K106" s="111" t="e">
        <f t="shared" si="8"/>
        <v>#NUM!</v>
      </c>
      <c r="L106" s="111"/>
      <c r="M106" s="113">
        <f t="shared" si="9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32"/>
      <c r="B107" s="131"/>
      <c r="C107" s="131"/>
      <c r="D107" s="131"/>
      <c r="E107" s="131"/>
      <c r="F107" s="131"/>
      <c r="H107" s="111">
        <v>102</v>
      </c>
      <c r="I107" s="112" t="str">
        <f t="shared" si="7"/>
        <v/>
      </c>
      <c r="J107" s="111" t="e">
        <f t="shared" si="10"/>
        <v>#NUM!</v>
      </c>
      <c r="K107" s="111" t="e">
        <f t="shared" si="8"/>
        <v>#NUM!</v>
      </c>
      <c r="L107" s="111"/>
      <c r="M107" s="113">
        <f t="shared" si="9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32"/>
      <c r="B108" s="131"/>
      <c r="C108" s="131"/>
      <c r="D108" s="131"/>
      <c r="E108" s="131"/>
      <c r="F108" s="131"/>
      <c r="H108" s="111">
        <v>103</v>
      </c>
      <c r="I108" s="112" t="str">
        <f t="shared" si="7"/>
        <v/>
      </c>
      <c r="J108" s="111" t="e">
        <f t="shared" si="10"/>
        <v>#NUM!</v>
      </c>
      <c r="K108" s="111" t="e">
        <f t="shared" si="8"/>
        <v>#NUM!</v>
      </c>
      <c r="L108" s="111"/>
      <c r="M108" s="113">
        <f t="shared" si="9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32"/>
      <c r="B109" s="131"/>
      <c r="C109" s="131"/>
      <c r="D109" s="131"/>
      <c r="E109" s="131"/>
      <c r="F109" s="131"/>
      <c r="H109" s="111">
        <v>104</v>
      </c>
      <c r="I109" s="112" t="str">
        <f t="shared" si="7"/>
        <v/>
      </c>
      <c r="J109" s="111" t="e">
        <f t="shared" si="10"/>
        <v>#NUM!</v>
      </c>
      <c r="K109" s="111" t="e">
        <f t="shared" si="8"/>
        <v>#NUM!</v>
      </c>
      <c r="L109" s="111"/>
      <c r="M109" s="113">
        <f t="shared" si="9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32"/>
      <c r="B110" s="131"/>
      <c r="C110" s="131"/>
      <c r="D110" s="131"/>
      <c r="E110" s="131"/>
      <c r="F110" s="131"/>
      <c r="H110" s="111">
        <v>105</v>
      </c>
      <c r="I110" s="112" t="str">
        <f t="shared" si="7"/>
        <v/>
      </c>
      <c r="J110" s="111" t="e">
        <f t="shared" si="10"/>
        <v>#NUM!</v>
      </c>
      <c r="K110" s="111" t="e">
        <f t="shared" si="8"/>
        <v>#NUM!</v>
      </c>
      <c r="L110" s="111"/>
      <c r="M110" s="113">
        <f t="shared" si="9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32"/>
      <c r="B111" s="131"/>
      <c r="C111" s="131"/>
      <c r="D111" s="131"/>
      <c r="E111" s="131"/>
      <c r="F111" s="131"/>
      <c r="H111" s="111">
        <v>106</v>
      </c>
      <c r="I111" s="112" t="str">
        <f t="shared" si="7"/>
        <v/>
      </c>
      <c r="J111" s="111" t="e">
        <f t="shared" si="10"/>
        <v>#NUM!</v>
      </c>
      <c r="K111" s="111" t="e">
        <f t="shared" si="8"/>
        <v>#NUM!</v>
      </c>
      <c r="L111" s="111"/>
      <c r="M111" s="113">
        <f t="shared" si="9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32"/>
      <c r="B112" s="131"/>
      <c r="C112" s="131"/>
      <c r="D112" s="131"/>
      <c r="E112" s="131"/>
      <c r="F112" s="131"/>
      <c r="H112" s="111">
        <v>107</v>
      </c>
      <c r="I112" s="112" t="str">
        <f t="shared" si="7"/>
        <v/>
      </c>
      <c r="J112" s="111" t="e">
        <f t="shared" si="10"/>
        <v>#NUM!</v>
      </c>
      <c r="K112" s="111" t="e">
        <f t="shared" si="8"/>
        <v>#NUM!</v>
      </c>
      <c r="L112" s="111"/>
      <c r="M112" s="113">
        <f t="shared" si="9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32"/>
      <c r="B113" s="131"/>
      <c r="C113" s="131"/>
      <c r="D113" s="131"/>
      <c r="E113" s="131"/>
      <c r="F113" s="131"/>
      <c r="H113" s="111">
        <v>108</v>
      </c>
      <c r="I113" s="112" t="str">
        <f t="shared" si="7"/>
        <v/>
      </c>
      <c r="J113" s="111" t="e">
        <f t="shared" si="10"/>
        <v>#NUM!</v>
      </c>
      <c r="K113" s="111" t="e">
        <f t="shared" si="8"/>
        <v>#NUM!</v>
      </c>
      <c r="L113" s="111"/>
      <c r="M113" s="113">
        <f t="shared" si="9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32"/>
      <c r="B114" s="131"/>
      <c r="C114" s="131"/>
      <c r="D114" s="131"/>
      <c r="E114" s="131"/>
      <c r="F114" s="131"/>
      <c r="H114" s="111">
        <v>109</v>
      </c>
      <c r="I114" s="112" t="str">
        <f t="shared" si="7"/>
        <v/>
      </c>
      <c r="J114" s="111" t="e">
        <f t="shared" si="10"/>
        <v>#NUM!</v>
      </c>
      <c r="K114" s="111" t="e">
        <f t="shared" si="8"/>
        <v>#NUM!</v>
      </c>
      <c r="L114" s="111"/>
      <c r="M114" s="113">
        <f t="shared" si="9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32"/>
      <c r="B115" s="131"/>
      <c r="C115" s="131"/>
      <c r="D115" s="131"/>
      <c r="E115" s="131"/>
      <c r="F115" s="131"/>
      <c r="H115" s="111">
        <v>110</v>
      </c>
      <c r="I115" s="112" t="str">
        <f t="shared" si="7"/>
        <v/>
      </c>
      <c r="J115" s="111" t="e">
        <f t="shared" si="10"/>
        <v>#NUM!</v>
      </c>
      <c r="K115" s="111" t="e">
        <f t="shared" si="8"/>
        <v>#NUM!</v>
      </c>
      <c r="L115" s="111"/>
      <c r="M115" s="113">
        <f t="shared" si="9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32"/>
      <c r="B116" s="131"/>
      <c r="C116" s="131"/>
      <c r="D116" s="131"/>
      <c r="E116" s="131"/>
      <c r="F116" s="131"/>
      <c r="H116" s="111">
        <v>111</v>
      </c>
      <c r="I116" s="112" t="str">
        <f t="shared" si="7"/>
        <v/>
      </c>
      <c r="J116" s="111" t="e">
        <f t="shared" si="10"/>
        <v>#NUM!</v>
      </c>
      <c r="K116" s="111" t="e">
        <f t="shared" si="8"/>
        <v>#NUM!</v>
      </c>
      <c r="L116" s="111"/>
      <c r="M116" s="113">
        <f t="shared" si="9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32"/>
      <c r="B117" s="131"/>
      <c r="C117" s="131"/>
      <c r="D117" s="131"/>
      <c r="E117" s="131"/>
      <c r="F117" s="131"/>
      <c r="H117" s="111">
        <v>112</v>
      </c>
      <c r="I117" s="112" t="str">
        <f t="shared" si="7"/>
        <v/>
      </c>
      <c r="J117" s="111" t="e">
        <f t="shared" si="10"/>
        <v>#NUM!</v>
      </c>
      <c r="K117" s="111" t="e">
        <f t="shared" si="8"/>
        <v>#NUM!</v>
      </c>
      <c r="L117" s="111"/>
      <c r="M117" s="113">
        <f t="shared" si="9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32"/>
      <c r="B118" s="131"/>
      <c r="C118" s="131"/>
      <c r="D118" s="131"/>
      <c r="E118" s="131"/>
      <c r="F118" s="131"/>
      <c r="H118" s="111">
        <v>113</v>
      </c>
      <c r="I118" s="112" t="str">
        <f t="shared" si="7"/>
        <v/>
      </c>
      <c r="J118" s="111" t="e">
        <f t="shared" si="10"/>
        <v>#NUM!</v>
      </c>
      <c r="K118" s="111" t="e">
        <f t="shared" si="8"/>
        <v>#NUM!</v>
      </c>
      <c r="L118" s="111"/>
      <c r="M118" s="113">
        <f t="shared" si="9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32"/>
      <c r="B119" s="131"/>
      <c r="C119" s="131"/>
      <c r="D119" s="131"/>
      <c r="E119" s="131"/>
      <c r="F119" s="131"/>
      <c r="H119" s="111">
        <v>114</v>
      </c>
      <c r="I119" s="112" t="str">
        <f t="shared" si="7"/>
        <v/>
      </c>
      <c r="J119" s="111" t="e">
        <f t="shared" si="10"/>
        <v>#NUM!</v>
      </c>
      <c r="K119" s="111" t="e">
        <f t="shared" si="8"/>
        <v>#NUM!</v>
      </c>
      <c r="L119" s="111"/>
      <c r="M119" s="113">
        <f t="shared" si="9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32"/>
      <c r="B120" s="131"/>
      <c r="C120" s="131"/>
      <c r="D120" s="131"/>
      <c r="E120" s="131"/>
      <c r="F120" s="131"/>
      <c r="H120" s="111">
        <v>115</v>
      </c>
      <c r="I120" s="112" t="str">
        <f t="shared" si="7"/>
        <v/>
      </c>
      <c r="J120" s="111" t="e">
        <f t="shared" si="10"/>
        <v>#NUM!</v>
      </c>
      <c r="K120" s="111" t="e">
        <f t="shared" si="8"/>
        <v>#NUM!</v>
      </c>
      <c r="L120" s="111"/>
      <c r="M120" s="113">
        <f t="shared" si="9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32"/>
      <c r="B121" s="131"/>
      <c r="C121" s="131"/>
      <c r="D121" s="131"/>
      <c r="E121" s="131"/>
      <c r="F121" s="131"/>
      <c r="H121" s="111">
        <v>116</v>
      </c>
      <c r="I121" s="112" t="str">
        <f t="shared" si="7"/>
        <v/>
      </c>
      <c r="J121" s="111" t="e">
        <f t="shared" si="10"/>
        <v>#NUM!</v>
      </c>
      <c r="K121" s="111" t="e">
        <f t="shared" si="8"/>
        <v>#NUM!</v>
      </c>
      <c r="L121" s="111"/>
      <c r="M121" s="113">
        <f t="shared" si="9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32"/>
      <c r="B122" s="131"/>
      <c r="C122" s="131"/>
      <c r="D122" s="131"/>
      <c r="E122" s="131"/>
      <c r="F122" s="131"/>
      <c r="H122" s="111">
        <v>117</v>
      </c>
      <c r="I122" s="112" t="str">
        <f t="shared" si="7"/>
        <v/>
      </c>
      <c r="J122" s="111" t="e">
        <f t="shared" si="10"/>
        <v>#NUM!</v>
      </c>
      <c r="K122" s="111" t="e">
        <f t="shared" si="8"/>
        <v>#NUM!</v>
      </c>
      <c r="L122" s="111"/>
      <c r="M122" s="113">
        <f t="shared" si="9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32"/>
      <c r="B123" s="131"/>
      <c r="C123" s="131"/>
      <c r="D123" s="131"/>
      <c r="E123" s="131"/>
      <c r="F123" s="131"/>
      <c r="H123" s="111">
        <v>118</v>
      </c>
      <c r="I123" s="112" t="str">
        <f t="shared" si="7"/>
        <v/>
      </c>
      <c r="J123" s="111" t="e">
        <f t="shared" si="10"/>
        <v>#NUM!</v>
      </c>
      <c r="K123" s="111" t="e">
        <f t="shared" si="8"/>
        <v>#NUM!</v>
      </c>
      <c r="L123" s="111"/>
      <c r="M123" s="113">
        <f t="shared" si="9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32"/>
      <c r="B124" s="131"/>
      <c r="C124" s="131"/>
      <c r="D124" s="131"/>
      <c r="E124" s="131"/>
      <c r="F124" s="131"/>
      <c r="H124" s="111">
        <v>119</v>
      </c>
      <c r="I124" s="112" t="str">
        <f t="shared" si="7"/>
        <v/>
      </c>
      <c r="J124" s="111" t="e">
        <f t="shared" si="10"/>
        <v>#NUM!</v>
      </c>
      <c r="K124" s="111" t="e">
        <f t="shared" si="8"/>
        <v>#NUM!</v>
      </c>
      <c r="L124" s="111"/>
      <c r="M124" s="113">
        <f t="shared" si="9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32"/>
      <c r="B125" s="131"/>
      <c r="C125" s="131"/>
      <c r="D125" s="131"/>
      <c r="E125" s="131"/>
      <c r="F125" s="131"/>
      <c r="H125" s="111">
        <v>120</v>
      </c>
      <c r="I125" s="112" t="str">
        <f t="shared" si="7"/>
        <v/>
      </c>
      <c r="J125" s="111" t="e">
        <f t="shared" si="10"/>
        <v>#NUM!</v>
      </c>
      <c r="K125" s="111" t="e">
        <f t="shared" si="8"/>
        <v>#NUM!</v>
      </c>
      <c r="L125" s="111"/>
      <c r="M125" s="113">
        <f t="shared" si="9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32"/>
      <c r="B126" s="131"/>
      <c r="C126" s="131"/>
      <c r="D126" s="131"/>
      <c r="E126" s="131"/>
      <c r="F126" s="131"/>
      <c r="H126" s="111">
        <v>121</v>
      </c>
      <c r="I126" s="112" t="str">
        <f t="shared" si="7"/>
        <v/>
      </c>
      <c r="J126" s="111" t="e">
        <f t="shared" si="10"/>
        <v>#NUM!</v>
      </c>
      <c r="K126" s="111" t="e">
        <f t="shared" si="8"/>
        <v>#NUM!</v>
      </c>
      <c r="L126" s="111"/>
      <c r="M126" s="113">
        <f t="shared" si="9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32"/>
      <c r="B127" s="131"/>
      <c r="C127" s="131"/>
      <c r="D127" s="131"/>
      <c r="E127" s="131"/>
      <c r="F127" s="131"/>
      <c r="H127" s="111">
        <v>122</v>
      </c>
      <c r="I127" s="112" t="str">
        <f t="shared" si="7"/>
        <v/>
      </c>
      <c r="J127" s="111" t="e">
        <f t="shared" si="10"/>
        <v>#NUM!</v>
      </c>
      <c r="K127" s="111" t="e">
        <f t="shared" si="8"/>
        <v>#NUM!</v>
      </c>
      <c r="L127" s="111"/>
      <c r="M127" s="113">
        <f t="shared" si="9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32"/>
      <c r="B128" s="131"/>
      <c r="C128" s="131"/>
      <c r="D128" s="131"/>
      <c r="E128" s="131"/>
      <c r="F128" s="131"/>
      <c r="H128" s="111">
        <v>123</v>
      </c>
      <c r="I128" s="112" t="str">
        <f t="shared" si="7"/>
        <v/>
      </c>
      <c r="J128" s="111" t="e">
        <f t="shared" si="10"/>
        <v>#NUM!</v>
      </c>
      <c r="K128" s="111" t="e">
        <f t="shared" si="8"/>
        <v>#NUM!</v>
      </c>
      <c r="L128" s="111"/>
      <c r="M128" s="113">
        <f t="shared" si="9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32"/>
      <c r="B129" s="131"/>
      <c r="C129" s="131"/>
      <c r="D129" s="131"/>
      <c r="E129" s="131"/>
      <c r="F129" s="131"/>
      <c r="H129" s="111">
        <v>124</v>
      </c>
      <c r="I129" s="112" t="str">
        <f t="shared" si="7"/>
        <v/>
      </c>
      <c r="J129" s="111" t="e">
        <f t="shared" si="10"/>
        <v>#NUM!</v>
      </c>
      <c r="K129" s="111" t="e">
        <f t="shared" si="8"/>
        <v>#NUM!</v>
      </c>
      <c r="L129" s="111"/>
      <c r="M129" s="113">
        <f t="shared" si="9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32"/>
      <c r="B130" s="131"/>
      <c r="C130" s="131"/>
      <c r="D130" s="131"/>
      <c r="E130" s="131"/>
      <c r="F130" s="131"/>
      <c r="H130" s="111">
        <v>125</v>
      </c>
      <c r="I130" s="112" t="str">
        <f t="shared" si="7"/>
        <v/>
      </c>
      <c r="J130" s="111" t="e">
        <f t="shared" si="10"/>
        <v>#NUM!</v>
      </c>
      <c r="K130" s="111" t="e">
        <f t="shared" si="8"/>
        <v>#NUM!</v>
      </c>
      <c r="L130" s="111"/>
      <c r="M130" s="113">
        <f t="shared" si="9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32"/>
      <c r="B131" s="131"/>
      <c r="C131" s="131"/>
      <c r="D131" s="131"/>
      <c r="E131" s="131"/>
      <c r="F131" s="131"/>
      <c r="H131" s="111">
        <v>126</v>
      </c>
      <c r="I131" s="112" t="str">
        <f t="shared" si="7"/>
        <v/>
      </c>
      <c r="J131" s="111" t="e">
        <f t="shared" si="10"/>
        <v>#NUM!</v>
      </c>
      <c r="K131" s="111" t="e">
        <f t="shared" si="8"/>
        <v>#NUM!</v>
      </c>
      <c r="L131" s="111"/>
      <c r="M131" s="113">
        <f t="shared" si="9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32"/>
      <c r="B132" s="131"/>
      <c r="C132" s="131"/>
      <c r="D132" s="131"/>
      <c r="E132" s="131"/>
      <c r="F132" s="131"/>
      <c r="H132" s="111">
        <v>127</v>
      </c>
      <c r="I132" s="112" t="str">
        <f t="shared" si="7"/>
        <v/>
      </c>
      <c r="J132" s="111" t="e">
        <f t="shared" si="10"/>
        <v>#NUM!</v>
      </c>
      <c r="K132" s="111" t="e">
        <f t="shared" si="8"/>
        <v>#NUM!</v>
      </c>
      <c r="L132" s="111"/>
      <c r="M132" s="113">
        <f t="shared" si="9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32"/>
      <c r="B133" s="131"/>
      <c r="C133" s="131"/>
      <c r="D133" s="131"/>
      <c r="E133" s="131"/>
      <c r="F133" s="131"/>
      <c r="H133" s="111">
        <v>128</v>
      </c>
      <c r="I133" s="112" t="str">
        <f t="shared" si="7"/>
        <v/>
      </c>
      <c r="J133" s="111" t="e">
        <f t="shared" si="10"/>
        <v>#NUM!</v>
      </c>
      <c r="K133" s="111" t="e">
        <f t="shared" si="8"/>
        <v>#NUM!</v>
      </c>
      <c r="L133" s="111"/>
      <c r="M133" s="113">
        <f t="shared" si="9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32"/>
      <c r="B134" s="131"/>
      <c r="C134" s="131"/>
      <c r="D134" s="131"/>
      <c r="E134" s="131"/>
      <c r="F134" s="131"/>
      <c r="H134" s="111">
        <v>129</v>
      </c>
      <c r="I134" s="112" t="str">
        <f t="shared" ref="I134:I197" si="11">IF(H134&lt;$H$2+1,($I$2-($I$2-1)*(LOG(H134)/LOG($H$2))),"")</f>
        <v/>
      </c>
      <c r="J134" s="111" t="e">
        <f t="shared" si="10"/>
        <v>#NUM!</v>
      </c>
      <c r="K134" s="111" t="e">
        <f t="shared" ref="K134:K197" si="12">J134*$J$2</f>
        <v>#NUM!</v>
      </c>
      <c r="L134" s="111"/>
      <c r="M134" s="113">
        <f t="shared" ref="M134:M197" si="13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32"/>
      <c r="B135" s="131"/>
      <c r="C135" s="131"/>
      <c r="D135" s="131"/>
      <c r="E135" s="131"/>
      <c r="F135" s="131"/>
      <c r="H135" s="111">
        <v>130</v>
      </c>
      <c r="I135" s="112" t="str">
        <f t="shared" si="11"/>
        <v/>
      </c>
      <c r="J135" s="111" t="e">
        <f t="shared" si="10"/>
        <v>#NUM!</v>
      </c>
      <c r="K135" s="111" t="e">
        <f t="shared" si="12"/>
        <v>#NUM!</v>
      </c>
      <c r="L135" s="111"/>
      <c r="M135" s="113">
        <f t="shared" si="13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32"/>
      <c r="B136" s="131"/>
      <c r="C136" s="131"/>
      <c r="D136" s="131"/>
      <c r="E136" s="131"/>
      <c r="F136" s="131"/>
      <c r="H136" s="111">
        <v>131</v>
      </c>
      <c r="I136" s="112" t="str">
        <f t="shared" si="11"/>
        <v/>
      </c>
      <c r="J136" s="111" t="e">
        <f t="shared" si="10"/>
        <v>#NUM!</v>
      </c>
      <c r="K136" s="111" t="e">
        <f t="shared" si="12"/>
        <v>#NUM!</v>
      </c>
      <c r="L136" s="111"/>
      <c r="M136" s="113">
        <f t="shared" si="13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32"/>
      <c r="B137" s="131"/>
      <c r="C137" s="131"/>
      <c r="D137" s="131"/>
      <c r="E137" s="131"/>
      <c r="F137" s="131"/>
      <c r="H137" s="111">
        <v>132</v>
      </c>
      <c r="I137" s="112" t="str">
        <f t="shared" si="11"/>
        <v/>
      </c>
      <c r="J137" s="111" t="e">
        <f t="shared" si="10"/>
        <v>#NUM!</v>
      </c>
      <c r="K137" s="111" t="e">
        <f t="shared" si="12"/>
        <v>#NUM!</v>
      </c>
      <c r="L137" s="111"/>
      <c r="M137" s="113">
        <f t="shared" si="13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32"/>
      <c r="B138" s="131"/>
      <c r="C138" s="131"/>
      <c r="D138" s="131"/>
      <c r="E138" s="131"/>
      <c r="F138" s="131"/>
      <c r="H138" s="111">
        <v>133</v>
      </c>
      <c r="I138" s="112" t="str">
        <f t="shared" si="11"/>
        <v/>
      </c>
      <c r="J138" s="111" t="e">
        <f t="shared" ref="J138:J201" si="14">INT(LOG($H$2,2))-ROUNDUP(LOG(H138,2),0)+IF(OR($H$2=1,$H$2=2,$H$2=4,$H$2=8,$H$2=16,$H$2=32,$H$2=64,$H$2=128,$H$2=256),0,1)</f>
        <v>#NUM!</v>
      </c>
      <c r="K138" s="111" t="e">
        <f t="shared" si="12"/>
        <v>#NUM!</v>
      </c>
      <c r="L138" s="111"/>
      <c r="M138" s="113">
        <f t="shared" si="13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32"/>
      <c r="B139" s="131"/>
      <c r="C139" s="131"/>
      <c r="D139" s="131"/>
      <c r="E139" s="131"/>
      <c r="F139" s="131"/>
      <c r="H139" s="111">
        <v>134</v>
      </c>
      <c r="I139" s="112" t="str">
        <f t="shared" si="11"/>
        <v/>
      </c>
      <c r="J139" s="111" t="e">
        <f t="shared" si="14"/>
        <v>#NUM!</v>
      </c>
      <c r="K139" s="111" t="e">
        <f t="shared" si="12"/>
        <v>#NUM!</v>
      </c>
      <c r="L139" s="111"/>
      <c r="M139" s="113">
        <f t="shared" si="13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32"/>
      <c r="B140" s="131"/>
      <c r="C140" s="131"/>
      <c r="D140" s="131"/>
      <c r="E140" s="131"/>
      <c r="F140" s="131"/>
      <c r="H140" s="111">
        <v>135</v>
      </c>
      <c r="I140" s="112" t="str">
        <f t="shared" si="11"/>
        <v/>
      </c>
      <c r="J140" s="111" t="e">
        <f t="shared" si="14"/>
        <v>#NUM!</v>
      </c>
      <c r="K140" s="111" t="e">
        <f t="shared" si="12"/>
        <v>#NUM!</v>
      </c>
      <c r="L140" s="111"/>
      <c r="M140" s="113">
        <f t="shared" si="13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s="96" customFormat="1">
      <c r="A141" s="132"/>
      <c r="B141" s="131"/>
      <c r="C141" s="131"/>
      <c r="D141" s="131"/>
      <c r="E141" s="131"/>
      <c r="F141" s="131"/>
      <c r="H141" s="111">
        <v>136</v>
      </c>
      <c r="I141" s="112" t="str">
        <f t="shared" si="11"/>
        <v/>
      </c>
      <c r="J141" s="111" t="e">
        <f t="shared" si="14"/>
        <v>#NUM!</v>
      </c>
      <c r="K141" s="111" t="e">
        <f t="shared" si="12"/>
        <v>#NUM!</v>
      </c>
      <c r="L141" s="111"/>
      <c r="M141" s="113">
        <f t="shared" si="13"/>
        <v>0</v>
      </c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s="96" customFormat="1">
      <c r="A142" s="132"/>
      <c r="B142" s="131"/>
      <c r="C142" s="131"/>
      <c r="D142" s="131"/>
      <c r="E142" s="131"/>
      <c r="F142" s="131"/>
      <c r="H142" s="111">
        <v>137</v>
      </c>
      <c r="I142" s="112" t="str">
        <f t="shared" si="11"/>
        <v/>
      </c>
      <c r="J142" s="111" t="e">
        <f t="shared" si="14"/>
        <v>#NUM!</v>
      </c>
      <c r="K142" s="111" t="e">
        <f t="shared" si="12"/>
        <v>#NUM!</v>
      </c>
      <c r="L142" s="111"/>
      <c r="M142" s="113">
        <f t="shared" si="13"/>
        <v>0</v>
      </c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s="96" customFormat="1">
      <c r="A143" s="132"/>
      <c r="B143" s="131"/>
      <c r="C143" s="131"/>
      <c r="D143" s="131"/>
      <c r="E143" s="131"/>
      <c r="F143" s="131"/>
      <c r="H143" s="111">
        <v>138</v>
      </c>
      <c r="I143" s="112" t="str">
        <f t="shared" si="11"/>
        <v/>
      </c>
      <c r="J143" s="111" t="e">
        <f t="shared" si="14"/>
        <v>#NUM!</v>
      </c>
      <c r="K143" s="111" t="e">
        <f t="shared" si="12"/>
        <v>#NUM!</v>
      </c>
      <c r="L143" s="111"/>
      <c r="M143" s="113">
        <f t="shared" si="13"/>
        <v>0</v>
      </c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s="96" customFormat="1">
      <c r="A144" s="132"/>
      <c r="B144" s="131"/>
      <c r="C144" s="131"/>
      <c r="D144" s="131"/>
      <c r="E144" s="131"/>
      <c r="F144" s="131"/>
      <c r="H144" s="111">
        <v>139</v>
      </c>
      <c r="I144" s="112" t="str">
        <f t="shared" si="11"/>
        <v/>
      </c>
      <c r="J144" s="111" t="e">
        <f t="shared" si="14"/>
        <v>#NUM!</v>
      </c>
      <c r="K144" s="111" t="e">
        <f t="shared" si="12"/>
        <v>#NUM!</v>
      </c>
      <c r="L144" s="111"/>
      <c r="M144" s="113">
        <f t="shared" si="13"/>
        <v>0</v>
      </c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s="96" customFormat="1">
      <c r="A145" s="132"/>
      <c r="B145" s="131"/>
      <c r="C145" s="131"/>
      <c r="D145" s="131"/>
      <c r="E145" s="131"/>
      <c r="F145" s="131"/>
      <c r="H145" s="111">
        <v>140</v>
      </c>
      <c r="I145" s="112" t="str">
        <f t="shared" si="11"/>
        <v/>
      </c>
      <c r="J145" s="111" t="e">
        <f t="shared" si="14"/>
        <v>#NUM!</v>
      </c>
      <c r="K145" s="111" t="e">
        <f t="shared" si="12"/>
        <v>#NUM!</v>
      </c>
      <c r="L145" s="111"/>
      <c r="M145" s="113">
        <f t="shared" si="13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2"/>
      <c r="B146" s="131"/>
      <c r="C146" s="131"/>
      <c r="D146" s="131"/>
      <c r="E146" s="131"/>
      <c r="F146" s="131"/>
      <c r="H146" s="111">
        <v>141</v>
      </c>
      <c r="I146" s="112" t="str">
        <f t="shared" si="11"/>
        <v/>
      </c>
      <c r="J146" s="111" t="e">
        <f t="shared" si="14"/>
        <v>#NUM!</v>
      </c>
      <c r="K146" s="111" t="e">
        <f t="shared" si="12"/>
        <v>#NUM!</v>
      </c>
      <c r="L146" s="111"/>
      <c r="M146" s="113">
        <f t="shared" si="13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2"/>
      <c r="B147" s="131"/>
      <c r="C147" s="131"/>
      <c r="D147" s="131"/>
      <c r="E147" s="131"/>
      <c r="F147" s="131"/>
      <c r="H147" s="111">
        <v>142</v>
      </c>
      <c r="I147" s="112" t="str">
        <f t="shared" si="11"/>
        <v/>
      </c>
      <c r="J147" s="111" t="e">
        <f t="shared" si="14"/>
        <v>#NUM!</v>
      </c>
      <c r="K147" s="111" t="e">
        <f t="shared" si="12"/>
        <v>#NUM!</v>
      </c>
      <c r="L147" s="111"/>
      <c r="M147" s="113">
        <f t="shared" si="13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2"/>
      <c r="B148" s="131"/>
      <c r="C148" s="131"/>
      <c r="D148" s="131"/>
      <c r="E148" s="131"/>
      <c r="F148" s="131"/>
      <c r="H148" s="111">
        <v>143</v>
      </c>
      <c r="I148" s="112" t="str">
        <f t="shared" si="11"/>
        <v/>
      </c>
      <c r="J148" s="111" t="e">
        <f t="shared" si="14"/>
        <v>#NUM!</v>
      </c>
      <c r="K148" s="111" t="e">
        <f t="shared" si="12"/>
        <v>#NUM!</v>
      </c>
      <c r="L148" s="111"/>
      <c r="M148" s="113">
        <f t="shared" si="13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2"/>
      <c r="B149" s="131"/>
      <c r="C149" s="131"/>
      <c r="D149" s="131"/>
      <c r="E149" s="131"/>
      <c r="F149" s="131"/>
      <c r="H149" s="111">
        <v>144</v>
      </c>
      <c r="I149" s="112" t="str">
        <f t="shared" si="11"/>
        <v/>
      </c>
      <c r="J149" s="111" t="e">
        <f t="shared" si="14"/>
        <v>#NUM!</v>
      </c>
      <c r="K149" s="111" t="e">
        <f t="shared" si="12"/>
        <v>#NUM!</v>
      </c>
      <c r="L149" s="111"/>
      <c r="M149" s="113">
        <f t="shared" si="13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2"/>
      <c r="B150" s="131"/>
      <c r="C150" s="131"/>
      <c r="D150" s="131"/>
      <c r="E150" s="131"/>
      <c r="F150" s="131"/>
      <c r="H150" s="111">
        <v>145</v>
      </c>
      <c r="I150" s="112" t="str">
        <f t="shared" si="11"/>
        <v/>
      </c>
      <c r="J150" s="111" t="e">
        <f t="shared" si="14"/>
        <v>#NUM!</v>
      </c>
      <c r="K150" s="111" t="e">
        <f t="shared" si="12"/>
        <v>#NUM!</v>
      </c>
      <c r="L150" s="111"/>
      <c r="M150" s="113">
        <f t="shared" si="13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2"/>
      <c r="B151" s="131"/>
      <c r="C151" s="131"/>
      <c r="D151" s="131"/>
      <c r="E151" s="131"/>
      <c r="F151" s="131"/>
      <c r="H151" s="111">
        <v>146</v>
      </c>
      <c r="I151" s="112" t="str">
        <f t="shared" si="11"/>
        <v/>
      </c>
      <c r="J151" s="111" t="e">
        <f t="shared" si="14"/>
        <v>#NUM!</v>
      </c>
      <c r="K151" s="111" t="e">
        <f t="shared" si="12"/>
        <v>#NUM!</v>
      </c>
      <c r="L151" s="111"/>
      <c r="M151" s="113">
        <f t="shared" si="13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2"/>
      <c r="B152" s="131"/>
      <c r="C152" s="131"/>
      <c r="D152" s="131"/>
      <c r="E152" s="131"/>
      <c r="F152" s="131"/>
      <c r="H152" s="111">
        <v>147</v>
      </c>
      <c r="I152" s="112" t="str">
        <f t="shared" si="11"/>
        <v/>
      </c>
      <c r="J152" s="111" t="e">
        <f t="shared" si="14"/>
        <v>#NUM!</v>
      </c>
      <c r="K152" s="111" t="e">
        <f t="shared" si="12"/>
        <v>#NUM!</v>
      </c>
      <c r="L152" s="111"/>
      <c r="M152" s="113">
        <f t="shared" si="13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2"/>
      <c r="B153" s="131"/>
      <c r="C153" s="131"/>
      <c r="D153" s="131"/>
      <c r="E153" s="131"/>
      <c r="F153" s="131"/>
      <c r="H153" s="111">
        <v>148</v>
      </c>
      <c r="I153" s="112" t="str">
        <f t="shared" si="11"/>
        <v/>
      </c>
      <c r="J153" s="111" t="e">
        <f t="shared" si="14"/>
        <v>#NUM!</v>
      </c>
      <c r="K153" s="111" t="e">
        <f t="shared" si="12"/>
        <v>#NUM!</v>
      </c>
      <c r="L153" s="111"/>
      <c r="M153" s="113">
        <f t="shared" si="13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2"/>
      <c r="B154" s="131"/>
      <c r="C154" s="131"/>
      <c r="D154" s="131"/>
      <c r="E154" s="131"/>
      <c r="F154" s="131"/>
      <c r="H154" s="111">
        <v>149</v>
      </c>
      <c r="I154" s="112" t="str">
        <f t="shared" si="11"/>
        <v/>
      </c>
      <c r="J154" s="111" t="e">
        <f t="shared" si="14"/>
        <v>#NUM!</v>
      </c>
      <c r="K154" s="111" t="e">
        <f t="shared" si="12"/>
        <v>#NUM!</v>
      </c>
      <c r="L154" s="111"/>
      <c r="M154" s="113">
        <f t="shared" si="13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1">
        <v>150</v>
      </c>
      <c r="I155" s="112" t="str">
        <f t="shared" si="11"/>
        <v/>
      </c>
      <c r="J155" s="111" t="e">
        <f t="shared" si="14"/>
        <v>#NUM!</v>
      </c>
      <c r="K155" s="111" t="e">
        <f t="shared" si="12"/>
        <v>#NUM!</v>
      </c>
      <c r="L155" s="111"/>
      <c r="M155" s="113">
        <f t="shared" si="13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1"/>
        <v/>
      </c>
      <c r="J156" s="111" t="e">
        <f t="shared" si="14"/>
        <v>#NUM!</v>
      </c>
      <c r="K156" s="111" t="e">
        <f t="shared" si="12"/>
        <v>#NUM!</v>
      </c>
      <c r="L156" s="111"/>
      <c r="M156" s="113">
        <f t="shared" si="13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1">
        <v>152</v>
      </c>
      <c r="I157" s="112" t="str">
        <f t="shared" si="11"/>
        <v/>
      </c>
      <c r="J157" s="111" t="e">
        <f t="shared" si="14"/>
        <v>#NUM!</v>
      </c>
      <c r="K157" s="111" t="e">
        <f t="shared" si="12"/>
        <v>#NUM!</v>
      </c>
      <c r="L157" s="111"/>
      <c r="M157" s="113">
        <f t="shared" si="13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1"/>
        <v/>
      </c>
      <c r="J158" s="111" t="e">
        <f t="shared" si="14"/>
        <v>#NUM!</v>
      </c>
      <c r="K158" s="111" t="e">
        <f t="shared" si="12"/>
        <v>#NUM!</v>
      </c>
      <c r="L158" s="111"/>
      <c r="M158" s="113">
        <f t="shared" si="13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1">
        <v>154</v>
      </c>
      <c r="I159" s="112" t="str">
        <f t="shared" si="11"/>
        <v/>
      </c>
      <c r="J159" s="111" t="e">
        <f t="shared" si="14"/>
        <v>#NUM!</v>
      </c>
      <c r="K159" s="111" t="e">
        <f t="shared" si="12"/>
        <v>#NUM!</v>
      </c>
      <c r="L159" s="111"/>
      <c r="M159" s="113">
        <f t="shared" si="13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1"/>
        <v/>
      </c>
      <c r="J160" s="111" t="e">
        <f t="shared" si="14"/>
        <v>#NUM!</v>
      </c>
      <c r="K160" s="111" t="e">
        <f t="shared" si="12"/>
        <v>#NUM!</v>
      </c>
      <c r="L160" s="111"/>
      <c r="M160" s="113">
        <f t="shared" si="13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1">
        <v>156</v>
      </c>
      <c r="I161" s="112" t="str">
        <f t="shared" si="11"/>
        <v/>
      </c>
      <c r="J161" s="111" t="e">
        <f t="shared" si="14"/>
        <v>#NUM!</v>
      </c>
      <c r="K161" s="111" t="e">
        <f t="shared" si="12"/>
        <v>#NUM!</v>
      </c>
      <c r="L161" s="111"/>
      <c r="M161" s="113">
        <f t="shared" si="13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1"/>
        <v/>
      </c>
      <c r="J162" s="111" t="e">
        <f t="shared" si="14"/>
        <v>#NUM!</v>
      </c>
      <c r="K162" s="111" t="e">
        <f t="shared" si="12"/>
        <v>#NUM!</v>
      </c>
      <c r="L162" s="111"/>
      <c r="M162" s="113">
        <f t="shared" si="13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1">
        <v>158</v>
      </c>
      <c r="I163" s="112" t="str">
        <f t="shared" si="11"/>
        <v/>
      </c>
      <c r="J163" s="111" t="e">
        <f t="shared" si="14"/>
        <v>#NUM!</v>
      </c>
      <c r="K163" s="111" t="e">
        <f t="shared" si="12"/>
        <v>#NUM!</v>
      </c>
      <c r="L163" s="111"/>
      <c r="M163" s="113">
        <f t="shared" si="13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1"/>
        <v/>
      </c>
      <c r="J164" s="111" t="e">
        <f t="shared" si="14"/>
        <v>#NUM!</v>
      </c>
      <c r="K164" s="111" t="e">
        <f t="shared" si="12"/>
        <v>#NUM!</v>
      </c>
      <c r="L164" s="111"/>
      <c r="M164" s="113">
        <f t="shared" si="13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1">
        <v>160</v>
      </c>
      <c r="I165" s="112" t="str">
        <f t="shared" si="11"/>
        <v/>
      </c>
      <c r="J165" s="111" t="e">
        <f t="shared" si="14"/>
        <v>#NUM!</v>
      </c>
      <c r="K165" s="111" t="e">
        <f t="shared" si="12"/>
        <v>#NUM!</v>
      </c>
      <c r="L165" s="111"/>
      <c r="M165" s="113">
        <f t="shared" si="13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1"/>
        <v/>
      </c>
      <c r="J166" s="111" t="e">
        <f t="shared" si="14"/>
        <v>#NUM!</v>
      </c>
      <c r="K166" s="111" t="e">
        <f t="shared" si="12"/>
        <v>#NUM!</v>
      </c>
      <c r="L166" s="111"/>
      <c r="M166" s="113">
        <f t="shared" si="13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1">
        <v>162</v>
      </c>
      <c r="I167" s="112" t="str">
        <f t="shared" si="11"/>
        <v/>
      </c>
      <c r="J167" s="111" t="e">
        <f t="shared" si="14"/>
        <v>#NUM!</v>
      </c>
      <c r="K167" s="111" t="e">
        <f t="shared" si="12"/>
        <v>#NUM!</v>
      </c>
      <c r="L167" s="111"/>
      <c r="M167" s="113">
        <f t="shared" si="13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1"/>
        <v/>
      </c>
      <c r="J168" s="111" t="e">
        <f t="shared" si="14"/>
        <v>#NUM!</v>
      </c>
      <c r="K168" s="111" t="e">
        <f t="shared" si="12"/>
        <v>#NUM!</v>
      </c>
      <c r="L168" s="111"/>
      <c r="M168" s="113">
        <f t="shared" si="13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1">
        <v>164</v>
      </c>
      <c r="I169" s="112" t="str">
        <f t="shared" si="11"/>
        <v/>
      </c>
      <c r="J169" s="111" t="e">
        <f t="shared" si="14"/>
        <v>#NUM!</v>
      </c>
      <c r="K169" s="111" t="e">
        <f t="shared" si="12"/>
        <v>#NUM!</v>
      </c>
      <c r="L169" s="111"/>
      <c r="M169" s="113">
        <f t="shared" si="13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1"/>
        <v/>
      </c>
      <c r="J170" s="111" t="e">
        <f t="shared" si="14"/>
        <v>#NUM!</v>
      </c>
      <c r="K170" s="111" t="e">
        <f t="shared" si="12"/>
        <v>#NUM!</v>
      </c>
      <c r="L170" s="111"/>
      <c r="M170" s="113">
        <f t="shared" si="13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1">
        <v>166</v>
      </c>
      <c r="I171" s="112" t="str">
        <f t="shared" si="11"/>
        <v/>
      </c>
      <c r="J171" s="111" t="e">
        <f t="shared" si="14"/>
        <v>#NUM!</v>
      </c>
      <c r="K171" s="111" t="e">
        <f t="shared" si="12"/>
        <v>#NUM!</v>
      </c>
      <c r="L171" s="111"/>
      <c r="M171" s="113">
        <f t="shared" si="13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1"/>
        <v/>
      </c>
      <c r="J172" s="111" t="e">
        <f t="shared" si="14"/>
        <v>#NUM!</v>
      </c>
      <c r="K172" s="111" t="e">
        <f t="shared" si="12"/>
        <v>#NUM!</v>
      </c>
      <c r="L172" s="111"/>
      <c r="M172" s="113">
        <f t="shared" si="13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1">
        <v>168</v>
      </c>
      <c r="I173" s="112" t="str">
        <f t="shared" si="11"/>
        <v/>
      </c>
      <c r="J173" s="111" t="e">
        <f t="shared" si="14"/>
        <v>#NUM!</v>
      </c>
      <c r="K173" s="111" t="e">
        <f t="shared" si="12"/>
        <v>#NUM!</v>
      </c>
      <c r="L173" s="111"/>
      <c r="M173" s="113">
        <f t="shared" si="13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1"/>
        <v/>
      </c>
      <c r="J174" s="111" t="e">
        <f t="shared" si="14"/>
        <v>#NUM!</v>
      </c>
      <c r="K174" s="111" t="e">
        <f t="shared" si="12"/>
        <v>#NUM!</v>
      </c>
      <c r="L174" s="111"/>
      <c r="M174" s="113">
        <f t="shared" si="13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1">
        <v>170</v>
      </c>
      <c r="I175" s="112" t="str">
        <f t="shared" si="11"/>
        <v/>
      </c>
      <c r="J175" s="111" t="e">
        <f t="shared" si="14"/>
        <v>#NUM!</v>
      </c>
      <c r="K175" s="111" t="e">
        <f t="shared" si="12"/>
        <v>#NUM!</v>
      </c>
      <c r="L175" s="111"/>
      <c r="M175" s="113">
        <f t="shared" si="13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1"/>
        <v/>
      </c>
      <c r="J176" s="111" t="e">
        <f t="shared" si="14"/>
        <v>#NUM!</v>
      </c>
      <c r="K176" s="111" t="e">
        <f t="shared" si="12"/>
        <v>#NUM!</v>
      </c>
      <c r="L176" s="111"/>
      <c r="M176" s="113">
        <f t="shared" si="13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1">
        <v>172</v>
      </c>
      <c r="I177" s="112" t="str">
        <f t="shared" si="11"/>
        <v/>
      </c>
      <c r="J177" s="111" t="e">
        <f t="shared" si="14"/>
        <v>#NUM!</v>
      </c>
      <c r="K177" s="111" t="e">
        <f t="shared" si="12"/>
        <v>#NUM!</v>
      </c>
      <c r="L177" s="111"/>
      <c r="M177" s="113">
        <f t="shared" si="13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1"/>
        <v/>
      </c>
      <c r="J178" s="111" t="e">
        <f t="shared" si="14"/>
        <v>#NUM!</v>
      </c>
      <c r="K178" s="111" t="e">
        <f t="shared" si="12"/>
        <v>#NUM!</v>
      </c>
      <c r="L178" s="111"/>
      <c r="M178" s="113">
        <f t="shared" si="13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1">
        <v>174</v>
      </c>
      <c r="I179" s="112" t="str">
        <f t="shared" si="11"/>
        <v/>
      </c>
      <c r="J179" s="111" t="e">
        <f t="shared" si="14"/>
        <v>#NUM!</v>
      </c>
      <c r="K179" s="111" t="e">
        <f t="shared" si="12"/>
        <v>#NUM!</v>
      </c>
      <c r="L179" s="111"/>
      <c r="M179" s="113">
        <f t="shared" si="13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1"/>
        <v/>
      </c>
      <c r="J180" s="111" t="e">
        <f t="shared" si="14"/>
        <v>#NUM!</v>
      </c>
      <c r="K180" s="111" t="e">
        <f t="shared" si="12"/>
        <v>#NUM!</v>
      </c>
      <c r="L180" s="111"/>
      <c r="M180" s="113">
        <f t="shared" si="13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1">
        <v>176</v>
      </c>
      <c r="I181" s="112" t="str">
        <f t="shared" si="11"/>
        <v/>
      </c>
      <c r="J181" s="111" t="e">
        <f t="shared" si="14"/>
        <v>#NUM!</v>
      </c>
      <c r="K181" s="111" t="e">
        <f t="shared" si="12"/>
        <v>#NUM!</v>
      </c>
      <c r="L181" s="111"/>
      <c r="M181" s="113">
        <f t="shared" si="13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1"/>
        <v/>
      </c>
      <c r="J182" s="111" t="e">
        <f t="shared" si="14"/>
        <v>#NUM!</v>
      </c>
      <c r="K182" s="111" t="e">
        <f t="shared" si="12"/>
        <v>#NUM!</v>
      </c>
      <c r="L182" s="111"/>
      <c r="M182" s="113">
        <f t="shared" si="13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1">
        <v>178</v>
      </c>
      <c r="I183" s="112" t="str">
        <f t="shared" si="11"/>
        <v/>
      </c>
      <c r="J183" s="111" t="e">
        <f t="shared" si="14"/>
        <v>#NUM!</v>
      </c>
      <c r="K183" s="111" t="e">
        <f t="shared" si="12"/>
        <v>#NUM!</v>
      </c>
      <c r="L183" s="111"/>
      <c r="M183" s="113">
        <f t="shared" si="13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1"/>
        <v/>
      </c>
      <c r="J184" s="111" t="e">
        <f t="shared" si="14"/>
        <v>#NUM!</v>
      </c>
      <c r="K184" s="111" t="e">
        <f t="shared" si="12"/>
        <v>#NUM!</v>
      </c>
      <c r="L184" s="111"/>
      <c r="M184" s="113">
        <f t="shared" si="13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1">
        <v>180</v>
      </c>
      <c r="I185" s="112" t="str">
        <f t="shared" si="11"/>
        <v/>
      </c>
      <c r="J185" s="111" t="e">
        <f t="shared" si="14"/>
        <v>#NUM!</v>
      </c>
      <c r="K185" s="111" t="e">
        <f t="shared" si="12"/>
        <v>#NUM!</v>
      </c>
      <c r="L185" s="111"/>
      <c r="M185" s="113">
        <f t="shared" si="13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1"/>
        <v/>
      </c>
      <c r="J186" s="111" t="e">
        <f t="shared" si="14"/>
        <v>#NUM!</v>
      </c>
      <c r="K186" s="111" t="e">
        <f t="shared" si="12"/>
        <v>#NUM!</v>
      </c>
      <c r="L186" s="111"/>
      <c r="M186" s="113">
        <f t="shared" si="13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1">
        <v>182</v>
      </c>
      <c r="I187" s="112" t="str">
        <f t="shared" si="11"/>
        <v/>
      </c>
      <c r="J187" s="111" t="e">
        <f t="shared" si="14"/>
        <v>#NUM!</v>
      </c>
      <c r="K187" s="111" t="e">
        <f t="shared" si="12"/>
        <v>#NUM!</v>
      </c>
      <c r="L187" s="111"/>
      <c r="M187" s="113">
        <f t="shared" si="13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1"/>
        <v/>
      </c>
      <c r="J188" s="111" t="e">
        <f t="shared" si="14"/>
        <v>#NUM!</v>
      </c>
      <c r="K188" s="111" t="e">
        <f t="shared" si="12"/>
        <v>#NUM!</v>
      </c>
      <c r="L188" s="111"/>
      <c r="M188" s="113">
        <f t="shared" si="13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1">
        <v>184</v>
      </c>
      <c r="I189" s="112" t="str">
        <f t="shared" si="11"/>
        <v/>
      </c>
      <c r="J189" s="111" t="e">
        <f t="shared" si="14"/>
        <v>#NUM!</v>
      </c>
      <c r="K189" s="111" t="e">
        <f t="shared" si="12"/>
        <v>#NUM!</v>
      </c>
      <c r="L189" s="111"/>
      <c r="M189" s="113">
        <f t="shared" si="13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1"/>
        <v/>
      </c>
      <c r="J190" s="111" t="e">
        <f t="shared" si="14"/>
        <v>#NUM!</v>
      </c>
      <c r="K190" s="111" t="e">
        <f t="shared" si="12"/>
        <v>#NUM!</v>
      </c>
      <c r="L190" s="111"/>
      <c r="M190" s="113">
        <f t="shared" si="13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1">
        <v>186</v>
      </c>
      <c r="I191" s="112" t="str">
        <f t="shared" si="11"/>
        <v/>
      </c>
      <c r="J191" s="111" t="e">
        <f t="shared" si="14"/>
        <v>#NUM!</v>
      </c>
      <c r="K191" s="111" t="e">
        <f t="shared" si="12"/>
        <v>#NUM!</v>
      </c>
      <c r="L191" s="111"/>
      <c r="M191" s="113">
        <f t="shared" si="13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1"/>
        <v/>
      </c>
      <c r="J192" s="111" t="e">
        <f t="shared" si="14"/>
        <v>#NUM!</v>
      </c>
      <c r="K192" s="111" t="e">
        <f t="shared" si="12"/>
        <v>#NUM!</v>
      </c>
      <c r="L192" s="111"/>
      <c r="M192" s="113">
        <f t="shared" si="13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1">
        <v>188</v>
      </c>
      <c r="I193" s="112" t="str">
        <f t="shared" si="11"/>
        <v/>
      </c>
      <c r="J193" s="111" t="e">
        <f t="shared" si="14"/>
        <v>#NUM!</v>
      </c>
      <c r="K193" s="111" t="e">
        <f t="shared" si="12"/>
        <v>#NUM!</v>
      </c>
      <c r="L193" s="111"/>
      <c r="M193" s="113">
        <f t="shared" si="13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1"/>
        <v/>
      </c>
      <c r="J194" s="111" t="e">
        <f t="shared" si="14"/>
        <v>#NUM!</v>
      </c>
      <c r="K194" s="111" t="e">
        <f t="shared" si="12"/>
        <v>#NUM!</v>
      </c>
      <c r="L194" s="111"/>
      <c r="M194" s="113">
        <f t="shared" si="13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1">
        <v>190</v>
      </c>
      <c r="I195" s="112" t="str">
        <f t="shared" si="11"/>
        <v/>
      </c>
      <c r="J195" s="111" t="e">
        <f t="shared" si="14"/>
        <v>#NUM!</v>
      </c>
      <c r="K195" s="111" t="e">
        <f t="shared" si="12"/>
        <v>#NUM!</v>
      </c>
      <c r="L195" s="111"/>
      <c r="M195" s="113">
        <f t="shared" si="13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1"/>
        <v/>
      </c>
      <c r="J196" s="111" t="e">
        <f t="shared" si="14"/>
        <v>#NUM!</v>
      </c>
      <c r="K196" s="111" t="e">
        <f t="shared" si="12"/>
        <v>#NUM!</v>
      </c>
      <c r="L196" s="111"/>
      <c r="M196" s="113">
        <f t="shared" si="13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1">
        <v>192</v>
      </c>
      <c r="I197" s="112" t="str">
        <f t="shared" si="11"/>
        <v/>
      </c>
      <c r="J197" s="111" t="e">
        <f t="shared" si="14"/>
        <v>#NUM!</v>
      </c>
      <c r="K197" s="111" t="e">
        <f t="shared" si="12"/>
        <v>#NUM!</v>
      </c>
      <c r="L197" s="111"/>
      <c r="M197" s="113">
        <f t="shared" si="13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5">IF(H198&lt;$H$2+1,($I$2-($I$2-1)*(LOG(H198)/LOG($H$2))),"")</f>
        <v/>
      </c>
      <c r="J198" s="111" t="e">
        <f t="shared" si="14"/>
        <v>#NUM!</v>
      </c>
      <c r="K198" s="111" t="e">
        <f t="shared" ref="K198:K261" si="16">J198*$J$2</f>
        <v>#NUM!</v>
      </c>
      <c r="L198" s="111"/>
      <c r="M198" s="113">
        <f t="shared" ref="M198:M261" si="17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1">
        <v>194</v>
      </c>
      <c r="I199" s="112" t="str">
        <f t="shared" si="15"/>
        <v/>
      </c>
      <c r="J199" s="111" t="e">
        <f t="shared" si="14"/>
        <v>#NUM!</v>
      </c>
      <c r="K199" s="111" t="e">
        <f t="shared" si="16"/>
        <v>#NUM!</v>
      </c>
      <c r="L199" s="111"/>
      <c r="M199" s="113">
        <f t="shared" si="17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5"/>
        <v/>
      </c>
      <c r="J200" s="111" t="e">
        <f t="shared" si="14"/>
        <v>#NUM!</v>
      </c>
      <c r="K200" s="111" t="e">
        <f t="shared" si="16"/>
        <v>#NUM!</v>
      </c>
      <c r="L200" s="111"/>
      <c r="M200" s="113">
        <f t="shared" si="17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1">
        <v>196</v>
      </c>
      <c r="I201" s="112" t="str">
        <f t="shared" si="15"/>
        <v/>
      </c>
      <c r="J201" s="111" t="e">
        <f t="shared" si="14"/>
        <v>#NUM!</v>
      </c>
      <c r="K201" s="111" t="e">
        <f t="shared" si="16"/>
        <v>#NUM!</v>
      </c>
      <c r="L201" s="111"/>
      <c r="M201" s="113">
        <f t="shared" si="17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5"/>
        <v/>
      </c>
      <c r="J202" s="111" t="e">
        <f t="shared" ref="J202:J265" si="18">INT(LOG($H$2,2))-ROUNDUP(LOG(H202,2),0)+IF(OR($H$2=1,$H$2=2,$H$2=4,$H$2=8,$H$2=16,$H$2=32,$H$2=64,$H$2=128,$H$2=256),0,1)</f>
        <v>#NUM!</v>
      </c>
      <c r="K202" s="111" t="e">
        <f t="shared" si="16"/>
        <v>#NUM!</v>
      </c>
      <c r="L202" s="111"/>
      <c r="M202" s="113">
        <f t="shared" si="17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1">
        <v>198</v>
      </c>
      <c r="I203" s="112" t="str">
        <f t="shared" si="15"/>
        <v/>
      </c>
      <c r="J203" s="111" t="e">
        <f t="shared" si="18"/>
        <v>#NUM!</v>
      </c>
      <c r="K203" s="111" t="e">
        <f t="shared" si="16"/>
        <v>#NUM!</v>
      </c>
      <c r="L203" s="111"/>
      <c r="M203" s="113">
        <f t="shared" si="17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5"/>
        <v/>
      </c>
      <c r="J204" s="111" t="e">
        <f t="shared" si="18"/>
        <v>#NUM!</v>
      </c>
      <c r="K204" s="111" t="e">
        <f t="shared" si="16"/>
        <v>#NUM!</v>
      </c>
      <c r="L204" s="111"/>
      <c r="M204" s="113">
        <f t="shared" si="17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1">
        <v>200</v>
      </c>
      <c r="I205" s="112" t="str">
        <f t="shared" si="15"/>
        <v/>
      </c>
      <c r="J205" s="111" t="e">
        <f t="shared" si="18"/>
        <v>#NUM!</v>
      </c>
      <c r="K205" s="111" t="e">
        <f t="shared" si="16"/>
        <v>#NUM!</v>
      </c>
      <c r="L205" s="111"/>
      <c r="M205" s="113">
        <f t="shared" si="17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5"/>
        <v/>
      </c>
      <c r="J206" s="111" t="e">
        <f t="shared" si="18"/>
        <v>#NUM!</v>
      </c>
      <c r="K206" s="111" t="e">
        <f t="shared" si="16"/>
        <v>#NUM!</v>
      </c>
      <c r="L206" s="111"/>
      <c r="M206" s="113">
        <f t="shared" si="17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1">
        <v>202</v>
      </c>
      <c r="I207" s="112" t="str">
        <f t="shared" si="15"/>
        <v/>
      </c>
      <c r="J207" s="111" t="e">
        <f t="shared" si="18"/>
        <v>#NUM!</v>
      </c>
      <c r="K207" s="111" t="e">
        <f t="shared" si="16"/>
        <v>#NUM!</v>
      </c>
      <c r="L207" s="111"/>
      <c r="M207" s="113">
        <f t="shared" si="17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5"/>
        <v/>
      </c>
      <c r="J208" s="111" t="e">
        <f t="shared" si="18"/>
        <v>#NUM!</v>
      </c>
      <c r="K208" s="111" t="e">
        <f t="shared" si="16"/>
        <v>#NUM!</v>
      </c>
      <c r="L208" s="111"/>
      <c r="M208" s="113">
        <f t="shared" si="17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1">
        <v>204</v>
      </c>
      <c r="I209" s="112" t="str">
        <f t="shared" si="15"/>
        <v/>
      </c>
      <c r="J209" s="111" t="e">
        <f t="shared" si="18"/>
        <v>#NUM!</v>
      </c>
      <c r="K209" s="111" t="e">
        <f t="shared" si="16"/>
        <v>#NUM!</v>
      </c>
      <c r="L209" s="111"/>
      <c r="M209" s="113">
        <f t="shared" si="17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5"/>
        <v/>
      </c>
      <c r="J210" s="111" t="e">
        <f t="shared" si="18"/>
        <v>#NUM!</v>
      </c>
      <c r="K210" s="111" t="e">
        <f t="shared" si="16"/>
        <v>#NUM!</v>
      </c>
      <c r="L210" s="111"/>
      <c r="M210" s="113">
        <f t="shared" si="17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1">
        <v>206</v>
      </c>
      <c r="I211" s="112" t="str">
        <f t="shared" si="15"/>
        <v/>
      </c>
      <c r="J211" s="111" t="e">
        <f t="shared" si="18"/>
        <v>#NUM!</v>
      </c>
      <c r="K211" s="111" t="e">
        <f t="shared" si="16"/>
        <v>#NUM!</v>
      </c>
      <c r="L211" s="111"/>
      <c r="M211" s="113">
        <f t="shared" si="17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5"/>
        <v/>
      </c>
      <c r="J212" s="111" t="e">
        <f t="shared" si="18"/>
        <v>#NUM!</v>
      </c>
      <c r="K212" s="111" t="e">
        <f t="shared" si="16"/>
        <v>#NUM!</v>
      </c>
      <c r="L212" s="111"/>
      <c r="M212" s="113">
        <f t="shared" si="17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1">
        <v>208</v>
      </c>
      <c r="I213" s="112" t="str">
        <f t="shared" si="15"/>
        <v/>
      </c>
      <c r="J213" s="111" t="e">
        <f t="shared" si="18"/>
        <v>#NUM!</v>
      </c>
      <c r="K213" s="111" t="e">
        <f t="shared" si="16"/>
        <v>#NUM!</v>
      </c>
      <c r="L213" s="111"/>
      <c r="M213" s="113">
        <f t="shared" si="17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5"/>
        <v/>
      </c>
      <c r="J214" s="111" t="e">
        <f t="shared" si="18"/>
        <v>#NUM!</v>
      </c>
      <c r="K214" s="111" t="e">
        <f t="shared" si="16"/>
        <v>#NUM!</v>
      </c>
      <c r="L214" s="111"/>
      <c r="M214" s="113">
        <f t="shared" si="17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1">
        <v>210</v>
      </c>
      <c r="I215" s="112" t="str">
        <f t="shared" si="15"/>
        <v/>
      </c>
      <c r="J215" s="111" t="e">
        <f t="shared" si="18"/>
        <v>#NUM!</v>
      </c>
      <c r="K215" s="111" t="e">
        <f t="shared" si="16"/>
        <v>#NUM!</v>
      </c>
      <c r="L215" s="111"/>
      <c r="M215" s="113">
        <f t="shared" si="17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5"/>
        <v/>
      </c>
      <c r="J216" s="111" t="e">
        <f t="shared" si="18"/>
        <v>#NUM!</v>
      </c>
      <c r="K216" s="111" t="e">
        <f t="shared" si="16"/>
        <v>#NUM!</v>
      </c>
      <c r="L216" s="111"/>
      <c r="M216" s="113">
        <f t="shared" si="17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1">
        <v>212</v>
      </c>
      <c r="I217" s="112" t="str">
        <f t="shared" si="15"/>
        <v/>
      </c>
      <c r="J217" s="111" t="e">
        <f t="shared" si="18"/>
        <v>#NUM!</v>
      </c>
      <c r="K217" s="111" t="e">
        <f t="shared" si="16"/>
        <v>#NUM!</v>
      </c>
      <c r="L217" s="111"/>
      <c r="M217" s="113">
        <f t="shared" si="17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5"/>
        <v/>
      </c>
      <c r="J218" s="111" t="e">
        <f t="shared" si="18"/>
        <v>#NUM!</v>
      </c>
      <c r="K218" s="111" t="e">
        <f t="shared" si="16"/>
        <v>#NUM!</v>
      </c>
      <c r="L218" s="111"/>
      <c r="M218" s="113">
        <f t="shared" si="17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1">
        <v>214</v>
      </c>
      <c r="I219" s="112" t="str">
        <f t="shared" si="15"/>
        <v/>
      </c>
      <c r="J219" s="111" t="e">
        <f t="shared" si="18"/>
        <v>#NUM!</v>
      </c>
      <c r="K219" s="111" t="e">
        <f t="shared" si="16"/>
        <v>#NUM!</v>
      </c>
      <c r="L219" s="111"/>
      <c r="M219" s="113">
        <f t="shared" si="17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5"/>
        <v/>
      </c>
      <c r="J220" s="111" t="e">
        <f t="shared" si="18"/>
        <v>#NUM!</v>
      </c>
      <c r="K220" s="111" t="e">
        <f t="shared" si="16"/>
        <v>#NUM!</v>
      </c>
      <c r="L220" s="111"/>
      <c r="M220" s="113">
        <f t="shared" si="17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1">
        <v>216</v>
      </c>
      <c r="I221" s="112" t="str">
        <f t="shared" si="15"/>
        <v/>
      </c>
      <c r="J221" s="111" t="e">
        <f t="shared" si="18"/>
        <v>#NUM!</v>
      </c>
      <c r="K221" s="111" t="e">
        <f t="shared" si="16"/>
        <v>#NUM!</v>
      </c>
      <c r="L221" s="111"/>
      <c r="M221" s="113">
        <f t="shared" si="17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5"/>
        <v/>
      </c>
      <c r="J222" s="111" t="e">
        <f t="shared" si="18"/>
        <v>#NUM!</v>
      </c>
      <c r="K222" s="111" t="e">
        <f t="shared" si="16"/>
        <v>#NUM!</v>
      </c>
      <c r="L222" s="111"/>
      <c r="M222" s="113">
        <f t="shared" si="17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1">
        <v>218</v>
      </c>
      <c r="I223" s="112" t="str">
        <f t="shared" si="15"/>
        <v/>
      </c>
      <c r="J223" s="111" t="e">
        <f t="shared" si="18"/>
        <v>#NUM!</v>
      </c>
      <c r="K223" s="111" t="e">
        <f t="shared" si="16"/>
        <v>#NUM!</v>
      </c>
      <c r="L223" s="111"/>
      <c r="M223" s="113">
        <f t="shared" si="17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5"/>
        <v/>
      </c>
      <c r="J224" s="111" t="e">
        <f t="shared" si="18"/>
        <v>#NUM!</v>
      </c>
      <c r="K224" s="111" t="e">
        <f t="shared" si="16"/>
        <v>#NUM!</v>
      </c>
      <c r="L224" s="111"/>
      <c r="M224" s="113">
        <f t="shared" si="17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1">
        <v>220</v>
      </c>
      <c r="I225" s="112" t="str">
        <f t="shared" si="15"/>
        <v/>
      </c>
      <c r="J225" s="111" t="e">
        <f t="shared" si="18"/>
        <v>#NUM!</v>
      </c>
      <c r="K225" s="111" t="e">
        <f t="shared" si="16"/>
        <v>#NUM!</v>
      </c>
      <c r="L225" s="111"/>
      <c r="M225" s="113">
        <f t="shared" si="17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5"/>
        <v/>
      </c>
      <c r="J226" s="111" t="e">
        <f t="shared" si="18"/>
        <v>#NUM!</v>
      </c>
      <c r="K226" s="111" t="e">
        <f t="shared" si="16"/>
        <v>#NUM!</v>
      </c>
      <c r="L226" s="111"/>
      <c r="M226" s="113">
        <f t="shared" si="17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1">
        <v>222</v>
      </c>
      <c r="I227" s="112" t="str">
        <f t="shared" si="15"/>
        <v/>
      </c>
      <c r="J227" s="111" t="e">
        <f t="shared" si="18"/>
        <v>#NUM!</v>
      </c>
      <c r="K227" s="111" t="e">
        <f t="shared" si="16"/>
        <v>#NUM!</v>
      </c>
      <c r="L227" s="111"/>
      <c r="M227" s="113">
        <f t="shared" si="17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5"/>
        <v/>
      </c>
      <c r="J228" s="111" t="e">
        <f t="shared" si="18"/>
        <v>#NUM!</v>
      </c>
      <c r="K228" s="111" t="e">
        <f t="shared" si="16"/>
        <v>#NUM!</v>
      </c>
      <c r="L228" s="111"/>
      <c r="M228" s="113">
        <f t="shared" si="17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1">
        <v>224</v>
      </c>
      <c r="I229" s="112" t="str">
        <f t="shared" si="15"/>
        <v/>
      </c>
      <c r="J229" s="111" t="e">
        <f t="shared" si="18"/>
        <v>#NUM!</v>
      </c>
      <c r="K229" s="111" t="e">
        <f t="shared" si="16"/>
        <v>#NUM!</v>
      </c>
      <c r="L229" s="111"/>
      <c r="M229" s="113">
        <f t="shared" si="17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5"/>
        <v/>
      </c>
      <c r="J230" s="111" t="e">
        <f t="shared" si="18"/>
        <v>#NUM!</v>
      </c>
      <c r="K230" s="111" t="e">
        <f t="shared" si="16"/>
        <v>#NUM!</v>
      </c>
      <c r="L230" s="111"/>
      <c r="M230" s="113">
        <f t="shared" si="17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1">
        <v>226</v>
      </c>
      <c r="I231" s="112" t="str">
        <f t="shared" si="15"/>
        <v/>
      </c>
      <c r="J231" s="111" t="e">
        <f t="shared" si="18"/>
        <v>#NUM!</v>
      </c>
      <c r="K231" s="111" t="e">
        <f t="shared" si="16"/>
        <v>#NUM!</v>
      </c>
      <c r="L231" s="111"/>
      <c r="M231" s="113">
        <f t="shared" si="17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5"/>
        <v/>
      </c>
      <c r="J232" s="111" t="e">
        <f t="shared" si="18"/>
        <v>#NUM!</v>
      </c>
      <c r="K232" s="111" t="e">
        <f t="shared" si="16"/>
        <v>#NUM!</v>
      </c>
      <c r="L232" s="111"/>
      <c r="M232" s="113">
        <f t="shared" si="17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1">
        <v>228</v>
      </c>
      <c r="I233" s="112" t="str">
        <f t="shared" si="15"/>
        <v/>
      </c>
      <c r="J233" s="111" t="e">
        <f t="shared" si="18"/>
        <v>#NUM!</v>
      </c>
      <c r="K233" s="111" t="e">
        <f t="shared" si="16"/>
        <v>#NUM!</v>
      </c>
      <c r="L233" s="111"/>
      <c r="M233" s="113">
        <f t="shared" si="17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5"/>
        <v/>
      </c>
      <c r="J234" s="111" t="e">
        <f t="shared" si="18"/>
        <v>#NUM!</v>
      </c>
      <c r="K234" s="111" t="e">
        <f t="shared" si="16"/>
        <v>#NUM!</v>
      </c>
      <c r="L234" s="111"/>
      <c r="M234" s="113">
        <f t="shared" si="17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1">
        <v>230</v>
      </c>
      <c r="I235" s="112" t="str">
        <f t="shared" si="15"/>
        <v/>
      </c>
      <c r="J235" s="111" t="e">
        <f t="shared" si="18"/>
        <v>#NUM!</v>
      </c>
      <c r="K235" s="111" t="e">
        <f t="shared" si="16"/>
        <v>#NUM!</v>
      </c>
      <c r="L235" s="111"/>
      <c r="M235" s="113">
        <f t="shared" si="17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5"/>
        <v/>
      </c>
      <c r="J236" s="111" t="e">
        <f t="shared" si="18"/>
        <v>#NUM!</v>
      </c>
      <c r="K236" s="111" t="e">
        <f t="shared" si="16"/>
        <v>#NUM!</v>
      </c>
      <c r="L236" s="111"/>
      <c r="M236" s="113">
        <f t="shared" si="17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1">
        <v>232</v>
      </c>
      <c r="I237" s="112" t="str">
        <f t="shared" si="15"/>
        <v/>
      </c>
      <c r="J237" s="111" t="e">
        <f t="shared" si="18"/>
        <v>#NUM!</v>
      </c>
      <c r="K237" s="111" t="e">
        <f t="shared" si="16"/>
        <v>#NUM!</v>
      </c>
      <c r="L237" s="111"/>
      <c r="M237" s="113">
        <f t="shared" si="17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5"/>
        <v/>
      </c>
      <c r="J238" s="111" t="e">
        <f t="shared" si="18"/>
        <v>#NUM!</v>
      </c>
      <c r="K238" s="111" t="e">
        <f t="shared" si="16"/>
        <v>#NUM!</v>
      </c>
      <c r="L238" s="111"/>
      <c r="M238" s="113">
        <f t="shared" si="17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1">
        <v>234</v>
      </c>
      <c r="I239" s="112" t="str">
        <f t="shared" si="15"/>
        <v/>
      </c>
      <c r="J239" s="111" t="e">
        <f t="shared" si="18"/>
        <v>#NUM!</v>
      </c>
      <c r="K239" s="111" t="e">
        <f t="shared" si="16"/>
        <v>#NUM!</v>
      </c>
      <c r="L239" s="111"/>
      <c r="M239" s="113">
        <f t="shared" si="17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5"/>
        <v/>
      </c>
      <c r="J240" s="111" t="e">
        <f t="shared" si="18"/>
        <v>#NUM!</v>
      </c>
      <c r="K240" s="111" t="e">
        <f t="shared" si="16"/>
        <v>#NUM!</v>
      </c>
      <c r="L240" s="111"/>
      <c r="M240" s="113">
        <f t="shared" si="17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1">
        <v>236</v>
      </c>
      <c r="I241" s="112" t="str">
        <f t="shared" si="15"/>
        <v/>
      </c>
      <c r="J241" s="111" t="e">
        <f t="shared" si="18"/>
        <v>#NUM!</v>
      </c>
      <c r="K241" s="111" t="e">
        <f t="shared" si="16"/>
        <v>#NUM!</v>
      </c>
      <c r="L241" s="111"/>
      <c r="M241" s="113">
        <f t="shared" si="17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5"/>
        <v/>
      </c>
      <c r="J242" s="111" t="e">
        <f t="shared" si="18"/>
        <v>#NUM!</v>
      </c>
      <c r="K242" s="111" t="e">
        <f t="shared" si="16"/>
        <v>#NUM!</v>
      </c>
      <c r="L242" s="111"/>
      <c r="M242" s="113">
        <f t="shared" si="17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1">
        <v>238</v>
      </c>
      <c r="I243" s="112" t="str">
        <f t="shared" si="15"/>
        <v/>
      </c>
      <c r="J243" s="111" t="e">
        <f t="shared" si="18"/>
        <v>#NUM!</v>
      </c>
      <c r="K243" s="111" t="e">
        <f t="shared" si="16"/>
        <v>#NUM!</v>
      </c>
      <c r="L243" s="111"/>
      <c r="M243" s="113">
        <f t="shared" si="17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5"/>
        <v/>
      </c>
      <c r="J244" s="111" t="e">
        <f t="shared" si="18"/>
        <v>#NUM!</v>
      </c>
      <c r="K244" s="111" t="e">
        <f t="shared" si="16"/>
        <v>#NUM!</v>
      </c>
      <c r="L244" s="111"/>
      <c r="M244" s="113">
        <f t="shared" si="17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1">
        <v>240</v>
      </c>
      <c r="I245" s="112" t="str">
        <f t="shared" si="15"/>
        <v/>
      </c>
      <c r="J245" s="111" t="e">
        <f t="shared" si="18"/>
        <v>#NUM!</v>
      </c>
      <c r="K245" s="111" t="e">
        <f t="shared" si="16"/>
        <v>#NUM!</v>
      </c>
      <c r="L245" s="111"/>
      <c r="M245" s="113">
        <f t="shared" si="17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5"/>
        <v/>
      </c>
      <c r="J246" s="111" t="e">
        <f t="shared" si="18"/>
        <v>#NUM!</v>
      </c>
      <c r="K246" s="111" t="e">
        <f t="shared" si="16"/>
        <v>#NUM!</v>
      </c>
      <c r="L246" s="111"/>
      <c r="M246" s="113">
        <f t="shared" si="17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1">
        <v>242</v>
      </c>
      <c r="I247" s="112" t="str">
        <f t="shared" si="15"/>
        <v/>
      </c>
      <c r="J247" s="111" t="e">
        <f t="shared" si="18"/>
        <v>#NUM!</v>
      </c>
      <c r="K247" s="111" t="e">
        <f t="shared" si="16"/>
        <v>#NUM!</v>
      </c>
      <c r="L247" s="111"/>
      <c r="M247" s="113">
        <f t="shared" si="17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5"/>
        <v/>
      </c>
      <c r="J248" s="111" t="e">
        <f t="shared" si="18"/>
        <v>#NUM!</v>
      </c>
      <c r="K248" s="111" t="e">
        <f t="shared" si="16"/>
        <v>#NUM!</v>
      </c>
      <c r="L248" s="111"/>
      <c r="M248" s="113">
        <f t="shared" si="17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1">
        <v>244</v>
      </c>
      <c r="I249" s="112" t="str">
        <f t="shared" si="15"/>
        <v/>
      </c>
      <c r="J249" s="111" t="e">
        <f t="shared" si="18"/>
        <v>#NUM!</v>
      </c>
      <c r="K249" s="111" t="e">
        <f t="shared" si="16"/>
        <v>#NUM!</v>
      </c>
      <c r="L249" s="111"/>
      <c r="M249" s="113">
        <f t="shared" si="17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5"/>
        <v/>
      </c>
      <c r="J250" s="111" t="e">
        <f t="shared" si="18"/>
        <v>#NUM!</v>
      </c>
      <c r="K250" s="111" t="e">
        <f t="shared" si="16"/>
        <v>#NUM!</v>
      </c>
      <c r="L250" s="111"/>
      <c r="M250" s="113">
        <f t="shared" si="17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1">
        <v>246</v>
      </c>
      <c r="I251" s="112" t="str">
        <f t="shared" si="15"/>
        <v/>
      </c>
      <c r="J251" s="111" t="e">
        <f t="shared" si="18"/>
        <v>#NUM!</v>
      </c>
      <c r="K251" s="111" t="e">
        <f t="shared" si="16"/>
        <v>#NUM!</v>
      </c>
      <c r="L251" s="111"/>
      <c r="M251" s="113">
        <f t="shared" si="17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5"/>
        <v/>
      </c>
      <c r="J252" s="111" t="e">
        <f t="shared" si="18"/>
        <v>#NUM!</v>
      </c>
      <c r="K252" s="111" t="e">
        <f t="shared" si="16"/>
        <v>#NUM!</v>
      </c>
      <c r="L252" s="111"/>
      <c r="M252" s="113">
        <f t="shared" si="17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1">
        <v>248</v>
      </c>
      <c r="I253" s="112" t="str">
        <f t="shared" si="15"/>
        <v/>
      </c>
      <c r="J253" s="111" t="e">
        <f t="shared" si="18"/>
        <v>#NUM!</v>
      </c>
      <c r="K253" s="111" t="e">
        <f t="shared" si="16"/>
        <v>#NUM!</v>
      </c>
      <c r="L253" s="111"/>
      <c r="M253" s="113">
        <f t="shared" si="17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5"/>
        <v/>
      </c>
      <c r="J254" s="111" t="e">
        <f t="shared" si="18"/>
        <v>#NUM!</v>
      </c>
      <c r="K254" s="111" t="e">
        <f t="shared" si="16"/>
        <v>#NUM!</v>
      </c>
      <c r="L254" s="111"/>
      <c r="M254" s="113">
        <f t="shared" si="17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1">
        <v>250</v>
      </c>
      <c r="I255" s="112" t="str">
        <f t="shared" si="15"/>
        <v/>
      </c>
      <c r="J255" s="111" t="e">
        <f t="shared" si="18"/>
        <v>#NUM!</v>
      </c>
      <c r="K255" s="111" t="e">
        <f t="shared" si="16"/>
        <v>#NUM!</v>
      </c>
      <c r="L255" s="111"/>
      <c r="M255" s="113">
        <f t="shared" si="17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5"/>
        <v/>
      </c>
      <c r="J256" s="111" t="e">
        <f t="shared" si="18"/>
        <v>#NUM!</v>
      </c>
      <c r="K256" s="111" t="e">
        <f t="shared" si="16"/>
        <v>#NUM!</v>
      </c>
      <c r="L256" s="111"/>
      <c r="M256" s="113">
        <f t="shared" si="17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1">
        <v>252</v>
      </c>
      <c r="I257" s="112" t="str">
        <f t="shared" si="15"/>
        <v/>
      </c>
      <c r="J257" s="111" t="e">
        <f t="shared" si="18"/>
        <v>#NUM!</v>
      </c>
      <c r="K257" s="111" t="e">
        <f t="shared" si="16"/>
        <v>#NUM!</v>
      </c>
      <c r="L257" s="111"/>
      <c r="M257" s="113">
        <f t="shared" si="17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5"/>
        <v/>
      </c>
      <c r="J258" s="111" t="e">
        <f t="shared" si="18"/>
        <v>#NUM!</v>
      </c>
      <c r="K258" s="111" t="e">
        <f t="shared" si="16"/>
        <v>#NUM!</v>
      </c>
      <c r="L258" s="111"/>
      <c r="M258" s="113">
        <f t="shared" si="17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1">
        <v>254</v>
      </c>
      <c r="I259" s="112" t="str">
        <f t="shared" si="15"/>
        <v/>
      </c>
      <c r="J259" s="111" t="e">
        <f t="shared" si="18"/>
        <v>#NUM!</v>
      </c>
      <c r="K259" s="111" t="e">
        <f t="shared" si="16"/>
        <v>#NUM!</v>
      </c>
      <c r="L259" s="111"/>
      <c r="M259" s="113">
        <f t="shared" si="17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5"/>
        <v/>
      </c>
      <c r="J260" s="111" t="e">
        <f t="shared" si="18"/>
        <v>#NUM!</v>
      </c>
      <c r="K260" s="111" t="e">
        <f t="shared" si="16"/>
        <v>#NUM!</v>
      </c>
      <c r="L260" s="111"/>
      <c r="M260" s="113">
        <f t="shared" si="17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1">
        <v>256</v>
      </c>
      <c r="I261" s="112" t="str">
        <f t="shared" si="15"/>
        <v/>
      </c>
      <c r="J261" s="111" t="e">
        <f t="shared" si="18"/>
        <v>#NUM!</v>
      </c>
      <c r="K261" s="111" t="e">
        <f t="shared" si="16"/>
        <v>#NUM!</v>
      </c>
      <c r="L261" s="111"/>
      <c r="M261" s="113">
        <f t="shared" si="17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19">IF(H262&lt;$H$2+1,($I$2-($I$2-1)*(LOG(H262)/LOG($H$2))),"")</f>
        <v/>
      </c>
      <c r="J262" s="111" t="e">
        <f t="shared" si="18"/>
        <v>#NUM!</v>
      </c>
      <c r="K262" s="111" t="e">
        <f t="shared" ref="K262:K305" si="20">J262*$J$2</f>
        <v>#NUM!</v>
      </c>
      <c r="L262" s="111"/>
      <c r="M262" s="113">
        <f t="shared" ref="M262:M305" si="21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1">
        <v>258</v>
      </c>
      <c r="I263" s="112" t="str">
        <f t="shared" si="19"/>
        <v/>
      </c>
      <c r="J263" s="111" t="e">
        <f t="shared" si="18"/>
        <v>#NUM!</v>
      </c>
      <c r="K263" s="111" t="e">
        <f t="shared" si="20"/>
        <v>#NUM!</v>
      </c>
      <c r="L263" s="111"/>
      <c r="M263" s="113">
        <f t="shared" si="21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19"/>
        <v/>
      </c>
      <c r="J264" s="111" t="e">
        <f t="shared" si="18"/>
        <v>#NUM!</v>
      </c>
      <c r="K264" s="111" t="e">
        <f t="shared" si="20"/>
        <v>#NUM!</v>
      </c>
      <c r="L264" s="111"/>
      <c r="M264" s="113">
        <f t="shared" si="21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1">
        <v>260</v>
      </c>
      <c r="I265" s="112" t="str">
        <f t="shared" si="19"/>
        <v/>
      </c>
      <c r="J265" s="111" t="e">
        <f t="shared" si="18"/>
        <v>#NUM!</v>
      </c>
      <c r="K265" s="111" t="e">
        <f t="shared" si="20"/>
        <v>#NUM!</v>
      </c>
      <c r="L265" s="111"/>
      <c r="M265" s="113">
        <f t="shared" si="21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19"/>
        <v/>
      </c>
      <c r="J266" s="111" t="e">
        <f t="shared" ref="J266:J305" si="22">INT(LOG($H$2,2))-ROUNDUP(LOG(H266,2),0)+IF(OR($H$2=1,$H$2=2,$H$2=4,$H$2=8,$H$2=16,$H$2=32,$H$2=64,$H$2=128,$H$2=256),0,1)</f>
        <v>#NUM!</v>
      </c>
      <c r="K266" s="111" t="e">
        <f t="shared" si="20"/>
        <v>#NUM!</v>
      </c>
      <c r="L266" s="111"/>
      <c r="M266" s="113">
        <f t="shared" si="21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1">
        <v>262</v>
      </c>
      <c r="I267" s="112" t="str">
        <f t="shared" si="19"/>
        <v/>
      </c>
      <c r="J267" s="111" t="e">
        <f t="shared" si="22"/>
        <v>#NUM!</v>
      </c>
      <c r="K267" s="111" t="e">
        <f t="shared" si="20"/>
        <v>#NUM!</v>
      </c>
      <c r="L267" s="111"/>
      <c r="M267" s="113">
        <f t="shared" si="21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19"/>
        <v/>
      </c>
      <c r="J268" s="111" t="e">
        <f t="shared" si="22"/>
        <v>#NUM!</v>
      </c>
      <c r="K268" s="111" t="e">
        <f t="shared" si="20"/>
        <v>#NUM!</v>
      </c>
      <c r="L268" s="111"/>
      <c r="M268" s="113">
        <f t="shared" si="21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1">
        <v>264</v>
      </c>
      <c r="I269" s="112" t="str">
        <f t="shared" si="19"/>
        <v/>
      </c>
      <c r="J269" s="111" t="e">
        <f t="shared" si="22"/>
        <v>#NUM!</v>
      </c>
      <c r="K269" s="111" t="e">
        <f t="shared" si="20"/>
        <v>#NUM!</v>
      </c>
      <c r="L269" s="111"/>
      <c r="M269" s="113">
        <f t="shared" si="21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19"/>
        <v/>
      </c>
      <c r="J270" s="111" t="e">
        <f t="shared" si="22"/>
        <v>#NUM!</v>
      </c>
      <c r="K270" s="111" t="e">
        <f t="shared" si="20"/>
        <v>#NUM!</v>
      </c>
      <c r="L270" s="111"/>
      <c r="M270" s="113">
        <f t="shared" si="21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1">
        <v>266</v>
      </c>
      <c r="I271" s="112" t="str">
        <f t="shared" si="19"/>
        <v/>
      </c>
      <c r="J271" s="111" t="e">
        <f t="shared" si="22"/>
        <v>#NUM!</v>
      </c>
      <c r="K271" s="111" t="e">
        <f t="shared" si="20"/>
        <v>#NUM!</v>
      </c>
      <c r="L271" s="111"/>
      <c r="M271" s="113">
        <f t="shared" si="21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19"/>
        <v/>
      </c>
      <c r="J272" s="111" t="e">
        <f t="shared" si="22"/>
        <v>#NUM!</v>
      </c>
      <c r="K272" s="111" t="e">
        <f t="shared" si="20"/>
        <v>#NUM!</v>
      </c>
      <c r="L272" s="111"/>
      <c r="M272" s="113">
        <f t="shared" si="21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1">
        <v>268</v>
      </c>
      <c r="I273" s="112" t="str">
        <f t="shared" si="19"/>
        <v/>
      </c>
      <c r="J273" s="111" t="e">
        <f t="shared" si="22"/>
        <v>#NUM!</v>
      </c>
      <c r="K273" s="111" t="e">
        <f t="shared" si="20"/>
        <v>#NUM!</v>
      </c>
      <c r="L273" s="111"/>
      <c r="M273" s="113">
        <f t="shared" si="21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19"/>
        <v/>
      </c>
      <c r="J274" s="111" t="e">
        <f t="shared" si="22"/>
        <v>#NUM!</v>
      </c>
      <c r="K274" s="111" t="e">
        <f t="shared" si="20"/>
        <v>#NUM!</v>
      </c>
      <c r="L274" s="111"/>
      <c r="M274" s="113">
        <f t="shared" si="21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1">
        <v>270</v>
      </c>
      <c r="I275" s="112" t="str">
        <f t="shared" si="19"/>
        <v/>
      </c>
      <c r="J275" s="111" t="e">
        <f t="shared" si="22"/>
        <v>#NUM!</v>
      </c>
      <c r="K275" s="111" t="e">
        <f t="shared" si="20"/>
        <v>#NUM!</v>
      </c>
      <c r="L275" s="111"/>
      <c r="M275" s="113">
        <f t="shared" si="21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19"/>
        <v/>
      </c>
      <c r="J276" s="111" t="e">
        <f t="shared" si="22"/>
        <v>#NUM!</v>
      </c>
      <c r="K276" s="111" t="e">
        <f t="shared" si="20"/>
        <v>#NUM!</v>
      </c>
      <c r="L276" s="111"/>
      <c r="M276" s="113">
        <f t="shared" si="21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1">
        <v>272</v>
      </c>
      <c r="I277" s="112" t="str">
        <f t="shared" si="19"/>
        <v/>
      </c>
      <c r="J277" s="111" t="e">
        <f t="shared" si="22"/>
        <v>#NUM!</v>
      </c>
      <c r="K277" s="111" t="e">
        <f t="shared" si="20"/>
        <v>#NUM!</v>
      </c>
      <c r="L277" s="111"/>
      <c r="M277" s="113">
        <f t="shared" si="21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19"/>
        <v/>
      </c>
      <c r="J278" s="111" t="e">
        <f t="shared" si="22"/>
        <v>#NUM!</v>
      </c>
      <c r="K278" s="111" t="e">
        <f t="shared" si="20"/>
        <v>#NUM!</v>
      </c>
      <c r="L278" s="111"/>
      <c r="M278" s="113">
        <f t="shared" si="21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1">
        <v>274</v>
      </c>
      <c r="I279" s="112" t="str">
        <f t="shared" si="19"/>
        <v/>
      </c>
      <c r="J279" s="111" t="e">
        <f t="shared" si="22"/>
        <v>#NUM!</v>
      </c>
      <c r="K279" s="111" t="e">
        <f t="shared" si="20"/>
        <v>#NUM!</v>
      </c>
      <c r="L279" s="111"/>
      <c r="M279" s="113">
        <f t="shared" si="21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19"/>
        <v/>
      </c>
      <c r="J280" s="111" t="e">
        <f t="shared" si="22"/>
        <v>#NUM!</v>
      </c>
      <c r="K280" s="111" t="e">
        <f t="shared" si="20"/>
        <v>#NUM!</v>
      </c>
      <c r="L280" s="111"/>
      <c r="M280" s="113">
        <f t="shared" si="21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1">
        <v>276</v>
      </c>
      <c r="I281" s="112" t="str">
        <f t="shared" si="19"/>
        <v/>
      </c>
      <c r="J281" s="111" t="e">
        <f t="shared" si="22"/>
        <v>#NUM!</v>
      </c>
      <c r="K281" s="111" t="e">
        <f t="shared" si="20"/>
        <v>#NUM!</v>
      </c>
      <c r="L281" s="111"/>
      <c r="M281" s="113">
        <f t="shared" si="21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19"/>
        <v/>
      </c>
      <c r="J282" s="111" t="e">
        <f t="shared" si="22"/>
        <v>#NUM!</v>
      </c>
      <c r="K282" s="111" t="e">
        <f t="shared" si="20"/>
        <v>#NUM!</v>
      </c>
      <c r="L282" s="111"/>
      <c r="M282" s="113">
        <f t="shared" si="21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1">
        <v>278</v>
      </c>
      <c r="I283" s="112" t="str">
        <f t="shared" si="19"/>
        <v/>
      </c>
      <c r="J283" s="111" t="e">
        <f t="shared" si="22"/>
        <v>#NUM!</v>
      </c>
      <c r="K283" s="111" t="e">
        <f t="shared" si="20"/>
        <v>#NUM!</v>
      </c>
      <c r="L283" s="111"/>
      <c r="M283" s="113">
        <f t="shared" si="21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19"/>
        <v/>
      </c>
      <c r="J284" s="111" t="e">
        <f t="shared" si="22"/>
        <v>#NUM!</v>
      </c>
      <c r="K284" s="111" t="e">
        <f t="shared" si="20"/>
        <v>#NUM!</v>
      </c>
      <c r="L284" s="111"/>
      <c r="M284" s="113">
        <f t="shared" si="21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1">
        <v>280</v>
      </c>
      <c r="I285" s="112" t="str">
        <f t="shared" si="19"/>
        <v/>
      </c>
      <c r="J285" s="111" t="e">
        <f t="shared" si="22"/>
        <v>#NUM!</v>
      </c>
      <c r="K285" s="111" t="e">
        <f t="shared" si="20"/>
        <v>#NUM!</v>
      </c>
      <c r="L285" s="111"/>
      <c r="M285" s="113">
        <f t="shared" si="21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19"/>
        <v/>
      </c>
      <c r="J286" s="111" t="e">
        <f t="shared" si="22"/>
        <v>#NUM!</v>
      </c>
      <c r="K286" s="111" t="e">
        <f t="shared" si="20"/>
        <v>#NUM!</v>
      </c>
      <c r="L286" s="111"/>
      <c r="M286" s="113">
        <f t="shared" si="21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1">
        <v>282</v>
      </c>
      <c r="I287" s="112" t="str">
        <f t="shared" si="19"/>
        <v/>
      </c>
      <c r="J287" s="111" t="e">
        <f t="shared" si="22"/>
        <v>#NUM!</v>
      </c>
      <c r="K287" s="111" t="e">
        <f t="shared" si="20"/>
        <v>#NUM!</v>
      </c>
      <c r="L287" s="111"/>
      <c r="M287" s="113">
        <f t="shared" si="21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19"/>
        <v/>
      </c>
      <c r="J288" s="111" t="e">
        <f t="shared" si="22"/>
        <v>#NUM!</v>
      </c>
      <c r="K288" s="111" t="e">
        <f t="shared" si="20"/>
        <v>#NUM!</v>
      </c>
      <c r="L288" s="111"/>
      <c r="M288" s="113">
        <f t="shared" si="21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1">
        <v>284</v>
      </c>
      <c r="I289" s="112" t="str">
        <f t="shared" si="19"/>
        <v/>
      </c>
      <c r="J289" s="111" t="e">
        <f t="shared" si="22"/>
        <v>#NUM!</v>
      </c>
      <c r="K289" s="111" t="e">
        <f t="shared" si="20"/>
        <v>#NUM!</v>
      </c>
      <c r="L289" s="111"/>
      <c r="M289" s="113">
        <f t="shared" si="21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19"/>
        <v/>
      </c>
      <c r="J290" s="111" t="e">
        <f t="shared" si="22"/>
        <v>#NUM!</v>
      </c>
      <c r="K290" s="111" t="e">
        <f t="shared" si="20"/>
        <v>#NUM!</v>
      </c>
      <c r="L290" s="111"/>
      <c r="M290" s="113">
        <f t="shared" si="21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1">
        <v>286</v>
      </c>
      <c r="I291" s="112" t="str">
        <f t="shared" si="19"/>
        <v/>
      </c>
      <c r="J291" s="111" t="e">
        <f t="shared" si="22"/>
        <v>#NUM!</v>
      </c>
      <c r="K291" s="111" t="e">
        <f t="shared" si="20"/>
        <v>#NUM!</v>
      </c>
      <c r="L291" s="111"/>
      <c r="M291" s="113">
        <f t="shared" si="21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19"/>
        <v/>
      </c>
      <c r="J292" s="111" t="e">
        <f t="shared" si="22"/>
        <v>#NUM!</v>
      </c>
      <c r="K292" s="111" t="e">
        <f t="shared" si="20"/>
        <v>#NUM!</v>
      </c>
      <c r="L292" s="111"/>
      <c r="M292" s="113">
        <f t="shared" si="21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19"/>
        <v/>
      </c>
      <c r="J293" s="111" t="e">
        <f t="shared" si="22"/>
        <v>#NUM!</v>
      </c>
      <c r="K293" s="111" t="e">
        <f t="shared" si="20"/>
        <v>#NUM!</v>
      </c>
      <c r="L293" s="111"/>
      <c r="M293" s="113">
        <f t="shared" si="21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19"/>
        <v/>
      </c>
      <c r="J294" s="111" t="e">
        <f t="shared" si="22"/>
        <v>#NUM!</v>
      </c>
      <c r="K294" s="111" t="e">
        <f t="shared" si="20"/>
        <v>#NUM!</v>
      </c>
      <c r="L294" s="111"/>
      <c r="M294" s="113">
        <f t="shared" si="21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19"/>
        <v/>
      </c>
      <c r="J295" s="111" t="e">
        <f t="shared" si="22"/>
        <v>#NUM!</v>
      </c>
      <c r="K295" s="111" t="e">
        <f t="shared" si="20"/>
        <v>#NUM!</v>
      </c>
      <c r="L295" s="111"/>
      <c r="M295" s="113">
        <f t="shared" si="21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19"/>
        <v/>
      </c>
      <c r="J296" s="111" t="e">
        <f t="shared" si="22"/>
        <v>#NUM!</v>
      </c>
      <c r="K296" s="111" t="e">
        <f t="shared" si="20"/>
        <v>#NUM!</v>
      </c>
      <c r="L296" s="111"/>
      <c r="M296" s="113">
        <f t="shared" si="21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19"/>
        <v/>
      </c>
      <c r="J297" s="111" t="e">
        <f t="shared" si="22"/>
        <v>#NUM!</v>
      </c>
      <c r="K297" s="111" t="e">
        <f t="shared" si="20"/>
        <v>#NUM!</v>
      </c>
      <c r="L297" s="111"/>
      <c r="M297" s="113">
        <f t="shared" si="21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19"/>
        <v/>
      </c>
      <c r="J298" s="111" t="e">
        <f t="shared" si="22"/>
        <v>#NUM!</v>
      </c>
      <c r="K298" s="111" t="e">
        <f t="shared" si="20"/>
        <v>#NUM!</v>
      </c>
      <c r="L298" s="111"/>
      <c r="M298" s="113">
        <f t="shared" si="21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19"/>
        <v/>
      </c>
      <c r="J299" s="111" t="e">
        <f t="shared" si="22"/>
        <v>#NUM!</v>
      </c>
      <c r="K299" s="111" t="e">
        <f t="shared" si="20"/>
        <v>#NUM!</v>
      </c>
      <c r="L299" s="111"/>
      <c r="M299" s="113">
        <f t="shared" si="21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19"/>
        <v/>
      </c>
      <c r="J300" s="111" t="e">
        <f t="shared" si="22"/>
        <v>#NUM!</v>
      </c>
      <c r="K300" s="111" t="e">
        <f t="shared" si="20"/>
        <v>#NUM!</v>
      </c>
      <c r="L300" s="111"/>
      <c r="M300" s="113">
        <f t="shared" si="21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19"/>
        <v/>
      </c>
      <c r="J301" s="111" t="e">
        <f t="shared" si="22"/>
        <v>#NUM!</v>
      </c>
      <c r="K301" s="111" t="e">
        <f t="shared" si="20"/>
        <v>#NUM!</v>
      </c>
      <c r="L301" s="111"/>
      <c r="M301" s="113">
        <f t="shared" si="21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19"/>
        <v/>
      </c>
      <c r="J302" s="111" t="e">
        <f t="shared" si="22"/>
        <v>#NUM!</v>
      </c>
      <c r="K302" s="111" t="e">
        <f t="shared" si="20"/>
        <v>#NUM!</v>
      </c>
      <c r="L302" s="111"/>
      <c r="M302" s="113">
        <f t="shared" si="21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19"/>
        <v/>
      </c>
      <c r="J303" s="111" t="e">
        <f t="shared" si="22"/>
        <v>#NUM!</v>
      </c>
      <c r="K303" s="111" t="e">
        <f t="shared" si="20"/>
        <v>#NUM!</v>
      </c>
      <c r="L303" s="111"/>
      <c r="M303" s="113">
        <f t="shared" si="21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19"/>
        <v/>
      </c>
      <c r="J304" s="111" t="e">
        <f t="shared" si="22"/>
        <v>#NUM!</v>
      </c>
      <c r="K304" s="111" t="e">
        <f t="shared" si="20"/>
        <v>#NUM!</v>
      </c>
      <c r="L304" s="111"/>
      <c r="M304" s="113">
        <f t="shared" si="21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19"/>
        <v/>
      </c>
      <c r="J305" s="111" t="e">
        <f t="shared" si="22"/>
        <v>#NUM!</v>
      </c>
      <c r="K305" s="111" t="e">
        <f t="shared" si="20"/>
        <v>#NUM!</v>
      </c>
      <c r="L305" s="111"/>
      <c r="M305" s="113">
        <f t="shared" si="21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/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/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/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/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/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89DF4FD4-CFF3-4838-BB90-247A7AEAFE8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06E0-E1A7-4B19-B857-610243613D3E}">
  <sheetPr>
    <tabColor rgb="FF92D050"/>
  </sheetPr>
  <dimension ref="A1:AL317"/>
  <sheetViews>
    <sheetView workbookViewId="0">
      <selection activeCell="C18" sqref="C18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.28515625" style="134" customWidth="1"/>
    <col min="11" max="11" width="8.7109375" style="134" customWidth="1"/>
    <col min="12" max="12" width="11" style="134" customWidth="1"/>
    <col min="13" max="13" width="12.2851562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>
      <c r="A2" s="96"/>
      <c r="B2" s="25" t="s">
        <v>28</v>
      </c>
      <c r="C2" s="84" t="s">
        <v>97</v>
      </c>
      <c r="D2" s="83"/>
      <c r="E2" s="26"/>
      <c r="F2" s="26"/>
      <c r="G2" s="26"/>
      <c r="H2" s="102">
        <v>0</v>
      </c>
      <c r="I2" s="103">
        <v>50</v>
      </c>
      <c r="J2" s="103">
        <v>10</v>
      </c>
      <c r="K2" s="137">
        <f>3*H2^(1/3)</f>
        <v>0</v>
      </c>
      <c r="L2" s="100"/>
      <c r="M2" s="100"/>
      <c r="N2" s="96"/>
      <c r="O2" s="96"/>
      <c r="P2" s="96"/>
      <c r="Q2" s="96"/>
      <c r="R2" s="96"/>
    </row>
    <row r="3" spans="1:36" s="101" customFormat="1">
      <c r="A3" s="96"/>
      <c r="B3" s="105" t="s">
        <v>30</v>
      </c>
      <c r="C3" s="84">
        <v>45017</v>
      </c>
      <c r="D3" s="84"/>
      <c r="E3" s="31"/>
      <c r="F3" s="31"/>
      <c r="G3" s="31"/>
      <c r="H3" s="100"/>
      <c r="I3" s="100"/>
      <c r="J3" s="106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6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9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69" si="0">M6</f>
        <v>0</v>
      </c>
      <c r="B6" s="39" t="str">
        <f>IF(H6&gt;$H$2,"",(ROW()-5))</f>
        <v/>
      </c>
      <c r="C6" s="40" t="s">
        <v>50</v>
      </c>
      <c r="D6" s="40"/>
      <c r="E6" s="40"/>
      <c r="F6" s="40"/>
      <c r="G6" s="33"/>
      <c r="H6" s="111">
        <v>1</v>
      </c>
      <c r="I6" s="112" t="str">
        <f t="shared" ref="I6:I69" si="1">IF(H6&lt;$H$2+1,($I$2-($I$2-1)*(LOG(H6)/LOG($H$2))),"")</f>
        <v/>
      </c>
      <c r="J6" s="111" t="e">
        <f t="shared" ref="J6:J69" si="2">INT(LOG($H$2,2))-ROUNDUP(LOG(H6,2),0)+IF(OR($H$2=1,$H$2=2,$H$2=4,$H$2=8,$H$2=16,$H$2=32,$H$2=64,$H$2=128,$H$2=256),0,1)</f>
        <v>#NUM!</v>
      </c>
      <c r="K6" s="111" t="e">
        <f t="shared" ref="K6:K69" si="3">J6*$J$2</f>
        <v>#NUM!</v>
      </c>
      <c r="L6" s="113">
        <f>3*K2</f>
        <v>0</v>
      </c>
      <c r="M6" s="113">
        <f t="shared" ref="M6:M69" si="4">IF(I6&lt;&gt;"",K6+I6+L6,0)</f>
        <v>0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0</v>
      </c>
      <c r="B7" s="45" t="str">
        <f>IF(H7&gt;$H$2,"",(ROW()-5))</f>
        <v/>
      </c>
      <c r="C7" s="46" t="s">
        <v>50</v>
      </c>
      <c r="D7" s="46"/>
      <c r="E7" s="46"/>
      <c r="F7" s="46"/>
      <c r="G7" s="33"/>
      <c r="H7" s="115">
        <v>2</v>
      </c>
      <c r="I7" s="116" t="str">
        <f t="shared" si="1"/>
        <v/>
      </c>
      <c r="J7" s="115" t="e">
        <f t="shared" si="2"/>
        <v>#NUM!</v>
      </c>
      <c r="K7" s="115" t="e">
        <f t="shared" si="3"/>
        <v>#NUM!</v>
      </c>
      <c r="L7" s="117">
        <f>2*K2</f>
        <v>0</v>
      </c>
      <c r="M7" s="117">
        <f t="shared" si="4"/>
        <v>0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0</v>
      </c>
      <c r="B8" s="39" t="str">
        <f>IF(H8&gt;$H$2,"",(ROW()-5))</f>
        <v/>
      </c>
      <c r="C8" s="40" t="s">
        <v>50</v>
      </c>
      <c r="D8" s="40"/>
      <c r="E8" s="40"/>
      <c r="F8" s="40"/>
      <c r="G8" s="33"/>
      <c r="H8" s="111">
        <v>3</v>
      </c>
      <c r="I8" s="112" t="str">
        <f t="shared" si="1"/>
        <v/>
      </c>
      <c r="J8" s="111" t="e">
        <f t="shared" si="2"/>
        <v>#NUM!</v>
      </c>
      <c r="K8" s="111" t="e">
        <f t="shared" si="3"/>
        <v>#NUM!</v>
      </c>
      <c r="L8" s="113">
        <f>K2</f>
        <v>0</v>
      </c>
      <c r="M8" s="113">
        <f t="shared" si="4"/>
        <v>0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0</v>
      </c>
      <c r="B9" s="45" t="str">
        <f>IF(H9&gt;$H$2,"",3)</f>
        <v/>
      </c>
      <c r="C9" s="46" t="s">
        <v>50</v>
      </c>
      <c r="D9" s="46"/>
      <c r="E9" s="46"/>
      <c r="F9" s="46"/>
      <c r="G9" s="33"/>
      <c r="H9" s="115">
        <v>3</v>
      </c>
      <c r="I9" s="116" t="str">
        <f t="shared" si="1"/>
        <v/>
      </c>
      <c r="J9" s="115" t="e">
        <f t="shared" si="2"/>
        <v>#NUM!</v>
      </c>
      <c r="K9" s="115" t="e">
        <f t="shared" si="3"/>
        <v>#NUM!</v>
      </c>
      <c r="L9" s="117">
        <f>K2</f>
        <v>0</v>
      </c>
      <c r="M9" s="117">
        <f t="shared" si="4"/>
        <v>0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73" si="5">IF(H10&gt;$H$2,"",(ROW()-5))</f>
        <v/>
      </c>
      <c r="C10" s="40" t="s">
        <v>50</v>
      </c>
      <c r="D10" s="40"/>
      <c r="E10" s="40"/>
      <c r="F10" s="40"/>
      <c r="G10" s="33"/>
      <c r="H10" s="111">
        <v>5</v>
      </c>
      <c r="I10" s="112" t="str">
        <f t="shared" si="1"/>
        <v/>
      </c>
      <c r="J10" s="111">
        <v>2</v>
      </c>
      <c r="K10" s="111">
        <f t="shared" si="3"/>
        <v>20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 t="s">
        <v>50</v>
      </c>
      <c r="D11" s="46"/>
      <c r="E11" s="46"/>
      <c r="F11" s="46"/>
      <c r="G11" s="33"/>
      <c r="H11" s="115">
        <v>6</v>
      </c>
      <c r="I11" s="116" t="str">
        <f t="shared" si="1"/>
        <v/>
      </c>
      <c r="J11" s="115" t="e">
        <f t="shared" si="2"/>
        <v>#NUM!</v>
      </c>
      <c r="K11" s="115" t="e">
        <f t="shared" si="3"/>
        <v>#NUM!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 t="s">
        <v>50</v>
      </c>
      <c r="D12" s="40"/>
      <c r="E12" s="40"/>
      <c r="F12" s="40"/>
      <c r="G12" s="33"/>
      <c r="H12" s="111">
        <v>7</v>
      </c>
      <c r="I12" s="112" t="str">
        <f t="shared" si="1"/>
        <v/>
      </c>
      <c r="J12" s="111" t="e">
        <f t="shared" si="2"/>
        <v>#NUM!</v>
      </c>
      <c r="K12" s="111" t="e">
        <f t="shared" si="3"/>
        <v>#NUM!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 t="s">
        <v>50</v>
      </c>
      <c r="D13" s="46"/>
      <c r="E13" s="46"/>
      <c r="F13" s="46"/>
      <c r="G13" s="33"/>
      <c r="H13" s="115">
        <v>8</v>
      </c>
      <c r="I13" s="116" t="str">
        <f t="shared" si="1"/>
        <v/>
      </c>
      <c r="J13" s="115" t="e">
        <f t="shared" si="2"/>
        <v>#NUM!</v>
      </c>
      <c r="K13" s="115" t="e">
        <f t="shared" si="3"/>
        <v>#NUM!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 t="s">
        <v>50</v>
      </c>
      <c r="D14" s="40"/>
      <c r="E14" s="40"/>
      <c r="F14" s="40"/>
      <c r="G14" s="33"/>
      <c r="H14" s="111">
        <v>9</v>
      </c>
      <c r="I14" s="112" t="str">
        <f t="shared" si="1"/>
        <v/>
      </c>
      <c r="J14" s="111" t="e">
        <f t="shared" si="2"/>
        <v>#NUM!</v>
      </c>
      <c r="K14" s="111" t="e">
        <f t="shared" si="3"/>
        <v>#NUM!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 t="s">
        <v>50</v>
      </c>
      <c r="D15" s="46"/>
      <c r="E15" s="46"/>
      <c r="F15" s="46"/>
      <c r="G15" s="33"/>
      <c r="H15" s="115">
        <v>10</v>
      </c>
      <c r="I15" s="116" t="str">
        <f t="shared" si="1"/>
        <v/>
      </c>
      <c r="J15" s="115" t="e">
        <f t="shared" si="2"/>
        <v>#NUM!</v>
      </c>
      <c r="K15" s="115" t="e">
        <f t="shared" si="3"/>
        <v>#NUM!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 t="s">
        <v>50</v>
      </c>
      <c r="D16" s="40"/>
      <c r="E16" s="40"/>
      <c r="F16" s="40"/>
      <c r="G16" s="33"/>
      <c r="H16" s="111">
        <v>11</v>
      </c>
      <c r="I16" s="112" t="str">
        <f t="shared" si="1"/>
        <v/>
      </c>
      <c r="J16" s="111" t="e">
        <f t="shared" si="2"/>
        <v>#NUM!</v>
      </c>
      <c r="K16" s="111" t="e">
        <f t="shared" si="3"/>
        <v>#NUM!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 t="s">
        <v>50</v>
      </c>
      <c r="D17" s="46"/>
      <c r="E17" s="46"/>
      <c r="F17" s="46"/>
      <c r="G17" s="33"/>
      <c r="H17" s="115">
        <v>12</v>
      </c>
      <c r="I17" s="116" t="str">
        <f t="shared" si="1"/>
        <v/>
      </c>
      <c r="J17" s="115" t="e">
        <f t="shared" si="2"/>
        <v>#NUM!</v>
      </c>
      <c r="K17" s="115" t="e">
        <f t="shared" si="3"/>
        <v>#NUM!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40" t="s">
        <v>50</v>
      </c>
      <c r="D18" s="40"/>
      <c r="E18" s="40"/>
      <c r="F18" s="40"/>
      <c r="G18" s="33"/>
      <c r="H18" s="111">
        <v>13</v>
      </c>
      <c r="I18" s="112" t="str">
        <f t="shared" si="1"/>
        <v/>
      </c>
      <c r="J18" s="111" t="e">
        <f t="shared" si="2"/>
        <v>#NUM!</v>
      </c>
      <c r="K18" s="111" t="e">
        <f t="shared" si="3"/>
        <v>#NUM!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 t="s">
        <v>50</v>
      </c>
      <c r="D19" s="46"/>
      <c r="E19" s="46"/>
      <c r="F19" s="46"/>
      <c r="G19" s="33"/>
      <c r="H19" s="115">
        <v>14</v>
      </c>
      <c r="I19" s="116" t="str">
        <f t="shared" si="1"/>
        <v/>
      </c>
      <c r="J19" s="115" t="e">
        <f t="shared" si="2"/>
        <v>#NUM!</v>
      </c>
      <c r="K19" s="115" t="e">
        <f t="shared" si="3"/>
        <v>#NUM!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 t="s">
        <v>50</v>
      </c>
      <c r="D20" s="40"/>
      <c r="E20" s="40"/>
      <c r="F20" s="40"/>
      <c r="G20" s="33"/>
      <c r="H20" s="111">
        <v>15</v>
      </c>
      <c r="I20" s="112" t="str">
        <f t="shared" si="1"/>
        <v/>
      </c>
      <c r="J20" s="111" t="e">
        <f t="shared" si="2"/>
        <v>#NUM!</v>
      </c>
      <c r="K20" s="111" t="e">
        <f t="shared" si="3"/>
        <v>#NUM!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 t="s">
        <v>50</v>
      </c>
      <c r="D21" s="46"/>
      <c r="E21" s="46"/>
      <c r="F21" s="46"/>
      <c r="G21" s="33"/>
      <c r="H21" s="115">
        <v>16</v>
      </c>
      <c r="I21" s="116" t="str">
        <f t="shared" si="1"/>
        <v/>
      </c>
      <c r="J21" s="115" t="e">
        <f t="shared" si="2"/>
        <v>#NUM!</v>
      </c>
      <c r="K21" s="115" t="e">
        <f t="shared" si="3"/>
        <v>#NUM!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 t="s">
        <v>50</v>
      </c>
      <c r="D22" s="40"/>
      <c r="E22" s="40"/>
      <c r="F22" s="40"/>
      <c r="G22" s="33"/>
      <c r="H22" s="111">
        <v>17</v>
      </c>
      <c r="I22" s="112" t="str">
        <f t="shared" si="1"/>
        <v/>
      </c>
      <c r="J22" s="111" t="e">
        <f t="shared" si="2"/>
        <v>#NUM!</v>
      </c>
      <c r="K22" s="111" t="e">
        <f t="shared" si="3"/>
        <v>#NUM!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 t="s">
        <v>50</v>
      </c>
      <c r="D23" s="46"/>
      <c r="E23" s="46"/>
      <c r="F23" s="46"/>
      <c r="G23" s="33"/>
      <c r="H23" s="115">
        <v>18</v>
      </c>
      <c r="I23" s="116" t="str">
        <f t="shared" si="1"/>
        <v/>
      </c>
      <c r="J23" s="115" t="e">
        <f t="shared" si="2"/>
        <v>#NUM!</v>
      </c>
      <c r="K23" s="115" t="e">
        <f t="shared" si="3"/>
        <v>#NUM!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 t="s">
        <v>50</v>
      </c>
      <c r="D24" s="40"/>
      <c r="E24" s="40"/>
      <c r="F24" s="40"/>
      <c r="G24" s="33"/>
      <c r="H24" s="111">
        <v>19</v>
      </c>
      <c r="I24" s="112" t="str">
        <f t="shared" si="1"/>
        <v/>
      </c>
      <c r="J24" s="111" t="e">
        <f t="shared" si="2"/>
        <v>#NUM!</v>
      </c>
      <c r="K24" s="111" t="e">
        <f t="shared" si="3"/>
        <v>#NUM!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5" t="e">
        <f t="shared" si="2"/>
        <v>#NUM!</v>
      </c>
      <c r="K25" s="115" t="e">
        <f t="shared" si="3"/>
        <v>#NUM!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1" t="e">
        <f t="shared" si="2"/>
        <v>#NUM!</v>
      </c>
      <c r="K26" s="111" t="e">
        <f t="shared" si="3"/>
        <v>#NUM!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5" t="e">
        <f t="shared" si="2"/>
        <v>#NUM!</v>
      </c>
      <c r="K27" s="115" t="e">
        <f t="shared" si="3"/>
        <v>#NUM!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1" t="e">
        <f t="shared" si="2"/>
        <v>#NUM!</v>
      </c>
      <c r="K28" s="111" t="e">
        <f t="shared" si="3"/>
        <v>#NUM!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5" t="e">
        <f t="shared" si="2"/>
        <v>#NUM!</v>
      </c>
      <c r="K29" s="115" t="e">
        <f t="shared" si="3"/>
        <v>#NUM!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1" t="e">
        <f t="shared" si="2"/>
        <v>#NUM!</v>
      </c>
      <c r="K30" s="111" t="e">
        <f t="shared" si="3"/>
        <v>#NUM!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5" t="e">
        <f t="shared" si="2"/>
        <v>#NUM!</v>
      </c>
      <c r="K31" s="115" t="e">
        <f t="shared" si="3"/>
        <v>#NUM!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1" t="e">
        <f t="shared" si="2"/>
        <v>#NUM!</v>
      </c>
      <c r="K32" s="111" t="e">
        <f t="shared" si="3"/>
        <v>#NUM!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19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5" t="e">
        <f t="shared" si="2"/>
        <v>#NUM!</v>
      </c>
      <c r="K33" s="115" t="e">
        <f t="shared" si="3"/>
        <v>#NUM!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19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1" t="e">
        <f t="shared" si="2"/>
        <v>#NUM!</v>
      </c>
      <c r="K34" s="111" t="e">
        <f t="shared" si="3"/>
        <v>#NUM!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19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5" t="e">
        <f t="shared" si="2"/>
        <v>#NUM!</v>
      </c>
      <c r="K35" s="115" t="e">
        <f t="shared" si="3"/>
        <v>#NUM!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19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1" t="e">
        <f t="shared" si="2"/>
        <v>#NUM!</v>
      </c>
      <c r="K36" s="111" t="e">
        <f t="shared" si="3"/>
        <v>#NUM!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19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5" t="e">
        <f t="shared" si="2"/>
        <v>#NUM!</v>
      </c>
      <c r="K37" s="115" t="e">
        <f t="shared" si="3"/>
        <v>#NUM!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19" s="101" customFormat="1">
      <c r="A38" s="110">
        <f t="shared" si="0"/>
        <v>0</v>
      </c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1" t="e">
        <f t="shared" si="2"/>
        <v>#NUM!</v>
      </c>
      <c r="K38" s="111" t="e">
        <f t="shared" si="3"/>
        <v>#NUM!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19" s="101" customFormat="1">
      <c r="A39" s="114">
        <f t="shared" si="0"/>
        <v>0</v>
      </c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5" t="e">
        <f t="shared" si="2"/>
        <v>#NUM!</v>
      </c>
      <c r="K39" s="115" t="e">
        <f t="shared" si="3"/>
        <v>#NUM!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19" s="101" customFormat="1">
      <c r="A40" s="110">
        <f t="shared" si="0"/>
        <v>0</v>
      </c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1" t="e">
        <f t="shared" si="2"/>
        <v>#NUM!</v>
      </c>
      <c r="K40" s="111" t="e">
        <f t="shared" si="3"/>
        <v>#NUM!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19" s="101" customFormat="1">
      <c r="A41" s="114">
        <f t="shared" si="0"/>
        <v>0</v>
      </c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5" t="e">
        <f t="shared" si="2"/>
        <v>#NUM!</v>
      </c>
      <c r="K41" s="115" t="e">
        <f t="shared" si="3"/>
        <v>#NUM!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19" s="101" customFormat="1">
      <c r="A42" s="110">
        <f t="shared" si="0"/>
        <v>0</v>
      </c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1" t="e">
        <f t="shared" si="2"/>
        <v>#NUM!</v>
      </c>
      <c r="K42" s="111" t="e">
        <f t="shared" si="3"/>
        <v>#NUM!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19" s="101" customFormat="1">
      <c r="A43" s="114">
        <f t="shared" si="0"/>
        <v>0</v>
      </c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5" t="e">
        <f t="shared" si="2"/>
        <v>#NUM!</v>
      </c>
      <c r="K43" s="115" t="e">
        <f t="shared" si="3"/>
        <v>#NUM!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19" s="101" customFormat="1">
      <c r="A44" s="110">
        <f t="shared" si="0"/>
        <v>0</v>
      </c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1" t="e">
        <f t="shared" si="2"/>
        <v>#NUM!</v>
      </c>
      <c r="K44" s="111" t="e">
        <f t="shared" si="3"/>
        <v>#NUM!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19" s="101" customFormat="1">
      <c r="A45" s="114">
        <f t="shared" si="0"/>
        <v>0</v>
      </c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5" t="e">
        <f t="shared" si="2"/>
        <v>#NUM!</v>
      </c>
      <c r="K45" s="115" t="e">
        <f t="shared" si="3"/>
        <v>#NUM!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19" s="101" customFormat="1">
      <c r="A46" s="110">
        <f t="shared" si="0"/>
        <v>0</v>
      </c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1" t="e">
        <f t="shared" si="2"/>
        <v>#NUM!</v>
      </c>
      <c r="K46" s="111" t="e">
        <f t="shared" si="3"/>
        <v>#NUM!</v>
      </c>
      <c r="L46" s="111"/>
      <c r="M46" s="113">
        <f t="shared" si="4"/>
        <v>0</v>
      </c>
      <c r="N46" s="96"/>
      <c r="O46" s="96"/>
      <c r="P46" s="96"/>
      <c r="Q46" s="96"/>
      <c r="R46" s="96"/>
    </row>
    <row r="47" spans="1:19" s="101" customFormat="1">
      <c r="A47" s="114">
        <f t="shared" si="0"/>
        <v>0</v>
      </c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5" t="e">
        <f t="shared" si="2"/>
        <v>#NUM!</v>
      </c>
      <c r="K47" s="115" t="e">
        <f t="shared" si="3"/>
        <v>#NUM!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19" s="101" customFormat="1">
      <c r="A48" s="110">
        <f t="shared" si="0"/>
        <v>0</v>
      </c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1" t="e">
        <f t="shared" si="2"/>
        <v>#NUM!</v>
      </c>
      <c r="K48" s="111" t="e">
        <f t="shared" si="3"/>
        <v>#NUM!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>
      <c r="A49" s="114">
        <f t="shared" si="0"/>
        <v>0</v>
      </c>
      <c r="B49" s="45" t="str">
        <f t="shared" si="5"/>
        <v/>
      </c>
      <c r="C49" s="46"/>
      <c r="D49" s="46"/>
      <c r="E49" s="46"/>
      <c r="F49" s="46"/>
      <c r="G49" s="96"/>
      <c r="H49" s="115">
        <v>44</v>
      </c>
      <c r="I49" s="116" t="str">
        <f t="shared" si="1"/>
        <v/>
      </c>
      <c r="J49" s="115" t="e">
        <f t="shared" si="2"/>
        <v>#NUM!</v>
      </c>
      <c r="K49" s="115" t="e">
        <f t="shared" si="3"/>
        <v>#NUM!</v>
      </c>
      <c r="L49" s="115"/>
      <c r="M49" s="117">
        <f t="shared" si="4"/>
        <v>0</v>
      </c>
    </row>
    <row r="50" spans="1:38">
      <c r="A50" s="110">
        <f t="shared" si="0"/>
        <v>0</v>
      </c>
      <c r="B50" s="39" t="str">
        <f t="shared" si="5"/>
        <v/>
      </c>
      <c r="C50" s="40"/>
      <c r="D50" s="40"/>
      <c r="E50" s="40"/>
      <c r="F50" s="40"/>
      <c r="G50" s="96"/>
      <c r="H50" s="111">
        <v>45</v>
      </c>
      <c r="I50" s="112" t="str">
        <f t="shared" si="1"/>
        <v/>
      </c>
      <c r="J50" s="111" t="e">
        <f t="shared" si="2"/>
        <v>#NUM!</v>
      </c>
      <c r="K50" s="111" t="e">
        <f t="shared" si="3"/>
        <v>#NUM!</v>
      </c>
      <c r="L50" s="111"/>
      <c r="M50" s="113">
        <f t="shared" si="4"/>
        <v>0</v>
      </c>
    </row>
    <row r="51" spans="1:38">
      <c r="A51" s="114">
        <f t="shared" si="0"/>
        <v>0</v>
      </c>
      <c r="B51" s="45" t="str">
        <f t="shared" si="5"/>
        <v/>
      </c>
      <c r="C51" s="46"/>
      <c r="D51" s="46"/>
      <c r="E51" s="46"/>
      <c r="F51" s="46"/>
      <c r="G51" s="96"/>
      <c r="H51" s="115">
        <v>46</v>
      </c>
      <c r="I51" s="116" t="str">
        <f t="shared" si="1"/>
        <v/>
      </c>
      <c r="J51" s="115" t="e">
        <f t="shared" si="2"/>
        <v>#NUM!</v>
      </c>
      <c r="K51" s="115" t="e">
        <f t="shared" si="3"/>
        <v>#NUM!</v>
      </c>
      <c r="L51" s="115"/>
      <c r="M51" s="117">
        <f t="shared" si="4"/>
        <v>0</v>
      </c>
    </row>
    <row r="52" spans="1:38">
      <c r="A52" s="110">
        <f t="shared" si="0"/>
        <v>0</v>
      </c>
      <c r="B52" s="39" t="str">
        <f t="shared" si="5"/>
        <v/>
      </c>
      <c r="C52" s="40"/>
      <c r="D52" s="40"/>
      <c r="E52" s="40"/>
      <c r="F52" s="40"/>
      <c r="G52" s="96"/>
      <c r="H52" s="111">
        <v>47</v>
      </c>
      <c r="I52" s="112" t="str">
        <f t="shared" si="1"/>
        <v/>
      </c>
      <c r="J52" s="111" t="e">
        <f t="shared" si="2"/>
        <v>#NUM!</v>
      </c>
      <c r="K52" s="111" t="e">
        <f t="shared" si="3"/>
        <v>#NUM!</v>
      </c>
      <c r="L52" s="111"/>
      <c r="M52" s="113">
        <f t="shared" si="4"/>
        <v>0</v>
      </c>
    </row>
    <row r="53" spans="1:38">
      <c r="A53" s="114">
        <f t="shared" si="0"/>
        <v>0</v>
      </c>
      <c r="B53" s="45" t="str">
        <f t="shared" si="5"/>
        <v/>
      </c>
      <c r="C53" s="46"/>
      <c r="D53" s="46"/>
      <c r="E53" s="46"/>
      <c r="F53" s="46"/>
      <c r="G53" s="96"/>
      <c r="H53" s="115">
        <v>48</v>
      </c>
      <c r="I53" s="116" t="str">
        <f t="shared" si="1"/>
        <v/>
      </c>
      <c r="J53" s="115" t="e">
        <f t="shared" si="2"/>
        <v>#NUM!</v>
      </c>
      <c r="K53" s="115" t="e">
        <f t="shared" si="3"/>
        <v>#NUM!</v>
      </c>
      <c r="L53" s="115"/>
      <c r="M53" s="117">
        <f t="shared" si="4"/>
        <v>0</v>
      </c>
    </row>
    <row r="54" spans="1:38">
      <c r="A54" s="110">
        <f t="shared" si="0"/>
        <v>0</v>
      </c>
      <c r="B54" s="39" t="str">
        <f t="shared" si="5"/>
        <v/>
      </c>
      <c r="C54" s="40"/>
      <c r="D54" s="40"/>
      <c r="E54" s="40"/>
      <c r="F54" s="40"/>
      <c r="G54" s="96"/>
      <c r="H54" s="111">
        <v>49</v>
      </c>
      <c r="I54" s="112" t="str">
        <f t="shared" si="1"/>
        <v/>
      </c>
      <c r="J54" s="111" t="e">
        <f t="shared" si="2"/>
        <v>#NUM!</v>
      </c>
      <c r="K54" s="111" t="e">
        <f t="shared" si="3"/>
        <v>#NUM!</v>
      </c>
      <c r="L54" s="111"/>
      <c r="M54" s="113">
        <f t="shared" si="4"/>
        <v>0</v>
      </c>
    </row>
    <row r="55" spans="1:38">
      <c r="A55" s="114">
        <f t="shared" si="0"/>
        <v>0</v>
      </c>
      <c r="B55" s="45" t="str">
        <f t="shared" si="5"/>
        <v/>
      </c>
      <c r="C55" s="46"/>
      <c r="D55" s="46"/>
      <c r="E55" s="46"/>
      <c r="F55" s="46"/>
      <c r="G55" s="96"/>
      <c r="H55" s="115">
        <v>50</v>
      </c>
      <c r="I55" s="116" t="str">
        <f t="shared" si="1"/>
        <v/>
      </c>
      <c r="J55" s="115" t="e">
        <f t="shared" si="2"/>
        <v>#NUM!</v>
      </c>
      <c r="K55" s="115" t="e">
        <f t="shared" si="3"/>
        <v>#NUM!</v>
      </c>
      <c r="L55" s="115"/>
      <c r="M55" s="117">
        <f t="shared" si="4"/>
        <v>0</v>
      </c>
    </row>
    <row r="56" spans="1:38">
      <c r="A56" s="110">
        <f t="shared" si="0"/>
        <v>0</v>
      </c>
      <c r="B56" s="39" t="str">
        <f t="shared" si="5"/>
        <v/>
      </c>
      <c r="C56" s="40"/>
      <c r="D56" s="40"/>
      <c r="E56" s="40"/>
      <c r="F56" s="40"/>
      <c r="G56" s="96"/>
      <c r="H56" s="111">
        <v>51</v>
      </c>
      <c r="I56" s="112" t="str">
        <f t="shared" si="1"/>
        <v/>
      </c>
      <c r="J56" s="111" t="e">
        <f t="shared" si="2"/>
        <v>#NUM!</v>
      </c>
      <c r="K56" s="111" t="e">
        <f t="shared" si="3"/>
        <v>#NUM!</v>
      </c>
      <c r="L56" s="111"/>
      <c r="M56" s="113">
        <f t="shared" si="4"/>
        <v>0</v>
      </c>
    </row>
    <row r="57" spans="1:38" s="96" customFormat="1">
      <c r="A57" s="114">
        <f t="shared" si="0"/>
        <v>0</v>
      </c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5" t="e">
        <f t="shared" si="2"/>
        <v>#NUM!</v>
      </c>
      <c r="K57" s="115" t="e">
        <f t="shared" si="3"/>
        <v>#NUM!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10">
        <f t="shared" si="0"/>
        <v>0</v>
      </c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1" t="e">
        <f t="shared" si="2"/>
        <v>#NUM!</v>
      </c>
      <c r="K58" s="111" t="e">
        <f t="shared" si="3"/>
        <v>#NUM!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14">
        <f t="shared" si="0"/>
        <v>0</v>
      </c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5" t="e">
        <f t="shared" si="2"/>
        <v>#NUM!</v>
      </c>
      <c r="K59" s="115" t="e">
        <f t="shared" si="3"/>
        <v>#NUM!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10">
        <f t="shared" si="0"/>
        <v>0</v>
      </c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1" t="e">
        <f t="shared" si="2"/>
        <v>#NUM!</v>
      </c>
      <c r="K60" s="111" t="e">
        <f t="shared" si="3"/>
        <v>#NUM!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14">
        <f t="shared" si="0"/>
        <v>0</v>
      </c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5" t="e">
        <f t="shared" si="2"/>
        <v>#NUM!</v>
      </c>
      <c r="K61" s="115" t="e">
        <f t="shared" si="3"/>
        <v>#NUM!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10">
        <f t="shared" si="0"/>
        <v>0</v>
      </c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1" t="e">
        <f t="shared" si="2"/>
        <v>#NUM!</v>
      </c>
      <c r="K62" s="111" t="e">
        <f t="shared" si="3"/>
        <v>#NUM!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14">
        <f t="shared" si="0"/>
        <v>0</v>
      </c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5" t="e">
        <f t="shared" si="2"/>
        <v>#NUM!</v>
      </c>
      <c r="K63" s="115" t="e">
        <f t="shared" si="3"/>
        <v>#NUM!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10">
        <f t="shared" si="0"/>
        <v>0</v>
      </c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1" t="e">
        <f t="shared" si="2"/>
        <v>#NUM!</v>
      </c>
      <c r="K64" s="111" t="e">
        <f t="shared" si="3"/>
        <v>#NUM!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14">
        <f t="shared" si="0"/>
        <v>0</v>
      </c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5" t="e">
        <f t="shared" si="2"/>
        <v>#NUM!</v>
      </c>
      <c r="K65" s="115" t="e">
        <f t="shared" si="3"/>
        <v>#NUM!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10">
        <f t="shared" si="0"/>
        <v>0</v>
      </c>
      <c r="B66" s="39" t="str">
        <f t="shared" si="5"/>
        <v/>
      </c>
      <c r="C66" s="40"/>
      <c r="D66" s="40"/>
      <c r="E66" s="40"/>
      <c r="F66" s="40"/>
      <c r="H66" s="111">
        <v>61</v>
      </c>
      <c r="I66" s="112" t="str">
        <f t="shared" si="1"/>
        <v/>
      </c>
      <c r="J66" s="111" t="e">
        <f t="shared" si="2"/>
        <v>#NUM!</v>
      </c>
      <c r="K66" s="111" t="e">
        <f t="shared" si="3"/>
        <v>#NUM!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14">
        <f t="shared" si="0"/>
        <v>0</v>
      </c>
      <c r="B67" s="45" t="str">
        <f t="shared" si="5"/>
        <v/>
      </c>
      <c r="C67" s="46"/>
      <c r="D67" s="46"/>
      <c r="E67" s="46"/>
      <c r="F67" s="46"/>
      <c r="H67" s="115">
        <v>62</v>
      </c>
      <c r="I67" s="116" t="str">
        <f t="shared" si="1"/>
        <v/>
      </c>
      <c r="J67" s="115" t="e">
        <f t="shared" si="2"/>
        <v>#NUM!</v>
      </c>
      <c r="K67" s="115" t="e">
        <f t="shared" si="3"/>
        <v>#NUM!</v>
      </c>
      <c r="L67" s="115"/>
      <c r="M67" s="117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10">
        <f t="shared" si="0"/>
        <v>0</v>
      </c>
      <c r="B68" s="39" t="str">
        <f t="shared" si="5"/>
        <v/>
      </c>
      <c r="C68" s="40"/>
      <c r="D68" s="40"/>
      <c r="E68" s="40"/>
      <c r="F68" s="40"/>
      <c r="H68" s="111">
        <v>63</v>
      </c>
      <c r="I68" s="112" t="str">
        <f t="shared" si="1"/>
        <v/>
      </c>
      <c r="J68" s="111" t="e">
        <f t="shared" si="2"/>
        <v>#NUM!</v>
      </c>
      <c r="K68" s="111" t="e">
        <f t="shared" si="3"/>
        <v>#NUM!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14">
        <f t="shared" si="0"/>
        <v>0</v>
      </c>
      <c r="B69" s="45" t="str">
        <f t="shared" si="5"/>
        <v/>
      </c>
      <c r="C69" s="46"/>
      <c r="D69" s="46"/>
      <c r="E69" s="46"/>
      <c r="F69" s="46"/>
      <c r="H69" s="115">
        <v>64</v>
      </c>
      <c r="I69" s="116" t="str">
        <f t="shared" si="1"/>
        <v/>
      </c>
      <c r="J69" s="115" t="e">
        <f t="shared" si="2"/>
        <v>#NUM!</v>
      </c>
      <c r="K69" s="115" t="e">
        <f t="shared" si="3"/>
        <v>#NUM!</v>
      </c>
      <c r="L69" s="115"/>
      <c r="M69" s="117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10">
        <f t="shared" ref="A70:A133" si="6">M70</f>
        <v>0</v>
      </c>
      <c r="B70" s="39" t="str">
        <f t="shared" si="5"/>
        <v/>
      </c>
      <c r="C70" s="40"/>
      <c r="D70" s="40"/>
      <c r="E70" s="40"/>
      <c r="F70" s="40"/>
      <c r="H70" s="111">
        <v>65</v>
      </c>
      <c r="I70" s="112" t="str">
        <f t="shared" ref="I70:I133" si="7">IF(H70&lt;$H$2+1,($I$2-($I$2-1)*(LOG(H70)/LOG($H$2))),"")</f>
        <v/>
      </c>
      <c r="J70" s="111" t="e">
        <f t="shared" ref="J70:J133" si="8">INT(LOG($H$2,2))-ROUNDUP(LOG(H70,2),0)+IF(OR($H$2=1,$H$2=2,$H$2=4,$H$2=8,$H$2=16,$H$2=32,$H$2=64,$H$2=128,$H$2=256),0,1)</f>
        <v>#NUM!</v>
      </c>
      <c r="K70" s="111" t="e">
        <f t="shared" ref="K70:K133" si="9">J70*$J$2</f>
        <v>#NUM!</v>
      </c>
      <c r="L70" s="111"/>
      <c r="M70" s="113">
        <f t="shared" ref="M70:M133" si="10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14">
        <f t="shared" si="6"/>
        <v>0</v>
      </c>
      <c r="B71" s="45" t="str">
        <f t="shared" si="5"/>
        <v/>
      </c>
      <c r="C71" s="46"/>
      <c r="D71" s="46"/>
      <c r="E71" s="46"/>
      <c r="F71" s="46"/>
      <c r="H71" s="115">
        <v>66</v>
      </c>
      <c r="I71" s="116" t="str">
        <f t="shared" si="7"/>
        <v/>
      </c>
      <c r="J71" s="115" t="e">
        <f t="shared" si="8"/>
        <v>#NUM!</v>
      </c>
      <c r="K71" s="115" t="e">
        <f t="shared" si="9"/>
        <v>#NUM!</v>
      </c>
      <c r="L71" s="115"/>
      <c r="M71" s="117">
        <f t="shared" si="10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10">
        <f t="shared" si="6"/>
        <v>0</v>
      </c>
      <c r="B72" s="39" t="str">
        <f t="shared" si="5"/>
        <v/>
      </c>
      <c r="C72" s="40"/>
      <c r="D72" s="40"/>
      <c r="E72" s="40"/>
      <c r="F72" s="40"/>
      <c r="H72" s="111">
        <v>67</v>
      </c>
      <c r="I72" s="112" t="str">
        <f t="shared" si="7"/>
        <v/>
      </c>
      <c r="J72" s="111" t="e">
        <f t="shared" si="8"/>
        <v>#NUM!</v>
      </c>
      <c r="K72" s="111" t="e">
        <f t="shared" si="9"/>
        <v>#NUM!</v>
      </c>
      <c r="L72" s="111"/>
      <c r="M72" s="113">
        <f t="shared" si="10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14">
        <f t="shared" si="6"/>
        <v>0</v>
      </c>
      <c r="B73" s="45" t="str">
        <f t="shared" si="5"/>
        <v/>
      </c>
      <c r="C73" s="46"/>
      <c r="D73" s="46"/>
      <c r="E73" s="46"/>
      <c r="F73" s="46"/>
      <c r="H73" s="115">
        <v>68</v>
      </c>
      <c r="I73" s="116" t="str">
        <f t="shared" si="7"/>
        <v/>
      </c>
      <c r="J73" s="115" t="e">
        <f t="shared" si="8"/>
        <v>#NUM!</v>
      </c>
      <c r="K73" s="115" t="e">
        <f t="shared" si="9"/>
        <v>#NUM!</v>
      </c>
      <c r="L73" s="115"/>
      <c r="M73" s="117">
        <f t="shared" si="10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10">
        <f t="shared" si="6"/>
        <v>0</v>
      </c>
      <c r="B74" s="39" t="str">
        <f t="shared" ref="B74:B137" si="11">IF(H74&gt;$H$2,"",(ROW()-5))</f>
        <v/>
      </c>
      <c r="C74" s="40"/>
      <c r="D74" s="40"/>
      <c r="E74" s="40"/>
      <c r="F74" s="40"/>
      <c r="H74" s="111">
        <v>69</v>
      </c>
      <c r="I74" s="112" t="str">
        <f t="shared" si="7"/>
        <v/>
      </c>
      <c r="J74" s="111" t="e">
        <f t="shared" si="8"/>
        <v>#NUM!</v>
      </c>
      <c r="K74" s="111" t="e">
        <f t="shared" si="9"/>
        <v>#NUM!</v>
      </c>
      <c r="L74" s="111"/>
      <c r="M74" s="113">
        <f t="shared" si="10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14">
        <f t="shared" si="6"/>
        <v>0</v>
      </c>
      <c r="B75" s="45" t="str">
        <f t="shared" si="11"/>
        <v/>
      </c>
      <c r="C75" s="46"/>
      <c r="D75" s="46"/>
      <c r="E75" s="46"/>
      <c r="F75" s="46"/>
      <c r="H75" s="115">
        <v>70</v>
      </c>
      <c r="I75" s="116" t="str">
        <f t="shared" si="7"/>
        <v/>
      </c>
      <c r="J75" s="115" t="e">
        <f t="shared" si="8"/>
        <v>#NUM!</v>
      </c>
      <c r="K75" s="115" t="e">
        <f t="shared" si="9"/>
        <v>#NUM!</v>
      </c>
      <c r="L75" s="115"/>
      <c r="M75" s="117">
        <f t="shared" si="10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10">
        <f t="shared" si="6"/>
        <v>0</v>
      </c>
      <c r="B76" s="39" t="str">
        <f t="shared" si="11"/>
        <v/>
      </c>
      <c r="C76" s="40"/>
      <c r="D76" s="40"/>
      <c r="E76" s="40"/>
      <c r="F76" s="40"/>
      <c r="H76" s="111">
        <v>71</v>
      </c>
      <c r="I76" s="112" t="str">
        <f t="shared" si="7"/>
        <v/>
      </c>
      <c r="J76" s="111" t="e">
        <f t="shared" si="8"/>
        <v>#NUM!</v>
      </c>
      <c r="K76" s="111" t="e">
        <f t="shared" si="9"/>
        <v>#NUM!</v>
      </c>
      <c r="L76" s="111"/>
      <c r="M76" s="113">
        <f t="shared" si="10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14">
        <f t="shared" si="6"/>
        <v>0</v>
      </c>
      <c r="B77" s="45" t="str">
        <f t="shared" si="11"/>
        <v/>
      </c>
      <c r="C77" s="46"/>
      <c r="D77" s="46"/>
      <c r="E77" s="46"/>
      <c r="F77" s="46"/>
      <c r="H77" s="115">
        <v>72</v>
      </c>
      <c r="I77" s="116" t="str">
        <f t="shared" si="7"/>
        <v/>
      </c>
      <c r="J77" s="115" t="e">
        <f t="shared" si="8"/>
        <v>#NUM!</v>
      </c>
      <c r="K77" s="115" t="e">
        <f t="shared" si="9"/>
        <v>#NUM!</v>
      </c>
      <c r="L77" s="115"/>
      <c r="M77" s="117">
        <f t="shared" si="10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10">
        <f t="shared" si="6"/>
        <v>0</v>
      </c>
      <c r="B78" s="39" t="str">
        <f t="shared" si="11"/>
        <v/>
      </c>
      <c r="C78" s="40"/>
      <c r="D78" s="40"/>
      <c r="E78" s="40"/>
      <c r="F78" s="40"/>
      <c r="H78" s="111">
        <v>73</v>
      </c>
      <c r="I78" s="112" t="str">
        <f t="shared" si="7"/>
        <v/>
      </c>
      <c r="J78" s="111" t="e">
        <f t="shared" si="8"/>
        <v>#NUM!</v>
      </c>
      <c r="K78" s="111" t="e">
        <f t="shared" si="9"/>
        <v>#NUM!</v>
      </c>
      <c r="L78" s="111"/>
      <c r="M78" s="113">
        <f t="shared" si="10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14">
        <f t="shared" si="6"/>
        <v>0</v>
      </c>
      <c r="B79" s="45" t="str">
        <f t="shared" si="11"/>
        <v/>
      </c>
      <c r="C79" s="46"/>
      <c r="D79" s="46"/>
      <c r="E79" s="46"/>
      <c r="F79" s="46"/>
      <c r="H79" s="115">
        <v>74</v>
      </c>
      <c r="I79" s="116" t="str">
        <f t="shared" si="7"/>
        <v/>
      </c>
      <c r="J79" s="115" t="e">
        <f t="shared" si="8"/>
        <v>#NUM!</v>
      </c>
      <c r="K79" s="115" t="e">
        <f t="shared" si="9"/>
        <v>#NUM!</v>
      </c>
      <c r="L79" s="115"/>
      <c r="M79" s="117">
        <f t="shared" si="10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10">
        <f t="shared" si="6"/>
        <v>0</v>
      </c>
      <c r="B80" s="39" t="str">
        <f t="shared" si="11"/>
        <v/>
      </c>
      <c r="C80" s="40"/>
      <c r="D80" s="40"/>
      <c r="E80" s="40"/>
      <c r="F80" s="40"/>
      <c r="H80" s="111">
        <v>75</v>
      </c>
      <c r="I80" s="112" t="str">
        <f t="shared" si="7"/>
        <v/>
      </c>
      <c r="J80" s="111" t="e">
        <f t="shared" si="8"/>
        <v>#NUM!</v>
      </c>
      <c r="K80" s="111" t="e">
        <f t="shared" si="9"/>
        <v>#NUM!</v>
      </c>
      <c r="L80" s="111"/>
      <c r="M80" s="113">
        <f t="shared" si="10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14">
        <f t="shared" si="6"/>
        <v>0</v>
      </c>
      <c r="B81" s="45" t="str">
        <f t="shared" si="11"/>
        <v/>
      </c>
      <c r="C81" s="46"/>
      <c r="D81" s="46"/>
      <c r="E81" s="46"/>
      <c r="F81" s="46"/>
      <c r="H81" s="115">
        <v>76</v>
      </c>
      <c r="I81" s="116" t="str">
        <f t="shared" si="7"/>
        <v/>
      </c>
      <c r="J81" s="115" t="e">
        <f t="shared" si="8"/>
        <v>#NUM!</v>
      </c>
      <c r="K81" s="115" t="e">
        <f t="shared" si="9"/>
        <v>#NUM!</v>
      </c>
      <c r="L81" s="115"/>
      <c r="M81" s="117">
        <f t="shared" si="10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10">
        <f t="shared" si="6"/>
        <v>0</v>
      </c>
      <c r="B82" s="39" t="str">
        <f t="shared" si="11"/>
        <v/>
      </c>
      <c r="C82" s="40"/>
      <c r="D82" s="40"/>
      <c r="E82" s="40"/>
      <c r="F82" s="40"/>
      <c r="H82" s="111">
        <v>77</v>
      </c>
      <c r="I82" s="112" t="str">
        <f t="shared" si="7"/>
        <v/>
      </c>
      <c r="J82" s="111" t="e">
        <f t="shared" si="8"/>
        <v>#NUM!</v>
      </c>
      <c r="K82" s="111" t="e">
        <f t="shared" si="9"/>
        <v>#NUM!</v>
      </c>
      <c r="L82" s="111"/>
      <c r="M82" s="113">
        <f t="shared" si="10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14">
        <f t="shared" si="6"/>
        <v>0</v>
      </c>
      <c r="B83" s="45" t="str">
        <f t="shared" si="11"/>
        <v/>
      </c>
      <c r="C83" s="46"/>
      <c r="D83" s="46"/>
      <c r="E83" s="46"/>
      <c r="F83" s="46"/>
      <c r="H83" s="115">
        <v>78</v>
      </c>
      <c r="I83" s="116" t="str">
        <f t="shared" si="7"/>
        <v/>
      </c>
      <c r="J83" s="115" t="e">
        <f t="shared" si="8"/>
        <v>#NUM!</v>
      </c>
      <c r="K83" s="115" t="e">
        <f t="shared" si="9"/>
        <v>#NUM!</v>
      </c>
      <c r="L83" s="115"/>
      <c r="M83" s="117">
        <f t="shared" si="10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10">
        <f t="shared" si="6"/>
        <v>0</v>
      </c>
      <c r="B84" s="39" t="str">
        <f t="shared" si="11"/>
        <v/>
      </c>
      <c r="C84" s="40"/>
      <c r="D84" s="40"/>
      <c r="E84" s="40"/>
      <c r="F84" s="40"/>
      <c r="H84" s="111">
        <v>79</v>
      </c>
      <c r="I84" s="112" t="str">
        <f t="shared" si="7"/>
        <v/>
      </c>
      <c r="J84" s="111" t="e">
        <f t="shared" si="8"/>
        <v>#NUM!</v>
      </c>
      <c r="K84" s="111" t="e">
        <f t="shared" si="9"/>
        <v>#NUM!</v>
      </c>
      <c r="L84" s="111"/>
      <c r="M84" s="113">
        <f t="shared" si="10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14">
        <f t="shared" si="6"/>
        <v>0</v>
      </c>
      <c r="B85" s="45" t="str">
        <f t="shared" si="11"/>
        <v/>
      </c>
      <c r="C85" s="46"/>
      <c r="D85" s="46"/>
      <c r="E85" s="46"/>
      <c r="F85" s="46"/>
      <c r="H85" s="115">
        <v>80</v>
      </c>
      <c r="I85" s="116" t="str">
        <f t="shared" si="7"/>
        <v/>
      </c>
      <c r="J85" s="115" t="e">
        <f t="shared" si="8"/>
        <v>#NUM!</v>
      </c>
      <c r="K85" s="115" t="e">
        <f t="shared" si="9"/>
        <v>#NUM!</v>
      </c>
      <c r="L85" s="115"/>
      <c r="M85" s="117">
        <f t="shared" si="10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10">
        <f t="shared" si="6"/>
        <v>0</v>
      </c>
      <c r="B86" s="39" t="str">
        <f t="shared" si="11"/>
        <v/>
      </c>
      <c r="C86" s="40"/>
      <c r="D86" s="40"/>
      <c r="E86" s="40"/>
      <c r="F86" s="40"/>
      <c r="H86" s="111">
        <v>81</v>
      </c>
      <c r="I86" s="112" t="str">
        <f t="shared" si="7"/>
        <v/>
      </c>
      <c r="J86" s="111" t="e">
        <f t="shared" si="8"/>
        <v>#NUM!</v>
      </c>
      <c r="K86" s="111" t="e">
        <f t="shared" si="9"/>
        <v>#NUM!</v>
      </c>
      <c r="L86" s="111"/>
      <c r="M86" s="113">
        <f t="shared" si="10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14">
        <f t="shared" si="6"/>
        <v>0</v>
      </c>
      <c r="B87" s="45" t="str">
        <f t="shared" si="11"/>
        <v/>
      </c>
      <c r="C87" s="46"/>
      <c r="D87" s="46"/>
      <c r="E87" s="46"/>
      <c r="F87" s="46"/>
      <c r="H87" s="115">
        <v>82</v>
      </c>
      <c r="I87" s="116" t="str">
        <f t="shared" si="7"/>
        <v/>
      </c>
      <c r="J87" s="115" t="e">
        <f t="shared" si="8"/>
        <v>#NUM!</v>
      </c>
      <c r="K87" s="115" t="e">
        <f t="shared" si="9"/>
        <v>#NUM!</v>
      </c>
      <c r="L87" s="115"/>
      <c r="M87" s="117">
        <f t="shared" si="10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10">
        <f t="shared" si="6"/>
        <v>0</v>
      </c>
      <c r="B88" s="39" t="str">
        <f t="shared" si="11"/>
        <v/>
      </c>
      <c r="C88" s="40"/>
      <c r="D88" s="40"/>
      <c r="E88" s="40"/>
      <c r="F88" s="40"/>
      <c r="H88" s="111">
        <v>83</v>
      </c>
      <c r="I88" s="112" t="str">
        <f t="shared" si="7"/>
        <v/>
      </c>
      <c r="J88" s="111" t="e">
        <f t="shared" si="8"/>
        <v>#NUM!</v>
      </c>
      <c r="K88" s="111" t="e">
        <f t="shared" si="9"/>
        <v>#NUM!</v>
      </c>
      <c r="L88" s="111"/>
      <c r="M88" s="113">
        <f t="shared" si="10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14">
        <f t="shared" si="6"/>
        <v>0</v>
      </c>
      <c r="B89" s="45" t="str">
        <f t="shared" si="11"/>
        <v/>
      </c>
      <c r="C89" s="46"/>
      <c r="D89" s="46"/>
      <c r="E89" s="46"/>
      <c r="F89" s="46"/>
      <c r="H89" s="115">
        <v>84</v>
      </c>
      <c r="I89" s="116" t="str">
        <f t="shared" si="7"/>
        <v/>
      </c>
      <c r="J89" s="115" t="e">
        <f t="shared" si="8"/>
        <v>#NUM!</v>
      </c>
      <c r="K89" s="115" t="e">
        <f t="shared" si="9"/>
        <v>#NUM!</v>
      </c>
      <c r="L89" s="115"/>
      <c r="M89" s="117">
        <f t="shared" si="10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10">
        <f t="shared" si="6"/>
        <v>0</v>
      </c>
      <c r="B90" s="39" t="str">
        <f t="shared" si="11"/>
        <v/>
      </c>
      <c r="C90" s="40"/>
      <c r="D90" s="40"/>
      <c r="E90" s="40"/>
      <c r="F90" s="40"/>
      <c r="H90" s="111">
        <v>85</v>
      </c>
      <c r="I90" s="112" t="str">
        <f t="shared" si="7"/>
        <v/>
      </c>
      <c r="J90" s="111" t="e">
        <f t="shared" si="8"/>
        <v>#NUM!</v>
      </c>
      <c r="K90" s="111" t="e">
        <f t="shared" si="9"/>
        <v>#NUM!</v>
      </c>
      <c r="L90" s="111"/>
      <c r="M90" s="113">
        <f t="shared" si="10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14">
        <f t="shared" si="6"/>
        <v>0</v>
      </c>
      <c r="B91" s="45" t="str">
        <f t="shared" si="11"/>
        <v/>
      </c>
      <c r="C91" s="46"/>
      <c r="D91" s="46"/>
      <c r="E91" s="46"/>
      <c r="F91" s="46"/>
      <c r="H91" s="115">
        <v>86</v>
      </c>
      <c r="I91" s="116" t="str">
        <f t="shared" si="7"/>
        <v/>
      </c>
      <c r="J91" s="115" t="e">
        <f t="shared" si="8"/>
        <v>#NUM!</v>
      </c>
      <c r="K91" s="115" t="e">
        <f t="shared" si="9"/>
        <v>#NUM!</v>
      </c>
      <c r="L91" s="115"/>
      <c r="M91" s="117">
        <f t="shared" si="10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10">
        <f t="shared" si="6"/>
        <v>0</v>
      </c>
      <c r="B92" s="39" t="str">
        <f t="shared" si="11"/>
        <v/>
      </c>
      <c r="C92" s="40"/>
      <c r="D92" s="40"/>
      <c r="E92" s="40"/>
      <c r="F92" s="40"/>
      <c r="H92" s="111">
        <v>87</v>
      </c>
      <c r="I92" s="112" t="str">
        <f t="shared" si="7"/>
        <v/>
      </c>
      <c r="J92" s="111" t="e">
        <f t="shared" si="8"/>
        <v>#NUM!</v>
      </c>
      <c r="K92" s="111" t="e">
        <f t="shared" si="9"/>
        <v>#NUM!</v>
      </c>
      <c r="L92" s="111"/>
      <c r="M92" s="113">
        <f t="shared" si="10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14">
        <f t="shared" si="6"/>
        <v>0</v>
      </c>
      <c r="B93" s="45" t="str">
        <f t="shared" si="11"/>
        <v/>
      </c>
      <c r="C93" s="46"/>
      <c r="D93" s="46"/>
      <c r="E93" s="46"/>
      <c r="F93" s="46"/>
      <c r="H93" s="115">
        <v>88</v>
      </c>
      <c r="I93" s="116" t="str">
        <f t="shared" si="7"/>
        <v/>
      </c>
      <c r="J93" s="115" t="e">
        <f t="shared" si="8"/>
        <v>#NUM!</v>
      </c>
      <c r="K93" s="115" t="e">
        <f t="shared" si="9"/>
        <v>#NUM!</v>
      </c>
      <c r="L93" s="115"/>
      <c r="M93" s="117">
        <f t="shared" si="10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10">
        <f t="shared" si="6"/>
        <v>0</v>
      </c>
      <c r="B94" s="39" t="str">
        <f t="shared" si="11"/>
        <v/>
      </c>
      <c r="C94" s="40"/>
      <c r="D94" s="40"/>
      <c r="E94" s="40"/>
      <c r="F94" s="40"/>
      <c r="H94" s="111">
        <v>89</v>
      </c>
      <c r="I94" s="112" t="str">
        <f t="shared" si="7"/>
        <v/>
      </c>
      <c r="J94" s="111" t="e">
        <f t="shared" si="8"/>
        <v>#NUM!</v>
      </c>
      <c r="K94" s="111" t="e">
        <f t="shared" si="9"/>
        <v>#NUM!</v>
      </c>
      <c r="L94" s="111"/>
      <c r="M94" s="113">
        <f t="shared" si="10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14">
        <f t="shared" si="6"/>
        <v>0</v>
      </c>
      <c r="B95" s="45" t="str">
        <f t="shared" si="11"/>
        <v/>
      </c>
      <c r="C95" s="46"/>
      <c r="D95" s="46"/>
      <c r="E95" s="46"/>
      <c r="F95" s="46"/>
      <c r="H95" s="115">
        <v>90</v>
      </c>
      <c r="I95" s="116" t="str">
        <f t="shared" si="7"/>
        <v/>
      </c>
      <c r="J95" s="115" t="e">
        <f t="shared" si="8"/>
        <v>#NUM!</v>
      </c>
      <c r="K95" s="115" t="e">
        <f t="shared" si="9"/>
        <v>#NUM!</v>
      </c>
      <c r="L95" s="115"/>
      <c r="M95" s="117">
        <f t="shared" si="10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10">
        <f t="shared" si="6"/>
        <v>0</v>
      </c>
      <c r="B96" s="39" t="str">
        <f t="shared" si="11"/>
        <v/>
      </c>
      <c r="C96" s="40"/>
      <c r="D96" s="40"/>
      <c r="E96" s="40"/>
      <c r="F96" s="40"/>
      <c r="H96" s="111">
        <v>91</v>
      </c>
      <c r="I96" s="112" t="str">
        <f t="shared" si="7"/>
        <v/>
      </c>
      <c r="J96" s="111" t="e">
        <f t="shared" si="8"/>
        <v>#NUM!</v>
      </c>
      <c r="K96" s="111" t="e">
        <f t="shared" si="9"/>
        <v>#NUM!</v>
      </c>
      <c r="L96" s="111"/>
      <c r="M96" s="113">
        <f t="shared" si="10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14">
        <f t="shared" si="6"/>
        <v>0</v>
      </c>
      <c r="B97" s="45" t="str">
        <f t="shared" si="11"/>
        <v/>
      </c>
      <c r="C97" s="46"/>
      <c r="D97" s="46"/>
      <c r="E97" s="46"/>
      <c r="F97" s="46"/>
      <c r="H97" s="115">
        <v>92</v>
      </c>
      <c r="I97" s="116" t="str">
        <f t="shared" si="7"/>
        <v/>
      </c>
      <c r="J97" s="115" t="e">
        <f t="shared" si="8"/>
        <v>#NUM!</v>
      </c>
      <c r="K97" s="115" t="e">
        <f t="shared" si="9"/>
        <v>#NUM!</v>
      </c>
      <c r="L97" s="115"/>
      <c r="M97" s="117">
        <f t="shared" si="10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10">
        <f t="shared" si="6"/>
        <v>0</v>
      </c>
      <c r="B98" s="39" t="str">
        <f t="shared" si="11"/>
        <v/>
      </c>
      <c r="C98" s="40"/>
      <c r="D98" s="40"/>
      <c r="E98" s="40"/>
      <c r="F98" s="40"/>
      <c r="H98" s="111">
        <v>93</v>
      </c>
      <c r="I98" s="112" t="str">
        <f t="shared" si="7"/>
        <v/>
      </c>
      <c r="J98" s="111" t="e">
        <f t="shared" si="8"/>
        <v>#NUM!</v>
      </c>
      <c r="K98" s="111" t="e">
        <f t="shared" si="9"/>
        <v>#NUM!</v>
      </c>
      <c r="L98" s="111"/>
      <c r="M98" s="113">
        <f t="shared" si="10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14">
        <f t="shared" si="6"/>
        <v>0</v>
      </c>
      <c r="B99" s="45" t="str">
        <f t="shared" si="11"/>
        <v/>
      </c>
      <c r="C99" s="46"/>
      <c r="D99" s="46"/>
      <c r="E99" s="46"/>
      <c r="F99" s="46"/>
      <c r="H99" s="115">
        <v>94</v>
      </c>
      <c r="I99" s="116" t="str">
        <f t="shared" si="7"/>
        <v/>
      </c>
      <c r="J99" s="115" t="e">
        <f t="shared" si="8"/>
        <v>#NUM!</v>
      </c>
      <c r="K99" s="115" t="e">
        <f t="shared" si="9"/>
        <v>#NUM!</v>
      </c>
      <c r="L99" s="115"/>
      <c r="M99" s="117">
        <f t="shared" si="10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10">
        <f t="shared" si="6"/>
        <v>0</v>
      </c>
      <c r="B100" s="39" t="str">
        <f t="shared" si="11"/>
        <v/>
      </c>
      <c r="C100" s="40"/>
      <c r="D100" s="40"/>
      <c r="E100" s="40"/>
      <c r="F100" s="40"/>
      <c r="H100" s="111">
        <v>95</v>
      </c>
      <c r="I100" s="112" t="str">
        <f t="shared" si="7"/>
        <v/>
      </c>
      <c r="J100" s="111" t="e">
        <f t="shared" si="8"/>
        <v>#NUM!</v>
      </c>
      <c r="K100" s="111" t="e">
        <f t="shared" si="9"/>
        <v>#NUM!</v>
      </c>
      <c r="L100" s="111"/>
      <c r="M100" s="113">
        <f t="shared" si="10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14">
        <f t="shared" si="6"/>
        <v>0</v>
      </c>
      <c r="B101" s="45" t="str">
        <f t="shared" si="11"/>
        <v/>
      </c>
      <c r="C101" s="46"/>
      <c r="D101" s="46"/>
      <c r="E101" s="46"/>
      <c r="F101" s="46"/>
      <c r="H101" s="115">
        <v>96</v>
      </c>
      <c r="I101" s="116" t="str">
        <f t="shared" si="7"/>
        <v/>
      </c>
      <c r="J101" s="115" t="e">
        <f t="shared" si="8"/>
        <v>#NUM!</v>
      </c>
      <c r="K101" s="115" t="e">
        <f t="shared" si="9"/>
        <v>#NUM!</v>
      </c>
      <c r="L101" s="115"/>
      <c r="M101" s="117">
        <f t="shared" si="10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10">
        <f t="shared" si="6"/>
        <v>0</v>
      </c>
      <c r="B102" s="39" t="str">
        <f t="shared" si="11"/>
        <v/>
      </c>
      <c r="C102" s="40"/>
      <c r="D102" s="40"/>
      <c r="E102" s="40"/>
      <c r="F102" s="40"/>
      <c r="H102" s="111">
        <v>97</v>
      </c>
      <c r="I102" s="112" t="str">
        <f t="shared" si="7"/>
        <v/>
      </c>
      <c r="J102" s="111" t="e">
        <f t="shared" si="8"/>
        <v>#NUM!</v>
      </c>
      <c r="K102" s="111" t="e">
        <f t="shared" si="9"/>
        <v>#NUM!</v>
      </c>
      <c r="L102" s="111"/>
      <c r="M102" s="113">
        <f t="shared" si="10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14">
        <f t="shared" si="6"/>
        <v>0</v>
      </c>
      <c r="B103" s="45" t="str">
        <f t="shared" si="11"/>
        <v/>
      </c>
      <c r="C103" s="46"/>
      <c r="D103" s="46"/>
      <c r="E103" s="46"/>
      <c r="F103" s="46"/>
      <c r="H103" s="115">
        <v>98</v>
      </c>
      <c r="I103" s="116" t="str">
        <f t="shared" si="7"/>
        <v/>
      </c>
      <c r="J103" s="115" t="e">
        <f t="shared" si="8"/>
        <v>#NUM!</v>
      </c>
      <c r="K103" s="115" t="e">
        <f t="shared" si="9"/>
        <v>#NUM!</v>
      </c>
      <c r="L103" s="115"/>
      <c r="M103" s="117">
        <f t="shared" si="10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10">
        <f t="shared" si="6"/>
        <v>0</v>
      </c>
      <c r="B104" s="39" t="str">
        <f t="shared" si="11"/>
        <v/>
      </c>
      <c r="C104" s="40"/>
      <c r="D104" s="40"/>
      <c r="E104" s="40"/>
      <c r="F104" s="40"/>
      <c r="H104" s="111">
        <v>99</v>
      </c>
      <c r="I104" s="112" t="str">
        <f t="shared" si="7"/>
        <v/>
      </c>
      <c r="J104" s="111" t="e">
        <f t="shared" si="8"/>
        <v>#NUM!</v>
      </c>
      <c r="K104" s="111" t="e">
        <f t="shared" si="9"/>
        <v>#NUM!</v>
      </c>
      <c r="L104" s="111"/>
      <c r="M104" s="113">
        <f t="shared" si="10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14">
        <f t="shared" si="6"/>
        <v>0</v>
      </c>
      <c r="B105" s="45" t="str">
        <f t="shared" si="11"/>
        <v/>
      </c>
      <c r="C105" s="46"/>
      <c r="D105" s="46"/>
      <c r="E105" s="46"/>
      <c r="F105" s="46"/>
      <c r="H105" s="115">
        <v>100</v>
      </c>
      <c r="I105" s="116" t="str">
        <f t="shared" si="7"/>
        <v/>
      </c>
      <c r="J105" s="115" t="e">
        <f t="shared" si="8"/>
        <v>#NUM!</v>
      </c>
      <c r="K105" s="115" t="e">
        <f t="shared" si="9"/>
        <v>#NUM!</v>
      </c>
      <c r="L105" s="115"/>
      <c r="M105" s="117">
        <f t="shared" si="10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10">
        <f t="shared" si="6"/>
        <v>0</v>
      </c>
      <c r="B106" s="39" t="str">
        <f t="shared" si="11"/>
        <v/>
      </c>
      <c r="C106" s="40"/>
      <c r="D106" s="40"/>
      <c r="E106" s="40"/>
      <c r="F106" s="40"/>
      <c r="H106" s="111">
        <v>101</v>
      </c>
      <c r="I106" s="112" t="str">
        <f t="shared" si="7"/>
        <v/>
      </c>
      <c r="J106" s="111" t="e">
        <f t="shared" si="8"/>
        <v>#NUM!</v>
      </c>
      <c r="K106" s="111" t="e">
        <f t="shared" si="9"/>
        <v>#NUM!</v>
      </c>
      <c r="L106" s="111"/>
      <c r="M106" s="113">
        <f t="shared" si="10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14">
        <f t="shared" si="6"/>
        <v>0</v>
      </c>
      <c r="B107" s="45" t="str">
        <f t="shared" si="11"/>
        <v/>
      </c>
      <c r="C107" s="46"/>
      <c r="D107" s="46"/>
      <c r="E107" s="46"/>
      <c r="F107" s="46"/>
      <c r="H107" s="115">
        <v>102</v>
      </c>
      <c r="I107" s="116" t="str">
        <f t="shared" si="7"/>
        <v/>
      </c>
      <c r="J107" s="115" t="e">
        <f t="shared" si="8"/>
        <v>#NUM!</v>
      </c>
      <c r="K107" s="115" t="e">
        <f t="shared" si="9"/>
        <v>#NUM!</v>
      </c>
      <c r="L107" s="115"/>
      <c r="M107" s="117">
        <f t="shared" si="10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10">
        <f t="shared" si="6"/>
        <v>0</v>
      </c>
      <c r="B108" s="39" t="str">
        <f t="shared" si="11"/>
        <v/>
      </c>
      <c r="C108" s="40"/>
      <c r="D108" s="40"/>
      <c r="E108" s="40"/>
      <c r="F108" s="40"/>
      <c r="H108" s="111">
        <v>103</v>
      </c>
      <c r="I108" s="112" t="str">
        <f t="shared" si="7"/>
        <v/>
      </c>
      <c r="J108" s="111" t="e">
        <f t="shared" si="8"/>
        <v>#NUM!</v>
      </c>
      <c r="K108" s="111" t="e">
        <f t="shared" si="9"/>
        <v>#NUM!</v>
      </c>
      <c r="L108" s="111"/>
      <c r="M108" s="113">
        <f t="shared" si="10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14">
        <f t="shared" si="6"/>
        <v>0</v>
      </c>
      <c r="B109" s="45" t="str">
        <f t="shared" si="11"/>
        <v/>
      </c>
      <c r="C109" s="46"/>
      <c r="D109" s="46"/>
      <c r="E109" s="46"/>
      <c r="F109" s="46"/>
      <c r="H109" s="115">
        <v>104</v>
      </c>
      <c r="I109" s="116" t="str">
        <f t="shared" si="7"/>
        <v/>
      </c>
      <c r="J109" s="115" t="e">
        <f t="shared" si="8"/>
        <v>#NUM!</v>
      </c>
      <c r="K109" s="115" t="e">
        <f t="shared" si="9"/>
        <v>#NUM!</v>
      </c>
      <c r="L109" s="115"/>
      <c r="M109" s="117">
        <f t="shared" si="10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10">
        <f t="shared" si="6"/>
        <v>0</v>
      </c>
      <c r="B110" s="39" t="str">
        <f t="shared" si="11"/>
        <v/>
      </c>
      <c r="C110" s="40"/>
      <c r="D110" s="40"/>
      <c r="E110" s="40"/>
      <c r="F110" s="40"/>
      <c r="H110" s="111">
        <v>105</v>
      </c>
      <c r="I110" s="112" t="str">
        <f t="shared" si="7"/>
        <v/>
      </c>
      <c r="J110" s="111" t="e">
        <f t="shared" si="8"/>
        <v>#NUM!</v>
      </c>
      <c r="K110" s="111" t="e">
        <f t="shared" si="9"/>
        <v>#NUM!</v>
      </c>
      <c r="L110" s="111"/>
      <c r="M110" s="113">
        <f t="shared" si="10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14">
        <f t="shared" si="6"/>
        <v>0</v>
      </c>
      <c r="B111" s="45" t="str">
        <f t="shared" si="11"/>
        <v/>
      </c>
      <c r="C111" s="46"/>
      <c r="D111" s="46"/>
      <c r="E111" s="46"/>
      <c r="F111" s="46"/>
      <c r="H111" s="115">
        <v>106</v>
      </c>
      <c r="I111" s="116" t="str">
        <f t="shared" si="7"/>
        <v/>
      </c>
      <c r="J111" s="115" t="e">
        <f t="shared" si="8"/>
        <v>#NUM!</v>
      </c>
      <c r="K111" s="115" t="e">
        <f t="shared" si="9"/>
        <v>#NUM!</v>
      </c>
      <c r="L111" s="115"/>
      <c r="M111" s="117">
        <f t="shared" si="10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10">
        <f t="shared" si="6"/>
        <v>0</v>
      </c>
      <c r="B112" s="39" t="str">
        <f t="shared" si="11"/>
        <v/>
      </c>
      <c r="C112" s="40"/>
      <c r="D112" s="40"/>
      <c r="E112" s="40"/>
      <c r="F112" s="40"/>
      <c r="H112" s="111">
        <v>107</v>
      </c>
      <c r="I112" s="112" t="str">
        <f t="shared" si="7"/>
        <v/>
      </c>
      <c r="J112" s="111" t="e">
        <f t="shared" si="8"/>
        <v>#NUM!</v>
      </c>
      <c r="K112" s="111" t="e">
        <f t="shared" si="9"/>
        <v>#NUM!</v>
      </c>
      <c r="L112" s="111"/>
      <c r="M112" s="113">
        <f t="shared" si="10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14">
        <f t="shared" si="6"/>
        <v>0</v>
      </c>
      <c r="B113" s="45" t="str">
        <f t="shared" si="11"/>
        <v/>
      </c>
      <c r="C113" s="46"/>
      <c r="D113" s="46"/>
      <c r="E113" s="46"/>
      <c r="F113" s="46"/>
      <c r="H113" s="115">
        <v>108</v>
      </c>
      <c r="I113" s="116" t="str">
        <f t="shared" si="7"/>
        <v/>
      </c>
      <c r="J113" s="115" t="e">
        <f t="shared" si="8"/>
        <v>#NUM!</v>
      </c>
      <c r="K113" s="115" t="e">
        <f t="shared" si="9"/>
        <v>#NUM!</v>
      </c>
      <c r="L113" s="115"/>
      <c r="M113" s="117">
        <f t="shared" si="10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10">
        <f t="shared" si="6"/>
        <v>0</v>
      </c>
      <c r="B114" s="39" t="str">
        <f t="shared" si="11"/>
        <v/>
      </c>
      <c r="C114" s="40"/>
      <c r="D114" s="40"/>
      <c r="E114" s="40"/>
      <c r="F114" s="40"/>
      <c r="H114" s="111">
        <v>109</v>
      </c>
      <c r="I114" s="112" t="str">
        <f t="shared" si="7"/>
        <v/>
      </c>
      <c r="J114" s="111" t="e">
        <f t="shared" si="8"/>
        <v>#NUM!</v>
      </c>
      <c r="K114" s="111" t="e">
        <f t="shared" si="9"/>
        <v>#NUM!</v>
      </c>
      <c r="L114" s="111"/>
      <c r="M114" s="113">
        <f t="shared" si="10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14">
        <f t="shared" si="6"/>
        <v>0</v>
      </c>
      <c r="B115" s="45" t="str">
        <f t="shared" si="11"/>
        <v/>
      </c>
      <c r="C115" s="46"/>
      <c r="D115" s="46"/>
      <c r="E115" s="46"/>
      <c r="F115" s="46"/>
      <c r="H115" s="115">
        <v>110</v>
      </c>
      <c r="I115" s="116" t="str">
        <f t="shared" si="7"/>
        <v/>
      </c>
      <c r="J115" s="115" t="e">
        <f t="shared" si="8"/>
        <v>#NUM!</v>
      </c>
      <c r="K115" s="115" t="e">
        <f t="shared" si="9"/>
        <v>#NUM!</v>
      </c>
      <c r="L115" s="115"/>
      <c r="M115" s="117">
        <f t="shared" si="10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10">
        <f t="shared" si="6"/>
        <v>0</v>
      </c>
      <c r="B116" s="39" t="str">
        <f t="shared" si="11"/>
        <v/>
      </c>
      <c r="C116" s="40"/>
      <c r="D116" s="40"/>
      <c r="E116" s="40"/>
      <c r="F116" s="40"/>
      <c r="H116" s="111">
        <v>111</v>
      </c>
      <c r="I116" s="112" t="str">
        <f t="shared" si="7"/>
        <v/>
      </c>
      <c r="J116" s="111" t="e">
        <f t="shared" si="8"/>
        <v>#NUM!</v>
      </c>
      <c r="K116" s="111" t="e">
        <f t="shared" si="9"/>
        <v>#NUM!</v>
      </c>
      <c r="L116" s="111"/>
      <c r="M116" s="113">
        <f t="shared" si="10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14">
        <f t="shared" si="6"/>
        <v>0</v>
      </c>
      <c r="B117" s="45" t="str">
        <f t="shared" si="11"/>
        <v/>
      </c>
      <c r="C117" s="46"/>
      <c r="D117" s="46"/>
      <c r="E117" s="46"/>
      <c r="F117" s="46"/>
      <c r="H117" s="115">
        <v>112</v>
      </c>
      <c r="I117" s="116" t="str">
        <f t="shared" si="7"/>
        <v/>
      </c>
      <c r="J117" s="115" t="e">
        <f t="shared" si="8"/>
        <v>#NUM!</v>
      </c>
      <c r="K117" s="115" t="e">
        <f t="shared" si="9"/>
        <v>#NUM!</v>
      </c>
      <c r="L117" s="115"/>
      <c r="M117" s="117">
        <f t="shared" si="10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10">
        <f t="shared" si="6"/>
        <v>0</v>
      </c>
      <c r="B118" s="39" t="str">
        <f t="shared" si="11"/>
        <v/>
      </c>
      <c r="C118" s="40"/>
      <c r="D118" s="40"/>
      <c r="E118" s="40"/>
      <c r="F118" s="40"/>
      <c r="H118" s="111">
        <v>113</v>
      </c>
      <c r="I118" s="112" t="str">
        <f t="shared" si="7"/>
        <v/>
      </c>
      <c r="J118" s="111" t="e">
        <f t="shared" si="8"/>
        <v>#NUM!</v>
      </c>
      <c r="K118" s="111" t="e">
        <f t="shared" si="9"/>
        <v>#NUM!</v>
      </c>
      <c r="L118" s="111"/>
      <c r="M118" s="113">
        <f t="shared" si="10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14">
        <f t="shared" si="6"/>
        <v>0</v>
      </c>
      <c r="B119" s="45" t="str">
        <f t="shared" si="11"/>
        <v/>
      </c>
      <c r="C119" s="46"/>
      <c r="D119" s="46"/>
      <c r="E119" s="46"/>
      <c r="F119" s="46"/>
      <c r="H119" s="115">
        <v>114</v>
      </c>
      <c r="I119" s="116" t="str">
        <f t="shared" si="7"/>
        <v/>
      </c>
      <c r="J119" s="115" t="e">
        <f t="shared" si="8"/>
        <v>#NUM!</v>
      </c>
      <c r="K119" s="115" t="e">
        <f t="shared" si="9"/>
        <v>#NUM!</v>
      </c>
      <c r="L119" s="115"/>
      <c r="M119" s="117">
        <f t="shared" si="10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10">
        <f t="shared" si="6"/>
        <v>0</v>
      </c>
      <c r="B120" s="39" t="str">
        <f t="shared" si="11"/>
        <v/>
      </c>
      <c r="C120" s="40"/>
      <c r="D120" s="40"/>
      <c r="E120" s="40"/>
      <c r="F120" s="40"/>
      <c r="H120" s="111">
        <v>115</v>
      </c>
      <c r="I120" s="112" t="str">
        <f t="shared" si="7"/>
        <v/>
      </c>
      <c r="J120" s="111" t="e">
        <f t="shared" si="8"/>
        <v>#NUM!</v>
      </c>
      <c r="K120" s="111" t="e">
        <f t="shared" si="9"/>
        <v>#NUM!</v>
      </c>
      <c r="L120" s="111"/>
      <c r="M120" s="113">
        <f t="shared" si="10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14">
        <f t="shared" si="6"/>
        <v>0</v>
      </c>
      <c r="B121" s="45" t="str">
        <f t="shared" si="11"/>
        <v/>
      </c>
      <c r="C121" s="46"/>
      <c r="D121" s="46"/>
      <c r="E121" s="46"/>
      <c r="F121" s="46"/>
      <c r="H121" s="115">
        <v>116</v>
      </c>
      <c r="I121" s="116" t="str">
        <f t="shared" si="7"/>
        <v/>
      </c>
      <c r="J121" s="115" t="e">
        <f t="shared" si="8"/>
        <v>#NUM!</v>
      </c>
      <c r="K121" s="115" t="e">
        <f t="shared" si="9"/>
        <v>#NUM!</v>
      </c>
      <c r="L121" s="115"/>
      <c r="M121" s="117">
        <f t="shared" si="10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10">
        <f t="shared" si="6"/>
        <v>0</v>
      </c>
      <c r="B122" s="39" t="str">
        <f t="shared" si="11"/>
        <v/>
      </c>
      <c r="C122" s="40"/>
      <c r="D122" s="40"/>
      <c r="E122" s="40"/>
      <c r="F122" s="40"/>
      <c r="H122" s="111">
        <v>117</v>
      </c>
      <c r="I122" s="112" t="str">
        <f t="shared" si="7"/>
        <v/>
      </c>
      <c r="J122" s="111" t="e">
        <f t="shared" si="8"/>
        <v>#NUM!</v>
      </c>
      <c r="K122" s="111" t="e">
        <f t="shared" si="9"/>
        <v>#NUM!</v>
      </c>
      <c r="L122" s="111"/>
      <c r="M122" s="113">
        <f t="shared" si="10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14">
        <f t="shared" si="6"/>
        <v>0</v>
      </c>
      <c r="B123" s="45" t="str">
        <f t="shared" si="11"/>
        <v/>
      </c>
      <c r="C123" s="46"/>
      <c r="D123" s="46"/>
      <c r="E123" s="46"/>
      <c r="F123" s="46"/>
      <c r="H123" s="115">
        <v>118</v>
      </c>
      <c r="I123" s="116" t="str">
        <f t="shared" si="7"/>
        <v/>
      </c>
      <c r="J123" s="115" t="e">
        <f t="shared" si="8"/>
        <v>#NUM!</v>
      </c>
      <c r="K123" s="115" t="e">
        <f t="shared" si="9"/>
        <v>#NUM!</v>
      </c>
      <c r="L123" s="115"/>
      <c r="M123" s="117">
        <f t="shared" si="10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10">
        <f t="shared" si="6"/>
        <v>0</v>
      </c>
      <c r="B124" s="39" t="str">
        <f t="shared" si="11"/>
        <v/>
      </c>
      <c r="C124" s="40"/>
      <c r="D124" s="40"/>
      <c r="E124" s="40"/>
      <c r="F124" s="40"/>
      <c r="H124" s="111">
        <v>119</v>
      </c>
      <c r="I124" s="112" t="str">
        <f t="shared" si="7"/>
        <v/>
      </c>
      <c r="J124" s="111" t="e">
        <f t="shared" si="8"/>
        <v>#NUM!</v>
      </c>
      <c r="K124" s="111" t="e">
        <f t="shared" si="9"/>
        <v>#NUM!</v>
      </c>
      <c r="L124" s="111"/>
      <c r="M124" s="113">
        <f t="shared" si="10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14">
        <f t="shared" si="6"/>
        <v>0</v>
      </c>
      <c r="B125" s="45" t="str">
        <f t="shared" si="11"/>
        <v/>
      </c>
      <c r="C125" s="46"/>
      <c r="D125" s="46"/>
      <c r="E125" s="46"/>
      <c r="F125" s="46"/>
      <c r="H125" s="115">
        <v>120</v>
      </c>
      <c r="I125" s="116" t="str">
        <f t="shared" si="7"/>
        <v/>
      </c>
      <c r="J125" s="115" t="e">
        <f t="shared" si="8"/>
        <v>#NUM!</v>
      </c>
      <c r="K125" s="115" t="e">
        <f t="shared" si="9"/>
        <v>#NUM!</v>
      </c>
      <c r="L125" s="115"/>
      <c r="M125" s="117">
        <f t="shared" si="10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10">
        <f t="shared" si="6"/>
        <v>0</v>
      </c>
      <c r="B126" s="39" t="str">
        <f t="shared" si="11"/>
        <v/>
      </c>
      <c r="C126" s="40"/>
      <c r="D126" s="40"/>
      <c r="E126" s="40"/>
      <c r="F126" s="40"/>
      <c r="H126" s="111">
        <v>121</v>
      </c>
      <c r="I126" s="112" t="str">
        <f t="shared" si="7"/>
        <v/>
      </c>
      <c r="J126" s="111" t="e">
        <f t="shared" si="8"/>
        <v>#NUM!</v>
      </c>
      <c r="K126" s="111" t="e">
        <f t="shared" si="9"/>
        <v>#NUM!</v>
      </c>
      <c r="L126" s="111"/>
      <c r="M126" s="113">
        <f t="shared" si="10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14">
        <f t="shared" si="6"/>
        <v>0</v>
      </c>
      <c r="B127" s="45" t="str">
        <f t="shared" si="11"/>
        <v/>
      </c>
      <c r="C127" s="46"/>
      <c r="D127" s="46"/>
      <c r="E127" s="46"/>
      <c r="F127" s="46"/>
      <c r="H127" s="115">
        <v>122</v>
      </c>
      <c r="I127" s="116" t="str">
        <f t="shared" si="7"/>
        <v/>
      </c>
      <c r="J127" s="115" t="e">
        <f t="shared" si="8"/>
        <v>#NUM!</v>
      </c>
      <c r="K127" s="115" t="e">
        <f t="shared" si="9"/>
        <v>#NUM!</v>
      </c>
      <c r="L127" s="115"/>
      <c r="M127" s="117">
        <f t="shared" si="10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10">
        <f t="shared" si="6"/>
        <v>0</v>
      </c>
      <c r="B128" s="39" t="str">
        <f t="shared" si="11"/>
        <v/>
      </c>
      <c r="C128" s="40"/>
      <c r="D128" s="40"/>
      <c r="E128" s="40"/>
      <c r="F128" s="40"/>
      <c r="H128" s="111">
        <v>123</v>
      </c>
      <c r="I128" s="112" t="str">
        <f t="shared" si="7"/>
        <v/>
      </c>
      <c r="J128" s="111" t="e">
        <f t="shared" si="8"/>
        <v>#NUM!</v>
      </c>
      <c r="K128" s="111" t="e">
        <f t="shared" si="9"/>
        <v>#NUM!</v>
      </c>
      <c r="L128" s="111"/>
      <c r="M128" s="113">
        <f t="shared" si="10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14">
        <f t="shared" si="6"/>
        <v>0</v>
      </c>
      <c r="B129" s="45" t="str">
        <f t="shared" si="11"/>
        <v/>
      </c>
      <c r="C129" s="46"/>
      <c r="D129" s="46"/>
      <c r="E129" s="46"/>
      <c r="F129" s="46"/>
      <c r="H129" s="115">
        <v>124</v>
      </c>
      <c r="I129" s="116" t="str">
        <f t="shared" si="7"/>
        <v/>
      </c>
      <c r="J129" s="115" t="e">
        <f t="shared" si="8"/>
        <v>#NUM!</v>
      </c>
      <c r="K129" s="115" t="e">
        <f t="shared" si="9"/>
        <v>#NUM!</v>
      </c>
      <c r="L129" s="115"/>
      <c r="M129" s="117">
        <f t="shared" si="10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10">
        <f t="shared" si="6"/>
        <v>0</v>
      </c>
      <c r="B130" s="39" t="str">
        <f t="shared" si="11"/>
        <v/>
      </c>
      <c r="C130" s="40"/>
      <c r="D130" s="40"/>
      <c r="E130" s="40"/>
      <c r="F130" s="40"/>
      <c r="H130" s="111">
        <v>125</v>
      </c>
      <c r="I130" s="112" t="str">
        <f t="shared" si="7"/>
        <v/>
      </c>
      <c r="J130" s="111" t="e">
        <f t="shared" si="8"/>
        <v>#NUM!</v>
      </c>
      <c r="K130" s="111" t="e">
        <f t="shared" si="9"/>
        <v>#NUM!</v>
      </c>
      <c r="L130" s="111"/>
      <c r="M130" s="113">
        <f t="shared" si="10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14">
        <f t="shared" si="6"/>
        <v>0</v>
      </c>
      <c r="B131" s="45" t="str">
        <f t="shared" si="11"/>
        <v/>
      </c>
      <c r="C131" s="46"/>
      <c r="D131" s="46"/>
      <c r="E131" s="46"/>
      <c r="F131" s="46"/>
      <c r="H131" s="115">
        <v>126</v>
      </c>
      <c r="I131" s="116" t="str">
        <f t="shared" si="7"/>
        <v/>
      </c>
      <c r="J131" s="115" t="e">
        <f t="shared" si="8"/>
        <v>#NUM!</v>
      </c>
      <c r="K131" s="115" t="e">
        <f t="shared" si="9"/>
        <v>#NUM!</v>
      </c>
      <c r="L131" s="115"/>
      <c r="M131" s="117">
        <f t="shared" si="10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10">
        <f t="shared" si="6"/>
        <v>0</v>
      </c>
      <c r="B132" s="39" t="str">
        <f t="shared" si="11"/>
        <v/>
      </c>
      <c r="C132" s="40"/>
      <c r="D132" s="40"/>
      <c r="E132" s="40"/>
      <c r="F132" s="40"/>
      <c r="H132" s="111">
        <v>127</v>
      </c>
      <c r="I132" s="112" t="str">
        <f t="shared" si="7"/>
        <v/>
      </c>
      <c r="J132" s="111" t="e">
        <f t="shared" si="8"/>
        <v>#NUM!</v>
      </c>
      <c r="K132" s="111" t="e">
        <f t="shared" si="9"/>
        <v>#NUM!</v>
      </c>
      <c r="L132" s="111"/>
      <c r="M132" s="113">
        <f t="shared" si="10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14">
        <f t="shared" si="6"/>
        <v>0</v>
      </c>
      <c r="B133" s="45" t="str">
        <f t="shared" si="11"/>
        <v/>
      </c>
      <c r="C133" s="46"/>
      <c r="D133" s="46"/>
      <c r="E133" s="46"/>
      <c r="F133" s="46"/>
      <c r="H133" s="115">
        <v>128</v>
      </c>
      <c r="I133" s="116" t="str">
        <f t="shared" si="7"/>
        <v/>
      </c>
      <c r="J133" s="115" t="e">
        <f t="shared" si="8"/>
        <v>#NUM!</v>
      </c>
      <c r="K133" s="115" t="e">
        <f t="shared" si="9"/>
        <v>#NUM!</v>
      </c>
      <c r="L133" s="115"/>
      <c r="M133" s="117">
        <f t="shared" si="10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10">
        <f t="shared" ref="A134:A140" si="12">M134</f>
        <v>0</v>
      </c>
      <c r="B134" s="39" t="str">
        <f t="shared" si="11"/>
        <v/>
      </c>
      <c r="C134" s="40"/>
      <c r="D134" s="40"/>
      <c r="E134" s="40"/>
      <c r="F134" s="40"/>
      <c r="H134" s="111">
        <v>129</v>
      </c>
      <c r="I134" s="112" t="str">
        <f t="shared" ref="I134:I197" si="13">IF(H134&lt;$H$2+1,($I$2-($I$2-1)*(LOG(H134)/LOG($H$2))),"")</f>
        <v/>
      </c>
      <c r="J134" s="111" t="e">
        <f t="shared" ref="J134:J197" si="14">INT(LOG($H$2,2))-ROUNDUP(LOG(H134,2),0)+IF(OR($H$2=1,$H$2=2,$H$2=4,$H$2=8,$H$2=16,$H$2=32,$H$2=64,$H$2=128,$H$2=256),0,1)</f>
        <v>#NUM!</v>
      </c>
      <c r="K134" s="111" t="e">
        <f t="shared" ref="K134:K197" si="15">J134*$J$2</f>
        <v>#NUM!</v>
      </c>
      <c r="L134" s="111"/>
      <c r="M134" s="113">
        <f t="shared" ref="M134:M197" si="16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14">
        <f t="shared" si="12"/>
        <v>0</v>
      </c>
      <c r="B135" s="45" t="str">
        <f t="shared" si="11"/>
        <v/>
      </c>
      <c r="C135" s="46"/>
      <c r="D135" s="46"/>
      <c r="E135" s="46"/>
      <c r="F135" s="46"/>
      <c r="H135" s="115">
        <v>130</v>
      </c>
      <c r="I135" s="116" t="str">
        <f t="shared" si="13"/>
        <v/>
      </c>
      <c r="J135" s="115" t="e">
        <f t="shared" si="14"/>
        <v>#NUM!</v>
      </c>
      <c r="K135" s="115" t="e">
        <f t="shared" si="15"/>
        <v>#NUM!</v>
      </c>
      <c r="L135" s="115"/>
      <c r="M135" s="117">
        <f t="shared" si="16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10">
        <f t="shared" si="12"/>
        <v>0</v>
      </c>
      <c r="B136" s="39" t="str">
        <f t="shared" si="11"/>
        <v/>
      </c>
      <c r="C136" s="40"/>
      <c r="D136" s="40"/>
      <c r="E136" s="40"/>
      <c r="F136" s="40"/>
      <c r="H136" s="111">
        <v>131</v>
      </c>
      <c r="I136" s="112" t="str">
        <f t="shared" si="13"/>
        <v/>
      </c>
      <c r="J136" s="111" t="e">
        <f t="shared" si="14"/>
        <v>#NUM!</v>
      </c>
      <c r="K136" s="111" t="e">
        <f t="shared" si="15"/>
        <v>#NUM!</v>
      </c>
      <c r="L136" s="111"/>
      <c r="M136" s="113">
        <f t="shared" si="16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14">
        <f t="shared" si="12"/>
        <v>0</v>
      </c>
      <c r="B137" s="45" t="str">
        <f t="shared" si="11"/>
        <v/>
      </c>
      <c r="C137" s="46"/>
      <c r="D137" s="46"/>
      <c r="E137" s="46"/>
      <c r="F137" s="46"/>
      <c r="H137" s="115">
        <v>132</v>
      </c>
      <c r="I137" s="116" t="str">
        <f t="shared" si="13"/>
        <v/>
      </c>
      <c r="J137" s="115" t="e">
        <f t="shared" si="14"/>
        <v>#NUM!</v>
      </c>
      <c r="K137" s="115" t="e">
        <f t="shared" si="15"/>
        <v>#NUM!</v>
      </c>
      <c r="L137" s="115"/>
      <c r="M137" s="117">
        <f t="shared" si="16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10">
        <f t="shared" si="12"/>
        <v>0</v>
      </c>
      <c r="B138" s="39" t="str">
        <f t="shared" ref="B138:B140" si="17">IF(H138&gt;$H$2,"",(ROW()-5))</f>
        <v/>
      </c>
      <c r="C138" s="40"/>
      <c r="D138" s="40"/>
      <c r="E138" s="40"/>
      <c r="F138" s="40"/>
      <c r="H138" s="111">
        <v>133</v>
      </c>
      <c r="I138" s="112" t="str">
        <f t="shared" si="13"/>
        <v/>
      </c>
      <c r="J138" s="111" t="e">
        <f t="shared" si="14"/>
        <v>#NUM!</v>
      </c>
      <c r="K138" s="111" t="e">
        <f t="shared" si="15"/>
        <v>#NUM!</v>
      </c>
      <c r="L138" s="111"/>
      <c r="M138" s="113">
        <f t="shared" si="16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14">
        <f t="shared" si="12"/>
        <v>0</v>
      </c>
      <c r="B139" s="45" t="str">
        <f t="shared" si="17"/>
        <v/>
      </c>
      <c r="C139" s="46"/>
      <c r="D139" s="46"/>
      <c r="E139" s="46"/>
      <c r="F139" s="46"/>
      <c r="H139" s="115">
        <v>134</v>
      </c>
      <c r="I139" s="116" t="str">
        <f t="shared" si="13"/>
        <v/>
      </c>
      <c r="J139" s="115" t="e">
        <f t="shared" si="14"/>
        <v>#NUM!</v>
      </c>
      <c r="K139" s="115" t="e">
        <f t="shared" si="15"/>
        <v>#NUM!</v>
      </c>
      <c r="L139" s="115"/>
      <c r="M139" s="117">
        <f t="shared" si="16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10">
        <f t="shared" si="12"/>
        <v>0</v>
      </c>
      <c r="B140" s="39" t="str">
        <f t="shared" si="17"/>
        <v/>
      </c>
      <c r="C140" s="40"/>
      <c r="D140" s="40"/>
      <c r="E140" s="40"/>
      <c r="F140" s="40"/>
      <c r="H140" s="111">
        <v>135</v>
      </c>
      <c r="I140" s="112" t="str">
        <f t="shared" si="13"/>
        <v/>
      </c>
      <c r="J140" s="111" t="e">
        <f t="shared" si="14"/>
        <v>#NUM!</v>
      </c>
      <c r="K140" s="111" t="e">
        <f t="shared" si="15"/>
        <v>#NUM!</v>
      </c>
      <c r="L140" s="111"/>
      <c r="M140" s="113">
        <f t="shared" si="16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>
      <c r="A141" s="132"/>
      <c r="G141" s="96"/>
      <c r="H141" s="115">
        <v>136</v>
      </c>
      <c r="I141" s="112" t="str">
        <f t="shared" si="13"/>
        <v/>
      </c>
      <c r="J141" s="111" t="e">
        <f t="shared" si="14"/>
        <v>#NUM!</v>
      </c>
      <c r="K141" s="111" t="e">
        <f t="shared" si="15"/>
        <v>#NUM!</v>
      </c>
      <c r="L141" s="111"/>
      <c r="M141" s="113">
        <f t="shared" si="16"/>
        <v>0</v>
      </c>
    </row>
    <row r="142" spans="1:38">
      <c r="A142" s="132"/>
      <c r="G142" s="96"/>
      <c r="H142" s="111">
        <v>137</v>
      </c>
      <c r="I142" s="112" t="str">
        <f t="shared" si="13"/>
        <v/>
      </c>
      <c r="J142" s="111" t="e">
        <f t="shared" si="14"/>
        <v>#NUM!</v>
      </c>
      <c r="K142" s="111" t="e">
        <f t="shared" si="15"/>
        <v>#NUM!</v>
      </c>
      <c r="L142" s="111"/>
      <c r="M142" s="113">
        <f t="shared" si="16"/>
        <v>0</v>
      </c>
    </row>
    <row r="143" spans="1:38">
      <c r="A143" s="132"/>
      <c r="G143" s="96"/>
      <c r="H143" s="115">
        <v>138</v>
      </c>
      <c r="I143" s="112" t="str">
        <f t="shared" si="13"/>
        <v/>
      </c>
      <c r="J143" s="111" t="e">
        <f t="shared" si="14"/>
        <v>#NUM!</v>
      </c>
      <c r="K143" s="111" t="e">
        <f t="shared" si="15"/>
        <v>#NUM!</v>
      </c>
      <c r="L143" s="111"/>
      <c r="M143" s="113">
        <f t="shared" si="16"/>
        <v>0</v>
      </c>
    </row>
    <row r="144" spans="1:38">
      <c r="A144" s="132"/>
      <c r="G144" s="96"/>
      <c r="H144" s="111">
        <v>139</v>
      </c>
      <c r="I144" s="112" t="str">
        <f t="shared" si="13"/>
        <v/>
      </c>
      <c r="J144" s="111" t="e">
        <f t="shared" si="14"/>
        <v>#NUM!</v>
      </c>
      <c r="K144" s="111" t="e">
        <f t="shared" si="15"/>
        <v>#NUM!</v>
      </c>
      <c r="L144" s="111"/>
      <c r="M144" s="113">
        <f t="shared" si="16"/>
        <v>0</v>
      </c>
    </row>
    <row r="145" spans="1:38" s="96" customFormat="1">
      <c r="A145" s="132"/>
      <c r="B145" s="131"/>
      <c r="C145" s="131"/>
      <c r="D145" s="131"/>
      <c r="E145" s="131"/>
      <c r="F145" s="131"/>
      <c r="H145" s="115">
        <v>140</v>
      </c>
      <c r="I145" s="112" t="str">
        <f t="shared" si="13"/>
        <v/>
      </c>
      <c r="J145" s="111" t="e">
        <f t="shared" si="14"/>
        <v>#NUM!</v>
      </c>
      <c r="K145" s="111" t="e">
        <f t="shared" si="15"/>
        <v>#NUM!</v>
      </c>
      <c r="L145" s="111"/>
      <c r="M145" s="113">
        <f t="shared" si="16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2"/>
      <c r="B146" s="131"/>
      <c r="C146" s="131"/>
      <c r="D146" s="131"/>
      <c r="E146" s="131"/>
      <c r="F146" s="131"/>
      <c r="H146" s="111">
        <v>141</v>
      </c>
      <c r="I146" s="112" t="str">
        <f t="shared" si="13"/>
        <v/>
      </c>
      <c r="J146" s="111" t="e">
        <f t="shared" si="14"/>
        <v>#NUM!</v>
      </c>
      <c r="K146" s="111" t="e">
        <f t="shared" si="15"/>
        <v>#NUM!</v>
      </c>
      <c r="L146" s="111"/>
      <c r="M146" s="113">
        <f t="shared" si="16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2"/>
      <c r="B147" s="131"/>
      <c r="C147" s="131"/>
      <c r="D147" s="131"/>
      <c r="E147" s="131"/>
      <c r="F147" s="131"/>
      <c r="H147" s="115">
        <v>142</v>
      </c>
      <c r="I147" s="112" t="str">
        <f t="shared" si="13"/>
        <v/>
      </c>
      <c r="J147" s="111" t="e">
        <f t="shared" si="14"/>
        <v>#NUM!</v>
      </c>
      <c r="K147" s="111" t="e">
        <f t="shared" si="15"/>
        <v>#NUM!</v>
      </c>
      <c r="L147" s="111"/>
      <c r="M147" s="113">
        <f t="shared" si="16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2"/>
      <c r="B148" s="131"/>
      <c r="C148" s="131"/>
      <c r="D148" s="131"/>
      <c r="E148" s="131"/>
      <c r="F148" s="131"/>
      <c r="H148" s="111">
        <v>143</v>
      </c>
      <c r="I148" s="112" t="str">
        <f t="shared" si="13"/>
        <v/>
      </c>
      <c r="J148" s="111" t="e">
        <f t="shared" si="14"/>
        <v>#NUM!</v>
      </c>
      <c r="K148" s="111" t="e">
        <f t="shared" si="15"/>
        <v>#NUM!</v>
      </c>
      <c r="L148" s="111"/>
      <c r="M148" s="113">
        <f t="shared" si="16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2"/>
      <c r="B149" s="131"/>
      <c r="C149" s="131"/>
      <c r="D149" s="131"/>
      <c r="E149" s="131"/>
      <c r="F149" s="131"/>
      <c r="H149" s="115">
        <v>144</v>
      </c>
      <c r="I149" s="112" t="str">
        <f t="shared" si="13"/>
        <v/>
      </c>
      <c r="J149" s="111" t="e">
        <f t="shared" si="14"/>
        <v>#NUM!</v>
      </c>
      <c r="K149" s="111" t="e">
        <f t="shared" si="15"/>
        <v>#NUM!</v>
      </c>
      <c r="L149" s="111"/>
      <c r="M149" s="113">
        <f t="shared" si="16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2"/>
      <c r="B150" s="131"/>
      <c r="C150" s="131"/>
      <c r="D150" s="131"/>
      <c r="E150" s="131"/>
      <c r="F150" s="131"/>
      <c r="H150" s="111">
        <v>145</v>
      </c>
      <c r="I150" s="112" t="str">
        <f t="shared" si="13"/>
        <v/>
      </c>
      <c r="J150" s="111" t="e">
        <f t="shared" si="14"/>
        <v>#NUM!</v>
      </c>
      <c r="K150" s="111" t="e">
        <f t="shared" si="15"/>
        <v>#NUM!</v>
      </c>
      <c r="L150" s="111"/>
      <c r="M150" s="113">
        <f t="shared" si="16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2"/>
      <c r="B151" s="131"/>
      <c r="C151" s="131"/>
      <c r="D151" s="131"/>
      <c r="E151" s="131"/>
      <c r="F151" s="131"/>
      <c r="H151" s="115">
        <v>146</v>
      </c>
      <c r="I151" s="112" t="str">
        <f t="shared" si="13"/>
        <v/>
      </c>
      <c r="J151" s="111" t="e">
        <f t="shared" si="14"/>
        <v>#NUM!</v>
      </c>
      <c r="K151" s="111" t="e">
        <f t="shared" si="15"/>
        <v>#NUM!</v>
      </c>
      <c r="L151" s="111"/>
      <c r="M151" s="113">
        <f t="shared" si="16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2"/>
      <c r="B152" s="131"/>
      <c r="C152" s="131"/>
      <c r="D152" s="131"/>
      <c r="E152" s="131"/>
      <c r="F152" s="131"/>
      <c r="H152" s="111">
        <v>147</v>
      </c>
      <c r="I152" s="112" t="str">
        <f t="shared" si="13"/>
        <v/>
      </c>
      <c r="J152" s="111" t="e">
        <f t="shared" si="14"/>
        <v>#NUM!</v>
      </c>
      <c r="K152" s="111" t="e">
        <f t="shared" si="15"/>
        <v>#NUM!</v>
      </c>
      <c r="L152" s="111"/>
      <c r="M152" s="113">
        <f t="shared" si="16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2"/>
      <c r="B153" s="131"/>
      <c r="C153" s="131"/>
      <c r="D153" s="131"/>
      <c r="E153" s="131"/>
      <c r="F153" s="131"/>
      <c r="H153" s="115">
        <v>148</v>
      </c>
      <c r="I153" s="112" t="str">
        <f t="shared" si="13"/>
        <v/>
      </c>
      <c r="J153" s="111" t="e">
        <f t="shared" si="14"/>
        <v>#NUM!</v>
      </c>
      <c r="K153" s="111" t="e">
        <f t="shared" si="15"/>
        <v>#NUM!</v>
      </c>
      <c r="L153" s="111"/>
      <c r="M153" s="113">
        <f t="shared" si="16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2"/>
      <c r="B154" s="131"/>
      <c r="C154" s="131"/>
      <c r="D154" s="131"/>
      <c r="E154" s="131"/>
      <c r="F154" s="131"/>
      <c r="H154" s="111">
        <v>149</v>
      </c>
      <c r="I154" s="112" t="str">
        <f t="shared" si="13"/>
        <v/>
      </c>
      <c r="J154" s="111" t="e">
        <f t="shared" si="14"/>
        <v>#NUM!</v>
      </c>
      <c r="K154" s="111" t="e">
        <f t="shared" si="15"/>
        <v>#NUM!</v>
      </c>
      <c r="L154" s="111"/>
      <c r="M154" s="113">
        <f t="shared" si="16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5">
        <v>150</v>
      </c>
      <c r="I155" s="112" t="str">
        <f t="shared" si="13"/>
        <v/>
      </c>
      <c r="J155" s="111" t="e">
        <f t="shared" si="14"/>
        <v>#NUM!</v>
      </c>
      <c r="K155" s="111" t="e">
        <f t="shared" si="15"/>
        <v>#NUM!</v>
      </c>
      <c r="L155" s="111"/>
      <c r="M155" s="113">
        <f t="shared" si="16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3"/>
        <v/>
      </c>
      <c r="J156" s="111" t="e">
        <f t="shared" si="14"/>
        <v>#NUM!</v>
      </c>
      <c r="K156" s="111" t="e">
        <f t="shared" si="15"/>
        <v>#NUM!</v>
      </c>
      <c r="L156" s="111"/>
      <c r="M156" s="113">
        <f t="shared" si="16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5">
        <v>152</v>
      </c>
      <c r="I157" s="112" t="str">
        <f t="shared" si="13"/>
        <v/>
      </c>
      <c r="J157" s="111" t="e">
        <f t="shared" si="14"/>
        <v>#NUM!</v>
      </c>
      <c r="K157" s="111" t="e">
        <f t="shared" si="15"/>
        <v>#NUM!</v>
      </c>
      <c r="L157" s="111"/>
      <c r="M157" s="113">
        <f t="shared" si="16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3"/>
        <v/>
      </c>
      <c r="J158" s="111" t="e">
        <f t="shared" si="14"/>
        <v>#NUM!</v>
      </c>
      <c r="K158" s="111" t="e">
        <f t="shared" si="15"/>
        <v>#NUM!</v>
      </c>
      <c r="L158" s="111"/>
      <c r="M158" s="113">
        <f t="shared" si="16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5">
        <v>154</v>
      </c>
      <c r="I159" s="112" t="str">
        <f t="shared" si="13"/>
        <v/>
      </c>
      <c r="J159" s="111" t="e">
        <f t="shared" si="14"/>
        <v>#NUM!</v>
      </c>
      <c r="K159" s="111" t="e">
        <f t="shared" si="15"/>
        <v>#NUM!</v>
      </c>
      <c r="L159" s="111"/>
      <c r="M159" s="113">
        <f t="shared" si="16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3"/>
        <v/>
      </c>
      <c r="J160" s="111" t="e">
        <f t="shared" si="14"/>
        <v>#NUM!</v>
      </c>
      <c r="K160" s="111" t="e">
        <f t="shared" si="15"/>
        <v>#NUM!</v>
      </c>
      <c r="L160" s="111"/>
      <c r="M160" s="113">
        <f t="shared" si="16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5">
        <v>156</v>
      </c>
      <c r="I161" s="112" t="str">
        <f t="shared" si="13"/>
        <v/>
      </c>
      <c r="J161" s="111" t="e">
        <f t="shared" si="14"/>
        <v>#NUM!</v>
      </c>
      <c r="K161" s="111" t="e">
        <f t="shared" si="15"/>
        <v>#NUM!</v>
      </c>
      <c r="L161" s="111"/>
      <c r="M161" s="113">
        <f t="shared" si="16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3"/>
        <v/>
      </c>
      <c r="J162" s="111" t="e">
        <f t="shared" si="14"/>
        <v>#NUM!</v>
      </c>
      <c r="K162" s="111" t="e">
        <f t="shared" si="15"/>
        <v>#NUM!</v>
      </c>
      <c r="L162" s="111"/>
      <c r="M162" s="113">
        <f t="shared" si="16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5">
        <v>158</v>
      </c>
      <c r="I163" s="112" t="str">
        <f t="shared" si="13"/>
        <v/>
      </c>
      <c r="J163" s="111" t="e">
        <f t="shared" si="14"/>
        <v>#NUM!</v>
      </c>
      <c r="K163" s="111" t="e">
        <f t="shared" si="15"/>
        <v>#NUM!</v>
      </c>
      <c r="L163" s="111"/>
      <c r="M163" s="113">
        <f t="shared" si="16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3"/>
        <v/>
      </c>
      <c r="J164" s="111" t="e">
        <f t="shared" si="14"/>
        <v>#NUM!</v>
      </c>
      <c r="K164" s="111" t="e">
        <f t="shared" si="15"/>
        <v>#NUM!</v>
      </c>
      <c r="L164" s="111"/>
      <c r="M164" s="113">
        <f t="shared" si="16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5">
        <v>160</v>
      </c>
      <c r="I165" s="112" t="str">
        <f t="shared" si="13"/>
        <v/>
      </c>
      <c r="J165" s="111" t="e">
        <f t="shared" si="14"/>
        <v>#NUM!</v>
      </c>
      <c r="K165" s="111" t="e">
        <f t="shared" si="15"/>
        <v>#NUM!</v>
      </c>
      <c r="L165" s="111"/>
      <c r="M165" s="113">
        <f t="shared" si="16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3"/>
        <v/>
      </c>
      <c r="J166" s="111" t="e">
        <f t="shared" si="14"/>
        <v>#NUM!</v>
      </c>
      <c r="K166" s="111" t="e">
        <f t="shared" si="15"/>
        <v>#NUM!</v>
      </c>
      <c r="L166" s="111"/>
      <c r="M166" s="113">
        <f t="shared" si="16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5">
        <v>162</v>
      </c>
      <c r="I167" s="112" t="str">
        <f t="shared" si="13"/>
        <v/>
      </c>
      <c r="J167" s="111" t="e">
        <f t="shared" si="14"/>
        <v>#NUM!</v>
      </c>
      <c r="K167" s="111" t="e">
        <f t="shared" si="15"/>
        <v>#NUM!</v>
      </c>
      <c r="L167" s="111"/>
      <c r="M167" s="113">
        <f t="shared" si="16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3"/>
        <v/>
      </c>
      <c r="J168" s="111" t="e">
        <f t="shared" si="14"/>
        <v>#NUM!</v>
      </c>
      <c r="K168" s="111" t="e">
        <f t="shared" si="15"/>
        <v>#NUM!</v>
      </c>
      <c r="L168" s="111"/>
      <c r="M168" s="113">
        <f t="shared" si="16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5">
        <v>164</v>
      </c>
      <c r="I169" s="112" t="str">
        <f t="shared" si="13"/>
        <v/>
      </c>
      <c r="J169" s="111" t="e">
        <f t="shared" si="14"/>
        <v>#NUM!</v>
      </c>
      <c r="K169" s="111" t="e">
        <f t="shared" si="15"/>
        <v>#NUM!</v>
      </c>
      <c r="L169" s="111"/>
      <c r="M169" s="113">
        <f t="shared" si="16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3"/>
        <v/>
      </c>
      <c r="J170" s="111" t="e">
        <f t="shared" si="14"/>
        <v>#NUM!</v>
      </c>
      <c r="K170" s="111" t="e">
        <f t="shared" si="15"/>
        <v>#NUM!</v>
      </c>
      <c r="L170" s="111"/>
      <c r="M170" s="113">
        <f t="shared" si="16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5">
        <v>166</v>
      </c>
      <c r="I171" s="112" t="str">
        <f t="shared" si="13"/>
        <v/>
      </c>
      <c r="J171" s="111" t="e">
        <f t="shared" si="14"/>
        <v>#NUM!</v>
      </c>
      <c r="K171" s="111" t="e">
        <f t="shared" si="15"/>
        <v>#NUM!</v>
      </c>
      <c r="L171" s="111"/>
      <c r="M171" s="113">
        <f t="shared" si="16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3"/>
        <v/>
      </c>
      <c r="J172" s="111" t="e">
        <f t="shared" si="14"/>
        <v>#NUM!</v>
      </c>
      <c r="K172" s="111" t="e">
        <f t="shared" si="15"/>
        <v>#NUM!</v>
      </c>
      <c r="L172" s="111"/>
      <c r="M172" s="113">
        <f t="shared" si="16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5">
        <v>168</v>
      </c>
      <c r="I173" s="112" t="str">
        <f t="shared" si="13"/>
        <v/>
      </c>
      <c r="J173" s="111" t="e">
        <f t="shared" si="14"/>
        <v>#NUM!</v>
      </c>
      <c r="K173" s="111" t="e">
        <f t="shared" si="15"/>
        <v>#NUM!</v>
      </c>
      <c r="L173" s="111"/>
      <c r="M173" s="113">
        <f t="shared" si="16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3"/>
        <v/>
      </c>
      <c r="J174" s="111" t="e">
        <f t="shared" si="14"/>
        <v>#NUM!</v>
      </c>
      <c r="K174" s="111" t="e">
        <f t="shared" si="15"/>
        <v>#NUM!</v>
      </c>
      <c r="L174" s="111"/>
      <c r="M174" s="113">
        <f t="shared" si="16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5">
        <v>170</v>
      </c>
      <c r="I175" s="112" t="str">
        <f t="shared" si="13"/>
        <v/>
      </c>
      <c r="J175" s="111" t="e">
        <f t="shared" si="14"/>
        <v>#NUM!</v>
      </c>
      <c r="K175" s="111" t="e">
        <f t="shared" si="15"/>
        <v>#NUM!</v>
      </c>
      <c r="L175" s="111"/>
      <c r="M175" s="113">
        <f t="shared" si="16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3"/>
        <v/>
      </c>
      <c r="J176" s="111" t="e">
        <f t="shared" si="14"/>
        <v>#NUM!</v>
      </c>
      <c r="K176" s="111" t="e">
        <f t="shared" si="15"/>
        <v>#NUM!</v>
      </c>
      <c r="L176" s="111"/>
      <c r="M176" s="113">
        <f t="shared" si="16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5">
        <v>172</v>
      </c>
      <c r="I177" s="112" t="str">
        <f t="shared" si="13"/>
        <v/>
      </c>
      <c r="J177" s="111" t="e">
        <f t="shared" si="14"/>
        <v>#NUM!</v>
      </c>
      <c r="K177" s="111" t="e">
        <f t="shared" si="15"/>
        <v>#NUM!</v>
      </c>
      <c r="L177" s="111"/>
      <c r="M177" s="113">
        <f t="shared" si="16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3"/>
        <v/>
      </c>
      <c r="J178" s="111" t="e">
        <f t="shared" si="14"/>
        <v>#NUM!</v>
      </c>
      <c r="K178" s="111" t="e">
        <f t="shared" si="15"/>
        <v>#NUM!</v>
      </c>
      <c r="L178" s="111"/>
      <c r="M178" s="113">
        <f t="shared" si="16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5">
        <v>174</v>
      </c>
      <c r="I179" s="112" t="str">
        <f t="shared" si="13"/>
        <v/>
      </c>
      <c r="J179" s="111" t="e">
        <f t="shared" si="14"/>
        <v>#NUM!</v>
      </c>
      <c r="K179" s="111" t="e">
        <f t="shared" si="15"/>
        <v>#NUM!</v>
      </c>
      <c r="L179" s="111"/>
      <c r="M179" s="113">
        <f t="shared" si="16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3"/>
        <v/>
      </c>
      <c r="J180" s="111" t="e">
        <f t="shared" si="14"/>
        <v>#NUM!</v>
      </c>
      <c r="K180" s="111" t="e">
        <f t="shared" si="15"/>
        <v>#NUM!</v>
      </c>
      <c r="L180" s="111"/>
      <c r="M180" s="113">
        <f t="shared" si="16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5">
        <v>176</v>
      </c>
      <c r="I181" s="112" t="str">
        <f t="shared" si="13"/>
        <v/>
      </c>
      <c r="J181" s="111" t="e">
        <f t="shared" si="14"/>
        <v>#NUM!</v>
      </c>
      <c r="K181" s="111" t="e">
        <f t="shared" si="15"/>
        <v>#NUM!</v>
      </c>
      <c r="L181" s="111"/>
      <c r="M181" s="113">
        <f t="shared" si="16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3"/>
        <v/>
      </c>
      <c r="J182" s="111" t="e">
        <f t="shared" si="14"/>
        <v>#NUM!</v>
      </c>
      <c r="K182" s="111" t="e">
        <f t="shared" si="15"/>
        <v>#NUM!</v>
      </c>
      <c r="L182" s="111"/>
      <c r="M182" s="113">
        <f t="shared" si="16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5">
        <v>178</v>
      </c>
      <c r="I183" s="112" t="str">
        <f t="shared" si="13"/>
        <v/>
      </c>
      <c r="J183" s="111" t="e">
        <f t="shared" si="14"/>
        <v>#NUM!</v>
      </c>
      <c r="K183" s="111" t="e">
        <f t="shared" si="15"/>
        <v>#NUM!</v>
      </c>
      <c r="L183" s="111"/>
      <c r="M183" s="113">
        <f t="shared" si="16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3"/>
        <v/>
      </c>
      <c r="J184" s="111" t="e">
        <f t="shared" si="14"/>
        <v>#NUM!</v>
      </c>
      <c r="K184" s="111" t="e">
        <f t="shared" si="15"/>
        <v>#NUM!</v>
      </c>
      <c r="L184" s="111"/>
      <c r="M184" s="113">
        <f t="shared" si="16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5">
        <v>180</v>
      </c>
      <c r="I185" s="112" t="str">
        <f t="shared" si="13"/>
        <v/>
      </c>
      <c r="J185" s="111" t="e">
        <f t="shared" si="14"/>
        <v>#NUM!</v>
      </c>
      <c r="K185" s="111" t="e">
        <f t="shared" si="15"/>
        <v>#NUM!</v>
      </c>
      <c r="L185" s="111"/>
      <c r="M185" s="113">
        <f t="shared" si="16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3"/>
        <v/>
      </c>
      <c r="J186" s="111" t="e">
        <f t="shared" si="14"/>
        <v>#NUM!</v>
      </c>
      <c r="K186" s="111" t="e">
        <f t="shared" si="15"/>
        <v>#NUM!</v>
      </c>
      <c r="L186" s="111"/>
      <c r="M186" s="113">
        <f t="shared" si="16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5">
        <v>182</v>
      </c>
      <c r="I187" s="112" t="str">
        <f t="shared" si="13"/>
        <v/>
      </c>
      <c r="J187" s="111" t="e">
        <f t="shared" si="14"/>
        <v>#NUM!</v>
      </c>
      <c r="K187" s="111" t="e">
        <f t="shared" si="15"/>
        <v>#NUM!</v>
      </c>
      <c r="L187" s="111"/>
      <c r="M187" s="113">
        <f t="shared" si="16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3"/>
        <v/>
      </c>
      <c r="J188" s="111" t="e">
        <f t="shared" si="14"/>
        <v>#NUM!</v>
      </c>
      <c r="K188" s="111" t="e">
        <f t="shared" si="15"/>
        <v>#NUM!</v>
      </c>
      <c r="L188" s="111"/>
      <c r="M188" s="113">
        <f t="shared" si="16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5">
        <v>184</v>
      </c>
      <c r="I189" s="112" t="str">
        <f t="shared" si="13"/>
        <v/>
      </c>
      <c r="J189" s="111" t="e">
        <f t="shared" si="14"/>
        <v>#NUM!</v>
      </c>
      <c r="K189" s="111" t="e">
        <f t="shared" si="15"/>
        <v>#NUM!</v>
      </c>
      <c r="L189" s="111"/>
      <c r="M189" s="113">
        <f t="shared" si="16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3"/>
        <v/>
      </c>
      <c r="J190" s="111" t="e">
        <f t="shared" si="14"/>
        <v>#NUM!</v>
      </c>
      <c r="K190" s="111" t="e">
        <f t="shared" si="15"/>
        <v>#NUM!</v>
      </c>
      <c r="L190" s="111"/>
      <c r="M190" s="113">
        <f t="shared" si="16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5">
        <v>186</v>
      </c>
      <c r="I191" s="112" t="str">
        <f t="shared" si="13"/>
        <v/>
      </c>
      <c r="J191" s="111" t="e">
        <f t="shared" si="14"/>
        <v>#NUM!</v>
      </c>
      <c r="K191" s="111" t="e">
        <f t="shared" si="15"/>
        <v>#NUM!</v>
      </c>
      <c r="L191" s="111"/>
      <c r="M191" s="113">
        <f t="shared" si="16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3"/>
        <v/>
      </c>
      <c r="J192" s="111" t="e">
        <f t="shared" si="14"/>
        <v>#NUM!</v>
      </c>
      <c r="K192" s="111" t="e">
        <f t="shared" si="15"/>
        <v>#NUM!</v>
      </c>
      <c r="L192" s="111"/>
      <c r="M192" s="113">
        <f t="shared" si="16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5">
        <v>188</v>
      </c>
      <c r="I193" s="112" t="str">
        <f t="shared" si="13"/>
        <v/>
      </c>
      <c r="J193" s="111" t="e">
        <f t="shared" si="14"/>
        <v>#NUM!</v>
      </c>
      <c r="K193" s="111" t="e">
        <f t="shared" si="15"/>
        <v>#NUM!</v>
      </c>
      <c r="L193" s="111"/>
      <c r="M193" s="113">
        <f t="shared" si="16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3"/>
        <v/>
      </c>
      <c r="J194" s="111" t="e">
        <f t="shared" si="14"/>
        <v>#NUM!</v>
      </c>
      <c r="K194" s="111" t="e">
        <f t="shared" si="15"/>
        <v>#NUM!</v>
      </c>
      <c r="L194" s="111"/>
      <c r="M194" s="113">
        <f t="shared" si="16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5">
        <v>190</v>
      </c>
      <c r="I195" s="112" t="str">
        <f t="shared" si="13"/>
        <v/>
      </c>
      <c r="J195" s="111" t="e">
        <f t="shared" si="14"/>
        <v>#NUM!</v>
      </c>
      <c r="K195" s="111" t="e">
        <f t="shared" si="15"/>
        <v>#NUM!</v>
      </c>
      <c r="L195" s="111"/>
      <c r="M195" s="113">
        <f t="shared" si="16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3"/>
        <v/>
      </c>
      <c r="J196" s="111" t="e">
        <f t="shared" si="14"/>
        <v>#NUM!</v>
      </c>
      <c r="K196" s="111" t="e">
        <f t="shared" si="15"/>
        <v>#NUM!</v>
      </c>
      <c r="L196" s="111"/>
      <c r="M196" s="113">
        <f t="shared" si="16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5">
        <v>192</v>
      </c>
      <c r="I197" s="112" t="str">
        <f t="shared" si="13"/>
        <v/>
      </c>
      <c r="J197" s="111" t="e">
        <f t="shared" si="14"/>
        <v>#NUM!</v>
      </c>
      <c r="K197" s="111" t="e">
        <f t="shared" si="15"/>
        <v>#NUM!</v>
      </c>
      <c r="L197" s="111"/>
      <c r="M197" s="113">
        <f t="shared" si="16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8">IF(H198&lt;$H$2+1,($I$2-($I$2-1)*(LOG(H198)/LOG($H$2))),"")</f>
        <v/>
      </c>
      <c r="J198" s="111" t="e">
        <f t="shared" ref="J198:J261" si="19">INT(LOG($H$2,2))-ROUNDUP(LOG(H198,2),0)+IF(OR($H$2=1,$H$2=2,$H$2=4,$H$2=8,$H$2=16,$H$2=32,$H$2=64,$H$2=128,$H$2=256),0,1)</f>
        <v>#NUM!</v>
      </c>
      <c r="K198" s="111" t="e">
        <f t="shared" ref="K198:K261" si="20">J198*$J$2</f>
        <v>#NUM!</v>
      </c>
      <c r="L198" s="111"/>
      <c r="M198" s="113">
        <f t="shared" ref="M198:M261" si="21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5">
        <v>194</v>
      </c>
      <c r="I199" s="112" t="str">
        <f t="shared" si="18"/>
        <v/>
      </c>
      <c r="J199" s="111" t="e">
        <f t="shared" si="19"/>
        <v>#NUM!</v>
      </c>
      <c r="K199" s="111" t="e">
        <f t="shared" si="20"/>
        <v>#NUM!</v>
      </c>
      <c r="L199" s="111"/>
      <c r="M199" s="113">
        <f t="shared" si="21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8"/>
        <v/>
      </c>
      <c r="J200" s="111" t="e">
        <f t="shared" si="19"/>
        <v>#NUM!</v>
      </c>
      <c r="K200" s="111" t="e">
        <f t="shared" si="20"/>
        <v>#NUM!</v>
      </c>
      <c r="L200" s="111"/>
      <c r="M200" s="113">
        <f t="shared" si="21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5">
        <v>196</v>
      </c>
      <c r="I201" s="112" t="str">
        <f t="shared" si="18"/>
        <v/>
      </c>
      <c r="J201" s="111" t="e">
        <f t="shared" si="19"/>
        <v>#NUM!</v>
      </c>
      <c r="K201" s="111" t="e">
        <f t="shared" si="20"/>
        <v>#NUM!</v>
      </c>
      <c r="L201" s="111"/>
      <c r="M201" s="113">
        <f t="shared" si="21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8"/>
        <v/>
      </c>
      <c r="J202" s="111" t="e">
        <f t="shared" si="19"/>
        <v>#NUM!</v>
      </c>
      <c r="K202" s="111" t="e">
        <f t="shared" si="20"/>
        <v>#NUM!</v>
      </c>
      <c r="L202" s="111"/>
      <c r="M202" s="113">
        <f t="shared" si="21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5">
        <v>198</v>
      </c>
      <c r="I203" s="112" t="str">
        <f t="shared" si="18"/>
        <v/>
      </c>
      <c r="J203" s="111" t="e">
        <f t="shared" si="19"/>
        <v>#NUM!</v>
      </c>
      <c r="K203" s="111" t="e">
        <f t="shared" si="20"/>
        <v>#NUM!</v>
      </c>
      <c r="L203" s="111"/>
      <c r="M203" s="113">
        <f t="shared" si="21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8"/>
        <v/>
      </c>
      <c r="J204" s="111" t="e">
        <f t="shared" si="19"/>
        <v>#NUM!</v>
      </c>
      <c r="K204" s="111" t="e">
        <f t="shared" si="20"/>
        <v>#NUM!</v>
      </c>
      <c r="L204" s="111"/>
      <c r="M204" s="113">
        <f t="shared" si="21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5">
        <v>200</v>
      </c>
      <c r="I205" s="112" t="str">
        <f t="shared" si="18"/>
        <v/>
      </c>
      <c r="J205" s="111" t="e">
        <f t="shared" si="19"/>
        <v>#NUM!</v>
      </c>
      <c r="K205" s="111" t="e">
        <f t="shared" si="20"/>
        <v>#NUM!</v>
      </c>
      <c r="L205" s="111"/>
      <c r="M205" s="113">
        <f t="shared" si="21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8"/>
        <v/>
      </c>
      <c r="J206" s="111" t="e">
        <f t="shared" si="19"/>
        <v>#NUM!</v>
      </c>
      <c r="K206" s="111" t="e">
        <f t="shared" si="20"/>
        <v>#NUM!</v>
      </c>
      <c r="L206" s="111"/>
      <c r="M206" s="113">
        <f t="shared" si="21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5">
        <v>202</v>
      </c>
      <c r="I207" s="112" t="str">
        <f t="shared" si="18"/>
        <v/>
      </c>
      <c r="J207" s="111" t="e">
        <f t="shared" si="19"/>
        <v>#NUM!</v>
      </c>
      <c r="K207" s="111" t="e">
        <f t="shared" si="20"/>
        <v>#NUM!</v>
      </c>
      <c r="L207" s="111"/>
      <c r="M207" s="113">
        <f t="shared" si="21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8"/>
        <v/>
      </c>
      <c r="J208" s="111" t="e">
        <f t="shared" si="19"/>
        <v>#NUM!</v>
      </c>
      <c r="K208" s="111" t="e">
        <f t="shared" si="20"/>
        <v>#NUM!</v>
      </c>
      <c r="L208" s="111"/>
      <c r="M208" s="113">
        <f t="shared" si="21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5">
        <v>204</v>
      </c>
      <c r="I209" s="112" t="str">
        <f t="shared" si="18"/>
        <v/>
      </c>
      <c r="J209" s="111" t="e">
        <f t="shared" si="19"/>
        <v>#NUM!</v>
      </c>
      <c r="K209" s="111" t="e">
        <f t="shared" si="20"/>
        <v>#NUM!</v>
      </c>
      <c r="L209" s="111"/>
      <c r="M209" s="113">
        <f t="shared" si="21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8"/>
        <v/>
      </c>
      <c r="J210" s="111" t="e">
        <f t="shared" si="19"/>
        <v>#NUM!</v>
      </c>
      <c r="K210" s="111" t="e">
        <f t="shared" si="20"/>
        <v>#NUM!</v>
      </c>
      <c r="L210" s="111"/>
      <c r="M210" s="113">
        <f t="shared" si="21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5">
        <v>206</v>
      </c>
      <c r="I211" s="112" t="str">
        <f t="shared" si="18"/>
        <v/>
      </c>
      <c r="J211" s="111" t="e">
        <f t="shared" si="19"/>
        <v>#NUM!</v>
      </c>
      <c r="K211" s="111" t="e">
        <f t="shared" si="20"/>
        <v>#NUM!</v>
      </c>
      <c r="L211" s="111"/>
      <c r="M211" s="113">
        <f t="shared" si="21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8"/>
        <v/>
      </c>
      <c r="J212" s="111" t="e">
        <f t="shared" si="19"/>
        <v>#NUM!</v>
      </c>
      <c r="K212" s="111" t="e">
        <f t="shared" si="20"/>
        <v>#NUM!</v>
      </c>
      <c r="L212" s="111"/>
      <c r="M212" s="113">
        <f t="shared" si="21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5">
        <v>208</v>
      </c>
      <c r="I213" s="112" t="str">
        <f t="shared" si="18"/>
        <v/>
      </c>
      <c r="J213" s="111" t="e">
        <f t="shared" si="19"/>
        <v>#NUM!</v>
      </c>
      <c r="K213" s="111" t="e">
        <f t="shared" si="20"/>
        <v>#NUM!</v>
      </c>
      <c r="L213" s="111"/>
      <c r="M213" s="113">
        <f t="shared" si="21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8"/>
        <v/>
      </c>
      <c r="J214" s="111" t="e">
        <f t="shared" si="19"/>
        <v>#NUM!</v>
      </c>
      <c r="K214" s="111" t="e">
        <f t="shared" si="20"/>
        <v>#NUM!</v>
      </c>
      <c r="L214" s="111"/>
      <c r="M214" s="113">
        <f t="shared" si="21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5">
        <v>210</v>
      </c>
      <c r="I215" s="112" t="str">
        <f t="shared" si="18"/>
        <v/>
      </c>
      <c r="J215" s="111" t="e">
        <f t="shared" si="19"/>
        <v>#NUM!</v>
      </c>
      <c r="K215" s="111" t="e">
        <f t="shared" si="20"/>
        <v>#NUM!</v>
      </c>
      <c r="L215" s="111"/>
      <c r="M215" s="113">
        <f t="shared" si="21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8"/>
        <v/>
      </c>
      <c r="J216" s="111" t="e">
        <f t="shared" si="19"/>
        <v>#NUM!</v>
      </c>
      <c r="K216" s="111" t="e">
        <f t="shared" si="20"/>
        <v>#NUM!</v>
      </c>
      <c r="L216" s="111"/>
      <c r="M216" s="113">
        <f t="shared" si="21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5">
        <v>212</v>
      </c>
      <c r="I217" s="112" t="str">
        <f t="shared" si="18"/>
        <v/>
      </c>
      <c r="J217" s="111" t="e">
        <f t="shared" si="19"/>
        <v>#NUM!</v>
      </c>
      <c r="K217" s="111" t="e">
        <f t="shared" si="20"/>
        <v>#NUM!</v>
      </c>
      <c r="L217" s="111"/>
      <c r="M217" s="113">
        <f t="shared" si="21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8"/>
        <v/>
      </c>
      <c r="J218" s="111" t="e">
        <f t="shared" si="19"/>
        <v>#NUM!</v>
      </c>
      <c r="K218" s="111" t="e">
        <f t="shared" si="20"/>
        <v>#NUM!</v>
      </c>
      <c r="L218" s="111"/>
      <c r="M218" s="113">
        <f t="shared" si="21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5">
        <v>214</v>
      </c>
      <c r="I219" s="112" t="str">
        <f t="shared" si="18"/>
        <v/>
      </c>
      <c r="J219" s="111" t="e">
        <f t="shared" si="19"/>
        <v>#NUM!</v>
      </c>
      <c r="K219" s="111" t="e">
        <f t="shared" si="20"/>
        <v>#NUM!</v>
      </c>
      <c r="L219" s="111"/>
      <c r="M219" s="113">
        <f t="shared" si="21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8"/>
        <v/>
      </c>
      <c r="J220" s="111" t="e">
        <f t="shared" si="19"/>
        <v>#NUM!</v>
      </c>
      <c r="K220" s="111" t="e">
        <f t="shared" si="20"/>
        <v>#NUM!</v>
      </c>
      <c r="L220" s="111"/>
      <c r="M220" s="113">
        <f t="shared" si="21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5">
        <v>216</v>
      </c>
      <c r="I221" s="112" t="str">
        <f t="shared" si="18"/>
        <v/>
      </c>
      <c r="J221" s="111" t="e">
        <f t="shared" si="19"/>
        <v>#NUM!</v>
      </c>
      <c r="K221" s="111" t="e">
        <f t="shared" si="20"/>
        <v>#NUM!</v>
      </c>
      <c r="L221" s="111"/>
      <c r="M221" s="113">
        <f t="shared" si="21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8"/>
        <v/>
      </c>
      <c r="J222" s="111" t="e">
        <f t="shared" si="19"/>
        <v>#NUM!</v>
      </c>
      <c r="K222" s="111" t="e">
        <f t="shared" si="20"/>
        <v>#NUM!</v>
      </c>
      <c r="L222" s="111"/>
      <c r="M222" s="113">
        <f t="shared" si="21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5">
        <v>218</v>
      </c>
      <c r="I223" s="112" t="str">
        <f t="shared" si="18"/>
        <v/>
      </c>
      <c r="J223" s="111" t="e">
        <f t="shared" si="19"/>
        <v>#NUM!</v>
      </c>
      <c r="K223" s="111" t="e">
        <f t="shared" si="20"/>
        <v>#NUM!</v>
      </c>
      <c r="L223" s="111"/>
      <c r="M223" s="113">
        <f t="shared" si="21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8"/>
        <v/>
      </c>
      <c r="J224" s="111" t="e">
        <f t="shared" si="19"/>
        <v>#NUM!</v>
      </c>
      <c r="K224" s="111" t="e">
        <f t="shared" si="20"/>
        <v>#NUM!</v>
      </c>
      <c r="L224" s="111"/>
      <c r="M224" s="113">
        <f t="shared" si="21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5">
        <v>220</v>
      </c>
      <c r="I225" s="112" t="str">
        <f t="shared" si="18"/>
        <v/>
      </c>
      <c r="J225" s="111" t="e">
        <f t="shared" si="19"/>
        <v>#NUM!</v>
      </c>
      <c r="K225" s="111" t="e">
        <f t="shared" si="20"/>
        <v>#NUM!</v>
      </c>
      <c r="L225" s="111"/>
      <c r="M225" s="113">
        <f t="shared" si="21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8"/>
        <v/>
      </c>
      <c r="J226" s="111" t="e">
        <f t="shared" si="19"/>
        <v>#NUM!</v>
      </c>
      <c r="K226" s="111" t="e">
        <f t="shared" si="20"/>
        <v>#NUM!</v>
      </c>
      <c r="L226" s="111"/>
      <c r="M226" s="113">
        <f t="shared" si="21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5">
        <v>222</v>
      </c>
      <c r="I227" s="112" t="str">
        <f t="shared" si="18"/>
        <v/>
      </c>
      <c r="J227" s="111" t="e">
        <f t="shared" si="19"/>
        <v>#NUM!</v>
      </c>
      <c r="K227" s="111" t="e">
        <f t="shared" si="20"/>
        <v>#NUM!</v>
      </c>
      <c r="L227" s="111"/>
      <c r="M227" s="113">
        <f t="shared" si="21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8"/>
        <v/>
      </c>
      <c r="J228" s="111" t="e">
        <f t="shared" si="19"/>
        <v>#NUM!</v>
      </c>
      <c r="K228" s="111" t="e">
        <f t="shared" si="20"/>
        <v>#NUM!</v>
      </c>
      <c r="L228" s="111"/>
      <c r="M228" s="113">
        <f t="shared" si="21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5">
        <v>224</v>
      </c>
      <c r="I229" s="112" t="str">
        <f t="shared" si="18"/>
        <v/>
      </c>
      <c r="J229" s="111" t="e">
        <f t="shared" si="19"/>
        <v>#NUM!</v>
      </c>
      <c r="K229" s="111" t="e">
        <f t="shared" si="20"/>
        <v>#NUM!</v>
      </c>
      <c r="L229" s="111"/>
      <c r="M229" s="113">
        <f t="shared" si="21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8"/>
        <v/>
      </c>
      <c r="J230" s="111" t="e">
        <f t="shared" si="19"/>
        <v>#NUM!</v>
      </c>
      <c r="K230" s="111" t="e">
        <f t="shared" si="20"/>
        <v>#NUM!</v>
      </c>
      <c r="L230" s="111"/>
      <c r="M230" s="113">
        <f t="shared" si="21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5">
        <v>226</v>
      </c>
      <c r="I231" s="112" t="str">
        <f t="shared" si="18"/>
        <v/>
      </c>
      <c r="J231" s="111" t="e">
        <f t="shared" si="19"/>
        <v>#NUM!</v>
      </c>
      <c r="K231" s="111" t="e">
        <f t="shared" si="20"/>
        <v>#NUM!</v>
      </c>
      <c r="L231" s="111"/>
      <c r="M231" s="113">
        <f t="shared" si="21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8"/>
        <v/>
      </c>
      <c r="J232" s="111" t="e">
        <f t="shared" si="19"/>
        <v>#NUM!</v>
      </c>
      <c r="K232" s="111" t="e">
        <f t="shared" si="20"/>
        <v>#NUM!</v>
      </c>
      <c r="L232" s="111"/>
      <c r="M232" s="113">
        <f t="shared" si="21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5">
        <v>228</v>
      </c>
      <c r="I233" s="112" t="str">
        <f t="shared" si="18"/>
        <v/>
      </c>
      <c r="J233" s="111" t="e">
        <f t="shared" si="19"/>
        <v>#NUM!</v>
      </c>
      <c r="K233" s="111" t="e">
        <f t="shared" si="20"/>
        <v>#NUM!</v>
      </c>
      <c r="L233" s="111"/>
      <c r="M233" s="113">
        <f t="shared" si="21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8"/>
        <v/>
      </c>
      <c r="J234" s="111" t="e">
        <f t="shared" si="19"/>
        <v>#NUM!</v>
      </c>
      <c r="K234" s="111" t="e">
        <f t="shared" si="20"/>
        <v>#NUM!</v>
      </c>
      <c r="L234" s="111"/>
      <c r="M234" s="113">
        <f t="shared" si="21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5">
        <v>230</v>
      </c>
      <c r="I235" s="112" t="str">
        <f t="shared" si="18"/>
        <v/>
      </c>
      <c r="J235" s="111" t="e">
        <f t="shared" si="19"/>
        <v>#NUM!</v>
      </c>
      <c r="K235" s="111" t="e">
        <f t="shared" si="20"/>
        <v>#NUM!</v>
      </c>
      <c r="L235" s="111"/>
      <c r="M235" s="113">
        <f t="shared" si="21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8"/>
        <v/>
      </c>
      <c r="J236" s="111" t="e">
        <f t="shared" si="19"/>
        <v>#NUM!</v>
      </c>
      <c r="K236" s="111" t="e">
        <f t="shared" si="20"/>
        <v>#NUM!</v>
      </c>
      <c r="L236" s="111"/>
      <c r="M236" s="113">
        <f t="shared" si="21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5">
        <v>232</v>
      </c>
      <c r="I237" s="112" t="str">
        <f t="shared" si="18"/>
        <v/>
      </c>
      <c r="J237" s="111" t="e">
        <f t="shared" si="19"/>
        <v>#NUM!</v>
      </c>
      <c r="K237" s="111" t="e">
        <f t="shared" si="20"/>
        <v>#NUM!</v>
      </c>
      <c r="L237" s="111"/>
      <c r="M237" s="113">
        <f t="shared" si="21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8"/>
        <v/>
      </c>
      <c r="J238" s="111" t="e">
        <f t="shared" si="19"/>
        <v>#NUM!</v>
      </c>
      <c r="K238" s="111" t="e">
        <f t="shared" si="20"/>
        <v>#NUM!</v>
      </c>
      <c r="L238" s="111"/>
      <c r="M238" s="113">
        <f t="shared" si="21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5">
        <v>234</v>
      </c>
      <c r="I239" s="112" t="str">
        <f t="shared" si="18"/>
        <v/>
      </c>
      <c r="J239" s="111" t="e">
        <f t="shared" si="19"/>
        <v>#NUM!</v>
      </c>
      <c r="K239" s="111" t="e">
        <f t="shared" si="20"/>
        <v>#NUM!</v>
      </c>
      <c r="L239" s="111"/>
      <c r="M239" s="113">
        <f t="shared" si="21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8"/>
        <v/>
      </c>
      <c r="J240" s="111" t="e">
        <f t="shared" si="19"/>
        <v>#NUM!</v>
      </c>
      <c r="K240" s="111" t="e">
        <f t="shared" si="20"/>
        <v>#NUM!</v>
      </c>
      <c r="L240" s="111"/>
      <c r="M240" s="113">
        <f t="shared" si="21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5">
        <v>236</v>
      </c>
      <c r="I241" s="112" t="str">
        <f t="shared" si="18"/>
        <v/>
      </c>
      <c r="J241" s="111" t="e">
        <f t="shared" si="19"/>
        <v>#NUM!</v>
      </c>
      <c r="K241" s="111" t="e">
        <f t="shared" si="20"/>
        <v>#NUM!</v>
      </c>
      <c r="L241" s="111"/>
      <c r="M241" s="113">
        <f t="shared" si="21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8"/>
        <v/>
      </c>
      <c r="J242" s="111" t="e">
        <f t="shared" si="19"/>
        <v>#NUM!</v>
      </c>
      <c r="K242" s="111" t="e">
        <f t="shared" si="20"/>
        <v>#NUM!</v>
      </c>
      <c r="L242" s="111"/>
      <c r="M242" s="113">
        <f t="shared" si="21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5">
        <v>238</v>
      </c>
      <c r="I243" s="112" t="str">
        <f t="shared" si="18"/>
        <v/>
      </c>
      <c r="J243" s="111" t="e">
        <f t="shared" si="19"/>
        <v>#NUM!</v>
      </c>
      <c r="K243" s="111" t="e">
        <f t="shared" si="20"/>
        <v>#NUM!</v>
      </c>
      <c r="L243" s="111"/>
      <c r="M243" s="113">
        <f t="shared" si="21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8"/>
        <v/>
      </c>
      <c r="J244" s="111" t="e">
        <f t="shared" si="19"/>
        <v>#NUM!</v>
      </c>
      <c r="K244" s="111" t="e">
        <f t="shared" si="20"/>
        <v>#NUM!</v>
      </c>
      <c r="L244" s="111"/>
      <c r="M244" s="113">
        <f t="shared" si="21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5">
        <v>240</v>
      </c>
      <c r="I245" s="112" t="str">
        <f t="shared" si="18"/>
        <v/>
      </c>
      <c r="J245" s="111" t="e">
        <f t="shared" si="19"/>
        <v>#NUM!</v>
      </c>
      <c r="K245" s="111" t="e">
        <f t="shared" si="20"/>
        <v>#NUM!</v>
      </c>
      <c r="L245" s="111"/>
      <c r="M245" s="113">
        <f t="shared" si="21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8"/>
        <v/>
      </c>
      <c r="J246" s="111" t="e">
        <f t="shared" si="19"/>
        <v>#NUM!</v>
      </c>
      <c r="K246" s="111" t="e">
        <f t="shared" si="20"/>
        <v>#NUM!</v>
      </c>
      <c r="L246" s="111"/>
      <c r="M246" s="113">
        <f t="shared" si="21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5">
        <v>242</v>
      </c>
      <c r="I247" s="112" t="str">
        <f t="shared" si="18"/>
        <v/>
      </c>
      <c r="J247" s="111" t="e">
        <f t="shared" si="19"/>
        <v>#NUM!</v>
      </c>
      <c r="K247" s="111" t="e">
        <f t="shared" si="20"/>
        <v>#NUM!</v>
      </c>
      <c r="L247" s="111"/>
      <c r="M247" s="113">
        <f t="shared" si="21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8"/>
        <v/>
      </c>
      <c r="J248" s="111" t="e">
        <f t="shared" si="19"/>
        <v>#NUM!</v>
      </c>
      <c r="K248" s="111" t="e">
        <f t="shared" si="20"/>
        <v>#NUM!</v>
      </c>
      <c r="L248" s="111"/>
      <c r="M248" s="113">
        <f t="shared" si="21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5">
        <v>244</v>
      </c>
      <c r="I249" s="112" t="str">
        <f t="shared" si="18"/>
        <v/>
      </c>
      <c r="J249" s="111" t="e">
        <f t="shared" si="19"/>
        <v>#NUM!</v>
      </c>
      <c r="K249" s="111" t="e">
        <f t="shared" si="20"/>
        <v>#NUM!</v>
      </c>
      <c r="L249" s="111"/>
      <c r="M249" s="113">
        <f t="shared" si="21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8"/>
        <v/>
      </c>
      <c r="J250" s="111" t="e">
        <f t="shared" si="19"/>
        <v>#NUM!</v>
      </c>
      <c r="K250" s="111" t="e">
        <f t="shared" si="20"/>
        <v>#NUM!</v>
      </c>
      <c r="L250" s="111"/>
      <c r="M250" s="113">
        <f t="shared" si="21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5">
        <v>246</v>
      </c>
      <c r="I251" s="112" t="str">
        <f t="shared" si="18"/>
        <v/>
      </c>
      <c r="J251" s="111" t="e">
        <f t="shared" si="19"/>
        <v>#NUM!</v>
      </c>
      <c r="K251" s="111" t="e">
        <f t="shared" si="20"/>
        <v>#NUM!</v>
      </c>
      <c r="L251" s="111"/>
      <c r="M251" s="113">
        <f t="shared" si="21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8"/>
        <v/>
      </c>
      <c r="J252" s="111" t="e">
        <f t="shared" si="19"/>
        <v>#NUM!</v>
      </c>
      <c r="K252" s="111" t="e">
        <f t="shared" si="20"/>
        <v>#NUM!</v>
      </c>
      <c r="L252" s="111"/>
      <c r="M252" s="113">
        <f t="shared" si="21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5">
        <v>248</v>
      </c>
      <c r="I253" s="112" t="str">
        <f t="shared" si="18"/>
        <v/>
      </c>
      <c r="J253" s="111" t="e">
        <f t="shared" si="19"/>
        <v>#NUM!</v>
      </c>
      <c r="K253" s="111" t="e">
        <f t="shared" si="20"/>
        <v>#NUM!</v>
      </c>
      <c r="L253" s="111"/>
      <c r="M253" s="113">
        <f t="shared" si="21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8"/>
        <v/>
      </c>
      <c r="J254" s="111" t="e">
        <f t="shared" si="19"/>
        <v>#NUM!</v>
      </c>
      <c r="K254" s="111" t="e">
        <f t="shared" si="20"/>
        <v>#NUM!</v>
      </c>
      <c r="L254" s="111"/>
      <c r="M254" s="113">
        <f t="shared" si="21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5">
        <v>250</v>
      </c>
      <c r="I255" s="112" t="str">
        <f t="shared" si="18"/>
        <v/>
      </c>
      <c r="J255" s="111" t="e">
        <f t="shared" si="19"/>
        <v>#NUM!</v>
      </c>
      <c r="K255" s="111" t="e">
        <f t="shared" si="20"/>
        <v>#NUM!</v>
      </c>
      <c r="L255" s="111"/>
      <c r="M255" s="113">
        <f t="shared" si="21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8"/>
        <v/>
      </c>
      <c r="J256" s="111" t="e">
        <f t="shared" si="19"/>
        <v>#NUM!</v>
      </c>
      <c r="K256" s="111" t="e">
        <f t="shared" si="20"/>
        <v>#NUM!</v>
      </c>
      <c r="L256" s="111"/>
      <c r="M256" s="113">
        <f t="shared" si="21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5">
        <v>252</v>
      </c>
      <c r="I257" s="112" t="str">
        <f t="shared" si="18"/>
        <v/>
      </c>
      <c r="J257" s="111" t="e">
        <f t="shared" si="19"/>
        <v>#NUM!</v>
      </c>
      <c r="K257" s="111" t="e">
        <f t="shared" si="20"/>
        <v>#NUM!</v>
      </c>
      <c r="L257" s="111"/>
      <c r="M257" s="113">
        <f t="shared" si="21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8"/>
        <v/>
      </c>
      <c r="J258" s="111" t="e">
        <f t="shared" si="19"/>
        <v>#NUM!</v>
      </c>
      <c r="K258" s="111" t="e">
        <f t="shared" si="20"/>
        <v>#NUM!</v>
      </c>
      <c r="L258" s="111"/>
      <c r="M258" s="113">
        <f t="shared" si="21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5">
        <v>254</v>
      </c>
      <c r="I259" s="112" t="str">
        <f t="shared" si="18"/>
        <v/>
      </c>
      <c r="J259" s="111" t="e">
        <f t="shared" si="19"/>
        <v>#NUM!</v>
      </c>
      <c r="K259" s="111" t="e">
        <f t="shared" si="20"/>
        <v>#NUM!</v>
      </c>
      <c r="L259" s="111"/>
      <c r="M259" s="113">
        <f t="shared" si="21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8"/>
        <v/>
      </c>
      <c r="J260" s="111" t="e">
        <f t="shared" si="19"/>
        <v>#NUM!</v>
      </c>
      <c r="K260" s="111" t="e">
        <f t="shared" si="20"/>
        <v>#NUM!</v>
      </c>
      <c r="L260" s="111"/>
      <c r="M260" s="113">
        <f t="shared" si="21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5">
        <v>256</v>
      </c>
      <c r="I261" s="112" t="str">
        <f t="shared" si="18"/>
        <v/>
      </c>
      <c r="J261" s="111" t="e">
        <f t="shared" si="19"/>
        <v>#NUM!</v>
      </c>
      <c r="K261" s="111" t="e">
        <f t="shared" si="20"/>
        <v>#NUM!</v>
      </c>
      <c r="L261" s="111"/>
      <c r="M261" s="113">
        <f t="shared" si="21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22">IF(H262&lt;$H$2+1,($I$2-($I$2-1)*(LOG(H262)/LOG($H$2))),"")</f>
        <v/>
      </c>
      <c r="J262" s="111" t="e">
        <f t="shared" ref="J262:J305" si="23">INT(LOG($H$2,2))-ROUNDUP(LOG(H262,2),0)+IF(OR($H$2=1,$H$2=2,$H$2=4,$H$2=8,$H$2=16,$H$2=32,$H$2=64,$H$2=128,$H$2=256),0,1)</f>
        <v>#NUM!</v>
      </c>
      <c r="K262" s="111" t="e">
        <f t="shared" ref="K262:K305" si="24">J262*$J$2</f>
        <v>#NUM!</v>
      </c>
      <c r="L262" s="111"/>
      <c r="M262" s="113">
        <f t="shared" ref="M262:M305" si="25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5">
        <v>258</v>
      </c>
      <c r="I263" s="112" t="str">
        <f t="shared" si="22"/>
        <v/>
      </c>
      <c r="J263" s="111" t="e">
        <f t="shared" si="23"/>
        <v>#NUM!</v>
      </c>
      <c r="K263" s="111" t="e">
        <f t="shared" si="24"/>
        <v>#NUM!</v>
      </c>
      <c r="L263" s="111"/>
      <c r="M263" s="113">
        <f t="shared" si="25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22"/>
        <v/>
      </c>
      <c r="J264" s="111" t="e">
        <f t="shared" si="23"/>
        <v>#NUM!</v>
      </c>
      <c r="K264" s="111" t="e">
        <f t="shared" si="24"/>
        <v>#NUM!</v>
      </c>
      <c r="L264" s="111"/>
      <c r="M264" s="113">
        <f t="shared" si="25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5">
        <v>260</v>
      </c>
      <c r="I265" s="112" t="str">
        <f t="shared" si="22"/>
        <v/>
      </c>
      <c r="J265" s="111" t="e">
        <f t="shared" si="23"/>
        <v>#NUM!</v>
      </c>
      <c r="K265" s="111" t="e">
        <f t="shared" si="24"/>
        <v>#NUM!</v>
      </c>
      <c r="L265" s="111"/>
      <c r="M265" s="113">
        <f t="shared" si="25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22"/>
        <v/>
      </c>
      <c r="J266" s="111" t="e">
        <f t="shared" si="23"/>
        <v>#NUM!</v>
      </c>
      <c r="K266" s="111" t="e">
        <f t="shared" si="24"/>
        <v>#NUM!</v>
      </c>
      <c r="L266" s="111"/>
      <c r="M266" s="113">
        <f t="shared" si="25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5">
        <v>262</v>
      </c>
      <c r="I267" s="112" t="str">
        <f t="shared" si="22"/>
        <v/>
      </c>
      <c r="J267" s="111" t="e">
        <f t="shared" si="23"/>
        <v>#NUM!</v>
      </c>
      <c r="K267" s="111" t="e">
        <f t="shared" si="24"/>
        <v>#NUM!</v>
      </c>
      <c r="L267" s="111"/>
      <c r="M267" s="113">
        <f t="shared" si="25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22"/>
        <v/>
      </c>
      <c r="J268" s="111" t="e">
        <f t="shared" si="23"/>
        <v>#NUM!</v>
      </c>
      <c r="K268" s="111" t="e">
        <f t="shared" si="24"/>
        <v>#NUM!</v>
      </c>
      <c r="L268" s="111"/>
      <c r="M268" s="113">
        <f t="shared" si="25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5">
        <v>264</v>
      </c>
      <c r="I269" s="112" t="str">
        <f t="shared" si="22"/>
        <v/>
      </c>
      <c r="J269" s="111" t="e">
        <f t="shared" si="23"/>
        <v>#NUM!</v>
      </c>
      <c r="K269" s="111" t="e">
        <f t="shared" si="24"/>
        <v>#NUM!</v>
      </c>
      <c r="L269" s="111"/>
      <c r="M269" s="113">
        <f t="shared" si="25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22"/>
        <v/>
      </c>
      <c r="J270" s="111" t="e">
        <f t="shared" si="23"/>
        <v>#NUM!</v>
      </c>
      <c r="K270" s="111" t="e">
        <f t="shared" si="24"/>
        <v>#NUM!</v>
      </c>
      <c r="L270" s="111"/>
      <c r="M270" s="113">
        <f t="shared" si="25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5">
        <v>266</v>
      </c>
      <c r="I271" s="112" t="str">
        <f t="shared" si="22"/>
        <v/>
      </c>
      <c r="J271" s="111" t="e">
        <f t="shared" si="23"/>
        <v>#NUM!</v>
      </c>
      <c r="K271" s="111" t="e">
        <f t="shared" si="24"/>
        <v>#NUM!</v>
      </c>
      <c r="L271" s="111"/>
      <c r="M271" s="113">
        <f t="shared" si="25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22"/>
        <v/>
      </c>
      <c r="J272" s="111" t="e">
        <f t="shared" si="23"/>
        <v>#NUM!</v>
      </c>
      <c r="K272" s="111" t="e">
        <f t="shared" si="24"/>
        <v>#NUM!</v>
      </c>
      <c r="L272" s="111"/>
      <c r="M272" s="113">
        <f t="shared" si="25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5">
        <v>268</v>
      </c>
      <c r="I273" s="112" t="str">
        <f t="shared" si="22"/>
        <v/>
      </c>
      <c r="J273" s="111" t="e">
        <f t="shared" si="23"/>
        <v>#NUM!</v>
      </c>
      <c r="K273" s="111" t="e">
        <f t="shared" si="24"/>
        <v>#NUM!</v>
      </c>
      <c r="L273" s="111"/>
      <c r="M273" s="113">
        <f t="shared" si="25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22"/>
        <v/>
      </c>
      <c r="J274" s="111" t="e">
        <f t="shared" si="23"/>
        <v>#NUM!</v>
      </c>
      <c r="K274" s="111" t="e">
        <f t="shared" si="24"/>
        <v>#NUM!</v>
      </c>
      <c r="L274" s="111"/>
      <c r="M274" s="113">
        <f t="shared" si="25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5">
        <v>270</v>
      </c>
      <c r="I275" s="112" t="str">
        <f t="shared" si="22"/>
        <v/>
      </c>
      <c r="J275" s="111" t="e">
        <f t="shared" si="23"/>
        <v>#NUM!</v>
      </c>
      <c r="K275" s="111" t="e">
        <f t="shared" si="24"/>
        <v>#NUM!</v>
      </c>
      <c r="L275" s="111"/>
      <c r="M275" s="113">
        <f t="shared" si="25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22"/>
        <v/>
      </c>
      <c r="J276" s="111" t="e">
        <f t="shared" si="23"/>
        <v>#NUM!</v>
      </c>
      <c r="K276" s="111" t="e">
        <f t="shared" si="24"/>
        <v>#NUM!</v>
      </c>
      <c r="L276" s="111"/>
      <c r="M276" s="113">
        <f t="shared" si="25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5">
        <v>272</v>
      </c>
      <c r="I277" s="112" t="str">
        <f t="shared" si="22"/>
        <v/>
      </c>
      <c r="J277" s="111" t="e">
        <f t="shared" si="23"/>
        <v>#NUM!</v>
      </c>
      <c r="K277" s="111" t="e">
        <f t="shared" si="24"/>
        <v>#NUM!</v>
      </c>
      <c r="L277" s="111"/>
      <c r="M277" s="113">
        <f t="shared" si="25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22"/>
        <v/>
      </c>
      <c r="J278" s="111" t="e">
        <f t="shared" si="23"/>
        <v>#NUM!</v>
      </c>
      <c r="K278" s="111" t="e">
        <f t="shared" si="24"/>
        <v>#NUM!</v>
      </c>
      <c r="L278" s="111"/>
      <c r="M278" s="113">
        <f t="shared" si="25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5">
        <v>274</v>
      </c>
      <c r="I279" s="112" t="str">
        <f t="shared" si="22"/>
        <v/>
      </c>
      <c r="J279" s="111" t="e">
        <f t="shared" si="23"/>
        <v>#NUM!</v>
      </c>
      <c r="K279" s="111" t="e">
        <f t="shared" si="24"/>
        <v>#NUM!</v>
      </c>
      <c r="L279" s="111"/>
      <c r="M279" s="113">
        <f t="shared" si="25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22"/>
        <v/>
      </c>
      <c r="J280" s="111" t="e">
        <f t="shared" si="23"/>
        <v>#NUM!</v>
      </c>
      <c r="K280" s="111" t="e">
        <f t="shared" si="24"/>
        <v>#NUM!</v>
      </c>
      <c r="L280" s="111"/>
      <c r="M280" s="113">
        <f t="shared" si="25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5">
        <v>276</v>
      </c>
      <c r="I281" s="112" t="str">
        <f t="shared" si="22"/>
        <v/>
      </c>
      <c r="J281" s="111" t="e">
        <f t="shared" si="23"/>
        <v>#NUM!</v>
      </c>
      <c r="K281" s="111" t="e">
        <f t="shared" si="24"/>
        <v>#NUM!</v>
      </c>
      <c r="L281" s="111"/>
      <c r="M281" s="113">
        <f t="shared" si="25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22"/>
        <v/>
      </c>
      <c r="J282" s="111" t="e">
        <f t="shared" si="23"/>
        <v>#NUM!</v>
      </c>
      <c r="K282" s="111" t="e">
        <f t="shared" si="24"/>
        <v>#NUM!</v>
      </c>
      <c r="L282" s="111"/>
      <c r="M282" s="113">
        <f t="shared" si="25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5">
        <v>278</v>
      </c>
      <c r="I283" s="112" t="str">
        <f t="shared" si="22"/>
        <v/>
      </c>
      <c r="J283" s="111" t="e">
        <f t="shared" si="23"/>
        <v>#NUM!</v>
      </c>
      <c r="K283" s="111" t="e">
        <f t="shared" si="24"/>
        <v>#NUM!</v>
      </c>
      <c r="L283" s="111"/>
      <c r="M283" s="113">
        <f t="shared" si="25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22"/>
        <v/>
      </c>
      <c r="J284" s="111" t="e">
        <f t="shared" si="23"/>
        <v>#NUM!</v>
      </c>
      <c r="K284" s="111" t="e">
        <f t="shared" si="24"/>
        <v>#NUM!</v>
      </c>
      <c r="L284" s="111"/>
      <c r="M284" s="113">
        <f t="shared" si="25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5">
        <v>280</v>
      </c>
      <c r="I285" s="112" t="str">
        <f t="shared" si="22"/>
        <v/>
      </c>
      <c r="J285" s="111" t="e">
        <f t="shared" si="23"/>
        <v>#NUM!</v>
      </c>
      <c r="K285" s="111" t="e">
        <f t="shared" si="24"/>
        <v>#NUM!</v>
      </c>
      <c r="L285" s="111"/>
      <c r="M285" s="113">
        <f t="shared" si="25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22"/>
        <v/>
      </c>
      <c r="J286" s="111" t="e">
        <f t="shared" si="23"/>
        <v>#NUM!</v>
      </c>
      <c r="K286" s="111" t="e">
        <f t="shared" si="24"/>
        <v>#NUM!</v>
      </c>
      <c r="L286" s="111"/>
      <c r="M286" s="113">
        <f t="shared" si="25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5">
        <v>282</v>
      </c>
      <c r="I287" s="112" t="str">
        <f t="shared" si="22"/>
        <v/>
      </c>
      <c r="J287" s="111" t="e">
        <f t="shared" si="23"/>
        <v>#NUM!</v>
      </c>
      <c r="K287" s="111" t="e">
        <f t="shared" si="24"/>
        <v>#NUM!</v>
      </c>
      <c r="L287" s="111"/>
      <c r="M287" s="113">
        <f t="shared" si="25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22"/>
        <v/>
      </c>
      <c r="J288" s="111" t="e">
        <f t="shared" si="23"/>
        <v>#NUM!</v>
      </c>
      <c r="K288" s="111" t="e">
        <f t="shared" si="24"/>
        <v>#NUM!</v>
      </c>
      <c r="L288" s="111"/>
      <c r="M288" s="113">
        <f t="shared" si="25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5">
        <v>284</v>
      </c>
      <c r="I289" s="112" t="str">
        <f t="shared" si="22"/>
        <v/>
      </c>
      <c r="J289" s="111" t="e">
        <f t="shared" si="23"/>
        <v>#NUM!</v>
      </c>
      <c r="K289" s="111" t="e">
        <f t="shared" si="24"/>
        <v>#NUM!</v>
      </c>
      <c r="L289" s="111"/>
      <c r="M289" s="113">
        <f t="shared" si="25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22"/>
        <v/>
      </c>
      <c r="J290" s="111" t="e">
        <f t="shared" si="23"/>
        <v>#NUM!</v>
      </c>
      <c r="K290" s="111" t="e">
        <f t="shared" si="24"/>
        <v>#NUM!</v>
      </c>
      <c r="L290" s="111"/>
      <c r="M290" s="113">
        <f t="shared" si="25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5">
        <v>286</v>
      </c>
      <c r="I291" s="112" t="str">
        <f t="shared" si="22"/>
        <v/>
      </c>
      <c r="J291" s="111" t="e">
        <f t="shared" si="23"/>
        <v>#NUM!</v>
      </c>
      <c r="K291" s="111" t="e">
        <f t="shared" si="24"/>
        <v>#NUM!</v>
      </c>
      <c r="L291" s="111"/>
      <c r="M291" s="113">
        <f t="shared" si="25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22"/>
        <v/>
      </c>
      <c r="J292" s="111" t="e">
        <f t="shared" si="23"/>
        <v>#NUM!</v>
      </c>
      <c r="K292" s="111" t="e">
        <f t="shared" si="24"/>
        <v>#NUM!</v>
      </c>
      <c r="L292" s="111"/>
      <c r="M292" s="113">
        <f t="shared" si="25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22"/>
        <v/>
      </c>
      <c r="J293" s="111" t="e">
        <f t="shared" si="23"/>
        <v>#NUM!</v>
      </c>
      <c r="K293" s="111" t="e">
        <f t="shared" si="24"/>
        <v>#NUM!</v>
      </c>
      <c r="L293" s="111"/>
      <c r="M293" s="113">
        <f t="shared" si="25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22"/>
        <v/>
      </c>
      <c r="J294" s="111" t="e">
        <f t="shared" si="23"/>
        <v>#NUM!</v>
      </c>
      <c r="K294" s="111" t="e">
        <f t="shared" si="24"/>
        <v>#NUM!</v>
      </c>
      <c r="L294" s="111"/>
      <c r="M294" s="113">
        <f t="shared" si="25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22"/>
        <v/>
      </c>
      <c r="J295" s="111" t="e">
        <f t="shared" si="23"/>
        <v>#NUM!</v>
      </c>
      <c r="K295" s="111" t="e">
        <f t="shared" si="24"/>
        <v>#NUM!</v>
      </c>
      <c r="L295" s="111"/>
      <c r="M295" s="113">
        <f t="shared" si="25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22"/>
        <v/>
      </c>
      <c r="J296" s="111" t="e">
        <f t="shared" si="23"/>
        <v>#NUM!</v>
      </c>
      <c r="K296" s="111" t="e">
        <f t="shared" si="24"/>
        <v>#NUM!</v>
      </c>
      <c r="L296" s="111"/>
      <c r="M296" s="113">
        <f t="shared" si="25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22"/>
        <v/>
      </c>
      <c r="J297" s="111" t="e">
        <f t="shared" si="23"/>
        <v>#NUM!</v>
      </c>
      <c r="K297" s="111" t="e">
        <f t="shared" si="24"/>
        <v>#NUM!</v>
      </c>
      <c r="L297" s="111"/>
      <c r="M297" s="113">
        <f t="shared" si="25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22"/>
        <v/>
      </c>
      <c r="J298" s="111" t="e">
        <f t="shared" si="23"/>
        <v>#NUM!</v>
      </c>
      <c r="K298" s="111" t="e">
        <f t="shared" si="24"/>
        <v>#NUM!</v>
      </c>
      <c r="L298" s="111"/>
      <c r="M298" s="113">
        <f t="shared" si="25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22"/>
        <v/>
      </c>
      <c r="J299" s="111" t="e">
        <f t="shared" si="23"/>
        <v>#NUM!</v>
      </c>
      <c r="K299" s="111" t="e">
        <f t="shared" si="24"/>
        <v>#NUM!</v>
      </c>
      <c r="L299" s="111"/>
      <c r="M299" s="113">
        <f t="shared" si="25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22"/>
        <v/>
      </c>
      <c r="J300" s="111" t="e">
        <f t="shared" si="23"/>
        <v>#NUM!</v>
      </c>
      <c r="K300" s="111" t="e">
        <f t="shared" si="24"/>
        <v>#NUM!</v>
      </c>
      <c r="L300" s="111"/>
      <c r="M300" s="113">
        <f t="shared" si="25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22"/>
        <v/>
      </c>
      <c r="J301" s="111" t="e">
        <f t="shared" si="23"/>
        <v>#NUM!</v>
      </c>
      <c r="K301" s="111" t="e">
        <f t="shared" si="24"/>
        <v>#NUM!</v>
      </c>
      <c r="L301" s="111"/>
      <c r="M301" s="113">
        <f t="shared" si="25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22"/>
        <v/>
      </c>
      <c r="J302" s="111" t="e">
        <f t="shared" si="23"/>
        <v>#NUM!</v>
      </c>
      <c r="K302" s="111" t="e">
        <f t="shared" si="24"/>
        <v>#NUM!</v>
      </c>
      <c r="L302" s="111"/>
      <c r="M302" s="113">
        <f t="shared" si="25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22"/>
        <v/>
      </c>
      <c r="J303" s="111" t="e">
        <f t="shared" si="23"/>
        <v>#NUM!</v>
      </c>
      <c r="K303" s="111" t="e">
        <f t="shared" si="24"/>
        <v>#NUM!</v>
      </c>
      <c r="L303" s="111"/>
      <c r="M303" s="113">
        <f t="shared" si="25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22"/>
        <v/>
      </c>
      <c r="J304" s="111" t="e">
        <f t="shared" si="23"/>
        <v>#NUM!</v>
      </c>
      <c r="K304" s="111" t="e">
        <f t="shared" si="24"/>
        <v>#NUM!</v>
      </c>
      <c r="L304" s="111"/>
      <c r="M304" s="113">
        <f t="shared" si="25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22"/>
        <v/>
      </c>
      <c r="J305" s="111" t="e">
        <f t="shared" si="23"/>
        <v>#NUM!</v>
      </c>
      <c r="K305" s="111" t="e">
        <f t="shared" si="24"/>
        <v>#NUM!</v>
      </c>
      <c r="L305" s="111"/>
      <c r="M305" s="113">
        <f t="shared" si="25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/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/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/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/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/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5B0A-D0EE-42D1-BD09-2BE078B15C9E}">
  <sheetPr>
    <tabColor theme="7" tint="0.79998168889431442"/>
  </sheetPr>
  <dimension ref="A1:AL317"/>
  <sheetViews>
    <sheetView workbookViewId="0">
      <selection activeCell="C17" sqref="C17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.28515625" style="134" customWidth="1"/>
    <col min="11" max="11" width="8.7109375" style="134" customWidth="1"/>
    <col min="12" max="12" width="11" style="134" customWidth="1"/>
    <col min="13" max="13" width="12.2851562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 ht="14.45" customHeight="1">
      <c r="A2" s="96"/>
      <c r="B2" s="25" t="s">
        <v>28</v>
      </c>
      <c r="C2" s="84" t="s">
        <v>98</v>
      </c>
      <c r="D2" s="83"/>
      <c r="E2" s="26"/>
      <c r="F2" s="26"/>
      <c r="G2" s="26"/>
      <c r="H2" s="102">
        <v>2</v>
      </c>
      <c r="I2" s="103">
        <v>50</v>
      </c>
      <c r="J2" s="103">
        <v>10</v>
      </c>
      <c r="K2" s="137">
        <f>3*H2^(1/3)</f>
        <v>3.7797631496846193</v>
      </c>
      <c r="L2" s="100"/>
      <c r="M2" s="100"/>
      <c r="N2" s="96"/>
      <c r="O2" s="96"/>
      <c r="P2" s="96"/>
      <c r="Q2" s="96"/>
      <c r="R2" s="96"/>
    </row>
    <row r="3" spans="1:36" s="101" customFormat="1" ht="14.45" customHeight="1">
      <c r="A3" s="96"/>
      <c r="B3" s="105" t="s">
        <v>30</v>
      </c>
      <c r="C3" s="84"/>
      <c r="D3" s="84"/>
      <c r="E3" s="31"/>
      <c r="F3" s="31"/>
      <c r="G3" s="31"/>
      <c r="H3" s="100"/>
      <c r="I3" s="100"/>
      <c r="J3" s="106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6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9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60" si="0">M6</f>
        <v>71.339289449053865</v>
      </c>
      <c r="B6" s="39">
        <f>IF(H6&gt;$H$2,"",(ROW()-5))</f>
        <v>1</v>
      </c>
      <c r="C6" s="40" t="s">
        <v>50</v>
      </c>
      <c r="D6" s="40"/>
      <c r="E6" s="40"/>
      <c r="F6" s="40"/>
      <c r="G6" s="33"/>
      <c r="H6" s="111">
        <v>1</v>
      </c>
      <c r="I6" s="112">
        <f t="shared" ref="I6:I69" si="1">IF(H6&lt;$H$2+1,($I$2-($I$2-1)*(LOG(H6)/LOG($H$2))),"")</f>
        <v>50</v>
      </c>
      <c r="J6" s="111">
        <f t="shared" ref="J6:J69" si="2">INT(LOG($H$2,2))-ROUNDUP(LOG(H6,2),0)+IF(OR($H$2=1,$H$2=2,$H$2=4,$H$2=8,$H$2=16,$H$2=32,$H$2=64,$H$2=128,$H$2=256),0,1)</f>
        <v>1</v>
      </c>
      <c r="K6" s="111">
        <f t="shared" ref="K6:K69" si="3">J6*$J$2</f>
        <v>10</v>
      </c>
      <c r="L6" s="113">
        <f>3*K2</f>
        <v>11.339289449053858</v>
      </c>
      <c r="M6" s="113">
        <f t="shared" ref="M6:M69" si="4">IF(I6&lt;&gt;"",K6+I6+L6,0)</f>
        <v>71.339289449053865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18.559526299369239</v>
      </c>
      <c r="B7" s="45">
        <f>IF(H7&gt;$H$2,"",(ROW()-5))</f>
        <v>2</v>
      </c>
      <c r="C7" s="46" t="s">
        <v>21</v>
      </c>
      <c r="D7" s="46"/>
      <c r="E7" s="46"/>
      <c r="F7" s="46"/>
      <c r="G7" s="33"/>
      <c r="H7" s="115">
        <v>2</v>
      </c>
      <c r="I7" s="116">
        <f t="shared" si="1"/>
        <v>1</v>
      </c>
      <c r="J7" s="115">
        <v>1</v>
      </c>
      <c r="K7" s="115">
        <f t="shared" si="3"/>
        <v>10</v>
      </c>
      <c r="L7" s="117">
        <f>2*K2</f>
        <v>7.5595262993692387</v>
      </c>
      <c r="M7" s="117">
        <f t="shared" si="4"/>
        <v>18.559526299369239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0</v>
      </c>
      <c r="B8" s="39" t="str">
        <f>IF(H8&gt;$H$2,"",(ROW()-5))</f>
        <v/>
      </c>
      <c r="C8" s="40"/>
      <c r="D8" s="40"/>
      <c r="E8" s="40"/>
      <c r="F8" s="40"/>
      <c r="G8" s="33"/>
      <c r="H8" s="111">
        <v>3</v>
      </c>
      <c r="I8" s="112" t="str">
        <f t="shared" si="1"/>
        <v/>
      </c>
      <c r="J8" s="111">
        <f t="shared" si="2"/>
        <v>-1</v>
      </c>
      <c r="K8" s="111">
        <f t="shared" si="3"/>
        <v>-10</v>
      </c>
      <c r="L8" s="113">
        <f>K2</f>
        <v>3.7797631496846193</v>
      </c>
      <c r="M8" s="113">
        <f t="shared" si="4"/>
        <v>0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0</v>
      </c>
      <c r="B9" s="45" t="str">
        <f>IF(H9&gt;$H$2,"",3)</f>
        <v/>
      </c>
      <c r="C9" s="46"/>
      <c r="D9" s="46"/>
      <c r="E9" s="46"/>
      <c r="F9" s="46"/>
      <c r="G9" s="33"/>
      <c r="H9" s="115">
        <v>3</v>
      </c>
      <c r="I9" s="116" t="str">
        <f t="shared" si="1"/>
        <v/>
      </c>
      <c r="J9" s="115">
        <f t="shared" si="2"/>
        <v>-1</v>
      </c>
      <c r="K9" s="115">
        <f t="shared" si="3"/>
        <v>-10</v>
      </c>
      <c r="L9" s="117">
        <f>K2</f>
        <v>3.7797631496846193</v>
      </c>
      <c r="M9" s="117">
        <f t="shared" si="4"/>
        <v>0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65" si="5">IF(H10&gt;$H$2,"",(ROW()-5))</f>
        <v/>
      </c>
      <c r="C10" s="40"/>
      <c r="D10" s="40"/>
      <c r="E10" s="40"/>
      <c r="F10" s="40"/>
      <c r="G10" s="33"/>
      <c r="H10" s="111">
        <v>5</v>
      </c>
      <c r="I10" s="112" t="str">
        <f t="shared" si="1"/>
        <v/>
      </c>
      <c r="J10" s="111">
        <f t="shared" si="2"/>
        <v>-2</v>
      </c>
      <c r="K10" s="111">
        <f t="shared" si="3"/>
        <v>-20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/>
      <c r="D11" s="46"/>
      <c r="E11" s="46"/>
      <c r="F11" s="46"/>
      <c r="G11" s="33"/>
      <c r="H11" s="115">
        <v>6</v>
      </c>
      <c r="I11" s="116" t="str">
        <f t="shared" si="1"/>
        <v/>
      </c>
      <c r="J11" s="115">
        <f t="shared" si="2"/>
        <v>-2</v>
      </c>
      <c r="K11" s="115">
        <f t="shared" si="3"/>
        <v>-20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/>
      <c r="D12" s="40"/>
      <c r="E12" s="40"/>
      <c r="F12" s="40"/>
      <c r="G12" s="33"/>
      <c r="H12" s="111">
        <v>7</v>
      </c>
      <c r="I12" s="112" t="str">
        <f t="shared" si="1"/>
        <v/>
      </c>
      <c r="J12" s="111">
        <f t="shared" si="2"/>
        <v>-2</v>
      </c>
      <c r="K12" s="111">
        <f t="shared" si="3"/>
        <v>-20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/>
      <c r="D13" s="46"/>
      <c r="E13" s="46"/>
      <c r="F13" s="46"/>
      <c r="G13" s="33"/>
      <c r="H13" s="115">
        <v>8</v>
      </c>
      <c r="I13" s="116" t="str">
        <f t="shared" si="1"/>
        <v/>
      </c>
      <c r="J13" s="115">
        <f t="shared" si="2"/>
        <v>-2</v>
      </c>
      <c r="K13" s="115">
        <f t="shared" si="3"/>
        <v>-20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/>
      <c r="D14" s="40"/>
      <c r="E14" s="40"/>
      <c r="F14" s="40"/>
      <c r="G14" s="33"/>
      <c r="H14" s="111">
        <v>9</v>
      </c>
      <c r="I14" s="112" t="str">
        <f t="shared" si="1"/>
        <v/>
      </c>
      <c r="J14" s="111">
        <f t="shared" si="2"/>
        <v>-3</v>
      </c>
      <c r="K14" s="111">
        <f t="shared" si="3"/>
        <v>-30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/>
      <c r="D15" s="46"/>
      <c r="E15" s="46"/>
      <c r="F15" s="46"/>
      <c r="G15" s="33"/>
      <c r="H15" s="115">
        <v>10</v>
      </c>
      <c r="I15" s="116" t="str">
        <f t="shared" si="1"/>
        <v/>
      </c>
      <c r="J15" s="115">
        <f t="shared" si="2"/>
        <v>-3</v>
      </c>
      <c r="K15" s="115">
        <f t="shared" si="3"/>
        <v>-30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/>
      <c r="D16" s="40"/>
      <c r="E16" s="40"/>
      <c r="F16" s="40"/>
      <c r="G16" s="33"/>
      <c r="H16" s="111">
        <v>11</v>
      </c>
      <c r="I16" s="112" t="str">
        <f t="shared" si="1"/>
        <v/>
      </c>
      <c r="J16" s="111">
        <f t="shared" si="2"/>
        <v>-3</v>
      </c>
      <c r="K16" s="111">
        <f t="shared" si="3"/>
        <v>-30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/>
      <c r="D17" s="46"/>
      <c r="E17" s="46"/>
      <c r="F17" s="46"/>
      <c r="G17" s="33"/>
      <c r="H17" s="115">
        <v>12</v>
      </c>
      <c r="I17" s="116" t="str">
        <f t="shared" si="1"/>
        <v/>
      </c>
      <c r="J17" s="115">
        <f t="shared" si="2"/>
        <v>-3</v>
      </c>
      <c r="K17" s="115">
        <f t="shared" si="3"/>
        <v>-30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40"/>
      <c r="D18" s="40"/>
      <c r="E18" s="40"/>
      <c r="F18" s="40"/>
      <c r="G18" s="33"/>
      <c r="H18" s="111">
        <v>13</v>
      </c>
      <c r="I18" s="112" t="str">
        <f t="shared" si="1"/>
        <v/>
      </c>
      <c r="J18" s="111">
        <f t="shared" si="2"/>
        <v>-3</v>
      </c>
      <c r="K18" s="111">
        <f t="shared" si="3"/>
        <v>-30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/>
      <c r="D19" s="46"/>
      <c r="E19" s="46"/>
      <c r="F19" s="46"/>
      <c r="G19" s="33"/>
      <c r="H19" s="115">
        <v>14</v>
      </c>
      <c r="I19" s="116" t="str">
        <f t="shared" si="1"/>
        <v/>
      </c>
      <c r="J19" s="115">
        <f t="shared" si="2"/>
        <v>-3</v>
      </c>
      <c r="K19" s="115">
        <f t="shared" si="3"/>
        <v>-30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/>
      <c r="D20" s="40"/>
      <c r="E20" s="40"/>
      <c r="F20" s="40"/>
      <c r="G20" s="33"/>
      <c r="H20" s="111">
        <v>15</v>
      </c>
      <c r="I20" s="112" t="str">
        <f t="shared" si="1"/>
        <v/>
      </c>
      <c r="J20" s="111">
        <f t="shared" si="2"/>
        <v>-3</v>
      </c>
      <c r="K20" s="111">
        <f t="shared" si="3"/>
        <v>-30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/>
      <c r="D21" s="46"/>
      <c r="E21" s="46"/>
      <c r="F21" s="46"/>
      <c r="G21" s="33"/>
      <c r="H21" s="115">
        <v>16</v>
      </c>
      <c r="I21" s="116" t="str">
        <f t="shared" si="1"/>
        <v/>
      </c>
      <c r="J21" s="115">
        <f t="shared" si="2"/>
        <v>-3</v>
      </c>
      <c r="K21" s="115">
        <f t="shared" si="3"/>
        <v>-30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/>
      <c r="D22" s="40"/>
      <c r="E22" s="40"/>
      <c r="F22" s="40"/>
      <c r="G22" s="33"/>
      <c r="H22" s="111">
        <v>17</v>
      </c>
      <c r="I22" s="112" t="str">
        <f t="shared" si="1"/>
        <v/>
      </c>
      <c r="J22" s="111">
        <f t="shared" si="2"/>
        <v>-4</v>
      </c>
      <c r="K22" s="111">
        <f t="shared" si="3"/>
        <v>-40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/>
      <c r="D23" s="46"/>
      <c r="E23" s="46"/>
      <c r="F23" s="46"/>
      <c r="G23" s="33"/>
      <c r="H23" s="115">
        <v>18</v>
      </c>
      <c r="I23" s="116" t="str">
        <f t="shared" si="1"/>
        <v/>
      </c>
      <c r="J23" s="115">
        <f t="shared" si="2"/>
        <v>-4</v>
      </c>
      <c r="K23" s="115">
        <f t="shared" si="3"/>
        <v>-40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/>
      <c r="D24" s="40"/>
      <c r="E24" s="40"/>
      <c r="F24" s="40"/>
      <c r="G24" s="33"/>
      <c r="H24" s="111">
        <v>19</v>
      </c>
      <c r="I24" s="112" t="str">
        <f t="shared" si="1"/>
        <v/>
      </c>
      <c r="J24" s="111">
        <f t="shared" si="2"/>
        <v>-4</v>
      </c>
      <c r="K24" s="111">
        <f t="shared" si="3"/>
        <v>-40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5">
        <f t="shared" si="2"/>
        <v>-4</v>
      </c>
      <c r="K25" s="115">
        <f t="shared" si="3"/>
        <v>-40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1">
        <f t="shared" si="2"/>
        <v>-4</v>
      </c>
      <c r="K26" s="111">
        <f t="shared" si="3"/>
        <v>-40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5">
        <f t="shared" si="2"/>
        <v>-4</v>
      </c>
      <c r="K27" s="115">
        <f t="shared" si="3"/>
        <v>-40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1">
        <f t="shared" si="2"/>
        <v>-4</v>
      </c>
      <c r="K28" s="111">
        <f t="shared" si="3"/>
        <v>-40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5">
        <f t="shared" si="2"/>
        <v>-4</v>
      </c>
      <c r="K29" s="115">
        <f t="shared" si="3"/>
        <v>-40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1">
        <f t="shared" si="2"/>
        <v>-4</v>
      </c>
      <c r="K30" s="111">
        <f t="shared" si="3"/>
        <v>-40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5">
        <f t="shared" si="2"/>
        <v>-4</v>
      </c>
      <c r="K31" s="115">
        <f t="shared" si="3"/>
        <v>-40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1">
        <f t="shared" si="2"/>
        <v>-4</v>
      </c>
      <c r="K32" s="111">
        <f t="shared" si="3"/>
        <v>-40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21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5">
        <f t="shared" si="2"/>
        <v>-4</v>
      </c>
      <c r="K33" s="115">
        <f t="shared" si="3"/>
        <v>-40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21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1">
        <f t="shared" si="2"/>
        <v>-4</v>
      </c>
      <c r="K34" s="111">
        <f t="shared" si="3"/>
        <v>-40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21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5">
        <f t="shared" si="2"/>
        <v>-4</v>
      </c>
      <c r="K35" s="115">
        <f t="shared" si="3"/>
        <v>-40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21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1">
        <f t="shared" si="2"/>
        <v>-4</v>
      </c>
      <c r="K36" s="111">
        <f t="shared" si="3"/>
        <v>-40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21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5">
        <f t="shared" si="2"/>
        <v>-4</v>
      </c>
      <c r="K37" s="115">
        <f t="shared" si="3"/>
        <v>-40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21" s="101" customFormat="1">
      <c r="A38" s="114">
        <f t="shared" si="0"/>
        <v>0</v>
      </c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1">
        <f t="shared" si="2"/>
        <v>-5</v>
      </c>
      <c r="K38" s="111">
        <f t="shared" si="3"/>
        <v>-50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21" s="101" customFormat="1">
      <c r="A39" s="114">
        <f t="shared" si="0"/>
        <v>0</v>
      </c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5">
        <f t="shared" si="2"/>
        <v>-5</v>
      </c>
      <c r="K39" s="115">
        <f t="shared" si="3"/>
        <v>-50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21" s="101" customFormat="1">
      <c r="A40" s="114">
        <f t="shared" si="0"/>
        <v>0</v>
      </c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1">
        <f t="shared" si="2"/>
        <v>-5</v>
      </c>
      <c r="K40" s="111">
        <f t="shared" si="3"/>
        <v>-50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21" s="101" customFormat="1">
      <c r="A41" s="114">
        <f t="shared" si="0"/>
        <v>0</v>
      </c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5">
        <f t="shared" si="2"/>
        <v>-5</v>
      </c>
      <c r="K41" s="115">
        <f t="shared" si="3"/>
        <v>-50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21" s="101" customFormat="1">
      <c r="A42" s="114">
        <f t="shared" si="0"/>
        <v>0</v>
      </c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1">
        <f t="shared" si="2"/>
        <v>-5</v>
      </c>
      <c r="K42" s="111">
        <f t="shared" si="3"/>
        <v>-50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21" s="101" customFormat="1">
      <c r="A43" s="114">
        <f t="shared" si="0"/>
        <v>0</v>
      </c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5">
        <f t="shared" si="2"/>
        <v>-5</v>
      </c>
      <c r="K43" s="115">
        <f t="shared" si="3"/>
        <v>-50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21" s="101" customFormat="1">
      <c r="A44" s="114">
        <f t="shared" si="0"/>
        <v>0</v>
      </c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1">
        <f t="shared" si="2"/>
        <v>-5</v>
      </c>
      <c r="K44" s="111">
        <f t="shared" si="3"/>
        <v>-50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21" s="101" customFormat="1">
      <c r="A45" s="114">
        <f t="shared" si="0"/>
        <v>0</v>
      </c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5">
        <f t="shared" si="2"/>
        <v>-5</v>
      </c>
      <c r="K45" s="115">
        <f t="shared" si="3"/>
        <v>-50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21" s="101" customFormat="1">
      <c r="A46" s="114">
        <f t="shared" si="0"/>
        <v>0</v>
      </c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1">
        <f t="shared" si="2"/>
        <v>-5</v>
      </c>
      <c r="K46" s="111">
        <f t="shared" si="3"/>
        <v>-50</v>
      </c>
      <c r="L46" s="111"/>
      <c r="M46" s="113">
        <f t="shared" si="4"/>
        <v>0</v>
      </c>
      <c r="N46" s="96"/>
      <c r="O46" s="96"/>
      <c r="P46" s="96"/>
      <c r="Q46" s="96"/>
      <c r="R46" s="96">
        <f>LOG($H$2,2)</f>
        <v>1</v>
      </c>
      <c r="T46" s="101">
        <f>LOG(H38,2)</f>
        <v>5.0443941193584534</v>
      </c>
      <c r="U46" s="101">
        <f>R46-T46</f>
        <v>-4.0443941193584534</v>
      </c>
    </row>
    <row r="47" spans="1:21" s="101" customFormat="1">
      <c r="A47" s="114">
        <f t="shared" si="0"/>
        <v>0</v>
      </c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5">
        <f t="shared" si="2"/>
        <v>-5</v>
      </c>
      <c r="K47" s="115">
        <f t="shared" si="3"/>
        <v>-50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21" s="101" customFormat="1">
      <c r="A48" s="114">
        <f t="shared" si="0"/>
        <v>0</v>
      </c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1">
        <f t="shared" si="2"/>
        <v>-5</v>
      </c>
      <c r="K48" s="111">
        <f t="shared" si="3"/>
        <v>-50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 s="96" customFormat="1">
      <c r="A49" s="114">
        <f t="shared" si="0"/>
        <v>0</v>
      </c>
      <c r="B49" s="45" t="str">
        <f t="shared" si="5"/>
        <v/>
      </c>
      <c r="C49" s="46"/>
      <c r="D49" s="46"/>
      <c r="E49" s="46"/>
      <c r="F49" s="46"/>
      <c r="H49" s="115">
        <v>44</v>
      </c>
      <c r="I49" s="116" t="str">
        <f t="shared" si="1"/>
        <v/>
      </c>
      <c r="J49" s="115">
        <f t="shared" si="2"/>
        <v>-5</v>
      </c>
      <c r="K49" s="115">
        <f t="shared" si="3"/>
        <v>-50</v>
      </c>
      <c r="L49" s="115"/>
      <c r="M49" s="117">
        <f t="shared" si="4"/>
        <v>0</v>
      </c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s="96" customFormat="1">
      <c r="A50" s="114">
        <f t="shared" si="0"/>
        <v>0</v>
      </c>
      <c r="B50" s="39" t="str">
        <f t="shared" si="5"/>
        <v/>
      </c>
      <c r="C50" s="40"/>
      <c r="D50" s="40"/>
      <c r="E50" s="40"/>
      <c r="F50" s="40"/>
      <c r="H50" s="111">
        <v>45</v>
      </c>
      <c r="I50" s="112" t="str">
        <f t="shared" si="1"/>
        <v/>
      </c>
      <c r="J50" s="111">
        <f t="shared" si="2"/>
        <v>-5</v>
      </c>
      <c r="K50" s="111">
        <f t="shared" si="3"/>
        <v>-50</v>
      </c>
      <c r="L50" s="111"/>
      <c r="M50" s="113">
        <f t="shared" si="4"/>
        <v>0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s="96" customFormat="1">
      <c r="A51" s="114">
        <f t="shared" si="0"/>
        <v>0</v>
      </c>
      <c r="B51" s="45" t="str">
        <f t="shared" si="5"/>
        <v/>
      </c>
      <c r="C51" s="46"/>
      <c r="D51" s="46"/>
      <c r="E51" s="46"/>
      <c r="F51" s="46"/>
      <c r="H51" s="115">
        <v>46</v>
      </c>
      <c r="I51" s="116" t="str">
        <f t="shared" si="1"/>
        <v/>
      </c>
      <c r="J51" s="115">
        <f t="shared" si="2"/>
        <v>-5</v>
      </c>
      <c r="K51" s="115">
        <f t="shared" si="3"/>
        <v>-50</v>
      </c>
      <c r="L51" s="115"/>
      <c r="M51" s="117">
        <f t="shared" si="4"/>
        <v>0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s="96" customFormat="1">
      <c r="A52" s="114">
        <f t="shared" si="0"/>
        <v>0</v>
      </c>
      <c r="B52" s="39" t="str">
        <f t="shared" si="5"/>
        <v/>
      </c>
      <c r="C52" s="40"/>
      <c r="D52" s="40"/>
      <c r="E52" s="40"/>
      <c r="F52" s="40"/>
      <c r="H52" s="111">
        <v>47</v>
      </c>
      <c r="I52" s="112" t="str">
        <f t="shared" si="1"/>
        <v/>
      </c>
      <c r="J52" s="111">
        <f t="shared" si="2"/>
        <v>-5</v>
      </c>
      <c r="K52" s="111">
        <f t="shared" si="3"/>
        <v>-50</v>
      </c>
      <c r="L52" s="111"/>
      <c r="M52" s="113">
        <f t="shared" si="4"/>
        <v>0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s="96" customFormat="1">
      <c r="A53" s="114">
        <f t="shared" si="0"/>
        <v>0</v>
      </c>
      <c r="B53" s="45" t="str">
        <f t="shared" si="5"/>
        <v/>
      </c>
      <c r="C53" s="46"/>
      <c r="D53" s="46"/>
      <c r="E53" s="46"/>
      <c r="F53" s="46"/>
      <c r="H53" s="115">
        <v>48</v>
      </c>
      <c r="I53" s="116" t="str">
        <f t="shared" si="1"/>
        <v/>
      </c>
      <c r="J53" s="115">
        <f t="shared" si="2"/>
        <v>-5</v>
      </c>
      <c r="K53" s="115">
        <f t="shared" si="3"/>
        <v>-50</v>
      </c>
      <c r="L53" s="115"/>
      <c r="M53" s="117">
        <f t="shared" si="4"/>
        <v>0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s="96" customFormat="1">
      <c r="A54" s="114">
        <f t="shared" si="0"/>
        <v>0</v>
      </c>
      <c r="B54" s="39" t="str">
        <f t="shared" si="5"/>
        <v/>
      </c>
      <c r="C54" s="40"/>
      <c r="D54" s="40"/>
      <c r="E54" s="40"/>
      <c r="F54" s="40"/>
      <c r="H54" s="111">
        <v>49</v>
      </c>
      <c r="I54" s="112" t="str">
        <f t="shared" si="1"/>
        <v/>
      </c>
      <c r="J54" s="111">
        <f t="shared" si="2"/>
        <v>-5</v>
      </c>
      <c r="K54" s="111">
        <f t="shared" si="3"/>
        <v>-50</v>
      </c>
      <c r="L54" s="111"/>
      <c r="M54" s="113">
        <f t="shared" si="4"/>
        <v>0</v>
      </c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s="96" customFormat="1">
      <c r="A55" s="114">
        <f t="shared" si="0"/>
        <v>0</v>
      </c>
      <c r="B55" s="45" t="str">
        <f t="shared" si="5"/>
        <v/>
      </c>
      <c r="C55" s="46"/>
      <c r="D55" s="46"/>
      <c r="E55" s="46"/>
      <c r="F55" s="46"/>
      <c r="H55" s="115">
        <v>50</v>
      </c>
      <c r="I55" s="116" t="str">
        <f t="shared" si="1"/>
        <v/>
      </c>
      <c r="J55" s="115">
        <f t="shared" si="2"/>
        <v>-5</v>
      </c>
      <c r="K55" s="115">
        <f t="shared" si="3"/>
        <v>-50</v>
      </c>
      <c r="L55" s="115"/>
      <c r="M55" s="117">
        <f t="shared" si="4"/>
        <v>0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s="96" customFormat="1">
      <c r="A56" s="114">
        <f t="shared" si="0"/>
        <v>0</v>
      </c>
      <c r="B56" s="39" t="str">
        <f t="shared" si="5"/>
        <v/>
      </c>
      <c r="C56" s="40"/>
      <c r="D56" s="40"/>
      <c r="E56" s="40"/>
      <c r="F56" s="40"/>
      <c r="H56" s="111">
        <v>51</v>
      </c>
      <c r="I56" s="112" t="str">
        <f t="shared" si="1"/>
        <v/>
      </c>
      <c r="J56" s="111">
        <f t="shared" si="2"/>
        <v>-5</v>
      </c>
      <c r="K56" s="111">
        <f t="shared" si="3"/>
        <v>-50</v>
      </c>
      <c r="L56" s="111"/>
      <c r="M56" s="113">
        <f t="shared" si="4"/>
        <v>0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s="96" customFormat="1">
      <c r="A57" s="114">
        <f t="shared" si="0"/>
        <v>0</v>
      </c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5">
        <f t="shared" si="2"/>
        <v>-5</v>
      </c>
      <c r="K57" s="115">
        <f t="shared" si="3"/>
        <v>-50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14">
        <f t="shared" si="0"/>
        <v>0</v>
      </c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1">
        <f t="shared" si="2"/>
        <v>-5</v>
      </c>
      <c r="K58" s="111">
        <f t="shared" si="3"/>
        <v>-50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14">
        <f t="shared" si="0"/>
        <v>0</v>
      </c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5">
        <f t="shared" si="2"/>
        <v>-5</v>
      </c>
      <c r="K59" s="115">
        <f t="shared" si="3"/>
        <v>-50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14">
        <f t="shared" si="0"/>
        <v>0</v>
      </c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1">
        <f t="shared" si="2"/>
        <v>-5</v>
      </c>
      <c r="K60" s="111">
        <f t="shared" si="3"/>
        <v>-50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14"/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5">
        <f t="shared" si="2"/>
        <v>-5</v>
      </c>
      <c r="K61" s="115">
        <f t="shared" si="3"/>
        <v>-50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10"/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1">
        <f t="shared" si="2"/>
        <v>-5</v>
      </c>
      <c r="K62" s="111">
        <f t="shared" si="3"/>
        <v>-50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14"/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5">
        <f t="shared" si="2"/>
        <v>-5</v>
      </c>
      <c r="K63" s="115">
        <f t="shared" si="3"/>
        <v>-50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10"/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1">
        <f t="shared" si="2"/>
        <v>-5</v>
      </c>
      <c r="K64" s="111">
        <f t="shared" si="3"/>
        <v>-50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14"/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5">
        <f t="shared" si="2"/>
        <v>-5</v>
      </c>
      <c r="K65" s="115">
        <f t="shared" si="3"/>
        <v>-50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10"/>
      <c r="B66" s="39"/>
      <c r="C66" s="131"/>
      <c r="D66" s="131"/>
      <c r="E66" s="131"/>
      <c r="F66" s="131"/>
      <c r="H66" s="111">
        <v>61</v>
      </c>
      <c r="I66" s="112" t="str">
        <f t="shared" si="1"/>
        <v/>
      </c>
      <c r="J66" s="111">
        <f t="shared" si="2"/>
        <v>-5</v>
      </c>
      <c r="K66" s="111">
        <f t="shared" si="3"/>
        <v>-50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14"/>
      <c r="B67" s="45"/>
      <c r="C67" s="131"/>
      <c r="D67" s="131"/>
      <c r="E67" s="131"/>
      <c r="F67" s="131"/>
      <c r="H67" s="111">
        <v>62</v>
      </c>
      <c r="I67" s="112" t="str">
        <f t="shared" si="1"/>
        <v/>
      </c>
      <c r="J67" s="111">
        <f t="shared" si="2"/>
        <v>-5</v>
      </c>
      <c r="K67" s="111">
        <f t="shared" si="3"/>
        <v>-50</v>
      </c>
      <c r="L67" s="111"/>
      <c r="M67" s="113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10"/>
      <c r="B68" s="39"/>
      <c r="C68" s="131"/>
      <c r="D68" s="131"/>
      <c r="E68" s="131"/>
      <c r="F68" s="131"/>
      <c r="H68" s="111">
        <v>63</v>
      </c>
      <c r="I68" s="112" t="str">
        <f t="shared" si="1"/>
        <v/>
      </c>
      <c r="J68" s="111">
        <f t="shared" si="2"/>
        <v>-5</v>
      </c>
      <c r="K68" s="111">
        <f t="shared" si="3"/>
        <v>-50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14"/>
      <c r="B69" s="45"/>
      <c r="C69" s="131"/>
      <c r="D69" s="131"/>
      <c r="E69" s="131"/>
      <c r="F69" s="131"/>
      <c r="H69" s="111">
        <v>64</v>
      </c>
      <c r="I69" s="112" t="str">
        <f t="shared" si="1"/>
        <v/>
      </c>
      <c r="J69" s="111">
        <f t="shared" si="2"/>
        <v>-5</v>
      </c>
      <c r="K69" s="111">
        <f t="shared" si="3"/>
        <v>-50</v>
      </c>
      <c r="L69" s="111"/>
      <c r="M69" s="113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32"/>
      <c r="B70" s="131"/>
      <c r="C70" s="131"/>
      <c r="D70" s="131"/>
      <c r="E70" s="131"/>
      <c r="F70" s="131"/>
      <c r="H70" s="111">
        <v>65</v>
      </c>
      <c r="I70" s="112" t="str">
        <f t="shared" ref="I70:I133" si="6">IF(H70&lt;$H$2+1,($I$2-($I$2-1)*(LOG(H70)/LOG($H$2))),"")</f>
        <v/>
      </c>
      <c r="J70" s="111">
        <f t="shared" ref="J70:J133" si="7">INT(LOG($H$2,2))-ROUNDUP(LOG(H70,2),0)+IF(OR($H$2=1,$H$2=2,$H$2=4,$H$2=8,$H$2=16,$H$2=32,$H$2=64,$H$2=128,$H$2=256),0,1)</f>
        <v>-6</v>
      </c>
      <c r="K70" s="111">
        <f t="shared" ref="K70:K133" si="8">J70*$J$2</f>
        <v>-60</v>
      </c>
      <c r="L70" s="111"/>
      <c r="M70" s="113">
        <f t="shared" ref="M70:M133" si="9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32"/>
      <c r="B71" s="131"/>
      <c r="C71" s="131"/>
      <c r="D71" s="131"/>
      <c r="E71" s="131"/>
      <c r="F71" s="131"/>
      <c r="H71" s="111">
        <v>66</v>
      </c>
      <c r="I71" s="112" t="str">
        <f t="shared" si="6"/>
        <v/>
      </c>
      <c r="J71" s="111">
        <f t="shared" si="7"/>
        <v>-6</v>
      </c>
      <c r="K71" s="111">
        <f t="shared" si="8"/>
        <v>-60</v>
      </c>
      <c r="L71" s="111"/>
      <c r="M71" s="113">
        <f t="shared" si="9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32"/>
      <c r="B72" s="131"/>
      <c r="C72" s="131"/>
      <c r="D72" s="131"/>
      <c r="E72" s="131"/>
      <c r="F72" s="131"/>
      <c r="H72" s="111">
        <v>67</v>
      </c>
      <c r="I72" s="112" t="str">
        <f t="shared" si="6"/>
        <v/>
      </c>
      <c r="J72" s="111">
        <f t="shared" si="7"/>
        <v>-6</v>
      </c>
      <c r="K72" s="111">
        <f t="shared" si="8"/>
        <v>-60</v>
      </c>
      <c r="L72" s="111"/>
      <c r="M72" s="113">
        <f t="shared" si="9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32"/>
      <c r="B73" s="131"/>
      <c r="C73" s="131"/>
      <c r="D73" s="131"/>
      <c r="E73" s="131"/>
      <c r="F73" s="131"/>
      <c r="H73" s="111">
        <v>68</v>
      </c>
      <c r="I73" s="112" t="str">
        <f t="shared" si="6"/>
        <v/>
      </c>
      <c r="J73" s="111">
        <f t="shared" si="7"/>
        <v>-6</v>
      </c>
      <c r="K73" s="111">
        <f t="shared" si="8"/>
        <v>-60</v>
      </c>
      <c r="L73" s="111"/>
      <c r="M73" s="113">
        <f t="shared" si="9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32"/>
      <c r="B74" s="131"/>
      <c r="C74" s="131"/>
      <c r="D74" s="131"/>
      <c r="E74" s="131"/>
      <c r="F74" s="131"/>
      <c r="H74" s="111">
        <v>69</v>
      </c>
      <c r="I74" s="112" t="str">
        <f t="shared" si="6"/>
        <v/>
      </c>
      <c r="J74" s="111">
        <f t="shared" si="7"/>
        <v>-6</v>
      </c>
      <c r="K74" s="111">
        <f t="shared" si="8"/>
        <v>-60</v>
      </c>
      <c r="L74" s="111"/>
      <c r="M74" s="113">
        <f t="shared" si="9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32"/>
      <c r="B75" s="131"/>
      <c r="C75" s="131"/>
      <c r="D75" s="131"/>
      <c r="E75" s="131"/>
      <c r="F75" s="131"/>
      <c r="H75" s="111">
        <v>70</v>
      </c>
      <c r="I75" s="112" t="str">
        <f t="shared" si="6"/>
        <v/>
      </c>
      <c r="J75" s="111">
        <f t="shared" si="7"/>
        <v>-6</v>
      </c>
      <c r="K75" s="111">
        <f t="shared" si="8"/>
        <v>-60</v>
      </c>
      <c r="L75" s="111"/>
      <c r="M75" s="113">
        <f t="shared" si="9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32"/>
      <c r="B76" s="131"/>
      <c r="C76" s="131"/>
      <c r="D76" s="131"/>
      <c r="E76" s="131"/>
      <c r="F76" s="131"/>
      <c r="H76" s="111">
        <v>71</v>
      </c>
      <c r="I76" s="112" t="str">
        <f t="shared" si="6"/>
        <v/>
      </c>
      <c r="J76" s="111">
        <f t="shared" si="7"/>
        <v>-6</v>
      </c>
      <c r="K76" s="111">
        <f t="shared" si="8"/>
        <v>-60</v>
      </c>
      <c r="L76" s="111"/>
      <c r="M76" s="113">
        <f t="shared" si="9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32"/>
      <c r="B77" s="131"/>
      <c r="C77" s="131"/>
      <c r="D77" s="131"/>
      <c r="E77" s="131"/>
      <c r="F77" s="131"/>
      <c r="H77" s="111">
        <v>72</v>
      </c>
      <c r="I77" s="112" t="str">
        <f t="shared" si="6"/>
        <v/>
      </c>
      <c r="J77" s="111">
        <f t="shared" si="7"/>
        <v>-6</v>
      </c>
      <c r="K77" s="111">
        <f t="shared" si="8"/>
        <v>-60</v>
      </c>
      <c r="L77" s="111"/>
      <c r="M77" s="113">
        <f t="shared" si="9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32"/>
      <c r="B78" s="131"/>
      <c r="C78" s="131"/>
      <c r="D78" s="131"/>
      <c r="E78" s="131"/>
      <c r="F78" s="131"/>
      <c r="H78" s="111">
        <v>73</v>
      </c>
      <c r="I78" s="112" t="str">
        <f t="shared" si="6"/>
        <v/>
      </c>
      <c r="J78" s="111">
        <f t="shared" si="7"/>
        <v>-6</v>
      </c>
      <c r="K78" s="111">
        <f t="shared" si="8"/>
        <v>-60</v>
      </c>
      <c r="L78" s="111"/>
      <c r="M78" s="113">
        <f t="shared" si="9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32"/>
      <c r="B79" s="131"/>
      <c r="C79" s="131"/>
      <c r="D79" s="131"/>
      <c r="E79" s="131"/>
      <c r="F79" s="131"/>
      <c r="H79" s="111">
        <v>74</v>
      </c>
      <c r="I79" s="112" t="str">
        <f t="shared" si="6"/>
        <v/>
      </c>
      <c r="J79" s="111">
        <f t="shared" si="7"/>
        <v>-6</v>
      </c>
      <c r="K79" s="111">
        <f t="shared" si="8"/>
        <v>-60</v>
      </c>
      <c r="L79" s="111"/>
      <c r="M79" s="113">
        <f t="shared" si="9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32"/>
      <c r="B80" s="131"/>
      <c r="C80" s="131"/>
      <c r="D80" s="131"/>
      <c r="E80" s="131"/>
      <c r="F80" s="131"/>
      <c r="H80" s="111">
        <v>75</v>
      </c>
      <c r="I80" s="112" t="str">
        <f t="shared" si="6"/>
        <v/>
      </c>
      <c r="J80" s="111">
        <f t="shared" si="7"/>
        <v>-6</v>
      </c>
      <c r="K80" s="111">
        <f t="shared" si="8"/>
        <v>-60</v>
      </c>
      <c r="L80" s="111"/>
      <c r="M80" s="113">
        <f t="shared" si="9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32"/>
      <c r="B81" s="131"/>
      <c r="C81" s="131"/>
      <c r="D81" s="131"/>
      <c r="E81" s="131"/>
      <c r="F81" s="131"/>
      <c r="H81" s="111">
        <v>76</v>
      </c>
      <c r="I81" s="112" t="str">
        <f t="shared" si="6"/>
        <v/>
      </c>
      <c r="J81" s="111">
        <f t="shared" si="7"/>
        <v>-6</v>
      </c>
      <c r="K81" s="111">
        <f t="shared" si="8"/>
        <v>-60</v>
      </c>
      <c r="L81" s="111"/>
      <c r="M81" s="113">
        <f t="shared" si="9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32"/>
      <c r="B82" s="131"/>
      <c r="C82" s="131"/>
      <c r="D82" s="131"/>
      <c r="E82" s="131"/>
      <c r="F82" s="131"/>
      <c r="H82" s="111">
        <v>77</v>
      </c>
      <c r="I82" s="112" t="str">
        <f t="shared" si="6"/>
        <v/>
      </c>
      <c r="J82" s="111">
        <f t="shared" si="7"/>
        <v>-6</v>
      </c>
      <c r="K82" s="111">
        <f t="shared" si="8"/>
        <v>-60</v>
      </c>
      <c r="L82" s="111"/>
      <c r="M82" s="113">
        <f t="shared" si="9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32"/>
      <c r="B83" s="131"/>
      <c r="C83" s="131"/>
      <c r="D83" s="131"/>
      <c r="E83" s="131"/>
      <c r="F83" s="131"/>
      <c r="H83" s="111">
        <v>78</v>
      </c>
      <c r="I83" s="112" t="str">
        <f t="shared" si="6"/>
        <v/>
      </c>
      <c r="J83" s="111">
        <f t="shared" si="7"/>
        <v>-6</v>
      </c>
      <c r="K83" s="111">
        <f t="shared" si="8"/>
        <v>-60</v>
      </c>
      <c r="L83" s="111"/>
      <c r="M83" s="113">
        <f t="shared" si="9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32"/>
      <c r="B84" s="131"/>
      <c r="C84" s="131"/>
      <c r="D84" s="131"/>
      <c r="E84" s="131"/>
      <c r="F84" s="131"/>
      <c r="H84" s="111">
        <v>79</v>
      </c>
      <c r="I84" s="112" t="str">
        <f t="shared" si="6"/>
        <v/>
      </c>
      <c r="J84" s="111">
        <f t="shared" si="7"/>
        <v>-6</v>
      </c>
      <c r="K84" s="111">
        <f t="shared" si="8"/>
        <v>-60</v>
      </c>
      <c r="L84" s="111"/>
      <c r="M84" s="113">
        <f t="shared" si="9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32"/>
      <c r="B85" s="131"/>
      <c r="C85" s="131"/>
      <c r="D85" s="131"/>
      <c r="E85" s="131"/>
      <c r="F85" s="131"/>
      <c r="H85" s="111">
        <v>80</v>
      </c>
      <c r="I85" s="112" t="str">
        <f t="shared" si="6"/>
        <v/>
      </c>
      <c r="J85" s="111">
        <f t="shared" si="7"/>
        <v>-6</v>
      </c>
      <c r="K85" s="111">
        <f t="shared" si="8"/>
        <v>-60</v>
      </c>
      <c r="L85" s="111"/>
      <c r="M85" s="113">
        <f t="shared" si="9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32"/>
      <c r="B86" s="131"/>
      <c r="C86" s="131"/>
      <c r="D86" s="131"/>
      <c r="E86" s="131"/>
      <c r="F86" s="131"/>
      <c r="H86" s="111">
        <v>81</v>
      </c>
      <c r="I86" s="112" t="str">
        <f t="shared" si="6"/>
        <v/>
      </c>
      <c r="J86" s="111">
        <f t="shared" si="7"/>
        <v>-6</v>
      </c>
      <c r="K86" s="111">
        <f t="shared" si="8"/>
        <v>-60</v>
      </c>
      <c r="L86" s="111"/>
      <c r="M86" s="113">
        <f t="shared" si="9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32"/>
      <c r="B87" s="131"/>
      <c r="C87" s="131"/>
      <c r="D87" s="131"/>
      <c r="E87" s="131"/>
      <c r="F87" s="131"/>
      <c r="H87" s="111">
        <v>82</v>
      </c>
      <c r="I87" s="112" t="str">
        <f t="shared" si="6"/>
        <v/>
      </c>
      <c r="J87" s="111">
        <f t="shared" si="7"/>
        <v>-6</v>
      </c>
      <c r="K87" s="111">
        <f t="shared" si="8"/>
        <v>-60</v>
      </c>
      <c r="L87" s="111"/>
      <c r="M87" s="113">
        <f t="shared" si="9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32"/>
      <c r="B88" s="131"/>
      <c r="C88" s="131"/>
      <c r="D88" s="131"/>
      <c r="E88" s="131"/>
      <c r="F88" s="131"/>
      <c r="H88" s="111">
        <v>83</v>
      </c>
      <c r="I88" s="112" t="str">
        <f t="shared" si="6"/>
        <v/>
      </c>
      <c r="J88" s="111">
        <f t="shared" si="7"/>
        <v>-6</v>
      </c>
      <c r="K88" s="111">
        <f t="shared" si="8"/>
        <v>-60</v>
      </c>
      <c r="L88" s="111"/>
      <c r="M88" s="113">
        <f t="shared" si="9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32"/>
      <c r="B89" s="131"/>
      <c r="C89" s="131"/>
      <c r="D89" s="131"/>
      <c r="E89" s="131"/>
      <c r="F89" s="131"/>
      <c r="H89" s="111">
        <v>84</v>
      </c>
      <c r="I89" s="112" t="str">
        <f t="shared" si="6"/>
        <v/>
      </c>
      <c r="J89" s="111">
        <f t="shared" si="7"/>
        <v>-6</v>
      </c>
      <c r="K89" s="111">
        <f t="shared" si="8"/>
        <v>-60</v>
      </c>
      <c r="L89" s="111"/>
      <c r="M89" s="113">
        <f t="shared" si="9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32"/>
      <c r="B90" s="131"/>
      <c r="C90" s="131"/>
      <c r="D90" s="131"/>
      <c r="E90" s="131"/>
      <c r="F90" s="131"/>
      <c r="H90" s="111">
        <v>85</v>
      </c>
      <c r="I90" s="112" t="str">
        <f t="shared" si="6"/>
        <v/>
      </c>
      <c r="J90" s="111">
        <f t="shared" si="7"/>
        <v>-6</v>
      </c>
      <c r="K90" s="111">
        <f t="shared" si="8"/>
        <v>-60</v>
      </c>
      <c r="L90" s="111"/>
      <c r="M90" s="113">
        <f t="shared" si="9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32"/>
      <c r="B91" s="131"/>
      <c r="C91" s="131"/>
      <c r="D91" s="131"/>
      <c r="E91" s="131"/>
      <c r="F91" s="131"/>
      <c r="H91" s="111">
        <v>86</v>
      </c>
      <c r="I91" s="112" t="str">
        <f t="shared" si="6"/>
        <v/>
      </c>
      <c r="J91" s="111">
        <f t="shared" si="7"/>
        <v>-6</v>
      </c>
      <c r="K91" s="111">
        <f t="shared" si="8"/>
        <v>-60</v>
      </c>
      <c r="L91" s="111"/>
      <c r="M91" s="113">
        <f t="shared" si="9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32"/>
      <c r="B92" s="131"/>
      <c r="C92" s="131"/>
      <c r="D92" s="131"/>
      <c r="E92" s="131"/>
      <c r="F92" s="131"/>
      <c r="H92" s="111">
        <v>87</v>
      </c>
      <c r="I92" s="112" t="str">
        <f t="shared" si="6"/>
        <v/>
      </c>
      <c r="J92" s="111">
        <f t="shared" si="7"/>
        <v>-6</v>
      </c>
      <c r="K92" s="111">
        <f t="shared" si="8"/>
        <v>-60</v>
      </c>
      <c r="L92" s="111"/>
      <c r="M92" s="113">
        <f t="shared" si="9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32"/>
      <c r="B93" s="131"/>
      <c r="C93" s="131"/>
      <c r="D93" s="131"/>
      <c r="E93" s="131"/>
      <c r="F93" s="131"/>
      <c r="H93" s="111">
        <v>88</v>
      </c>
      <c r="I93" s="112" t="str">
        <f t="shared" si="6"/>
        <v/>
      </c>
      <c r="J93" s="111">
        <f t="shared" si="7"/>
        <v>-6</v>
      </c>
      <c r="K93" s="111">
        <f t="shared" si="8"/>
        <v>-60</v>
      </c>
      <c r="L93" s="111"/>
      <c r="M93" s="113">
        <f t="shared" si="9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32"/>
      <c r="B94" s="131"/>
      <c r="C94" s="131"/>
      <c r="D94" s="131"/>
      <c r="E94" s="131"/>
      <c r="F94" s="131"/>
      <c r="H94" s="111">
        <v>89</v>
      </c>
      <c r="I94" s="112" t="str">
        <f t="shared" si="6"/>
        <v/>
      </c>
      <c r="J94" s="111">
        <f t="shared" si="7"/>
        <v>-6</v>
      </c>
      <c r="K94" s="111">
        <f t="shared" si="8"/>
        <v>-60</v>
      </c>
      <c r="L94" s="111"/>
      <c r="M94" s="113">
        <f t="shared" si="9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32"/>
      <c r="B95" s="131"/>
      <c r="C95" s="131"/>
      <c r="D95" s="131"/>
      <c r="E95" s="131"/>
      <c r="F95" s="131"/>
      <c r="H95" s="111">
        <v>90</v>
      </c>
      <c r="I95" s="112" t="str">
        <f t="shared" si="6"/>
        <v/>
      </c>
      <c r="J95" s="111">
        <f t="shared" si="7"/>
        <v>-6</v>
      </c>
      <c r="K95" s="111">
        <f t="shared" si="8"/>
        <v>-60</v>
      </c>
      <c r="L95" s="111"/>
      <c r="M95" s="113">
        <f t="shared" si="9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32"/>
      <c r="B96" s="131"/>
      <c r="C96" s="131"/>
      <c r="D96" s="131"/>
      <c r="E96" s="131"/>
      <c r="F96" s="131"/>
      <c r="H96" s="111">
        <v>91</v>
      </c>
      <c r="I96" s="112" t="str">
        <f t="shared" si="6"/>
        <v/>
      </c>
      <c r="J96" s="111">
        <f t="shared" si="7"/>
        <v>-6</v>
      </c>
      <c r="K96" s="111">
        <f t="shared" si="8"/>
        <v>-60</v>
      </c>
      <c r="L96" s="111"/>
      <c r="M96" s="113">
        <f t="shared" si="9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32"/>
      <c r="B97" s="131"/>
      <c r="C97" s="131"/>
      <c r="D97" s="131"/>
      <c r="E97" s="131"/>
      <c r="F97" s="131"/>
      <c r="H97" s="111">
        <v>92</v>
      </c>
      <c r="I97" s="112" t="str">
        <f t="shared" si="6"/>
        <v/>
      </c>
      <c r="J97" s="111">
        <f t="shared" si="7"/>
        <v>-6</v>
      </c>
      <c r="K97" s="111">
        <f t="shared" si="8"/>
        <v>-60</v>
      </c>
      <c r="L97" s="111"/>
      <c r="M97" s="113">
        <f t="shared" si="9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32"/>
      <c r="B98" s="131"/>
      <c r="C98" s="131"/>
      <c r="D98" s="131"/>
      <c r="E98" s="131"/>
      <c r="F98" s="131"/>
      <c r="H98" s="111">
        <v>93</v>
      </c>
      <c r="I98" s="112" t="str">
        <f t="shared" si="6"/>
        <v/>
      </c>
      <c r="J98" s="111">
        <f t="shared" si="7"/>
        <v>-6</v>
      </c>
      <c r="K98" s="111">
        <f t="shared" si="8"/>
        <v>-60</v>
      </c>
      <c r="L98" s="111"/>
      <c r="M98" s="113">
        <f t="shared" si="9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32"/>
      <c r="B99" s="131"/>
      <c r="C99" s="131"/>
      <c r="D99" s="131"/>
      <c r="E99" s="131"/>
      <c r="F99" s="131"/>
      <c r="H99" s="111">
        <v>94</v>
      </c>
      <c r="I99" s="112" t="str">
        <f t="shared" si="6"/>
        <v/>
      </c>
      <c r="J99" s="111">
        <f t="shared" si="7"/>
        <v>-6</v>
      </c>
      <c r="K99" s="111">
        <f t="shared" si="8"/>
        <v>-60</v>
      </c>
      <c r="L99" s="111"/>
      <c r="M99" s="113">
        <f t="shared" si="9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32"/>
      <c r="B100" s="131"/>
      <c r="C100" s="131"/>
      <c r="D100" s="131"/>
      <c r="E100" s="131"/>
      <c r="F100" s="131"/>
      <c r="H100" s="111">
        <v>95</v>
      </c>
      <c r="I100" s="112" t="str">
        <f t="shared" si="6"/>
        <v/>
      </c>
      <c r="J100" s="111">
        <f t="shared" si="7"/>
        <v>-6</v>
      </c>
      <c r="K100" s="111">
        <f t="shared" si="8"/>
        <v>-60</v>
      </c>
      <c r="L100" s="111"/>
      <c r="M100" s="113">
        <f t="shared" si="9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32"/>
      <c r="B101" s="131"/>
      <c r="C101" s="131"/>
      <c r="D101" s="131"/>
      <c r="E101" s="131"/>
      <c r="F101" s="131"/>
      <c r="H101" s="111">
        <v>96</v>
      </c>
      <c r="I101" s="112" t="str">
        <f t="shared" si="6"/>
        <v/>
      </c>
      <c r="J101" s="111">
        <f t="shared" si="7"/>
        <v>-6</v>
      </c>
      <c r="K101" s="111">
        <f t="shared" si="8"/>
        <v>-60</v>
      </c>
      <c r="L101" s="111"/>
      <c r="M101" s="113">
        <f t="shared" si="9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32"/>
      <c r="B102" s="131"/>
      <c r="C102" s="131"/>
      <c r="D102" s="131"/>
      <c r="E102" s="131"/>
      <c r="F102" s="131"/>
      <c r="H102" s="111">
        <v>97</v>
      </c>
      <c r="I102" s="112" t="str">
        <f t="shared" si="6"/>
        <v/>
      </c>
      <c r="J102" s="111">
        <f t="shared" si="7"/>
        <v>-6</v>
      </c>
      <c r="K102" s="111">
        <f t="shared" si="8"/>
        <v>-60</v>
      </c>
      <c r="L102" s="111"/>
      <c r="M102" s="113">
        <f t="shared" si="9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32"/>
      <c r="B103" s="131"/>
      <c r="C103" s="131"/>
      <c r="D103" s="131"/>
      <c r="E103" s="131"/>
      <c r="F103" s="131"/>
      <c r="H103" s="111">
        <v>98</v>
      </c>
      <c r="I103" s="112" t="str">
        <f t="shared" si="6"/>
        <v/>
      </c>
      <c r="J103" s="111">
        <f t="shared" si="7"/>
        <v>-6</v>
      </c>
      <c r="K103" s="111">
        <f t="shared" si="8"/>
        <v>-60</v>
      </c>
      <c r="L103" s="111"/>
      <c r="M103" s="113">
        <f t="shared" si="9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32"/>
      <c r="B104" s="131"/>
      <c r="C104" s="131"/>
      <c r="D104" s="131"/>
      <c r="E104" s="131"/>
      <c r="F104" s="131"/>
      <c r="H104" s="111">
        <v>99</v>
      </c>
      <c r="I104" s="112" t="str">
        <f t="shared" si="6"/>
        <v/>
      </c>
      <c r="J104" s="111">
        <f t="shared" si="7"/>
        <v>-6</v>
      </c>
      <c r="K104" s="111">
        <f t="shared" si="8"/>
        <v>-60</v>
      </c>
      <c r="L104" s="111"/>
      <c r="M104" s="113">
        <f t="shared" si="9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32"/>
      <c r="B105" s="131"/>
      <c r="C105" s="131"/>
      <c r="D105" s="131"/>
      <c r="E105" s="131"/>
      <c r="F105" s="131"/>
      <c r="H105" s="111">
        <v>100</v>
      </c>
      <c r="I105" s="112" t="str">
        <f t="shared" si="6"/>
        <v/>
      </c>
      <c r="J105" s="111">
        <f t="shared" si="7"/>
        <v>-6</v>
      </c>
      <c r="K105" s="111">
        <f t="shared" si="8"/>
        <v>-60</v>
      </c>
      <c r="L105" s="111"/>
      <c r="M105" s="113">
        <f t="shared" si="9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32"/>
      <c r="B106" s="131"/>
      <c r="C106" s="131"/>
      <c r="D106" s="131"/>
      <c r="E106" s="131"/>
      <c r="F106" s="131"/>
      <c r="H106" s="111">
        <v>101</v>
      </c>
      <c r="I106" s="112" t="str">
        <f t="shared" si="6"/>
        <v/>
      </c>
      <c r="J106" s="111">
        <f t="shared" si="7"/>
        <v>-6</v>
      </c>
      <c r="K106" s="111">
        <f t="shared" si="8"/>
        <v>-60</v>
      </c>
      <c r="L106" s="111"/>
      <c r="M106" s="113">
        <f t="shared" si="9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32"/>
      <c r="B107" s="131"/>
      <c r="C107" s="131"/>
      <c r="D107" s="131"/>
      <c r="E107" s="131"/>
      <c r="F107" s="131"/>
      <c r="H107" s="111">
        <v>102</v>
      </c>
      <c r="I107" s="112" t="str">
        <f t="shared" si="6"/>
        <v/>
      </c>
      <c r="J107" s="111">
        <f t="shared" si="7"/>
        <v>-6</v>
      </c>
      <c r="K107" s="111">
        <f t="shared" si="8"/>
        <v>-60</v>
      </c>
      <c r="L107" s="111"/>
      <c r="M107" s="113">
        <f t="shared" si="9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32"/>
      <c r="B108" s="131"/>
      <c r="C108" s="131"/>
      <c r="D108" s="131"/>
      <c r="E108" s="131"/>
      <c r="F108" s="131"/>
      <c r="H108" s="111">
        <v>103</v>
      </c>
      <c r="I108" s="112" t="str">
        <f t="shared" si="6"/>
        <v/>
      </c>
      <c r="J108" s="111">
        <f t="shared" si="7"/>
        <v>-6</v>
      </c>
      <c r="K108" s="111">
        <f t="shared" si="8"/>
        <v>-60</v>
      </c>
      <c r="L108" s="111"/>
      <c r="M108" s="113">
        <f t="shared" si="9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32"/>
      <c r="B109" s="131"/>
      <c r="C109" s="131"/>
      <c r="D109" s="131"/>
      <c r="E109" s="131"/>
      <c r="F109" s="131"/>
      <c r="H109" s="111">
        <v>104</v>
      </c>
      <c r="I109" s="112" t="str">
        <f t="shared" si="6"/>
        <v/>
      </c>
      <c r="J109" s="111">
        <f t="shared" si="7"/>
        <v>-6</v>
      </c>
      <c r="K109" s="111">
        <f t="shared" si="8"/>
        <v>-60</v>
      </c>
      <c r="L109" s="111"/>
      <c r="M109" s="113">
        <f t="shared" si="9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32"/>
      <c r="B110" s="131"/>
      <c r="C110" s="131"/>
      <c r="D110" s="131"/>
      <c r="E110" s="131"/>
      <c r="F110" s="131"/>
      <c r="H110" s="111">
        <v>105</v>
      </c>
      <c r="I110" s="112" t="str">
        <f t="shared" si="6"/>
        <v/>
      </c>
      <c r="J110" s="111">
        <f t="shared" si="7"/>
        <v>-6</v>
      </c>
      <c r="K110" s="111">
        <f t="shared" si="8"/>
        <v>-60</v>
      </c>
      <c r="L110" s="111"/>
      <c r="M110" s="113">
        <f t="shared" si="9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32"/>
      <c r="B111" s="131"/>
      <c r="C111" s="131"/>
      <c r="D111" s="131"/>
      <c r="E111" s="131"/>
      <c r="F111" s="131"/>
      <c r="H111" s="111">
        <v>106</v>
      </c>
      <c r="I111" s="112" t="str">
        <f t="shared" si="6"/>
        <v/>
      </c>
      <c r="J111" s="111">
        <f t="shared" si="7"/>
        <v>-6</v>
      </c>
      <c r="K111" s="111">
        <f t="shared" si="8"/>
        <v>-60</v>
      </c>
      <c r="L111" s="111"/>
      <c r="M111" s="113">
        <f t="shared" si="9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32"/>
      <c r="B112" s="131"/>
      <c r="C112" s="131"/>
      <c r="D112" s="131"/>
      <c r="E112" s="131"/>
      <c r="F112" s="131"/>
      <c r="H112" s="111">
        <v>107</v>
      </c>
      <c r="I112" s="112" t="str">
        <f t="shared" si="6"/>
        <v/>
      </c>
      <c r="J112" s="111">
        <f t="shared" si="7"/>
        <v>-6</v>
      </c>
      <c r="K112" s="111">
        <f t="shared" si="8"/>
        <v>-60</v>
      </c>
      <c r="L112" s="111"/>
      <c r="M112" s="113">
        <f t="shared" si="9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32"/>
      <c r="B113" s="131"/>
      <c r="C113" s="131"/>
      <c r="D113" s="131"/>
      <c r="E113" s="131"/>
      <c r="F113" s="131"/>
      <c r="H113" s="111">
        <v>108</v>
      </c>
      <c r="I113" s="112" t="str">
        <f t="shared" si="6"/>
        <v/>
      </c>
      <c r="J113" s="111">
        <f t="shared" si="7"/>
        <v>-6</v>
      </c>
      <c r="K113" s="111">
        <f t="shared" si="8"/>
        <v>-60</v>
      </c>
      <c r="L113" s="111"/>
      <c r="M113" s="113">
        <f t="shared" si="9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32"/>
      <c r="B114" s="131"/>
      <c r="C114" s="131"/>
      <c r="D114" s="131"/>
      <c r="E114" s="131"/>
      <c r="F114" s="131"/>
      <c r="H114" s="111">
        <v>109</v>
      </c>
      <c r="I114" s="112" t="str">
        <f t="shared" si="6"/>
        <v/>
      </c>
      <c r="J114" s="111">
        <f t="shared" si="7"/>
        <v>-6</v>
      </c>
      <c r="K114" s="111">
        <f t="shared" si="8"/>
        <v>-60</v>
      </c>
      <c r="L114" s="111"/>
      <c r="M114" s="113">
        <f t="shared" si="9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32"/>
      <c r="B115" s="131"/>
      <c r="C115" s="131"/>
      <c r="D115" s="131"/>
      <c r="E115" s="131"/>
      <c r="F115" s="131"/>
      <c r="H115" s="111">
        <v>110</v>
      </c>
      <c r="I115" s="112" t="str">
        <f t="shared" si="6"/>
        <v/>
      </c>
      <c r="J115" s="111">
        <f t="shared" si="7"/>
        <v>-6</v>
      </c>
      <c r="K115" s="111">
        <f t="shared" si="8"/>
        <v>-60</v>
      </c>
      <c r="L115" s="111"/>
      <c r="M115" s="113">
        <f t="shared" si="9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32"/>
      <c r="B116" s="131"/>
      <c r="C116" s="131"/>
      <c r="D116" s="131"/>
      <c r="E116" s="131"/>
      <c r="F116" s="131"/>
      <c r="H116" s="111">
        <v>111</v>
      </c>
      <c r="I116" s="112" t="str">
        <f t="shared" si="6"/>
        <v/>
      </c>
      <c r="J116" s="111">
        <f t="shared" si="7"/>
        <v>-6</v>
      </c>
      <c r="K116" s="111">
        <f t="shared" si="8"/>
        <v>-60</v>
      </c>
      <c r="L116" s="111"/>
      <c r="M116" s="113">
        <f t="shared" si="9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32"/>
      <c r="B117" s="131"/>
      <c r="C117" s="131"/>
      <c r="D117" s="131"/>
      <c r="E117" s="131"/>
      <c r="F117" s="131"/>
      <c r="H117" s="111">
        <v>112</v>
      </c>
      <c r="I117" s="112" t="str">
        <f t="shared" si="6"/>
        <v/>
      </c>
      <c r="J117" s="111">
        <f t="shared" si="7"/>
        <v>-6</v>
      </c>
      <c r="K117" s="111">
        <f t="shared" si="8"/>
        <v>-60</v>
      </c>
      <c r="L117" s="111"/>
      <c r="M117" s="113">
        <f t="shared" si="9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32"/>
      <c r="B118" s="131"/>
      <c r="C118" s="131"/>
      <c r="D118" s="131"/>
      <c r="E118" s="131"/>
      <c r="F118" s="131"/>
      <c r="H118" s="111">
        <v>113</v>
      </c>
      <c r="I118" s="112" t="str">
        <f t="shared" si="6"/>
        <v/>
      </c>
      <c r="J118" s="111">
        <f t="shared" si="7"/>
        <v>-6</v>
      </c>
      <c r="K118" s="111">
        <f t="shared" si="8"/>
        <v>-60</v>
      </c>
      <c r="L118" s="111"/>
      <c r="M118" s="113">
        <f t="shared" si="9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32"/>
      <c r="B119" s="131"/>
      <c r="C119" s="131"/>
      <c r="D119" s="131"/>
      <c r="E119" s="131"/>
      <c r="F119" s="131"/>
      <c r="H119" s="111">
        <v>114</v>
      </c>
      <c r="I119" s="112" t="str">
        <f t="shared" si="6"/>
        <v/>
      </c>
      <c r="J119" s="111">
        <f t="shared" si="7"/>
        <v>-6</v>
      </c>
      <c r="K119" s="111">
        <f t="shared" si="8"/>
        <v>-60</v>
      </c>
      <c r="L119" s="111"/>
      <c r="M119" s="113">
        <f t="shared" si="9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32"/>
      <c r="B120" s="131"/>
      <c r="C120" s="131"/>
      <c r="D120" s="131"/>
      <c r="E120" s="131"/>
      <c r="F120" s="131"/>
      <c r="H120" s="111">
        <v>115</v>
      </c>
      <c r="I120" s="112" t="str">
        <f t="shared" si="6"/>
        <v/>
      </c>
      <c r="J120" s="111">
        <f t="shared" si="7"/>
        <v>-6</v>
      </c>
      <c r="K120" s="111">
        <f t="shared" si="8"/>
        <v>-60</v>
      </c>
      <c r="L120" s="111"/>
      <c r="M120" s="113">
        <f t="shared" si="9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32"/>
      <c r="B121" s="131"/>
      <c r="C121" s="131"/>
      <c r="D121" s="131"/>
      <c r="E121" s="131"/>
      <c r="F121" s="131"/>
      <c r="H121" s="111">
        <v>116</v>
      </c>
      <c r="I121" s="112" t="str">
        <f t="shared" si="6"/>
        <v/>
      </c>
      <c r="J121" s="111">
        <f t="shared" si="7"/>
        <v>-6</v>
      </c>
      <c r="K121" s="111">
        <f t="shared" si="8"/>
        <v>-60</v>
      </c>
      <c r="L121" s="111"/>
      <c r="M121" s="113">
        <f t="shared" si="9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32"/>
      <c r="B122" s="131"/>
      <c r="C122" s="131"/>
      <c r="D122" s="131"/>
      <c r="E122" s="131"/>
      <c r="F122" s="131"/>
      <c r="H122" s="111">
        <v>117</v>
      </c>
      <c r="I122" s="112" t="str">
        <f t="shared" si="6"/>
        <v/>
      </c>
      <c r="J122" s="111">
        <f t="shared" si="7"/>
        <v>-6</v>
      </c>
      <c r="K122" s="111">
        <f t="shared" si="8"/>
        <v>-60</v>
      </c>
      <c r="L122" s="111"/>
      <c r="M122" s="113">
        <f t="shared" si="9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32"/>
      <c r="B123" s="131"/>
      <c r="C123" s="131"/>
      <c r="D123" s="131"/>
      <c r="E123" s="131"/>
      <c r="F123" s="131"/>
      <c r="H123" s="111">
        <v>118</v>
      </c>
      <c r="I123" s="112" t="str">
        <f t="shared" si="6"/>
        <v/>
      </c>
      <c r="J123" s="111">
        <f t="shared" si="7"/>
        <v>-6</v>
      </c>
      <c r="K123" s="111">
        <f t="shared" si="8"/>
        <v>-60</v>
      </c>
      <c r="L123" s="111"/>
      <c r="M123" s="113">
        <f t="shared" si="9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32"/>
      <c r="B124" s="131"/>
      <c r="C124" s="131"/>
      <c r="D124" s="131"/>
      <c r="E124" s="131"/>
      <c r="F124" s="131"/>
      <c r="H124" s="111">
        <v>119</v>
      </c>
      <c r="I124" s="112" t="str">
        <f t="shared" si="6"/>
        <v/>
      </c>
      <c r="J124" s="111">
        <f t="shared" si="7"/>
        <v>-6</v>
      </c>
      <c r="K124" s="111">
        <f t="shared" si="8"/>
        <v>-60</v>
      </c>
      <c r="L124" s="111"/>
      <c r="M124" s="113">
        <f t="shared" si="9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32"/>
      <c r="B125" s="131"/>
      <c r="C125" s="131"/>
      <c r="D125" s="131"/>
      <c r="E125" s="131"/>
      <c r="F125" s="131"/>
      <c r="H125" s="111">
        <v>120</v>
      </c>
      <c r="I125" s="112" t="str">
        <f t="shared" si="6"/>
        <v/>
      </c>
      <c r="J125" s="111">
        <f t="shared" si="7"/>
        <v>-6</v>
      </c>
      <c r="K125" s="111">
        <f t="shared" si="8"/>
        <v>-60</v>
      </c>
      <c r="L125" s="111"/>
      <c r="M125" s="113">
        <f t="shared" si="9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32"/>
      <c r="B126" s="131"/>
      <c r="C126" s="131"/>
      <c r="D126" s="131"/>
      <c r="E126" s="131"/>
      <c r="F126" s="131"/>
      <c r="H126" s="111">
        <v>121</v>
      </c>
      <c r="I126" s="112" t="str">
        <f t="shared" si="6"/>
        <v/>
      </c>
      <c r="J126" s="111">
        <f t="shared" si="7"/>
        <v>-6</v>
      </c>
      <c r="K126" s="111">
        <f t="shared" si="8"/>
        <v>-60</v>
      </c>
      <c r="L126" s="111"/>
      <c r="M126" s="113">
        <f t="shared" si="9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32"/>
      <c r="B127" s="131"/>
      <c r="C127" s="131"/>
      <c r="D127" s="131"/>
      <c r="E127" s="131"/>
      <c r="F127" s="131"/>
      <c r="H127" s="111">
        <v>122</v>
      </c>
      <c r="I127" s="112" t="str">
        <f t="shared" si="6"/>
        <v/>
      </c>
      <c r="J127" s="111">
        <f t="shared" si="7"/>
        <v>-6</v>
      </c>
      <c r="K127" s="111">
        <f t="shared" si="8"/>
        <v>-60</v>
      </c>
      <c r="L127" s="111"/>
      <c r="M127" s="113">
        <f t="shared" si="9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32"/>
      <c r="B128" s="131"/>
      <c r="C128" s="131"/>
      <c r="D128" s="131"/>
      <c r="E128" s="131"/>
      <c r="F128" s="131"/>
      <c r="H128" s="111">
        <v>123</v>
      </c>
      <c r="I128" s="112" t="str">
        <f t="shared" si="6"/>
        <v/>
      </c>
      <c r="J128" s="111">
        <f t="shared" si="7"/>
        <v>-6</v>
      </c>
      <c r="K128" s="111">
        <f t="shared" si="8"/>
        <v>-60</v>
      </c>
      <c r="L128" s="111"/>
      <c r="M128" s="113">
        <f t="shared" si="9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32"/>
      <c r="B129" s="131"/>
      <c r="C129" s="131"/>
      <c r="D129" s="131"/>
      <c r="E129" s="131"/>
      <c r="F129" s="131"/>
      <c r="H129" s="111">
        <v>124</v>
      </c>
      <c r="I129" s="112" t="str">
        <f t="shared" si="6"/>
        <v/>
      </c>
      <c r="J129" s="111">
        <f t="shared" si="7"/>
        <v>-6</v>
      </c>
      <c r="K129" s="111">
        <f t="shared" si="8"/>
        <v>-60</v>
      </c>
      <c r="L129" s="111"/>
      <c r="M129" s="113">
        <f t="shared" si="9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32"/>
      <c r="B130" s="131"/>
      <c r="C130" s="131"/>
      <c r="D130" s="131"/>
      <c r="E130" s="131"/>
      <c r="F130" s="131"/>
      <c r="H130" s="111">
        <v>125</v>
      </c>
      <c r="I130" s="112" t="str">
        <f t="shared" si="6"/>
        <v/>
      </c>
      <c r="J130" s="111">
        <f t="shared" si="7"/>
        <v>-6</v>
      </c>
      <c r="K130" s="111">
        <f t="shared" si="8"/>
        <v>-60</v>
      </c>
      <c r="L130" s="111"/>
      <c r="M130" s="113">
        <f t="shared" si="9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32"/>
      <c r="B131" s="131"/>
      <c r="C131" s="131"/>
      <c r="D131" s="131"/>
      <c r="E131" s="131"/>
      <c r="F131" s="131"/>
      <c r="H131" s="111">
        <v>126</v>
      </c>
      <c r="I131" s="112" t="str">
        <f t="shared" si="6"/>
        <v/>
      </c>
      <c r="J131" s="111">
        <f t="shared" si="7"/>
        <v>-6</v>
      </c>
      <c r="K131" s="111">
        <f t="shared" si="8"/>
        <v>-60</v>
      </c>
      <c r="L131" s="111"/>
      <c r="M131" s="113">
        <f t="shared" si="9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32"/>
      <c r="B132" s="131"/>
      <c r="C132" s="131"/>
      <c r="D132" s="131"/>
      <c r="E132" s="131"/>
      <c r="F132" s="131"/>
      <c r="H132" s="111">
        <v>127</v>
      </c>
      <c r="I132" s="112" t="str">
        <f t="shared" si="6"/>
        <v/>
      </c>
      <c r="J132" s="111">
        <f t="shared" si="7"/>
        <v>-6</v>
      </c>
      <c r="K132" s="111">
        <f t="shared" si="8"/>
        <v>-60</v>
      </c>
      <c r="L132" s="111"/>
      <c r="M132" s="113">
        <f t="shared" si="9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32"/>
      <c r="B133" s="131"/>
      <c r="C133" s="131"/>
      <c r="D133" s="131"/>
      <c r="E133" s="131"/>
      <c r="F133" s="131"/>
      <c r="H133" s="111">
        <v>128</v>
      </c>
      <c r="I133" s="112" t="str">
        <f t="shared" si="6"/>
        <v/>
      </c>
      <c r="J133" s="111">
        <f t="shared" si="7"/>
        <v>-6</v>
      </c>
      <c r="K133" s="111">
        <f t="shared" si="8"/>
        <v>-60</v>
      </c>
      <c r="L133" s="111"/>
      <c r="M133" s="113">
        <f t="shared" si="9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32"/>
      <c r="B134" s="131"/>
      <c r="C134" s="131"/>
      <c r="D134" s="131"/>
      <c r="E134" s="131"/>
      <c r="F134" s="131"/>
      <c r="H134" s="111">
        <v>129</v>
      </c>
      <c r="I134" s="112" t="str">
        <f t="shared" ref="I134:I197" si="10">IF(H134&lt;$H$2+1,($I$2-($I$2-1)*(LOG(H134)/LOG($H$2))),"")</f>
        <v/>
      </c>
      <c r="J134" s="111">
        <f t="shared" ref="J134:J197" si="11">INT(LOG($H$2,2))-ROUNDUP(LOG(H134,2),0)+IF(OR($H$2=1,$H$2=2,$H$2=4,$H$2=8,$H$2=16,$H$2=32,$H$2=64,$H$2=128,$H$2=256),0,1)</f>
        <v>-7</v>
      </c>
      <c r="K134" s="111">
        <f t="shared" ref="K134:K197" si="12">J134*$J$2</f>
        <v>-70</v>
      </c>
      <c r="L134" s="111"/>
      <c r="M134" s="113">
        <f t="shared" ref="M134:M197" si="13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32"/>
      <c r="B135" s="131"/>
      <c r="C135" s="131"/>
      <c r="D135" s="131"/>
      <c r="E135" s="131"/>
      <c r="F135" s="131"/>
      <c r="H135" s="111">
        <v>130</v>
      </c>
      <c r="I135" s="112" t="str">
        <f t="shared" si="10"/>
        <v/>
      </c>
      <c r="J135" s="111">
        <f t="shared" si="11"/>
        <v>-7</v>
      </c>
      <c r="K135" s="111">
        <f t="shared" si="12"/>
        <v>-70</v>
      </c>
      <c r="L135" s="111"/>
      <c r="M135" s="113">
        <f t="shared" si="13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32"/>
      <c r="B136" s="131"/>
      <c r="C136" s="131"/>
      <c r="D136" s="131"/>
      <c r="E136" s="131"/>
      <c r="F136" s="131"/>
      <c r="H136" s="111">
        <v>131</v>
      </c>
      <c r="I136" s="112" t="str">
        <f t="shared" si="10"/>
        <v/>
      </c>
      <c r="J136" s="111">
        <f t="shared" si="11"/>
        <v>-7</v>
      </c>
      <c r="K136" s="111">
        <f t="shared" si="12"/>
        <v>-70</v>
      </c>
      <c r="L136" s="111"/>
      <c r="M136" s="113">
        <f t="shared" si="13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32"/>
      <c r="B137" s="131"/>
      <c r="C137" s="131"/>
      <c r="D137" s="131"/>
      <c r="E137" s="131"/>
      <c r="F137" s="131"/>
      <c r="H137" s="111">
        <v>132</v>
      </c>
      <c r="I137" s="112" t="str">
        <f t="shared" si="10"/>
        <v/>
      </c>
      <c r="J137" s="111">
        <f t="shared" si="11"/>
        <v>-7</v>
      </c>
      <c r="K137" s="111">
        <f t="shared" si="12"/>
        <v>-70</v>
      </c>
      <c r="L137" s="111"/>
      <c r="M137" s="113">
        <f t="shared" si="13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32"/>
      <c r="B138" s="131"/>
      <c r="C138" s="131"/>
      <c r="D138" s="131"/>
      <c r="E138" s="131"/>
      <c r="F138" s="131"/>
      <c r="H138" s="111">
        <v>133</v>
      </c>
      <c r="I138" s="112" t="str">
        <f t="shared" si="10"/>
        <v/>
      </c>
      <c r="J138" s="111">
        <f t="shared" si="11"/>
        <v>-7</v>
      </c>
      <c r="K138" s="111">
        <f t="shared" si="12"/>
        <v>-70</v>
      </c>
      <c r="L138" s="111"/>
      <c r="M138" s="113">
        <f t="shared" si="13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32"/>
      <c r="B139" s="131"/>
      <c r="C139" s="131"/>
      <c r="D139" s="131"/>
      <c r="E139" s="131"/>
      <c r="F139" s="131"/>
      <c r="H139" s="111">
        <v>134</v>
      </c>
      <c r="I139" s="112" t="str">
        <f t="shared" si="10"/>
        <v/>
      </c>
      <c r="J139" s="111">
        <f t="shared" si="11"/>
        <v>-7</v>
      </c>
      <c r="K139" s="111">
        <f t="shared" si="12"/>
        <v>-70</v>
      </c>
      <c r="L139" s="111"/>
      <c r="M139" s="113">
        <f t="shared" si="13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32"/>
      <c r="B140" s="131"/>
      <c r="C140" s="131"/>
      <c r="D140" s="131"/>
      <c r="E140" s="131"/>
      <c r="F140" s="131"/>
      <c r="H140" s="111">
        <v>135</v>
      </c>
      <c r="I140" s="112" t="str">
        <f t="shared" si="10"/>
        <v/>
      </c>
      <c r="J140" s="111">
        <f t="shared" si="11"/>
        <v>-7</v>
      </c>
      <c r="K140" s="111">
        <f t="shared" si="12"/>
        <v>-70</v>
      </c>
      <c r="L140" s="111"/>
      <c r="M140" s="113">
        <f t="shared" si="13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s="96" customFormat="1">
      <c r="A141" s="132"/>
      <c r="B141" s="131"/>
      <c r="C141" s="131"/>
      <c r="D141" s="131"/>
      <c r="E141" s="131"/>
      <c r="F141" s="131"/>
      <c r="H141" s="111">
        <v>136</v>
      </c>
      <c r="I141" s="112" t="str">
        <f t="shared" si="10"/>
        <v/>
      </c>
      <c r="J141" s="111">
        <f t="shared" si="11"/>
        <v>-7</v>
      </c>
      <c r="K141" s="111">
        <f t="shared" si="12"/>
        <v>-70</v>
      </c>
      <c r="L141" s="111"/>
      <c r="M141" s="113">
        <f t="shared" si="13"/>
        <v>0</v>
      </c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s="96" customFormat="1">
      <c r="A142" s="132"/>
      <c r="B142" s="131"/>
      <c r="C142" s="131"/>
      <c r="D142" s="131"/>
      <c r="E142" s="131"/>
      <c r="F142" s="131"/>
      <c r="H142" s="111">
        <v>137</v>
      </c>
      <c r="I142" s="112" t="str">
        <f t="shared" si="10"/>
        <v/>
      </c>
      <c r="J142" s="111">
        <f t="shared" si="11"/>
        <v>-7</v>
      </c>
      <c r="K142" s="111">
        <f t="shared" si="12"/>
        <v>-70</v>
      </c>
      <c r="L142" s="111"/>
      <c r="M142" s="113">
        <f t="shared" si="13"/>
        <v>0</v>
      </c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s="96" customFormat="1">
      <c r="A143" s="132"/>
      <c r="B143" s="131"/>
      <c r="C143" s="131"/>
      <c r="D143" s="131"/>
      <c r="E143" s="131"/>
      <c r="F143" s="131"/>
      <c r="H143" s="111">
        <v>138</v>
      </c>
      <c r="I143" s="112" t="str">
        <f t="shared" si="10"/>
        <v/>
      </c>
      <c r="J143" s="111">
        <f t="shared" si="11"/>
        <v>-7</v>
      </c>
      <c r="K143" s="111">
        <f t="shared" si="12"/>
        <v>-70</v>
      </c>
      <c r="L143" s="111"/>
      <c r="M143" s="113">
        <f t="shared" si="13"/>
        <v>0</v>
      </c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s="96" customFormat="1">
      <c r="A144" s="132"/>
      <c r="B144" s="131"/>
      <c r="C144" s="131"/>
      <c r="D144" s="131"/>
      <c r="E144" s="131"/>
      <c r="F144" s="131"/>
      <c r="H144" s="111">
        <v>139</v>
      </c>
      <c r="I144" s="112" t="str">
        <f t="shared" si="10"/>
        <v/>
      </c>
      <c r="J144" s="111">
        <f t="shared" si="11"/>
        <v>-7</v>
      </c>
      <c r="K144" s="111">
        <f t="shared" si="12"/>
        <v>-70</v>
      </c>
      <c r="L144" s="111"/>
      <c r="M144" s="113">
        <f t="shared" si="13"/>
        <v>0</v>
      </c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s="96" customFormat="1">
      <c r="A145" s="132"/>
      <c r="B145" s="131"/>
      <c r="C145" s="131"/>
      <c r="D145" s="131"/>
      <c r="E145" s="131"/>
      <c r="F145" s="131"/>
      <c r="H145" s="111">
        <v>140</v>
      </c>
      <c r="I145" s="112" t="str">
        <f t="shared" si="10"/>
        <v/>
      </c>
      <c r="J145" s="111">
        <f t="shared" si="11"/>
        <v>-7</v>
      </c>
      <c r="K145" s="111">
        <f t="shared" si="12"/>
        <v>-70</v>
      </c>
      <c r="L145" s="111"/>
      <c r="M145" s="113">
        <f t="shared" si="13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2"/>
      <c r="B146" s="131"/>
      <c r="C146" s="131"/>
      <c r="D146" s="131"/>
      <c r="E146" s="131"/>
      <c r="F146" s="131"/>
      <c r="H146" s="111">
        <v>141</v>
      </c>
      <c r="I146" s="112" t="str">
        <f t="shared" si="10"/>
        <v/>
      </c>
      <c r="J146" s="111">
        <f t="shared" si="11"/>
        <v>-7</v>
      </c>
      <c r="K146" s="111">
        <f t="shared" si="12"/>
        <v>-70</v>
      </c>
      <c r="L146" s="111"/>
      <c r="M146" s="113">
        <f t="shared" si="13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2"/>
      <c r="B147" s="131"/>
      <c r="C147" s="131"/>
      <c r="D147" s="131"/>
      <c r="E147" s="131"/>
      <c r="F147" s="131"/>
      <c r="H147" s="111">
        <v>142</v>
      </c>
      <c r="I147" s="112" t="str">
        <f t="shared" si="10"/>
        <v/>
      </c>
      <c r="J147" s="111">
        <f t="shared" si="11"/>
        <v>-7</v>
      </c>
      <c r="K147" s="111">
        <f t="shared" si="12"/>
        <v>-70</v>
      </c>
      <c r="L147" s="111"/>
      <c r="M147" s="113">
        <f t="shared" si="13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2"/>
      <c r="B148" s="131"/>
      <c r="C148" s="131"/>
      <c r="D148" s="131"/>
      <c r="E148" s="131"/>
      <c r="F148" s="131"/>
      <c r="H148" s="111">
        <v>143</v>
      </c>
      <c r="I148" s="112" t="str">
        <f t="shared" si="10"/>
        <v/>
      </c>
      <c r="J148" s="111">
        <f t="shared" si="11"/>
        <v>-7</v>
      </c>
      <c r="K148" s="111">
        <f t="shared" si="12"/>
        <v>-70</v>
      </c>
      <c r="L148" s="111"/>
      <c r="M148" s="113">
        <f t="shared" si="13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2"/>
      <c r="B149" s="131"/>
      <c r="C149" s="131"/>
      <c r="D149" s="131"/>
      <c r="E149" s="131"/>
      <c r="F149" s="131"/>
      <c r="H149" s="111">
        <v>144</v>
      </c>
      <c r="I149" s="112" t="str">
        <f t="shared" si="10"/>
        <v/>
      </c>
      <c r="J149" s="111">
        <f t="shared" si="11"/>
        <v>-7</v>
      </c>
      <c r="K149" s="111">
        <f t="shared" si="12"/>
        <v>-70</v>
      </c>
      <c r="L149" s="111"/>
      <c r="M149" s="113">
        <f t="shared" si="13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2"/>
      <c r="B150" s="131"/>
      <c r="C150" s="131"/>
      <c r="D150" s="131"/>
      <c r="E150" s="131"/>
      <c r="F150" s="131"/>
      <c r="H150" s="111">
        <v>145</v>
      </c>
      <c r="I150" s="112" t="str">
        <f t="shared" si="10"/>
        <v/>
      </c>
      <c r="J150" s="111">
        <f t="shared" si="11"/>
        <v>-7</v>
      </c>
      <c r="K150" s="111">
        <f t="shared" si="12"/>
        <v>-70</v>
      </c>
      <c r="L150" s="111"/>
      <c r="M150" s="113">
        <f t="shared" si="13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2"/>
      <c r="B151" s="131"/>
      <c r="C151" s="131"/>
      <c r="D151" s="131"/>
      <c r="E151" s="131"/>
      <c r="F151" s="131"/>
      <c r="H151" s="111">
        <v>146</v>
      </c>
      <c r="I151" s="112" t="str">
        <f t="shared" si="10"/>
        <v/>
      </c>
      <c r="J151" s="111">
        <f t="shared" si="11"/>
        <v>-7</v>
      </c>
      <c r="K151" s="111">
        <f t="shared" si="12"/>
        <v>-70</v>
      </c>
      <c r="L151" s="111"/>
      <c r="M151" s="113">
        <f t="shared" si="13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2"/>
      <c r="B152" s="131"/>
      <c r="C152" s="131"/>
      <c r="D152" s="131"/>
      <c r="E152" s="131"/>
      <c r="F152" s="131"/>
      <c r="H152" s="111">
        <v>147</v>
      </c>
      <c r="I152" s="112" t="str">
        <f t="shared" si="10"/>
        <v/>
      </c>
      <c r="J152" s="111">
        <f t="shared" si="11"/>
        <v>-7</v>
      </c>
      <c r="K152" s="111">
        <f t="shared" si="12"/>
        <v>-70</v>
      </c>
      <c r="L152" s="111"/>
      <c r="M152" s="113">
        <f t="shared" si="13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2"/>
      <c r="B153" s="131"/>
      <c r="C153" s="131"/>
      <c r="D153" s="131"/>
      <c r="E153" s="131"/>
      <c r="F153" s="131"/>
      <c r="H153" s="111">
        <v>148</v>
      </c>
      <c r="I153" s="112" t="str">
        <f t="shared" si="10"/>
        <v/>
      </c>
      <c r="J153" s="111">
        <f t="shared" si="11"/>
        <v>-7</v>
      </c>
      <c r="K153" s="111">
        <f t="shared" si="12"/>
        <v>-70</v>
      </c>
      <c r="L153" s="111"/>
      <c r="M153" s="113">
        <f t="shared" si="13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2"/>
      <c r="B154" s="131"/>
      <c r="C154" s="131"/>
      <c r="D154" s="131"/>
      <c r="E154" s="131"/>
      <c r="F154" s="131"/>
      <c r="H154" s="111">
        <v>149</v>
      </c>
      <c r="I154" s="112" t="str">
        <f t="shared" si="10"/>
        <v/>
      </c>
      <c r="J154" s="111">
        <f t="shared" si="11"/>
        <v>-7</v>
      </c>
      <c r="K154" s="111">
        <f t="shared" si="12"/>
        <v>-70</v>
      </c>
      <c r="L154" s="111"/>
      <c r="M154" s="113">
        <f t="shared" si="13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1">
        <v>150</v>
      </c>
      <c r="I155" s="112" t="str">
        <f t="shared" si="10"/>
        <v/>
      </c>
      <c r="J155" s="111">
        <f t="shared" si="11"/>
        <v>-7</v>
      </c>
      <c r="K155" s="111">
        <f t="shared" si="12"/>
        <v>-70</v>
      </c>
      <c r="L155" s="111"/>
      <c r="M155" s="113">
        <f t="shared" si="13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0"/>
        <v/>
      </c>
      <c r="J156" s="111">
        <f t="shared" si="11"/>
        <v>-7</v>
      </c>
      <c r="K156" s="111">
        <f t="shared" si="12"/>
        <v>-70</v>
      </c>
      <c r="L156" s="111"/>
      <c r="M156" s="113">
        <f t="shared" si="13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1">
        <v>152</v>
      </c>
      <c r="I157" s="112" t="str">
        <f t="shared" si="10"/>
        <v/>
      </c>
      <c r="J157" s="111">
        <f t="shared" si="11"/>
        <v>-7</v>
      </c>
      <c r="K157" s="111">
        <f t="shared" si="12"/>
        <v>-70</v>
      </c>
      <c r="L157" s="111"/>
      <c r="M157" s="113">
        <f t="shared" si="13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0"/>
        <v/>
      </c>
      <c r="J158" s="111">
        <f t="shared" si="11"/>
        <v>-7</v>
      </c>
      <c r="K158" s="111">
        <f t="shared" si="12"/>
        <v>-70</v>
      </c>
      <c r="L158" s="111"/>
      <c r="M158" s="113">
        <f t="shared" si="13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1">
        <v>154</v>
      </c>
      <c r="I159" s="112" t="str">
        <f t="shared" si="10"/>
        <v/>
      </c>
      <c r="J159" s="111">
        <f t="shared" si="11"/>
        <v>-7</v>
      </c>
      <c r="K159" s="111">
        <f t="shared" si="12"/>
        <v>-70</v>
      </c>
      <c r="L159" s="111"/>
      <c r="M159" s="113">
        <f t="shared" si="13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0"/>
        <v/>
      </c>
      <c r="J160" s="111">
        <f t="shared" si="11"/>
        <v>-7</v>
      </c>
      <c r="K160" s="111">
        <f t="shared" si="12"/>
        <v>-70</v>
      </c>
      <c r="L160" s="111"/>
      <c r="M160" s="113">
        <f t="shared" si="13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1">
        <v>156</v>
      </c>
      <c r="I161" s="112" t="str">
        <f t="shared" si="10"/>
        <v/>
      </c>
      <c r="J161" s="111">
        <f t="shared" si="11"/>
        <v>-7</v>
      </c>
      <c r="K161" s="111">
        <f t="shared" si="12"/>
        <v>-70</v>
      </c>
      <c r="L161" s="111"/>
      <c r="M161" s="113">
        <f t="shared" si="13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0"/>
        <v/>
      </c>
      <c r="J162" s="111">
        <f t="shared" si="11"/>
        <v>-7</v>
      </c>
      <c r="K162" s="111">
        <f t="shared" si="12"/>
        <v>-70</v>
      </c>
      <c r="L162" s="111"/>
      <c r="M162" s="113">
        <f t="shared" si="13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1">
        <v>158</v>
      </c>
      <c r="I163" s="112" t="str">
        <f t="shared" si="10"/>
        <v/>
      </c>
      <c r="J163" s="111">
        <f t="shared" si="11"/>
        <v>-7</v>
      </c>
      <c r="K163" s="111">
        <f t="shared" si="12"/>
        <v>-70</v>
      </c>
      <c r="L163" s="111"/>
      <c r="M163" s="113">
        <f t="shared" si="13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0"/>
        <v/>
      </c>
      <c r="J164" s="111">
        <f t="shared" si="11"/>
        <v>-7</v>
      </c>
      <c r="K164" s="111">
        <f t="shared" si="12"/>
        <v>-70</v>
      </c>
      <c r="L164" s="111"/>
      <c r="M164" s="113">
        <f t="shared" si="13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1">
        <v>160</v>
      </c>
      <c r="I165" s="112" t="str">
        <f t="shared" si="10"/>
        <v/>
      </c>
      <c r="J165" s="111">
        <f t="shared" si="11"/>
        <v>-7</v>
      </c>
      <c r="K165" s="111">
        <f t="shared" si="12"/>
        <v>-70</v>
      </c>
      <c r="L165" s="111"/>
      <c r="M165" s="113">
        <f t="shared" si="13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0"/>
        <v/>
      </c>
      <c r="J166" s="111">
        <f t="shared" si="11"/>
        <v>-7</v>
      </c>
      <c r="K166" s="111">
        <f t="shared" si="12"/>
        <v>-70</v>
      </c>
      <c r="L166" s="111"/>
      <c r="M166" s="113">
        <f t="shared" si="13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1">
        <v>162</v>
      </c>
      <c r="I167" s="112" t="str">
        <f t="shared" si="10"/>
        <v/>
      </c>
      <c r="J167" s="111">
        <f t="shared" si="11"/>
        <v>-7</v>
      </c>
      <c r="K167" s="111">
        <f t="shared" si="12"/>
        <v>-70</v>
      </c>
      <c r="L167" s="111"/>
      <c r="M167" s="113">
        <f t="shared" si="13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0"/>
        <v/>
      </c>
      <c r="J168" s="111">
        <f t="shared" si="11"/>
        <v>-7</v>
      </c>
      <c r="K168" s="111">
        <f t="shared" si="12"/>
        <v>-70</v>
      </c>
      <c r="L168" s="111"/>
      <c r="M168" s="113">
        <f t="shared" si="13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1">
        <v>164</v>
      </c>
      <c r="I169" s="112" t="str">
        <f t="shared" si="10"/>
        <v/>
      </c>
      <c r="J169" s="111">
        <f t="shared" si="11"/>
        <v>-7</v>
      </c>
      <c r="K169" s="111">
        <f t="shared" si="12"/>
        <v>-70</v>
      </c>
      <c r="L169" s="111"/>
      <c r="M169" s="113">
        <f t="shared" si="13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0"/>
        <v/>
      </c>
      <c r="J170" s="111">
        <f t="shared" si="11"/>
        <v>-7</v>
      </c>
      <c r="K170" s="111">
        <f t="shared" si="12"/>
        <v>-70</v>
      </c>
      <c r="L170" s="111"/>
      <c r="M170" s="113">
        <f t="shared" si="13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1">
        <v>166</v>
      </c>
      <c r="I171" s="112" t="str">
        <f t="shared" si="10"/>
        <v/>
      </c>
      <c r="J171" s="111">
        <f t="shared" si="11"/>
        <v>-7</v>
      </c>
      <c r="K171" s="111">
        <f t="shared" si="12"/>
        <v>-70</v>
      </c>
      <c r="L171" s="111"/>
      <c r="M171" s="113">
        <f t="shared" si="13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0"/>
        <v/>
      </c>
      <c r="J172" s="111">
        <f t="shared" si="11"/>
        <v>-7</v>
      </c>
      <c r="K172" s="111">
        <f t="shared" si="12"/>
        <v>-70</v>
      </c>
      <c r="L172" s="111"/>
      <c r="M172" s="113">
        <f t="shared" si="13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1">
        <v>168</v>
      </c>
      <c r="I173" s="112" t="str">
        <f t="shared" si="10"/>
        <v/>
      </c>
      <c r="J173" s="111">
        <f t="shared" si="11"/>
        <v>-7</v>
      </c>
      <c r="K173" s="111">
        <f t="shared" si="12"/>
        <v>-70</v>
      </c>
      <c r="L173" s="111"/>
      <c r="M173" s="113">
        <f t="shared" si="13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0"/>
        <v/>
      </c>
      <c r="J174" s="111">
        <f t="shared" si="11"/>
        <v>-7</v>
      </c>
      <c r="K174" s="111">
        <f t="shared" si="12"/>
        <v>-70</v>
      </c>
      <c r="L174" s="111"/>
      <c r="M174" s="113">
        <f t="shared" si="13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1">
        <v>170</v>
      </c>
      <c r="I175" s="112" t="str">
        <f t="shared" si="10"/>
        <v/>
      </c>
      <c r="J175" s="111">
        <f t="shared" si="11"/>
        <v>-7</v>
      </c>
      <c r="K175" s="111">
        <f t="shared" si="12"/>
        <v>-70</v>
      </c>
      <c r="L175" s="111"/>
      <c r="M175" s="113">
        <f t="shared" si="13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0"/>
        <v/>
      </c>
      <c r="J176" s="111">
        <f t="shared" si="11"/>
        <v>-7</v>
      </c>
      <c r="K176" s="111">
        <f t="shared" si="12"/>
        <v>-70</v>
      </c>
      <c r="L176" s="111"/>
      <c r="M176" s="113">
        <f t="shared" si="13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1">
        <v>172</v>
      </c>
      <c r="I177" s="112" t="str">
        <f t="shared" si="10"/>
        <v/>
      </c>
      <c r="J177" s="111">
        <f t="shared" si="11"/>
        <v>-7</v>
      </c>
      <c r="K177" s="111">
        <f t="shared" si="12"/>
        <v>-70</v>
      </c>
      <c r="L177" s="111"/>
      <c r="M177" s="113">
        <f t="shared" si="13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0"/>
        <v/>
      </c>
      <c r="J178" s="111">
        <f t="shared" si="11"/>
        <v>-7</v>
      </c>
      <c r="K178" s="111">
        <f t="shared" si="12"/>
        <v>-70</v>
      </c>
      <c r="L178" s="111"/>
      <c r="M178" s="113">
        <f t="shared" si="13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1">
        <v>174</v>
      </c>
      <c r="I179" s="112" t="str">
        <f t="shared" si="10"/>
        <v/>
      </c>
      <c r="J179" s="111">
        <f t="shared" si="11"/>
        <v>-7</v>
      </c>
      <c r="K179" s="111">
        <f t="shared" si="12"/>
        <v>-70</v>
      </c>
      <c r="L179" s="111"/>
      <c r="M179" s="113">
        <f t="shared" si="13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0"/>
        <v/>
      </c>
      <c r="J180" s="111">
        <f t="shared" si="11"/>
        <v>-7</v>
      </c>
      <c r="K180" s="111">
        <f t="shared" si="12"/>
        <v>-70</v>
      </c>
      <c r="L180" s="111"/>
      <c r="M180" s="113">
        <f t="shared" si="13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1">
        <v>176</v>
      </c>
      <c r="I181" s="112" t="str">
        <f t="shared" si="10"/>
        <v/>
      </c>
      <c r="J181" s="111">
        <f t="shared" si="11"/>
        <v>-7</v>
      </c>
      <c r="K181" s="111">
        <f t="shared" si="12"/>
        <v>-70</v>
      </c>
      <c r="L181" s="111"/>
      <c r="M181" s="113">
        <f t="shared" si="13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0"/>
        <v/>
      </c>
      <c r="J182" s="111">
        <f t="shared" si="11"/>
        <v>-7</v>
      </c>
      <c r="K182" s="111">
        <f t="shared" si="12"/>
        <v>-70</v>
      </c>
      <c r="L182" s="111"/>
      <c r="M182" s="113">
        <f t="shared" si="13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1">
        <v>178</v>
      </c>
      <c r="I183" s="112" t="str">
        <f t="shared" si="10"/>
        <v/>
      </c>
      <c r="J183" s="111">
        <f t="shared" si="11"/>
        <v>-7</v>
      </c>
      <c r="K183" s="111">
        <f t="shared" si="12"/>
        <v>-70</v>
      </c>
      <c r="L183" s="111"/>
      <c r="M183" s="113">
        <f t="shared" si="13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0"/>
        <v/>
      </c>
      <c r="J184" s="111">
        <f t="shared" si="11"/>
        <v>-7</v>
      </c>
      <c r="K184" s="111">
        <f t="shared" si="12"/>
        <v>-70</v>
      </c>
      <c r="L184" s="111"/>
      <c r="M184" s="113">
        <f t="shared" si="13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1">
        <v>180</v>
      </c>
      <c r="I185" s="112" t="str">
        <f t="shared" si="10"/>
        <v/>
      </c>
      <c r="J185" s="111">
        <f t="shared" si="11"/>
        <v>-7</v>
      </c>
      <c r="K185" s="111">
        <f t="shared" si="12"/>
        <v>-70</v>
      </c>
      <c r="L185" s="111"/>
      <c r="M185" s="113">
        <f t="shared" si="13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0"/>
        <v/>
      </c>
      <c r="J186" s="111">
        <f t="shared" si="11"/>
        <v>-7</v>
      </c>
      <c r="K186" s="111">
        <f t="shared" si="12"/>
        <v>-70</v>
      </c>
      <c r="L186" s="111"/>
      <c r="M186" s="113">
        <f t="shared" si="13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1">
        <v>182</v>
      </c>
      <c r="I187" s="112" t="str">
        <f t="shared" si="10"/>
        <v/>
      </c>
      <c r="J187" s="111">
        <f t="shared" si="11"/>
        <v>-7</v>
      </c>
      <c r="K187" s="111">
        <f t="shared" si="12"/>
        <v>-70</v>
      </c>
      <c r="L187" s="111"/>
      <c r="M187" s="113">
        <f t="shared" si="13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0"/>
        <v/>
      </c>
      <c r="J188" s="111">
        <f t="shared" si="11"/>
        <v>-7</v>
      </c>
      <c r="K188" s="111">
        <f t="shared" si="12"/>
        <v>-70</v>
      </c>
      <c r="L188" s="111"/>
      <c r="M188" s="113">
        <f t="shared" si="13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1">
        <v>184</v>
      </c>
      <c r="I189" s="112" t="str">
        <f t="shared" si="10"/>
        <v/>
      </c>
      <c r="J189" s="111">
        <f t="shared" si="11"/>
        <v>-7</v>
      </c>
      <c r="K189" s="111">
        <f t="shared" si="12"/>
        <v>-70</v>
      </c>
      <c r="L189" s="111"/>
      <c r="M189" s="113">
        <f t="shared" si="13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0"/>
        <v/>
      </c>
      <c r="J190" s="111">
        <f t="shared" si="11"/>
        <v>-7</v>
      </c>
      <c r="K190" s="111">
        <f t="shared" si="12"/>
        <v>-70</v>
      </c>
      <c r="L190" s="111"/>
      <c r="M190" s="113">
        <f t="shared" si="13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1">
        <v>186</v>
      </c>
      <c r="I191" s="112" t="str">
        <f t="shared" si="10"/>
        <v/>
      </c>
      <c r="J191" s="111">
        <f t="shared" si="11"/>
        <v>-7</v>
      </c>
      <c r="K191" s="111">
        <f t="shared" si="12"/>
        <v>-70</v>
      </c>
      <c r="L191" s="111"/>
      <c r="M191" s="113">
        <f t="shared" si="13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0"/>
        <v/>
      </c>
      <c r="J192" s="111">
        <f t="shared" si="11"/>
        <v>-7</v>
      </c>
      <c r="K192" s="111">
        <f t="shared" si="12"/>
        <v>-70</v>
      </c>
      <c r="L192" s="111"/>
      <c r="M192" s="113">
        <f t="shared" si="13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1">
        <v>188</v>
      </c>
      <c r="I193" s="112" t="str">
        <f t="shared" si="10"/>
        <v/>
      </c>
      <c r="J193" s="111">
        <f t="shared" si="11"/>
        <v>-7</v>
      </c>
      <c r="K193" s="111">
        <f t="shared" si="12"/>
        <v>-70</v>
      </c>
      <c r="L193" s="111"/>
      <c r="M193" s="113">
        <f t="shared" si="13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0"/>
        <v/>
      </c>
      <c r="J194" s="111">
        <f t="shared" si="11"/>
        <v>-7</v>
      </c>
      <c r="K194" s="111">
        <f t="shared" si="12"/>
        <v>-70</v>
      </c>
      <c r="L194" s="111"/>
      <c r="M194" s="113">
        <f t="shared" si="13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1">
        <v>190</v>
      </c>
      <c r="I195" s="112" t="str">
        <f t="shared" si="10"/>
        <v/>
      </c>
      <c r="J195" s="111">
        <f t="shared" si="11"/>
        <v>-7</v>
      </c>
      <c r="K195" s="111">
        <f t="shared" si="12"/>
        <v>-70</v>
      </c>
      <c r="L195" s="111"/>
      <c r="M195" s="113">
        <f t="shared" si="13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0"/>
        <v/>
      </c>
      <c r="J196" s="111">
        <f t="shared" si="11"/>
        <v>-7</v>
      </c>
      <c r="K196" s="111">
        <f t="shared" si="12"/>
        <v>-70</v>
      </c>
      <c r="L196" s="111"/>
      <c r="M196" s="113">
        <f t="shared" si="13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1">
        <v>192</v>
      </c>
      <c r="I197" s="112" t="str">
        <f t="shared" si="10"/>
        <v/>
      </c>
      <c r="J197" s="111">
        <f t="shared" si="11"/>
        <v>-7</v>
      </c>
      <c r="K197" s="111">
        <f t="shared" si="12"/>
        <v>-70</v>
      </c>
      <c r="L197" s="111"/>
      <c r="M197" s="113">
        <f t="shared" si="13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4">IF(H198&lt;$H$2+1,($I$2-($I$2-1)*(LOG(H198)/LOG($H$2))),"")</f>
        <v/>
      </c>
      <c r="J198" s="111">
        <f t="shared" ref="J198:J261" si="15">INT(LOG($H$2,2))-ROUNDUP(LOG(H198,2),0)+IF(OR($H$2=1,$H$2=2,$H$2=4,$H$2=8,$H$2=16,$H$2=32,$H$2=64,$H$2=128,$H$2=256),0,1)</f>
        <v>-7</v>
      </c>
      <c r="K198" s="111">
        <f t="shared" ref="K198:K261" si="16">J198*$J$2</f>
        <v>-70</v>
      </c>
      <c r="L198" s="111"/>
      <c r="M198" s="113">
        <f t="shared" ref="M198:M261" si="17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1">
        <v>194</v>
      </c>
      <c r="I199" s="112" t="str">
        <f t="shared" si="14"/>
        <v/>
      </c>
      <c r="J199" s="111">
        <f t="shared" si="15"/>
        <v>-7</v>
      </c>
      <c r="K199" s="111">
        <f t="shared" si="16"/>
        <v>-70</v>
      </c>
      <c r="L199" s="111"/>
      <c r="M199" s="113">
        <f t="shared" si="17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4"/>
        <v/>
      </c>
      <c r="J200" s="111">
        <f t="shared" si="15"/>
        <v>-7</v>
      </c>
      <c r="K200" s="111">
        <f t="shared" si="16"/>
        <v>-70</v>
      </c>
      <c r="L200" s="111"/>
      <c r="M200" s="113">
        <f t="shared" si="17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1">
        <v>196</v>
      </c>
      <c r="I201" s="112" t="str">
        <f t="shared" si="14"/>
        <v/>
      </c>
      <c r="J201" s="111">
        <f t="shared" si="15"/>
        <v>-7</v>
      </c>
      <c r="K201" s="111">
        <f t="shared" si="16"/>
        <v>-70</v>
      </c>
      <c r="L201" s="111"/>
      <c r="M201" s="113">
        <f t="shared" si="17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4"/>
        <v/>
      </c>
      <c r="J202" s="111">
        <f t="shared" si="15"/>
        <v>-7</v>
      </c>
      <c r="K202" s="111">
        <f t="shared" si="16"/>
        <v>-70</v>
      </c>
      <c r="L202" s="111"/>
      <c r="M202" s="113">
        <f t="shared" si="17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1">
        <v>198</v>
      </c>
      <c r="I203" s="112" t="str">
        <f t="shared" si="14"/>
        <v/>
      </c>
      <c r="J203" s="111">
        <f t="shared" si="15"/>
        <v>-7</v>
      </c>
      <c r="K203" s="111">
        <f t="shared" si="16"/>
        <v>-70</v>
      </c>
      <c r="L203" s="111"/>
      <c r="M203" s="113">
        <f t="shared" si="17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4"/>
        <v/>
      </c>
      <c r="J204" s="111">
        <f t="shared" si="15"/>
        <v>-7</v>
      </c>
      <c r="K204" s="111">
        <f t="shared" si="16"/>
        <v>-70</v>
      </c>
      <c r="L204" s="111"/>
      <c r="M204" s="113">
        <f t="shared" si="17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1">
        <v>200</v>
      </c>
      <c r="I205" s="112" t="str">
        <f t="shared" si="14"/>
        <v/>
      </c>
      <c r="J205" s="111">
        <f t="shared" si="15"/>
        <v>-7</v>
      </c>
      <c r="K205" s="111">
        <f t="shared" si="16"/>
        <v>-70</v>
      </c>
      <c r="L205" s="111"/>
      <c r="M205" s="113">
        <f t="shared" si="17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4"/>
        <v/>
      </c>
      <c r="J206" s="111">
        <f t="shared" si="15"/>
        <v>-7</v>
      </c>
      <c r="K206" s="111">
        <f t="shared" si="16"/>
        <v>-70</v>
      </c>
      <c r="L206" s="111"/>
      <c r="M206" s="113">
        <f t="shared" si="17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1">
        <v>202</v>
      </c>
      <c r="I207" s="112" t="str">
        <f t="shared" si="14"/>
        <v/>
      </c>
      <c r="J207" s="111">
        <f t="shared" si="15"/>
        <v>-7</v>
      </c>
      <c r="K207" s="111">
        <f t="shared" si="16"/>
        <v>-70</v>
      </c>
      <c r="L207" s="111"/>
      <c r="M207" s="113">
        <f t="shared" si="17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4"/>
        <v/>
      </c>
      <c r="J208" s="111">
        <f t="shared" si="15"/>
        <v>-7</v>
      </c>
      <c r="K208" s="111">
        <f t="shared" si="16"/>
        <v>-70</v>
      </c>
      <c r="L208" s="111"/>
      <c r="M208" s="113">
        <f t="shared" si="17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1">
        <v>204</v>
      </c>
      <c r="I209" s="112" t="str">
        <f t="shared" si="14"/>
        <v/>
      </c>
      <c r="J209" s="111">
        <f t="shared" si="15"/>
        <v>-7</v>
      </c>
      <c r="K209" s="111">
        <f t="shared" si="16"/>
        <v>-70</v>
      </c>
      <c r="L209" s="111"/>
      <c r="M209" s="113">
        <f t="shared" si="17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4"/>
        <v/>
      </c>
      <c r="J210" s="111">
        <f t="shared" si="15"/>
        <v>-7</v>
      </c>
      <c r="K210" s="111">
        <f t="shared" si="16"/>
        <v>-70</v>
      </c>
      <c r="L210" s="111"/>
      <c r="M210" s="113">
        <f t="shared" si="17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1">
        <v>206</v>
      </c>
      <c r="I211" s="112" t="str">
        <f t="shared" si="14"/>
        <v/>
      </c>
      <c r="J211" s="111">
        <f t="shared" si="15"/>
        <v>-7</v>
      </c>
      <c r="K211" s="111">
        <f t="shared" si="16"/>
        <v>-70</v>
      </c>
      <c r="L211" s="111"/>
      <c r="M211" s="113">
        <f t="shared" si="17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4"/>
        <v/>
      </c>
      <c r="J212" s="111">
        <f t="shared" si="15"/>
        <v>-7</v>
      </c>
      <c r="K212" s="111">
        <f t="shared" si="16"/>
        <v>-70</v>
      </c>
      <c r="L212" s="111"/>
      <c r="M212" s="113">
        <f t="shared" si="17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1">
        <v>208</v>
      </c>
      <c r="I213" s="112" t="str">
        <f t="shared" si="14"/>
        <v/>
      </c>
      <c r="J213" s="111">
        <f t="shared" si="15"/>
        <v>-7</v>
      </c>
      <c r="K213" s="111">
        <f t="shared" si="16"/>
        <v>-70</v>
      </c>
      <c r="L213" s="111"/>
      <c r="M213" s="113">
        <f t="shared" si="17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4"/>
        <v/>
      </c>
      <c r="J214" s="111">
        <f t="shared" si="15"/>
        <v>-7</v>
      </c>
      <c r="K214" s="111">
        <f t="shared" si="16"/>
        <v>-70</v>
      </c>
      <c r="L214" s="111"/>
      <c r="M214" s="113">
        <f t="shared" si="17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1">
        <v>210</v>
      </c>
      <c r="I215" s="112" t="str">
        <f t="shared" si="14"/>
        <v/>
      </c>
      <c r="J215" s="111">
        <f t="shared" si="15"/>
        <v>-7</v>
      </c>
      <c r="K215" s="111">
        <f t="shared" si="16"/>
        <v>-70</v>
      </c>
      <c r="L215" s="111"/>
      <c r="M215" s="113">
        <f t="shared" si="17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4"/>
        <v/>
      </c>
      <c r="J216" s="111">
        <f t="shared" si="15"/>
        <v>-7</v>
      </c>
      <c r="K216" s="111">
        <f t="shared" si="16"/>
        <v>-70</v>
      </c>
      <c r="L216" s="111"/>
      <c r="M216" s="113">
        <f t="shared" si="17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1">
        <v>212</v>
      </c>
      <c r="I217" s="112" t="str">
        <f t="shared" si="14"/>
        <v/>
      </c>
      <c r="J217" s="111">
        <f t="shared" si="15"/>
        <v>-7</v>
      </c>
      <c r="K217" s="111">
        <f t="shared" si="16"/>
        <v>-70</v>
      </c>
      <c r="L217" s="111"/>
      <c r="M217" s="113">
        <f t="shared" si="17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4"/>
        <v/>
      </c>
      <c r="J218" s="111">
        <f t="shared" si="15"/>
        <v>-7</v>
      </c>
      <c r="K218" s="111">
        <f t="shared" si="16"/>
        <v>-70</v>
      </c>
      <c r="L218" s="111"/>
      <c r="M218" s="113">
        <f t="shared" si="17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1">
        <v>214</v>
      </c>
      <c r="I219" s="112" t="str">
        <f t="shared" si="14"/>
        <v/>
      </c>
      <c r="J219" s="111">
        <f t="shared" si="15"/>
        <v>-7</v>
      </c>
      <c r="K219" s="111">
        <f t="shared" si="16"/>
        <v>-70</v>
      </c>
      <c r="L219" s="111"/>
      <c r="M219" s="113">
        <f t="shared" si="17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4"/>
        <v/>
      </c>
      <c r="J220" s="111">
        <f t="shared" si="15"/>
        <v>-7</v>
      </c>
      <c r="K220" s="111">
        <f t="shared" si="16"/>
        <v>-70</v>
      </c>
      <c r="L220" s="111"/>
      <c r="M220" s="113">
        <f t="shared" si="17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1">
        <v>216</v>
      </c>
      <c r="I221" s="112" t="str">
        <f t="shared" si="14"/>
        <v/>
      </c>
      <c r="J221" s="111">
        <f t="shared" si="15"/>
        <v>-7</v>
      </c>
      <c r="K221" s="111">
        <f t="shared" si="16"/>
        <v>-70</v>
      </c>
      <c r="L221" s="111"/>
      <c r="M221" s="113">
        <f t="shared" si="17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4"/>
        <v/>
      </c>
      <c r="J222" s="111">
        <f t="shared" si="15"/>
        <v>-7</v>
      </c>
      <c r="K222" s="111">
        <f t="shared" si="16"/>
        <v>-70</v>
      </c>
      <c r="L222" s="111"/>
      <c r="M222" s="113">
        <f t="shared" si="17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1">
        <v>218</v>
      </c>
      <c r="I223" s="112" t="str">
        <f t="shared" si="14"/>
        <v/>
      </c>
      <c r="J223" s="111">
        <f t="shared" si="15"/>
        <v>-7</v>
      </c>
      <c r="K223" s="111">
        <f t="shared" si="16"/>
        <v>-70</v>
      </c>
      <c r="L223" s="111"/>
      <c r="M223" s="113">
        <f t="shared" si="17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4"/>
        <v/>
      </c>
      <c r="J224" s="111">
        <f t="shared" si="15"/>
        <v>-7</v>
      </c>
      <c r="K224" s="111">
        <f t="shared" si="16"/>
        <v>-70</v>
      </c>
      <c r="L224" s="111"/>
      <c r="M224" s="113">
        <f t="shared" si="17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1">
        <v>220</v>
      </c>
      <c r="I225" s="112" t="str">
        <f t="shared" si="14"/>
        <v/>
      </c>
      <c r="J225" s="111">
        <f t="shared" si="15"/>
        <v>-7</v>
      </c>
      <c r="K225" s="111">
        <f t="shared" si="16"/>
        <v>-70</v>
      </c>
      <c r="L225" s="111"/>
      <c r="M225" s="113">
        <f t="shared" si="17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4"/>
        <v/>
      </c>
      <c r="J226" s="111">
        <f t="shared" si="15"/>
        <v>-7</v>
      </c>
      <c r="K226" s="111">
        <f t="shared" si="16"/>
        <v>-70</v>
      </c>
      <c r="L226" s="111"/>
      <c r="M226" s="113">
        <f t="shared" si="17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1">
        <v>222</v>
      </c>
      <c r="I227" s="112" t="str">
        <f t="shared" si="14"/>
        <v/>
      </c>
      <c r="J227" s="111">
        <f t="shared" si="15"/>
        <v>-7</v>
      </c>
      <c r="K227" s="111">
        <f t="shared" si="16"/>
        <v>-70</v>
      </c>
      <c r="L227" s="111"/>
      <c r="M227" s="113">
        <f t="shared" si="17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4"/>
        <v/>
      </c>
      <c r="J228" s="111">
        <f t="shared" si="15"/>
        <v>-7</v>
      </c>
      <c r="K228" s="111">
        <f t="shared" si="16"/>
        <v>-70</v>
      </c>
      <c r="L228" s="111"/>
      <c r="M228" s="113">
        <f t="shared" si="17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1">
        <v>224</v>
      </c>
      <c r="I229" s="112" t="str">
        <f t="shared" si="14"/>
        <v/>
      </c>
      <c r="J229" s="111">
        <f t="shared" si="15"/>
        <v>-7</v>
      </c>
      <c r="K229" s="111">
        <f t="shared" si="16"/>
        <v>-70</v>
      </c>
      <c r="L229" s="111"/>
      <c r="M229" s="113">
        <f t="shared" si="17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4"/>
        <v/>
      </c>
      <c r="J230" s="111">
        <f t="shared" si="15"/>
        <v>-7</v>
      </c>
      <c r="K230" s="111">
        <f t="shared" si="16"/>
        <v>-70</v>
      </c>
      <c r="L230" s="111"/>
      <c r="M230" s="113">
        <f t="shared" si="17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1">
        <v>226</v>
      </c>
      <c r="I231" s="112" t="str">
        <f t="shared" si="14"/>
        <v/>
      </c>
      <c r="J231" s="111">
        <f t="shared" si="15"/>
        <v>-7</v>
      </c>
      <c r="K231" s="111">
        <f t="shared" si="16"/>
        <v>-70</v>
      </c>
      <c r="L231" s="111"/>
      <c r="M231" s="113">
        <f t="shared" si="17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4"/>
        <v/>
      </c>
      <c r="J232" s="111">
        <f t="shared" si="15"/>
        <v>-7</v>
      </c>
      <c r="K232" s="111">
        <f t="shared" si="16"/>
        <v>-70</v>
      </c>
      <c r="L232" s="111"/>
      <c r="M232" s="113">
        <f t="shared" si="17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1">
        <v>228</v>
      </c>
      <c r="I233" s="112" t="str">
        <f t="shared" si="14"/>
        <v/>
      </c>
      <c r="J233" s="111">
        <f t="shared" si="15"/>
        <v>-7</v>
      </c>
      <c r="K233" s="111">
        <f t="shared" si="16"/>
        <v>-70</v>
      </c>
      <c r="L233" s="111"/>
      <c r="M233" s="113">
        <f t="shared" si="17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4"/>
        <v/>
      </c>
      <c r="J234" s="111">
        <f t="shared" si="15"/>
        <v>-7</v>
      </c>
      <c r="K234" s="111">
        <f t="shared" si="16"/>
        <v>-70</v>
      </c>
      <c r="L234" s="111"/>
      <c r="M234" s="113">
        <f t="shared" si="17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1">
        <v>230</v>
      </c>
      <c r="I235" s="112" t="str">
        <f t="shared" si="14"/>
        <v/>
      </c>
      <c r="J235" s="111">
        <f t="shared" si="15"/>
        <v>-7</v>
      </c>
      <c r="K235" s="111">
        <f t="shared" si="16"/>
        <v>-70</v>
      </c>
      <c r="L235" s="111"/>
      <c r="M235" s="113">
        <f t="shared" si="17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4"/>
        <v/>
      </c>
      <c r="J236" s="111">
        <f t="shared" si="15"/>
        <v>-7</v>
      </c>
      <c r="K236" s="111">
        <f t="shared" si="16"/>
        <v>-70</v>
      </c>
      <c r="L236" s="111"/>
      <c r="M236" s="113">
        <f t="shared" si="17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1">
        <v>232</v>
      </c>
      <c r="I237" s="112" t="str">
        <f t="shared" si="14"/>
        <v/>
      </c>
      <c r="J237" s="111">
        <f t="shared" si="15"/>
        <v>-7</v>
      </c>
      <c r="K237" s="111">
        <f t="shared" si="16"/>
        <v>-70</v>
      </c>
      <c r="L237" s="111"/>
      <c r="M237" s="113">
        <f t="shared" si="17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4"/>
        <v/>
      </c>
      <c r="J238" s="111">
        <f t="shared" si="15"/>
        <v>-7</v>
      </c>
      <c r="K238" s="111">
        <f t="shared" si="16"/>
        <v>-70</v>
      </c>
      <c r="L238" s="111"/>
      <c r="M238" s="113">
        <f t="shared" si="17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1">
        <v>234</v>
      </c>
      <c r="I239" s="112" t="str">
        <f t="shared" si="14"/>
        <v/>
      </c>
      <c r="J239" s="111">
        <f t="shared" si="15"/>
        <v>-7</v>
      </c>
      <c r="K239" s="111">
        <f t="shared" si="16"/>
        <v>-70</v>
      </c>
      <c r="L239" s="111"/>
      <c r="M239" s="113">
        <f t="shared" si="17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4"/>
        <v/>
      </c>
      <c r="J240" s="111">
        <f t="shared" si="15"/>
        <v>-7</v>
      </c>
      <c r="K240" s="111">
        <f t="shared" si="16"/>
        <v>-70</v>
      </c>
      <c r="L240" s="111"/>
      <c r="M240" s="113">
        <f t="shared" si="17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1">
        <v>236</v>
      </c>
      <c r="I241" s="112" t="str">
        <f t="shared" si="14"/>
        <v/>
      </c>
      <c r="J241" s="111">
        <f t="shared" si="15"/>
        <v>-7</v>
      </c>
      <c r="K241" s="111">
        <f t="shared" si="16"/>
        <v>-70</v>
      </c>
      <c r="L241" s="111"/>
      <c r="M241" s="113">
        <f t="shared" si="17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4"/>
        <v/>
      </c>
      <c r="J242" s="111">
        <f t="shared" si="15"/>
        <v>-7</v>
      </c>
      <c r="K242" s="111">
        <f t="shared" si="16"/>
        <v>-70</v>
      </c>
      <c r="L242" s="111"/>
      <c r="M242" s="113">
        <f t="shared" si="17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1">
        <v>238</v>
      </c>
      <c r="I243" s="112" t="str">
        <f t="shared" si="14"/>
        <v/>
      </c>
      <c r="J243" s="111">
        <f t="shared" si="15"/>
        <v>-7</v>
      </c>
      <c r="K243" s="111">
        <f t="shared" si="16"/>
        <v>-70</v>
      </c>
      <c r="L243" s="111"/>
      <c r="M243" s="113">
        <f t="shared" si="17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4"/>
        <v/>
      </c>
      <c r="J244" s="111">
        <f t="shared" si="15"/>
        <v>-7</v>
      </c>
      <c r="K244" s="111">
        <f t="shared" si="16"/>
        <v>-70</v>
      </c>
      <c r="L244" s="111"/>
      <c r="M244" s="113">
        <f t="shared" si="17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1">
        <v>240</v>
      </c>
      <c r="I245" s="112" t="str">
        <f t="shared" si="14"/>
        <v/>
      </c>
      <c r="J245" s="111">
        <f t="shared" si="15"/>
        <v>-7</v>
      </c>
      <c r="K245" s="111">
        <f t="shared" si="16"/>
        <v>-70</v>
      </c>
      <c r="L245" s="111"/>
      <c r="M245" s="113">
        <f t="shared" si="17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4"/>
        <v/>
      </c>
      <c r="J246" s="111">
        <f t="shared" si="15"/>
        <v>-7</v>
      </c>
      <c r="K246" s="111">
        <f t="shared" si="16"/>
        <v>-70</v>
      </c>
      <c r="L246" s="111"/>
      <c r="M246" s="113">
        <f t="shared" si="17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1">
        <v>242</v>
      </c>
      <c r="I247" s="112" t="str">
        <f t="shared" si="14"/>
        <v/>
      </c>
      <c r="J247" s="111">
        <f t="shared" si="15"/>
        <v>-7</v>
      </c>
      <c r="K247" s="111">
        <f t="shared" si="16"/>
        <v>-70</v>
      </c>
      <c r="L247" s="111"/>
      <c r="M247" s="113">
        <f t="shared" si="17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4"/>
        <v/>
      </c>
      <c r="J248" s="111">
        <f t="shared" si="15"/>
        <v>-7</v>
      </c>
      <c r="K248" s="111">
        <f t="shared" si="16"/>
        <v>-70</v>
      </c>
      <c r="L248" s="111"/>
      <c r="M248" s="113">
        <f t="shared" si="17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1">
        <v>244</v>
      </c>
      <c r="I249" s="112" t="str">
        <f t="shared" si="14"/>
        <v/>
      </c>
      <c r="J249" s="111">
        <f t="shared" si="15"/>
        <v>-7</v>
      </c>
      <c r="K249" s="111">
        <f t="shared" si="16"/>
        <v>-70</v>
      </c>
      <c r="L249" s="111"/>
      <c r="M249" s="113">
        <f t="shared" si="17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4"/>
        <v/>
      </c>
      <c r="J250" s="111">
        <f t="shared" si="15"/>
        <v>-7</v>
      </c>
      <c r="K250" s="111">
        <f t="shared" si="16"/>
        <v>-70</v>
      </c>
      <c r="L250" s="111"/>
      <c r="M250" s="113">
        <f t="shared" si="17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1">
        <v>246</v>
      </c>
      <c r="I251" s="112" t="str">
        <f t="shared" si="14"/>
        <v/>
      </c>
      <c r="J251" s="111">
        <f t="shared" si="15"/>
        <v>-7</v>
      </c>
      <c r="K251" s="111">
        <f t="shared" si="16"/>
        <v>-70</v>
      </c>
      <c r="L251" s="111"/>
      <c r="M251" s="113">
        <f t="shared" si="17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4"/>
        <v/>
      </c>
      <c r="J252" s="111">
        <f t="shared" si="15"/>
        <v>-7</v>
      </c>
      <c r="K252" s="111">
        <f t="shared" si="16"/>
        <v>-70</v>
      </c>
      <c r="L252" s="111"/>
      <c r="M252" s="113">
        <f t="shared" si="17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1">
        <v>248</v>
      </c>
      <c r="I253" s="112" t="str">
        <f t="shared" si="14"/>
        <v/>
      </c>
      <c r="J253" s="111">
        <f t="shared" si="15"/>
        <v>-7</v>
      </c>
      <c r="K253" s="111">
        <f t="shared" si="16"/>
        <v>-70</v>
      </c>
      <c r="L253" s="111"/>
      <c r="M253" s="113">
        <f t="shared" si="17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4"/>
        <v/>
      </c>
      <c r="J254" s="111">
        <f t="shared" si="15"/>
        <v>-7</v>
      </c>
      <c r="K254" s="111">
        <f t="shared" si="16"/>
        <v>-70</v>
      </c>
      <c r="L254" s="111"/>
      <c r="M254" s="113">
        <f t="shared" si="17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1">
        <v>250</v>
      </c>
      <c r="I255" s="112" t="str">
        <f t="shared" si="14"/>
        <v/>
      </c>
      <c r="J255" s="111">
        <f t="shared" si="15"/>
        <v>-7</v>
      </c>
      <c r="K255" s="111">
        <f t="shared" si="16"/>
        <v>-70</v>
      </c>
      <c r="L255" s="111"/>
      <c r="M255" s="113">
        <f t="shared" si="17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4"/>
        <v/>
      </c>
      <c r="J256" s="111">
        <f t="shared" si="15"/>
        <v>-7</v>
      </c>
      <c r="K256" s="111">
        <f t="shared" si="16"/>
        <v>-70</v>
      </c>
      <c r="L256" s="111"/>
      <c r="M256" s="113">
        <f t="shared" si="17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1">
        <v>252</v>
      </c>
      <c r="I257" s="112" t="str">
        <f t="shared" si="14"/>
        <v/>
      </c>
      <c r="J257" s="111">
        <f t="shared" si="15"/>
        <v>-7</v>
      </c>
      <c r="K257" s="111">
        <f t="shared" si="16"/>
        <v>-70</v>
      </c>
      <c r="L257" s="111"/>
      <c r="M257" s="113">
        <f t="shared" si="17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4"/>
        <v/>
      </c>
      <c r="J258" s="111">
        <f t="shared" si="15"/>
        <v>-7</v>
      </c>
      <c r="K258" s="111">
        <f t="shared" si="16"/>
        <v>-70</v>
      </c>
      <c r="L258" s="111"/>
      <c r="M258" s="113">
        <f t="shared" si="17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1">
        <v>254</v>
      </c>
      <c r="I259" s="112" t="str">
        <f t="shared" si="14"/>
        <v/>
      </c>
      <c r="J259" s="111">
        <f t="shared" si="15"/>
        <v>-7</v>
      </c>
      <c r="K259" s="111">
        <f t="shared" si="16"/>
        <v>-70</v>
      </c>
      <c r="L259" s="111"/>
      <c r="M259" s="113">
        <f t="shared" si="17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4"/>
        <v/>
      </c>
      <c r="J260" s="111">
        <f t="shared" si="15"/>
        <v>-7</v>
      </c>
      <c r="K260" s="111">
        <f t="shared" si="16"/>
        <v>-70</v>
      </c>
      <c r="L260" s="111"/>
      <c r="M260" s="113">
        <f t="shared" si="17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1">
        <v>256</v>
      </c>
      <c r="I261" s="112" t="str">
        <f t="shared" si="14"/>
        <v/>
      </c>
      <c r="J261" s="111">
        <f t="shared" si="15"/>
        <v>-7</v>
      </c>
      <c r="K261" s="111">
        <f t="shared" si="16"/>
        <v>-70</v>
      </c>
      <c r="L261" s="111"/>
      <c r="M261" s="113">
        <f t="shared" si="17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18">IF(H262&lt;$H$2+1,($I$2-($I$2-1)*(LOG(H262)/LOG($H$2))),"")</f>
        <v/>
      </c>
      <c r="J262" s="111">
        <f t="shared" ref="J262:J305" si="19">INT(LOG($H$2,2))-ROUNDUP(LOG(H262,2),0)+IF(OR($H$2=1,$H$2=2,$H$2=4,$H$2=8,$H$2=16,$H$2=32,$H$2=64,$H$2=128,$H$2=256),0,1)</f>
        <v>-8</v>
      </c>
      <c r="K262" s="111">
        <f t="shared" ref="K262:K305" si="20">J262*$J$2</f>
        <v>-80</v>
      </c>
      <c r="L262" s="111"/>
      <c r="M262" s="113">
        <f t="shared" ref="M262:M305" si="21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1">
        <v>258</v>
      </c>
      <c r="I263" s="112" t="str">
        <f t="shared" si="18"/>
        <v/>
      </c>
      <c r="J263" s="111">
        <f t="shared" si="19"/>
        <v>-8</v>
      </c>
      <c r="K263" s="111">
        <f t="shared" si="20"/>
        <v>-80</v>
      </c>
      <c r="L263" s="111"/>
      <c r="M263" s="113">
        <f t="shared" si="21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18"/>
        <v/>
      </c>
      <c r="J264" s="111">
        <f t="shared" si="19"/>
        <v>-8</v>
      </c>
      <c r="K264" s="111">
        <f t="shared" si="20"/>
        <v>-80</v>
      </c>
      <c r="L264" s="111"/>
      <c r="M264" s="113">
        <f t="shared" si="21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1">
        <v>260</v>
      </c>
      <c r="I265" s="112" t="str">
        <f t="shared" si="18"/>
        <v/>
      </c>
      <c r="J265" s="111">
        <f t="shared" si="19"/>
        <v>-8</v>
      </c>
      <c r="K265" s="111">
        <f t="shared" si="20"/>
        <v>-80</v>
      </c>
      <c r="L265" s="111"/>
      <c r="M265" s="113">
        <f t="shared" si="21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18"/>
        <v/>
      </c>
      <c r="J266" s="111">
        <f t="shared" si="19"/>
        <v>-8</v>
      </c>
      <c r="K266" s="111">
        <f t="shared" si="20"/>
        <v>-80</v>
      </c>
      <c r="L266" s="111"/>
      <c r="M266" s="113">
        <f t="shared" si="21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1">
        <v>262</v>
      </c>
      <c r="I267" s="112" t="str">
        <f t="shared" si="18"/>
        <v/>
      </c>
      <c r="J267" s="111">
        <f t="shared" si="19"/>
        <v>-8</v>
      </c>
      <c r="K267" s="111">
        <f t="shared" si="20"/>
        <v>-80</v>
      </c>
      <c r="L267" s="111"/>
      <c r="M267" s="113">
        <f t="shared" si="21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18"/>
        <v/>
      </c>
      <c r="J268" s="111">
        <f t="shared" si="19"/>
        <v>-8</v>
      </c>
      <c r="K268" s="111">
        <f t="shared" si="20"/>
        <v>-80</v>
      </c>
      <c r="L268" s="111"/>
      <c r="M268" s="113">
        <f t="shared" si="21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1">
        <v>264</v>
      </c>
      <c r="I269" s="112" t="str">
        <f t="shared" si="18"/>
        <v/>
      </c>
      <c r="J269" s="111">
        <f t="shared" si="19"/>
        <v>-8</v>
      </c>
      <c r="K269" s="111">
        <f t="shared" si="20"/>
        <v>-80</v>
      </c>
      <c r="L269" s="111"/>
      <c r="M269" s="113">
        <f t="shared" si="21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18"/>
        <v/>
      </c>
      <c r="J270" s="111">
        <f t="shared" si="19"/>
        <v>-8</v>
      </c>
      <c r="K270" s="111">
        <f t="shared" si="20"/>
        <v>-80</v>
      </c>
      <c r="L270" s="111"/>
      <c r="M270" s="113">
        <f t="shared" si="21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1">
        <v>266</v>
      </c>
      <c r="I271" s="112" t="str">
        <f t="shared" si="18"/>
        <v/>
      </c>
      <c r="J271" s="111">
        <f t="shared" si="19"/>
        <v>-8</v>
      </c>
      <c r="K271" s="111">
        <f t="shared" si="20"/>
        <v>-80</v>
      </c>
      <c r="L271" s="111"/>
      <c r="M271" s="113">
        <f t="shared" si="21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18"/>
        <v/>
      </c>
      <c r="J272" s="111">
        <f t="shared" si="19"/>
        <v>-8</v>
      </c>
      <c r="K272" s="111">
        <f t="shared" si="20"/>
        <v>-80</v>
      </c>
      <c r="L272" s="111"/>
      <c r="M272" s="113">
        <f t="shared" si="21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1">
        <v>268</v>
      </c>
      <c r="I273" s="112" t="str">
        <f t="shared" si="18"/>
        <v/>
      </c>
      <c r="J273" s="111">
        <f t="shared" si="19"/>
        <v>-8</v>
      </c>
      <c r="K273" s="111">
        <f t="shared" si="20"/>
        <v>-80</v>
      </c>
      <c r="L273" s="111"/>
      <c r="M273" s="113">
        <f t="shared" si="21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18"/>
        <v/>
      </c>
      <c r="J274" s="111">
        <f t="shared" si="19"/>
        <v>-8</v>
      </c>
      <c r="K274" s="111">
        <f t="shared" si="20"/>
        <v>-80</v>
      </c>
      <c r="L274" s="111"/>
      <c r="M274" s="113">
        <f t="shared" si="21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1">
        <v>270</v>
      </c>
      <c r="I275" s="112" t="str">
        <f t="shared" si="18"/>
        <v/>
      </c>
      <c r="J275" s="111">
        <f t="shared" si="19"/>
        <v>-8</v>
      </c>
      <c r="K275" s="111">
        <f t="shared" si="20"/>
        <v>-80</v>
      </c>
      <c r="L275" s="111"/>
      <c r="M275" s="113">
        <f t="shared" si="21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18"/>
        <v/>
      </c>
      <c r="J276" s="111">
        <f t="shared" si="19"/>
        <v>-8</v>
      </c>
      <c r="K276" s="111">
        <f t="shared" si="20"/>
        <v>-80</v>
      </c>
      <c r="L276" s="111"/>
      <c r="M276" s="113">
        <f t="shared" si="21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1">
        <v>272</v>
      </c>
      <c r="I277" s="112" t="str">
        <f t="shared" si="18"/>
        <v/>
      </c>
      <c r="J277" s="111">
        <f t="shared" si="19"/>
        <v>-8</v>
      </c>
      <c r="K277" s="111">
        <f t="shared" si="20"/>
        <v>-80</v>
      </c>
      <c r="L277" s="111"/>
      <c r="M277" s="113">
        <f t="shared" si="21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18"/>
        <v/>
      </c>
      <c r="J278" s="111">
        <f t="shared" si="19"/>
        <v>-8</v>
      </c>
      <c r="K278" s="111">
        <f t="shared" si="20"/>
        <v>-80</v>
      </c>
      <c r="L278" s="111"/>
      <c r="M278" s="113">
        <f t="shared" si="21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1">
        <v>274</v>
      </c>
      <c r="I279" s="112" t="str">
        <f t="shared" si="18"/>
        <v/>
      </c>
      <c r="J279" s="111">
        <f t="shared" si="19"/>
        <v>-8</v>
      </c>
      <c r="K279" s="111">
        <f t="shared" si="20"/>
        <v>-80</v>
      </c>
      <c r="L279" s="111"/>
      <c r="M279" s="113">
        <f t="shared" si="21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18"/>
        <v/>
      </c>
      <c r="J280" s="111">
        <f t="shared" si="19"/>
        <v>-8</v>
      </c>
      <c r="K280" s="111">
        <f t="shared" si="20"/>
        <v>-80</v>
      </c>
      <c r="L280" s="111"/>
      <c r="M280" s="113">
        <f t="shared" si="21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1">
        <v>276</v>
      </c>
      <c r="I281" s="112" t="str">
        <f t="shared" si="18"/>
        <v/>
      </c>
      <c r="J281" s="111">
        <f t="shared" si="19"/>
        <v>-8</v>
      </c>
      <c r="K281" s="111">
        <f t="shared" si="20"/>
        <v>-80</v>
      </c>
      <c r="L281" s="111"/>
      <c r="M281" s="113">
        <f t="shared" si="21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18"/>
        <v/>
      </c>
      <c r="J282" s="111">
        <f t="shared" si="19"/>
        <v>-8</v>
      </c>
      <c r="K282" s="111">
        <f t="shared" si="20"/>
        <v>-80</v>
      </c>
      <c r="L282" s="111"/>
      <c r="M282" s="113">
        <f t="shared" si="21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1">
        <v>278</v>
      </c>
      <c r="I283" s="112" t="str">
        <f t="shared" si="18"/>
        <v/>
      </c>
      <c r="J283" s="111">
        <f t="shared" si="19"/>
        <v>-8</v>
      </c>
      <c r="K283" s="111">
        <f t="shared" si="20"/>
        <v>-80</v>
      </c>
      <c r="L283" s="111"/>
      <c r="M283" s="113">
        <f t="shared" si="21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18"/>
        <v/>
      </c>
      <c r="J284" s="111">
        <f t="shared" si="19"/>
        <v>-8</v>
      </c>
      <c r="K284" s="111">
        <f t="shared" si="20"/>
        <v>-80</v>
      </c>
      <c r="L284" s="111"/>
      <c r="M284" s="113">
        <f t="shared" si="21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1">
        <v>280</v>
      </c>
      <c r="I285" s="112" t="str">
        <f t="shared" si="18"/>
        <v/>
      </c>
      <c r="J285" s="111">
        <f t="shared" si="19"/>
        <v>-8</v>
      </c>
      <c r="K285" s="111">
        <f t="shared" si="20"/>
        <v>-80</v>
      </c>
      <c r="L285" s="111"/>
      <c r="M285" s="113">
        <f t="shared" si="21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18"/>
        <v/>
      </c>
      <c r="J286" s="111">
        <f t="shared" si="19"/>
        <v>-8</v>
      </c>
      <c r="K286" s="111">
        <f t="shared" si="20"/>
        <v>-80</v>
      </c>
      <c r="L286" s="111"/>
      <c r="M286" s="113">
        <f t="shared" si="21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1">
        <v>282</v>
      </c>
      <c r="I287" s="112" t="str">
        <f t="shared" si="18"/>
        <v/>
      </c>
      <c r="J287" s="111">
        <f t="shared" si="19"/>
        <v>-8</v>
      </c>
      <c r="K287" s="111">
        <f t="shared" si="20"/>
        <v>-80</v>
      </c>
      <c r="L287" s="111"/>
      <c r="M287" s="113">
        <f t="shared" si="21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18"/>
        <v/>
      </c>
      <c r="J288" s="111">
        <f t="shared" si="19"/>
        <v>-8</v>
      </c>
      <c r="K288" s="111">
        <f t="shared" si="20"/>
        <v>-80</v>
      </c>
      <c r="L288" s="111"/>
      <c r="M288" s="113">
        <f t="shared" si="21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1">
        <v>284</v>
      </c>
      <c r="I289" s="112" t="str">
        <f t="shared" si="18"/>
        <v/>
      </c>
      <c r="J289" s="111">
        <f t="shared" si="19"/>
        <v>-8</v>
      </c>
      <c r="K289" s="111">
        <f t="shared" si="20"/>
        <v>-80</v>
      </c>
      <c r="L289" s="111"/>
      <c r="M289" s="113">
        <f t="shared" si="21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18"/>
        <v/>
      </c>
      <c r="J290" s="111">
        <f t="shared" si="19"/>
        <v>-8</v>
      </c>
      <c r="K290" s="111">
        <f t="shared" si="20"/>
        <v>-80</v>
      </c>
      <c r="L290" s="111"/>
      <c r="M290" s="113">
        <f t="shared" si="21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1">
        <v>286</v>
      </c>
      <c r="I291" s="112" t="str">
        <f t="shared" si="18"/>
        <v/>
      </c>
      <c r="J291" s="111">
        <f t="shared" si="19"/>
        <v>-8</v>
      </c>
      <c r="K291" s="111">
        <f t="shared" si="20"/>
        <v>-80</v>
      </c>
      <c r="L291" s="111"/>
      <c r="M291" s="113">
        <f t="shared" si="21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18"/>
        <v/>
      </c>
      <c r="J292" s="111">
        <f t="shared" si="19"/>
        <v>-8</v>
      </c>
      <c r="K292" s="111">
        <f t="shared" si="20"/>
        <v>-80</v>
      </c>
      <c r="L292" s="111"/>
      <c r="M292" s="113">
        <f t="shared" si="21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18"/>
        <v/>
      </c>
      <c r="J293" s="111">
        <f t="shared" si="19"/>
        <v>-8</v>
      </c>
      <c r="K293" s="111">
        <f t="shared" si="20"/>
        <v>-80</v>
      </c>
      <c r="L293" s="111"/>
      <c r="M293" s="113">
        <f t="shared" si="21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18"/>
        <v/>
      </c>
      <c r="J294" s="111">
        <f t="shared" si="19"/>
        <v>-8</v>
      </c>
      <c r="K294" s="111">
        <f t="shared" si="20"/>
        <v>-80</v>
      </c>
      <c r="L294" s="111"/>
      <c r="M294" s="113">
        <f t="shared" si="21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18"/>
        <v/>
      </c>
      <c r="J295" s="111">
        <f t="shared" si="19"/>
        <v>-8</v>
      </c>
      <c r="K295" s="111">
        <f t="shared" si="20"/>
        <v>-80</v>
      </c>
      <c r="L295" s="111"/>
      <c r="M295" s="113">
        <f t="shared" si="21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18"/>
        <v/>
      </c>
      <c r="J296" s="111">
        <f t="shared" si="19"/>
        <v>-8</v>
      </c>
      <c r="K296" s="111">
        <f t="shared" si="20"/>
        <v>-80</v>
      </c>
      <c r="L296" s="111"/>
      <c r="M296" s="113">
        <f t="shared" si="21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18"/>
        <v/>
      </c>
      <c r="J297" s="111">
        <f t="shared" si="19"/>
        <v>-8</v>
      </c>
      <c r="K297" s="111">
        <f t="shared" si="20"/>
        <v>-80</v>
      </c>
      <c r="L297" s="111"/>
      <c r="M297" s="113">
        <f t="shared" si="21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18"/>
        <v/>
      </c>
      <c r="J298" s="111">
        <f t="shared" si="19"/>
        <v>-8</v>
      </c>
      <c r="K298" s="111">
        <f t="shared" si="20"/>
        <v>-80</v>
      </c>
      <c r="L298" s="111"/>
      <c r="M298" s="113">
        <f t="shared" si="21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18"/>
        <v/>
      </c>
      <c r="J299" s="111">
        <f t="shared" si="19"/>
        <v>-8</v>
      </c>
      <c r="K299" s="111">
        <f t="shared" si="20"/>
        <v>-80</v>
      </c>
      <c r="L299" s="111"/>
      <c r="M299" s="113">
        <f t="shared" si="21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18"/>
        <v/>
      </c>
      <c r="J300" s="111">
        <f t="shared" si="19"/>
        <v>-8</v>
      </c>
      <c r="K300" s="111">
        <f t="shared" si="20"/>
        <v>-80</v>
      </c>
      <c r="L300" s="111"/>
      <c r="M300" s="113">
        <f t="shared" si="21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18"/>
        <v/>
      </c>
      <c r="J301" s="111">
        <f t="shared" si="19"/>
        <v>-8</v>
      </c>
      <c r="K301" s="111">
        <f t="shared" si="20"/>
        <v>-80</v>
      </c>
      <c r="L301" s="111"/>
      <c r="M301" s="113">
        <f t="shared" si="21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18"/>
        <v/>
      </c>
      <c r="J302" s="111">
        <f t="shared" si="19"/>
        <v>-8</v>
      </c>
      <c r="K302" s="111">
        <f t="shared" si="20"/>
        <v>-80</v>
      </c>
      <c r="L302" s="111"/>
      <c r="M302" s="113">
        <f t="shared" si="21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18"/>
        <v/>
      </c>
      <c r="J303" s="111">
        <f t="shared" si="19"/>
        <v>-8</v>
      </c>
      <c r="K303" s="111">
        <f t="shared" si="20"/>
        <v>-80</v>
      </c>
      <c r="L303" s="111"/>
      <c r="M303" s="113">
        <f t="shared" si="21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18"/>
        <v/>
      </c>
      <c r="J304" s="111">
        <f t="shared" si="19"/>
        <v>-8</v>
      </c>
      <c r="K304" s="111">
        <f t="shared" si="20"/>
        <v>-80</v>
      </c>
      <c r="L304" s="111"/>
      <c r="M304" s="113">
        <f t="shared" si="21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18"/>
        <v/>
      </c>
      <c r="J305" s="111">
        <f t="shared" si="19"/>
        <v>-8</v>
      </c>
      <c r="K305" s="111">
        <f t="shared" si="20"/>
        <v>-80</v>
      </c>
      <c r="L305" s="111"/>
      <c r="M305" s="113">
        <f t="shared" si="21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/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/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/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/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/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D0D5F737-5CB2-4C6D-8809-C101BE3F81D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037-3697-4440-BC1B-F2915B90231D}">
  <sheetPr>
    <tabColor theme="7" tint="0.79998168889431442"/>
  </sheetPr>
  <dimension ref="A1:AL317"/>
  <sheetViews>
    <sheetView workbookViewId="0">
      <selection activeCell="G20" sqref="G20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" style="134" customWidth="1"/>
    <col min="11" max="11" width="8.7109375" style="134" customWidth="1"/>
    <col min="12" max="12" width="11" style="134" customWidth="1"/>
    <col min="13" max="13" width="11.710937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>
      <c r="A2" s="96"/>
      <c r="B2" s="25" t="s">
        <v>28</v>
      </c>
      <c r="C2" s="180" t="s">
        <v>99</v>
      </c>
      <c r="D2" s="180"/>
      <c r="E2" s="26"/>
      <c r="F2" s="26"/>
      <c r="G2" s="26"/>
      <c r="H2" s="102">
        <v>0</v>
      </c>
      <c r="I2" s="103">
        <v>50</v>
      </c>
      <c r="J2" s="103">
        <v>10</v>
      </c>
      <c r="K2" s="137">
        <f>3*H2^(1/3)</f>
        <v>0</v>
      </c>
      <c r="L2" s="100"/>
      <c r="M2" s="100"/>
      <c r="N2" s="96"/>
      <c r="O2" s="96"/>
      <c r="P2" s="96"/>
      <c r="Q2" s="96"/>
      <c r="R2" s="96"/>
    </row>
    <row r="3" spans="1:36" s="101" customFormat="1" ht="14.45" customHeight="1">
      <c r="A3" s="96"/>
      <c r="B3" s="105" t="s">
        <v>30</v>
      </c>
      <c r="C3" s="180"/>
      <c r="D3" s="180"/>
      <c r="E3" s="31"/>
      <c r="F3" s="31"/>
      <c r="G3" s="31"/>
      <c r="H3" s="100"/>
      <c r="I3" s="100"/>
      <c r="J3" s="100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0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8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37" si="0">M6</f>
        <v>0</v>
      </c>
      <c r="B6" s="39" t="str">
        <f>IF(H6&gt;$H$2,"",(ROW()-5))</f>
        <v/>
      </c>
      <c r="C6" s="40"/>
      <c r="D6" s="40"/>
      <c r="E6" s="40"/>
      <c r="F6" s="40"/>
      <c r="G6" s="33"/>
      <c r="H6" s="111">
        <v>1</v>
      </c>
      <c r="I6" s="112" t="str">
        <f t="shared" ref="I6:I69" si="1">IF(H6&lt;$H$2+1,($I$2-($I$2-1)*(LOG(H6)/LOG($H$2))),"")</f>
        <v/>
      </c>
      <c r="J6" s="112" t="e">
        <f t="shared" ref="J6:J69" si="2">INT(LOG($H$2,2))-ROUNDUP(LOG(H6,2),0)+IF(OR($H$2=1,$H$2=2,$H$2=4,$H$2=8,$H$2=16,$H$2=32,$H$2=64,$H$2=128,$H$2=256),0,1)</f>
        <v>#NUM!</v>
      </c>
      <c r="K6" s="111" t="e">
        <f t="shared" ref="K6:K69" si="3">J6*$J$2</f>
        <v>#NUM!</v>
      </c>
      <c r="L6" s="113">
        <f>3*K2</f>
        <v>0</v>
      </c>
      <c r="M6" s="113">
        <f t="shared" ref="M6:M69" si="4">IF(I6&lt;&gt;"",K6+I6+L6,0)</f>
        <v>0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0</v>
      </c>
      <c r="B7" s="45" t="str">
        <f>IF(H7&gt;$H$2,"",(ROW()-5))</f>
        <v/>
      </c>
      <c r="C7" s="46"/>
      <c r="D7" s="46"/>
      <c r="E7" s="46"/>
      <c r="F7" s="46"/>
      <c r="G7" s="33"/>
      <c r="H7" s="115">
        <v>2</v>
      </c>
      <c r="I7" s="116" t="str">
        <f t="shared" si="1"/>
        <v/>
      </c>
      <c r="J7" s="116" t="e">
        <f t="shared" si="2"/>
        <v>#NUM!</v>
      </c>
      <c r="K7" s="115" t="e">
        <f t="shared" si="3"/>
        <v>#NUM!</v>
      </c>
      <c r="L7" s="117">
        <f>2*K2</f>
        <v>0</v>
      </c>
      <c r="M7" s="117">
        <f t="shared" si="4"/>
        <v>0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0</v>
      </c>
      <c r="B8" s="39" t="str">
        <f>IF(H8&gt;$H$2,"",(ROW()-5))</f>
        <v/>
      </c>
      <c r="C8" s="40"/>
      <c r="D8" s="40"/>
      <c r="E8" s="40"/>
      <c r="F8" s="40"/>
      <c r="G8" s="33"/>
      <c r="H8" s="111">
        <v>3</v>
      </c>
      <c r="I8" s="112" t="str">
        <f t="shared" si="1"/>
        <v/>
      </c>
      <c r="J8" s="112" t="e">
        <f t="shared" si="2"/>
        <v>#NUM!</v>
      </c>
      <c r="K8" s="111" t="e">
        <f t="shared" si="3"/>
        <v>#NUM!</v>
      </c>
      <c r="L8" s="113">
        <f>K2</f>
        <v>0</v>
      </c>
      <c r="M8" s="113">
        <f t="shared" si="4"/>
        <v>0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0</v>
      </c>
      <c r="B9" s="45" t="str">
        <f>IF(H9&gt;$H$2,"",3)</f>
        <v/>
      </c>
      <c r="C9" s="46"/>
      <c r="D9" s="46"/>
      <c r="E9" s="46"/>
      <c r="F9" s="46"/>
      <c r="G9" s="33"/>
      <c r="H9" s="115">
        <v>3</v>
      </c>
      <c r="I9" s="116" t="str">
        <f t="shared" si="1"/>
        <v/>
      </c>
      <c r="J9" s="115" t="e">
        <f t="shared" si="2"/>
        <v>#NUM!</v>
      </c>
      <c r="K9" s="115" t="e">
        <f t="shared" si="3"/>
        <v>#NUM!</v>
      </c>
      <c r="L9" s="117">
        <f>K2</f>
        <v>0</v>
      </c>
      <c r="M9" s="117">
        <f t="shared" si="4"/>
        <v>0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65" si="5">IF(H10&gt;$H$2,"",(ROW()-5))</f>
        <v/>
      </c>
      <c r="C10" s="40"/>
      <c r="D10" s="40"/>
      <c r="E10" s="40"/>
      <c r="F10" s="40"/>
      <c r="G10" s="33"/>
      <c r="H10" s="111">
        <v>5</v>
      </c>
      <c r="I10" s="112" t="str">
        <f t="shared" si="1"/>
        <v/>
      </c>
      <c r="J10" s="112" t="e">
        <f t="shared" si="2"/>
        <v>#NUM!</v>
      </c>
      <c r="K10" s="111" t="e">
        <f t="shared" si="3"/>
        <v>#NUM!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/>
      <c r="D11" s="46"/>
      <c r="E11" s="46"/>
      <c r="F11" s="46"/>
      <c r="G11" s="33"/>
      <c r="H11" s="115">
        <v>6</v>
      </c>
      <c r="I11" s="116" t="str">
        <f t="shared" si="1"/>
        <v/>
      </c>
      <c r="J11" s="116" t="e">
        <f t="shared" si="2"/>
        <v>#NUM!</v>
      </c>
      <c r="K11" s="115" t="e">
        <f t="shared" si="3"/>
        <v>#NUM!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/>
      <c r="D12" s="40"/>
      <c r="E12" s="40"/>
      <c r="F12" s="40"/>
      <c r="G12" s="33"/>
      <c r="H12" s="111">
        <v>7</v>
      </c>
      <c r="I12" s="112" t="str">
        <f t="shared" si="1"/>
        <v/>
      </c>
      <c r="J12" s="112" t="e">
        <f t="shared" si="2"/>
        <v>#NUM!</v>
      </c>
      <c r="K12" s="111" t="e">
        <f t="shared" si="3"/>
        <v>#NUM!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/>
      <c r="D13" s="46"/>
      <c r="E13" s="46"/>
      <c r="F13" s="46"/>
      <c r="G13" s="33"/>
      <c r="H13" s="115">
        <v>8</v>
      </c>
      <c r="I13" s="116" t="str">
        <f t="shared" si="1"/>
        <v/>
      </c>
      <c r="J13" s="116" t="e">
        <f t="shared" si="2"/>
        <v>#NUM!</v>
      </c>
      <c r="K13" s="115" t="e">
        <f t="shared" si="3"/>
        <v>#NUM!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/>
      <c r="D14" s="40"/>
      <c r="E14" s="40"/>
      <c r="F14" s="40"/>
      <c r="G14" s="33"/>
      <c r="H14" s="111">
        <v>9</v>
      </c>
      <c r="I14" s="112" t="str">
        <f t="shared" si="1"/>
        <v/>
      </c>
      <c r="J14" s="112" t="e">
        <f t="shared" si="2"/>
        <v>#NUM!</v>
      </c>
      <c r="K14" s="111" t="e">
        <f t="shared" si="3"/>
        <v>#NUM!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/>
      <c r="D15" s="46"/>
      <c r="E15" s="46"/>
      <c r="F15" s="46"/>
      <c r="G15" s="33"/>
      <c r="H15" s="115">
        <v>10</v>
      </c>
      <c r="I15" s="116" t="str">
        <f t="shared" si="1"/>
        <v/>
      </c>
      <c r="J15" s="116" t="e">
        <f t="shared" si="2"/>
        <v>#NUM!</v>
      </c>
      <c r="K15" s="115" t="e">
        <f t="shared" si="3"/>
        <v>#NUM!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/>
      <c r="D16" s="40"/>
      <c r="E16" s="40"/>
      <c r="F16" s="40"/>
      <c r="G16" s="33"/>
      <c r="H16" s="111">
        <v>11</v>
      </c>
      <c r="I16" s="112" t="str">
        <f t="shared" si="1"/>
        <v/>
      </c>
      <c r="J16" s="112" t="e">
        <f t="shared" si="2"/>
        <v>#NUM!</v>
      </c>
      <c r="K16" s="111" t="e">
        <f t="shared" si="3"/>
        <v>#NUM!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/>
      <c r="D17" s="46"/>
      <c r="E17" s="46"/>
      <c r="F17" s="46"/>
      <c r="G17" s="33"/>
      <c r="H17" s="115">
        <v>12</v>
      </c>
      <c r="I17" s="116" t="str">
        <f t="shared" si="1"/>
        <v/>
      </c>
      <c r="J17" s="116" t="e">
        <f t="shared" si="2"/>
        <v>#NUM!</v>
      </c>
      <c r="K17" s="115" t="e">
        <f t="shared" si="3"/>
        <v>#NUM!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40"/>
      <c r="D18" s="40"/>
      <c r="E18" s="40"/>
      <c r="F18" s="40"/>
      <c r="G18" s="33"/>
      <c r="H18" s="111">
        <v>13</v>
      </c>
      <c r="I18" s="112" t="str">
        <f t="shared" si="1"/>
        <v/>
      </c>
      <c r="J18" s="112" t="e">
        <f t="shared" si="2"/>
        <v>#NUM!</v>
      </c>
      <c r="K18" s="111" t="e">
        <f t="shared" si="3"/>
        <v>#NUM!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/>
      <c r="D19" s="46"/>
      <c r="E19" s="46"/>
      <c r="F19" s="46"/>
      <c r="G19" s="33"/>
      <c r="H19" s="115">
        <v>14</v>
      </c>
      <c r="I19" s="116" t="str">
        <f t="shared" si="1"/>
        <v/>
      </c>
      <c r="J19" s="116" t="e">
        <f t="shared" si="2"/>
        <v>#NUM!</v>
      </c>
      <c r="K19" s="115" t="e">
        <f t="shared" si="3"/>
        <v>#NUM!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/>
      <c r="D20" s="40"/>
      <c r="E20" s="40"/>
      <c r="F20" s="40"/>
      <c r="G20" s="33"/>
      <c r="H20" s="111">
        <v>15</v>
      </c>
      <c r="I20" s="112" t="str">
        <f t="shared" si="1"/>
        <v/>
      </c>
      <c r="J20" s="112" t="e">
        <f t="shared" si="2"/>
        <v>#NUM!</v>
      </c>
      <c r="K20" s="111" t="e">
        <f t="shared" si="3"/>
        <v>#NUM!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/>
      <c r="D21" s="46"/>
      <c r="E21" s="46"/>
      <c r="F21" s="46"/>
      <c r="G21" s="33"/>
      <c r="H21" s="115">
        <v>16</v>
      </c>
      <c r="I21" s="116" t="str">
        <f t="shared" si="1"/>
        <v/>
      </c>
      <c r="J21" s="116" t="e">
        <f t="shared" si="2"/>
        <v>#NUM!</v>
      </c>
      <c r="K21" s="115" t="e">
        <f t="shared" si="3"/>
        <v>#NUM!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/>
      <c r="D22" s="40"/>
      <c r="E22" s="40"/>
      <c r="F22" s="40"/>
      <c r="G22" s="33"/>
      <c r="H22" s="111">
        <v>17</v>
      </c>
      <c r="I22" s="112" t="str">
        <f t="shared" si="1"/>
        <v/>
      </c>
      <c r="J22" s="112" t="e">
        <f t="shared" si="2"/>
        <v>#NUM!</v>
      </c>
      <c r="K22" s="111" t="e">
        <f t="shared" si="3"/>
        <v>#NUM!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/>
      <c r="D23" s="46"/>
      <c r="E23" s="46"/>
      <c r="F23" s="46"/>
      <c r="G23" s="33"/>
      <c r="H23" s="115">
        <v>18</v>
      </c>
      <c r="I23" s="116" t="str">
        <f t="shared" si="1"/>
        <v/>
      </c>
      <c r="J23" s="116" t="e">
        <f t="shared" si="2"/>
        <v>#NUM!</v>
      </c>
      <c r="K23" s="115" t="e">
        <f t="shared" si="3"/>
        <v>#NUM!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/>
      <c r="D24" s="40"/>
      <c r="E24" s="40"/>
      <c r="F24" s="40"/>
      <c r="G24" s="33"/>
      <c r="H24" s="111">
        <v>19</v>
      </c>
      <c r="I24" s="112" t="str">
        <f t="shared" si="1"/>
        <v/>
      </c>
      <c r="J24" s="112" t="e">
        <f t="shared" si="2"/>
        <v>#NUM!</v>
      </c>
      <c r="K24" s="111" t="e">
        <f t="shared" si="3"/>
        <v>#NUM!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6" t="e">
        <f t="shared" si="2"/>
        <v>#NUM!</v>
      </c>
      <c r="K25" s="115" t="e">
        <f t="shared" si="3"/>
        <v>#NUM!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2" t="e">
        <f t="shared" si="2"/>
        <v>#NUM!</v>
      </c>
      <c r="K26" s="111" t="e">
        <f t="shared" si="3"/>
        <v>#NUM!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6" t="e">
        <f t="shared" si="2"/>
        <v>#NUM!</v>
      </c>
      <c r="K27" s="115" t="e">
        <f t="shared" si="3"/>
        <v>#NUM!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2" t="e">
        <f t="shared" si="2"/>
        <v>#NUM!</v>
      </c>
      <c r="K28" s="111" t="e">
        <f t="shared" si="3"/>
        <v>#NUM!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6" t="e">
        <f t="shared" si="2"/>
        <v>#NUM!</v>
      </c>
      <c r="K29" s="115" t="e">
        <f t="shared" si="3"/>
        <v>#NUM!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2" t="e">
        <f t="shared" si="2"/>
        <v>#NUM!</v>
      </c>
      <c r="K30" s="111" t="e">
        <f t="shared" si="3"/>
        <v>#NUM!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6" t="e">
        <f t="shared" si="2"/>
        <v>#NUM!</v>
      </c>
      <c r="K31" s="115" t="e">
        <f t="shared" si="3"/>
        <v>#NUM!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2" t="e">
        <f t="shared" si="2"/>
        <v>#NUM!</v>
      </c>
      <c r="K32" s="111" t="e">
        <f t="shared" si="3"/>
        <v>#NUM!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21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6" t="e">
        <f t="shared" si="2"/>
        <v>#NUM!</v>
      </c>
      <c r="K33" s="115" t="e">
        <f t="shared" si="3"/>
        <v>#NUM!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21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2" t="e">
        <f t="shared" si="2"/>
        <v>#NUM!</v>
      </c>
      <c r="K34" s="111" t="e">
        <f t="shared" si="3"/>
        <v>#NUM!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21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6" t="e">
        <f t="shared" si="2"/>
        <v>#NUM!</v>
      </c>
      <c r="K35" s="115" t="e">
        <f t="shared" si="3"/>
        <v>#NUM!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21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2" t="e">
        <f t="shared" si="2"/>
        <v>#NUM!</v>
      </c>
      <c r="K36" s="111" t="e">
        <f t="shared" si="3"/>
        <v>#NUM!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21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6" t="e">
        <f t="shared" si="2"/>
        <v>#NUM!</v>
      </c>
      <c r="K37" s="115" t="e">
        <f t="shared" si="3"/>
        <v>#NUM!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21" s="101" customFormat="1">
      <c r="A38" s="110"/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2" t="e">
        <f t="shared" si="2"/>
        <v>#NUM!</v>
      </c>
      <c r="K38" s="111" t="e">
        <f t="shared" si="3"/>
        <v>#NUM!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21" s="101" customFormat="1">
      <c r="A39" s="114"/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6" t="e">
        <f t="shared" si="2"/>
        <v>#NUM!</v>
      </c>
      <c r="K39" s="115" t="e">
        <f t="shared" si="3"/>
        <v>#NUM!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21" s="101" customFormat="1">
      <c r="A40" s="110"/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2" t="e">
        <f t="shared" si="2"/>
        <v>#NUM!</v>
      </c>
      <c r="K40" s="111" t="e">
        <f t="shared" si="3"/>
        <v>#NUM!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21" s="101" customFormat="1">
      <c r="A41" s="114"/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6" t="e">
        <f t="shared" si="2"/>
        <v>#NUM!</v>
      </c>
      <c r="K41" s="115" t="e">
        <f t="shared" si="3"/>
        <v>#NUM!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21" s="101" customFormat="1">
      <c r="A42" s="110"/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2" t="e">
        <f t="shared" si="2"/>
        <v>#NUM!</v>
      </c>
      <c r="K42" s="111" t="e">
        <f t="shared" si="3"/>
        <v>#NUM!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21" s="101" customFormat="1">
      <c r="A43" s="114"/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6" t="e">
        <f t="shared" si="2"/>
        <v>#NUM!</v>
      </c>
      <c r="K43" s="115" t="e">
        <f t="shared" si="3"/>
        <v>#NUM!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21" s="101" customFormat="1">
      <c r="A44" s="110"/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2" t="e">
        <f t="shared" si="2"/>
        <v>#NUM!</v>
      </c>
      <c r="K44" s="111" t="e">
        <f t="shared" si="3"/>
        <v>#NUM!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21" s="101" customFormat="1">
      <c r="A45" s="114"/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6" t="e">
        <f t="shared" si="2"/>
        <v>#NUM!</v>
      </c>
      <c r="K45" s="115" t="e">
        <f t="shared" si="3"/>
        <v>#NUM!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21" s="101" customFormat="1">
      <c r="A46" s="110"/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2" t="e">
        <f t="shared" si="2"/>
        <v>#NUM!</v>
      </c>
      <c r="K46" s="111" t="e">
        <f t="shared" si="3"/>
        <v>#NUM!</v>
      </c>
      <c r="L46" s="111"/>
      <c r="M46" s="113">
        <f t="shared" si="4"/>
        <v>0</v>
      </c>
      <c r="N46" s="96"/>
      <c r="O46" s="96"/>
      <c r="P46" s="96"/>
      <c r="Q46" s="96"/>
      <c r="R46" s="96" t="e">
        <f>LOG($H$2,2)</f>
        <v>#NUM!</v>
      </c>
      <c r="T46" s="101">
        <f>LOG(H38,2)</f>
        <v>5.0443941193584534</v>
      </c>
      <c r="U46" s="101" t="e">
        <f>R46-T46</f>
        <v>#NUM!</v>
      </c>
    </row>
    <row r="47" spans="1:21" s="101" customFormat="1">
      <c r="A47" s="114"/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6" t="e">
        <f t="shared" si="2"/>
        <v>#NUM!</v>
      </c>
      <c r="K47" s="115" t="e">
        <f t="shared" si="3"/>
        <v>#NUM!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21" s="101" customFormat="1">
      <c r="A48" s="110"/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2" t="e">
        <f t="shared" si="2"/>
        <v>#NUM!</v>
      </c>
      <c r="K48" s="111" t="e">
        <f t="shared" si="3"/>
        <v>#NUM!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 s="96" customFormat="1">
      <c r="A49" s="114"/>
      <c r="B49" s="45" t="str">
        <f t="shared" si="5"/>
        <v/>
      </c>
      <c r="C49" s="46"/>
      <c r="D49" s="46"/>
      <c r="E49" s="46"/>
      <c r="F49" s="46"/>
      <c r="H49" s="115">
        <v>44</v>
      </c>
      <c r="I49" s="116" t="str">
        <f t="shared" si="1"/>
        <v/>
      </c>
      <c r="J49" s="116" t="e">
        <f t="shared" si="2"/>
        <v>#NUM!</v>
      </c>
      <c r="K49" s="115" t="e">
        <f t="shared" si="3"/>
        <v>#NUM!</v>
      </c>
      <c r="L49" s="115"/>
      <c r="M49" s="117">
        <f t="shared" si="4"/>
        <v>0</v>
      </c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s="96" customFormat="1">
      <c r="A50" s="110"/>
      <c r="B50" s="39" t="str">
        <f t="shared" si="5"/>
        <v/>
      </c>
      <c r="C50" s="40"/>
      <c r="D50" s="40"/>
      <c r="E50" s="40"/>
      <c r="F50" s="40"/>
      <c r="H50" s="111">
        <v>45</v>
      </c>
      <c r="I50" s="112" t="str">
        <f t="shared" si="1"/>
        <v/>
      </c>
      <c r="J50" s="112" t="e">
        <f t="shared" si="2"/>
        <v>#NUM!</v>
      </c>
      <c r="K50" s="111" t="e">
        <f t="shared" si="3"/>
        <v>#NUM!</v>
      </c>
      <c r="L50" s="111"/>
      <c r="M50" s="113">
        <f t="shared" si="4"/>
        <v>0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s="96" customFormat="1">
      <c r="A51" s="114"/>
      <c r="B51" s="45" t="str">
        <f t="shared" si="5"/>
        <v/>
      </c>
      <c r="C51" s="46"/>
      <c r="D51" s="46"/>
      <c r="E51" s="46"/>
      <c r="F51" s="46"/>
      <c r="H51" s="115">
        <v>46</v>
      </c>
      <c r="I51" s="116" t="str">
        <f t="shared" si="1"/>
        <v/>
      </c>
      <c r="J51" s="116" t="e">
        <f t="shared" si="2"/>
        <v>#NUM!</v>
      </c>
      <c r="K51" s="115" t="e">
        <f t="shared" si="3"/>
        <v>#NUM!</v>
      </c>
      <c r="L51" s="115"/>
      <c r="M51" s="117">
        <f t="shared" si="4"/>
        <v>0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s="96" customFormat="1">
      <c r="A52" s="110"/>
      <c r="B52" s="39" t="str">
        <f t="shared" si="5"/>
        <v/>
      </c>
      <c r="C52" s="40"/>
      <c r="D52" s="40"/>
      <c r="E52" s="40"/>
      <c r="F52" s="40"/>
      <c r="H52" s="111">
        <v>47</v>
      </c>
      <c r="I52" s="112" t="str">
        <f t="shared" si="1"/>
        <v/>
      </c>
      <c r="J52" s="112" t="e">
        <f t="shared" si="2"/>
        <v>#NUM!</v>
      </c>
      <c r="K52" s="111" t="e">
        <f t="shared" si="3"/>
        <v>#NUM!</v>
      </c>
      <c r="L52" s="111"/>
      <c r="M52" s="113">
        <f t="shared" si="4"/>
        <v>0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s="96" customFormat="1">
      <c r="A53" s="114"/>
      <c r="B53" s="45" t="str">
        <f t="shared" si="5"/>
        <v/>
      </c>
      <c r="C53" s="46"/>
      <c r="D53" s="46"/>
      <c r="E53" s="46"/>
      <c r="F53" s="46"/>
      <c r="H53" s="115">
        <v>48</v>
      </c>
      <c r="I53" s="116" t="str">
        <f t="shared" si="1"/>
        <v/>
      </c>
      <c r="J53" s="116" t="e">
        <f t="shared" si="2"/>
        <v>#NUM!</v>
      </c>
      <c r="K53" s="115" t="e">
        <f t="shared" si="3"/>
        <v>#NUM!</v>
      </c>
      <c r="L53" s="115"/>
      <c r="M53" s="117">
        <f t="shared" si="4"/>
        <v>0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s="96" customFormat="1">
      <c r="A54" s="110"/>
      <c r="B54" s="39" t="str">
        <f t="shared" si="5"/>
        <v/>
      </c>
      <c r="C54" s="40"/>
      <c r="D54" s="40"/>
      <c r="E54" s="40"/>
      <c r="F54" s="40"/>
      <c r="H54" s="111">
        <v>49</v>
      </c>
      <c r="I54" s="112" t="str">
        <f t="shared" si="1"/>
        <v/>
      </c>
      <c r="J54" s="112" t="e">
        <f t="shared" si="2"/>
        <v>#NUM!</v>
      </c>
      <c r="K54" s="111" t="e">
        <f t="shared" si="3"/>
        <v>#NUM!</v>
      </c>
      <c r="L54" s="111"/>
      <c r="M54" s="113">
        <f t="shared" si="4"/>
        <v>0</v>
      </c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s="96" customFormat="1">
      <c r="A55" s="114"/>
      <c r="B55" s="45" t="str">
        <f t="shared" si="5"/>
        <v/>
      </c>
      <c r="C55" s="46"/>
      <c r="D55" s="46"/>
      <c r="E55" s="46"/>
      <c r="F55" s="46"/>
      <c r="H55" s="115">
        <v>50</v>
      </c>
      <c r="I55" s="116" t="str">
        <f t="shared" si="1"/>
        <v/>
      </c>
      <c r="J55" s="116" t="e">
        <f t="shared" si="2"/>
        <v>#NUM!</v>
      </c>
      <c r="K55" s="115" t="e">
        <f t="shared" si="3"/>
        <v>#NUM!</v>
      </c>
      <c r="L55" s="115"/>
      <c r="M55" s="117">
        <f t="shared" si="4"/>
        <v>0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s="96" customFormat="1">
      <c r="A56" s="110"/>
      <c r="B56" s="39" t="str">
        <f t="shared" si="5"/>
        <v/>
      </c>
      <c r="C56" s="40"/>
      <c r="D56" s="40"/>
      <c r="E56" s="40"/>
      <c r="F56" s="40"/>
      <c r="H56" s="111">
        <v>51</v>
      </c>
      <c r="I56" s="112" t="str">
        <f t="shared" si="1"/>
        <v/>
      </c>
      <c r="J56" s="112" t="e">
        <f t="shared" si="2"/>
        <v>#NUM!</v>
      </c>
      <c r="K56" s="111" t="e">
        <f t="shared" si="3"/>
        <v>#NUM!</v>
      </c>
      <c r="L56" s="111"/>
      <c r="M56" s="113">
        <f t="shared" si="4"/>
        <v>0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s="96" customFormat="1">
      <c r="A57" s="114"/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6" t="e">
        <f t="shared" si="2"/>
        <v>#NUM!</v>
      </c>
      <c r="K57" s="115" t="e">
        <f t="shared" si="3"/>
        <v>#NUM!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10"/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2" t="e">
        <f t="shared" si="2"/>
        <v>#NUM!</v>
      </c>
      <c r="K58" s="111" t="e">
        <f t="shared" si="3"/>
        <v>#NUM!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14"/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6" t="e">
        <f t="shared" si="2"/>
        <v>#NUM!</v>
      </c>
      <c r="K59" s="115" t="e">
        <f t="shared" si="3"/>
        <v>#NUM!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10"/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2" t="e">
        <f t="shared" si="2"/>
        <v>#NUM!</v>
      </c>
      <c r="K60" s="111" t="e">
        <f t="shared" si="3"/>
        <v>#NUM!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14"/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6" t="e">
        <f t="shared" si="2"/>
        <v>#NUM!</v>
      </c>
      <c r="K61" s="115" t="e">
        <f t="shared" si="3"/>
        <v>#NUM!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10"/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2" t="e">
        <f t="shared" si="2"/>
        <v>#NUM!</v>
      </c>
      <c r="K62" s="111" t="e">
        <f t="shared" si="3"/>
        <v>#NUM!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14"/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6" t="e">
        <f t="shared" si="2"/>
        <v>#NUM!</v>
      </c>
      <c r="K63" s="115" t="e">
        <f t="shared" si="3"/>
        <v>#NUM!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10"/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2" t="e">
        <f t="shared" si="2"/>
        <v>#NUM!</v>
      </c>
      <c r="K64" s="111" t="e">
        <f t="shared" si="3"/>
        <v>#NUM!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14"/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6" t="e">
        <f t="shared" si="2"/>
        <v>#NUM!</v>
      </c>
      <c r="K65" s="115" t="e">
        <f t="shared" si="3"/>
        <v>#NUM!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32"/>
      <c r="B66" s="39"/>
      <c r="C66" s="131"/>
      <c r="D66" s="131"/>
      <c r="E66" s="131"/>
      <c r="F66" s="131"/>
      <c r="H66" s="111">
        <v>61</v>
      </c>
      <c r="I66" s="112" t="str">
        <f t="shared" si="1"/>
        <v/>
      </c>
      <c r="J66" s="112" t="e">
        <f t="shared" si="2"/>
        <v>#NUM!</v>
      </c>
      <c r="K66" s="111" t="e">
        <f t="shared" si="3"/>
        <v>#NUM!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32"/>
      <c r="B67" s="45"/>
      <c r="C67" s="131"/>
      <c r="D67" s="131"/>
      <c r="E67" s="131"/>
      <c r="F67" s="131"/>
      <c r="H67" s="111">
        <v>62</v>
      </c>
      <c r="I67" s="112" t="str">
        <f t="shared" si="1"/>
        <v/>
      </c>
      <c r="J67" s="112" t="e">
        <f t="shared" si="2"/>
        <v>#NUM!</v>
      </c>
      <c r="K67" s="111" t="e">
        <f t="shared" si="3"/>
        <v>#NUM!</v>
      </c>
      <c r="L67" s="111"/>
      <c r="M67" s="113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32"/>
      <c r="B68" s="39"/>
      <c r="C68" s="131"/>
      <c r="D68" s="131"/>
      <c r="E68" s="131"/>
      <c r="F68" s="131"/>
      <c r="H68" s="111">
        <v>63</v>
      </c>
      <c r="I68" s="112" t="str">
        <f t="shared" si="1"/>
        <v/>
      </c>
      <c r="J68" s="112" t="e">
        <f t="shared" si="2"/>
        <v>#NUM!</v>
      </c>
      <c r="K68" s="111" t="e">
        <f t="shared" si="3"/>
        <v>#NUM!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32"/>
      <c r="B69" s="45"/>
      <c r="C69" s="131"/>
      <c r="D69" s="131"/>
      <c r="E69" s="131"/>
      <c r="F69" s="131"/>
      <c r="H69" s="111">
        <v>64</v>
      </c>
      <c r="I69" s="112" t="str">
        <f t="shared" si="1"/>
        <v/>
      </c>
      <c r="J69" s="112" t="e">
        <f t="shared" si="2"/>
        <v>#NUM!</v>
      </c>
      <c r="K69" s="111" t="e">
        <f t="shared" si="3"/>
        <v>#NUM!</v>
      </c>
      <c r="L69" s="111"/>
      <c r="M69" s="113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32"/>
      <c r="B70" s="131"/>
      <c r="C70" s="131"/>
      <c r="D70" s="131"/>
      <c r="E70" s="131"/>
      <c r="F70" s="131"/>
      <c r="H70" s="111">
        <v>65</v>
      </c>
      <c r="I70" s="112" t="str">
        <f t="shared" ref="I70:I133" si="6">IF(H70&lt;$H$2+1,($I$2-($I$2-1)*(LOG(H70)/LOG($H$2))),"")</f>
        <v/>
      </c>
      <c r="J70" s="112" t="e">
        <f t="shared" ref="J70:J133" si="7">INT(LOG($H$2,2))-ROUNDUP(LOG(H70,2),0)+IF(OR($H$2=1,$H$2=2,$H$2=4,$H$2=8,$H$2=16,$H$2=32,$H$2=64,$H$2=128,$H$2=256),0,1)</f>
        <v>#NUM!</v>
      </c>
      <c r="K70" s="111" t="e">
        <f t="shared" ref="K70:K133" si="8">J70*$J$2</f>
        <v>#NUM!</v>
      </c>
      <c r="L70" s="111"/>
      <c r="M70" s="113">
        <f t="shared" ref="M70:M133" si="9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32"/>
      <c r="B71" s="131"/>
      <c r="C71" s="131"/>
      <c r="D71" s="131"/>
      <c r="E71" s="131"/>
      <c r="F71" s="131"/>
      <c r="H71" s="111">
        <v>66</v>
      </c>
      <c r="I71" s="112" t="str">
        <f t="shared" si="6"/>
        <v/>
      </c>
      <c r="J71" s="112" t="e">
        <f t="shared" si="7"/>
        <v>#NUM!</v>
      </c>
      <c r="K71" s="111" t="e">
        <f t="shared" si="8"/>
        <v>#NUM!</v>
      </c>
      <c r="L71" s="111"/>
      <c r="M71" s="113">
        <f t="shared" si="9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32"/>
      <c r="B72" s="131"/>
      <c r="C72" s="131"/>
      <c r="D72" s="131"/>
      <c r="E72" s="131"/>
      <c r="F72" s="131"/>
      <c r="H72" s="111">
        <v>67</v>
      </c>
      <c r="I72" s="112" t="str">
        <f t="shared" si="6"/>
        <v/>
      </c>
      <c r="J72" s="112" t="e">
        <f t="shared" si="7"/>
        <v>#NUM!</v>
      </c>
      <c r="K72" s="111" t="e">
        <f t="shared" si="8"/>
        <v>#NUM!</v>
      </c>
      <c r="L72" s="111"/>
      <c r="M72" s="113">
        <f t="shared" si="9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32"/>
      <c r="B73" s="131"/>
      <c r="C73" s="131"/>
      <c r="D73" s="131"/>
      <c r="E73" s="131"/>
      <c r="F73" s="131"/>
      <c r="H73" s="111">
        <v>68</v>
      </c>
      <c r="I73" s="112" t="str">
        <f t="shared" si="6"/>
        <v/>
      </c>
      <c r="J73" s="112" t="e">
        <f t="shared" si="7"/>
        <v>#NUM!</v>
      </c>
      <c r="K73" s="111" t="e">
        <f t="shared" si="8"/>
        <v>#NUM!</v>
      </c>
      <c r="L73" s="111"/>
      <c r="M73" s="113">
        <f t="shared" si="9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32"/>
      <c r="B74" s="131"/>
      <c r="C74" s="131"/>
      <c r="D74" s="131"/>
      <c r="E74" s="131"/>
      <c r="F74" s="131"/>
      <c r="H74" s="111">
        <v>69</v>
      </c>
      <c r="I74" s="112" t="str">
        <f t="shared" si="6"/>
        <v/>
      </c>
      <c r="J74" s="112" t="e">
        <f t="shared" si="7"/>
        <v>#NUM!</v>
      </c>
      <c r="K74" s="111" t="e">
        <f t="shared" si="8"/>
        <v>#NUM!</v>
      </c>
      <c r="L74" s="111"/>
      <c r="M74" s="113">
        <f t="shared" si="9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32"/>
      <c r="B75" s="131"/>
      <c r="C75" s="131"/>
      <c r="D75" s="131"/>
      <c r="E75" s="131"/>
      <c r="F75" s="131"/>
      <c r="H75" s="111">
        <v>70</v>
      </c>
      <c r="I75" s="112" t="str">
        <f t="shared" si="6"/>
        <v/>
      </c>
      <c r="J75" s="112" t="e">
        <f t="shared" si="7"/>
        <v>#NUM!</v>
      </c>
      <c r="K75" s="111" t="e">
        <f t="shared" si="8"/>
        <v>#NUM!</v>
      </c>
      <c r="L75" s="111"/>
      <c r="M75" s="113">
        <f t="shared" si="9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32"/>
      <c r="B76" s="131"/>
      <c r="C76" s="131"/>
      <c r="D76" s="131"/>
      <c r="E76" s="131"/>
      <c r="F76" s="131"/>
      <c r="H76" s="111">
        <v>71</v>
      </c>
      <c r="I76" s="112" t="str">
        <f t="shared" si="6"/>
        <v/>
      </c>
      <c r="J76" s="112" t="e">
        <f t="shared" si="7"/>
        <v>#NUM!</v>
      </c>
      <c r="K76" s="111" t="e">
        <f t="shared" si="8"/>
        <v>#NUM!</v>
      </c>
      <c r="L76" s="111"/>
      <c r="M76" s="113">
        <f t="shared" si="9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32"/>
      <c r="B77" s="131"/>
      <c r="C77" s="131"/>
      <c r="D77" s="131"/>
      <c r="E77" s="131"/>
      <c r="F77" s="131"/>
      <c r="H77" s="111">
        <v>72</v>
      </c>
      <c r="I77" s="112" t="str">
        <f t="shared" si="6"/>
        <v/>
      </c>
      <c r="J77" s="112" t="e">
        <f t="shared" si="7"/>
        <v>#NUM!</v>
      </c>
      <c r="K77" s="111" t="e">
        <f t="shared" si="8"/>
        <v>#NUM!</v>
      </c>
      <c r="L77" s="111"/>
      <c r="M77" s="113">
        <f t="shared" si="9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32"/>
      <c r="B78" s="131"/>
      <c r="C78" s="131"/>
      <c r="D78" s="131"/>
      <c r="E78" s="131"/>
      <c r="F78" s="131"/>
      <c r="H78" s="111">
        <v>73</v>
      </c>
      <c r="I78" s="112" t="str">
        <f t="shared" si="6"/>
        <v/>
      </c>
      <c r="J78" s="112" t="e">
        <f t="shared" si="7"/>
        <v>#NUM!</v>
      </c>
      <c r="K78" s="111" t="e">
        <f t="shared" si="8"/>
        <v>#NUM!</v>
      </c>
      <c r="L78" s="111"/>
      <c r="M78" s="113">
        <f t="shared" si="9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32"/>
      <c r="B79" s="131"/>
      <c r="C79" s="131"/>
      <c r="D79" s="131"/>
      <c r="E79" s="131"/>
      <c r="F79" s="131"/>
      <c r="H79" s="111">
        <v>74</v>
      </c>
      <c r="I79" s="112" t="str">
        <f t="shared" si="6"/>
        <v/>
      </c>
      <c r="J79" s="112" t="e">
        <f t="shared" si="7"/>
        <v>#NUM!</v>
      </c>
      <c r="K79" s="111" t="e">
        <f t="shared" si="8"/>
        <v>#NUM!</v>
      </c>
      <c r="L79" s="111"/>
      <c r="M79" s="113">
        <f t="shared" si="9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32"/>
      <c r="B80" s="131"/>
      <c r="C80" s="131"/>
      <c r="D80" s="131"/>
      <c r="E80" s="131"/>
      <c r="F80" s="131"/>
      <c r="H80" s="111">
        <v>75</v>
      </c>
      <c r="I80" s="112" t="str">
        <f t="shared" si="6"/>
        <v/>
      </c>
      <c r="J80" s="112" t="e">
        <f t="shared" si="7"/>
        <v>#NUM!</v>
      </c>
      <c r="K80" s="111" t="e">
        <f t="shared" si="8"/>
        <v>#NUM!</v>
      </c>
      <c r="L80" s="111"/>
      <c r="M80" s="113">
        <f t="shared" si="9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32"/>
      <c r="B81" s="131"/>
      <c r="C81" s="131"/>
      <c r="D81" s="131"/>
      <c r="E81" s="131"/>
      <c r="F81" s="131"/>
      <c r="H81" s="111">
        <v>76</v>
      </c>
      <c r="I81" s="112" t="str">
        <f t="shared" si="6"/>
        <v/>
      </c>
      <c r="J81" s="112" t="e">
        <f t="shared" si="7"/>
        <v>#NUM!</v>
      </c>
      <c r="K81" s="111" t="e">
        <f t="shared" si="8"/>
        <v>#NUM!</v>
      </c>
      <c r="L81" s="111"/>
      <c r="M81" s="113">
        <f t="shared" si="9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32"/>
      <c r="B82" s="131"/>
      <c r="C82" s="131"/>
      <c r="D82" s="131"/>
      <c r="E82" s="131"/>
      <c r="F82" s="131"/>
      <c r="H82" s="111">
        <v>77</v>
      </c>
      <c r="I82" s="112" t="str">
        <f t="shared" si="6"/>
        <v/>
      </c>
      <c r="J82" s="112" t="e">
        <f t="shared" si="7"/>
        <v>#NUM!</v>
      </c>
      <c r="K82" s="111" t="e">
        <f t="shared" si="8"/>
        <v>#NUM!</v>
      </c>
      <c r="L82" s="111"/>
      <c r="M82" s="113">
        <f t="shared" si="9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32"/>
      <c r="B83" s="131"/>
      <c r="C83" s="131"/>
      <c r="D83" s="131"/>
      <c r="E83" s="131"/>
      <c r="F83" s="131"/>
      <c r="H83" s="111">
        <v>78</v>
      </c>
      <c r="I83" s="112" t="str">
        <f t="shared" si="6"/>
        <v/>
      </c>
      <c r="J83" s="112" t="e">
        <f t="shared" si="7"/>
        <v>#NUM!</v>
      </c>
      <c r="K83" s="111" t="e">
        <f t="shared" si="8"/>
        <v>#NUM!</v>
      </c>
      <c r="L83" s="111"/>
      <c r="M83" s="113">
        <f t="shared" si="9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32"/>
      <c r="B84" s="131"/>
      <c r="C84" s="131"/>
      <c r="D84" s="131"/>
      <c r="E84" s="131"/>
      <c r="F84" s="131"/>
      <c r="H84" s="111">
        <v>79</v>
      </c>
      <c r="I84" s="112" t="str">
        <f t="shared" si="6"/>
        <v/>
      </c>
      <c r="J84" s="112" t="e">
        <f t="shared" si="7"/>
        <v>#NUM!</v>
      </c>
      <c r="K84" s="111" t="e">
        <f t="shared" si="8"/>
        <v>#NUM!</v>
      </c>
      <c r="L84" s="111"/>
      <c r="M84" s="113">
        <f t="shared" si="9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32"/>
      <c r="B85" s="131"/>
      <c r="C85" s="131"/>
      <c r="D85" s="131"/>
      <c r="E85" s="131"/>
      <c r="F85" s="131"/>
      <c r="H85" s="111">
        <v>80</v>
      </c>
      <c r="I85" s="112" t="str">
        <f t="shared" si="6"/>
        <v/>
      </c>
      <c r="J85" s="112" t="e">
        <f t="shared" si="7"/>
        <v>#NUM!</v>
      </c>
      <c r="K85" s="111" t="e">
        <f t="shared" si="8"/>
        <v>#NUM!</v>
      </c>
      <c r="L85" s="111"/>
      <c r="M85" s="113">
        <f t="shared" si="9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32"/>
      <c r="B86" s="131"/>
      <c r="C86" s="131"/>
      <c r="D86" s="131"/>
      <c r="E86" s="131"/>
      <c r="F86" s="131"/>
      <c r="H86" s="111">
        <v>81</v>
      </c>
      <c r="I86" s="112" t="str">
        <f t="shared" si="6"/>
        <v/>
      </c>
      <c r="J86" s="112" t="e">
        <f t="shared" si="7"/>
        <v>#NUM!</v>
      </c>
      <c r="K86" s="111" t="e">
        <f t="shared" si="8"/>
        <v>#NUM!</v>
      </c>
      <c r="L86" s="111"/>
      <c r="M86" s="113">
        <f t="shared" si="9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32"/>
      <c r="B87" s="131"/>
      <c r="C87" s="131"/>
      <c r="D87" s="131"/>
      <c r="E87" s="131"/>
      <c r="F87" s="131"/>
      <c r="H87" s="111">
        <v>82</v>
      </c>
      <c r="I87" s="112" t="str">
        <f t="shared" si="6"/>
        <v/>
      </c>
      <c r="J87" s="112" t="e">
        <f t="shared" si="7"/>
        <v>#NUM!</v>
      </c>
      <c r="K87" s="111" t="e">
        <f t="shared" si="8"/>
        <v>#NUM!</v>
      </c>
      <c r="L87" s="111"/>
      <c r="M87" s="113">
        <f t="shared" si="9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32"/>
      <c r="B88" s="131"/>
      <c r="C88" s="131"/>
      <c r="D88" s="131"/>
      <c r="E88" s="131"/>
      <c r="F88" s="131"/>
      <c r="H88" s="111">
        <v>83</v>
      </c>
      <c r="I88" s="112" t="str">
        <f t="shared" si="6"/>
        <v/>
      </c>
      <c r="J88" s="112" t="e">
        <f t="shared" si="7"/>
        <v>#NUM!</v>
      </c>
      <c r="K88" s="111" t="e">
        <f t="shared" si="8"/>
        <v>#NUM!</v>
      </c>
      <c r="L88" s="111"/>
      <c r="M88" s="113">
        <f t="shared" si="9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32"/>
      <c r="B89" s="131"/>
      <c r="C89" s="131"/>
      <c r="D89" s="131"/>
      <c r="E89" s="131"/>
      <c r="F89" s="131"/>
      <c r="H89" s="111">
        <v>84</v>
      </c>
      <c r="I89" s="112" t="str">
        <f t="shared" si="6"/>
        <v/>
      </c>
      <c r="J89" s="112" t="e">
        <f t="shared" si="7"/>
        <v>#NUM!</v>
      </c>
      <c r="K89" s="111" t="e">
        <f t="shared" si="8"/>
        <v>#NUM!</v>
      </c>
      <c r="L89" s="111"/>
      <c r="M89" s="113">
        <f t="shared" si="9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32"/>
      <c r="B90" s="131"/>
      <c r="C90" s="131"/>
      <c r="D90" s="131"/>
      <c r="E90" s="131"/>
      <c r="F90" s="131"/>
      <c r="H90" s="111">
        <v>85</v>
      </c>
      <c r="I90" s="112" t="str">
        <f t="shared" si="6"/>
        <v/>
      </c>
      <c r="J90" s="112" t="e">
        <f t="shared" si="7"/>
        <v>#NUM!</v>
      </c>
      <c r="K90" s="111" t="e">
        <f t="shared" si="8"/>
        <v>#NUM!</v>
      </c>
      <c r="L90" s="111"/>
      <c r="M90" s="113">
        <f t="shared" si="9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32"/>
      <c r="B91" s="131"/>
      <c r="C91" s="131"/>
      <c r="D91" s="131"/>
      <c r="E91" s="131"/>
      <c r="F91" s="131"/>
      <c r="H91" s="111">
        <v>86</v>
      </c>
      <c r="I91" s="112" t="str">
        <f t="shared" si="6"/>
        <v/>
      </c>
      <c r="J91" s="112" t="e">
        <f t="shared" si="7"/>
        <v>#NUM!</v>
      </c>
      <c r="K91" s="111" t="e">
        <f t="shared" si="8"/>
        <v>#NUM!</v>
      </c>
      <c r="L91" s="111"/>
      <c r="M91" s="113">
        <f t="shared" si="9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32"/>
      <c r="B92" s="131"/>
      <c r="C92" s="131"/>
      <c r="D92" s="131"/>
      <c r="E92" s="131"/>
      <c r="F92" s="131"/>
      <c r="H92" s="111">
        <v>87</v>
      </c>
      <c r="I92" s="112" t="str">
        <f t="shared" si="6"/>
        <v/>
      </c>
      <c r="J92" s="112" t="e">
        <f t="shared" si="7"/>
        <v>#NUM!</v>
      </c>
      <c r="K92" s="111" t="e">
        <f t="shared" si="8"/>
        <v>#NUM!</v>
      </c>
      <c r="L92" s="111"/>
      <c r="M92" s="113">
        <f t="shared" si="9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32"/>
      <c r="B93" s="131"/>
      <c r="C93" s="131"/>
      <c r="D93" s="131"/>
      <c r="E93" s="131"/>
      <c r="F93" s="131"/>
      <c r="H93" s="111">
        <v>88</v>
      </c>
      <c r="I93" s="112" t="str">
        <f t="shared" si="6"/>
        <v/>
      </c>
      <c r="J93" s="112" t="e">
        <f t="shared" si="7"/>
        <v>#NUM!</v>
      </c>
      <c r="K93" s="111" t="e">
        <f t="shared" si="8"/>
        <v>#NUM!</v>
      </c>
      <c r="L93" s="111"/>
      <c r="M93" s="113">
        <f t="shared" si="9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32"/>
      <c r="B94" s="131"/>
      <c r="C94" s="131"/>
      <c r="D94" s="131"/>
      <c r="E94" s="131"/>
      <c r="F94" s="131"/>
      <c r="H94" s="111">
        <v>89</v>
      </c>
      <c r="I94" s="112" t="str">
        <f t="shared" si="6"/>
        <v/>
      </c>
      <c r="J94" s="112" t="e">
        <f t="shared" si="7"/>
        <v>#NUM!</v>
      </c>
      <c r="K94" s="111" t="e">
        <f t="shared" si="8"/>
        <v>#NUM!</v>
      </c>
      <c r="L94" s="111"/>
      <c r="M94" s="113">
        <f t="shared" si="9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32"/>
      <c r="B95" s="131"/>
      <c r="C95" s="131"/>
      <c r="D95" s="131"/>
      <c r="E95" s="131"/>
      <c r="F95" s="131"/>
      <c r="H95" s="111">
        <v>90</v>
      </c>
      <c r="I95" s="112" t="str">
        <f t="shared" si="6"/>
        <v/>
      </c>
      <c r="J95" s="112" t="e">
        <f t="shared" si="7"/>
        <v>#NUM!</v>
      </c>
      <c r="K95" s="111" t="e">
        <f t="shared" si="8"/>
        <v>#NUM!</v>
      </c>
      <c r="L95" s="111"/>
      <c r="M95" s="113">
        <f t="shared" si="9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32"/>
      <c r="B96" s="131"/>
      <c r="C96" s="131"/>
      <c r="D96" s="131"/>
      <c r="E96" s="131"/>
      <c r="F96" s="131"/>
      <c r="H96" s="111">
        <v>91</v>
      </c>
      <c r="I96" s="112" t="str">
        <f t="shared" si="6"/>
        <v/>
      </c>
      <c r="J96" s="112" t="e">
        <f t="shared" si="7"/>
        <v>#NUM!</v>
      </c>
      <c r="K96" s="111" t="e">
        <f t="shared" si="8"/>
        <v>#NUM!</v>
      </c>
      <c r="L96" s="111"/>
      <c r="M96" s="113">
        <f t="shared" si="9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32"/>
      <c r="B97" s="131"/>
      <c r="C97" s="131"/>
      <c r="D97" s="131"/>
      <c r="E97" s="131"/>
      <c r="F97" s="131"/>
      <c r="H97" s="111">
        <v>92</v>
      </c>
      <c r="I97" s="112" t="str">
        <f t="shared" si="6"/>
        <v/>
      </c>
      <c r="J97" s="112" t="e">
        <f t="shared" si="7"/>
        <v>#NUM!</v>
      </c>
      <c r="K97" s="111" t="e">
        <f t="shared" si="8"/>
        <v>#NUM!</v>
      </c>
      <c r="L97" s="111"/>
      <c r="M97" s="113">
        <f t="shared" si="9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32"/>
      <c r="B98" s="131"/>
      <c r="C98" s="131"/>
      <c r="D98" s="131"/>
      <c r="E98" s="131"/>
      <c r="F98" s="131"/>
      <c r="H98" s="111">
        <v>93</v>
      </c>
      <c r="I98" s="112" t="str">
        <f t="shared" si="6"/>
        <v/>
      </c>
      <c r="J98" s="112" t="e">
        <f t="shared" si="7"/>
        <v>#NUM!</v>
      </c>
      <c r="K98" s="111" t="e">
        <f t="shared" si="8"/>
        <v>#NUM!</v>
      </c>
      <c r="L98" s="111"/>
      <c r="M98" s="113">
        <f t="shared" si="9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32"/>
      <c r="B99" s="131"/>
      <c r="C99" s="131"/>
      <c r="D99" s="131"/>
      <c r="E99" s="131"/>
      <c r="F99" s="131"/>
      <c r="H99" s="111">
        <v>94</v>
      </c>
      <c r="I99" s="112" t="str">
        <f t="shared" si="6"/>
        <v/>
      </c>
      <c r="J99" s="112" t="e">
        <f t="shared" si="7"/>
        <v>#NUM!</v>
      </c>
      <c r="K99" s="111" t="e">
        <f t="shared" si="8"/>
        <v>#NUM!</v>
      </c>
      <c r="L99" s="111"/>
      <c r="M99" s="113">
        <f t="shared" si="9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32"/>
      <c r="B100" s="131"/>
      <c r="C100" s="131"/>
      <c r="D100" s="131"/>
      <c r="E100" s="131"/>
      <c r="F100" s="131"/>
      <c r="H100" s="111">
        <v>95</v>
      </c>
      <c r="I100" s="112" t="str">
        <f t="shared" si="6"/>
        <v/>
      </c>
      <c r="J100" s="112" t="e">
        <f t="shared" si="7"/>
        <v>#NUM!</v>
      </c>
      <c r="K100" s="111" t="e">
        <f t="shared" si="8"/>
        <v>#NUM!</v>
      </c>
      <c r="L100" s="111"/>
      <c r="M100" s="113">
        <f t="shared" si="9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32"/>
      <c r="B101" s="131"/>
      <c r="C101" s="131"/>
      <c r="D101" s="131"/>
      <c r="E101" s="131"/>
      <c r="F101" s="131"/>
      <c r="H101" s="111">
        <v>96</v>
      </c>
      <c r="I101" s="112" t="str">
        <f t="shared" si="6"/>
        <v/>
      </c>
      <c r="J101" s="112" t="e">
        <f t="shared" si="7"/>
        <v>#NUM!</v>
      </c>
      <c r="K101" s="111" t="e">
        <f t="shared" si="8"/>
        <v>#NUM!</v>
      </c>
      <c r="L101" s="111"/>
      <c r="M101" s="113">
        <f t="shared" si="9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32"/>
      <c r="B102" s="131"/>
      <c r="C102" s="131"/>
      <c r="D102" s="131"/>
      <c r="E102" s="131"/>
      <c r="F102" s="131"/>
      <c r="H102" s="111">
        <v>97</v>
      </c>
      <c r="I102" s="112" t="str">
        <f t="shared" si="6"/>
        <v/>
      </c>
      <c r="J102" s="112" t="e">
        <f t="shared" si="7"/>
        <v>#NUM!</v>
      </c>
      <c r="K102" s="111" t="e">
        <f t="shared" si="8"/>
        <v>#NUM!</v>
      </c>
      <c r="L102" s="111"/>
      <c r="M102" s="113">
        <f t="shared" si="9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32"/>
      <c r="B103" s="131"/>
      <c r="C103" s="131"/>
      <c r="D103" s="131"/>
      <c r="E103" s="131"/>
      <c r="F103" s="131"/>
      <c r="H103" s="111">
        <v>98</v>
      </c>
      <c r="I103" s="112" t="str">
        <f t="shared" si="6"/>
        <v/>
      </c>
      <c r="J103" s="112" t="e">
        <f t="shared" si="7"/>
        <v>#NUM!</v>
      </c>
      <c r="K103" s="111" t="e">
        <f t="shared" si="8"/>
        <v>#NUM!</v>
      </c>
      <c r="L103" s="111"/>
      <c r="M103" s="113">
        <f t="shared" si="9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32"/>
      <c r="B104" s="131"/>
      <c r="C104" s="131"/>
      <c r="D104" s="131"/>
      <c r="E104" s="131"/>
      <c r="F104" s="131"/>
      <c r="H104" s="111">
        <v>99</v>
      </c>
      <c r="I104" s="112" t="str">
        <f t="shared" si="6"/>
        <v/>
      </c>
      <c r="J104" s="112" t="e">
        <f t="shared" si="7"/>
        <v>#NUM!</v>
      </c>
      <c r="K104" s="111" t="e">
        <f t="shared" si="8"/>
        <v>#NUM!</v>
      </c>
      <c r="L104" s="111"/>
      <c r="M104" s="113">
        <f t="shared" si="9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32"/>
      <c r="B105" s="131"/>
      <c r="C105" s="131"/>
      <c r="D105" s="131"/>
      <c r="E105" s="131"/>
      <c r="F105" s="131"/>
      <c r="H105" s="111">
        <v>100</v>
      </c>
      <c r="I105" s="112" t="str">
        <f t="shared" si="6"/>
        <v/>
      </c>
      <c r="J105" s="112" t="e">
        <f t="shared" si="7"/>
        <v>#NUM!</v>
      </c>
      <c r="K105" s="111" t="e">
        <f t="shared" si="8"/>
        <v>#NUM!</v>
      </c>
      <c r="L105" s="111"/>
      <c r="M105" s="113">
        <f t="shared" si="9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32"/>
      <c r="B106" s="131"/>
      <c r="C106" s="131"/>
      <c r="D106" s="131"/>
      <c r="E106" s="131"/>
      <c r="F106" s="131"/>
      <c r="H106" s="111">
        <v>101</v>
      </c>
      <c r="I106" s="112" t="str">
        <f t="shared" si="6"/>
        <v/>
      </c>
      <c r="J106" s="112" t="e">
        <f t="shared" si="7"/>
        <v>#NUM!</v>
      </c>
      <c r="K106" s="111" t="e">
        <f t="shared" si="8"/>
        <v>#NUM!</v>
      </c>
      <c r="L106" s="111"/>
      <c r="M106" s="113">
        <f t="shared" si="9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32"/>
      <c r="B107" s="131"/>
      <c r="C107" s="131"/>
      <c r="D107" s="131"/>
      <c r="E107" s="131"/>
      <c r="F107" s="131"/>
      <c r="H107" s="111">
        <v>102</v>
      </c>
      <c r="I107" s="112" t="str">
        <f t="shared" si="6"/>
        <v/>
      </c>
      <c r="J107" s="112" t="e">
        <f t="shared" si="7"/>
        <v>#NUM!</v>
      </c>
      <c r="K107" s="111" t="e">
        <f t="shared" si="8"/>
        <v>#NUM!</v>
      </c>
      <c r="L107" s="111"/>
      <c r="M107" s="113">
        <f t="shared" si="9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32"/>
      <c r="B108" s="131"/>
      <c r="C108" s="131"/>
      <c r="D108" s="131"/>
      <c r="E108" s="131"/>
      <c r="F108" s="131"/>
      <c r="H108" s="111">
        <v>103</v>
      </c>
      <c r="I108" s="112" t="str">
        <f t="shared" si="6"/>
        <v/>
      </c>
      <c r="J108" s="112" t="e">
        <f t="shared" si="7"/>
        <v>#NUM!</v>
      </c>
      <c r="K108" s="111" t="e">
        <f t="shared" si="8"/>
        <v>#NUM!</v>
      </c>
      <c r="L108" s="111"/>
      <c r="M108" s="113">
        <f t="shared" si="9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32"/>
      <c r="B109" s="131"/>
      <c r="C109" s="131"/>
      <c r="D109" s="131"/>
      <c r="E109" s="131"/>
      <c r="F109" s="131"/>
      <c r="H109" s="111">
        <v>104</v>
      </c>
      <c r="I109" s="112" t="str">
        <f t="shared" si="6"/>
        <v/>
      </c>
      <c r="J109" s="112" t="e">
        <f t="shared" si="7"/>
        <v>#NUM!</v>
      </c>
      <c r="K109" s="111" t="e">
        <f t="shared" si="8"/>
        <v>#NUM!</v>
      </c>
      <c r="L109" s="111"/>
      <c r="M109" s="113">
        <f t="shared" si="9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32"/>
      <c r="B110" s="131"/>
      <c r="C110" s="131"/>
      <c r="D110" s="131"/>
      <c r="E110" s="131"/>
      <c r="F110" s="131"/>
      <c r="H110" s="111">
        <v>105</v>
      </c>
      <c r="I110" s="112" t="str">
        <f t="shared" si="6"/>
        <v/>
      </c>
      <c r="J110" s="112" t="e">
        <f t="shared" si="7"/>
        <v>#NUM!</v>
      </c>
      <c r="K110" s="111" t="e">
        <f t="shared" si="8"/>
        <v>#NUM!</v>
      </c>
      <c r="L110" s="111"/>
      <c r="M110" s="113">
        <f t="shared" si="9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32"/>
      <c r="B111" s="131"/>
      <c r="C111" s="131"/>
      <c r="D111" s="131"/>
      <c r="E111" s="131"/>
      <c r="F111" s="131"/>
      <c r="H111" s="111">
        <v>106</v>
      </c>
      <c r="I111" s="112" t="str">
        <f t="shared" si="6"/>
        <v/>
      </c>
      <c r="J111" s="112" t="e">
        <f t="shared" si="7"/>
        <v>#NUM!</v>
      </c>
      <c r="K111" s="111" t="e">
        <f t="shared" si="8"/>
        <v>#NUM!</v>
      </c>
      <c r="L111" s="111"/>
      <c r="M111" s="113">
        <f t="shared" si="9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32"/>
      <c r="B112" s="131"/>
      <c r="C112" s="131"/>
      <c r="D112" s="131"/>
      <c r="E112" s="131"/>
      <c r="F112" s="131"/>
      <c r="H112" s="111">
        <v>107</v>
      </c>
      <c r="I112" s="112" t="str">
        <f t="shared" si="6"/>
        <v/>
      </c>
      <c r="J112" s="112" t="e">
        <f t="shared" si="7"/>
        <v>#NUM!</v>
      </c>
      <c r="K112" s="111" t="e">
        <f t="shared" si="8"/>
        <v>#NUM!</v>
      </c>
      <c r="L112" s="111"/>
      <c r="M112" s="113">
        <f t="shared" si="9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32"/>
      <c r="B113" s="131"/>
      <c r="C113" s="131"/>
      <c r="D113" s="131"/>
      <c r="E113" s="131"/>
      <c r="F113" s="131"/>
      <c r="H113" s="111">
        <v>108</v>
      </c>
      <c r="I113" s="112" t="str">
        <f t="shared" si="6"/>
        <v/>
      </c>
      <c r="J113" s="112" t="e">
        <f t="shared" si="7"/>
        <v>#NUM!</v>
      </c>
      <c r="K113" s="111" t="e">
        <f t="shared" si="8"/>
        <v>#NUM!</v>
      </c>
      <c r="L113" s="111"/>
      <c r="M113" s="113">
        <f t="shared" si="9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32"/>
      <c r="B114" s="131"/>
      <c r="C114" s="131"/>
      <c r="D114" s="131"/>
      <c r="E114" s="131"/>
      <c r="F114" s="131"/>
      <c r="H114" s="111">
        <v>109</v>
      </c>
      <c r="I114" s="112" t="str">
        <f t="shared" si="6"/>
        <v/>
      </c>
      <c r="J114" s="112" t="e">
        <f t="shared" si="7"/>
        <v>#NUM!</v>
      </c>
      <c r="K114" s="111" t="e">
        <f t="shared" si="8"/>
        <v>#NUM!</v>
      </c>
      <c r="L114" s="111"/>
      <c r="M114" s="113">
        <f t="shared" si="9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32"/>
      <c r="B115" s="131"/>
      <c r="C115" s="131"/>
      <c r="D115" s="131"/>
      <c r="E115" s="131"/>
      <c r="F115" s="131"/>
      <c r="H115" s="111">
        <v>110</v>
      </c>
      <c r="I115" s="112" t="str">
        <f t="shared" si="6"/>
        <v/>
      </c>
      <c r="J115" s="112" t="e">
        <f t="shared" si="7"/>
        <v>#NUM!</v>
      </c>
      <c r="K115" s="111" t="e">
        <f t="shared" si="8"/>
        <v>#NUM!</v>
      </c>
      <c r="L115" s="111"/>
      <c r="M115" s="113">
        <f t="shared" si="9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32"/>
      <c r="B116" s="131"/>
      <c r="C116" s="131"/>
      <c r="D116" s="131"/>
      <c r="E116" s="131"/>
      <c r="F116" s="131"/>
      <c r="H116" s="111">
        <v>111</v>
      </c>
      <c r="I116" s="112" t="str">
        <f t="shared" si="6"/>
        <v/>
      </c>
      <c r="J116" s="112" t="e">
        <f t="shared" si="7"/>
        <v>#NUM!</v>
      </c>
      <c r="K116" s="111" t="e">
        <f t="shared" si="8"/>
        <v>#NUM!</v>
      </c>
      <c r="L116" s="111"/>
      <c r="M116" s="113">
        <f t="shared" si="9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32"/>
      <c r="B117" s="131"/>
      <c r="C117" s="131"/>
      <c r="D117" s="131"/>
      <c r="E117" s="131"/>
      <c r="F117" s="131"/>
      <c r="H117" s="111">
        <v>112</v>
      </c>
      <c r="I117" s="112" t="str">
        <f t="shared" si="6"/>
        <v/>
      </c>
      <c r="J117" s="112" t="e">
        <f t="shared" si="7"/>
        <v>#NUM!</v>
      </c>
      <c r="K117" s="111" t="e">
        <f t="shared" si="8"/>
        <v>#NUM!</v>
      </c>
      <c r="L117" s="111"/>
      <c r="M117" s="113">
        <f t="shared" si="9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32"/>
      <c r="B118" s="131"/>
      <c r="C118" s="131"/>
      <c r="D118" s="131"/>
      <c r="E118" s="131"/>
      <c r="F118" s="131"/>
      <c r="H118" s="111">
        <v>113</v>
      </c>
      <c r="I118" s="112" t="str">
        <f t="shared" si="6"/>
        <v/>
      </c>
      <c r="J118" s="112" t="e">
        <f t="shared" si="7"/>
        <v>#NUM!</v>
      </c>
      <c r="K118" s="111" t="e">
        <f t="shared" si="8"/>
        <v>#NUM!</v>
      </c>
      <c r="L118" s="111"/>
      <c r="M118" s="113">
        <f t="shared" si="9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32"/>
      <c r="B119" s="131"/>
      <c r="C119" s="131"/>
      <c r="D119" s="131"/>
      <c r="E119" s="131"/>
      <c r="F119" s="131"/>
      <c r="H119" s="111">
        <v>114</v>
      </c>
      <c r="I119" s="112" t="str">
        <f t="shared" si="6"/>
        <v/>
      </c>
      <c r="J119" s="112" t="e">
        <f t="shared" si="7"/>
        <v>#NUM!</v>
      </c>
      <c r="K119" s="111" t="e">
        <f t="shared" si="8"/>
        <v>#NUM!</v>
      </c>
      <c r="L119" s="111"/>
      <c r="M119" s="113">
        <f t="shared" si="9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32"/>
      <c r="B120" s="131"/>
      <c r="C120" s="131"/>
      <c r="D120" s="131"/>
      <c r="E120" s="131"/>
      <c r="F120" s="131"/>
      <c r="H120" s="111">
        <v>115</v>
      </c>
      <c r="I120" s="112" t="str">
        <f t="shared" si="6"/>
        <v/>
      </c>
      <c r="J120" s="112" t="e">
        <f t="shared" si="7"/>
        <v>#NUM!</v>
      </c>
      <c r="K120" s="111" t="e">
        <f t="shared" si="8"/>
        <v>#NUM!</v>
      </c>
      <c r="L120" s="111"/>
      <c r="M120" s="113">
        <f t="shared" si="9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32"/>
      <c r="B121" s="131"/>
      <c r="C121" s="131"/>
      <c r="D121" s="131"/>
      <c r="E121" s="131"/>
      <c r="F121" s="131"/>
      <c r="H121" s="111">
        <v>116</v>
      </c>
      <c r="I121" s="112" t="str">
        <f t="shared" si="6"/>
        <v/>
      </c>
      <c r="J121" s="112" t="e">
        <f t="shared" si="7"/>
        <v>#NUM!</v>
      </c>
      <c r="K121" s="111" t="e">
        <f t="shared" si="8"/>
        <v>#NUM!</v>
      </c>
      <c r="L121" s="111"/>
      <c r="M121" s="113">
        <f t="shared" si="9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32"/>
      <c r="B122" s="131"/>
      <c r="C122" s="131"/>
      <c r="D122" s="131"/>
      <c r="E122" s="131"/>
      <c r="F122" s="131"/>
      <c r="H122" s="111">
        <v>117</v>
      </c>
      <c r="I122" s="112" t="str">
        <f t="shared" si="6"/>
        <v/>
      </c>
      <c r="J122" s="112" t="e">
        <f t="shared" si="7"/>
        <v>#NUM!</v>
      </c>
      <c r="K122" s="111" t="e">
        <f t="shared" si="8"/>
        <v>#NUM!</v>
      </c>
      <c r="L122" s="111"/>
      <c r="M122" s="113">
        <f t="shared" si="9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32"/>
      <c r="B123" s="131"/>
      <c r="C123" s="131"/>
      <c r="D123" s="131"/>
      <c r="E123" s="131"/>
      <c r="F123" s="131"/>
      <c r="H123" s="111">
        <v>118</v>
      </c>
      <c r="I123" s="112" t="str">
        <f t="shared" si="6"/>
        <v/>
      </c>
      <c r="J123" s="112" t="e">
        <f t="shared" si="7"/>
        <v>#NUM!</v>
      </c>
      <c r="K123" s="111" t="e">
        <f t="shared" si="8"/>
        <v>#NUM!</v>
      </c>
      <c r="L123" s="111"/>
      <c r="M123" s="113">
        <f t="shared" si="9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32"/>
      <c r="B124" s="131"/>
      <c r="C124" s="131"/>
      <c r="D124" s="131"/>
      <c r="E124" s="131"/>
      <c r="F124" s="131"/>
      <c r="H124" s="111">
        <v>119</v>
      </c>
      <c r="I124" s="112" t="str">
        <f t="shared" si="6"/>
        <v/>
      </c>
      <c r="J124" s="112" t="e">
        <f t="shared" si="7"/>
        <v>#NUM!</v>
      </c>
      <c r="K124" s="111" t="e">
        <f t="shared" si="8"/>
        <v>#NUM!</v>
      </c>
      <c r="L124" s="111"/>
      <c r="M124" s="113">
        <f t="shared" si="9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32"/>
      <c r="B125" s="131"/>
      <c r="C125" s="131"/>
      <c r="D125" s="131"/>
      <c r="E125" s="131"/>
      <c r="F125" s="131"/>
      <c r="H125" s="111">
        <v>120</v>
      </c>
      <c r="I125" s="112" t="str">
        <f t="shared" si="6"/>
        <v/>
      </c>
      <c r="J125" s="112" t="e">
        <f t="shared" si="7"/>
        <v>#NUM!</v>
      </c>
      <c r="K125" s="111" t="e">
        <f t="shared" si="8"/>
        <v>#NUM!</v>
      </c>
      <c r="L125" s="111"/>
      <c r="M125" s="113">
        <f t="shared" si="9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32"/>
      <c r="B126" s="131"/>
      <c r="C126" s="131"/>
      <c r="D126" s="131"/>
      <c r="E126" s="131"/>
      <c r="F126" s="131"/>
      <c r="H126" s="111">
        <v>121</v>
      </c>
      <c r="I126" s="112" t="str">
        <f t="shared" si="6"/>
        <v/>
      </c>
      <c r="J126" s="112" t="e">
        <f t="shared" si="7"/>
        <v>#NUM!</v>
      </c>
      <c r="K126" s="111" t="e">
        <f t="shared" si="8"/>
        <v>#NUM!</v>
      </c>
      <c r="L126" s="111"/>
      <c r="M126" s="113">
        <f t="shared" si="9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32"/>
      <c r="B127" s="131"/>
      <c r="C127" s="131"/>
      <c r="D127" s="131"/>
      <c r="E127" s="131"/>
      <c r="F127" s="131"/>
      <c r="H127" s="111">
        <v>122</v>
      </c>
      <c r="I127" s="112" t="str">
        <f t="shared" si="6"/>
        <v/>
      </c>
      <c r="J127" s="112" t="e">
        <f t="shared" si="7"/>
        <v>#NUM!</v>
      </c>
      <c r="K127" s="111" t="e">
        <f t="shared" si="8"/>
        <v>#NUM!</v>
      </c>
      <c r="L127" s="111"/>
      <c r="M127" s="113">
        <f t="shared" si="9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32"/>
      <c r="B128" s="131"/>
      <c r="C128" s="131"/>
      <c r="D128" s="131"/>
      <c r="E128" s="131"/>
      <c r="F128" s="131"/>
      <c r="H128" s="111">
        <v>123</v>
      </c>
      <c r="I128" s="112" t="str">
        <f t="shared" si="6"/>
        <v/>
      </c>
      <c r="J128" s="112" t="e">
        <f t="shared" si="7"/>
        <v>#NUM!</v>
      </c>
      <c r="K128" s="111" t="e">
        <f t="shared" si="8"/>
        <v>#NUM!</v>
      </c>
      <c r="L128" s="111"/>
      <c r="M128" s="113">
        <f t="shared" si="9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32"/>
      <c r="B129" s="131"/>
      <c r="C129" s="131"/>
      <c r="D129" s="131"/>
      <c r="E129" s="131"/>
      <c r="F129" s="131"/>
      <c r="H129" s="111">
        <v>124</v>
      </c>
      <c r="I129" s="112" t="str">
        <f t="shared" si="6"/>
        <v/>
      </c>
      <c r="J129" s="112" t="e">
        <f t="shared" si="7"/>
        <v>#NUM!</v>
      </c>
      <c r="K129" s="111" t="e">
        <f t="shared" si="8"/>
        <v>#NUM!</v>
      </c>
      <c r="L129" s="111"/>
      <c r="M129" s="113">
        <f t="shared" si="9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32"/>
      <c r="B130" s="131"/>
      <c r="C130" s="131"/>
      <c r="D130" s="131"/>
      <c r="E130" s="131"/>
      <c r="F130" s="131"/>
      <c r="H130" s="111">
        <v>125</v>
      </c>
      <c r="I130" s="112" t="str">
        <f t="shared" si="6"/>
        <v/>
      </c>
      <c r="J130" s="112" t="e">
        <f t="shared" si="7"/>
        <v>#NUM!</v>
      </c>
      <c r="K130" s="111" t="e">
        <f t="shared" si="8"/>
        <v>#NUM!</v>
      </c>
      <c r="L130" s="111"/>
      <c r="M130" s="113">
        <f t="shared" si="9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32"/>
      <c r="B131" s="131"/>
      <c r="C131" s="131"/>
      <c r="D131" s="131"/>
      <c r="E131" s="131"/>
      <c r="F131" s="131"/>
      <c r="H131" s="111">
        <v>126</v>
      </c>
      <c r="I131" s="112" t="str">
        <f t="shared" si="6"/>
        <v/>
      </c>
      <c r="J131" s="112" t="e">
        <f t="shared" si="7"/>
        <v>#NUM!</v>
      </c>
      <c r="K131" s="111" t="e">
        <f t="shared" si="8"/>
        <v>#NUM!</v>
      </c>
      <c r="L131" s="111"/>
      <c r="M131" s="113">
        <f t="shared" si="9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32"/>
      <c r="B132" s="131"/>
      <c r="C132" s="131"/>
      <c r="D132" s="131"/>
      <c r="E132" s="131"/>
      <c r="F132" s="131"/>
      <c r="H132" s="111">
        <v>127</v>
      </c>
      <c r="I132" s="112" t="str">
        <f t="shared" si="6"/>
        <v/>
      </c>
      <c r="J132" s="112" t="e">
        <f t="shared" si="7"/>
        <v>#NUM!</v>
      </c>
      <c r="K132" s="111" t="e">
        <f t="shared" si="8"/>
        <v>#NUM!</v>
      </c>
      <c r="L132" s="111"/>
      <c r="M132" s="113">
        <f t="shared" si="9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32"/>
      <c r="B133" s="131"/>
      <c r="C133" s="131"/>
      <c r="D133" s="131"/>
      <c r="E133" s="131"/>
      <c r="F133" s="131"/>
      <c r="H133" s="111">
        <v>128</v>
      </c>
      <c r="I133" s="112" t="str">
        <f t="shared" si="6"/>
        <v/>
      </c>
      <c r="J133" s="112" t="e">
        <f t="shared" si="7"/>
        <v>#NUM!</v>
      </c>
      <c r="K133" s="111" t="e">
        <f t="shared" si="8"/>
        <v>#NUM!</v>
      </c>
      <c r="L133" s="111"/>
      <c r="M133" s="113">
        <f t="shared" si="9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32"/>
      <c r="B134" s="131"/>
      <c r="C134" s="131"/>
      <c r="D134" s="131"/>
      <c r="E134" s="131"/>
      <c r="F134" s="131"/>
      <c r="H134" s="111">
        <v>129</v>
      </c>
      <c r="I134" s="112" t="str">
        <f t="shared" ref="I134:I197" si="10">IF(H134&lt;$H$2+1,($I$2-($I$2-1)*(LOG(H134)/LOG($H$2))),"")</f>
        <v/>
      </c>
      <c r="J134" s="112" t="e">
        <f t="shared" ref="J134:J197" si="11">INT(LOG($H$2,2))-ROUNDUP(LOG(H134,2),0)+IF(OR($H$2=1,$H$2=2,$H$2=4,$H$2=8,$H$2=16,$H$2=32,$H$2=64,$H$2=128,$H$2=256),0,1)</f>
        <v>#NUM!</v>
      </c>
      <c r="K134" s="111" t="e">
        <f t="shared" ref="K134:K197" si="12">J134*$J$2</f>
        <v>#NUM!</v>
      </c>
      <c r="L134" s="111"/>
      <c r="M134" s="113">
        <f t="shared" ref="M134:M197" si="13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32"/>
      <c r="B135" s="131"/>
      <c r="C135" s="131"/>
      <c r="D135" s="131"/>
      <c r="E135" s="131"/>
      <c r="F135" s="131"/>
      <c r="H135" s="111">
        <v>130</v>
      </c>
      <c r="I135" s="112" t="str">
        <f t="shared" si="10"/>
        <v/>
      </c>
      <c r="J135" s="112" t="e">
        <f t="shared" si="11"/>
        <v>#NUM!</v>
      </c>
      <c r="K135" s="111" t="e">
        <f t="shared" si="12"/>
        <v>#NUM!</v>
      </c>
      <c r="L135" s="111"/>
      <c r="M135" s="113">
        <f t="shared" si="13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32"/>
      <c r="B136" s="131"/>
      <c r="C136" s="131"/>
      <c r="D136" s="131"/>
      <c r="E136" s="131"/>
      <c r="F136" s="131"/>
      <c r="H136" s="111">
        <v>131</v>
      </c>
      <c r="I136" s="112" t="str">
        <f t="shared" si="10"/>
        <v/>
      </c>
      <c r="J136" s="112" t="e">
        <f t="shared" si="11"/>
        <v>#NUM!</v>
      </c>
      <c r="K136" s="111" t="e">
        <f t="shared" si="12"/>
        <v>#NUM!</v>
      </c>
      <c r="L136" s="111"/>
      <c r="M136" s="113">
        <f t="shared" si="13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32"/>
      <c r="B137" s="131"/>
      <c r="C137" s="131"/>
      <c r="D137" s="131"/>
      <c r="E137" s="131"/>
      <c r="F137" s="131"/>
      <c r="H137" s="111">
        <v>132</v>
      </c>
      <c r="I137" s="112" t="str">
        <f t="shared" si="10"/>
        <v/>
      </c>
      <c r="J137" s="112" t="e">
        <f t="shared" si="11"/>
        <v>#NUM!</v>
      </c>
      <c r="K137" s="111" t="e">
        <f t="shared" si="12"/>
        <v>#NUM!</v>
      </c>
      <c r="L137" s="111"/>
      <c r="M137" s="113">
        <f t="shared" si="13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32"/>
      <c r="B138" s="131"/>
      <c r="C138" s="131"/>
      <c r="D138" s="131"/>
      <c r="E138" s="131"/>
      <c r="F138" s="131"/>
      <c r="H138" s="111">
        <v>133</v>
      </c>
      <c r="I138" s="112" t="str">
        <f t="shared" si="10"/>
        <v/>
      </c>
      <c r="J138" s="112" t="e">
        <f t="shared" si="11"/>
        <v>#NUM!</v>
      </c>
      <c r="K138" s="111" t="e">
        <f t="shared" si="12"/>
        <v>#NUM!</v>
      </c>
      <c r="L138" s="111"/>
      <c r="M138" s="113">
        <f t="shared" si="13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32"/>
      <c r="B139" s="131"/>
      <c r="C139" s="131"/>
      <c r="D139" s="131"/>
      <c r="E139" s="131"/>
      <c r="F139" s="131"/>
      <c r="H139" s="111">
        <v>134</v>
      </c>
      <c r="I139" s="112" t="str">
        <f t="shared" si="10"/>
        <v/>
      </c>
      <c r="J139" s="112" t="e">
        <f t="shared" si="11"/>
        <v>#NUM!</v>
      </c>
      <c r="K139" s="111" t="e">
        <f t="shared" si="12"/>
        <v>#NUM!</v>
      </c>
      <c r="L139" s="111"/>
      <c r="M139" s="113">
        <f t="shared" si="13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32"/>
      <c r="B140" s="131"/>
      <c r="C140" s="131"/>
      <c r="D140" s="131"/>
      <c r="E140" s="131"/>
      <c r="F140" s="131"/>
      <c r="H140" s="111">
        <v>135</v>
      </c>
      <c r="I140" s="112" t="str">
        <f t="shared" si="10"/>
        <v/>
      </c>
      <c r="J140" s="112" t="e">
        <f t="shared" si="11"/>
        <v>#NUM!</v>
      </c>
      <c r="K140" s="111" t="e">
        <f t="shared" si="12"/>
        <v>#NUM!</v>
      </c>
      <c r="L140" s="111"/>
      <c r="M140" s="113">
        <f t="shared" si="13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s="96" customFormat="1">
      <c r="A141" s="132"/>
      <c r="B141" s="131"/>
      <c r="C141" s="131"/>
      <c r="D141" s="131"/>
      <c r="E141" s="131"/>
      <c r="F141" s="131"/>
      <c r="H141" s="111">
        <v>136</v>
      </c>
      <c r="I141" s="112" t="str">
        <f t="shared" si="10"/>
        <v/>
      </c>
      <c r="J141" s="112" t="e">
        <f t="shared" si="11"/>
        <v>#NUM!</v>
      </c>
      <c r="K141" s="111" t="e">
        <f t="shared" si="12"/>
        <v>#NUM!</v>
      </c>
      <c r="L141" s="111"/>
      <c r="M141" s="113">
        <f t="shared" si="13"/>
        <v>0</v>
      </c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s="96" customFormat="1">
      <c r="A142" s="132"/>
      <c r="B142" s="131"/>
      <c r="C142" s="131"/>
      <c r="D142" s="131"/>
      <c r="E142" s="131"/>
      <c r="F142" s="131"/>
      <c r="H142" s="111">
        <v>137</v>
      </c>
      <c r="I142" s="112" t="str">
        <f t="shared" si="10"/>
        <v/>
      </c>
      <c r="J142" s="112" t="e">
        <f t="shared" si="11"/>
        <v>#NUM!</v>
      </c>
      <c r="K142" s="111" t="e">
        <f t="shared" si="12"/>
        <v>#NUM!</v>
      </c>
      <c r="L142" s="111"/>
      <c r="M142" s="113">
        <f t="shared" si="13"/>
        <v>0</v>
      </c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s="96" customFormat="1">
      <c r="A143" s="132"/>
      <c r="B143" s="131"/>
      <c r="C143" s="131"/>
      <c r="D143" s="131"/>
      <c r="E143" s="131"/>
      <c r="F143" s="131"/>
      <c r="H143" s="111">
        <v>138</v>
      </c>
      <c r="I143" s="112" t="str">
        <f t="shared" si="10"/>
        <v/>
      </c>
      <c r="J143" s="112" t="e">
        <f t="shared" si="11"/>
        <v>#NUM!</v>
      </c>
      <c r="K143" s="111" t="e">
        <f t="shared" si="12"/>
        <v>#NUM!</v>
      </c>
      <c r="L143" s="111"/>
      <c r="M143" s="113">
        <f t="shared" si="13"/>
        <v>0</v>
      </c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s="96" customFormat="1">
      <c r="A144" s="132"/>
      <c r="B144" s="131"/>
      <c r="C144" s="131"/>
      <c r="D144" s="131"/>
      <c r="E144" s="131"/>
      <c r="F144" s="131"/>
      <c r="H144" s="111">
        <v>139</v>
      </c>
      <c r="I144" s="112" t="str">
        <f t="shared" si="10"/>
        <v/>
      </c>
      <c r="J144" s="112" t="e">
        <f t="shared" si="11"/>
        <v>#NUM!</v>
      </c>
      <c r="K144" s="111" t="e">
        <f t="shared" si="12"/>
        <v>#NUM!</v>
      </c>
      <c r="L144" s="111"/>
      <c r="M144" s="113">
        <f t="shared" si="13"/>
        <v>0</v>
      </c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s="96" customFormat="1">
      <c r="A145" s="132"/>
      <c r="B145" s="131"/>
      <c r="C145" s="131"/>
      <c r="D145" s="131"/>
      <c r="E145" s="131"/>
      <c r="F145" s="131"/>
      <c r="H145" s="111">
        <v>140</v>
      </c>
      <c r="I145" s="112" t="str">
        <f t="shared" si="10"/>
        <v/>
      </c>
      <c r="J145" s="112" t="e">
        <f t="shared" si="11"/>
        <v>#NUM!</v>
      </c>
      <c r="K145" s="111" t="e">
        <f t="shared" si="12"/>
        <v>#NUM!</v>
      </c>
      <c r="L145" s="111"/>
      <c r="M145" s="113">
        <f t="shared" si="13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2"/>
      <c r="B146" s="131"/>
      <c r="C146" s="131"/>
      <c r="D146" s="131"/>
      <c r="E146" s="131"/>
      <c r="F146" s="131"/>
      <c r="H146" s="111">
        <v>141</v>
      </c>
      <c r="I146" s="112" t="str">
        <f t="shared" si="10"/>
        <v/>
      </c>
      <c r="J146" s="112" t="e">
        <f t="shared" si="11"/>
        <v>#NUM!</v>
      </c>
      <c r="K146" s="111" t="e">
        <f t="shared" si="12"/>
        <v>#NUM!</v>
      </c>
      <c r="L146" s="111"/>
      <c r="M146" s="113">
        <f t="shared" si="13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2"/>
      <c r="B147" s="131"/>
      <c r="C147" s="131"/>
      <c r="D147" s="131"/>
      <c r="E147" s="131"/>
      <c r="F147" s="131"/>
      <c r="H147" s="111">
        <v>142</v>
      </c>
      <c r="I147" s="112" t="str">
        <f t="shared" si="10"/>
        <v/>
      </c>
      <c r="J147" s="112" t="e">
        <f t="shared" si="11"/>
        <v>#NUM!</v>
      </c>
      <c r="K147" s="111" t="e">
        <f t="shared" si="12"/>
        <v>#NUM!</v>
      </c>
      <c r="L147" s="111"/>
      <c r="M147" s="113">
        <f t="shared" si="13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2"/>
      <c r="B148" s="131"/>
      <c r="C148" s="131"/>
      <c r="D148" s="131"/>
      <c r="E148" s="131"/>
      <c r="F148" s="131"/>
      <c r="H148" s="111">
        <v>143</v>
      </c>
      <c r="I148" s="112" t="str">
        <f t="shared" si="10"/>
        <v/>
      </c>
      <c r="J148" s="112" t="e">
        <f t="shared" si="11"/>
        <v>#NUM!</v>
      </c>
      <c r="K148" s="111" t="e">
        <f t="shared" si="12"/>
        <v>#NUM!</v>
      </c>
      <c r="L148" s="111"/>
      <c r="M148" s="113">
        <f t="shared" si="13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2"/>
      <c r="B149" s="131"/>
      <c r="C149" s="131"/>
      <c r="D149" s="131"/>
      <c r="E149" s="131"/>
      <c r="F149" s="131"/>
      <c r="H149" s="111">
        <v>144</v>
      </c>
      <c r="I149" s="112" t="str">
        <f t="shared" si="10"/>
        <v/>
      </c>
      <c r="J149" s="112" t="e">
        <f t="shared" si="11"/>
        <v>#NUM!</v>
      </c>
      <c r="K149" s="111" t="e">
        <f t="shared" si="12"/>
        <v>#NUM!</v>
      </c>
      <c r="L149" s="111"/>
      <c r="M149" s="113">
        <f t="shared" si="13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2"/>
      <c r="B150" s="131"/>
      <c r="C150" s="131"/>
      <c r="D150" s="131"/>
      <c r="E150" s="131"/>
      <c r="F150" s="131"/>
      <c r="H150" s="111">
        <v>145</v>
      </c>
      <c r="I150" s="112" t="str">
        <f t="shared" si="10"/>
        <v/>
      </c>
      <c r="J150" s="112" t="e">
        <f t="shared" si="11"/>
        <v>#NUM!</v>
      </c>
      <c r="K150" s="111" t="e">
        <f t="shared" si="12"/>
        <v>#NUM!</v>
      </c>
      <c r="L150" s="111"/>
      <c r="M150" s="113">
        <f t="shared" si="13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2"/>
      <c r="B151" s="131"/>
      <c r="C151" s="131"/>
      <c r="D151" s="131"/>
      <c r="E151" s="131"/>
      <c r="F151" s="131"/>
      <c r="H151" s="111">
        <v>146</v>
      </c>
      <c r="I151" s="112" t="str">
        <f t="shared" si="10"/>
        <v/>
      </c>
      <c r="J151" s="112" t="e">
        <f t="shared" si="11"/>
        <v>#NUM!</v>
      </c>
      <c r="K151" s="111" t="e">
        <f t="shared" si="12"/>
        <v>#NUM!</v>
      </c>
      <c r="L151" s="111"/>
      <c r="M151" s="113">
        <f t="shared" si="13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2"/>
      <c r="B152" s="131"/>
      <c r="C152" s="131"/>
      <c r="D152" s="131"/>
      <c r="E152" s="131"/>
      <c r="F152" s="131"/>
      <c r="H152" s="111">
        <v>147</v>
      </c>
      <c r="I152" s="112" t="str">
        <f t="shared" si="10"/>
        <v/>
      </c>
      <c r="J152" s="112" t="e">
        <f t="shared" si="11"/>
        <v>#NUM!</v>
      </c>
      <c r="K152" s="111" t="e">
        <f t="shared" si="12"/>
        <v>#NUM!</v>
      </c>
      <c r="L152" s="111"/>
      <c r="M152" s="113">
        <f t="shared" si="13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2"/>
      <c r="B153" s="131"/>
      <c r="C153" s="131"/>
      <c r="D153" s="131"/>
      <c r="E153" s="131"/>
      <c r="F153" s="131"/>
      <c r="H153" s="111">
        <v>148</v>
      </c>
      <c r="I153" s="112" t="str">
        <f t="shared" si="10"/>
        <v/>
      </c>
      <c r="J153" s="112" t="e">
        <f t="shared" si="11"/>
        <v>#NUM!</v>
      </c>
      <c r="K153" s="111" t="e">
        <f t="shared" si="12"/>
        <v>#NUM!</v>
      </c>
      <c r="L153" s="111"/>
      <c r="M153" s="113">
        <f t="shared" si="13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2"/>
      <c r="B154" s="131"/>
      <c r="C154" s="131"/>
      <c r="D154" s="131"/>
      <c r="E154" s="131"/>
      <c r="F154" s="131"/>
      <c r="H154" s="111">
        <v>149</v>
      </c>
      <c r="I154" s="112" t="str">
        <f t="shared" si="10"/>
        <v/>
      </c>
      <c r="J154" s="112" t="e">
        <f t="shared" si="11"/>
        <v>#NUM!</v>
      </c>
      <c r="K154" s="111" t="e">
        <f t="shared" si="12"/>
        <v>#NUM!</v>
      </c>
      <c r="L154" s="111"/>
      <c r="M154" s="113">
        <f t="shared" si="13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1">
        <v>150</v>
      </c>
      <c r="I155" s="112" t="str">
        <f t="shared" si="10"/>
        <v/>
      </c>
      <c r="J155" s="112" t="e">
        <f t="shared" si="11"/>
        <v>#NUM!</v>
      </c>
      <c r="K155" s="111" t="e">
        <f t="shared" si="12"/>
        <v>#NUM!</v>
      </c>
      <c r="L155" s="111"/>
      <c r="M155" s="113">
        <f t="shared" si="13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0"/>
        <v/>
      </c>
      <c r="J156" s="112" t="e">
        <f t="shared" si="11"/>
        <v>#NUM!</v>
      </c>
      <c r="K156" s="111" t="e">
        <f t="shared" si="12"/>
        <v>#NUM!</v>
      </c>
      <c r="L156" s="111"/>
      <c r="M156" s="113">
        <f t="shared" si="13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1">
        <v>152</v>
      </c>
      <c r="I157" s="112" t="str">
        <f t="shared" si="10"/>
        <v/>
      </c>
      <c r="J157" s="112" t="e">
        <f t="shared" si="11"/>
        <v>#NUM!</v>
      </c>
      <c r="K157" s="111" t="e">
        <f t="shared" si="12"/>
        <v>#NUM!</v>
      </c>
      <c r="L157" s="111"/>
      <c r="M157" s="113">
        <f t="shared" si="13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0"/>
        <v/>
      </c>
      <c r="J158" s="112" t="e">
        <f t="shared" si="11"/>
        <v>#NUM!</v>
      </c>
      <c r="K158" s="111" t="e">
        <f t="shared" si="12"/>
        <v>#NUM!</v>
      </c>
      <c r="L158" s="111"/>
      <c r="M158" s="113">
        <f t="shared" si="13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1">
        <v>154</v>
      </c>
      <c r="I159" s="112" t="str">
        <f t="shared" si="10"/>
        <v/>
      </c>
      <c r="J159" s="112" t="e">
        <f t="shared" si="11"/>
        <v>#NUM!</v>
      </c>
      <c r="K159" s="111" t="e">
        <f t="shared" si="12"/>
        <v>#NUM!</v>
      </c>
      <c r="L159" s="111"/>
      <c r="M159" s="113">
        <f t="shared" si="13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0"/>
        <v/>
      </c>
      <c r="J160" s="112" t="e">
        <f t="shared" si="11"/>
        <v>#NUM!</v>
      </c>
      <c r="K160" s="111" t="e">
        <f t="shared" si="12"/>
        <v>#NUM!</v>
      </c>
      <c r="L160" s="111"/>
      <c r="M160" s="113">
        <f t="shared" si="13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1">
        <v>156</v>
      </c>
      <c r="I161" s="112" t="str">
        <f t="shared" si="10"/>
        <v/>
      </c>
      <c r="J161" s="112" t="e">
        <f t="shared" si="11"/>
        <v>#NUM!</v>
      </c>
      <c r="K161" s="111" t="e">
        <f t="shared" si="12"/>
        <v>#NUM!</v>
      </c>
      <c r="L161" s="111"/>
      <c r="M161" s="113">
        <f t="shared" si="13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0"/>
        <v/>
      </c>
      <c r="J162" s="112" t="e">
        <f t="shared" si="11"/>
        <v>#NUM!</v>
      </c>
      <c r="K162" s="111" t="e">
        <f t="shared" si="12"/>
        <v>#NUM!</v>
      </c>
      <c r="L162" s="111"/>
      <c r="M162" s="113">
        <f t="shared" si="13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1">
        <v>158</v>
      </c>
      <c r="I163" s="112" t="str">
        <f t="shared" si="10"/>
        <v/>
      </c>
      <c r="J163" s="112" t="e">
        <f t="shared" si="11"/>
        <v>#NUM!</v>
      </c>
      <c r="K163" s="111" t="e">
        <f t="shared" si="12"/>
        <v>#NUM!</v>
      </c>
      <c r="L163" s="111"/>
      <c r="M163" s="113">
        <f t="shared" si="13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0"/>
        <v/>
      </c>
      <c r="J164" s="112" t="e">
        <f t="shared" si="11"/>
        <v>#NUM!</v>
      </c>
      <c r="K164" s="111" t="e">
        <f t="shared" si="12"/>
        <v>#NUM!</v>
      </c>
      <c r="L164" s="111"/>
      <c r="M164" s="113">
        <f t="shared" si="13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1">
        <v>160</v>
      </c>
      <c r="I165" s="112" t="str">
        <f t="shared" si="10"/>
        <v/>
      </c>
      <c r="J165" s="112" t="e">
        <f t="shared" si="11"/>
        <v>#NUM!</v>
      </c>
      <c r="K165" s="111" t="e">
        <f t="shared" si="12"/>
        <v>#NUM!</v>
      </c>
      <c r="L165" s="111"/>
      <c r="M165" s="113">
        <f t="shared" si="13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0"/>
        <v/>
      </c>
      <c r="J166" s="112" t="e">
        <f t="shared" si="11"/>
        <v>#NUM!</v>
      </c>
      <c r="K166" s="111" t="e">
        <f t="shared" si="12"/>
        <v>#NUM!</v>
      </c>
      <c r="L166" s="111"/>
      <c r="M166" s="113">
        <f t="shared" si="13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1">
        <v>162</v>
      </c>
      <c r="I167" s="112" t="str">
        <f t="shared" si="10"/>
        <v/>
      </c>
      <c r="J167" s="112" t="e">
        <f t="shared" si="11"/>
        <v>#NUM!</v>
      </c>
      <c r="K167" s="111" t="e">
        <f t="shared" si="12"/>
        <v>#NUM!</v>
      </c>
      <c r="L167" s="111"/>
      <c r="M167" s="113">
        <f t="shared" si="13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0"/>
        <v/>
      </c>
      <c r="J168" s="112" t="e">
        <f t="shared" si="11"/>
        <v>#NUM!</v>
      </c>
      <c r="K168" s="111" t="e">
        <f t="shared" si="12"/>
        <v>#NUM!</v>
      </c>
      <c r="L168" s="111"/>
      <c r="M168" s="113">
        <f t="shared" si="13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1">
        <v>164</v>
      </c>
      <c r="I169" s="112" t="str">
        <f t="shared" si="10"/>
        <v/>
      </c>
      <c r="J169" s="112" t="e">
        <f t="shared" si="11"/>
        <v>#NUM!</v>
      </c>
      <c r="K169" s="111" t="e">
        <f t="shared" si="12"/>
        <v>#NUM!</v>
      </c>
      <c r="L169" s="111"/>
      <c r="M169" s="113">
        <f t="shared" si="13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0"/>
        <v/>
      </c>
      <c r="J170" s="112" t="e">
        <f t="shared" si="11"/>
        <v>#NUM!</v>
      </c>
      <c r="K170" s="111" t="e">
        <f t="shared" si="12"/>
        <v>#NUM!</v>
      </c>
      <c r="L170" s="111"/>
      <c r="M170" s="113">
        <f t="shared" si="13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1">
        <v>166</v>
      </c>
      <c r="I171" s="112" t="str">
        <f t="shared" si="10"/>
        <v/>
      </c>
      <c r="J171" s="112" t="e">
        <f t="shared" si="11"/>
        <v>#NUM!</v>
      </c>
      <c r="K171" s="111" t="e">
        <f t="shared" si="12"/>
        <v>#NUM!</v>
      </c>
      <c r="L171" s="111"/>
      <c r="M171" s="113">
        <f t="shared" si="13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0"/>
        <v/>
      </c>
      <c r="J172" s="112" t="e">
        <f t="shared" si="11"/>
        <v>#NUM!</v>
      </c>
      <c r="K172" s="111" t="e">
        <f t="shared" si="12"/>
        <v>#NUM!</v>
      </c>
      <c r="L172" s="111"/>
      <c r="M172" s="113">
        <f t="shared" si="13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1">
        <v>168</v>
      </c>
      <c r="I173" s="112" t="str">
        <f t="shared" si="10"/>
        <v/>
      </c>
      <c r="J173" s="112" t="e">
        <f t="shared" si="11"/>
        <v>#NUM!</v>
      </c>
      <c r="K173" s="111" t="e">
        <f t="shared" si="12"/>
        <v>#NUM!</v>
      </c>
      <c r="L173" s="111"/>
      <c r="M173" s="113">
        <f t="shared" si="13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0"/>
        <v/>
      </c>
      <c r="J174" s="112" t="e">
        <f t="shared" si="11"/>
        <v>#NUM!</v>
      </c>
      <c r="K174" s="111" t="e">
        <f t="shared" si="12"/>
        <v>#NUM!</v>
      </c>
      <c r="L174" s="111"/>
      <c r="M174" s="113">
        <f t="shared" si="13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1">
        <v>170</v>
      </c>
      <c r="I175" s="112" t="str">
        <f t="shared" si="10"/>
        <v/>
      </c>
      <c r="J175" s="112" t="e">
        <f t="shared" si="11"/>
        <v>#NUM!</v>
      </c>
      <c r="K175" s="111" t="e">
        <f t="shared" si="12"/>
        <v>#NUM!</v>
      </c>
      <c r="L175" s="111"/>
      <c r="M175" s="113">
        <f t="shared" si="13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0"/>
        <v/>
      </c>
      <c r="J176" s="112" t="e">
        <f t="shared" si="11"/>
        <v>#NUM!</v>
      </c>
      <c r="K176" s="111" t="e">
        <f t="shared" si="12"/>
        <v>#NUM!</v>
      </c>
      <c r="L176" s="111"/>
      <c r="M176" s="113">
        <f t="shared" si="13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1">
        <v>172</v>
      </c>
      <c r="I177" s="112" t="str">
        <f t="shared" si="10"/>
        <v/>
      </c>
      <c r="J177" s="112" t="e">
        <f t="shared" si="11"/>
        <v>#NUM!</v>
      </c>
      <c r="K177" s="111" t="e">
        <f t="shared" si="12"/>
        <v>#NUM!</v>
      </c>
      <c r="L177" s="111"/>
      <c r="M177" s="113">
        <f t="shared" si="13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0"/>
        <v/>
      </c>
      <c r="J178" s="112" t="e">
        <f t="shared" si="11"/>
        <v>#NUM!</v>
      </c>
      <c r="K178" s="111" t="e">
        <f t="shared" si="12"/>
        <v>#NUM!</v>
      </c>
      <c r="L178" s="111"/>
      <c r="M178" s="113">
        <f t="shared" si="13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1">
        <v>174</v>
      </c>
      <c r="I179" s="112" t="str">
        <f t="shared" si="10"/>
        <v/>
      </c>
      <c r="J179" s="112" t="e">
        <f t="shared" si="11"/>
        <v>#NUM!</v>
      </c>
      <c r="K179" s="111" t="e">
        <f t="shared" si="12"/>
        <v>#NUM!</v>
      </c>
      <c r="L179" s="111"/>
      <c r="M179" s="113">
        <f t="shared" si="13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0"/>
        <v/>
      </c>
      <c r="J180" s="112" t="e">
        <f t="shared" si="11"/>
        <v>#NUM!</v>
      </c>
      <c r="K180" s="111" t="e">
        <f t="shared" si="12"/>
        <v>#NUM!</v>
      </c>
      <c r="L180" s="111"/>
      <c r="M180" s="113">
        <f t="shared" si="13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1">
        <v>176</v>
      </c>
      <c r="I181" s="112" t="str">
        <f t="shared" si="10"/>
        <v/>
      </c>
      <c r="J181" s="112" t="e">
        <f t="shared" si="11"/>
        <v>#NUM!</v>
      </c>
      <c r="K181" s="111" t="e">
        <f t="shared" si="12"/>
        <v>#NUM!</v>
      </c>
      <c r="L181" s="111"/>
      <c r="M181" s="113">
        <f t="shared" si="13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0"/>
        <v/>
      </c>
      <c r="J182" s="112" t="e">
        <f t="shared" si="11"/>
        <v>#NUM!</v>
      </c>
      <c r="K182" s="111" t="e">
        <f t="shared" si="12"/>
        <v>#NUM!</v>
      </c>
      <c r="L182" s="111"/>
      <c r="M182" s="113">
        <f t="shared" si="13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1">
        <v>178</v>
      </c>
      <c r="I183" s="112" t="str">
        <f t="shared" si="10"/>
        <v/>
      </c>
      <c r="J183" s="112" t="e">
        <f t="shared" si="11"/>
        <v>#NUM!</v>
      </c>
      <c r="K183" s="111" t="e">
        <f t="shared" si="12"/>
        <v>#NUM!</v>
      </c>
      <c r="L183" s="111"/>
      <c r="M183" s="113">
        <f t="shared" si="13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0"/>
        <v/>
      </c>
      <c r="J184" s="112" t="e">
        <f t="shared" si="11"/>
        <v>#NUM!</v>
      </c>
      <c r="K184" s="111" t="e">
        <f t="shared" si="12"/>
        <v>#NUM!</v>
      </c>
      <c r="L184" s="111"/>
      <c r="M184" s="113">
        <f t="shared" si="13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1">
        <v>180</v>
      </c>
      <c r="I185" s="112" t="str">
        <f t="shared" si="10"/>
        <v/>
      </c>
      <c r="J185" s="112" t="e">
        <f t="shared" si="11"/>
        <v>#NUM!</v>
      </c>
      <c r="K185" s="111" t="e">
        <f t="shared" si="12"/>
        <v>#NUM!</v>
      </c>
      <c r="L185" s="111"/>
      <c r="M185" s="113">
        <f t="shared" si="13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0"/>
        <v/>
      </c>
      <c r="J186" s="112" t="e">
        <f t="shared" si="11"/>
        <v>#NUM!</v>
      </c>
      <c r="K186" s="111" t="e">
        <f t="shared" si="12"/>
        <v>#NUM!</v>
      </c>
      <c r="L186" s="111"/>
      <c r="M186" s="113">
        <f t="shared" si="13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1">
        <v>182</v>
      </c>
      <c r="I187" s="112" t="str">
        <f t="shared" si="10"/>
        <v/>
      </c>
      <c r="J187" s="112" t="e">
        <f t="shared" si="11"/>
        <v>#NUM!</v>
      </c>
      <c r="K187" s="111" t="e">
        <f t="shared" si="12"/>
        <v>#NUM!</v>
      </c>
      <c r="L187" s="111"/>
      <c r="M187" s="113">
        <f t="shared" si="13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0"/>
        <v/>
      </c>
      <c r="J188" s="112" t="e">
        <f t="shared" si="11"/>
        <v>#NUM!</v>
      </c>
      <c r="K188" s="111" t="e">
        <f t="shared" si="12"/>
        <v>#NUM!</v>
      </c>
      <c r="L188" s="111"/>
      <c r="M188" s="113">
        <f t="shared" si="13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1">
        <v>184</v>
      </c>
      <c r="I189" s="112" t="str">
        <f t="shared" si="10"/>
        <v/>
      </c>
      <c r="J189" s="112" t="e">
        <f t="shared" si="11"/>
        <v>#NUM!</v>
      </c>
      <c r="K189" s="111" t="e">
        <f t="shared" si="12"/>
        <v>#NUM!</v>
      </c>
      <c r="L189" s="111"/>
      <c r="M189" s="113">
        <f t="shared" si="13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0"/>
        <v/>
      </c>
      <c r="J190" s="112" t="e">
        <f t="shared" si="11"/>
        <v>#NUM!</v>
      </c>
      <c r="K190" s="111" t="e">
        <f t="shared" si="12"/>
        <v>#NUM!</v>
      </c>
      <c r="L190" s="111"/>
      <c r="M190" s="113">
        <f t="shared" si="13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1">
        <v>186</v>
      </c>
      <c r="I191" s="112" t="str">
        <f t="shared" si="10"/>
        <v/>
      </c>
      <c r="J191" s="112" t="e">
        <f t="shared" si="11"/>
        <v>#NUM!</v>
      </c>
      <c r="K191" s="111" t="e">
        <f t="shared" si="12"/>
        <v>#NUM!</v>
      </c>
      <c r="L191" s="111"/>
      <c r="M191" s="113">
        <f t="shared" si="13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0"/>
        <v/>
      </c>
      <c r="J192" s="112" t="e">
        <f t="shared" si="11"/>
        <v>#NUM!</v>
      </c>
      <c r="K192" s="111" t="e">
        <f t="shared" si="12"/>
        <v>#NUM!</v>
      </c>
      <c r="L192" s="111"/>
      <c r="M192" s="113">
        <f t="shared" si="13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1">
        <v>188</v>
      </c>
      <c r="I193" s="112" t="str">
        <f t="shared" si="10"/>
        <v/>
      </c>
      <c r="J193" s="112" t="e">
        <f t="shared" si="11"/>
        <v>#NUM!</v>
      </c>
      <c r="K193" s="111" t="e">
        <f t="shared" si="12"/>
        <v>#NUM!</v>
      </c>
      <c r="L193" s="111"/>
      <c r="M193" s="113">
        <f t="shared" si="13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0"/>
        <v/>
      </c>
      <c r="J194" s="112" t="e">
        <f t="shared" si="11"/>
        <v>#NUM!</v>
      </c>
      <c r="K194" s="111" t="e">
        <f t="shared" si="12"/>
        <v>#NUM!</v>
      </c>
      <c r="L194" s="111"/>
      <c r="M194" s="113">
        <f t="shared" si="13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1">
        <v>190</v>
      </c>
      <c r="I195" s="112" t="str">
        <f t="shared" si="10"/>
        <v/>
      </c>
      <c r="J195" s="112" t="e">
        <f t="shared" si="11"/>
        <v>#NUM!</v>
      </c>
      <c r="K195" s="111" t="e">
        <f t="shared" si="12"/>
        <v>#NUM!</v>
      </c>
      <c r="L195" s="111"/>
      <c r="M195" s="113">
        <f t="shared" si="13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0"/>
        <v/>
      </c>
      <c r="J196" s="112" t="e">
        <f t="shared" si="11"/>
        <v>#NUM!</v>
      </c>
      <c r="K196" s="111" t="e">
        <f t="shared" si="12"/>
        <v>#NUM!</v>
      </c>
      <c r="L196" s="111"/>
      <c r="M196" s="113">
        <f t="shared" si="13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1">
        <v>192</v>
      </c>
      <c r="I197" s="112" t="str">
        <f t="shared" si="10"/>
        <v/>
      </c>
      <c r="J197" s="112" t="e">
        <f t="shared" si="11"/>
        <v>#NUM!</v>
      </c>
      <c r="K197" s="111" t="e">
        <f t="shared" si="12"/>
        <v>#NUM!</v>
      </c>
      <c r="L197" s="111"/>
      <c r="M197" s="113">
        <f t="shared" si="13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4">IF(H198&lt;$H$2+1,($I$2-($I$2-1)*(LOG(H198)/LOG($H$2))),"")</f>
        <v/>
      </c>
      <c r="J198" s="112" t="e">
        <f t="shared" ref="J198:J261" si="15">INT(LOG($H$2,2))-ROUNDUP(LOG(H198,2),0)+IF(OR($H$2=1,$H$2=2,$H$2=4,$H$2=8,$H$2=16,$H$2=32,$H$2=64,$H$2=128,$H$2=256),0,1)</f>
        <v>#NUM!</v>
      </c>
      <c r="K198" s="111" t="e">
        <f t="shared" ref="K198:K261" si="16">J198*$J$2</f>
        <v>#NUM!</v>
      </c>
      <c r="L198" s="111"/>
      <c r="M198" s="113">
        <f t="shared" ref="M198:M261" si="17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1">
        <v>194</v>
      </c>
      <c r="I199" s="112" t="str">
        <f t="shared" si="14"/>
        <v/>
      </c>
      <c r="J199" s="112" t="e">
        <f t="shared" si="15"/>
        <v>#NUM!</v>
      </c>
      <c r="K199" s="111" t="e">
        <f t="shared" si="16"/>
        <v>#NUM!</v>
      </c>
      <c r="L199" s="111"/>
      <c r="M199" s="113">
        <f t="shared" si="17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4"/>
        <v/>
      </c>
      <c r="J200" s="112" t="e">
        <f t="shared" si="15"/>
        <v>#NUM!</v>
      </c>
      <c r="K200" s="111" t="e">
        <f t="shared" si="16"/>
        <v>#NUM!</v>
      </c>
      <c r="L200" s="111"/>
      <c r="M200" s="113">
        <f t="shared" si="17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1">
        <v>196</v>
      </c>
      <c r="I201" s="112" t="str">
        <f t="shared" si="14"/>
        <v/>
      </c>
      <c r="J201" s="112" t="e">
        <f t="shared" si="15"/>
        <v>#NUM!</v>
      </c>
      <c r="K201" s="111" t="e">
        <f t="shared" si="16"/>
        <v>#NUM!</v>
      </c>
      <c r="L201" s="111"/>
      <c r="M201" s="113">
        <f t="shared" si="17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4"/>
        <v/>
      </c>
      <c r="J202" s="112" t="e">
        <f t="shared" si="15"/>
        <v>#NUM!</v>
      </c>
      <c r="K202" s="111" t="e">
        <f t="shared" si="16"/>
        <v>#NUM!</v>
      </c>
      <c r="L202" s="111"/>
      <c r="M202" s="113">
        <f t="shared" si="17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1">
        <v>198</v>
      </c>
      <c r="I203" s="112" t="str">
        <f t="shared" si="14"/>
        <v/>
      </c>
      <c r="J203" s="112" t="e">
        <f t="shared" si="15"/>
        <v>#NUM!</v>
      </c>
      <c r="K203" s="111" t="e">
        <f t="shared" si="16"/>
        <v>#NUM!</v>
      </c>
      <c r="L203" s="111"/>
      <c r="M203" s="113">
        <f t="shared" si="17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4"/>
        <v/>
      </c>
      <c r="J204" s="112" t="e">
        <f t="shared" si="15"/>
        <v>#NUM!</v>
      </c>
      <c r="K204" s="111" t="e">
        <f t="shared" si="16"/>
        <v>#NUM!</v>
      </c>
      <c r="L204" s="111"/>
      <c r="M204" s="113">
        <f t="shared" si="17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1">
        <v>200</v>
      </c>
      <c r="I205" s="112" t="str">
        <f t="shared" si="14"/>
        <v/>
      </c>
      <c r="J205" s="112" t="e">
        <f t="shared" si="15"/>
        <v>#NUM!</v>
      </c>
      <c r="K205" s="111" t="e">
        <f t="shared" si="16"/>
        <v>#NUM!</v>
      </c>
      <c r="L205" s="111"/>
      <c r="M205" s="113">
        <f t="shared" si="17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4"/>
        <v/>
      </c>
      <c r="J206" s="112" t="e">
        <f t="shared" si="15"/>
        <v>#NUM!</v>
      </c>
      <c r="K206" s="111" t="e">
        <f t="shared" si="16"/>
        <v>#NUM!</v>
      </c>
      <c r="L206" s="111"/>
      <c r="M206" s="113">
        <f t="shared" si="17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1">
        <v>202</v>
      </c>
      <c r="I207" s="112" t="str">
        <f t="shared" si="14"/>
        <v/>
      </c>
      <c r="J207" s="112" t="e">
        <f t="shared" si="15"/>
        <v>#NUM!</v>
      </c>
      <c r="K207" s="111" t="e">
        <f t="shared" si="16"/>
        <v>#NUM!</v>
      </c>
      <c r="L207" s="111"/>
      <c r="M207" s="113">
        <f t="shared" si="17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4"/>
        <v/>
      </c>
      <c r="J208" s="112" t="e">
        <f t="shared" si="15"/>
        <v>#NUM!</v>
      </c>
      <c r="K208" s="111" t="e">
        <f t="shared" si="16"/>
        <v>#NUM!</v>
      </c>
      <c r="L208" s="111"/>
      <c r="M208" s="113">
        <f t="shared" si="17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1">
        <v>204</v>
      </c>
      <c r="I209" s="112" t="str">
        <f t="shared" si="14"/>
        <v/>
      </c>
      <c r="J209" s="112" t="e">
        <f t="shared" si="15"/>
        <v>#NUM!</v>
      </c>
      <c r="K209" s="111" t="e">
        <f t="shared" si="16"/>
        <v>#NUM!</v>
      </c>
      <c r="L209" s="111"/>
      <c r="M209" s="113">
        <f t="shared" si="17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4"/>
        <v/>
      </c>
      <c r="J210" s="112" t="e">
        <f t="shared" si="15"/>
        <v>#NUM!</v>
      </c>
      <c r="K210" s="111" t="e">
        <f t="shared" si="16"/>
        <v>#NUM!</v>
      </c>
      <c r="L210" s="111"/>
      <c r="M210" s="113">
        <f t="shared" si="17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1">
        <v>206</v>
      </c>
      <c r="I211" s="112" t="str">
        <f t="shared" si="14"/>
        <v/>
      </c>
      <c r="J211" s="112" t="e">
        <f t="shared" si="15"/>
        <v>#NUM!</v>
      </c>
      <c r="K211" s="111" t="e">
        <f t="shared" si="16"/>
        <v>#NUM!</v>
      </c>
      <c r="L211" s="111"/>
      <c r="M211" s="113">
        <f t="shared" si="17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4"/>
        <v/>
      </c>
      <c r="J212" s="112" t="e">
        <f t="shared" si="15"/>
        <v>#NUM!</v>
      </c>
      <c r="K212" s="111" t="e">
        <f t="shared" si="16"/>
        <v>#NUM!</v>
      </c>
      <c r="L212" s="111"/>
      <c r="M212" s="113">
        <f t="shared" si="17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1">
        <v>208</v>
      </c>
      <c r="I213" s="112" t="str">
        <f t="shared" si="14"/>
        <v/>
      </c>
      <c r="J213" s="112" t="e">
        <f t="shared" si="15"/>
        <v>#NUM!</v>
      </c>
      <c r="K213" s="111" t="e">
        <f t="shared" si="16"/>
        <v>#NUM!</v>
      </c>
      <c r="L213" s="111"/>
      <c r="M213" s="113">
        <f t="shared" si="17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4"/>
        <v/>
      </c>
      <c r="J214" s="112" t="e">
        <f t="shared" si="15"/>
        <v>#NUM!</v>
      </c>
      <c r="K214" s="111" t="e">
        <f t="shared" si="16"/>
        <v>#NUM!</v>
      </c>
      <c r="L214" s="111"/>
      <c r="M214" s="113">
        <f t="shared" si="17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1">
        <v>210</v>
      </c>
      <c r="I215" s="112" t="str">
        <f t="shared" si="14"/>
        <v/>
      </c>
      <c r="J215" s="112" t="e">
        <f t="shared" si="15"/>
        <v>#NUM!</v>
      </c>
      <c r="K215" s="111" t="e">
        <f t="shared" si="16"/>
        <v>#NUM!</v>
      </c>
      <c r="L215" s="111"/>
      <c r="M215" s="113">
        <f t="shared" si="17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4"/>
        <v/>
      </c>
      <c r="J216" s="112" t="e">
        <f t="shared" si="15"/>
        <v>#NUM!</v>
      </c>
      <c r="K216" s="111" t="e">
        <f t="shared" si="16"/>
        <v>#NUM!</v>
      </c>
      <c r="L216" s="111"/>
      <c r="M216" s="113">
        <f t="shared" si="17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1">
        <v>212</v>
      </c>
      <c r="I217" s="112" t="str">
        <f t="shared" si="14"/>
        <v/>
      </c>
      <c r="J217" s="112" t="e">
        <f t="shared" si="15"/>
        <v>#NUM!</v>
      </c>
      <c r="K217" s="111" t="e">
        <f t="shared" si="16"/>
        <v>#NUM!</v>
      </c>
      <c r="L217" s="111"/>
      <c r="M217" s="113">
        <f t="shared" si="17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4"/>
        <v/>
      </c>
      <c r="J218" s="112" t="e">
        <f t="shared" si="15"/>
        <v>#NUM!</v>
      </c>
      <c r="K218" s="111" t="e">
        <f t="shared" si="16"/>
        <v>#NUM!</v>
      </c>
      <c r="L218" s="111"/>
      <c r="M218" s="113">
        <f t="shared" si="17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1">
        <v>214</v>
      </c>
      <c r="I219" s="112" t="str">
        <f t="shared" si="14"/>
        <v/>
      </c>
      <c r="J219" s="112" t="e">
        <f t="shared" si="15"/>
        <v>#NUM!</v>
      </c>
      <c r="K219" s="111" t="e">
        <f t="shared" si="16"/>
        <v>#NUM!</v>
      </c>
      <c r="L219" s="111"/>
      <c r="M219" s="113">
        <f t="shared" si="17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4"/>
        <v/>
      </c>
      <c r="J220" s="112" t="e">
        <f t="shared" si="15"/>
        <v>#NUM!</v>
      </c>
      <c r="K220" s="111" t="e">
        <f t="shared" si="16"/>
        <v>#NUM!</v>
      </c>
      <c r="L220" s="111"/>
      <c r="M220" s="113">
        <f t="shared" si="17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1">
        <v>216</v>
      </c>
      <c r="I221" s="112" t="str">
        <f t="shared" si="14"/>
        <v/>
      </c>
      <c r="J221" s="112" t="e">
        <f t="shared" si="15"/>
        <v>#NUM!</v>
      </c>
      <c r="K221" s="111" t="e">
        <f t="shared" si="16"/>
        <v>#NUM!</v>
      </c>
      <c r="L221" s="111"/>
      <c r="M221" s="113">
        <f t="shared" si="17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4"/>
        <v/>
      </c>
      <c r="J222" s="112" t="e">
        <f t="shared" si="15"/>
        <v>#NUM!</v>
      </c>
      <c r="K222" s="111" t="e">
        <f t="shared" si="16"/>
        <v>#NUM!</v>
      </c>
      <c r="L222" s="111"/>
      <c r="M222" s="113">
        <f t="shared" si="17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1">
        <v>218</v>
      </c>
      <c r="I223" s="112" t="str">
        <f t="shared" si="14"/>
        <v/>
      </c>
      <c r="J223" s="112" t="e">
        <f t="shared" si="15"/>
        <v>#NUM!</v>
      </c>
      <c r="K223" s="111" t="e">
        <f t="shared" si="16"/>
        <v>#NUM!</v>
      </c>
      <c r="L223" s="111"/>
      <c r="M223" s="113">
        <f t="shared" si="17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4"/>
        <v/>
      </c>
      <c r="J224" s="112" t="e">
        <f t="shared" si="15"/>
        <v>#NUM!</v>
      </c>
      <c r="K224" s="111" t="e">
        <f t="shared" si="16"/>
        <v>#NUM!</v>
      </c>
      <c r="L224" s="111"/>
      <c r="M224" s="113">
        <f t="shared" si="17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1">
        <v>220</v>
      </c>
      <c r="I225" s="112" t="str">
        <f t="shared" si="14"/>
        <v/>
      </c>
      <c r="J225" s="112" t="e">
        <f t="shared" si="15"/>
        <v>#NUM!</v>
      </c>
      <c r="K225" s="111" t="e">
        <f t="shared" si="16"/>
        <v>#NUM!</v>
      </c>
      <c r="L225" s="111"/>
      <c r="M225" s="113">
        <f t="shared" si="17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4"/>
        <v/>
      </c>
      <c r="J226" s="112" t="e">
        <f t="shared" si="15"/>
        <v>#NUM!</v>
      </c>
      <c r="K226" s="111" t="e">
        <f t="shared" si="16"/>
        <v>#NUM!</v>
      </c>
      <c r="L226" s="111"/>
      <c r="M226" s="113">
        <f t="shared" si="17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1">
        <v>222</v>
      </c>
      <c r="I227" s="112" t="str">
        <f t="shared" si="14"/>
        <v/>
      </c>
      <c r="J227" s="112" t="e">
        <f t="shared" si="15"/>
        <v>#NUM!</v>
      </c>
      <c r="K227" s="111" t="e">
        <f t="shared" si="16"/>
        <v>#NUM!</v>
      </c>
      <c r="L227" s="111"/>
      <c r="M227" s="113">
        <f t="shared" si="17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4"/>
        <v/>
      </c>
      <c r="J228" s="112" t="e">
        <f t="shared" si="15"/>
        <v>#NUM!</v>
      </c>
      <c r="K228" s="111" t="e">
        <f t="shared" si="16"/>
        <v>#NUM!</v>
      </c>
      <c r="L228" s="111"/>
      <c r="M228" s="113">
        <f t="shared" si="17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1">
        <v>224</v>
      </c>
      <c r="I229" s="112" t="str">
        <f t="shared" si="14"/>
        <v/>
      </c>
      <c r="J229" s="112" t="e">
        <f t="shared" si="15"/>
        <v>#NUM!</v>
      </c>
      <c r="K229" s="111" t="e">
        <f t="shared" si="16"/>
        <v>#NUM!</v>
      </c>
      <c r="L229" s="111"/>
      <c r="M229" s="113">
        <f t="shared" si="17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4"/>
        <v/>
      </c>
      <c r="J230" s="112" t="e">
        <f t="shared" si="15"/>
        <v>#NUM!</v>
      </c>
      <c r="K230" s="111" t="e">
        <f t="shared" si="16"/>
        <v>#NUM!</v>
      </c>
      <c r="L230" s="111"/>
      <c r="M230" s="113">
        <f t="shared" si="17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1">
        <v>226</v>
      </c>
      <c r="I231" s="112" t="str">
        <f t="shared" si="14"/>
        <v/>
      </c>
      <c r="J231" s="112" t="e">
        <f t="shared" si="15"/>
        <v>#NUM!</v>
      </c>
      <c r="K231" s="111" t="e">
        <f t="shared" si="16"/>
        <v>#NUM!</v>
      </c>
      <c r="L231" s="111"/>
      <c r="M231" s="113">
        <f t="shared" si="17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4"/>
        <v/>
      </c>
      <c r="J232" s="112" t="e">
        <f t="shared" si="15"/>
        <v>#NUM!</v>
      </c>
      <c r="K232" s="111" t="e">
        <f t="shared" si="16"/>
        <v>#NUM!</v>
      </c>
      <c r="L232" s="111"/>
      <c r="M232" s="113">
        <f t="shared" si="17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1">
        <v>228</v>
      </c>
      <c r="I233" s="112" t="str">
        <f t="shared" si="14"/>
        <v/>
      </c>
      <c r="J233" s="112" t="e">
        <f t="shared" si="15"/>
        <v>#NUM!</v>
      </c>
      <c r="K233" s="111" t="e">
        <f t="shared" si="16"/>
        <v>#NUM!</v>
      </c>
      <c r="L233" s="111"/>
      <c r="M233" s="113">
        <f t="shared" si="17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4"/>
        <v/>
      </c>
      <c r="J234" s="112" t="e">
        <f t="shared" si="15"/>
        <v>#NUM!</v>
      </c>
      <c r="K234" s="111" t="e">
        <f t="shared" si="16"/>
        <v>#NUM!</v>
      </c>
      <c r="L234" s="111"/>
      <c r="M234" s="113">
        <f t="shared" si="17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1">
        <v>230</v>
      </c>
      <c r="I235" s="112" t="str">
        <f t="shared" si="14"/>
        <v/>
      </c>
      <c r="J235" s="112" t="e">
        <f t="shared" si="15"/>
        <v>#NUM!</v>
      </c>
      <c r="K235" s="111" t="e">
        <f t="shared" si="16"/>
        <v>#NUM!</v>
      </c>
      <c r="L235" s="111"/>
      <c r="M235" s="113">
        <f t="shared" si="17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4"/>
        <v/>
      </c>
      <c r="J236" s="112" t="e">
        <f t="shared" si="15"/>
        <v>#NUM!</v>
      </c>
      <c r="K236" s="111" t="e">
        <f t="shared" si="16"/>
        <v>#NUM!</v>
      </c>
      <c r="L236" s="111"/>
      <c r="M236" s="113">
        <f t="shared" si="17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1">
        <v>232</v>
      </c>
      <c r="I237" s="112" t="str">
        <f t="shared" si="14"/>
        <v/>
      </c>
      <c r="J237" s="112" t="e">
        <f t="shared" si="15"/>
        <v>#NUM!</v>
      </c>
      <c r="K237" s="111" t="e">
        <f t="shared" si="16"/>
        <v>#NUM!</v>
      </c>
      <c r="L237" s="111"/>
      <c r="M237" s="113">
        <f t="shared" si="17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4"/>
        <v/>
      </c>
      <c r="J238" s="112" t="e">
        <f t="shared" si="15"/>
        <v>#NUM!</v>
      </c>
      <c r="K238" s="111" t="e">
        <f t="shared" si="16"/>
        <v>#NUM!</v>
      </c>
      <c r="L238" s="111"/>
      <c r="M238" s="113">
        <f t="shared" si="17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1">
        <v>234</v>
      </c>
      <c r="I239" s="112" t="str">
        <f t="shared" si="14"/>
        <v/>
      </c>
      <c r="J239" s="112" t="e">
        <f t="shared" si="15"/>
        <v>#NUM!</v>
      </c>
      <c r="K239" s="111" t="e">
        <f t="shared" si="16"/>
        <v>#NUM!</v>
      </c>
      <c r="L239" s="111"/>
      <c r="M239" s="113">
        <f t="shared" si="17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4"/>
        <v/>
      </c>
      <c r="J240" s="112" t="e">
        <f t="shared" si="15"/>
        <v>#NUM!</v>
      </c>
      <c r="K240" s="111" t="e">
        <f t="shared" si="16"/>
        <v>#NUM!</v>
      </c>
      <c r="L240" s="111"/>
      <c r="M240" s="113">
        <f t="shared" si="17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1">
        <v>236</v>
      </c>
      <c r="I241" s="112" t="str">
        <f t="shared" si="14"/>
        <v/>
      </c>
      <c r="J241" s="112" t="e">
        <f t="shared" si="15"/>
        <v>#NUM!</v>
      </c>
      <c r="K241" s="111" t="e">
        <f t="shared" si="16"/>
        <v>#NUM!</v>
      </c>
      <c r="L241" s="111"/>
      <c r="M241" s="113">
        <f t="shared" si="17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4"/>
        <v/>
      </c>
      <c r="J242" s="112" t="e">
        <f t="shared" si="15"/>
        <v>#NUM!</v>
      </c>
      <c r="K242" s="111" t="e">
        <f t="shared" si="16"/>
        <v>#NUM!</v>
      </c>
      <c r="L242" s="111"/>
      <c r="M242" s="113">
        <f t="shared" si="17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1">
        <v>238</v>
      </c>
      <c r="I243" s="112" t="str">
        <f t="shared" si="14"/>
        <v/>
      </c>
      <c r="J243" s="112" t="e">
        <f t="shared" si="15"/>
        <v>#NUM!</v>
      </c>
      <c r="K243" s="111" t="e">
        <f t="shared" si="16"/>
        <v>#NUM!</v>
      </c>
      <c r="L243" s="111"/>
      <c r="M243" s="113">
        <f t="shared" si="17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4"/>
        <v/>
      </c>
      <c r="J244" s="112" t="e">
        <f t="shared" si="15"/>
        <v>#NUM!</v>
      </c>
      <c r="K244" s="111" t="e">
        <f t="shared" si="16"/>
        <v>#NUM!</v>
      </c>
      <c r="L244" s="111"/>
      <c r="M244" s="113">
        <f t="shared" si="17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1">
        <v>240</v>
      </c>
      <c r="I245" s="112" t="str">
        <f t="shared" si="14"/>
        <v/>
      </c>
      <c r="J245" s="112" t="e">
        <f t="shared" si="15"/>
        <v>#NUM!</v>
      </c>
      <c r="K245" s="111" t="e">
        <f t="shared" si="16"/>
        <v>#NUM!</v>
      </c>
      <c r="L245" s="111"/>
      <c r="M245" s="113">
        <f t="shared" si="17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4"/>
        <v/>
      </c>
      <c r="J246" s="112" t="e">
        <f t="shared" si="15"/>
        <v>#NUM!</v>
      </c>
      <c r="K246" s="111" t="e">
        <f t="shared" si="16"/>
        <v>#NUM!</v>
      </c>
      <c r="L246" s="111"/>
      <c r="M246" s="113">
        <f t="shared" si="17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1">
        <v>242</v>
      </c>
      <c r="I247" s="112" t="str">
        <f t="shared" si="14"/>
        <v/>
      </c>
      <c r="J247" s="112" t="e">
        <f t="shared" si="15"/>
        <v>#NUM!</v>
      </c>
      <c r="K247" s="111" t="e">
        <f t="shared" si="16"/>
        <v>#NUM!</v>
      </c>
      <c r="L247" s="111"/>
      <c r="M247" s="113">
        <f t="shared" si="17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4"/>
        <v/>
      </c>
      <c r="J248" s="112" t="e">
        <f t="shared" si="15"/>
        <v>#NUM!</v>
      </c>
      <c r="K248" s="111" t="e">
        <f t="shared" si="16"/>
        <v>#NUM!</v>
      </c>
      <c r="L248" s="111"/>
      <c r="M248" s="113">
        <f t="shared" si="17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1">
        <v>244</v>
      </c>
      <c r="I249" s="112" t="str">
        <f t="shared" si="14"/>
        <v/>
      </c>
      <c r="J249" s="112" t="e">
        <f t="shared" si="15"/>
        <v>#NUM!</v>
      </c>
      <c r="K249" s="111" t="e">
        <f t="shared" si="16"/>
        <v>#NUM!</v>
      </c>
      <c r="L249" s="111"/>
      <c r="M249" s="113">
        <f t="shared" si="17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4"/>
        <v/>
      </c>
      <c r="J250" s="112" t="e">
        <f t="shared" si="15"/>
        <v>#NUM!</v>
      </c>
      <c r="K250" s="111" t="e">
        <f t="shared" si="16"/>
        <v>#NUM!</v>
      </c>
      <c r="L250" s="111"/>
      <c r="M250" s="113">
        <f t="shared" si="17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1">
        <v>246</v>
      </c>
      <c r="I251" s="112" t="str">
        <f t="shared" si="14"/>
        <v/>
      </c>
      <c r="J251" s="112" t="e">
        <f t="shared" si="15"/>
        <v>#NUM!</v>
      </c>
      <c r="K251" s="111" t="e">
        <f t="shared" si="16"/>
        <v>#NUM!</v>
      </c>
      <c r="L251" s="111"/>
      <c r="M251" s="113">
        <f t="shared" si="17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4"/>
        <v/>
      </c>
      <c r="J252" s="112" t="e">
        <f t="shared" si="15"/>
        <v>#NUM!</v>
      </c>
      <c r="K252" s="111" t="e">
        <f t="shared" si="16"/>
        <v>#NUM!</v>
      </c>
      <c r="L252" s="111"/>
      <c r="M252" s="113">
        <f t="shared" si="17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1">
        <v>248</v>
      </c>
      <c r="I253" s="112" t="str">
        <f t="shared" si="14"/>
        <v/>
      </c>
      <c r="J253" s="112" t="e">
        <f t="shared" si="15"/>
        <v>#NUM!</v>
      </c>
      <c r="K253" s="111" t="e">
        <f t="shared" si="16"/>
        <v>#NUM!</v>
      </c>
      <c r="L253" s="111"/>
      <c r="M253" s="113">
        <f t="shared" si="17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4"/>
        <v/>
      </c>
      <c r="J254" s="112" t="e">
        <f t="shared" si="15"/>
        <v>#NUM!</v>
      </c>
      <c r="K254" s="111" t="e">
        <f t="shared" si="16"/>
        <v>#NUM!</v>
      </c>
      <c r="L254" s="111"/>
      <c r="M254" s="113">
        <f t="shared" si="17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1">
        <v>250</v>
      </c>
      <c r="I255" s="112" t="str">
        <f t="shared" si="14"/>
        <v/>
      </c>
      <c r="J255" s="112" t="e">
        <f t="shared" si="15"/>
        <v>#NUM!</v>
      </c>
      <c r="K255" s="111" t="e">
        <f t="shared" si="16"/>
        <v>#NUM!</v>
      </c>
      <c r="L255" s="111"/>
      <c r="M255" s="113">
        <f t="shared" si="17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4"/>
        <v/>
      </c>
      <c r="J256" s="112" t="e">
        <f t="shared" si="15"/>
        <v>#NUM!</v>
      </c>
      <c r="K256" s="111" t="e">
        <f t="shared" si="16"/>
        <v>#NUM!</v>
      </c>
      <c r="L256" s="111"/>
      <c r="M256" s="113">
        <f t="shared" si="17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1">
        <v>252</v>
      </c>
      <c r="I257" s="112" t="str">
        <f t="shared" si="14"/>
        <v/>
      </c>
      <c r="J257" s="112" t="e">
        <f t="shared" si="15"/>
        <v>#NUM!</v>
      </c>
      <c r="K257" s="111" t="e">
        <f t="shared" si="16"/>
        <v>#NUM!</v>
      </c>
      <c r="L257" s="111"/>
      <c r="M257" s="113">
        <f t="shared" si="17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4"/>
        <v/>
      </c>
      <c r="J258" s="112" t="e">
        <f t="shared" si="15"/>
        <v>#NUM!</v>
      </c>
      <c r="K258" s="111" t="e">
        <f t="shared" si="16"/>
        <v>#NUM!</v>
      </c>
      <c r="L258" s="111"/>
      <c r="M258" s="113">
        <f t="shared" si="17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1">
        <v>254</v>
      </c>
      <c r="I259" s="112" t="str">
        <f t="shared" si="14"/>
        <v/>
      </c>
      <c r="J259" s="112" t="e">
        <f t="shared" si="15"/>
        <v>#NUM!</v>
      </c>
      <c r="K259" s="111" t="e">
        <f t="shared" si="16"/>
        <v>#NUM!</v>
      </c>
      <c r="L259" s="111"/>
      <c r="M259" s="113">
        <f t="shared" si="17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4"/>
        <v/>
      </c>
      <c r="J260" s="112" t="e">
        <f t="shared" si="15"/>
        <v>#NUM!</v>
      </c>
      <c r="K260" s="111" t="e">
        <f t="shared" si="16"/>
        <v>#NUM!</v>
      </c>
      <c r="L260" s="111"/>
      <c r="M260" s="113">
        <f t="shared" si="17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1">
        <v>256</v>
      </c>
      <c r="I261" s="112" t="str">
        <f t="shared" si="14"/>
        <v/>
      </c>
      <c r="J261" s="112" t="e">
        <f t="shared" si="15"/>
        <v>#NUM!</v>
      </c>
      <c r="K261" s="111" t="e">
        <f t="shared" si="16"/>
        <v>#NUM!</v>
      </c>
      <c r="L261" s="111"/>
      <c r="M261" s="113">
        <f t="shared" si="17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18">IF(H262&lt;$H$2+1,($I$2-($I$2-1)*(LOG(H262)/LOG($H$2))),"")</f>
        <v/>
      </c>
      <c r="J262" s="112" t="e">
        <f t="shared" ref="J262:J305" si="19">INT(LOG($H$2,2))-ROUNDUP(LOG(H262,2),0)+IF(OR($H$2=1,$H$2=2,$H$2=4,$H$2=8,$H$2=16,$H$2=32,$H$2=64,$H$2=128,$H$2=256),0,1)</f>
        <v>#NUM!</v>
      </c>
      <c r="K262" s="111" t="e">
        <f t="shared" ref="K262:K305" si="20">J262*$J$2</f>
        <v>#NUM!</v>
      </c>
      <c r="L262" s="111"/>
      <c r="M262" s="113">
        <f t="shared" ref="M262:M305" si="21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1">
        <v>258</v>
      </c>
      <c r="I263" s="112" t="str">
        <f t="shared" si="18"/>
        <v/>
      </c>
      <c r="J263" s="112" t="e">
        <f t="shared" si="19"/>
        <v>#NUM!</v>
      </c>
      <c r="K263" s="111" t="e">
        <f t="shared" si="20"/>
        <v>#NUM!</v>
      </c>
      <c r="L263" s="111"/>
      <c r="M263" s="113">
        <f t="shared" si="21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18"/>
        <v/>
      </c>
      <c r="J264" s="112" t="e">
        <f t="shared" si="19"/>
        <v>#NUM!</v>
      </c>
      <c r="K264" s="111" t="e">
        <f t="shared" si="20"/>
        <v>#NUM!</v>
      </c>
      <c r="L264" s="111"/>
      <c r="M264" s="113">
        <f t="shared" si="21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1">
        <v>260</v>
      </c>
      <c r="I265" s="112" t="str">
        <f t="shared" si="18"/>
        <v/>
      </c>
      <c r="J265" s="112" t="e">
        <f t="shared" si="19"/>
        <v>#NUM!</v>
      </c>
      <c r="K265" s="111" t="e">
        <f t="shared" si="20"/>
        <v>#NUM!</v>
      </c>
      <c r="L265" s="111"/>
      <c r="M265" s="113">
        <f t="shared" si="21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18"/>
        <v/>
      </c>
      <c r="J266" s="112" t="e">
        <f t="shared" si="19"/>
        <v>#NUM!</v>
      </c>
      <c r="K266" s="111" t="e">
        <f t="shared" si="20"/>
        <v>#NUM!</v>
      </c>
      <c r="L266" s="111"/>
      <c r="M266" s="113">
        <f t="shared" si="21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1">
        <v>262</v>
      </c>
      <c r="I267" s="112" t="str">
        <f t="shared" si="18"/>
        <v/>
      </c>
      <c r="J267" s="112" t="e">
        <f t="shared" si="19"/>
        <v>#NUM!</v>
      </c>
      <c r="K267" s="111" t="e">
        <f t="shared" si="20"/>
        <v>#NUM!</v>
      </c>
      <c r="L267" s="111"/>
      <c r="M267" s="113">
        <f t="shared" si="21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18"/>
        <v/>
      </c>
      <c r="J268" s="112" t="e">
        <f t="shared" si="19"/>
        <v>#NUM!</v>
      </c>
      <c r="K268" s="111" t="e">
        <f t="shared" si="20"/>
        <v>#NUM!</v>
      </c>
      <c r="L268" s="111"/>
      <c r="M268" s="113">
        <f t="shared" si="21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1">
        <v>264</v>
      </c>
      <c r="I269" s="112" t="str">
        <f t="shared" si="18"/>
        <v/>
      </c>
      <c r="J269" s="112" t="e">
        <f t="shared" si="19"/>
        <v>#NUM!</v>
      </c>
      <c r="K269" s="111" t="e">
        <f t="shared" si="20"/>
        <v>#NUM!</v>
      </c>
      <c r="L269" s="111"/>
      <c r="M269" s="113">
        <f t="shared" si="21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18"/>
        <v/>
      </c>
      <c r="J270" s="112" t="e">
        <f t="shared" si="19"/>
        <v>#NUM!</v>
      </c>
      <c r="K270" s="111" t="e">
        <f t="shared" si="20"/>
        <v>#NUM!</v>
      </c>
      <c r="L270" s="111"/>
      <c r="M270" s="113">
        <f t="shared" si="21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1">
        <v>266</v>
      </c>
      <c r="I271" s="112" t="str">
        <f t="shared" si="18"/>
        <v/>
      </c>
      <c r="J271" s="112" t="e">
        <f t="shared" si="19"/>
        <v>#NUM!</v>
      </c>
      <c r="K271" s="111" t="e">
        <f t="shared" si="20"/>
        <v>#NUM!</v>
      </c>
      <c r="L271" s="111"/>
      <c r="M271" s="113">
        <f t="shared" si="21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18"/>
        <v/>
      </c>
      <c r="J272" s="112" t="e">
        <f t="shared" si="19"/>
        <v>#NUM!</v>
      </c>
      <c r="K272" s="111" t="e">
        <f t="shared" si="20"/>
        <v>#NUM!</v>
      </c>
      <c r="L272" s="111"/>
      <c r="M272" s="113">
        <f t="shared" si="21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1">
        <v>268</v>
      </c>
      <c r="I273" s="112" t="str">
        <f t="shared" si="18"/>
        <v/>
      </c>
      <c r="J273" s="112" t="e">
        <f t="shared" si="19"/>
        <v>#NUM!</v>
      </c>
      <c r="K273" s="111" t="e">
        <f t="shared" si="20"/>
        <v>#NUM!</v>
      </c>
      <c r="L273" s="111"/>
      <c r="M273" s="113">
        <f t="shared" si="21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18"/>
        <v/>
      </c>
      <c r="J274" s="112" t="e">
        <f t="shared" si="19"/>
        <v>#NUM!</v>
      </c>
      <c r="K274" s="111" t="e">
        <f t="shared" si="20"/>
        <v>#NUM!</v>
      </c>
      <c r="L274" s="111"/>
      <c r="M274" s="113">
        <f t="shared" si="21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1">
        <v>270</v>
      </c>
      <c r="I275" s="112" t="str">
        <f t="shared" si="18"/>
        <v/>
      </c>
      <c r="J275" s="112" t="e">
        <f t="shared" si="19"/>
        <v>#NUM!</v>
      </c>
      <c r="K275" s="111" t="e">
        <f t="shared" si="20"/>
        <v>#NUM!</v>
      </c>
      <c r="L275" s="111"/>
      <c r="M275" s="113">
        <f t="shared" si="21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18"/>
        <v/>
      </c>
      <c r="J276" s="112" t="e">
        <f t="shared" si="19"/>
        <v>#NUM!</v>
      </c>
      <c r="K276" s="111" t="e">
        <f t="shared" si="20"/>
        <v>#NUM!</v>
      </c>
      <c r="L276" s="111"/>
      <c r="M276" s="113">
        <f t="shared" si="21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1">
        <v>272</v>
      </c>
      <c r="I277" s="112" t="str">
        <f t="shared" si="18"/>
        <v/>
      </c>
      <c r="J277" s="112" t="e">
        <f t="shared" si="19"/>
        <v>#NUM!</v>
      </c>
      <c r="K277" s="111" t="e">
        <f t="shared" si="20"/>
        <v>#NUM!</v>
      </c>
      <c r="L277" s="111"/>
      <c r="M277" s="113">
        <f t="shared" si="21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18"/>
        <v/>
      </c>
      <c r="J278" s="112" t="e">
        <f t="shared" si="19"/>
        <v>#NUM!</v>
      </c>
      <c r="K278" s="111" t="e">
        <f t="shared" si="20"/>
        <v>#NUM!</v>
      </c>
      <c r="L278" s="111"/>
      <c r="M278" s="113">
        <f t="shared" si="21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1">
        <v>274</v>
      </c>
      <c r="I279" s="112" t="str">
        <f t="shared" si="18"/>
        <v/>
      </c>
      <c r="J279" s="112" t="e">
        <f t="shared" si="19"/>
        <v>#NUM!</v>
      </c>
      <c r="K279" s="111" t="e">
        <f t="shared" si="20"/>
        <v>#NUM!</v>
      </c>
      <c r="L279" s="111"/>
      <c r="M279" s="113">
        <f t="shared" si="21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18"/>
        <v/>
      </c>
      <c r="J280" s="112" t="e">
        <f t="shared" si="19"/>
        <v>#NUM!</v>
      </c>
      <c r="K280" s="111" t="e">
        <f t="shared" si="20"/>
        <v>#NUM!</v>
      </c>
      <c r="L280" s="111"/>
      <c r="M280" s="113">
        <f t="shared" si="21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1">
        <v>276</v>
      </c>
      <c r="I281" s="112" t="str">
        <f t="shared" si="18"/>
        <v/>
      </c>
      <c r="J281" s="112" t="e">
        <f t="shared" si="19"/>
        <v>#NUM!</v>
      </c>
      <c r="K281" s="111" t="e">
        <f t="shared" si="20"/>
        <v>#NUM!</v>
      </c>
      <c r="L281" s="111"/>
      <c r="M281" s="113">
        <f t="shared" si="21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18"/>
        <v/>
      </c>
      <c r="J282" s="112" t="e">
        <f t="shared" si="19"/>
        <v>#NUM!</v>
      </c>
      <c r="K282" s="111" t="e">
        <f t="shared" si="20"/>
        <v>#NUM!</v>
      </c>
      <c r="L282" s="111"/>
      <c r="M282" s="113">
        <f t="shared" si="21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1">
        <v>278</v>
      </c>
      <c r="I283" s="112" t="str">
        <f t="shared" si="18"/>
        <v/>
      </c>
      <c r="J283" s="112" t="e">
        <f t="shared" si="19"/>
        <v>#NUM!</v>
      </c>
      <c r="K283" s="111" t="e">
        <f t="shared" si="20"/>
        <v>#NUM!</v>
      </c>
      <c r="L283" s="111"/>
      <c r="M283" s="113">
        <f t="shared" si="21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18"/>
        <v/>
      </c>
      <c r="J284" s="112" t="e">
        <f t="shared" si="19"/>
        <v>#NUM!</v>
      </c>
      <c r="K284" s="111" t="e">
        <f t="shared" si="20"/>
        <v>#NUM!</v>
      </c>
      <c r="L284" s="111"/>
      <c r="M284" s="113">
        <f t="shared" si="21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1">
        <v>280</v>
      </c>
      <c r="I285" s="112" t="str">
        <f t="shared" si="18"/>
        <v/>
      </c>
      <c r="J285" s="112" t="e">
        <f t="shared" si="19"/>
        <v>#NUM!</v>
      </c>
      <c r="K285" s="111" t="e">
        <f t="shared" si="20"/>
        <v>#NUM!</v>
      </c>
      <c r="L285" s="111"/>
      <c r="M285" s="113">
        <f t="shared" si="21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18"/>
        <v/>
      </c>
      <c r="J286" s="112" t="e">
        <f t="shared" si="19"/>
        <v>#NUM!</v>
      </c>
      <c r="K286" s="111" t="e">
        <f t="shared" si="20"/>
        <v>#NUM!</v>
      </c>
      <c r="L286" s="111"/>
      <c r="M286" s="113">
        <f t="shared" si="21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1">
        <v>282</v>
      </c>
      <c r="I287" s="112" t="str">
        <f t="shared" si="18"/>
        <v/>
      </c>
      <c r="J287" s="112" t="e">
        <f t="shared" si="19"/>
        <v>#NUM!</v>
      </c>
      <c r="K287" s="111" t="e">
        <f t="shared" si="20"/>
        <v>#NUM!</v>
      </c>
      <c r="L287" s="111"/>
      <c r="M287" s="113">
        <f t="shared" si="21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18"/>
        <v/>
      </c>
      <c r="J288" s="112" t="e">
        <f t="shared" si="19"/>
        <v>#NUM!</v>
      </c>
      <c r="K288" s="111" t="e">
        <f t="shared" si="20"/>
        <v>#NUM!</v>
      </c>
      <c r="L288" s="111"/>
      <c r="M288" s="113">
        <f t="shared" si="21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1">
        <v>284</v>
      </c>
      <c r="I289" s="112" t="str">
        <f t="shared" si="18"/>
        <v/>
      </c>
      <c r="J289" s="112" t="e">
        <f t="shared" si="19"/>
        <v>#NUM!</v>
      </c>
      <c r="K289" s="111" t="e">
        <f t="shared" si="20"/>
        <v>#NUM!</v>
      </c>
      <c r="L289" s="111"/>
      <c r="M289" s="113">
        <f t="shared" si="21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18"/>
        <v/>
      </c>
      <c r="J290" s="112" t="e">
        <f t="shared" si="19"/>
        <v>#NUM!</v>
      </c>
      <c r="K290" s="111" t="e">
        <f t="shared" si="20"/>
        <v>#NUM!</v>
      </c>
      <c r="L290" s="111"/>
      <c r="M290" s="113">
        <f t="shared" si="21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1">
        <v>286</v>
      </c>
      <c r="I291" s="112" t="str">
        <f t="shared" si="18"/>
        <v/>
      </c>
      <c r="J291" s="112" t="e">
        <f t="shared" si="19"/>
        <v>#NUM!</v>
      </c>
      <c r="K291" s="111" t="e">
        <f t="shared" si="20"/>
        <v>#NUM!</v>
      </c>
      <c r="L291" s="111"/>
      <c r="M291" s="113">
        <f t="shared" si="21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18"/>
        <v/>
      </c>
      <c r="J292" s="112" t="e">
        <f t="shared" si="19"/>
        <v>#NUM!</v>
      </c>
      <c r="K292" s="111" t="e">
        <f t="shared" si="20"/>
        <v>#NUM!</v>
      </c>
      <c r="L292" s="111"/>
      <c r="M292" s="113">
        <f t="shared" si="21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18"/>
        <v/>
      </c>
      <c r="J293" s="112" t="e">
        <f t="shared" si="19"/>
        <v>#NUM!</v>
      </c>
      <c r="K293" s="111" t="e">
        <f t="shared" si="20"/>
        <v>#NUM!</v>
      </c>
      <c r="L293" s="111"/>
      <c r="M293" s="113">
        <f t="shared" si="21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18"/>
        <v/>
      </c>
      <c r="J294" s="112" t="e">
        <f t="shared" si="19"/>
        <v>#NUM!</v>
      </c>
      <c r="K294" s="111" t="e">
        <f t="shared" si="20"/>
        <v>#NUM!</v>
      </c>
      <c r="L294" s="111"/>
      <c r="M294" s="113">
        <f t="shared" si="21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18"/>
        <v/>
      </c>
      <c r="J295" s="112" t="e">
        <f t="shared" si="19"/>
        <v>#NUM!</v>
      </c>
      <c r="K295" s="111" t="e">
        <f t="shared" si="20"/>
        <v>#NUM!</v>
      </c>
      <c r="L295" s="111"/>
      <c r="M295" s="113">
        <f t="shared" si="21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18"/>
        <v/>
      </c>
      <c r="J296" s="112" t="e">
        <f t="shared" si="19"/>
        <v>#NUM!</v>
      </c>
      <c r="K296" s="111" t="e">
        <f t="shared" si="20"/>
        <v>#NUM!</v>
      </c>
      <c r="L296" s="111"/>
      <c r="M296" s="113">
        <f t="shared" si="21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18"/>
        <v/>
      </c>
      <c r="J297" s="112" t="e">
        <f t="shared" si="19"/>
        <v>#NUM!</v>
      </c>
      <c r="K297" s="111" t="e">
        <f t="shared" si="20"/>
        <v>#NUM!</v>
      </c>
      <c r="L297" s="111"/>
      <c r="M297" s="113">
        <f t="shared" si="21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18"/>
        <v/>
      </c>
      <c r="J298" s="112" t="e">
        <f t="shared" si="19"/>
        <v>#NUM!</v>
      </c>
      <c r="K298" s="111" t="e">
        <f t="shared" si="20"/>
        <v>#NUM!</v>
      </c>
      <c r="L298" s="111"/>
      <c r="M298" s="113">
        <f t="shared" si="21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18"/>
        <v/>
      </c>
      <c r="J299" s="112" t="e">
        <f t="shared" si="19"/>
        <v>#NUM!</v>
      </c>
      <c r="K299" s="111" t="e">
        <f t="shared" si="20"/>
        <v>#NUM!</v>
      </c>
      <c r="L299" s="111"/>
      <c r="M299" s="113">
        <f t="shared" si="21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18"/>
        <v/>
      </c>
      <c r="J300" s="112" t="e">
        <f t="shared" si="19"/>
        <v>#NUM!</v>
      </c>
      <c r="K300" s="111" t="e">
        <f t="shared" si="20"/>
        <v>#NUM!</v>
      </c>
      <c r="L300" s="111"/>
      <c r="M300" s="113">
        <f t="shared" si="21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18"/>
        <v/>
      </c>
      <c r="J301" s="112" t="e">
        <f t="shared" si="19"/>
        <v>#NUM!</v>
      </c>
      <c r="K301" s="111" t="e">
        <f t="shared" si="20"/>
        <v>#NUM!</v>
      </c>
      <c r="L301" s="111"/>
      <c r="M301" s="113">
        <f t="shared" si="21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18"/>
        <v/>
      </c>
      <c r="J302" s="112" t="e">
        <f t="shared" si="19"/>
        <v>#NUM!</v>
      </c>
      <c r="K302" s="111" t="e">
        <f t="shared" si="20"/>
        <v>#NUM!</v>
      </c>
      <c r="L302" s="111"/>
      <c r="M302" s="113">
        <f t="shared" si="21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18"/>
        <v/>
      </c>
      <c r="J303" s="112" t="e">
        <f t="shared" si="19"/>
        <v>#NUM!</v>
      </c>
      <c r="K303" s="111" t="e">
        <f t="shared" si="20"/>
        <v>#NUM!</v>
      </c>
      <c r="L303" s="111"/>
      <c r="M303" s="113">
        <f t="shared" si="21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18"/>
        <v/>
      </c>
      <c r="J304" s="112" t="e">
        <f t="shared" si="19"/>
        <v>#NUM!</v>
      </c>
      <c r="K304" s="111" t="e">
        <f t="shared" si="20"/>
        <v>#NUM!</v>
      </c>
      <c r="L304" s="111"/>
      <c r="M304" s="113">
        <f t="shared" si="21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18"/>
        <v/>
      </c>
      <c r="J305" s="112" t="e">
        <f t="shared" si="19"/>
        <v>#NUM!</v>
      </c>
      <c r="K305" s="111" t="e">
        <f t="shared" si="20"/>
        <v>#NUM!</v>
      </c>
      <c r="L305" s="111"/>
      <c r="M305" s="113">
        <f t="shared" si="21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/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/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/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/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/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50CB634D-BEA0-4801-8437-BBBF6EA6855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84C6-DDE0-4E31-B39D-4410ED223F3B}">
  <sheetPr>
    <tabColor theme="7" tint="0.79998168889431442"/>
  </sheetPr>
  <dimension ref="A1:AL317"/>
  <sheetViews>
    <sheetView workbookViewId="0">
      <selection activeCell="G20" sqref="G20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" style="134" customWidth="1"/>
    <col min="11" max="11" width="8.7109375" style="134" customWidth="1"/>
    <col min="12" max="12" width="11" style="134" customWidth="1"/>
    <col min="13" max="13" width="11.7109375" style="135" customWidth="1"/>
    <col min="14" max="15" width="13.85546875" style="96" customWidth="1"/>
    <col min="16" max="18" width="8.85546875" style="96"/>
    <col min="19" max="20" width="8.85546875" style="101"/>
    <col min="21" max="21" width="12.140625" style="101" customWidth="1"/>
    <col min="22" max="22" width="27.42578125" style="101" customWidth="1"/>
    <col min="23" max="38" width="8.85546875" style="101"/>
    <col min="39" max="16384" width="8.85546875" style="131"/>
  </cols>
  <sheetData>
    <row r="1" spans="1:36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91</v>
      </c>
      <c r="L1" s="100"/>
      <c r="M1" s="100"/>
      <c r="N1" s="96"/>
      <c r="O1" s="96"/>
      <c r="P1" s="96"/>
      <c r="Q1" s="96"/>
      <c r="R1" s="96"/>
    </row>
    <row r="2" spans="1:36" s="101" customFormat="1">
      <c r="A2" s="96"/>
      <c r="B2" s="25" t="s">
        <v>28</v>
      </c>
      <c r="C2" s="180" t="s">
        <v>100</v>
      </c>
      <c r="D2" s="180"/>
      <c r="E2" s="26"/>
      <c r="F2" s="26"/>
      <c r="G2" s="26"/>
      <c r="H2" s="102">
        <v>0</v>
      </c>
      <c r="I2" s="103">
        <v>50</v>
      </c>
      <c r="J2" s="103">
        <v>10</v>
      </c>
      <c r="K2" s="137">
        <f>3*H2^(1/3)</f>
        <v>0</v>
      </c>
      <c r="L2" s="100"/>
      <c r="M2" s="100"/>
      <c r="N2" s="96"/>
      <c r="O2" s="96"/>
      <c r="P2" s="96"/>
      <c r="Q2" s="96"/>
      <c r="R2" s="96"/>
    </row>
    <row r="3" spans="1:36" s="101" customFormat="1" ht="14.45" customHeight="1">
      <c r="A3" s="96"/>
      <c r="B3" s="105" t="s">
        <v>30</v>
      </c>
      <c r="C3" s="180"/>
      <c r="D3" s="180"/>
      <c r="E3" s="31"/>
      <c r="F3" s="31"/>
      <c r="G3" s="31"/>
      <c r="H3" s="100"/>
      <c r="I3" s="100"/>
      <c r="J3" s="100"/>
      <c r="K3" s="100"/>
      <c r="L3" s="100"/>
      <c r="M3" s="100"/>
      <c r="N3" s="96"/>
      <c r="O3" s="96"/>
      <c r="P3" s="96"/>
      <c r="Q3" s="96"/>
      <c r="R3" s="96"/>
    </row>
    <row r="4" spans="1:36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0"/>
      <c r="K4" s="100"/>
      <c r="L4" s="100"/>
      <c r="M4" s="100"/>
      <c r="N4" s="96"/>
      <c r="O4" s="96"/>
      <c r="P4" s="96"/>
      <c r="Q4" s="96"/>
      <c r="R4" s="96"/>
    </row>
    <row r="5" spans="1:36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8" t="s">
        <v>40</v>
      </c>
      <c r="K5" s="108" t="s">
        <v>41</v>
      </c>
      <c r="L5" s="108" t="s">
        <v>42</v>
      </c>
      <c r="M5" s="107" t="s">
        <v>43</v>
      </c>
      <c r="N5" s="96"/>
      <c r="O5" s="96"/>
      <c r="P5" s="96"/>
      <c r="Q5" s="96"/>
      <c r="R5" s="96"/>
    </row>
    <row r="6" spans="1:36" s="101" customFormat="1" ht="14.45" customHeight="1">
      <c r="A6" s="110">
        <f t="shared" ref="A6:A69" si="0">M6</f>
        <v>0</v>
      </c>
      <c r="B6" s="39" t="str">
        <f>IF(H6&gt;$H$2,"",(ROW()-5))</f>
        <v/>
      </c>
      <c r="C6" s="40" t="s">
        <v>50</v>
      </c>
      <c r="D6" s="40"/>
      <c r="E6" s="40"/>
      <c r="F6" s="40"/>
      <c r="G6" s="33"/>
      <c r="H6" s="111">
        <v>1</v>
      </c>
      <c r="I6" s="112" t="str">
        <f t="shared" ref="I6:I69" si="1">IF(H6&lt;$H$2+1,($I$2-($I$2-1)*(LOG(H6)/LOG($H$2))),"")</f>
        <v/>
      </c>
      <c r="J6" s="112" t="e">
        <f t="shared" ref="J6:J69" si="2">INT(LOG($H$2,2))-ROUNDUP(LOG(H6,2),0)+IF(OR($H$2=1,$H$2=2,$H$2=4,$H$2=8,$H$2=16,$H$2=32,$H$2=64,$H$2=128,$H$2=256),0,1)</f>
        <v>#NUM!</v>
      </c>
      <c r="K6" s="111" t="e">
        <f t="shared" ref="K6:K69" si="3">J6*$J$2</f>
        <v>#NUM!</v>
      </c>
      <c r="L6" s="113">
        <f>3*K2</f>
        <v>0</v>
      </c>
      <c r="M6" s="113">
        <f t="shared" ref="M6:M69" si="4">IF(I6&lt;&gt;"",K6+I6+L6,0)</f>
        <v>0</v>
      </c>
      <c r="N6" s="96"/>
      <c r="O6" s="96"/>
      <c r="P6" s="96"/>
      <c r="Q6" s="96"/>
      <c r="R6" s="96"/>
    </row>
    <row r="7" spans="1:36" s="101" customFormat="1" ht="14.45" customHeight="1">
      <c r="A7" s="114">
        <f t="shared" si="0"/>
        <v>0</v>
      </c>
      <c r="B7" s="45" t="str">
        <f>IF(H7&gt;$H$2,"",(ROW()-5))</f>
        <v/>
      </c>
      <c r="C7" s="46" t="s">
        <v>50</v>
      </c>
      <c r="D7" s="46"/>
      <c r="E7" s="46"/>
      <c r="F7" s="46"/>
      <c r="G7" s="33"/>
      <c r="H7" s="115">
        <v>2</v>
      </c>
      <c r="I7" s="116" t="str">
        <f t="shared" si="1"/>
        <v/>
      </c>
      <c r="J7" s="116" t="e">
        <f t="shared" si="2"/>
        <v>#NUM!</v>
      </c>
      <c r="K7" s="115" t="e">
        <f t="shared" si="3"/>
        <v>#NUM!</v>
      </c>
      <c r="L7" s="117">
        <f>2*K2</f>
        <v>0</v>
      </c>
      <c r="M7" s="117">
        <f t="shared" si="4"/>
        <v>0</v>
      </c>
      <c r="N7" s="96"/>
      <c r="O7" s="96"/>
      <c r="P7" s="96"/>
      <c r="Q7" s="96"/>
      <c r="R7" s="96"/>
    </row>
    <row r="8" spans="1:36" s="101" customFormat="1" ht="14.45" customHeight="1">
      <c r="A8" s="110">
        <f t="shared" si="0"/>
        <v>0</v>
      </c>
      <c r="B8" s="39" t="str">
        <f>IF(H8&gt;$H$2,"",(ROW()-5))</f>
        <v/>
      </c>
      <c r="C8" s="40" t="s">
        <v>50</v>
      </c>
      <c r="D8" s="40"/>
      <c r="E8" s="40"/>
      <c r="F8" s="40"/>
      <c r="G8" s="33"/>
      <c r="H8" s="111">
        <v>3</v>
      </c>
      <c r="I8" s="112" t="str">
        <f t="shared" si="1"/>
        <v/>
      </c>
      <c r="J8" s="112" t="e">
        <f t="shared" si="2"/>
        <v>#NUM!</v>
      </c>
      <c r="K8" s="111" t="e">
        <f t="shared" si="3"/>
        <v>#NUM!</v>
      </c>
      <c r="L8" s="113">
        <f>K2</f>
        <v>0</v>
      </c>
      <c r="M8" s="113">
        <f t="shared" si="4"/>
        <v>0</v>
      </c>
      <c r="N8" s="96"/>
      <c r="O8" s="96"/>
      <c r="P8" s="96"/>
      <c r="Q8" s="96"/>
      <c r="R8" s="96"/>
    </row>
    <row r="9" spans="1:36" s="101" customFormat="1" ht="14.45" customHeight="1">
      <c r="A9" s="114">
        <f t="shared" si="0"/>
        <v>0</v>
      </c>
      <c r="B9" s="45" t="str">
        <f>IF(H9&gt;$H$2,"",3)</f>
        <v/>
      </c>
      <c r="C9" s="46" t="s">
        <v>50</v>
      </c>
      <c r="D9" s="46"/>
      <c r="E9" s="46"/>
      <c r="F9" s="46"/>
      <c r="G9" s="33"/>
      <c r="H9" s="115">
        <v>3</v>
      </c>
      <c r="I9" s="116" t="str">
        <f t="shared" si="1"/>
        <v/>
      </c>
      <c r="J9" s="115" t="e">
        <f t="shared" si="2"/>
        <v>#NUM!</v>
      </c>
      <c r="K9" s="115" t="e">
        <f t="shared" si="3"/>
        <v>#NUM!</v>
      </c>
      <c r="L9" s="117">
        <f>K2</f>
        <v>0</v>
      </c>
      <c r="M9" s="117">
        <f t="shared" si="4"/>
        <v>0</v>
      </c>
      <c r="N9" s="96"/>
      <c r="O9" s="96"/>
      <c r="P9" s="96"/>
      <c r="Q9" s="96"/>
      <c r="R9" s="96"/>
      <c r="V9" s="118"/>
      <c r="Z9" s="119"/>
      <c r="AA9" s="119"/>
      <c r="AG9" s="120"/>
      <c r="AH9" s="101" t="s">
        <v>50</v>
      </c>
      <c r="AI9" s="101">
        <v>23</v>
      </c>
    </row>
    <row r="10" spans="1:36" s="101" customFormat="1" ht="14.45" customHeight="1">
      <c r="A10" s="110">
        <f t="shared" si="0"/>
        <v>0</v>
      </c>
      <c r="B10" s="39" t="str">
        <f t="shared" ref="B10:B65" si="5">IF(H10&gt;$H$2,"",(ROW()-5))</f>
        <v/>
      </c>
      <c r="C10" s="40" t="s">
        <v>50</v>
      </c>
      <c r="D10" s="40"/>
      <c r="E10" s="40"/>
      <c r="F10" s="40"/>
      <c r="G10" s="33"/>
      <c r="H10" s="111">
        <v>5</v>
      </c>
      <c r="I10" s="112" t="str">
        <f t="shared" si="1"/>
        <v/>
      </c>
      <c r="J10" s="112" t="e">
        <f t="shared" si="2"/>
        <v>#NUM!</v>
      </c>
      <c r="K10" s="111" t="e">
        <f t="shared" si="3"/>
        <v>#NUM!</v>
      </c>
      <c r="L10" s="111"/>
      <c r="M10" s="113">
        <f t="shared" si="4"/>
        <v>0</v>
      </c>
      <c r="N10" s="96"/>
      <c r="O10" s="96"/>
      <c r="P10" s="96"/>
      <c r="Q10" s="96"/>
      <c r="R10" s="96"/>
      <c r="V10" s="118"/>
      <c r="Z10" s="119"/>
      <c r="AA10" s="119"/>
      <c r="AG10" s="120"/>
      <c r="AH10" s="101" t="s">
        <v>52</v>
      </c>
      <c r="AI10" s="101">
        <v>45</v>
      </c>
    </row>
    <row r="11" spans="1:36" s="101" customFormat="1" ht="14.45" customHeight="1">
      <c r="A11" s="114">
        <f t="shared" si="0"/>
        <v>0</v>
      </c>
      <c r="B11" s="45" t="str">
        <f t="shared" si="5"/>
        <v/>
      </c>
      <c r="C11" s="46" t="s">
        <v>50</v>
      </c>
      <c r="D11" s="46"/>
      <c r="E11" s="46"/>
      <c r="F11" s="46"/>
      <c r="G11" s="33"/>
      <c r="H11" s="115">
        <v>6</v>
      </c>
      <c r="I11" s="116" t="str">
        <f t="shared" si="1"/>
        <v/>
      </c>
      <c r="J11" s="116" t="e">
        <f t="shared" si="2"/>
        <v>#NUM!</v>
      </c>
      <c r="K11" s="115" t="e">
        <f t="shared" si="3"/>
        <v>#NUM!</v>
      </c>
      <c r="L11" s="115"/>
      <c r="M11" s="117">
        <f t="shared" si="4"/>
        <v>0</v>
      </c>
      <c r="N11" s="96"/>
      <c r="O11" s="96"/>
      <c r="P11" s="96"/>
      <c r="Q11" s="96"/>
      <c r="R11" s="96"/>
      <c r="V11" s="121"/>
      <c r="Z11" s="119"/>
      <c r="AA11" s="119"/>
      <c r="AG11" s="120"/>
      <c r="AH11" s="101" t="s">
        <v>53</v>
      </c>
      <c r="AI11" s="101">
        <v>50</v>
      </c>
    </row>
    <row r="12" spans="1:36" s="101" customFormat="1" ht="14.45" customHeight="1">
      <c r="A12" s="110">
        <f t="shared" si="0"/>
        <v>0</v>
      </c>
      <c r="B12" s="39" t="str">
        <f t="shared" si="5"/>
        <v/>
      </c>
      <c r="C12" s="40" t="s">
        <v>50</v>
      </c>
      <c r="D12" s="40"/>
      <c r="E12" s="40"/>
      <c r="F12" s="40"/>
      <c r="G12" s="33"/>
      <c r="H12" s="111">
        <v>7</v>
      </c>
      <c r="I12" s="112" t="str">
        <f t="shared" si="1"/>
        <v/>
      </c>
      <c r="J12" s="112" t="e">
        <f t="shared" si="2"/>
        <v>#NUM!</v>
      </c>
      <c r="K12" s="111" t="e">
        <f t="shared" si="3"/>
        <v>#NUM!</v>
      </c>
      <c r="L12" s="111"/>
      <c r="M12" s="113">
        <f t="shared" si="4"/>
        <v>0</v>
      </c>
      <c r="N12" s="96"/>
      <c r="O12" s="96"/>
      <c r="P12" s="96"/>
      <c r="Q12" s="96"/>
      <c r="R12" s="96"/>
      <c r="Z12" s="119"/>
      <c r="AA12" s="119"/>
      <c r="AG12" s="120"/>
      <c r="AH12" s="101" t="s">
        <v>54</v>
      </c>
      <c r="AI12" s="101">
        <f>AI11-1</f>
        <v>49</v>
      </c>
    </row>
    <row r="13" spans="1:36" s="101" customFormat="1" ht="14.45" customHeight="1">
      <c r="A13" s="114">
        <f t="shared" si="0"/>
        <v>0</v>
      </c>
      <c r="B13" s="45" t="str">
        <f t="shared" si="5"/>
        <v/>
      </c>
      <c r="C13" s="46" t="s">
        <v>50</v>
      </c>
      <c r="D13" s="46"/>
      <c r="E13" s="46"/>
      <c r="F13" s="46"/>
      <c r="G13" s="33"/>
      <c r="H13" s="115">
        <v>8</v>
      </c>
      <c r="I13" s="116" t="str">
        <f t="shared" si="1"/>
        <v/>
      </c>
      <c r="J13" s="116" t="e">
        <f t="shared" si="2"/>
        <v>#NUM!</v>
      </c>
      <c r="K13" s="115" t="e">
        <f t="shared" si="3"/>
        <v>#NUM!</v>
      </c>
      <c r="L13" s="115"/>
      <c r="M13" s="117">
        <f t="shared" si="4"/>
        <v>0</v>
      </c>
      <c r="N13" s="96"/>
      <c r="O13" s="96"/>
      <c r="P13" s="96"/>
      <c r="Q13" s="96"/>
      <c r="R13" s="96"/>
      <c r="X13" s="118"/>
      <c r="AG13" s="120"/>
      <c r="AH13" s="101" t="s">
        <v>55</v>
      </c>
      <c r="AI13" s="101">
        <f>LOG(AI9)</f>
        <v>1.3617278360175928</v>
      </c>
    </row>
    <row r="14" spans="1:36" s="101" customFormat="1">
      <c r="A14" s="110">
        <f t="shared" si="0"/>
        <v>0</v>
      </c>
      <c r="B14" s="39" t="str">
        <f t="shared" si="5"/>
        <v/>
      </c>
      <c r="C14" s="40" t="s">
        <v>50</v>
      </c>
      <c r="D14" s="40"/>
      <c r="E14" s="40"/>
      <c r="F14" s="40"/>
      <c r="G14" s="33"/>
      <c r="H14" s="111">
        <v>9</v>
      </c>
      <c r="I14" s="112" t="str">
        <f t="shared" si="1"/>
        <v/>
      </c>
      <c r="J14" s="112" t="e">
        <f t="shared" si="2"/>
        <v>#NUM!</v>
      </c>
      <c r="K14" s="111" t="e">
        <f t="shared" si="3"/>
        <v>#NUM!</v>
      </c>
      <c r="L14" s="111"/>
      <c r="M14" s="113">
        <f t="shared" si="4"/>
        <v>0</v>
      </c>
      <c r="N14" s="96"/>
      <c r="O14" s="96"/>
      <c r="P14" s="96"/>
      <c r="Q14" s="96"/>
      <c r="R14" s="96"/>
      <c r="X14" s="122"/>
      <c r="Z14" s="119"/>
      <c r="AA14" s="119"/>
      <c r="AG14" s="120"/>
      <c r="AH14" s="101" t="s">
        <v>56</v>
      </c>
      <c r="AI14" s="101">
        <f>LOG(AI10)</f>
        <v>1.6532125137753437</v>
      </c>
    </row>
    <row r="15" spans="1:36" s="101" customFormat="1">
      <c r="A15" s="114">
        <f t="shared" si="0"/>
        <v>0</v>
      </c>
      <c r="B15" s="45" t="str">
        <f t="shared" si="5"/>
        <v/>
      </c>
      <c r="C15" s="46" t="s">
        <v>50</v>
      </c>
      <c r="D15" s="46"/>
      <c r="E15" s="46"/>
      <c r="F15" s="46"/>
      <c r="G15" s="33"/>
      <c r="H15" s="115">
        <v>10</v>
      </c>
      <c r="I15" s="116" t="str">
        <f t="shared" si="1"/>
        <v/>
      </c>
      <c r="J15" s="116" t="e">
        <f t="shared" si="2"/>
        <v>#NUM!</v>
      </c>
      <c r="K15" s="115" t="e">
        <f t="shared" si="3"/>
        <v>#NUM!</v>
      </c>
      <c r="L15" s="115"/>
      <c r="M15" s="117">
        <f t="shared" si="4"/>
        <v>0</v>
      </c>
      <c r="N15" s="96"/>
      <c r="O15" s="96"/>
      <c r="P15" s="96"/>
      <c r="Q15" s="96"/>
      <c r="R15" s="96"/>
      <c r="X15" s="118"/>
      <c r="Z15" s="119"/>
      <c r="AA15" s="119"/>
    </row>
    <row r="16" spans="1:36" s="101" customFormat="1">
      <c r="A16" s="110">
        <f t="shared" si="0"/>
        <v>0</v>
      </c>
      <c r="B16" s="39" t="str">
        <f t="shared" si="5"/>
        <v/>
      </c>
      <c r="C16" s="40" t="s">
        <v>50</v>
      </c>
      <c r="D16" s="40"/>
      <c r="E16" s="40"/>
      <c r="F16" s="40"/>
      <c r="G16" s="33"/>
      <c r="H16" s="111">
        <v>11</v>
      </c>
      <c r="I16" s="112" t="str">
        <f t="shared" si="1"/>
        <v/>
      </c>
      <c r="J16" s="112" t="e">
        <f t="shared" si="2"/>
        <v>#NUM!</v>
      </c>
      <c r="K16" s="111" t="e">
        <f t="shared" si="3"/>
        <v>#NUM!</v>
      </c>
      <c r="L16" s="111"/>
      <c r="M16" s="113">
        <f t="shared" si="4"/>
        <v>0</v>
      </c>
      <c r="N16" s="96"/>
      <c r="O16" s="96"/>
      <c r="P16" s="96"/>
      <c r="Q16" s="96"/>
      <c r="R16" s="123"/>
      <c r="Z16" s="119"/>
      <c r="AA16" s="119"/>
      <c r="AH16" s="124" t="s">
        <v>57</v>
      </c>
      <c r="AI16" s="101">
        <f>AI11-AI12*AI13/AI14</f>
        <v>9.6393909380186855</v>
      </c>
      <c r="AJ16" s="101" t="s">
        <v>58</v>
      </c>
    </row>
    <row r="17" spans="1:19" s="101" customFormat="1">
      <c r="A17" s="114">
        <f t="shared" si="0"/>
        <v>0</v>
      </c>
      <c r="B17" s="45" t="str">
        <f t="shared" si="5"/>
        <v/>
      </c>
      <c r="C17" s="46" t="s">
        <v>50</v>
      </c>
      <c r="D17" s="46"/>
      <c r="E17" s="46"/>
      <c r="F17" s="46"/>
      <c r="G17" s="33"/>
      <c r="H17" s="115">
        <v>12</v>
      </c>
      <c r="I17" s="116" t="str">
        <f t="shared" si="1"/>
        <v/>
      </c>
      <c r="J17" s="116" t="e">
        <f t="shared" si="2"/>
        <v>#NUM!</v>
      </c>
      <c r="K17" s="115" t="e">
        <f t="shared" si="3"/>
        <v>#NUM!</v>
      </c>
      <c r="L17" s="115"/>
      <c r="M17" s="117">
        <f t="shared" si="4"/>
        <v>0</v>
      </c>
      <c r="N17" s="96"/>
      <c r="O17" s="96"/>
      <c r="P17" s="96"/>
      <c r="Q17" s="96"/>
      <c r="R17" s="96"/>
    </row>
    <row r="18" spans="1:19" s="101" customFormat="1">
      <c r="A18" s="110">
        <f t="shared" si="0"/>
        <v>0</v>
      </c>
      <c r="B18" s="39" t="str">
        <f t="shared" si="5"/>
        <v/>
      </c>
      <c r="C18" s="40" t="s">
        <v>50</v>
      </c>
      <c r="D18" s="40"/>
      <c r="E18" s="40"/>
      <c r="F18" s="40"/>
      <c r="G18" s="33"/>
      <c r="H18" s="111">
        <v>13</v>
      </c>
      <c r="I18" s="112" t="str">
        <f t="shared" si="1"/>
        <v/>
      </c>
      <c r="J18" s="112" t="e">
        <f t="shared" si="2"/>
        <v>#NUM!</v>
      </c>
      <c r="K18" s="111" t="e">
        <f t="shared" si="3"/>
        <v>#NUM!</v>
      </c>
      <c r="L18" s="111"/>
      <c r="M18" s="113">
        <f t="shared" si="4"/>
        <v>0</v>
      </c>
      <c r="N18" s="96"/>
      <c r="O18" s="96"/>
      <c r="P18" s="96"/>
      <c r="Q18" s="96"/>
      <c r="R18" s="96"/>
    </row>
    <row r="19" spans="1:19" s="101" customFormat="1">
      <c r="A19" s="114">
        <f t="shared" si="0"/>
        <v>0</v>
      </c>
      <c r="B19" s="45" t="str">
        <f t="shared" si="5"/>
        <v/>
      </c>
      <c r="C19" s="46" t="s">
        <v>50</v>
      </c>
      <c r="D19" s="46"/>
      <c r="E19" s="46"/>
      <c r="F19" s="46"/>
      <c r="G19" s="33"/>
      <c r="H19" s="115">
        <v>14</v>
      </c>
      <c r="I19" s="116" t="str">
        <f t="shared" si="1"/>
        <v/>
      </c>
      <c r="J19" s="116" t="e">
        <f t="shared" si="2"/>
        <v>#NUM!</v>
      </c>
      <c r="K19" s="115" t="e">
        <f t="shared" si="3"/>
        <v>#NUM!</v>
      </c>
      <c r="L19" s="115"/>
      <c r="M19" s="117">
        <f t="shared" si="4"/>
        <v>0</v>
      </c>
      <c r="N19" s="96"/>
      <c r="O19" s="96"/>
      <c r="P19" s="96"/>
      <c r="Q19" s="96"/>
      <c r="R19" s="96"/>
    </row>
    <row r="20" spans="1:19" s="101" customFormat="1">
      <c r="A20" s="110">
        <f t="shared" si="0"/>
        <v>0</v>
      </c>
      <c r="B20" s="39" t="str">
        <f t="shared" si="5"/>
        <v/>
      </c>
      <c r="C20" s="40" t="s">
        <v>50</v>
      </c>
      <c r="D20" s="40"/>
      <c r="E20" s="40"/>
      <c r="F20" s="40"/>
      <c r="G20" s="33"/>
      <c r="H20" s="111">
        <v>15</v>
      </c>
      <c r="I20" s="112" t="str">
        <f t="shared" si="1"/>
        <v/>
      </c>
      <c r="J20" s="112" t="e">
        <f t="shared" si="2"/>
        <v>#NUM!</v>
      </c>
      <c r="K20" s="111" t="e">
        <f t="shared" si="3"/>
        <v>#NUM!</v>
      </c>
      <c r="L20" s="111"/>
      <c r="M20" s="113">
        <f t="shared" si="4"/>
        <v>0</v>
      </c>
      <c r="N20" s="96"/>
      <c r="O20" s="96"/>
      <c r="P20" s="96"/>
      <c r="Q20" s="96"/>
      <c r="R20" s="125"/>
      <c r="S20" s="126"/>
    </row>
    <row r="21" spans="1:19" s="101" customFormat="1">
      <c r="A21" s="114">
        <f t="shared" si="0"/>
        <v>0</v>
      </c>
      <c r="B21" s="45" t="str">
        <f t="shared" si="5"/>
        <v/>
      </c>
      <c r="C21" s="46" t="s">
        <v>50</v>
      </c>
      <c r="D21" s="46"/>
      <c r="E21" s="46"/>
      <c r="F21" s="46"/>
      <c r="G21" s="33"/>
      <c r="H21" s="115">
        <v>16</v>
      </c>
      <c r="I21" s="116" t="str">
        <f t="shared" si="1"/>
        <v/>
      </c>
      <c r="J21" s="116" t="e">
        <f t="shared" si="2"/>
        <v>#NUM!</v>
      </c>
      <c r="K21" s="115" t="e">
        <f t="shared" si="3"/>
        <v>#NUM!</v>
      </c>
      <c r="L21" s="115"/>
      <c r="M21" s="117">
        <f t="shared" si="4"/>
        <v>0</v>
      </c>
      <c r="N21" s="96"/>
      <c r="O21" s="96"/>
      <c r="P21" s="96"/>
      <c r="Q21" s="96"/>
      <c r="R21" s="96"/>
    </row>
    <row r="22" spans="1:19" s="101" customFormat="1">
      <c r="A22" s="110">
        <f t="shared" si="0"/>
        <v>0</v>
      </c>
      <c r="B22" s="39" t="str">
        <f t="shared" si="5"/>
        <v/>
      </c>
      <c r="C22" s="40" t="s">
        <v>50</v>
      </c>
      <c r="D22" s="40"/>
      <c r="E22" s="40"/>
      <c r="F22" s="40"/>
      <c r="G22" s="33"/>
      <c r="H22" s="111">
        <v>17</v>
      </c>
      <c r="I22" s="112" t="str">
        <f t="shared" si="1"/>
        <v/>
      </c>
      <c r="J22" s="112" t="e">
        <f t="shared" si="2"/>
        <v>#NUM!</v>
      </c>
      <c r="K22" s="111" t="e">
        <f t="shared" si="3"/>
        <v>#NUM!</v>
      </c>
      <c r="L22" s="111"/>
      <c r="M22" s="113">
        <f t="shared" si="4"/>
        <v>0</v>
      </c>
      <c r="N22" s="96"/>
      <c r="O22" s="96"/>
      <c r="P22" s="96"/>
      <c r="Q22" s="96"/>
      <c r="R22" s="96"/>
    </row>
    <row r="23" spans="1:19" s="101" customFormat="1">
      <c r="A23" s="114">
        <f t="shared" si="0"/>
        <v>0</v>
      </c>
      <c r="B23" s="45" t="str">
        <f t="shared" si="5"/>
        <v/>
      </c>
      <c r="C23" s="46" t="s">
        <v>50</v>
      </c>
      <c r="D23" s="46"/>
      <c r="E23" s="46"/>
      <c r="F23" s="46"/>
      <c r="G23" s="33"/>
      <c r="H23" s="115">
        <v>18</v>
      </c>
      <c r="I23" s="116" t="str">
        <f t="shared" si="1"/>
        <v/>
      </c>
      <c r="J23" s="116" t="e">
        <f t="shared" si="2"/>
        <v>#NUM!</v>
      </c>
      <c r="K23" s="115" t="e">
        <f t="shared" si="3"/>
        <v>#NUM!</v>
      </c>
      <c r="L23" s="115"/>
      <c r="M23" s="117">
        <f t="shared" si="4"/>
        <v>0</v>
      </c>
      <c r="N23" s="96"/>
      <c r="O23" s="96"/>
      <c r="P23" s="96"/>
      <c r="Q23" s="96"/>
      <c r="R23" s="96"/>
    </row>
    <row r="24" spans="1:19" s="101" customFormat="1">
      <c r="A24" s="110">
        <f t="shared" si="0"/>
        <v>0</v>
      </c>
      <c r="B24" s="39" t="str">
        <f t="shared" si="5"/>
        <v/>
      </c>
      <c r="C24" s="40" t="s">
        <v>50</v>
      </c>
      <c r="D24" s="40"/>
      <c r="E24" s="40"/>
      <c r="F24" s="40"/>
      <c r="G24" s="33"/>
      <c r="H24" s="111">
        <v>19</v>
      </c>
      <c r="I24" s="112" t="str">
        <f t="shared" si="1"/>
        <v/>
      </c>
      <c r="J24" s="112" t="e">
        <f t="shared" si="2"/>
        <v>#NUM!</v>
      </c>
      <c r="K24" s="111" t="e">
        <f t="shared" si="3"/>
        <v>#NUM!</v>
      </c>
      <c r="L24" s="111"/>
      <c r="M24" s="113">
        <f t="shared" si="4"/>
        <v>0</v>
      </c>
      <c r="N24" s="96"/>
      <c r="O24" s="96"/>
      <c r="P24" s="96"/>
      <c r="Q24" s="96"/>
      <c r="R24" s="125"/>
      <c r="S24" s="126"/>
    </row>
    <row r="25" spans="1:19" s="101" customFormat="1">
      <c r="A25" s="114">
        <f t="shared" si="0"/>
        <v>0</v>
      </c>
      <c r="B25" s="45" t="str">
        <f t="shared" si="5"/>
        <v/>
      </c>
      <c r="C25" s="46"/>
      <c r="D25" s="46"/>
      <c r="E25" s="46"/>
      <c r="F25" s="46"/>
      <c r="G25" s="33"/>
      <c r="H25" s="115">
        <v>20</v>
      </c>
      <c r="I25" s="116" t="str">
        <f t="shared" si="1"/>
        <v/>
      </c>
      <c r="J25" s="116" t="e">
        <f t="shared" si="2"/>
        <v>#NUM!</v>
      </c>
      <c r="K25" s="115" t="e">
        <f t="shared" si="3"/>
        <v>#NUM!</v>
      </c>
      <c r="L25" s="115"/>
      <c r="M25" s="117">
        <f t="shared" si="4"/>
        <v>0</v>
      </c>
      <c r="N25" s="96"/>
      <c r="O25" s="96"/>
      <c r="P25" s="96"/>
      <c r="Q25" s="96"/>
      <c r="R25" s="96"/>
    </row>
    <row r="26" spans="1:19" s="101" customFormat="1">
      <c r="A26" s="110">
        <f t="shared" si="0"/>
        <v>0</v>
      </c>
      <c r="B26" s="39" t="str">
        <f t="shared" si="5"/>
        <v/>
      </c>
      <c r="C26" s="40"/>
      <c r="D26" s="40"/>
      <c r="E26" s="40"/>
      <c r="F26" s="40"/>
      <c r="G26" s="33"/>
      <c r="H26" s="111">
        <v>21</v>
      </c>
      <c r="I26" s="112" t="str">
        <f t="shared" si="1"/>
        <v/>
      </c>
      <c r="J26" s="112" t="e">
        <f t="shared" si="2"/>
        <v>#NUM!</v>
      </c>
      <c r="K26" s="111" t="e">
        <f t="shared" si="3"/>
        <v>#NUM!</v>
      </c>
      <c r="L26" s="111"/>
      <c r="M26" s="113">
        <f t="shared" si="4"/>
        <v>0</v>
      </c>
      <c r="N26" s="96"/>
      <c r="O26" s="96"/>
      <c r="P26" s="96"/>
      <c r="Q26" s="96"/>
      <c r="R26" s="96"/>
    </row>
    <row r="27" spans="1:19" s="101" customFormat="1">
      <c r="A27" s="114">
        <f t="shared" si="0"/>
        <v>0</v>
      </c>
      <c r="B27" s="45" t="str">
        <f t="shared" si="5"/>
        <v/>
      </c>
      <c r="C27" s="46"/>
      <c r="D27" s="46"/>
      <c r="E27" s="46"/>
      <c r="F27" s="46"/>
      <c r="G27" s="33"/>
      <c r="H27" s="115">
        <v>22</v>
      </c>
      <c r="I27" s="116" t="str">
        <f t="shared" si="1"/>
        <v/>
      </c>
      <c r="J27" s="116" t="e">
        <f t="shared" si="2"/>
        <v>#NUM!</v>
      </c>
      <c r="K27" s="115" t="e">
        <f t="shared" si="3"/>
        <v>#NUM!</v>
      </c>
      <c r="L27" s="115"/>
      <c r="M27" s="117">
        <f t="shared" si="4"/>
        <v>0</v>
      </c>
      <c r="N27" s="96"/>
      <c r="O27" s="96"/>
      <c r="P27" s="96"/>
      <c r="Q27" s="96"/>
      <c r="R27" s="96"/>
    </row>
    <row r="28" spans="1:19" s="101" customFormat="1">
      <c r="A28" s="110">
        <f t="shared" si="0"/>
        <v>0</v>
      </c>
      <c r="B28" s="39" t="str">
        <f t="shared" si="5"/>
        <v/>
      </c>
      <c r="C28" s="40"/>
      <c r="D28" s="40"/>
      <c r="E28" s="40"/>
      <c r="F28" s="40"/>
      <c r="G28" s="33"/>
      <c r="H28" s="111">
        <v>23</v>
      </c>
      <c r="I28" s="112" t="str">
        <f t="shared" si="1"/>
        <v/>
      </c>
      <c r="J28" s="112" t="e">
        <f t="shared" si="2"/>
        <v>#NUM!</v>
      </c>
      <c r="K28" s="111" t="e">
        <f t="shared" si="3"/>
        <v>#NUM!</v>
      </c>
      <c r="L28" s="111"/>
      <c r="M28" s="113">
        <f t="shared" si="4"/>
        <v>0</v>
      </c>
      <c r="N28" s="96"/>
      <c r="O28" s="96"/>
      <c r="P28" s="96"/>
      <c r="Q28" s="96"/>
      <c r="R28" s="125"/>
      <c r="S28" s="126"/>
    </row>
    <row r="29" spans="1:19" s="101" customFormat="1">
      <c r="A29" s="114">
        <f t="shared" si="0"/>
        <v>0</v>
      </c>
      <c r="B29" s="45" t="str">
        <f t="shared" si="5"/>
        <v/>
      </c>
      <c r="C29" s="46"/>
      <c r="D29" s="46"/>
      <c r="E29" s="46"/>
      <c r="F29" s="46"/>
      <c r="G29" s="96"/>
      <c r="H29" s="115">
        <v>24</v>
      </c>
      <c r="I29" s="116" t="str">
        <f t="shared" si="1"/>
        <v/>
      </c>
      <c r="J29" s="116" t="e">
        <f t="shared" si="2"/>
        <v>#NUM!</v>
      </c>
      <c r="K29" s="115" t="e">
        <f t="shared" si="3"/>
        <v>#NUM!</v>
      </c>
      <c r="L29" s="115"/>
      <c r="M29" s="117">
        <f t="shared" si="4"/>
        <v>0</v>
      </c>
      <c r="N29" s="96"/>
      <c r="O29" s="96"/>
      <c r="P29" s="96"/>
      <c r="Q29" s="96"/>
      <c r="R29" s="96"/>
    </row>
    <row r="30" spans="1:19" s="101" customFormat="1">
      <c r="A30" s="110">
        <f t="shared" si="0"/>
        <v>0</v>
      </c>
      <c r="B30" s="39" t="str">
        <f t="shared" si="5"/>
        <v/>
      </c>
      <c r="C30" s="40"/>
      <c r="D30" s="40"/>
      <c r="E30" s="40"/>
      <c r="F30" s="40"/>
      <c r="G30" s="96"/>
      <c r="H30" s="111">
        <v>25</v>
      </c>
      <c r="I30" s="112" t="str">
        <f t="shared" si="1"/>
        <v/>
      </c>
      <c r="J30" s="112" t="e">
        <f t="shared" si="2"/>
        <v>#NUM!</v>
      </c>
      <c r="K30" s="111" t="e">
        <f t="shared" si="3"/>
        <v>#NUM!</v>
      </c>
      <c r="L30" s="111"/>
      <c r="M30" s="113">
        <f t="shared" si="4"/>
        <v>0</v>
      </c>
      <c r="N30" s="96"/>
      <c r="O30" s="96"/>
      <c r="P30" s="96"/>
      <c r="Q30" s="96"/>
      <c r="R30" s="96"/>
    </row>
    <row r="31" spans="1:19" s="101" customFormat="1">
      <c r="A31" s="114">
        <f t="shared" si="0"/>
        <v>0</v>
      </c>
      <c r="B31" s="45" t="str">
        <f t="shared" si="5"/>
        <v/>
      </c>
      <c r="C31" s="46"/>
      <c r="D31" s="46"/>
      <c r="E31" s="46"/>
      <c r="F31" s="46"/>
      <c r="G31" s="96"/>
      <c r="H31" s="115">
        <v>26</v>
      </c>
      <c r="I31" s="116" t="str">
        <f t="shared" si="1"/>
        <v/>
      </c>
      <c r="J31" s="116" t="e">
        <f t="shared" si="2"/>
        <v>#NUM!</v>
      </c>
      <c r="K31" s="115" t="e">
        <f t="shared" si="3"/>
        <v>#NUM!</v>
      </c>
      <c r="L31" s="115"/>
      <c r="M31" s="117">
        <f t="shared" si="4"/>
        <v>0</v>
      </c>
      <c r="N31" s="96"/>
      <c r="O31" s="96"/>
      <c r="P31" s="96"/>
      <c r="Q31" s="96"/>
      <c r="R31" s="96"/>
    </row>
    <row r="32" spans="1:19" s="101" customFormat="1">
      <c r="A32" s="110">
        <f t="shared" si="0"/>
        <v>0</v>
      </c>
      <c r="B32" s="39" t="str">
        <f t="shared" si="5"/>
        <v/>
      </c>
      <c r="C32" s="40"/>
      <c r="D32" s="40"/>
      <c r="E32" s="40"/>
      <c r="F32" s="40"/>
      <c r="G32" s="96"/>
      <c r="H32" s="111">
        <v>27</v>
      </c>
      <c r="I32" s="112" t="str">
        <f t="shared" si="1"/>
        <v/>
      </c>
      <c r="J32" s="112" t="e">
        <f t="shared" si="2"/>
        <v>#NUM!</v>
      </c>
      <c r="K32" s="111" t="e">
        <f t="shared" si="3"/>
        <v>#NUM!</v>
      </c>
      <c r="L32" s="111"/>
      <c r="M32" s="113">
        <f t="shared" si="4"/>
        <v>0</v>
      </c>
      <c r="N32" s="96"/>
      <c r="O32" s="96"/>
      <c r="P32" s="96"/>
      <c r="Q32" s="96"/>
      <c r="R32" s="125"/>
      <c r="S32" s="126"/>
    </row>
    <row r="33" spans="1:21" s="101" customFormat="1">
      <c r="A33" s="114">
        <f t="shared" si="0"/>
        <v>0</v>
      </c>
      <c r="B33" s="45" t="str">
        <f t="shared" si="5"/>
        <v/>
      </c>
      <c r="C33" s="46"/>
      <c r="D33" s="46"/>
      <c r="E33" s="46"/>
      <c r="F33" s="46"/>
      <c r="G33" s="96"/>
      <c r="H33" s="115">
        <v>28</v>
      </c>
      <c r="I33" s="116" t="str">
        <f t="shared" si="1"/>
        <v/>
      </c>
      <c r="J33" s="116" t="e">
        <f t="shared" si="2"/>
        <v>#NUM!</v>
      </c>
      <c r="K33" s="115" t="e">
        <f t="shared" si="3"/>
        <v>#NUM!</v>
      </c>
      <c r="L33" s="115"/>
      <c r="M33" s="117">
        <f t="shared" si="4"/>
        <v>0</v>
      </c>
      <c r="N33" s="96"/>
      <c r="O33" s="96"/>
      <c r="P33" s="96"/>
      <c r="Q33" s="96"/>
      <c r="R33" s="96"/>
    </row>
    <row r="34" spans="1:21" s="101" customFormat="1">
      <c r="A34" s="110">
        <f t="shared" si="0"/>
        <v>0</v>
      </c>
      <c r="B34" s="39" t="str">
        <f t="shared" si="5"/>
        <v/>
      </c>
      <c r="C34" s="40"/>
      <c r="D34" s="40"/>
      <c r="E34" s="40"/>
      <c r="F34" s="40"/>
      <c r="G34" s="96"/>
      <c r="H34" s="111">
        <v>29</v>
      </c>
      <c r="I34" s="112" t="str">
        <f t="shared" si="1"/>
        <v/>
      </c>
      <c r="J34" s="112" t="e">
        <f t="shared" si="2"/>
        <v>#NUM!</v>
      </c>
      <c r="K34" s="111" t="e">
        <f t="shared" si="3"/>
        <v>#NUM!</v>
      </c>
      <c r="L34" s="111"/>
      <c r="M34" s="113">
        <f t="shared" si="4"/>
        <v>0</v>
      </c>
      <c r="N34" s="96"/>
      <c r="O34" s="96"/>
      <c r="P34" s="96"/>
      <c r="Q34" s="96"/>
      <c r="R34" s="96"/>
    </row>
    <row r="35" spans="1:21" s="101" customFormat="1">
      <c r="A35" s="114">
        <f t="shared" si="0"/>
        <v>0</v>
      </c>
      <c r="B35" s="45" t="str">
        <f t="shared" si="5"/>
        <v/>
      </c>
      <c r="C35" s="46"/>
      <c r="D35" s="46"/>
      <c r="E35" s="46"/>
      <c r="F35" s="46"/>
      <c r="G35" s="96"/>
      <c r="H35" s="115">
        <v>30</v>
      </c>
      <c r="I35" s="116" t="str">
        <f t="shared" si="1"/>
        <v/>
      </c>
      <c r="J35" s="116" t="e">
        <f t="shared" si="2"/>
        <v>#NUM!</v>
      </c>
      <c r="K35" s="115" t="e">
        <f t="shared" si="3"/>
        <v>#NUM!</v>
      </c>
      <c r="L35" s="115"/>
      <c r="M35" s="117">
        <f t="shared" si="4"/>
        <v>0</v>
      </c>
      <c r="N35" s="96"/>
      <c r="O35" s="96"/>
      <c r="P35" s="96"/>
      <c r="Q35" s="96"/>
      <c r="R35" s="96"/>
    </row>
    <row r="36" spans="1:21" s="101" customFormat="1">
      <c r="A36" s="110">
        <f t="shared" si="0"/>
        <v>0</v>
      </c>
      <c r="B36" s="39" t="str">
        <f t="shared" si="5"/>
        <v/>
      </c>
      <c r="C36" s="40"/>
      <c r="D36" s="40"/>
      <c r="E36" s="40"/>
      <c r="F36" s="40"/>
      <c r="G36" s="96"/>
      <c r="H36" s="111">
        <v>31</v>
      </c>
      <c r="I36" s="112" t="str">
        <f t="shared" si="1"/>
        <v/>
      </c>
      <c r="J36" s="112" t="e">
        <f t="shared" si="2"/>
        <v>#NUM!</v>
      </c>
      <c r="K36" s="111" t="e">
        <f t="shared" si="3"/>
        <v>#NUM!</v>
      </c>
      <c r="L36" s="111"/>
      <c r="M36" s="113">
        <f t="shared" si="4"/>
        <v>0</v>
      </c>
      <c r="N36" s="96"/>
      <c r="O36" s="96"/>
      <c r="P36" s="96"/>
      <c r="Q36" s="96"/>
      <c r="R36" s="125"/>
      <c r="S36" s="126"/>
    </row>
    <row r="37" spans="1:21" s="101" customFormat="1">
      <c r="A37" s="114">
        <f t="shared" si="0"/>
        <v>0</v>
      </c>
      <c r="B37" s="45" t="str">
        <f t="shared" si="5"/>
        <v/>
      </c>
      <c r="C37" s="46"/>
      <c r="D37" s="46"/>
      <c r="E37" s="46"/>
      <c r="F37" s="46"/>
      <c r="G37" s="96"/>
      <c r="H37" s="115">
        <v>32</v>
      </c>
      <c r="I37" s="116" t="str">
        <f t="shared" si="1"/>
        <v/>
      </c>
      <c r="J37" s="116" t="e">
        <f t="shared" si="2"/>
        <v>#NUM!</v>
      </c>
      <c r="K37" s="115" t="e">
        <f t="shared" si="3"/>
        <v>#NUM!</v>
      </c>
      <c r="L37" s="115"/>
      <c r="M37" s="117">
        <f t="shared" si="4"/>
        <v>0</v>
      </c>
      <c r="N37" s="96"/>
      <c r="O37" s="96"/>
      <c r="P37" s="96"/>
      <c r="Q37" s="96"/>
      <c r="R37" s="96"/>
    </row>
    <row r="38" spans="1:21" s="101" customFormat="1">
      <c r="A38" s="114">
        <f t="shared" si="0"/>
        <v>0</v>
      </c>
      <c r="B38" s="39" t="str">
        <f t="shared" si="5"/>
        <v/>
      </c>
      <c r="C38" s="40"/>
      <c r="D38" s="40"/>
      <c r="E38" s="40"/>
      <c r="F38" s="40"/>
      <c r="G38" s="96"/>
      <c r="H38" s="111">
        <v>33</v>
      </c>
      <c r="I38" s="112" t="str">
        <f t="shared" si="1"/>
        <v/>
      </c>
      <c r="J38" s="112" t="e">
        <f t="shared" si="2"/>
        <v>#NUM!</v>
      </c>
      <c r="K38" s="111" t="e">
        <f t="shared" si="3"/>
        <v>#NUM!</v>
      </c>
      <c r="L38" s="111"/>
      <c r="M38" s="113">
        <f t="shared" si="4"/>
        <v>0</v>
      </c>
      <c r="N38" s="96"/>
      <c r="O38" s="96"/>
      <c r="P38" s="96"/>
      <c r="Q38" s="96"/>
      <c r="R38" s="96"/>
    </row>
    <row r="39" spans="1:21" s="101" customFormat="1">
      <c r="A39" s="114">
        <f t="shared" si="0"/>
        <v>0</v>
      </c>
      <c r="B39" s="45" t="str">
        <f t="shared" si="5"/>
        <v/>
      </c>
      <c r="C39" s="46"/>
      <c r="D39" s="46"/>
      <c r="E39" s="46"/>
      <c r="F39" s="46"/>
      <c r="G39" s="96"/>
      <c r="H39" s="115">
        <v>34</v>
      </c>
      <c r="I39" s="116" t="str">
        <f t="shared" si="1"/>
        <v/>
      </c>
      <c r="J39" s="116" t="e">
        <f t="shared" si="2"/>
        <v>#NUM!</v>
      </c>
      <c r="K39" s="115" t="e">
        <f t="shared" si="3"/>
        <v>#NUM!</v>
      </c>
      <c r="L39" s="115"/>
      <c r="M39" s="117">
        <f t="shared" si="4"/>
        <v>0</v>
      </c>
      <c r="N39" s="96"/>
      <c r="O39" s="96"/>
      <c r="P39" s="96"/>
      <c r="Q39" s="96"/>
      <c r="R39" s="96"/>
    </row>
    <row r="40" spans="1:21" s="101" customFormat="1">
      <c r="A40" s="114">
        <f t="shared" si="0"/>
        <v>0</v>
      </c>
      <c r="B40" s="39" t="str">
        <f t="shared" si="5"/>
        <v/>
      </c>
      <c r="C40" s="40"/>
      <c r="D40" s="40"/>
      <c r="E40" s="40"/>
      <c r="F40" s="40"/>
      <c r="G40" s="96"/>
      <c r="H40" s="111">
        <v>35</v>
      </c>
      <c r="I40" s="112" t="str">
        <f t="shared" si="1"/>
        <v/>
      </c>
      <c r="J40" s="112" t="e">
        <f t="shared" si="2"/>
        <v>#NUM!</v>
      </c>
      <c r="K40" s="111" t="e">
        <f t="shared" si="3"/>
        <v>#NUM!</v>
      </c>
      <c r="L40" s="111"/>
      <c r="M40" s="113">
        <f t="shared" si="4"/>
        <v>0</v>
      </c>
      <c r="N40" s="96"/>
      <c r="O40" s="96"/>
      <c r="P40" s="96"/>
      <c r="Q40" s="96"/>
      <c r="R40" s="96"/>
    </row>
    <row r="41" spans="1:21" s="101" customFormat="1">
      <c r="A41" s="114">
        <f t="shared" si="0"/>
        <v>0</v>
      </c>
      <c r="B41" s="45" t="str">
        <f t="shared" si="5"/>
        <v/>
      </c>
      <c r="C41" s="46"/>
      <c r="D41" s="46"/>
      <c r="E41" s="46"/>
      <c r="F41" s="46"/>
      <c r="G41" s="96"/>
      <c r="H41" s="115">
        <v>36</v>
      </c>
      <c r="I41" s="116" t="str">
        <f t="shared" si="1"/>
        <v/>
      </c>
      <c r="J41" s="116" t="e">
        <f t="shared" si="2"/>
        <v>#NUM!</v>
      </c>
      <c r="K41" s="115" t="e">
        <f t="shared" si="3"/>
        <v>#NUM!</v>
      </c>
      <c r="L41" s="115"/>
      <c r="M41" s="117">
        <f t="shared" si="4"/>
        <v>0</v>
      </c>
      <c r="N41" s="96"/>
      <c r="O41" s="96"/>
      <c r="P41" s="96"/>
      <c r="Q41" s="96"/>
      <c r="R41" s="96"/>
      <c r="S41" s="127"/>
    </row>
    <row r="42" spans="1:21" s="101" customFormat="1">
      <c r="A42" s="114">
        <f t="shared" si="0"/>
        <v>0</v>
      </c>
      <c r="B42" s="39" t="str">
        <f t="shared" si="5"/>
        <v/>
      </c>
      <c r="C42" s="40"/>
      <c r="D42" s="40"/>
      <c r="E42" s="40"/>
      <c r="F42" s="40"/>
      <c r="G42" s="96"/>
      <c r="H42" s="111">
        <v>37</v>
      </c>
      <c r="I42" s="112" t="str">
        <f t="shared" si="1"/>
        <v/>
      </c>
      <c r="J42" s="112" t="e">
        <f t="shared" si="2"/>
        <v>#NUM!</v>
      </c>
      <c r="K42" s="111" t="e">
        <f t="shared" si="3"/>
        <v>#NUM!</v>
      </c>
      <c r="L42" s="111"/>
      <c r="M42" s="113">
        <f t="shared" si="4"/>
        <v>0</v>
      </c>
      <c r="N42" s="96"/>
      <c r="O42" s="96"/>
      <c r="P42" s="96"/>
      <c r="Q42" s="96"/>
      <c r="R42" s="96"/>
    </row>
    <row r="43" spans="1:21" s="101" customFormat="1">
      <c r="A43" s="114">
        <f t="shared" si="0"/>
        <v>0</v>
      </c>
      <c r="B43" s="45" t="str">
        <f t="shared" si="5"/>
        <v/>
      </c>
      <c r="C43" s="46"/>
      <c r="D43" s="46"/>
      <c r="E43" s="46"/>
      <c r="F43" s="46"/>
      <c r="G43" s="96"/>
      <c r="H43" s="115">
        <v>38</v>
      </c>
      <c r="I43" s="116" t="str">
        <f t="shared" si="1"/>
        <v/>
      </c>
      <c r="J43" s="116" t="e">
        <f t="shared" si="2"/>
        <v>#NUM!</v>
      </c>
      <c r="K43" s="115" t="e">
        <f t="shared" si="3"/>
        <v>#NUM!</v>
      </c>
      <c r="L43" s="115"/>
      <c r="M43" s="117">
        <f t="shared" si="4"/>
        <v>0</v>
      </c>
      <c r="N43" s="96"/>
      <c r="O43" s="96"/>
      <c r="P43" s="96"/>
      <c r="Q43" s="96"/>
      <c r="R43" s="96"/>
    </row>
    <row r="44" spans="1:21" s="101" customFormat="1">
      <c r="A44" s="114">
        <f t="shared" si="0"/>
        <v>0</v>
      </c>
      <c r="B44" s="39" t="str">
        <f t="shared" si="5"/>
        <v/>
      </c>
      <c r="C44" s="40"/>
      <c r="D44" s="40"/>
      <c r="E44" s="40"/>
      <c r="F44" s="40"/>
      <c r="G44" s="96"/>
      <c r="H44" s="111">
        <v>39</v>
      </c>
      <c r="I44" s="112" t="str">
        <f t="shared" si="1"/>
        <v/>
      </c>
      <c r="J44" s="112" t="e">
        <f t="shared" si="2"/>
        <v>#NUM!</v>
      </c>
      <c r="K44" s="111" t="e">
        <f t="shared" si="3"/>
        <v>#NUM!</v>
      </c>
      <c r="L44" s="111"/>
      <c r="M44" s="113">
        <f t="shared" si="4"/>
        <v>0</v>
      </c>
      <c r="N44" s="96"/>
      <c r="O44" s="96"/>
      <c r="P44" s="96"/>
      <c r="Q44" s="96"/>
      <c r="R44" s="96"/>
    </row>
    <row r="45" spans="1:21" s="101" customFormat="1">
      <c r="A45" s="114">
        <f t="shared" si="0"/>
        <v>0</v>
      </c>
      <c r="B45" s="45" t="str">
        <f t="shared" si="5"/>
        <v/>
      </c>
      <c r="C45" s="46"/>
      <c r="D45" s="46"/>
      <c r="E45" s="46"/>
      <c r="F45" s="46"/>
      <c r="G45" s="96"/>
      <c r="H45" s="115">
        <v>40</v>
      </c>
      <c r="I45" s="116" t="str">
        <f t="shared" si="1"/>
        <v/>
      </c>
      <c r="J45" s="116" t="e">
        <f t="shared" si="2"/>
        <v>#NUM!</v>
      </c>
      <c r="K45" s="115" t="e">
        <f t="shared" si="3"/>
        <v>#NUM!</v>
      </c>
      <c r="L45" s="115"/>
      <c r="M45" s="117">
        <f t="shared" si="4"/>
        <v>0</v>
      </c>
      <c r="N45" s="96"/>
      <c r="O45" s="96"/>
      <c r="P45" s="96"/>
      <c r="Q45" s="96"/>
      <c r="R45" s="96"/>
    </row>
    <row r="46" spans="1:21" s="101" customFormat="1">
      <c r="A46" s="114">
        <f t="shared" si="0"/>
        <v>0</v>
      </c>
      <c r="B46" s="39" t="str">
        <f t="shared" si="5"/>
        <v/>
      </c>
      <c r="C46" s="40"/>
      <c r="D46" s="40"/>
      <c r="E46" s="40"/>
      <c r="F46" s="40"/>
      <c r="G46" s="96"/>
      <c r="H46" s="111">
        <v>41</v>
      </c>
      <c r="I46" s="112" t="str">
        <f t="shared" si="1"/>
        <v/>
      </c>
      <c r="J46" s="112" t="e">
        <f t="shared" si="2"/>
        <v>#NUM!</v>
      </c>
      <c r="K46" s="111" t="e">
        <f t="shared" si="3"/>
        <v>#NUM!</v>
      </c>
      <c r="L46" s="111"/>
      <c r="M46" s="113">
        <f t="shared" si="4"/>
        <v>0</v>
      </c>
      <c r="N46" s="96"/>
      <c r="O46" s="96"/>
      <c r="P46" s="96"/>
      <c r="Q46" s="96"/>
      <c r="R46" s="96" t="e">
        <f>LOG($H$2,2)</f>
        <v>#NUM!</v>
      </c>
      <c r="T46" s="101">
        <f>LOG(H38,2)</f>
        <v>5.0443941193584534</v>
      </c>
      <c r="U46" s="101" t="e">
        <f>R46-T46</f>
        <v>#NUM!</v>
      </c>
    </row>
    <row r="47" spans="1:21" s="101" customFormat="1">
      <c r="A47" s="114">
        <f t="shared" si="0"/>
        <v>0</v>
      </c>
      <c r="B47" s="45" t="str">
        <f t="shared" si="5"/>
        <v/>
      </c>
      <c r="C47" s="46"/>
      <c r="D47" s="46"/>
      <c r="E47" s="46"/>
      <c r="F47" s="46"/>
      <c r="G47" s="96"/>
      <c r="H47" s="115">
        <v>42</v>
      </c>
      <c r="I47" s="116" t="str">
        <f t="shared" si="1"/>
        <v/>
      </c>
      <c r="J47" s="116" t="e">
        <f t="shared" si="2"/>
        <v>#NUM!</v>
      </c>
      <c r="K47" s="115" t="e">
        <f t="shared" si="3"/>
        <v>#NUM!</v>
      </c>
      <c r="L47" s="115"/>
      <c r="M47" s="117">
        <f t="shared" si="4"/>
        <v>0</v>
      </c>
      <c r="N47" s="96"/>
      <c r="O47" s="96"/>
      <c r="P47" s="96"/>
      <c r="Q47" s="96"/>
      <c r="R47" s="96"/>
    </row>
    <row r="48" spans="1:21" s="101" customFormat="1">
      <c r="A48" s="114">
        <f t="shared" si="0"/>
        <v>0</v>
      </c>
      <c r="B48" s="39" t="str">
        <f t="shared" si="5"/>
        <v/>
      </c>
      <c r="C48" s="40"/>
      <c r="D48" s="40"/>
      <c r="E48" s="40"/>
      <c r="F48" s="40"/>
      <c r="G48" s="96"/>
      <c r="H48" s="111">
        <v>43</v>
      </c>
      <c r="I48" s="112" t="str">
        <f t="shared" si="1"/>
        <v/>
      </c>
      <c r="J48" s="112" t="e">
        <f t="shared" si="2"/>
        <v>#NUM!</v>
      </c>
      <c r="K48" s="111" t="e">
        <f t="shared" si="3"/>
        <v>#NUM!</v>
      </c>
      <c r="L48" s="111"/>
      <c r="M48" s="113">
        <f t="shared" si="4"/>
        <v>0</v>
      </c>
      <c r="N48" s="96"/>
      <c r="O48" s="96"/>
      <c r="P48" s="96"/>
      <c r="Q48" s="96"/>
      <c r="R48" s="96"/>
    </row>
    <row r="49" spans="1:38" s="96" customFormat="1">
      <c r="A49" s="114">
        <f t="shared" si="0"/>
        <v>0</v>
      </c>
      <c r="B49" s="45" t="str">
        <f t="shared" si="5"/>
        <v/>
      </c>
      <c r="C49" s="46"/>
      <c r="D49" s="46"/>
      <c r="E49" s="46"/>
      <c r="F49" s="46"/>
      <c r="H49" s="115">
        <v>44</v>
      </c>
      <c r="I49" s="116" t="str">
        <f t="shared" si="1"/>
        <v/>
      </c>
      <c r="J49" s="116" t="e">
        <f t="shared" si="2"/>
        <v>#NUM!</v>
      </c>
      <c r="K49" s="115" t="e">
        <f t="shared" si="3"/>
        <v>#NUM!</v>
      </c>
      <c r="L49" s="115"/>
      <c r="M49" s="117">
        <f t="shared" si="4"/>
        <v>0</v>
      </c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s="96" customFormat="1">
      <c r="A50" s="114">
        <f t="shared" si="0"/>
        <v>0</v>
      </c>
      <c r="B50" s="39" t="str">
        <f t="shared" si="5"/>
        <v/>
      </c>
      <c r="C50" s="40"/>
      <c r="D50" s="40"/>
      <c r="E50" s="40"/>
      <c r="F50" s="40"/>
      <c r="H50" s="111">
        <v>45</v>
      </c>
      <c r="I50" s="112" t="str">
        <f t="shared" si="1"/>
        <v/>
      </c>
      <c r="J50" s="112" t="e">
        <f t="shared" si="2"/>
        <v>#NUM!</v>
      </c>
      <c r="K50" s="111" t="e">
        <f t="shared" si="3"/>
        <v>#NUM!</v>
      </c>
      <c r="L50" s="111"/>
      <c r="M50" s="113">
        <f t="shared" si="4"/>
        <v>0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s="96" customFormat="1">
      <c r="A51" s="114">
        <f t="shared" si="0"/>
        <v>0</v>
      </c>
      <c r="B51" s="45" t="str">
        <f t="shared" si="5"/>
        <v/>
      </c>
      <c r="C51" s="46"/>
      <c r="D51" s="46"/>
      <c r="E51" s="46"/>
      <c r="F51" s="46"/>
      <c r="H51" s="115">
        <v>46</v>
      </c>
      <c r="I51" s="116" t="str">
        <f t="shared" si="1"/>
        <v/>
      </c>
      <c r="J51" s="116" t="e">
        <f t="shared" si="2"/>
        <v>#NUM!</v>
      </c>
      <c r="K51" s="115" t="e">
        <f t="shared" si="3"/>
        <v>#NUM!</v>
      </c>
      <c r="L51" s="115"/>
      <c r="M51" s="117">
        <f t="shared" si="4"/>
        <v>0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s="96" customFormat="1">
      <c r="A52" s="114">
        <f t="shared" si="0"/>
        <v>0</v>
      </c>
      <c r="B52" s="39" t="str">
        <f t="shared" si="5"/>
        <v/>
      </c>
      <c r="C52" s="40"/>
      <c r="D52" s="40"/>
      <c r="E52" s="40"/>
      <c r="F52" s="40"/>
      <c r="H52" s="111">
        <v>47</v>
      </c>
      <c r="I52" s="112" t="str">
        <f t="shared" si="1"/>
        <v/>
      </c>
      <c r="J52" s="112" t="e">
        <f t="shared" si="2"/>
        <v>#NUM!</v>
      </c>
      <c r="K52" s="111" t="e">
        <f t="shared" si="3"/>
        <v>#NUM!</v>
      </c>
      <c r="L52" s="111"/>
      <c r="M52" s="113">
        <f t="shared" si="4"/>
        <v>0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s="96" customFormat="1">
      <c r="A53" s="114">
        <f t="shared" si="0"/>
        <v>0</v>
      </c>
      <c r="B53" s="45" t="str">
        <f t="shared" si="5"/>
        <v/>
      </c>
      <c r="C53" s="46"/>
      <c r="D53" s="46"/>
      <c r="E53" s="46"/>
      <c r="F53" s="46"/>
      <c r="H53" s="115">
        <v>48</v>
      </c>
      <c r="I53" s="116" t="str">
        <f t="shared" si="1"/>
        <v/>
      </c>
      <c r="J53" s="116" t="e">
        <f t="shared" si="2"/>
        <v>#NUM!</v>
      </c>
      <c r="K53" s="115" t="e">
        <f t="shared" si="3"/>
        <v>#NUM!</v>
      </c>
      <c r="L53" s="115"/>
      <c r="M53" s="117">
        <f t="shared" si="4"/>
        <v>0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s="96" customFormat="1">
      <c r="A54" s="114">
        <f t="shared" si="0"/>
        <v>0</v>
      </c>
      <c r="B54" s="39" t="str">
        <f t="shared" si="5"/>
        <v/>
      </c>
      <c r="C54" s="40"/>
      <c r="D54" s="40"/>
      <c r="E54" s="40"/>
      <c r="F54" s="40"/>
      <c r="H54" s="111">
        <v>49</v>
      </c>
      <c r="I54" s="112" t="str">
        <f t="shared" si="1"/>
        <v/>
      </c>
      <c r="J54" s="112" t="e">
        <f t="shared" si="2"/>
        <v>#NUM!</v>
      </c>
      <c r="K54" s="111" t="e">
        <f t="shared" si="3"/>
        <v>#NUM!</v>
      </c>
      <c r="L54" s="111"/>
      <c r="M54" s="113">
        <f t="shared" si="4"/>
        <v>0</v>
      </c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s="96" customFormat="1">
      <c r="A55" s="114">
        <f t="shared" si="0"/>
        <v>0</v>
      </c>
      <c r="B55" s="45" t="str">
        <f t="shared" si="5"/>
        <v/>
      </c>
      <c r="C55" s="46"/>
      <c r="D55" s="46"/>
      <c r="E55" s="46"/>
      <c r="F55" s="46"/>
      <c r="H55" s="115">
        <v>50</v>
      </c>
      <c r="I55" s="116" t="str">
        <f t="shared" si="1"/>
        <v/>
      </c>
      <c r="J55" s="116" t="e">
        <f t="shared" si="2"/>
        <v>#NUM!</v>
      </c>
      <c r="K55" s="115" t="e">
        <f t="shared" si="3"/>
        <v>#NUM!</v>
      </c>
      <c r="L55" s="115"/>
      <c r="M55" s="117">
        <f t="shared" si="4"/>
        <v>0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s="96" customFormat="1">
      <c r="A56" s="114">
        <f t="shared" si="0"/>
        <v>0</v>
      </c>
      <c r="B56" s="39" t="str">
        <f t="shared" si="5"/>
        <v/>
      </c>
      <c r="C56" s="40"/>
      <c r="D56" s="40"/>
      <c r="E56" s="40"/>
      <c r="F56" s="40"/>
      <c r="H56" s="111">
        <v>51</v>
      </c>
      <c r="I56" s="112" t="str">
        <f t="shared" si="1"/>
        <v/>
      </c>
      <c r="J56" s="112" t="e">
        <f t="shared" si="2"/>
        <v>#NUM!</v>
      </c>
      <c r="K56" s="111" t="e">
        <f t="shared" si="3"/>
        <v>#NUM!</v>
      </c>
      <c r="L56" s="111"/>
      <c r="M56" s="113">
        <f t="shared" si="4"/>
        <v>0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s="96" customFormat="1">
      <c r="A57" s="114">
        <f t="shared" si="0"/>
        <v>0</v>
      </c>
      <c r="B57" s="45" t="str">
        <f t="shared" si="5"/>
        <v/>
      </c>
      <c r="C57" s="46"/>
      <c r="D57" s="46"/>
      <c r="E57" s="46"/>
      <c r="F57" s="46"/>
      <c r="H57" s="115">
        <v>52</v>
      </c>
      <c r="I57" s="116" t="str">
        <f t="shared" si="1"/>
        <v/>
      </c>
      <c r="J57" s="116" t="e">
        <f t="shared" si="2"/>
        <v>#NUM!</v>
      </c>
      <c r="K57" s="115" t="e">
        <f t="shared" si="3"/>
        <v>#NUM!</v>
      </c>
      <c r="L57" s="115"/>
      <c r="M57" s="117">
        <f t="shared" si="4"/>
        <v>0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s="96" customFormat="1">
      <c r="A58" s="114">
        <f t="shared" si="0"/>
        <v>0</v>
      </c>
      <c r="B58" s="39" t="str">
        <f t="shared" si="5"/>
        <v/>
      </c>
      <c r="C58" s="40"/>
      <c r="D58" s="40"/>
      <c r="E58" s="40"/>
      <c r="F58" s="40"/>
      <c r="H58" s="111">
        <v>53</v>
      </c>
      <c r="I58" s="112" t="str">
        <f t="shared" si="1"/>
        <v/>
      </c>
      <c r="J58" s="112" t="e">
        <f t="shared" si="2"/>
        <v>#NUM!</v>
      </c>
      <c r="K58" s="111" t="e">
        <f t="shared" si="3"/>
        <v>#NUM!</v>
      </c>
      <c r="L58" s="111"/>
      <c r="M58" s="113">
        <f t="shared" si="4"/>
        <v>0</v>
      </c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s="96" customFormat="1">
      <c r="A59" s="114">
        <f t="shared" si="0"/>
        <v>0</v>
      </c>
      <c r="B59" s="45" t="str">
        <f t="shared" si="5"/>
        <v/>
      </c>
      <c r="C59" s="46"/>
      <c r="D59" s="46"/>
      <c r="E59" s="46"/>
      <c r="F59" s="46"/>
      <c r="H59" s="115">
        <v>54</v>
      </c>
      <c r="I59" s="116" t="str">
        <f t="shared" si="1"/>
        <v/>
      </c>
      <c r="J59" s="116" t="e">
        <f t="shared" si="2"/>
        <v>#NUM!</v>
      </c>
      <c r="K59" s="115" t="e">
        <f t="shared" si="3"/>
        <v>#NUM!</v>
      </c>
      <c r="L59" s="115"/>
      <c r="M59" s="117">
        <f t="shared" si="4"/>
        <v>0</v>
      </c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s="96" customFormat="1">
      <c r="A60" s="114">
        <f t="shared" si="0"/>
        <v>0</v>
      </c>
      <c r="B60" s="39" t="str">
        <f t="shared" si="5"/>
        <v/>
      </c>
      <c r="C60" s="40"/>
      <c r="D60" s="40"/>
      <c r="E60" s="40"/>
      <c r="F60" s="40"/>
      <c r="H60" s="111">
        <v>55</v>
      </c>
      <c r="I60" s="112" t="str">
        <f t="shared" si="1"/>
        <v/>
      </c>
      <c r="J60" s="112" t="e">
        <f t="shared" si="2"/>
        <v>#NUM!</v>
      </c>
      <c r="K60" s="111" t="e">
        <f t="shared" si="3"/>
        <v>#NUM!</v>
      </c>
      <c r="L60" s="111"/>
      <c r="M60" s="113">
        <f t="shared" si="4"/>
        <v>0</v>
      </c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s="96" customFormat="1">
      <c r="A61" s="114">
        <f t="shared" si="0"/>
        <v>0</v>
      </c>
      <c r="B61" s="45" t="str">
        <f t="shared" si="5"/>
        <v/>
      </c>
      <c r="C61" s="46"/>
      <c r="D61" s="46"/>
      <c r="E61" s="46"/>
      <c r="F61" s="46"/>
      <c r="H61" s="115">
        <v>56</v>
      </c>
      <c r="I61" s="116" t="str">
        <f t="shared" si="1"/>
        <v/>
      </c>
      <c r="J61" s="116" t="e">
        <f t="shared" si="2"/>
        <v>#NUM!</v>
      </c>
      <c r="K61" s="115" t="e">
        <f t="shared" si="3"/>
        <v>#NUM!</v>
      </c>
      <c r="L61" s="115"/>
      <c r="M61" s="117">
        <f t="shared" si="4"/>
        <v>0</v>
      </c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s="96" customFormat="1">
      <c r="A62" s="114">
        <f t="shared" si="0"/>
        <v>0</v>
      </c>
      <c r="B62" s="39" t="str">
        <f t="shared" si="5"/>
        <v/>
      </c>
      <c r="C62" s="40"/>
      <c r="D62" s="40"/>
      <c r="E62" s="40"/>
      <c r="F62" s="40"/>
      <c r="H62" s="111">
        <v>57</v>
      </c>
      <c r="I62" s="112" t="str">
        <f t="shared" si="1"/>
        <v/>
      </c>
      <c r="J62" s="112" t="e">
        <f t="shared" si="2"/>
        <v>#NUM!</v>
      </c>
      <c r="K62" s="111" t="e">
        <f t="shared" si="3"/>
        <v>#NUM!</v>
      </c>
      <c r="L62" s="111"/>
      <c r="M62" s="113">
        <f t="shared" si="4"/>
        <v>0</v>
      </c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s="96" customFormat="1">
      <c r="A63" s="114">
        <f t="shared" si="0"/>
        <v>0</v>
      </c>
      <c r="B63" s="45" t="str">
        <f t="shared" si="5"/>
        <v/>
      </c>
      <c r="C63" s="46"/>
      <c r="D63" s="46"/>
      <c r="E63" s="46"/>
      <c r="F63" s="46"/>
      <c r="H63" s="115">
        <v>58</v>
      </c>
      <c r="I63" s="116" t="str">
        <f t="shared" si="1"/>
        <v/>
      </c>
      <c r="J63" s="116" t="e">
        <f t="shared" si="2"/>
        <v>#NUM!</v>
      </c>
      <c r="K63" s="115" t="e">
        <f t="shared" si="3"/>
        <v>#NUM!</v>
      </c>
      <c r="L63" s="115"/>
      <c r="M63" s="117">
        <f t="shared" si="4"/>
        <v>0</v>
      </c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s="96" customFormat="1">
      <c r="A64" s="114">
        <f t="shared" si="0"/>
        <v>0</v>
      </c>
      <c r="B64" s="39" t="str">
        <f t="shared" si="5"/>
        <v/>
      </c>
      <c r="C64" s="40"/>
      <c r="D64" s="40"/>
      <c r="E64" s="40"/>
      <c r="F64" s="40"/>
      <c r="H64" s="111">
        <v>59</v>
      </c>
      <c r="I64" s="112" t="str">
        <f t="shared" si="1"/>
        <v/>
      </c>
      <c r="J64" s="112" t="e">
        <f t="shared" si="2"/>
        <v>#NUM!</v>
      </c>
      <c r="K64" s="111" t="e">
        <f t="shared" si="3"/>
        <v>#NUM!</v>
      </c>
      <c r="L64" s="111"/>
      <c r="M64" s="113">
        <f t="shared" si="4"/>
        <v>0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s="96" customFormat="1">
      <c r="A65" s="114">
        <f t="shared" si="0"/>
        <v>0</v>
      </c>
      <c r="B65" s="45" t="str">
        <f t="shared" si="5"/>
        <v/>
      </c>
      <c r="C65" s="46"/>
      <c r="D65" s="46"/>
      <c r="E65" s="46"/>
      <c r="F65" s="46"/>
      <c r="H65" s="115">
        <v>60</v>
      </c>
      <c r="I65" s="116" t="str">
        <f t="shared" si="1"/>
        <v/>
      </c>
      <c r="J65" s="116" t="e">
        <f t="shared" si="2"/>
        <v>#NUM!</v>
      </c>
      <c r="K65" s="115" t="e">
        <f t="shared" si="3"/>
        <v>#NUM!</v>
      </c>
      <c r="L65" s="115"/>
      <c r="M65" s="117">
        <f t="shared" si="4"/>
        <v>0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s="96" customFormat="1">
      <c r="A66" s="114">
        <f t="shared" si="0"/>
        <v>0</v>
      </c>
      <c r="B66" s="39"/>
      <c r="C66" s="131"/>
      <c r="D66" s="131"/>
      <c r="E66" s="131"/>
      <c r="F66" s="131"/>
      <c r="H66" s="111">
        <v>61</v>
      </c>
      <c r="I66" s="112" t="str">
        <f t="shared" si="1"/>
        <v/>
      </c>
      <c r="J66" s="112" t="e">
        <f t="shared" si="2"/>
        <v>#NUM!</v>
      </c>
      <c r="K66" s="111" t="e">
        <f t="shared" si="3"/>
        <v>#NUM!</v>
      </c>
      <c r="L66" s="111"/>
      <c r="M66" s="113">
        <f t="shared" si="4"/>
        <v>0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s="96" customFormat="1">
      <c r="A67" s="114">
        <f t="shared" si="0"/>
        <v>0</v>
      </c>
      <c r="B67" s="45"/>
      <c r="C67" s="131"/>
      <c r="D67" s="131"/>
      <c r="E67" s="131"/>
      <c r="F67" s="131"/>
      <c r="H67" s="111">
        <v>62</v>
      </c>
      <c r="I67" s="112" t="str">
        <f t="shared" si="1"/>
        <v/>
      </c>
      <c r="J67" s="112" t="e">
        <f t="shared" si="2"/>
        <v>#NUM!</v>
      </c>
      <c r="K67" s="111" t="e">
        <f t="shared" si="3"/>
        <v>#NUM!</v>
      </c>
      <c r="L67" s="111"/>
      <c r="M67" s="113">
        <f t="shared" si="4"/>
        <v>0</v>
      </c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s="96" customFormat="1">
      <c r="A68" s="114">
        <f t="shared" si="0"/>
        <v>0</v>
      </c>
      <c r="B68" s="39"/>
      <c r="C68" s="131"/>
      <c r="D68" s="131"/>
      <c r="E68" s="131"/>
      <c r="F68" s="131"/>
      <c r="H68" s="111">
        <v>63</v>
      </c>
      <c r="I68" s="112" t="str">
        <f t="shared" si="1"/>
        <v/>
      </c>
      <c r="J68" s="112" t="e">
        <f t="shared" si="2"/>
        <v>#NUM!</v>
      </c>
      <c r="K68" s="111" t="e">
        <f t="shared" si="3"/>
        <v>#NUM!</v>
      </c>
      <c r="L68" s="111"/>
      <c r="M68" s="113">
        <f t="shared" si="4"/>
        <v>0</v>
      </c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s="96" customFormat="1">
      <c r="A69" s="114">
        <f t="shared" si="0"/>
        <v>0</v>
      </c>
      <c r="B69" s="45"/>
      <c r="C69" s="131"/>
      <c r="D69" s="131"/>
      <c r="E69" s="131"/>
      <c r="F69" s="131"/>
      <c r="H69" s="111">
        <v>64</v>
      </c>
      <c r="I69" s="112" t="str">
        <f t="shared" si="1"/>
        <v/>
      </c>
      <c r="J69" s="112" t="e">
        <f t="shared" si="2"/>
        <v>#NUM!</v>
      </c>
      <c r="K69" s="111" t="e">
        <f t="shared" si="3"/>
        <v>#NUM!</v>
      </c>
      <c r="L69" s="111"/>
      <c r="M69" s="113">
        <f t="shared" si="4"/>
        <v>0</v>
      </c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s="96" customFormat="1">
      <c r="A70" s="114">
        <f t="shared" ref="A70:A79" si="6">M70</f>
        <v>0</v>
      </c>
      <c r="B70" s="131"/>
      <c r="C70" s="131"/>
      <c r="D70" s="131"/>
      <c r="E70" s="131"/>
      <c r="F70" s="131"/>
      <c r="H70" s="111">
        <v>65</v>
      </c>
      <c r="I70" s="112" t="str">
        <f t="shared" ref="I70:I133" si="7">IF(H70&lt;$H$2+1,($I$2-($I$2-1)*(LOG(H70)/LOG($H$2))),"")</f>
        <v/>
      </c>
      <c r="J70" s="112" t="e">
        <f t="shared" ref="J70:J133" si="8">INT(LOG($H$2,2))-ROUNDUP(LOG(H70,2),0)+IF(OR($H$2=1,$H$2=2,$H$2=4,$H$2=8,$H$2=16,$H$2=32,$H$2=64,$H$2=128,$H$2=256),0,1)</f>
        <v>#NUM!</v>
      </c>
      <c r="K70" s="111" t="e">
        <f t="shared" ref="K70:K133" si="9">J70*$J$2</f>
        <v>#NUM!</v>
      </c>
      <c r="L70" s="111"/>
      <c r="M70" s="113">
        <f t="shared" ref="M70:M133" si="10">IF(I70&lt;&gt;"",K70+I70+L70,0)</f>
        <v>0</v>
      </c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s="96" customFormat="1">
      <c r="A71" s="114">
        <f t="shared" si="6"/>
        <v>0</v>
      </c>
      <c r="B71" s="131"/>
      <c r="C71" s="131"/>
      <c r="D71" s="131"/>
      <c r="E71" s="131"/>
      <c r="F71" s="131"/>
      <c r="H71" s="111">
        <v>66</v>
      </c>
      <c r="I71" s="112" t="str">
        <f t="shared" si="7"/>
        <v/>
      </c>
      <c r="J71" s="112" t="e">
        <f t="shared" si="8"/>
        <v>#NUM!</v>
      </c>
      <c r="K71" s="111" t="e">
        <f t="shared" si="9"/>
        <v>#NUM!</v>
      </c>
      <c r="L71" s="111"/>
      <c r="M71" s="113">
        <f t="shared" si="10"/>
        <v>0</v>
      </c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s="96" customFormat="1">
      <c r="A72" s="114">
        <f t="shared" si="6"/>
        <v>0</v>
      </c>
      <c r="B72" s="131"/>
      <c r="C72" s="131"/>
      <c r="D72" s="131"/>
      <c r="E72" s="131"/>
      <c r="F72" s="131"/>
      <c r="H72" s="111">
        <v>67</v>
      </c>
      <c r="I72" s="112" t="str">
        <f t="shared" si="7"/>
        <v/>
      </c>
      <c r="J72" s="112" t="e">
        <f t="shared" si="8"/>
        <v>#NUM!</v>
      </c>
      <c r="K72" s="111" t="e">
        <f t="shared" si="9"/>
        <v>#NUM!</v>
      </c>
      <c r="L72" s="111"/>
      <c r="M72" s="113">
        <f t="shared" si="10"/>
        <v>0</v>
      </c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s="96" customFormat="1">
      <c r="A73" s="114">
        <f t="shared" si="6"/>
        <v>0</v>
      </c>
      <c r="B73" s="131"/>
      <c r="C73" s="131"/>
      <c r="D73" s="131"/>
      <c r="E73" s="131"/>
      <c r="F73" s="131"/>
      <c r="H73" s="111">
        <v>68</v>
      </c>
      <c r="I73" s="112" t="str">
        <f t="shared" si="7"/>
        <v/>
      </c>
      <c r="J73" s="112" t="e">
        <f t="shared" si="8"/>
        <v>#NUM!</v>
      </c>
      <c r="K73" s="111" t="e">
        <f t="shared" si="9"/>
        <v>#NUM!</v>
      </c>
      <c r="L73" s="111"/>
      <c r="M73" s="113">
        <f t="shared" si="10"/>
        <v>0</v>
      </c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s="96" customFormat="1">
      <c r="A74" s="114">
        <f t="shared" si="6"/>
        <v>0</v>
      </c>
      <c r="B74" s="131"/>
      <c r="C74" s="131"/>
      <c r="D74" s="131"/>
      <c r="E74" s="131"/>
      <c r="F74" s="131"/>
      <c r="H74" s="111">
        <v>69</v>
      </c>
      <c r="I74" s="112" t="str">
        <f t="shared" si="7"/>
        <v/>
      </c>
      <c r="J74" s="112" t="e">
        <f t="shared" si="8"/>
        <v>#NUM!</v>
      </c>
      <c r="K74" s="111" t="e">
        <f t="shared" si="9"/>
        <v>#NUM!</v>
      </c>
      <c r="L74" s="111"/>
      <c r="M74" s="113">
        <f t="shared" si="10"/>
        <v>0</v>
      </c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s="96" customFormat="1">
      <c r="A75" s="114">
        <f t="shared" si="6"/>
        <v>0</v>
      </c>
      <c r="B75" s="131"/>
      <c r="C75" s="131"/>
      <c r="D75" s="131"/>
      <c r="E75" s="131"/>
      <c r="F75" s="131"/>
      <c r="H75" s="111">
        <v>70</v>
      </c>
      <c r="I75" s="112" t="str">
        <f t="shared" si="7"/>
        <v/>
      </c>
      <c r="J75" s="112" t="e">
        <f t="shared" si="8"/>
        <v>#NUM!</v>
      </c>
      <c r="K75" s="111" t="e">
        <f t="shared" si="9"/>
        <v>#NUM!</v>
      </c>
      <c r="L75" s="111"/>
      <c r="M75" s="113">
        <f t="shared" si="10"/>
        <v>0</v>
      </c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s="96" customFormat="1">
      <c r="A76" s="114">
        <f t="shared" si="6"/>
        <v>0</v>
      </c>
      <c r="B76" s="131"/>
      <c r="C76" s="131"/>
      <c r="D76" s="131"/>
      <c r="E76" s="131"/>
      <c r="F76" s="131"/>
      <c r="H76" s="111">
        <v>71</v>
      </c>
      <c r="I76" s="112" t="str">
        <f t="shared" si="7"/>
        <v/>
      </c>
      <c r="J76" s="112" t="e">
        <f t="shared" si="8"/>
        <v>#NUM!</v>
      </c>
      <c r="K76" s="111" t="e">
        <f t="shared" si="9"/>
        <v>#NUM!</v>
      </c>
      <c r="L76" s="111"/>
      <c r="M76" s="113">
        <f t="shared" si="10"/>
        <v>0</v>
      </c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s="96" customFormat="1">
      <c r="A77" s="114">
        <f t="shared" si="6"/>
        <v>0</v>
      </c>
      <c r="B77" s="131"/>
      <c r="C77" s="131"/>
      <c r="D77" s="131"/>
      <c r="E77" s="131"/>
      <c r="F77" s="131"/>
      <c r="H77" s="111">
        <v>72</v>
      </c>
      <c r="I77" s="112" t="str">
        <f t="shared" si="7"/>
        <v/>
      </c>
      <c r="J77" s="112" t="e">
        <f t="shared" si="8"/>
        <v>#NUM!</v>
      </c>
      <c r="K77" s="111" t="e">
        <f t="shared" si="9"/>
        <v>#NUM!</v>
      </c>
      <c r="L77" s="111"/>
      <c r="M77" s="113">
        <f t="shared" si="10"/>
        <v>0</v>
      </c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s="96" customFormat="1">
      <c r="A78" s="114">
        <f t="shared" si="6"/>
        <v>0</v>
      </c>
      <c r="B78" s="131"/>
      <c r="C78" s="131"/>
      <c r="D78" s="131"/>
      <c r="E78" s="131"/>
      <c r="F78" s="131"/>
      <c r="H78" s="111">
        <v>73</v>
      </c>
      <c r="I78" s="112" t="str">
        <f t="shared" si="7"/>
        <v/>
      </c>
      <c r="J78" s="112" t="e">
        <f t="shared" si="8"/>
        <v>#NUM!</v>
      </c>
      <c r="K78" s="111" t="e">
        <f t="shared" si="9"/>
        <v>#NUM!</v>
      </c>
      <c r="L78" s="111"/>
      <c r="M78" s="113">
        <f t="shared" si="10"/>
        <v>0</v>
      </c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s="96" customFormat="1">
      <c r="A79" s="114">
        <f t="shared" si="6"/>
        <v>0</v>
      </c>
      <c r="B79" s="131"/>
      <c r="C79" s="131"/>
      <c r="D79" s="131"/>
      <c r="E79" s="131"/>
      <c r="F79" s="131"/>
      <c r="H79" s="111">
        <v>74</v>
      </c>
      <c r="I79" s="112" t="str">
        <f t="shared" si="7"/>
        <v/>
      </c>
      <c r="J79" s="112" t="e">
        <f t="shared" si="8"/>
        <v>#NUM!</v>
      </c>
      <c r="K79" s="111" t="e">
        <f t="shared" si="9"/>
        <v>#NUM!</v>
      </c>
      <c r="L79" s="111"/>
      <c r="M79" s="113">
        <f t="shared" si="10"/>
        <v>0</v>
      </c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s="96" customFormat="1">
      <c r="A80" s="110"/>
      <c r="B80" s="131"/>
      <c r="C80" s="131"/>
      <c r="D80" s="131"/>
      <c r="E80" s="131"/>
      <c r="F80" s="131"/>
      <c r="H80" s="111">
        <v>75</v>
      </c>
      <c r="I80" s="112" t="str">
        <f t="shared" si="7"/>
        <v/>
      </c>
      <c r="J80" s="112" t="e">
        <f t="shared" si="8"/>
        <v>#NUM!</v>
      </c>
      <c r="K80" s="111" t="e">
        <f t="shared" si="9"/>
        <v>#NUM!</v>
      </c>
      <c r="L80" s="111"/>
      <c r="M80" s="113">
        <f t="shared" si="10"/>
        <v>0</v>
      </c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s="96" customFormat="1">
      <c r="A81" s="132"/>
      <c r="B81" s="131"/>
      <c r="C81" s="131"/>
      <c r="D81" s="131"/>
      <c r="E81" s="131"/>
      <c r="F81" s="131"/>
      <c r="H81" s="111">
        <v>76</v>
      </c>
      <c r="I81" s="112" t="str">
        <f t="shared" si="7"/>
        <v/>
      </c>
      <c r="J81" s="112" t="e">
        <f t="shared" si="8"/>
        <v>#NUM!</v>
      </c>
      <c r="K81" s="111" t="e">
        <f t="shared" si="9"/>
        <v>#NUM!</v>
      </c>
      <c r="L81" s="111"/>
      <c r="M81" s="113">
        <f t="shared" si="10"/>
        <v>0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s="96" customFormat="1">
      <c r="A82" s="132"/>
      <c r="B82" s="131"/>
      <c r="C82" s="131"/>
      <c r="D82" s="131"/>
      <c r="E82" s="131"/>
      <c r="F82" s="131"/>
      <c r="H82" s="111">
        <v>77</v>
      </c>
      <c r="I82" s="112" t="str">
        <f t="shared" si="7"/>
        <v/>
      </c>
      <c r="J82" s="112" t="e">
        <f t="shared" si="8"/>
        <v>#NUM!</v>
      </c>
      <c r="K82" s="111" t="e">
        <f t="shared" si="9"/>
        <v>#NUM!</v>
      </c>
      <c r="L82" s="111"/>
      <c r="M82" s="113">
        <f t="shared" si="10"/>
        <v>0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s="96" customFormat="1">
      <c r="A83" s="132"/>
      <c r="B83" s="131"/>
      <c r="C83" s="131"/>
      <c r="D83" s="131"/>
      <c r="E83" s="131"/>
      <c r="F83" s="131"/>
      <c r="H83" s="111">
        <v>78</v>
      </c>
      <c r="I83" s="112" t="str">
        <f t="shared" si="7"/>
        <v/>
      </c>
      <c r="J83" s="112" t="e">
        <f t="shared" si="8"/>
        <v>#NUM!</v>
      </c>
      <c r="K83" s="111" t="e">
        <f t="shared" si="9"/>
        <v>#NUM!</v>
      </c>
      <c r="L83" s="111"/>
      <c r="M83" s="113">
        <f t="shared" si="10"/>
        <v>0</v>
      </c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s="96" customFormat="1">
      <c r="A84" s="132"/>
      <c r="B84" s="131"/>
      <c r="C84" s="131"/>
      <c r="D84" s="131"/>
      <c r="E84" s="131"/>
      <c r="F84" s="131"/>
      <c r="H84" s="111">
        <v>79</v>
      </c>
      <c r="I84" s="112" t="str">
        <f t="shared" si="7"/>
        <v/>
      </c>
      <c r="J84" s="112" t="e">
        <f t="shared" si="8"/>
        <v>#NUM!</v>
      </c>
      <c r="K84" s="111" t="e">
        <f t="shared" si="9"/>
        <v>#NUM!</v>
      </c>
      <c r="L84" s="111"/>
      <c r="M84" s="113">
        <f t="shared" si="10"/>
        <v>0</v>
      </c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s="96" customFormat="1">
      <c r="A85" s="132"/>
      <c r="B85" s="131"/>
      <c r="C85" s="131"/>
      <c r="D85" s="131"/>
      <c r="E85" s="131"/>
      <c r="F85" s="131"/>
      <c r="H85" s="111">
        <v>80</v>
      </c>
      <c r="I85" s="112" t="str">
        <f t="shared" si="7"/>
        <v/>
      </c>
      <c r="J85" s="112" t="e">
        <f t="shared" si="8"/>
        <v>#NUM!</v>
      </c>
      <c r="K85" s="111" t="e">
        <f t="shared" si="9"/>
        <v>#NUM!</v>
      </c>
      <c r="L85" s="111"/>
      <c r="M85" s="113">
        <f t="shared" si="10"/>
        <v>0</v>
      </c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s="96" customFormat="1">
      <c r="A86" s="132"/>
      <c r="B86" s="131"/>
      <c r="C86" s="131"/>
      <c r="D86" s="131"/>
      <c r="E86" s="131"/>
      <c r="F86" s="131"/>
      <c r="H86" s="111">
        <v>81</v>
      </c>
      <c r="I86" s="112" t="str">
        <f t="shared" si="7"/>
        <v/>
      </c>
      <c r="J86" s="112" t="e">
        <f t="shared" si="8"/>
        <v>#NUM!</v>
      </c>
      <c r="K86" s="111" t="e">
        <f t="shared" si="9"/>
        <v>#NUM!</v>
      </c>
      <c r="L86" s="111"/>
      <c r="M86" s="113">
        <f t="shared" si="10"/>
        <v>0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s="96" customFormat="1">
      <c r="A87" s="132"/>
      <c r="B87" s="131"/>
      <c r="C87" s="131"/>
      <c r="D87" s="131"/>
      <c r="E87" s="131"/>
      <c r="F87" s="131"/>
      <c r="H87" s="111">
        <v>82</v>
      </c>
      <c r="I87" s="112" t="str">
        <f t="shared" si="7"/>
        <v/>
      </c>
      <c r="J87" s="112" t="e">
        <f t="shared" si="8"/>
        <v>#NUM!</v>
      </c>
      <c r="K87" s="111" t="e">
        <f t="shared" si="9"/>
        <v>#NUM!</v>
      </c>
      <c r="L87" s="111"/>
      <c r="M87" s="113">
        <f t="shared" si="10"/>
        <v>0</v>
      </c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s="96" customFormat="1">
      <c r="A88" s="132"/>
      <c r="B88" s="131"/>
      <c r="C88" s="131"/>
      <c r="D88" s="131"/>
      <c r="E88" s="131"/>
      <c r="F88" s="131"/>
      <c r="H88" s="111">
        <v>83</v>
      </c>
      <c r="I88" s="112" t="str">
        <f t="shared" si="7"/>
        <v/>
      </c>
      <c r="J88" s="112" t="e">
        <f t="shared" si="8"/>
        <v>#NUM!</v>
      </c>
      <c r="K88" s="111" t="e">
        <f t="shared" si="9"/>
        <v>#NUM!</v>
      </c>
      <c r="L88" s="111"/>
      <c r="M88" s="113">
        <f t="shared" si="10"/>
        <v>0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s="96" customFormat="1">
      <c r="A89" s="132"/>
      <c r="B89" s="131"/>
      <c r="C89" s="131"/>
      <c r="D89" s="131"/>
      <c r="E89" s="131"/>
      <c r="F89" s="131"/>
      <c r="H89" s="111">
        <v>84</v>
      </c>
      <c r="I89" s="112" t="str">
        <f t="shared" si="7"/>
        <v/>
      </c>
      <c r="J89" s="112" t="e">
        <f t="shared" si="8"/>
        <v>#NUM!</v>
      </c>
      <c r="K89" s="111" t="e">
        <f t="shared" si="9"/>
        <v>#NUM!</v>
      </c>
      <c r="L89" s="111"/>
      <c r="M89" s="113">
        <f t="shared" si="10"/>
        <v>0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s="96" customFormat="1">
      <c r="A90" s="132"/>
      <c r="B90" s="131"/>
      <c r="C90" s="131"/>
      <c r="D90" s="131"/>
      <c r="E90" s="131"/>
      <c r="F90" s="131"/>
      <c r="H90" s="111">
        <v>85</v>
      </c>
      <c r="I90" s="112" t="str">
        <f t="shared" si="7"/>
        <v/>
      </c>
      <c r="J90" s="112" t="e">
        <f t="shared" si="8"/>
        <v>#NUM!</v>
      </c>
      <c r="K90" s="111" t="e">
        <f t="shared" si="9"/>
        <v>#NUM!</v>
      </c>
      <c r="L90" s="111"/>
      <c r="M90" s="113">
        <f t="shared" si="10"/>
        <v>0</v>
      </c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s="96" customFormat="1">
      <c r="A91" s="132"/>
      <c r="B91" s="131"/>
      <c r="C91" s="131"/>
      <c r="D91" s="131"/>
      <c r="E91" s="131"/>
      <c r="F91" s="131"/>
      <c r="H91" s="111">
        <v>86</v>
      </c>
      <c r="I91" s="112" t="str">
        <f t="shared" si="7"/>
        <v/>
      </c>
      <c r="J91" s="112" t="e">
        <f t="shared" si="8"/>
        <v>#NUM!</v>
      </c>
      <c r="K91" s="111" t="e">
        <f t="shared" si="9"/>
        <v>#NUM!</v>
      </c>
      <c r="L91" s="111"/>
      <c r="M91" s="113">
        <f t="shared" si="10"/>
        <v>0</v>
      </c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6" customFormat="1">
      <c r="A92" s="132"/>
      <c r="B92" s="131"/>
      <c r="C92" s="131"/>
      <c r="D92" s="131"/>
      <c r="E92" s="131"/>
      <c r="F92" s="131"/>
      <c r="H92" s="111">
        <v>87</v>
      </c>
      <c r="I92" s="112" t="str">
        <f t="shared" si="7"/>
        <v/>
      </c>
      <c r="J92" s="112" t="e">
        <f t="shared" si="8"/>
        <v>#NUM!</v>
      </c>
      <c r="K92" s="111" t="e">
        <f t="shared" si="9"/>
        <v>#NUM!</v>
      </c>
      <c r="L92" s="111"/>
      <c r="M92" s="113">
        <f t="shared" si="10"/>
        <v>0</v>
      </c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s="96" customFormat="1">
      <c r="A93" s="132"/>
      <c r="B93" s="131"/>
      <c r="C93" s="131"/>
      <c r="D93" s="131"/>
      <c r="E93" s="131"/>
      <c r="F93" s="131"/>
      <c r="H93" s="111">
        <v>88</v>
      </c>
      <c r="I93" s="112" t="str">
        <f t="shared" si="7"/>
        <v/>
      </c>
      <c r="J93" s="112" t="e">
        <f t="shared" si="8"/>
        <v>#NUM!</v>
      </c>
      <c r="K93" s="111" t="e">
        <f t="shared" si="9"/>
        <v>#NUM!</v>
      </c>
      <c r="L93" s="111"/>
      <c r="M93" s="113">
        <f t="shared" si="10"/>
        <v>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s="96" customFormat="1">
      <c r="A94" s="132"/>
      <c r="B94" s="131"/>
      <c r="C94" s="131"/>
      <c r="D94" s="131"/>
      <c r="E94" s="131"/>
      <c r="F94" s="131"/>
      <c r="H94" s="111">
        <v>89</v>
      </c>
      <c r="I94" s="112" t="str">
        <f t="shared" si="7"/>
        <v/>
      </c>
      <c r="J94" s="112" t="e">
        <f t="shared" si="8"/>
        <v>#NUM!</v>
      </c>
      <c r="K94" s="111" t="e">
        <f t="shared" si="9"/>
        <v>#NUM!</v>
      </c>
      <c r="L94" s="111"/>
      <c r="M94" s="113">
        <f t="shared" si="10"/>
        <v>0</v>
      </c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s="96" customFormat="1">
      <c r="A95" s="132"/>
      <c r="B95" s="131"/>
      <c r="C95" s="131"/>
      <c r="D95" s="131"/>
      <c r="E95" s="131"/>
      <c r="F95" s="131"/>
      <c r="H95" s="111">
        <v>90</v>
      </c>
      <c r="I95" s="112" t="str">
        <f t="shared" si="7"/>
        <v/>
      </c>
      <c r="J95" s="112" t="e">
        <f t="shared" si="8"/>
        <v>#NUM!</v>
      </c>
      <c r="K95" s="111" t="e">
        <f t="shared" si="9"/>
        <v>#NUM!</v>
      </c>
      <c r="L95" s="111"/>
      <c r="M95" s="113">
        <f t="shared" si="10"/>
        <v>0</v>
      </c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s="96" customFormat="1">
      <c r="A96" s="132"/>
      <c r="B96" s="131"/>
      <c r="C96" s="131"/>
      <c r="D96" s="131"/>
      <c r="E96" s="131"/>
      <c r="F96" s="131"/>
      <c r="H96" s="111">
        <v>91</v>
      </c>
      <c r="I96" s="112" t="str">
        <f t="shared" si="7"/>
        <v/>
      </c>
      <c r="J96" s="112" t="e">
        <f t="shared" si="8"/>
        <v>#NUM!</v>
      </c>
      <c r="K96" s="111" t="e">
        <f t="shared" si="9"/>
        <v>#NUM!</v>
      </c>
      <c r="L96" s="111"/>
      <c r="M96" s="113">
        <f t="shared" si="10"/>
        <v>0</v>
      </c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s="96" customFormat="1">
      <c r="A97" s="132"/>
      <c r="B97" s="131"/>
      <c r="C97" s="131"/>
      <c r="D97" s="131"/>
      <c r="E97" s="131"/>
      <c r="F97" s="131"/>
      <c r="H97" s="111">
        <v>92</v>
      </c>
      <c r="I97" s="112" t="str">
        <f t="shared" si="7"/>
        <v/>
      </c>
      <c r="J97" s="112" t="e">
        <f t="shared" si="8"/>
        <v>#NUM!</v>
      </c>
      <c r="K97" s="111" t="e">
        <f t="shared" si="9"/>
        <v>#NUM!</v>
      </c>
      <c r="L97" s="111"/>
      <c r="M97" s="113">
        <f t="shared" si="10"/>
        <v>0</v>
      </c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s="96" customFormat="1">
      <c r="A98" s="132"/>
      <c r="B98" s="131"/>
      <c r="C98" s="131"/>
      <c r="D98" s="131"/>
      <c r="E98" s="131"/>
      <c r="F98" s="131"/>
      <c r="H98" s="111">
        <v>93</v>
      </c>
      <c r="I98" s="112" t="str">
        <f t="shared" si="7"/>
        <v/>
      </c>
      <c r="J98" s="112" t="e">
        <f t="shared" si="8"/>
        <v>#NUM!</v>
      </c>
      <c r="K98" s="111" t="e">
        <f t="shared" si="9"/>
        <v>#NUM!</v>
      </c>
      <c r="L98" s="111"/>
      <c r="M98" s="113">
        <f t="shared" si="10"/>
        <v>0</v>
      </c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s="96" customFormat="1">
      <c r="A99" s="132"/>
      <c r="B99" s="131"/>
      <c r="C99" s="131"/>
      <c r="D99" s="131"/>
      <c r="E99" s="131"/>
      <c r="F99" s="131"/>
      <c r="H99" s="111">
        <v>94</v>
      </c>
      <c r="I99" s="112" t="str">
        <f t="shared" si="7"/>
        <v/>
      </c>
      <c r="J99" s="112" t="e">
        <f t="shared" si="8"/>
        <v>#NUM!</v>
      </c>
      <c r="K99" s="111" t="e">
        <f t="shared" si="9"/>
        <v>#NUM!</v>
      </c>
      <c r="L99" s="111"/>
      <c r="M99" s="113">
        <f t="shared" si="10"/>
        <v>0</v>
      </c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s="96" customFormat="1">
      <c r="A100" s="132"/>
      <c r="B100" s="131"/>
      <c r="C100" s="131"/>
      <c r="D100" s="131"/>
      <c r="E100" s="131"/>
      <c r="F100" s="131"/>
      <c r="H100" s="111">
        <v>95</v>
      </c>
      <c r="I100" s="112" t="str">
        <f t="shared" si="7"/>
        <v/>
      </c>
      <c r="J100" s="112" t="e">
        <f t="shared" si="8"/>
        <v>#NUM!</v>
      </c>
      <c r="K100" s="111" t="e">
        <f t="shared" si="9"/>
        <v>#NUM!</v>
      </c>
      <c r="L100" s="111"/>
      <c r="M100" s="113">
        <f t="shared" si="10"/>
        <v>0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s="96" customFormat="1">
      <c r="A101" s="132"/>
      <c r="B101" s="131"/>
      <c r="C101" s="131"/>
      <c r="D101" s="131"/>
      <c r="E101" s="131"/>
      <c r="F101" s="131"/>
      <c r="H101" s="111">
        <v>96</v>
      </c>
      <c r="I101" s="112" t="str">
        <f t="shared" si="7"/>
        <v/>
      </c>
      <c r="J101" s="112" t="e">
        <f t="shared" si="8"/>
        <v>#NUM!</v>
      </c>
      <c r="K101" s="111" t="e">
        <f t="shared" si="9"/>
        <v>#NUM!</v>
      </c>
      <c r="L101" s="111"/>
      <c r="M101" s="113">
        <f t="shared" si="10"/>
        <v>0</v>
      </c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96" customFormat="1">
      <c r="A102" s="132"/>
      <c r="B102" s="131"/>
      <c r="C102" s="131"/>
      <c r="D102" s="131"/>
      <c r="E102" s="131"/>
      <c r="F102" s="131"/>
      <c r="H102" s="111">
        <v>97</v>
      </c>
      <c r="I102" s="112" t="str">
        <f t="shared" si="7"/>
        <v/>
      </c>
      <c r="J102" s="112" t="e">
        <f t="shared" si="8"/>
        <v>#NUM!</v>
      </c>
      <c r="K102" s="111" t="e">
        <f t="shared" si="9"/>
        <v>#NUM!</v>
      </c>
      <c r="L102" s="111"/>
      <c r="M102" s="113">
        <f t="shared" si="10"/>
        <v>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96" customFormat="1">
      <c r="A103" s="132"/>
      <c r="B103" s="131"/>
      <c r="C103" s="131"/>
      <c r="D103" s="131"/>
      <c r="E103" s="131"/>
      <c r="F103" s="131"/>
      <c r="H103" s="111">
        <v>98</v>
      </c>
      <c r="I103" s="112" t="str">
        <f t="shared" si="7"/>
        <v/>
      </c>
      <c r="J103" s="112" t="e">
        <f t="shared" si="8"/>
        <v>#NUM!</v>
      </c>
      <c r="K103" s="111" t="e">
        <f t="shared" si="9"/>
        <v>#NUM!</v>
      </c>
      <c r="L103" s="111"/>
      <c r="M103" s="113">
        <f t="shared" si="10"/>
        <v>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96" customFormat="1">
      <c r="A104" s="132"/>
      <c r="B104" s="131"/>
      <c r="C104" s="131"/>
      <c r="D104" s="131"/>
      <c r="E104" s="131"/>
      <c r="F104" s="131"/>
      <c r="H104" s="111">
        <v>99</v>
      </c>
      <c r="I104" s="112" t="str">
        <f t="shared" si="7"/>
        <v/>
      </c>
      <c r="J104" s="112" t="e">
        <f t="shared" si="8"/>
        <v>#NUM!</v>
      </c>
      <c r="K104" s="111" t="e">
        <f t="shared" si="9"/>
        <v>#NUM!</v>
      </c>
      <c r="L104" s="111"/>
      <c r="M104" s="113">
        <f t="shared" si="10"/>
        <v>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96" customFormat="1">
      <c r="A105" s="132"/>
      <c r="B105" s="131"/>
      <c r="C105" s="131"/>
      <c r="D105" s="131"/>
      <c r="E105" s="131"/>
      <c r="F105" s="131"/>
      <c r="H105" s="111">
        <v>100</v>
      </c>
      <c r="I105" s="112" t="str">
        <f t="shared" si="7"/>
        <v/>
      </c>
      <c r="J105" s="112" t="e">
        <f t="shared" si="8"/>
        <v>#NUM!</v>
      </c>
      <c r="K105" s="111" t="e">
        <f t="shared" si="9"/>
        <v>#NUM!</v>
      </c>
      <c r="L105" s="111"/>
      <c r="M105" s="113">
        <f t="shared" si="10"/>
        <v>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96" customFormat="1">
      <c r="A106" s="132"/>
      <c r="B106" s="131"/>
      <c r="C106" s="131"/>
      <c r="D106" s="131"/>
      <c r="E106" s="131"/>
      <c r="F106" s="131"/>
      <c r="H106" s="111">
        <v>101</v>
      </c>
      <c r="I106" s="112" t="str">
        <f t="shared" si="7"/>
        <v/>
      </c>
      <c r="J106" s="112" t="e">
        <f t="shared" si="8"/>
        <v>#NUM!</v>
      </c>
      <c r="K106" s="111" t="e">
        <f t="shared" si="9"/>
        <v>#NUM!</v>
      </c>
      <c r="L106" s="111"/>
      <c r="M106" s="113">
        <f t="shared" si="10"/>
        <v>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96" customFormat="1">
      <c r="A107" s="132"/>
      <c r="B107" s="131"/>
      <c r="C107" s="131"/>
      <c r="D107" s="131"/>
      <c r="E107" s="131"/>
      <c r="F107" s="131"/>
      <c r="H107" s="111">
        <v>102</v>
      </c>
      <c r="I107" s="112" t="str">
        <f t="shared" si="7"/>
        <v/>
      </c>
      <c r="J107" s="112" t="e">
        <f t="shared" si="8"/>
        <v>#NUM!</v>
      </c>
      <c r="K107" s="111" t="e">
        <f t="shared" si="9"/>
        <v>#NUM!</v>
      </c>
      <c r="L107" s="111"/>
      <c r="M107" s="113">
        <f t="shared" si="10"/>
        <v>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96" customFormat="1">
      <c r="A108" s="132"/>
      <c r="B108" s="131"/>
      <c r="C108" s="131"/>
      <c r="D108" s="131"/>
      <c r="E108" s="131"/>
      <c r="F108" s="131"/>
      <c r="H108" s="111">
        <v>103</v>
      </c>
      <c r="I108" s="112" t="str">
        <f t="shared" si="7"/>
        <v/>
      </c>
      <c r="J108" s="112" t="e">
        <f t="shared" si="8"/>
        <v>#NUM!</v>
      </c>
      <c r="K108" s="111" t="e">
        <f t="shared" si="9"/>
        <v>#NUM!</v>
      </c>
      <c r="L108" s="111"/>
      <c r="M108" s="113">
        <f t="shared" si="10"/>
        <v>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96" customFormat="1">
      <c r="A109" s="132"/>
      <c r="B109" s="131"/>
      <c r="C109" s="131"/>
      <c r="D109" s="131"/>
      <c r="E109" s="131"/>
      <c r="F109" s="131"/>
      <c r="H109" s="111">
        <v>104</v>
      </c>
      <c r="I109" s="112" t="str">
        <f t="shared" si="7"/>
        <v/>
      </c>
      <c r="J109" s="112" t="e">
        <f t="shared" si="8"/>
        <v>#NUM!</v>
      </c>
      <c r="K109" s="111" t="e">
        <f t="shared" si="9"/>
        <v>#NUM!</v>
      </c>
      <c r="L109" s="111"/>
      <c r="M109" s="113">
        <f t="shared" si="10"/>
        <v>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96" customFormat="1">
      <c r="A110" s="132"/>
      <c r="B110" s="131"/>
      <c r="C110" s="131"/>
      <c r="D110" s="131"/>
      <c r="E110" s="131"/>
      <c r="F110" s="131"/>
      <c r="H110" s="111">
        <v>105</v>
      </c>
      <c r="I110" s="112" t="str">
        <f t="shared" si="7"/>
        <v/>
      </c>
      <c r="J110" s="112" t="e">
        <f t="shared" si="8"/>
        <v>#NUM!</v>
      </c>
      <c r="K110" s="111" t="e">
        <f t="shared" si="9"/>
        <v>#NUM!</v>
      </c>
      <c r="L110" s="111"/>
      <c r="M110" s="113">
        <f t="shared" si="10"/>
        <v>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96" customFormat="1">
      <c r="A111" s="132"/>
      <c r="B111" s="131"/>
      <c r="C111" s="131"/>
      <c r="D111" s="131"/>
      <c r="E111" s="131"/>
      <c r="F111" s="131"/>
      <c r="H111" s="111">
        <v>106</v>
      </c>
      <c r="I111" s="112" t="str">
        <f t="shared" si="7"/>
        <v/>
      </c>
      <c r="J111" s="112" t="e">
        <f t="shared" si="8"/>
        <v>#NUM!</v>
      </c>
      <c r="K111" s="111" t="e">
        <f t="shared" si="9"/>
        <v>#NUM!</v>
      </c>
      <c r="L111" s="111"/>
      <c r="M111" s="113">
        <f t="shared" si="10"/>
        <v>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96" customFormat="1">
      <c r="A112" s="132"/>
      <c r="B112" s="131"/>
      <c r="C112" s="131"/>
      <c r="D112" s="131"/>
      <c r="E112" s="131"/>
      <c r="F112" s="131"/>
      <c r="H112" s="111">
        <v>107</v>
      </c>
      <c r="I112" s="112" t="str">
        <f t="shared" si="7"/>
        <v/>
      </c>
      <c r="J112" s="112" t="e">
        <f t="shared" si="8"/>
        <v>#NUM!</v>
      </c>
      <c r="K112" s="111" t="e">
        <f t="shared" si="9"/>
        <v>#NUM!</v>
      </c>
      <c r="L112" s="111"/>
      <c r="M112" s="113">
        <f t="shared" si="10"/>
        <v>0</v>
      </c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s="96" customFormat="1">
      <c r="A113" s="132"/>
      <c r="B113" s="131"/>
      <c r="C113" s="131"/>
      <c r="D113" s="131"/>
      <c r="E113" s="131"/>
      <c r="F113" s="131"/>
      <c r="H113" s="111">
        <v>108</v>
      </c>
      <c r="I113" s="112" t="str">
        <f t="shared" si="7"/>
        <v/>
      </c>
      <c r="J113" s="112" t="e">
        <f t="shared" si="8"/>
        <v>#NUM!</v>
      </c>
      <c r="K113" s="111" t="e">
        <f t="shared" si="9"/>
        <v>#NUM!</v>
      </c>
      <c r="L113" s="111"/>
      <c r="M113" s="113">
        <f t="shared" si="10"/>
        <v>0</v>
      </c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s="96" customFormat="1">
      <c r="A114" s="132"/>
      <c r="B114" s="131"/>
      <c r="C114" s="131"/>
      <c r="D114" s="131"/>
      <c r="E114" s="131"/>
      <c r="F114" s="131"/>
      <c r="H114" s="111">
        <v>109</v>
      </c>
      <c r="I114" s="112" t="str">
        <f t="shared" si="7"/>
        <v/>
      </c>
      <c r="J114" s="112" t="e">
        <f t="shared" si="8"/>
        <v>#NUM!</v>
      </c>
      <c r="K114" s="111" t="e">
        <f t="shared" si="9"/>
        <v>#NUM!</v>
      </c>
      <c r="L114" s="111"/>
      <c r="M114" s="113">
        <f t="shared" si="10"/>
        <v>0</v>
      </c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s="96" customFormat="1">
      <c r="A115" s="132"/>
      <c r="B115" s="131"/>
      <c r="C115" s="131"/>
      <c r="D115" s="131"/>
      <c r="E115" s="131"/>
      <c r="F115" s="131"/>
      <c r="H115" s="111">
        <v>110</v>
      </c>
      <c r="I115" s="112" t="str">
        <f t="shared" si="7"/>
        <v/>
      </c>
      <c r="J115" s="112" t="e">
        <f t="shared" si="8"/>
        <v>#NUM!</v>
      </c>
      <c r="K115" s="111" t="e">
        <f t="shared" si="9"/>
        <v>#NUM!</v>
      </c>
      <c r="L115" s="111"/>
      <c r="M115" s="113">
        <f t="shared" si="10"/>
        <v>0</v>
      </c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s="96" customFormat="1">
      <c r="A116" s="132"/>
      <c r="B116" s="131"/>
      <c r="C116" s="131"/>
      <c r="D116" s="131"/>
      <c r="E116" s="131"/>
      <c r="F116" s="131"/>
      <c r="H116" s="111">
        <v>111</v>
      </c>
      <c r="I116" s="112" t="str">
        <f t="shared" si="7"/>
        <v/>
      </c>
      <c r="J116" s="112" t="e">
        <f t="shared" si="8"/>
        <v>#NUM!</v>
      </c>
      <c r="K116" s="111" t="e">
        <f t="shared" si="9"/>
        <v>#NUM!</v>
      </c>
      <c r="L116" s="111"/>
      <c r="M116" s="113">
        <f t="shared" si="10"/>
        <v>0</v>
      </c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s="96" customFormat="1">
      <c r="A117" s="132"/>
      <c r="B117" s="131"/>
      <c r="C117" s="131"/>
      <c r="D117" s="131"/>
      <c r="E117" s="131"/>
      <c r="F117" s="131"/>
      <c r="H117" s="111">
        <v>112</v>
      </c>
      <c r="I117" s="112" t="str">
        <f t="shared" si="7"/>
        <v/>
      </c>
      <c r="J117" s="112" t="e">
        <f t="shared" si="8"/>
        <v>#NUM!</v>
      </c>
      <c r="K117" s="111" t="e">
        <f t="shared" si="9"/>
        <v>#NUM!</v>
      </c>
      <c r="L117" s="111"/>
      <c r="M117" s="113">
        <f t="shared" si="10"/>
        <v>0</v>
      </c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s="96" customFormat="1">
      <c r="A118" s="132"/>
      <c r="B118" s="131"/>
      <c r="C118" s="131"/>
      <c r="D118" s="131"/>
      <c r="E118" s="131"/>
      <c r="F118" s="131"/>
      <c r="H118" s="111">
        <v>113</v>
      </c>
      <c r="I118" s="112" t="str">
        <f t="shared" si="7"/>
        <v/>
      </c>
      <c r="J118" s="112" t="e">
        <f t="shared" si="8"/>
        <v>#NUM!</v>
      </c>
      <c r="K118" s="111" t="e">
        <f t="shared" si="9"/>
        <v>#NUM!</v>
      </c>
      <c r="L118" s="111"/>
      <c r="M118" s="113">
        <f t="shared" si="10"/>
        <v>0</v>
      </c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s="96" customFormat="1">
      <c r="A119" s="132"/>
      <c r="B119" s="131"/>
      <c r="C119" s="131"/>
      <c r="D119" s="131"/>
      <c r="E119" s="131"/>
      <c r="F119" s="131"/>
      <c r="H119" s="111">
        <v>114</v>
      </c>
      <c r="I119" s="112" t="str">
        <f t="shared" si="7"/>
        <v/>
      </c>
      <c r="J119" s="112" t="e">
        <f t="shared" si="8"/>
        <v>#NUM!</v>
      </c>
      <c r="K119" s="111" t="e">
        <f t="shared" si="9"/>
        <v>#NUM!</v>
      </c>
      <c r="L119" s="111"/>
      <c r="M119" s="113">
        <f t="shared" si="10"/>
        <v>0</v>
      </c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s="96" customFormat="1">
      <c r="A120" s="132"/>
      <c r="B120" s="131"/>
      <c r="C120" s="131"/>
      <c r="D120" s="131"/>
      <c r="E120" s="131"/>
      <c r="F120" s="131"/>
      <c r="H120" s="111">
        <v>115</v>
      </c>
      <c r="I120" s="112" t="str">
        <f t="shared" si="7"/>
        <v/>
      </c>
      <c r="J120" s="112" t="e">
        <f t="shared" si="8"/>
        <v>#NUM!</v>
      </c>
      <c r="K120" s="111" t="e">
        <f t="shared" si="9"/>
        <v>#NUM!</v>
      </c>
      <c r="L120" s="111"/>
      <c r="M120" s="113">
        <f t="shared" si="10"/>
        <v>0</v>
      </c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s="96" customFormat="1">
      <c r="A121" s="132"/>
      <c r="B121" s="131"/>
      <c r="C121" s="131"/>
      <c r="D121" s="131"/>
      <c r="E121" s="131"/>
      <c r="F121" s="131"/>
      <c r="H121" s="111">
        <v>116</v>
      </c>
      <c r="I121" s="112" t="str">
        <f t="shared" si="7"/>
        <v/>
      </c>
      <c r="J121" s="112" t="e">
        <f t="shared" si="8"/>
        <v>#NUM!</v>
      </c>
      <c r="K121" s="111" t="e">
        <f t="shared" si="9"/>
        <v>#NUM!</v>
      </c>
      <c r="L121" s="111"/>
      <c r="M121" s="113">
        <f t="shared" si="10"/>
        <v>0</v>
      </c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s="96" customFormat="1">
      <c r="A122" s="132"/>
      <c r="B122" s="131"/>
      <c r="C122" s="131"/>
      <c r="D122" s="131"/>
      <c r="E122" s="131"/>
      <c r="F122" s="131"/>
      <c r="H122" s="111">
        <v>117</v>
      </c>
      <c r="I122" s="112" t="str">
        <f t="shared" si="7"/>
        <v/>
      </c>
      <c r="J122" s="112" t="e">
        <f t="shared" si="8"/>
        <v>#NUM!</v>
      </c>
      <c r="K122" s="111" t="e">
        <f t="shared" si="9"/>
        <v>#NUM!</v>
      </c>
      <c r="L122" s="111"/>
      <c r="M122" s="113">
        <f t="shared" si="10"/>
        <v>0</v>
      </c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s="96" customFormat="1">
      <c r="A123" s="132"/>
      <c r="B123" s="131"/>
      <c r="C123" s="131"/>
      <c r="D123" s="131"/>
      <c r="E123" s="131"/>
      <c r="F123" s="131"/>
      <c r="H123" s="111">
        <v>118</v>
      </c>
      <c r="I123" s="112" t="str">
        <f t="shared" si="7"/>
        <v/>
      </c>
      <c r="J123" s="112" t="e">
        <f t="shared" si="8"/>
        <v>#NUM!</v>
      </c>
      <c r="K123" s="111" t="e">
        <f t="shared" si="9"/>
        <v>#NUM!</v>
      </c>
      <c r="L123" s="111"/>
      <c r="M123" s="113">
        <f t="shared" si="10"/>
        <v>0</v>
      </c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s="96" customFormat="1">
      <c r="A124" s="132"/>
      <c r="B124" s="131"/>
      <c r="C124" s="131"/>
      <c r="D124" s="131"/>
      <c r="E124" s="131"/>
      <c r="F124" s="131"/>
      <c r="H124" s="111">
        <v>119</v>
      </c>
      <c r="I124" s="112" t="str">
        <f t="shared" si="7"/>
        <v/>
      </c>
      <c r="J124" s="112" t="e">
        <f t="shared" si="8"/>
        <v>#NUM!</v>
      </c>
      <c r="K124" s="111" t="e">
        <f t="shared" si="9"/>
        <v>#NUM!</v>
      </c>
      <c r="L124" s="111"/>
      <c r="M124" s="113">
        <f t="shared" si="10"/>
        <v>0</v>
      </c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s="96" customFormat="1">
      <c r="A125" s="132"/>
      <c r="B125" s="131"/>
      <c r="C125" s="131"/>
      <c r="D125" s="131"/>
      <c r="E125" s="131"/>
      <c r="F125" s="131"/>
      <c r="H125" s="111">
        <v>120</v>
      </c>
      <c r="I125" s="112" t="str">
        <f t="shared" si="7"/>
        <v/>
      </c>
      <c r="J125" s="112" t="e">
        <f t="shared" si="8"/>
        <v>#NUM!</v>
      </c>
      <c r="K125" s="111" t="e">
        <f t="shared" si="9"/>
        <v>#NUM!</v>
      </c>
      <c r="L125" s="111"/>
      <c r="M125" s="113">
        <f t="shared" si="10"/>
        <v>0</v>
      </c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s="96" customFormat="1">
      <c r="A126" s="132"/>
      <c r="B126" s="131"/>
      <c r="C126" s="131"/>
      <c r="D126" s="131"/>
      <c r="E126" s="131"/>
      <c r="F126" s="131"/>
      <c r="H126" s="111">
        <v>121</v>
      </c>
      <c r="I126" s="112" t="str">
        <f t="shared" si="7"/>
        <v/>
      </c>
      <c r="J126" s="112" t="e">
        <f t="shared" si="8"/>
        <v>#NUM!</v>
      </c>
      <c r="K126" s="111" t="e">
        <f t="shared" si="9"/>
        <v>#NUM!</v>
      </c>
      <c r="L126" s="111"/>
      <c r="M126" s="113">
        <f t="shared" si="10"/>
        <v>0</v>
      </c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s="96" customFormat="1">
      <c r="A127" s="132"/>
      <c r="B127" s="131"/>
      <c r="C127" s="131"/>
      <c r="D127" s="131"/>
      <c r="E127" s="131"/>
      <c r="F127" s="131"/>
      <c r="H127" s="111">
        <v>122</v>
      </c>
      <c r="I127" s="112" t="str">
        <f t="shared" si="7"/>
        <v/>
      </c>
      <c r="J127" s="112" t="e">
        <f t="shared" si="8"/>
        <v>#NUM!</v>
      </c>
      <c r="K127" s="111" t="e">
        <f t="shared" si="9"/>
        <v>#NUM!</v>
      </c>
      <c r="L127" s="111"/>
      <c r="M127" s="113">
        <f t="shared" si="10"/>
        <v>0</v>
      </c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s="96" customFormat="1">
      <c r="A128" s="132"/>
      <c r="B128" s="131"/>
      <c r="C128" s="131"/>
      <c r="D128" s="131"/>
      <c r="E128" s="131"/>
      <c r="F128" s="131"/>
      <c r="H128" s="111">
        <v>123</v>
      </c>
      <c r="I128" s="112" t="str">
        <f t="shared" si="7"/>
        <v/>
      </c>
      <c r="J128" s="112" t="e">
        <f t="shared" si="8"/>
        <v>#NUM!</v>
      </c>
      <c r="K128" s="111" t="e">
        <f t="shared" si="9"/>
        <v>#NUM!</v>
      </c>
      <c r="L128" s="111"/>
      <c r="M128" s="113">
        <f t="shared" si="10"/>
        <v>0</v>
      </c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s="96" customFormat="1">
      <c r="A129" s="132"/>
      <c r="B129" s="131"/>
      <c r="C129" s="131"/>
      <c r="D129" s="131"/>
      <c r="E129" s="131"/>
      <c r="F129" s="131"/>
      <c r="H129" s="111">
        <v>124</v>
      </c>
      <c r="I129" s="112" t="str">
        <f t="shared" si="7"/>
        <v/>
      </c>
      <c r="J129" s="112" t="e">
        <f t="shared" si="8"/>
        <v>#NUM!</v>
      </c>
      <c r="K129" s="111" t="e">
        <f t="shared" si="9"/>
        <v>#NUM!</v>
      </c>
      <c r="L129" s="111"/>
      <c r="M129" s="113">
        <f t="shared" si="10"/>
        <v>0</v>
      </c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s="96" customFormat="1">
      <c r="A130" s="132"/>
      <c r="B130" s="131"/>
      <c r="C130" s="131"/>
      <c r="D130" s="131"/>
      <c r="E130" s="131"/>
      <c r="F130" s="131"/>
      <c r="H130" s="111">
        <v>125</v>
      </c>
      <c r="I130" s="112" t="str">
        <f t="shared" si="7"/>
        <v/>
      </c>
      <c r="J130" s="112" t="e">
        <f t="shared" si="8"/>
        <v>#NUM!</v>
      </c>
      <c r="K130" s="111" t="e">
        <f t="shared" si="9"/>
        <v>#NUM!</v>
      </c>
      <c r="L130" s="111"/>
      <c r="M130" s="113">
        <f t="shared" si="10"/>
        <v>0</v>
      </c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s="96" customFormat="1">
      <c r="A131" s="132"/>
      <c r="B131" s="131"/>
      <c r="C131" s="131"/>
      <c r="D131" s="131"/>
      <c r="E131" s="131"/>
      <c r="F131" s="131"/>
      <c r="H131" s="111">
        <v>126</v>
      </c>
      <c r="I131" s="112" t="str">
        <f t="shared" si="7"/>
        <v/>
      </c>
      <c r="J131" s="112" t="e">
        <f t="shared" si="8"/>
        <v>#NUM!</v>
      </c>
      <c r="K131" s="111" t="e">
        <f t="shared" si="9"/>
        <v>#NUM!</v>
      </c>
      <c r="L131" s="111"/>
      <c r="M131" s="113">
        <f t="shared" si="10"/>
        <v>0</v>
      </c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s="96" customFormat="1">
      <c r="A132" s="132"/>
      <c r="B132" s="131"/>
      <c r="C132" s="131"/>
      <c r="D132" s="131"/>
      <c r="E132" s="131"/>
      <c r="F132" s="131"/>
      <c r="H132" s="111">
        <v>127</v>
      </c>
      <c r="I132" s="112" t="str">
        <f t="shared" si="7"/>
        <v/>
      </c>
      <c r="J132" s="112" t="e">
        <f t="shared" si="8"/>
        <v>#NUM!</v>
      </c>
      <c r="K132" s="111" t="e">
        <f t="shared" si="9"/>
        <v>#NUM!</v>
      </c>
      <c r="L132" s="111"/>
      <c r="M132" s="113">
        <f t="shared" si="10"/>
        <v>0</v>
      </c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s="96" customFormat="1">
      <c r="A133" s="132"/>
      <c r="B133" s="131"/>
      <c r="C133" s="131"/>
      <c r="D133" s="131"/>
      <c r="E133" s="131"/>
      <c r="F133" s="131"/>
      <c r="H133" s="111">
        <v>128</v>
      </c>
      <c r="I133" s="112" t="str">
        <f t="shared" si="7"/>
        <v/>
      </c>
      <c r="J133" s="112" t="e">
        <f t="shared" si="8"/>
        <v>#NUM!</v>
      </c>
      <c r="K133" s="111" t="e">
        <f t="shared" si="9"/>
        <v>#NUM!</v>
      </c>
      <c r="L133" s="111"/>
      <c r="M133" s="113">
        <f t="shared" si="10"/>
        <v>0</v>
      </c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s="96" customFormat="1">
      <c r="A134" s="132"/>
      <c r="B134" s="131"/>
      <c r="C134" s="131"/>
      <c r="D134" s="131"/>
      <c r="E134" s="131"/>
      <c r="F134" s="131"/>
      <c r="H134" s="111">
        <v>129</v>
      </c>
      <c r="I134" s="112" t="str">
        <f t="shared" ref="I134:I197" si="11">IF(H134&lt;$H$2+1,($I$2-($I$2-1)*(LOG(H134)/LOG($H$2))),"")</f>
        <v/>
      </c>
      <c r="J134" s="112" t="e">
        <f t="shared" ref="J134:J197" si="12">INT(LOG($H$2,2))-ROUNDUP(LOG(H134,2),0)+IF(OR($H$2=1,$H$2=2,$H$2=4,$H$2=8,$H$2=16,$H$2=32,$H$2=64,$H$2=128,$H$2=256),0,1)</f>
        <v>#NUM!</v>
      </c>
      <c r="K134" s="111" t="e">
        <f t="shared" ref="K134:K197" si="13">J134*$J$2</f>
        <v>#NUM!</v>
      </c>
      <c r="L134" s="111"/>
      <c r="M134" s="113">
        <f t="shared" ref="M134:M197" si="14">IF(I134&lt;&gt;"",K134+I134+L134,0)</f>
        <v>0</v>
      </c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s="96" customFormat="1">
      <c r="A135" s="132"/>
      <c r="B135" s="131"/>
      <c r="C135" s="131"/>
      <c r="D135" s="131"/>
      <c r="E135" s="131"/>
      <c r="F135" s="131"/>
      <c r="H135" s="111">
        <v>130</v>
      </c>
      <c r="I135" s="112" t="str">
        <f t="shared" si="11"/>
        <v/>
      </c>
      <c r="J135" s="112" t="e">
        <f t="shared" si="12"/>
        <v>#NUM!</v>
      </c>
      <c r="K135" s="111" t="e">
        <f t="shared" si="13"/>
        <v>#NUM!</v>
      </c>
      <c r="L135" s="111"/>
      <c r="M135" s="113">
        <f t="shared" si="14"/>
        <v>0</v>
      </c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s="96" customFormat="1">
      <c r="A136" s="132"/>
      <c r="B136" s="131"/>
      <c r="C136" s="131"/>
      <c r="D136" s="131"/>
      <c r="E136" s="131"/>
      <c r="F136" s="131"/>
      <c r="H136" s="111">
        <v>131</v>
      </c>
      <c r="I136" s="112" t="str">
        <f t="shared" si="11"/>
        <v/>
      </c>
      <c r="J136" s="112" t="e">
        <f t="shared" si="12"/>
        <v>#NUM!</v>
      </c>
      <c r="K136" s="111" t="e">
        <f t="shared" si="13"/>
        <v>#NUM!</v>
      </c>
      <c r="L136" s="111"/>
      <c r="M136" s="113">
        <f t="shared" si="14"/>
        <v>0</v>
      </c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s="96" customFormat="1">
      <c r="A137" s="132"/>
      <c r="B137" s="131"/>
      <c r="C137" s="131"/>
      <c r="D137" s="131"/>
      <c r="E137" s="131"/>
      <c r="F137" s="131"/>
      <c r="H137" s="111">
        <v>132</v>
      </c>
      <c r="I137" s="112" t="str">
        <f t="shared" si="11"/>
        <v/>
      </c>
      <c r="J137" s="112" t="e">
        <f t="shared" si="12"/>
        <v>#NUM!</v>
      </c>
      <c r="K137" s="111" t="e">
        <f t="shared" si="13"/>
        <v>#NUM!</v>
      </c>
      <c r="L137" s="111"/>
      <c r="M137" s="113">
        <f t="shared" si="14"/>
        <v>0</v>
      </c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s="96" customFormat="1">
      <c r="A138" s="132"/>
      <c r="B138" s="131"/>
      <c r="C138" s="131"/>
      <c r="D138" s="131"/>
      <c r="E138" s="131"/>
      <c r="F138" s="131"/>
      <c r="H138" s="111">
        <v>133</v>
      </c>
      <c r="I138" s="112" t="str">
        <f t="shared" si="11"/>
        <v/>
      </c>
      <c r="J138" s="112" t="e">
        <f t="shared" si="12"/>
        <v>#NUM!</v>
      </c>
      <c r="K138" s="111" t="e">
        <f t="shared" si="13"/>
        <v>#NUM!</v>
      </c>
      <c r="L138" s="111"/>
      <c r="M138" s="113">
        <f t="shared" si="14"/>
        <v>0</v>
      </c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s="96" customFormat="1">
      <c r="A139" s="132"/>
      <c r="B139" s="131"/>
      <c r="C139" s="131"/>
      <c r="D139" s="131"/>
      <c r="E139" s="131"/>
      <c r="F139" s="131"/>
      <c r="H139" s="111">
        <v>134</v>
      </c>
      <c r="I139" s="112" t="str">
        <f t="shared" si="11"/>
        <v/>
      </c>
      <c r="J139" s="112" t="e">
        <f t="shared" si="12"/>
        <v>#NUM!</v>
      </c>
      <c r="K139" s="111" t="e">
        <f t="shared" si="13"/>
        <v>#NUM!</v>
      </c>
      <c r="L139" s="111"/>
      <c r="M139" s="113">
        <f t="shared" si="14"/>
        <v>0</v>
      </c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s="96" customFormat="1">
      <c r="A140" s="132"/>
      <c r="B140" s="131"/>
      <c r="C140" s="131"/>
      <c r="D140" s="131"/>
      <c r="E140" s="131"/>
      <c r="F140" s="131"/>
      <c r="H140" s="111">
        <v>135</v>
      </c>
      <c r="I140" s="112" t="str">
        <f t="shared" si="11"/>
        <v/>
      </c>
      <c r="J140" s="112" t="e">
        <f t="shared" si="12"/>
        <v>#NUM!</v>
      </c>
      <c r="K140" s="111" t="e">
        <f t="shared" si="13"/>
        <v>#NUM!</v>
      </c>
      <c r="L140" s="111"/>
      <c r="M140" s="113">
        <f t="shared" si="14"/>
        <v>0</v>
      </c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s="96" customFormat="1">
      <c r="A141" s="132"/>
      <c r="B141" s="131"/>
      <c r="C141" s="131"/>
      <c r="D141" s="131"/>
      <c r="E141" s="131"/>
      <c r="F141" s="131"/>
      <c r="H141" s="111">
        <v>136</v>
      </c>
      <c r="I141" s="112" t="str">
        <f t="shared" si="11"/>
        <v/>
      </c>
      <c r="J141" s="112" t="e">
        <f t="shared" si="12"/>
        <v>#NUM!</v>
      </c>
      <c r="K141" s="111" t="e">
        <f t="shared" si="13"/>
        <v>#NUM!</v>
      </c>
      <c r="L141" s="111"/>
      <c r="M141" s="113">
        <f t="shared" si="14"/>
        <v>0</v>
      </c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s="96" customFormat="1">
      <c r="A142" s="132"/>
      <c r="B142" s="131"/>
      <c r="C142" s="131"/>
      <c r="D142" s="131"/>
      <c r="E142" s="131"/>
      <c r="F142" s="131"/>
      <c r="H142" s="111">
        <v>137</v>
      </c>
      <c r="I142" s="112" t="str">
        <f t="shared" si="11"/>
        <v/>
      </c>
      <c r="J142" s="112" t="e">
        <f t="shared" si="12"/>
        <v>#NUM!</v>
      </c>
      <c r="K142" s="111" t="e">
        <f t="shared" si="13"/>
        <v>#NUM!</v>
      </c>
      <c r="L142" s="111"/>
      <c r="M142" s="113">
        <f t="shared" si="14"/>
        <v>0</v>
      </c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s="96" customFormat="1">
      <c r="A143" s="132"/>
      <c r="B143" s="131"/>
      <c r="C143" s="131"/>
      <c r="D143" s="131"/>
      <c r="E143" s="131"/>
      <c r="F143" s="131"/>
      <c r="H143" s="111">
        <v>138</v>
      </c>
      <c r="I143" s="112" t="str">
        <f t="shared" si="11"/>
        <v/>
      </c>
      <c r="J143" s="112" t="e">
        <f t="shared" si="12"/>
        <v>#NUM!</v>
      </c>
      <c r="K143" s="111" t="e">
        <f t="shared" si="13"/>
        <v>#NUM!</v>
      </c>
      <c r="L143" s="111"/>
      <c r="M143" s="113">
        <f t="shared" si="14"/>
        <v>0</v>
      </c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s="96" customFormat="1">
      <c r="A144" s="132"/>
      <c r="B144" s="131"/>
      <c r="C144" s="131"/>
      <c r="D144" s="131"/>
      <c r="E144" s="131"/>
      <c r="F144" s="131"/>
      <c r="H144" s="111">
        <v>139</v>
      </c>
      <c r="I144" s="112" t="str">
        <f t="shared" si="11"/>
        <v/>
      </c>
      <c r="J144" s="112" t="e">
        <f t="shared" si="12"/>
        <v>#NUM!</v>
      </c>
      <c r="K144" s="111" t="e">
        <f t="shared" si="13"/>
        <v>#NUM!</v>
      </c>
      <c r="L144" s="111"/>
      <c r="M144" s="113">
        <f t="shared" si="14"/>
        <v>0</v>
      </c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s="96" customFormat="1">
      <c r="A145" s="132"/>
      <c r="B145" s="131"/>
      <c r="C145" s="131"/>
      <c r="D145" s="131"/>
      <c r="E145" s="131"/>
      <c r="F145" s="131"/>
      <c r="H145" s="111">
        <v>140</v>
      </c>
      <c r="I145" s="112" t="str">
        <f t="shared" si="11"/>
        <v/>
      </c>
      <c r="J145" s="112" t="e">
        <f t="shared" si="12"/>
        <v>#NUM!</v>
      </c>
      <c r="K145" s="111" t="e">
        <f t="shared" si="13"/>
        <v>#NUM!</v>
      </c>
      <c r="L145" s="111"/>
      <c r="M145" s="113">
        <f t="shared" si="14"/>
        <v>0</v>
      </c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s="96" customFormat="1">
      <c r="A146" s="132"/>
      <c r="B146" s="131"/>
      <c r="C146" s="131"/>
      <c r="D146" s="131"/>
      <c r="E146" s="131"/>
      <c r="F146" s="131"/>
      <c r="H146" s="111">
        <v>141</v>
      </c>
      <c r="I146" s="112" t="str">
        <f t="shared" si="11"/>
        <v/>
      </c>
      <c r="J146" s="112" t="e">
        <f t="shared" si="12"/>
        <v>#NUM!</v>
      </c>
      <c r="K146" s="111" t="e">
        <f t="shared" si="13"/>
        <v>#NUM!</v>
      </c>
      <c r="L146" s="111"/>
      <c r="M146" s="113">
        <f t="shared" si="14"/>
        <v>0</v>
      </c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s="96" customFormat="1">
      <c r="A147" s="132"/>
      <c r="B147" s="131"/>
      <c r="C147" s="131"/>
      <c r="D147" s="131"/>
      <c r="E147" s="131"/>
      <c r="F147" s="131"/>
      <c r="H147" s="111">
        <v>142</v>
      </c>
      <c r="I147" s="112" t="str">
        <f t="shared" si="11"/>
        <v/>
      </c>
      <c r="J147" s="112" t="e">
        <f t="shared" si="12"/>
        <v>#NUM!</v>
      </c>
      <c r="K147" s="111" t="e">
        <f t="shared" si="13"/>
        <v>#NUM!</v>
      </c>
      <c r="L147" s="111"/>
      <c r="M147" s="113">
        <f t="shared" si="14"/>
        <v>0</v>
      </c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s="96" customFormat="1">
      <c r="A148" s="132"/>
      <c r="B148" s="131"/>
      <c r="C148" s="131"/>
      <c r="D148" s="131"/>
      <c r="E148" s="131"/>
      <c r="F148" s="131"/>
      <c r="H148" s="111">
        <v>143</v>
      </c>
      <c r="I148" s="112" t="str">
        <f t="shared" si="11"/>
        <v/>
      </c>
      <c r="J148" s="112" t="e">
        <f t="shared" si="12"/>
        <v>#NUM!</v>
      </c>
      <c r="K148" s="111" t="e">
        <f t="shared" si="13"/>
        <v>#NUM!</v>
      </c>
      <c r="L148" s="111"/>
      <c r="M148" s="113">
        <f t="shared" si="14"/>
        <v>0</v>
      </c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s="96" customFormat="1">
      <c r="A149" s="132"/>
      <c r="B149" s="131"/>
      <c r="C149" s="131"/>
      <c r="D149" s="131"/>
      <c r="E149" s="131"/>
      <c r="F149" s="131"/>
      <c r="H149" s="111">
        <v>144</v>
      </c>
      <c r="I149" s="112" t="str">
        <f t="shared" si="11"/>
        <v/>
      </c>
      <c r="J149" s="112" t="e">
        <f t="shared" si="12"/>
        <v>#NUM!</v>
      </c>
      <c r="K149" s="111" t="e">
        <f t="shared" si="13"/>
        <v>#NUM!</v>
      </c>
      <c r="L149" s="111"/>
      <c r="M149" s="113">
        <f t="shared" si="14"/>
        <v>0</v>
      </c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s="96" customFormat="1">
      <c r="A150" s="132"/>
      <c r="B150" s="131"/>
      <c r="C150" s="131"/>
      <c r="D150" s="131"/>
      <c r="E150" s="131"/>
      <c r="F150" s="131"/>
      <c r="H150" s="111">
        <v>145</v>
      </c>
      <c r="I150" s="112" t="str">
        <f t="shared" si="11"/>
        <v/>
      </c>
      <c r="J150" s="112" t="e">
        <f t="shared" si="12"/>
        <v>#NUM!</v>
      </c>
      <c r="K150" s="111" t="e">
        <f t="shared" si="13"/>
        <v>#NUM!</v>
      </c>
      <c r="L150" s="111"/>
      <c r="M150" s="113">
        <f t="shared" si="14"/>
        <v>0</v>
      </c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s="96" customFormat="1">
      <c r="A151" s="132"/>
      <c r="B151" s="131"/>
      <c r="C151" s="131"/>
      <c r="D151" s="131"/>
      <c r="E151" s="131"/>
      <c r="F151" s="131"/>
      <c r="H151" s="111">
        <v>146</v>
      </c>
      <c r="I151" s="112" t="str">
        <f t="shared" si="11"/>
        <v/>
      </c>
      <c r="J151" s="112" t="e">
        <f t="shared" si="12"/>
        <v>#NUM!</v>
      </c>
      <c r="K151" s="111" t="e">
        <f t="shared" si="13"/>
        <v>#NUM!</v>
      </c>
      <c r="L151" s="111"/>
      <c r="M151" s="113">
        <f t="shared" si="14"/>
        <v>0</v>
      </c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s="96" customFormat="1">
      <c r="A152" s="132"/>
      <c r="B152" s="131"/>
      <c r="C152" s="131"/>
      <c r="D152" s="131"/>
      <c r="E152" s="131"/>
      <c r="F152" s="131"/>
      <c r="H152" s="111">
        <v>147</v>
      </c>
      <c r="I152" s="112" t="str">
        <f t="shared" si="11"/>
        <v/>
      </c>
      <c r="J152" s="112" t="e">
        <f t="shared" si="12"/>
        <v>#NUM!</v>
      </c>
      <c r="K152" s="111" t="e">
        <f t="shared" si="13"/>
        <v>#NUM!</v>
      </c>
      <c r="L152" s="111"/>
      <c r="M152" s="113">
        <f t="shared" si="14"/>
        <v>0</v>
      </c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s="96" customFormat="1">
      <c r="A153" s="132"/>
      <c r="B153" s="131"/>
      <c r="C153" s="131"/>
      <c r="D153" s="131"/>
      <c r="E153" s="131"/>
      <c r="F153" s="131"/>
      <c r="H153" s="111">
        <v>148</v>
      </c>
      <c r="I153" s="112" t="str">
        <f t="shared" si="11"/>
        <v/>
      </c>
      <c r="J153" s="112" t="e">
        <f t="shared" si="12"/>
        <v>#NUM!</v>
      </c>
      <c r="K153" s="111" t="e">
        <f t="shared" si="13"/>
        <v>#NUM!</v>
      </c>
      <c r="L153" s="111"/>
      <c r="M153" s="113">
        <f t="shared" si="14"/>
        <v>0</v>
      </c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s="96" customFormat="1">
      <c r="A154" s="132"/>
      <c r="B154" s="131"/>
      <c r="C154" s="131"/>
      <c r="D154" s="131"/>
      <c r="E154" s="131"/>
      <c r="F154" s="131"/>
      <c r="H154" s="111">
        <v>149</v>
      </c>
      <c r="I154" s="112" t="str">
        <f t="shared" si="11"/>
        <v/>
      </c>
      <c r="J154" s="112" t="e">
        <f t="shared" si="12"/>
        <v>#NUM!</v>
      </c>
      <c r="K154" s="111" t="e">
        <f t="shared" si="13"/>
        <v>#NUM!</v>
      </c>
      <c r="L154" s="111"/>
      <c r="M154" s="113">
        <f t="shared" si="14"/>
        <v>0</v>
      </c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s="96" customFormat="1">
      <c r="A155" s="132"/>
      <c r="B155" s="131"/>
      <c r="C155" s="131"/>
      <c r="D155" s="131"/>
      <c r="E155" s="131"/>
      <c r="F155" s="131"/>
      <c r="H155" s="111">
        <v>150</v>
      </c>
      <c r="I155" s="112" t="str">
        <f t="shared" si="11"/>
        <v/>
      </c>
      <c r="J155" s="112" t="e">
        <f t="shared" si="12"/>
        <v>#NUM!</v>
      </c>
      <c r="K155" s="111" t="e">
        <f t="shared" si="13"/>
        <v>#NUM!</v>
      </c>
      <c r="L155" s="111"/>
      <c r="M155" s="113">
        <f t="shared" si="14"/>
        <v>0</v>
      </c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s="96" customFormat="1">
      <c r="A156" s="132"/>
      <c r="B156" s="131"/>
      <c r="C156" s="131"/>
      <c r="D156" s="131"/>
      <c r="E156" s="131"/>
      <c r="F156" s="131"/>
      <c r="H156" s="111">
        <v>151</v>
      </c>
      <c r="I156" s="112" t="str">
        <f t="shared" si="11"/>
        <v/>
      </c>
      <c r="J156" s="112" t="e">
        <f t="shared" si="12"/>
        <v>#NUM!</v>
      </c>
      <c r="K156" s="111" t="e">
        <f t="shared" si="13"/>
        <v>#NUM!</v>
      </c>
      <c r="L156" s="111"/>
      <c r="M156" s="113">
        <f t="shared" si="14"/>
        <v>0</v>
      </c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s="96" customFormat="1">
      <c r="A157" s="132"/>
      <c r="B157" s="131"/>
      <c r="C157" s="131"/>
      <c r="D157" s="131"/>
      <c r="E157" s="131"/>
      <c r="F157" s="131"/>
      <c r="H157" s="111">
        <v>152</v>
      </c>
      <c r="I157" s="112" t="str">
        <f t="shared" si="11"/>
        <v/>
      </c>
      <c r="J157" s="112" t="e">
        <f t="shared" si="12"/>
        <v>#NUM!</v>
      </c>
      <c r="K157" s="111" t="e">
        <f t="shared" si="13"/>
        <v>#NUM!</v>
      </c>
      <c r="L157" s="111"/>
      <c r="M157" s="113">
        <f t="shared" si="14"/>
        <v>0</v>
      </c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s="96" customFormat="1">
      <c r="A158" s="132"/>
      <c r="B158" s="131"/>
      <c r="C158" s="131"/>
      <c r="D158" s="131"/>
      <c r="E158" s="131"/>
      <c r="F158" s="131"/>
      <c r="H158" s="111">
        <v>153</v>
      </c>
      <c r="I158" s="112" t="str">
        <f t="shared" si="11"/>
        <v/>
      </c>
      <c r="J158" s="112" t="e">
        <f t="shared" si="12"/>
        <v>#NUM!</v>
      </c>
      <c r="K158" s="111" t="e">
        <f t="shared" si="13"/>
        <v>#NUM!</v>
      </c>
      <c r="L158" s="111"/>
      <c r="M158" s="113">
        <f t="shared" si="14"/>
        <v>0</v>
      </c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s="96" customFormat="1">
      <c r="A159" s="132"/>
      <c r="B159" s="131"/>
      <c r="C159" s="131"/>
      <c r="D159" s="131"/>
      <c r="E159" s="131"/>
      <c r="F159" s="131"/>
      <c r="H159" s="111">
        <v>154</v>
      </c>
      <c r="I159" s="112" t="str">
        <f t="shared" si="11"/>
        <v/>
      </c>
      <c r="J159" s="112" t="e">
        <f t="shared" si="12"/>
        <v>#NUM!</v>
      </c>
      <c r="K159" s="111" t="e">
        <f t="shared" si="13"/>
        <v>#NUM!</v>
      </c>
      <c r="L159" s="111"/>
      <c r="M159" s="113">
        <f t="shared" si="14"/>
        <v>0</v>
      </c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s="96" customFormat="1">
      <c r="A160" s="132"/>
      <c r="B160" s="131"/>
      <c r="C160" s="131"/>
      <c r="D160" s="131"/>
      <c r="E160" s="131"/>
      <c r="F160" s="131"/>
      <c r="H160" s="111">
        <v>155</v>
      </c>
      <c r="I160" s="112" t="str">
        <f t="shared" si="11"/>
        <v/>
      </c>
      <c r="J160" s="112" t="e">
        <f t="shared" si="12"/>
        <v>#NUM!</v>
      </c>
      <c r="K160" s="111" t="e">
        <f t="shared" si="13"/>
        <v>#NUM!</v>
      </c>
      <c r="L160" s="111"/>
      <c r="M160" s="113">
        <f t="shared" si="14"/>
        <v>0</v>
      </c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s="96" customFormat="1">
      <c r="A161" s="132"/>
      <c r="B161" s="131"/>
      <c r="C161" s="131"/>
      <c r="D161" s="131"/>
      <c r="E161" s="131"/>
      <c r="F161" s="131"/>
      <c r="H161" s="111">
        <v>156</v>
      </c>
      <c r="I161" s="112" t="str">
        <f t="shared" si="11"/>
        <v/>
      </c>
      <c r="J161" s="112" t="e">
        <f t="shared" si="12"/>
        <v>#NUM!</v>
      </c>
      <c r="K161" s="111" t="e">
        <f t="shared" si="13"/>
        <v>#NUM!</v>
      </c>
      <c r="L161" s="111"/>
      <c r="M161" s="113">
        <f t="shared" si="14"/>
        <v>0</v>
      </c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s="96" customFormat="1">
      <c r="A162" s="132"/>
      <c r="B162" s="131"/>
      <c r="C162" s="131"/>
      <c r="D162" s="131"/>
      <c r="E162" s="131"/>
      <c r="F162" s="131"/>
      <c r="H162" s="111">
        <v>157</v>
      </c>
      <c r="I162" s="112" t="str">
        <f t="shared" si="11"/>
        <v/>
      </c>
      <c r="J162" s="112" t="e">
        <f t="shared" si="12"/>
        <v>#NUM!</v>
      </c>
      <c r="K162" s="111" t="e">
        <f t="shared" si="13"/>
        <v>#NUM!</v>
      </c>
      <c r="L162" s="111"/>
      <c r="M162" s="113">
        <f t="shared" si="14"/>
        <v>0</v>
      </c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s="96" customFormat="1">
      <c r="A163" s="132"/>
      <c r="B163" s="131"/>
      <c r="C163" s="131"/>
      <c r="D163" s="131"/>
      <c r="E163" s="131"/>
      <c r="F163" s="131"/>
      <c r="H163" s="111">
        <v>158</v>
      </c>
      <c r="I163" s="112" t="str">
        <f t="shared" si="11"/>
        <v/>
      </c>
      <c r="J163" s="112" t="e">
        <f t="shared" si="12"/>
        <v>#NUM!</v>
      </c>
      <c r="K163" s="111" t="e">
        <f t="shared" si="13"/>
        <v>#NUM!</v>
      </c>
      <c r="L163" s="111"/>
      <c r="M163" s="113">
        <f t="shared" si="14"/>
        <v>0</v>
      </c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s="96" customFormat="1">
      <c r="A164" s="132"/>
      <c r="B164" s="131"/>
      <c r="C164" s="131"/>
      <c r="D164" s="131"/>
      <c r="E164" s="131"/>
      <c r="F164" s="131"/>
      <c r="H164" s="111">
        <v>159</v>
      </c>
      <c r="I164" s="112" t="str">
        <f t="shared" si="11"/>
        <v/>
      </c>
      <c r="J164" s="112" t="e">
        <f t="shared" si="12"/>
        <v>#NUM!</v>
      </c>
      <c r="K164" s="111" t="e">
        <f t="shared" si="13"/>
        <v>#NUM!</v>
      </c>
      <c r="L164" s="111"/>
      <c r="M164" s="113">
        <f t="shared" si="14"/>
        <v>0</v>
      </c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s="96" customFormat="1">
      <c r="A165" s="132"/>
      <c r="B165" s="131"/>
      <c r="C165" s="131"/>
      <c r="D165" s="131"/>
      <c r="E165" s="131"/>
      <c r="F165" s="131"/>
      <c r="H165" s="111">
        <v>160</v>
      </c>
      <c r="I165" s="112" t="str">
        <f t="shared" si="11"/>
        <v/>
      </c>
      <c r="J165" s="112" t="e">
        <f t="shared" si="12"/>
        <v>#NUM!</v>
      </c>
      <c r="K165" s="111" t="e">
        <f t="shared" si="13"/>
        <v>#NUM!</v>
      </c>
      <c r="L165" s="111"/>
      <c r="M165" s="113">
        <f t="shared" si="14"/>
        <v>0</v>
      </c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s="96" customFormat="1">
      <c r="A166" s="132"/>
      <c r="B166" s="131"/>
      <c r="C166" s="131"/>
      <c r="D166" s="131"/>
      <c r="E166" s="131"/>
      <c r="F166" s="131"/>
      <c r="H166" s="111">
        <v>161</v>
      </c>
      <c r="I166" s="112" t="str">
        <f t="shared" si="11"/>
        <v/>
      </c>
      <c r="J166" s="112" t="e">
        <f t="shared" si="12"/>
        <v>#NUM!</v>
      </c>
      <c r="K166" s="111" t="e">
        <f t="shared" si="13"/>
        <v>#NUM!</v>
      </c>
      <c r="L166" s="111"/>
      <c r="M166" s="113">
        <f t="shared" si="14"/>
        <v>0</v>
      </c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s="96" customFormat="1">
      <c r="A167" s="132"/>
      <c r="B167" s="131"/>
      <c r="C167" s="131"/>
      <c r="D167" s="131"/>
      <c r="E167" s="131"/>
      <c r="F167" s="131"/>
      <c r="H167" s="111">
        <v>162</v>
      </c>
      <c r="I167" s="112" t="str">
        <f t="shared" si="11"/>
        <v/>
      </c>
      <c r="J167" s="112" t="e">
        <f t="shared" si="12"/>
        <v>#NUM!</v>
      </c>
      <c r="K167" s="111" t="e">
        <f t="shared" si="13"/>
        <v>#NUM!</v>
      </c>
      <c r="L167" s="111"/>
      <c r="M167" s="113">
        <f t="shared" si="14"/>
        <v>0</v>
      </c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s="96" customFormat="1">
      <c r="A168" s="132"/>
      <c r="B168" s="131"/>
      <c r="C168" s="131"/>
      <c r="D168" s="131"/>
      <c r="E168" s="131"/>
      <c r="F168" s="131"/>
      <c r="H168" s="111">
        <v>163</v>
      </c>
      <c r="I168" s="112" t="str">
        <f t="shared" si="11"/>
        <v/>
      </c>
      <c r="J168" s="112" t="e">
        <f t="shared" si="12"/>
        <v>#NUM!</v>
      </c>
      <c r="K168" s="111" t="e">
        <f t="shared" si="13"/>
        <v>#NUM!</v>
      </c>
      <c r="L168" s="111"/>
      <c r="M168" s="113">
        <f t="shared" si="14"/>
        <v>0</v>
      </c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s="96" customFormat="1">
      <c r="A169" s="132"/>
      <c r="B169" s="131"/>
      <c r="C169" s="131" t="s">
        <v>50</v>
      </c>
      <c r="D169" s="131"/>
      <c r="E169" s="131"/>
      <c r="F169" s="131"/>
      <c r="H169" s="111">
        <v>164</v>
      </c>
      <c r="I169" s="112" t="str">
        <f t="shared" si="11"/>
        <v/>
      </c>
      <c r="J169" s="112" t="e">
        <f t="shared" si="12"/>
        <v>#NUM!</v>
      </c>
      <c r="K169" s="111" t="e">
        <f t="shared" si="13"/>
        <v>#NUM!</v>
      </c>
      <c r="L169" s="111"/>
      <c r="M169" s="113">
        <f t="shared" si="14"/>
        <v>0</v>
      </c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s="96" customFormat="1">
      <c r="A170" s="132"/>
      <c r="B170" s="131"/>
      <c r="C170" s="131"/>
      <c r="D170" s="131"/>
      <c r="E170" s="131"/>
      <c r="F170" s="131"/>
      <c r="H170" s="111">
        <v>165</v>
      </c>
      <c r="I170" s="112" t="str">
        <f t="shared" si="11"/>
        <v/>
      </c>
      <c r="J170" s="112" t="e">
        <f t="shared" si="12"/>
        <v>#NUM!</v>
      </c>
      <c r="K170" s="111" t="e">
        <f t="shared" si="13"/>
        <v>#NUM!</v>
      </c>
      <c r="L170" s="111"/>
      <c r="M170" s="113">
        <f t="shared" si="14"/>
        <v>0</v>
      </c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s="96" customFormat="1">
      <c r="A171" s="132"/>
      <c r="B171" s="131"/>
      <c r="C171" s="131"/>
      <c r="D171" s="131"/>
      <c r="E171" s="131"/>
      <c r="F171" s="131"/>
      <c r="H171" s="111">
        <v>166</v>
      </c>
      <c r="I171" s="112" t="str">
        <f t="shared" si="11"/>
        <v/>
      </c>
      <c r="J171" s="112" t="e">
        <f t="shared" si="12"/>
        <v>#NUM!</v>
      </c>
      <c r="K171" s="111" t="e">
        <f t="shared" si="13"/>
        <v>#NUM!</v>
      </c>
      <c r="L171" s="111"/>
      <c r="M171" s="113">
        <f t="shared" si="14"/>
        <v>0</v>
      </c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s="96" customFormat="1">
      <c r="A172" s="132"/>
      <c r="B172" s="131"/>
      <c r="C172" s="131"/>
      <c r="D172" s="131"/>
      <c r="E172" s="131"/>
      <c r="F172" s="131"/>
      <c r="H172" s="111">
        <v>167</v>
      </c>
      <c r="I172" s="112" t="str">
        <f t="shared" si="11"/>
        <v/>
      </c>
      <c r="J172" s="112" t="e">
        <f t="shared" si="12"/>
        <v>#NUM!</v>
      </c>
      <c r="K172" s="111" t="e">
        <f t="shared" si="13"/>
        <v>#NUM!</v>
      </c>
      <c r="L172" s="111"/>
      <c r="M172" s="113">
        <f t="shared" si="14"/>
        <v>0</v>
      </c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s="96" customFormat="1">
      <c r="A173" s="132"/>
      <c r="B173" s="131"/>
      <c r="C173" s="131"/>
      <c r="D173" s="131"/>
      <c r="E173" s="131"/>
      <c r="F173" s="131"/>
      <c r="H173" s="111">
        <v>168</v>
      </c>
      <c r="I173" s="112" t="str">
        <f t="shared" si="11"/>
        <v/>
      </c>
      <c r="J173" s="112" t="e">
        <f t="shared" si="12"/>
        <v>#NUM!</v>
      </c>
      <c r="K173" s="111" t="e">
        <f t="shared" si="13"/>
        <v>#NUM!</v>
      </c>
      <c r="L173" s="111"/>
      <c r="M173" s="113">
        <f t="shared" si="14"/>
        <v>0</v>
      </c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s="96" customFormat="1">
      <c r="A174" s="132"/>
      <c r="B174" s="131"/>
      <c r="C174" s="131"/>
      <c r="D174" s="131"/>
      <c r="E174" s="131"/>
      <c r="F174" s="131"/>
      <c r="H174" s="111">
        <v>169</v>
      </c>
      <c r="I174" s="112" t="str">
        <f t="shared" si="11"/>
        <v/>
      </c>
      <c r="J174" s="112" t="e">
        <f t="shared" si="12"/>
        <v>#NUM!</v>
      </c>
      <c r="K174" s="111" t="e">
        <f t="shared" si="13"/>
        <v>#NUM!</v>
      </c>
      <c r="L174" s="111"/>
      <c r="M174" s="113">
        <f t="shared" si="14"/>
        <v>0</v>
      </c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s="96" customFormat="1">
      <c r="A175" s="132"/>
      <c r="B175" s="131"/>
      <c r="C175" s="131"/>
      <c r="D175" s="131"/>
      <c r="E175" s="131"/>
      <c r="F175" s="131"/>
      <c r="H175" s="111">
        <v>170</v>
      </c>
      <c r="I175" s="112" t="str">
        <f t="shared" si="11"/>
        <v/>
      </c>
      <c r="J175" s="112" t="e">
        <f t="shared" si="12"/>
        <v>#NUM!</v>
      </c>
      <c r="K175" s="111" t="e">
        <f t="shared" si="13"/>
        <v>#NUM!</v>
      </c>
      <c r="L175" s="111"/>
      <c r="M175" s="113">
        <f t="shared" si="14"/>
        <v>0</v>
      </c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s="96" customFormat="1">
      <c r="A176" s="132"/>
      <c r="B176" s="131"/>
      <c r="C176" s="131"/>
      <c r="D176" s="131"/>
      <c r="E176" s="131"/>
      <c r="F176" s="131"/>
      <c r="H176" s="111">
        <v>171</v>
      </c>
      <c r="I176" s="112" t="str">
        <f t="shared" si="11"/>
        <v/>
      </c>
      <c r="J176" s="112" t="e">
        <f t="shared" si="12"/>
        <v>#NUM!</v>
      </c>
      <c r="K176" s="111" t="e">
        <f t="shared" si="13"/>
        <v>#NUM!</v>
      </c>
      <c r="L176" s="111"/>
      <c r="M176" s="113">
        <f t="shared" si="14"/>
        <v>0</v>
      </c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s="96" customFormat="1">
      <c r="A177" s="132"/>
      <c r="B177" s="131"/>
      <c r="C177" s="131"/>
      <c r="D177" s="131"/>
      <c r="E177" s="131"/>
      <c r="F177" s="131"/>
      <c r="H177" s="111">
        <v>172</v>
      </c>
      <c r="I177" s="112" t="str">
        <f t="shared" si="11"/>
        <v/>
      </c>
      <c r="J177" s="112" t="e">
        <f t="shared" si="12"/>
        <v>#NUM!</v>
      </c>
      <c r="K177" s="111" t="e">
        <f t="shared" si="13"/>
        <v>#NUM!</v>
      </c>
      <c r="L177" s="111"/>
      <c r="M177" s="113">
        <f t="shared" si="14"/>
        <v>0</v>
      </c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s="96" customFormat="1">
      <c r="A178" s="132"/>
      <c r="B178" s="131"/>
      <c r="C178" s="131"/>
      <c r="D178" s="131"/>
      <c r="E178" s="131"/>
      <c r="F178" s="131"/>
      <c r="H178" s="111">
        <v>173</v>
      </c>
      <c r="I178" s="112" t="str">
        <f t="shared" si="11"/>
        <v/>
      </c>
      <c r="J178" s="112" t="e">
        <f t="shared" si="12"/>
        <v>#NUM!</v>
      </c>
      <c r="K178" s="111" t="e">
        <f t="shared" si="13"/>
        <v>#NUM!</v>
      </c>
      <c r="L178" s="111"/>
      <c r="M178" s="113">
        <f t="shared" si="14"/>
        <v>0</v>
      </c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s="96" customFormat="1">
      <c r="A179" s="132"/>
      <c r="B179" s="131"/>
      <c r="C179" s="131"/>
      <c r="D179" s="131"/>
      <c r="E179" s="131"/>
      <c r="F179" s="131"/>
      <c r="H179" s="111">
        <v>174</v>
      </c>
      <c r="I179" s="112" t="str">
        <f t="shared" si="11"/>
        <v/>
      </c>
      <c r="J179" s="112" t="e">
        <f t="shared" si="12"/>
        <v>#NUM!</v>
      </c>
      <c r="K179" s="111" t="e">
        <f t="shared" si="13"/>
        <v>#NUM!</v>
      </c>
      <c r="L179" s="111"/>
      <c r="M179" s="113">
        <f t="shared" si="14"/>
        <v>0</v>
      </c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s="96" customFormat="1">
      <c r="A180" s="132"/>
      <c r="B180" s="131"/>
      <c r="C180" s="131"/>
      <c r="D180" s="131"/>
      <c r="E180" s="131"/>
      <c r="F180" s="131"/>
      <c r="H180" s="111">
        <v>175</v>
      </c>
      <c r="I180" s="112" t="str">
        <f t="shared" si="11"/>
        <v/>
      </c>
      <c r="J180" s="112" t="e">
        <f t="shared" si="12"/>
        <v>#NUM!</v>
      </c>
      <c r="K180" s="111" t="e">
        <f t="shared" si="13"/>
        <v>#NUM!</v>
      </c>
      <c r="L180" s="111"/>
      <c r="M180" s="113">
        <f t="shared" si="14"/>
        <v>0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s="96" customFormat="1">
      <c r="A181" s="132"/>
      <c r="B181" s="131"/>
      <c r="C181" s="131"/>
      <c r="D181" s="131"/>
      <c r="E181" s="131"/>
      <c r="F181" s="131"/>
      <c r="H181" s="111">
        <v>176</v>
      </c>
      <c r="I181" s="112" t="str">
        <f t="shared" si="11"/>
        <v/>
      </c>
      <c r="J181" s="112" t="e">
        <f t="shared" si="12"/>
        <v>#NUM!</v>
      </c>
      <c r="K181" s="111" t="e">
        <f t="shared" si="13"/>
        <v>#NUM!</v>
      </c>
      <c r="L181" s="111"/>
      <c r="M181" s="113">
        <f t="shared" si="14"/>
        <v>0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s="96" customFormat="1">
      <c r="A182" s="132"/>
      <c r="B182" s="131"/>
      <c r="C182" s="131"/>
      <c r="D182" s="131"/>
      <c r="E182" s="131"/>
      <c r="F182" s="131"/>
      <c r="H182" s="111">
        <v>177</v>
      </c>
      <c r="I182" s="112" t="str">
        <f t="shared" si="11"/>
        <v/>
      </c>
      <c r="J182" s="112" t="e">
        <f t="shared" si="12"/>
        <v>#NUM!</v>
      </c>
      <c r="K182" s="111" t="e">
        <f t="shared" si="13"/>
        <v>#NUM!</v>
      </c>
      <c r="L182" s="111"/>
      <c r="M182" s="113">
        <f t="shared" si="14"/>
        <v>0</v>
      </c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s="96" customFormat="1">
      <c r="A183" s="132"/>
      <c r="B183" s="131"/>
      <c r="C183" s="131"/>
      <c r="D183" s="131"/>
      <c r="E183" s="131"/>
      <c r="F183" s="131"/>
      <c r="H183" s="111">
        <v>178</v>
      </c>
      <c r="I183" s="112" t="str">
        <f t="shared" si="11"/>
        <v/>
      </c>
      <c r="J183" s="112" t="e">
        <f t="shared" si="12"/>
        <v>#NUM!</v>
      </c>
      <c r="K183" s="111" t="e">
        <f t="shared" si="13"/>
        <v>#NUM!</v>
      </c>
      <c r="L183" s="111"/>
      <c r="M183" s="113">
        <f t="shared" si="14"/>
        <v>0</v>
      </c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s="96" customFormat="1">
      <c r="A184" s="132"/>
      <c r="B184" s="131"/>
      <c r="C184" s="131"/>
      <c r="D184" s="131"/>
      <c r="E184" s="131"/>
      <c r="F184" s="131"/>
      <c r="H184" s="111">
        <v>179</v>
      </c>
      <c r="I184" s="112" t="str">
        <f t="shared" si="11"/>
        <v/>
      </c>
      <c r="J184" s="112" t="e">
        <f t="shared" si="12"/>
        <v>#NUM!</v>
      </c>
      <c r="K184" s="111" t="e">
        <f t="shared" si="13"/>
        <v>#NUM!</v>
      </c>
      <c r="L184" s="111"/>
      <c r="M184" s="113">
        <f t="shared" si="14"/>
        <v>0</v>
      </c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s="96" customFormat="1">
      <c r="A185" s="132"/>
      <c r="B185" s="131"/>
      <c r="C185" s="131"/>
      <c r="D185" s="131"/>
      <c r="E185" s="131"/>
      <c r="F185" s="131"/>
      <c r="H185" s="111">
        <v>180</v>
      </c>
      <c r="I185" s="112" t="str">
        <f t="shared" si="11"/>
        <v/>
      </c>
      <c r="J185" s="112" t="e">
        <f t="shared" si="12"/>
        <v>#NUM!</v>
      </c>
      <c r="K185" s="111" t="e">
        <f t="shared" si="13"/>
        <v>#NUM!</v>
      </c>
      <c r="L185" s="111"/>
      <c r="M185" s="113">
        <f t="shared" si="14"/>
        <v>0</v>
      </c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s="96" customFormat="1">
      <c r="A186" s="132"/>
      <c r="B186" s="131"/>
      <c r="C186" s="131"/>
      <c r="D186" s="131"/>
      <c r="E186" s="131"/>
      <c r="F186" s="131"/>
      <c r="H186" s="111">
        <v>181</v>
      </c>
      <c r="I186" s="112" t="str">
        <f t="shared" si="11"/>
        <v/>
      </c>
      <c r="J186" s="112" t="e">
        <f t="shared" si="12"/>
        <v>#NUM!</v>
      </c>
      <c r="K186" s="111" t="e">
        <f t="shared" si="13"/>
        <v>#NUM!</v>
      </c>
      <c r="L186" s="111"/>
      <c r="M186" s="113">
        <f t="shared" si="14"/>
        <v>0</v>
      </c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s="96" customFormat="1">
      <c r="A187" s="132"/>
      <c r="B187" s="131"/>
      <c r="C187" s="131"/>
      <c r="D187" s="131"/>
      <c r="E187" s="131"/>
      <c r="F187" s="131"/>
      <c r="H187" s="111">
        <v>182</v>
      </c>
      <c r="I187" s="112" t="str">
        <f t="shared" si="11"/>
        <v/>
      </c>
      <c r="J187" s="112" t="e">
        <f t="shared" si="12"/>
        <v>#NUM!</v>
      </c>
      <c r="K187" s="111" t="e">
        <f t="shared" si="13"/>
        <v>#NUM!</v>
      </c>
      <c r="L187" s="111"/>
      <c r="M187" s="113">
        <f t="shared" si="14"/>
        <v>0</v>
      </c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s="96" customFormat="1">
      <c r="A188" s="132"/>
      <c r="B188" s="131"/>
      <c r="C188" s="131"/>
      <c r="D188" s="131"/>
      <c r="E188" s="131"/>
      <c r="F188" s="131"/>
      <c r="H188" s="111">
        <v>183</v>
      </c>
      <c r="I188" s="112" t="str">
        <f t="shared" si="11"/>
        <v/>
      </c>
      <c r="J188" s="112" t="e">
        <f t="shared" si="12"/>
        <v>#NUM!</v>
      </c>
      <c r="K188" s="111" t="e">
        <f t="shared" si="13"/>
        <v>#NUM!</v>
      </c>
      <c r="L188" s="111"/>
      <c r="M188" s="113">
        <f t="shared" si="14"/>
        <v>0</v>
      </c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s="96" customFormat="1">
      <c r="A189" s="132"/>
      <c r="B189" s="131"/>
      <c r="C189" s="131"/>
      <c r="D189" s="131"/>
      <c r="E189" s="131"/>
      <c r="F189" s="131"/>
      <c r="H189" s="111">
        <v>184</v>
      </c>
      <c r="I189" s="112" t="str">
        <f t="shared" si="11"/>
        <v/>
      </c>
      <c r="J189" s="112" t="e">
        <f t="shared" si="12"/>
        <v>#NUM!</v>
      </c>
      <c r="K189" s="111" t="e">
        <f t="shared" si="13"/>
        <v>#NUM!</v>
      </c>
      <c r="L189" s="111"/>
      <c r="M189" s="113">
        <f t="shared" si="14"/>
        <v>0</v>
      </c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s="96" customFormat="1">
      <c r="A190" s="132"/>
      <c r="B190" s="131"/>
      <c r="C190" s="131"/>
      <c r="D190" s="131"/>
      <c r="E190" s="131"/>
      <c r="F190" s="131"/>
      <c r="H190" s="111">
        <v>185</v>
      </c>
      <c r="I190" s="112" t="str">
        <f t="shared" si="11"/>
        <v/>
      </c>
      <c r="J190" s="112" t="e">
        <f t="shared" si="12"/>
        <v>#NUM!</v>
      </c>
      <c r="K190" s="111" t="e">
        <f t="shared" si="13"/>
        <v>#NUM!</v>
      </c>
      <c r="L190" s="111"/>
      <c r="M190" s="113">
        <f t="shared" si="14"/>
        <v>0</v>
      </c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s="96" customFormat="1">
      <c r="A191" s="132"/>
      <c r="B191" s="131"/>
      <c r="C191" s="131"/>
      <c r="D191" s="131"/>
      <c r="E191" s="131"/>
      <c r="F191" s="131"/>
      <c r="H191" s="111">
        <v>186</v>
      </c>
      <c r="I191" s="112" t="str">
        <f t="shared" si="11"/>
        <v/>
      </c>
      <c r="J191" s="112" t="e">
        <f t="shared" si="12"/>
        <v>#NUM!</v>
      </c>
      <c r="K191" s="111" t="e">
        <f t="shared" si="13"/>
        <v>#NUM!</v>
      </c>
      <c r="L191" s="111"/>
      <c r="M191" s="113">
        <f t="shared" si="14"/>
        <v>0</v>
      </c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s="96" customFormat="1">
      <c r="A192" s="132"/>
      <c r="B192" s="131"/>
      <c r="C192" s="131"/>
      <c r="D192" s="131"/>
      <c r="E192" s="131"/>
      <c r="F192" s="131"/>
      <c r="H192" s="111">
        <v>187</v>
      </c>
      <c r="I192" s="112" t="str">
        <f t="shared" si="11"/>
        <v/>
      </c>
      <c r="J192" s="112" t="e">
        <f t="shared" si="12"/>
        <v>#NUM!</v>
      </c>
      <c r="K192" s="111" t="e">
        <f t="shared" si="13"/>
        <v>#NUM!</v>
      </c>
      <c r="L192" s="111"/>
      <c r="M192" s="113">
        <f t="shared" si="14"/>
        <v>0</v>
      </c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s="96" customFormat="1">
      <c r="A193" s="132"/>
      <c r="B193" s="131"/>
      <c r="C193" s="131"/>
      <c r="D193" s="131"/>
      <c r="E193" s="131"/>
      <c r="F193" s="131"/>
      <c r="H193" s="111">
        <v>188</v>
      </c>
      <c r="I193" s="112" t="str">
        <f t="shared" si="11"/>
        <v/>
      </c>
      <c r="J193" s="112" t="e">
        <f t="shared" si="12"/>
        <v>#NUM!</v>
      </c>
      <c r="K193" s="111" t="e">
        <f t="shared" si="13"/>
        <v>#NUM!</v>
      </c>
      <c r="L193" s="111"/>
      <c r="M193" s="113">
        <f t="shared" si="14"/>
        <v>0</v>
      </c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s="96" customFormat="1">
      <c r="A194" s="132"/>
      <c r="B194" s="131"/>
      <c r="C194" s="131"/>
      <c r="D194" s="131"/>
      <c r="E194" s="131"/>
      <c r="F194" s="131"/>
      <c r="H194" s="111">
        <v>189</v>
      </c>
      <c r="I194" s="112" t="str">
        <f t="shared" si="11"/>
        <v/>
      </c>
      <c r="J194" s="112" t="e">
        <f t="shared" si="12"/>
        <v>#NUM!</v>
      </c>
      <c r="K194" s="111" t="e">
        <f t="shared" si="13"/>
        <v>#NUM!</v>
      </c>
      <c r="L194" s="111"/>
      <c r="M194" s="113">
        <f t="shared" si="14"/>
        <v>0</v>
      </c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s="96" customFormat="1">
      <c r="A195" s="132"/>
      <c r="B195" s="131"/>
      <c r="C195" s="131"/>
      <c r="D195" s="131"/>
      <c r="E195" s="131"/>
      <c r="F195" s="131"/>
      <c r="H195" s="111">
        <v>190</v>
      </c>
      <c r="I195" s="112" t="str">
        <f t="shared" si="11"/>
        <v/>
      </c>
      <c r="J195" s="112" t="e">
        <f t="shared" si="12"/>
        <v>#NUM!</v>
      </c>
      <c r="K195" s="111" t="e">
        <f t="shared" si="13"/>
        <v>#NUM!</v>
      </c>
      <c r="L195" s="111"/>
      <c r="M195" s="113">
        <f t="shared" si="14"/>
        <v>0</v>
      </c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s="96" customFormat="1">
      <c r="A196" s="132"/>
      <c r="B196" s="131"/>
      <c r="C196" s="131"/>
      <c r="D196" s="131"/>
      <c r="E196" s="131"/>
      <c r="F196" s="131"/>
      <c r="H196" s="111">
        <v>191</v>
      </c>
      <c r="I196" s="112" t="str">
        <f t="shared" si="11"/>
        <v/>
      </c>
      <c r="J196" s="112" t="e">
        <f t="shared" si="12"/>
        <v>#NUM!</v>
      </c>
      <c r="K196" s="111" t="e">
        <f t="shared" si="13"/>
        <v>#NUM!</v>
      </c>
      <c r="L196" s="111"/>
      <c r="M196" s="113">
        <f t="shared" si="14"/>
        <v>0</v>
      </c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s="96" customFormat="1">
      <c r="A197" s="132"/>
      <c r="B197" s="131"/>
      <c r="C197" s="131"/>
      <c r="D197" s="131"/>
      <c r="E197" s="131"/>
      <c r="F197" s="131"/>
      <c r="H197" s="111">
        <v>192</v>
      </c>
      <c r="I197" s="112" t="str">
        <f t="shared" si="11"/>
        <v/>
      </c>
      <c r="J197" s="112" t="e">
        <f t="shared" si="12"/>
        <v>#NUM!</v>
      </c>
      <c r="K197" s="111" t="e">
        <f t="shared" si="13"/>
        <v>#NUM!</v>
      </c>
      <c r="L197" s="111"/>
      <c r="M197" s="113">
        <f t="shared" si="14"/>
        <v>0</v>
      </c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s="96" customFormat="1">
      <c r="A198" s="132"/>
      <c r="B198" s="131"/>
      <c r="C198" s="131"/>
      <c r="D198" s="131"/>
      <c r="E198" s="131"/>
      <c r="F198" s="131"/>
      <c r="H198" s="111">
        <v>193</v>
      </c>
      <c r="I198" s="112" t="str">
        <f t="shared" ref="I198:I261" si="15">IF(H198&lt;$H$2+1,($I$2-($I$2-1)*(LOG(H198)/LOG($H$2))),"")</f>
        <v/>
      </c>
      <c r="J198" s="112" t="e">
        <f t="shared" ref="J198:J261" si="16">INT(LOG($H$2,2))-ROUNDUP(LOG(H198,2),0)+IF(OR($H$2=1,$H$2=2,$H$2=4,$H$2=8,$H$2=16,$H$2=32,$H$2=64,$H$2=128,$H$2=256),0,1)</f>
        <v>#NUM!</v>
      </c>
      <c r="K198" s="111" t="e">
        <f t="shared" ref="K198:K261" si="17">J198*$J$2</f>
        <v>#NUM!</v>
      </c>
      <c r="L198" s="111"/>
      <c r="M198" s="113">
        <f t="shared" ref="M198:M261" si="18">IF(I198&lt;&gt;"",K198+I198+L198,0)</f>
        <v>0</v>
      </c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s="96" customFormat="1">
      <c r="A199" s="132"/>
      <c r="B199" s="131"/>
      <c r="C199" s="131"/>
      <c r="D199" s="131"/>
      <c r="E199" s="131"/>
      <c r="F199" s="131"/>
      <c r="H199" s="111">
        <v>194</v>
      </c>
      <c r="I199" s="112" t="str">
        <f t="shared" si="15"/>
        <v/>
      </c>
      <c r="J199" s="112" t="e">
        <f t="shared" si="16"/>
        <v>#NUM!</v>
      </c>
      <c r="K199" s="111" t="e">
        <f t="shared" si="17"/>
        <v>#NUM!</v>
      </c>
      <c r="L199" s="111"/>
      <c r="M199" s="113">
        <f t="shared" si="18"/>
        <v>0</v>
      </c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s="96" customFormat="1">
      <c r="A200" s="132"/>
      <c r="B200" s="131"/>
      <c r="C200" s="131"/>
      <c r="D200" s="131"/>
      <c r="E200" s="131"/>
      <c r="F200" s="131"/>
      <c r="H200" s="111">
        <v>195</v>
      </c>
      <c r="I200" s="112" t="str">
        <f t="shared" si="15"/>
        <v/>
      </c>
      <c r="J200" s="112" t="e">
        <f t="shared" si="16"/>
        <v>#NUM!</v>
      </c>
      <c r="K200" s="111" t="e">
        <f t="shared" si="17"/>
        <v>#NUM!</v>
      </c>
      <c r="L200" s="111"/>
      <c r="M200" s="113">
        <f t="shared" si="18"/>
        <v>0</v>
      </c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s="96" customFormat="1">
      <c r="A201" s="132"/>
      <c r="B201" s="131"/>
      <c r="C201" s="131"/>
      <c r="D201" s="131"/>
      <c r="E201" s="131"/>
      <c r="F201" s="131"/>
      <c r="H201" s="111">
        <v>196</v>
      </c>
      <c r="I201" s="112" t="str">
        <f t="shared" si="15"/>
        <v/>
      </c>
      <c r="J201" s="112" t="e">
        <f t="shared" si="16"/>
        <v>#NUM!</v>
      </c>
      <c r="K201" s="111" t="e">
        <f t="shared" si="17"/>
        <v>#NUM!</v>
      </c>
      <c r="L201" s="111"/>
      <c r="M201" s="113">
        <f t="shared" si="18"/>
        <v>0</v>
      </c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s="96" customFormat="1">
      <c r="A202" s="132"/>
      <c r="B202" s="131"/>
      <c r="C202" s="131"/>
      <c r="D202" s="131"/>
      <c r="E202" s="131"/>
      <c r="F202" s="131"/>
      <c r="H202" s="111">
        <v>197</v>
      </c>
      <c r="I202" s="112" t="str">
        <f t="shared" si="15"/>
        <v/>
      </c>
      <c r="J202" s="112" t="e">
        <f t="shared" si="16"/>
        <v>#NUM!</v>
      </c>
      <c r="K202" s="111" t="e">
        <f t="shared" si="17"/>
        <v>#NUM!</v>
      </c>
      <c r="L202" s="111"/>
      <c r="M202" s="113">
        <f t="shared" si="18"/>
        <v>0</v>
      </c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s="96" customFormat="1">
      <c r="A203" s="132"/>
      <c r="B203" s="131"/>
      <c r="C203" s="131"/>
      <c r="D203" s="131"/>
      <c r="E203" s="131"/>
      <c r="F203" s="131"/>
      <c r="H203" s="111">
        <v>198</v>
      </c>
      <c r="I203" s="112" t="str">
        <f t="shared" si="15"/>
        <v/>
      </c>
      <c r="J203" s="112" t="e">
        <f t="shared" si="16"/>
        <v>#NUM!</v>
      </c>
      <c r="K203" s="111" t="e">
        <f t="shared" si="17"/>
        <v>#NUM!</v>
      </c>
      <c r="L203" s="111"/>
      <c r="M203" s="113">
        <f t="shared" si="18"/>
        <v>0</v>
      </c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s="96" customFormat="1">
      <c r="A204" s="132"/>
      <c r="B204" s="131"/>
      <c r="C204" s="131"/>
      <c r="D204" s="131"/>
      <c r="E204" s="131"/>
      <c r="F204" s="131"/>
      <c r="H204" s="111">
        <v>199</v>
      </c>
      <c r="I204" s="112" t="str">
        <f t="shared" si="15"/>
        <v/>
      </c>
      <c r="J204" s="112" t="e">
        <f t="shared" si="16"/>
        <v>#NUM!</v>
      </c>
      <c r="K204" s="111" t="e">
        <f t="shared" si="17"/>
        <v>#NUM!</v>
      </c>
      <c r="L204" s="111"/>
      <c r="M204" s="113">
        <f t="shared" si="18"/>
        <v>0</v>
      </c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s="96" customFormat="1">
      <c r="A205" s="132"/>
      <c r="B205" s="131"/>
      <c r="C205" s="131"/>
      <c r="D205" s="131"/>
      <c r="E205" s="131"/>
      <c r="F205" s="131"/>
      <c r="H205" s="111">
        <v>200</v>
      </c>
      <c r="I205" s="112" t="str">
        <f t="shared" si="15"/>
        <v/>
      </c>
      <c r="J205" s="112" t="e">
        <f t="shared" si="16"/>
        <v>#NUM!</v>
      </c>
      <c r="K205" s="111" t="e">
        <f t="shared" si="17"/>
        <v>#NUM!</v>
      </c>
      <c r="L205" s="111"/>
      <c r="M205" s="113">
        <f t="shared" si="18"/>
        <v>0</v>
      </c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s="96" customFormat="1">
      <c r="A206" s="132"/>
      <c r="B206" s="131"/>
      <c r="C206" s="131"/>
      <c r="D206" s="131"/>
      <c r="E206" s="131"/>
      <c r="F206" s="131"/>
      <c r="H206" s="111">
        <v>201</v>
      </c>
      <c r="I206" s="112" t="str">
        <f t="shared" si="15"/>
        <v/>
      </c>
      <c r="J206" s="112" t="e">
        <f t="shared" si="16"/>
        <v>#NUM!</v>
      </c>
      <c r="K206" s="111" t="e">
        <f t="shared" si="17"/>
        <v>#NUM!</v>
      </c>
      <c r="L206" s="111"/>
      <c r="M206" s="113">
        <f t="shared" si="18"/>
        <v>0</v>
      </c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s="96" customFormat="1">
      <c r="A207" s="132"/>
      <c r="B207" s="131"/>
      <c r="C207" s="131"/>
      <c r="D207" s="131"/>
      <c r="E207" s="131"/>
      <c r="F207" s="131"/>
      <c r="H207" s="111">
        <v>202</v>
      </c>
      <c r="I207" s="112" t="str">
        <f t="shared" si="15"/>
        <v/>
      </c>
      <c r="J207" s="112" t="e">
        <f t="shared" si="16"/>
        <v>#NUM!</v>
      </c>
      <c r="K207" s="111" t="e">
        <f t="shared" si="17"/>
        <v>#NUM!</v>
      </c>
      <c r="L207" s="111"/>
      <c r="M207" s="113">
        <f t="shared" si="18"/>
        <v>0</v>
      </c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s="96" customFormat="1">
      <c r="A208" s="132"/>
      <c r="B208" s="131"/>
      <c r="C208" s="131"/>
      <c r="D208" s="131"/>
      <c r="E208" s="131"/>
      <c r="F208" s="131"/>
      <c r="H208" s="111">
        <v>203</v>
      </c>
      <c r="I208" s="112" t="str">
        <f t="shared" si="15"/>
        <v/>
      </c>
      <c r="J208" s="112" t="e">
        <f t="shared" si="16"/>
        <v>#NUM!</v>
      </c>
      <c r="K208" s="111" t="e">
        <f t="shared" si="17"/>
        <v>#NUM!</v>
      </c>
      <c r="L208" s="111"/>
      <c r="M208" s="113">
        <f t="shared" si="18"/>
        <v>0</v>
      </c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s="96" customFormat="1">
      <c r="A209" s="132"/>
      <c r="B209" s="131"/>
      <c r="C209" s="131"/>
      <c r="D209" s="131"/>
      <c r="E209" s="131"/>
      <c r="F209" s="131"/>
      <c r="H209" s="111">
        <v>204</v>
      </c>
      <c r="I209" s="112" t="str">
        <f t="shared" si="15"/>
        <v/>
      </c>
      <c r="J209" s="112" t="e">
        <f t="shared" si="16"/>
        <v>#NUM!</v>
      </c>
      <c r="K209" s="111" t="e">
        <f t="shared" si="17"/>
        <v>#NUM!</v>
      </c>
      <c r="L209" s="111"/>
      <c r="M209" s="113">
        <f t="shared" si="18"/>
        <v>0</v>
      </c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s="96" customFormat="1">
      <c r="A210" s="132"/>
      <c r="B210" s="131"/>
      <c r="C210" s="131"/>
      <c r="D210" s="131"/>
      <c r="E210" s="131"/>
      <c r="F210" s="131"/>
      <c r="H210" s="111">
        <v>205</v>
      </c>
      <c r="I210" s="112" t="str">
        <f t="shared" si="15"/>
        <v/>
      </c>
      <c r="J210" s="112" t="e">
        <f t="shared" si="16"/>
        <v>#NUM!</v>
      </c>
      <c r="K210" s="111" t="e">
        <f t="shared" si="17"/>
        <v>#NUM!</v>
      </c>
      <c r="L210" s="111"/>
      <c r="M210" s="113">
        <f t="shared" si="18"/>
        <v>0</v>
      </c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s="96" customFormat="1">
      <c r="A211" s="132"/>
      <c r="B211" s="131"/>
      <c r="C211" s="131"/>
      <c r="D211" s="131"/>
      <c r="E211" s="131"/>
      <c r="F211" s="131"/>
      <c r="H211" s="111">
        <v>206</v>
      </c>
      <c r="I211" s="112" t="str">
        <f t="shared" si="15"/>
        <v/>
      </c>
      <c r="J211" s="112" t="e">
        <f t="shared" si="16"/>
        <v>#NUM!</v>
      </c>
      <c r="K211" s="111" t="e">
        <f t="shared" si="17"/>
        <v>#NUM!</v>
      </c>
      <c r="L211" s="111"/>
      <c r="M211" s="113">
        <f t="shared" si="18"/>
        <v>0</v>
      </c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s="96" customFormat="1">
      <c r="A212" s="132"/>
      <c r="B212" s="131"/>
      <c r="C212" s="131"/>
      <c r="D212" s="131"/>
      <c r="E212" s="131"/>
      <c r="F212" s="131"/>
      <c r="H212" s="111">
        <v>207</v>
      </c>
      <c r="I212" s="112" t="str">
        <f t="shared" si="15"/>
        <v/>
      </c>
      <c r="J212" s="112" t="e">
        <f t="shared" si="16"/>
        <v>#NUM!</v>
      </c>
      <c r="K212" s="111" t="e">
        <f t="shared" si="17"/>
        <v>#NUM!</v>
      </c>
      <c r="L212" s="111"/>
      <c r="M212" s="113">
        <f t="shared" si="18"/>
        <v>0</v>
      </c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s="96" customFormat="1">
      <c r="A213" s="132"/>
      <c r="B213" s="131"/>
      <c r="C213" s="131"/>
      <c r="D213" s="131"/>
      <c r="E213" s="131"/>
      <c r="F213" s="131"/>
      <c r="H213" s="111">
        <v>208</v>
      </c>
      <c r="I213" s="112" t="str">
        <f t="shared" si="15"/>
        <v/>
      </c>
      <c r="J213" s="112" t="e">
        <f t="shared" si="16"/>
        <v>#NUM!</v>
      </c>
      <c r="K213" s="111" t="e">
        <f t="shared" si="17"/>
        <v>#NUM!</v>
      </c>
      <c r="L213" s="111"/>
      <c r="M213" s="113">
        <f t="shared" si="18"/>
        <v>0</v>
      </c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s="96" customFormat="1">
      <c r="A214" s="132"/>
      <c r="B214" s="131"/>
      <c r="C214" s="131"/>
      <c r="D214" s="131"/>
      <c r="E214" s="131"/>
      <c r="F214" s="131"/>
      <c r="H214" s="111">
        <v>209</v>
      </c>
      <c r="I214" s="112" t="str">
        <f t="shared" si="15"/>
        <v/>
      </c>
      <c r="J214" s="112" t="e">
        <f t="shared" si="16"/>
        <v>#NUM!</v>
      </c>
      <c r="K214" s="111" t="e">
        <f t="shared" si="17"/>
        <v>#NUM!</v>
      </c>
      <c r="L214" s="111"/>
      <c r="M214" s="113">
        <f t="shared" si="18"/>
        <v>0</v>
      </c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s="96" customFormat="1">
      <c r="A215" s="132"/>
      <c r="B215" s="131"/>
      <c r="C215" s="131"/>
      <c r="D215" s="131"/>
      <c r="E215" s="131"/>
      <c r="F215" s="131"/>
      <c r="H215" s="111">
        <v>210</v>
      </c>
      <c r="I215" s="112" t="str">
        <f t="shared" si="15"/>
        <v/>
      </c>
      <c r="J215" s="112" t="e">
        <f t="shared" si="16"/>
        <v>#NUM!</v>
      </c>
      <c r="K215" s="111" t="e">
        <f t="shared" si="17"/>
        <v>#NUM!</v>
      </c>
      <c r="L215" s="111"/>
      <c r="M215" s="113">
        <f t="shared" si="18"/>
        <v>0</v>
      </c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s="96" customFormat="1">
      <c r="A216" s="132"/>
      <c r="B216" s="131"/>
      <c r="C216" s="131"/>
      <c r="D216" s="131"/>
      <c r="E216" s="131"/>
      <c r="F216" s="131"/>
      <c r="H216" s="111">
        <v>211</v>
      </c>
      <c r="I216" s="112" t="str">
        <f t="shared" si="15"/>
        <v/>
      </c>
      <c r="J216" s="112" t="e">
        <f t="shared" si="16"/>
        <v>#NUM!</v>
      </c>
      <c r="K216" s="111" t="e">
        <f t="shared" si="17"/>
        <v>#NUM!</v>
      </c>
      <c r="L216" s="111"/>
      <c r="M216" s="113">
        <f t="shared" si="18"/>
        <v>0</v>
      </c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s="96" customFormat="1">
      <c r="A217" s="132"/>
      <c r="B217" s="131"/>
      <c r="C217" s="131"/>
      <c r="D217" s="131"/>
      <c r="E217" s="131"/>
      <c r="F217" s="131"/>
      <c r="H217" s="111">
        <v>212</v>
      </c>
      <c r="I217" s="112" t="str">
        <f t="shared" si="15"/>
        <v/>
      </c>
      <c r="J217" s="112" t="e">
        <f t="shared" si="16"/>
        <v>#NUM!</v>
      </c>
      <c r="K217" s="111" t="e">
        <f t="shared" si="17"/>
        <v>#NUM!</v>
      </c>
      <c r="L217" s="111"/>
      <c r="M217" s="113">
        <f t="shared" si="18"/>
        <v>0</v>
      </c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s="96" customFormat="1">
      <c r="A218" s="132"/>
      <c r="B218" s="131"/>
      <c r="C218" s="131"/>
      <c r="D218" s="131"/>
      <c r="E218" s="131"/>
      <c r="F218" s="131"/>
      <c r="H218" s="111">
        <v>213</v>
      </c>
      <c r="I218" s="112" t="str">
        <f t="shared" si="15"/>
        <v/>
      </c>
      <c r="J218" s="112" t="e">
        <f t="shared" si="16"/>
        <v>#NUM!</v>
      </c>
      <c r="K218" s="111" t="e">
        <f t="shared" si="17"/>
        <v>#NUM!</v>
      </c>
      <c r="L218" s="111"/>
      <c r="M218" s="113">
        <f t="shared" si="18"/>
        <v>0</v>
      </c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s="96" customFormat="1">
      <c r="A219" s="132"/>
      <c r="B219" s="131"/>
      <c r="C219" s="131"/>
      <c r="D219" s="131"/>
      <c r="E219" s="131"/>
      <c r="F219" s="131"/>
      <c r="H219" s="111">
        <v>214</v>
      </c>
      <c r="I219" s="112" t="str">
        <f t="shared" si="15"/>
        <v/>
      </c>
      <c r="J219" s="112" t="e">
        <f t="shared" si="16"/>
        <v>#NUM!</v>
      </c>
      <c r="K219" s="111" t="e">
        <f t="shared" si="17"/>
        <v>#NUM!</v>
      </c>
      <c r="L219" s="111"/>
      <c r="M219" s="113">
        <f t="shared" si="18"/>
        <v>0</v>
      </c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s="96" customFormat="1">
      <c r="A220" s="132"/>
      <c r="B220" s="131"/>
      <c r="C220" s="131"/>
      <c r="D220" s="131"/>
      <c r="E220" s="131"/>
      <c r="F220" s="131"/>
      <c r="H220" s="111">
        <v>215</v>
      </c>
      <c r="I220" s="112" t="str">
        <f t="shared" si="15"/>
        <v/>
      </c>
      <c r="J220" s="112" t="e">
        <f t="shared" si="16"/>
        <v>#NUM!</v>
      </c>
      <c r="K220" s="111" t="e">
        <f t="shared" si="17"/>
        <v>#NUM!</v>
      </c>
      <c r="L220" s="111"/>
      <c r="M220" s="113">
        <f t="shared" si="18"/>
        <v>0</v>
      </c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s="96" customFormat="1">
      <c r="A221" s="132"/>
      <c r="B221" s="131"/>
      <c r="C221" s="131"/>
      <c r="D221" s="131"/>
      <c r="E221" s="131"/>
      <c r="F221" s="131"/>
      <c r="H221" s="111">
        <v>216</v>
      </c>
      <c r="I221" s="112" t="str">
        <f t="shared" si="15"/>
        <v/>
      </c>
      <c r="J221" s="112" t="e">
        <f t="shared" si="16"/>
        <v>#NUM!</v>
      </c>
      <c r="K221" s="111" t="e">
        <f t="shared" si="17"/>
        <v>#NUM!</v>
      </c>
      <c r="L221" s="111"/>
      <c r="M221" s="113">
        <f t="shared" si="18"/>
        <v>0</v>
      </c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s="96" customFormat="1">
      <c r="A222" s="132"/>
      <c r="B222" s="131"/>
      <c r="C222" s="131"/>
      <c r="D222" s="131"/>
      <c r="E222" s="131"/>
      <c r="F222" s="131"/>
      <c r="H222" s="111">
        <v>217</v>
      </c>
      <c r="I222" s="112" t="str">
        <f t="shared" si="15"/>
        <v/>
      </c>
      <c r="J222" s="112" t="e">
        <f t="shared" si="16"/>
        <v>#NUM!</v>
      </c>
      <c r="K222" s="111" t="e">
        <f t="shared" si="17"/>
        <v>#NUM!</v>
      </c>
      <c r="L222" s="111"/>
      <c r="M222" s="113">
        <f t="shared" si="18"/>
        <v>0</v>
      </c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s="96" customFormat="1">
      <c r="A223" s="132"/>
      <c r="B223" s="131"/>
      <c r="C223" s="131"/>
      <c r="D223" s="131"/>
      <c r="E223" s="131"/>
      <c r="F223" s="131"/>
      <c r="H223" s="111">
        <v>218</v>
      </c>
      <c r="I223" s="112" t="str">
        <f t="shared" si="15"/>
        <v/>
      </c>
      <c r="J223" s="112" t="e">
        <f t="shared" si="16"/>
        <v>#NUM!</v>
      </c>
      <c r="K223" s="111" t="e">
        <f t="shared" si="17"/>
        <v>#NUM!</v>
      </c>
      <c r="L223" s="111"/>
      <c r="M223" s="113">
        <f t="shared" si="18"/>
        <v>0</v>
      </c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s="96" customFormat="1">
      <c r="A224" s="132"/>
      <c r="B224" s="131"/>
      <c r="C224" s="131"/>
      <c r="D224" s="131"/>
      <c r="E224" s="131"/>
      <c r="F224" s="131"/>
      <c r="H224" s="111">
        <v>219</v>
      </c>
      <c r="I224" s="112" t="str">
        <f t="shared" si="15"/>
        <v/>
      </c>
      <c r="J224" s="112" t="e">
        <f t="shared" si="16"/>
        <v>#NUM!</v>
      </c>
      <c r="K224" s="111" t="e">
        <f t="shared" si="17"/>
        <v>#NUM!</v>
      </c>
      <c r="L224" s="111"/>
      <c r="M224" s="113">
        <f t="shared" si="18"/>
        <v>0</v>
      </c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s="96" customFormat="1">
      <c r="A225" s="132"/>
      <c r="B225" s="131"/>
      <c r="C225" s="131"/>
      <c r="D225" s="131"/>
      <c r="E225" s="131"/>
      <c r="F225" s="131"/>
      <c r="H225" s="111">
        <v>220</v>
      </c>
      <c r="I225" s="112" t="str">
        <f t="shared" si="15"/>
        <v/>
      </c>
      <c r="J225" s="112" t="e">
        <f t="shared" si="16"/>
        <v>#NUM!</v>
      </c>
      <c r="K225" s="111" t="e">
        <f t="shared" si="17"/>
        <v>#NUM!</v>
      </c>
      <c r="L225" s="111"/>
      <c r="M225" s="113">
        <f t="shared" si="18"/>
        <v>0</v>
      </c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s="96" customFormat="1">
      <c r="A226" s="132"/>
      <c r="B226" s="131"/>
      <c r="C226" s="131"/>
      <c r="D226" s="131"/>
      <c r="E226" s="131"/>
      <c r="F226" s="131"/>
      <c r="H226" s="111">
        <v>221</v>
      </c>
      <c r="I226" s="112" t="str">
        <f t="shared" si="15"/>
        <v/>
      </c>
      <c r="J226" s="112" t="e">
        <f t="shared" si="16"/>
        <v>#NUM!</v>
      </c>
      <c r="K226" s="111" t="e">
        <f t="shared" si="17"/>
        <v>#NUM!</v>
      </c>
      <c r="L226" s="111"/>
      <c r="M226" s="113">
        <f t="shared" si="18"/>
        <v>0</v>
      </c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s="96" customFormat="1">
      <c r="A227" s="132"/>
      <c r="B227" s="131"/>
      <c r="C227" s="131"/>
      <c r="D227" s="131"/>
      <c r="E227" s="131"/>
      <c r="F227" s="131"/>
      <c r="H227" s="111">
        <v>222</v>
      </c>
      <c r="I227" s="112" t="str">
        <f t="shared" si="15"/>
        <v/>
      </c>
      <c r="J227" s="112" t="e">
        <f t="shared" si="16"/>
        <v>#NUM!</v>
      </c>
      <c r="K227" s="111" t="e">
        <f t="shared" si="17"/>
        <v>#NUM!</v>
      </c>
      <c r="L227" s="111"/>
      <c r="M227" s="113">
        <f t="shared" si="18"/>
        <v>0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s="96" customFormat="1">
      <c r="A228" s="132"/>
      <c r="B228" s="131"/>
      <c r="C228" s="131"/>
      <c r="D228" s="131"/>
      <c r="E228" s="131"/>
      <c r="F228" s="131"/>
      <c r="H228" s="111">
        <v>223</v>
      </c>
      <c r="I228" s="112" t="str">
        <f t="shared" si="15"/>
        <v/>
      </c>
      <c r="J228" s="112" t="e">
        <f t="shared" si="16"/>
        <v>#NUM!</v>
      </c>
      <c r="K228" s="111" t="e">
        <f t="shared" si="17"/>
        <v>#NUM!</v>
      </c>
      <c r="L228" s="111"/>
      <c r="M228" s="113">
        <f t="shared" si="18"/>
        <v>0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s="96" customFormat="1">
      <c r="A229" s="132"/>
      <c r="B229" s="131"/>
      <c r="C229" s="131"/>
      <c r="D229" s="131"/>
      <c r="E229" s="131"/>
      <c r="F229" s="131"/>
      <c r="H229" s="111">
        <v>224</v>
      </c>
      <c r="I229" s="112" t="str">
        <f t="shared" si="15"/>
        <v/>
      </c>
      <c r="J229" s="112" t="e">
        <f t="shared" si="16"/>
        <v>#NUM!</v>
      </c>
      <c r="K229" s="111" t="e">
        <f t="shared" si="17"/>
        <v>#NUM!</v>
      </c>
      <c r="L229" s="111"/>
      <c r="M229" s="113">
        <f t="shared" si="18"/>
        <v>0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s="96" customFormat="1">
      <c r="A230" s="132"/>
      <c r="B230" s="131"/>
      <c r="C230" s="131"/>
      <c r="D230" s="131"/>
      <c r="E230" s="131"/>
      <c r="F230" s="131"/>
      <c r="H230" s="111">
        <v>225</v>
      </c>
      <c r="I230" s="112" t="str">
        <f t="shared" si="15"/>
        <v/>
      </c>
      <c r="J230" s="112" t="e">
        <f t="shared" si="16"/>
        <v>#NUM!</v>
      </c>
      <c r="K230" s="111" t="e">
        <f t="shared" si="17"/>
        <v>#NUM!</v>
      </c>
      <c r="L230" s="111"/>
      <c r="M230" s="113">
        <f t="shared" si="18"/>
        <v>0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s="96" customFormat="1">
      <c r="A231" s="132"/>
      <c r="B231" s="131"/>
      <c r="C231" s="131"/>
      <c r="D231" s="131"/>
      <c r="E231" s="131"/>
      <c r="F231" s="131"/>
      <c r="H231" s="111">
        <v>226</v>
      </c>
      <c r="I231" s="112" t="str">
        <f t="shared" si="15"/>
        <v/>
      </c>
      <c r="J231" s="112" t="e">
        <f t="shared" si="16"/>
        <v>#NUM!</v>
      </c>
      <c r="K231" s="111" t="e">
        <f t="shared" si="17"/>
        <v>#NUM!</v>
      </c>
      <c r="L231" s="111"/>
      <c r="M231" s="113">
        <f t="shared" si="18"/>
        <v>0</v>
      </c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s="96" customFormat="1">
      <c r="A232" s="132"/>
      <c r="B232" s="131"/>
      <c r="C232" s="131"/>
      <c r="D232" s="131"/>
      <c r="E232" s="131"/>
      <c r="F232" s="131"/>
      <c r="H232" s="111">
        <v>227</v>
      </c>
      <c r="I232" s="112" t="str">
        <f t="shared" si="15"/>
        <v/>
      </c>
      <c r="J232" s="112" t="e">
        <f t="shared" si="16"/>
        <v>#NUM!</v>
      </c>
      <c r="K232" s="111" t="e">
        <f t="shared" si="17"/>
        <v>#NUM!</v>
      </c>
      <c r="L232" s="111"/>
      <c r="M232" s="113">
        <f t="shared" si="18"/>
        <v>0</v>
      </c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s="96" customFormat="1">
      <c r="A233" s="132"/>
      <c r="B233" s="131"/>
      <c r="C233" s="131"/>
      <c r="D233" s="131"/>
      <c r="E233" s="131"/>
      <c r="F233" s="131"/>
      <c r="H233" s="111">
        <v>228</v>
      </c>
      <c r="I233" s="112" t="str">
        <f t="shared" si="15"/>
        <v/>
      </c>
      <c r="J233" s="112" t="e">
        <f t="shared" si="16"/>
        <v>#NUM!</v>
      </c>
      <c r="K233" s="111" t="e">
        <f t="shared" si="17"/>
        <v>#NUM!</v>
      </c>
      <c r="L233" s="111"/>
      <c r="M233" s="113">
        <f t="shared" si="18"/>
        <v>0</v>
      </c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s="96" customFormat="1">
      <c r="A234" s="132"/>
      <c r="B234" s="131"/>
      <c r="C234" s="131"/>
      <c r="D234" s="131"/>
      <c r="E234" s="131"/>
      <c r="F234" s="131"/>
      <c r="H234" s="111">
        <v>229</v>
      </c>
      <c r="I234" s="112" t="str">
        <f t="shared" si="15"/>
        <v/>
      </c>
      <c r="J234" s="112" t="e">
        <f t="shared" si="16"/>
        <v>#NUM!</v>
      </c>
      <c r="K234" s="111" t="e">
        <f t="shared" si="17"/>
        <v>#NUM!</v>
      </c>
      <c r="L234" s="111"/>
      <c r="M234" s="113">
        <f t="shared" si="18"/>
        <v>0</v>
      </c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s="96" customFormat="1">
      <c r="A235" s="132"/>
      <c r="B235" s="131"/>
      <c r="C235" s="131"/>
      <c r="D235" s="131"/>
      <c r="E235" s="131"/>
      <c r="F235" s="131"/>
      <c r="H235" s="111">
        <v>230</v>
      </c>
      <c r="I235" s="112" t="str">
        <f t="shared" si="15"/>
        <v/>
      </c>
      <c r="J235" s="112" t="e">
        <f t="shared" si="16"/>
        <v>#NUM!</v>
      </c>
      <c r="K235" s="111" t="e">
        <f t="shared" si="17"/>
        <v>#NUM!</v>
      </c>
      <c r="L235" s="111"/>
      <c r="M235" s="113">
        <f t="shared" si="18"/>
        <v>0</v>
      </c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s="96" customFormat="1">
      <c r="A236" s="132"/>
      <c r="B236" s="131"/>
      <c r="C236" s="131"/>
      <c r="D236" s="131"/>
      <c r="E236" s="131"/>
      <c r="F236" s="131"/>
      <c r="H236" s="111">
        <v>231</v>
      </c>
      <c r="I236" s="112" t="str">
        <f t="shared" si="15"/>
        <v/>
      </c>
      <c r="J236" s="112" t="e">
        <f t="shared" si="16"/>
        <v>#NUM!</v>
      </c>
      <c r="K236" s="111" t="e">
        <f t="shared" si="17"/>
        <v>#NUM!</v>
      </c>
      <c r="L236" s="111"/>
      <c r="M236" s="113">
        <f t="shared" si="18"/>
        <v>0</v>
      </c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s="96" customFormat="1">
      <c r="A237" s="132"/>
      <c r="B237" s="131"/>
      <c r="C237" s="131"/>
      <c r="D237" s="131"/>
      <c r="E237" s="131"/>
      <c r="F237" s="131"/>
      <c r="H237" s="111">
        <v>232</v>
      </c>
      <c r="I237" s="112" t="str">
        <f t="shared" si="15"/>
        <v/>
      </c>
      <c r="J237" s="112" t="e">
        <f t="shared" si="16"/>
        <v>#NUM!</v>
      </c>
      <c r="K237" s="111" t="e">
        <f t="shared" si="17"/>
        <v>#NUM!</v>
      </c>
      <c r="L237" s="111"/>
      <c r="M237" s="113">
        <f t="shared" si="18"/>
        <v>0</v>
      </c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s="96" customFormat="1">
      <c r="A238" s="132"/>
      <c r="B238" s="131"/>
      <c r="C238" s="131"/>
      <c r="D238" s="131"/>
      <c r="E238" s="131"/>
      <c r="F238" s="131"/>
      <c r="H238" s="111">
        <v>233</v>
      </c>
      <c r="I238" s="112" t="str">
        <f t="shared" si="15"/>
        <v/>
      </c>
      <c r="J238" s="112" t="e">
        <f t="shared" si="16"/>
        <v>#NUM!</v>
      </c>
      <c r="K238" s="111" t="e">
        <f t="shared" si="17"/>
        <v>#NUM!</v>
      </c>
      <c r="L238" s="111"/>
      <c r="M238" s="113">
        <f t="shared" si="18"/>
        <v>0</v>
      </c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s="96" customFormat="1">
      <c r="A239" s="132"/>
      <c r="B239" s="131"/>
      <c r="C239" s="131"/>
      <c r="D239" s="131"/>
      <c r="E239" s="131"/>
      <c r="F239" s="131"/>
      <c r="H239" s="111">
        <v>234</v>
      </c>
      <c r="I239" s="112" t="str">
        <f t="shared" si="15"/>
        <v/>
      </c>
      <c r="J239" s="112" t="e">
        <f t="shared" si="16"/>
        <v>#NUM!</v>
      </c>
      <c r="K239" s="111" t="e">
        <f t="shared" si="17"/>
        <v>#NUM!</v>
      </c>
      <c r="L239" s="111"/>
      <c r="M239" s="113">
        <f t="shared" si="18"/>
        <v>0</v>
      </c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s="96" customFormat="1">
      <c r="A240" s="132"/>
      <c r="B240" s="131"/>
      <c r="C240" s="131"/>
      <c r="D240" s="131"/>
      <c r="E240" s="131"/>
      <c r="F240" s="131"/>
      <c r="H240" s="111">
        <v>235</v>
      </c>
      <c r="I240" s="112" t="str">
        <f t="shared" si="15"/>
        <v/>
      </c>
      <c r="J240" s="112" t="e">
        <f t="shared" si="16"/>
        <v>#NUM!</v>
      </c>
      <c r="K240" s="111" t="e">
        <f t="shared" si="17"/>
        <v>#NUM!</v>
      </c>
      <c r="L240" s="111"/>
      <c r="M240" s="113">
        <f t="shared" si="18"/>
        <v>0</v>
      </c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s="96" customFormat="1">
      <c r="A241" s="132"/>
      <c r="B241" s="131"/>
      <c r="C241" s="131"/>
      <c r="D241" s="131"/>
      <c r="E241" s="131"/>
      <c r="F241" s="131"/>
      <c r="H241" s="111">
        <v>236</v>
      </c>
      <c r="I241" s="112" t="str">
        <f t="shared" si="15"/>
        <v/>
      </c>
      <c r="J241" s="112" t="e">
        <f t="shared" si="16"/>
        <v>#NUM!</v>
      </c>
      <c r="K241" s="111" t="e">
        <f t="shared" si="17"/>
        <v>#NUM!</v>
      </c>
      <c r="L241" s="111"/>
      <c r="M241" s="113">
        <f t="shared" si="18"/>
        <v>0</v>
      </c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s="96" customFormat="1">
      <c r="A242" s="132"/>
      <c r="B242" s="131"/>
      <c r="C242" s="131"/>
      <c r="D242" s="131"/>
      <c r="E242" s="131"/>
      <c r="F242" s="131"/>
      <c r="H242" s="111">
        <v>237</v>
      </c>
      <c r="I242" s="112" t="str">
        <f t="shared" si="15"/>
        <v/>
      </c>
      <c r="J242" s="112" t="e">
        <f t="shared" si="16"/>
        <v>#NUM!</v>
      </c>
      <c r="K242" s="111" t="e">
        <f t="shared" si="17"/>
        <v>#NUM!</v>
      </c>
      <c r="L242" s="111"/>
      <c r="M242" s="113">
        <f t="shared" si="18"/>
        <v>0</v>
      </c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s="96" customFormat="1">
      <c r="A243" s="132"/>
      <c r="B243" s="131"/>
      <c r="C243" s="131"/>
      <c r="D243" s="131"/>
      <c r="E243" s="131"/>
      <c r="F243" s="131"/>
      <c r="H243" s="111">
        <v>238</v>
      </c>
      <c r="I243" s="112" t="str">
        <f t="shared" si="15"/>
        <v/>
      </c>
      <c r="J243" s="112" t="e">
        <f t="shared" si="16"/>
        <v>#NUM!</v>
      </c>
      <c r="K243" s="111" t="e">
        <f t="shared" si="17"/>
        <v>#NUM!</v>
      </c>
      <c r="L243" s="111"/>
      <c r="M243" s="113">
        <f t="shared" si="18"/>
        <v>0</v>
      </c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s="96" customFormat="1">
      <c r="A244" s="132"/>
      <c r="B244" s="131"/>
      <c r="C244" s="131"/>
      <c r="D244" s="131"/>
      <c r="E244" s="131"/>
      <c r="F244" s="131"/>
      <c r="H244" s="111">
        <v>239</v>
      </c>
      <c r="I244" s="112" t="str">
        <f t="shared" si="15"/>
        <v/>
      </c>
      <c r="J244" s="112" t="e">
        <f t="shared" si="16"/>
        <v>#NUM!</v>
      </c>
      <c r="K244" s="111" t="e">
        <f t="shared" si="17"/>
        <v>#NUM!</v>
      </c>
      <c r="L244" s="111"/>
      <c r="M244" s="113">
        <f t="shared" si="18"/>
        <v>0</v>
      </c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s="96" customFormat="1">
      <c r="A245" s="132"/>
      <c r="B245" s="131"/>
      <c r="C245" s="131"/>
      <c r="D245" s="131"/>
      <c r="E245" s="131"/>
      <c r="F245" s="131"/>
      <c r="H245" s="111">
        <v>240</v>
      </c>
      <c r="I245" s="112" t="str">
        <f t="shared" si="15"/>
        <v/>
      </c>
      <c r="J245" s="112" t="e">
        <f t="shared" si="16"/>
        <v>#NUM!</v>
      </c>
      <c r="K245" s="111" t="e">
        <f t="shared" si="17"/>
        <v>#NUM!</v>
      </c>
      <c r="L245" s="111"/>
      <c r="M245" s="113">
        <f t="shared" si="18"/>
        <v>0</v>
      </c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s="96" customFormat="1">
      <c r="A246" s="132"/>
      <c r="B246" s="131"/>
      <c r="C246" s="131"/>
      <c r="D246" s="131"/>
      <c r="E246" s="131"/>
      <c r="F246" s="131"/>
      <c r="H246" s="111">
        <v>241</v>
      </c>
      <c r="I246" s="112" t="str">
        <f t="shared" si="15"/>
        <v/>
      </c>
      <c r="J246" s="112" t="e">
        <f t="shared" si="16"/>
        <v>#NUM!</v>
      </c>
      <c r="K246" s="111" t="e">
        <f t="shared" si="17"/>
        <v>#NUM!</v>
      </c>
      <c r="L246" s="111"/>
      <c r="M246" s="113">
        <f t="shared" si="18"/>
        <v>0</v>
      </c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s="96" customFormat="1">
      <c r="A247" s="132"/>
      <c r="B247" s="131"/>
      <c r="C247" s="131"/>
      <c r="D247" s="131"/>
      <c r="E247" s="131"/>
      <c r="F247" s="131"/>
      <c r="H247" s="111">
        <v>242</v>
      </c>
      <c r="I247" s="112" t="str">
        <f t="shared" si="15"/>
        <v/>
      </c>
      <c r="J247" s="112" t="e">
        <f t="shared" si="16"/>
        <v>#NUM!</v>
      </c>
      <c r="K247" s="111" t="e">
        <f t="shared" si="17"/>
        <v>#NUM!</v>
      </c>
      <c r="L247" s="111"/>
      <c r="M247" s="113">
        <f t="shared" si="18"/>
        <v>0</v>
      </c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s="96" customFormat="1">
      <c r="A248" s="132"/>
      <c r="B248" s="131"/>
      <c r="C248" s="131"/>
      <c r="D248" s="131"/>
      <c r="E248" s="131"/>
      <c r="F248" s="131"/>
      <c r="H248" s="111">
        <v>243</v>
      </c>
      <c r="I248" s="112" t="str">
        <f t="shared" si="15"/>
        <v/>
      </c>
      <c r="J248" s="112" t="e">
        <f t="shared" si="16"/>
        <v>#NUM!</v>
      </c>
      <c r="K248" s="111" t="e">
        <f t="shared" si="17"/>
        <v>#NUM!</v>
      </c>
      <c r="L248" s="111"/>
      <c r="M248" s="113">
        <f t="shared" si="18"/>
        <v>0</v>
      </c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s="96" customFormat="1">
      <c r="A249" s="132"/>
      <c r="B249" s="131"/>
      <c r="C249" s="131"/>
      <c r="D249" s="131"/>
      <c r="E249" s="131"/>
      <c r="F249" s="131"/>
      <c r="H249" s="111">
        <v>244</v>
      </c>
      <c r="I249" s="112" t="str">
        <f t="shared" si="15"/>
        <v/>
      </c>
      <c r="J249" s="112" t="e">
        <f t="shared" si="16"/>
        <v>#NUM!</v>
      </c>
      <c r="K249" s="111" t="e">
        <f t="shared" si="17"/>
        <v>#NUM!</v>
      </c>
      <c r="L249" s="111"/>
      <c r="M249" s="113">
        <f t="shared" si="18"/>
        <v>0</v>
      </c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s="96" customFormat="1">
      <c r="A250" s="132"/>
      <c r="B250" s="131"/>
      <c r="C250" s="131"/>
      <c r="D250" s="131"/>
      <c r="E250" s="131"/>
      <c r="F250" s="131"/>
      <c r="H250" s="111">
        <v>245</v>
      </c>
      <c r="I250" s="112" t="str">
        <f t="shared" si="15"/>
        <v/>
      </c>
      <c r="J250" s="112" t="e">
        <f t="shared" si="16"/>
        <v>#NUM!</v>
      </c>
      <c r="K250" s="111" t="e">
        <f t="shared" si="17"/>
        <v>#NUM!</v>
      </c>
      <c r="L250" s="111"/>
      <c r="M250" s="113">
        <f t="shared" si="18"/>
        <v>0</v>
      </c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s="96" customFormat="1">
      <c r="A251" s="132"/>
      <c r="B251" s="131"/>
      <c r="C251" s="131"/>
      <c r="D251" s="131"/>
      <c r="E251" s="131"/>
      <c r="F251" s="131"/>
      <c r="H251" s="111">
        <v>246</v>
      </c>
      <c r="I251" s="112" t="str">
        <f t="shared" si="15"/>
        <v/>
      </c>
      <c r="J251" s="112" t="e">
        <f t="shared" si="16"/>
        <v>#NUM!</v>
      </c>
      <c r="K251" s="111" t="e">
        <f t="shared" si="17"/>
        <v>#NUM!</v>
      </c>
      <c r="L251" s="111"/>
      <c r="M251" s="113">
        <f t="shared" si="18"/>
        <v>0</v>
      </c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s="96" customFormat="1">
      <c r="A252" s="132"/>
      <c r="B252" s="131"/>
      <c r="C252" s="131"/>
      <c r="D252" s="131"/>
      <c r="E252" s="131"/>
      <c r="F252" s="131"/>
      <c r="H252" s="111">
        <v>247</v>
      </c>
      <c r="I252" s="112" t="str">
        <f t="shared" si="15"/>
        <v/>
      </c>
      <c r="J252" s="112" t="e">
        <f t="shared" si="16"/>
        <v>#NUM!</v>
      </c>
      <c r="K252" s="111" t="e">
        <f t="shared" si="17"/>
        <v>#NUM!</v>
      </c>
      <c r="L252" s="111"/>
      <c r="M252" s="113">
        <f t="shared" si="18"/>
        <v>0</v>
      </c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s="96" customFormat="1">
      <c r="A253" s="132"/>
      <c r="B253" s="131"/>
      <c r="C253" s="131"/>
      <c r="D253" s="131"/>
      <c r="E253" s="131"/>
      <c r="F253" s="131"/>
      <c r="H253" s="111">
        <v>248</v>
      </c>
      <c r="I253" s="112" t="str">
        <f t="shared" si="15"/>
        <v/>
      </c>
      <c r="J253" s="112" t="e">
        <f t="shared" si="16"/>
        <v>#NUM!</v>
      </c>
      <c r="K253" s="111" t="e">
        <f t="shared" si="17"/>
        <v>#NUM!</v>
      </c>
      <c r="L253" s="111"/>
      <c r="M253" s="113">
        <f t="shared" si="18"/>
        <v>0</v>
      </c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s="96" customFormat="1">
      <c r="A254" s="132"/>
      <c r="B254" s="131"/>
      <c r="C254" s="131"/>
      <c r="D254" s="131"/>
      <c r="E254" s="131"/>
      <c r="F254" s="131"/>
      <c r="H254" s="111">
        <v>249</v>
      </c>
      <c r="I254" s="112" t="str">
        <f t="shared" si="15"/>
        <v/>
      </c>
      <c r="J254" s="112" t="e">
        <f t="shared" si="16"/>
        <v>#NUM!</v>
      </c>
      <c r="K254" s="111" t="e">
        <f t="shared" si="17"/>
        <v>#NUM!</v>
      </c>
      <c r="L254" s="111"/>
      <c r="M254" s="113">
        <f t="shared" si="18"/>
        <v>0</v>
      </c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s="96" customFormat="1">
      <c r="A255" s="132"/>
      <c r="B255" s="131"/>
      <c r="C255" s="131"/>
      <c r="D255" s="131"/>
      <c r="E255" s="131"/>
      <c r="F255" s="131"/>
      <c r="H255" s="111">
        <v>250</v>
      </c>
      <c r="I255" s="112" t="str">
        <f t="shared" si="15"/>
        <v/>
      </c>
      <c r="J255" s="112" t="e">
        <f t="shared" si="16"/>
        <v>#NUM!</v>
      </c>
      <c r="K255" s="111" t="e">
        <f t="shared" si="17"/>
        <v>#NUM!</v>
      </c>
      <c r="L255" s="111"/>
      <c r="M255" s="113">
        <f t="shared" si="18"/>
        <v>0</v>
      </c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s="96" customFormat="1">
      <c r="A256" s="132"/>
      <c r="B256" s="131"/>
      <c r="C256" s="131"/>
      <c r="D256" s="131"/>
      <c r="E256" s="131"/>
      <c r="F256" s="131"/>
      <c r="H256" s="111">
        <v>251</v>
      </c>
      <c r="I256" s="112" t="str">
        <f t="shared" si="15"/>
        <v/>
      </c>
      <c r="J256" s="112" t="e">
        <f t="shared" si="16"/>
        <v>#NUM!</v>
      </c>
      <c r="K256" s="111" t="e">
        <f t="shared" si="17"/>
        <v>#NUM!</v>
      </c>
      <c r="L256" s="111"/>
      <c r="M256" s="113">
        <f t="shared" si="18"/>
        <v>0</v>
      </c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s="96" customFormat="1">
      <c r="A257" s="132"/>
      <c r="B257" s="131"/>
      <c r="C257" s="131"/>
      <c r="D257" s="131"/>
      <c r="E257" s="131"/>
      <c r="F257" s="131"/>
      <c r="H257" s="111">
        <v>252</v>
      </c>
      <c r="I257" s="112" t="str">
        <f t="shared" si="15"/>
        <v/>
      </c>
      <c r="J257" s="112" t="e">
        <f t="shared" si="16"/>
        <v>#NUM!</v>
      </c>
      <c r="K257" s="111" t="e">
        <f t="shared" si="17"/>
        <v>#NUM!</v>
      </c>
      <c r="L257" s="111"/>
      <c r="M257" s="113">
        <f t="shared" si="18"/>
        <v>0</v>
      </c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s="96" customFormat="1">
      <c r="A258" s="132"/>
      <c r="B258" s="131"/>
      <c r="C258" s="131"/>
      <c r="D258" s="131"/>
      <c r="E258" s="131"/>
      <c r="F258" s="131"/>
      <c r="H258" s="111">
        <v>253</v>
      </c>
      <c r="I258" s="112" t="str">
        <f t="shared" si="15"/>
        <v/>
      </c>
      <c r="J258" s="112" t="e">
        <f t="shared" si="16"/>
        <v>#NUM!</v>
      </c>
      <c r="K258" s="111" t="e">
        <f t="shared" si="17"/>
        <v>#NUM!</v>
      </c>
      <c r="L258" s="111"/>
      <c r="M258" s="113">
        <f t="shared" si="18"/>
        <v>0</v>
      </c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s="96" customFormat="1">
      <c r="A259" s="132"/>
      <c r="B259" s="131"/>
      <c r="C259" s="131"/>
      <c r="D259" s="131"/>
      <c r="E259" s="131"/>
      <c r="F259" s="131"/>
      <c r="H259" s="111">
        <v>254</v>
      </c>
      <c r="I259" s="112" t="str">
        <f t="shared" si="15"/>
        <v/>
      </c>
      <c r="J259" s="112" t="e">
        <f t="shared" si="16"/>
        <v>#NUM!</v>
      </c>
      <c r="K259" s="111" t="e">
        <f t="shared" si="17"/>
        <v>#NUM!</v>
      </c>
      <c r="L259" s="111"/>
      <c r="M259" s="113">
        <f t="shared" si="18"/>
        <v>0</v>
      </c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s="96" customFormat="1">
      <c r="A260" s="132"/>
      <c r="B260" s="131"/>
      <c r="C260" s="131"/>
      <c r="D260" s="131"/>
      <c r="E260" s="131"/>
      <c r="F260" s="131"/>
      <c r="H260" s="111">
        <v>255</v>
      </c>
      <c r="I260" s="112" t="str">
        <f t="shared" si="15"/>
        <v/>
      </c>
      <c r="J260" s="112" t="e">
        <f t="shared" si="16"/>
        <v>#NUM!</v>
      </c>
      <c r="K260" s="111" t="e">
        <f t="shared" si="17"/>
        <v>#NUM!</v>
      </c>
      <c r="L260" s="111"/>
      <c r="M260" s="113">
        <f t="shared" si="18"/>
        <v>0</v>
      </c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s="96" customFormat="1">
      <c r="A261" s="132"/>
      <c r="B261" s="131"/>
      <c r="C261" s="131"/>
      <c r="D261" s="131"/>
      <c r="E261" s="131"/>
      <c r="F261" s="131"/>
      <c r="H261" s="111">
        <v>256</v>
      </c>
      <c r="I261" s="112" t="str">
        <f t="shared" si="15"/>
        <v/>
      </c>
      <c r="J261" s="112" t="e">
        <f t="shared" si="16"/>
        <v>#NUM!</v>
      </c>
      <c r="K261" s="111" t="e">
        <f t="shared" si="17"/>
        <v>#NUM!</v>
      </c>
      <c r="L261" s="111"/>
      <c r="M261" s="113">
        <f t="shared" si="18"/>
        <v>0</v>
      </c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s="96" customFormat="1">
      <c r="A262" s="132"/>
      <c r="B262" s="131"/>
      <c r="C262" s="131"/>
      <c r="D262" s="131"/>
      <c r="E262" s="131"/>
      <c r="F262" s="131"/>
      <c r="H262" s="111">
        <v>257</v>
      </c>
      <c r="I262" s="112" t="str">
        <f t="shared" ref="I262:I305" si="19">IF(H262&lt;$H$2+1,($I$2-($I$2-1)*(LOG(H262)/LOG($H$2))),"")</f>
        <v/>
      </c>
      <c r="J262" s="112" t="e">
        <f t="shared" ref="J262:J305" si="20">INT(LOG($H$2,2))-ROUNDUP(LOG(H262,2),0)+IF(OR($H$2=1,$H$2=2,$H$2=4,$H$2=8,$H$2=16,$H$2=32,$H$2=64,$H$2=128,$H$2=256),0,1)</f>
        <v>#NUM!</v>
      </c>
      <c r="K262" s="111" t="e">
        <f t="shared" ref="K262:K305" si="21">J262*$J$2</f>
        <v>#NUM!</v>
      </c>
      <c r="L262" s="111"/>
      <c r="M262" s="113">
        <f t="shared" ref="M262:M305" si="22">IF(I262&lt;&gt;"",K262+I262+L262,0)</f>
        <v>0</v>
      </c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s="96" customFormat="1">
      <c r="A263" s="132"/>
      <c r="B263" s="131"/>
      <c r="C263" s="131"/>
      <c r="D263" s="131"/>
      <c r="E263" s="131"/>
      <c r="F263" s="131"/>
      <c r="H263" s="111">
        <v>258</v>
      </c>
      <c r="I263" s="112" t="str">
        <f t="shared" si="19"/>
        <v/>
      </c>
      <c r="J263" s="112" t="e">
        <f t="shared" si="20"/>
        <v>#NUM!</v>
      </c>
      <c r="K263" s="111" t="e">
        <f t="shared" si="21"/>
        <v>#NUM!</v>
      </c>
      <c r="L263" s="111"/>
      <c r="M263" s="113">
        <f t="shared" si="22"/>
        <v>0</v>
      </c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s="96" customFormat="1">
      <c r="A264" s="132"/>
      <c r="B264" s="131"/>
      <c r="C264" s="131"/>
      <c r="D264" s="131"/>
      <c r="E264" s="131"/>
      <c r="F264" s="131"/>
      <c r="H264" s="111">
        <v>259</v>
      </c>
      <c r="I264" s="112" t="str">
        <f t="shared" si="19"/>
        <v/>
      </c>
      <c r="J264" s="112" t="e">
        <f t="shared" si="20"/>
        <v>#NUM!</v>
      </c>
      <c r="K264" s="111" t="e">
        <f t="shared" si="21"/>
        <v>#NUM!</v>
      </c>
      <c r="L264" s="111"/>
      <c r="M264" s="113">
        <f t="shared" si="22"/>
        <v>0</v>
      </c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s="96" customFormat="1">
      <c r="A265" s="132"/>
      <c r="B265" s="131"/>
      <c r="C265" s="131"/>
      <c r="D265" s="131"/>
      <c r="E265" s="131"/>
      <c r="F265" s="131"/>
      <c r="H265" s="111">
        <v>260</v>
      </c>
      <c r="I265" s="112" t="str">
        <f t="shared" si="19"/>
        <v/>
      </c>
      <c r="J265" s="112" t="e">
        <f t="shared" si="20"/>
        <v>#NUM!</v>
      </c>
      <c r="K265" s="111" t="e">
        <f t="shared" si="21"/>
        <v>#NUM!</v>
      </c>
      <c r="L265" s="111"/>
      <c r="M265" s="113">
        <f t="shared" si="22"/>
        <v>0</v>
      </c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s="96" customFormat="1">
      <c r="A266" s="132"/>
      <c r="B266" s="131"/>
      <c r="C266" s="131"/>
      <c r="D266" s="131"/>
      <c r="E266" s="131"/>
      <c r="F266" s="131"/>
      <c r="H266" s="111">
        <v>261</v>
      </c>
      <c r="I266" s="112" t="str">
        <f t="shared" si="19"/>
        <v/>
      </c>
      <c r="J266" s="112" t="e">
        <f t="shared" si="20"/>
        <v>#NUM!</v>
      </c>
      <c r="K266" s="111" t="e">
        <f t="shared" si="21"/>
        <v>#NUM!</v>
      </c>
      <c r="L266" s="111"/>
      <c r="M266" s="113">
        <f t="shared" si="22"/>
        <v>0</v>
      </c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s="96" customFormat="1">
      <c r="A267" s="132"/>
      <c r="B267" s="131"/>
      <c r="C267" s="131"/>
      <c r="D267" s="131"/>
      <c r="E267" s="131"/>
      <c r="F267" s="131"/>
      <c r="H267" s="111">
        <v>262</v>
      </c>
      <c r="I267" s="112" t="str">
        <f t="shared" si="19"/>
        <v/>
      </c>
      <c r="J267" s="112" t="e">
        <f t="shared" si="20"/>
        <v>#NUM!</v>
      </c>
      <c r="K267" s="111" t="e">
        <f t="shared" si="21"/>
        <v>#NUM!</v>
      </c>
      <c r="L267" s="111"/>
      <c r="M267" s="113">
        <f t="shared" si="22"/>
        <v>0</v>
      </c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s="96" customFormat="1">
      <c r="A268" s="132"/>
      <c r="B268" s="131"/>
      <c r="C268" s="131"/>
      <c r="D268" s="131"/>
      <c r="E268" s="131"/>
      <c r="F268" s="131"/>
      <c r="H268" s="111">
        <v>263</v>
      </c>
      <c r="I268" s="112" t="str">
        <f t="shared" si="19"/>
        <v/>
      </c>
      <c r="J268" s="112" t="e">
        <f t="shared" si="20"/>
        <v>#NUM!</v>
      </c>
      <c r="K268" s="111" t="e">
        <f t="shared" si="21"/>
        <v>#NUM!</v>
      </c>
      <c r="L268" s="111"/>
      <c r="M268" s="113">
        <f t="shared" si="22"/>
        <v>0</v>
      </c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s="96" customFormat="1">
      <c r="A269" s="132"/>
      <c r="B269" s="131"/>
      <c r="C269" s="131"/>
      <c r="D269" s="131"/>
      <c r="E269" s="131"/>
      <c r="F269" s="131"/>
      <c r="H269" s="111">
        <v>264</v>
      </c>
      <c r="I269" s="112" t="str">
        <f t="shared" si="19"/>
        <v/>
      </c>
      <c r="J269" s="112" t="e">
        <f t="shared" si="20"/>
        <v>#NUM!</v>
      </c>
      <c r="K269" s="111" t="e">
        <f t="shared" si="21"/>
        <v>#NUM!</v>
      </c>
      <c r="L269" s="111"/>
      <c r="M269" s="113">
        <f t="shared" si="22"/>
        <v>0</v>
      </c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s="96" customFormat="1">
      <c r="A270" s="132"/>
      <c r="B270" s="131"/>
      <c r="C270" s="131"/>
      <c r="D270" s="131"/>
      <c r="E270" s="131"/>
      <c r="F270" s="131"/>
      <c r="H270" s="111">
        <v>265</v>
      </c>
      <c r="I270" s="112" t="str">
        <f t="shared" si="19"/>
        <v/>
      </c>
      <c r="J270" s="112" t="e">
        <f t="shared" si="20"/>
        <v>#NUM!</v>
      </c>
      <c r="K270" s="111" t="e">
        <f t="shared" si="21"/>
        <v>#NUM!</v>
      </c>
      <c r="L270" s="111"/>
      <c r="M270" s="113">
        <f t="shared" si="22"/>
        <v>0</v>
      </c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s="96" customFormat="1">
      <c r="A271" s="132"/>
      <c r="B271" s="131"/>
      <c r="C271" s="131"/>
      <c r="D271" s="131"/>
      <c r="E271" s="131"/>
      <c r="F271" s="131"/>
      <c r="H271" s="111">
        <v>266</v>
      </c>
      <c r="I271" s="112" t="str">
        <f t="shared" si="19"/>
        <v/>
      </c>
      <c r="J271" s="112" t="e">
        <f t="shared" si="20"/>
        <v>#NUM!</v>
      </c>
      <c r="K271" s="111" t="e">
        <f t="shared" si="21"/>
        <v>#NUM!</v>
      </c>
      <c r="L271" s="111"/>
      <c r="M271" s="113">
        <f t="shared" si="22"/>
        <v>0</v>
      </c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s="96" customFormat="1">
      <c r="A272" s="132"/>
      <c r="B272" s="131"/>
      <c r="C272" s="131"/>
      <c r="D272" s="131"/>
      <c r="E272" s="131"/>
      <c r="F272" s="131"/>
      <c r="H272" s="111">
        <v>267</v>
      </c>
      <c r="I272" s="112" t="str">
        <f t="shared" si="19"/>
        <v/>
      </c>
      <c r="J272" s="112" t="e">
        <f t="shared" si="20"/>
        <v>#NUM!</v>
      </c>
      <c r="K272" s="111" t="e">
        <f t="shared" si="21"/>
        <v>#NUM!</v>
      </c>
      <c r="L272" s="111"/>
      <c r="M272" s="113">
        <f t="shared" si="22"/>
        <v>0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s="96" customFormat="1">
      <c r="A273" s="132"/>
      <c r="B273" s="131"/>
      <c r="C273" s="131"/>
      <c r="D273" s="131"/>
      <c r="E273" s="131"/>
      <c r="F273" s="131"/>
      <c r="H273" s="111">
        <v>268</v>
      </c>
      <c r="I273" s="112" t="str">
        <f t="shared" si="19"/>
        <v/>
      </c>
      <c r="J273" s="112" t="e">
        <f t="shared" si="20"/>
        <v>#NUM!</v>
      </c>
      <c r="K273" s="111" t="e">
        <f t="shared" si="21"/>
        <v>#NUM!</v>
      </c>
      <c r="L273" s="111"/>
      <c r="M273" s="113">
        <f t="shared" si="22"/>
        <v>0</v>
      </c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s="96" customFormat="1">
      <c r="A274" s="132"/>
      <c r="B274" s="131"/>
      <c r="C274" s="131"/>
      <c r="D274" s="131"/>
      <c r="E274" s="131"/>
      <c r="F274" s="131"/>
      <c r="H274" s="111">
        <v>269</v>
      </c>
      <c r="I274" s="112" t="str">
        <f t="shared" si="19"/>
        <v/>
      </c>
      <c r="J274" s="112" t="e">
        <f t="shared" si="20"/>
        <v>#NUM!</v>
      </c>
      <c r="K274" s="111" t="e">
        <f t="shared" si="21"/>
        <v>#NUM!</v>
      </c>
      <c r="L274" s="111"/>
      <c r="M274" s="113">
        <f t="shared" si="22"/>
        <v>0</v>
      </c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s="96" customFormat="1">
      <c r="A275" s="132"/>
      <c r="B275" s="131"/>
      <c r="C275" s="131"/>
      <c r="D275" s="131"/>
      <c r="E275" s="131"/>
      <c r="F275" s="131"/>
      <c r="H275" s="111">
        <v>270</v>
      </c>
      <c r="I275" s="112" t="str">
        <f t="shared" si="19"/>
        <v/>
      </c>
      <c r="J275" s="112" t="e">
        <f t="shared" si="20"/>
        <v>#NUM!</v>
      </c>
      <c r="K275" s="111" t="e">
        <f t="shared" si="21"/>
        <v>#NUM!</v>
      </c>
      <c r="L275" s="111"/>
      <c r="M275" s="113">
        <f t="shared" si="22"/>
        <v>0</v>
      </c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s="96" customFormat="1">
      <c r="A276" s="132"/>
      <c r="B276" s="131"/>
      <c r="C276" s="131"/>
      <c r="D276" s="131"/>
      <c r="E276" s="131"/>
      <c r="F276" s="131"/>
      <c r="H276" s="111">
        <v>271</v>
      </c>
      <c r="I276" s="112" t="str">
        <f t="shared" si="19"/>
        <v/>
      </c>
      <c r="J276" s="112" t="e">
        <f t="shared" si="20"/>
        <v>#NUM!</v>
      </c>
      <c r="K276" s="111" t="e">
        <f t="shared" si="21"/>
        <v>#NUM!</v>
      </c>
      <c r="L276" s="111"/>
      <c r="M276" s="113">
        <f t="shared" si="22"/>
        <v>0</v>
      </c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s="96" customFormat="1">
      <c r="A277" s="132"/>
      <c r="B277" s="131"/>
      <c r="C277" s="131"/>
      <c r="D277" s="131"/>
      <c r="E277" s="131"/>
      <c r="F277" s="131"/>
      <c r="H277" s="111">
        <v>272</v>
      </c>
      <c r="I277" s="112" t="str">
        <f t="shared" si="19"/>
        <v/>
      </c>
      <c r="J277" s="112" t="e">
        <f t="shared" si="20"/>
        <v>#NUM!</v>
      </c>
      <c r="K277" s="111" t="e">
        <f t="shared" si="21"/>
        <v>#NUM!</v>
      </c>
      <c r="L277" s="111"/>
      <c r="M277" s="113">
        <f t="shared" si="22"/>
        <v>0</v>
      </c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s="96" customFormat="1">
      <c r="A278" s="132"/>
      <c r="B278" s="131"/>
      <c r="C278" s="131"/>
      <c r="D278" s="131"/>
      <c r="E278" s="131"/>
      <c r="F278" s="131"/>
      <c r="H278" s="111">
        <v>273</v>
      </c>
      <c r="I278" s="112" t="str">
        <f t="shared" si="19"/>
        <v/>
      </c>
      <c r="J278" s="112" t="e">
        <f t="shared" si="20"/>
        <v>#NUM!</v>
      </c>
      <c r="K278" s="111" t="e">
        <f t="shared" si="21"/>
        <v>#NUM!</v>
      </c>
      <c r="L278" s="111"/>
      <c r="M278" s="113">
        <f t="shared" si="22"/>
        <v>0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s="96" customFormat="1">
      <c r="A279" s="132"/>
      <c r="B279" s="131"/>
      <c r="C279" s="131"/>
      <c r="D279" s="131"/>
      <c r="E279" s="131"/>
      <c r="F279" s="131"/>
      <c r="H279" s="111">
        <v>274</v>
      </c>
      <c r="I279" s="112" t="str">
        <f t="shared" si="19"/>
        <v/>
      </c>
      <c r="J279" s="112" t="e">
        <f t="shared" si="20"/>
        <v>#NUM!</v>
      </c>
      <c r="K279" s="111" t="e">
        <f t="shared" si="21"/>
        <v>#NUM!</v>
      </c>
      <c r="L279" s="111"/>
      <c r="M279" s="113">
        <f t="shared" si="22"/>
        <v>0</v>
      </c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s="96" customFormat="1">
      <c r="A280" s="132"/>
      <c r="B280" s="131"/>
      <c r="C280" s="131"/>
      <c r="D280" s="131"/>
      <c r="E280" s="131"/>
      <c r="F280" s="131"/>
      <c r="H280" s="111">
        <v>275</v>
      </c>
      <c r="I280" s="112" t="str">
        <f t="shared" si="19"/>
        <v/>
      </c>
      <c r="J280" s="112" t="e">
        <f t="shared" si="20"/>
        <v>#NUM!</v>
      </c>
      <c r="K280" s="111" t="e">
        <f t="shared" si="21"/>
        <v>#NUM!</v>
      </c>
      <c r="L280" s="111"/>
      <c r="M280" s="113">
        <f t="shared" si="22"/>
        <v>0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s="96" customFormat="1">
      <c r="A281" s="132"/>
      <c r="B281" s="131"/>
      <c r="C281" s="131"/>
      <c r="D281" s="131"/>
      <c r="E281" s="131"/>
      <c r="F281" s="131"/>
      <c r="H281" s="111">
        <v>276</v>
      </c>
      <c r="I281" s="112" t="str">
        <f t="shared" si="19"/>
        <v/>
      </c>
      <c r="J281" s="112" t="e">
        <f t="shared" si="20"/>
        <v>#NUM!</v>
      </c>
      <c r="K281" s="111" t="e">
        <f t="shared" si="21"/>
        <v>#NUM!</v>
      </c>
      <c r="L281" s="111"/>
      <c r="M281" s="113">
        <f t="shared" si="22"/>
        <v>0</v>
      </c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s="96" customFormat="1">
      <c r="A282" s="132"/>
      <c r="B282" s="131"/>
      <c r="C282" s="131"/>
      <c r="D282" s="131"/>
      <c r="E282" s="131"/>
      <c r="F282" s="131"/>
      <c r="H282" s="111">
        <v>277</v>
      </c>
      <c r="I282" s="112" t="str">
        <f t="shared" si="19"/>
        <v/>
      </c>
      <c r="J282" s="112" t="e">
        <f t="shared" si="20"/>
        <v>#NUM!</v>
      </c>
      <c r="K282" s="111" t="e">
        <f t="shared" si="21"/>
        <v>#NUM!</v>
      </c>
      <c r="L282" s="111"/>
      <c r="M282" s="113">
        <f t="shared" si="22"/>
        <v>0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s="96" customFormat="1">
      <c r="A283" s="132"/>
      <c r="B283" s="131"/>
      <c r="C283" s="131"/>
      <c r="D283" s="131"/>
      <c r="E283" s="131"/>
      <c r="F283" s="131"/>
      <c r="H283" s="111">
        <v>278</v>
      </c>
      <c r="I283" s="112" t="str">
        <f t="shared" si="19"/>
        <v/>
      </c>
      <c r="J283" s="112" t="e">
        <f t="shared" si="20"/>
        <v>#NUM!</v>
      </c>
      <c r="K283" s="111" t="e">
        <f t="shared" si="21"/>
        <v>#NUM!</v>
      </c>
      <c r="L283" s="111"/>
      <c r="M283" s="113">
        <f t="shared" si="22"/>
        <v>0</v>
      </c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s="96" customFormat="1">
      <c r="A284" s="132"/>
      <c r="B284" s="131"/>
      <c r="C284" s="131"/>
      <c r="D284" s="131"/>
      <c r="E284" s="131"/>
      <c r="F284" s="131"/>
      <c r="H284" s="111">
        <v>279</v>
      </c>
      <c r="I284" s="112" t="str">
        <f t="shared" si="19"/>
        <v/>
      </c>
      <c r="J284" s="112" t="e">
        <f t="shared" si="20"/>
        <v>#NUM!</v>
      </c>
      <c r="K284" s="111" t="e">
        <f t="shared" si="21"/>
        <v>#NUM!</v>
      </c>
      <c r="L284" s="111"/>
      <c r="M284" s="113">
        <f t="shared" si="22"/>
        <v>0</v>
      </c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s="96" customFormat="1">
      <c r="A285" s="132"/>
      <c r="B285" s="131"/>
      <c r="C285" s="131"/>
      <c r="D285" s="131"/>
      <c r="E285" s="131"/>
      <c r="F285" s="131"/>
      <c r="H285" s="111">
        <v>280</v>
      </c>
      <c r="I285" s="112" t="str">
        <f t="shared" si="19"/>
        <v/>
      </c>
      <c r="J285" s="112" t="e">
        <f t="shared" si="20"/>
        <v>#NUM!</v>
      </c>
      <c r="K285" s="111" t="e">
        <f t="shared" si="21"/>
        <v>#NUM!</v>
      </c>
      <c r="L285" s="111"/>
      <c r="M285" s="113">
        <f t="shared" si="22"/>
        <v>0</v>
      </c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s="96" customFormat="1">
      <c r="A286" s="132"/>
      <c r="B286" s="131"/>
      <c r="C286" s="131"/>
      <c r="D286" s="131"/>
      <c r="E286" s="131"/>
      <c r="F286" s="131"/>
      <c r="H286" s="111">
        <v>281</v>
      </c>
      <c r="I286" s="112" t="str">
        <f t="shared" si="19"/>
        <v/>
      </c>
      <c r="J286" s="112" t="e">
        <f t="shared" si="20"/>
        <v>#NUM!</v>
      </c>
      <c r="K286" s="111" t="e">
        <f t="shared" si="21"/>
        <v>#NUM!</v>
      </c>
      <c r="L286" s="111"/>
      <c r="M286" s="113">
        <f t="shared" si="22"/>
        <v>0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s="96" customFormat="1">
      <c r="A287" s="132"/>
      <c r="B287" s="131"/>
      <c r="C287" s="131"/>
      <c r="D287" s="131"/>
      <c r="E287" s="131"/>
      <c r="F287" s="131"/>
      <c r="H287" s="111">
        <v>282</v>
      </c>
      <c r="I287" s="112" t="str">
        <f t="shared" si="19"/>
        <v/>
      </c>
      <c r="J287" s="112" t="e">
        <f t="shared" si="20"/>
        <v>#NUM!</v>
      </c>
      <c r="K287" s="111" t="e">
        <f t="shared" si="21"/>
        <v>#NUM!</v>
      </c>
      <c r="L287" s="111"/>
      <c r="M287" s="113">
        <f t="shared" si="22"/>
        <v>0</v>
      </c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s="96" customFormat="1">
      <c r="A288" s="132"/>
      <c r="B288" s="131"/>
      <c r="C288" s="131"/>
      <c r="D288" s="131"/>
      <c r="E288" s="131"/>
      <c r="F288" s="131"/>
      <c r="H288" s="111">
        <v>283</v>
      </c>
      <c r="I288" s="112" t="str">
        <f t="shared" si="19"/>
        <v/>
      </c>
      <c r="J288" s="112" t="e">
        <f t="shared" si="20"/>
        <v>#NUM!</v>
      </c>
      <c r="K288" s="111" t="e">
        <f t="shared" si="21"/>
        <v>#NUM!</v>
      </c>
      <c r="L288" s="111"/>
      <c r="M288" s="113">
        <f t="shared" si="22"/>
        <v>0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s="96" customFormat="1">
      <c r="A289" s="132"/>
      <c r="B289" s="131"/>
      <c r="C289" s="131"/>
      <c r="D289" s="131"/>
      <c r="E289" s="131"/>
      <c r="F289" s="131"/>
      <c r="H289" s="111">
        <v>284</v>
      </c>
      <c r="I289" s="112" t="str">
        <f t="shared" si="19"/>
        <v/>
      </c>
      <c r="J289" s="112" t="e">
        <f t="shared" si="20"/>
        <v>#NUM!</v>
      </c>
      <c r="K289" s="111" t="e">
        <f t="shared" si="21"/>
        <v>#NUM!</v>
      </c>
      <c r="L289" s="111"/>
      <c r="M289" s="113">
        <f t="shared" si="22"/>
        <v>0</v>
      </c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s="96" customFormat="1">
      <c r="A290" s="132"/>
      <c r="B290" s="131"/>
      <c r="C290" s="131"/>
      <c r="D290" s="131"/>
      <c r="E290" s="131"/>
      <c r="F290" s="131"/>
      <c r="H290" s="111">
        <v>285</v>
      </c>
      <c r="I290" s="112" t="str">
        <f t="shared" si="19"/>
        <v/>
      </c>
      <c r="J290" s="112" t="e">
        <f t="shared" si="20"/>
        <v>#NUM!</v>
      </c>
      <c r="K290" s="111" t="e">
        <f t="shared" si="21"/>
        <v>#NUM!</v>
      </c>
      <c r="L290" s="111"/>
      <c r="M290" s="113">
        <f t="shared" si="22"/>
        <v>0</v>
      </c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s="96" customFormat="1">
      <c r="A291" s="132"/>
      <c r="B291" s="131"/>
      <c r="C291" s="131"/>
      <c r="D291" s="131"/>
      <c r="E291" s="131"/>
      <c r="F291" s="131"/>
      <c r="H291" s="111">
        <v>286</v>
      </c>
      <c r="I291" s="112" t="str">
        <f t="shared" si="19"/>
        <v/>
      </c>
      <c r="J291" s="112" t="e">
        <f t="shared" si="20"/>
        <v>#NUM!</v>
      </c>
      <c r="K291" s="111" t="e">
        <f t="shared" si="21"/>
        <v>#NUM!</v>
      </c>
      <c r="L291" s="111"/>
      <c r="M291" s="113">
        <f t="shared" si="22"/>
        <v>0</v>
      </c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s="96" customFormat="1">
      <c r="A292" s="132"/>
      <c r="B292" s="131"/>
      <c r="C292" s="131"/>
      <c r="D292" s="131"/>
      <c r="E292" s="131"/>
      <c r="F292" s="131"/>
      <c r="H292" s="111">
        <v>287</v>
      </c>
      <c r="I292" s="112" t="str">
        <f t="shared" si="19"/>
        <v/>
      </c>
      <c r="J292" s="112" t="e">
        <f t="shared" si="20"/>
        <v>#NUM!</v>
      </c>
      <c r="K292" s="111" t="e">
        <f t="shared" si="21"/>
        <v>#NUM!</v>
      </c>
      <c r="L292" s="111"/>
      <c r="M292" s="113">
        <f t="shared" si="22"/>
        <v>0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s="96" customFormat="1">
      <c r="A293" s="132"/>
      <c r="B293" s="131"/>
      <c r="C293" s="131"/>
      <c r="D293" s="131"/>
      <c r="E293" s="131"/>
      <c r="F293" s="131"/>
      <c r="H293" s="111">
        <v>288</v>
      </c>
      <c r="I293" s="112" t="str">
        <f t="shared" si="19"/>
        <v/>
      </c>
      <c r="J293" s="112" t="e">
        <f t="shared" si="20"/>
        <v>#NUM!</v>
      </c>
      <c r="K293" s="111" t="e">
        <f t="shared" si="21"/>
        <v>#NUM!</v>
      </c>
      <c r="L293" s="111"/>
      <c r="M293" s="113">
        <f t="shared" si="22"/>
        <v>0</v>
      </c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s="96" customFormat="1">
      <c r="A294" s="132"/>
      <c r="B294" s="131"/>
      <c r="C294" s="131"/>
      <c r="D294" s="131"/>
      <c r="E294" s="131"/>
      <c r="F294" s="131"/>
      <c r="H294" s="111">
        <v>289</v>
      </c>
      <c r="I294" s="112" t="str">
        <f t="shared" si="19"/>
        <v/>
      </c>
      <c r="J294" s="112" t="e">
        <f t="shared" si="20"/>
        <v>#NUM!</v>
      </c>
      <c r="K294" s="111" t="e">
        <f t="shared" si="21"/>
        <v>#NUM!</v>
      </c>
      <c r="L294" s="111"/>
      <c r="M294" s="113">
        <f t="shared" si="22"/>
        <v>0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s="96" customFormat="1">
      <c r="A295" s="132"/>
      <c r="B295" s="131"/>
      <c r="C295" s="131"/>
      <c r="D295" s="131"/>
      <c r="E295" s="131"/>
      <c r="F295" s="131"/>
      <c r="H295" s="111">
        <v>290</v>
      </c>
      <c r="I295" s="112" t="str">
        <f t="shared" si="19"/>
        <v/>
      </c>
      <c r="J295" s="112" t="e">
        <f t="shared" si="20"/>
        <v>#NUM!</v>
      </c>
      <c r="K295" s="111" t="e">
        <f t="shared" si="21"/>
        <v>#NUM!</v>
      </c>
      <c r="L295" s="111"/>
      <c r="M295" s="113">
        <f t="shared" si="22"/>
        <v>0</v>
      </c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s="96" customFormat="1">
      <c r="A296" s="132"/>
      <c r="B296" s="131"/>
      <c r="C296" s="131"/>
      <c r="D296" s="131"/>
      <c r="E296" s="131"/>
      <c r="F296" s="131"/>
      <c r="H296" s="111">
        <v>291</v>
      </c>
      <c r="I296" s="112" t="str">
        <f t="shared" si="19"/>
        <v/>
      </c>
      <c r="J296" s="112" t="e">
        <f t="shared" si="20"/>
        <v>#NUM!</v>
      </c>
      <c r="K296" s="111" t="e">
        <f t="shared" si="21"/>
        <v>#NUM!</v>
      </c>
      <c r="L296" s="111"/>
      <c r="M296" s="113">
        <f t="shared" si="22"/>
        <v>0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s="96" customFormat="1">
      <c r="A297" s="132"/>
      <c r="B297" s="131"/>
      <c r="C297" s="131"/>
      <c r="D297" s="131"/>
      <c r="E297" s="131"/>
      <c r="F297" s="131"/>
      <c r="H297" s="111">
        <v>292</v>
      </c>
      <c r="I297" s="112" t="str">
        <f t="shared" si="19"/>
        <v/>
      </c>
      <c r="J297" s="112" t="e">
        <f t="shared" si="20"/>
        <v>#NUM!</v>
      </c>
      <c r="K297" s="111" t="e">
        <f t="shared" si="21"/>
        <v>#NUM!</v>
      </c>
      <c r="L297" s="111"/>
      <c r="M297" s="113">
        <f t="shared" si="22"/>
        <v>0</v>
      </c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s="96" customFormat="1">
      <c r="A298" s="132"/>
      <c r="B298" s="131"/>
      <c r="C298" s="131"/>
      <c r="D298" s="131"/>
      <c r="E298" s="131"/>
      <c r="F298" s="131"/>
      <c r="H298" s="111">
        <v>293</v>
      </c>
      <c r="I298" s="112" t="str">
        <f t="shared" si="19"/>
        <v/>
      </c>
      <c r="J298" s="112" t="e">
        <f t="shared" si="20"/>
        <v>#NUM!</v>
      </c>
      <c r="K298" s="111" t="e">
        <f t="shared" si="21"/>
        <v>#NUM!</v>
      </c>
      <c r="L298" s="111"/>
      <c r="M298" s="113">
        <f t="shared" si="22"/>
        <v>0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s="96" customFormat="1">
      <c r="A299" s="132"/>
      <c r="B299" s="131"/>
      <c r="C299" s="131"/>
      <c r="D299" s="131"/>
      <c r="E299" s="131"/>
      <c r="F299" s="131"/>
      <c r="H299" s="111">
        <v>294</v>
      </c>
      <c r="I299" s="112" t="str">
        <f t="shared" si="19"/>
        <v/>
      </c>
      <c r="J299" s="112" t="e">
        <f t="shared" si="20"/>
        <v>#NUM!</v>
      </c>
      <c r="K299" s="111" t="e">
        <f t="shared" si="21"/>
        <v>#NUM!</v>
      </c>
      <c r="L299" s="111"/>
      <c r="M299" s="113">
        <f t="shared" si="22"/>
        <v>0</v>
      </c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s="96" customFormat="1">
      <c r="A300" s="132"/>
      <c r="B300" s="131"/>
      <c r="C300" s="131"/>
      <c r="D300" s="131"/>
      <c r="E300" s="131"/>
      <c r="F300" s="131"/>
      <c r="H300" s="111">
        <v>295</v>
      </c>
      <c r="I300" s="112" t="str">
        <f t="shared" si="19"/>
        <v/>
      </c>
      <c r="J300" s="112" t="e">
        <f t="shared" si="20"/>
        <v>#NUM!</v>
      </c>
      <c r="K300" s="111" t="e">
        <f t="shared" si="21"/>
        <v>#NUM!</v>
      </c>
      <c r="L300" s="111"/>
      <c r="M300" s="113">
        <f t="shared" si="22"/>
        <v>0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s="96" customFormat="1">
      <c r="A301" s="132"/>
      <c r="B301" s="131"/>
      <c r="C301" s="131"/>
      <c r="D301" s="131"/>
      <c r="E301" s="131"/>
      <c r="F301" s="131"/>
      <c r="H301" s="111">
        <v>296</v>
      </c>
      <c r="I301" s="112" t="str">
        <f t="shared" si="19"/>
        <v/>
      </c>
      <c r="J301" s="112" t="e">
        <f t="shared" si="20"/>
        <v>#NUM!</v>
      </c>
      <c r="K301" s="111" t="e">
        <f t="shared" si="21"/>
        <v>#NUM!</v>
      </c>
      <c r="L301" s="111"/>
      <c r="M301" s="113">
        <f t="shared" si="22"/>
        <v>0</v>
      </c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s="96" customFormat="1">
      <c r="A302" s="132"/>
      <c r="B302" s="131"/>
      <c r="C302" s="131"/>
      <c r="D302" s="131"/>
      <c r="E302" s="131"/>
      <c r="F302" s="131"/>
      <c r="H302" s="111">
        <v>297</v>
      </c>
      <c r="I302" s="112" t="str">
        <f t="shared" si="19"/>
        <v/>
      </c>
      <c r="J302" s="112" t="e">
        <f t="shared" si="20"/>
        <v>#NUM!</v>
      </c>
      <c r="K302" s="111" t="e">
        <f t="shared" si="21"/>
        <v>#NUM!</v>
      </c>
      <c r="L302" s="111"/>
      <c r="M302" s="113">
        <f t="shared" si="22"/>
        <v>0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s="96" customFormat="1">
      <c r="A303" s="132"/>
      <c r="B303" s="131"/>
      <c r="C303" s="131"/>
      <c r="D303" s="131"/>
      <c r="E303" s="131"/>
      <c r="F303" s="131"/>
      <c r="H303" s="111">
        <v>298</v>
      </c>
      <c r="I303" s="112" t="str">
        <f t="shared" si="19"/>
        <v/>
      </c>
      <c r="J303" s="112" t="e">
        <f t="shared" si="20"/>
        <v>#NUM!</v>
      </c>
      <c r="K303" s="111" t="e">
        <f t="shared" si="21"/>
        <v>#NUM!</v>
      </c>
      <c r="L303" s="111"/>
      <c r="M303" s="113">
        <f t="shared" si="22"/>
        <v>0</v>
      </c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s="96" customFormat="1">
      <c r="A304" s="132"/>
      <c r="B304" s="131"/>
      <c r="C304" s="131"/>
      <c r="D304" s="131"/>
      <c r="E304" s="131"/>
      <c r="F304" s="131"/>
      <c r="H304" s="111">
        <v>299</v>
      </c>
      <c r="I304" s="112" t="str">
        <f t="shared" si="19"/>
        <v/>
      </c>
      <c r="J304" s="112" t="e">
        <f t="shared" si="20"/>
        <v>#NUM!</v>
      </c>
      <c r="K304" s="111" t="e">
        <f t="shared" si="21"/>
        <v>#NUM!</v>
      </c>
      <c r="L304" s="111"/>
      <c r="M304" s="113">
        <f t="shared" si="22"/>
        <v>0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s="96" customFormat="1">
      <c r="A305" s="132"/>
      <c r="B305" s="131"/>
      <c r="C305" s="131"/>
      <c r="D305" s="131"/>
      <c r="E305" s="131"/>
      <c r="F305" s="131"/>
      <c r="H305" s="111">
        <v>300</v>
      </c>
      <c r="I305" s="112" t="str">
        <f t="shared" si="19"/>
        <v/>
      </c>
      <c r="J305" s="112" t="e">
        <f t="shared" si="20"/>
        <v>#NUM!</v>
      </c>
      <c r="K305" s="111" t="e">
        <f t="shared" si="21"/>
        <v>#NUM!</v>
      </c>
      <c r="L305" s="111"/>
      <c r="M305" s="113">
        <f t="shared" si="22"/>
        <v>0</v>
      </c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/>
      <c r="K306" s="134"/>
      <c r="L306" s="134"/>
      <c r="M306" s="135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14" spans="1:38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/>
      <c r="K314" s="134"/>
      <c r="L314" s="136"/>
      <c r="M314" s="135"/>
      <c r="P314" s="123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/>
      <c r="K315" s="134"/>
      <c r="L315" s="136"/>
      <c r="M315" s="135"/>
      <c r="P315" s="123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/>
      <c r="K316" s="134"/>
      <c r="L316" s="136"/>
      <c r="M316" s="135"/>
      <c r="P316" s="123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/>
      <c r="K317" s="134"/>
      <c r="L317" s="136"/>
      <c r="M317" s="135"/>
      <c r="P317" s="123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F0CD-4F1D-412A-A3D6-A148E0E1734F}">
  <sheetPr>
    <tabColor rgb="FF92D050"/>
  </sheetPr>
  <dimension ref="A1:AM317"/>
  <sheetViews>
    <sheetView workbookViewId="0">
      <selection activeCell="P20" sqref="P20"/>
    </sheetView>
  </sheetViews>
  <sheetFormatPr defaultColWidth="8.85546875" defaultRowHeight="15"/>
  <cols>
    <col min="1" max="1" width="8" style="131" customWidth="1"/>
    <col min="2" max="2" width="8.28515625" style="131" customWidth="1"/>
    <col min="3" max="3" width="34.7109375" style="131" customWidth="1"/>
    <col min="4" max="4" width="11.28515625" style="131" customWidth="1"/>
    <col min="5" max="6" width="8.85546875" style="131"/>
    <col min="7" max="7" width="0.85546875" style="131" customWidth="1"/>
    <col min="8" max="8" width="8.85546875" style="134"/>
    <col min="9" max="9" width="11" style="134" customWidth="1"/>
    <col min="10" max="10" width="15.28515625" style="134" customWidth="1"/>
    <col min="11" max="11" width="8.7109375" style="134" customWidth="1"/>
    <col min="12" max="12" width="11" style="134" customWidth="1"/>
    <col min="13" max="13" width="11.7109375" style="134" customWidth="1"/>
    <col min="14" max="14" width="11.7109375" style="135" customWidth="1"/>
    <col min="15" max="16" width="13.85546875" style="96" customWidth="1"/>
    <col min="17" max="19" width="8.85546875" style="96"/>
    <col min="20" max="21" width="8.85546875" style="101"/>
    <col min="22" max="22" width="12.140625" style="101" customWidth="1"/>
    <col min="23" max="23" width="27.42578125" style="101" customWidth="1"/>
    <col min="24" max="39" width="8.85546875" style="101"/>
    <col min="40" max="16384" width="8.85546875" style="131"/>
  </cols>
  <sheetData>
    <row r="1" spans="1:37" s="101" customFormat="1">
      <c r="A1" s="96"/>
      <c r="B1" s="96"/>
      <c r="C1" s="96"/>
      <c r="D1" s="96"/>
      <c r="E1" s="96"/>
      <c r="F1" s="96"/>
      <c r="G1" s="96"/>
      <c r="H1" s="97" t="s">
        <v>23</v>
      </c>
      <c r="I1" s="98" t="s">
        <v>24</v>
      </c>
      <c r="J1" s="98" t="s">
        <v>25</v>
      </c>
      <c r="K1" s="99" t="s">
        <v>69</v>
      </c>
      <c r="L1" s="138" t="s">
        <v>70</v>
      </c>
      <c r="M1" s="139"/>
      <c r="N1" s="100"/>
      <c r="O1" s="96"/>
      <c r="P1" s="96"/>
      <c r="Q1" s="96"/>
      <c r="R1" s="96"/>
      <c r="S1" s="96"/>
    </row>
    <row r="2" spans="1:37" s="101" customFormat="1" ht="14.25" customHeight="1">
      <c r="A2" s="96"/>
      <c r="B2" s="25" t="s">
        <v>28</v>
      </c>
      <c r="C2" s="192" t="s">
        <v>101</v>
      </c>
      <c r="D2" s="192"/>
      <c r="E2" s="26"/>
      <c r="F2" s="26"/>
      <c r="G2" s="26"/>
      <c r="H2" s="102">
        <v>23</v>
      </c>
      <c r="I2" s="103">
        <v>50</v>
      </c>
      <c r="J2" s="103">
        <v>10</v>
      </c>
      <c r="K2" s="137">
        <f>3*H2^(1/3)</f>
        <v>8.5316009395546963</v>
      </c>
      <c r="L2" s="140">
        <v>1.2</v>
      </c>
      <c r="M2" s="100"/>
      <c r="N2" s="100"/>
      <c r="O2" s="96"/>
      <c r="P2" s="96"/>
      <c r="Q2" s="96"/>
      <c r="R2" s="96"/>
      <c r="S2" s="96"/>
    </row>
    <row r="3" spans="1:37" s="101" customFormat="1" ht="14.25" customHeight="1">
      <c r="A3" s="96"/>
      <c r="B3" s="105" t="s">
        <v>30</v>
      </c>
      <c r="C3" s="183">
        <v>2023</v>
      </c>
      <c r="D3" s="183"/>
      <c r="E3" s="31"/>
      <c r="F3" s="31"/>
      <c r="G3" s="31"/>
      <c r="H3" s="100"/>
      <c r="I3" s="100"/>
      <c r="J3" s="106"/>
      <c r="K3" s="100"/>
      <c r="L3" s="100"/>
      <c r="M3" s="100"/>
      <c r="N3" s="100"/>
      <c r="O3" s="96"/>
      <c r="P3" s="96"/>
      <c r="Q3" s="96"/>
      <c r="R3" s="96"/>
      <c r="S3" s="96"/>
    </row>
    <row r="4" spans="1:37" s="101" customFormat="1" ht="10.15" customHeight="1">
      <c r="A4" s="33"/>
      <c r="B4" s="31"/>
      <c r="C4" s="33"/>
      <c r="D4" s="33"/>
      <c r="E4" s="33"/>
      <c r="F4" s="33"/>
      <c r="G4" s="33"/>
      <c r="H4" s="100"/>
      <c r="I4" s="100"/>
      <c r="J4" s="106"/>
      <c r="K4" s="100"/>
      <c r="L4" s="100"/>
      <c r="M4" s="100"/>
      <c r="N4" s="100"/>
      <c r="O4" s="96"/>
      <c r="P4" s="96"/>
      <c r="Q4" s="96"/>
      <c r="R4" s="96"/>
      <c r="S4" s="96"/>
    </row>
    <row r="5" spans="1:37" s="101" customFormat="1" ht="36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107" t="s">
        <v>38</v>
      </c>
      <c r="I5" s="108" t="s">
        <v>39</v>
      </c>
      <c r="J5" s="109" t="s">
        <v>40</v>
      </c>
      <c r="K5" s="108" t="s">
        <v>41</v>
      </c>
      <c r="L5" s="108" t="s">
        <v>42</v>
      </c>
      <c r="M5" s="107" t="s">
        <v>43</v>
      </c>
      <c r="N5" s="107" t="s">
        <v>73</v>
      </c>
      <c r="O5" s="96"/>
      <c r="P5" s="96"/>
      <c r="Q5" s="96"/>
      <c r="R5" s="96"/>
      <c r="S5" s="96"/>
    </row>
    <row r="6" spans="1:37" s="101" customFormat="1" ht="14.45" customHeight="1">
      <c r="A6" s="110">
        <f t="shared" ref="A6:A69" si="0">N6</f>
        <v>150.71376338239691</v>
      </c>
      <c r="B6" s="39">
        <f t="shared" ref="B6:B28" si="1">IF(H6&gt;$H$2,"",(ROW()-5))</f>
        <v>1</v>
      </c>
      <c r="C6" s="40" t="s">
        <v>102</v>
      </c>
      <c r="D6" s="40" t="s">
        <v>103</v>
      </c>
      <c r="E6" s="40" t="s">
        <v>104</v>
      </c>
      <c r="F6" s="40"/>
      <c r="G6" s="33"/>
      <c r="H6" s="111">
        <v>1</v>
      </c>
      <c r="I6" s="112">
        <f t="shared" ref="I6:I69" si="2">IF(H6&lt;$H$2+1,($I$2-($I$2-1)*(LOG(H6)/LOG($H$2))),"")</f>
        <v>50</v>
      </c>
      <c r="J6" s="111">
        <f t="shared" ref="J6:J69" si="3">INT(LOG($H$2,2))-ROUNDUP(LOG(H6,2),0)+IF(OR($H$2=1,$H$2=2,$H$2=4,$H$2=8,$H$2=16,$H$2=32,$H$2=64,$H$2=128,$H$2=256),0,1)</f>
        <v>5</v>
      </c>
      <c r="K6" s="111">
        <f t="shared" ref="K6:K69" si="4">J6*$J$2</f>
        <v>50</v>
      </c>
      <c r="L6" s="113">
        <f>3*K2</f>
        <v>25.594802818664089</v>
      </c>
      <c r="M6" s="113">
        <f t="shared" ref="M6:M69" si="5">IF(I6&lt;&gt;"",K6+I6+L6,0)</f>
        <v>125.59480281866409</v>
      </c>
      <c r="N6" s="113">
        <f t="shared" ref="N6:N69" si="6">IF(I6&lt;&gt;"",M6*L$2,0)</f>
        <v>150.71376338239691</v>
      </c>
      <c r="O6" s="96"/>
      <c r="P6" s="96"/>
      <c r="Q6" s="96"/>
      <c r="R6" s="96"/>
      <c r="S6" s="96"/>
    </row>
    <row r="7" spans="1:37" s="101" customFormat="1" ht="14.45" customHeight="1">
      <c r="A7" s="114">
        <f t="shared" si="0"/>
        <v>115.47723616283002</v>
      </c>
      <c r="B7" s="45">
        <f t="shared" si="1"/>
        <v>2</v>
      </c>
      <c r="C7" s="46" t="s">
        <v>105</v>
      </c>
      <c r="D7" s="46" t="s">
        <v>106</v>
      </c>
      <c r="E7" s="46" t="s">
        <v>104</v>
      </c>
      <c r="F7" s="46"/>
      <c r="G7" s="33"/>
      <c r="H7" s="115">
        <v>2</v>
      </c>
      <c r="I7" s="116">
        <f t="shared" si="2"/>
        <v>39.167828256582318</v>
      </c>
      <c r="J7" s="115">
        <f t="shared" si="3"/>
        <v>4</v>
      </c>
      <c r="K7" s="115">
        <f t="shared" si="4"/>
        <v>40</v>
      </c>
      <c r="L7" s="117">
        <f>2*K2</f>
        <v>17.063201879109393</v>
      </c>
      <c r="M7" s="117">
        <f t="shared" si="5"/>
        <v>96.231030135691697</v>
      </c>
      <c r="N7" s="117">
        <f t="shared" si="6"/>
        <v>115.47723616283002</v>
      </c>
      <c r="O7" s="96"/>
      <c r="P7" s="96"/>
      <c r="Q7" s="96"/>
      <c r="R7" s="96"/>
      <c r="S7" s="96"/>
    </row>
    <row r="8" spans="1:37" s="101" customFormat="1" ht="14.45" customHeight="1">
      <c r="A8" s="110">
        <f t="shared" si="0"/>
        <v>85.635617909839638</v>
      </c>
      <c r="B8" s="39">
        <f t="shared" si="1"/>
        <v>3</v>
      </c>
      <c r="C8" s="76" t="s">
        <v>107</v>
      </c>
      <c r="D8" s="40" t="s">
        <v>108</v>
      </c>
      <c r="E8" s="40" t="s">
        <v>104</v>
      </c>
      <c r="F8" s="40"/>
      <c r="G8" s="33"/>
      <c r="H8" s="111">
        <v>3</v>
      </c>
      <c r="I8" s="112">
        <f t="shared" si="2"/>
        <v>32.831413985311663</v>
      </c>
      <c r="J8" s="111">
        <f t="shared" si="3"/>
        <v>3</v>
      </c>
      <c r="K8" s="111">
        <f t="shared" si="4"/>
        <v>30</v>
      </c>
      <c r="L8" s="113">
        <f>K2</f>
        <v>8.5316009395546963</v>
      </c>
      <c r="M8" s="113">
        <f t="shared" si="5"/>
        <v>71.363014924866363</v>
      </c>
      <c r="N8" s="113">
        <f t="shared" si="6"/>
        <v>85.635617909839638</v>
      </c>
      <c r="O8" s="96"/>
      <c r="P8" s="96"/>
      <c r="Q8" s="96"/>
      <c r="R8" s="96"/>
      <c r="S8" s="96"/>
    </row>
    <row r="9" spans="1:37" s="101" customFormat="1" ht="14.45" customHeight="1">
      <c r="A9" s="114">
        <f t="shared" si="0"/>
        <v>85.635617909839638</v>
      </c>
      <c r="B9" s="45">
        <f t="shared" si="1"/>
        <v>4</v>
      </c>
      <c r="C9" s="46" t="s">
        <v>109</v>
      </c>
      <c r="D9" s="46" t="s">
        <v>110</v>
      </c>
      <c r="E9" s="46" t="s">
        <v>111</v>
      </c>
      <c r="F9" s="46"/>
      <c r="G9" s="33"/>
      <c r="H9" s="115">
        <v>3</v>
      </c>
      <c r="I9" s="116">
        <f t="shared" si="2"/>
        <v>32.831413985311663</v>
      </c>
      <c r="J9" s="115">
        <f t="shared" si="3"/>
        <v>3</v>
      </c>
      <c r="K9" s="115">
        <f t="shared" si="4"/>
        <v>30</v>
      </c>
      <c r="L9" s="117">
        <f>K2</f>
        <v>8.5316009395546963</v>
      </c>
      <c r="M9" s="117">
        <f t="shared" si="5"/>
        <v>71.363014924866363</v>
      </c>
      <c r="N9" s="117">
        <f t="shared" si="6"/>
        <v>85.635617909839638</v>
      </c>
      <c r="O9" s="96"/>
      <c r="P9" s="96"/>
      <c r="Q9" s="96"/>
      <c r="R9" s="96"/>
      <c r="S9" s="96"/>
      <c r="V9" s="118"/>
      <c r="Z9" s="119"/>
      <c r="AA9" s="119"/>
      <c r="AG9" s="120"/>
      <c r="AH9" s="101" t="s">
        <v>50</v>
      </c>
      <c r="AI9" s="101">
        <v>23</v>
      </c>
    </row>
    <row r="10" spans="1:37" s="101" customFormat="1" ht="14.45" customHeight="1">
      <c r="A10" s="110">
        <f t="shared" si="0"/>
        <v>53.818171320376152</v>
      </c>
      <c r="B10" s="39">
        <f t="shared" si="1"/>
        <v>5</v>
      </c>
      <c r="C10" s="40" t="s">
        <v>112</v>
      </c>
      <c r="D10" s="40" t="s">
        <v>113</v>
      </c>
      <c r="E10" s="40" t="s">
        <v>114</v>
      </c>
      <c r="F10" s="40"/>
      <c r="G10" s="33"/>
      <c r="H10" s="111">
        <v>5</v>
      </c>
      <c r="I10" s="112">
        <f t="shared" si="2"/>
        <v>24.848476100313459</v>
      </c>
      <c r="J10" s="111">
        <f t="shared" si="3"/>
        <v>2</v>
      </c>
      <c r="K10" s="111">
        <f t="shared" si="4"/>
        <v>20</v>
      </c>
      <c r="L10" s="111"/>
      <c r="M10" s="113">
        <f t="shared" si="5"/>
        <v>44.848476100313462</v>
      </c>
      <c r="N10" s="113">
        <f t="shared" si="6"/>
        <v>53.818171320376152</v>
      </c>
      <c r="O10" s="96"/>
      <c r="P10" s="96"/>
      <c r="Q10" s="96"/>
      <c r="R10" s="96"/>
      <c r="S10" s="96"/>
      <c r="W10" s="118"/>
      <c r="AA10" s="119"/>
      <c r="AB10" s="119"/>
      <c r="AH10" s="120"/>
      <c r="AI10" s="101" t="s">
        <v>52</v>
      </c>
      <c r="AJ10" s="101">
        <v>45</v>
      </c>
    </row>
    <row r="11" spans="1:37" s="101" customFormat="1" ht="14.45" customHeight="1">
      <c r="A11" s="114">
        <f t="shared" si="0"/>
        <v>50.399090690272779</v>
      </c>
      <c r="B11" s="45">
        <f t="shared" si="1"/>
        <v>6</v>
      </c>
      <c r="C11" s="46" t="s">
        <v>115</v>
      </c>
      <c r="D11" s="46" t="s">
        <v>116</v>
      </c>
      <c r="E11" s="46" t="s">
        <v>117</v>
      </c>
      <c r="F11" s="46"/>
      <c r="G11" s="33"/>
      <c r="H11" s="115">
        <v>6</v>
      </c>
      <c r="I11" s="116">
        <f t="shared" si="2"/>
        <v>21.999242241893981</v>
      </c>
      <c r="J11" s="115">
        <f t="shared" si="3"/>
        <v>2</v>
      </c>
      <c r="K11" s="115">
        <f t="shared" si="4"/>
        <v>20</v>
      </c>
      <c r="L11" s="115"/>
      <c r="M11" s="117">
        <f t="shared" si="5"/>
        <v>41.999242241893981</v>
      </c>
      <c r="N11" s="117">
        <f t="shared" si="6"/>
        <v>50.399090690272779</v>
      </c>
      <c r="O11" s="96"/>
      <c r="P11" s="96"/>
      <c r="Q11" s="96"/>
      <c r="R11" s="96"/>
      <c r="S11" s="96"/>
      <c r="W11" s="121"/>
      <c r="AA11" s="119"/>
      <c r="AB11" s="119"/>
      <c r="AH11" s="120"/>
      <c r="AI11" s="101" t="s">
        <v>53</v>
      </c>
      <c r="AJ11" s="101">
        <v>50</v>
      </c>
    </row>
    <row r="12" spans="1:37" s="101" customFormat="1" ht="14.45" customHeight="1">
      <c r="A12" s="110">
        <f t="shared" si="0"/>
        <v>47.508299207451685</v>
      </c>
      <c r="B12" s="39">
        <f t="shared" si="1"/>
        <v>7</v>
      </c>
      <c r="C12" s="40" t="s">
        <v>118</v>
      </c>
      <c r="D12" s="40" t="s">
        <v>119</v>
      </c>
      <c r="E12" s="40" t="s">
        <v>120</v>
      </c>
      <c r="F12" s="40"/>
      <c r="G12" s="33"/>
      <c r="H12" s="111">
        <v>7</v>
      </c>
      <c r="I12" s="112">
        <f t="shared" si="2"/>
        <v>19.590249339543071</v>
      </c>
      <c r="J12" s="111">
        <f t="shared" si="3"/>
        <v>2</v>
      </c>
      <c r="K12" s="111">
        <f t="shared" si="4"/>
        <v>20</v>
      </c>
      <c r="L12" s="111"/>
      <c r="M12" s="113">
        <f t="shared" si="5"/>
        <v>39.590249339543071</v>
      </c>
      <c r="N12" s="113">
        <f t="shared" si="6"/>
        <v>47.508299207451685</v>
      </c>
      <c r="O12" s="96"/>
      <c r="P12" s="96"/>
      <c r="Q12" s="96"/>
      <c r="R12" s="96"/>
      <c r="S12" s="96"/>
      <c r="AA12" s="119"/>
      <c r="AB12" s="119"/>
      <c r="AH12" s="120"/>
      <c r="AI12" s="101" t="s">
        <v>54</v>
      </c>
      <c r="AJ12" s="101">
        <f>AJ11-1</f>
        <v>49</v>
      </c>
    </row>
    <row r="13" spans="1:37" s="101" customFormat="1" ht="14.45" customHeight="1">
      <c r="A13" s="114">
        <f t="shared" si="0"/>
        <v>45.004181723696334</v>
      </c>
      <c r="B13" s="45">
        <f t="shared" si="1"/>
        <v>8</v>
      </c>
      <c r="C13" s="46" t="s">
        <v>121</v>
      </c>
      <c r="D13" s="46" t="s">
        <v>122</v>
      </c>
      <c r="E13" s="46" t="s">
        <v>123</v>
      </c>
      <c r="F13" s="46"/>
      <c r="G13" s="33"/>
      <c r="H13" s="115">
        <v>8</v>
      </c>
      <c r="I13" s="116">
        <f t="shared" si="2"/>
        <v>17.503484769746947</v>
      </c>
      <c r="J13" s="115">
        <f t="shared" si="3"/>
        <v>2</v>
      </c>
      <c r="K13" s="115">
        <f t="shared" si="4"/>
        <v>20</v>
      </c>
      <c r="L13" s="115"/>
      <c r="M13" s="117">
        <f t="shared" si="5"/>
        <v>37.503484769746947</v>
      </c>
      <c r="N13" s="117">
        <f t="shared" si="6"/>
        <v>45.004181723696334</v>
      </c>
      <c r="O13" s="96"/>
      <c r="P13" s="96"/>
      <c r="Q13" s="96"/>
      <c r="R13" s="96"/>
      <c r="S13" s="96"/>
      <c r="Y13" s="118"/>
      <c r="AH13" s="120"/>
      <c r="AI13" s="101" t="s">
        <v>55</v>
      </c>
      <c r="AJ13" s="101" t="e">
        <f>LOG(AJ9)</f>
        <v>#NUM!</v>
      </c>
    </row>
    <row r="14" spans="1:37" s="101" customFormat="1">
      <c r="A14" s="110">
        <f t="shared" si="0"/>
        <v>30.79539356474799</v>
      </c>
      <c r="B14" s="39">
        <f t="shared" si="1"/>
        <v>9</v>
      </c>
      <c r="C14" s="40" t="s">
        <v>124</v>
      </c>
      <c r="D14" s="40" t="s">
        <v>125</v>
      </c>
      <c r="E14" s="40" t="s">
        <v>120</v>
      </c>
      <c r="F14" s="40"/>
      <c r="G14" s="33"/>
      <c r="H14" s="111">
        <v>9</v>
      </c>
      <c r="I14" s="112">
        <f t="shared" si="2"/>
        <v>15.662827970623326</v>
      </c>
      <c r="J14" s="111">
        <f t="shared" si="3"/>
        <v>1</v>
      </c>
      <c r="K14" s="111">
        <f t="shared" si="4"/>
        <v>10</v>
      </c>
      <c r="L14" s="111"/>
      <c r="M14" s="113">
        <f t="shared" si="5"/>
        <v>25.662827970623326</v>
      </c>
      <c r="N14" s="113">
        <f t="shared" si="6"/>
        <v>30.79539356474799</v>
      </c>
      <c r="O14" s="96"/>
      <c r="P14" s="96"/>
      <c r="Q14" s="96"/>
      <c r="R14" s="96"/>
      <c r="S14" s="96"/>
      <c r="Y14" s="122"/>
      <c r="AA14" s="119"/>
      <c r="AB14" s="119"/>
      <c r="AH14" s="120"/>
      <c r="AI14" s="101" t="s">
        <v>56</v>
      </c>
      <c r="AJ14" s="101">
        <f>LOG(AJ10)</f>
        <v>1.6532125137753437</v>
      </c>
    </row>
    <row r="15" spans="1:37" s="101" customFormat="1">
      <c r="A15" s="114">
        <f t="shared" si="0"/>
        <v>28.819565228274925</v>
      </c>
      <c r="B15" s="45">
        <f t="shared" si="1"/>
        <v>10</v>
      </c>
      <c r="C15" s="46" t="s">
        <v>126</v>
      </c>
      <c r="D15" s="46" t="s">
        <v>127</v>
      </c>
      <c r="E15" s="46" t="s">
        <v>114</v>
      </c>
      <c r="F15" s="46"/>
      <c r="G15" s="33"/>
      <c r="H15" s="115">
        <v>10</v>
      </c>
      <c r="I15" s="116">
        <f t="shared" si="2"/>
        <v>14.016304356895773</v>
      </c>
      <c r="J15" s="115">
        <f t="shared" si="3"/>
        <v>1</v>
      </c>
      <c r="K15" s="115">
        <f t="shared" si="4"/>
        <v>10</v>
      </c>
      <c r="L15" s="115"/>
      <c r="M15" s="117">
        <f t="shared" si="5"/>
        <v>24.016304356895773</v>
      </c>
      <c r="N15" s="117">
        <f t="shared" si="6"/>
        <v>28.819565228274925</v>
      </c>
      <c r="O15" s="96"/>
      <c r="P15" s="96"/>
      <c r="Q15" s="96"/>
      <c r="R15" s="96"/>
      <c r="S15" s="96"/>
      <c r="Y15" s="118"/>
      <c r="AA15" s="119"/>
      <c r="AB15" s="119"/>
    </row>
    <row r="16" spans="1:37" s="101" customFormat="1">
      <c r="A16" s="110">
        <f t="shared" si="0"/>
        <v>27.032211086773639</v>
      </c>
      <c r="B16" s="39">
        <f t="shared" si="1"/>
        <v>11</v>
      </c>
      <c r="C16" s="40" t="s">
        <v>128</v>
      </c>
      <c r="D16" s="40" t="s">
        <v>129</v>
      </c>
      <c r="E16" s="40" t="s">
        <v>120</v>
      </c>
      <c r="F16" s="40"/>
      <c r="G16" s="33"/>
      <c r="H16" s="111">
        <v>11</v>
      </c>
      <c r="I16" s="112">
        <f t="shared" si="2"/>
        <v>12.526842572311367</v>
      </c>
      <c r="J16" s="111">
        <f t="shared" si="3"/>
        <v>1</v>
      </c>
      <c r="K16" s="111">
        <f t="shared" si="4"/>
        <v>10</v>
      </c>
      <c r="L16" s="111"/>
      <c r="M16" s="113">
        <f t="shared" si="5"/>
        <v>22.526842572311367</v>
      </c>
      <c r="N16" s="113">
        <f t="shared" si="6"/>
        <v>27.032211086773639</v>
      </c>
      <c r="O16" s="96"/>
      <c r="P16" s="96"/>
      <c r="Q16" s="96"/>
      <c r="R16" s="96"/>
      <c r="S16" s="123"/>
      <c r="AA16" s="119"/>
      <c r="AB16" s="119"/>
      <c r="AI16" s="124" t="s">
        <v>57</v>
      </c>
      <c r="AJ16" s="101" t="e">
        <f>AJ11-AJ12*AJ13/AJ14</f>
        <v>#NUM!</v>
      </c>
      <c r="AK16" s="101" t="s">
        <v>58</v>
      </c>
    </row>
    <row r="17" spans="1:20" s="101" customFormat="1">
      <c r="A17" s="114">
        <f t="shared" si="0"/>
        <v>25.400484598171548</v>
      </c>
      <c r="B17" s="45">
        <f t="shared" si="1"/>
        <v>12</v>
      </c>
      <c r="C17" s="46" t="s">
        <v>130</v>
      </c>
      <c r="D17" s="46" t="s">
        <v>131</v>
      </c>
      <c r="E17" s="46" t="s">
        <v>114</v>
      </c>
      <c r="F17" s="46"/>
      <c r="G17" s="33"/>
      <c r="H17" s="115">
        <v>12</v>
      </c>
      <c r="I17" s="116">
        <f t="shared" si="2"/>
        <v>11.167070498476292</v>
      </c>
      <c r="J17" s="115">
        <f t="shared" si="3"/>
        <v>1</v>
      </c>
      <c r="K17" s="115">
        <f t="shared" si="4"/>
        <v>10</v>
      </c>
      <c r="L17" s="115"/>
      <c r="M17" s="117">
        <f t="shared" si="5"/>
        <v>21.167070498476292</v>
      </c>
      <c r="N17" s="117">
        <f t="shared" si="6"/>
        <v>25.400484598171548</v>
      </c>
      <c r="O17" s="96"/>
      <c r="P17" s="96"/>
      <c r="Q17" s="96"/>
      <c r="R17" s="96"/>
      <c r="S17" s="96"/>
    </row>
    <row r="18" spans="1:20" s="101" customFormat="1">
      <c r="A18" s="110">
        <v>4.3099999999999996</v>
      </c>
      <c r="B18" s="39">
        <f t="shared" si="1"/>
        <v>13</v>
      </c>
      <c r="C18" s="40" t="s">
        <v>132</v>
      </c>
      <c r="D18" s="40" t="s">
        <v>133</v>
      </c>
      <c r="E18" s="40" t="s">
        <v>111</v>
      </c>
      <c r="F18" s="40"/>
      <c r="G18" s="33"/>
      <c r="H18" s="111">
        <v>13</v>
      </c>
      <c r="I18" s="112">
        <f t="shared" si="2"/>
        <v>9.9162014469315665</v>
      </c>
      <c r="J18" s="111">
        <f t="shared" si="3"/>
        <v>1</v>
      </c>
      <c r="K18" s="111">
        <f t="shared" si="4"/>
        <v>10</v>
      </c>
      <c r="L18" s="111"/>
      <c r="M18" s="113">
        <f t="shared" si="5"/>
        <v>19.916201446931566</v>
      </c>
      <c r="N18" s="113">
        <f t="shared" si="6"/>
        <v>23.899441736317879</v>
      </c>
      <c r="O18" s="96"/>
      <c r="P18" s="96"/>
      <c r="Q18" s="96"/>
      <c r="R18" s="96"/>
      <c r="S18" s="96"/>
    </row>
    <row r="19" spans="1:20" s="101" customFormat="1">
      <c r="A19" s="114">
        <f t="shared" si="0"/>
        <v>22.509693115350458</v>
      </c>
      <c r="B19" s="45">
        <f t="shared" si="1"/>
        <v>14</v>
      </c>
      <c r="C19" s="46" t="s">
        <v>18</v>
      </c>
      <c r="D19" s="46" t="s">
        <v>134</v>
      </c>
      <c r="E19" s="46" t="s">
        <v>135</v>
      </c>
      <c r="F19" s="46"/>
      <c r="G19" s="33"/>
      <c r="H19" s="115">
        <v>14</v>
      </c>
      <c r="I19" s="116">
        <f t="shared" si="2"/>
        <v>8.7580775961253821</v>
      </c>
      <c r="J19" s="115">
        <f t="shared" si="3"/>
        <v>1</v>
      </c>
      <c r="K19" s="115">
        <f t="shared" si="4"/>
        <v>10</v>
      </c>
      <c r="L19" s="115"/>
      <c r="M19" s="117">
        <f t="shared" si="5"/>
        <v>18.758077596125382</v>
      </c>
      <c r="N19" s="117">
        <f t="shared" si="6"/>
        <v>22.509693115350458</v>
      </c>
      <c r="O19" s="96"/>
      <c r="P19" s="96"/>
      <c r="Q19" s="96"/>
      <c r="R19" s="96"/>
      <c r="S19" s="96"/>
    </row>
    <row r="20" spans="1:20" s="101" customFormat="1">
      <c r="A20" s="110">
        <f t="shared" si="0"/>
        <v>21.215868102750139</v>
      </c>
      <c r="B20" s="39">
        <f t="shared" si="1"/>
        <v>15</v>
      </c>
      <c r="C20" s="40" t="s">
        <v>136</v>
      </c>
      <c r="D20" s="40" t="s">
        <v>137</v>
      </c>
      <c r="E20" s="40" t="s">
        <v>138</v>
      </c>
      <c r="F20" s="40"/>
      <c r="G20" s="33"/>
      <c r="H20" s="111">
        <v>15</v>
      </c>
      <c r="I20" s="112">
        <f t="shared" si="2"/>
        <v>7.679890085625118</v>
      </c>
      <c r="J20" s="111">
        <f t="shared" si="3"/>
        <v>1</v>
      </c>
      <c r="K20" s="111">
        <f t="shared" si="4"/>
        <v>10</v>
      </c>
      <c r="L20" s="111"/>
      <c r="M20" s="113">
        <f t="shared" si="5"/>
        <v>17.679890085625118</v>
      </c>
      <c r="N20" s="113">
        <f t="shared" si="6"/>
        <v>21.215868102750139</v>
      </c>
      <c r="O20" s="96"/>
      <c r="P20" s="96"/>
      <c r="Q20" s="96"/>
      <c r="R20" s="96"/>
      <c r="S20" s="125"/>
      <c r="T20" s="126"/>
    </row>
    <row r="21" spans="1:20" s="101" customFormat="1" ht="25.5">
      <c r="A21" s="114">
        <f t="shared" si="0"/>
        <v>20.005575631595118</v>
      </c>
      <c r="B21" s="45">
        <f t="shared" si="1"/>
        <v>16</v>
      </c>
      <c r="C21" s="46" t="s">
        <v>139</v>
      </c>
      <c r="D21" s="46" t="s">
        <v>140</v>
      </c>
      <c r="E21" s="46" t="s">
        <v>141</v>
      </c>
      <c r="F21" s="46"/>
      <c r="G21" s="33"/>
      <c r="H21" s="115">
        <v>16</v>
      </c>
      <c r="I21" s="116">
        <f t="shared" si="2"/>
        <v>6.6713130263292655</v>
      </c>
      <c r="J21" s="115">
        <f t="shared" si="3"/>
        <v>1</v>
      </c>
      <c r="K21" s="115">
        <f t="shared" si="4"/>
        <v>10</v>
      </c>
      <c r="L21" s="115"/>
      <c r="M21" s="117">
        <f t="shared" si="5"/>
        <v>16.671313026329265</v>
      </c>
      <c r="N21" s="117">
        <f t="shared" si="6"/>
        <v>20.005575631595118</v>
      </c>
      <c r="O21" s="96"/>
      <c r="P21" s="96"/>
      <c r="Q21" s="96"/>
      <c r="R21" s="96"/>
      <c r="S21" s="96"/>
    </row>
    <row r="22" spans="1:20" s="101" customFormat="1">
      <c r="A22" s="110">
        <f t="shared" si="0"/>
        <v>6.8686806104859723</v>
      </c>
      <c r="B22" s="39">
        <f t="shared" si="1"/>
        <v>17</v>
      </c>
      <c r="C22" s="40" t="s">
        <v>142</v>
      </c>
      <c r="D22" s="40" t="s">
        <v>143</v>
      </c>
      <c r="E22" s="40" t="s">
        <v>117</v>
      </c>
      <c r="F22" s="40"/>
      <c r="G22" s="33"/>
      <c r="H22" s="111">
        <v>17</v>
      </c>
      <c r="I22" s="112">
        <f t="shared" si="2"/>
        <v>5.7239005087383106</v>
      </c>
      <c r="J22" s="111">
        <f t="shared" si="3"/>
        <v>0</v>
      </c>
      <c r="K22" s="111">
        <f t="shared" si="4"/>
        <v>0</v>
      </c>
      <c r="L22" s="111"/>
      <c r="M22" s="113">
        <f t="shared" si="5"/>
        <v>5.7239005087383106</v>
      </c>
      <c r="N22" s="113">
        <f t="shared" si="6"/>
        <v>6.8686806104859723</v>
      </c>
      <c r="O22" s="96"/>
      <c r="P22" s="96"/>
      <c r="Q22" s="96"/>
      <c r="R22" s="96"/>
      <c r="S22" s="96"/>
    </row>
    <row r="23" spans="1:20" s="101" customFormat="1">
      <c r="A23" s="114">
        <f t="shared" si="0"/>
        <v>5.7967874726467725</v>
      </c>
      <c r="B23" s="45">
        <f t="shared" si="1"/>
        <v>18</v>
      </c>
      <c r="C23" s="46" t="s">
        <v>144</v>
      </c>
      <c r="D23" s="46" t="s">
        <v>145</v>
      </c>
      <c r="E23" s="46" t="s">
        <v>114</v>
      </c>
      <c r="F23" s="46"/>
      <c r="G23" s="33"/>
      <c r="H23" s="115">
        <v>18</v>
      </c>
      <c r="I23" s="116">
        <f t="shared" si="2"/>
        <v>4.8306562272056439</v>
      </c>
      <c r="J23" s="115">
        <f t="shared" si="3"/>
        <v>0</v>
      </c>
      <c r="K23" s="115">
        <f t="shared" si="4"/>
        <v>0</v>
      </c>
      <c r="L23" s="115"/>
      <c r="M23" s="117">
        <f t="shared" si="5"/>
        <v>4.8306562272056439</v>
      </c>
      <c r="N23" s="117">
        <f t="shared" si="6"/>
        <v>5.7967874726467725</v>
      </c>
      <c r="O23" s="96"/>
      <c r="P23" s="96"/>
      <c r="Q23" s="96"/>
      <c r="R23" s="96"/>
      <c r="S23" s="96"/>
    </row>
    <row r="24" spans="1:20" s="101" customFormat="1">
      <c r="A24" s="110">
        <f t="shared" si="0"/>
        <v>4.7828635449478298</v>
      </c>
      <c r="B24" s="39">
        <f t="shared" si="1"/>
        <v>19</v>
      </c>
      <c r="C24" s="40" t="s">
        <v>146</v>
      </c>
      <c r="D24" s="40" t="s">
        <v>147</v>
      </c>
      <c r="E24" s="40" t="s">
        <v>111</v>
      </c>
      <c r="F24" s="40"/>
      <c r="G24" s="33"/>
      <c r="H24" s="111">
        <v>19</v>
      </c>
      <c r="I24" s="112">
        <f t="shared" si="2"/>
        <v>3.9857196207898582</v>
      </c>
      <c r="J24" s="111">
        <f t="shared" si="3"/>
        <v>0</v>
      </c>
      <c r="K24" s="111">
        <f t="shared" si="4"/>
        <v>0</v>
      </c>
      <c r="L24" s="111"/>
      <c r="M24" s="113">
        <f t="shared" si="5"/>
        <v>3.9857196207898582</v>
      </c>
      <c r="N24" s="113">
        <f t="shared" si="6"/>
        <v>4.7828635449478298</v>
      </c>
      <c r="O24" s="96"/>
      <c r="P24" s="96"/>
      <c r="Q24" s="96"/>
      <c r="R24" s="96"/>
      <c r="S24" s="125"/>
      <c r="T24" s="126"/>
    </row>
    <row r="25" spans="1:20" s="101" customFormat="1">
      <c r="A25" s="114">
        <f t="shared" si="0"/>
        <v>3.8209591361737094</v>
      </c>
      <c r="B25" s="45">
        <f t="shared" si="1"/>
        <v>20</v>
      </c>
      <c r="C25" s="46" t="s">
        <v>148</v>
      </c>
      <c r="D25" s="46" t="s">
        <v>149</v>
      </c>
      <c r="E25" s="46" t="s">
        <v>120</v>
      </c>
      <c r="F25" s="46"/>
      <c r="G25" s="33"/>
      <c r="H25" s="115">
        <v>20</v>
      </c>
      <c r="I25" s="116">
        <f t="shared" si="2"/>
        <v>3.1841326134780914</v>
      </c>
      <c r="J25" s="115">
        <f t="shared" si="3"/>
        <v>0</v>
      </c>
      <c r="K25" s="115">
        <f t="shared" si="4"/>
        <v>0</v>
      </c>
      <c r="L25" s="115"/>
      <c r="M25" s="117">
        <f t="shared" si="5"/>
        <v>3.1841326134780914</v>
      </c>
      <c r="N25" s="117">
        <f t="shared" si="6"/>
        <v>3.8209591361737094</v>
      </c>
      <c r="O25" s="96"/>
      <c r="P25" s="96"/>
      <c r="Q25" s="96"/>
      <c r="R25" s="96"/>
      <c r="S25" s="96"/>
    </row>
    <row r="26" spans="1:20" s="101" customFormat="1">
      <c r="A26" s="110">
        <f t="shared" si="0"/>
        <v>2.905995989825672</v>
      </c>
      <c r="B26" s="39">
        <f t="shared" si="1"/>
        <v>21</v>
      </c>
      <c r="C26" s="40" t="s">
        <v>150</v>
      </c>
      <c r="D26" s="40" t="s">
        <v>151</v>
      </c>
      <c r="E26" s="40" t="s">
        <v>120</v>
      </c>
      <c r="F26" s="40"/>
      <c r="G26" s="33"/>
      <c r="H26" s="111">
        <v>21</v>
      </c>
      <c r="I26" s="112">
        <f t="shared" si="2"/>
        <v>2.4216633248547268</v>
      </c>
      <c r="J26" s="111">
        <f t="shared" si="3"/>
        <v>0</v>
      </c>
      <c r="K26" s="111">
        <f t="shared" si="4"/>
        <v>0</v>
      </c>
      <c r="L26" s="111"/>
      <c r="M26" s="113">
        <f t="shared" si="5"/>
        <v>2.4216633248547268</v>
      </c>
      <c r="N26" s="113">
        <f t="shared" si="6"/>
        <v>2.905995989825672</v>
      </c>
      <c r="O26" s="96"/>
      <c r="P26" s="96"/>
      <c r="Q26" s="96"/>
      <c r="R26" s="96"/>
      <c r="S26" s="96"/>
    </row>
    <row r="27" spans="1:20" s="101" customFormat="1">
      <c r="A27" s="114">
        <f t="shared" si="0"/>
        <v>2.0336049946724217</v>
      </c>
      <c r="B27" s="45">
        <f t="shared" si="1"/>
        <v>22</v>
      </c>
      <c r="C27" s="46" t="s">
        <v>152</v>
      </c>
      <c r="D27" s="46" t="s">
        <v>153</v>
      </c>
      <c r="E27" s="46" t="s">
        <v>117</v>
      </c>
      <c r="F27" s="46"/>
      <c r="G27" s="33"/>
      <c r="H27" s="115">
        <v>22</v>
      </c>
      <c r="I27" s="116">
        <f t="shared" si="2"/>
        <v>1.6946708288936847</v>
      </c>
      <c r="J27" s="115">
        <f t="shared" si="3"/>
        <v>0</v>
      </c>
      <c r="K27" s="115">
        <f t="shared" si="4"/>
        <v>0</v>
      </c>
      <c r="L27" s="115"/>
      <c r="M27" s="117">
        <f t="shared" si="5"/>
        <v>1.6946708288936847</v>
      </c>
      <c r="N27" s="117">
        <f t="shared" si="6"/>
        <v>2.0336049946724217</v>
      </c>
      <c r="O27" s="96"/>
      <c r="P27" s="96"/>
      <c r="Q27" s="96"/>
      <c r="R27" s="96"/>
      <c r="S27" s="96"/>
    </row>
    <row r="28" spans="1:20" s="101" customFormat="1">
      <c r="A28" s="110">
        <f t="shared" si="0"/>
        <v>1.2</v>
      </c>
      <c r="B28" s="39">
        <f t="shared" si="1"/>
        <v>23</v>
      </c>
      <c r="C28" s="40" t="s">
        <v>154</v>
      </c>
      <c r="D28" s="40" t="s">
        <v>155</v>
      </c>
      <c r="E28" s="40" t="s">
        <v>120</v>
      </c>
      <c r="F28" s="40"/>
      <c r="G28" s="33"/>
      <c r="H28" s="111">
        <v>23</v>
      </c>
      <c r="I28" s="112">
        <f t="shared" si="2"/>
        <v>1</v>
      </c>
      <c r="J28" s="111">
        <f t="shared" si="3"/>
        <v>0</v>
      </c>
      <c r="K28" s="111">
        <f t="shared" si="4"/>
        <v>0</v>
      </c>
      <c r="L28" s="111"/>
      <c r="M28" s="113">
        <f t="shared" si="5"/>
        <v>1</v>
      </c>
      <c r="N28" s="113">
        <f t="shared" si="6"/>
        <v>1.2</v>
      </c>
      <c r="O28" s="96"/>
      <c r="P28" s="96"/>
      <c r="Q28" s="96"/>
      <c r="R28" s="96"/>
      <c r="S28" s="125"/>
      <c r="T28" s="126"/>
    </row>
    <row r="29" spans="1:20" s="101" customFormat="1">
      <c r="A29" s="114">
        <f t="shared" si="0"/>
        <v>0</v>
      </c>
      <c r="B29" s="45" t="str">
        <f t="shared" ref="B29:B73" si="7">IF(H29&gt;$H$2,"",(ROW()-5))</f>
        <v/>
      </c>
      <c r="C29" s="46" t="s">
        <v>50</v>
      </c>
      <c r="D29" s="46"/>
      <c r="E29" s="46"/>
      <c r="F29" s="46"/>
      <c r="G29" s="96"/>
      <c r="H29" s="115">
        <v>24</v>
      </c>
      <c r="I29" s="116" t="str">
        <f t="shared" si="2"/>
        <v/>
      </c>
      <c r="J29" s="115">
        <f t="shared" si="3"/>
        <v>0</v>
      </c>
      <c r="K29" s="115">
        <f t="shared" si="4"/>
        <v>0</v>
      </c>
      <c r="L29" s="115"/>
      <c r="M29" s="117">
        <f t="shared" si="5"/>
        <v>0</v>
      </c>
      <c r="N29" s="117">
        <f t="shared" si="6"/>
        <v>0</v>
      </c>
      <c r="O29" s="96"/>
      <c r="P29" s="96"/>
      <c r="Q29" s="96"/>
      <c r="R29" s="96"/>
      <c r="S29" s="96"/>
    </row>
    <row r="30" spans="1:20" s="101" customFormat="1">
      <c r="A30" s="110">
        <f t="shared" si="0"/>
        <v>0</v>
      </c>
      <c r="B30" s="39" t="str">
        <f t="shared" si="7"/>
        <v/>
      </c>
      <c r="C30" s="40" t="s">
        <v>50</v>
      </c>
      <c r="D30" s="40"/>
      <c r="E30" s="40"/>
      <c r="F30" s="40"/>
      <c r="G30" s="96"/>
      <c r="H30" s="111">
        <v>25</v>
      </c>
      <c r="I30" s="112" t="str">
        <f t="shared" si="2"/>
        <v/>
      </c>
      <c r="J30" s="111">
        <f t="shared" si="3"/>
        <v>0</v>
      </c>
      <c r="K30" s="111">
        <f t="shared" si="4"/>
        <v>0</v>
      </c>
      <c r="L30" s="111"/>
      <c r="M30" s="113">
        <f t="shared" si="5"/>
        <v>0</v>
      </c>
      <c r="N30" s="113">
        <f t="shared" si="6"/>
        <v>0</v>
      </c>
      <c r="O30" s="96"/>
      <c r="P30" s="96"/>
      <c r="Q30" s="96"/>
      <c r="R30" s="96"/>
      <c r="S30" s="96"/>
    </row>
    <row r="31" spans="1:20" s="101" customFormat="1">
      <c r="A31" s="114">
        <f t="shared" si="0"/>
        <v>0</v>
      </c>
      <c r="B31" s="45" t="str">
        <f t="shared" si="7"/>
        <v/>
      </c>
      <c r="C31" s="46" t="s">
        <v>50</v>
      </c>
      <c r="D31" s="46"/>
      <c r="E31" s="46"/>
      <c r="F31" s="46"/>
      <c r="G31" s="96"/>
      <c r="H31" s="115">
        <v>26</v>
      </c>
      <c r="I31" s="116" t="str">
        <f t="shared" si="2"/>
        <v/>
      </c>
      <c r="J31" s="115">
        <f t="shared" si="3"/>
        <v>0</v>
      </c>
      <c r="K31" s="115">
        <f t="shared" si="4"/>
        <v>0</v>
      </c>
      <c r="L31" s="115"/>
      <c r="M31" s="117">
        <f t="shared" si="5"/>
        <v>0</v>
      </c>
      <c r="N31" s="117">
        <f t="shared" si="6"/>
        <v>0</v>
      </c>
      <c r="O31" s="96"/>
      <c r="P31" s="96"/>
      <c r="Q31" s="96"/>
      <c r="R31" s="96"/>
      <c r="S31" s="96"/>
    </row>
    <row r="32" spans="1:20" s="101" customFormat="1">
      <c r="A32" s="110">
        <f t="shared" si="0"/>
        <v>0</v>
      </c>
      <c r="B32" s="39" t="str">
        <f t="shared" si="7"/>
        <v/>
      </c>
      <c r="C32" s="40" t="s">
        <v>50</v>
      </c>
      <c r="D32" s="40"/>
      <c r="E32" s="40"/>
      <c r="F32" s="40"/>
      <c r="G32" s="96"/>
      <c r="H32" s="111">
        <v>27</v>
      </c>
      <c r="I32" s="112" t="str">
        <f t="shared" si="2"/>
        <v/>
      </c>
      <c r="J32" s="111">
        <f t="shared" si="3"/>
        <v>0</v>
      </c>
      <c r="K32" s="111">
        <f t="shared" si="4"/>
        <v>0</v>
      </c>
      <c r="L32" s="111"/>
      <c r="M32" s="113">
        <f t="shared" si="5"/>
        <v>0</v>
      </c>
      <c r="N32" s="113">
        <f t="shared" si="6"/>
        <v>0</v>
      </c>
      <c r="O32" s="96"/>
      <c r="P32" s="96"/>
      <c r="Q32" s="96"/>
      <c r="R32" s="96"/>
      <c r="S32" s="125"/>
      <c r="T32" s="126"/>
    </row>
    <row r="33" spans="1:20" s="101" customFormat="1">
      <c r="A33" s="114">
        <f t="shared" si="0"/>
        <v>0</v>
      </c>
      <c r="B33" s="45" t="str">
        <f t="shared" si="7"/>
        <v/>
      </c>
      <c r="C33" s="46" t="s">
        <v>50</v>
      </c>
      <c r="D33" s="46"/>
      <c r="E33" s="46"/>
      <c r="F33" s="46"/>
      <c r="G33" s="96"/>
      <c r="H33" s="115">
        <v>28</v>
      </c>
      <c r="I33" s="116" t="str">
        <f t="shared" si="2"/>
        <v/>
      </c>
      <c r="J33" s="115">
        <f t="shared" si="3"/>
        <v>0</v>
      </c>
      <c r="K33" s="115">
        <f t="shared" si="4"/>
        <v>0</v>
      </c>
      <c r="L33" s="115"/>
      <c r="M33" s="117">
        <f t="shared" si="5"/>
        <v>0</v>
      </c>
      <c r="N33" s="117">
        <f t="shared" si="6"/>
        <v>0</v>
      </c>
      <c r="O33" s="96"/>
      <c r="P33" s="96"/>
      <c r="Q33" s="96"/>
      <c r="R33" s="96"/>
      <c r="S33" s="96"/>
    </row>
    <row r="34" spans="1:20" s="101" customFormat="1">
      <c r="A34" s="110">
        <f t="shared" si="0"/>
        <v>0</v>
      </c>
      <c r="B34" s="39" t="str">
        <f t="shared" si="7"/>
        <v/>
      </c>
      <c r="C34" s="40" t="s">
        <v>50</v>
      </c>
      <c r="D34" s="40"/>
      <c r="E34" s="40"/>
      <c r="F34" s="40"/>
      <c r="G34" s="96"/>
      <c r="H34" s="111">
        <v>29</v>
      </c>
      <c r="I34" s="112" t="str">
        <f t="shared" si="2"/>
        <v/>
      </c>
      <c r="J34" s="111">
        <f t="shared" si="3"/>
        <v>0</v>
      </c>
      <c r="K34" s="111">
        <f t="shared" si="4"/>
        <v>0</v>
      </c>
      <c r="L34" s="111"/>
      <c r="M34" s="113">
        <f t="shared" si="5"/>
        <v>0</v>
      </c>
      <c r="N34" s="113">
        <f t="shared" si="6"/>
        <v>0</v>
      </c>
      <c r="O34" s="96"/>
      <c r="P34" s="96"/>
      <c r="Q34" s="96"/>
      <c r="R34" s="96"/>
      <c r="S34" s="96"/>
    </row>
    <row r="35" spans="1:20" s="101" customFormat="1">
      <c r="A35" s="114">
        <f t="shared" si="0"/>
        <v>0</v>
      </c>
      <c r="B35" s="45" t="str">
        <f t="shared" si="7"/>
        <v/>
      </c>
      <c r="C35" s="46" t="s">
        <v>50</v>
      </c>
      <c r="D35" s="46"/>
      <c r="E35" s="46"/>
      <c r="F35" s="46"/>
      <c r="G35" s="96"/>
      <c r="H35" s="115">
        <v>30</v>
      </c>
      <c r="I35" s="116" t="str">
        <f t="shared" si="2"/>
        <v/>
      </c>
      <c r="J35" s="115">
        <f t="shared" si="3"/>
        <v>0</v>
      </c>
      <c r="K35" s="115">
        <f t="shared" si="4"/>
        <v>0</v>
      </c>
      <c r="L35" s="115"/>
      <c r="M35" s="117">
        <f t="shared" si="5"/>
        <v>0</v>
      </c>
      <c r="N35" s="117">
        <f t="shared" si="6"/>
        <v>0</v>
      </c>
      <c r="O35" s="96"/>
      <c r="P35" s="96"/>
      <c r="Q35" s="96"/>
      <c r="R35" s="96"/>
      <c r="S35" s="96"/>
    </row>
    <row r="36" spans="1:20" s="101" customFormat="1">
      <c r="A36" s="110">
        <f t="shared" si="0"/>
        <v>0</v>
      </c>
      <c r="B36" s="39" t="str">
        <f t="shared" si="7"/>
        <v/>
      </c>
      <c r="C36" s="40" t="s">
        <v>50</v>
      </c>
      <c r="D36" s="40"/>
      <c r="E36" s="40"/>
      <c r="F36" s="40"/>
      <c r="G36" s="96"/>
      <c r="H36" s="111">
        <v>31</v>
      </c>
      <c r="I36" s="112" t="str">
        <f t="shared" si="2"/>
        <v/>
      </c>
      <c r="J36" s="111">
        <f t="shared" si="3"/>
        <v>0</v>
      </c>
      <c r="K36" s="111">
        <f t="shared" si="4"/>
        <v>0</v>
      </c>
      <c r="L36" s="111"/>
      <c r="M36" s="113">
        <f t="shared" si="5"/>
        <v>0</v>
      </c>
      <c r="N36" s="113">
        <f t="shared" si="6"/>
        <v>0</v>
      </c>
      <c r="O36" s="96"/>
      <c r="P36" s="96"/>
      <c r="Q36" s="96"/>
      <c r="R36" s="96"/>
      <c r="S36" s="125"/>
      <c r="T36" s="126"/>
    </row>
    <row r="37" spans="1:20" s="101" customFormat="1">
      <c r="A37" s="114">
        <f t="shared" si="0"/>
        <v>0</v>
      </c>
      <c r="B37" s="45" t="str">
        <f t="shared" si="7"/>
        <v/>
      </c>
      <c r="C37" s="46" t="s">
        <v>50</v>
      </c>
      <c r="D37" s="46"/>
      <c r="E37" s="46"/>
      <c r="F37" s="46"/>
      <c r="G37" s="96"/>
      <c r="H37" s="115">
        <v>32</v>
      </c>
      <c r="I37" s="116" t="str">
        <f t="shared" si="2"/>
        <v/>
      </c>
      <c r="J37" s="115">
        <f t="shared" si="3"/>
        <v>0</v>
      </c>
      <c r="K37" s="115">
        <f t="shared" si="4"/>
        <v>0</v>
      </c>
      <c r="L37" s="115"/>
      <c r="M37" s="117">
        <f t="shared" si="5"/>
        <v>0</v>
      </c>
      <c r="N37" s="117">
        <f t="shared" si="6"/>
        <v>0</v>
      </c>
      <c r="O37" s="96"/>
      <c r="P37" s="96"/>
      <c r="Q37" s="96"/>
      <c r="R37" s="96"/>
      <c r="S37" s="96"/>
    </row>
    <row r="38" spans="1:20" s="101" customFormat="1">
      <c r="A38" s="110">
        <f t="shared" si="0"/>
        <v>0</v>
      </c>
      <c r="B38" s="39" t="str">
        <f t="shared" si="7"/>
        <v/>
      </c>
      <c r="C38" s="40" t="s">
        <v>50</v>
      </c>
      <c r="D38" s="40"/>
      <c r="E38" s="40"/>
      <c r="F38" s="40"/>
      <c r="G38" s="96"/>
      <c r="H38" s="111">
        <v>33</v>
      </c>
      <c r="I38" s="112" t="str">
        <f t="shared" si="2"/>
        <v/>
      </c>
      <c r="J38" s="111">
        <f t="shared" si="3"/>
        <v>-1</v>
      </c>
      <c r="K38" s="111">
        <f t="shared" si="4"/>
        <v>-10</v>
      </c>
      <c r="L38" s="111"/>
      <c r="M38" s="113">
        <f t="shared" si="5"/>
        <v>0</v>
      </c>
      <c r="N38" s="113">
        <f t="shared" si="6"/>
        <v>0</v>
      </c>
      <c r="O38" s="96"/>
      <c r="P38" s="96"/>
      <c r="Q38" s="96"/>
      <c r="R38" s="96"/>
      <c r="S38" s="125"/>
      <c r="T38" s="126"/>
    </row>
    <row r="39" spans="1:20" s="101" customFormat="1">
      <c r="A39" s="114">
        <f t="shared" si="0"/>
        <v>0</v>
      </c>
      <c r="B39" s="45" t="str">
        <f t="shared" si="7"/>
        <v/>
      </c>
      <c r="C39" s="46" t="s">
        <v>50</v>
      </c>
      <c r="D39" s="46"/>
      <c r="E39" s="46"/>
      <c r="F39" s="46"/>
      <c r="G39" s="96"/>
      <c r="H39" s="115">
        <v>34</v>
      </c>
      <c r="I39" s="116" t="str">
        <f t="shared" si="2"/>
        <v/>
      </c>
      <c r="J39" s="115">
        <f t="shared" si="3"/>
        <v>-1</v>
      </c>
      <c r="K39" s="115">
        <f t="shared" si="4"/>
        <v>-10</v>
      </c>
      <c r="L39" s="115"/>
      <c r="M39" s="117">
        <f t="shared" si="5"/>
        <v>0</v>
      </c>
      <c r="N39" s="117">
        <f t="shared" si="6"/>
        <v>0</v>
      </c>
      <c r="O39" s="96"/>
      <c r="P39" s="96"/>
      <c r="Q39" s="96"/>
      <c r="R39" s="96"/>
      <c r="S39" s="96"/>
    </row>
    <row r="40" spans="1:20" s="101" customFormat="1">
      <c r="A40" s="110">
        <f t="shared" si="0"/>
        <v>0</v>
      </c>
      <c r="B40" s="39" t="str">
        <f t="shared" si="7"/>
        <v/>
      </c>
      <c r="C40" s="40" t="s">
        <v>50</v>
      </c>
      <c r="D40" s="40"/>
      <c r="E40" s="40"/>
      <c r="F40" s="40"/>
      <c r="G40" s="96"/>
      <c r="H40" s="111">
        <v>35</v>
      </c>
      <c r="I40" s="112" t="str">
        <f t="shared" si="2"/>
        <v/>
      </c>
      <c r="J40" s="111">
        <f t="shared" si="3"/>
        <v>-1</v>
      </c>
      <c r="K40" s="111">
        <f t="shared" si="4"/>
        <v>-10</v>
      </c>
      <c r="L40" s="111"/>
      <c r="M40" s="113">
        <f t="shared" si="5"/>
        <v>0</v>
      </c>
      <c r="N40" s="113">
        <f t="shared" si="6"/>
        <v>0</v>
      </c>
      <c r="O40" s="96"/>
      <c r="P40" s="96"/>
      <c r="Q40" s="96"/>
      <c r="R40" s="96"/>
      <c r="S40" s="125"/>
      <c r="T40" s="126"/>
    </row>
    <row r="41" spans="1:20" s="101" customFormat="1">
      <c r="A41" s="114">
        <f t="shared" si="0"/>
        <v>0</v>
      </c>
      <c r="B41" s="45" t="str">
        <f t="shared" si="7"/>
        <v/>
      </c>
      <c r="C41" s="46" t="s">
        <v>50</v>
      </c>
      <c r="D41" s="46"/>
      <c r="E41" s="46"/>
      <c r="F41" s="46"/>
      <c r="G41" s="96"/>
      <c r="H41" s="115">
        <v>36</v>
      </c>
      <c r="I41" s="116" t="str">
        <f t="shared" si="2"/>
        <v/>
      </c>
      <c r="J41" s="115">
        <f t="shared" si="3"/>
        <v>-1</v>
      </c>
      <c r="K41" s="115">
        <f t="shared" si="4"/>
        <v>-10</v>
      </c>
      <c r="L41" s="115"/>
      <c r="M41" s="117">
        <f t="shared" si="5"/>
        <v>0</v>
      </c>
      <c r="N41" s="117">
        <f t="shared" si="6"/>
        <v>0</v>
      </c>
      <c r="O41" s="96"/>
      <c r="P41" s="96"/>
      <c r="Q41" s="96"/>
      <c r="R41" s="96"/>
      <c r="S41" s="96"/>
    </row>
    <row r="42" spans="1:20" s="101" customFormat="1">
      <c r="A42" s="110">
        <f t="shared" si="0"/>
        <v>0</v>
      </c>
      <c r="B42" s="39" t="str">
        <f t="shared" si="7"/>
        <v/>
      </c>
      <c r="C42" s="40" t="s">
        <v>50</v>
      </c>
      <c r="D42" s="40"/>
      <c r="E42" s="40"/>
      <c r="F42" s="40"/>
      <c r="G42" s="96"/>
      <c r="H42" s="111">
        <v>37</v>
      </c>
      <c r="I42" s="112" t="str">
        <f t="shared" si="2"/>
        <v/>
      </c>
      <c r="J42" s="111">
        <f t="shared" si="3"/>
        <v>-1</v>
      </c>
      <c r="K42" s="111">
        <f t="shared" si="4"/>
        <v>-10</v>
      </c>
      <c r="L42" s="111"/>
      <c r="M42" s="113">
        <f t="shared" si="5"/>
        <v>0</v>
      </c>
      <c r="N42" s="113">
        <f t="shared" si="6"/>
        <v>0</v>
      </c>
      <c r="O42" s="96"/>
      <c r="P42" s="96"/>
      <c r="Q42" s="96"/>
      <c r="R42" s="96"/>
      <c r="S42" s="125"/>
      <c r="T42" s="126"/>
    </row>
    <row r="43" spans="1:20" s="101" customFormat="1">
      <c r="A43" s="114">
        <f t="shared" si="0"/>
        <v>0</v>
      </c>
      <c r="B43" s="45" t="str">
        <f t="shared" si="7"/>
        <v/>
      </c>
      <c r="C43" s="46" t="s">
        <v>50</v>
      </c>
      <c r="D43" s="46"/>
      <c r="E43" s="46"/>
      <c r="F43" s="46"/>
      <c r="G43" s="96"/>
      <c r="H43" s="115">
        <v>38</v>
      </c>
      <c r="I43" s="116" t="str">
        <f t="shared" si="2"/>
        <v/>
      </c>
      <c r="J43" s="115">
        <f t="shared" si="3"/>
        <v>-1</v>
      </c>
      <c r="K43" s="115">
        <f t="shared" si="4"/>
        <v>-10</v>
      </c>
      <c r="L43" s="115"/>
      <c r="M43" s="117">
        <f t="shared" si="5"/>
        <v>0</v>
      </c>
      <c r="N43" s="117">
        <f t="shared" si="6"/>
        <v>0</v>
      </c>
      <c r="O43" s="96"/>
      <c r="P43" s="96"/>
      <c r="Q43" s="96"/>
      <c r="R43" s="96"/>
      <c r="S43" s="96"/>
    </row>
    <row r="44" spans="1:20" s="101" customFormat="1">
      <c r="A44" s="110">
        <f t="shared" si="0"/>
        <v>0</v>
      </c>
      <c r="B44" s="39" t="str">
        <f t="shared" si="7"/>
        <v/>
      </c>
      <c r="C44" s="40" t="s">
        <v>50</v>
      </c>
      <c r="D44" s="40"/>
      <c r="E44" s="40"/>
      <c r="F44" s="40"/>
      <c r="G44" s="96"/>
      <c r="H44" s="111">
        <v>39</v>
      </c>
      <c r="I44" s="112" t="str">
        <f t="shared" si="2"/>
        <v/>
      </c>
      <c r="J44" s="111">
        <f t="shared" si="3"/>
        <v>-1</v>
      </c>
      <c r="K44" s="111">
        <f t="shared" si="4"/>
        <v>-10</v>
      </c>
      <c r="L44" s="111"/>
      <c r="M44" s="113">
        <f t="shared" si="5"/>
        <v>0</v>
      </c>
      <c r="N44" s="113">
        <f t="shared" si="6"/>
        <v>0</v>
      </c>
      <c r="O44" s="96"/>
      <c r="P44" s="96"/>
      <c r="Q44" s="96"/>
      <c r="R44" s="96"/>
      <c r="S44" s="125"/>
      <c r="T44" s="126"/>
    </row>
    <row r="45" spans="1:20" s="101" customFormat="1">
      <c r="A45" s="114">
        <f t="shared" si="0"/>
        <v>0</v>
      </c>
      <c r="B45" s="45" t="str">
        <f t="shared" si="7"/>
        <v/>
      </c>
      <c r="C45" s="46" t="s">
        <v>50</v>
      </c>
      <c r="D45" s="46"/>
      <c r="E45" s="46"/>
      <c r="F45" s="46"/>
      <c r="G45" s="96"/>
      <c r="H45" s="115">
        <v>40</v>
      </c>
      <c r="I45" s="116" t="str">
        <f t="shared" si="2"/>
        <v/>
      </c>
      <c r="J45" s="115">
        <f t="shared" si="3"/>
        <v>-1</v>
      </c>
      <c r="K45" s="115">
        <f t="shared" si="4"/>
        <v>-10</v>
      </c>
      <c r="L45" s="115"/>
      <c r="M45" s="117">
        <f t="shared" si="5"/>
        <v>0</v>
      </c>
      <c r="N45" s="117">
        <f t="shared" si="6"/>
        <v>0</v>
      </c>
      <c r="O45" s="96"/>
      <c r="P45" s="96"/>
      <c r="Q45" s="96"/>
      <c r="R45" s="96"/>
      <c r="S45" s="96"/>
    </row>
    <row r="46" spans="1:20" s="101" customFormat="1">
      <c r="A46" s="110">
        <f t="shared" si="0"/>
        <v>0</v>
      </c>
      <c r="B46" s="39" t="str">
        <f t="shared" si="7"/>
        <v/>
      </c>
      <c r="C46" s="40" t="s">
        <v>50</v>
      </c>
      <c r="D46" s="40"/>
      <c r="E46" s="40"/>
      <c r="F46" s="40"/>
      <c r="G46" s="96"/>
      <c r="H46" s="111">
        <v>41</v>
      </c>
      <c r="I46" s="112" t="str">
        <f t="shared" si="2"/>
        <v/>
      </c>
      <c r="J46" s="111">
        <f t="shared" si="3"/>
        <v>-1</v>
      </c>
      <c r="K46" s="111">
        <f t="shared" si="4"/>
        <v>-10</v>
      </c>
      <c r="L46" s="111"/>
      <c r="M46" s="113">
        <f t="shared" si="5"/>
        <v>0</v>
      </c>
      <c r="N46" s="113">
        <f t="shared" si="6"/>
        <v>0</v>
      </c>
      <c r="O46" s="96"/>
      <c r="P46" s="96"/>
      <c r="Q46" s="96"/>
      <c r="R46" s="96"/>
      <c r="S46" s="125"/>
      <c r="T46" s="126"/>
    </row>
    <row r="47" spans="1:20" s="101" customFormat="1">
      <c r="A47" s="114">
        <f t="shared" si="0"/>
        <v>0</v>
      </c>
      <c r="B47" s="45" t="str">
        <f t="shared" si="7"/>
        <v/>
      </c>
      <c r="C47" s="46" t="s">
        <v>50</v>
      </c>
      <c r="D47" s="46"/>
      <c r="E47" s="46"/>
      <c r="F47" s="46"/>
      <c r="G47" s="96"/>
      <c r="H47" s="115">
        <v>42</v>
      </c>
      <c r="I47" s="116" t="str">
        <f t="shared" si="2"/>
        <v/>
      </c>
      <c r="J47" s="115">
        <f t="shared" si="3"/>
        <v>-1</v>
      </c>
      <c r="K47" s="115">
        <f t="shared" si="4"/>
        <v>-10</v>
      </c>
      <c r="L47" s="115"/>
      <c r="M47" s="117">
        <f t="shared" si="5"/>
        <v>0</v>
      </c>
      <c r="N47" s="117">
        <f t="shared" si="6"/>
        <v>0</v>
      </c>
      <c r="O47" s="96"/>
      <c r="P47" s="96"/>
      <c r="Q47" s="96"/>
      <c r="R47" s="96"/>
      <c r="S47" s="96"/>
    </row>
    <row r="48" spans="1:20" s="101" customFormat="1">
      <c r="A48" s="110">
        <f t="shared" si="0"/>
        <v>0</v>
      </c>
      <c r="B48" s="39" t="str">
        <f t="shared" si="7"/>
        <v/>
      </c>
      <c r="C48" s="40" t="s">
        <v>50</v>
      </c>
      <c r="D48" s="40"/>
      <c r="E48" s="40"/>
      <c r="F48" s="40"/>
      <c r="G48" s="96"/>
      <c r="H48" s="111">
        <v>43</v>
      </c>
      <c r="I48" s="112" t="str">
        <f t="shared" si="2"/>
        <v/>
      </c>
      <c r="J48" s="111">
        <f t="shared" si="3"/>
        <v>-1</v>
      </c>
      <c r="K48" s="111">
        <f t="shared" si="4"/>
        <v>-10</v>
      </c>
      <c r="L48" s="111"/>
      <c r="M48" s="113">
        <f t="shared" si="5"/>
        <v>0</v>
      </c>
      <c r="N48" s="113">
        <f t="shared" si="6"/>
        <v>0</v>
      </c>
      <c r="O48" s="96"/>
      <c r="P48" s="96"/>
      <c r="Q48" s="96"/>
      <c r="R48" s="96"/>
      <c r="S48" s="125"/>
      <c r="T48" s="126"/>
    </row>
    <row r="49" spans="1:20" s="101" customFormat="1">
      <c r="A49" s="114">
        <f t="shared" si="0"/>
        <v>0</v>
      </c>
      <c r="B49" s="45" t="str">
        <f t="shared" si="7"/>
        <v/>
      </c>
      <c r="C49" s="46" t="s">
        <v>50</v>
      </c>
      <c r="D49" s="46"/>
      <c r="E49" s="46"/>
      <c r="F49" s="46"/>
      <c r="G49" s="96"/>
      <c r="H49" s="115">
        <v>44</v>
      </c>
      <c r="I49" s="116" t="str">
        <f t="shared" si="2"/>
        <v/>
      </c>
      <c r="J49" s="115">
        <f t="shared" si="3"/>
        <v>-1</v>
      </c>
      <c r="K49" s="115">
        <f t="shared" si="4"/>
        <v>-10</v>
      </c>
      <c r="L49" s="115"/>
      <c r="M49" s="117">
        <f t="shared" si="5"/>
        <v>0</v>
      </c>
      <c r="N49" s="117">
        <f t="shared" si="6"/>
        <v>0</v>
      </c>
      <c r="O49" s="96"/>
      <c r="P49" s="96"/>
      <c r="Q49" s="96"/>
      <c r="R49" s="96"/>
      <c r="S49" s="96"/>
    </row>
    <row r="50" spans="1:20" s="101" customFormat="1">
      <c r="A50" s="110">
        <f t="shared" si="0"/>
        <v>0</v>
      </c>
      <c r="B50" s="39" t="str">
        <f t="shared" si="7"/>
        <v/>
      </c>
      <c r="C50" s="40" t="s">
        <v>50</v>
      </c>
      <c r="D50" s="40"/>
      <c r="E50" s="40"/>
      <c r="F50" s="40"/>
      <c r="G50" s="96"/>
      <c r="H50" s="111">
        <v>45</v>
      </c>
      <c r="I50" s="112" t="str">
        <f t="shared" si="2"/>
        <v/>
      </c>
      <c r="J50" s="111">
        <f t="shared" si="3"/>
        <v>-1</v>
      </c>
      <c r="K50" s="111">
        <f t="shared" si="4"/>
        <v>-10</v>
      </c>
      <c r="L50" s="111"/>
      <c r="M50" s="113">
        <f t="shared" si="5"/>
        <v>0</v>
      </c>
      <c r="N50" s="113">
        <f t="shared" si="6"/>
        <v>0</v>
      </c>
      <c r="O50" s="96"/>
      <c r="P50" s="96"/>
      <c r="Q50" s="96"/>
      <c r="R50" s="96"/>
      <c r="S50" s="125"/>
      <c r="T50" s="126"/>
    </row>
    <row r="51" spans="1:20" s="101" customFormat="1">
      <c r="A51" s="114">
        <f t="shared" si="0"/>
        <v>0</v>
      </c>
      <c r="B51" s="45" t="str">
        <f t="shared" si="7"/>
        <v/>
      </c>
      <c r="C51" s="46" t="s">
        <v>50</v>
      </c>
      <c r="D51" s="46"/>
      <c r="E51" s="46"/>
      <c r="F51" s="46"/>
      <c r="G51" s="96"/>
      <c r="H51" s="115">
        <v>46</v>
      </c>
      <c r="I51" s="116" t="str">
        <f t="shared" si="2"/>
        <v/>
      </c>
      <c r="J51" s="115">
        <f t="shared" si="3"/>
        <v>-1</v>
      </c>
      <c r="K51" s="115">
        <f t="shared" si="4"/>
        <v>-10</v>
      </c>
      <c r="L51" s="115"/>
      <c r="M51" s="117">
        <f t="shared" si="5"/>
        <v>0</v>
      </c>
      <c r="N51" s="117">
        <f t="shared" si="6"/>
        <v>0</v>
      </c>
      <c r="O51" s="96"/>
      <c r="P51" s="96"/>
      <c r="Q51" s="96"/>
      <c r="R51" s="96"/>
      <c r="S51" s="96"/>
    </row>
    <row r="52" spans="1:20" s="101" customFormat="1">
      <c r="A52" s="110">
        <f t="shared" si="0"/>
        <v>0</v>
      </c>
      <c r="B52" s="39" t="str">
        <f t="shared" si="7"/>
        <v/>
      </c>
      <c r="C52" s="40" t="s">
        <v>50</v>
      </c>
      <c r="D52" s="40"/>
      <c r="E52" s="40"/>
      <c r="F52" s="40"/>
      <c r="G52" s="96"/>
      <c r="H52" s="111">
        <v>47</v>
      </c>
      <c r="I52" s="112" t="str">
        <f t="shared" si="2"/>
        <v/>
      </c>
      <c r="J52" s="111">
        <f t="shared" si="3"/>
        <v>-1</v>
      </c>
      <c r="K52" s="111">
        <f t="shared" si="4"/>
        <v>-10</v>
      </c>
      <c r="L52" s="111"/>
      <c r="M52" s="113">
        <f t="shared" si="5"/>
        <v>0</v>
      </c>
      <c r="N52" s="113">
        <f t="shared" si="6"/>
        <v>0</v>
      </c>
      <c r="O52" s="96"/>
      <c r="P52" s="96"/>
      <c r="Q52" s="96"/>
      <c r="R52" s="96"/>
      <c r="S52" s="125"/>
      <c r="T52" s="126"/>
    </row>
    <row r="53" spans="1:20" s="101" customFormat="1">
      <c r="A53" s="114">
        <f t="shared" si="0"/>
        <v>0</v>
      </c>
      <c r="B53" s="45" t="str">
        <f t="shared" si="7"/>
        <v/>
      </c>
      <c r="C53" s="46" t="s">
        <v>50</v>
      </c>
      <c r="D53" s="46"/>
      <c r="E53" s="46"/>
      <c r="F53" s="46"/>
      <c r="G53" s="96"/>
      <c r="H53" s="115">
        <v>48</v>
      </c>
      <c r="I53" s="116" t="str">
        <f t="shared" si="2"/>
        <v/>
      </c>
      <c r="J53" s="115">
        <f t="shared" si="3"/>
        <v>-1</v>
      </c>
      <c r="K53" s="115">
        <f t="shared" si="4"/>
        <v>-10</v>
      </c>
      <c r="L53" s="115"/>
      <c r="M53" s="117">
        <f t="shared" si="5"/>
        <v>0</v>
      </c>
      <c r="N53" s="117">
        <f t="shared" si="6"/>
        <v>0</v>
      </c>
      <c r="O53" s="96"/>
      <c r="P53" s="96"/>
      <c r="Q53" s="96"/>
      <c r="R53" s="96"/>
      <c r="S53" s="96"/>
    </row>
    <row r="54" spans="1:20" s="101" customFormat="1">
      <c r="A54" s="110">
        <f t="shared" si="0"/>
        <v>0</v>
      </c>
      <c r="B54" s="39" t="str">
        <f t="shared" si="7"/>
        <v/>
      </c>
      <c r="C54" s="40" t="s">
        <v>50</v>
      </c>
      <c r="D54" s="40"/>
      <c r="E54" s="40"/>
      <c r="F54" s="40"/>
      <c r="G54" s="96"/>
      <c r="H54" s="111">
        <v>49</v>
      </c>
      <c r="I54" s="112" t="str">
        <f t="shared" si="2"/>
        <v/>
      </c>
      <c r="J54" s="111">
        <f t="shared" si="3"/>
        <v>-1</v>
      </c>
      <c r="K54" s="111">
        <f t="shared" si="4"/>
        <v>-10</v>
      </c>
      <c r="L54" s="111"/>
      <c r="M54" s="113">
        <f t="shared" si="5"/>
        <v>0</v>
      </c>
      <c r="N54" s="113">
        <f t="shared" si="6"/>
        <v>0</v>
      </c>
      <c r="O54" s="96"/>
      <c r="P54" s="96"/>
      <c r="Q54" s="96"/>
      <c r="R54" s="96"/>
      <c r="S54" s="125"/>
      <c r="T54" s="126"/>
    </row>
    <row r="55" spans="1:20" s="101" customFormat="1">
      <c r="A55" s="114">
        <f t="shared" si="0"/>
        <v>0</v>
      </c>
      <c r="B55" s="45" t="str">
        <f t="shared" si="7"/>
        <v/>
      </c>
      <c r="C55" s="46" t="s">
        <v>50</v>
      </c>
      <c r="D55" s="46"/>
      <c r="E55" s="46"/>
      <c r="F55" s="46"/>
      <c r="G55" s="96"/>
      <c r="H55" s="115">
        <v>50</v>
      </c>
      <c r="I55" s="116" t="str">
        <f t="shared" si="2"/>
        <v/>
      </c>
      <c r="J55" s="115">
        <f t="shared" si="3"/>
        <v>-1</v>
      </c>
      <c r="K55" s="115">
        <f t="shared" si="4"/>
        <v>-10</v>
      </c>
      <c r="L55" s="115"/>
      <c r="M55" s="117">
        <f t="shared" si="5"/>
        <v>0</v>
      </c>
      <c r="N55" s="117">
        <f t="shared" si="6"/>
        <v>0</v>
      </c>
      <c r="O55" s="96"/>
      <c r="P55" s="96"/>
      <c r="Q55" s="96"/>
      <c r="R55" s="96"/>
      <c r="S55" s="96"/>
    </row>
    <row r="56" spans="1:20" s="101" customFormat="1">
      <c r="A56" s="110">
        <f t="shared" si="0"/>
        <v>0</v>
      </c>
      <c r="B56" s="39" t="str">
        <f t="shared" si="7"/>
        <v/>
      </c>
      <c r="C56" s="40" t="s">
        <v>50</v>
      </c>
      <c r="D56" s="40"/>
      <c r="E56" s="40"/>
      <c r="F56" s="40"/>
      <c r="G56" s="96"/>
      <c r="H56" s="111">
        <v>51</v>
      </c>
      <c r="I56" s="112" t="str">
        <f t="shared" si="2"/>
        <v/>
      </c>
      <c r="J56" s="111">
        <f t="shared" si="3"/>
        <v>-1</v>
      </c>
      <c r="K56" s="111">
        <f t="shared" si="4"/>
        <v>-10</v>
      </c>
      <c r="L56" s="111"/>
      <c r="M56" s="113">
        <f t="shared" si="5"/>
        <v>0</v>
      </c>
      <c r="N56" s="113">
        <f t="shared" si="6"/>
        <v>0</v>
      </c>
      <c r="O56" s="96"/>
      <c r="P56" s="96"/>
      <c r="Q56" s="96"/>
      <c r="R56" s="96"/>
      <c r="S56" s="125"/>
      <c r="T56" s="126"/>
    </row>
    <row r="57" spans="1:20" s="101" customFormat="1">
      <c r="A57" s="114">
        <f t="shared" si="0"/>
        <v>0</v>
      </c>
      <c r="B57" s="45" t="str">
        <f t="shared" si="7"/>
        <v/>
      </c>
      <c r="C57" s="46" t="s">
        <v>50</v>
      </c>
      <c r="D57" s="46"/>
      <c r="E57" s="46"/>
      <c r="F57" s="46"/>
      <c r="G57" s="96"/>
      <c r="H57" s="115">
        <v>52</v>
      </c>
      <c r="I57" s="116" t="str">
        <f t="shared" si="2"/>
        <v/>
      </c>
      <c r="J57" s="115">
        <f t="shared" si="3"/>
        <v>-1</v>
      </c>
      <c r="K57" s="115">
        <f t="shared" si="4"/>
        <v>-10</v>
      </c>
      <c r="L57" s="115"/>
      <c r="M57" s="117">
        <f t="shared" si="5"/>
        <v>0</v>
      </c>
      <c r="N57" s="117">
        <f t="shared" si="6"/>
        <v>0</v>
      </c>
      <c r="O57" s="96"/>
      <c r="P57" s="96"/>
      <c r="Q57" s="96"/>
      <c r="R57" s="96"/>
      <c r="S57" s="96"/>
    </row>
    <row r="58" spans="1:20" s="101" customFormat="1">
      <c r="A58" s="110">
        <f t="shared" si="0"/>
        <v>0</v>
      </c>
      <c r="B58" s="39" t="str">
        <f t="shared" si="7"/>
        <v/>
      </c>
      <c r="C58" s="40" t="s">
        <v>50</v>
      </c>
      <c r="D58" s="40"/>
      <c r="E58" s="40"/>
      <c r="F58" s="40"/>
      <c r="G58" s="96"/>
      <c r="H58" s="111">
        <v>53</v>
      </c>
      <c r="I58" s="112" t="str">
        <f t="shared" si="2"/>
        <v/>
      </c>
      <c r="J58" s="111">
        <f t="shared" si="3"/>
        <v>-1</v>
      </c>
      <c r="K58" s="111">
        <f t="shared" si="4"/>
        <v>-10</v>
      </c>
      <c r="L58" s="111"/>
      <c r="M58" s="113">
        <f t="shared" si="5"/>
        <v>0</v>
      </c>
      <c r="N58" s="113">
        <f t="shared" si="6"/>
        <v>0</v>
      </c>
      <c r="O58" s="96"/>
      <c r="P58" s="96"/>
      <c r="Q58" s="96"/>
      <c r="R58" s="96"/>
      <c r="S58" s="125"/>
      <c r="T58" s="126"/>
    </row>
    <row r="59" spans="1:20" s="101" customFormat="1">
      <c r="A59" s="114">
        <f t="shared" si="0"/>
        <v>0</v>
      </c>
      <c r="B59" s="45" t="str">
        <f t="shared" si="7"/>
        <v/>
      </c>
      <c r="C59" s="46" t="s">
        <v>50</v>
      </c>
      <c r="D59" s="46"/>
      <c r="E59" s="46"/>
      <c r="F59" s="46"/>
      <c r="G59" s="96"/>
      <c r="H59" s="115">
        <v>54</v>
      </c>
      <c r="I59" s="116" t="str">
        <f t="shared" si="2"/>
        <v/>
      </c>
      <c r="J59" s="115">
        <f t="shared" si="3"/>
        <v>-1</v>
      </c>
      <c r="K59" s="115">
        <f t="shared" si="4"/>
        <v>-10</v>
      </c>
      <c r="L59" s="115"/>
      <c r="M59" s="117">
        <f t="shared" si="5"/>
        <v>0</v>
      </c>
      <c r="N59" s="117">
        <f t="shared" si="6"/>
        <v>0</v>
      </c>
      <c r="O59" s="96"/>
      <c r="P59" s="96"/>
      <c r="Q59" s="96"/>
      <c r="R59" s="96"/>
      <c r="S59" s="96"/>
    </row>
    <row r="60" spans="1:20" s="101" customFormat="1">
      <c r="A60" s="110">
        <f t="shared" si="0"/>
        <v>0</v>
      </c>
      <c r="B60" s="39" t="str">
        <f t="shared" si="7"/>
        <v/>
      </c>
      <c r="C60" s="40" t="s">
        <v>50</v>
      </c>
      <c r="D60" s="40"/>
      <c r="E60" s="40"/>
      <c r="F60" s="40"/>
      <c r="G60" s="96"/>
      <c r="H60" s="111">
        <v>55</v>
      </c>
      <c r="I60" s="112" t="str">
        <f t="shared" si="2"/>
        <v/>
      </c>
      <c r="J60" s="111">
        <f t="shared" si="3"/>
        <v>-1</v>
      </c>
      <c r="K60" s="111">
        <f t="shared" si="4"/>
        <v>-10</v>
      </c>
      <c r="L60" s="111"/>
      <c r="M60" s="113">
        <f t="shared" si="5"/>
        <v>0</v>
      </c>
      <c r="N60" s="113">
        <f t="shared" si="6"/>
        <v>0</v>
      </c>
      <c r="O60" s="96"/>
      <c r="P60" s="96"/>
      <c r="Q60" s="96"/>
      <c r="R60" s="96"/>
      <c r="S60" s="125"/>
      <c r="T60" s="126"/>
    </row>
    <row r="61" spans="1:20" s="101" customFormat="1">
      <c r="A61" s="114">
        <f t="shared" si="0"/>
        <v>0</v>
      </c>
      <c r="B61" s="45" t="str">
        <f t="shared" si="7"/>
        <v/>
      </c>
      <c r="C61" s="46" t="s">
        <v>50</v>
      </c>
      <c r="D61" s="46"/>
      <c r="E61" s="46"/>
      <c r="F61" s="46"/>
      <c r="G61" s="96"/>
      <c r="H61" s="115">
        <v>56</v>
      </c>
      <c r="I61" s="116" t="str">
        <f t="shared" si="2"/>
        <v/>
      </c>
      <c r="J61" s="115">
        <f t="shared" si="3"/>
        <v>-1</v>
      </c>
      <c r="K61" s="115">
        <f t="shared" si="4"/>
        <v>-10</v>
      </c>
      <c r="L61" s="115"/>
      <c r="M61" s="117">
        <f t="shared" si="5"/>
        <v>0</v>
      </c>
      <c r="N61" s="117">
        <f t="shared" si="6"/>
        <v>0</v>
      </c>
      <c r="O61" s="96"/>
      <c r="P61" s="96"/>
      <c r="Q61" s="96"/>
      <c r="R61" s="96"/>
      <c r="S61" s="96"/>
    </row>
    <row r="62" spans="1:20" s="101" customFormat="1">
      <c r="A62" s="110">
        <f t="shared" si="0"/>
        <v>0</v>
      </c>
      <c r="B62" s="39" t="str">
        <f t="shared" si="7"/>
        <v/>
      </c>
      <c r="C62" s="40" t="s">
        <v>50</v>
      </c>
      <c r="D62" s="40"/>
      <c r="E62" s="40"/>
      <c r="F62" s="40"/>
      <c r="G62" s="96"/>
      <c r="H62" s="111">
        <v>57</v>
      </c>
      <c r="I62" s="112" t="str">
        <f t="shared" si="2"/>
        <v/>
      </c>
      <c r="J62" s="111">
        <f t="shared" si="3"/>
        <v>-1</v>
      </c>
      <c r="K62" s="111">
        <f t="shared" si="4"/>
        <v>-10</v>
      </c>
      <c r="L62" s="111"/>
      <c r="M62" s="113">
        <f t="shared" si="5"/>
        <v>0</v>
      </c>
      <c r="N62" s="113">
        <f t="shared" si="6"/>
        <v>0</v>
      </c>
      <c r="O62" s="96"/>
      <c r="P62" s="96"/>
      <c r="Q62" s="96"/>
      <c r="R62" s="96"/>
      <c r="S62" s="125"/>
      <c r="T62" s="126"/>
    </row>
    <row r="63" spans="1:20" s="101" customFormat="1">
      <c r="A63" s="114">
        <f t="shared" si="0"/>
        <v>0</v>
      </c>
      <c r="B63" s="45" t="str">
        <f t="shared" si="7"/>
        <v/>
      </c>
      <c r="C63" s="46" t="s">
        <v>50</v>
      </c>
      <c r="D63" s="46"/>
      <c r="E63" s="46"/>
      <c r="F63" s="46"/>
      <c r="G63" s="96"/>
      <c r="H63" s="115">
        <v>58</v>
      </c>
      <c r="I63" s="116" t="str">
        <f t="shared" si="2"/>
        <v/>
      </c>
      <c r="J63" s="115">
        <f t="shared" si="3"/>
        <v>-1</v>
      </c>
      <c r="K63" s="115">
        <f t="shared" si="4"/>
        <v>-10</v>
      </c>
      <c r="L63" s="115"/>
      <c r="M63" s="117">
        <f t="shared" si="5"/>
        <v>0</v>
      </c>
      <c r="N63" s="117">
        <f t="shared" si="6"/>
        <v>0</v>
      </c>
      <c r="O63" s="96"/>
      <c r="P63" s="96"/>
      <c r="Q63" s="96"/>
      <c r="R63" s="96"/>
      <c r="S63" s="96"/>
    </row>
    <row r="64" spans="1:20" s="101" customFormat="1">
      <c r="A64" s="110">
        <f t="shared" si="0"/>
        <v>0</v>
      </c>
      <c r="B64" s="39" t="str">
        <f t="shared" si="7"/>
        <v/>
      </c>
      <c r="C64" s="40" t="s">
        <v>50</v>
      </c>
      <c r="D64" s="40"/>
      <c r="E64" s="40"/>
      <c r="F64" s="40"/>
      <c r="G64" s="96"/>
      <c r="H64" s="111">
        <v>59</v>
      </c>
      <c r="I64" s="112" t="str">
        <f t="shared" si="2"/>
        <v/>
      </c>
      <c r="J64" s="111">
        <f t="shared" si="3"/>
        <v>-1</v>
      </c>
      <c r="K64" s="111">
        <f t="shared" si="4"/>
        <v>-10</v>
      </c>
      <c r="L64" s="111"/>
      <c r="M64" s="113">
        <f t="shared" si="5"/>
        <v>0</v>
      </c>
      <c r="N64" s="113">
        <f t="shared" si="6"/>
        <v>0</v>
      </c>
      <c r="O64" s="96"/>
      <c r="P64" s="96"/>
      <c r="Q64" s="96"/>
      <c r="R64" s="96"/>
      <c r="S64" s="125"/>
      <c r="T64" s="126"/>
    </row>
    <row r="65" spans="1:20" s="101" customFormat="1">
      <c r="A65" s="114">
        <f t="shared" si="0"/>
        <v>0</v>
      </c>
      <c r="B65" s="45" t="str">
        <f t="shared" si="7"/>
        <v/>
      </c>
      <c r="C65" s="46" t="s">
        <v>50</v>
      </c>
      <c r="D65" s="46"/>
      <c r="E65" s="46"/>
      <c r="F65" s="46"/>
      <c r="G65" s="96"/>
      <c r="H65" s="115">
        <v>60</v>
      </c>
      <c r="I65" s="116" t="str">
        <f t="shared" si="2"/>
        <v/>
      </c>
      <c r="J65" s="115">
        <f t="shared" si="3"/>
        <v>-1</v>
      </c>
      <c r="K65" s="115">
        <f t="shared" si="4"/>
        <v>-10</v>
      </c>
      <c r="L65" s="115"/>
      <c r="M65" s="117">
        <f t="shared" si="5"/>
        <v>0</v>
      </c>
      <c r="N65" s="117">
        <f t="shared" si="6"/>
        <v>0</v>
      </c>
      <c r="O65" s="96"/>
      <c r="P65" s="96"/>
      <c r="Q65" s="96"/>
      <c r="R65" s="96"/>
      <c r="S65" s="96"/>
    </row>
    <row r="66" spans="1:20" s="101" customFormat="1">
      <c r="A66" s="110">
        <f t="shared" si="0"/>
        <v>0</v>
      </c>
      <c r="B66" s="39" t="str">
        <f t="shared" si="7"/>
        <v/>
      </c>
      <c r="C66" s="40" t="s">
        <v>50</v>
      </c>
      <c r="D66" s="40"/>
      <c r="E66" s="40"/>
      <c r="F66" s="40"/>
      <c r="G66" s="96"/>
      <c r="H66" s="111">
        <v>61</v>
      </c>
      <c r="I66" s="112" t="str">
        <f t="shared" si="2"/>
        <v/>
      </c>
      <c r="J66" s="111">
        <f t="shared" si="3"/>
        <v>-1</v>
      </c>
      <c r="K66" s="111">
        <f t="shared" si="4"/>
        <v>-10</v>
      </c>
      <c r="L66" s="111"/>
      <c r="M66" s="113">
        <f t="shared" si="5"/>
        <v>0</v>
      </c>
      <c r="N66" s="113">
        <f t="shared" si="6"/>
        <v>0</v>
      </c>
      <c r="O66" s="96"/>
      <c r="P66" s="96"/>
      <c r="Q66" s="96"/>
      <c r="R66" s="96"/>
      <c r="S66" s="125"/>
      <c r="T66" s="126"/>
    </row>
    <row r="67" spans="1:20" s="101" customFormat="1">
      <c r="A67" s="114">
        <f t="shared" si="0"/>
        <v>0</v>
      </c>
      <c r="B67" s="45" t="str">
        <f t="shared" si="7"/>
        <v/>
      </c>
      <c r="C67" s="46" t="s">
        <v>50</v>
      </c>
      <c r="D67" s="46"/>
      <c r="E67" s="46"/>
      <c r="F67" s="46"/>
      <c r="G67" s="96"/>
      <c r="H67" s="115">
        <v>62</v>
      </c>
      <c r="I67" s="116" t="str">
        <f t="shared" si="2"/>
        <v/>
      </c>
      <c r="J67" s="115">
        <f t="shared" si="3"/>
        <v>-1</v>
      </c>
      <c r="K67" s="115">
        <f t="shared" si="4"/>
        <v>-10</v>
      </c>
      <c r="L67" s="115"/>
      <c r="M67" s="117">
        <f t="shared" si="5"/>
        <v>0</v>
      </c>
      <c r="N67" s="117">
        <f t="shared" si="6"/>
        <v>0</v>
      </c>
      <c r="O67" s="96"/>
      <c r="P67" s="96"/>
      <c r="Q67" s="96"/>
      <c r="R67" s="96"/>
      <c r="S67" s="96"/>
    </row>
    <row r="68" spans="1:20" s="101" customFormat="1">
      <c r="A68" s="110">
        <f t="shared" si="0"/>
        <v>0</v>
      </c>
      <c r="B68" s="39" t="str">
        <f t="shared" si="7"/>
        <v/>
      </c>
      <c r="C68" s="40" t="s">
        <v>50</v>
      </c>
      <c r="D68" s="40"/>
      <c r="E68" s="40"/>
      <c r="F68" s="40"/>
      <c r="G68" s="96"/>
      <c r="H68" s="111">
        <v>63</v>
      </c>
      <c r="I68" s="112" t="str">
        <f t="shared" si="2"/>
        <v/>
      </c>
      <c r="J68" s="111">
        <f t="shared" si="3"/>
        <v>-1</v>
      </c>
      <c r="K68" s="111">
        <f t="shared" si="4"/>
        <v>-10</v>
      </c>
      <c r="L68" s="111"/>
      <c r="M68" s="113">
        <f t="shared" si="5"/>
        <v>0</v>
      </c>
      <c r="N68" s="113">
        <f t="shared" si="6"/>
        <v>0</v>
      </c>
      <c r="O68" s="96"/>
      <c r="P68" s="96"/>
      <c r="Q68" s="96"/>
      <c r="R68" s="96"/>
      <c r="S68" s="125"/>
      <c r="T68" s="126"/>
    </row>
    <row r="69" spans="1:20" s="101" customFormat="1">
      <c r="A69" s="114">
        <f t="shared" si="0"/>
        <v>0</v>
      </c>
      <c r="B69" s="45" t="str">
        <f t="shared" si="7"/>
        <v/>
      </c>
      <c r="C69" s="46" t="s">
        <v>50</v>
      </c>
      <c r="D69" s="46"/>
      <c r="E69" s="46"/>
      <c r="F69" s="46"/>
      <c r="G69" s="96"/>
      <c r="H69" s="115">
        <v>64</v>
      </c>
      <c r="I69" s="116" t="str">
        <f t="shared" si="2"/>
        <v/>
      </c>
      <c r="J69" s="115">
        <f t="shared" si="3"/>
        <v>-1</v>
      </c>
      <c r="K69" s="115">
        <f t="shared" si="4"/>
        <v>-10</v>
      </c>
      <c r="L69" s="115"/>
      <c r="M69" s="117">
        <f t="shared" si="5"/>
        <v>0</v>
      </c>
      <c r="N69" s="117">
        <f t="shared" si="6"/>
        <v>0</v>
      </c>
      <c r="O69" s="96"/>
      <c r="P69" s="96"/>
      <c r="Q69" s="96"/>
      <c r="R69" s="96"/>
      <c r="S69" s="96"/>
    </row>
    <row r="70" spans="1:20" s="101" customFormat="1">
      <c r="A70" s="110">
        <f t="shared" ref="A70:A133" si="8">N70</f>
        <v>0</v>
      </c>
      <c r="B70" s="39" t="str">
        <f t="shared" si="7"/>
        <v/>
      </c>
      <c r="C70" s="40" t="s">
        <v>50</v>
      </c>
      <c r="D70" s="40"/>
      <c r="E70" s="40"/>
      <c r="F70" s="40"/>
      <c r="G70" s="96"/>
      <c r="H70" s="111">
        <v>65</v>
      </c>
      <c r="I70" s="112" t="str">
        <f t="shared" ref="I70:I133" si="9">IF(H70&lt;$H$2+1,($I$2-($I$2-1)*(LOG(H70)/LOG($H$2))),"")</f>
        <v/>
      </c>
      <c r="J70" s="111">
        <f t="shared" ref="J70:J133" si="10">INT(LOG($H$2,2))-ROUNDUP(LOG(H70,2),0)+IF(OR($H$2=1,$H$2=2,$H$2=4,$H$2=8,$H$2=16,$H$2=32,$H$2=64,$H$2=128,$H$2=256),0,1)</f>
        <v>-2</v>
      </c>
      <c r="K70" s="111">
        <f t="shared" ref="K70:K133" si="11">J70*$J$2</f>
        <v>-20</v>
      </c>
      <c r="L70" s="111"/>
      <c r="M70" s="113">
        <f t="shared" ref="M70:M133" si="12">IF(I70&lt;&gt;"",K70+I70+L70,0)</f>
        <v>0</v>
      </c>
      <c r="N70" s="113">
        <f t="shared" ref="N70:N133" si="13">IF(I70&lt;&gt;"",M70*L$2,0)</f>
        <v>0</v>
      </c>
      <c r="O70" s="96"/>
      <c r="P70" s="96"/>
      <c r="Q70" s="96"/>
      <c r="R70" s="96"/>
      <c r="S70" s="125"/>
      <c r="T70" s="126"/>
    </row>
    <row r="71" spans="1:20" s="101" customFormat="1">
      <c r="A71" s="114">
        <f t="shared" si="8"/>
        <v>0</v>
      </c>
      <c r="B71" s="45" t="str">
        <f t="shared" si="7"/>
        <v/>
      </c>
      <c r="C71" s="46" t="s">
        <v>50</v>
      </c>
      <c r="D71" s="46"/>
      <c r="E71" s="46"/>
      <c r="F71" s="46"/>
      <c r="G71" s="96"/>
      <c r="H71" s="115">
        <v>66</v>
      </c>
      <c r="I71" s="116" t="str">
        <f t="shared" si="9"/>
        <v/>
      </c>
      <c r="J71" s="115">
        <f t="shared" si="10"/>
        <v>-2</v>
      </c>
      <c r="K71" s="115">
        <f t="shared" si="11"/>
        <v>-20</v>
      </c>
      <c r="L71" s="115"/>
      <c r="M71" s="117">
        <f t="shared" si="12"/>
        <v>0</v>
      </c>
      <c r="N71" s="117">
        <f t="shared" si="13"/>
        <v>0</v>
      </c>
      <c r="O71" s="96"/>
      <c r="P71" s="96"/>
      <c r="Q71" s="96"/>
      <c r="R71" s="96"/>
      <c r="S71" s="96"/>
    </row>
    <row r="72" spans="1:20" s="101" customFormat="1">
      <c r="A72" s="110">
        <f t="shared" si="8"/>
        <v>0</v>
      </c>
      <c r="B72" s="39" t="str">
        <f t="shared" si="7"/>
        <v/>
      </c>
      <c r="C72" s="40" t="s">
        <v>50</v>
      </c>
      <c r="D72" s="40"/>
      <c r="E72" s="40"/>
      <c r="F72" s="40"/>
      <c r="G72" s="96"/>
      <c r="H72" s="111">
        <v>67</v>
      </c>
      <c r="I72" s="112" t="str">
        <f t="shared" si="9"/>
        <v/>
      </c>
      <c r="J72" s="111">
        <f t="shared" si="10"/>
        <v>-2</v>
      </c>
      <c r="K72" s="111">
        <f t="shared" si="11"/>
        <v>-20</v>
      </c>
      <c r="L72" s="111"/>
      <c r="M72" s="113">
        <f t="shared" si="12"/>
        <v>0</v>
      </c>
      <c r="N72" s="113">
        <f t="shared" si="13"/>
        <v>0</v>
      </c>
      <c r="O72" s="96"/>
      <c r="P72" s="96"/>
      <c r="Q72" s="96"/>
      <c r="R72" s="96"/>
      <c r="S72" s="125"/>
      <c r="T72" s="126"/>
    </row>
    <row r="73" spans="1:20" s="101" customFormat="1">
      <c r="A73" s="114">
        <f t="shared" si="8"/>
        <v>0</v>
      </c>
      <c r="B73" s="45" t="str">
        <f t="shared" si="7"/>
        <v/>
      </c>
      <c r="C73" s="46" t="s">
        <v>50</v>
      </c>
      <c r="D73" s="46"/>
      <c r="E73" s="46"/>
      <c r="F73" s="46"/>
      <c r="G73" s="96"/>
      <c r="H73" s="115">
        <v>68</v>
      </c>
      <c r="I73" s="116" t="str">
        <f t="shared" si="9"/>
        <v/>
      </c>
      <c r="J73" s="115">
        <f t="shared" si="10"/>
        <v>-2</v>
      </c>
      <c r="K73" s="115">
        <f t="shared" si="11"/>
        <v>-20</v>
      </c>
      <c r="L73" s="115"/>
      <c r="M73" s="117">
        <f t="shared" si="12"/>
        <v>0</v>
      </c>
      <c r="N73" s="117">
        <f t="shared" si="13"/>
        <v>0</v>
      </c>
      <c r="O73" s="96"/>
      <c r="P73" s="96"/>
      <c r="Q73" s="96"/>
      <c r="R73" s="96"/>
      <c r="S73" s="96"/>
    </row>
    <row r="74" spans="1:20" s="101" customFormat="1">
      <c r="A74" s="110">
        <f t="shared" si="8"/>
        <v>0</v>
      </c>
      <c r="B74" s="39" t="str">
        <f t="shared" ref="B74:B137" si="14">IF(H74&gt;$H$2,"",(ROW()-5))</f>
        <v/>
      </c>
      <c r="C74" s="40" t="s">
        <v>50</v>
      </c>
      <c r="D74" s="40"/>
      <c r="E74" s="40"/>
      <c r="F74" s="40"/>
      <c r="G74" s="96"/>
      <c r="H74" s="111">
        <v>69</v>
      </c>
      <c r="I74" s="112" t="str">
        <f t="shared" si="9"/>
        <v/>
      </c>
      <c r="J74" s="111">
        <f t="shared" si="10"/>
        <v>-2</v>
      </c>
      <c r="K74" s="111">
        <f t="shared" si="11"/>
        <v>-20</v>
      </c>
      <c r="L74" s="111"/>
      <c r="M74" s="113">
        <f t="shared" si="12"/>
        <v>0</v>
      </c>
      <c r="N74" s="113">
        <f t="shared" si="13"/>
        <v>0</v>
      </c>
      <c r="O74" s="96"/>
      <c r="P74" s="96"/>
      <c r="Q74" s="96"/>
      <c r="R74" s="96"/>
      <c r="S74" s="125"/>
      <c r="T74" s="126"/>
    </row>
    <row r="75" spans="1:20" s="101" customFormat="1">
      <c r="A75" s="114">
        <f t="shared" si="8"/>
        <v>0</v>
      </c>
      <c r="B75" s="45" t="str">
        <f t="shared" si="14"/>
        <v/>
      </c>
      <c r="C75" s="46" t="s">
        <v>50</v>
      </c>
      <c r="D75" s="46"/>
      <c r="E75" s="46"/>
      <c r="F75" s="46"/>
      <c r="G75" s="96"/>
      <c r="H75" s="115">
        <v>70</v>
      </c>
      <c r="I75" s="116" t="str">
        <f t="shared" si="9"/>
        <v/>
      </c>
      <c r="J75" s="115">
        <f t="shared" si="10"/>
        <v>-2</v>
      </c>
      <c r="K75" s="115">
        <f t="shared" si="11"/>
        <v>-20</v>
      </c>
      <c r="L75" s="115"/>
      <c r="M75" s="117">
        <f t="shared" si="12"/>
        <v>0</v>
      </c>
      <c r="N75" s="117">
        <f t="shared" si="13"/>
        <v>0</v>
      </c>
      <c r="O75" s="96"/>
      <c r="P75" s="96"/>
      <c r="Q75" s="96"/>
      <c r="R75" s="96"/>
      <c r="S75" s="96"/>
    </row>
    <row r="76" spans="1:20" s="101" customFormat="1">
      <c r="A76" s="110">
        <f t="shared" si="8"/>
        <v>0</v>
      </c>
      <c r="B76" s="39" t="str">
        <f t="shared" si="14"/>
        <v/>
      </c>
      <c r="C76" s="40" t="s">
        <v>50</v>
      </c>
      <c r="D76" s="40"/>
      <c r="E76" s="40"/>
      <c r="F76" s="40"/>
      <c r="G76" s="96"/>
      <c r="H76" s="111">
        <v>71</v>
      </c>
      <c r="I76" s="112" t="str">
        <f t="shared" si="9"/>
        <v/>
      </c>
      <c r="J76" s="111">
        <f t="shared" si="10"/>
        <v>-2</v>
      </c>
      <c r="K76" s="111">
        <f t="shared" si="11"/>
        <v>-20</v>
      </c>
      <c r="L76" s="111"/>
      <c r="M76" s="113">
        <f t="shared" si="12"/>
        <v>0</v>
      </c>
      <c r="N76" s="113">
        <f t="shared" si="13"/>
        <v>0</v>
      </c>
      <c r="O76" s="96"/>
      <c r="P76" s="96"/>
      <c r="Q76" s="96"/>
      <c r="R76" s="96"/>
      <c r="S76" s="125"/>
      <c r="T76" s="126"/>
    </row>
    <row r="77" spans="1:20" s="101" customFormat="1">
      <c r="A77" s="114">
        <f t="shared" si="8"/>
        <v>0</v>
      </c>
      <c r="B77" s="45" t="str">
        <f t="shared" si="14"/>
        <v/>
      </c>
      <c r="C77" s="46" t="s">
        <v>50</v>
      </c>
      <c r="D77" s="46"/>
      <c r="E77" s="46"/>
      <c r="F77" s="46"/>
      <c r="G77" s="96"/>
      <c r="H77" s="115">
        <v>72</v>
      </c>
      <c r="I77" s="116" t="str">
        <f t="shared" si="9"/>
        <v/>
      </c>
      <c r="J77" s="115">
        <f t="shared" si="10"/>
        <v>-2</v>
      </c>
      <c r="K77" s="115">
        <f t="shared" si="11"/>
        <v>-20</v>
      </c>
      <c r="L77" s="115"/>
      <c r="M77" s="117">
        <f t="shared" si="12"/>
        <v>0</v>
      </c>
      <c r="N77" s="117">
        <f t="shared" si="13"/>
        <v>0</v>
      </c>
      <c r="O77" s="96"/>
      <c r="P77" s="96"/>
      <c r="Q77" s="96"/>
      <c r="R77" s="96"/>
      <c r="S77" s="96"/>
    </row>
    <row r="78" spans="1:20" s="101" customFormat="1">
      <c r="A78" s="114">
        <f t="shared" si="8"/>
        <v>0</v>
      </c>
      <c r="B78" s="39" t="str">
        <f>IF(H78&gt;$H$2,"",(ROW()-5))</f>
        <v/>
      </c>
      <c r="C78" s="40" t="s">
        <v>50</v>
      </c>
      <c r="D78" s="40"/>
      <c r="E78" s="40"/>
      <c r="F78" s="40"/>
      <c r="G78" s="96"/>
      <c r="H78" s="111">
        <v>73</v>
      </c>
      <c r="I78" s="112" t="str">
        <f t="shared" si="9"/>
        <v/>
      </c>
      <c r="J78" s="111">
        <f t="shared" si="10"/>
        <v>-2</v>
      </c>
      <c r="K78" s="111">
        <f t="shared" si="11"/>
        <v>-20</v>
      </c>
      <c r="L78" s="111"/>
      <c r="M78" s="113">
        <f t="shared" si="12"/>
        <v>0</v>
      </c>
      <c r="N78" s="113">
        <f t="shared" si="13"/>
        <v>0</v>
      </c>
      <c r="O78" s="96"/>
      <c r="P78" s="96"/>
      <c r="Q78" s="96"/>
      <c r="R78" s="96"/>
      <c r="S78" s="125"/>
      <c r="T78" s="126"/>
    </row>
    <row r="79" spans="1:20" s="101" customFormat="1">
      <c r="A79" s="114">
        <f t="shared" si="8"/>
        <v>0</v>
      </c>
      <c r="B79" s="45" t="str">
        <f t="shared" si="14"/>
        <v/>
      </c>
      <c r="C79" s="46" t="s">
        <v>50</v>
      </c>
      <c r="D79" s="46"/>
      <c r="E79" s="46"/>
      <c r="F79" s="46"/>
      <c r="G79" s="96"/>
      <c r="H79" s="115">
        <v>74</v>
      </c>
      <c r="I79" s="116" t="str">
        <f t="shared" si="9"/>
        <v/>
      </c>
      <c r="J79" s="115">
        <f t="shared" si="10"/>
        <v>-2</v>
      </c>
      <c r="K79" s="115">
        <f t="shared" si="11"/>
        <v>-20</v>
      </c>
      <c r="L79" s="115"/>
      <c r="M79" s="117">
        <f t="shared" si="12"/>
        <v>0</v>
      </c>
      <c r="N79" s="117">
        <f t="shared" si="13"/>
        <v>0</v>
      </c>
      <c r="O79" s="96"/>
      <c r="P79" s="96"/>
      <c r="Q79" s="96"/>
      <c r="R79" s="96"/>
      <c r="S79" s="96"/>
    </row>
    <row r="80" spans="1:20" s="101" customFormat="1">
      <c r="A80" s="110">
        <f t="shared" si="8"/>
        <v>0</v>
      </c>
      <c r="B80" s="39" t="str">
        <f t="shared" si="14"/>
        <v/>
      </c>
      <c r="C80" s="40" t="s">
        <v>50</v>
      </c>
      <c r="D80" s="40"/>
      <c r="E80" s="40"/>
      <c r="F80" s="40"/>
      <c r="G80" s="96"/>
      <c r="H80" s="111">
        <v>75</v>
      </c>
      <c r="I80" s="112" t="str">
        <f t="shared" si="9"/>
        <v/>
      </c>
      <c r="J80" s="111">
        <f t="shared" si="10"/>
        <v>-2</v>
      </c>
      <c r="K80" s="111">
        <f t="shared" si="11"/>
        <v>-20</v>
      </c>
      <c r="L80" s="111"/>
      <c r="M80" s="113">
        <f t="shared" si="12"/>
        <v>0</v>
      </c>
      <c r="N80" s="113">
        <f t="shared" si="13"/>
        <v>0</v>
      </c>
      <c r="O80" s="96"/>
      <c r="P80" s="96"/>
      <c r="Q80" s="96"/>
      <c r="R80" s="96"/>
      <c r="S80" s="125"/>
      <c r="T80" s="126"/>
    </row>
    <row r="81" spans="1:20" s="101" customFormat="1">
      <c r="A81" s="114">
        <f t="shared" si="8"/>
        <v>0</v>
      </c>
      <c r="B81" s="45" t="str">
        <f t="shared" si="14"/>
        <v/>
      </c>
      <c r="C81" s="46" t="s">
        <v>50</v>
      </c>
      <c r="D81" s="46"/>
      <c r="E81" s="46"/>
      <c r="F81" s="46"/>
      <c r="G81" s="96"/>
      <c r="H81" s="115">
        <v>76</v>
      </c>
      <c r="I81" s="116" t="str">
        <f t="shared" si="9"/>
        <v/>
      </c>
      <c r="J81" s="115">
        <f t="shared" si="10"/>
        <v>-2</v>
      </c>
      <c r="K81" s="115">
        <f t="shared" si="11"/>
        <v>-20</v>
      </c>
      <c r="L81" s="115"/>
      <c r="M81" s="117">
        <f t="shared" si="12"/>
        <v>0</v>
      </c>
      <c r="N81" s="117">
        <f t="shared" si="13"/>
        <v>0</v>
      </c>
      <c r="O81" s="96"/>
      <c r="P81" s="96"/>
      <c r="Q81" s="96"/>
      <c r="R81" s="96"/>
      <c r="S81" s="96"/>
    </row>
    <row r="82" spans="1:20" s="101" customFormat="1">
      <c r="A82" s="110">
        <f t="shared" si="8"/>
        <v>0</v>
      </c>
      <c r="B82" s="39" t="str">
        <f t="shared" si="14"/>
        <v/>
      </c>
      <c r="C82" s="40" t="s">
        <v>50</v>
      </c>
      <c r="D82" s="40"/>
      <c r="E82" s="40"/>
      <c r="F82" s="40"/>
      <c r="G82" s="96"/>
      <c r="H82" s="111">
        <v>77</v>
      </c>
      <c r="I82" s="112" t="str">
        <f t="shared" si="9"/>
        <v/>
      </c>
      <c r="J82" s="111">
        <f t="shared" si="10"/>
        <v>-2</v>
      </c>
      <c r="K82" s="111">
        <f t="shared" si="11"/>
        <v>-20</v>
      </c>
      <c r="L82" s="111"/>
      <c r="M82" s="113">
        <f t="shared" si="12"/>
        <v>0</v>
      </c>
      <c r="N82" s="113">
        <f t="shared" si="13"/>
        <v>0</v>
      </c>
      <c r="O82" s="96"/>
      <c r="P82" s="96"/>
      <c r="Q82" s="96"/>
      <c r="R82" s="96"/>
      <c r="S82" s="125"/>
      <c r="T82" s="126"/>
    </row>
    <row r="83" spans="1:20" s="101" customFormat="1">
      <c r="A83" s="114">
        <f t="shared" si="8"/>
        <v>0</v>
      </c>
      <c r="B83" s="45" t="str">
        <f t="shared" si="14"/>
        <v/>
      </c>
      <c r="C83" s="46" t="s">
        <v>50</v>
      </c>
      <c r="D83" s="46"/>
      <c r="E83" s="46"/>
      <c r="F83" s="46"/>
      <c r="G83" s="96"/>
      <c r="H83" s="115">
        <v>78</v>
      </c>
      <c r="I83" s="116" t="str">
        <f t="shared" si="9"/>
        <v/>
      </c>
      <c r="J83" s="115">
        <f t="shared" si="10"/>
        <v>-2</v>
      </c>
      <c r="K83" s="115">
        <f t="shared" si="11"/>
        <v>-20</v>
      </c>
      <c r="L83" s="115"/>
      <c r="M83" s="117">
        <f t="shared" si="12"/>
        <v>0</v>
      </c>
      <c r="N83" s="117">
        <f t="shared" si="13"/>
        <v>0</v>
      </c>
      <c r="O83" s="96"/>
      <c r="P83" s="96"/>
      <c r="Q83" s="96"/>
      <c r="R83" s="96"/>
      <c r="S83" s="96"/>
    </row>
    <row r="84" spans="1:20" s="101" customFormat="1">
      <c r="A84" s="110">
        <f t="shared" si="8"/>
        <v>0</v>
      </c>
      <c r="B84" s="39" t="str">
        <f t="shared" si="14"/>
        <v/>
      </c>
      <c r="C84" s="40" t="s">
        <v>50</v>
      </c>
      <c r="D84" s="40"/>
      <c r="E84" s="40"/>
      <c r="F84" s="40"/>
      <c r="G84" s="96"/>
      <c r="H84" s="111">
        <v>79</v>
      </c>
      <c r="I84" s="112" t="str">
        <f t="shared" si="9"/>
        <v/>
      </c>
      <c r="J84" s="111">
        <f t="shared" si="10"/>
        <v>-2</v>
      </c>
      <c r="K84" s="111">
        <f t="shared" si="11"/>
        <v>-20</v>
      </c>
      <c r="L84" s="111"/>
      <c r="M84" s="113">
        <f t="shared" si="12"/>
        <v>0</v>
      </c>
      <c r="N84" s="113">
        <f t="shared" si="13"/>
        <v>0</v>
      </c>
      <c r="O84" s="96"/>
      <c r="P84" s="96"/>
      <c r="Q84" s="96"/>
      <c r="R84" s="96"/>
      <c r="S84" s="125"/>
      <c r="T84" s="126"/>
    </row>
    <row r="85" spans="1:20" s="101" customFormat="1">
      <c r="A85" s="114">
        <f t="shared" si="8"/>
        <v>0</v>
      </c>
      <c r="B85" s="45" t="str">
        <f t="shared" si="14"/>
        <v/>
      </c>
      <c r="C85" s="46" t="s">
        <v>50</v>
      </c>
      <c r="D85" s="46"/>
      <c r="E85" s="46"/>
      <c r="F85" s="46"/>
      <c r="G85" s="96"/>
      <c r="H85" s="115">
        <v>80</v>
      </c>
      <c r="I85" s="116" t="str">
        <f t="shared" si="9"/>
        <v/>
      </c>
      <c r="J85" s="115">
        <f t="shared" si="10"/>
        <v>-2</v>
      </c>
      <c r="K85" s="115">
        <f t="shared" si="11"/>
        <v>-20</v>
      </c>
      <c r="L85" s="115"/>
      <c r="M85" s="117">
        <f t="shared" si="12"/>
        <v>0</v>
      </c>
      <c r="N85" s="117">
        <f t="shared" si="13"/>
        <v>0</v>
      </c>
      <c r="O85" s="96"/>
      <c r="P85" s="96"/>
      <c r="Q85" s="96"/>
      <c r="R85" s="96"/>
      <c r="S85" s="96"/>
    </row>
    <row r="86" spans="1:20" s="101" customFormat="1">
      <c r="A86" s="110">
        <f t="shared" si="8"/>
        <v>0</v>
      </c>
      <c r="B86" s="39" t="str">
        <f t="shared" si="14"/>
        <v/>
      </c>
      <c r="C86" s="40" t="s">
        <v>50</v>
      </c>
      <c r="D86" s="40"/>
      <c r="E86" s="40"/>
      <c r="F86" s="40"/>
      <c r="G86" s="96"/>
      <c r="H86" s="111">
        <v>81</v>
      </c>
      <c r="I86" s="112" t="str">
        <f t="shared" si="9"/>
        <v/>
      </c>
      <c r="J86" s="111">
        <f t="shared" si="10"/>
        <v>-2</v>
      </c>
      <c r="K86" s="111">
        <f t="shared" si="11"/>
        <v>-20</v>
      </c>
      <c r="L86" s="111"/>
      <c r="M86" s="113">
        <f t="shared" si="12"/>
        <v>0</v>
      </c>
      <c r="N86" s="113">
        <f t="shared" si="13"/>
        <v>0</v>
      </c>
      <c r="O86" s="96"/>
      <c r="P86" s="96"/>
      <c r="Q86" s="96"/>
      <c r="R86" s="96"/>
      <c r="S86" s="125"/>
      <c r="T86" s="126"/>
    </row>
    <row r="87" spans="1:20" s="101" customFormat="1">
      <c r="A87" s="114">
        <f t="shared" si="8"/>
        <v>0</v>
      </c>
      <c r="B87" s="45" t="str">
        <f t="shared" si="14"/>
        <v/>
      </c>
      <c r="C87" s="46" t="s">
        <v>50</v>
      </c>
      <c r="D87" s="46"/>
      <c r="E87" s="46"/>
      <c r="F87" s="46"/>
      <c r="G87" s="96"/>
      <c r="H87" s="115">
        <v>82</v>
      </c>
      <c r="I87" s="116" t="str">
        <f t="shared" si="9"/>
        <v/>
      </c>
      <c r="J87" s="115">
        <f t="shared" si="10"/>
        <v>-2</v>
      </c>
      <c r="K87" s="115">
        <f t="shared" si="11"/>
        <v>-20</v>
      </c>
      <c r="L87" s="115"/>
      <c r="M87" s="117">
        <f t="shared" si="12"/>
        <v>0</v>
      </c>
      <c r="N87" s="117">
        <f t="shared" si="13"/>
        <v>0</v>
      </c>
      <c r="O87" s="96"/>
      <c r="P87" s="96"/>
      <c r="Q87" s="96"/>
      <c r="R87" s="96"/>
      <c r="S87" s="96"/>
    </row>
    <row r="88" spans="1:20" s="101" customFormat="1">
      <c r="A88" s="110">
        <f t="shared" si="8"/>
        <v>0</v>
      </c>
      <c r="B88" s="39" t="str">
        <f t="shared" si="14"/>
        <v/>
      </c>
      <c r="C88" s="40" t="s">
        <v>50</v>
      </c>
      <c r="D88" s="40"/>
      <c r="E88" s="40"/>
      <c r="F88" s="40"/>
      <c r="G88" s="96"/>
      <c r="H88" s="111">
        <v>83</v>
      </c>
      <c r="I88" s="112" t="str">
        <f t="shared" si="9"/>
        <v/>
      </c>
      <c r="J88" s="111">
        <f t="shared" si="10"/>
        <v>-2</v>
      </c>
      <c r="K88" s="111">
        <f t="shared" si="11"/>
        <v>-20</v>
      </c>
      <c r="L88" s="111"/>
      <c r="M88" s="113">
        <f t="shared" si="12"/>
        <v>0</v>
      </c>
      <c r="N88" s="113">
        <f t="shared" si="13"/>
        <v>0</v>
      </c>
      <c r="O88" s="96"/>
      <c r="P88" s="96"/>
      <c r="Q88" s="96"/>
      <c r="R88" s="96"/>
      <c r="S88" s="125"/>
      <c r="T88" s="126"/>
    </row>
    <row r="89" spans="1:20" s="101" customFormat="1">
      <c r="A89" s="114">
        <f t="shared" si="8"/>
        <v>0</v>
      </c>
      <c r="B89" s="45" t="str">
        <f t="shared" si="14"/>
        <v/>
      </c>
      <c r="C89" s="46" t="s">
        <v>50</v>
      </c>
      <c r="D89" s="46"/>
      <c r="E89" s="46"/>
      <c r="F89" s="46"/>
      <c r="G89" s="96"/>
      <c r="H89" s="115">
        <v>84</v>
      </c>
      <c r="I89" s="116" t="str">
        <f t="shared" si="9"/>
        <v/>
      </c>
      <c r="J89" s="115">
        <f t="shared" si="10"/>
        <v>-2</v>
      </c>
      <c r="K89" s="115">
        <f t="shared" si="11"/>
        <v>-20</v>
      </c>
      <c r="L89" s="115"/>
      <c r="M89" s="117">
        <f t="shared" si="12"/>
        <v>0</v>
      </c>
      <c r="N89" s="117">
        <f t="shared" si="13"/>
        <v>0</v>
      </c>
      <c r="O89" s="96"/>
      <c r="P89" s="96"/>
      <c r="Q89" s="96"/>
      <c r="R89" s="96"/>
      <c r="S89" s="96"/>
    </row>
    <row r="90" spans="1:20" s="101" customFormat="1">
      <c r="A90" s="110">
        <f t="shared" si="8"/>
        <v>0</v>
      </c>
      <c r="B90" s="39" t="str">
        <f t="shared" si="14"/>
        <v/>
      </c>
      <c r="C90" s="40" t="s">
        <v>50</v>
      </c>
      <c r="D90" s="40"/>
      <c r="E90" s="40"/>
      <c r="F90" s="40"/>
      <c r="G90" s="96"/>
      <c r="H90" s="111">
        <v>85</v>
      </c>
      <c r="I90" s="112" t="str">
        <f t="shared" si="9"/>
        <v/>
      </c>
      <c r="J90" s="111">
        <f t="shared" si="10"/>
        <v>-2</v>
      </c>
      <c r="K90" s="111">
        <f t="shared" si="11"/>
        <v>-20</v>
      </c>
      <c r="L90" s="111"/>
      <c r="M90" s="113">
        <f t="shared" si="12"/>
        <v>0</v>
      </c>
      <c r="N90" s="113">
        <f t="shared" si="13"/>
        <v>0</v>
      </c>
      <c r="O90" s="96"/>
      <c r="P90" s="96"/>
      <c r="Q90" s="96"/>
      <c r="R90" s="96"/>
      <c r="S90" s="125"/>
      <c r="T90" s="126"/>
    </row>
    <row r="91" spans="1:20" s="101" customFormat="1">
      <c r="A91" s="114">
        <f t="shared" si="8"/>
        <v>0</v>
      </c>
      <c r="B91" s="45" t="str">
        <f t="shared" si="14"/>
        <v/>
      </c>
      <c r="C91" s="46" t="s">
        <v>50</v>
      </c>
      <c r="D91" s="46"/>
      <c r="E91" s="46"/>
      <c r="F91" s="46"/>
      <c r="G91" s="96"/>
      <c r="H91" s="115">
        <v>86</v>
      </c>
      <c r="I91" s="116" t="str">
        <f t="shared" si="9"/>
        <v/>
      </c>
      <c r="J91" s="115">
        <f t="shared" si="10"/>
        <v>-2</v>
      </c>
      <c r="K91" s="115">
        <f t="shared" si="11"/>
        <v>-20</v>
      </c>
      <c r="L91" s="115"/>
      <c r="M91" s="117">
        <f t="shared" si="12"/>
        <v>0</v>
      </c>
      <c r="N91" s="117">
        <f t="shared" si="13"/>
        <v>0</v>
      </c>
      <c r="O91" s="96"/>
      <c r="P91" s="96"/>
      <c r="Q91" s="96"/>
      <c r="R91" s="96"/>
      <c r="S91" s="96"/>
    </row>
    <row r="92" spans="1:20" s="101" customFormat="1">
      <c r="A92" s="110">
        <f t="shared" si="8"/>
        <v>0</v>
      </c>
      <c r="B92" s="39" t="str">
        <f t="shared" si="14"/>
        <v/>
      </c>
      <c r="C92" s="40" t="s">
        <v>50</v>
      </c>
      <c r="D92" s="40"/>
      <c r="E92" s="40"/>
      <c r="F92" s="40"/>
      <c r="G92" s="96"/>
      <c r="H92" s="111">
        <v>87</v>
      </c>
      <c r="I92" s="112" t="str">
        <f t="shared" si="9"/>
        <v/>
      </c>
      <c r="J92" s="111">
        <f t="shared" si="10"/>
        <v>-2</v>
      </c>
      <c r="K92" s="111">
        <f t="shared" si="11"/>
        <v>-20</v>
      </c>
      <c r="L92" s="111"/>
      <c r="M92" s="113">
        <f t="shared" si="12"/>
        <v>0</v>
      </c>
      <c r="N92" s="113">
        <f t="shared" si="13"/>
        <v>0</v>
      </c>
      <c r="O92" s="96"/>
      <c r="P92" s="96"/>
      <c r="Q92" s="96"/>
      <c r="R92" s="96"/>
      <c r="S92" s="125"/>
      <c r="T92" s="126"/>
    </row>
    <row r="93" spans="1:20" s="101" customFormat="1">
      <c r="A93" s="114">
        <f t="shared" si="8"/>
        <v>0</v>
      </c>
      <c r="B93" s="45" t="str">
        <f t="shared" si="14"/>
        <v/>
      </c>
      <c r="C93" s="46" t="s">
        <v>50</v>
      </c>
      <c r="D93" s="46"/>
      <c r="E93" s="46"/>
      <c r="F93" s="46"/>
      <c r="G93" s="96"/>
      <c r="H93" s="115">
        <v>88</v>
      </c>
      <c r="I93" s="116" t="str">
        <f t="shared" si="9"/>
        <v/>
      </c>
      <c r="J93" s="115">
        <f t="shared" si="10"/>
        <v>-2</v>
      </c>
      <c r="K93" s="115">
        <f t="shared" si="11"/>
        <v>-20</v>
      </c>
      <c r="L93" s="115"/>
      <c r="M93" s="117">
        <f t="shared" si="12"/>
        <v>0</v>
      </c>
      <c r="N93" s="117">
        <f t="shared" si="13"/>
        <v>0</v>
      </c>
      <c r="O93" s="96"/>
      <c r="P93" s="96"/>
      <c r="Q93" s="96"/>
      <c r="R93" s="96"/>
      <c r="S93" s="96"/>
    </row>
    <row r="94" spans="1:20" s="101" customFormat="1">
      <c r="A94" s="110">
        <f t="shared" si="8"/>
        <v>0</v>
      </c>
      <c r="B94" s="39" t="str">
        <f t="shared" si="14"/>
        <v/>
      </c>
      <c r="C94" s="40" t="s">
        <v>50</v>
      </c>
      <c r="D94" s="40"/>
      <c r="E94" s="40"/>
      <c r="F94" s="40"/>
      <c r="G94" s="96"/>
      <c r="H94" s="111">
        <v>89</v>
      </c>
      <c r="I94" s="112" t="str">
        <f t="shared" si="9"/>
        <v/>
      </c>
      <c r="J94" s="111">
        <f t="shared" si="10"/>
        <v>-2</v>
      </c>
      <c r="K94" s="111">
        <f t="shared" si="11"/>
        <v>-20</v>
      </c>
      <c r="L94" s="111"/>
      <c r="M94" s="113">
        <f t="shared" si="12"/>
        <v>0</v>
      </c>
      <c r="N94" s="113">
        <f t="shared" si="13"/>
        <v>0</v>
      </c>
      <c r="O94" s="96"/>
      <c r="P94" s="96"/>
      <c r="Q94" s="96"/>
      <c r="R94" s="96"/>
      <c r="S94" s="125"/>
      <c r="T94" s="126"/>
    </row>
    <row r="95" spans="1:20" s="101" customFormat="1">
      <c r="A95" s="114">
        <f t="shared" si="8"/>
        <v>0</v>
      </c>
      <c r="B95" s="45" t="str">
        <f t="shared" si="14"/>
        <v/>
      </c>
      <c r="C95" s="46" t="s">
        <v>50</v>
      </c>
      <c r="D95" s="46"/>
      <c r="E95" s="46"/>
      <c r="F95" s="46"/>
      <c r="G95" s="96"/>
      <c r="H95" s="115">
        <v>90</v>
      </c>
      <c r="I95" s="116" t="str">
        <f t="shared" si="9"/>
        <v/>
      </c>
      <c r="J95" s="115">
        <f t="shared" si="10"/>
        <v>-2</v>
      </c>
      <c r="K95" s="115">
        <f t="shared" si="11"/>
        <v>-20</v>
      </c>
      <c r="L95" s="115"/>
      <c r="M95" s="117">
        <f t="shared" si="12"/>
        <v>0</v>
      </c>
      <c r="N95" s="117">
        <f t="shared" si="13"/>
        <v>0</v>
      </c>
      <c r="O95" s="96"/>
      <c r="P95" s="96"/>
      <c r="Q95" s="96"/>
      <c r="R95" s="96"/>
      <c r="S95" s="96"/>
    </row>
    <row r="96" spans="1:20" s="101" customFormat="1">
      <c r="A96" s="110">
        <f t="shared" si="8"/>
        <v>0</v>
      </c>
      <c r="B96" s="39" t="str">
        <f t="shared" si="14"/>
        <v/>
      </c>
      <c r="C96" s="40"/>
      <c r="D96" s="40"/>
      <c r="E96" s="40"/>
      <c r="F96" s="40"/>
      <c r="G96" s="96"/>
      <c r="H96" s="111">
        <v>91</v>
      </c>
      <c r="I96" s="112" t="str">
        <f t="shared" si="9"/>
        <v/>
      </c>
      <c r="J96" s="111">
        <f t="shared" si="10"/>
        <v>-2</v>
      </c>
      <c r="K96" s="111">
        <f t="shared" si="11"/>
        <v>-20</v>
      </c>
      <c r="L96" s="111"/>
      <c r="M96" s="113">
        <f t="shared" si="12"/>
        <v>0</v>
      </c>
      <c r="N96" s="113">
        <f t="shared" si="13"/>
        <v>0</v>
      </c>
      <c r="O96" s="96"/>
      <c r="P96" s="96"/>
      <c r="Q96" s="96"/>
      <c r="R96" s="96"/>
      <c r="S96" s="125"/>
      <c r="T96" s="126"/>
    </row>
    <row r="97" spans="1:20" s="101" customFormat="1">
      <c r="A97" s="114">
        <f t="shared" si="8"/>
        <v>0</v>
      </c>
      <c r="B97" s="45" t="str">
        <f t="shared" si="14"/>
        <v/>
      </c>
      <c r="C97" s="46"/>
      <c r="D97" s="46"/>
      <c r="E97" s="46"/>
      <c r="F97" s="46"/>
      <c r="G97" s="96"/>
      <c r="H97" s="115">
        <v>92</v>
      </c>
      <c r="I97" s="116" t="str">
        <f t="shared" si="9"/>
        <v/>
      </c>
      <c r="J97" s="115">
        <f t="shared" si="10"/>
        <v>-2</v>
      </c>
      <c r="K97" s="115">
        <f t="shared" si="11"/>
        <v>-20</v>
      </c>
      <c r="L97" s="115"/>
      <c r="M97" s="117">
        <f t="shared" si="12"/>
        <v>0</v>
      </c>
      <c r="N97" s="117">
        <f t="shared" si="13"/>
        <v>0</v>
      </c>
      <c r="O97" s="96"/>
      <c r="P97" s="96"/>
      <c r="Q97" s="96"/>
      <c r="R97" s="96"/>
      <c r="S97" s="96"/>
    </row>
    <row r="98" spans="1:20" s="101" customFormat="1">
      <c r="A98" s="110">
        <f t="shared" si="8"/>
        <v>0</v>
      </c>
      <c r="B98" s="39" t="str">
        <f t="shared" si="14"/>
        <v/>
      </c>
      <c r="C98" s="40"/>
      <c r="D98" s="40"/>
      <c r="E98" s="40"/>
      <c r="F98" s="40"/>
      <c r="G98" s="96"/>
      <c r="H98" s="111">
        <v>93</v>
      </c>
      <c r="I98" s="112" t="str">
        <f t="shared" si="9"/>
        <v/>
      </c>
      <c r="J98" s="111">
        <f t="shared" si="10"/>
        <v>-2</v>
      </c>
      <c r="K98" s="111">
        <f t="shared" si="11"/>
        <v>-20</v>
      </c>
      <c r="L98" s="111"/>
      <c r="M98" s="113">
        <f t="shared" si="12"/>
        <v>0</v>
      </c>
      <c r="N98" s="113">
        <f t="shared" si="13"/>
        <v>0</v>
      </c>
      <c r="O98" s="96"/>
      <c r="P98" s="96"/>
      <c r="Q98" s="96"/>
      <c r="R98" s="96"/>
      <c r="S98" s="125"/>
      <c r="T98" s="126"/>
    </row>
    <row r="99" spans="1:20" s="101" customFormat="1">
      <c r="A99" s="114">
        <f t="shared" si="8"/>
        <v>0</v>
      </c>
      <c r="B99" s="45" t="str">
        <f t="shared" si="14"/>
        <v/>
      </c>
      <c r="C99" s="46"/>
      <c r="D99" s="46"/>
      <c r="E99" s="46"/>
      <c r="F99" s="46"/>
      <c r="G99" s="96"/>
      <c r="H99" s="115">
        <v>94</v>
      </c>
      <c r="I99" s="116" t="str">
        <f t="shared" si="9"/>
        <v/>
      </c>
      <c r="J99" s="115">
        <f t="shared" si="10"/>
        <v>-2</v>
      </c>
      <c r="K99" s="115">
        <f t="shared" si="11"/>
        <v>-20</v>
      </c>
      <c r="L99" s="115"/>
      <c r="M99" s="117">
        <f t="shared" si="12"/>
        <v>0</v>
      </c>
      <c r="N99" s="117">
        <f t="shared" si="13"/>
        <v>0</v>
      </c>
      <c r="O99" s="96"/>
      <c r="P99" s="96"/>
      <c r="Q99" s="96"/>
      <c r="R99" s="96"/>
      <c r="S99" s="96"/>
    </row>
    <row r="100" spans="1:20" s="101" customFormat="1">
      <c r="A100" s="110">
        <f t="shared" si="8"/>
        <v>0</v>
      </c>
      <c r="B100" s="39" t="str">
        <f t="shared" si="14"/>
        <v/>
      </c>
      <c r="C100" s="40"/>
      <c r="D100" s="40"/>
      <c r="E100" s="40"/>
      <c r="F100" s="40"/>
      <c r="G100" s="96"/>
      <c r="H100" s="111">
        <v>95</v>
      </c>
      <c r="I100" s="112" t="str">
        <f t="shared" si="9"/>
        <v/>
      </c>
      <c r="J100" s="111">
        <f t="shared" si="10"/>
        <v>-2</v>
      </c>
      <c r="K100" s="111">
        <f t="shared" si="11"/>
        <v>-20</v>
      </c>
      <c r="L100" s="111"/>
      <c r="M100" s="113">
        <f t="shared" si="12"/>
        <v>0</v>
      </c>
      <c r="N100" s="113">
        <f t="shared" si="13"/>
        <v>0</v>
      </c>
      <c r="O100" s="96"/>
      <c r="P100" s="96"/>
      <c r="Q100" s="96"/>
      <c r="R100" s="96"/>
      <c r="S100" s="125"/>
      <c r="T100" s="126"/>
    </row>
    <row r="101" spans="1:20" s="101" customFormat="1">
      <c r="A101" s="114">
        <f t="shared" si="8"/>
        <v>0</v>
      </c>
      <c r="B101" s="45" t="str">
        <f t="shared" si="14"/>
        <v/>
      </c>
      <c r="C101" s="46"/>
      <c r="D101" s="46"/>
      <c r="E101" s="46"/>
      <c r="F101" s="46"/>
      <c r="G101" s="96"/>
      <c r="H101" s="115">
        <v>96</v>
      </c>
      <c r="I101" s="116" t="str">
        <f t="shared" si="9"/>
        <v/>
      </c>
      <c r="J101" s="115">
        <f t="shared" si="10"/>
        <v>-2</v>
      </c>
      <c r="K101" s="115">
        <f t="shared" si="11"/>
        <v>-20</v>
      </c>
      <c r="L101" s="115"/>
      <c r="M101" s="117">
        <f t="shared" si="12"/>
        <v>0</v>
      </c>
      <c r="N101" s="117">
        <f t="shared" si="13"/>
        <v>0</v>
      </c>
      <c r="O101" s="96"/>
      <c r="P101" s="96"/>
      <c r="Q101" s="96"/>
      <c r="R101" s="96"/>
      <c r="S101" s="96"/>
    </row>
    <row r="102" spans="1:20" s="101" customFormat="1">
      <c r="A102" s="110">
        <f t="shared" si="8"/>
        <v>0</v>
      </c>
      <c r="B102" s="39" t="str">
        <f t="shared" si="14"/>
        <v/>
      </c>
      <c r="C102" s="40"/>
      <c r="D102" s="40"/>
      <c r="E102" s="40"/>
      <c r="F102" s="40"/>
      <c r="G102" s="96"/>
      <c r="H102" s="111">
        <v>97</v>
      </c>
      <c r="I102" s="112" t="str">
        <f t="shared" si="9"/>
        <v/>
      </c>
      <c r="J102" s="111">
        <f t="shared" si="10"/>
        <v>-2</v>
      </c>
      <c r="K102" s="111">
        <f t="shared" si="11"/>
        <v>-20</v>
      </c>
      <c r="L102" s="111"/>
      <c r="M102" s="113">
        <f t="shared" si="12"/>
        <v>0</v>
      </c>
      <c r="N102" s="113">
        <f t="shared" si="13"/>
        <v>0</v>
      </c>
      <c r="O102" s="96"/>
      <c r="P102" s="96"/>
      <c r="Q102" s="96"/>
      <c r="R102" s="96"/>
      <c r="S102" s="125"/>
      <c r="T102" s="126"/>
    </row>
    <row r="103" spans="1:20" s="101" customFormat="1">
      <c r="A103" s="114">
        <f t="shared" si="8"/>
        <v>0</v>
      </c>
      <c r="B103" s="45" t="str">
        <f t="shared" si="14"/>
        <v/>
      </c>
      <c r="C103" s="46"/>
      <c r="D103" s="46"/>
      <c r="E103" s="46"/>
      <c r="F103" s="46"/>
      <c r="G103" s="96"/>
      <c r="H103" s="115">
        <v>98</v>
      </c>
      <c r="I103" s="116" t="str">
        <f t="shared" si="9"/>
        <v/>
      </c>
      <c r="J103" s="115">
        <f t="shared" si="10"/>
        <v>-2</v>
      </c>
      <c r="K103" s="115">
        <f t="shared" si="11"/>
        <v>-20</v>
      </c>
      <c r="L103" s="115"/>
      <c r="M103" s="117">
        <f t="shared" si="12"/>
        <v>0</v>
      </c>
      <c r="N103" s="117">
        <f t="shared" si="13"/>
        <v>0</v>
      </c>
      <c r="O103" s="96"/>
      <c r="P103" s="96"/>
      <c r="Q103" s="96"/>
      <c r="R103" s="96"/>
      <c r="S103" s="96"/>
    </row>
    <row r="104" spans="1:20" s="101" customFormat="1">
      <c r="A104" s="110">
        <f t="shared" si="8"/>
        <v>0</v>
      </c>
      <c r="B104" s="39" t="str">
        <f t="shared" si="14"/>
        <v/>
      </c>
      <c r="C104" s="40"/>
      <c r="D104" s="40"/>
      <c r="E104" s="40"/>
      <c r="F104" s="40"/>
      <c r="G104" s="96"/>
      <c r="H104" s="111">
        <v>99</v>
      </c>
      <c r="I104" s="112" t="str">
        <f t="shared" si="9"/>
        <v/>
      </c>
      <c r="J104" s="111">
        <f t="shared" si="10"/>
        <v>-2</v>
      </c>
      <c r="K104" s="111">
        <f t="shared" si="11"/>
        <v>-20</v>
      </c>
      <c r="L104" s="111"/>
      <c r="M104" s="113">
        <f t="shared" si="12"/>
        <v>0</v>
      </c>
      <c r="N104" s="113">
        <f t="shared" si="13"/>
        <v>0</v>
      </c>
      <c r="O104" s="96"/>
      <c r="P104" s="96"/>
      <c r="Q104" s="96"/>
      <c r="R104" s="96"/>
      <c r="S104" s="125"/>
      <c r="T104" s="126"/>
    </row>
    <row r="105" spans="1:20" s="101" customFormat="1">
      <c r="A105" s="114">
        <f t="shared" si="8"/>
        <v>0</v>
      </c>
      <c r="B105" s="45" t="str">
        <f t="shared" si="14"/>
        <v/>
      </c>
      <c r="C105" s="46"/>
      <c r="D105" s="46"/>
      <c r="E105" s="46"/>
      <c r="F105" s="46"/>
      <c r="G105" s="96"/>
      <c r="H105" s="115">
        <v>100</v>
      </c>
      <c r="I105" s="116" t="str">
        <f t="shared" si="9"/>
        <v/>
      </c>
      <c r="J105" s="115">
        <f t="shared" si="10"/>
        <v>-2</v>
      </c>
      <c r="K105" s="115">
        <f t="shared" si="11"/>
        <v>-20</v>
      </c>
      <c r="L105" s="115"/>
      <c r="M105" s="117">
        <f t="shared" si="12"/>
        <v>0</v>
      </c>
      <c r="N105" s="117">
        <f t="shared" si="13"/>
        <v>0</v>
      </c>
      <c r="O105" s="96"/>
      <c r="P105" s="96"/>
      <c r="Q105" s="96"/>
      <c r="R105" s="96"/>
      <c r="S105" s="96"/>
    </row>
    <row r="106" spans="1:20" s="101" customFormat="1">
      <c r="A106" s="110">
        <f t="shared" si="8"/>
        <v>0</v>
      </c>
      <c r="B106" s="39" t="str">
        <f t="shared" si="14"/>
        <v/>
      </c>
      <c r="C106" s="40"/>
      <c r="D106" s="40"/>
      <c r="E106" s="40"/>
      <c r="F106" s="40"/>
      <c r="G106" s="96"/>
      <c r="H106" s="111">
        <v>101</v>
      </c>
      <c r="I106" s="112" t="str">
        <f t="shared" si="9"/>
        <v/>
      </c>
      <c r="J106" s="111">
        <f t="shared" si="10"/>
        <v>-2</v>
      </c>
      <c r="K106" s="111">
        <f t="shared" si="11"/>
        <v>-20</v>
      </c>
      <c r="L106" s="111"/>
      <c r="M106" s="113">
        <f t="shared" si="12"/>
        <v>0</v>
      </c>
      <c r="N106" s="113">
        <f t="shared" si="13"/>
        <v>0</v>
      </c>
      <c r="O106" s="96"/>
      <c r="P106" s="96"/>
      <c r="Q106" s="96"/>
      <c r="R106" s="96"/>
      <c r="S106" s="125"/>
      <c r="T106" s="126"/>
    </row>
    <row r="107" spans="1:20" s="101" customFormat="1">
      <c r="A107" s="114">
        <f t="shared" si="8"/>
        <v>0</v>
      </c>
      <c r="B107" s="45" t="str">
        <f t="shared" si="14"/>
        <v/>
      </c>
      <c r="C107" s="46"/>
      <c r="D107" s="46"/>
      <c r="E107" s="46"/>
      <c r="F107" s="46"/>
      <c r="G107" s="96"/>
      <c r="H107" s="115">
        <v>102</v>
      </c>
      <c r="I107" s="116" t="str">
        <f t="shared" si="9"/>
        <v/>
      </c>
      <c r="J107" s="115">
        <f t="shared" si="10"/>
        <v>-2</v>
      </c>
      <c r="K107" s="115">
        <f t="shared" si="11"/>
        <v>-20</v>
      </c>
      <c r="L107" s="115"/>
      <c r="M107" s="117">
        <f t="shared" si="12"/>
        <v>0</v>
      </c>
      <c r="N107" s="117">
        <f t="shared" si="13"/>
        <v>0</v>
      </c>
      <c r="O107" s="96"/>
      <c r="P107" s="96"/>
      <c r="Q107" s="96"/>
      <c r="R107" s="96"/>
      <c r="S107" s="96"/>
    </row>
    <row r="108" spans="1:20" s="101" customFormat="1">
      <c r="A108" s="110">
        <f t="shared" si="8"/>
        <v>0</v>
      </c>
      <c r="B108" s="39" t="str">
        <f t="shared" si="14"/>
        <v/>
      </c>
      <c r="C108" s="40"/>
      <c r="D108" s="40"/>
      <c r="E108" s="40"/>
      <c r="F108" s="40"/>
      <c r="G108" s="96"/>
      <c r="H108" s="111">
        <v>103</v>
      </c>
      <c r="I108" s="112" t="str">
        <f t="shared" si="9"/>
        <v/>
      </c>
      <c r="J108" s="111">
        <f t="shared" si="10"/>
        <v>-2</v>
      </c>
      <c r="K108" s="111">
        <f t="shared" si="11"/>
        <v>-20</v>
      </c>
      <c r="L108" s="111"/>
      <c r="M108" s="113">
        <f t="shared" si="12"/>
        <v>0</v>
      </c>
      <c r="N108" s="113">
        <f t="shared" si="13"/>
        <v>0</v>
      </c>
      <c r="O108" s="96"/>
      <c r="P108" s="96"/>
      <c r="Q108" s="96"/>
      <c r="R108" s="96"/>
      <c r="S108" s="125"/>
      <c r="T108" s="126"/>
    </row>
    <row r="109" spans="1:20" s="101" customFormat="1">
      <c r="A109" s="114">
        <f t="shared" si="8"/>
        <v>0</v>
      </c>
      <c r="B109" s="45" t="str">
        <f t="shared" si="14"/>
        <v/>
      </c>
      <c r="C109" s="46"/>
      <c r="D109" s="46"/>
      <c r="E109" s="46"/>
      <c r="F109" s="46"/>
      <c r="G109" s="96"/>
      <c r="H109" s="115">
        <v>104</v>
      </c>
      <c r="I109" s="116" t="str">
        <f t="shared" si="9"/>
        <v/>
      </c>
      <c r="J109" s="115">
        <f t="shared" si="10"/>
        <v>-2</v>
      </c>
      <c r="K109" s="115">
        <f t="shared" si="11"/>
        <v>-20</v>
      </c>
      <c r="L109" s="115"/>
      <c r="M109" s="117">
        <f t="shared" si="12"/>
        <v>0</v>
      </c>
      <c r="N109" s="117">
        <f t="shared" si="13"/>
        <v>0</v>
      </c>
      <c r="O109" s="96"/>
      <c r="P109" s="96"/>
      <c r="Q109" s="96"/>
      <c r="R109" s="96"/>
      <c r="S109" s="96"/>
    </row>
    <row r="110" spans="1:20" s="101" customFormat="1">
      <c r="A110" s="110">
        <f t="shared" si="8"/>
        <v>0</v>
      </c>
      <c r="B110" s="39" t="str">
        <f t="shared" si="14"/>
        <v/>
      </c>
      <c r="C110" s="40"/>
      <c r="D110" s="40"/>
      <c r="E110" s="40"/>
      <c r="F110" s="40"/>
      <c r="G110" s="96"/>
      <c r="H110" s="111">
        <v>105</v>
      </c>
      <c r="I110" s="112" t="str">
        <f t="shared" si="9"/>
        <v/>
      </c>
      <c r="J110" s="111">
        <f t="shared" si="10"/>
        <v>-2</v>
      </c>
      <c r="K110" s="111">
        <f t="shared" si="11"/>
        <v>-20</v>
      </c>
      <c r="L110" s="111"/>
      <c r="M110" s="113">
        <f t="shared" si="12"/>
        <v>0</v>
      </c>
      <c r="N110" s="113">
        <f t="shared" si="13"/>
        <v>0</v>
      </c>
      <c r="O110" s="96"/>
      <c r="P110" s="96"/>
      <c r="Q110" s="96"/>
      <c r="R110" s="96"/>
      <c r="S110" s="125"/>
      <c r="T110" s="126"/>
    </row>
    <row r="111" spans="1:20" s="101" customFormat="1">
      <c r="A111" s="114">
        <f t="shared" si="8"/>
        <v>0</v>
      </c>
      <c r="B111" s="45" t="str">
        <f t="shared" si="14"/>
        <v/>
      </c>
      <c r="C111" s="46"/>
      <c r="D111" s="46"/>
      <c r="E111" s="46"/>
      <c r="F111" s="46"/>
      <c r="G111" s="96"/>
      <c r="H111" s="115">
        <v>106</v>
      </c>
      <c r="I111" s="116" t="str">
        <f t="shared" si="9"/>
        <v/>
      </c>
      <c r="J111" s="115">
        <f t="shared" si="10"/>
        <v>-2</v>
      </c>
      <c r="K111" s="115">
        <f t="shared" si="11"/>
        <v>-20</v>
      </c>
      <c r="L111" s="115"/>
      <c r="M111" s="117">
        <f t="shared" si="12"/>
        <v>0</v>
      </c>
      <c r="N111" s="117">
        <f t="shared" si="13"/>
        <v>0</v>
      </c>
      <c r="O111" s="96"/>
      <c r="P111" s="96"/>
      <c r="Q111" s="96"/>
      <c r="R111" s="96"/>
      <c r="S111" s="96"/>
    </row>
    <row r="112" spans="1:20" s="101" customFormat="1">
      <c r="A112" s="110">
        <f t="shared" si="8"/>
        <v>0</v>
      </c>
      <c r="B112" s="39" t="str">
        <f t="shared" si="14"/>
        <v/>
      </c>
      <c r="C112" s="40"/>
      <c r="D112" s="40"/>
      <c r="E112" s="40"/>
      <c r="F112" s="40"/>
      <c r="G112" s="96"/>
      <c r="H112" s="111">
        <v>107</v>
      </c>
      <c r="I112" s="112" t="str">
        <f t="shared" si="9"/>
        <v/>
      </c>
      <c r="J112" s="111">
        <f t="shared" si="10"/>
        <v>-2</v>
      </c>
      <c r="K112" s="111">
        <f t="shared" si="11"/>
        <v>-20</v>
      </c>
      <c r="L112" s="111"/>
      <c r="M112" s="113">
        <f t="shared" si="12"/>
        <v>0</v>
      </c>
      <c r="N112" s="113">
        <f t="shared" si="13"/>
        <v>0</v>
      </c>
      <c r="O112" s="96"/>
      <c r="P112" s="96"/>
      <c r="Q112" s="96"/>
      <c r="R112" s="96"/>
      <c r="S112" s="125"/>
      <c r="T112" s="126"/>
    </row>
    <row r="113" spans="1:20" s="101" customFormat="1">
      <c r="A113" s="114">
        <f t="shared" si="8"/>
        <v>0</v>
      </c>
      <c r="B113" s="45" t="str">
        <f t="shared" si="14"/>
        <v/>
      </c>
      <c r="C113" s="46"/>
      <c r="D113" s="46"/>
      <c r="E113" s="46"/>
      <c r="F113" s="46"/>
      <c r="G113" s="96"/>
      <c r="H113" s="115">
        <v>108</v>
      </c>
      <c r="I113" s="116" t="str">
        <f t="shared" si="9"/>
        <v/>
      </c>
      <c r="J113" s="115">
        <f t="shared" si="10"/>
        <v>-2</v>
      </c>
      <c r="K113" s="115">
        <f t="shared" si="11"/>
        <v>-20</v>
      </c>
      <c r="L113" s="115"/>
      <c r="M113" s="117">
        <f t="shared" si="12"/>
        <v>0</v>
      </c>
      <c r="N113" s="117">
        <f t="shared" si="13"/>
        <v>0</v>
      </c>
      <c r="O113" s="96"/>
      <c r="P113" s="96"/>
      <c r="Q113" s="96"/>
      <c r="R113" s="96"/>
      <c r="S113" s="96"/>
    </row>
    <row r="114" spans="1:20" s="101" customFormat="1">
      <c r="A114" s="110">
        <f t="shared" si="8"/>
        <v>0</v>
      </c>
      <c r="B114" s="39" t="str">
        <f t="shared" si="14"/>
        <v/>
      </c>
      <c r="C114" s="40"/>
      <c r="D114" s="40"/>
      <c r="E114" s="40"/>
      <c r="F114" s="40"/>
      <c r="G114" s="96"/>
      <c r="H114" s="111">
        <v>109</v>
      </c>
      <c r="I114" s="112" t="str">
        <f t="shared" si="9"/>
        <v/>
      </c>
      <c r="J114" s="111">
        <f t="shared" si="10"/>
        <v>-2</v>
      </c>
      <c r="K114" s="111">
        <f t="shared" si="11"/>
        <v>-20</v>
      </c>
      <c r="L114" s="111"/>
      <c r="M114" s="113">
        <f t="shared" si="12"/>
        <v>0</v>
      </c>
      <c r="N114" s="113">
        <f t="shared" si="13"/>
        <v>0</v>
      </c>
      <c r="O114" s="96"/>
      <c r="P114" s="96"/>
      <c r="Q114" s="96"/>
      <c r="R114" s="96"/>
      <c r="S114" s="125"/>
      <c r="T114" s="126"/>
    </row>
    <row r="115" spans="1:20" s="101" customFormat="1">
      <c r="A115" s="114">
        <f t="shared" si="8"/>
        <v>0</v>
      </c>
      <c r="B115" s="45" t="str">
        <f t="shared" si="14"/>
        <v/>
      </c>
      <c r="C115" s="46"/>
      <c r="D115" s="46"/>
      <c r="E115" s="46"/>
      <c r="F115" s="46"/>
      <c r="G115" s="96"/>
      <c r="H115" s="115">
        <v>110</v>
      </c>
      <c r="I115" s="116" t="str">
        <f t="shared" si="9"/>
        <v/>
      </c>
      <c r="J115" s="115">
        <f t="shared" si="10"/>
        <v>-2</v>
      </c>
      <c r="K115" s="115">
        <f t="shared" si="11"/>
        <v>-20</v>
      </c>
      <c r="L115" s="115"/>
      <c r="M115" s="117">
        <f t="shared" si="12"/>
        <v>0</v>
      </c>
      <c r="N115" s="117">
        <f t="shared" si="13"/>
        <v>0</v>
      </c>
      <c r="O115" s="96"/>
      <c r="P115" s="96"/>
      <c r="Q115" s="96"/>
      <c r="R115" s="96"/>
      <c r="S115" s="96"/>
    </row>
    <row r="116" spans="1:20" s="101" customFormat="1">
      <c r="A116" s="110">
        <f t="shared" si="8"/>
        <v>0</v>
      </c>
      <c r="B116" s="39" t="str">
        <f t="shared" si="14"/>
        <v/>
      </c>
      <c r="C116" s="40"/>
      <c r="D116" s="40"/>
      <c r="E116" s="40"/>
      <c r="F116" s="40"/>
      <c r="G116" s="96"/>
      <c r="H116" s="111">
        <v>111</v>
      </c>
      <c r="I116" s="112" t="str">
        <f t="shared" si="9"/>
        <v/>
      </c>
      <c r="J116" s="111">
        <f t="shared" si="10"/>
        <v>-2</v>
      </c>
      <c r="K116" s="111">
        <f t="shared" si="11"/>
        <v>-20</v>
      </c>
      <c r="L116" s="111"/>
      <c r="M116" s="113">
        <f t="shared" si="12"/>
        <v>0</v>
      </c>
      <c r="N116" s="113">
        <f t="shared" si="13"/>
        <v>0</v>
      </c>
      <c r="O116" s="96"/>
      <c r="P116" s="96"/>
      <c r="Q116" s="96"/>
      <c r="R116" s="96"/>
      <c r="S116" s="125"/>
      <c r="T116" s="126"/>
    </row>
    <row r="117" spans="1:20" s="101" customFormat="1">
      <c r="A117" s="114">
        <f t="shared" si="8"/>
        <v>0</v>
      </c>
      <c r="B117" s="45" t="str">
        <f t="shared" si="14"/>
        <v/>
      </c>
      <c r="C117" s="46"/>
      <c r="D117" s="46"/>
      <c r="E117" s="46"/>
      <c r="F117" s="46"/>
      <c r="G117" s="96"/>
      <c r="H117" s="115">
        <v>112</v>
      </c>
      <c r="I117" s="116" t="str">
        <f t="shared" si="9"/>
        <v/>
      </c>
      <c r="J117" s="115">
        <f t="shared" si="10"/>
        <v>-2</v>
      </c>
      <c r="K117" s="115">
        <f t="shared" si="11"/>
        <v>-20</v>
      </c>
      <c r="L117" s="115"/>
      <c r="M117" s="117">
        <f t="shared" si="12"/>
        <v>0</v>
      </c>
      <c r="N117" s="117">
        <f t="shared" si="13"/>
        <v>0</v>
      </c>
      <c r="O117" s="96"/>
      <c r="P117" s="96"/>
      <c r="Q117" s="96"/>
      <c r="R117" s="96"/>
      <c r="S117" s="96"/>
    </row>
    <row r="118" spans="1:20" s="101" customFormat="1">
      <c r="A118" s="110">
        <f t="shared" si="8"/>
        <v>0</v>
      </c>
      <c r="B118" s="39" t="str">
        <f t="shared" si="14"/>
        <v/>
      </c>
      <c r="C118" s="40"/>
      <c r="D118" s="40"/>
      <c r="E118" s="40"/>
      <c r="F118" s="40"/>
      <c r="G118" s="96"/>
      <c r="H118" s="111">
        <v>113</v>
      </c>
      <c r="I118" s="112" t="str">
        <f t="shared" si="9"/>
        <v/>
      </c>
      <c r="J118" s="111">
        <f t="shared" si="10"/>
        <v>-2</v>
      </c>
      <c r="K118" s="111">
        <f t="shared" si="11"/>
        <v>-20</v>
      </c>
      <c r="L118" s="111"/>
      <c r="M118" s="113">
        <f t="shared" si="12"/>
        <v>0</v>
      </c>
      <c r="N118" s="113">
        <f t="shared" si="13"/>
        <v>0</v>
      </c>
      <c r="O118" s="96"/>
      <c r="P118" s="96"/>
      <c r="Q118" s="96"/>
      <c r="R118" s="96"/>
      <c r="S118" s="125"/>
      <c r="T118" s="126"/>
    </row>
    <row r="119" spans="1:20" s="101" customFormat="1">
      <c r="A119" s="114">
        <f t="shared" si="8"/>
        <v>0</v>
      </c>
      <c r="B119" s="45" t="str">
        <f t="shared" si="14"/>
        <v/>
      </c>
      <c r="C119" s="46"/>
      <c r="D119" s="46"/>
      <c r="E119" s="46"/>
      <c r="F119" s="46"/>
      <c r="G119" s="96"/>
      <c r="H119" s="115">
        <v>114</v>
      </c>
      <c r="I119" s="116" t="str">
        <f t="shared" si="9"/>
        <v/>
      </c>
      <c r="J119" s="115">
        <f t="shared" si="10"/>
        <v>-2</v>
      </c>
      <c r="K119" s="115">
        <f t="shared" si="11"/>
        <v>-20</v>
      </c>
      <c r="L119" s="115"/>
      <c r="M119" s="117">
        <f t="shared" si="12"/>
        <v>0</v>
      </c>
      <c r="N119" s="117">
        <f t="shared" si="13"/>
        <v>0</v>
      </c>
      <c r="O119" s="96"/>
      <c r="P119" s="96"/>
      <c r="Q119" s="96"/>
      <c r="R119" s="96"/>
      <c r="S119" s="96"/>
    </row>
    <row r="120" spans="1:20" s="101" customFormat="1">
      <c r="A120" s="110">
        <f t="shared" si="8"/>
        <v>0</v>
      </c>
      <c r="B120" s="39" t="str">
        <f t="shared" si="14"/>
        <v/>
      </c>
      <c r="C120" s="40"/>
      <c r="D120" s="40"/>
      <c r="E120" s="40"/>
      <c r="F120" s="40"/>
      <c r="G120" s="96"/>
      <c r="H120" s="111">
        <v>115</v>
      </c>
      <c r="I120" s="112" t="str">
        <f t="shared" si="9"/>
        <v/>
      </c>
      <c r="J120" s="111">
        <f t="shared" si="10"/>
        <v>-2</v>
      </c>
      <c r="K120" s="111">
        <f t="shared" si="11"/>
        <v>-20</v>
      </c>
      <c r="L120" s="111"/>
      <c r="M120" s="113">
        <f t="shared" si="12"/>
        <v>0</v>
      </c>
      <c r="N120" s="113">
        <f t="shared" si="13"/>
        <v>0</v>
      </c>
      <c r="O120" s="96"/>
      <c r="P120" s="96"/>
      <c r="Q120" s="96"/>
      <c r="R120" s="96"/>
      <c r="S120" s="125"/>
      <c r="T120" s="126"/>
    </row>
    <row r="121" spans="1:20" s="101" customFormat="1">
      <c r="A121" s="114">
        <f t="shared" si="8"/>
        <v>0</v>
      </c>
      <c r="B121" s="45" t="str">
        <f t="shared" si="14"/>
        <v/>
      </c>
      <c r="C121" s="46"/>
      <c r="D121" s="46"/>
      <c r="E121" s="46"/>
      <c r="F121" s="46"/>
      <c r="G121" s="96"/>
      <c r="H121" s="115">
        <v>116</v>
      </c>
      <c r="I121" s="116" t="str">
        <f t="shared" si="9"/>
        <v/>
      </c>
      <c r="J121" s="115">
        <f t="shared" si="10"/>
        <v>-2</v>
      </c>
      <c r="K121" s="115">
        <f t="shared" si="11"/>
        <v>-20</v>
      </c>
      <c r="L121" s="115"/>
      <c r="M121" s="117">
        <f t="shared" si="12"/>
        <v>0</v>
      </c>
      <c r="N121" s="117">
        <f t="shared" si="13"/>
        <v>0</v>
      </c>
      <c r="O121" s="96"/>
      <c r="P121" s="96"/>
      <c r="Q121" s="96"/>
      <c r="R121" s="96"/>
      <c r="S121" s="96"/>
    </row>
    <row r="122" spans="1:20" s="101" customFormat="1">
      <c r="A122" s="110">
        <f t="shared" si="8"/>
        <v>0</v>
      </c>
      <c r="B122" s="39" t="str">
        <f t="shared" si="14"/>
        <v/>
      </c>
      <c r="C122" s="40"/>
      <c r="D122" s="40"/>
      <c r="E122" s="40"/>
      <c r="F122" s="40"/>
      <c r="G122" s="96"/>
      <c r="H122" s="111">
        <v>117</v>
      </c>
      <c r="I122" s="112" t="str">
        <f t="shared" si="9"/>
        <v/>
      </c>
      <c r="J122" s="111">
        <f t="shared" si="10"/>
        <v>-2</v>
      </c>
      <c r="K122" s="111">
        <f t="shared" si="11"/>
        <v>-20</v>
      </c>
      <c r="L122" s="111"/>
      <c r="M122" s="113">
        <f t="shared" si="12"/>
        <v>0</v>
      </c>
      <c r="N122" s="113">
        <f t="shared" si="13"/>
        <v>0</v>
      </c>
      <c r="O122" s="96"/>
      <c r="P122" s="96"/>
      <c r="Q122" s="96"/>
      <c r="R122" s="96"/>
      <c r="S122" s="125"/>
      <c r="T122" s="126"/>
    </row>
    <row r="123" spans="1:20" s="101" customFormat="1">
      <c r="A123" s="114">
        <f t="shared" si="8"/>
        <v>0</v>
      </c>
      <c r="B123" s="45" t="str">
        <f t="shared" si="14"/>
        <v/>
      </c>
      <c r="C123" s="46"/>
      <c r="D123" s="46"/>
      <c r="E123" s="46"/>
      <c r="F123" s="46"/>
      <c r="G123" s="96"/>
      <c r="H123" s="115">
        <v>118</v>
      </c>
      <c r="I123" s="116" t="str">
        <f t="shared" si="9"/>
        <v/>
      </c>
      <c r="J123" s="115">
        <f t="shared" si="10"/>
        <v>-2</v>
      </c>
      <c r="K123" s="115">
        <f t="shared" si="11"/>
        <v>-20</v>
      </c>
      <c r="L123" s="115"/>
      <c r="M123" s="117">
        <f t="shared" si="12"/>
        <v>0</v>
      </c>
      <c r="N123" s="117">
        <f t="shared" si="13"/>
        <v>0</v>
      </c>
      <c r="O123" s="96"/>
      <c r="P123" s="96"/>
      <c r="Q123" s="96"/>
      <c r="R123" s="96"/>
      <c r="S123" s="96"/>
    </row>
    <row r="124" spans="1:20" s="101" customFormat="1">
      <c r="A124" s="110">
        <f t="shared" si="8"/>
        <v>0</v>
      </c>
      <c r="B124" s="39" t="str">
        <f t="shared" si="14"/>
        <v/>
      </c>
      <c r="C124" s="40"/>
      <c r="D124" s="40"/>
      <c r="E124" s="40"/>
      <c r="F124" s="40"/>
      <c r="G124" s="96"/>
      <c r="H124" s="111">
        <v>119</v>
      </c>
      <c r="I124" s="112" t="str">
        <f t="shared" si="9"/>
        <v/>
      </c>
      <c r="J124" s="111">
        <f t="shared" si="10"/>
        <v>-2</v>
      </c>
      <c r="K124" s="111">
        <f t="shared" si="11"/>
        <v>-20</v>
      </c>
      <c r="L124" s="111"/>
      <c r="M124" s="113">
        <f t="shared" si="12"/>
        <v>0</v>
      </c>
      <c r="N124" s="113">
        <f t="shared" si="13"/>
        <v>0</v>
      </c>
      <c r="O124" s="96"/>
      <c r="P124" s="96"/>
      <c r="Q124" s="96"/>
      <c r="R124" s="96"/>
      <c r="S124" s="125"/>
      <c r="T124" s="126"/>
    </row>
    <row r="125" spans="1:20" s="101" customFormat="1">
      <c r="A125" s="114">
        <f t="shared" si="8"/>
        <v>0</v>
      </c>
      <c r="B125" s="45" t="str">
        <f t="shared" si="14"/>
        <v/>
      </c>
      <c r="C125" s="46"/>
      <c r="D125" s="46"/>
      <c r="E125" s="46"/>
      <c r="F125" s="46"/>
      <c r="G125" s="96"/>
      <c r="H125" s="115">
        <v>120</v>
      </c>
      <c r="I125" s="116" t="str">
        <f t="shared" si="9"/>
        <v/>
      </c>
      <c r="J125" s="115">
        <f t="shared" si="10"/>
        <v>-2</v>
      </c>
      <c r="K125" s="115">
        <f t="shared" si="11"/>
        <v>-20</v>
      </c>
      <c r="L125" s="115"/>
      <c r="M125" s="117">
        <f t="shared" si="12"/>
        <v>0</v>
      </c>
      <c r="N125" s="117">
        <f t="shared" si="13"/>
        <v>0</v>
      </c>
      <c r="O125" s="96"/>
      <c r="P125" s="96"/>
      <c r="Q125" s="96"/>
      <c r="R125" s="96"/>
      <c r="S125" s="96"/>
    </row>
    <row r="126" spans="1:20" s="101" customFormat="1">
      <c r="A126" s="110">
        <f t="shared" si="8"/>
        <v>0</v>
      </c>
      <c r="B126" s="39" t="str">
        <f t="shared" si="14"/>
        <v/>
      </c>
      <c r="C126" s="40"/>
      <c r="D126" s="40"/>
      <c r="E126" s="40"/>
      <c r="F126" s="40"/>
      <c r="G126" s="96"/>
      <c r="H126" s="111">
        <v>121</v>
      </c>
      <c r="I126" s="112" t="str">
        <f t="shared" si="9"/>
        <v/>
      </c>
      <c r="J126" s="111">
        <f t="shared" si="10"/>
        <v>-2</v>
      </c>
      <c r="K126" s="111">
        <f t="shared" si="11"/>
        <v>-20</v>
      </c>
      <c r="L126" s="111"/>
      <c r="M126" s="113">
        <f t="shared" si="12"/>
        <v>0</v>
      </c>
      <c r="N126" s="113">
        <f t="shared" si="13"/>
        <v>0</v>
      </c>
      <c r="O126" s="96"/>
      <c r="P126" s="96"/>
      <c r="Q126" s="96"/>
      <c r="R126" s="96"/>
      <c r="S126" s="125"/>
      <c r="T126" s="126"/>
    </row>
    <row r="127" spans="1:20" s="101" customFormat="1">
      <c r="A127" s="114">
        <f t="shared" si="8"/>
        <v>0</v>
      </c>
      <c r="B127" s="45" t="str">
        <f t="shared" si="14"/>
        <v/>
      </c>
      <c r="C127" s="46"/>
      <c r="D127" s="46"/>
      <c r="E127" s="46"/>
      <c r="F127" s="46"/>
      <c r="G127" s="96"/>
      <c r="H127" s="115">
        <v>122</v>
      </c>
      <c r="I127" s="116" t="str">
        <f t="shared" si="9"/>
        <v/>
      </c>
      <c r="J127" s="115">
        <f t="shared" si="10"/>
        <v>-2</v>
      </c>
      <c r="K127" s="115">
        <f t="shared" si="11"/>
        <v>-20</v>
      </c>
      <c r="L127" s="115"/>
      <c r="M127" s="117">
        <f t="shared" si="12"/>
        <v>0</v>
      </c>
      <c r="N127" s="117">
        <f t="shared" si="13"/>
        <v>0</v>
      </c>
      <c r="O127" s="96"/>
      <c r="P127" s="96"/>
      <c r="Q127" s="96"/>
      <c r="R127" s="96"/>
      <c r="S127" s="96"/>
    </row>
    <row r="128" spans="1:20" s="101" customFormat="1">
      <c r="A128" s="110">
        <f t="shared" si="8"/>
        <v>0</v>
      </c>
      <c r="B128" s="39" t="str">
        <f t="shared" si="14"/>
        <v/>
      </c>
      <c r="C128" s="40"/>
      <c r="D128" s="40"/>
      <c r="E128" s="40"/>
      <c r="F128" s="40"/>
      <c r="G128" s="96"/>
      <c r="H128" s="111">
        <v>123</v>
      </c>
      <c r="I128" s="112" t="str">
        <f t="shared" si="9"/>
        <v/>
      </c>
      <c r="J128" s="111">
        <f t="shared" si="10"/>
        <v>-2</v>
      </c>
      <c r="K128" s="111">
        <f t="shared" si="11"/>
        <v>-20</v>
      </c>
      <c r="L128" s="111"/>
      <c r="M128" s="113">
        <f t="shared" si="12"/>
        <v>0</v>
      </c>
      <c r="N128" s="113">
        <f t="shared" si="13"/>
        <v>0</v>
      </c>
      <c r="O128" s="96"/>
      <c r="P128" s="96"/>
      <c r="Q128" s="96"/>
      <c r="R128" s="96"/>
      <c r="S128" s="125"/>
      <c r="T128" s="126"/>
    </row>
    <row r="129" spans="1:20" s="101" customFormat="1">
      <c r="A129" s="114">
        <f t="shared" si="8"/>
        <v>0</v>
      </c>
      <c r="B129" s="45" t="str">
        <f t="shared" si="14"/>
        <v/>
      </c>
      <c r="C129" s="46"/>
      <c r="D129" s="46"/>
      <c r="E129" s="46"/>
      <c r="F129" s="46"/>
      <c r="G129" s="96"/>
      <c r="H129" s="115">
        <v>124</v>
      </c>
      <c r="I129" s="116" t="str">
        <f t="shared" si="9"/>
        <v/>
      </c>
      <c r="J129" s="115">
        <f t="shared" si="10"/>
        <v>-2</v>
      </c>
      <c r="K129" s="115">
        <f t="shared" si="11"/>
        <v>-20</v>
      </c>
      <c r="L129" s="115"/>
      <c r="M129" s="117">
        <f t="shared" si="12"/>
        <v>0</v>
      </c>
      <c r="N129" s="117">
        <f t="shared" si="13"/>
        <v>0</v>
      </c>
      <c r="O129" s="96"/>
      <c r="P129" s="96"/>
      <c r="Q129" s="96"/>
      <c r="R129" s="96"/>
      <c r="S129" s="96"/>
    </row>
    <row r="130" spans="1:20" s="101" customFormat="1">
      <c r="A130" s="110">
        <f t="shared" si="8"/>
        <v>0</v>
      </c>
      <c r="B130" s="39" t="str">
        <f t="shared" si="14"/>
        <v/>
      </c>
      <c r="C130" s="40"/>
      <c r="D130" s="40"/>
      <c r="E130" s="40"/>
      <c r="F130" s="40"/>
      <c r="G130" s="96"/>
      <c r="H130" s="111">
        <v>125</v>
      </c>
      <c r="I130" s="112" t="str">
        <f t="shared" si="9"/>
        <v/>
      </c>
      <c r="J130" s="111">
        <f t="shared" si="10"/>
        <v>-2</v>
      </c>
      <c r="K130" s="111">
        <f t="shared" si="11"/>
        <v>-20</v>
      </c>
      <c r="L130" s="111"/>
      <c r="M130" s="113">
        <f t="shared" si="12"/>
        <v>0</v>
      </c>
      <c r="N130" s="113">
        <f t="shared" si="13"/>
        <v>0</v>
      </c>
      <c r="O130" s="96"/>
      <c r="P130" s="96"/>
      <c r="Q130" s="96"/>
      <c r="R130" s="96"/>
      <c r="S130" s="125"/>
      <c r="T130" s="126"/>
    </row>
    <row r="131" spans="1:20" s="101" customFormat="1">
      <c r="A131" s="114">
        <f t="shared" si="8"/>
        <v>0</v>
      </c>
      <c r="B131" s="45" t="str">
        <f t="shared" si="14"/>
        <v/>
      </c>
      <c r="C131" s="46"/>
      <c r="D131" s="46"/>
      <c r="E131" s="46"/>
      <c r="F131" s="46"/>
      <c r="G131" s="96"/>
      <c r="H131" s="115">
        <v>126</v>
      </c>
      <c r="I131" s="116" t="str">
        <f t="shared" si="9"/>
        <v/>
      </c>
      <c r="J131" s="115">
        <f t="shared" si="10"/>
        <v>-2</v>
      </c>
      <c r="K131" s="115">
        <f t="shared" si="11"/>
        <v>-20</v>
      </c>
      <c r="L131" s="115"/>
      <c r="M131" s="117">
        <f t="shared" si="12"/>
        <v>0</v>
      </c>
      <c r="N131" s="117">
        <f t="shared" si="13"/>
        <v>0</v>
      </c>
      <c r="O131" s="96"/>
      <c r="P131" s="96"/>
      <c r="Q131" s="96"/>
      <c r="R131" s="96"/>
      <c r="S131" s="96"/>
    </row>
    <row r="132" spans="1:20" s="101" customFormat="1">
      <c r="A132" s="110">
        <f t="shared" si="8"/>
        <v>0</v>
      </c>
      <c r="B132" s="39" t="str">
        <f t="shared" si="14"/>
        <v/>
      </c>
      <c r="C132" s="40"/>
      <c r="D132" s="40"/>
      <c r="E132" s="40"/>
      <c r="F132" s="40"/>
      <c r="G132" s="96"/>
      <c r="H132" s="111">
        <v>127</v>
      </c>
      <c r="I132" s="112" t="str">
        <f t="shared" si="9"/>
        <v/>
      </c>
      <c r="J132" s="111">
        <f t="shared" si="10"/>
        <v>-2</v>
      </c>
      <c r="K132" s="111">
        <f t="shared" si="11"/>
        <v>-20</v>
      </c>
      <c r="L132" s="111"/>
      <c r="M132" s="113">
        <f t="shared" si="12"/>
        <v>0</v>
      </c>
      <c r="N132" s="113">
        <f t="shared" si="13"/>
        <v>0</v>
      </c>
      <c r="O132" s="96"/>
      <c r="P132" s="96"/>
      <c r="Q132" s="96"/>
      <c r="R132" s="96"/>
      <c r="S132" s="125"/>
      <c r="T132" s="126"/>
    </row>
    <row r="133" spans="1:20" s="101" customFormat="1">
      <c r="A133" s="114">
        <f t="shared" si="8"/>
        <v>0</v>
      </c>
      <c r="B133" s="45" t="str">
        <f t="shared" si="14"/>
        <v/>
      </c>
      <c r="C133" s="46"/>
      <c r="D133" s="46"/>
      <c r="E133" s="46"/>
      <c r="F133" s="46"/>
      <c r="G133" s="96"/>
      <c r="H133" s="115">
        <v>128</v>
      </c>
      <c r="I133" s="116" t="str">
        <f t="shared" si="9"/>
        <v/>
      </c>
      <c r="J133" s="115">
        <f t="shared" si="10"/>
        <v>-2</v>
      </c>
      <c r="K133" s="115">
        <f t="shared" si="11"/>
        <v>-20</v>
      </c>
      <c r="L133" s="115"/>
      <c r="M133" s="117">
        <f t="shared" si="12"/>
        <v>0</v>
      </c>
      <c r="N133" s="117">
        <f t="shared" si="13"/>
        <v>0</v>
      </c>
      <c r="O133" s="96"/>
      <c r="P133" s="96"/>
      <c r="Q133" s="96"/>
      <c r="R133" s="96"/>
      <c r="S133" s="96"/>
    </row>
    <row r="134" spans="1:20" s="101" customFormat="1">
      <c r="A134" s="110">
        <f t="shared" ref="A134:A197" si="15">N134</f>
        <v>0</v>
      </c>
      <c r="B134" s="39" t="str">
        <f t="shared" si="14"/>
        <v/>
      </c>
      <c r="C134" s="40"/>
      <c r="D134" s="40"/>
      <c r="E134" s="40"/>
      <c r="F134" s="40"/>
      <c r="G134" s="96"/>
      <c r="H134" s="111">
        <v>129</v>
      </c>
      <c r="I134" s="112" t="str">
        <f t="shared" ref="I134:I197" si="16">IF(H134&lt;$H$2+1,($I$2-($I$2-1)*(LOG(H134)/LOG($H$2))),"")</f>
        <v/>
      </c>
      <c r="J134" s="111">
        <f t="shared" ref="J134:J197" si="17">INT(LOG($H$2,2))-ROUNDUP(LOG(H134,2),0)+IF(OR($H$2=1,$H$2=2,$H$2=4,$H$2=8,$H$2=16,$H$2=32,$H$2=64,$H$2=128,$H$2=256),0,1)</f>
        <v>-3</v>
      </c>
      <c r="K134" s="111">
        <f t="shared" ref="K134:K197" si="18">J134*$J$2</f>
        <v>-30</v>
      </c>
      <c r="L134" s="111"/>
      <c r="M134" s="113">
        <f t="shared" ref="M134:M197" si="19">IF(I134&lt;&gt;"",K134+I134+L134,0)</f>
        <v>0</v>
      </c>
      <c r="N134" s="113">
        <f t="shared" ref="N134:N197" si="20">IF(I134&lt;&gt;"",M134*L$2,0)</f>
        <v>0</v>
      </c>
      <c r="O134" s="96"/>
      <c r="P134" s="96"/>
      <c r="Q134" s="96"/>
      <c r="R134" s="96"/>
      <c r="S134" s="125"/>
      <c r="T134" s="126"/>
    </row>
    <row r="135" spans="1:20" s="101" customFormat="1">
      <c r="A135" s="114">
        <f t="shared" si="15"/>
        <v>0</v>
      </c>
      <c r="B135" s="45" t="str">
        <f t="shared" si="14"/>
        <v/>
      </c>
      <c r="C135" s="46"/>
      <c r="D135" s="46"/>
      <c r="E135" s="46"/>
      <c r="F135" s="46"/>
      <c r="G135" s="96"/>
      <c r="H135" s="115">
        <v>130</v>
      </c>
      <c r="I135" s="116" t="str">
        <f t="shared" si="16"/>
        <v/>
      </c>
      <c r="J135" s="115">
        <f t="shared" si="17"/>
        <v>-3</v>
      </c>
      <c r="K135" s="115">
        <f t="shared" si="18"/>
        <v>-30</v>
      </c>
      <c r="L135" s="115"/>
      <c r="M135" s="117">
        <f t="shared" si="19"/>
        <v>0</v>
      </c>
      <c r="N135" s="117">
        <f t="shared" si="20"/>
        <v>0</v>
      </c>
      <c r="O135" s="96"/>
      <c r="P135" s="96"/>
      <c r="Q135" s="96"/>
      <c r="R135" s="96"/>
      <c r="S135" s="96"/>
    </row>
    <row r="136" spans="1:20" s="101" customFormat="1">
      <c r="A136" s="110">
        <f t="shared" si="15"/>
        <v>0</v>
      </c>
      <c r="B136" s="39" t="str">
        <f t="shared" si="14"/>
        <v/>
      </c>
      <c r="C136" s="40"/>
      <c r="D136" s="40"/>
      <c r="E136" s="40"/>
      <c r="F136" s="40"/>
      <c r="G136" s="96"/>
      <c r="H136" s="111">
        <v>131</v>
      </c>
      <c r="I136" s="112" t="str">
        <f t="shared" si="16"/>
        <v/>
      </c>
      <c r="J136" s="111">
        <f t="shared" si="17"/>
        <v>-3</v>
      </c>
      <c r="K136" s="111">
        <f t="shared" si="18"/>
        <v>-30</v>
      </c>
      <c r="L136" s="111"/>
      <c r="M136" s="113">
        <f t="shared" si="19"/>
        <v>0</v>
      </c>
      <c r="N136" s="113">
        <f t="shared" si="20"/>
        <v>0</v>
      </c>
      <c r="O136" s="96"/>
      <c r="P136" s="96"/>
      <c r="Q136" s="96"/>
      <c r="R136" s="96"/>
      <c r="S136" s="125"/>
      <c r="T136" s="126"/>
    </row>
    <row r="137" spans="1:20" s="101" customFormat="1">
      <c r="A137" s="114">
        <f t="shared" si="15"/>
        <v>0</v>
      </c>
      <c r="B137" s="45" t="str">
        <f t="shared" si="14"/>
        <v/>
      </c>
      <c r="C137" s="46"/>
      <c r="D137" s="46"/>
      <c r="E137" s="46"/>
      <c r="F137" s="46"/>
      <c r="G137" s="96"/>
      <c r="H137" s="115">
        <v>132</v>
      </c>
      <c r="I137" s="116" t="str">
        <f t="shared" si="16"/>
        <v/>
      </c>
      <c r="J137" s="115">
        <f t="shared" si="17"/>
        <v>-3</v>
      </c>
      <c r="K137" s="115">
        <f t="shared" si="18"/>
        <v>-30</v>
      </c>
      <c r="L137" s="115"/>
      <c r="M137" s="117">
        <f t="shared" si="19"/>
        <v>0</v>
      </c>
      <c r="N137" s="117">
        <f t="shared" si="20"/>
        <v>0</v>
      </c>
      <c r="O137" s="96"/>
      <c r="P137" s="96"/>
      <c r="Q137" s="96"/>
      <c r="R137" s="96"/>
      <c r="S137" s="96"/>
    </row>
    <row r="138" spans="1:20" s="101" customFormat="1">
      <c r="A138" s="110">
        <f t="shared" si="15"/>
        <v>0</v>
      </c>
      <c r="B138" s="39" t="str">
        <f t="shared" ref="B138:B201" si="21">IF(H138&gt;$H$2,"",(ROW()-5))</f>
        <v/>
      </c>
      <c r="C138" s="40"/>
      <c r="D138" s="40"/>
      <c r="E138" s="40"/>
      <c r="F138" s="40"/>
      <c r="G138" s="96"/>
      <c r="H138" s="111">
        <v>133</v>
      </c>
      <c r="I138" s="112" t="str">
        <f t="shared" si="16"/>
        <v/>
      </c>
      <c r="J138" s="111">
        <f t="shared" si="17"/>
        <v>-3</v>
      </c>
      <c r="K138" s="111">
        <f t="shared" si="18"/>
        <v>-30</v>
      </c>
      <c r="L138" s="111"/>
      <c r="M138" s="113">
        <f t="shared" si="19"/>
        <v>0</v>
      </c>
      <c r="N138" s="113">
        <f t="shared" si="20"/>
        <v>0</v>
      </c>
      <c r="O138" s="96"/>
      <c r="P138" s="96"/>
      <c r="Q138" s="96"/>
      <c r="R138" s="96"/>
      <c r="S138" s="125"/>
      <c r="T138" s="126"/>
    </row>
    <row r="139" spans="1:20" s="101" customFormat="1">
      <c r="A139" s="114">
        <f t="shared" si="15"/>
        <v>0</v>
      </c>
      <c r="B139" s="45" t="str">
        <f t="shared" si="21"/>
        <v/>
      </c>
      <c r="C139" s="46"/>
      <c r="D139" s="46"/>
      <c r="E139" s="46"/>
      <c r="F139" s="46"/>
      <c r="G139" s="96"/>
      <c r="H139" s="115">
        <v>134</v>
      </c>
      <c r="I139" s="116" t="str">
        <f t="shared" si="16"/>
        <v/>
      </c>
      <c r="J139" s="115">
        <f t="shared" si="17"/>
        <v>-3</v>
      </c>
      <c r="K139" s="115">
        <f t="shared" si="18"/>
        <v>-30</v>
      </c>
      <c r="L139" s="115"/>
      <c r="M139" s="117">
        <f t="shared" si="19"/>
        <v>0</v>
      </c>
      <c r="N139" s="117">
        <f t="shared" si="20"/>
        <v>0</v>
      </c>
      <c r="O139" s="96"/>
      <c r="P139" s="96"/>
      <c r="Q139" s="96"/>
      <c r="R139" s="96"/>
      <c r="S139" s="96"/>
    </row>
    <row r="140" spans="1:20" s="101" customFormat="1">
      <c r="A140" s="110">
        <f t="shared" si="15"/>
        <v>0</v>
      </c>
      <c r="B140" s="39" t="str">
        <f t="shared" si="21"/>
        <v/>
      </c>
      <c r="C140" s="40"/>
      <c r="D140" s="40"/>
      <c r="E140" s="40"/>
      <c r="F140" s="40"/>
      <c r="G140" s="96"/>
      <c r="H140" s="111">
        <v>135</v>
      </c>
      <c r="I140" s="112" t="str">
        <f t="shared" si="16"/>
        <v/>
      </c>
      <c r="J140" s="111">
        <f t="shared" si="17"/>
        <v>-3</v>
      </c>
      <c r="K140" s="111">
        <f t="shared" si="18"/>
        <v>-30</v>
      </c>
      <c r="L140" s="111"/>
      <c r="M140" s="113">
        <f t="shared" si="19"/>
        <v>0</v>
      </c>
      <c r="N140" s="113">
        <f t="shared" si="20"/>
        <v>0</v>
      </c>
      <c r="O140" s="96"/>
      <c r="P140" s="96"/>
      <c r="Q140" s="96"/>
      <c r="R140" s="96"/>
      <c r="S140" s="125"/>
      <c r="T140" s="126"/>
    </row>
    <row r="141" spans="1:20" s="101" customFormat="1">
      <c r="A141" s="114">
        <f t="shared" si="15"/>
        <v>0</v>
      </c>
      <c r="B141" s="45" t="str">
        <f t="shared" si="21"/>
        <v/>
      </c>
      <c r="C141" s="46"/>
      <c r="D141" s="46"/>
      <c r="E141" s="46"/>
      <c r="F141" s="46"/>
      <c r="G141" s="96"/>
      <c r="H141" s="115">
        <v>136</v>
      </c>
      <c r="I141" s="116" t="str">
        <f t="shared" si="16"/>
        <v/>
      </c>
      <c r="J141" s="115">
        <f t="shared" si="17"/>
        <v>-3</v>
      </c>
      <c r="K141" s="115">
        <f t="shared" si="18"/>
        <v>-30</v>
      </c>
      <c r="L141" s="115"/>
      <c r="M141" s="117">
        <f t="shared" si="19"/>
        <v>0</v>
      </c>
      <c r="N141" s="117">
        <f t="shared" si="20"/>
        <v>0</v>
      </c>
      <c r="O141" s="96"/>
      <c r="P141" s="96"/>
      <c r="Q141" s="96"/>
      <c r="R141" s="96"/>
      <c r="S141" s="96"/>
    </row>
    <row r="142" spans="1:20" s="101" customFormat="1">
      <c r="A142" s="110">
        <f t="shared" si="15"/>
        <v>0</v>
      </c>
      <c r="B142" s="39" t="str">
        <f t="shared" si="21"/>
        <v/>
      </c>
      <c r="C142" s="40"/>
      <c r="D142" s="40"/>
      <c r="E142" s="40"/>
      <c r="F142" s="40"/>
      <c r="G142" s="96"/>
      <c r="H142" s="111">
        <v>137</v>
      </c>
      <c r="I142" s="112" t="str">
        <f t="shared" si="16"/>
        <v/>
      </c>
      <c r="J142" s="111">
        <f t="shared" si="17"/>
        <v>-3</v>
      </c>
      <c r="K142" s="111">
        <f t="shared" si="18"/>
        <v>-30</v>
      </c>
      <c r="L142" s="111"/>
      <c r="M142" s="113">
        <f t="shared" si="19"/>
        <v>0</v>
      </c>
      <c r="N142" s="113">
        <f t="shared" si="20"/>
        <v>0</v>
      </c>
      <c r="O142" s="96"/>
      <c r="P142" s="96"/>
      <c r="Q142" s="96"/>
      <c r="R142" s="96"/>
      <c r="S142" s="125"/>
      <c r="T142" s="126"/>
    </row>
    <row r="143" spans="1:20" s="101" customFormat="1">
      <c r="A143" s="114">
        <f t="shared" si="15"/>
        <v>0</v>
      </c>
      <c r="B143" s="45" t="str">
        <f t="shared" si="21"/>
        <v/>
      </c>
      <c r="C143" s="46"/>
      <c r="D143" s="46"/>
      <c r="E143" s="46"/>
      <c r="F143" s="46"/>
      <c r="G143" s="96"/>
      <c r="H143" s="115">
        <v>138</v>
      </c>
      <c r="I143" s="116" t="str">
        <f t="shared" si="16"/>
        <v/>
      </c>
      <c r="J143" s="115">
        <f t="shared" si="17"/>
        <v>-3</v>
      </c>
      <c r="K143" s="115">
        <f t="shared" si="18"/>
        <v>-30</v>
      </c>
      <c r="L143" s="115"/>
      <c r="M143" s="117">
        <f t="shared" si="19"/>
        <v>0</v>
      </c>
      <c r="N143" s="117">
        <f t="shared" si="20"/>
        <v>0</v>
      </c>
      <c r="O143" s="96"/>
      <c r="P143" s="96"/>
      <c r="Q143" s="96"/>
      <c r="R143" s="96"/>
      <c r="S143" s="96"/>
    </row>
    <row r="144" spans="1:20" s="101" customFormat="1">
      <c r="A144" s="110">
        <f t="shared" si="15"/>
        <v>0</v>
      </c>
      <c r="B144" s="39" t="str">
        <f t="shared" si="21"/>
        <v/>
      </c>
      <c r="C144" s="40"/>
      <c r="D144" s="40"/>
      <c r="E144" s="40"/>
      <c r="F144" s="40"/>
      <c r="G144" s="96"/>
      <c r="H144" s="111">
        <v>139</v>
      </c>
      <c r="I144" s="112" t="str">
        <f t="shared" si="16"/>
        <v/>
      </c>
      <c r="J144" s="111">
        <f t="shared" si="17"/>
        <v>-3</v>
      </c>
      <c r="K144" s="111">
        <f t="shared" si="18"/>
        <v>-30</v>
      </c>
      <c r="L144" s="111"/>
      <c r="M144" s="113">
        <f t="shared" si="19"/>
        <v>0</v>
      </c>
      <c r="N144" s="113">
        <f t="shared" si="20"/>
        <v>0</v>
      </c>
      <c r="O144" s="96"/>
      <c r="P144" s="96"/>
      <c r="Q144" s="96"/>
      <c r="R144" s="96"/>
      <c r="S144" s="125"/>
      <c r="T144" s="126"/>
    </row>
    <row r="145" spans="1:20" s="101" customFormat="1">
      <c r="A145" s="114">
        <f t="shared" si="15"/>
        <v>0</v>
      </c>
      <c r="B145" s="45" t="str">
        <f t="shared" si="21"/>
        <v/>
      </c>
      <c r="C145" s="46"/>
      <c r="D145" s="46"/>
      <c r="E145" s="46"/>
      <c r="F145" s="46"/>
      <c r="G145" s="96"/>
      <c r="H145" s="115">
        <v>140</v>
      </c>
      <c r="I145" s="116" t="str">
        <f t="shared" si="16"/>
        <v/>
      </c>
      <c r="J145" s="115">
        <f t="shared" si="17"/>
        <v>-3</v>
      </c>
      <c r="K145" s="115">
        <f t="shared" si="18"/>
        <v>-30</v>
      </c>
      <c r="L145" s="115"/>
      <c r="M145" s="117">
        <f t="shared" si="19"/>
        <v>0</v>
      </c>
      <c r="N145" s="117">
        <f t="shared" si="20"/>
        <v>0</v>
      </c>
      <c r="O145" s="96"/>
      <c r="P145" s="96"/>
      <c r="Q145" s="96"/>
      <c r="R145" s="96"/>
      <c r="S145" s="96"/>
    </row>
    <row r="146" spans="1:20" s="101" customFormat="1">
      <c r="A146" s="110">
        <f t="shared" si="15"/>
        <v>0</v>
      </c>
      <c r="B146" s="39" t="str">
        <f t="shared" si="21"/>
        <v/>
      </c>
      <c r="C146" s="40"/>
      <c r="D146" s="40"/>
      <c r="E146" s="40"/>
      <c r="F146" s="40"/>
      <c r="G146" s="96"/>
      <c r="H146" s="111">
        <v>141</v>
      </c>
      <c r="I146" s="112" t="str">
        <f t="shared" si="16"/>
        <v/>
      </c>
      <c r="J146" s="111">
        <f t="shared" si="17"/>
        <v>-3</v>
      </c>
      <c r="K146" s="111">
        <f t="shared" si="18"/>
        <v>-30</v>
      </c>
      <c r="L146" s="111"/>
      <c r="M146" s="113">
        <f t="shared" si="19"/>
        <v>0</v>
      </c>
      <c r="N146" s="113">
        <f t="shared" si="20"/>
        <v>0</v>
      </c>
      <c r="O146" s="96"/>
      <c r="P146" s="96"/>
      <c r="Q146" s="96"/>
      <c r="R146" s="96"/>
      <c r="S146" s="125"/>
      <c r="T146" s="126"/>
    </row>
    <row r="147" spans="1:20" s="101" customFormat="1">
      <c r="A147" s="114">
        <f t="shared" si="15"/>
        <v>0</v>
      </c>
      <c r="B147" s="45" t="str">
        <f t="shared" si="21"/>
        <v/>
      </c>
      <c r="C147" s="46"/>
      <c r="D147" s="46"/>
      <c r="E147" s="46"/>
      <c r="F147" s="46"/>
      <c r="G147" s="96"/>
      <c r="H147" s="115">
        <v>142</v>
      </c>
      <c r="I147" s="116" t="str">
        <f t="shared" si="16"/>
        <v/>
      </c>
      <c r="J147" s="115">
        <f t="shared" si="17"/>
        <v>-3</v>
      </c>
      <c r="K147" s="115">
        <f t="shared" si="18"/>
        <v>-30</v>
      </c>
      <c r="L147" s="115"/>
      <c r="M147" s="117">
        <f t="shared" si="19"/>
        <v>0</v>
      </c>
      <c r="N147" s="117">
        <f t="shared" si="20"/>
        <v>0</v>
      </c>
      <c r="O147" s="96"/>
      <c r="P147" s="96"/>
      <c r="Q147" s="96"/>
      <c r="R147" s="96"/>
      <c r="S147" s="96"/>
    </row>
    <row r="148" spans="1:20" s="101" customFormat="1">
      <c r="A148" s="110">
        <f t="shared" si="15"/>
        <v>0</v>
      </c>
      <c r="B148" s="39" t="str">
        <f t="shared" si="21"/>
        <v/>
      </c>
      <c r="C148" s="40"/>
      <c r="D148" s="40"/>
      <c r="E148" s="40"/>
      <c r="F148" s="40"/>
      <c r="G148" s="96"/>
      <c r="H148" s="111">
        <v>143</v>
      </c>
      <c r="I148" s="112" t="str">
        <f t="shared" si="16"/>
        <v/>
      </c>
      <c r="J148" s="111">
        <f t="shared" si="17"/>
        <v>-3</v>
      </c>
      <c r="K148" s="111">
        <f t="shared" si="18"/>
        <v>-30</v>
      </c>
      <c r="L148" s="111"/>
      <c r="M148" s="113">
        <f t="shared" si="19"/>
        <v>0</v>
      </c>
      <c r="N148" s="113">
        <f t="shared" si="20"/>
        <v>0</v>
      </c>
      <c r="O148" s="96"/>
      <c r="P148" s="96"/>
      <c r="Q148" s="96"/>
      <c r="R148" s="96"/>
      <c r="S148" s="125"/>
      <c r="T148" s="126"/>
    </row>
    <row r="149" spans="1:20" s="101" customFormat="1">
      <c r="A149" s="114">
        <f t="shared" si="15"/>
        <v>0</v>
      </c>
      <c r="B149" s="45" t="str">
        <f t="shared" si="21"/>
        <v/>
      </c>
      <c r="C149" s="46"/>
      <c r="D149" s="46"/>
      <c r="E149" s="46"/>
      <c r="F149" s="46"/>
      <c r="G149" s="96"/>
      <c r="H149" s="115">
        <v>144</v>
      </c>
      <c r="I149" s="116" t="str">
        <f t="shared" si="16"/>
        <v/>
      </c>
      <c r="J149" s="115">
        <f t="shared" si="17"/>
        <v>-3</v>
      </c>
      <c r="K149" s="115">
        <f t="shared" si="18"/>
        <v>-30</v>
      </c>
      <c r="L149" s="115"/>
      <c r="M149" s="117">
        <f t="shared" si="19"/>
        <v>0</v>
      </c>
      <c r="N149" s="117">
        <f t="shared" si="20"/>
        <v>0</v>
      </c>
      <c r="O149" s="96"/>
      <c r="P149" s="96"/>
      <c r="Q149" s="96"/>
      <c r="R149" s="96"/>
      <c r="S149" s="96"/>
    </row>
    <row r="150" spans="1:20" s="101" customFormat="1">
      <c r="A150" s="110">
        <f t="shared" si="15"/>
        <v>0</v>
      </c>
      <c r="B150" s="39" t="str">
        <f t="shared" si="21"/>
        <v/>
      </c>
      <c r="C150" s="40"/>
      <c r="D150" s="40"/>
      <c r="E150" s="40"/>
      <c r="F150" s="40"/>
      <c r="G150" s="96"/>
      <c r="H150" s="111">
        <v>145</v>
      </c>
      <c r="I150" s="112" t="str">
        <f t="shared" si="16"/>
        <v/>
      </c>
      <c r="J150" s="111">
        <f t="shared" si="17"/>
        <v>-3</v>
      </c>
      <c r="K150" s="111">
        <f t="shared" si="18"/>
        <v>-30</v>
      </c>
      <c r="L150" s="111"/>
      <c r="M150" s="113">
        <f t="shared" si="19"/>
        <v>0</v>
      </c>
      <c r="N150" s="113">
        <f t="shared" si="20"/>
        <v>0</v>
      </c>
      <c r="O150" s="96"/>
      <c r="P150" s="96"/>
      <c r="Q150" s="96"/>
      <c r="R150" s="96"/>
      <c r="S150" s="125"/>
      <c r="T150" s="126"/>
    </row>
    <row r="151" spans="1:20" s="101" customFormat="1">
      <c r="A151" s="114">
        <f t="shared" si="15"/>
        <v>0</v>
      </c>
      <c r="B151" s="45" t="str">
        <f t="shared" si="21"/>
        <v/>
      </c>
      <c r="C151" s="46"/>
      <c r="D151" s="46"/>
      <c r="E151" s="46"/>
      <c r="F151" s="46"/>
      <c r="G151" s="96"/>
      <c r="H151" s="115">
        <v>146</v>
      </c>
      <c r="I151" s="116" t="str">
        <f t="shared" si="16"/>
        <v/>
      </c>
      <c r="J151" s="115">
        <f t="shared" si="17"/>
        <v>-3</v>
      </c>
      <c r="K151" s="115">
        <f t="shared" si="18"/>
        <v>-30</v>
      </c>
      <c r="L151" s="115"/>
      <c r="M151" s="117">
        <f t="shared" si="19"/>
        <v>0</v>
      </c>
      <c r="N151" s="117">
        <f t="shared" si="20"/>
        <v>0</v>
      </c>
      <c r="O151" s="96"/>
      <c r="P151" s="96"/>
      <c r="Q151" s="96"/>
      <c r="R151" s="96"/>
      <c r="S151" s="96"/>
    </row>
    <row r="152" spans="1:20" s="101" customFormat="1">
      <c r="A152" s="110">
        <f t="shared" si="15"/>
        <v>0</v>
      </c>
      <c r="B152" s="39" t="str">
        <f t="shared" si="21"/>
        <v/>
      </c>
      <c r="C152" s="40"/>
      <c r="D152" s="40"/>
      <c r="E152" s="40"/>
      <c r="F152" s="40"/>
      <c r="G152" s="96"/>
      <c r="H152" s="111">
        <v>147</v>
      </c>
      <c r="I152" s="112" t="str">
        <f t="shared" si="16"/>
        <v/>
      </c>
      <c r="J152" s="111">
        <f t="shared" si="17"/>
        <v>-3</v>
      </c>
      <c r="K152" s="111">
        <f t="shared" si="18"/>
        <v>-30</v>
      </c>
      <c r="L152" s="111"/>
      <c r="M152" s="113">
        <f t="shared" si="19"/>
        <v>0</v>
      </c>
      <c r="N152" s="113">
        <f t="shared" si="20"/>
        <v>0</v>
      </c>
      <c r="O152" s="96"/>
      <c r="P152" s="96"/>
      <c r="Q152" s="96"/>
      <c r="R152" s="96"/>
      <c r="S152" s="125"/>
      <c r="T152" s="126"/>
    </row>
    <row r="153" spans="1:20" s="101" customFormat="1">
      <c r="A153" s="114">
        <f t="shared" si="15"/>
        <v>0</v>
      </c>
      <c r="B153" s="45" t="str">
        <f t="shared" si="21"/>
        <v/>
      </c>
      <c r="C153" s="46"/>
      <c r="D153" s="46"/>
      <c r="E153" s="46"/>
      <c r="F153" s="46"/>
      <c r="G153" s="96"/>
      <c r="H153" s="115">
        <v>148</v>
      </c>
      <c r="I153" s="116" t="str">
        <f t="shared" si="16"/>
        <v/>
      </c>
      <c r="J153" s="115">
        <f t="shared" si="17"/>
        <v>-3</v>
      </c>
      <c r="K153" s="115">
        <f t="shared" si="18"/>
        <v>-30</v>
      </c>
      <c r="L153" s="115"/>
      <c r="M153" s="117">
        <f t="shared" si="19"/>
        <v>0</v>
      </c>
      <c r="N153" s="117">
        <f t="shared" si="20"/>
        <v>0</v>
      </c>
      <c r="O153" s="96"/>
      <c r="P153" s="96"/>
      <c r="Q153" s="96"/>
      <c r="R153" s="96"/>
      <c r="S153" s="96"/>
    </row>
    <row r="154" spans="1:20" s="101" customFormat="1">
      <c r="A154" s="110">
        <f t="shared" si="15"/>
        <v>0</v>
      </c>
      <c r="B154" s="39" t="str">
        <f t="shared" si="21"/>
        <v/>
      </c>
      <c r="C154" s="40"/>
      <c r="D154" s="40"/>
      <c r="E154" s="40"/>
      <c r="F154" s="40"/>
      <c r="G154" s="96"/>
      <c r="H154" s="111">
        <v>149</v>
      </c>
      <c r="I154" s="112" t="str">
        <f t="shared" si="16"/>
        <v/>
      </c>
      <c r="J154" s="111">
        <f t="shared" si="17"/>
        <v>-3</v>
      </c>
      <c r="K154" s="111">
        <f t="shared" si="18"/>
        <v>-30</v>
      </c>
      <c r="L154" s="111"/>
      <c r="M154" s="113">
        <f t="shared" si="19"/>
        <v>0</v>
      </c>
      <c r="N154" s="113">
        <f t="shared" si="20"/>
        <v>0</v>
      </c>
      <c r="O154" s="96"/>
      <c r="P154" s="96"/>
      <c r="Q154" s="96"/>
      <c r="R154" s="96"/>
      <c r="S154" s="125"/>
      <c r="T154" s="126"/>
    </row>
    <row r="155" spans="1:20" s="101" customFormat="1">
      <c r="A155" s="114">
        <f t="shared" si="15"/>
        <v>0</v>
      </c>
      <c r="B155" s="45" t="str">
        <f t="shared" si="21"/>
        <v/>
      </c>
      <c r="C155" s="46"/>
      <c r="D155" s="46"/>
      <c r="E155" s="46"/>
      <c r="F155" s="46"/>
      <c r="G155" s="96"/>
      <c r="H155" s="115">
        <v>150</v>
      </c>
      <c r="I155" s="116" t="str">
        <f t="shared" si="16"/>
        <v/>
      </c>
      <c r="J155" s="115">
        <f t="shared" si="17"/>
        <v>-3</v>
      </c>
      <c r="K155" s="115">
        <f t="shared" si="18"/>
        <v>-30</v>
      </c>
      <c r="L155" s="115"/>
      <c r="M155" s="117">
        <f t="shared" si="19"/>
        <v>0</v>
      </c>
      <c r="N155" s="117">
        <f t="shared" si="20"/>
        <v>0</v>
      </c>
      <c r="O155" s="96"/>
      <c r="P155" s="96"/>
      <c r="Q155" s="96"/>
      <c r="R155" s="96"/>
      <c r="S155" s="96"/>
    </row>
    <row r="156" spans="1:20" s="101" customFormat="1">
      <c r="A156" s="110">
        <f t="shared" si="15"/>
        <v>0</v>
      </c>
      <c r="B156" s="39" t="str">
        <f t="shared" si="21"/>
        <v/>
      </c>
      <c r="C156" s="40"/>
      <c r="D156" s="40"/>
      <c r="E156" s="40"/>
      <c r="F156" s="40"/>
      <c r="G156" s="96"/>
      <c r="H156" s="111">
        <v>151</v>
      </c>
      <c r="I156" s="112" t="str">
        <f t="shared" si="16"/>
        <v/>
      </c>
      <c r="J156" s="111">
        <f t="shared" si="17"/>
        <v>-3</v>
      </c>
      <c r="K156" s="111">
        <f t="shared" si="18"/>
        <v>-30</v>
      </c>
      <c r="L156" s="111"/>
      <c r="M156" s="113">
        <f t="shared" si="19"/>
        <v>0</v>
      </c>
      <c r="N156" s="113">
        <f t="shared" si="20"/>
        <v>0</v>
      </c>
      <c r="O156" s="96"/>
      <c r="P156" s="96"/>
      <c r="Q156" s="96"/>
      <c r="R156" s="96"/>
      <c r="S156" s="125"/>
      <c r="T156" s="126"/>
    </row>
    <row r="157" spans="1:20" s="101" customFormat="1">
      <c r="A157" s="114">
        <f t="shared" si="15"/>
        <v>0</v>
      </c>
      <c r="B157" s="45" t="str">
        <f t="shared" si="21"/>
        <v/>
      </c>
      <c r="C157" s="46"/>
      <c r="D157" s="46"/>
      <c r="E157" s="46"/>
      <c r="F157" s="46"/>
      <c r="G157" s="96"/>
      <c r="H157" s="115">
        <v>152</v>
      </c>
      <c r="I157" s="116" t="str">
        <f t="shared" si="16"/>
        <v/>
      </c>
      <c r="J157" s="115">
        <f t="shared" si="17"/>
        <v>-3</v>
      </c>
      <c r="K157" s="115">
        <f t="shared" si="18"/>
        <v>-30</v>
      </c>
      <c r="L157" s="115"/>
      <c r="M157" s="117">
        <f t="shared" si="19"/>
        <v>0</v>
      </c>
      <c r="N157" s="117">
        <f t="shared" si="20"/>
        <v>0</v>
      </c>
      <c r="O157" s="96"/>
      <c r="P157" s="96"/>
      <c r="Q157" s="96"/>
      <c r="R157" s="96"/>
      <c r="S157" s="96"/>
    </row>
    <row r="158" spans="1:20" s="101" customFormat="1">
      <c r="A158" s="110">
        <f t="shared" si="15"/>
        <v>0</v>
      </c>
      <c r="B158" s="39" t="str">
        <f t="shared" si="21"/>
        <v/>
      </c>
      <c r="C158" s="40"/>
      <c r="D158" s="40"/>
      <c r="E158" s="40"/>
      <c r="F158" s="40"/>
      <c r="G158" s="96"/>
      <c r="H158" s="111">
        <v>153</v>
      </c>
      <c r="I158" s="112" t="str">
        <f t="shared" si="16"/>
        <v/>
      </c>
      <c r="J158" s="111">
        <f t="shared" si="17"/>
        <v>-3</v>
      </c>
      <c r="K158" s="111">
        <f t="shared" si="18"/>
        <v>-30</v>
      </c>
      <c r="L158" s="111"/>
      <c r="M158" s="113">
        <f t="shared" si="19"/>
        <v>0</v>
      </c>
      <c r="N158" s="113">
        <f t="shared" si="20"/>
        <v>0</v>
      </c>
      <c r="O158" s="96"/>
      <c r="P158" s="96"/>
      <c r="Q158" s="96"/>
      <c r="R158" s="96"/>
      <c r="S158" s="125"/>
      <c r="T158" s="126"/>
    </row>
    <row r="159" spans="1:20" s="101" customFormat="1">
      <c r="A159" s="114">
        <f t="shared" si="15"/>
        <v>0</v>
      </c>
      <c r="B159" s="45" t="str">
        <f t="shared" si="21"/>
        <v/>
      </c>
      <c r="C159" s="46"/>
      <c r="D159" s="46"/>
      <c r="E159" s="46"/>
      <c r="F159" s="46"/>
      <c r="G159" s="96"/>
      <c r="H159" s="115">
        <v>154</v>
      </c>
      <c r="I159" s="116" t="str">
        <f t="shared" si="16"/>
        <v/>
      </c>
      <c r="J159" s="115">
        <f t="shared" si="17"/>
        <v>-3</v>
      </c>
      <c r="K159" s="115">
        <f t="shared" si="18"/>
        <v>-30</v>
      </c>
      <c r="L159" s="115"/>
      <c r="M159" s="117">
        <f t="shared" si="19"/>
        <v>0</v>
      </c>
      <c r="N159" s="117">
        <f t="shared" si="20"/>
        <v>0</v>
      </c>
      <c r="O159" s="96"/>
      <c r="P159" s="96"/>
      <c r="Q159" s="96"/>
      <c r="R159" s="96"/>
      <c r="S159" s="96"/>
    </row>
    <row r="160" spans="1:20" s="101" customFormat="1">
      <c r="A160" s="110">
        <f t="shared" si="15"/>
        <v>0</v>
      </c>
      <c r="B160" s="39" t="str">
        <f t="shared" si="21"/>
        <v/>
      </c>
      <c r="C160" s="40"/>
      <c r="D160" s="40"/>
      <c r="E160" s="40"/>
      <c r="F160" s="40"/>
      <c r="G160" s="96"/>
      <c r="H160" s="111">
        <v>155</v>
      </c>
      <c r="I160" s="112" t="str">
        <f t="shared" si="16"/>
        <v/>
      </c>
      <c r="J160" s="111">
        <f t="shared" si="17"/>
        <v>-3</v>
      </c>
      <c r="K160" s="111">
        <f t="shared" si="18"/>
        <v>-30</v>
      </c>
      <c r="L160" s="111"/>
      <c r="M160" s="113">
        <f t="shared" si="19"/>
        <v>0</v>
      </c>
      <c r="N160" s="113">
        <f t="shared" si="20"/>
        <v>0</v>
      </c>
      <c r="O160" s="96"/>
      <c r="P160" s="96"/>
      <c r="Q160" s="96"/>
      <c r="R160" s="96"/>
      <c r="S160" s="125"/>
      <c r="T160" s="126"/>
    </row>
    <row r="161" spans="1:20" s="101" customFormat="1">
      <c r="A161" s="114">
        <f t="shared" si="15"/>
        <v>0</v>
      </c>
      <c r="B161" s="45" t="str">
        <f t="shared" si="21"/>
        <v/>
      </c>
      <c r="C161" s="46"/>
      <c r="D161" s="46"/>
      <c r="E161" s="46"/>
      <c r="F161" s="46"/>
      <c r="G161" s="96"/>
      <c r="H161" s="115">
        <v>156</v>
      </c>
      <c r="I161" s="116" t="str">
        <f t="shared" si="16"/>
        <v/>
      </c>
      <c r="J161" s="115">
        <f t="shared" si="17"/>
        <v>-3</v>
      </c>
      <c r="K161" s="115">
        <f t="shared" si="18"/>
        <v>-30</v>
      </c>
      <c r="L161" s="115"/>
      <c r="M161" s="117">
        <f t="shared" si="19"/>
        <v>0</v>
      </c>
      <c r="N161" s="117">
        <f t="shared" si="20"/>
        <v>0</v>
      </c>
      <c r="O161" s="96"/>
      <c r="P161" s="96"/>
      <c r="Q161" s="96"/>
      <c r="R161" s="96"/>
      <c r="S161" s="96"/>
    </row>
    <row r="162" spans="1:20" s="101" customFormat="1">
      <c r="A162" s="110">
        <f t="shared" si="15"/>
        <v>0</v>
      </c>
      <c r="B162" s="39" t="str">
        <f t="shared" si="21"/>
        <v/>
      </c>
      <c r="C162" s="40"/>
      <c r="D162" s="40"/>
      <c r="E162" s="40"/>
      <c r="F162" s="40"/>
      <c r="G162" s="96"/>
      <c r="H162" s="111">
        <v>157</v>
      </c>
      <c r="I162" s="112" t="str">
        <f t="shared" si="16"/>
        <v/>
      </c>
      <c r="J162" s="111">
        <f t="shared" si="17"/>
        <v>-3</v>
      </c>
      <c r="K162" s="111">
        <f t="shared" si="18"/>
        <v>-30</v>
      </c>
      <c r="L162" s="111"/>
      <c r="M162" s="113">
        <f t="shared" si="19"/>
        <v>0</v>
      </c>
      <c r="N162" s="113">
        <f t="shared" si="20"/>
        <v>0</v>
      </c>
      <c r="O162" s="96"/>
      <c r="P162" s="96"/>
      <c r="Q162" s="96"/>
      <c r="R162" s="96"/>
      <c r="S162" s="125"/>
      <c r="T162" s="126"/>
    </row>
    <row r="163" spans="1:20" s="101" customFormat="1">
      <c r="A163" s="114">
        <f t="shared" si="15"/>
        <v>0</v>
      </c>
      <c r="B163" s="45" t="str">
        <f t="shared" si="21"/>
        <v/>
      </c>
      <c r="C163" s="46"/>
      <c r="D163" s="46"/>
      <c r="E163" s="46"/>
      <c r="F163" s="46"/>
      <c r="G163" s="96"/>
      <c r="H163" s="115">
        <v>158</v>
      </c>
      <c r="I163" s="116" t="str">
        <f t="shared" si="16"/>
        <v/>
      </c>
      <c r="J163" s="115">
        <f t="shared" si="17"/>
        <v>-3</v>
      </c>
      <c r="K163" s="115">
        <f t="shared" si="18"/>
        <v>-30</v>
      </c>
      <c r="L163" s="115"/>
      <c r="M163" s="117">
        <f t="shared" si="19"/>
        <v>0</v>
      </c>
      <c r="N163" s="117">
        <f t="shared" si="20"/>
        <v>0</v>
      </c>
      <c r="O163" s="96"/>
      <c r="P163" s="96"/>
      <c r="Q163" s="96"/>
      <c r="R163" s="96"/>
      <c r="S163" s="96"/>
    </row>
    <row r="164" spans="1:20" s="101" customFormat="1">
      <c r="A164" s="110">
        <f t="shared" si="15"/>
        <v>0</v>
      </c>
      <c r="B164" s="39" t="str">
        <f t="shared" si="21"/>
        <v/>
      </c>
      <c r="C164" s="40"/>
      <c r="D164" s="40"/>
      <c r="E164" s="40"/>
      <c r="F164" s="40"/>
      <c r="G164" s="96"/>
      <c r="H164" s="111">
        <v>159</v>
      </c>
      <c r="I164" s="112" t="str">
        <f t="shared" si="16"/>
        <v/>
      </c>
      <c r="J164" s="111">
        <f t="shared" si="17"/>
        <v>-3</v>
      </c>
      <c r="K164" s="111">
        <f t="shared" si="18"/>
        <v>-30</v>
      </c>
      <c r="L164" s="111"/>
      <c r="M164" s="113">
        <f t="shared" si="19"/>
        <v>0</v>
      </c>
      <c r="N164" s="113">
        <f t="shared" si="20"/>
        <v>0</v>
      </c>
      <c r="O164" s="96"/>
      <c r="P164" s="96"/>
      <c r="Q164" s="96"/>
      <c r="R164" s="96"/>
      <c r="S164" s="125"/>
      <c r="T164" s="126"/>
    </row>
    <row r="165" spans="1:20" s="101" customFormat="1">
      <c r="A165" s="114">
        <f t="shared" si="15"/>
        <v>0</v>
      </c>
      <c r="B165" s="45" t="str">
        <f t="shared" si="21"/>
        <v/>
      </c>
      <c r="C165" s="46"/>
      <c r="D165" s="46"/>
      <c r="E165" s="46"/>
      <c r="F165" s="46"/>
      <c r="G165" s="96"/>
      <c r="H165" s="115">
        <v>160</v>
      </c>
      <c r="I165" s="116" t="str">
        <f t="shared" si="16"/>
        <v/>
      </c>
      <c r="J165" s="115">
        <f t="shared" si="17"/>
        <v>-3</v>
      </c>
      <c r="K165" s="115">
        <f t="shared" si="18"/>
        <v>-30</v>
      </c>
      <c r="L165" s="115"/>
      <c r="M165" s="117">
        <f t="shared" si="19"/>
        <v>0</v>
      </c>
      <c r="N165" s="117">
        <f t="shared" si="20"/>
        <v>0</v>
      </c>
      <c r="O165" s="96"/>
      <c r="P165" s="96"/>
      <c r="Q165" s="96"/>
      <c r="R165" s="96"/>
      <c r="S165" s="96"/>
    </row>
    <row r="166" spans="1:20" s="101" customFormat="1">
      <c r="A166" s="110">
        <f t="shared" si="15"/>
        <v>0</v>
      </c>
      <c r="B166" s="39" t="str">
        <f t="shared" si="21"/>
        <v/>
      </c>
      <c r="C166" s="40"/>
      <c r="D166" s="40"/>
      <c r="E166" s="40"/>
      <c r="F166" s="40"/>
      <c r="G166" s="96"/>
      <c r="H166" s="111">
        <v>161</v>
      </c>
      <c r="I166" s="112" t="str">
        <f t="shared" si="16"/>
        <v/>
      </c>
      <c r="J166" s="111">
        <f t="shared" si="17"/>
        <v>-3</v>
      </c>
      <c r="K166" s="111">
        <f t="shared" si="18"/>
        <v>-30</v>
      </c>
      <c r="L166" s="111"/>
      <c r="M166" s="113">
        <f t="shared" si="19"/>
        <v>0</v>
      </c>
      <c r="N166" s="113">
        <f t="shared" si="20"/>
        <v>0</v>
      </c>
      <c r="O166" s="96"/>
      <c r="P166" s="96"/>
      <c r="Q166" s="96"/>
      <c r="R166" s="96"/>
      <c r="S166" s="125"/>
      <c r="T166" s="126"/>
    </row>
    <row r="167" spans="1:20" s="101" customFormat="1">
      <c r="A167" s="114">
        <f t="shared" si="15"/>
        <v>0</v>
      </c>
      <c r="B167" s="45" t="str">
        <f t="shared" si="21"/>
        <v/>
      </c>
      <c r="C167" s="46"/>
      <c r="D167" s="46"/>
      <c r="E167" s="46"/>
      <c r="F167" s="46"/>
      <c r="G167" s="96"/>
      <c r="H167" s="115">
        <v>162</v>
      </c>
      <c r="I167" s="116" t="str">
        <f t="shared" si="16"/>
        <v/>
      </c>
      <c r="J167" s="115">
        <f t="shared" si="17"/>
        <v>-3</v>
      </c>
      <c r="K167" s="115">
        <f t="shared" si="18"/>
        <v>-30</v>
      </c>
      <c r="L167" s="115"/>
      <c r="M167" s="117">
        <f t="shared" si="19"/>
        <v>0</v>
      </c>
      <c r="N167" s="117">
        <f t="shared" si="20"/>
        <v>0</v>
      </c>
      <c r="O167" s="96"/>
      <c r="P167" s="96"/>
      <c r="Q167" s="96"/>
      <c r="R167" s="96"/>
      <c r="S167" s="96"/>
    </row>
    <row r="168" spans="1:20" s="101" customFormat="1">
      <c r="A168" s="110">
        <f t="shared" si="15"/>
        <v>0</v>
      </c>
      <c r="B168" s="39" t="str">
        <f t="shared" si="21"/>
        <v/>
      </c>
      <c r="C168" s="40"/>
      <c r="D168" s="40"/>
      <c r="E168" s="40"/>
      <c r="F168" s="40"/>
      <c r="G168" s="96"/>
      <c r="H168" s="111">
        <v>163</v>
      </c>
      <c r="I168" s="112" t="str">
        <f t="shared" si="16"/>
        <v/>
      </c>
      <c r="J168" s="111">
        <f t="shared" si="17"/>
        <v>-3</v>
      </c>
      <c r="K168" s="111">
        <f t="shared" si="18"/>
        <v>-30</v>
      </c>
      <c r="L168" s="111"/>
      <c r="M168" s="113">
        <f t="shared" si="19"/>
        <v>0</v>
      </c>
      <c r="N168" s="113">
        <f t="shared" si="20"/>
        <v>0</v>
      </c>
      <c r="O168" s="96"/>
      <c r="P168" s="96"/>
      <c r="Q168" s="96"/>
      <c r="R168" s="96"/>
      <c r="S168" s="125"/>
      <c r="T168" s="126"/>
    </row>
    <row r="169" spans="1:20" s="101" customFormat="1">
      <c r="A169" s="114">
        <f t="shared" si="15"/>
        <v>0</v>
      </c>
      <c r="B169" s="45" t="str">
        <f t="shared" si="21"/>
        <v/>
      </c>
      <c r="C169" s="46"/>
      <c r="D169" s="46"/>
      <c r="E169" s="46"/>
      <c r="F169" s="46"/>
      <c r="G169" s="96"/>
      <c r="H169" s="115">
        <v>164</v>
      </c>
      <c r="I169" s="116" t="str">
        <f t="shared" si="16"/>
        <v/>
      </c>
      <c r="J169" s="115">
        <f t="shared" si="17"/>
        <v>-3</v>
      </c>
      <c r="K169" s="115">
        <f t="shared" si="18"/>
        <v>-30</v>
      </c>
      <c r="L169" s="115"/>
      <c r="M169" s="117">
        <f t="shared" si="19"/>
        <v>0</v>
      </c>
      <c r="N169" s="117">
        <f t="shared" si="20"/>
        <v>0</v>
      </c>
      <c r="O169" s="96"/>
      <c r="P169" s="96"/>
      <c r="Q169" s="96"/>
      <c r="R169" s="96"/>
      <c r="S169" s="96"/>
    </row>
    <row r="170" spans="1:20" s="101" customFormat="1">
      <c r="A170" s="110">
        <f t="shared" si="15"/>
        <v>0</v>
      </c>
      <c r="B170" s="39" t="str">
        <f t="shared" si="21"/>
        <v/>
      </c>
      <c r="C170" s="40"/>
      <c r="D170" s="40"/>
      <c r="E170" s="40"/>
      <c r="F170" s="40"/>
      <c r="G170" s="96"/>
      <c r="H170" s="111">
        <v>165</v>
      </c>
      <c r="I170" s="112" t="str">
        <f t="shared" si="16"/>
        <v/>
      </c>
      <c r="J170" s="111">
        <f t="shared" si="17"/>
        <v>-3</v>
      </c>
      <c r="K170" s="111">
        <f t="shared" si="18"/>
        <v>-30</v>
      </c>
      <c r="L170" s="111"/>
      <c r="M170" s="113">
        <f t="shared" si="19"/>
        <v>0</v>
      </c>
      <c r="N170" s="113">
        <f t="shared" si="20"/>
        <v>0</v>
      </c>
      <c r="O170" s="96"/>
      <c r="P170" s="96"/>
      <c r="Q170" s="96"/>
      <c r="R170" s="96"/>
      <c r="S170" s="125"/>
      <c r="T170" s="126"/>
    </row>
    <row r="171" spans="1:20" s="101" customFormat="1">
      <c r="A171" s="114">
        <f t="shared" si="15"/>
        <v>0</v>
      </c>
      <c r="B171" s="45" t="str">
        <f t="shared" si="21"/>
        <v/>
      </c>
      <c r="C171" s="46"/>
      <c r="D171" s="46"/>
      <c r="E171" s="46"/>
      <c r="F171" s="46"/>
      <c r="G171" s="96"/>
      <c r="H171" s="115">
        <v>166</v>
      </c>
      <c r="I171" s="116" t="str">
        <f t="shared" si="16"/>
        <v/>
      </c>
      <c r="J171" s="115">
        <f t="shared" si="17"/>
        <v>-3</v>
      </c>
      <c r="K171" s="115">
        <f t="shared" si="18"/>
        <v>-30</v>
      </c>
      <c r="L171" s="115"/>
      <c r="M171" s="117">
        <f t="shared" si="19"/>
        <v>0</v>
      </c>
      <c r="N171" s="117">
        <f t="shared" si="20"/>
        <v>0</v>
      </c>
      <c r="O171" s="96"/>
      <c r="P171" s="96"/>
      <c r="Q171" s="96"/>
      <c r="R171" s="96"/>
      <c r="S171" s="96"/>
    </row>
    <row r="172" spans="1:20" s="101" customFormat="1">
      <c r="A172" s="110">
        <f t="shared" si="15"/>
        <v>0</v>
      </c>
      <c r="B172" s="39" t="str">
        <f t="shared" si="21"/>
        <v/>
      </c>
      <c r="C172" s="40"/>
      <c r="D172" s="40"/>
      <c r="E172" s="40"/>
      <c r="F172" s="40"/>
      <c r="G172" s="96"/>
      <c r="H172" s="111">
        <v>167</v>
      </c>
      <c r="I172" s="112" t="str">
        <f t="shared" si="16"/>
        <v/>
      </c>
      <c r="J172" s="111">
        <f t="shared" si="17"/>
        <v>-3</v>
      </c>
      <c r="K172" s="111">
        <f t="shared" si="18"/>
        <v>-30</v>
      </c>
      <c r="L172" s="111"/>
      <c r="M172" s="113">
        <f t="shared" si="19"/>
        <v>0</v>
      </c>
      <c r="N172" s="113">
        <f t="shared" si="20"/>
        <v>0</v>
      </c>
      <c r="O172" s="96"/>
      <c r="P172" s="96"/>
      <c r="Q172" s="96"/>
      <c r="R172" s="96"/>
      <c r="S172" s="125"/>
      <c r="T172" s="126"/>
    </row>
    <row r="173" spans="1:20" s="101" customFormat="1">
      <c r="A173" s="114">
        <f t="shared" si="15"/>
        <v>0</v>
      </c>
      <c r="B173" s="45" t="str">
        <f t="shared" si="21"/>
        <v/>
      </c>
      <c r="C173" s="46"/>
      <c r="D173" s="46"/>
      <c r="E173" s="46"/>
      <c r="F173" s="46"/>
      <c r="G173" s="96"/>
      <c r="H173" s="115">
        <v>168</v>
      </c>
      <c r="I173" s="116" t="str">
        <f t="shared" si="16"/>
        <v/>
      </c>
      <c r="J173" s="115">
        <f t="shared" si="17"/>
        <v>-3</v>
      </c>
      <c r="K173" s="115">
        <f t="shared" si="18"/>
        <v>-30</v>
      </c>
      <c r="L173" s="115"/>
      <c r="M173" s="117">
        <f t="shared" si="19"/>
        <v>0</v>
      </c>
      <c r="N173" s="117">
        <f t="shared" si="20"/>
        <v>0</v>
      </c>
      <c r="O173" s="96"/>
      <c r="P173" s="96"/>
      <c r="Q173" s="96"/>
      <c r="R173" s="96"/>
      <c r="S173" s="96"/>
    </row>
    <row r="174" spans="1:20" s="101" customFormat="1">
      <c r="A174" s="110">
        <f t="shared" si="15"/>
        <v>0</v>
      </c>
      <c r="B174" s="39" t="str">
        <f t="shared" si="21"/>
        <v/>
      </c>
      <c r="C174" s="40"/>
      <c r="D174" s="40"/>
      <c r="E174" s="40"/>
      <c r="F174" s="40"/>
      <c r="G174" s="96"/>
      <c r="H174" s="111">
        <v>169</v>
      </c>
      <c r="I174" s="112" t="str">
        <f t="shared" si="16"/>
        <v/>
      </c>
      <c r="J174" s="111">
        <f t="shared" si="17"/>
        <v>-3</v>
      </c>
      <c r="K174" s="111">
        <f t="shared" si="18"/>
        <v>-30</v>
      </c>
      <c r="L174" s="111"/>
      <c r="M174" s="113">
        <f t="shared" si="19"/>
        <v>0</v>
      </c>
      <c r="N174" s="113">
        <f t="shared" si="20"/>
        <v>0</v>
      </c>
      <c r="O174" s="96"/>
      <c r="P174" s="96"/>
      <c r="Q174" s="96"/>
      <c r="R174" s="96"/>
      <c r="S174" s="125"/>
      <c r="T174" s="126"/>
    </row>
    <row r="175" spans="1:20" s="101" customFormat="1">
      <c r="A175" s="114">
        <f t="shared" si="15"/>
        <v>0</v>
      </c>
      <c r="B175" s="45" t="str">
        <f t="shared" si="21"/>
        <v/>
      </c>
      <c r="C175" s="46"/>
      <c r="D175" s="46"/>
      <c r="E175" s="46"/>
      <c r="F175" s="46"/>
      <c r="G175" s="96"/>
      <c r="H175" s="115">
        <v>170</v>
      </c>
      <c r="I175" s="116" t="str">
        <f t="shared" si="16"/>
        <v/>
      </c>
      <c r="J175" s="115">
        <f t="shared" si="17"/>
        <v>-3</v>
      </c>
      <c r="K175" s="115">
        <f t="shared" si="18"/>
        <v>-30</v>
      </c>
      <c r="L175" s="115"/>
      <c r="M175" s="117">
        <f t="shared" si="19"/>
        <v>0</v>
      </c>
      <c r="N175" s="117">
        <f t="shared" si="20"/>
        <v>0</v>
      </c>
      <c r="O175" s="96"/>
      <c r="P175" s="96"/>
      <c r="Q175" s="96"/>
      <c r="R175" s="96"/>
      <c r="S175" s="96"/>
    </row>
    <row r="176" spans="1:20" s="101" customFormat="1">
      <c r="A176" s="110">
        <f t="shared" si="15"/>
        <v>0</v>
      </c>
      <c r="B176" s="39" t="str">
        <f t="shared" si="21"/>
        <v/>
      </c>
      <c r="C176" s="40"/>
      <c r="D176" s="40"/>
      <c r="E176" s="40"/>
      <c r="F176" s="40"/>
      <c r="G176" s="96"/>
      <c r="H176" s="111">
        <v>171</v>
      </c>
      <c r="I176" s="112" t="str">
        <f t="shared" si="16"/>
        <v/>
      </c>
      <c r="J176" s="111">
        <f t="shared" si="17"/>
        <v>-3</v>
      </c>
      <c r="K176" s="111">
        <f t="shared" si="18"/>
        <v>-30</v>
      </c>
      <c r="L176" s="111"/>
      <c r="M176" s="113">
        <f t="shared" si="19"/>
        <v>0</v>
      </c>
      <c r="N176" s="113">
        <f t="shared" si="20"/>
        <v>0</v>
      </c>
      <c r="O176" s="96"/>
      <c r="P176" s="96"/>
      <c r="Q176" s="96"/>
      <c r="R176" s="96"/>
      <c r="S176" s="125"/>
      <c r="T176" s="126"/>
    </row>
    <row r="177" spans="1:20" s="101" customFormat="1">
      <c r="A177" s="114">
        <f t="shared" si="15"/>
        <v>0</v>
      </c>
      <c r="B177" s="45" t="str">
        <f t="shared" si="21"/>
        <v/>
      </c>
      <c r="C177" s="46"/>
      <c r="D177" s="46"/>
      <c r="E177" s="46"/>
      <c r="F177" s="46"/>
      <c r="G177" s="96"/>
      <c r="H177" s="115">
        <v>172</v>
      </c>
      <c r="I177" s="116" t="str">
        <f t="shared" si="16"/>
        <v/>
      </c>
      <c r="J177" s="115">
        <f t="shared" si="17"/>
        <v>-3</v>
      </c>
      <c r="K177" s="115">
        <f t="shared" si="18"/>
        <v>-30</v>
      </c>
      <c r="L177" s="115"/>
      <c r="M177" s="117">
        <f t="shared" si="19"/>
        <v>0</v>
      </c>
      <c r="N177" s="117">
        <f t="shared" si="20"/>
        <v>0</v>
      </c>
      <c r="O177" s="96"/>
      <c r="P177" s="96"/>
      <c r="Q177" s="96"/>
      <c r="R177" s="96"/>
      <c r="S177" s="96"/>
    </row>
    <row r="178" spans="1:20" s="101" customFormat="1">
      <c r="A178" s="110">
        <f t="shared" si="15"/>
        <v>0</v>
      </c>
      <c r="B178" s="39" t="str">
        <f t="shared" si="21"/>
        <v/>
      </c>
      <c r="C178" s="40"/>
      <c r="D178" s="40"/>
      <c r="E178" s="40"/>
      <c r="F178" s="40"/>
      <c r="G178" s="96"/>
      <c r="H178" s="111">
        <v>173</v>
      </c>
      <c r="I178" s="112" t="str">
        <f t="shared" si="16"/>
        <v/>
      </c>
      <c r="J178" s="111">
        <f t="shared" si="17"/>
        <v>-3</v>
      </c>
      <c r="K178" s="111">
        <f t="shared" si="18"/>
        <v>-30</v>
      </c>
      <c r="L178" s="111"/>
      <c r="M178" s="113">
        <f t="shared" si="19"/>
        <v>0</v>
      </c>
      <c r="N178" s="113">
        <f t="shared" si="20"/>
        <v>0</v>
      </c>
      <c r="O178" s="96"/>
      <c r="P178" s="96"/>
      <c r="Q178" s="96"/>
      <c r="R178" s="96"/>
      <c r="S178" s="125"/>
      <c r="T178" s="126"/>
    </row>
    <row r="179" spans="1:20" s="101" customFormat="1">
      <c r="A179" s="114">
        <f t="shared" si="15"/>
        <v>0</v>
      </c>
      <c r="B179" s="45" t="str">
        <f t="shared" si="21"/>
        <v/>
      </c>
      <c r="C179" s="46"/>
      <c r="D179" s="46"/>
      <c r="E179" s="46"/>
      <c r="F179" s="46"/>
      <c r="G179" s="96"/>
      <c r="H179" s="115">
        <v>174</v>
      </c>
      <c r="I179" s="116" t="str">
        <f t="shared" si="16"/>
        <v/>
      </c>
      <c r="J179" s="115">
        <f t="shared" si="17"/>
        <v>-3</v>
      </c>
      <c r="K179" s="115">
        <f t="shared" si="18"/>
        <v>-30</v>
      </c>
      <c r="L179" s="115"/>
      <c r="M179" s="117">
        <f t="shared" si="19"/>
        <v>0</v>
      </c>
      <c r="N179" s="117">
        <f t="shared" si="20"/>
        <v>0</v>
      </c>
      <c r="O179" s="96"/>
      <c r="P179" s="96"/>
      <c r="Q179" s="96"/>
      <c r="R179" s="96"/>
      <c r="S179" s="96"/>
    </row>
    <row r="180" spans="1:20" s="101" customFormat="1">
      <c r="A180" s="110">
        <f t="shared" si="15"/>
        <v>0</v>
      </c>
      <c r="B180" s="39" t="str">
        <f t="shared" si="21"/>
        <v/>
      </c>
      <c r="C180" s="40"/>
      <c r="D180" s="40"/>
      <c r="E180" s="40"/>
      <c r="F180" s="40"/>
      <c r="G180" s="96"/>
      <c r="H180" s="111">
        <v>175</v>
      </c>
      <c r="I180" s="112" t="str">
        <f t="shared" si="16"/>
        <v/>
      </c>
      <c r="J180" s="111">
        <f t="shared" si="17"/>
        <v>-3</v>
      </c>
      <c r="K180" s="111">
        <f t="shared" si="18"/>
        <v>-30</v>
      </c>
      <c r="L180" s="111"/>
      <c r="M180" s="113">
        <f t="shared" si="19"/>
        <v>0</v>
      </c>
      <c r="N180" s="113">
        <f t="shared" si="20"/>
        <v>0</v>
      </c>
      <c r="O180" s="96"/>
      <c r="P180" s="96"/>
      <c r="Q180" s="96"/>
      <c r="R180" s="96"/>
      <c r="S180" s="125"/>
      <c r="T180" s="126"/>
    </row>
    <row r="181" spans="1:20" s="101" customFormat="1">
      <c r="A181" s="114">
        <f t="shared" si="15"/>
        <v>0</v>
      </c>
      <c r="B181" s="45" t="str">
        <f t="shared" si="21"/>
        <v/>
      </c>
      <c r="C181" s="46"/>
      <c r="D181" s="46"/>
      <c r="E181" s="46"/>
      <c r="F181" s="46"/>
      <c r="G181" s="96"/>
      <c r="H181" s="115">
        <v>176</v>
      </c>
      <c r="I181" s="116" t="str">
        <f t="shared" si="16"/>
        <v/>
      </c>
      <c r="J181" s="115">
        <f t="shared" si="17"/>
        <v>-3</v>
      </c>
      <c r="K181" s="115">
        <f t="shared" si="18"/>
        <v>-30</v>
      </c>
      <c r="L181" s="115"/>
      <c r="M181" s="117">
        <f t="shared" si="19"/>
        <v>0</v>
      </c>
      <c r="N181" s="117">
        <f t="shared" si="20"/>
        <v>0</v>
      </c>
      <c r="O181" s="96"/>
      <c r="P181" s="96"/>
      <c r="Q181" s="96"/>
      <c r="R181" s="96"/>
      <c r="S181" s="96"/>
    </row>
    <row r="182" spans="1:20" s="101" customFormat="1">
      <c r="A182" s="110">
        <f t="shared" si="15"/>
        <v>0</v>
      </c>
      <c r="B182" s="39" t="str">
        <f t="shared" si="21"/>
        <v/>
      </c>
      <c r="C182" s="40"/>
      <c r="D182" s="40"/>
      <c r="E182" s="40"/>
      <c r="F182" s="40"/>
      <c r="G182" s="96"/>
      <c r="H182" s="111">
        <v>177</v>
      </c>
      <c r="I182" s="112" t="str">
        <f t="shared" si="16"/>
        <v/>
      </c>
      <c r="J182" s="111">
        <f t="shared" si="17"/>
        <v>-3</v>
      </c>
      <c r="K182" s="111">
        <f t="shared" si="18"/>
        <v>-30</v>
      </c>
      <c r="L182" s="111"/>
      <c r="M182" s="113">
        <f t="shared" si="19"/>
        <v>0</v>
      </c>
      <c r="N182" s="113">
        <f t="shared" si="20"/>
        <v>0</v>
      </c>
      <c r="O182" s="96"/>
      <c r="P182" s="96"/>
      <c r="Q182" s="96"/>
      <c r="R182" s="96"/>
      <c r="S182" s="125"/>
      <c r="T182" s="126"/>
    </row>
    <row r="183" spans="1:20" s="101" customFormat="1">
      <c r="A183" s="114">
        <f t="shared" si="15"/>
        <v>0</v>
      </c>
      <c r="B183" s="45" t="str">
        <f t="shared" si="21"/>
        <v/>
      </c>
      <c r="C183" s="46"/>
      <c r="D183" s="46"/>
      <c r="E183" s="46"/>
      <c r="F183" s="46"/>
      <c r="G183" s="96"/>
      <c r="H183" s="115">
        <v>178</v>
      </c>
      <c r="I183" s="116" t="str">
        <f t="shared" si="16"/>
        <v/>
      </c>
      <c r="J183" s="115">
        <f t="shared" si="17"/>
        <v>-3</v>
      </c>
      <c r="K183" s="115">
        <f t="shared" si="18"/>
        <v>-30</v>
      </c>
      <c r="L183" s="115"/>
      <c r="M183" s="117">
        <f t="shared" si="19"/>
        <v>0</v>
      </c>
      <c r="N183" s="117">
        <f t="shared" si="20"/>
        <v>0</v>
      </c>
      <c r="O183" s="96"/>
      <c r="P183" s="96"/>
      <c r="Q183" s="96"/>
      <c r="R183" s="96"/>
      <c r="S183" s="96"/>
    </row>
    <row r="184" spans="1:20" s="101" customFormat="1">
      <c r="A184" s="110">
        <f t="shared" si="15"/>
        <v>0</v>
      </c>
      <c r="B184" s="39" t="str">
        <f t="shared" si="21"/>
        <v/>
      </c>
      <c r="C184" s="40"/>
      <c r="D184" s="40"/>
      <c r="E184" s="40"/>
      <c r="F184" s="40"/>
      <c r="G184" s="96"/>
      <c r="H184" s="111">
        <v>179</v>
      </c>
      <c r="I184" s="112" t="str">
        <f t="shared" si="16"/>
        <v/>
      </c>
      <c r="J184" s="111">
        <f t="shared" si="17"/>
        <v>-3</v>
      </c>
      <c r="K184" s="111">
        <f t="shared" si="18"/>
        <v>-30</v>
      </c>
      <c r="L184" s="111"/>
      <c r="M184" s="113">
        <f t="shared" si="19"/>
        <v>0</v>
      </c>
      <c r="N184" s="113">
        <f t="shared" si="20"/>
        <v>0</v>
      </c>
      <c r="O184" s="96"/>
      <c r="P184" s="96"/>
      <c r="Q184" s="96"/>
      <c r="R184" s="96"/>
      <c r="S184" s="125"/>
      <c r="T184" s="126"/>
    </row>
    <row r="185" spans="1:20" s="101" customFormat="1">
      <c r="A185" s="114">
        <f t="shared" si="15"/>
        <v>0</v>
      </c>
      <c r="B185" s="45" t="str">
        <f t="shared" si="21"/>
        <v/>
      </c>
      <c r="C185" s="46"/>
      <c r="D185" s="46"/>
      <c r="E185" s="46"/>
      <c r="F185" s="46"/>
      <c r="G185" s="96"/>
      <c r="H185" s="115">
        <v>180</v>
      </c>
      <c r="I185" s="116" t="str">
        <f t="shared" si="16"/>
        <v/>
      </c>
      <c r="J185" s="115">
        <f t="shared" si="17"/>
        <v>-3</v>
      </c>
      <c r="K185" s="115">
        <f t="shared" si="18"/>
        <v>-30</v>
      </c>
      <c r="L185" s="115"/>
      <c r="M185" s="117">
        <f t="shared" si="19"/>
        <v>0</v>
      </c>
      <c r="N185" s="117">
        <f t="shared" si="20"/>
        <v>0</v>
      </c>
      <c r="O185" s="96"/>
      <c r="P185" s="96"/>
      <c r="Q185" s="96"/>
      <c r="R185" s="96"/>
      <c r="S185" s="96"/>
    </row>
    <row r="186" spans="1:20" s="101" customFormat="1">
      <c r="A186" s="110">
        <f t="shared" si="15"/>
        <v>0</v>
      </c>
      <c r="B186" s="39" t="str">
        <f t="shared" si="21"/>
        <v/>
      </c>
      <c r="C186" s="40"/>
      <c r="D186" s="40"/>
      <c r="E186" s="40"/>
      <c r="F186" s="40"/>
      <c r="G186" s="96"/>
      <c r="H186" s="111">
        <v>181</v>
      </c>
      <c r="I186" s="112" t="str">
        <f t="shared" si="16"/>
        <v/>
      </c>
      <c r="J186" s="111">
        <f t="shared" si="17"/>
        <v>-3</v>
      </c>
      <c r="K186" s="111">
        <f t="shared" si="18"/>
        <v>-30</v>
      </c>
      <c r="L186" s="111"/>
      <c r="M186" s="113">
        <f t="shared" si="19"/>
        <v>0</v>
      </c>
      <c r="N186" s="113">
        <f t="shared" si="20"/>
        <v>0</v>
      </c>
      <c r="O186" s="96"/>
      <c r="P186" s="96"/>
      <c r="Q186" s="96"/>
      <c r="R186" s="96"/>
      <c r="S186" s="125"/>
      <c r="T186" s="126"/>
    </row>
    <row r="187" spans="1:20" s="101" customFormat="1">
      <c r="A187" s="114">
        <f t="shared" si="15"/>
        <v>0</v>
      </c>
      <c r="B187" s="45" t="str">
        <f t="shared" si="21"/>
        <v/>
      </c>
      <c r="C187" s="46"/>
      <c r="D187" s="46"/>
      <c r="E187" s="46"/>
      <c r="F187" s="46"/>
      <c r="G187" s="96"/>
      <c r="H187" s="115">
        <v>182</v>
      </c>
      <c r="I187" s="116" t="str">
        <f t="shared" si="16"/>
        <v/>
      </c>
      <c r="J187" s="115">
        <f t="shared" si="17"/>
        <v>-3</v>
      </c>
      <c r="K187" s="115">
        <f t="shared" si="18"/>
        <v>-30</v>
      </c>
      <c r="L187" s="115"/>
      <c r="M187" s="117">
        <f t="shared" si="19"/>
        <v>0</v>
      </c>
      <c r="N187" s="117">
        <f t="shared" si="20"/>
        <v>0</v>
      </c>
      <c r="O187" s="96"/>
      <c r="P187" s="96"/>
      <c r="Q187" s="96"/>
      <c r="R187" s="96"/>
      <c r="S187" s="96"/>
    </row>
    <row r="188" spans="1:20" s="101" customFormat="1">
      <c r="A188" s="110">
        <f t="shared" si="15"/>
        <v>0</v>
      </c>
      <c r="B188" s="39" t="str">
        <f t="shared" si="21"/>
        <v/>
      </c>
      <c r="C188" s="40"/>
      <c r="D188" s="40"/>
      <c r="E188" s="40"/>
      <c r="F188" s="40"/>
      <c r="G188" s="96"/>
      <c r="H188" s="111">
        <v>183</v>
      </c>
      <c r="I188" s="112" t="str">
        <f t="shared" si="16"/>
        <v/>
      </c>
      <c r="J188" s="111">
        <f t="shared" si="17"/>
        <v>-3</v>
      </c>
      <c r="K188" s="111">
        <f t="shared" si="18"/>
        <v>-30</v>
      </c>
      <c r="L188" s="111"/>
      <c r="M188" s="113">
        <f t="shared" si="19"/>
        <v>0</v>
      </c>
      <c r="N188" s="113">
        <f t="shared" si="20"/>
        <v>0</v>
      </c>
      <c r="O188" s="96"/>
      <c r="P188" s="96"/>
      <c r="Q188" s="96"/>
      <c r="R188" s="96"/>
      <c r="S188" s="125"/>
      <c r="T188" s="126"/>
    </row>
    <row r="189" spans="1:20" s="101" customFormat="1">
      <c r="A189" s="114">
        <f t="shared" si="15"/>
        <v>0</v>
      </c>
      <c r="B189" s="45" t="str">
        <f t="shared" si="21"/>
        <v/>
      </c>
      <c r="C189" s="46"/>
      <c r="D189" s="46"/>
      <c r="E189" s="46"/>
      <c r="F189" s="46"/>
      <c r="G189" s="96"/>
      <c r="H189" s="115">
        <v>184</v>
      </c>
      <c r="I189" s="116" t="str">
        <f t="shared" si="16"/>
        <v/>
      </c>
      <c r="J189" s="115">
        <f t="shared" si="17"/>
        <v>-3</v>
      </c>
      <c r="K189" s="115">
        <f t="shared" si="18"/>
        <v>-30</v>
      </c>
      <c r="L189" s="115"/>
      <c r="M189" s="117">
        <f t="shared" si="19"/>
        <v>0</v>
      </c>
      <c r="N189" s="117">
        <f t="shared" si="20"/>
        <v>0</v>
      </c>
      <c r="O189" s="96"/>
      <c r="P189" s="96"/>
      <c r="Q189" s="96"/>
      <c r="R189" s="96"/>
      <c r="S189" s="96"/>
    </row>
    <row r="190" spans="1:20" s="101" customFormat="1">
      <c r="A190" s="110">
        <f t="shared" si="15"/>
        <v>0</v>
      </c>
      <c r="B190" s="39" t="str">
        <f t="shared" si="21"/>
        <v/>
      </c>
      <c r="C190" s="40"/>
      <c r="D190" s="40"/>
      <c r="E190" s="40"/>
      <c r="F190" s="40"/>
      <c r="G190" s="96"/>
      <c r="H190" s="111">
        <v>185</v>
      </c>
      <c r="I190" s="112" t="str">
        <f t="shared" si="16"/>
        <v/>
      </c>
      <c r="J190" s="111">
        <f t="shared" si="17"/>
        <v>-3</v>
      </c>
      <c r="K190" s="111">
        <f t="shared" si="18"/>
        <v>-30</v>
      </c>
      <c r="L190" s="111"/>
      <c r="M190" s="113">
        <f t="shared" si="19"/>
        <v>0</v>
      </c>
      <c r="N190" s="113">
        <f t="shared" si="20"/>
        <v>0</v>
      </c>
      <c r="O190" s="96"/>
      <c r="P190" s="96"/>
      <c r="Q190" s="96"/>
      <c r="R190" s="96"/>
      <c r="S190" s="125"/>
      <c r="T190" s="126"/>
    </row>
    <row r="191" spans="1:20" s="101" customFormat="1">
      <c r="A191" s="114">
        <f t="shared" si="15"/>
        <v>0</v>
      </c>
      <c r="B191" s="45" t="str">
        <f t="shared" si="21"/>
        <v/>
      </c>
      <c r="C191" s="46"/>
      <c r="D191" s="46"/>
      <c r="E191" s="46"/>
      <c r="F191" s="46"/>
      <c r="G191" s="96"/>
      <c r="H191" s="115">
        <v>186</v>
      </c>
      <c r="I191" s="116" t="str">
        <f t="shared" si="16"/>
        <v/>
      </c>
      <c r="J191" s="115">
        <f t="shared" si="17"/>
        <v>-3</v>
      </c>
      <c r="K191" s="115">
        <f t="shared" si="18"/>
        <v>-30</v>
      </c>
      <c r="L191" s="115"/>
      <c r="M191" s="117">
        <f t="shared" si="19"/>
        <v>0</v>
      </c>
      <c r="N191" s="117">
        <f t="shared" si="20"/>
        <v>0</v>
      </c>
      <c r="O191" s="96"/>
      <c r="P191" s="96"/>
      <c r="Q191" s="96"/>
      <c r="R191" s="96"/>
      <c r="S191" s="96"/>
    </row>
    <row r="192" spans="1:20" s="101" customFormat="1">
      <c r="A192" s="110">
        <f t="shared" si="15"/>
        <v>0</v>
      </c>
      <c r="B192" s="39" t="str">
        <f t="shared" si="21"/>
        <v/>
      </c>
      <c r="C192" s="40"/>
      <c r="D192" s="40"/>
      <c r="E192" s="40"/>
      <c r="F192" s="40"/>
      <c r="G192" s="96"/>
      <c r="H192" s="111">
        <v>187</v>
      </c>
      <c r="I192" s="112" t="str">
        <f t="shared" si="16"/>
        <v/>
      </c>
      <c r="J192" s="111">
        <f t="shared" si="17"/>
        <v>-3</v>
      </c>
      <c r="K192" s="111">
        <f t="shared" si="18"/>
        <v>-30</v>
      </c>
      <c r="L192" s="111"/>
      <c r="M192" s="113">
        <f t="shared" si="19"/>
        <v>0</v>
      </c>
      <c r="N192" s="113">
        <f t="shared" si="20"/>
        <v>0</v>
      </c>
      <c r="O192" s="96"/>
      <c r="P192" s="96"/>
      <c r="Q192" s="96"/>
      <c r="R192" s="96"/>
      <c r="S192" s="125"/>
      <c r="T192" s="126"/>
    </row>
    <row r="193" spans="1:20" s="101" customFormat="1">
      <c r="A193" s="114">
        <f t="shared" si="15"/>
        <v>0</v>
      </c>
      <c r="B193" s="45" t="str">
        <f t="shared" si="21"/>
        <v/>
      </c>
      <c r="C193" s="46"/>
      <c r="D193" s="46"/>
      <c r="E193" s="46"/>
      <c r="F193" s="46"/>
      <c r="G193" s="96"/>
      <c r="H193" s="115">
        <v>188</v>
      </c>
      <c r="I193" s="116" t="str">
        <f t="shared" si="16"/>
        <v/>
      </c>
      <c r="J193" s="115">
        <f t="shared" si="17"/>
        <v>-3</v>
      </c>
      <c r="K193" s="115">
        <f t="shared" si="18"/>
        <v>-30</v>
      </c>
      <c r="L193" s="115"/>
      <c r="M193" s="117">
        <f t="shared" si="19"/>
        <v>0</v>
      </c>
      <c r="N193" s="117">
        <f t="shared" si="20"/>
        <v>0</v>
      </c>
      <c r="O193" s="96"/>
      <c r="P193" s="96"/>
      <c r="Q193" s="96"/>
      <c r="R193" s="96"/>
      <c r="S193" s="96"/>
    </row>
    <row r="194" spans="1:20" s="101" customFormat="1">
      <c r="A194" s="110">
        <f t="shared" si="15"/>
        <v>0</v>
      </c>
      <c r="B194" s="39" t="str">
        <f t="shared" si="21"/>
        <v/>
      </c>
      <c r="C194" s="40"/>
      <c r="D194" s="40"/>
      <c r="E194" s="40"/>
      <c r="F194" s="40"/>
      <c r="G194" s="96"/>
      <c r="H194" s="111">
        <v>189</v>
      </c>
      <c r="I194" s="112" t="str">
        <f t="shared" si="16"/>
        <v/>
      </c>
      <c r="J194" s="111">
        <f t="shared" si="17"/>
        <v>-3</v>
      </c>
      <c r="K194" s="111">
        <f t="shared" si="18"/>
        <v>-30</v>
      </c>
      <c r="L194" s="111"/>
      <c r="M194" s="113">
        <f t="shared" si="19"/>
        <v>0</v>
      </c>
      <c r="N194" s="113">
        <f t="shared" si="20"/>
        <v>0</v>
      </c>
      <c r="O194" s="96"/>
      <c r="P194" s="96"/>
      <c r="Q194" s="96"/>
      <c r="R194" s="96"/>
      <c r="S194" s="125"/>
      <c r="T194" s="126"/>
    </row>
    <row r="195" spans="1:20" s="101" customFormat="1">
      <c r="A195" s="114">
        <f t="shared" si="15"/>
        <v>0</v>
      </c>
      <c r="B195" s="45" t="str">
        <f t="shared" si="21"/>
        <v/>
      </c>
      <c r="C195" s="46"/>
      <c r="D195" s="46"/>
      <c r="E195" s="46"/>
      <c r="F195" s="46"/>
      <c r="G195" s="96"/>
      <c r="H195" s="115">
        <v>190</v>
      </c>
      <c r="I195" s="116" t="str">
        <f t="shared" si="16"/>
        <v/>
      </c>
      <c r="J195" s="115">
        <f t="shared" si="17"/>
        <v>-3</v>
      </c>
      <c r="K195" s="115">
        <f t="shared" si="18"/>
        <v>-30</v>
      </c>
      <c r="L195" s="115"/>
      <c r="M195" s="117">
        <f t="shared" si="19"/>
        <v>0</v>
      </c>
      <c r="N195" s="117">
        <f t="shared" si="20"/>
        <v>0</v>
      </c>
      <c r="O195" s="96"/>
      <c r="P195" s="96"/>
      <c r="Q195" s="96"/>
      <c r="R195" s="96"/>
      <c r="S195" s="96"/>
    </row>
    <row r="196" spans="1:20" s="101" customFormat="1">
      <c r="A196" s="110">
        <f t="shared" si="15"/>
        <v>0</v>
      </c>
      <c r="B196" s="39" t="str">
        <f t="shared" si="21"/>
        <v/>
      </c>
      <c r="C196" s="40"/>
      <c r="D196" s="40"/>
      <c r="E196" s="40"/>
      <c r="F196" s="40"/>
      <c r="G196" s="96"/>
      <c r="H196" s="111">
        <v>191</v>
      </c>
      <c r="I196" s="112" t="str">
        <f t="shared" si="16"/>
        <v/>
      </c>
      <c r="J196" s="111">
        <f t="shared" si="17"/>
        <v>-3</v>
      </c>
      <c r="K196" s="111">
        <f t="shared" si="18"/>
        <v>-30</v>
      </c>
      <c r="L196" s="111"/>
      <c r="M196" s="113">
        <f t="shared" si="19"/>
        <v>0</v>
      </c>
      <c r="N196" s="113">
        <f t="shared" si="20"/>
        <v>0</v>
      </c>
      <c r="O196" s="96"/>
      <c r="P196" s="96"/>
      <c r="Q196" s="96"/>
      <c r="R196" s="96"/>
      <c r="S196" s="125"/>
      <c r="T196" s="126"/>
    </row>
    <row r="197" spans="1:20" s="101" customFormat="1">
      <c r="A197" s="114">
        <f t="shared" si="15"/>
        <v>0</v>
      </c>
      <c r="B197" s="45" t="str">
        <f t="shared" si="21"/>
        <v/>
      </c>
      <c r="C197" s="46"/>
      <c r="D197" s="46"/>
      <c r="E197" s="46"/>
      <c r="F197" s="46"/>
      <c r="G197" s="96"/>
      <c r="H197" s="115">
        <v>192</v>
      </c>
      <c r="I197" s="116" t="str">
        <f t="shared" si="16"/>
        <v/>
      </c>
      <c r="J197" s="115">
        <f t="shared" si="17"/>
        <v>-3</v>
      </c>
      <c r="K197" s="115">
        <f t="shared" si="18"/>
        <v>-30</v>
      </c>
      <c r="L197" s="115"/>
      <c r="M197" s="117">
        <f t="shared" si="19"/>
        <v>0</v>
      </c>
      <c r="N197" s="117">
        <f t="shared" si="20"/>
        <v>0</v>
      </c>
      <c r="O197" s="96"/>
      <c r="P197" s="96"/>
      <c r="Q197" s="96"/>
      <c r="R197" s="96"/>
      <c r="S197" s="96"/>
    </row>
    <row r="198" spans="1:20" s="101" customFormat="1">
      <c r="A198" s="110">
        <f t="shared" ref="A198:A261" si="22">N198</f>
        <v>0</v>
      </c>
      <c r="B198" s="39" t="str">
        <f t="shared" si="21"/>
        <v/>
      </c>
      <c r="C198" s="40"/>
      <c r="D198" s="40"/>
      <c r="E198" s="40"/>
      <c r="F198" s="40"/>
      <c r="G198" s="96"/>
      <c r="H198" s="111">
        <v>193</v>
      </c>
      <c r="I198" s="112" t="str">
        <f t="shared" ref="I198:I261" si="23">IF(H198&lt;$H$2+1,($I$2-($I$2-1)*(LOG(H198)/LOG($H$2))),"")</f>
        <v/>
      </c>
      <c r="J198" s="111">
        <f t="shared" ref="J198:J261" si="24">INT(LOG($H$2,2))-ROUNDUP(LOG(H198,2),0)+IF(OR($H$2=1,$H$2=2,$H$2=4,$H$2=8,$H$2=16,$H$2=32,$H$2=64,$H$2=128,$H$2=256),0,1)</f>
        <v>-3</v>
      </c>
      <c r="K198" s="111">
        <f t="shared" ref="K198:K261" si="25">J198*$J$2</f>
        <v>-30</v>
      </c>
      <c r="L198" s="111"/>
      <c r="M198" s="113">
        <f t="shared" ref="M198:M261" si="26">IF(I198&lt;&gt;"",K198+I198+L198,0)</f>
        <v>0</v>
      </c>
      <c r="N198" s="113">
        <f t="shared" ref="N198:N261" si="27">IF(I198&lt;&gt;"",M198*L$2,0)</f>
        <v>0</v>
      </c>
      <c r="O198" s="96"/>
      <c r="P198" s="96"/>
      <c r="Q198" s="96"/>
      <c r="R198" s="96"/>
      <c r="S198" s="125"/>
      <c r="T198" s="126"/>
    </row>
    <row r="199" spans="1:20" s="101" customFormat="1">
      <c r="A199" s="114">
        <f t="shared" si="22"/>
        <v>0</v>
      </c>
      <c r="B199" s="45" t="str">
        <f t="shared" si="21"/>
        <v/>
      </c>
      <c r="C199" s="46"/>
      <c r="D199" s="46"/>
      <c r="E199" s="46"/>
      <c r="F199" s="46"/>
      <c r="G199" s="96"/>
      <c r="H199" s="115">
        <v>194</v>
      </c>
      <c r="I199" s="116" t="str">
        <f t="shared" si="23"/>
        <v/>
      </c>
      <c r="J199" s="115">
        <f t="shared" si="24"/>
        <v>-3</v>
      </c>
      <c r="K199" s="115">
        <f t="shared" si="25"/>
        <v>-30</v>
      </c>
      <c r="L199" s="115"/>
      <c r="M199" s="117">
        <f t="shared" si="26"/>
        <v>0</v>
      </c>
      <c r="N199" s="117">
        <f t="shared" si="27"/>
        <v>0</v>
      </c>
      <c r="O199" s="96"/>
      <c r="P199" s="96"/>
      <c r="Q199" s="96"/>
      <c r="R199" s="96"/>
      <c r="S199" s="96"/>
    </row>
    <row r="200" spans="1:20" s="101" customFormat="1">
      <c r="A200" s="110">
        <f t="shared" si="22"/>
        <v>0</v>
      </c>
      <c r="B200" s="39" t="str">
        <f t="shared" si="21"/>
        <v/>
      </c>
      <c r="C200" s="40"/>
      <c r="D200" s="40"/>
      <c r="E200" s="40"/>
      <c r="F200" s="40"/>
      <c r="G200" s="96"/>
      <c r="H200" s="111">
        <v>195</v>
      </c>
      <c r="I200" s="112" t="str">
        <f t="shared" si="23"/>
        <v/>
      </c>
      <c r="J200" s="111">
        <f t="shared" si="24"/>
        <v>-3</v>
      </c>
      <c r="K200" s="111">
        <f t="shared" si="25"/>
        <v>-30</v>
      </c>
      <c r="L200" s="111"/>
      <c r="M200" s="113">
        <f t="shared" si="26"/>
        <v>0</v>
      </c>
      <c r="N200" s="113">
        <f t="shared" si="27"/>
        <v>0</v>
      </c>
      <c r="O200" s="96"/>
      <c r="P200" s="96"/>
      <c r="Q200" s="96"/>
      <c r="R200" s="96"/>
      <c r="S200" s="125"/>
      <c r="T200" s="126"/>
    </row>
    <row r="201" spans="1:20" s="101" customFormat="1">
      <c r="A201" s="114">
        <f t="shared" si="22"/>
        <v>0</v>
      </c>
      <c r="B201" s="45" t="str">
        <f t="shared" si="21"/>
        <v/>
      </c>
      <c r="C201" s="46"/>
      <c r="D201" s="46"/>
      <c r="E201" s="46"/>
      <c r="F201" s="46"/>
      <c r="G201" s="96"/>
      <c r="H201" s="115">
        <v>196</v>
      </c>
      <c r="I201" s="116" t="str">
        <f t="shared" si="23"/>
        <v/>
      </c>
      <c r="J201" s="115">
        <f t="shared" si="24"/>
        <v>-3</v>
      </c>
      <c r="K201" s="115">
        <f t="shared" si="25"/>
        <v>-30</v>
      </c>
      <c r="L201" s="115"/>
      <c r="M201" s="117">
        <f t="shared" si="26"/>
        <v>0</v>
      </c>
      <c r="N201" s="117">
        <f t="shared" si="27"/>
        <v>0</v>
      </c>
      <c r="O201" s="96"/>
      <c r="P201" s="96"/>
      <c r="Q201" s="96"/>
      <c r="R201" s="96"/>
      <c r="S201" s="96"/>
    </row>
    <row r="202" spans="1:20" s="101" customFormat="1">
      <c r="A202" s="110">
        <f t="shared" si="22"/>
        <v>0</v>
      </c>
      <c r="B202" s="39" t="str">
        <f t="shared" ref="B202:B250" si="28">IF(H202&gt;$H$2,"",(ROW()-5))</f>
        <v/>
      </c>
      <c r="C202" s="40"/>
      <c r="D202" s="40"/>
      <c r="E202" s="40"/>
      <c r="F202" s="40"/>
      <c r="G202" s="96"/>
      <c r="H202" s="111">
        <v>197</v>
      </c>
      <c r="I202" s="112" t="str">
        <f t="shared" si="23"/>
        <v/>
      </c>
      <c r="J202" s="111">
        <f t="shared" si="24"/>
        <v>-3</v>
      </c>
      <c r="K202" s="111">
        <f t="shared" si="25"/>
        <v>-30</v>
      </c>
      <c r="L202" s="111"/>
      <c r="M202" s="113">
        <f t="shared" si="26"/>
        <v>0</v>
      </c>
      <c r="N202" s="113">
        <f t="shared" si="27"/>
        <v>0</v>
      </c>
      <c r="O202" s="96"/>
      <c r="P202" s="96"/>
      <c r="Q202" s="96"/>
      <c r="R202" s="96"/>
      <c r="S202" s="125"/>
      <c r="T202" s="126"/>
    </row>
    <row r="203" spans="1:20" s="101" customFormat="1">
      <c r="A203" s="114">
        <f t="shared" si="22"/>
        <v>0</v>
      </c>
      <c r="B203" s="45" t="str">
        <f t="shared" si="28"/>
        <v/>
      </c>
      <c r="C203" s="46"/>
      <c r="D203" s="46"/>
      <c r="E203" s="46"/>
      <c r="F203" s="46"/>
      <c r="G203" s="96"/>
      <c r="H203" s="115">
        <v>198</v>
      </c>
      <c r="I203" s="116" t="str">
        <f t="shared" si="23"/>
        <v/>
      </c>
      <c r="J203" s="115">
        <f t="shared" si="24"/>
        <v>-3</v>
      </c>
      <c r="K203" s="115">
        <f t="shared" si="25"/>
        <v>-30</v>
      </c>
      <c r="L203" s="115"/>
      <c r="M203" s="117">
        <f t="shared" si="26"/>
        <v>0</v>
      </c>
      <c r="N203" s="117">
        <f t="shared" si="27"/>
        <v>0</v>
      </c>
      <c r="O203" s="96"/>
      <c r="P203" s="96"/>
      <c r="Q203" s="96"/>
      <c r="R203" s="96"/>
      <c r="S203" s="96"/>
    </row>
    <row r="204" spans="1:20" s="101" customFormat="1">
      <c r="A204" s="110">
        <f t="shared" si="22"/>
        <v>0</v>
      </c>
      <c r="B204" s="39" t="str">
        <f t="shared" si="28"/>
        <v/>
      </c>
      <c r="C204" s="40"/>
      <c r="D204" s="40"/>
      <c r="E204" s="40"/>
      <c r="F204" s="40"/>
      <c r="G204" s="96"/>
      <c r="H204" s="111">
        <v>199</v>
      </c>
      <c r="I204" s="112" t="str">
        <f t="shared" si="23"/>
        <v/>
      </c>
      <c r="J204" s="111">
        <f t="shared" si="24"/>
        <v>-3</v>
      </c>
      <c r="K204" s="111">
        <f t="shared" si="25"/>
        <v>-30</v>
      </c>
      <c r="L204" s="111"/>
      <c r="M204" s="113">
        <f t="shared" si="26"/>
        <v>0</v>
      </c>
      <c r="N204" s="113">
        <f t="shared" si="27"/>
        <v>0</v>
      </c>
      <c r="O204" s="96"/>
      <c r="P204" s="96"/>
      <c r="Q204" s="96"/>
      <c r="R204" s="96"/>
      <c r="S204" s="125"/>
      <c r="T204" s="126"/>
    </row>
    <row r="205" spans="1:20" s="101" customFormat="1">
      <c r="A205" s="114">
        <f t="shared" si="22"/>
        <v>0</v>
      </c>
      <c r="B205" s="45" t="str">
        <f t="shared" si="28"/>
        <v/>
      </c>
      <c r="C205" s="46"/>
      <c r="D205" s="46"/>
      <c r="E205" s="46"/>
      <c r="F205" s="46"/>
      <c r="G205" s="96"/>
      <c r="H205" s="115">
        <v>200</v>
      </c>
      <c r="I205" s="116" t="str">
        <f t="shared" si="23"/>
        <v/>
      </c>
      <c r="J205" s="115">
        <f t="shared" si="24"/>
        <v>-3</v>
      </c>
      <c r="K205" s="115">
        <f t="shared" si="25"/>
        <v>-30</v>
      </c>
      <c r="L205" s="115"/>
      <c r="M205" s="117">
        <f t="shared" si="26"/>
        <v>0</v>
      </c>
      <c r="N205" s="117">
        <f t="shared" si="27"/>
        <v>0</v>
      </c>
      <c r="O205" s="96"/>
      <c r="P205" s="96"/>
      <c r="Q205" s="96"/>
      <c r="R205" s="96"/>
      <c r="S205" s="96"/>
    </row>
    <row r="206" spans="1:20" s="101" customFormat="1">
      <c r="A206" s="110">
        <f t="shared" si="22"/>
        <v>0</v>
      </c>
      <c r="B206" s="39" t="str">
        <f t="shared" si="28"/>
        <v/>
      </c>
      <c r="C206" s="40"/>
      <c r="D206" s="40"/>
      <c r="E206" s="40"/>
      <c r="F206" s="40"/>
      <c r="G206" s="96"/>
      <c r="H206" s="111">
        <v>201</v>
      </c>
      <c r="I206" s="112" t="str">
        <f t="shared" si="23"/>
        <v/>
      </c>
      <c r="J206" s="111">
        <f t="shared" si="24"/>
        <v>-3</v>
      </c>
      <c r="K206" s="111">
        <f t="shared" si="25"/>
        <v>-30</v>
      </c>
      <c r="L206" s="111"/>
      <c r="M206" s="113">
        <f t="shared" si="26"/>
        <v>0</v>
      </c>
      <c r="N206" s="113">
        <f t="shared" si="27"/>
        <v>0</v>
      </c>
      <c r="O206" s="96"/>
      <c r="P206" s="96"/>
      <c r="Q206" s="96"/>
      <c r="R206" s="96"/>
      <c r="S206" s="125"/>
      <c r="T206" s="126"/>
    </row>
    <row r="207" spans="1:20" s="101" customFormat="1">
      <c r="A207" s="114">
        <f t="shared" si="22"/>
        <v>0</v>
      </c>
      <c r="B207" s="45" t="str">
        <f t="shared" si="28"/>
        <v/>
      </c>
      <c r="C207" s="46"/>
      <c r="D207" s="46"/>
      <c r="E207" s="46"/>
      <c r="F207" s="46"/>
      <c r="G207" s="96"/>
      <c r="H207" s="115">
        <v>202</v>
      </c>
      <c r="I207" s="116" t="str">
        <f t="shared" si="23"/>
        <v/>
      </c>
      <c r="J207" s="115">
        <f t="shared" si="24"/>
        <v>-3</v>
      </c>
      <c r="K207" s="115">
        <f t="shared" si="25"/>
        <v>-30</v>
      </c>
      <c r="L207" s="115"/>
      <c r="M207" s="117">
        <f t="shared" si="26"/>
        <v>0</v>
      </c>
      <c r="N207" s="117">
        <f t="shared" si="27"/>
        <v>0</v>
      </c>
      <c r="O207" s="96"/>
      <c r="P207" s="96"/>
      <c r="Q207" s="96"/>
      <c r="R207" s="96"/>
      <c r="S207" s="96"/>
    </row>
    <row r="208" spans="1:20" s="101" customFormat="1">
      <c r="A208" s="110">
        <f t="shared" si="22"/>
        <v>0</v>
      </c>
      <c r="B208" s="39" t="str">
        <f t="shared" si="28"/>
        <v/>
      </c>
      <c r="C208" s="40"/>
      <c r="D208" s="40"/>
      <c r="E208" s="40"/>
      <c r="F208" s="40"/>
      <c r="G208" s="96"/>
      <c r="H208" s="111">
        <v>203</v>
      </c>
      <c r="I208" s="112" t="str">
        <f t="shared" si="23"/>
        <v/>
      </c>
      <c r="J208" s="111">
        <f t="shared" si="24"/>
        <v>-3</v>
      </c>
      <c r="K208" s="111">
        <f t="shared" si="25"/>
        <v>-30</v>
      </c>
      <c r="L208" s="111"/>
      <c r="M208" s="113">
        <f t="shared" si="26"/>
        <v>0</v>
      </c>
      <c r="N208" s="113">
        <f t="shared" si="27"/>
        <v>0</v>
      </c>
      <c r="O208" s="96"/>
      <c r="P208" s="96"/>
      <c r="Q208" s="96"/>
      <c r="R208" s="96"/>
      <c r="S208" s="125"/>
      <c r="T208" s="126"/>
    </row>
    <row r="209" spans="1:20" s="101" customFormat="1">
      <c r="A209" s="114">
        <f t="shared" si="22"/>
        <v>0</v>
      </c>
      <c r="B209" s="45" t="str">
        <f t="shared" si="28"/>
        <v/>
      </c>
      <c r="C209" s="46"/>
      <c r="D209" s="46"/>
      <c r="E209" s="46"/>
      <c r="F209" s="46"/>
      <c r="G209" s="96"/>
      <c r="H209" s="115">
        <v>204</v>
      </c>
      <c r="I209" s="116" t="str">
        <f t="shared" si="23"/>
        <v/>
      </c>
      <c r="J209" s="115">
        <f t="shared" si="24"/>
        <v>-3</v>
      </c>
      <c r="K209" s="115">
        <f t="shared" si="25"/>
        <v>-30</v>
      </c>
      <c r="L209" s="115"/>
      <c r="M209" s="117">
        <f t="shared" si="26"/>
        <v>0</v>
      </c>
      <c r="N209" s="117">
        <f t="shared" si="27"/>
        <v>0</v>
      </c>
      <c r="O209" s="96"/>
      <c r="P209" s="96"/>
      <c r="Q209" s="96"/>
      <c r="R209" s="96"/>
      <c r="S209" s="96"/>
    </row>
    <row r="210" spans="1:20" s="101" customFormat="1">
      <c r="A210" s="110">
        <f t="shared" si="22"/>
        <v>0</v>
      </c>
      <c r="B210" s="39" t="str">
        <f t="shared" si="28"/>
        <v/>
      </c>
      <c r="C210" s="40"/>
      <c r="D210" s="40"/>
      <c r="E210" s="40"/>
      <c r="F210" s="40"/>
      <c r="G210" s="96"/>
      <c r="H210" s="111">
        <v>205</v>
      </c>
      <c r="I210" s="112" t="str">
        <f t="shared" si="23"/>
        <v/>
      </c>
      <c r="J210" s="111">
        <f t="shared" si="24"/>
        <v>-3</v>
      </c>
      <c r="K210" s="111">
        <f t="shared" si="25"/>
        <v>-30</v>
      </c>
      <c r="L210" s="111"/>
      <c r="M210" s="113">
        <f t="shared" si="26"/>
        <v>0</v>
      </c>
      <c r="N210" s="113">
        <f t="shared" si="27"/>
        <v>0</v>
      </c>
      <c r="O210" s="96"/>
      <c r="P210" s="96"/>
      <c r="Q210" s="96"/>
      <c r="R210" s="96"/>
      <c r="S210" s="125"/>
      <c r="T210" s="126"/>
    </row>
    <row r="211" spans="1:20" s="101" customFormat="1">
      <c r="A211" s="114">
        <f t="shared" si="22"/>
        <v>0</v>
      </c>
      <c r="B211" s="45" t="str">
        <f t="shared" si="28"/>
        <v/>
      </c>
      <c r="C211" s="46"/>
      <c r="D211" s="46"/>
      <c r="E211" s="46"/>
      <c r="F211" s="46"/>
      <c r="G211" s="96"/>
      <c r="H211" s="115">
        <v>206</v>
      </c>
      <c r="I211" s="116" t="str">
        <f t="shared" si="23"/>
        <v/>
      </c>
      <c r="J211" s="115">
        <f t="shared" si="24"/>
        <v>-3</v>
      </c>
      <c r="K211" s="115">
        <f t="shared" si="25"/>
        <v>-30</v>
      </c>
      <c r="L211" s="115"/>
      <c r="M211" s="117">
        <f t="shared" si="26"/>
        <v>0</v>
      </c>
      <c r="N211" s="117">
        <f t="shared" si="27"/>
        <v>0</v>
      </c>
      <c r="O211" s="96"/>
      <c r="P211" s="96"/>
      <c r="Q211" s="96"/>
      <c r="R211" s="96"/>
      <c r="S211" s="96"/>
    </row>
    <row r="212" spans="1:20" s="101" customFormat="1">
      <c r="A212" s="110">
        <f t="shared" si="22"/>
        <v>0</v>
      </c>
      <c r="B212" s="39" t="str">
        <f t="shared" si="28"/>
        <v/>
      </c>
      <c r="C212" s="40"/>
      <c r="D212" s="40"/>
      <c r="E212" s="40"/>
      <c r="F212" s="40"/>
      <c r="G212" s="96"/>
      <c r="H212" s="111">
        <v>207</v>
      </c>
      <c r="I212" s="112" t="str">
        <f t="shared" si="23"/>
        <v/>
      </c>
      <c r="J212" s="111">
        <f t="shared" si="24"/>
        <v>-3</v>
      </c>
      <c r="K212" s="111">
        <f t="shared" si="25"/>
        <v>-30</v>
      </c>
      <c r="L212" s="111"/>
      <c r="M212" s="113">
        <f t="shared" si="26"/>
        <v>0</v>
      </c>
      <c r="N212" s="113">
        <f t="shared" si="27"/>
        <v>0</v>
      </c>
      <c r="O212" s="96"/>
      <c r="P212" s="96"/>
      <c r="Q212" s="96"/>
      <c r="R212" s="96"/>
      <c r="S212" s="125"/>
      <c r="T212" s="126"/>
    </row>
    <row r="213" spans="1:20" s="101" customFormat="1">
      <c r="A213" s="114">
        <f t="shared" si="22"/>
        <v>0</v>
      </c>
      <c r="B213" s="45" t="str">
        <f t="shared" si="28"/>
        <v/>
      </c>
      <c r="C213" s="46"/>
      <c r="D213" s="46"/>
      <c r="E213" s="46"/>
      <c r="F213" s="46"/>
      <c r="G213" s="96"/>
      <c r="H213" s="115">
        <v>208</v>
      </c>
      <c r="I213" s="116" t="str">
        <f t="shared" si="23"/>
        <v/>
      </c>
      <c r="J213" s="115">
        <f t="shared" si="24"/>
        <v>-3</v>
      </c>
      <c r="K213" s="115">
        <f t="shared" si="25"/>
        <v>-30</v>
      </c>
      <c r="L213" s="115"/>
      <c r="M213" s="117">
        <f t="shared" si="26"/>
        <v>0</v>
      </c>
      <c r="N213" s="117">
        <f t="shared" si="27"/>
        <v>0</v>
      </c>
      <c r="O213" s="96"/>
      <c r="P213" s="96"/>
      <c r="Q213" s="96"/>
      <c r="R213" s="96"/>
      <c r="S213" s="96"/>
    </row>
    <row r="214" spans="1:20" s="101" customFormat="1">
      <c r="A214" s="110">
        <f t="shared" si="22"/>
        <v>0</v>
      </c>
      <c r="B214" s="39" t="str">
        <f t="shared" si="28"/>
        <v/>
      </c>
      <c r="C214" s="40"/>
      <c r="D214" s="40"/>
      <c r="E214" s="40"/>
      <c r="F214" s="40"/>
      <c r="G214" s="96"/>
      <c r="H214" s="111">
        <v>209</v>
      </c>
      <c r="I214" s="112" t="str">
        <f t="shared" si="23"/>
        <v/>
      </c>
      <c r="J214" s="111">
        <f t="shared" si="24"/>
        <v>-3</v>
      </c>
      <c r="K214" s="111">
        <f t="shared" si="25"/>
        <v>-30</v>
      </c>
      <c r="L214" s="111"/>
      <c r="M214" s="113">
        <f t="shared" si="26"/>
        <v>0</v>
      </c>
      <c r="N214" s="113">
        <f t="shared" si="27"/>
        <v>0</v>
      </c>
      <c r="O214" s="96"/>
      <c r="P214" s="96"/>
      <c r="Q214" s="96"/>
      <c r="R214" s="96"/>
      <c r="S214" s="125"/>
      <c r="T214" s="126"/>
    </row>
    <row r="215" spans="1:20" s="101" customFormat="1">
      <c r="A215" s="114">
        <f t="shared" si="22"/>
        <v>0</v>
      </c>
      <c r="B215" s="45" t="str">
        <f t="shared" si="28"/>
        <v/>
      </c>
      <c r="C215" s="46"/>
      <c r="D215" s="46"/>
      <c r="E215" s="46"/>
      <c r="F215" s="46"/>
      <c r="G215" s="96"/>
      <c r="H215" s="115">
        <v>210</v>
      </c>
      <c r="I215" s="116" t="str">
        <f t="shared" si="23"/>
        <v/>
      </c>
      <c r="J215" s="115">
        <f t="shared" si="24"/>
        <v>-3</v>
      </c>
      <c r="K215" s="115">
        <f t="shared" si="25"/>
        <v>-30</v>
      </c>
      <c r="L215" s="115"/>
      <c r="M215" s="117">
        <f t="shared" si="26"/>
        <v>0</v>
      </c>
      <c r="N215" s="117">
        <f t="shared" si="27"/>
        <v>0</v>
      </c>
      <c r="O215" s="96"/>
      <c r="P215" s="96"/>
      <c r="Q215" s="96"/>
      <c r="R215" s="96"/>
      <c r="S215" s="96"/>
    </row>
    <row r="216" spans="1:20" s="101" customFormat="1">
      <c r="A216" s="110">
        <f t="shared" si="22"/>
        <v>0</v>
      </c>
      <c r="B216" s="39" t="str">
        <f t="shared" si="28"/>
        <v/>
      </c>
      <c r="C216" s="40"/>
      <c r="D216" s="40"/>
      <c r="E216" s="40"/>
      <c r="F216" s="40"/>
      <c r="G216" s="96"/>
      <c r="H216" s="111">
        <v>211</v>
      </c>
      <c r="I216" s="112" t="str">
        <f t="shared" si="23"/>
        <v/>
      </c>
      <c r="J216" s="111">
        <f t="shared" si="24"/>
        <v>-3</v>
      </c>
      <c r="K216" s="111">
        <f t="shared" si="25"/>
        <v>-30</v>
      </c>
      <c r="L216" s="111"/>
      <c r="M216" s="113">
        <f t="shared" si="26"/>
        <v>0</v>
      </c>
      <c r="N216" s="113">
        <f t="shared" si="27"/>
        <v>0</v>
      </c>
      <c r="O216" s="96"/>
      <c r="P216" s="96"/>
      <c r="Q216" s="96"/>
      <c r="R216" s="96"/>
      <c r="S216" s="125"/>
      <c r="T216" s="126"/>
    </row>
    <row r="217" spans="1:20" s="101" customFormat="1">
      <c r="A217" s="114">
        <f t="shared" si="22"/>
        <v>0</v>
      </c>
      <c r="B217" s="45" t="str">
        <f t="shared" si="28"/>
        <v/>
      </c>
      <c r="C217" s="46"/>
      <c r="D217" s="46"/>
      <c r="E217" s="46"/>
      <c r="F217" s="46"/>
      <c r="G217" s="96"/>
      <c r="H217" s="115">
        <v>212</v>
      </c>
      <c r="I217" s="116" t="str">
        <f t="shared" si="23"/>
        <v/>
      </c>
      <c r="J217" s="115">
        <f t="shared" si="24"/>
        <v>-3</v>
      </c>
      <c r="K217" s="115">
        <f t="shared" si="25"/>
        <v>-30</v>
      </c>
      <c r="L217" s="115"/>
      <c r="M217" s="117">
        <f t="shared" si="26"/>
        <v>0</v>
      </c>
      <c r="N217" s="117">
        <f t="shared" si="27"/>
        <v>0</v>
      </c>
      <c r="O217" s="96"/>
      <c r="P217" s="96"/>
      <c r="Q217" s="96"/>
      <c r="R217" s="96"/>
      <c r="S217" s="96"/>
    </row>
    <row r="218" spans="1:20" s="101" customFormat="1">
      <c r="A218" s="110">
        <f t="shared" si="22"/>
        <v>0</v>
      </c>
      <c r="B218" s="39" t="str">
        <f t="shared" si="28"/>
        <v/>
      </c>
      <c r="C218" s="40"/>
      <c r="D218" s="40"/>
      <c r="E218" s="40"/>
      <c r="F218" s="40"/>
      <c r="G218" s="96"/>
      <c r="H218" s="111">
        <v>213</v>
      </c>
      <c r="I218" s="112" t="str">
        <f t="shared" si="23"/>
        <v/>
      </c>
      <c r="J218" s="111">
        <f t="shared" si="24"/>
        <v>-3</v>
      </c>
      <c r="K218" s="111">
        <f t="shared" si="25"/>
        <v>-30</v>
      </c>
      <c r="L218" s="111"/>
      <c r="M218" s="113">
        <f t="shared" si="26"/>
        <v>0</v>
      </c>
      <c r="N218" s="113">
        <f t="shared" si="27"/>
        <v>0</v>
      </c>
      <c r="O218" s="96"/>
      <c r="P218" s="96"/>
      <c r="Q218" s="96"/>
      <c r="R218" s="96"/>
      <c r="S218" s="125"/>
      <c r="T218" s="126"/>
    </row>
    <row r="219" spans="1:20" s="101" customFormat="1">
      <c r="A219" s="114">
        <f t="shared" si="22"/>
        <v>0</v>
      </c>
      <c r="B219" s="45" t="str">
        <f t="shared" si="28"/>
        <v/>
      </c>
      <c r="C219" s="46"/>
      <c r="D219" s="46"/>
      <c r="E219" s="46"/>
      <c r="F219" s="46"/>
      <c r="G219" s="96"/>
      <c r="H219" s="115">
        <v>214</v>
      </c>
      <c r="I219" s="116" t="str">
        <f t="shared" si="23"/>
        <v/>
      </c>
      <c r="J219" s="115">
        <f t="shared" si="24"/>
        <v>-3</v>
      </c>
      <c r="K219" s="115">
        <f t="shared" si="25"/>
        <v>-30</v>
      </c>
      <c r="L219" s="115"/>
      <c r="M219" s="117">
        <f t="shared" si="26"/>
        <v>0</v>
      </c>
      <c r="N219" s="117">
        <f t="shared" si="27"/>
        <v>0</v>
      </c>
      <c r="O219" s="96"/>
      <c r="P219" s="96"/>
      <c r="Q219" s="96"/>
      <c r="R219" s="96"/>
      <c r="S219" s="96"/>
    </row>
    <row r="220" spans="1:20" s="101" customFormat="1">
      <c r="A220" s="110">
        <f t="shared" si="22"/>
        <v>0</v>
      </c>
      <c r="B220" s="39" t="str">
        <f t="shared" si="28"/>
        <v/>
      </c>
      <c r="C220" s="40"/>
      <c r="D220" s="40"/>
      <c r="E220" s="40"/>
      <c r="F220" s="40"/>
      <c r="G220" s="96"/>
      <c r="H220" s="111">
        <v>215</v>
      </c>
      <c r="I220" s="112" t="str">
        <f t="shared" si="23"/>
        <v/>
      </c>
      <c r="J220" s="111">
        <f t="shared" si="24"/>
        <v>-3</v>
      </c>
      <c r="K220" s="111">
        <f t="shared" si="25"/>
        <v>-30</v>
      </c>
      <c r="L220" s="111"/>
      <c r="M220" s="113">
        <f t="shared" si="26"/>
        <v>0</v>
      </c>
      <c r="N220" s="113">
        <f t="shared" si="27"/>
        <v>0</v>
      </c>
      <c r="O220" s="96"/>
      <c r="P220" s="96"/>
      <c r="Q220" s="96"/>
      <c r="R220" s="96"/>
      <c r="S220" s="125"/>
      <c r="T220" s="126"/>
    </row>
    <row r="221" spans="1:20" s="101" customFormat="1">
      <c r="A221" s="114">
        <f t="shared" si="22"/>
        <v>0</v>
      </c>
      <c r="B221" s="45" t="str">
        <f t="shared" si="28"/>
        <v/>
      </c>
      <c r="C221" s="46"/>
      <c r="D221" s="46"/>
      <c r="E221" s="46"/>
      <c r="F221" s="46"/>
      <c r="G221" s="96"/>
      <c r="H221" s="115">
        <v>216</v>
      </c>
      <c r="I221" s="116" t="str">
        <f t="shared" si="23"/>
        <v/>
      </c>
      <c r="J221" s="115">
        <f t="shared" si="24"/>
        <v>-3</v>
      </c>
      <c r="K221" s="115">
        <f t="shared" si="25"/>
        <v>-30</v>
      </c>
      <c r="L221" s="115"/>
      <c r="M221" s="117">
        <f t="shared" si="26"/>
        <v>0</v>
      </c>
      <c r="N221" s="117">
        <f t="shared" si="27"/>
        <v>0</v>
      </c>
      <c r="O221" s="96"/>
      <c r="P221" s="96"/>
      <c r="Q221" s="96"/>
      <c r="R221" s="96"/>
      <c r="S221" s="96"/>
    </row>
    <row r="222" spans="1:20" s="101" customFormat="1">
      <c r="A222" s="110">
        <f t="shared" si="22"/>
        <v>0</v>
      </c>
      <c r="B222" s="39" t="str">
        <f t="shared" si="28"/>
        <v/>
      </c>
      <c r="C222" s="40"/>
      <c r="D222" s="40"/>
      <c r="E222" s="40"/>
      <c r="F222" s="40"/>
      <c r="G222" s="96"/>
      <c r="H222" s="111">
        <v>217</v>
      </c>
      <c r="I222" s="112" t="str">
        <f t="shared" si="23"/>
        <v/>
      </c>
      <c r="J222" s="111">
        <f t="shared" si="24"/>
        <v>-3</v>
      </c>
      <c r="K222" s="111">
        <f t="shared" si="25"/>
        <v>-30</v>
      </c>
      <c r="L222" s="111"/>
      <c r="M222" s="113">
        <f t="shared" si="26"/>
        <v>0</v>
      </c>
      <c r="N222" s="113">
        <f t="shared" si="27"/>
        <v>0</v>
      </c>
      <c r="O222" s="96"/>
      <c r="P222" s="96"/>
      <c r="Q222" s="96"/>
      <c r="R222" s="96"/>
      <c r="S222" s="125"/>
      <c r="T222" s="126"/>
    </row>
    <row r="223" spans="1:20" s="101" customFormat="1">
      <c r="A223" s="114">
        <f t="shared" si="22"/>
        <v>0</v>
      </c>
      <c r="B223" s="45" t="str">
        <f t="shared" si="28"/>
        <v/>
      </c>
      <c r="C223" s="46"/>
      <c r="D223" s="46"/>
      <c r="E223" s="46"/>
      <c r="F223" s="46"/>
      <c r="G223" s="96"/>
      <c r="H223" s="115">
        <v>218</v>
      </c>
      <c r="I223" s="116" t="str">
        <f t="shared" si="23"/>
        <v/>
      </c>
      <c r="J223" s="115">
        <f t="shared" si="24"/>
        <v>-3</v>
      </c>
      <c r="K223" s="115">
        <f t="shared" si="25"/>
        <v>-30</v>
      </c>
      <c r="L223" s="115"/>
      <c r="M223" s="117">
        <f t="shared" si="26"/>
        <v>0</v>
      </c>
      <c r="N223" s="117">
        <f t="shared" si="27"/>
        <v>0</v>
      </c>
      <c r="O223" s="96"/>
      <c r="P223" s="96"/>
      <c r="Q223" s="96"/>
      <c r="R223" s="96"/>
      <c r="S223" s="96"/>
    </row>
    <row r="224" spans="1:20" s="101" customFormat="1">
      <c r="A224" s="110">
        <f t="shared" si="22"/>
        <v>0</v>
      </c>
      <c r="B224" s="39" t="str">
        <f t="shared" si="28"/>
        <v/>
      </c>
      <c r="C224" s="40"/>
      <c r="D224" s="40"/>
      <c r="E224" s="40"/>
      <c r="F224" s="40"/>
      <c r="G224" s="96"/>
      <c r="H224" s="111">
        <v>219</v>
      </c>
      <c r="I224" s="112" t="str">
        <f t="shared" si="23"/>
        <v/>
      </c>
      <c r="J224" s="111">
        <f t="shared" si="24"/>
        <v>-3</v>
      </c>
      <c r="K224" s="111">
        <f t="shared" si="25"/>
        <v>-30</v>
      </c>
      <c r="L224" s="111"/>
      <c r="M224" s="113">
        <f t="shared" si="26"/>
        <v>0</v>
      </c>
      <c r="N224" s="113">
        <f t="shared" si="27"/>
        <v>0</v>
      </c>
      <c r="O224" s="96"/>
      <c r="P224" s="96"/>
      <c r="Q224" s="96"/>
      <c r="R224" s="96"/>
      <c r="S224" s="125"/>
      <c r="T224" s="126"/>
    </row>
    <row r="225" spans="1:20" s="101" customFormat="1">
      <c r="A225" s="114">
        <f t="shared" si="22"/>
        <v>0</v>
      </c>
      <c r="B225" s="45" t="str">
        <f t="shared" si="28"/>
        <v/>
      </c>
      <c r="C225" s="46"/>
      <c r="D225" s="46"/>
      <c r="E225" s="46"/>
      <c r="F225" s="46"/>
      <c r="G225" s="96"/>
      <c r="H225" s="115">
        <v>220</v>
      </c>
      <c r="I225" s="116" t="str">
        <f t="shared" si="23"/>
        <v/>
      </c>
      <c r="J225" s="115">
        <f t="shared" si="24"/>
        <v>-3</v>
      </c>
      <c r="K225" s="115">
        <f t="shared" si="25"/>
        <v>-30</v>
      </c>
      <c r="L225" s="115"/>
      <c r="M225" s="117">
        <f t="shared" si="26"/>
        <v>0</v>
      </c>
      <c r="N225" s="117">
        <f t="shared" si="27"/>
        <v>0</v>
      </c>
      <c r="O225" s="96"/>
      <c r="P225" s="96"/>
      <c r="Q225" s="96"/>
      <c r="R225" s="96"/>
      <c r="S225" s="96"/>
    </row>
    <row r="226" spans="1:20" s="101" customFormat="1">
      <c r="A226" s="110">
        <f t="shared" si="22"/>
        <v>0</v>
      </c>
      <c r="B226" s="39" t="str">
        <f t="shared" si="28"/>
        <v/>
      </c>
      <c r="C226" s="40"/>
      <c r="D226" s="40"/>
      <c r="E226" s="40"/>
      <c r="F226" s="40"/>
      <c r="G226" s="96"/>
      <c r="H226" s="111">
        <v>221</v>
      </c>
      <c r="I226" s="112" t="str">
        <f t="shared" si="23"/>
        <v/>
      </c>
      <c r="J226" s="111">
        <f t="shared" si="24"/>
        <v>-3</v>
      </c>
      <c r="K226" s="111">
        <f t="shared" si="25"/>
        <v>-30</v>
      </c>
      <c r="L226" s="111"/>
      <c r="M226" s="113">
        <f t="shared" si="26"/>
        <v>0</v>
      </c>
      <c r="N226" s="113">
        <f t="shared" si="27"/>
        <v>0</v>
      </c>
      <c r="O226" s="96"/>
      <c r="P226" s="96"/>
      <c r="Q226" s="96"/>
      <c r="R226" s="96"/>
      <c r="S226" s="125"/>
      <c r="T226" s="126"/>
    </row>
    <row r="227" spans="1:20" s="101" customFormat="1">
      <c r="A227" s="114">
        <f t="shared" si="22"/>
        <v>0</v>
      </c>
      <c r="B227" s="45" t="str">
        <f t="shared" si="28"/>
        <v/>
      </c>
      <c r="C227" s="46"/>
      <c r="D227" s="46"/>
      <c r="E227" s="46"/>
      <c r="F227" s="46"/>
      <c r="G227" s="96"/>
      <c r="H227" s="115">
        <v>222</v>
      </c>
      <c r="I227" s="116" t="str">
        <f t="shared" si="23"/>
        <v/>
      </c>
      <c r="J227" s="115">
        <f t="shared" si="24"/>
        <v>-3</v>
      </c>
      <c r="K227" s="115">
        <f t="shared" si="25"/>
        <v>-30</v>
      </c>
      <c r="L227" s="115"/>
      <c r="M227" s="117">
        <f t="shared" si="26"/>
        <v>0</v>
      </c>
      <c r="N227" s="117">
        <f t="shared" si="27"/>
        <v>0</v>
      </c>
      <c r="O227" s="96"/>
      <c r="P227" s="96"/>
      <c r="Q227" s="96"/>
      <c r="R227" s="96"/>
      <c r="S227" s="96"/>
    </row>
    <row r="228" spans="1:20" s="101" customFormat="1">
      <c r="A228" s="110">
        <f t="shared" si="22"/>
        <v>0</v>
      </c>
      <c r="B228" s="39" t="str">
        <f t="shared" si="28"/>
        <v/>
      </c>
      <c r="C228" s="40"/>
      <c r="D228" s="40"/>
      <c r="E228" s="40"/>
      <c r="F228" s="40"/>
      <c r="G228" s="96"/>
      <c r="H228" s="111">
        <v>223</v>
      </c>
      <c r="I228" s="112" t="str">
        <f t="shared" si="23"/>
        <v/>
      </c>
      <c r="J228" s="111">
        <f t="shared" si="24"/>
        <v>-3</v>
      </c>
      <c r="K228" s="111">
        <f t="shared" si="25"/>
        <v>-30</v>
      </c>
      <c r="L228" s="111"/>
      <c r="M228" s="113">
        <f t="shared" si="26"/>
        <v>0</v>
      </c>
      <c r="N228" s="113">
        <f t="shared" si="27"/>
        <v>0</v>
      </c>
      <c r="O228" s="96"/>
      <c r="P228" s="96"/>
      <c r="Q228" s="96"/>
      <c r="R228" s="96"/>
      <c r="S228" s="125"/>
      <c r="T228" s="126"/>
    </row>
    <row r="229" spans="1:20" s="101" customFormat="1">
      <c r="A229" s="114">
        <f t="shared" si="22"/>
        <v>0</v>
      </c>
      <c r="B229" s="45" t="str">
        <f t="shared" si="28"/>
        <v/>
      </c>
      <c r="C229" s="46"/>
      <c r="D229" s="46"/>
      <c r="E229" s="46"/>
      <c r="F229" s="46"/>
      <c r="G229" s="96"/>
      <c r="H229" s="115">
        <v>224</v>
      </c>
      <c r="I229" s="116" t="str">
        <f t="shared" si="23"/>
        <v/>
      </c>
      <c r="J229" s="115">
        <f t="shared" si="24"/>
        <v>-3</v>
      </c>
      <c r="K229" s="115">
        <f t="shared" si="25"/>
        <v>-30</v>
      </c>
      <c r="L229" s="115"/>
      <c r="M229" s="117">
        <f t="shared" si="26"/>
        <v>0</v>
      </c>
      <c r="N229" s="117">
        <f t="shared" si="27"/>
        <v>0</v>
      </c>
      <c r="O229" s="96"/>
      <c r="P229" s="96"/>
      <c r="Q229" s="96"/>
      <c r="R229" s="96"/>
      <c r="S229" s="96"/>
    </row>
    <row r="230" spans="1:20" s="101" customFormat="1">
      <c r="A230" s="110">
        <f t="shared" si="22"/>
        <v>0</v>
      </c>
      <c r="B230" s="39" t="str">
        <f t="shared" si="28"/>
        <v/>
      </c>
      <c r="C230" s="40"/>
      <c r="D230" s="40"/>
      <c r="E230" s="40"/>
      <c r="F230" s="40"/>
      <c r="G230" s="96"/>
      <c r="H230" s="111">
        <v>225</v>
      </c>
      <c r="I230" s="112" t="str">
        <f t="shared" si="23"/>
        <v/>
      </c>
      <c r="J230" s="111">
        <f t="shared" si="24"/>
        <v>-3</v>
      </c>
      <c r="K230" s="111">
        <f t="shared" si="25"/>
        <v>-30</v>
      </c>
      <c r="L230" s="111"/>
      <c r="M230" s="113">
        <f t="shared" si="26"/>
        <v>0</v>
      </c>
      <c r="N230" s="113">
        <f t="shared" si="27"/>
        <v>0</v>
      </c>
      <c r="O230" s="96"/>
      <c r="P230" s="96"/>
      <c r="Q230" s="96"/>
      <c r="R230" s="96"/>
      <c r="S230" s="125"/>
      <c r="T230" s="126"/>
    </row>
    <row r="231" spans="1:20" s="101" customFormat="1">
      <c r="A231" s="114">
        <f t="shared" si="22"/>
        <v>0</v>
      </c>
      <c r="B231" s="45" t="str">
        <f t="shared" si="28"/>
        <v/>
      </c>
      <c r="C231" s="46"/>
      <c r="D231" s="46"/>
      <c r="E231" s="46"/>
      <c r="F231" s="46"/>
      <c r="G231" s="96"/>
      <c r="H231" s="115">
        <v>226</v>
      </c>
      <c r="I231" s="116" t="str">
        <f t="shared" si="23"/>
        <v/>
      </c>
      <c r="J231" s="115">
        <f t="shared" si="24"/>
        <v>-3</v>
      </c>
      <c r="K231" s="115">
        <f t="shared" si="25"/>
        <v>-30</v>
      </c>
      <c r="L231" s="115"/>
      <c r="M231" s="117">
        <f t="shared" si="26"/>
        <v>0</v>
      </c>
      <c r="N231" s="117">
        <f t="shared" si="27"/>
        <v>0</v>
      </c>
      <c r="O231" s="96"/>
      <c r="P231" s="96"/>
      <c r="Q231" s="96"/>
      <c r="R231" s="96"/>
      <c r="S231" s="96"/>
    </row>
    <row r="232" spans="1:20" s="101" customFormat="1">
      <c r="A232" s="110">
        <f t="shared" si="22"/>
        <v>0</v>
      </c>
      <c r="B232" s="39" t="str">
        <f t="shared" si="28"/>
        <v/>
      </c>
      <c r="C232" s="40"/>
      <c r="D232" s="40"/>
      <c r="E232" s="40"/>
      <c r="F232" s="40"/>
      <c r="G232" s="96"/>
      <c r="H232" s="111">
        <v>227</v>
      </c>
      <c r="I232" s="112" t="str">
        <f t="shared" si="23"/>
        <v/>
      </c>
      <c r="J232" s="111">
        <f t="shared" si="24"/>
        <v>-3</v>
      </c>
      <c r="K232" s="111">
        <f t="shared" si="25"/>
        <v>-30</v>
      </c>
      <c r="L232" s="111"/>
      <c r="M232" s="113">
        <f t="shared" si="26"/>
        <v>0</v>
      </c>
      <c r="N232" s="113">
        <f t="shared" si="27"/>
        <v>0</v>
      </c>
      <c r="O232" s="96"/>
      <c r="P232" s="96"/>
      <c r="Q232" s="96"/>
      <c r="R232" s="96"/>
      <c r="S232" s="125"/>
      <c r="T232" s="126"/>
    </row>
    <row r="233" spans="1:20" s="101" customFormat="1">
      <c r="A233" s="114">
        <f t="shared" si="22"/>
        <v>0</v>
      </c>
      <c r="B233" s="45" t="str">
        <f t="shared" si="28"/>
        <v/>
      </c>
      <c r="C233" s="46"/>
      <c r="D233" s="46"/>
      <c r="E233" s="46"/>
      <c r="F233" s="46"/>
      <c r="G233" s="96"/>
      <c r="H233" s="115">
        <v>228</v>
      </c>
      <c r="I233" s="116" t="str">
        <f t="shared" si="23"/>
        <v/>
      </c>
      <c r="J233" s="115">
        <f t="shared" si="24"/>
        <v>-3</v>
      </c>
      <c r="K233" s="115">
        <f t="shared" si="25"/>
        <v>-30</v>
      </c>
      <c r="L233" s="115"/>
      <c r="M233" s="117">
        <f t="shared" si="26"/>
        <v>0</v>
      </c>
      <c r="N233" s="117">
        <f t="shared" si="27"/>
        <v>0</v>
      </c>
      <c r="O233" s="96"/>
      <c r="P233" s="96"/>
      <c r="Q233" s="96"/>
      <c r="R233" s="96"/>
      <c r="S233" s="96"/>
    </row>
    <row r="234" spans="1:20" s="101" customFormat="1">
      <c r="A234" s="110">
        <f t="shared" si="22"/>
        <v>0</v>
      </c>
      <c r="B234" s="39" t="str">
        <f t="shared" si="28"/>
        <v/>
      </c>
      <c r="C234" s="40"/>
      <c r="D234" s="40"/>
      <c r="E234" s="40"/>
      <c r="F234" s="40"/>
      <c r="G234" s="96"/>
      <c r="H234" s="111">
        <v>229</v>
      </c>
      <c r="I234" s="112" t="str">
        <f t="shared" si="23"/>
        <v/>
      </c>
      <c r="J234" s="111">
        <f t="shared" si="24"/>
        <v>-3</v>
      </c>
      <c r="K234" s="111">
        <f t="shared" si="25"/>
        <v>-30</v>
      </c>
      <c r="L234" s="111"/>
      <c r="M234" s="113">
        <f t="shared" si="26"/>
        <v>0</v>
      </c>
      <c r="N234" s="113">
        <f t="shared" si="27"/>
        <v>0</v>
      </c>
      <c r="O234" s="96"/>
      <c r="P234" s="96"/>
      <c r="Q234" s="96"/>
      <c r="R234" s="96"/>
      <c r="S234" s="125"/>
      <c r="T234" s="126"/>
    </row>
    <row r="235" spans="1:20" s="101" customFormat="1">
      <c r="A235" s="114">
        <f t="shared" si="22"/>
        <v>0</v>
      </c>
      <c r="B235" s="45" t="str">
        <f t="shared" si="28"/>
        <v/>
      </c>
      <c r="C235" s="46"/>
      <c r="D235" s="46"/>
      <c r="E235" s="46"/>
      <c r="F235" s="46"/>
      <c r="G235" s="96"/>
      <c r="H235" s="115">
        <v>230</v>
      </c>
      <c r="I235" s="116" t="str">
        <f t="shared" si="23"/>
        <v/>
      </c>
      <c r="J235" s="115">
        <f t="shared" si="24"/>
        <v>-3</v>
      </c>
      <c r="K235" s="115">
        <f t="shared" si="25"/>
        <v>-30</v>
      </c>
      <c r="L235" s="115"/>
      <c r="M235" s="117">
        <f t="shared" si="26"/>
        <v>0</v>
      </c>
      <c r="N235" s="117">
        <f t="shared" si="27"/>
        <v>0</v>
      </c>
      <c r="O235" s="96"/>
      <c r="P235" s="96"/>
      <c r="Q235" s="96"/>
      <c r="R235" s="96"/>
      <c r="S235" s="96"/>
    </row>
    <row r="236" spans="1:20" s="101" customFormat="1">
      <c r="A236" s="110">
        <f t="shared" si="22"/>
        <v>0</v>
      </c>
      <c r="B236" s="39" t="str">
        <f t="shared" si="28"/>
        <v/>
      </c>
      <c r="C236" s="40"/>
      <c r="D236" s="40"/>
      <c r="E236" s="40"/>
      <c r="F236" s="40"/>
      <c r="G236" s="96"/>
      <c r="H236" s="111">
        <v>231</v>
      </c>
      <c r="I236" s="112" t="str">
        <f t="shared" si="23"/>
        <v/>
      </c>
      <c r="J236" s="111">
        <f t="shared" si="24"/>
        <v>-3</v>
      </c>
      <c r="K236" s="111">
        <f t="shared" si="25"/>
        <v>-30</v>
      </c>
      <c r="L236" s="111"/>
      <c r="M236" s="113">
        <f t="shared" si="26"/>
        <v>0</v>
      </c>
      <c r="N236" s="113">
        <f t="shared" si="27"/>
        <v>0</v>
      </c>
      <c r="O236" s="96"/>
      <c r="P236" s="96"/>
      <c r="Q236" s="96"/>
      <c r="R236" s="96"/>
      <c r="S236" s="125"/>
      <c r="T236" s="126"/>
    </row>
    <row r="237" spans="1:20" s="101" customFormat="1">
      <c r="A237" s="114">
        <f t="shared" si="22"/>
        <v>0</v>
      </c>
      <c r="B237" s="45" t="str">
        <f t="shared" si="28"/>
        <v/>
      </c>
      <c r="C237" s="46"/>
      <c r="D237" s="46"/>
      <c r="E237" s="46"/>
      <c r="F237" s="46"/>
      <c r="G237" s="96"/>
      <c r="H237" s="115">
        <v>232</v>
      </c>
      <c r="I237" s="116" t="str">
        <f t="shared" si="23"/>
        <v/>
      </c>
      <c r="J237" s="115">
        <f t="shared" si="24"/>
        <v>-3</v>
      </c>
      <c r="K237" s="115">
        <f t="shared" si="25"/>
        <v>-30</v>
      </c>
      <c r="L237" s="115"/>
      <c r="M237" s="117">
        <f t="shared" si="26"/>
        <v>0</v>
      </c>
      <c r="N237" s="117">
        <f t="shared" si="27"/>
        <v>0</v>
      </c>
      <c r="O237" s="96"/>
      <c r="P237" s="96"/>
      <c r="Q237" s="96"/>
      <c r="R237" s="96"/>
      <c r="S237" s="96"/>
    </row>
    <row r="238" spans="1:20" s="101" customFormat="1">
      <c r="A238" s="110">
        <f t="shared" si="22"/>
        <v>0</v>
      </c>
      <c r="B238" s="39" t="str">
        <f t="shared" si="28"/>
        <v/>
      </c>
      <c r="C238" s="40"/>
      <c r="D238" s="40"/>
      <c r="E238" s="40"/>
      <c r="F238" s="40"/>
      <c r="G238" s="96"/>
      <c r="H238" s="111">
        <v>233</v>
      </c>
      <c r="I238" s="112" t="str">
        <f t="shared" si="23"/>
        <v/>
      </c>
      <c r="J238" s="111">
        <f t="shared" si="24"/>
        <v>-3</v>
      </c>
      <c r="K238" s="111">
        <f t="shared" si="25"/>
        <v>-30</v>
      </c>
      <c r="L238" s="111"/>
      <c r="M238" s="113">
        <f t="shared" si="26"/>
        <v>0</v>
      </c>
      <c r="N238" s="113">
        <f t="shared" si="27"/>
        <v>0</v>
      </c>
      <c r="O238" s="96"/>
      <c r="P238" s="96"/>
      <c r="Q238" s="96"/>
      <c r="R238" s="96"/>
      <c r="S238" s="125"/>
      <c r="T238" s="126"/>
    </row>
    <row r="239" spans="1:20" s="101" customFormat="1">
      <c r="A239" s="114">
        <f t="shared" si="22"/>
        <v>0</v>
      </c>
      <c r="B239" s="45" t="str">
        <f t="shared" si="28"/>
        <v/>
      </c>
      <c r="C239" s="46"/>
      <c r="D239" s="46"/>
      <c r="E239" s="46"/>
      <c r="F239" s="46"/>
      <c r="G239" s="96"/>
      <c r="H239" s="115">
        <v>234</v>
      </c>
      <c r="I239" s="116" t="str">
        <f t="shared" si="23"/>
        <v/>
      </c>
      <c r="J239" s="115">
        <f t="shared" si="24"/>
        <v>-3</v>
      </c>
      <c r="K239" s="115">
        <f t="shared" si="25"/>
        <v>-30</v>
      </c>
      <c r="L239" s="115"/>
      <c r="M239" s="117">
        <f t="shared" si="26"/>
        <v>0</v>
      </c>
      <c r="N239" s="117">
        <f t="shared" si="27"/>
        <v>0</v>
      </c>
      <c r="O239" s="96"/>
      <c r="P239" s="96"/>
      <c r="Q239" s="96"/>
      <c r="R239" s="96"/>
      <c r="S239" s="96"/>
    </row>
    <row r="240" spans="1:20" s="101" customFormat="1">
      <c r="A240" s="110">
        <f t="shared" si="22"/>
        <v>0</v>
      </c>
      <c r="B240" s="39" t="str">
        <f t="shared" si="28"/>
        <v/>
      </c>
      <c r="C240" s="40"/>
      <c r="D240" s="40"/>
      <c r="E240" s="40"/>
      <c r="F240" s="40"/>
      <c r="G240" s="96"/>
      <c r="H240" s="111">
        <v>235</v>
      </c>
      <c r="I240" s="112" t="str">
        <f t="shared" si="23"/>
        <v/>
      </c>
      <c r="J240" s="111">
        <f t="shared" si="24"/>
        <v>-3</v>
      </c>
      <c r="K240" s="111">
        <f t="shared" si="25"/>
        <v>-30</v>
      </c>
      <c r="L240" s="111"/>
      <c r="M240" s="113">
        <f t="shared" si="26"/>
        <v>0</v>
      </c>
      <c r="N240" s="113">
        <f t="shared" si="27"/>
        <v>0</v>
      </c>
      <c r="O240" s="96"/>
      <c r="P240" s="96"/>
      <c r="Q240" s="96"/>
      <c r="R240" s="96"/>
      <c r="S240" s="125"/>
      <c r="T240" s="126"/>
    </row>
    <row r="241" spans="1:20" s="101" customFormat="1">
      <c r="A241" s="114">
        <f t="shared" si="22"/>
        <v>0</v>
      </c>
      <c r="B241" s="45" t="str">
        <f t="shared" si="28"/>
        <v/>
      </c>
      <c r="C241" s="46"/>
      <c r="D241" s="46"/>
      <c r="E241" s="46"/>
      <c r="F241" s="46"/>
      <c r="G241" s="96"/>
      <c r="H241" s="115">
        <v>236</v>
      </c>
      <c r="I241" s="116" t="str">
        <f t="shared" si="23"/>
        <v/>
      </c>
      <c r="J241" s="115">
        <f t="shared" si="24"/>
        <v>-3</v>
      </c>
      <c r="K241" s="115">
        <f t="shared" si="25"/>
        <v>-30</v>
      </c>
      <c r="L241" s="115"/>
      <c r="M241" s="117">
        <f t="shared" si="26"/>
        <v>0</v>
      </c>
      <c r="N241" s="117">
        <f t="shared" si="27"/>
        <v>0</v>
      </c>
      <c r="O241" s="96"/>
      <c r="P241" s="96"/>
      <c r="Q241" s="96"/>
      <c r="R241" s="96"/>
      <c r="S241" s="96"/>
    </row>
    <row r="242" spans="1:20" s="101" customFormat="1">
      <c r="A242" s="110">
        <f t="shared" si="22"/>
        <v>0</v>
      </c>
      <c r="B242" s="39" t="str">
        <f t="shared" si="28"/>
        <v/>
      </c>
      <c r="C242" s="40"/>
      <c r="D242" s="40"/>
      <c r="E242" s="40"/>
      <c r="F242" s="40"/>
      <c r="G242" s="96"/>
      <c r="H242" s="111">
        <v>237</v>
      </c>
      <c r="I242" s="112" t="str">
        <f t="shared" si="23"/>
        <v/>
      </c>
      <c r="J242" s="111">
        <f t="shared" si="24"/>
        <v>-3</v>
      </c>
      <c r="K242" s="111">
        <f t="shared" si="25"/>
        <v>-30</v>
      </c>
      <c r="L242" s="111"/>
      <c r="M242" s="113">
        <f t="shared" si="26"/>
        <v>0</v>
      </c>
      <c r="N242" s="113">
        <f t="shared" si="27"/>
        <v>0</v>
      </c>
      <c r="O242" s="96"/>
      <c r="P242" s="96"/>
      <c r="Q242" s="96"/>
      <c r="R242" s="96"/>
      <c r="S242" s="125"/>
      <c r="T242" s="126"/>
    </row>
    <row r="243" spans="1:20" s="101" customFormat="1">
      <c r="A243" s="114">
        <f t="shared" si="22"/>
        <v>0</v>
      </c>
      <c r="B243" s="45" t="str">
        <f t="shared" si="28"/>
        <v/>
      </c>
      <c r="C243" s="46"/>
      <c r="D243" s="46"/>
      <c r="E243" s="46"/>
      <c r="F243" s="46"/>
      <c r="G243" s="96"/>
      <c r="H243" s="115">
        <v>238</v>
      </c>
      <c r="I243" s="116" t="str">
        <f t="shared" si="23"/>
        <v/>
      </c>
      <c r="J243" s="115">
        <f t="shared" si="24"/>
        <v>-3</v>
      </c>
      <c r="K243" s="115">
        <f t="shared" si="25"/>
        <v>-30</v>
      </c>
      <c r="L243" s="115"/>
      <c r="M243" s="117">
        <f t="shared" si="26"/>
        <v>0</v>
      </c>
      <c r="N243" s="117">
        <f t="shared" si="27"/>
        <v>0</v>
      </c>
      <c r="O243" s="96"/>
      <c r="P243" s="96"/>
      <c r="Q243" s="96"/>
      <c r="R243" s="96"/>
      <c r="S243" s="96"/>
    </row>
    <row r="244" spans="1:20" s="101" customFormat="1">
      <c r="A244" s="110">
        <f t="shared" si="22"/>
        <v>0</v>
      </c>
      <c r="B244" s="39" t="str">
        <f t="shared" si="28"/>
        <v/>
      </c>
      <c r="C244" s="40"/>
      <c r="D244" s="40"/>
      <c r="E244" s="40"/>
      <c r="F244" s="40"/>
      <c r="G244" s="96"/>
      <c r="H244" s="111">
        <v>239</v>
      </c>
      <c r="I244" s="112" t="str">
        <f t="shared" si="23"/>
        <v/>
      </c>
      <c r="J244" s="111">
        <f t="shared" si="24"/>
        <v>-3</v>
      </c>
      <c r="K244" s="111">
        <f t="shared" si="25"/>
        <v>-30</v>
      </c>
      <c r="L244" s="111"/>
      <c r="M244" s="113">
        <f t="shared" si="26"/>
        <v>0</v>
      </c>
      <c r="N244" s="113">
        <f t="shared" si="27"/>
        <v>0</v>
      </c>
      <c r="O244" s="96"/>
      <c r="P244" s="96"/>
      <c r="Q244" s="96"/>
      <c r="R244" s="96"/>
      <c r="S244" s="125"/>
      <c r="T244" s="126"/>
    </row>
    <row r="245" spans="1:20" s="101" customFormat="1">
      <c r="A245" s="114">
        <f t="shared" si="22"/>
        <v>0</v>
      </c>
      <c r="B245" s="45" t="str">
        <f t="shared" si="28"/>
        <v/>
      </c>
      <c r="C245" s="46"/>
      <c r="D245" s="46"/>
      <c r="E245" s="46"/>
      <c r="F245" s="46"/>
      <c r="G245" s="96"/>
      <c r="H245" s="115">
        <v>240</v>
      </c>
      <c r="I245" s="116" t="str">
        <f t="shared" si="23"/>
        <v/>
      </c>
      <c r="J245" s="115">
        <f t="shared" si="24"/>
        <v>-3</v>
      </c>
      <c r="K245" s="115">
        <f t="shared" si="25"/>
        <v>-30</v>
      </c>
      <c r="L245" s="115"/>
      <c r="M245" s="117">
        <f t="shared" si="26"/>
        <v>0</v>
      </c>
      <c r="N245" s="117">
        <f t="shared" si="27"/>
        <v>0</v>
      </c>
      <c r="O245" s="96"/>
      <c r="P245" s="96"/>
      <c r="Q245" s="96"/>
      <c r="R245" s="96"/>
      <c r="S245" s="96"/>
    </row>
    <row r="246" spans="1:20" s="101" customFormat="1">
      <c r="A246" s="110">
        <f t="shared" si="22"/>
        <v>0</v>
      </c>
      <c r="B246" s="39" t="str">
        <f t="shared" si="28"/>
        <v/>
      </c>
      <c r="C246" s="40"/>
      <c r="D246" s="40"/>
      <c r="E246" s="40"/>
      <c r="F246" s="40"/>
      <c r="G246" s="96"/>
      <c r="H246" s="111">
        <v>241</v>
      </c>
      <c r="I246" s="112" t="str">
        <f t="shared" si="23"/>
        <v/>
      </c>
      <c r="J246" s="111">
        <f t="shared" si="24"/>
        <v>-3</v>
      </c>
      <c r="K246" s="111">
        <f t="shared" si="25"/>
        <v>-30</v>
      </c>
      <c r="L246" s="111"/>
      <c r="M246" s="113">
        <f t="shared" si="26"/>
        <v>0</v>
      </c>
      <c r="N246" s="113">
        <f t="shared" si="27"/>
        <v>0</v>
      </c>
      <c r="O246" s="96"/>
      <c r="P246" s="96"/>
      <c r="Q246" s="96"/>
      <c r="R246" s="96"/>
      <c r="S246" s="125"/>
      <c r="T246" s="126"/>
    </row>
    <row r="247" spans="1:20" s="101" customFormat="1">
      <c r="A247" s="114">
        <f t="shared" si="22"/>
        <v>0</v>
      </c>
      <c r="B247" s="45" t="str">
        <f t="shared" si="28"/>
        <v/>
      </c>
      <c r="C247" s="46"/>
      <c r="D247" s="46"/>
      <c r="E247" s="46"/>
      <c r="F247" s="46"/>
      <c r="G247" s="96"/>
      <c r="H247" s="115">
        <v>242</v>
      </c>
      <c r="I247" s="116" t="str">
        <f t="shared" si="23"/>
        <v/>
      </c>
      <c r="J247" s="115">
        <f t="shared" si="24"/>
        <v>-3</v>
      </c>
      <c r="K247" s="115">
        <f t="shared" si="25"/>
        <v>-30</v>
      </c>
      <c r="L247" s="115"/>
      <c r="M247" s="117">
        <f t="shared" si="26"/>
        <v>0</v>
      </c>
      <c r="N247" s="117">
        <f t="shared" si="27"/>
        <v>0</v>
      </c>
      <c r="O247" s="96"/>
      <c r="P247" s="96"/>
      <c r="Q247" s="96"/>
      <c r="R247" s="96"/>
      <c r="S247" s="96"/>
    </row>
    <row r="248" spans="1:20" s="101" customFormat="1">
      <c r="A248" s="110">
        <f t="shared" si="22"/>
        <v>0</v>
      </c>
      <c r="B248" s="39" t="str">
        <f t="shared" si="28"/>
        <v/>
      </c>
      <c r="C248" s="40"/>
      <c r="D248" s="40"/>
      <c r="E248" s="40"/>
      <c r="F248" s="40"/>
      <c r="G248" s="96"/>
      <c r="H248" s="111">
        <v>243</v>
      </c>
      <c r="I248" s="112" t="str">
        <f t="shared" si="23"/>
        <v/>
      </c>
      <c r="J248" s="111">
        <f t="shared" si="24"/>
        <v>-3</v>
      </c>
      <c r="K248" s="111">
        <f t="shared" si="25"/>
        <v>-30</v>
      </c>
      <c r="L248" s="111"/>
      <c r="M248" s="113">
        <f t="shared" si="26"/>
        <v>0</v>
      </c>
      <c r="N248" s="113">
        <f t="shared" si="27"/>
        <v>0</v>
      </c>
      <c r="O248" s="96"/>
      <c r="P248" s="96"/>
      <c r="Q248" s="96"/>
      <c r="R248" s="96"/>
      <c r="S248" s="125"/>
      <c r="T248" s="126"/>
    </row>
    <row r="249" spans="1:20" s="101" customFormat="1">
      <c r="A249" s="114">
        <f t="shared" si="22"/>
        <v>0</v>
      </c>
      <c r="B249" s="45" t="str">
        <f t="shared" si="28"/>
        <v/>
      </c>
      <c r="C249" s="46"/>
      <c r="D249" s="46"/>
      <c r="E249" s="46"/>
      <c r="F249" s="46"/>
      <c r="G249" s="96"/>
      <c r="H249" s="115">
        <v>244</v>
      </c>
      <c r="I249" s="116" t="str">
        <f t="shared" si="23"/>
        <v/>
      </c>
      <c r="J249" s="115">
        <f t="shared" si="24"/>
        <v>-3</v>
      </c>
      <c r="K249" s="115">
        <f t="shared" si="25"/>
        <v>-30</v>
      </c>
      <c r="L249" s="115"/>
      <c r="M249" s="117">
        <f t="shared" si="26"/>
        <v>0</v>
      </c>
      <c r="N249" s="117">
        <f t="shared" si="27"/>
        <v>0</v>
      </c>
      <c r="O249" s="96"/>
      <c r="P249" s="96"/>
      <c r="Q249" s="96"/>
      <c r="R249" s="96"/>
      <c r="S249" s="96"/>
    </row>
    <row r="250" spans="1:20" s="101" customFormat="1">
      <c r="A250" s="110">
        <f t="shared" si="22"/>
        <v>0</v>
      </c>
      <c r="B250" s="39" t="str">
        <f t="shared" si="28"/>
        <v/>
      </c>
      <c r="C250" s="40"/>
      <c r="D250" s="40"/>
      <c r="E250" s="40"/>
      <c r="F250" s="40"/>
      <c r="G250" s="96"/>
      <c r="H250" s="111">
        <v>245</v>
      </c>
      <c r="I250" s="112" t="str">
        <f t="shared" si="23"/>
        <v/>
      </c>
      <c r="J250" s="111">
        <f t="shared" si="24"/>
        <v>-3</v>
      </c>
      <c r="K250" s="111">
        <f t="shared" si="25"/>
        <v>-30</v>
      </c>
      <c r="L250" s="111"/>
      <c r="M250" s="113">
        <f t="shared" si="26"/>
        <v>0</v>
      </c>
      <c r="N250" s="113">
        <f t="shared" si="27"/>
        <v>0</v>
      </c>
      <c r="O250" s="96"/>
      <c r="P250" s="96"/>
      <c r="Q250" s="96"/>
      <c r="R250" s="96"/>
      <c r="S250" s="125"/>
      <c r="T250" s="126"/>
    </row>
    <row r="251" spans="1:20" s="101" customFormat="1">
      <c r="A251" s="114">
        <f t="shared" si="22"/>
        <v>0</v>
      </c>
      <c r="B251" s="131"/>
      <c r="C251" s="131"/>
      <c r="D251" s="131"/>
      <c r="E251" s="131"/>
      <c r="F251" s="131"/>
      <c r="G251" s="96"/>
      <c r="H251" s="111">
        <v>246</v>
      </c>
      <c r="I251" s="112" t="str">
        <f t="shared" si="23"/>
        <v/>
      </c>
      <c r="J251" s="111">
        <f t="shared" si="24"/>
        <v>-3</v>
      </c>
      <c r="K251" s="111">
        <f t="shared" si="25"/>
        <v>-30</v>
      </c>
      <c r="L251" s="111"/>
      <c r="M251" s="113">
        <f t="shared" si="26"/>
        <v>0</v>
      </c>
      <c r="N251" s="113">
        <f t="shared" si="27"/>
        <v>0</v>
      </c>
      <c r="O251" s="96"/>
      <c r="P251" s="96"/>
      <c r="Q251" s="96"/>
      <c r="R251" s="96"/>
      <c r="S251" s="96"/>
    </row>
    <row r="252" spans="1:20" s="101" customFormat="1">
      <c r="A252" s="110">
        <f t="shared" si="22"/>
        <v>0</v>
      </c>
      <c r="B252" s="131"/>
      <c r="C252" s="131"/>
      <c r="D252" s="131"/>
      <c r="E252" s="131"/>
      <c r="F252" s="131"/>
      <c r="G252" s="96"/>
      <c r="H252" s="111">
        <v>247</v>
      </c>
      <c r="I252" s="112" t="str">
        <f t="shared" si="23"/>
        <v/>
      </c>
      <c r="J252" s="111">
        <f t="shared" si="24"/>
        <v>-3</v>
      </c>
      <c r="K252" s="111">
        <f t="shared" si="25"/>
        <v>-30</v>
      </c>
      <c r="L252" s="111"/>
      <c r="M252" s="113">
        <f t="shared" si="26"/>
        <v>0</v>
      </c>
      <c r="N252" s="113">
        <f t="shared" si="27"/>
        <v>0</v>
      </c>
      <c r="O252" s="96"/>
      <c r="P252" s="96"/>
      <c r="Q252" s="96"/>
      <c r="R252" s="96"/>
      <c r="S252" s="96"/>
    </row>
    <row r="253" spans="1:20" s="101" customFormat="1">
      <c r="A253" s="114">
        <f t="shared" si="22"/>
        <v>0</v>
      </c>
      <c r="B253" s="131"/>
      <c r="C253" s="131"/>
      <c r="D253" s="131"/>
      <c r="E253" s="131"/>
      <c r="F253" s="131"/>
      <c r="G253" s="96"/>
      <c r="H253" s="111">
        <v>248</v>
      </c>
      <c r="I253" s="112" t="str">
        <f t="shared" si="23"/>
        <v/>
      </c>
      <c r="J253" s="111">
        <f t="shared" si="24"/>
        <v>-3</v>
      </c>
      <c r="K253" s="111">
        <f t="shared" si="25"/>
        <v>-30</v>
      </c>
      <c r="L253" s="111"/>
      <c r="M253" s="113">
        <f t="shared" si="26"/>
        <v>0</v>
      </c>
      <c r="N253" s="113">
        <f t="shared" si="27"/>
        <v>0</v>
      </c>
      <c r="O253" s="96"/>
      <c r="P253" s="96"/>
      <c r="Q253" s="96"/>
      <c r="R253" s="96"/>
      <c r="S253" s="96"/>
    </row>
    <row r="254" spans="1:20" s="101" customFormat="1">
      <c r="A254" s="110">
        <f t="shared" si="22"/>
        <v>0</v>
      </c>
      <c r="B254" s="131"/>
      <c r="C254" s="131"/>
      <c r="D254" s="131"/>
      <c r="E254" s="131"/>
      <c r="F254" s="131"/>
      <c r="G254" s="96"/>
      <c r="H254" s="111">
        <v>249</v>
      </c>
      <c r="I254" s="112" t="str">
        <f t="shared" si="23"/>
        <v/>
      </c>
      <c r="J254" s="111">
        <f t="shared" si="24"/>
        <v>-3</v>
      </c>
      <c r="K254" s="111">
        <f t="shared" si="25"/>
        <v>-30</v>
      </c>
      <c r="L254" s="111"/>
      <c r="M254" s="113">
        <f t="shared" si="26"/>
        <v>0</v>
      </c>
      <c r="N254" s="113">
        <f t="shared" si="27"/>
        <v>0</v>
      </c>
      <c r="O254" s="96"/>
      <c r="P254" s="96"/>
      <c r="Q254" s="96"/>
      <c r="R254" s="96"/>
      <c r="S254" s="96"/>
    </row>
    <row r="255" spans="1:20" s="101" customFormat="1">
      <c r="A255" s="114">
        <f t="shared" si="22"/>
        <v>0</v>
      </c>
      <c r="B255" s="131"/>
      <c r="C255" s="131"/>
      <c r="D255" s="131"/>
      <c r="E255" s="131"/>
      <c r="F255" s="131"/>
      <c r="G255" s="96"/>
      <c r="H255" s="111">
        <v>250</v>
      </c>
      <c r="I255" s="112" t="str">
        <f t="shared" si="23"/>
        <v/>
      </c>
      <c r="J255" s="111">
        <f t="shared" si="24"/>
        <v>-3</v>
      </c>
      <c r="K255" s="111">
        <f t="shared" si="25"/>
        <v>-30</v>
      </c>
      <c r="L255" s="111"/>
      <c r="M255" s="113">
        <f t="shared" si="26"/>
        <v>0</v>
      </c>
      <c r="N255" s="113">
        <f t="shared" si="27"/>
        <v>0</v>
      </c>
      <c r="O255" s="96"/>
      <c r="P255" s="96"/>
      <c r="Q255" s="96"/>
      <c r="R255" s="96"/>
      <c r="S255" s="96"/>
    </row>
    <row r="256" spans="1:20" s="101" customFormat="1">
      <c r="A256" s="110">
        <f t="shared" si="22"/>
        <v>0</v>
      </c>
      <c r="B256" s="131"/>
      <c r="C256" s="131"/>
      <c r="D256" s="131"/>
      <c r="E256" s="131"/>
      <c r="F256" s="131"/>
      <c r="G256" s="96"/>
      <c r="H256" s="111">
        <v>251</v>
      </c>
      <c r="I256" s="112" t="str">
        <f t="shared" si="23"/>
        <v/>
      </c>
      <c r="J256" s="111">
        <f t="shared" si="24"/>
        <v>-3</v>
      </c>
      <c r="K256" s="111">
        <f t="shared" si="25"/>
        <v>-30</v>
      </c>
      <c r="L256" s="111"/>
      <c r="M256" s="113">
        <f t="shared" si="26"/>
        <v>0</v>
      </c>
      <c r="N256" s="113">
        <f t="shared" si="27"/>
        <v>0</v>
      </c>
      <c r="O256" s="96"/>
      <c r="P256" s="96"/>
      <c r="Q256" s="96"/>
      <c r="R256" s="96"/>
      <c r="S256" s="96"/>
    </row>
    <row r="257" spans="1:39" s="96" customFormat="1">
      <c r="A257" s="114">
        <f t="shared" si="22"/>
        <v>0</v>
      </c>
      <c r="B257" s="131"/>
      <c r="C257" s="131"/>
      <c r="D257" s="131"/>
      <c r="E257" s="131"/>
      <c r="F257" s="131"/>
      <c r="H257" s="111">
        <v>252</v>
      </c>
      <c r="I257" s="112" t="str">
        <f t="shared" si="23"/>
        <v/>
      </c>
      <c r="J257" s="111">
        <f t="shared" si="24"/>
        <v>-3</v>
      </c>
      <c r="K257" s="111">
        <f t="shared" si="25"/>
        <v>-30</v>
      </c>
      <c r="L257" s="111"/>
      <c r="M257" s="113">
        <f t="shared" si="26"/>
        <v>0</v>
      </c>
      <c r="N257" s="113">
        <f t="shared" si="27"/>
        <v>0</v>
      </c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</row>
    <row r="258" spans="1:39" s="96" customFormat="1">
      <c r="A258" s="110">
        <f t="shared" si="22"/>
        <v>0</v>
      </c>
      <c r="B258" s="131"/>
      <c r="C258" s="131"/>
      <c r="D258" s="131"/>
      <c r="E258" s="131"/>
      <c r="F258" s="131"/>
      <c r="H258" s="111">
        <v>253</v>
      </c>
      <c r="I258" s="112" t="str">
        <f t="shared" si="23"/>
        <v/>
      </c>
      <c r="J258" s="111">
        <f t="shared" si="24"/>
        <v>-3</v>
      </c>
      <c r="K258" s="111">
        <f t="shared" si="25"/>
        <v>-30</v>
      </c>
      <c r="L258" s="111"/>
      <c r="M258" s="113">
        <f t="shared" si="26"/>
        <v>0</v>
      </c>
      <c r="N258" s="113">
        <f t="shared" si="27"/>
        <v>0</v>
      </c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</row>
    <row r="259" spans="1:39" s="96" customFormat="1">
      <c r="A259" s="114">
        <f t="shared" si="22"/>
        <v>0</v>
      </c>
      <c r="B259" s="131"/>
      <c r="C259" s="131"/>
      <c r="D259" s="131"/>
      <c r="E259" s="131"/>
      <c r="F259" s="131"/>
      <c r="H259" s="111">
        <v>254</v>
      </c>
      <c r="I259" s="112" t="str">
        <f t="shared" si="23"/>
        <v/>
      </c>
      <c r="J259" s="111">
        <f t="shared" si="24"/>
        <v>-3</v>
      </c>
      <c r="K259" s="111">
        <f t="shared" si="25"/>
        <v>-30</v>
      </c>
      <c r="L259" s="111"/>
      <c r="M259" s="113">
        <f t="shared" si="26"/>
        <v>0</v>
      </c>
      <c r="N259" s="113">
        <f t="shared" si="27"/>
        <v>0</v>
      </c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</row>
    <row r="260" spans="1:39" s="96" customFormat="1">
      <c r="A260" s="110">
        <f t="shared" si="22"/>
        <v>0</v>
      </c>
      <c r="B260" s="131"/>
      <c r="C260" s="131"/>
      <c r="D260" s="131"/>
      <c r="E260" s="131"/>
      <c r="F260" s="131"/>
      <c r="H260" s="111">
        <v>255</v>
      </c>
      <c r="I260" s="112" t="str">
        <f t="shared" si="23"/>
        <v/>
      </c>
      <c r="J260" s="111">
        <f t="shared" si="24"/>
        <v>-3</v>
      </c>
      <c r="K260" s="111">
        <f t="shared" si="25"/>
        <v>-30</v>
      </c>
      <c r="L260" s="111"/>
      <c r="M260" s="113">
        <f t="shared" si="26"/>
        <v>0</v>
      </c>
      <c r="N260" s="113">
        <f t="shared" si="27"/>
        <v>0</v>
      </c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</row>
    <row r="261" spans="1:39" s="96" customFormat="1">
      <c r="A261" s="114">
        <f t="shared" si="22"/>
        <v>0</v>
      </c>
      <c r="B261" s="131"/>
      <c r="C261" s="131"/>
      <c r="D261" s="131"/>
      <c r="E261" s="131"/>
      <c r="F261" s="131"/>
      <c r="H261" s="111">
        <v>256</v>
      </c>
      <c r="I261" s="112" t="str">
        <f t="shared" si="23"/>
        <v/>
      </c>
      <c r="J261" s="111">
        <f t="shared" si="24"/>
        <v>-3</v>
      </c>
      <c r="K261" s="111">
        <f t="shared" si="25"/>
        <v>-30</v>
      </c>
      <c r="L261" s="111"/>
      <c r="M261" s="113">
        <f t="shared" si="26"/>
        <v>0</v>
      </c>
      <c r="N261" s="113">
        <f t="shared" si="27"/>
        <v>0</v>
      </c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</row>
    <row r="262" spans="1:39" s="96" customFormat="1">
      <c r="A262" s="110">
        <f t="shared" ref="A262:A305" si="29">N262</f>
        <v>0</v>
      </c>
      <c r="B262" s="131"/>
      <c r="C262" s="131"/>
      <c r="D262" s="131"/>
      <c r="E262" s="131"/>
      <c r="F262" s="131"/>
      <c r="H262" s="111">
        <v>257</v>
      </c>
      <c r="I262" s="112" t="str">
        <f t="shared" ref="I262:I305" si="30">IF(H262&lt;$H$2+1,($I$2-($I$2-1)*(LOG(H262)/LOG($H$2))),"")</f>
        <v/>
      </c>
      <c r="J262" s="111">
        <f t="shared" ref="J262:J305" si="31">INT(LOG($H$2,2))-ROUNDUP(LOG(H262,2),0)+IF(OR($H$2=1,$H$2=2,$H$2=4,$H$2=8,$H$2=16,$H$2=32,$H$2=64,$H$2=128,$H$2=256),0,1)</f>
        <v>-4</v>
      </c>
      <c r="K262" s="111">
        <f t="shared" ref="K262:K305" si="32">J262*$J$2</f>
        <v>-40</v>
      </c>
      <c r="L262" s="111"/>
      <c r="M262" s="113">
        <f t="shared" ref="M262:M305" si="33">IF(I262&lt;&gt;"",K262+I262+L262,0)</f>
        <v>0</v>
      </c>
      <c r="N262" s="113">
        <f t="shared" ref="N262:N305" si="34">IF(I262&lt;&gt;"",M262*L$2,0)</f>
        <v>0</v>
      </c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</row>
    <row r="263" spans="1:39" s="96" customFormat="1">
      <c r="A263" s="114">
        <f t="shared" si="29"/>
        <v>0</v>
      </c>
      <c r="B263" s="131"/>
      <c r="C263" s="131"/>
      <c r="D263" s="131"/>
      <c r="E263" s="131"/>
      <c r="F263" s="131"/>
      <c r="H263" s="111">
        <v>258</v>
      </c>
      <c r="I263" s="112" t="str">
        <f t="shared" si="30"/>
        <v/>
      </c>
      <c r="J263" s="111">
        <f t="shared" si="31"/>
        <v>-4</v>
      </c>
      <c r="K263" s="111">
        <f t="shared" si="32"/>
        <v>-40</v>
      </c>
      <c r="L263" s="111"/>
      <c r="M263" s="113">
        <f t="shared" si="33"/>
        <v>0</v>
      </c>
      <c r="N263" s="113">
        <f t="shared" si="34"/>
        <v>0</v>
      </c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</row>
    <row r="264" spans="1:39" s="96" customFormat="1">
      <c r="A264" s="110">
        <f t="shared" si="29"/>
        <v>0</v>
      </c>
      <c r="B264" s="131"/>
      <c r="C264" s="131"/>
      <c r="D264" s="131"/>
      <c r="E264" s="131"/>
      <c r="F264" s="131"/>
      <c r="H264" s="111">
        <v>259</v>
      </c>
      <c r="I264" s="112" t="str">
        <f t="shared" si="30"/>
        <v/>
      </c>
      <c r="J264" s="111">
        <f t="shared" si="31"/>
        <v>-4</v>
      </c>
      <c r="K264" s="111">
        <f t="shared" si="32"/>
        <v>-40</v>
      </c>
      <c r="L264" s="111"/>
      <c r="M264" s="113">
        <f t="shared" si="33"/>
        <v>0</v>
      </c>
      <c r="N264" s="113">
        <f t="shared" si="34"/>
        <v>0</v>
      </c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</row>
    <row r="265" spans="1:39" s="96" customFormat="1">
      <c r="A265" s="114">
        <f t="shared" si="29"/>
        <v>0</v>
      </c>
      <c r="B265" s="131"/>
      <c r="C265" s="131"/>
      <c r="D265" s="131"/>
      <c r="E265" s="131"/>
      <c r="F265" s="131"/>
      <c r="H265" s="111">
        <v>260</v>
      </c>
      <c r="I265" s="112" t="str">
        <f t="shared" si="30"/>
        <v/>
      </c>
      <c r="J265" s="111">
        <f t="shared" si="31"/>
        <v>-4</v>
      </c>
      <c r="K265" s="111">
        <f t="shared" si="32"/>
        <v>-40</v>
      </c>
      <c r="L265" s="111"/>
      <c r="M265" s="113">
        <f t="shared" si="33"/>
        <v>0</v>
      </c>
      <c r="N265" s="113">
        <f t="shared" si="34"/>
        <v>0</v>
      </c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</row>
    <row r="266" spans="1:39" s="96" customFormat="1">
      <c r="A266" s="110">
        <f t="shared" si="29"/>
        <v>0</v>
      </c>
      <c r="B266" s="131"/>
      <c r="C266" s="131"/>
      <c r="D266" s="131"/>
      <c r="E266" s="131"/>
      <c r="F266" s="131"/>
      <c r="H266" s="111">
        <v>261</v>
      </c>
      <c r="I266" s="112" t="str">
        <f t="shared" si="30"/>
        <v/>
      </c>
      <c r="J266" s="111">
        <f t="shared" si="31"/>
        <v>-4</v>
      </c>
      <c r="K266" s="111">
        <f t="shared" si="32"/>
        <v>-40</v>
      </c>
      <c r="L266" s="111"/>
      <c r="M266" s="113">
        <f t="shared" si="33"/>
        <v>0</v>
      </c>
      <c r="N266" s="113">
        <f t="shared" si="34"/>
        <v>0</v>
      </c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</row>
    <row r="267" spans="1:39" s="96" customFormat="1">
      <c r="A267" s="114">
        <f t="shared" si="29"/>
        <v>0</v>
      </c>
      <c r="B267" s="131"/>
      <c r="C267" s="131"/>
      <c r="D267" s="131"/>
      <c r="E267" s="131"/>
      <c r="F267" s="131"/>
      <c r="H267" s="111">
        <v>262</v>
      </c>
      <c r="I267" s="112" t="str">
        <f t="shared" si="30"/>
        <v/>
      </c>
      <c r="J267" s="111">
        <f t="shared" si="31"/>
        <v>-4</v>
      </c>
      <c r="K267" s="111">
        <f t="shared" si="32"/>
        <v>-40</v>
      </c>
      <c r="L267" s="111"/>
      <c r="M267" s="113">
        <f t="shared" si="33"/>
        <v>0</v>
      </c>
      <c r="N267" s="113">
        <f t="shared" si="34"/>
        <v>0</v>
      </c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</row>
    <row r="268" spans="1:39" s="96" customFormat="1">
      <c r="A268" s="110">
        <f t="shared" si="29"/>
        <v>0</v>
      </c>
      <c r="B268" s="131"/>
      <c r="C268" s="131"/>
      <c r="D268" s="131"/>
      <c r="E268" s="131"/>
      <c r="F268" s="131"/>
      <c r="H268" s="111">
        <v>263</v>
      </c>
      <c r="I268" s="112" t="str">
        <f t="shared" si="30"/>
        <v/>
      </c>
      <c r="J268" s="111">
        <f t="shared" si="31"/>
        <v>-4</v>
      </c>
      <c r="K268" s="111">
        <f t="shared" si="32"/>
        <v>-40</v>
      </c>
      <c r="L268" s="111"/>
      <c r="M268" s="113">
        <f t="shared" si="33"/>
        <v>0</v>
      </c>
      <c r="N268" s="113">
        <f t="shared" si="34"/>
        <v>0</v>
      </c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</row>
    <row r="269" spans="1:39" s="96" customFormat="1">
      <c r="A269" s="114">
        <f t="shared" si="29"/>
        <v>0</v>
      </c>
      <c r="B269" s="131"/>
      <c r="C269" s="131"/>
      <c r="D269" s="131"/>
      <c r="E269" s="131"/>
      <c r="F269" s="131"/>
      <c r="H269" s="111">
        <v>264</v>
      </c>
      <c r="I269" s="112" t="str">
        <f t="shared" si="30"/>
        <v/>
      </c>
      <c r="J269" s="111">
        <f t="shared" si="31"/>
        <v>-4</v>
      </c>
      <c r="K269" s="111">
        <f t="shared" si="32"/>
        <v>-40</v>
      </c>
      <c r="L269" s="111"/>
      <c r="M269" s="113">
        <f t="shared" si="33"/>
        <v>0</v>
      </c>
      <c r="N269" s="113">
        <f t="shared" si="34"/>
        <v>0</v>
      </c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</row>
    <row r="270" spans="1:39" s="96" customFormat="1">
      <c r="A270" s="110">
        <f t="shared" si="29"/>
        <v>0</v>
      </c>
      <c r="B270" s="131"/>
      <c r="C270" s="131"/>
      <c r="D270" s="131"/>
      <c r="E270" s="131"/>
      <c r="F270" s="131"/>
      <c r="H270" s="111">
        <v>265</v>
      </c>
      <c r="I270" s="112" t="str">
        <f t="shared" si="30"/>
        <v/>
      </c>
      <c r="J270" s="111">
        <f t="shared" si="31"/>
        <v>-4</v>
      </c>
      <c r="K270" s="111">
        <f t="shared" si="32"/>
        <v>-40</v>
      </c>
      <c r="L270" s="111"/>
      <c r="M270" s="113">
        <f t="shared" si="33"/>
        <v>0</v>
      </c>
      <c r="N270" s="113">
        <f t="shared" si="34"/>
        <v>0</v>
      </c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</row>
    <row r="271" spans="1:39" s="96" customFormat="1">
      <c r="A271" s="114">
        <f t="shared" si="29"/>
        <v>0</v>
      </c>
      <c r="B271" s="131"/>
      <c r="C271" s="131"/>
      <c r="D271" s="131"/>
      <c r="E271" s="131"/>
      <c r="F271" s="131"/>
      <c r="H271" s="111">
        <v>266</v>
      </c>
      <c r="I271" s="112" t="str">
        <f t="shared" si="30"/>
        <v/>
      </c>
      <c r="J271" s="111">
        <f t="shared" si="31"/>
        <v>-4</v>
      </c>
      <c r="K271" s="111">
        <f t="shared" si="32"/>
        <v>-40</v>
      </c>
      <c r="L271" s="111"/>
      <c r="M271" s="113">
        <f t="shared" si="33"/>
        <v>0</v>
      </c>
      <c r="N271" s="113">
        <f t="shared" si="34"/>
        <v>0</v>
      </c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</row>
    <row r="272" spans="1:39" s="96" customFormat="1">
      <c r="A272" s="110">
        <f t="shared" si="29"/>
        <v>0</v>
      </c>
      <c r="B272" s="131"/>
      <c r="C272" s="131"/>
      <c r="D272" s="131"/>
      <c r="E272" s="131"/>
      <c r="F272" s="131"/>
      <c r="H272" s="111">
        <v>267</v>
      </c>
      <c r="I272" s="112" t="str">
        <f t="shared" si="30"/>
        <v/>
      </c>
      <c r="J272" s="111">
        <f t="shared" si="31"/>
        <v>-4</v>
      </c>
      <c r="K272" s="111">
        <f t="shared" si="32"/>
        <v>-40</v>
      </c>
      <c r="L272" s="111"/>
      <c r="M272" s="113">
        <f t="shared" si="33"/>
        <v>0</v>
      </c>
      <c r="N272" s="113">
        <f t="shared" si="34"/>
        <v>0</v>
      </c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</row>
    <row r="273" spans="1:39" s="96" customFormat="1">
      <c r="A273" s="114">
        <f t="shared" si="29"/>
        <v>0</v>
      </c>
      <c r="B273" s="131"/>
      <c r="C273" s="131"/>
      <c r="D273" s="131"/>
      <c r="E273" s="131"/>
      <c r="F273" s="131"/>
      <c r="H273" s="111">
        <v>268</v>
      </c>
      <c r="I273" s="112" t="str">
        <f t="shared" si="30"/>
        <v/>
      </c>
      <c r="J273" s="111">
        <f t="shared" si="31"/>
        <v>-4</v>
      </c>
      <c r="K273" s="111">
        <f t="shared" si="32"/>
        <v>-40</v>
      </c>
      <c r="L273" s="111"/>
      <c r="M273" s="113">
        <f t="shared" si="33"/>
        <v>0</v>
      </c>
      <c r="N273" s="113">
        <f t="shared" si="34"/>
        <v>0</v>
      </c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</row>
    <row r="274" spans="1:39" s="96" customFormat="1">
      <c r="A274" s="110">
        <f t="shared" si="29"/>
        <v>0</v>
      </c>
      <c r="B274" s="131"/>
      <c r="C274" s="131"/>
      <c r="D274" s="131"/>
      <c r="E274" s="131"/>
      <c r="F274" s="131"/>
      <c r="H274" s="111">
        <v>269</v>
      </c>
      <c r="I274" s="112" t="str">
        <f t="shared" si="30"/>
        <v/>
      </c>
      <c r="J274" s="111">
        <f t="shared" si="31"/>
        <v>-4</v>
      </c>
      <c r="K274" s="111">
        <f t="shared" si="32"/>
        <v>-40</v>
      </c>
      <c r="L274" s="111"/>
      <c r="M274" s="113">
        <f t="shared" si="33"/>
        <v>0</v>
      </c>
      <c r="N274" s="113">
        <f t="shared" si="34"/>
        <v>0</v>
      </c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</row>
    <row r="275" spans="1:39" s="96" customFormat="1">
      <c r="A275" s="114">
        <f t="shared" si="29"/>
        <v>0</v>
      </c>
      <c r="B275" s="131"/>
      <c r="C275" s="131"/>
      <c r="D275" s="131"/>
      <c r="E275" s="131"/>
      <c r="F275" s="131"/>
      <c r="H275" s="111">
        <v>270</v>
      </c>
      <c r="I275" s="112" t="str">
        <f t="shared" si="30"/>
        <v/>
      </c>
      <c r="J275" s="111">
        <f t="shared" si="31"/>
        <v>-4</v>
      </c>
      <c r="K275" s="111">
        <f t="shared" si="32"/>
        <v>-40</v>
      </c>
      <c r="L275" s="111"/>
      <c r="M275" s="113">
        <f t="shared" si="33"/>
        <v>0</v>
      </c>
      <c r="N275" s="113">
        <f t="shared" si="34"/>
        <v>0</v>
      </c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</row>
    <row r="276" spans="1:39" s="96" customFormat="1">
      <c r="A276" s="110">
        <f t="shared" si="29"/>
        <v>0</v>
      </c>
      <c r="B276" s="131"/>
      <c r="C276" s="131"/>
      <c r="D276" s="131"/>
      <c r="E276" s="131"/>
      <c r="F276" s="131"/>
      <c r="H276" s="111">
        <v>271</v>
      </c>
      <c r="I276" s="112" t="str">
        <f t="shared" si="30"/>
        <v/>
      </c>
      <c r="J276" s="111">
        <f t="shared" si="31"/>
        <v>-4</v>
      </c>
      <c r="K276" s="111">
        <f t="shared" si="32"/>
        <v>-40</v>
      </c>
      <c r="L276" s="111"/>
      <c r="M276" s="113">
        <f t="shared" si="33"/>
        <v>0</v>
      </c>
      <c r="N276" s="113">
        <f t="shared" si="34"/>
        <v>0</v>
      </c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</row>
    <row r="277" spans="1:39" s="96" customFormat="1">
      <c r="A277" s="114">
        <f t="shared" si="29"/>
        <v>0</v>
      </c>
      <c r="B277" s="131"/>
      <c r="C277" s="131"/>
      <c r="D277" s="131"/>
      <c r="E277" s="131"/>
      <c r="F277" s="131"/>
      <c r="H277" s="111">
        <v>272</v>
      </c>
      <c r="I277" s="112" t="str">
        <f t="shared" si="30"/>
        <v/>
      </c>
      <c r="J277" s="111">
        <f t="shared" si="31"/>
        <v>-4</v>
      </c>
      <c r="K277" s="111">
        <f t="shared" si="32"/>
        <v>-40</v>
      </c>
      <c r="L277" s="111"/>
      <c r="M277" s="113">
        <f t="shared" si="33"/>
        <v>0</v>
      </c>
      <c r="N277" s="113">
        <f t="shared" si="34"/>
        <v>0</v>
      </c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</row>
    <row r="278" spans="1:39" s="96" customFormat="1">
      <c r="A278" s="110">
        <f t="shared" si="29"/>
        <v>0</v>
      </c>
      <c r="B278" s="131"/>
      <c r="C278" s="131"/>
      <c r="D278" s="131"/>
      <c r="E278" s="131"/>
      <c r="F278" s="131"/>
      <c r="H278" s="111">
        <v>273</v>
      </c>
      <c r="I278" s="112" t="str">
        <f t="shared" si="30"/>
        <v/>
      </c>
      <c r="J278" s="111">
        <f t="shared" si="31"/>
        <v>-4</v>
      </c>
      <c r="K278" s="111">
        <f t="shared" si="32"/>
        <v>-40</v>
      </c>
      <c r="L278" s="111"/>
      <c r="M278" s="113">
        <f t="shared" si="33"/>
        <v>0</v>
      </c>
      <c r="N278" s="113">
        <f t="shared" si="34"/>
        <v>0</v>
      </c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</row>
    <row r="279" spans="1:39" s="96" customFormat="1">
      <c r="A279" s="114">
        <f t="shared" si="29"/>
        <v>0</v>
      </c>
      <c r="B279" s="131"/>
      <c r="C279" s="131"/>
      <c r="D279" s="131"/>
      <c r="E279" s="131"/>
      <c r="F279" s="131"/>
      <c r="H279" s="111">
        <v>274</v>
      </c>
      <c r="I279" s="112" t="str">
        <f t="shared" si="30"/>
        <v/>
      </c>
      <c r="J279" s="111">
        <f t="shared" si="31"/>
        <v>-4</v>
      </c>
      <c r="K279" s="111">
        <f t="shared" si="32"/>
        <v>-40</v>
      </c>
      <c r="L279" s="111"/>
      <c r="M279" s="113">
        <f t="shared" si="33"/>
        <v>0</v>
      </c>
      <c r="N279" s="113">
        <f t="shared" si="34"/>
        <v>0</v>
      </c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</row>
    <row r="280" spans="1:39" s="96" customFormat="1">
      <c r="A280" s="110">
        <f t="shared" si="29"/>
        <v>0</v>
      </c>
      <c r="B280" s="131"/>
      <c r="C280" s="131"/>
      <c r="D280" s="131"/>
      <c r="E280" s="131"/>
      <c r="F280" s="131"/>
      <c r="H280" s="111">
        <v>275</v>
      </c>
      <c r="I280" s="112" t="str">
        <f t="shared" si="30"/>
        <v/>
      </c>
      <c r="J280" s="111">
        <f t="shared" si="31"/>
        <v>-4</v>
      </c>
      <c r="K280" s="111">
        <f t="shared" si="32"/>
        <v>-40</v>
      </c>
      <c r="L280" s="111"/>
      <c r="M280" s="113">
        <f t="shared" si="33"/>
        <v>0</v>
      </c>
      <c r="N280" s="113">
        <f t="shared" si="34"/>
        <v>0</v>
      </c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</row>
    <row r="281" spans="1:39" s="96" customFormat="1">
      <c r="A281" s="114">
        <f t="shared" si="29"/>
        <v>0</v>
      </c>
      <c r="B281" s="131"/>
      <c r="C281" s="131"/>
      <c r="D281" s="131"/>
      <c r="E281" s="131"/>
      <c r="F281" s="131"/>
      <c r="H281" s="111">
        <v>276</v>
      </c>
      <c r="I281" s="112" t="str">
        <f t="shared" si="30"/>
        <v/>
      </c>
      <c r="J281" s="111">
        <f t="shared" si="31"/>
        <v>-4</v>
      </c>
      <c r="K281" s="111">
        <f t="shared" si="32"/>
        <v>-40</v>
      </c>
      <c r="L281" s="111"/>
      <c r="M281" s="113">
        <f t="shared" si="33"/>
        <v>0</v>
      </c>
      <c r="N281" s="113">
        <f t="shared" si="34"/>
        <v>0</v>
      </c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</row>
    <row r="282" spans="1:39" s="96" customFormat="1">
      <c r="A282" s="110">
        <f t="shared" si="29"/>
        <v>0</v>
      </c>
      <c r="B282" s="131"/>
      <c r="C282" s="131"/>
      <c r="D282" s="131"/>
      <c r="E282" s="131"/>
      <c r="F282" s="131"/>
      <c r="H282" s="111">
        <v>277</v>
      </c>
      <c r="I282" s="112" t="str">
        <f t="shared" si="30"/>
        <v/>
      </c>
      <c r="J282" s="111">
        <f t="shared" si="31"/>
        <v>-4</v>
      </c>
      <c r="K282" s="111">
        <f t="shared" si="32"/>
        <v>-40</v>
      </c>
      <c r="L282" s="111"/>
      <c r="M282" s="113">
        <f t="shared" si="33"/>
        <v>0</v>
      </c>
      <c r="N282" s="113">
        <f t="shared" si="34"/>
        <v>0</v>
      </c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</row>
    <row r="283" spans="1:39" s="96" customFormat="1">
      <c r="A283" s="114">
        <f t="shared" si="29"/>
        <v>0</v>
      </c>
      <c r="B283" s="131"/>
      <c r="C283" s="131"/>
      <c r="D283" s="131"/>
      <c r="E283" s="131"/>
      <c r="F283" s="131"/>
      <c r="H283" s="111">
        <v>278</v>
      </c>
      <c r="I283" s="112" t="str">
        <f t="shared" si="30"/>
        <v/>
      </c>
      <c r="J283" s="111">
        <f t="shared" si="31"/>
        <v>-4</v>
      </c>
      <c r="K283" s="111">
        <f t="shared" si="32"/>
        <v>-40</v>
      </c>
      <c r="L283" s="111"/>
      <c r="M283" s="113">
        <f t="shared" si="33"/>
        <v>0</v>
      </c>
      <c r="N283" s="113">
        <f t="shared" si="34"/>
        <v>0</v>
      </c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</row>
    <row r="284" spans="1:39" s="96" customFormat="1">
      <c r="A284" s="110">
        <f t="shared" si="29"/>
        <v>0</v>
      </c>
      <c r="B284" s="131"/>
      <c r="C284" s="131"/>
      <c r="D284" s="131"/>
      <c r="E284" s="131"/>
      <c r="F284" s="131"/>
      <c r="H284" s="111">
        <v>279</v>
      </c>
      <c r="I284" s="112" t="str">
        <f t="shared" si="30"/>
        <v/>
      </c>
      <c r="J284" s="111">
        <f t="shared" si="31"/>
        <v>-4</v>
      </c>
      <c r="K284" s="111">
        <f t="shared" si="32"/>
        <v>-40</v>
      </c>
      <c r="L284" s="111"/>
      <c r="M284" s="113">
        <f t="shared" si="33"/>
        <v>0</v>
      </c>
      <c r="N284" s="113">
        <f t="shared" si="34"/>
        <v>0</v>
      </c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</row>
    <row r="285" spans="1:39" s="96" customFormat="1">
      <c r="A285" s="114">
        <f t="shared" si="29"/>
        <v>0</v>
      </c>
      <c r="B285" s="131"/>
      <c r="C285" s="131"/>
      <c r="D285" s="131"/>
      <c r="E285" s="131"/>
      <c r="F285" s="131"/>
      <c r="H285" s="111">
        <v>280</v>
      </c>
      <c r="I285" s="112" t="str">
        <f t="shared" si="30"/>
        <v/>
      </c>
      <c r="J285" s="111">
        <f t="shared" si="31"/>
        <v>-4</v>
      </c>
      <c r="K285" s="111">
        <f t="shared" si="32"/>
        <v>-40</v>
      </c>
      <c r="L285" s="111"/>
      <c r="M285" s="113">
        <f t="shared" si="33"/>
        <v>0</v>
      </c>
      <c r="N285" s="113">
        <f t="shared" si="34"/>
        <v>0</v>
      </c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</row>
    <row r="286" spans="1:39" s="96" customFormat="1">
      <c r="A286" s="110">
        <f t="shared" si="29"/>
        <v>0</v>
      </c>
      <c r="B286" s="131"/>
      <c r="C286" s="131"/>
      <c r="D286" s="131"/>
      <c r="E286" s="131"/>
      <c r="F286" s="131"/>
      <c r="H286" s="111">
        <v>281</v>
      </c>
      <c r="I286" s="112" t="str">
        <f t="shared" si="30"/>
        <v/>
      </c>
      <c r="J286" s="111">
        <f t="shared" si="31"/>
        <v>-4</v>
      </c>
      <c r="K286" s="111">
        <f t="shared" si="32"/>
        <v>-40</v>
      </c>
      <c r="L286" s="111"/>
      <c r="M286" s="113">
        <f t="shared" si="33"/>
        <v>0</v>
      </c>
      <c r="N286" s="113">
        <f t="shared" si="34"/>
        <v>0</v>
      </c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</row>
    <row r="287" spans="1:39" s="96" customFormat="1">
      <c r="A287" s="114">
        <f t="shared" si="29"/>
        <v>0</v>
      </c>
      <c r="B287" s="131"/>
      <c r="C287" s="131"/>
      <c r="D287" s="131"/>
      <c r="E287" s="131"/>
      <c r="F287" s="131"/>
      <c r="H287" s="111">
        <v>282</v>
      </c>
      <c r="I287" s="112" t="str">
        <f t="shared" si="30"/>
        <v/>
      </c>
      <c r="J287" s="111">
        <f t="shared" si="31"/>
        <v>-4</v>
      </c>
      <c r="K287" s="111">
        <f t="shared" si="32"/>
        <v>-40</v>
      </c>
      <c r="L287" s="111"/>
      <c r="M287" s="113">
        <f t="shared" si="33"/>
        <v>0</v>
      </c>
      <c r="N287" s="113">
        <f t="shared" si="34"/>
        <v>0</v>
      </c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</row>
    <row r="288" spans="1:39" s="96" customFormat="1">
      <c r="A288" s="110">
        <f t="shared" si="29"/>
        <v>0</v>
      </c>
      <c r="B288" s="131"/>
      <c r="C288" s="131"/>
      <c r="D288" s="131"/>
      <c r="E288" s="131"/>
      <c r="F288" s="131"/>
      <c r="H288" s="111">
        <v>283</v>
      </c>
      <c r="I288" s="112" t="str">
        <f t="shared" si="30"/>
        <v/>
      </c>
      <c r="J288" s="111">
        <f t="shared" si="31"/>
        <v>-4</v>
      </c>
      <c r="K288" s="111">
        <f t="shared" si="32"/>
        <v>-40</v>
      </c>
      <c r="L288" s="111"/>
      <c r="M288" s="113">
        <f t="shared" si="33"/>
        <v>0</v>
      </c>
      <c r="N288" s="113">
        <f t="shared" si="34"/>
        <v>0</v>
      </c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</row>
    <row r="289" spans="1:39" s="96" customFormat="1">
      <c r="A289" s="114">
        <f t="shared" si="29"/>
        <v>0</v>
      </c>
      <c r="B289" s="131"/>
      <c r="C289" s="131"/>
      <c r="D289" s="131"/>
      <c r="E289" s="131"/>
      <c r="F289" s="131"/>
      <c r="H289" s="111">
        <v>284</v>
      </c>
      <c r="I289" s="112" t="str">
        <f t="shared" si="30"/>
        <v/>
      </c>
      <c r="J289" s="111">
        <f t="shared" si="31"/>
        <v>-4</v>
      </c>
      <c r="K289" s="111">
        <f t="shared" si="32"/>
        <v>-40</v>
      </c>
      <c r="L289" s="111"/>
      <c r="M289" s="113">
        <f t="shared" si="33"/>
        <v>0</v>
      </c>
      <c r="N289" s="113">
        <f t="shared" si="34"/>
        <v>0</v>
      </c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</row>
    <row r="290" spans="1:39" s="96" customFormat="1">
      <c r="A290" s="110">
        <f t="shared" si="29"/>
        <v>0</v>
      </c>
      <c r="B290" s="131"/>
      <c r="C290" s="131"/>
      <c r="D290" s="131"/>
      <c r="E290" s="131"/>
      <c r="F290" s="131"/>
      <c r="H290" s="111">
        <v>285</v>
      </c>
      <c r="I290" s="112" t="str">
        <f t="shared" si="30"/>
        <v/>
      </c>
      <c r="J290" s="111">
        <f t="shared" si="31"/>
        <v>-4</v>
      </c>
      <c r="K290" s="111">
        <f t="shared" si="32"/>
        <v>-40</v>
      </c>
      <c r="L290" s="111"/>
      <c r="M290" s="113">
        <f t="shared" si="33"/>
        <v>0</v>
      </c>
      <c r="N290" s="113">
        <f t="shared" si="34"/>
        <v>0</v>
      </c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</row>
    <row r="291" spans="1:39" s="96" customFormat="1">
      <c r="A291" s="114">
        <f t="shared" si="29"/>
        <v>0</v>
      </c>
      <c r="B291" s="131"/>
      <c r="C291" s="131"/>
      <c r="D291" s="131"/>
      <c r="E291" s="131"/>
      <c r="F291" s="131"/>
      <c r="H291" s="111">
        <v>286</v>
      </c>
      <c r="I291" s="112" t="str">
        <f t="shared" si="30"/>
        <v/>
      </c>
      <c r="J291" s="111">
        <f t="shared" si="31"/>
        <v>-4</v>
      </c>
      <c r="K291" s="111">
        <f t="shared" si="32"/>
        <v>-40</v>
      </c>
      <c r="L291" s="111"/>
      <c r="M291" s="113">
        <f t="shared" si="33"/>
        <v>0</v>
      </c>
      <c r="N291" s="113">
        <f t="shared" si="34"/>
        <v>0</v>
      </c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</row>
    <row r="292" spans="1:39" s="96" customFormat="1">
      <c r="A292" s="110">
        <f t="shared" si="29"/>
        <v>0</v>
      </c>
      <c r="B292" s="131"/>
      <c r="C292" s="131"/>
      <c r="D292" s="131"/>
      <c r="E292" s="131"/>
      <c r="F292" s="131"/>
      <c r="H292" s="111">
        <v>287</v>
      </c>
      <c r="I292" s="112" t="str">
        <f t="shared" si="30"/>
        <v/>
      </c>
      <c r="J292" s="111">
        <f t="shared" si="31"/>
        <v>-4</v>
      </c>
      <c r="K292" s="111">
        <f t="shared" si="32"/>
        <v>-40</v>
      </c>
      <c r="L292" s="111"/>
      <c r="M292" s="113">
        <f t="shared" si="33"/>
        <v>0</v>
      </c>
      <c r="N292" s="113">
        <f t="shared" si="34"/>
        <v>0</v>
      </c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</row>
    <row r="293" spans="1:39" s="96" customFormat="1">
      <c r="A293" s="114">
        <f t="shared" si="29"/>
        <v>0</v>
      </c>
      <c r="B293" s="131"/>
      <c r="C293" s="131"/>
      <c r="D293" s="131"/>
      <c r="E293" s="131"/>
      <c r="F293" s="131"/>
      <c r="H293" s="111">
        <v>288</v>
      </c>
      <c r="I293" s="112" t="str">
        <f t="shared" si="30"/>
        <v/>
      </c>
      <c r="J293" s="111">
        <f t="shared" si="31"/>
        <v>-4</v>
      </c>
      <c r="K293" s="111">
        <f t="shared" si="32"/>
        <v>-40</v>
      </c>
      <c r="L293" s="111"/>
      <c r="M293" s="113">
        <f t="shared" si="33"/>
        <v>0</v>
      </c>
      <c r="N293" s="113">
        <f t="shared" si="34"/>
        <v>0</v>
      </c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</row>
    <row r="294" spans="1:39" s="96" customFormat="1">
      <c r="A294" s="110">
        <f t="shared" si="29"/>
        <v>0</v>
      </c>
      <c r="B294" s="131"/>
      <c r="C294" s="131"/>
      <c r="D294" s="131"/>
      <c r="E294" s="131"/>
      <c r="F294" s="131"/>
      <c r="H294" s="111">
        <v>289</v>
      </c>
      <c r="I294" s="112" t="str">
        <f t="shared" si="30"/>
        <v/>
      </c>
      <c r="J294" s="111">
        <f t="shared" si="31"/>
        <v>-4</v>
      </c>
      <c r="K294" s="111">
        <f t="shared" si="32"/>
        <v>-40</v>
      </c>
      <c r="L294" s="111"/>
      <c r="M294" s="113">
        <f t="shared" si="33"/>
        <v>0</v>
      </c>
      <c r="N294" s="113">
        <f t="shared" si="34"/>
        <v>0</v>
      </c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</row>
    <row r="295" spans="1:39" s="96" customFormat="1">
      <c r="A295" s="114">
        <f t="shared" si="29"/>
        <v>0</v>
      </c>
      <c r="B295" s="131"/>
      <c r="C295" s="131"/>
      <c r="D295" s="131"/>
      <c r="E295" s="131"/>
      <c r="F295" s="131"/>
      <c r="H295" s="111">
        <v>290</v>
      </c>
      <c r="I295" s="112" t="str">
        <f t="shared" si="30"/>
        <v/>
      </c>
      <c r="J295" s="111">
        <f t="shared" si="31"/>
        <v>-4</v>
      </c>
      <c r="K295" s="111">
        <f t="shared" si="32"/>
        <v>-40</v>
      </c>
      <c r="L295" s="111"/>
      <c r="M295" s="113">
        <f t="shared" si="33"/>
        <v>0</v>
      </c>
      <c r="N295" s="113">
        <f t="shared" si="34"/>
        <v>0</v>
      </c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</row>
    <row r="296" spans="1:39" s="96" customFormat="1">
      <c r="A296" s="110">
        <f t="shared" si="29"/>
        <v>0</v>
      </c>
      <c r="B296" s="131"/>
      <c r="C296" s="131"/>
      <c r="D296" s="131"/>
      <c r="E296" s="131"/>
      <c r="F296" s="131"/>
      <c r="H296" s="111">
        <v>291</v>
      </c>
      <c r="I296" s="112" t="str">
        <f t="shared" si="30"/>
        <v/>
      </c>
      <c r="J296" s="111">
        <f t="shared" si="31"/>
        <v>-4</v>
      </c>
      <c r="K296" s="111">
        <f t="shared" si="32"/>
        <v>-40</v>
      </c>
      <c r="L296" s="111"/>
      <c r="M296" s="113">
        <f t="shared" si="33"/>
        <v>0</v>
      </c>
      <c r="N296" s="113">
        <f t="shared" si="34"/>
        <v>0</v>
      </c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</row>
    <row r="297" spans="1:39" s="96" customFormat="1">
      <c r="A297" s="114">
        <f t="shared" si="29"/>
        <v>0</v>
      </c>
      <c r="B297" s="131"/>
      <c r="C297" s="131"/>
      <c r="D297" s="131"/>
      <c r="E297" s="131"/>
      <c r="F297" s="131"/>
      <c r="H297" s="111">
        <v>292</v>
      </c>
      <c r="I297" s="112" t="str">
        <f t="shared" si="30"/>
        <v/>
      </c>
      <c r="J297" s="111">
        <f t="shared" si="31"/>
        <v>-4</v>
      </c>
      <c r="K297" s="111">
        <f t="shared" si="32"/>
        <v>-40</v>
      </c>
      <c r="L297" s="111"/>
      <c r="M297" s="113">
        <f t="shared" si="33"/>
        <v>0</v>
      </c>
      <c r="N297" s="113">
        <f t="shared" si="34"/>
        <v>0</v>
      </c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</row>
    <row r="298" spans="1:39" s="96" customFormat="1">
      <c r="A298" s="110">
        <f t="shared" si="29"/>
        <v>0</v>
      </c>
      <c r="B298" s="131"/>
      <c r="C298" s="131"/>
      <c r="D298" s="131"/>
      <c r="E298" s="131"/>
      <c r="F298" s="131"/>
      <c r="H298" s="111">
        <v>293</v>
      </c>
      <c r="I298" s="112" t="str">
        <f t="shared" si="30"/>
        <v/>
      </c>
      <c r="J298" s="111">
        <f t="shared" si="31"/>
        <v>-4</v>
      </c>
      <c r="K298" s="111">
        <f t="shared" si="32"/>
        <v>-40</v>
      </c>
      <c r="L298" s="111"/>
      <c r="M298" s="113">
        <f t="shared" si="33"/>
        <v>0</v>
      </c>
      <c r="N298" s="113">
        <f t="shared" si="34"/>
        <v>0</v>
      </c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</row>
    <row r="299" spans="1:39" s="96" customFormat="1">
      <c r="A299" s="114">
        <f t="shared" si="29"/>
        <v>0</v>
      </c>
      <c r="B299" s="131"/>
      <c r="C299" s="131"/>
      <c r="D299" s="131"/>
      <c r="E299" s="131"/>
      <c r="F299" s="131"/>
      <c r="H299" s="111">
        <v>294</v>
      </c>
      <c r="I299" s="112" t="str">
        <f t="shared" si="30"/>
        <v/>
      </c>
      <c r="J299" s="111">
        <f t="shared" si="31"/>
        <v>-4</v>
      </c>
      <c r="K299" s="111">
        <f t="shared" si="32"/>
        <v>-40</v>
      </c>
      <c r="L299" s="111"/>
      <c r="M299" s="113">
        <f t="shared" si="33"/>
        <v>0</v>
      </c>
      <c r="N299" s="113">
        <f t="shared" si="34"/>
        <v>0</v>
      </c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</row>
    <row r="300" spans="1:39" s="96" customFormat="1">
      <c r="A300" s="110">
        <f t="shared" si="29"/>
        <v>0</v>
      </c>
      <c r="B300" s="131"/>
      <c r="C300" s="131"/>
      <c r="D300" s="131"/>
      <c r="E300" s="131"/>
      <c r="F300" s="131"/>
      <c r="H300" s="111">
        <v>295</v>
      </c>
      <c r="I300" s="112" t="str">
        <f t="shared" si="30"/>
        <v/>
      </c>
      <c r="J300" s="111">
        <f t="shared" si="31"/>
        <v>-4</v>
      </c>
      <c r="K300" s="111">
        <f t="shared" si="32"/>
        <v>-40</v>
      </c>
      <c r="L300" s="111"/>
      <c r="M300" s="113">
        <f t="shared" si="33"/>
        <v>0</v>
      </c>
      <c r="N300" s="113">
        <f t="shared" si="34"/>
        <v>0</v>
      </c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</row>
    <row r="301" spans="1:39" s="96" customFormat="1">
      <c r="A301" s="114">
        <f t="shared" si="29"/>
        <v>0</v>
      </c>
      <c r="B301" s="131"/>
      <c r="C301" s="131"/>
      <c r="D301" s="131"/>
      <c r="E301" s="131"/>
      <c r="F301" s="131"/>
      <c r="H301" s="111">
        <v>296</v>
      </c>
      <c r="I301" s="112" t="str">
        <f t="shared" si="30"/>
        <v/>
      </c>
      <c r="J301" s="111">
        <f t="shared" si="31"/>
        <v>-4</v>
      </c>
      <c r="K301" s="111">
        <f t="shared" si="32"/>
        <v>-40</v>
      </c>
      <c r="L301" s="111"/>
      <c r="M301" s="113">
        <f t="shared" si="33"/>
        <v>0</v>
      </c>
      <c r="N301" s="113">
        <f t="shared" si="34"/>
        <v>0</v>
      </c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</row>
    <row r="302" spans="1:39" s="96" customFormat="1">
      <c r="A302" s="110">
        <f t="shared" si="29"/>
        <v>0</v>
      </c>
      <c r="B302" s="131"/>
      <c r="C302" s="131"/>
      <c r="D302" s="131"/>
      <c r="E302" s="131"/>
      <c r="F302" s="131"/>
      <c r="H302" s="111">
        <v>297</v>
      </c>
      <c r="I302" s="112" t="str">
        <f t="shared" si="30"/>
        <v/>
      </c>
      <c r="J302" s="111">
        <f t="shared" si="31"/>
        <v>-4</v>
      </c>
      <c r="K302" s="111">
        <f t="shared" si="32"/>
        <v>-40</v>
      </c>
      <c r="L302" s="111"/>
      <c r="M302" s="113">
        <f t="shared" si="33"/>
        <v>0</v>
      </c>
      <c r="N302" s="113">
        <f t="shared" si="34"/>
        <v>0</v>
      </c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</row>
    <row r="303" spans="1:39" s="96" customFormat="1">
      <c r="A303" s="114">
        <f t="shared" si="29"/>
        <v>0</v>
      </c>
      <c r="B303" s="131"/>
      <c r="C303" s="131"/>
      <c r="D303" s="131"/>
      <c r="E303" s="131"/>
      <c r="F303" s="131"/>
      <c r="H303" s="111">
        <v>298</v>
      </c>
      <c r="I303" s="112" t="str">
        <f t="shared" si="30"/>
        <v/>
      </c>
      <c r="J303" s="111">
        <f t="shared" si="31"/>
        <v>-4</v>
      </c>
      <c r="K303" s="111">
        <f t="shared" si="32"/>
        <v>-40</v>
      </c>
      <c r="L303" s="111"/>
      <c r="M303" s="113">
        <f t="shared" si="33"/>
        <v>0</v>
      </c>
      <c r="N303" s="113">
        <f t="shared" si="34"/>
        <v>0</v>
      </c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</row>
    <row r="304" spans="1:39" s="96" customFormat="1">
      <c r="A304" s="110">
        <f t="shared" si="29"/>
        <v>0</v>
      </c>
      <c r="B304" s="131"/>
      <c r="C304" s="131"/>
      <c r="D304" s="131"/>
      <c r="E304" s="131"/>
      <c r="F304" s="131"/>
      <c r="H304" s="111">
        <v>299</v>
      </c>
      <c r="I304" s="112" t="str">
        <f t="shared" si="30"/>
        <v/>
      </c>
      <c r="J304" s="111">
        <f t="shared" si="31"/>
        <v>-4</v>
      </c>
      <c r="K304" s="111">
        <f t="shared" si="32"/>
        <v>-40</v>
      </c>
      <c r="L304" s="111"/>
      <c r="M304" s="113">
        <f t="shared" si="33"/>
        <v>0</v>
      </c>
      <c r="N304" s="113">
        <f t="shared" si="34"/>
        <v>0</v>
      </c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</row>
    <row r="305" spans="1:39" s="96" customFormat="1">
      <c r="A305" s="114">
        <f t="shared" si="29"/>
        <v>0</v>
      </c>
      <c r="B305" s="131"/>
      <c r="C305" s="131"/>
      <c r="D305" s="131"/>
      <c r="E305" s="131"/>
      <c r="F305" s="131"/>
      <c r="H305" s="111">
        <v>300</v>
      </c>
      <c r="I305" s="112" t="str">
        <f t="shared" si="30"/>
        <v/>
      </c>
      <c r="J305" s="111">
        <f t="shared" si="31"/>
        <v>-4</v>
      </c>
      <c r="K305" s="111">
        <f t="shared" si="32"/>
        <v>-40</v>
      </c>
      <c r="L305" s="111"/>
      <c r="M305" s="113">
        <f t="shared" si="33"/>
        <v>0</v>
      </c>
      <c r="N305" s="113">
        <f t="shared" si="34"/>
        <v>0</v>
      </c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</row>
    <row r="306" spans="1:39" s="96" customFormat="1">
      <c r="A306" s="133"/>
      <c r="B306" s="131"/>
      <c r="C306" s="131"/>
      <c r="D306" s="131"/>
      <c r="E306" s="131"/>
      <c r="F306" s="131"/>
      <c r="G306" s="131"/>
      <c r="H306" s="134"/>
      <c r="I306" s="134"/>
      <c r="J306" s="134"/>
      <c r="K306" s="134"/>
      <c r="L306" s="134"/>
      <c r="M306" s="134"/>
      <c r="N306" s="135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</row>
    <row r="314" spans="1:39" s="96" customFormat="1">
      <c r="A314" s="131"/>
      <c r="B314" s="131"/>
      <c r="C314" s="131"/>
      <c r="D314" s="131"/>
      <c r="E314" s="131"/>
      <c r="F314" s="131"/>
      <c r="G314" s="131"/>
      <c r="H314" s="134"/>
      <c r="I314" s="134"/>
      <c r="J314" s="134"/>
      <c r="K314" s="134"/>
      <c r="L314" s="136"/>
      <c r="M314" s="136"/>
      <c r="N314" s="135"/>
      <c r="Q314" s="123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</row>
    <row r="315" spans="1:39" s="96" customFormat="1">
      <c r="A315" s="131"/>
      <c r="B315" s="131"/>
      <c r="C315" s="131"/>
      <c r="D315" s="131"/>
      <c r="E315" s="131"/>
      <c r="F315" s="131"/>
      <c r="G315" s="131"/>
      <c r="H315" s="134"/>
      <c r="I315" s="134"/>
      <c r="J315" s="134"/>
      <c r="K315" s="134"/>
      <c r="L315" s="136"/>
      <c r="M315" s="136"/>
      <c r="N315" s="135"/>
      <c r="Q315" s="123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</row>
    <row r="316" spans="1:39" s="96" customFormat="1">
      <c r="A316" s="131"/>
      <c r="B316" s="131"/>
      <c r="C316" s="131"/>
      <c r="D316" s="131"/>
      <c r="E316" s="131"/>
      <c r="F316" s="131"/>
      <c r="G316" s="131"/>
      <c r="H316" s="134"/>
      <c r="I316" s="134"/>
      <c r="J316" s="134"/>
      <c r="K316" s="134"/>
      <c r="L316" s="136"/>
      <c r="M316" s="136"/>
      <c r="N316" s="135"/>
      <c r="Q316" s="123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</row>
    <row r="317" spans="1:39" s="96" customFormat="1">
      <c r="A317" s="131"/>
      <c r="B317" s="131"/>
      <c r="C317" s="131"/>
      <c r="D317" s="131"/>
      <c r="E317" s="131"/>
      <c r="F317" s="131"/>
      <c r="G317" s="131"/>
      <c r="H317" s="134"/>
      <c r="I317" s="134"/>
      <c r="J317" s="134"/>
      <c r="K317" s="134"/>
      <c r="L317" s="136"/>
      <c r="M317" s="136"/>
      <c r="N317" s="135"/>
      <c r="Q317" s="123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A7120F60-1259-4E76-B063-759003F2813D}"/>
    <hyperlink ref="C2:D2" r:id="rId2" display="Thionville" xr:uid="{2F52A17F-D16A-4268-889C-80F08364D57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2023-06-26T20:59:19Z</dcterms:modified>
  <cp:category/>
  <cp:contentStatus/>
</cp:coreProperties>
</file>