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/Szabla 2023/"/>
    </mc:Choice>
  </mc:AlternateContent>
  <xr:revisionPtr revIDLastSave="315" documentId="11_B3A69C960F5821989FD86571A643362AC660E643" xr6:coauthVersionLast="47" xr6:coauthVersionMax="47" xr10:uidLastSave="{844E60E0-B574-4611-884F-2237F059D003}"/>
  <bookViews>
    <workbookView xWindow="-120" yWindow="-120" windowWidth="29040" windowHeight="15720" tabRatio="714" xr2:uid="{00000000-000D-0000-FFFF-FFFF00000000}"/>
  </bookViews>
  <sheets>
    <sheet name="All" sheetId="2" r:id="rId1"/>
    <sheet name="MP (1)" sheetId="5" r:id="rId2"/>
    <sheet name="MP (2)" sheetId="12" r:id="rId3"/>
    <sheet name="GP1 (1)" sheetId="6" r:id="rId4"/>
    <sheet name="GP1 (2)" sheetId="13" r:id="rId5"/>
    <sheet name="GP2 (1)" sheetId="8" r:id="rId6"/>
    <sheet name="GP2 (2)" sheetId="14" r:id="rId7"/>
    <sheet name="GP3 (1)" sheetId="9" r:id="rId8"/>
    <sheet name="GP3 (2)" sheetId="15" r:id="rId9"/>
    <sheet name="GP4 (1)" sheetId="10" r:id="rId10"/>
    <sheet name="GP4 (2)" sheetId="16" r:id="rId11"/>
    <sheet name="GP5 (1)" sheetId="11" r:id="rId12"/>
    <sheet name="GP5 (2)" sheetId="18" r:id="rId13"/>
  </sheets>
  <definedNames>
    <definedName name="_xlnm._FilterDatabase" localSheetId="0" hidden="1">All!$A$4:$AR$67</definedName>
    <definedName name="_xlnm._FilterDatabase" localSheetId="3" hidden="1">'GP1 (1)'!$A$5:$L$5</definedName>
    <definedName name="_xlnm._FilterDatabase" localSheetId="5" hidden="1">'GP2 (1)'!$A$5:$L$5</definedName>
    <definedName name="_xlnm._FilterDatabase" localSheetId="6" hidden="1">'GP2 (2)'!$A$5:$L$5</definedName>
    <definedName name="_xlnm._FilterDatabase" localSheetId="7" hidden="1">'GP3 (1)'!$A$5:$L$50</definedName>
    <definedName name="_xlnm._FilterDatabase" localSheetId="8" hidden="1">'GP3 (2)'!$A$5:$L$5</definedName>
    <definedName name="_xlnm._FilterDatabase" localSheetId="9" hidden="1">'GP4 (1)'!$A$5:$L$23</definedName>
    <definedName name="_xlnm._FilterDatabase" localSheetId="10" hidden="1">'GP4 (2)'!$A$5:$L$38</definedName>
    <definedName name="_xlnm._FilterDatabase" localSheetId="11" hidden="1">'GP5 (1)'!$A$5:$L$5</definedName>
    <definedName name="_xlnm._FilterDatabase" localSheetId="12" hidden="1">'GP5 (2)'!$A$5:$L$44</definedName>
    <definedName name="_xlnm._FilterDatabase" localSheetId="1" hidden="1">'MP (1)'!$A$5:$L$5</definedName>
    <definedName name="_xlnm._FilterDatabase" localSheetId="2" hidden="1">'MP (2)'!$A$5:$L$5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55" i="2" l="1"/>
  <c r="AO55" i="2"/>
  <c r="AN55" i="2"/>
  <c r="AM55" i="2"/>
  <c r="AL55" i="2"/>
  <c r="AK55" i="2"/>
  <c r="AJ55" i="2"/>
  <c r="AI55" i="2"/>
  <c r="AH55" i="2"/>
  <c r="AG55" i="2"/>
  <c r="AF55" i="2"/>
  <c r="AE55" i="2"/>
  <c r="AC55" i="2"/>
  <c r="AB55" i="2"/>
  <c r="AA55" i="2"/>
  <c r="Z55" i="2"/>
  <c r="Y55" i="2"/>
  <c r="X55" i="2"/>
  <c r="W55" i="2"/>
  <c r="V55" i="2"/>
  <c r="U55" i="2"/>
  <c r="T55" i="2"/>
  <c r="S55" i="2"/>
  <c r="R55" i="2"/>
  <c r="P55" i="2"/>
  <c r="O55" i="2"/>
  <c r="N55" i="2"/>
  <c r="M55" i="2"/>
  <c r="L55" i="2"/>
  <c r="K55" i="2"/>
  <c r="J55" i="2"/>
  <c r="I55" i="2"/>
  <c r="H55" i="2"/>
  <c r="G55" i="2"/>
  <c r="F55" i="2"/>
  <c r="E55" i="2"/>
  <c r="A55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C50" i="2"/>
  <c r="AB50" i="2"/>
  <c r="AA50" i="2"/>
  <c r="Z50" i="2"/>
  <c r="Y50" i="2"/>
  <c r="X50" i="2"/>
  <c r="W50" i="2"/>
  <c r="V50" i="2"/>
  <c r="U50" i="2"/>
  <c r="T50" i="2"/>
  <c r="S50" i="2"/>
  <c r="R50" i="2"/>
  <c r="P50" i="2"/>
  <c r="O50" i="2"/>
  <c r="N50" i="2"/>
  <c r="M50" i="2"/>
  <c r="L50" i="2"/>
  <c r="K50" i="2"/>
  <c r="J50" i="2"/>
  <c r="I50" i="2"/>
  <c r="H50" i="2"/>
  <c r="G50" i="2"/>
  <c r="F50" i="2"/>
  <c r="E50" i="2"/>
  <c r="A50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C31" i="2"/>
  <c r="AB31" i="2"/>
  <c r="AA31" i="2"/>
  <c r="Z31" i="2"/>
  <c r="Y31" i="2"/>
  <c r="X31" i="2"/>
  <c r="W31" i="2"/>
  <c r="V31" i="2"/>
  <c r="U31" i="2"/>
  <c r="T31" i="2"/>
  <c r="S31" i="2"/>
  <c r="R31" i="2"/>
  <c r="P31" i="2"/>
  <c r="O31" i="2"/>
  <c r="N31" i="2"/>
  <c r="M31" i="2"/>
  <c r="L31" i="2"/>
  <c r="K31" i="2"/>
  <c r="J31" i="2"/>
  <c r="I31" i="2"/>
  <c r="H31" i="2"/>
  <c r="G31" i="2"/>
  <c r="F31" i="2"/>
  <c r="E31" i="2"/>
  <c r="A31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C28" i="2"/>
  <c r="AB28" i="2"/>
  <c r="AA28" i="2"/>
  <c r="Z28" i="2"/>
  <c r="Y28" i="2"/>
  <c r="X28" i="2"/>
  <c r="W28" i="2"/>
  <c r="V28" i="2"/>
  <c r="U28" i="2"/>
  <c r="T28" i="2"/>
  <c r="S28" i="2"/>
  <c r="R28" i="2"/>
  <c r="P28" i="2"/>
  <c r="O28" i="2"/>
  <c r="N28" i="2"/>
  <c r="M28" i="2"/>
  <c r="L28" i="2"/>
  <c r="K28" i="2"/>
  <c r="J28" i="2"/>
  <c r="I28" i="2"/>
  <c r="H28" i="2"/>
  <c r="G28" i="2"/>
  <c r="F28" i="2"/>
  <c r="E28" i="2"/>
  <c r="A28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C56" i="2"/>
  <c r="AB56" i="2"/>
  <c r="AA56" i="2"/>
  <c r="Z56" i="2"/>
  <c r="Y56" i="2"/>
  <c r="X56" i="2"/>
  <c r="W56" i="2"/>
  <c r="V56" i="2"/>
  <c r="U56" i="2"/>
  <c r="T56" i="2"/>
  <c r="S56" i="2"/>
  <c r="R56" i="2"/>
  <c r="P56" i="2"/>
  <c r="O56" i="2"/>
  <c r="N56" i="2"/>
  <c r="M56" i="2"/>
  <c r="L56" i="2"/>
  <c r="K56" i="2"/>
  <c r="J56" i="2"/>
  <c r="I56" i="2"/>
  <c r="H56" i="2"/>
  <c r="G56" i="2"/>
  <c r="F56" i="2"/>
  <c r="E56" i="2"/>
  <c r="A56" i="2"/>
  <c r="J65" i="2"/>
  <c r="I32" i="2"/>
  <c r="I60" i="2"/>
  <c r="I11" i="2"/>
  <c r="I64" i="2"/>
  <c r="I23" i="2"/>
  <c r="I27" i="2"/>
  <c r="I24" i="2"/>
  <c r="I66" i="2"/>
  <c r="I46" i="2"/>
  <c r="I7" i="2"/>
  <c r="I20" i="2"/>
  <c r="I47" i="2"/>
  <c r="I43" i="2"/>
  <c r="I38" i="2"/>
  <c r="I44" i="2"/>
  <c r="I5" i="2"/>
  <c r="I9" i="2"/>
  <c r="J22" i="2"/>
  <c r="J33" i="2"/>
  <c r="J30" i="2"/>
  <c r="J10" i="2"/>
  <c r="J18" i="2"/>
  <c r="I40" i="2"/>
  <c r="I15" i="2"/>
  <c r="I12" i="2"/>
  <c r="I48" i="2"/>
  <c r="I10" i="2"/>
  <c r="I14" i="2"/>
  <c r="I65" i="2"/>
  <c r="J37" i="2"/>
  <c r="J26" i="2"/>
  <c r="J54" i="2"/>
  <c r="J39" i="2"/>
  <c r="J40" i="2"/>
  <c r="J58" i="2"/>
  <c r="J15" i="2"/>
  <c r="J13" i="2"/>
  <c r="J48" i="2"/>
  <c r="J14" i="2"/>
  <c r="I67" i="2"/>
  <c r="I41" i="2"/>
  <c r="I33" i="2"/>
  <c r="I8" i="2"/>
  <c r="I36" i="2"/>
  <c r="I63" i="2"/>
  <c r="I37" i="2"/>
  <c r="I26" i="2"/>
  <c r="I39" i="2"/>
  <c r="I22" i="2"/>
  <c r="I13" i="2"/>
  <c r="I6" i="2"/>
  <c r="J32" i="2"/>
  <c r="J60" i="2"/>
  <c r="J11" i="2"/>
  <c r="J64" i="2"/>
  <c r="J23" i="2"/>
  <c r="J27" i="2"/>
  <c r="J24" i="2"/>
  <c r="J66" i="2"/>
  <c r="J46" i="2"/>
  <c r="J7" i="2"/>
  <c r="J20" i="2"/>
  <c r="J47" i="2"/>
  <c r="J43" i="2"/>
  <c r="J38" i="2"/>
  <c r="J44" i="2"/>
  <c r="J5" i="2"/>
  <c r="J9" i="2"/>
  <c r="I59" i="2"/>
  <c r="E45" i="2"/>
  <c r="J67" i="2"/>
  <c r="J41" i="2"/>
  <c r="J12" i="2"/>
  <c r="J17" i="2"/>
  <c r="J8" i="2"/>
  <c r="J45" i="2"/>
  <c r="J36" i="2"/>
  <c r="J6" i="2"/>
  <c r="I54" i="2"/>
  <c r="I58" i="2"/>
  <c r="I17" i="2"/>
  <c r="I30" i="2"/>
  <c r="I45" i="2"/>
  <c r="I18" i="2"/>
  <c r="Q55" i="2" l="1"/>
  <c r="D55" i="2"/>
  <c r="AD55" i="2"/>
  <c r="D50" i="2"/>
  <c r="D31" i="2"/>
  <c r="AD28" i="2"/>
  <c r="Q31" i="2"/>
  <c r="D28" i="2"/>
  <c r="AD50" i="2"/>
  <c r="D56" i="2"/>
  <c r="Q28" i="2"/>
  <c r="AD31" i="2"/>
  <c r="Q50" i="2"/>
  <c r="Q56" i="2"/>
  <c r="AD56" i="2"/>
  <c r="A5" i="2"/>
  <c r="A8" i="2"/>
  <c r="A9" i="2"/>
  <c r="A17" i="2"/>
  <c r="A7" i="2"/>
  <c r="A13" i="2"/>
  <c r="A6" i="2"/>
  <c r="A14" i="2"/>
  <c r="A15" i="2"/>
  <c r="A36" i="2"/>
  <c r="A10" i="2"/>
  <c r="A30" i="2"/>
  <c r="A12" i="2"/>
  <c r="A47" i="2"/>
  <c r="A67" i="2"/>
  <c r="A20" i="2"/>
  <c r="A46" i="2"/>
  <c r="A33" i="2"/>
  <c r="A18" i="2"/>
  <c r="A11" i="2"/>
  <c r="A59" i="2"/>
  <c r="A48" i="2"/>
  <c r="A38" i="2"/>
  <c r="A43" i="2"/>
  <c r="A40" i="2"/>
  <c r="A27" i="2"/>
  <c r="A41" i="2"/>
  <c r="A39" i="2"/>
  <c r="A54" i="2"/>
  <c r="A64" i="2"/>
  <c r="A24" i="2"/>
  <c r="A32" i="2"/>
  <c r="A58" i="2"/>
  <c r="A23" i="2"/>
  <c r="A66" i="2"/>
  <c r="A61" i="2"/>
  <c r="A44" i="2"/>
  <c r="A26" i="2"/>
  <c r="A22" i="2"/>
  <c r="A65" i="2"/>
  <c r="A62" i="2"/>
  <c r="A63" i="2"/>
  <c r="A37" i="2"/>
  <c r="A60" i="2"/>
  <c r="A34" i="2"/>
  <c r="A35" i="2"/>
  <c r="A19" i="2"/>
  <c r="A25" i="2"/>
  <c r="A52" i="2"/>
  <c r="A42" i="2"/>
  <c r="A51" i="2"/>
  <c r="A53" i="2"/>
  <c r="A57" i="2"/>
  <c r="A29" i="2"/>
  <c r="A16" i="2"/>
  <c r="A21" i="2"/>
  <c r="A49" i="2"/>
  <c r="A45" i="2"/>
  <c r="AP49" i="2"/>
  <c r="AL49" i="2"/>
  <c r="AH49" i="2"/>
  <c r="AC49" i="2"/>
  <c r="Y49" i="2"/>
  <c r="U49" i="2"/>
  <c r="P49" i="2"/>
  <c r="L49" i="2"/>
  <c r="H49" i="2"/>
  <c r="AP21" i="2"/>
  <c r="AL21" i="2"/>
  <c r="AH21" i="2"/>
  <c r="AC21" i="2"/>
  <c r="Y21" i="2"/>
  <c r="U21" i="2"/>
  <c r="P21" i="2"/>
  <c r="L21" i="2"/>
  <c r="H21" i="2"/>
  <c r="AP16" i="2"/>
  <c r="AL16" i="2"/>
  <c r="AH16" i="2"/>
  <c r="AC16" i="2"/>
  <c r="Y16" i="2"/>
  <c r="U16" i="2"/>
  <c r="P16" i="2"/>
  <c r="L16" i="2"/>
  <c r="H16" i="2"/>
  <c r="AP29" i="2"/>
  <c r="AL29" i="2"/>
  <c r="AH29" i="2"/>
  <c r="AC29" i="2"/>
  <c r="Y29" i="2"/>
  <c r="U29" i="2"/>
  <c r="P29" i="2"/>
  <c r="L29" i="2"/>
  <c r="H29" i="2"/>
  <c r="AP57" i="2"/>
  <c r="AL57" i="2"/>
  <c r="AH57" i="2"/>
  <c r="AC57" i="2"/>
  <c r="Y57" i="2"/>
  <c r="U57" i="2"/>
  <c r="P57" i="2"/>
  <c r="L57" i="2"/>
  <c r="H57" i="2"/>
  <c r="AP53" i="2"/>
  <c r="AL53" i="2"/>
  <c r="AH53" i="2"/>
  <c r="AC53" i="2"/>
  <c r="Y53" i="2"/>
  <c r="U53" i="2"/>
  <c r="P53" i="2"/>
  <c r="L53" i="2"/>
  <c r="H53" i="2"/>
  <c r="AP51" i="2"/>
  <c r="AL51" i="2"/>
  <c r="AH51" i="2"/>
  <c r="AC51" i="2"/>
  <c r="Y51" i="2"/>
  <c r="U51" i="2"/>
  <c r="P51" i="2"/>
  <c r="L51" i="2"/>
  <c r="H51" i="2"/>
  <c r="AP42" i="2"/>
  <c r="AL42" i="2"/>
  <c r="AH42" i="2"/>
  <c r="AC42" i="2"/>
  <c r="Y42" i="2"/>
  <c r="U42" i="2"/>
  <c r="P42" i="2"/>
  <c r="L42" i="2"/>
  <c r="H42" i="2"/>
  <c r="AP52" i="2"/>
  <c r="AL52" i="2"/>
  <c r="AH52" i="2"/>
  <c r="AC52" i="2"/>
  <c r="Y52" i="2"/>
  <c r="U52" i="2"/>
  <c r="P52" i="2"/>
  <c r="L52" i="2"/>
  <c r="H52" i="2"/>
  <c r="AP25" i="2"/>
  <c r="AL25" i="2"/>
  <c r="AH25" i="2"/>
  <c r="AC25" i="2"/>
  <c r="Y25" i="2"/>
  <c r="U25" i="2"/>
  <c r="P25" i="2"/>
  <c r="L25" i="2"/>
  <c r="H25" i="2"/>
  <c r="AP19" i="2"/>
  <c r="AL19" i="2"/>
  <c r="AH19" i="2"/>
  <c r="AC19" i="2"/>
  <c r="Y19" i="2"/>
  <c r="U19" i="2"/>
  <c r="P19" i="2"/>
  <c r="L19" i="2"/>
  <c r="H19" i="2"/>
  <c r="AP35" i="2"/>
  <c r="AL35" i="2"/>
  <c r="AH35" i="2"/>
  <c r="AC35" i="2"/>
  <c r="Y35" i="2"/>
  <c r="U35" i="2"/>
  <c r="P35" i="2"/>
  <c r="L35" i="2"/>
  <c r="H35" i="2"/>
  <c r="AO49" i="2"/>
  <c r="AK49" i="2"/>
  <c r="AG49" i="2"/>
  <c r="AB49" i="2"/>
  <c r="X49" i="2"/>
  <c r="T49" i="2"/>
  <c r="O49" i="2"/>
  <c r="K49" i="2"/>
  <c r="G49" i="2"/>
  <c r="AO21" i="2"/>
  <c r="AK21" i="2"/>
  <c r="AG21" i="2"/>
  <c r="AB21" i="2"/>
  <c r="X21" i="2"/>
  <c r="T21" i="2"/>
  <c r="O21" i="2"/>
  <c r="K21" i="2"/>
  <c r="G21" i="2"/>
  <c r="AO16" i="2"/>
  <c r="AK16" i="2"/>
  <c r="AG16" i="2"/>
  <c r="AB16" i="2"/>
  <c r="X16" i="2"/>
  <c r="T16" i="2"/>
  <c r="O16" i="2"/>
  <c r="K16" i="2"/>
  <c r="G16" i="2"/>
  <c r="AO29" i="2"/>
  <c r="AK29" i="2"/>
  <c r="AG29" i="2"/>
  <c r="AB29" i="2"/>
  <c r="X29" i="2"/>
  <c r="T29" i="2"/>
  <c r="O29" i="2"/>
  <c r="K29" i="2"/>
  <c r="G29" i="2"/>
  <c r="AO57" i="2"/>
  <c r="AK57" i="2"/>
  <c r="AG57" i="2"/>
  <c r="AB57" i="2"/>
  <c r="X57" i="2"/>
  <c r="T57" i="2"/>
  <c r="O57" i="2"/>
  <c r="K57" i="2"/>
  <c r="G57" i="2"/>
  <c r="AO53" i="2"/>
  <c r="AK53" i="2"/>
  <c r="AG53" i="2"/>
  <c r="AB53" i="2"/>
  <c r="X53" i="2"/>
  <c r="T53" i="2"/>
  <c r="O53" i="2"/>
  <c r="K53" i="2"/>
  <c r="G53" i="2"/>
  <c r="AO51" i="2"/>
  <c r="AK51" i="2"/>
  <c r="AG51" i="2"/>
  <c r="AB51" i="2"/>
  <c r="X51" i="2"/>
  <c r="T51" i="2"/>
  <c r="O51" i="2"/>
  <c r="K51" i="2"/>
  <c r="G51" i="2"/>
  <c r="AO42" i="2"/>
  <c r="AK42" i="2"/>
  <c r="AG42" i="2"/>
  <c r="AB42" i="2"/>
  <c r="X42" i="2"/>
  <c r="T42" i="2"/>
  <c r="O42" i="2"/>
  <c r="K42" i="2"/>
  <c r="G42" i="2"/>
  <c r="AO52" i="2"/>
  <c r="AK52" i="2"/>
  <c r="AG52" i="2"/>
  <c r="AB52" i="2"/>
  <c r="X52" i="2"/>
  <c r="T52" i="2"/>
  <c r="O52" i="2"/>
  <c r="K52" i="2"/>
  <c r="G52" i="2"/>
  <c r="AO25" i="2"/>
  <c r="AK25" i="2"/>
  <c r="AG25" i="2"/>
  <c r="AB25" i="2"/>
  <c r="X25" i="2"/>
  <c r="T25" i="2"/>
  <c r="O25" i="2"/>
  <c r="K25" i="2"/>
  <c r="G25" i="2"/>
  <c r="AO19" i="2"/>
  <c r="AK19" i="2"/>
  <c r="AN49" i="2"/>
  <c r="AJ49" i="2"/>
  <c r="AF49" i="2"/>
  <c r="AA49" i="2"/>
  <c r="W49" i="2"/>
  <c r="S49" i="2"/>
  <c r="N49" i="2"/>
  <c r="J49" i="2"/>
  <c r="F49" i="2"/>
  <c r="AN21" i="2"/>
  <c r="AJ21" i="2"/>
  <c r="AF21" i="2"/>
  <c r="AA21" i="2"/>
  <c r="W21" i="2"/>
  <c r="S21" i="2"/>
  <c r="N21" i="2"/>
  <c r="J21" i="2"/>
  <c r="F21" i="2"/>
  <c r="AN16" i="2"/>
  <c r="AJ16" i="2"/>
  <c r="AF16" i="2"/>
  <c r="AA16" i="2"/>
  <c r="W16" i="2"/>
  <c r="S16" i="2"/>
  <c r="N16" i="2"/>
  <c r="J16" i="2"/>
  <c r="F16" i="2"/>
  <c r="AN29" i="2"/>
  <c r="AJ29" i="2"/>
  <c r="AF29" i="2"/>
  <c r="AA29" i="2"/>
  <c r="W29" i="2"/>
  <c r="S29" i="2"/>
  <c r="N29" i="2"/>
  <c r="J29" i="2"/>
  <c r="F29" i="2"/>
  <c r="AN57" i="2"/>
  <c r="AJ57" i="2"/>
  <c r="AF57" i="2"/>
  <c r="AA57" i="2"/>
  <c r="W57" i="2"/>
  <c r="S57" i="2"/>
  <c r="N57" i="2"/>
  <c r="J57" i="2"/>
  <c r="F57" i="2"/>
  <c r="AN53" i="2"/>
  <c r="AJ53" i="2"/>
  <c r="AF53" i="2"/>
  <c r="AA53" i="2"/>
  <c r="W53" i="2"/>
  <c r="S53" i="2"/>
  <c r="N53" i="2"/>
  <c r="J53" i="2"/>
  <c r="AM49" i="2"/>
  <c r="AI49" i="2"/>
  <c r="AE49" i="2"/>
  <c r="Z49" i="2"/>
  <c r="V49" i="2"/>
  <c r="R49" i="2"/>
  <c r="M49" i="2"/>
  <c r="I49" i="2"/>
  <c r="E49" i="2"/>
  <c r="AM21" i="2"/>
  <c r="AI21" i="2"/>
  <c r="AE21" i="2"/>
  <c r="Z21" i="2"/>
  <c r="V21" i="2"/>
  <c r="R21" i="2"/>
  <c r="M21" i="2"/>
  <c r="I21" i="2"/>
  <c r="E21" i="2"/>
  <c r="AM16" i="2"/>
  <c r="AI16" i="2"/>
  <c r="AE16" i="2"/>
  <c r="Z16" i="2"/>
  <c r="V16" i="2"/>
  <c r="R16" i="2"/>
  <c r="M16" i="2"/>
  <c r="I16" i="2"/>
  <c r="E16" i="2"/>
  <c r="AM29" i="2"/>
  <c r="AI29" i="2"/>
  <c r="AE29" i="2"/>
  <c r="Z29" i="2"/>
  <c r="V29" i="2"/>
  <c r="R29" i="2"/>
  <c r="M29" i="2"/>
  <c r="I29" i="2"/>
  <c r="E29" i="2"/>
  <c r="AM57" i="2"/>
  <c r="AI57" i="2"/>
  <c r="AE57" i="2"/>
  <c r="Z57" i="2"/>
  <c r="V57" i="2"/>
  <c r="R57" i="2"/>
  <c r="M57" i="2"/>
  <c r="I57" i="2"/>
  <c r="E57" i="2"/>
  <c r="AM53" i="2"/>
  <c r="AI53" i="2"/>
  <c r="AE53" i="2"/>
  <c r="Z53" i="2"/>
  <c r="V53" i="2"/>
  <c r="R53" i="2"/>
  <c r="M53" i="2"/>
  <c r="I53" i="2"/>
  <c r="E53" i="2"/>
  <c r="AM51" i="2"/>
  <c r="AI51" i="2"/>
  <c r="AE51" i="2"/>
  <c r="Z51" i="2"/>
  <c r="V51" i="2"/>
  <c r="R51" i="2"/>
  <c r="M51" i="2"/>
  <c r="I51" i="2"/>
  <c r="E51" i="2"/>
  <c r="AM42" i="2"/>
  <c r="AI42" i="2"/>
  <c r="AE42" i="2"/>
  <c r="Z42" i="2"/>
  <c r="V42" i="2"/>
  <c r="R42" i="2"/>
  <c r="M42" i="2"/>
  <c r="I42" i="2"/>
  <c r="E42" i="2"/>
  <c r="AM52" i="2"/>
  <c r="AI52" i="2"/>
  <c r="AE52" i="2"/>
  <c r="Z52" i="2"/>
  <c r="V52" i="2"/>
  <c r="R52" i="2"/>
  <c r="M52" i="2"/>
  <c r="I52" i="2"/>
  <c r="E52" i="2"/>
  <c r="AM25" i="2"/>
  <c r="AI25" i="2"/>
  <c r="AE25" i="2"/>
  <c r="Z25" i="2"/>
  <c r="V25" i="2"/>
  <c r="R25" i="2"/>
  <c r="M25" i="2"/>
  <c r="I25" i="2"/>
  <c r="E25" i="2"/>
  <c r="AM19" i="2"/>
  <c r="AI19" i="2"/>
  <c r="AE19" i="2"/>
  <c r="Z19" i="2"/>
  <c r="V19" i="2"/>
  <c r="R19" i="2"/>
  <c r="M19" i="2"/>
  <c r="I19" i="2"/>
  <c r="E19" i="2"/>
  <c r="AM35" i="2"/>
  <c r="AI35" i="2"/>
  <c r="AE35" i="2"/>
  <c r="Z35" i="2"/>
  <c r="V35" i="2"/>
  <c r="R35" i="2"/>
  <c r="M35" i="2"/>
  <c r="I35" i="2"/>
  <c r="E35" i="2"/>
  <c r="AM34" i="2"/>
  <c r="AI34" i="2"/>
  <c r="AE34" i="2"/>
  <c r="Z34" i="2"/>
  <c r="V34" i="2"/>
  <c r="R34" i="2"/>
  <c r="M34" i="2"/>
  <c r="I34" i="2"/>
  <c r="E34" i="2"/>
  <c r="AM62" i="2"/>
  <c r="F53" i="2"/>
  <c r="AA51" i="2"/>
  <c r="J51" i="2"/>
  <c r="AF42" i="2"/>
  <c r="N42" i="2"/>
  <c r="AJ52" i="2"/>
  <c r="S52" i="2"/>
  <c r="AN25" i="2"/>
  <c r="W25" i="2"/>
  <c r="F25" i="2"/>
  <c r="AF19" i="2"/>
  <c r="W19" i="2"/>
  <c r="N19" i="2"/>
  <c r="F19" i="2"/>
  <c r="AJ35" i="2"/>
  <c r="AA35" i="2"/>
  <c r="S35" i="2"/>
  <c r="J35" i="2"/>
  <c r="AO34" i="2"/>
  <c r="AJ34" i="2"/>
  <c r="AC34" i="2"/>
  <c r="X34" i="2"/>
  <c r="S34" i="2"/>
  <c r="L34" i="2"/>
  <c r="G34" i="2"/>
  <c r="AN62" i="2"/>
  <c r="AI62" i="2"/>
  <c r="AE62" i="2"/>
  <c r="Z62" i="2"/>
  <c r="V62" i="2"/>
  <c r="R62" i="2"/>
  <c r="M62" i="2"/>
  <c r="I62" i="2"/>
  <c r="E62" i="2"/>
  <c r="AM63" i="2"/>
  <c r="AI63" i="2"/>
  <c r="AE63" i="2"/>
  <c r="Z63" i="2"/>
  <c r="V63" i="2"/>
  <c r="R63" i="2"/>
  <c r="M63" i="2"/>
  <c r="H63" i="2"/>
  <c r="AP65" i="2"/>
  <c r="AL65" i="2"/>
  <c r="AH65" i="2"/>
  <c r="AC65" i="2"/>
  <c r="Y65" i="2"/>
  <c r="U65" i="2"/>
  <c r="P65" i="2"/>
  <c r="L65" i="2"/>
  <c r="F65" i="2"/>
  <c r="AN61" i="2"/>
  <c r="AJ61" i="2"/>
  <c r="AF61" i="2"/>
  <c r="AA61" i="2"/>
  <c r="W61" i="2"/>
  <c r="S61" i="2"/>
  <c r="N61" i="2"/>
  <c r="J61" i="2"/>
  <c r="F61" i="2"/>
  <c r="AP37" i="2"/>
  <c r="AL37" i="2"/>
  <c r="AH37" i="2"/>
  <c r="AC37" i="2"/>
  <c r="Y37" i="2"/>
  <c r="U37" i="2"/>
  <c r="P37" i="2"/>
  <c r="L37" i="2"/>
  <c r="F37" i="2"/>
  <c r="AN32" i="2"/>
  <c r="AJ32" i="2"/>
  <c r="AF32" i="2"/>
  <c r="AA32" i="2"/>
  <c r="W32" i="2"/>
  <c r="S32" i="2"/>
  <c r="N32" i="2"/>
  <c r="H32" i="2"/>
  <c r="AP26" i="2"/>
  <c r="AL26" i="2"/>
  <c r="AH26" i="2"/>
  <c r="AC26" i="2"/>
  <c r="Y26" i="2"/>
  <c r="U26" i="2"/>
  <c r="P26" i="2"/>
  <c r="L26" i="2"/>
  <c r="F26" i="2"/>
  <c r="AN60" i="2"/>
  <c r="AJ60" i="2"/>
  <c r="AF60" i="2"/>
  <c r="AA60" i="2"/>
  <c r="W60" i="2"/>
  <c r="S60" i="2"/>
  <c r="N60" i="2"/>
  <c r="H60" i="2"/>
  <c r="AN66" i="2"/>
  <c r="AJ66" i="2"/>
  <c r="AF66" i="2"/>
  <c r="AA66" i="2"/>
  <c r="W66" i="2"/>
  <c r="S66" i="2"/>
  <c r="N66" i="2"/>
  <c r="H66" i="2"/>
  <c r="AP24" i="2"/>
  <c r="AL24" i="2"/>
  <c r="AH24" i="2"/>
  <c r="AC24" i="2"/>
  <c r="Y24" i="2"/>
  <c r="U24" i="2"/>
  <c r="P24" i="2"/>
  <c r="L24" i="2"/>
  <c r="AN51" i="2"/>
  <c r="W51" i="2"/>
  <c r="F51" i="2"/>
  <c r="AA42" i="2"/>
  <c r="J42" i="2"/>
  <c r="AF52" i="2"/>
  <c r="N52" i="2"/>
  <c r="AJ25" i="2"/>
  <c r="S25" i="2"/>
  <c r="AN19" i="2"/>
  <c r="AB19" i="2"/>
  <c r="T19" i="2"/>
  <c r="K19" i="2"/>
  <c r="AO35" i="2"/>
  <c r="AG35" i="2"/>
  <c r="X35" i="2"/>
  <c r="O35" i="2"/>
  <c r="G35" i="2"/>
  <c r="AN34" i="2"/>
  <c r="AH34" i="2"/>
  <c r="AB34" i="2"/>
  <c r="W34" i="2"/>
  <c r="P34" i="2"/>
  <c r="K34" i="2"/>
  <c r="F34" i="2"/>
  <c r="AL62" i="2"/>
  <c r="AH62" i="2"/>
  <c r="AC62" i="2"/>
  <c r="Y62" i="2"/>
  <c r="U62" i="2"/>
  <c r="P62" i="2"/>
  <c r="L62" i="2"/>
  <c r="H62" i="2"/>
  <c r="AP63" i="2"/>
  <c r="AL63" i="2"/>
  <c r="AH63" i="2"/>
  <c r="AC63" i="2"/>
  <c r="Y63" i="2"/>
  <c r="U63" i="2"/>
  <c r="P63" i="2"/>
  <c r="L63" i="2"/>
  <c r="G63" i="2"/>
  <c r="AO65" i="2"/>
  <c r="AK65" i="2"/>
  <c r="AG65" i="2"/>
  <c r="AB65" i="2"/>
  <c r="X65" i="2"/>
  <c r="T65" i="2"/>
  <c r="O65" i="2"/>
  <c r="K65" i="2"/>
  <c r="E65" i="2"/>
  <c r="AM61" i="2"/>
  <c r="AI61" i="2"/>
  <c r="AE61" i="2"/>
  <c r="Z61" i="2"/>
  <c r="V61" i="2"/>
  <c r="R61" i="2"/>
  <c r="M61" i="2"/>
  <c r="I61" i="2"/>
  <c r="E61" i="2"/>
  <c r="AO37" i="2"/>
  <c r="AK37" i="2"/>
  <c r="AG37" i="2"/>
  <c r="AB37" i="2"/>
  <c r="X37" i="2"/>
  <c r="T37" i="2"/>
  <c r="O37" i="2"/>
  <c r="K37" i="2"/>
  <c r="E37" i="2"/>
  <c r="AM32" i="2"/>
  <c r="AI32" i="2"/>
  <c r="AE32" i="2"/>
  <c r="Z32" i="2"/>
  <c r="V32" i="2"/>
  <c r="R32" i="2"/>
  <c r="M32" i="2"/>
  <c r="G32" i="2"/>
  <c r="AO26" i="2"/>
  <c r="AK26" i="2"/>
  <c r="AG26" i="2"/>
  <c r="AB26" i="2"/>
  <c r="X26" i="2"/>
  <c r="T26" i="2"/>
  <c r="O26" i="2"/>
  <c r="K26" i="2"/>
  <c r="E26" i="2"/>
  <c r="AM60" i="2"/>
  <c r="AI60" i="2"/>
  <c r="AE60" i="2"/>
  <c r="Z60" i="2"/>
  <c r="V60" i="2"/>
  <c r="R60" i="2"/>
  <c r="M60" i="2"/>
  <c r="G60" i="2"/>
  <c r="AM66" i="2"/>
  <c r="AI66" i="2"/>
  <c r="AE66" i="2"/>
  <c r="Z66" i="2"/>
  <c r="V66" i="2"/>
  <c r="R66" i="2"/>
  <c r="M66" i="2"/>
  <c r="AJ51" i="2"/>
  <c r="S51" i="2"/>
  <c r="AN42" i="2"/>
  <c r="W42" i="2"/>
  <c r="F42" i="2"/>
  <c r="AA52" i="2"/>
  <c r="J52" i="2"/>
  <c r="AF25" i="2"/>
  <c r="N25" i="2"/>
  <c r="AJ19" i="2"/>
  <c r="AA19" i="2"/>
  <c r="S19" i="2"/>
  <c r="J19" i="2"/>
  <c r="AN35" i="2"/>
  <c r="AF35" i="2"/>
  <c r="W35" i="2"/>
  <c r="N35" i="2"/>
  <c r="F35" i="2"/>
  <c r="AL34" i="2"/>
  <c r="AG34" i="2"/>
  <c r="AA34" i="2"/>
  <c r="U34" i="2"/>
  <c r="O34" i="2"/>
  <c r="J34" i="2"/>
  <c r="AP62" i="2"/>
  <c r="AK62" i="2"/>
  <c r="AG62" i="2"/>
  <c r="AB62" i="2"/>
  <c r="X62" i="2"/>
  <c r="T62" i="2"/>
  <c r="O62" i="2"/>
  <c r="K62" i="2"/>
  <c r="G62" i="2"/>
  <c r="AO63" i="2"/>
  <c r="AK63" i="2"/>
  <c r="AG63" i="2"/>
  <c r="AB63" i="2"/>
  <c r="X63" i="2"/>
  <c r="T63" i="2"/>
  <c r="O63" i="2"/>
  <c r="K63" i="2"/>
  <c r="F63" i="2"/>
  <c r="AN65" i="2"/>
  <c r="AJ65" i="2"/>
  <c r="AF65" i="2"/>
  <c r="AA65" i="2"/>
  <c r="W65" i="2"/>
  <c r="S65" i="2"/>
  <c r="N65" i="2"/>
  <c r="H65" i="2"/>
  <c r="AP61" i="2"/>
  <c r="AL61" i="2"/>
  <c r="AH61" i="2"/>
  <c r="AC61" i="2"/>
  <c r="Y61" i="2"/>
  <c r="U61" i="2"/>
  <c r="P61" i="2"/>
  <c r="L61" i="2"/>
  <c r="H61" i="2"/>
  <c r="AN37" i="2"/>
  <c r="AJ37" i="2"/>
  <c r="AF37" i="2"/>
  <c r="AA37" i="2"/>
  <c r="W37" i="2"/>
  <c r="S37" i="2"/>
  <c r="N37" i="2"/>
  <c r="AF51" i="2"/>
  <c r="N51" i="2"/>
  <c r="AJ42" i="2"/>
  <c r="S42" i="2"/>
  <c r="AN52" i="2"/>
  <c r="W52" i="2"/>
  <c r="F52" i="2"/>
  <c r="AA25" i="2"/>
  <c r="J25" i="2"/>
  <c r="AG19" i="2"/>
  <c r="X19" i="2"/>
  <c r="O19" i="2"/>
  <c r="G19" i="2"/>
  <c r="AK35" i="2"/>
  <c r="AB35" i="2"/>
  <c r="T35" i="2"/>
  <c r="K35" i="2"/>
  <c r="AP34" i="2"/>
  <c r="AK34" i="2"/>
  <c r="AF34" i="2"/>
  <c r="Y34" i="2"/>
  <c r="T34" i="2"/>
  <c r="N34" i="2"/>
  <c r="H34" i="2"/>
  <c r="AO62" i="2"/>
  <c r="AJ62" i="2"/>
  <c r="AF62" i="2"/>
  <c r="AA62" i="2"/>
  <c r="W62" i="2"/>
  <c r="S62" i="2"/>
  <c r="N62" i="2"/>
  <c r="J62" i="2"/>
  <c r="F62" i="2"/>
  <c r="AN63" i="2"/>
  <c r="AJ63" i="2"/>
  <c r="AF63" i="2"/>
  <c r="AA63" i="2"/>
  <c r="W63" i="2"/>
  <c r="S63" i="2"/>
  <c r="N63" i="2"/>
  <c r="J63" i="2"/>
  <c r="E63" i="2"/>
  <c r="AM65" i="2"/>
  <c r="AI65" i="2"/>
  <c r="AE65" i="2"/>
  <c r="Z65" i="2"/>
  <c r="V65" i="2"/>
  <c r="R65" i="2"/>
  <c r="M65" i="2"/>
  <c r="G65" i="2"/>
  <c r="AO61" i="2"/>
  <c r="AK61" i="2"/>
  <c r="AG61" i="2"/>
  <c r="AB61" i="2"/>
  <c r="X61" i="2"/>
  <c r="T61" i="2"/>
  <c r="O61" i="2"/>
  <c r="K61" i="2"/>
  <c r="G61" i="2"/>
  <c r="AM37" i="2"/>
  <c r="AI37" i="2"/>
  <c r="AE37" i="2"/>
  <c r="Z37" i="2"/>
  <c r="V37" i="2"/>
  <c r="R37" i="2"/>
  <c r="M37" i="2"/>
  <c r="G37" i="2"/>
  <c r="AO32" i="2"/>
  <c r="AK32" i="2"/>
  <c r="AG32" i="2"/>
  <c r="AB32" i="2"/>
  <c r="X32" i="2"/>
  <c r="T32" i="2"/>
  <c r="O32" i="2"/>
  <c r="K32" i="2"/>
  <c r="E32" i="2"/>
  <c r="AM26" i="2"/>
  <c r="AI26" i="2"/>
  <c r="AE26" i="2"/>
  <c r="Z26" i="2"/>
  <c r="V26" i="2"/>
  <c r="R26" i="2"/>
  <c r="M26" i="2"/>
  <c r="G26" i="2"/>
  <c r="AO60" i="2"/>
  <c r="AK60" i="2"/>
  <c r="AG60" i="2"/>
  <c r="AB60" i="2"/>
  <c r="X60" i="2"/>
  <c r="T60" i="2"/>
  <c r="O60" i="2"/>
  <c r="K60" i="2"/>
  <c r="E60" i="2"/>
  <c r="AO66" i="2"/>
  <c r="AK66" i="2"/>
  <c r="AG66" i="2"/>
  <c r="AB66" i="2"/>
  <c r="X66" i="2"/>
  <c r="T66" i="2"/>
  <c r="O66" i="2"/>
  <c r="K66" i="2"/>
  <c r="E66" i="2"/>
  <c r="AM24" i="2"/>
  <c r="AI24" i="2"/>
  <c r="AE24" i="2"/>
  <c r="Z24" i="2"/>
  <c r="V24" i="2"/>
  <c r="R24" i="2"/>
  <c r="M24" i="2"/>
  <c r="G24" i="2"/>
  <c r="H37" i="2"/>
  <c r="AC32" i="2"/>
  <c r="L32" i="2"/>
  <c r="AF26" i="2"/>
  <c r="N26" i="2"/>
  <c r="AH60" i="2"/>
  <c r="P60" i="2"/>
  <c r="AL66" i="2"/>
  <c r="U66" i="2"/>
  <c r="F66" i="2"/>
  <c r="AJ24" i="2"/>
  <c r="AA24" i="2"/>
  <c r="S24" i="2"/>
  <c r="H24" i="2"/>
  <c r="AP39" i="2"/>
  <c r="AL39" i="2"/>
  <c r="AH39" i="2"/>
  <c r="AC39" i="2"/>
  <c r="Y39" i="2"/>
  <c r="U39" i="2"/>
  <c r="P39" i="2"/>
  <c r="L39" i="2"/>
  <c r="F39" i="2"/>
  <c r="AN54" i="2"/>
  <c r="AJ54" i="2"/>
  <c r="AF54" i="2"/>
  <c r="AA54" i="2"/>
  <c r="W54" i="2"/>
  <c r="S54" i="2"/>
  <c r="N54" i="2"/>
  <c r="H54" i="2"/>
  <c r="AP23" i="2"/>
  <c r="AL23" i="2"/>
  <c r="AH23" i="2"/>
  <c r="AC23" i="2"/>
  <c r="Y23" i="2"/>
  <c r="U23" i="2"/>
  <c r="P23" i="2"/>
  <c r="L23" i="2"/>
  <c r="F23" i="2"/>
  <c r="AP32" i="2"/>
  <c r="Y32" i="2"/>
  <c r="F32" i="2"/>
  <c r="AA26" i="2"/>
  <c r="H26" i="2"/>
  <c r="AC60" i="2"/>
  <c r="L60" i="2"/>
  <c r="AH66" i="2"/>
  <c r="P66" i="2"/>
  <c r="AO24" i="2"/>
  <c r="AG24" i="2"/>
  <c r="X24" i="2"/>
  <c r="O24" i="2"/>
  <c r="F24" i="2"/>
  <c r="AO39" i="2"/>
  <c r="AK39" i="2"/>
  <c r="AG39" i="2"/>
  <c r="AB39" i="2"/>
  <c r="X39" i="2"/>
  <c r="T39" i="2"/>
  <c r="O39" i="2"/>
  <c r="K39" i="2"/>
  <c r="E39" i="2"/>
  <c r="AM54" i="2"/>
  <c r="AI54" i="2"/>
  <c r="AE54" i="2"/>
  <c r="AL32" i="2"/>
  <c r="U32" i="2"/>
  <c r="AN26" i="2"/>
  <c r="W26" i="2"/>
  <c r="AP60" i="2"/>
  <c r="Y60" i="2"/>
  <c r="F60" i="2"/>
  <c r="AC66" i="2"/>
  <c r="L66" i="2"/>
  <c r="AN24" i="2"/>
  <c r="AF24" i="2"/>
  <c r="W24" i="2"/>
  <c r="N24" i="2"/>
  <c r="E24" i="2"/>
  <c r="AN39" i="2"/>
  <c r="AJ39" i="2"/>
  <c r="AF39" i="2"/>
  <c r="AA39" i="2"/>
  <c r="W39" i="2"/>
  <c r="S39" i="2"/>
  <c r="N39" i="2"/>
  <c r="H39" i="2"/>
  <c r="AH32" i="2"/>
  <c r="P32" i="2"/>
  <c r="AJ26" i="2"/>
  <c r="S26" i="2"/>
  <c r="AL60" i="2"/>
  <c r="U60" i="2"/>
  <c r="AP66" i="2"/>
  <c r="Y66" i="2"/>
  <c r="G66" i="2"/>
  <c r="AK24" i="2"/>
  <c r="AB24" i="2"/>
  <c r="T24" i="2"/>
  <c r="K24" i="2"/>
  <c r="AM39" i="2"/>
  <c r="AI39" i="2"/>
  <c r="AE39" i="2"/>
  <c r="Z39" i="2"/>
  <c r="V39" i="2"/>
  <c r="R39" i="2"/>
  <c r="M39" i="2"/>
  <c r="G39" i="2"/>
  <c r="AO54" i="2"/>
  <c r="AK54" i="2"/>
  <c r="AG54" i="2"/>
  <c r="AB54" i="2"/>
  <c r="X54" i="2"/>
  <c r="T54" i="2"/>
  <c r="O54" i="2"/>
  <c r="K54" i="2"/>
  <c r="E54" i="2"/>
  <c r="AM23" i="2"/>
  <c r="AI23" i="2"/>
  <c r="AE23" i="2"/>
  <c r="Z23" i="2"/>
  <c r="V23" i="2"/>
  <c r="R23" i="2"/>
  <c r="M23" i="2"/>
  <c r="G23" i="2"/>
  <c r="AO64" i="2"/>
  <c r="AK64" i="2"/>
  <c r="AG64" i="2"/>
  <c r="AB64" i="2"/>
  <c r="X64" i="2"/>
  <c r="T64" i="2"/>
  <c r="O64" i="2"/>
  <c r="K64" i="2"/>
  <c r="E64" i="2"/>
  <c r="AC54" i="2"/>
  <c r="U54" i="2"/>
  <c r="L54" i="2"/>
  <c r="AN23" i="2"/>
  <c r="AF23" i="2"/>
  <c r="W23" i="2"/>
  <c r="N23" i="2"/>
  <c r="AP64" i="2"/>
  <c r="AJ64" i="2"/>
  <c r="AE64" i="2"/>
  <c r="Y64" i="2"/>
  <c r="S64" i="2"/>
  <c r="M64" i="2"/>
  <c r="F64" i="2"/>
  <c r="AM27" i="2"/>
  <c r="AI27" i="2"/>
  <c r="AE27" i="2"/>
  <c r="Z27" i="2"/>
  <c r="V27" i="2"/>
  <c r="R27" i="2"/>
  <c r="M27" i="2"/>
  <c r="G27" i="2"/>
  <c r="AM44" i="2"/>
  <c r="AI44" i="2"/>
  <c r="AE44" i="2"/>
  <c r="Z44" i="2"/>
  <c r="V44" i="2"/>
  <c r="R44" i="2"/>
  <c r="M44" i="2"/>
  <c r="G44" i="2"/>
  <c r="AM22" i="2"/>
  <c r="AI22" i="2"/>
  <c r="AE22" i="2"/>
  <c r="Z22" i="2"/>
  <c r="V22" i="2"/>
  <c r="R22" i="2"/>
  <c r="M22" i="2"/>
  <c r="G22" i="2"/>
  <c r="AO58" i="2"/>
  <c r="AK58" i="2"/>
  <c r="AG58" i="2"/>
  <c r="AB58" i="2"/>
  <c r="X58" i="2"/>
  <c r="T58" i="2"/>
  <c r="O58" i="2"/>
  <c r="K58" i="2"/>
  <c r="E58" i="2"/>
  <c r="AM11" i="2"/>
  <c r="AI11" i="2"/>
  <c r="AE11" i="2"/>
  <c r="Z11" i="2"/>
  <c r="V11" i="2"/>
  <c r="R11" i="2"/>
  <c r="M11" i="2"/>
  <c r="G11" i="2"/>
  <c r="AO43" i="2"/>
  <c r="AK43" i="2"/>
  <c r="AG43" i="2"/>
  <c r="AB43" i="2"/>
  <c r="X43" i="2"/>
  <c r="T43" i="2"/>
  <c r="O43" i="2"/>
  <c r="K43" i="2"/>
  <c r="E43" i="2"/>
  <c r="AO38" i="2"/>
  <c r="AK38" i="2"/>
  <c r="AG38" i="2"/>
  <c r="AB38" i="2"/>
  <c r="X38" i="2"/>
  <c r="T38" i="2"/>
  <c r="O38" i="2"/>
  <c r="K38" i="2"/>
  <c r="E38" i="2"/>
  <c r="AP54" i="2"/>
  <c r="Z54" i="2"/>
  <c r="R54" i="2"/>
  <c r="G54" i="2"/>
  <c r="AK23" i="2"/>
  <c r="AB23" i="2"/>
  <c r="T23" i="2"/>
  <c r="K23" i="2"/>
  <c r="AN64" i="2"/>
  <c r="AI64" i="2"/>
  <c r="AC64" i="2"/>
  <c r="W64" i="2"/>
  <c r="R64" i="2"/>
  <c r="L64" i="2"/>
  <c r="AP27" i="2"/>
  <c r="AL27" i="2"/>
  <c r="AH27" i="2"/>
  <c r="AC27" i="2"/>
  <c r="Y27" i="2"/>
  <c r="U27" i="2"/>
  <c r="P27" i="2"/>
  <c r="L27" i="2"/>
  <c r="F27" i="2"/>
  <c r="AP44" i="2"/>
  <c r="AL44" i="2"/>
  <c r="AH44" i="2"/>
  <c r="AC44" i="2"/>
  <c r="Y44" i="2"/>
  <c r="U44" i="2"/>
  <c r="P44" i="2"/>
  <c r="L44" i="2"/>
  <c r="F44" i="2"/>
  <c r="AP22" i="2"/>
  <c r="AL22" i="2"/>
  <c r="AH22" i="2"/>
  <c r="AC22" i="2"/>
  <c r="Y22" i="2"/>
  <c r="U22" i="2"/>
  <c r="P22" i="2"/>
  <c r="L22" i="2"/>
  <c r="F22" i="2"/>
  <c r="AN58" i="2"/>
  <c r="AJ58" i="2"/>
  <c r="AF58" i="2"/>
  <c r="AA58" i="2"/>
  <c r="W58" i="2"/>
  <c r="S58" i="2"/>
  <c r="N58" i="2"/>
  <c r="H58" i="2"/>
  <c r="AP11" i="2"/>
  <c r="AL11" i="2"/>
  <c r="AH11" i="2"/>
  <c r="AC11" i="2"/>
  <c r="Y11" i="2"/>
  <c r="U11" i="2"/>
  <c r="P11" i="2"/>
  <c r="L11" i="2"/>
  <c r="F11" i="2"/>
  <c r="AN43" i="2"/>
  <c r="AJ43" i="2"/>
  <c r="AF43" i="2"/>
  <c r="AL54" i="2"/>
  <c r="Y54" i="2"/>
  <c r="P54" i="2"/>
  <c r="F54" i="2"/>
  <c r="AJ23" i="2"/>
  <c r="AA23" i="2"/>
  <c r="S23" i="2"/>
  <c r="H23" i="2"/>
  <c r="AM64" i="2"/>
  <c r="AH64" i="2"/>
  <c r="AA64" i="2"/>
  <c r="V64" i="2"/>
  <c r="P64" i="2"/>
  <c r="H64" i="2"/>
  <c r="AO27" i="2"/>
  <c r="AK27" i="2"/>
  <c r="AG27" i="2"/>
  <c r="AB27" i="2"/>
  <c r="X27" i="2"/>
  <c r="T27" i="2"/>
  <c r="O27" i="2"/>
  <c r="K27" i="2"/>
  <c r="E27" i="2"/>
  <c r="AO44" i="2"/>
  <c r="AK44" i="2"/>
  <c r="AG44" i="2"/>
  <c r="AB44" i="2"/>
  <c r="X44" i="2"/>
  <c r="T44" i="2"/>
  <c r="O44" i="2"/>
  <c r="K44" i="2"/>
  <c r="E44" i="2"/>
  <c r="AO22" i="2"/>
  <c r="AK22" i="2"/>
  <c r="AG22" i="2"/>
  <c r="AB22" i="2"/>
  <c r="X22" i="2"/>
  <c r="T22" i="2"/>
  <c r="AH54" i="2"/>
  <c r="V54" i="2"/>
  <c r="M54" i="2"/>
  <c r="AO23" i="2"/>
  <c r="AG23" i="2"/>
  <c r="X23" i="2"/>
  <c r="O23" i="2"/>
  <c r="E23" i="2"/>
  <c r="AL64" i="2"/>
  <c r="AF64" i="2"/>
  <c r="Z64" i="2"/>
  <c r="U64" i="2"/>
  <c r="N64" i="2"/>
  <c r="G64" i="2"/>
  <c r="AN27" i="2"/>
  <c r="AJ27" i="2"/>
  <c r="AF27" i="2"/>
  <c r="AA27" i="2"/>
  <c r="W27" i="2"/>
  <c r="S27" i="2"/>
  <c r="N27" i="2"/>
  <c r="H27" i="2"/>
  <c r="AN44" i="2"/>
  <c r="AJ44" i="2"/>
  <c r="AF44" i="2"/>
  <c r="AA44" i="2"/>
  <c r="W44" i="2"/>
  <c r="S44" i="2"/>
  <c r="N44" i="2"/>
  <c r="H44" i="2"/>
  <c r="AN22" i="2"/>
  <c r="AJ22" i="2"/>
  <c r="AF22" i="2"/>
  <c r="AA22" i="2"/>
  <c r="W22" i="2"/>
  <c r="S22" i="2"/>
  <c r="N22" i="2"/>
  <c r="H22" i="2"/>
  <c r="AP58" i="2"/>
  <c r="AL58" i="2"/>
  <c r="AH58" i="2"/>
  <c r="AC58" i="2"/>
  <c r="Y58" i="2"/>
  <c r="U58" i="2"/>
  <c r="P58" i="2"/>
  <c r="L58" i="2"/>
  <c r="F58" i="2"/>
  <c r="AN11" i="2"/>
  <c r="AJ11" i="2"/>
  <c r="AF11" i="2"/>
  <c r="AA11" i="2"/>
  <c r="W11" i="2"/>
  <c r="S11" i="2"/>
  <c r="N11" i="2"/>
  <c r="H11" i="2"/>
  <c r="AP43" i="2"/>
  <c r="AL43" i="2"/>
  <c r="AH43" i="2"/>
  <c r="AC43" i="2"/>
  <c r="Y43" i="2"/>
  <c r="U43" i="2"/>
  <c r="P43" i="2"/>
  <c r="L43" i="2"/>
  <c r="F43" i="2"/>
  <c r="AP38" i="2"/>
  <c r="AL38" i="2"/>
  <c r="AH38" i="2"/>
  <c r="AC38" i="2"/>
  <c r="Y38" i="2"/>
  <c r="U38" i="2"/>
  <c r="P38" i="2"/>
  <c r="L38" i="2"/>
  <c r="F38" i="2"/>
  <c r="AN40" i="2"/>
  <c r="AJ40" i="2"/>
  <c r="AF40" i="2"/>
  <c r="AA40" i="2"/>
  <c r="W40" i="2"/>
  <c r="S40" i="2"/>
  <c r="N40" i="2"/>
  <c r="H40" i="2"/>
  <c r="O22" i="2"/>
  <c r="AI58" i="2"/>
  <c r="R58" i="2"/>
  <c r="AK11" i="2"/>
  <c r="T11" i="2"/>
  <c r="AM43" i="2"/>
  <c r="Z43" i="2"/>
  <c r="R43" i="2"/>
  <c r="G43" i="2"/>
  <c r="AM38" i="2"/>
  <c r="AE38" i="2"/>
  <c r="V38" i="2"/>
  <c r="M38" i="2"/>
  <c r="AO40" i="2"/>
  <c r="AI40" i="2"/>
  <c r="AC40" i="2"/>
  <c r="X40" i="2"/>
  <c r="R40" i="2"/>
  <c r="L40" i="2"/>
  <c r="E40" i="2"/>
  <c r="AN48" i="2"/>
  <c r="AJ48" i="2"/>
  <c r="AF48" i="2"/>
  <c r="AA48" i="2"/>
  <c r="W48" i="2"/>
  <c r="S48" i="2"/>
  <c r="N48" i="2"/>
  <c r="H48" i="2"/>
  <c r="AN33" i="2"/>
  <c r="AJ33" i="2"/>
  <c r="AF33" i="2"/>
  <c r="AA33" i="2"/>
  <c r="W33" i="2"/>
  <c r="S33" i="2"/>
  <c r="N33" i="2"/>
  <c r="H33" i="2"/>
  <c r="AP20" i="2"/>
  <c r="AL20" i="2"/>
  <c r="AH20" i="2"/>
  <c r="AC20" i="2"/>
  <c r="Y20" i="2"/>
  <c r="U20" i="2"/>
  <c r="P20" i="2"/>
  <c r="L20" i="2"/>
  <c r="F20" i="2"/>
  <c r="AN46" i="2"/>
  <c r="AJ46" i="2"/>
  <c r="AF46" i="2"/>
  <c r="AA46" i="2"/>
  <c r="W46" i="2"/>
  <c r="S46" i="2"/>
  <c r="N46" i="2"/>
  <c r="H46" i="2"/>
  <c r="AP41" i="2"/>
  <c r="AL41" i="2"/>
  <c r="AH41" i="2"/>
  <c r="AC41" i="2"/>
  <c r="Y41" i="2"/>
  <c r="U41" i="2"/>
  <c r="P41" i="2"/>
  <c r="L41" i="2"/>
  <c r="F41" i="2"/>
  <c r="AN59" i="2"/>
  <c r="AJ59" i="2"/>
  <c r="AF59" i="2"/>
  <c r="AA59" i="2"/>
  <c r="W59" i="2"/>
  <c r="S59" i="2"/>
  <c r="N59" i="2"/>
  <c r="J59" i="2"/>
  <c r="E59" i="2"/>
  <c r="AM47" i="2"/>
  <c r="AI47" i="2"/>
  <c r="AE47" i="2"/>
  <c r="Z47" i="2"/>
  <c r="V47" i="2"/>
  <c r="R47" i="2"/>
  <c r="M47" i="2"/>
  <c r="G47" i="2"/>
  <c r="AO18" i="2"/>
  <c r="AK18" i="2"/>
  <c r="AG18" i="2"/>
  <c r="AB18" i="2"/>
  <c r="X18" i="2"/>
  <c r="T18" i="2"/>
  <c r="O18" i="2"/>
  <c r="K18" i="2"/>
  <c r="E18" i="2"/>
  <c r="AM12" i="2"/>
  <c r="AI12" i="2"/>
  <c r="AE12" i="2"/>
  <c r="Z12" i="2"/>
  <c r="V12" i="2"/>
  <c r="R12" i="2"/>
  <c r="M12" i="2"/>
  <c r="G12" i="2"/>
  <c r="AO67" i="2"/>
  <c r="AK67" i="2"/>
  <c r="AG67" i="2"/>
  <c r="AB67" i="2"/>
  <c r="X67" i="2"/>
  <c r="T67" i="2"/>
  <c r="O67" i="2"/>
  <c r="K67" i="2"/>
  <c r="E67" i="2"/>
  <c r="AM36" i="2"/>
  <c r="AI36" i="2"/>
  <c r="AE36" i="2"/>
  <c r="Z36" i="2"/>
  <c r="V36" i="2"/>
  <c r="R36" i="2"/>
  <c r="M36" i="2"/>
  <c r="G36" i="2"/>
  <c r="AM10" i="2"/>
  <c r="AI10" i="2"/>
  <c r="AE10" i="2"/>
  <c r="Z10" i="2"/>
  <c r="V10" i="2"/>
  <c r="R10" i="2"/>
  <c r="M10" i="2"/>
  <c r="G10" i="2"/>
  <c r="AO30" i="2"/>
  <c r="AK30" i="2"/>
  <c r="AG30" i="2"/>
  <c r="AB30" i="2"/>
  <c r="X30" i="2"/>
  <c r="T30" i="2"/>
  <c r="O30" i="2"/>
  <c r="K30" i="2"/>
  <c r="E30" i="2"/>
  <c r="AO14" i="2"/>
  <c r="AK14" i="2"/>
  <c r="AG14" i="2"/>
  <c r="AB14" i="2"/>
  <c r="X14" i="2"/>
  <c r="T14" i="2"/>
  <c r="O14" i="2"/>
  <c r="K14" i="2"/>
  <c r="E14" i="2"/>
  <c r="AM13" i="2"/>
  <c r="AI13" i="2"/>
  <c r="AE13" i="2"/>
  <c r="Z13" i="2"/>
  <c r="V13" i="2"/>
  <c r="R13" i="2"/>
  <c r="M13" i="2"/>
  <c r="G13" i="2"/>
  <c r="AO15" i="2"/>
  <c r="AK15" i="2"/>
  <c r="AG15" i="2"/>
  <c r="AB15" i="2"/>
  <c r="X15" i="2"/>
  <c r="T15" i="2"/>
  <c r="K22" i="2"/>
  <c r="AE58" i="2"/>
  <c r="M58" i="2"/>
  <c r="AG11" i="2"/>
  <c r="O11" i="2"/>
  <c r="AI43" i="2"/>
  <c r="W43" i="2"/>
  <c r="N43" i="2"/>
  <c r="AJ38" i="2"/>
  <c r="AA38" i="2"/>
  <c r="S38" i="2"/>
  <c r="H38" i="2"/>
  <c r="AM40" i="2"/>
  <c r="AH40" i="2"/>
  <c r="AB40" i="2"/>
  <c r="V40" i="2"/>
  <c r="P40" i="2"/>
  <c r="K40" i="2"/>
  <c r="AM48" i="2"/>
  <c r="AI48" i="2"/>
  <c r="AE48" i="2"/>
  <c r="Z48" i="2"/>
  <c r="V48" i="2"/>
  <c r="R48" i="2"/>
  <c r="M48" i="2"/>
  <c r="G48" i="2"/>
  <c r="AM33" i="2"/>
  <c r="AI33" i="2"/>
  <c r="AE33" i="2"/>
  <c r="Z33" i="2"/>
  <c r="V33" i="2"/>
  <c r="R33" i="2"/>
  <c r="M33" i="2"/>
  <c r="G33" i="2"/>
  <c r="AO20" i="2"/>
  <c r="AK20" i="2"/>
  <c r="AG20" i="2"/>
  <c r="AB20" i="2"/>
  <c r="X20" i="2"/>
  <c r="T20" i="2"/>
  <c r="O20" i="2"/>
  <c r="K20" i="2"/>
  <c r="E20" i="2"/>
  <c r="AM46" i="2"/>
  <c r="AI46" i="2"/>
  <c r="AE46" i="2"/>
  <c r="Z46" i="2"/>
  <c r="V46" i="2"/>
  <c r="R46" i="2"/>
  <c r="M46" i="2"/>
  <c r="G46" i="2"/>
  <c r="AO41" i="2"/>
  <c r="AK41" i="2"/>
  <c r="AG41" i="2"/>
  <c r="AB41" i="2"/>
  <c r="X41" i="2"/>
  <c r="T41" i="2"/>
  <c r="O41" i="2"/>
  <c r="K41" i="2"/>
  <c r="E41" i="2"/>
  <c r="AM59" i="2"/>
  <c r="AI59" i="2"/>
  <c r="AE59" i="2"/>
  <c r="Z59" i="2"/>
  <c r="V59" i="2"/>
  <c r="R59" i="2"/>
  <c r="M59" i="2"/>
  <c r="H59" i="2"/>
  <c r="AP47" i="2"/>
  <c r="AL47" i="2"/>
  <c r="AH47" i="2"/>
  <c r="AC47" i="2"/>
  <c r="Y47" i="2"/>
  <c r="U47" i="2"/>
  <c r="P47" i="2"/>
  <c r="L47" i="2"/>
  <c r="F47" i="2"/>
  <c r="AN18" i="2"/>
  <c r="AJ18" i="2"/>
  <c r="AF18" i="2"/>
  <c r="AA18" i="2"/>
  <c r="W18" i="2"/>
  <c r="S18" i="2"/>
  <c r="N18" i="2"/>
  <c r="H18" i="2"/>
  <c r="AP12" i="2"/>
  <c r="AL12" i="2"/>
  <c r="AH12" i="2"/>
  <c r="AC12" i="2"/>
  <c r="Y12" i="2"/>
  <c r="U12" i="2"/>
  <c r="P12" i="2"/>
  <c r="L12" i="2"/>
  <c r="F12" i="2"/>
  <c r="AN67" i="2"/>
  <c r="AJ67" i="2"/>
  <c r="AF67" i="2"/>
  <c r="AA67" i="2"/>
  <c r="W67" i="2"/>
  <c r="S67" i="2"/>
  <c r="N67" i="2"/>
  <c r="H67" i="2"/>
  <c r="AP36" i="2"/>
  <c r="AL36" i="2"/>
  <c r="AH36" i="2"/>
  <c r="AC36" i="2"/>
  <c r="Y36" i="2"/>
  <c r="U36" i="2"/>
  <c r="P36" i="2"/>
  <c r="L36" i="2"/>
  <c r="F36" i="2"/>
  <c r="AP10" i="2"/>
  <c r="AL10" i="2"/>
  <c r="AH10" i="2"/>
  <c r="AC10" i="2"/>
  <c r="Y10" i="2"/>
  <c r="U10" i="2"/>
  <c r="P10" i="2"/>
  <c r="L10" i="2"/>
  <c r="F10" i="2"/>
  <c r="AN30" i="2"/>
  <c r="AJ30" i="2"/>
  <c r="AF30" i="2"/>
  <c r="AA30" i="2"/>
  <c r="W30" i="2"/>
  <c r="S30" i="2"/>
  <c r="N30" i="2"/>
  <c r="H30" i="2"/>
  <c r="E22" i="2"/>
  <c r="Z58" i="2"/>
  <c r="G58" i="2"/>
  <c r="AB11" i="2"/>
  <c r="K11" i="2"/>
  <c r="AE43" i="2"/>
  <c r="V43" i="2"/>
  <c r="M43" i="2"/>
  <c r="AI38" i="2"/>
  <c r="Z38" i="2"/>
  <c r="R38" i="2"/>
  <c r="G38" i="2"/>
  <c r="AL40" i="2"/>
  <c r="AG40" i="2"/>
  <c r="Z40" i="2"/>
  <c r="U40" i="2"/>
  <c r="O40" i="2"/>
  <c r="G40" i="2"/>
  <c r="AP48" i="2"/>
  <c r="AL48" i="2"/>
  <c r="AH48" i="2"/>
  <c r="AC48" i="2"/>
  <c r="Y48" i="2"/>
  <c r="U48" i="2"/>
  <c r="P48" i="2"/>
  <c r="L48" i="2"/>
  <c r="F48" i="2"/>
  <c r="AP33" i="2"/>
  <c r="AL33" i="2"/>
  <c r="AH33" i="2"/>
  <c r="AC33" i="2"/>
  <c r="Y33" i="2"/>
  <c r="U33" i="2"/>
  <c r="P33" i="2"/>
  <c r="L33" i="2"/>
  <c r="F33" i="2"/>
  <c r="AN20" i="2"/>
  <c r="AJ20" i="2"/>
  <c r="AF20" i="2"/>
  <c r="AA20" i="2"/>
  <c r="W20" i="2"/>
  <c r="S20" i="2"/>
  <c r="N20" i="2"/>
  <c r="H20" i="2"/>
  <c r="AP46" i="2"/>
  <c r="AL46" i="2"/>
  <c r="AH46" i="2"/>
  <c r="AC46" i="2"/>
  <c r="Y46" i="2"/>
  <c r="U46" i="2"/>
  <c r="P46" i="2"/>
  <c r="L46" i="2"/>
  <c r="F46" i="2"/>
  <c r="AN41" i="2"/>
  <c r="AJ41" i="2"/>
  <c r="AF41" i="2"/>
  <c r="AA41" i="2"/>
  <c r="W41" i="2"/>
  <c r="S41" i="2"/>
  <c r="N41" i="2"/>
  <c r="H41" i="2"/>
  <c r="AP59" i="2"/>
  <c r="AL59" i="2"/>
  <c r="AH59" i="2"/>
  <c r="AC59" i="2"/>
  <c r="Y59" i="2"/>
  <c r="U59" i="2"/>
  <c r="P59" i="2"/>
  <c r="L59" i="2"/>
  <c r="G59" i="2"/>
  <c r="AO47" i="2"/>
  <c r="AK47" i="2"/>
  <c r="AG47" i="2"/>
  <c r="AB47" i="2"/>
  <c r="X47" i="2"/>
  <c r="T47" i="2"/>
  <c r="O47" i="2"/>
  <c r="K47" i="2"/>
  <c r="E47" i="2"/>
  <c r="AM18" i="2"/>
  <c r="AI18" i="2"/>
  <c r="AE18" i="2"/>
  <c r="Z18" i="2"/>
  <c r="V18" i="2"/>
  <c r="R18" i="2"/>
  <c r="M18" i="2"/>
  <c r="G18" i="2"/>
  <c r="AO12" i="2"/>
  <c r="AK12" i="2"/>
  <c r="AG12" i="2"/>
  <c r="AB12" i="2"/>
  <c r="AM58" i="2"/>
  <c r="V58" i="2"/>
  <c r="AO11" i="2"/>
  <c r="X11" i="2"/>
  <c r="E11" i="2"/>
  <c r="AA43" i="2"/>
  <c r="S43" i="2"/>
  <c r="H43" i="2"/>
  <c r="AN38" i="2"/>
  <c r="AF38" i="2"/>
  <c r="W38" i="2"/>
  <c r="N38" i="2"/>
  <c r="AP40" i="2"/>
  <c r="AK40" i="2"/>
  <c r="AE40" i="2"/>
  <c r="Y40" i="2"/>
  <c r="T40" i="2"/>
  <c r="M40" i="2"/>
  <c r="F40" i="2"/>
  <c r="AO48" i="2"/>
  <c r="AK48" i="2"/>
  <c r="AG48" i="2"/>
  <c r="AB48" i="2"/>
  <c r="X48" i="2"/>
  <c r="T48" i="2"/>
  <c r="O48" i="2"/>
  <c r="K48" i="2"/>
  <c r="E48" i="2"/>
  <c r="AO33" i="2"/>
  <c r="AK33" i="2"/>
  <c r="AG33" i="2"/>
  <c r="AB33" i="2"/>
  <c r="X33" i="2"/>
  <c r="T33" i="2"/>
  <c r="O33" i="2"/>
  <c r="K33" i="2"/>
  <c r="E33" i="2"/>
  <c r="AM20" i="2"/>
  <c r="AI20" i="2"/>
  <c r="AE20" i="2"/>
  <c r="Z20" i="2"/>
  <c r="V20" i="2"/>
  <c r="R20" i="2"/>
  <c r="M20" i="2"/>
  <c r="G20" i="2"/>
  <c r="AO46" i="2"/>
  <c r="AK46" i="2"/>
  <c r="AG46" i="2"/>
  <c r="AB46" i="2"/>
  <c r="X46" i="2"/>
  <c r="T46" i="2"/>
  <c r="O46" i="2"/>
  <c r="K46" i="2"/>
  <c r="E46" i="2"/>
  <c r="AM41" i="2"/>
  <c r="AI41" i="2"/>
  <c r="AE41" i="2"/>
  <c r="Z41" i="2"/>
  <c r="V41" i="2"/>
  <c r="R41" i="2"/>
  <c r="M41" i="2"/>
  <c r="G41" i="2"/>
  <c r="AO59" i="2"/>
  <c r="AK59" i="2"/>
  <c r="AG59" i="2"/>
  <c r="AB59" i="2"/>
  <c r="X59" i="2"/>
  <c r="T59" i="2"/>
  <c r="O59" i="2"/>
  <c r="K59" i="2"/>
  <c r="F59" i="2"/>
  <c r="AN47" i="2"/>
  <c r="AJ47" i="2"/>
  <c r="AF47" i="2"/>
  <c r="AA47" i="2"/>
  <c r="W47" i="2"/>
  <c r="S47" i="2"/>
  <c r="N47" i="2"/>
  <c r="H47" i="2"/>
  <c r="AP18" i="2"/>
  <c r="AL18" i="2"/>
  <c r="AH18" i="2"/>
  <c r="AC18" i="2"/>
  <c r="Y18" i="2"/>
  <c r="U18" i="2"/>
  <c r="P18" i="2"/>
  <c r="L18" i="2"/>
  <c r="F18" i="2"/>
  <c r="AN12" i="2"/>
  <c r="AJ12" i="2"/>
  <c r="AF12" i="2"/>
  <c r="AA12" i="2"/>
  <c r="W12" i="2"/>
  <c r="S12" i="2"/>
  <c r="N12" i="2"/>
  <c r="H12" i="2"/>
  <c r="AP67" i="2"/>
  <c r="AL67" i="2"/>
  <c r="AH67" i="2"/>
  <c r="AC67" i="2"/>
  <c r="Y67" i="2"/>
  <c r="U67" i="2"/>
  <c r="P67" i="2"/>
  <c r="L67" i="2"/>
  <c r="F67" i="2"/>
  <c r="AN36" i="2"/>
  <c r="AJ36" i="2"/>
  <c r="AF36" i="2"/>
  <c r="AA36" i="2"/>
  <c r="W36" i="2"/>
  <c r="S36" i="2"/>
  <c r="N36" i="2"/>
  <c r="H36" i="2"/>
  <c r="AN10" i="2"/>
  <c r="AJ10" i="2"/>
  <c r="AF10" i="2"/>
  <c r="AA10" i="2"/>
  <c r="W10" i="2"/>
  <c r="S10" i="2"/>
  <c r="N10" i="2"/>
  <c r="H10" i="2"/>
  <c r="AP30" i="2"/>
  <c r="AL30" i="2"/>
  <c r="AH30" i="2"/>
  <c r="AC30" i="2"/>
  <c r="Y30" i="2"/>
  <c r="U30" i="2"/>
  <c r="P30" i="2"/>
  <c r="L30" i="2"/>
  <c r="F30" i="2"/>
  <c r="AP14" i="2"/>
  <c r="AL14" i="2"/>
  <c r="AH14" i="2"/>
  <c r="AC14" i="2"/>
  <c r="Y14" i="2"/>
  <c r="U14" i="2"/>
  <c r="P14" i="2"/>
  <c r="L14" i="2"/>
  <c r="F14" i="2"/>
  <c r="AN13" i="2"/>
  <c r="AJ13" i="2"/>
  <c r="AF13" i="2"/>
  <c r="AA13" i="2"/>
  <c r="W13" i="2"/>
  <c r="S13" i="2"/>
  <c r="N13" i="2"/>
  <c r="H13" i="2"/>
  <c r="AP15" i="2"/>
  <c r="AL15" i="2"/>
  <c r="AH15" i="2"/>
  <c r="AC15" i="2"/>
  <c r="Y15" i="2"/>
  <c r="U15" i="2"/>
  <c r="P15" i="2"/>
  <c r="L15" i="2"/>
  <c r="F15" i="2"/>
  <c r="AN6" i="2"/>
  <c r="AJ6" i="2"/>
  <c r="AF6" i="2"/>
  <c r="AA6" i="2"/>
  <c r="W6" i="2"/>
  <c r="S6" i="2"/>
  <c r="N6" i="2"/>
  <c r="H6" i="2"/>
  <c r="AP8" i="2"/>
  <c r="AL8" i="2"/>
  <c r="AH8" i="2"/>
  <c r="AC8" i="2"/>
  <c r="Y8" i="2"/>
  <c r="U8" i="2"/>
  <c r="P8" i="2"/>
  <c r="L8" i="2"/>
  <c r="F8" i="2"/>
  <c r="AN7" i="2"/>
  <c r="AJ7" i="2"/>
  <c r="AF7" i="2"/>
  <c r="AA7" i="2"/>
  <c r="W7" i="2"/>
  <c r="S7" i="2"/>
  <c r="N7" i="2"/>
  <c r="H7" i="2"/>
  <c r="AP17" i="2"/>
  <c r="AL17" i="2"/>
  <c r="AH17" i="2"/>
  <c r="AC17" i="2"/>
  <c r="Y17" i="2"/>
  <c r="X12" i="2"/>
  <c r="E12" i="2"/>
  <c r="Z67" i="2"/>
  <c r="G67" i="2"/>
  <c r="AB36" i="2"/>
  <c r="K36" i="2"/>
  <c r="AG10" i="2"/>
  <c r="O10" i="2"/>
  <c r="AI30" i="2"/>
  <c r="R30" i="2"/>
  <c r="AJ14" i="2"/>
  <c r="AA14" i="2"/>
  <c r="S14" i="2"/>
  <c r="H14" i="2"/>
  <c r="AL13" i="2"/>
  <c r="AC13" i="2"/>
  <c r="U13" i="2"/>
  <c r="L13" i="2"/>
  <c r="AN15" i="2"/>
  <c r="AF15" i="2"/>
  <c r="W15" i="2"/>
  <c r="O15" i="2"/>
  <c r="H15" i="2"/>
  <c r="AO6" i="2"/>
  <c r="AI6" i="2"/>
  <c r="AC6" i="2"/>
  <c r="X6" i="2"/>
  <c r="R6" i="2"/>
  <c r="L6" i="2"/>
  <c r="E6" i="2"/>
  <c r="AK8" i="2"/>
  <c r="AF8" i="2"/>
  <c r="Z8" i="2"/>
  <c r="T8" i="2"/>
  <c r="N8" i="2"/>
  <c r="G8" i="2"/>
  <c r="AM7" i="2"/>
  <c r="AH7" i="2"/>
  <c r="AB7" i="2"/>
  <c r="V7" i="2"/>
  <c r="P7" i="2"/>
  <c r="K7" i="2"/>
  <c r="AO17" i="2"/>
  <c r="AJ17" i="2"/>
  <c r="AE17" i="2"/>
  <c r="X17" i="2"/>
  <c r="T17" i="2"/>
  <c r="O17" i="2"/>
  <c r="K17" i="2"/>
  <c r="E17" i="2"/>
  <c r="AM9" i="2"/>
  <c r="AI9" i="2"/>
  <c r="AE9" i="2"/>
  <c r="Z9" i="2"/>
  <c r="V9" i="2"/>
  <c r="R9" i="2"/>
  <c r="M9" i="2"/>
  <c r="G9" i="2"/>
  <c r="AO5" i="2"/>
  <c r="AK5" i="2"/>
  <c r="AG5" i="2"/>
  <c r="AB5" i="2"/>
  <c r="X5" i="2"/>
  <c r="T5" i="2"/>
  <c r="O5" i="2"/>
  <c r="K5" i="2"/>
  <c r="E5" i="2"/>
  <c r="AN45" i="2"/>
  <c r="Y45" i="2"/>
  <c r="AH45" i="2"/>
  <c r="S45" i="2"/>
  <c r="AO45" i="2"/>
  <c r="O45" i="2"/>
  <c r="T9" i="2"/>
  <c r="Z5" i="2"/>
  <c r="G5" i="2"/>
  <c r="AB45" i="2"/>
  <c r="K45" i="2"/>
  <c r="T12" i="2"/>
  <c r="AM67" i="2"/>
  <c r="V67" i="2"/>
  <c r="AO36" i="2"/>
  <c r="X36" i="2"/>
  <c r="E36" i="2"/>
  <c r="AB10" i="2"/>
  <c r="K10" i="2"/>
  <c r="AE30" i="2"/>
  <c r="M30" i="2"/>
  <c r="AI14" i="2"/>
  <c r="Z14" i="2"/>
  <c r="R14" i="2"/>
  <c r="G14" i="2"/>
  <c r="AK13" i="2"/>
  <c r="AB13" i="2"/>
  <c r="T13" i="2"/>
  <c r="K13" i="2"/>
  <c r="AM15" i="2"/>
  <c r="AE15" i="2"/>
  <c r="V15" i="2"/>
  <c r="N15" i="2"/>
  <c r="G15" i="2"/>
  <c r="AM6" i="2"/>
  <c r="AH6" i="2"/>
  <c r="AB6" i="2"/>
  <c r="V6" i="2"/>
  <c r="P6" i="2"/>
  <c r="K6" i="2"/>
  <c r="AO8" i="2"/>
  <c r="AJ8" i="2"/>
  <c r="AE8" i="2"/>
  <c r="X8" i="2"/>
  <c r="S8" i="2"/>
  <c r="M8" i="2"/>
  <c r="E8" i="2"/>
  <c r="AL7" i="2"/>
  <c r="AG7" i="2"/>
  <c r="Z7" i="2"/>
  <c r="U7" i="2"/>
  <c r="O7" i="2"/>
  <c r="G7" i="2"/>
  <c r="AN17" i="2"/>
  <c r="AI17" i="2"/>
  <c r="AB17" i="2"/>
  <c r="W17" i="2"/>
  <c r="S17" i="2"/>
  <c r="N17" i="2"/>
  <c r="H17" i="2"/>
  <c r="AP9" i="2"/>
  <c r="AL9" i="2"/>
  <c r="AH9" i="2"/>
  <c r="AC9" i="2"/>
  <c r="Y9" i="2"/>
  <c r="U9" i="2"/>
  <c r="P9" i="2"/>
  <c r="L9" i="2"/>
  <c r="F9" i="2"/>
  <c r="AN5" i="2"/>
  <c r="AJ5" i="2"/>
  <c r="AF5" i="2"/>
  <c r="AA5" i="2"/>
  <c r="W5" i="2"/>
  <c r="S5" i="2"/>
  <c r="N5" i="2"/>
  <c r="H5" i="2"/>
  <c r="AP45" i="2"/>
  <c r="AA45" i="2"/>
  <c r="L45" i="2"/>
  <c r="U45" i="2"/>
  <c r="AM45" i="2"/>
  <c r="AE45" i="2"/>
  <c r="V45" i="2"/>
  <c r="K9" i="2"/>
  <c r="V5" i="2"/>
  <c r="N45" i="2"/>
  <c r="AK45" i="2"/>
  <c r="O12" i="2"/>
  <c r="AI67" i="2"/>
  <c r="R67" i="2"/>
  <c r="AK36" i="2"/>
  <c r="T36" i="2"/>
  <c r="AO10" i="2"/>
  <c r="X10" i="2"/>
  <c r="E10" i="2"/>
  <c r="Z30" i="2"/>
  <c r="G30" i="2"/>
  <c r="AN14" i="2"/>
  <c r="AF14" i="2"/>
  <c r="W14" i="2"/>
  <c r="N14" i="2"/>
  <c r="AP13" i="2"/>
  <c r="AH13" i="2"/>
  <c r="Y13" i="2"/>
  <c r="P13" i="2"/>
  <c r="F13" i="2"/>
  <c r="AJ15" i="2"/>
  <c r="AA15" i="2"/>
  <c r="S15" i="2"/>
  <c r="M15" i="2"/>
  <c r="E15" i="2"/>
  <c r="AL6" i="2"/>
  <c r="AG6" i="2"/>
  <c r="Z6" i="2"/>
  <c r="U6" i="2"/>
  <c r="O6" i="2"/>
  <c r="G6" i="2"/>
  <c r="AN8" i="2"/>
  <c r="AI8" i="2"/>
  <c r="AB8" i="2"/>
  <c r="W8" i="2"/>
  <c r="R8" i="2"/>
  <c r="K8" i="2"/>
  <c r="AP7" i="2"/>
  <c r="AK7" i="2"/>
  <c r="AE7" i="2"/>
  <c r="Y7" i="2"/>
  <c r="T7" i="2"/>
  <c r="M7" i="2"/>
  <c r="F7" i="2"/>
  <c r="AM17" i="2"/>
  <c r="AG17" i="2"/>
  <c r="AA17" i="2"/>
  <c r="V17" i="2"/>
  <c r="R17" i="2"/>
  <c r="M17" i="2"/>
  <c r="G17" i="2"/>
  <c r="AO9" i="2"/>
  <c r="AK9" i="2"/>
  <c r="AG9" i="2"/>
  <c r="AB9" i="2"/>
  <c r="X9" i="2"/>
  <c r="E9" i="2"/>
  <c r="AM5" i="2"/>
  <c r="AI5" i="2"/>
  <c r="AE5" i="2"/>
  <c r="R5" i="2"/>
  <c r="AJ45" i="2"/>
  <c r="K12" i="2"/>
  <c r="AE67" i="2"/>
  <c r="M67" i="2"/>
  <c r="AG36" i="2"/>
  <c r="O36" i="2"/>
  <c r="AK10" i="2"/>
  <c r="T10" i="2"/>
  <c r="AM30" i="2"/>
  <c r="V30" i="2"/>
  <c r="AM14" i="2"/>
  <c r="AE14" i="2"/>
  <c r="V14" i="2"/>
  <c r="M14" i="2"/>
  <c r="AO13" i="2"/>
  <c r="AG13" i="2"/>
  <c r="X13" i="2"/>
  <c r="O13" i="2"/>
  <c r="E13" i="2"/>
  <c r="AI15" i="2"/>
  <c r="Z15" i="2"/>
  <c r="R15" i="2"/>
  <c r="K15" i="2"/>
  <c r="AP6" i="2"/>
  <c r="AK6" i="2"/>
  <c r="AE6" i="2"/>
  <c r="Y6" i="2"/>
  <c r="T6" i="2"/>
  <c r="M6" i="2"/>
  <c r="F6" i="2"/>
  <c r="AM8" i="2"/>
  <c r="AG8" i="2"/>
  <c r="AA8" i="2"/>
  <c r="V8" i="2"/>
  <c r="O8" i="2"/>
  <c r="H8" i="2"/>
  <c r="AO7" i="2"/>
  <c r="AI7" i="2"/>
  <c r="AC7" i="2"/>
  <c r="X7" i="2"/>
  <c r="R7" i="2"/>
  <c r="L7" i="2"/>
  <c r="E7" i="2"/>
  <c r="AK17" i="2"/>
  <c r="AF17" i="2"/>
  <c r="Z17" i="2"/>
  <c r="U17" i="2"/>
  <c r="P17" i="2"/>
  <c r="L17" i="2"/>
  <c r="F17" i="2"/>
  <c r="AN9" i="2"/>
  <c r="AJ9" i="2"/>
  <c r="AF9" i="2"/>
  <c r="AA9" i="2"/>
  <c r="W9" i="2"/>
  <c r="S9" i="2"/>
  <c r="N9" i="2"/>
  <c r="H9" i="2"/>
  <c r="AP5" i="2"/>
  <c r="AL5" i="2"/>
  <c r="AH5" i="2"/>
  <c r="AC5" i="2"/>
  <c r="Y5" i="2"/>
  <c r="U5" i="2"/>
  <c r="P5" i="2"/>
  <c r="L5" i="2"/>
  <c r="F5" i="2"/>
  <c r="P45" i="2"/>
  <c r="AL45" i="2"/>
  <c r="W45" i="2"/>
  <c r="AF45" i="2"/>
  <c r="AI45" i="2"/>
  <c r="Z45" i="2"/>
  <c r="R45" i="2"/>
  <c r="G45" i="2"/>
  <c r="AG45" i="2"/>
  <c r="X45" i="2"/>
  <c r="F45" i="2"/>
  <c r="M45" i="2"/>
  <c r="O9" i="2"/>
  <c r="M5" i="2"/>
  <c r="AC45" i="2"/>
  <c r="H45" i="2"/>
  <c r="T45" i="2"/>
  <c r="AD21" i="2" l="1"/>
  <c r="Q49" i="2"/>
  <c r="Q40" i="2"/>
  <c r="AD43" i="2"/>
  <c r="Q22" i="2"/>
  <c r="Q44" i="2"/>
  <c r="AD64" i="2"/>
  <c r="Q39" i="2"/>
  <c r="AD65" i="2"/>
  <c r="Q63" i="2"/>
  <c r="AD19" i="2"/>
  <c r="Q25" i="2"/>
  <c r="AD52" i="2"/>
  <c r="Q42" i="2"/>
  <c r="Q53" i="2"/>
  <c r="AD29" i="2"/>
  <c r="D38" i="2"/>
  <c r="D43" i="2"/>
  <c r="D58" i="2"/>
  <c r="D54" i="2"/>
  <c r="D32" i="2"/>
  <c r="D34" i="2"/>
  <c r="D19" i="2"/>
  <c r="D29" i="2"/>
  <c r="AD9" i="2"/>
  <c r="D40" i="2"/>
  <c r="Q43" i="2"/>
  <c r="AD11" i="2"/>
  <c r="Q58" i="2"/>
  <c r="D22" i="2"/>
  <c r="D44" i="2"/>
  <c r="AD44" i="2"/>
  <c r="D27" i="2"/>
  <c r="AD27" i="2"/>
  <c r="Q64" i="2"/>
  <c r="AD23" i="2"/>
  <c r="Q54" i="2"/>
  <c r="AD39" i="2"/>
  <c r="AD24" i="2"/>
  <c r="Q66" i="2"/>
  <c r="Q60" i="2"/>
  <c r="D26" i="2"/>
  <c r="AD26" i="2"/>
  <c r="D37" i="2"/>
  <c r="AD37" i="2"/>
  <c r="AD61" i="2"/>
  <c r="Q65" i="2"/>
  <c r="D63" i="2"/>
  <c r="Q62" i="2"/>
  <c r="D35" i="2"/>
  <c r="AD35" i="2"/>
  <c r="Q19" i="2"/>
  <c r="AD25" i="2"/>
  <c r="Q52" i="2"/>
  <c r="D42" i="2"/>
  <c r="Q51" i="2"/>
  <c r="D53" i="2"/>
  <c r="AD53" i="2"/>
  <c r="AD57" i="2"/>
  <c r="Q29" i="2"/>
  <c r="Q21" i="2"/>
  <c r="D49" i="2"/>
  <c r="AD49" i="2"/>
  <c r="AD22" i="2"/>
  <c r="Q27" i="2"/>
  <c r="Q26" i="2"/>
  <c r="AD54" i="2"/>
  <c r="AD60" i="2"/>
  <c r="AD16" i="2"/>
  <c r="Q37" i="2"/>
  <c r="AD63" i="2"/>
  <c r="Q34" i="2"/>
  <c r="AD34" i="2"/>
  <c r="D64" i="2"/>
  <c r="D66" i="2"/>
  <c r="D65" i="2"/>
  <c r="D11" i="2"/>
  <c r="D57" i="2"/>
  <c r="D23" i="2"/>
  <c r="D39" i="2"/>
  <c r="D62" i="2"/>
  <c r="D25" i="2"/>
  <c r="AD66" i="2"/>
  <c r="AD62" i="2"/>
  <c r="Q35" i="2"/>
  <c r="AD40" i="2"/>
  <c r="Q38" i="2"/>
  <c r="D52" i="2"/>
  <c r="AD51" i="2"/>
  <c r="Q57" i="2"/>
  <c r="D21" i="2"/>
  <c r="AD38" i="2"/>
  <c r="Q11" i="2"/>
  <c r="Q23" i="2"/>
  <c r="D24" i="2"/>
  <c r="Q24" i="2"/>
  <c r="D60" i="2"/>
  <c r="Q32" i="2"/>
  <c r="AD32" i="2"/>
  <c r="D61" i="2"/>
  <c r="Q61" i="2"/>
  <c r="AD58" i="2"/>
  <c r="AD42" i="2"/>
  <c r="D51" i="2"/>
  <c r="D16" i="2"/>
  <c r="Q16" i="2"/>
  <c r="D5" i="2"/>
  <c r="AD5" i="2"/>
  <c r="Q9" i="2"/>
  <c r="AD17" i="2"/>
  <c r="Q7" i="2"/>
  <c r="Q6" i="2"/>
  <c r="D15" i="2"/>
  <c r="D14" i="2"/>
  <c r="AD14" i="2"/>
  <c r="AD30" i="2"/>
  <c r="Q10" i="2"/>
  <c r="Q36" i="2"/>
  <c r="D67" i="2"/>
  <c r="D18" i="2"/>
  <c r="AD18" i="2"/>
  <c r="AD59" i="2"/>
  <c r="Q41" i="2"/>
  <c r="Q20" i="2"/>
  <c r="D33" i="2"/>
  <c r="D48" i="2"/>
  <c r="AD48" i="2"/>
  <c r="D8" i="2"/>
  <c r="AD15" i="2"/>
  <c r="AD67" i="2"/>
  <c r="Q47" i="2"/>
  <c r="D46" i="2"/>
  <c r="AD33" i="2"/>
  <c r="D17" i="2"/>
  <c r="AD8" i="2"/>
  <c r="Q13" i="2"/>
  <c r="D30" i="2"/>
  <c r="Q12" i="2"/>
  <c r="D59" i="2"/>
  <c r="AD46" i="2"/>
  <c r="Q5" i="2"/>
  <c r="Q8" i="2"/>
  <c r="D13" i="2"/>
  <c r="D12" i="2"/>
  <c r="AD47" i="2"/>
  <c r="Q46" i="2"/>
  <c r="D9" i="2"/>
  <c r="Q17" i="2"/>
  <c r="D7" i="2"/>
  <c r="D6" i="2"/>
  <c r="AD6" i="2"/>
  <c r="AD13" i="2"/>
  <c r="Q14" i="2"/>
  <c r="Q30" i="2"/>
  <c r="D10" i="2"/>
  <c r="AD10" i="2"/>
  <c r="D36" i="2"/>
  <c r="AD36" i="2"/>
  <c r="Q67" i="2"/>
  <c r="AD12" i="2"/>
  <c r="Q18" i="2"/>
  <c r="D47" i="2"/>
  <c r="Q59" i="2"/>
  <c r="D41" i="2"/>
  <c r="AD41" i="2"/>
  <c r="D20" i="2"/>
  <c r="AD20" i="2"/>
  <c r="Q33" i="2"/>
  <c r="Q48" i="2"/>
  <c r="AD7" i="2"/>
  <c r="Q15" i="2"/>
  <c r="D45" i="2"/>
  <c r="Q45" i="2"/>
  <c r="AD45" i="2"/>
</calcChain>
</file>

<file path=xl/sharedStrings.xml><?xml version="1.0" encoding="utf-8"?>
<sst xmlns="http://schemas.openxmlformats.org/spreadsheetml/2006/main" count="1666" uniqueCount="181">
  <si>
    <t>L.P.</t>
  </si>
  <si>
    <t>kat</t>
  </si>
  <si>
    <t>IMIĘ NAZWISKO</t>
  </si>
  <si>
    <t>V/M</t>
  </si>
  <si>
    <t>TS</t>
  </si>
  <si>
    <t>Ind</t>
  </si>
  <si>
    <t xml:space="preserve"> ma mniej niż 30 lat</t>
  </si>
  <si>
    <t>MP</t>
  </si>
  <si>
    <t>GP1</t>
  </si>
  <si>
    <t>GP2</t>
  </si>
  <si>
    <t>GP3</t>
  </si>
  <si>
    <t>GP4</t>
  </si>
  <si>
    <t>GP5</t>
  </si>
  <si>
    <t>odeszła/odszedł w tym roku</t>
  </si>
  <si>
    <t>GANSZCZYK Marcin</t>
  </si>
  <si>
    <t>GAJDA Leszek</t>
  </si>
  <si>
    <t>KROCHMALSKI Jakub</t>
  </si>
  <si>
    <t>NOWICKI Robert</t>
  </si>
  <si>
    <t>ZAWROTNIAK Przemysław</t>
  </si>
  <si>
    <t>MAZIK Aleksander</t>
  </si>
  <si>
    <t>GAJDA Zbigniew</t>
  </si>
  <si>
    <t>SAJEWICZ Izabela</t>
  </si>
  <si>
    <t>RUDY Andrzej</t>
  </si>
  <si>
    <t>KOSIŃSKI Łukasz</t>
  </si>
  <si>
    <t>WINGROWICZ Mariusz</t>
  </si>
  <si>
    <t>OSSOWSKI Wojciech</t>
  </si>
  <si>
    <t>JAROSZEK Zbigniew</t>
  </si>
  <si>
    <t>NOWICKI Wiesław</t>
  </si>
  <si>
    <t>GRACZYK Bogdan</t>
  </si>
  <si>
    <t>KACZMAREK Paweł</t>
  </si>
  <si>
    <t>WIERZBICKI Jacek</t>
  </si>
  <si>
    <t>CHUDYCKI Artur</t>
  </si>
  <si>
    <t>GĘZIKIEWICZ Marcin</t>
  </si>
  <si>
    <t>BORYSIUK Zbigniew</t>
  </si>
  <si>
    <t>GRZEGOREK Norbert</t>
  </si>
  <si>
    <t>WOJCIECHOWSKI Marek</t>
  </si>
  <si>
    <t>SZEPIETOWSKI Rafał</t>
  </si>
  <si>
    <t>SZYMAŃSKI Adam</t>
  </si>
  <si>
    <t>LITWIŃSKI Maciej</t>
  </si>
  <si>
    <t>GRACZYK Anna</t>
  </si>
  <si>
    <t>JASIŃSKI Tomasz</t>
  </si>
  <si>
    <t>BAZAK Jacek</t>
  </si>
  <si>
    <t>PRĘGOWSKI Jerzy</t>
  </si>
  <si>
    <t>WIŚNIEWSKI Bernard</t>
  </si>
  <si>
    <t>GRABOWSKI Romuald</t>
  </si>
  <si>
    <t>KIERSZNICKI Ryszard</t>
  </si>
  <si>
    <t>MAINKA Andrzej</t>
  </si>
  <si>
    <t>KĘDZIORA Agata</t>
  </si>
  <si>
    <t>BROMBEREK Angelika</t>
  </si>
  <si>
    <t>FUHRMANN Ulrike</t>
  </si>
  <si>
    <t>FRYDRYCH Aleksander</t>
  </si>
  <si>
    <t>DEZVO Horvath</t>
  </si>
  <si>
    <t>TRISCORNIA Anton</t>
  </si>
  <si>
    <t>GRACZYKOWSKI Mateusz</t>
  </si>
  <si>
    <t>MARASEK Tomasz</t>
  </si>
  <si>
    <t>KONWIŃSKI Grzegorz</t>
  </si>
  <si>
    <t>JUSZKIEWICZ Piotr</t>
  </si>
  <si>
    <t>BARAŃSKI Wacław</t>
  </si>
  <si>
    <t>GRABOWSKI Sebastian</t>
  </si>
  <si>
    <t>CHOJNACKI Tomasz</t>
  </si>
  <si>
    <t>ADAMCZEWSKI Wojciech</t>
  </si>
  <si>
    <t>ZABŁOCKI Marcin</t>
  </si>
  <si>
    <t>KIEROŃSKI Tomasz</t>
  </si>
  <si>
    <t>TARANCZEWSKI Janusz</t>
  </si>
  <si>
    <t>KORONA-TRZEBSKI Przemysław</t>
  </si>
  <si>
    <t>DOMINO Małgorzata</t>
  </si>
  <si>
    <t>GAJDA Krzysztof</t>
  </si>
  <si>
    <t>BROSCH Artur</t>
  </si>
  <si>
    <t>GAWLE Katarzyna</t>
  </si>
  <si>
    <t>ZABŁOCKI Michał</t>
  </si>
  <si>
    <t>MŁYNEK Janusz</t>
  </si>
  <si>
    <t>PANZ Marian</t>
  </si>
  <si>
    <t>FARAGO Jozsef</t>
  </si>
  <si>
    <t>MILCZAREK Renata</t>
  </si>
  <si>
    <t>miejsce i data:</t>
  </si>
  <si>
    <t>KRAKÓW 3-4.12.2022</t>
  </si>
  <si>
    <t>3-4.12.2022</t>
  </si>
  <si>
    <t>https://fencingtimelive.com/pools/results/3531C901598B4A9DBBDA4CC405FBB2E3/9665CC12AE90441DA083E869D4E1575C</t>
  </si>
  <si>
    <t>Place</t>
  </si>
  <si>
    <t>Name</t>
  </si>
  <si>
    <t>V</t>
  </si>
  <si>
    <t>M</t>
  </si>
  <si>
    <t>V / M</t>
  </si>
  <si>
    <t>TR</t>
  </si>
  <si>
    <t>Status</t>
  </si>
  <si>
    <t>Club(s)</t>
  </si>
  <si>
    <t>Division</t>
  </si>
  <si>
    <t>Country</t>
  </si>
  <si>
    <t>Advanced</t>
  </si>
  <si>
    <t>KOLEJARZ 24 KATOWICE</t>
  </si>
  <si>
    <t xml:space="preserve"> POL</t>
  </si>
  <si>
    <t>2T</t>
  </si>
  <si>
    <t>AZS POZNAŃ</t>
  </si>
  <si>
    <t>Cracovia</t>
  </si>
  <si>
    <t>DRAGON ŁÓDŹ</t>
  </si>
  <si>
    <t>PAŁAC MŁODZIEŻY TARNÓW</t>
  </si>
  <si>
    <t>MUKS VICTOR WARSZAWA</t>
  </si>
  <si>
    <t>MKS KUSY SZCZECIN</t>
  </si>
  <si>
    <t>AZS POLITECHNIKA OPOLSKA</t>
  </si>
  <si>
    <t>Opolskie</t>
  </si>
  <si>
    <t>AZS AWF Warszawa</t>
  </si>
  <si>
    <t>Sosnowiec</t>
  </si>
  <si>
    <t>UKS START OPOLE</t>
  </si>
  <si>
    <t>Warszawa</t>
  </si>
  <si>
    <t>AZS Warszawa</t>
  </si>
  <si>
    <t>SELF MILITARY</t>
  </si>
  <si>
    <t>Mikołów</t>
  </si>
  <si>
    <t>KRAKÓW 3-4,12,2022</t>
  </si>
  <si>
    <t>3-4,12,2022</t>
  </si>
  <si>
    <t>https://fencingtimelive,com/pools/results/3531C901598B4A9DBBDA4CC405FBB2E3/9665CC12AE90441DA083E869D4E1575C</t>
  </si>
  <si>
    <t>5T</t>
  </si>
  <si>
    <t>PABIANICE</t>
  </si>
  <si>
    <t>https://www.fencingtimelive.com/pools/results/31A6DC9D57BF4A248E0AB24A86AB105A/A66AB24881EA4D3DA97C36B43D8D1AEE</t>
  </si>
  <si>
    <t>POL</t>
  </si>
  <si>
    <t>AZS AWF POZNAŃ</t>
  </si>
  <si>
    <t>KU AZS-UAM POZNAŃ.</t>
  </si>
  <si>
    <t>KS CRACOVIA 1906.</t>
  </si>
  <si>
    <t>Dębska Kuźnia Opole</t>
  </si>
  <si>
    <t>AZS KU POLITECHNIKI OPOLSKIEJ</t>
  </si>
  <si>
    <t>AZS AWF WARSZAWA</t>
  </si>
  <si>
    <t>16,01,2023</t>
  </si>
  <si>
    <t>https://www,fencingtimelive,com/pools/results/31A6DC9D57BF4A248E0AB24A86AB105A/C41B3439A303430E8D56C54BA72E6C02</t>
  </si>
  <si>
    <t>KS CRACOVIA 1906,</t>
  </si>
  <si>
    <t>KU AZS-UAM POZNAŃ,</t>
  </si>
  <si>
    <t>24T</t>
  </si>
  <si>
    <t>1T</t>
  </si>
  <si>
    <t>ST. POLSKICH WETERANÓW SZERMIERKI</t>
  </si>
  <si>
    <t>SPWSZ</t>
  </si>
  <si>
    <t>3T</t>
  </si>
  <si>
    <t>KATOWICE 22-23.10.2022</t>
  </si>
  <si>
    <t>https://www.fencingtimelive.com/pools/results/32B616C3AFDA4D4A83FF3673BD13A9F6/EFCA0E8AA4D04948BBE10A7CA3375C98</t>
  </si>
  <si>
    <t>8T</t>
  </si>
  <si>
    <t>ZAGŁĘBIOWSKI KLUB SZERMIERCZY</t>
  </si>
  <si>
    <t>KATOWICE 22-23,10,2022</t>
  </si>
  <si>
    <t>https://www,fencingtimelive,com/pools/results/32B616C3AFDA4D4A83FF3673BD13A9F6/D65EAEBA11A44BA19F706FDE156B8B85</t>
  </si>
  <si>
    <t>ST, POLSKICH WETERANÓW SZERMIERKI</t>
  </si>
  <si>
    <t>20T</t>
  </si>
  <si>
    <t>ŚWIDNICA 11-12.11.2022</t>
  </si>
  <si>
    <t>https://www.fencingtimelive.com/pools/results/2AE4C8C73BE14FA6863FC02128FCDE09/36A6DA86D57D4245879F06BFB7CDC04C</t>
  </si>
  <si>
    <t>GAJDA LESZEK</t>
  </si>
  <si>
    <t>STOWARZYSZENIE POLSKICH WETERANÓW SZERMIERKI</t>
  </si>
  <si>
    <t>11T</t>
  </si>
  <si>
    <t>https://www,fencingtimelive,com/pools/results/2AE4C8C73BE14FA6863FC02128FCDE09/36A6DA86D57D4245879F06BFB7CDC04C</t>
  </si>
  <si>
    <t>https://www.fencingtimelive.com/pools/results/099F687B929E473DA7D50C5E5424512F/F8893AAB248D43ED8CCB5D78F51A622C</t>
  </si>
  <si>
    <t>TORUŃ 4-5.03.20223</t>
  </si>
  <si>
    <t>AZS Cracovia</t>
  </si>
  <si>
    <t>REBONOK Andrzej</t>
  </si>
  <si>
    <t>GRODZISKI KLUB SZERMIERCZY</t>
  </si>
  <si>
    <t>FENCING PARIS</t>
  </si>
  <si>
    <t>30T</t>
  </si>
  <si>
    <t>https://www.fencingtimelive.com/pools/results/099F687B929E473DA7D50C5E5424512F/6EBB44DC954A435695EE9B5BD59AA3E3</t>
  </si>
  <si>
    <t>19T</t>
  </si>
  <si>
    <t>NIEPOŁOMICE 17-18.06.2023</t>
  </si>
  <si>
    <t>https://www.fencingtimelive.com/pools/results/3C418DA137074652AF39798F5DE2D4F0/AA9588809B524494999C8555C2662130</t>
  </si>
  <si>
    <t>1</t>
  </si>
  <si>
    <t/>
  </si>
  <si>
    <t>2</t>
  </si>
  <si>
    <t>5</t>
  </si>
  <si>
    <t>6</t>
  </si>
  <si>
    <t>7</t>
  </si>
  <si>
    <t>8</t>
  </si>
  <si>
    <t>KACZMAREK paweł</t>
  </si>
  <si>
    <t>KS DRAGON Łódż</t>
  </si>
  <si>
    <t>9</t>
  </si>
  <si>
    <t>10</t>
  </si>
  <si>
    <t>11</t>
  </si>
  <si>
    <t>12</t>
  </si>
  <si>
    <t>13</t>
  </si>
  <si>
    <t>14</t>
  </si>
  <si>
    <t>KOŁUCKI Michał</t>
  </si>
  <si>
    <t>15</t>
  </si>
  <si>
    <t>16</t>
  </si>
  <si>
    <t>17</t>
  </si>
  <si>
    <t>18</t>
  </si>
  <si>
    <t>NIKALAICHUK Aliaksandr</t>
  </si>
  <si>
    <t>AZS AWF KRAKÓW</t>
  </si>
  <si>
    <t>19</t>
  </si>
  <si>
    <t>20</t>
  </si>
  <si>
    <t>21</t>
  </si>
  <si>
    <t>22</t>
  </si>
  <si>
    <t>https://www.fencingtimelive.com/pools/results/3C418DA137074652AF39798F5DE2D4F0/E157E544726041129C56F36602C79EBD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</si>
</sst>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0"/>
      <name val="Arial"/>
      <family val="2"/>
      <charset val="238"/>
    </font>
    <font>
      <u/>
      <sz val="10"/>
      <color theme="10"/>
      <name val="Arial"/>
      <family val="2"/>
      <charset val="238"/>
    </font>
  </fonts>
  <fills count="10">
    <fill>
      <patternFill patternType="none"/>
    </fill>
    <fill>
      <patternFill patternType="gray125"/>
    </fill>
    <fill>
      <patternFill patternType="solid">
        <fgColor indexed="31"/>
        <bgColor indexed="42"/>
      </patternFill>
    </fill>
    <fill>
      <patternFill patternType="solid">
        <fgColor theme="6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hair">
        <color auto="1"/>
      </right>
      <top/>
      <bottom style="thin">
        <color indexed="8"/>
      </bottom>
      <diagonal/>
    </border>
    <border>
      <left style="hair">
        <color auto="1"/>
      </left>
      <right/>
      <top/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8"/>
      </top>
      <bottom style="thin">
        <color indexed="8"/>
      </bottom>
      <diagonal/>
    </border>
    <border>
      <left style="hair">
        <color auto="1"/>
      </left>
      <right/>
      <top style="thin">
        <color indexed="8"/>
      </top>
      <bottom/>
      <diagonal/>
    </border>
    <border>
      <left/>
      <right style="hair">
        <color auto="1"/>
      </right>
      <top style="thin">
        <color indexed="8"/>
      </top>
      <bottom/>
      <diagonal/>
    </border>
  </borders>
  <cellStyleXfs count="6">
    <xf numFmtId="0" fontId="0" fillId="0" borderId="0"/>
    <xf numFmtId="0" fontId="5" fillId="3" borderId="0" applyNumberFormat="0" applyBorder="0" applyAlignment="0" applyProtection="0"/>
    <xf numFmtId="0" fontId="2" fillId="4" borderId="0" applyNumberFormat="0" applyBorder="0" applyAlignment="0" applyProtection="0"/>
    <xf numFmtId="0" fontId="5" fillId="5" borderId="0" applyNumberFormat="0" applyBorder="0" applyAlignment="0" applyProtection="0"/>
    <xf numFmtId="0" fontId="1" fillId="6" borderId="0" applyNumberFormat="0" applyBorder="0" applyAlignment="0" applyProtection="0"/>
    <xf numFmtId="0" fontId="8" fillId="0" borderId="0" applyNumberFormat="0" applyFill="0" applyBorder="0" applyAlignment="0" applyProtection="0"/>
  </cellStyleXfs>
  <cellXfs count="60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0" fontId="4" fillId="0" borderId="4" xfId="0" applyFont="1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horizontal="center" vertical="center"/>
    </xf>
    <xf numFmtId="0" fontId="8" fillId="0" borderId="0" xfId="5" applyAlignment="1">
      <alignment horizontal="center" vertical="center" wrapText="1"/>
    </xf>
    <xf numFmtId="0" fontId="6" fillId="5" borderId="0" xfId="3" applyFont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7" borderId="8" xfId="0" applyFill="1" applyBorder="1" applyAlignment="1">
      <alignment horizontal="center"/>
    </xf>
    <xf numFmtId="0" fontId="0" fillId="7" borderId="8" xfId="0" applyFill="1" applyBorder="1" applyAlignment="1">
      <alignment horizontal="center" vertical="center"/>
    </xf>
    <xf numFmtId="0" fontId="8" fillId="0" borderId="0" xfId="5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6" borderId="17" xfId="4" applyBorder="1" applyAlignment="1">
      <alignment horizontal="left" vertical="center"/>
    </xf>
    <xf numFmtId="0" fontId="1" fillId="6" borderId="18" xfId="4" applyBorder="1" applyAlignment="1">
      <alignment horizontal="left" vertical="center"/>
    </xf>
    <xf numFmtId="0" fontId="1" fillId="6" borderId="19" xfId="4" applyBorder="1" applyAlignment="1">
      <alignment horizontal="left" vertical="center"/>
    </xf>
    <xf numFmtId="0" fontId="1" fillId="6" borderId="0" xfId="4" applyBorder="1" applyAlignment="1">
      <alignment horizontal="left" vertical="center"/>
    </xf>
    <xf numFmtId="0" fontId="1" fillId="6" borderId="21" xfId="4" applyBorder="1" applyAlignment="1">
      <alignment horizontal="left" vertical="center"/>
    </xf>
    <xf numFmtId="14" fontId="7" fillId="0" borderId="0" xfId="0" applyNumberFormat="1" applyFont="1" applyAlignment="1">
      <alignment horizontal="center" vertical="center"/>
    </xf>
    <xf numFmtId="0" fontId="0" fillId="8" borderId="23" xfId="0" applyFill="1" applyBorder="1" applyAlignment="1">
      <alignment horizontal="center" vertical="center"/>
    </xf>
    <xf numFmtId="0" fontId="0" fillId="8" borderId="24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21" xfId="0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" fillId="4" borderId="1" xfId="2" applyFont="1" applyBorder="1" applyAlignment="1">
      <alignment horizontal="left"/>
    </xf>
    <xf numFmtId="0" fontId="5" fillId="3" borderId="1" xfId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16" fontId="0" fillId="0" borderId="0" xfId="0" applyNumberFormat="1" applyAlignment="1">
      <alignment vertical="center" wrapText="1"/>
    </xf>
    <xf numFmtId="0" fontId="4" fillId="0" borderId="4" xfId="0" applyFont="1" applyBorder="1" applyAlignment="1">
      <alignment vertical="center" wrapText="1"/>
    </xf>
    <xf numFmtId="2" fontId="0" fillId="7" borderId="8" xfId="0" applyNumberForma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1" fillId="6" borderId="16" xfId="4" applyBorder="1" applyAlignment="1">
      <alignment horizontal="center" vertical="center"/>
    </xf>
    <xf numFmtId="0" fontId="1" fillId="6" borderId="22" xfId="4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" fillId="6" borderId="14" xfId="4" applyBorder="1" applyAlignment="1">
      <alignment horizontal="center" vertical="center"/>
    </xf>
    <xf numFmtId="0" fontId="1" fillId="6" borderId="15" xfId="4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" fillId="6" borderId="20" xfId="4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5" applyAlignment="1">
      <alignment horizontal="center" vertical="center" wrapText="1"/>
    </xf>
    <xf numFmtId="0" fontId="8" fillId="0" borderId="0" xfId="5" applyAlignment="1">
      <alignment horizontal="center" vertical="center"/>
    </xf>
  </cellXfs>
  <cellStyles count="6">
    <cellStyle name="20% — akcent 3" xfId="4" builtinId="38"/>
    <cellStyle name="20% — akcent 4" xfId="2" builtinId="42"/>
    <cellStyle name="Akcent 1" xfId="3" builtinId="29"/>
    <cellStyle name="Akcent 3" xfId="1" builtinId="37"/>
    <cellStyle name="Hiperłącze" xfId="5" builtinId="8"/>
    <cellStyle name="Normalny" xfId="0" builtinId="0"/>
  </cellStyles>
  <dxfs count="3"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fencingtimelive.com/pools/results/3531C901598B4A9DBBDA4CC405FBB2E3/9665CC12AE90441DA083E869D4E1575C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fencingtimelive.com/pools/results/3531C901598B4A9DBBDA4CC405FBB2E3/9665CC12AE90441DA083E869D4E1575C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31A6DC9D57BF4A248E0AB24A86AB105A/A66AB24881EA4D3DA97C36B43D8D1AEE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31A6DC9D57BF4A248E0AB24A86AB105A/C41B3439A303430E8D56C54BA72E6C02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099F687B929E473DA7D50C5E5424512F/F8893AAB248D43ED8CCB5D78F51A622C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099F687B929E473DA7D50C5E5424512F/6EBB44DC954A435695EE9B5BD59AA3E3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3C418DA137074652AF39798F5DE2D4F0/AA9588809B524494999C8555C2662130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3C418DA137074652AF39798F5DE2D4F0/E157E544726041129C56F36602C79EBD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32B616C3AFDA4D4A83FF3673BD13A9F6/EFCA0E8AA4D04948BBE10A7CA3375C98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32B616C3AFDA4D4A83FF3673BD13A9F6/D65EAEBA11A44BA19F706FDE156B8B85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2AE4C8C73BE14FA6863FC02128FCDE09/36A6DA86D57D4245879F06BFB7CDC04C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2AE4C8C73BE14FA6863FC02128FCDE09/36A6DA86D57D4245879F06BFB7CDC04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67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C28" sqref="C28"/>
    </sheetView>
  </sheetViews>
  <sheetFormatPr defaultColWidth="11.5703125" defaultRowHeight="12.75" x14ac:dyDescent="0.2"/>
  <cols>
    <col min="1" max="1" width="4.7109375" bestFit="1" customWidth="1"/>
    <col min="2" max="2" width="4.7109375" customWidth="1"/>
    <col min="3" max="3" width="29" bestFit="1" customWidth="1"/>
    <col min="4" max="4" width="9.7109375" style="3" customWidth="1"/>
    <col min="5" max="5" width="4.7109375" style="5" customWidth="1"/>
    <col min="6" max="6" width="4.7109375" style="15" customWidth="1"/>
    <col min="7" max="7" width="4.7109375" style="16" customWidth="1"/>
    <col min="8" max="8" width="4.7109375" style="15" customWidth="1"/>
    <col min="9" max="9" width="5" style="16" bestFit="1" customWidth="1"/>
    <col min="10" max="10" width="4.7109375" style="15" customWidth="1"/>
    <col min="11" max="11" width="4.7109375" style="16" customWidth="1"/>
    <col min="12" max="12" width="4.7109375" style="15" customWidth="1"/>
    <col min="13" max="13" width="4.7109375" style="16" customWidth="1"/>
    <col min="14" max="14" width="4.7109375" style="15" customWidth="1"/>
    <col min="15" max="15" width="4.7109375" style="16" customWidth="1"/>
    <col min="16" max="16" width="4.7109375" style="5" customWidth="1"/>
    <col min="17" max="17" width="4.7109375" style="11" customWidth="1"/>
    <col min="18" max="18" width="4.7109375" style="5" customWidth="1"/>
    <col min="19" max="19" width="4.7109375" style="15" customWidth="1"/>
    <col min="20" max="20" width="4.7109375" style="16" customWidth="1"/>
    <col min="21" max="21" width="4.7109375" style="15" customWidth="1"/>
    <col min="22" max="22" width="4.7109375" style="16" customWidth="1"/>
    <col min="23" max="23" width="4.7109375" style="15" customWidth="1"/>
    <col min="24" max="24" width="4.7109375" style="16" customWidth="1"/>
    <col min="25" max="25" width="4.7109375" style="15" customWidth="1"/>
    <col min="26" max="26" width="4.7109375" style="16" customWidth="1"/>
    <col min="27" max="27" width="4.7109375" style="15" customWidth="1"/>
    <col min="28" max="28" width="4.7109375" style="16" customWidth="1"/>
    <col min="29" max="29" width="4.7109375" style="5" customWidth="1"/>
    <col min="30" max="30" width="4.7109375" style="11" customWidth="1"/>
    <col min="31" max="31" width="4.7109375" style="5" customWidth="1"/>
    <col min="32" max="32" width="4.7109375" style="15" customWidth="1"/>
    <col min="33" max="33" width="4.7109375" style="16" customWidth="1"/>
    <col min="34" max="34" width="4.7109375" style="15" customWidth="1"/>
    <col min="35" max="35" width="4.7109375" style="16" customWidth="1"/>
    <col min="36" max="36" width="4.7109375" style="15" customWidth="1"/>
    <col min="37" max="37" width="4.7109375" style="16" customWidth="1"/>
    <col min="38" max="38" width="4.7109375" style="15" customWidth="1"/>
    <col min="39" max="39" width="4.7109375" style="16" customWidth="1"/>
    <col min="40" max="40" width="4.7109375" style="15" customWidth="1"/>
    <col min="41" max="41" width="4.7109375" style="16" customWidth="1"/>
    <col min="42" max="42" width="4.7109375" style="17" customWidth="1"/>
    <col min="43" max="43" width="3.7109375" customWidth="1"/>
    <col min="44" max="45" width="23.85546875" bestFit="1" customWidth="1"/>
  </cols>
  <sheetData>
    <row r="1" spans="1:44" x14ac:dyDescent="0.2">
      <c r="F1" s="5"/>
      <c r="G1" s="5"/>
      <c r="H1" s="5"/>
      <c r="I1" s="5"/>
      <c r="J1" s="5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5"/>
    </row>
    <row r="2" spans="1:44" ht="13.9" customHeight="1" x14ac:dyDescent="0.25">
      <c r="A2" s="49" t="s">
        <v>0</v>
      </c>
      <c r="B2" s="49" t="s">
        <v>1</v>
      </c>
      <c r="C2" s="49" t="s">
        <v>2</v>
      </c>
      <c r="D2" s="49" t="s">
        <v>3</v>
      </c>
      <c r="E2" s="52" t="s">
        <v>3</v>
      </c>
      <c r="F2" s="53"/>
      <c r="G2" s="53"/>
      <c r="H2" s="53"/>
      <c r="I2" s="53"/>
      <c r="J2" s="53"/>
      <c r="K2" s="53"/>
      <c r="L2" s="53"/>
      <c r="M2" s="53"/>
      <c r="N2" s="53"/>
      <c r="O2" s="53"/>
      <c r="P2" s="54"/>
      <c r="Q2" s="49" t="s">
        <v>4</v>
      </c>
      <c r="R2" s="52" t="s">
        <v>4</v>
      </c>
      <c r="S2" s="53"/>
      <c r="T2" s="53"/>
      <c r="U2" s="53"/>
      <c r="V2" s="53"/>
      <c r="W2" s="53"/>
      <c r="X2" s="53"/>
      <c r="Y2" s="53"/>
      <c r="Z2" s="53"/>
      <c r="AA2" s="53"/>
      <c r="AB2" s="53"/>
      <c r="AC2" s="54"/>
      <c r="AD2" s="49" t="s">
        <v>5</v>
      </c>
      <c r="AE2" s="44" t="s">
        <v>5</v>
      </c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6"/>
      <c r="AR2" s="34" t="s">
        <v>6</v>
      </c>
    </row>
    <row r="3" spans="1:44" ht="13.9" customHeight="1" x14ac:dyDescent="0.25">
      <c r="A3" s="50"/>
      <c r="B3" s="50"/>
      <c r="C3" s="50"/>
      <c r="D3" s="50"/>
      <c r="E3" s="47" t="s">
        <v>7</v>
      </c>
      <c r="F3" s="48"/>
      <c r="G3" s="48" t="s">
        <v>8</v>
      </c>
      <c r="H3" s="48"/>
      <c r="I3" s="48" t="s">
        <v>9</v>
      </c>
      <c r="J3" s="48"/>
      <c r="K3" s="48" t="s">
        <v>10</v>
      </c>
      <c r="L3" s="48"/>
      <c r="M3" s="48" t="s">
        <v>11</v>
      </c>
      <c r="N3" s="48"/>
      <c r="O3" s="48" t="s">
        <v>12</v>
      </c>
      <c r="P3" s="55"/>
      <c r="Q3" s="50"/>
      <c r="R3" s="47" t="s">
        <v>7</v>
      </c>
      <c r="S3" s="48"/>
      <c r="T3" s="48" t="s">
        <v>8</v>
      </c>
      <c r="U3" s="48"/>
      <c r="V3" s="48" t="s">
        <v>9</v>
      </c>
      <c r="W3" s="48"/>
      <c r="X3" s="48" t="s">
        <v>10</v>
      </c>
      <c r="Y3" s="48"/>
      <c r="Z3" s="48" t="s">
        <v>11</v>
      </c>
      <c r="AA3" s="48"/>
      <c r="AB3" s="48" t="s">
        <v>12</v>
      </c>
      <c r="AC3" s="55"/>
      <c r="AD3" s="50"/>
      <c r="AE3" s="47" t="s">
        <v>7</v>
      </c>
      <c r="AF3" s="48"/>
      <c r="AG3" s="48" t="s">
        <v>8</v>
      </c>
      <c r="AH3" s="48"/>
      <c r="AI3" s="48" t="s">
        <v>9</v>
      </c>
      <c r="AJ3" s="48"/>
      <c r="AK3" s="48" t="s">
        <v>10</v>
      </c>
      <c r="AL3" s="48"/>
      <c r="AM3" s="48" t="s">
        <v>11</v>
      </c>
      <c r="AN3" s="48"/>
      <c r="AO3" s="42" t="s">
        <v>12</v>
      </c>
      <c r="AP3" s="43"/>
      <c r="AR3" s="35" t="s">
        <v>13</v>
      </c>
    </row>
    <row r="4" spans="1:44" ht="13.9" customHeight="1" x14ac:dyDescent="0.2">
      <c r="A4" s="51"/>
      <c r="B4" s="51"/>
      <c r="C4" s="51"/>
      <c r="D4" s="50"/>
      <c r="E4" s="19">
        <v>1</v>
      </c>
      <c r="F4" s="20">
        <v>2</v>
      </c>
      <c r="G4" s="21">
        <v>1</v>
      </c>
      <c r="H4" s="20">
        <v>2</v>
      </c>
      <c r="I4" s="21">
        <v>1</v>
      </c>
      <c r="J4" s="20">
        <v>2</v>
      </c>
      <c r="K4" s="21">
        <v>1</v>
      </c>
      <c r="L4" s="20">
        <v>2</v>
      </c>
      <c r="M4" s="21">
        <v>1</v>
      </c>
      <c r="N4" s="20">
        <v>2</v>
      </c>
      <c r="O4" s="21">
        <v>1</v>
      </c>
      <c r="P4" s="22">
        <v>2</v>
      </c>
      <c r="Q4" s="50"/>
      <c r="R4" s="19">
        <v>1</v>
      </c>
      <c r="S4" s="20">
        <v>2</v>
      </c>
      <c r="T4" s="21">
        <v>1</v>
      </c>
      <c r="U4" s="20">
        <v>2</v>
      </c>
      <c r="V4" s="21">
        <v>1</v>
      </c>
      <c r="W4" s="20">
        <v>2</v>
      </c>
      <c r="X4" s="21">
        <v>1</v>
      </c>
      <c r="Y4" s="20">
        <v>2</v>
      </c>
      <c r="Z4" s="21">
        <v>1</v>
      </c>
      <c r="AA4" s="20">
        <v>2</v>
      </c>
      <c r="AB4" s="21">
        <v>1</v>
      </c>
      <c r="AC4" s="22">
        <v>2</v>
      </c>
      <c r="AD4" s="50"/>
      <c r="AE4" s="19">
        <v>1</v>
      </c>
      <c r="AF4" s="20">
        <v>2</v>
      </c>
      <c r="AG4" s="21">
        <v>1</v>
      </c>
      <c r="AH4" s="20">
        <v>2</v>
      </c>
      <c r="AI4" s="21">
        <v>1</v>
      </c>
      <c r="AJ4" s="20">
        <v>2</v>
      </c>
      <c r="AK4" s="21">
        <v>1</v>
      </c>
      <c r="AL4" s="20">
        <v>2</v>
      </c>
      <c r="AM4" s="21">
        <v>1</v>
      </c>
      <c r="AN4" s="20">
        <v>2</v>
      </c>
      <c r="AO4" s="21">
        <v>1</v>
      </c>
      <c r="AP4" s="23">
        <v>2</v>
      </c>
    </row>
    <row r="5" spans="1:44" ht="15" x14ac:dyDescent="0.25">
      <c r="A5" s="1">
        <f t="shared" ref="A5:A36" si="0">ROW()-4</f>
        <v>1</v>
      </c>
      <c r="B5" s="36">
        <v>1</v>
      </c>
      <c r="C5" s="4" t="s">
        <v>14</v>
      </c>
      <c r="D5" s="12">
        <f t="shared" ref="D5:D36" si="1">SUM(E5:P5)</f>
        <v>11.38</v>
      </c>
      <c r="E5" s="33">
        <f>_xlfn.XLOOKUP($C5,'MP (1)'!$B$6:$B$100,'MP (1)'!$E$6:$E$100,"")</f>
        <v>1</v>
      </c>
      <c r="F5" s="32">
        <f>_xlfn.XLOOKUP($C5,'MP (2)'!$B$6:$B$100,'MP (2)'!$E$6:$E$100,"")</f>
        <v>1</v>
      </c>
      <c r="G5" s="25">
        <f>_xlfn.XLOOKUP($C5,'GP1 (1)'!$B$6:$B$100,'GP1 (1)'!$E$6:$E$100,"")</f>
        <v>0.83</v>
      </c>
      <c r="H5" s="26">
        <f>_xlfn.XLOOKUP($C5,'GP1 (2)'!$B$6:$B$100,'GP1 (2)'!$E$6:$E$100,"")</f>
        <v>1</v>
      </c>
      <c r="I5" s="31">
        <f>_xlfn.XLOOKUP($C5,'GP2 (1)'!$B$6:$B$107,'GP2 (1)'!$E$6:$E$107,"")</f>
        <v>1</v>
      </c>
      <c r="J5" s="32">
        <f>_xlfn.XLOOKUP($C5,'GP2 (2)'!$B$6:$B$99,'GP2 (2)'!$E$6:$E$99,"")</f>
        <v>1</v>
      </c>
      <c r="K5" s="27">
        <f>_xlfn.XLOOKUP($C5,'GP3 (1)'!$B$6:$B$100,'GP3 (1)'!$E$6:$E$100,"")</f>
        <v>1</v>
      </c>
      <c r="L5" s="28">
        <f>_xlfn.XLOOKUP($C5,'GP3 (2)'!$B$6:$B$100,'GP3 (2)'!$E$6:$E$100,"")</f>
        <v>1</v>
      </c>
      <c r="M5" s="31">
        <f>_xlfn.XLOOKUP($C5,'GP4 (1)'!$B$6:$B$86,'GP4 (1)'!$E$6:$E$86,"")</f>
        <v>1</v>
      </c>
      <c r="N5" s="32">
        <f>_xlfn.XLOOKUP($C5,'GP4 (2)'!$B$6:$B$100,'GP4 (2)'!$E$6:$E$100,"")</f>
        <v>0.8</v>
      </c>
      <c r="O5" s="27">
        <f>_xlfn.XLOOKUP($C5,'GP5 (1)'!$B$6:$B$100,'GP5 (1)'!$E$6:$E$100,"")</f>
        <v>1</v>
      </c>
      <c r="P5" s="29">
        <f>_xlfn.XLOOKUP($C5,'GP5 (2)'!$B$6:$B$100,'GP5 (2)'!$E$6:$E$100,"")</f>
        <v>0.75</v>
      </c>
      <c r="Q5" s="13">
        <f t="shared" ref="Q5:Q36" si="2">SUM(R5:AC5)</f>
        <v>284</v>
      </c>
      <c r="R5" s="33">
        <f>_xlfn.XLOOKUP($C5,'MP (1)'!$B$6:$B$100,'MP (1)'!$F$6:$F$100,"")</f>
        <v>30</v>
      </c>
      <c r="S5" s="32">
        <f>_xlfn.XLOOKUP($C5,'MP (2)'!$B$6:$B$100,'MP (2)'!$F$6:$F$100,"")</f>
        <v>30</v>
      </c>
      <c r="T5" s="27">
        <f>_xlfn.XLOOKUP($C5,'GP1 (1)'!$B$6:$B$100,'GP1 (1)'!$F$6:$F$100,"")</f>
        <v>29</v>
      </c>
      <c r="U5" s="28">
        <f>_xlfn.XLOOKUP($C5,'GP1 (2)'!$B$6:$B$100,'GP1 (2)'!$F$6:$F$100,"")</f>
        <v>25</v>
      </c>
      <c r="V5" s="31" t="str">
        <f>_xlfn.XLOOKUP($C5,'GP2 (1)'!$B$8:$B$107,'GP2 (1)'!$F$8:$F$107,"")</f>
        <v/>
      </c>
      <c r="W5" s="32">
        <f>_xlfn.XLOOKUP($C5,'GP2 (2)'!$B$6:$B$99,'GP2 (2)'!$F$6:$F$99,"")</f>
        <v>30</v>
      </c>
      <c r="X5" s="27">
        <f>_xlfn.XLOOKUP($C5,'GP3 (1)'!$B$6:$B$100,'GP3 (1)'!$F$6:$F$100,"")</f>
        <v>25</v>
      </c>
      <c r="Y5" s="28">
        <f>_xlfn.XLOOKUP($C5,'GP3 (2)'!$B$6:$B$100,'GP3 (2)'!$F$6:$F$100,"")</f>
        <v>30</v>
      </c>
      <c r="Z5" s="31">
        <f>_xlfn.XLOOKUP($C5,'GP4 (1)'!$B$6:$B$86,'GP4 (1)'!$F$6:$F$86,"")</f>
        <v>25</v>
      </c>
      <c r="AA5" s="32">
        <f>_xlfn.XLOOKUP($C5,'GP4 (2)'!$B$6:$B$100,'GP4 (2)'!$F$6:$F$100,"")</f>
        <v>22</v>
      </c>
      <c r="AB5" s="27">
        <f>_xlfn.XLOOKUP($C5,'GP5 (1)'!$B$6:$B$100,'GP5 (1)'!$F$6:$F$100,"")</f>
        <v>20</v>
      </c>
      <c r="AC5" s="29">
        <f>_xlfn.XLOOKUP($C5,'GP5 (2)'!$B$6:$B$100,'GP5 (2)'!$F$6:$F$100,"")</f>
        <v>18</v>
      </c>
      <c r="AD5" s="13">
        <f t="shared" ref="AD5:AD36" si="3">SUM(AE5:AO5)</f>
        <v>177</v>
      </c>
      <c r="AE5" s="33">
        <f>_xlfn.XLOOKUP($C5,'MP (1)'!$B$6:$B$100,'MP (1)'!$H$6:$H$100,"")</f>
        <v>21</v>
      </c>
      <c r="AF5" s="32">
        <f>_xlfn.XLOOKUP($C5,'MP (2)'!$B$6:$B$100,'MP (2)'!$H$6:$H$100,"")</f>
        <v>27</v>
      </c>
      <c r="AG5" s="27">
        <f>_xlfn.XLOOKUP($C5,'GP1 (1)'!$B$6:$B$100,'GP1 (1)'!$H$6:$H$100,"")</f>
        <v>15</v>
      </c>
      <c r="AH5" s="28">
        <f>_xlfn.XLOOKUP($C5,'GP1 (2)'!$B$6:$B$100,'GP1 (2)'!$H$6:$H$100,"")</f>
        <v>18</v>
      </c>
      <c r="AI5" s="31" t="str">
        <f>_xlfn.XLOOKUP($C5,'GP2 (1)'!$B$8:$B$107,'GP2 (1)'!$H$8:$H$107,"")</f>
        <v/>
      </c>
      <c r="AJ5" s="32">
        <f>_xlfn.XLOOKUP($C5,'GP2 (2)'!$B$6:$B$99,'GP2 (2)'!$H$6:$H$99,"")</f>
        <v>23</v>
      </c>
      <c r="AK5" s="27">
        <f>_xlfn.XLOOKUP($C5,'GP3 (1)'!$B$6:$B$100,'GP3 (1)'!$H$6:$H$100,"")</f>
        <v>17</v>
      </c>
      <c r="AL5" s="28">
        <f>_xlfn.XLOOKUP($C5,'GP3 (2)'!$B$6:$B$100,'GP3 (2)'!$H$6:$H$100,"")</f>
        <v>17</v>
      </c>
      <c r="AM5" s="31">
        <f>_xlfn.XLOOKUP($C5,'GP4 (1)'!$B$6:$B$86,'GP4 (1)'!$H$6:$H$86,"")</f>
        <v>16</v>
      </c>
      <c r="AN5" s="32">
        <f>_xlfn.XLOOKUP($C5,'GP4 (2)'!$B$6:$B$100,'GP4 (2)'!$H$6:$H$100,"")</f>
        <v>7</v>
      </c>
      <c r="AO5" s="27">
        <f>_xlfn.XLOOKUP($C5,'GP5 (1)'!$B$6:$B$100,'GP5 (1)'!$H$6:$H$100,"")</f>
        <v>16</v>
      </c>
      <c r="AP5" s="30">
        <f>_xlfn.XLOOKUP($C5,'GP5 (2)'!$B$6:$B$100,'GP5 (2)'!$H$6:$H$100,"")</f>
        <v>11</v>
      </c>
    </row>
    <row r="6" spans="1:44" ht="15" x14ac:dyDescent="0.25">
      <c r="A6" s="1">
        <f t="shared" si="0"/>
        <v>2</v>
      </c>
      <c r="B6" s="36">
        <v>2</v>
      </c>
      <c r="C6" s="4" t="s">
        <v>15</v>
      </c>
      <c r="D6" s="40">
        <f t="shared" si="1"/>
        <v>10.86</v>
      </c>
      <c r="E6" s="33">
        <f>_xlfn.XLOOKUP($C6,'MP (1)'!$B$6:$B$100,'MP (1)'!$E$6:$E$100,"")</f>
        <v>1</v>
      </c>
      <c r="F6" s="32">
        <f>_xlfn.XLOOKUP($C6,'MP (2)'!$B$6:$B$100,'MP (2)'!$E$6:$E$100,"")</f>
        <v>1</v>
      </c>
      <c r="G6" s="27">
        <f>_xlfn.XLOOKUP($C6,'GP1 (1)'!$B$6:$B$100,'GP1 (1)'!$E$6:$E$100,"")</f>
        <v>0.83</v>
      </c>
      <c r="H6" s="28">
        <f>_xlfn.XLOOKUP($C6,'GP1 (2)'!$B$6:$B$100,'GP1 (2)'!$E$6:$E$100,"")</f>
        <v>0.4</v>
      </c>
      <c r="I6" s="31">
        <f>_xlfn.XLOOKUP($C6,'GP2 (1)'!$B$6:$B$107,'GP2 (1)'!$E$6:$E$107,"")</f>
        <v>1</v>
      </c>
      <c r="J6" s="32">
        <f>_xlfn.XLOOKUP($C6,'GP2 (2)'!$B$6:$B$99,'GP2 (2)'!$E$6:$E$99,"")</f>
        <v>0.8</v>
      </c>
      <c r="K6" s="27">
        <f>_xlfn.XLOOKUP($C6,'GP3 (1)'!$B$6:$B$100,'GP3 (1)'!$E$6:$E$100,"")</f>
        <v>1</v>
      </c>
      <c r="L6" s="28">
        <f>_xlfn.XLOOKUP($C6,'GP3 (2)'!$B$6:$B$100,'GP3 (2)'!$E$6:$E$100,"")</f>
        <v>0.83</v>
      </c>
      <c r="M6" s="31">
        <f>_xlfn.XLOOKUP($C6,'GP4 (1)'!$B$6:$B$86,'GP4 (1)'!$E$6:$E$86,"")</f>
        <v>1</v>
      </c>
      <c r="N6" s="32">
        <f>_xlfn.XLOOKUP($C6,'GP4 (2)'!$B$6:$B$100,'GP4 (2)'!$E$6:$E$100,"")</f>
        <v>1</v>
      </c>
      <c r="O6" s="27">
        <f>_xlfn.XLOOKUP($C6,'GP5 (1)'!$B$6:$B$100,'GP5 (1)'!$E$6:$E$100,"")</f>
        <v>1</v>
      </c>
      <c r="P6" s="29">
        <f>_xlfn.XLOOKUP($C6,'GP5 (2)'!$B$6:$B$100,'GP5 (2)'!$E$6:$E$100,"")</f>
        <v>1</v>
      </c>
      <c r="Q6" s="13">
        <f t="shared" si="2"/>
        <v>277</v>
      </c>
      <c r="R6" s="33">
        <f>_xlfn.XLOOKUP($C6,'MP (1)'!$B$6:$B$100,'MP (1)'!$F$6:$F$100,"")</f>
        <v>30</v>
      </c>
      <c r="S6" s="32">
        <f>_xlfn.XLOOKUP($C6,'MP (2)'!$B$6:$B$100,'MP (2)'!$F$6:$F$100,"")</f>
        <v>30</v>
      </c>
      <c r="T6" s="27">
        <f>_xlfn.XLOOKUP($C6,'GP1 (1)'!$B$6:$B$100,'GP1 (1)'!$F$6:$F$100,"")</f>
        <v>28</v>
      </c>
      <c r="U6" s="28">
        <f>_xlfn.XLOOKUP($C6,'GP1 (2)'!$B$6:$B$100,'GP1 (2)'!$F$6:$F$100,"")</f>
        <v>21</v>
      </c>
      <c r="V6" s="31" t="str">
        <f>_xlfn.XLOOKUP($C6,'GP2 (1)'!$B$8:$B$107,'GP2 (1)'!$F$8:$F$107,"")</f>
        <v/>
      </c>
      <c r="W6" s="32">
        <f>_xlfn.XLOOKUP($C6,'GP2 (2)'!$B$6:$B$99,'GP2 (2)'!$F$6:$F$99,"")</f>
        <v>24</v>
      </c>
      <c r="X6" s="27">
        <f>_xlfn.XLOOKUP($C6,'GP3 (1)'!$B$6:$B$100,'GP3 (1)'!$F$6:$F$100,"")</f>
        <v>25</v>
      </c>
      <c r="Y6" s="28">
        <f>_xlfn.XLOOKUP($C6,'GP3 (2)'!$B$6:$B$100,'GP3 (2)'!$F$6:$F$100,"")</f>
        <v>29</v>
      </c>
      <c r="Z6" s="31">
        <f>_xlfn.XLOOKUP($C6,'GP4 (1)'!$B$6:$B$86,'GP4 (1)'!$F$6:$F$86,"")</f>
        <v>25</v>
      </c>
      <c r="AA6" s="32">
        <f>_xlfn.XLOOKUP($C6,'GP4 (2)'!$B$6:$B$100,'GP4 (2)'!$F$6:$F$100,"")</f>
        <v>25</v>
      </c>
      <c r="AB6" s="27">
        <f>_xlfn.XLOOKUP($C6,'GP5 (1)'!$B$6:$B$100,'GP5 (1)'!$F$6:$F$100,"")</f>
        <v>20</v>
      </c>
      <c r="AC6" s="29">
        <f>_xlfn.XLOOKUP($C6,'GP5 (2)'!$B$6:$B$100,'GP5 (2)'!$F$6:$F$100,"")</f>
        <v>20</v>
      </c>
      <c r="AD6" s="13">
        <f t="shared" si="3"/>
        <v>149</v>
      </c>
      <c r="AE6" s="33">
        <f>_xlfn.XLOOKUP($C6,'MP (1)'!$B$6:$B$100,'MP (1)'!$H$6:$H$100,"")</f>
        <v>19</v>
      </c>
      <c r="AF6" s="32">
        <f>_xlfn.XLOOKUP($C6,'MP (2)'!$B$6:$B$100,'MP (2)'!$H$6:$H$100,"")</f>
        <v>17</v>
      </c>
      <c r="AG6" s="27">
        <f>_xlfn.XLOOKUP($C6,'GP1 (1)'!$B$6:$B$100,'GP1 (1)'!$H$6:$H$100,"")</f>
        <v>14</v>
      </c>
      <c r="AH6" s="28">
        <f>_xlfn.XLOOKUP($C6,'GP1 (2)'!$B$6:$B$100,'GP1 (2)'!$H$6:$H$100,"")</f>
        <v>1</v>
      </c>
      <c r="AI6" s="31" t="str">
        <f>_xlfn.XLOOKUP($C6,'GP2 (1)'!$B$8:$B$107,'GP2 (1)'!$H$8:$H$107,"")</f>
        <v/>
      </c>
      <c r="AJ6" s="32">
        <f>_xlfn.XLOOKUP($C6,'GP2 (2)'!$B$6:$B$99,'GP2 (2)'!$H$6:$H$99,"")</f>
        <v>10</v>
      </c>
      <c r="AK6" s="27">
        <f>_xlfn.XLOOKUP($C6,'GP3 (1)'!$B$6:$B$100,'GP3 (1)'!$H$6:$H$100,"")</f>
        <v>23</v>
      </c>
      <c r="AL6" s="28">
        <f>_xlfn.XLOOKUP($C6,'GP3 (2)'!$B$6:$B$100,'GP3 (2)'!$H$6:$H$100,"")</f>
        <v>20</v>
      </c>
      <c r="AM6" s="31">
        <f>_xlfn.XLOOKUP($C6,'GP4 (1)'!$B$6:$B$86,'GP4 (1)'!$H$6:$H$86,"")</f>
        <v>14</v>
      </c>
      <c r="AN6" s="32">
        <f>_xlfn.XLOOKUP($C6,'GP4 (2)'!$B$6:$B$100,'GP4 (2)'!$H$6:$H$100,"")</f>
        <v>14</v>
      </c>
      <c r="AO6" s="27">
        <f>_xlfn.XLOOKUP($C6,'GP5 (1)'!$B$6:$B$100,'GP5 (1)'!$H$6:$H$100,"")</f>
        <v>17</v>
      </c>
      <c r="AP6" s="30">
        <f>_xlfn.XLOOKUP($C6,'GP5 (2)'!$B$6:$B$100,'GP5 (2)'!$H$6:$H$100,"")</f>
        <v>13</v>
      </c>
    </row>
    <row r="7" spans="1:44" ht="15" x14ac:dyDescent="0.25">
      <c r="A7" s="1">
        <f t="shared" si="0"/>
        <v>3</v>
      </c>
      <c r="B7" s="36">
        <v>2</v>
      </c>
      <c r="C7" s="4" t="s">
        <v>17</v>
      </c>
      <c r="D7" s="40">
        <f t="shared" si="1"/>
        <v>10.450000000000001</v>
      </c>
      <c r="E7" s="33">
        <f>_xlfn.XLOOKUP($C7,'MP (1)'!$B$6:$B$100,'MP (1)'!$E$6:$E$100,"")</f>
        <v>0.83</v>
      </c>
      <c r="F7" s="32">
        <f>_xlfn.XLOOKUP($C7,'MP (2)'!$B$6:$B$100,'MP (2)'!$E$6:$E$100,"")</f>
        <v>0.8</v>
      </c>
      <c r="G7" s="27">
        <f>_xlfn.XLOOKUP($C7,'GP1 (1)'!$B$6:$B$100,'GP1 (1)'!$E$6:$E$100,"")</f>
        <v>1</v>
      </c>
      <c r="H7" s="28">
        <f>_xlfn.XLOOKUP($C7,'GP1 (2)'!$B$6:$B$100,'GP1 (2)'!$E$6:$E$100,"")</f>
        <v>0.6</v>
      </c>
      <c r="I7" s="31">
        <f>_xlfn.XLOOKUP($C7,'GP2 (1)'!$B$6:$B$107,'GP2 (1)'!$E$6:$E$107,"")</f>
        <v>1</v>
      </c>
      <c r="J7" s="32">
        <f>_xlfn.XLOOKUP($C7,'GP2 (2)'!$B$6:$B$99,'GP2 (2)'!$E$6:$E$99,"")</f>
        <v>1</v>
      </c>
      <c r="K7" s="27">
        <f>_xlfn.XLOOKUP($C7,'GP3 (1)'!$B$6:$B$100,'GP3 (1)'!$E$6:$E$100,"")</f>
        <v>1</v>
      </c>
      <c r="L7" s="28">
        <f>_xlfn.XLOOKUP($C7,'GP3 (2)'!$B$6:$B$100,'GP3 (2)'!$E$6:$E$100,"")</f>
        <v>1</v>
      </c>
      <c r="M7" s="31">
        <f>_xlfn.XLOOKUP($C7,'GP4 (1)'!$B$6:$B$86,'GP4 (1)'!$E$6:$E$86,"")</f>
        <v>0.67</v>
      </c>
      <c r="N7" s="32">
        <f>_xlfn.XLOOKUP($C7,'GP4 (2)'!$B$6:$B$100,'GP4 (2)'!$E$6:$E$100,"")</f>
        <v>0.8</v>
      </c>
      <c r="O7" s="27">
        <f>_xlfn.XLOOKUP($C7,'GP5 (1)'!$B$6:$B$100,'GP5 (1)'!$E$6:$E$100,"")</f>
        <v>0.75</v>
      </c>
      <c r="P7" s="29">
        <f>_xlfn.XLOOKUP($C7,'GP5 (2)'!$B$6:$B$100,'GP5 (2)'!$E$6:$E$100,"")</f>
        <v>1</v>
      </c>
      <c r="Q7" s="13">
        <f t="shared" si="2"/>
        <v>288</v>
      </c>
      <c r="R7" s="33">
        <f>_xlfn.XLOOKUP($C7,'MP (1)'!$B$6:$B$100,'MP (1)'!$F$6:$F$100,"")</f>
        <v>29</v>
      </c>
      <c r="S7" s="32">
        <f>_xlfn.XLOOKUP($C7,'MP (2)'!$B$6:$B$100,'MP (2)'!$F$6:$F$100,"")</f>
        <v>23</v>
      </c>
      <c r="T7" s="27">
        <f>_xlfn.XLOOKUP($C7,'GP1 (1)'!$B$6:$B$100,'GP1 (1)'!$F$6:$F$100,"")</f>
        <v>25</v>
      </c>
      <c r="U7" s="28">
        <f>_xlfn.XLOOKUP($C7,'GP1 (2)'!$B$6:$B$100,'GP1 (2)'!$F$6:$F$100,"")</f>
        <v>23</v>
      </c>
      <c r="V7" s="31">
        <f>_xlfn.XLOOKUP($C7,'GP2 (1)'!$B$8:$B$107,'GP2 (1)'!$F$8:$F$107,"")</f>
        <v>25</v>
      </c>
      <c r="W7" s="32">
        <f>_xlfn.XLOOKUP($C7,'GP2 (2)'!$B$6:$B$99,'GP2 (2)'!$F$6:$F$99,"")</f>
        <v>25</v>
      </c>
      <c r="X7" s="27">
        <f>_xlfn.XLOOKUP($C7,'GP3 (1)'!$B$6:$B$100,'GP3 (1)'!$F$6:$F$100,"")</f>
        <v>20</v>
      </c>
      <c r="Y7" s="28">
        <f>_xlfn.XLOOKUP($C7,'GP3 (2)'!$B$6:$B$100,'GP3 (2)'!$F$6:$F$100,"")</f>
        <v>30</v>
      </c>
      <c r="Z7" s="31">
        <f>_xlfn.XLOOKUP($C7,'GP4 (1)'!$B$6:$B$86,'GP4 (1)'!$F$6:$F$86,"")</f>
        <v>28</v>
      </c>
      <c r="AA7" s="32">
        <f>_xlfn.XLOOKUP($C7,'GP4 (2)'!$B$6:$B$100,'GP4 (2)'!$F$6:$F$100,"")</f>
        <v>23</v>
      </c>
      <c r="AB7" s="27">
        <f>_xlfn.XLOOKUP($C7,'GP5 (1)'!$B$6:$B$100,'GP5 (1)'!$F$6:$F$100,"")</f>
        <v>17</v>
      </c>
      <c r="AC7" s="29">
        <f>_xlfn.XLOOKUP($C7,'GP5 (2)'!$B$6:$B$100,'GP5 (2)'!$F$6:$F$100,"")</f>
        <v>20</v>
      </c>
      <c r="AD7" s="13">
        <f t="shared" si="3"/>
        <v>153</v>
      </c>
      <c r="AE7" s="33">
        <f>_xlfn.XLOOKUP($C7,'MP (1)'!$B$6:$B$100,'MP (1)'!$H$6:$H$100,"")</f>
        <v>18</v>
      </c>
      <c r="AF7" s="32">
        <f>_xlfn.XLOOKUP($C7,'MP (2)'!$B$6:$B$100,'MP (2)'!$H$6:$H$100,"")</f>
        <v>12</v>
      </c>
      <c r="AG7" s="27">
        <f>_xlfn.XLOOKUP($C7,'GP1 (1)'!$B$6:$B$100,'GP1 (1)'!$H$6:$H$100,"")</f>
        <v>16</v>
      </c>
      <c r="AH7" s="28">
        <f>_xlfn.XLOOKUP($C7,'GP1 (2)'!$B$6:$B$100,'GP1 (2)'!$H$6:$H$100,"")</f>
        <v>8</v>
      </c>
      <c r="AI7" s="31">
        <f>_xlfn.XLOOKUP($C7,'GP2 (1)'!$B$8:$B$107,'GP2 (1)'!$H$8:$H$107,"")</f>
        <v>15</v>
      </c>
      <c r="AJ7" s="32">
        <f>_xlfn.XLOOKUP($C7,'GP2 (2)'!$B$6:$B$99,'GP2 (2)'!$H$6:$H$99,"")</f>
        <v>15</v>
      </c>
      <c r="AK7" s="27">
        <f>_xlfn.XLOOKUP($C7,'GP3 (1)'!$B$6:$B$100,'GP3 (1)'!$H$6:$H$100,"")</f>
        <v>14</v>
      </c>
      <c r="AL7" s="28">
        <f>_xlfn.XLOOKUP($C7,'GP3 (2)'!$B$6:$B$100,'GP3 (2)'!$H$6:$H$100,"")</f>
        <v>22</v>
      </c>
      <c r="AM7" s="31">
        <f>_xlfn.XLOOKUP($C7,'GP4 (1)'!$B$6:$B$86,'GP4 (1)'!$H$6:$H$86,"")</f>
        <v>12</v>
      </c>
      <c r="AN7" s="32">
        <f>_xlfn.XLOOKUP($C7,'GP4 (2)'!$B$6:$B$100,'GP4 (2)'!$H$6:$H$100,"")</f>
        <v>13</v>
      </c>
      <c r="AO7" s="27">
        <f>_xlfn.XLOOKUP($C7,'GP5 (1)'!$B$6:$B$100,'GP5 (1)'!$H$6:$H$100,"")</f>
        <v>8</v>
      </c>
      <c r="AP7" s="30">
        <f>_xlfn.XLOOKUP($C7,'GP5 (2)'!$B$6:$B$100,'GP5 (2)'!$H$6:$H$100,"")</f>
        <v>11</v>
      </c>
    </row>
    <row r="8" spans="1:44" ht="15" x14ac:dyDescent="0.25">
      <c r="A8" s="1">
        <f t="shared" si="0"/>
        <v>4</v>
      </c>
      <c r="B8" s="36">
        <v>2</v>
      </c>
      <c r="C8" s="4" t="s">
        <v>19</v>
      </c>
      <c r="D8" s="40">
        <f t="shared" si="1"/>
        <v>8.75</v>
      </c>
      <c r="E8" s="33">
        <f>_xlfn.XLOOKUP($C8,'MP (1)'!$B$6:$B$100,'MP (1)'!$E$6:$E$100,"")</f>
        <v>0.8</v>
      </c>
      <c r="F8" s="32">
        <f>_xlfn.XLOOKUP($C8,'MP (2)'!$B$6:$B$100,'MP (2)'!$E$6:$E$100,"")</f>
        <v>0.8</v>
      </c>
      <c r="G8" s="27">
        <f>_xlfn.XLOOKUP($C8,'GP1 (1)'!$B$6:$B$100,'GP1 (1)'!$E$6:$E$100,"")</f>
        <v>0.83</v>
      </c>
      <c r="H8" s="28">
        <f>_xlfn.XLOOKUP($C8,'GP1 (2)'!$B$6:$B$100,'GP1 (2)'!$E$6:$E$100,"")</f>
        <v>0.8</v>
      </c>
      <c r="I8" s="31">
        <f>_xlfn.XLOOKUP($C8,'GP2 (1)'!$B$6:$B$107,'GP2 (1)'!$E$6:$E$107,"")</f>
        <v>0.4</v>
      </c>
      <c r="J8" s="32">
        <f>_xlfn.XLOOKUP($C8,'GP2 (2)'!$B$6:$B$99,'GP2 (2)'!$E$6:$E$99,"")</f>
        <v>0.8</v>
      </c>
      <c r="K8" s="27">
        <f>_xlfn.XLOOKUP($C8,'GP3 (1)'!$B$6:$B$100,'GP3 (1)'!$E$6:$E$100,"")</f>
        <v>0.75</v>
      </c>
      <c r="L8" s="28">
        <f>_xlfn.XLOOKUP($C8,'GP3 (2)'!$B$6:$B$100,'GP3 (2)'!$E$6:$E$100,"")</f>
        <v>0.67</v>
      </c>
      <c r="M8" s="31">
        <f>_xlfn.XLOOKUP($C8,'GP4 (1)'!$B$6:$B$86,'GP4 (1)'!$E$6:$E$86,"")</f>
        <v>0.8</v>
      </c>
      <c r="N8" s="32">
        <f>_xlfn.XLOOKUP($C8,'GP4 (2)'!$B$6:$B$100,'GP4 (2)'!$E$6:$E$100,"")</f>
        <v>0.6</v>
      </c>
      <c r="O8" s="27">
        <f>_xlfn.XLOOKUP($C8,'GP5 (1)'!$B$6:$B$100,'GP5 (1)'!$E$6:$E$100,"")</f>
        <v>0.75</v>
      </c>
      <c r="P8" s="29">
        <f>_xlfn.XLOOKUP($C8,'GP5 (2)'!$B$6:$B$100,'GP5 (2)'!$E$6:$E$100,"")</f>
        <v>0.75</v>
      </c>
      <c r="Q8" s="13">
        <f t="shared" si="2"/>
        <v>253</v>
      </c>
      <c r="R8" s="33">
        <f>_xlfn.XLOOKUP($C8,'MP (1)'!$B$6:$B$100,'MP (1)'!$F$6:$F$100,"")</f>
        <v>22</v>
      </c>
      <c r="S8" s="32">
        <f>_xlfn.XLOOKUP($C8,'MP (2)'!$B$6:$B$100,'MP (2)'!$F$6:$F$100,"")</f>
        <v>22</v>
      </c>
      <c r="T8" s="27">
        <f>_xlfn.XLOOKUP($C8,'GP1 (1)'!$B$6:$B$100,'GP1 (1)'!$F$6:$F$100,"")</f>
        <v>29</v>
      </c>
      <c r="U8" s="28">
        <f>_xlfn.XLOOKUP($C8,'GP1 (2)'!$B$6:$B$100,'GP1 (2)'!$F$6:$F$100,"")</f>
        <v>24</v>
      </c>
      <c r="V8" s="31">
        <f>_xlfn.XLOOKUP($C8,'GP2 (1)'!$B$8:$B$107,'GP2 (1)'!$F$8:$F$107,"")</f>
        <v>20</v>
      </c>
      <c r="W8" s="32">
        <f>_xlfn.XLOOKUP($C8,'GP2 (2)'!$B$6:$B$99,'GP2 (2)'!$F$6:$F$99,"")</f>
        <v>22</v>
      </c>
      <c r="X8" s="27">
        <f>_xlfn.XLOOKUP($C8,'GP3 (1)'!$B$6:$B$100,'GP3 (1)'!$F$6:$F$100,"")</f>
        <v>16</v>
      </c>
      <c r="Y8" s="28">
        <f>_xlfn.XLOOKUP($C8,'GP3 (2)'!$B$6:$B$100,'GP3 (2)'!$F$6:$F$100,"")</f>
        <v>21</v>
      </c>
      <c r="Z8" s="31">
        <f>_xlfn.XLOOKUP($C8,'GP4 (1)'!$B$6:$B$86,'GP4 (1)'!$F$6:$F$86,"")</f>
        <v>21</v>
      </c>
      <c r="AA8" s="32">
        <f>_xlfn.XLOOKUP($C8,'GP4 (2)'!$B$6:$B$100,'GP4 (2)'!$F$6:$F$100,"")</f>
        <v>21</v>
      </c>
      <c r="AB8" s="27">
        <f>_xlfn.XLOOKUP($C8,'GP5 (1)'!$B$6:$B$100,'GP5 (1)'!$F$6:$F$100,"")</f>
        <v>17</v>
      </c>
      <c r="AC8" s="29">
        <f>_xlfn.XLOOKUP($C8,'GP5 (2)'!$B$6:$B$100,'GP5 (2)'!$F$6:$F$100,"")</f>
        <v>18</v>
      </c>
      <c r="AD8" s="13">
        <f t="shared" si="3"/>
        <v>68</v>
      </c>
      <c r="AE8" s="33">
        <f>_xlfn.XLOOKUP($C8,'MP (1)'!$B$6:$B$100,'MP (1)'!$H$6:$H$100,"")</f>
        <v>14</v>
      </c>
      <c r="AF8" s="32">
        <f>_xlfn.XLOOKUP($C8,'MP (2)'!$B$6:$B$100,'MP (2)'!$H$6:$H$100,"")</f>
        <v>6</v>
      </c>
      <c r="AG8" s="27">
        <f>_xlfn.XLOOKUP($C8,'GP1 (1)'!$B$6:$B$100,'GP1 (1)'!$H$6:$H$100,"")</f>
        <v>11</v>
      </c>
      <c r="AH8" s="28">
        <f>_xlfn.XLOOKUP($C8,'GP1 (2)'!$B$6:$B$100,'GP1 (2)'!$H$6:$H$100,"")</f>
        <v>6</v>
      </c>
      <c r="AI8" s="31">
        <f>_xlfn.XLOOKUP($C8,'GP2 (1)'!$B$8:$B$107,'GP2 (1)'!$H$8:$H$107,"")</f>
        <v>3</v>
      </c>
      <c r="AJ8" s="32">
        <f>_xlfn.XLOOKUP($C8,'GP2 (2)'!$B$6:$B$99,'GP2 (2)'!$H$6:$H$99,"")</f>
        <v>7</v>
      </c>
      <c r="AK8" s="27">
        <f>_xlfn.XLOOKUP($C8,'GP3 (1)'!$B$6:$B$100,'GP3 (1)'!$H$6:$H$100,"")</f>
        <v>5</v>
      </c>
      <c r="AL8" s="28">
        <f>_xlfn.XLOOKUP($C8,'GP3 (2)'!$B$6:$B$100,'GP3 (2)'!$H$6:$H$100,"")</f>
        <v>3</v>
      </c>
      <c r="AM8" s="31">
        <f>_xlfn.XLOOKUP($C8,'GP4 (1)'!$B$6:$B$86,'GP4 (1)'!$H$6:$H$86,"")</f>
        <v>2</v>
      </c>
      <c r="AN8" s="32">
        <f>_xlfn.XLOOKUP($C8,'GP4 (2)'!$B$6:$B$100,'GP4 (2)'!$H$6:$H$100,"")</f>
        <v>5</v>
      </c>
      <c r="AO8" s="27">
        <f>_xlfn.XLOOKUP($C8,'GP5 (1)'!$B$6:$B$100,'GP5 (1)'!$H$6:$H$100,"")</f>
        <v>6</v>
      </c>
      <c r="AP8" s="30">
        <f>_xlfn.XLOOKUP($C8,'GP5 (2)'!$B$6:$B$100,'GP5 (2)'!$H$6:$H$100,"")</f>
        <v>9</v>
      </c>
    </row>
    <row r="9" spans="1:44" ht="15" x14ac:dyDescent="0.25">
      <c r="A9" s="1">
        <f t="shared" si="0"/>
        <v>5</v>
      </c>
      <c r="B9" s="36">
        <v>1</v>
      </c>
      <c r="C9" s="4" t="s">
        <v>23</v>
      </c>
      <c r="D9" s="12">
        <f t="shared" si="1"/>
        <v>8.5599999999999987</v>
      </c>
      <c r="E9" s="33">
        <f>_xlfn.XLOOKUP($C9,'MP (1)'!$B$6:$B$100,'MP (1)'!$E$6:$E$100,"")</f>
        <v>0.83</v>
      </c>
      <c r="F9" s="32">
        <f>_xlfn.XLOOKUP($C9,'MP (2)'!$B$6:$B$100,'MP (2)'!$E$6:$E$100,"")</f>
        <v>1</v>
      </c>
      <c r="G9" s="27">
        <f>_xlfn.XLOOKUP($C9,'GP1 (1)'!$B$6:$B$100,'GP1 (1)'!$E$6:$E$100,"")</f>
        <v>1</v>
      </c>
      <c r="H9" s="28">
        <f>_xlfn.XLOOKUP($C9,'GP1 (2)'!$B$6:$B$100,'GP1 (2)'!$E$6:$E$100,"")</f>
        <v>1</v>
      </c>
      <c r="I9" s="31">
        <f>_xlfn.XLOOKUP($C9,'GP2 (1)'!$B$6:$B$107,'GP2 (1)'!$E$6:$E$107,"")</f>
        <v>0.8</v>
      </c>
      <c r="J9" s="32">
        <f>_xlfn.XLOOKUP($C9,'GP2 (2)'!$B$6:$B$99,'GP2 (2)'!$E$6:$E$99,"")</f>
        <v>0.6</v>
      </c>
      <c r="K9" s="27">
        <f>_xlfn.XLOOKUP($C9,'GP3 (1)'!$B$6:$B$100,'GP3 (1)'!$E$6:$E$100,"")</f>
        <v>0.5</v>
      </c>
      <c r="L9" s="28">
        <f>_xlfn.XLOOKUP($C9,'GP3 (2)'!$B$6:$B$100,'GP3 (2)'!$E$6:$E$100,"")</f>
        <v>0.83</v>
      </c>
      <c r="M9" s="31">
        <f>_xlfn.XLOOKUP($C9,'GP4 (1)'!$B$6:$B$86,'GP4 (1)'!$E$6:$E$86,"")</f>
        <v>1</v>
      </c>
      <c r="N9" s="32">
        <f>_xlfn.XLOOKUP($C9,'GP4 (2)'!$B$6:$B$100,'GP4 (2)'!$E$6:$E$100,"")</f>
        <v>1</v>
      </c>
      <c r="O9" s="27" t="str">
        <f>_xlfn.XLOOKUP($C9,'GP5 (1)'!$B$6:$B$100,'GP5 (1)'!$E$6:$E$100,"")</f>
        <v/>
      </c>
      <c r="P9" s="29" t="str">
        <f>_xlfn.XLOOKUP($C9,'GP5 (2)'!$B$6:$B$100,'GP5 (2)'!$E$6:$E$100,"")</f>
        <v/>
      </c>
      <c r="Q9" s="13">
        <f t="shared" si="2"/>
        <v>251</v>
      </c>
      <c r="R9" s="33">
        <f>_xlfn.XLOOKUP($C9,'MP (1)'!$B$6:$B$100,'MP (1)'!$F$6:$F$100,"")</f>
        <v>28</v>
      </c>
      <c r="S9" s="32">
        <f>_xlfn.XLOOKUP($C9,'MP (2)'!$B$6:$B$100,'MP (2)'!$F$6:$F$100,"")</f>
        <v>25</v>
      </c>
      <c r="T9" s="27">
        <f>_xlfn.XLOOKUP($C9,'GP1 (1)'!$B$6:$B$100,'GP1 (1)'!$F$6:$F$100,"")</f>
        <v>30</v>
      </c>
      <c r="U9" s="28">
        <f>_xlfn.XLOOKUP($C9,'GP1 (2)'!$B$6:$B$100,'GP1 (2)'!$F$6:$F$100,"")</f>
        <v>30</v>
      </c>
      <c r="V9" s="31">
        <f>_xlfn.XLOOKUP($C9,'GP2 (1)'!$B$8:$B$107,'GP2 (1)'!$F$8:$F$107,"")</f>
        <v>24</v>
      </c>
      <c r="W9" s="32">
        <f>_xlfn.XLOOKUP($C9,'GP2 (2)'!$B$6:$B$99,'GP2 (2)'!$F$6:$F$99,"")</f>
        <v>23</v>
      </c>
      <c r="X9" s="27">
        <f>_xlfn.XLOOKUP($C9,'GP3 (1)'!$B$6:$B$100,'GP3 (1)'!$F$6:$F$100,"")</f>
        <v>14</v>
      </c>
      <c r="Y9" s="28">
        <f>_xlfn.XLOOKUP($C9,'GP3 (2)'!$B$6:$B$100,'GP3 (2)'!$F$6:$F$100,"")</f>
        <v>27</v>
      </c>
      <c r="Z9" s="31">
        <f>_xlfn.XLOOKUP($C9,'GP4 (1)'!$B$6:$B$86,'GP4 (1)'!$F$6:$F$86,"")</f>
        <v>25</v>
      </c>
      <c r="AA9" s="32">
        <f>_xlfn.XLOOKUP($C9,'GP4 (2)'!$B$6:$B$100,'GP4 (2)'!$F$6:$F$100,"")</f>
        <v>25</v>
      </c>
      <c r="AB9" s="27" t="str">
        <f>_xlfn.XLOOKUP($C9,'GP5 (1)'!$B$6:$B$100,'GP5 (1)'!$F$6:$F$100,"")</f>
        <v/>
      </c>
      <c r="AC9" s="29" t="str">
        <f>_xlfn.XLOOKUP($C9,'GP5 (2)'!$B$6:$B$100,'GP5 (2)'!$F$6:$F$100,"")</f>
        <v/>
      </c>
      <c r="AD9" s="13">
        <f t="shared" si="3"/>
        <v>155</v>
      </c>
      <c r="AE9" s="33">
        <f>_xlfn.XLOOKUP($C9,'MP (1)'!$B$6:$B$100,'MP (1)'!$H$6:$H$100,"")</f>
        <v>14</v>
      </c>
      <c r="AF9" s="32">
        <f>_xlfn.XLOOKUP($C9,'MP (2)'!$B$6:$B$100,'MP (2)'!$H$6:$H$100,"")</f>
        <v>20</v>
      </c>
      <c r="AG9" s="27">
        <f>_xlfn.XLOOKUP($C9,'GP1 (1)'!$B$6:$B$100,'GP1 (1)'!$H$6:$H$100,"")</f>
        <v>18</v>
      </c>
      <c r="AH9" s="28">
        <f>_xlfn.XLOOKUP($C9,'GP1 (2)'!$B$6:$B$100,'GP1 (2)'!$H$6:$H$100,"")</f>
        <v>20</v>
      </c>
      <c r="AI9" s="31">
        <f>_xlfn.XLOOKUP($C9,'GP2 (1)'!$B$8:$B$107,'GP2 (1)'!$H$8:$H$107,"")</f>
        <v>11</v>
      </c>
      <c r="AJ9" s="32">
        <f>_xlfn.XLOOKUP($C9,'GP2 (2)'!$B$6:$B$99,'GP2 (2)'!$H$6:$H$99,"")</f>
        <v>8</v>
      </c>
      <c r="AK9" s="27">
        <f>_xlfn.XLOOKUP($C9,'GP3 (1)'!$B$6:$B$100,'GP3 (1)'!$H$6:$H$100,"")</f>
        <v>2</v>
      </c>
      <c r="AL9" s="28">
        <f>_xlfn.XLOOKUP($C9,'GP3 (2)'!$B$6:$B$100,'GP3 (2)'!$H$6:$H$100,"")</f>
        <v>20</v>
      </c>
      <c r="AM9" s="31">
        <f>_xlfn.XLOOKUP($C9,'GP4 (1)'!$B$6:$B$86,'GP4 (1)'!$H$6:$H$86,"")</f>
        <v>23</v>
      </c>
      <c r="AN9" s="32">
        <f>_xlfn.XLOOKUP($C9,'GP4 (2)'!$B$6:$B$100,'GP4 (2)'!$H$6:$H$100,"")</f>
        <v>19</v>
      </c>
      <c r="AO9" s="27" t="str">
        <f>_xlfn.XLOOKUP($C9,'GP5 (1)'!$B$6:$B$100,'GP5 (1)'!$H$6:$H$100,"")</f>
        <v/>
      </c>
      <c r="AP9" s="30" t="str">
        <f>_xlfn.XLOOKUP($C9,'GP5 (2)'!$B$6:$B$100,'GP5 (2)'!$H$6:$H$100,"")</f>
        <v/>
      </c>
    </row>
    <row r="10" spans="1:44" ht="15" x14ac:dyDescent="0.25">
      <c r="A10" s="1">
        <f t="shared" si="0"/>
        <v>6</v>
      </c>
      <c r="B10" s="36">
        <v>1</v>
      </c>
      <c r="C10" s="4" t="s">
        <v>16</v>
      </c>
      <c r="D10" s="12">
        <f t="shared" si="1"/>
        <v>7.8</v>
      </c>
      <c r="E10" s="33">
        <f>_xlfn.XLOOKUP($C10,'MP (1)'!$B$6:$B$100,'MP (1)'!$E$6:$E$100,"")</f>
        <v>0.8</v>
      </c>
      <c r="F10" s="32">
        <f>_xlfn.XLOOKUP($C10,'MP (2)'!$B$6:$B$100,'MP (2)'!$E$6:$E$100,"")</f>
        <v>1</v>
      </c>
      <c r="G10" s="27">
        <f>_xlfn.XLOOKUP($C10,'GP1 (1)'!$B$6:$B$100,'GP1 (1)'!$E$6:$E$100,"")</f>
        <v>1</v>
      </c>
      <c r="H10" s="28">
        <f>_xlfn.XLOOKUP($C10,'GP1 (2)'!$B$6:$B$100,'GP1 (2)'!$E$6:$E$100,"")</f>
        <v>1</v>
      </c>
      <c r="I10" s="31">
        <f>_xlfn.XLOOKUP($C10,'GP2 (1)'!$B$6:$B$107,'GP2 (1)'!$E$6:$E$107,"")</f>
        <v>1</v>
      </c>
      <c r="J10" s="32">
        <f>_xlfn.XLOOKUP($C10,'GP2 (2)'!$B$6:$B$99,'GP2 (2)'!$E$6:$E$99,"")</f>
        <v>1</v>
      </c>
      <c r="K10" s="27" t="str">
        <f>_xlfn.XLOOKUP($C10,'GP3 (1)'!$B$6:$B$100,'GP3 (1)'!$E$6:$E$100,"")</f>
        <v/>
      </c>
      <c r="L10" s="28" t="str">
        <f>_xlfn.XLOOKUP($C10,'GP3 (2)'!$B$6:$B$100,'GP3 (2)'!$E$6:$E$100,"")</f>
        <v/>
      </c>
      <c r="M10" s="31">
        <f>_xlfn.XLOOKUP($C10,'GP4 (1)'!$B$6:$B$86,'GP4 (1)'!$E$6:$E$86,"")</f>
        <v>1</v>
      </c>
      <c r="N10" s="32">
        <f>_xlfn.XLOOKUP($C10,'GP4 (2)'!$B$6:$B$100,'GP4 (2)'!$E$6:$E$100,"")</f>
        <v>1</v>
      </c>
      <c r="O10" s="27" t="str">
        <f>_xlfn.XLOOKUP($C10,'GP5 (1)'!$B$6:$B$100,'GP5 (1)'!$E$6:$E$100,"")</f>
        <v/>
      </c>
      <c r="P10" s="29" t="str">
        <f>_xlfn.XLOOKUP($C10,'GP5 (2)'!$B$6:$B$100,'GP5 (2)'!$E$6:$E$100,"")</f>
        <v/>
      </c>
      <c r="Q10" s="13">
        <f t="shared" si="2"/>
        <v>204</v>
      </c>
      <c r="R10" s="33">
        <f>_xlfn.XLOOKUP($C10,'MP (1)'!$B$6:$B$100,'MP (1)'!$F$6:$F$100,"")</f>
        <v>24</v>
      </c>
      <c r="S10" s="32">
        <f>_xlfn.XLOOKUP($C10,'MP (2)'!$B$6:$B$100,'MP (2)'!$F$6:$F$100,"")</f>
        <v>25</v>
      </c>
      <c r="T10" s="27">
        <f>_xlfn.XLOOKUP($C10,'GP1 (1)'!$B$6:$B$100,'GP1 (1)'!$F$6:$F$100,"")</f>
        <v>25</v>
      </c>
      <c r="U10" s="28">
        <f>_xlfn.XLOOKUP($C10,'GP1 (2)'!$B$6:$B$100,'GP1 (2)'!$F$6:$F$100,"")</f>
        <v>30</v>
      </c>
      <c r="V10" s="31">
        <f>_xlfn.XLOOKUP($C10,'GP2 (1)'!$B$8:$B$107,'GP2 (1)'!$F$8:$F$107,"")</f>
        <v>25</v>
      </c>
      <c r="W10" s="32">
        <f>_xlfn.XLOOKUP($C10,'GP2 (2)'!$B$6:$B$99,'GP2 (2)'!$F$6:$F$99,"")</f>
        <v>25</v>
      </c>
      <c r="X10" s="27" t="str">
        <f>_xlfn.XLOOKUP($C10,'GP3 (1)'!$B$6:$B$100,'GP3 (1)'!$F$6:$F$100,"")</f>
        <v/>
      </c>
      <c r="Y10" s="28" t="str">
        <f>_xlfn.XLOOKUP($C10,'GP3 (2)'!$B$6:$B$100,'GP3 (2)'!$F$6:$F$100,"")</f>
        <v/>
      </c>
      <c r="Z10" s="31">
        <f>_xlfn.XLOOKUP($C10,'GP4 (1)'!$B$6:$B$86,'GP4 (1)'!$F$6:$F$86,"")</f>
        <v>25</v>
      </c>
      <c r="AA10" s="32">
        <f>_xlfn.XLOOKUP($C10,'GP4 (2)'!$B$6:$B$100,'GP4 (2)'!$F$6:$F$100,"")</f>
        <v>25</v>
      </c>
      <c r="AB10" s="27" t="str">
        <f>_xlfn.XLOOKUP($C10,'GP5 (1)'!$B$6:$B$100,'GP5 (1)'!$F$6:$F$100,"")</f>
        <v/>
      </c>
      <c r="AC10" s="29" t="str">
        <f>_xlfn.XLOOKUP($C10,'GP5 (2)'!$B$6:$B$100,'GP5 (2)'!$F$6:$F$100,"")</f>
        <v/>
      </c>
      <c r="AD10" s="13">
        <f t="shared" si="3"/>
        <v>149</v>
      </c>
      <c r="AE10" s="33">
        <f>_xlfn.XLOOKUP($C10,'MP (1)'!$B$6:$B$100,'MP (1)'!$H$6:$H$100,"")</f>
        <v>14</v>
      </c>
      <c r="AF10" s="32">
        <f>_xlfn.XLOOKUP($C10,'MP (2)'!$B$6:$B$100,'MP (2)'!$H$6:$H$100,"")</f>
        <v>21</v>
      </c>
      <c r="AG10" s="27">
        <f>_xlfn.XLOOKUP($C10,'GP1 (1)'!$B$6:$B$100,'GP1 (1)'!$H$6:$H$100,"")</f>
        <v>21</v>
      </c>
      <c r="AH10" s="28">
        <f>_xlfn.XLOOKUP($C10,'GP1 (2)'!$B$6:$B$100,'GP1 (2)'!$H$6:$H$100,"")</f>
        <v>24</v>
      </c>
      <c r="AI10" s="31">
        <f>_xlfn.XLOOKUP($C10,'GP2 (1)'!$B$8:$B$107,'GP2 (1)'!$H$8:$H$107,"")</f>
        <v>12</v>
      </c>
      <c r="AJ10" s="32">
        <f>_xlfn.XLOOKUP($C10,'GP2 (2)'!$B$6:$B$99,'GP2 (2)'!$H$6:$H$99,"")</f>
        <v>19</v>
      </c>
      <c r="AK10" s="27" t="str">
        <f>_xlfn.XLOOKUP($C10,'GP3 (1)'!$B$6:$B$100,'GP3 (1)'!$H$6:$H$100,"")</f>
        <v/>
      </c>
      <c r="AL10" s="28" t="str">
        <f>_xlfn.XLOOKUP($C10,'GP3 (2)'!$B$6:$B$100,'GP3 (2)'!$H$6:$H$100,"")</f>
        <v/>
      </c>
      <c r="AM10" s="31">
        <f>_xlfn.XLOOKUP($C10,'GP4 (1)'!$B$6:$B$86,'GP4 (1)'!$H$6:$H$86,"")</f>
        <v>23</v>
      </c>
      <c r="AN10" s="32">
        <f>_xlfn.XLOOKUP($C10,'GP4 (2)'!$B$6:$B$100,'GP4 (2)'!$H$6:$H$100,"")</f>
        <v>15</v>
      </c>
      <c r="AO10" s="27" t="str">
        <f>_xlfn.XLOOKUP($C10,'GP5 (1)'!$B$6:$B$100,'GP5 (1)'!$H$6:$H$100,"")</f>
        <v/>
      </c>
      <c r="AP10" s="30" t="str">
        <f>_xlfn.XLOOKUP($C10,'GP5 (2)'!$B$6:$B$100,'GP5 (2)'!$H$6:$H$100,"")</f>
        <v/>
      </c>
    </row>
    <row r="11" spans="1:44" ht="15" x14ac:dyDescent="0.25">
      <c r="A11" s="1">
        <f t="shared" si="0"/>
        <v>7</v>
      </c>
      <c r="B11" s="36">
        <v>1</v>
      </c>
      <c r="C11" s="4" t="s">
        <v>18</v>
      </c>
      <c r="D11" s="40">
        <f t="shared" si="1"/>
        <v>6.85</v>
      </c>
      <c r="E11" s="33">
        <f>_xlfn.XLOOKUP($C11,'MP (1)'!$B$6:$B$100,'MP (1)'!$E$6:$E$100,"")</f>
        <v>1</v>
      </c>
      <c r="F11" s="32">
        <f>_xlfn.XLOOKUP($C11,'MP (2)'!$B$6:$B$100,'MP (2)'!$E$6:$E$100,"")</f>
        <v>1</v>
      </c>
      <c r="G11" s="27">
        <f>_xlfn.XLOOKUP($C11,'GP1 (1)'!$B$6:$B$100,'GP1 (1)'!$E$6:$E$100,"")</f>
        <v>0.8</v>
      </c>
      <c r="H11" s="28">
        <f>_xlfn.XLOOKUP($C11,'GP1 (2)'!$B$6:$B$100,'GP1 (2)'!$E$6:$E$100,"")</f>
        <v>0.83</v>
      </c>
      <c r="I11" s="31" t="str">
        <f>_xlfn.XLOOKUP($C11,'GP2 (1)'!$B$6:$B$107,'GP2 (1)'!$E$6:$E$107,"")</f>
        <v/>
      </c>
      <c r="J11" s="32" t="str">
        <f>_xlfn.XLOOKUP($C11,'GP2 (2)'!$B$6:$B$99,'GP2 (2)'!$E$6:$E$99,"")</f>
        <v/>
      </c>
      <c r="K11" s="27">
        <f>_xlfn.XLOOKUP($C11,'GP3 (1)'!$B$6:$B$100,'GP3 (1)'!$E$6:$E$100,"")</f>
        <v>0.75</v>
      </c>
      <c r="L11" s="28">
        <f>_xlfn.XLOOKUP($C11,'GP3 (2)'!$B$6:$B$100,'GP3 (2)'!$E$6:$E$100,"")</f>
        <v>1</v>
      </c>
      <c r="M11" s="31">
        <f>_xlfn.XLOOKUP($C11,'GP4 (1)'!$B$6:$B$86,'GP4 (1)'!$E$6:$E$86,"")</f>
        <v>0.67</v>
      </c>
      <c r="N11" s="32">
        <f>_xlfn.XLOOKUP($C11,'GP4 (2)'!$B$6:$B$100,'GP4 (2)'!$E$6:$E$100,"")</f>
        <v>0.8</v>
      </c>
      <c r="O11" s="27" t="str">
        <f>_xlfn.XLOOKUP($C11,'GP5 (1)'!$B$6:$B$100,'GP5 (1)'!$E$6:$E$100,"")</f>
        <v/>
      </c>
      <c r="P11" s="29" t="str">
        <f>_xlfn.XLOOKUP($C11,'GP5 (2)'!$B$6:$B$100,'GP5 (2)'!$E$6:$E$100,"")</f>
        <v/>
      </c>
      <c r="Q11" s="13">
        <f t="shared" si="2"/>
        <v>190</v>
      </c>
      <c r="R11" s="33">
        <f>_xlfn.XLOOKUP($C11,'MP (1)'!$B$6:$B$100,'MP (1)'!$F$6:$F$100,"")</f>
        <v>25</v>
      </c>
      <c r="S11" s="32">
        <f>_xlfn.XLOOKUP($C11,'MP (2)'!$B$6:$B$100,'MP (2)'!$F$6:$F$100,"")</f>
        <v>25</v>
      </c>
      <c r="T11" s="27">
        <f>_xlfn.XLOOKUP($C11,'GP1 (1)'!$B$6:$B$100,'GP1 (1)'!$F$6:$F$100,"")</f>
        <v>21</v>
      </c>
      <c r="U11" s="28">
        <f>_xlfn.XLOOKUP($C11,'GP1 (2)'!$B$6:$B$100,'GP1 (2)'!$F$6:$F$100,"")</f>
        <v>26</v>
      </c>
      <c r="V11" s="31" t="str">
        <f>_xlfn.XLOOKUP($C11,'GP2 (1)'!$B$8:$B$107,'GP2 (1)'!$F$8:$F$107,"")</f>
        <v/>
      </c>
      <c r="W11" s="32" t="str">
        <f>_xlfn.XLOOKUP($C11,'GP2 (2)'!$B$6:$B$99,'GP2 (2)'!$F$6:$F$99,"")</f>
        <v/>
      </c>
      <c r="X11" s="27">
        <f>_xlfn.XLOOKUP($C11,'GP3 (1)'!$B$6:$B$100,'GP3 (1)'!$F$6:$F$100,"")</f>
        <v>18</v>
      </c>
      <c r="Y11" s="28">
        <f>_xlfn.XLOOKUP($C11,'GP3 (2)'!$B$6:$B$100,'GP3 (2)'!$F$6:$F$100,"")</f>
        <v>30</v>
      </c>
      <c r="Z11" s="31">
        <f>_xlfn.XLOOKUP($C11,'GP4 (1)'!$B$6:$B$86,'GP4 (1)'!$F$6:$F$86,"")</f>
        <v>24</v>
      </c>
      <c r="AA11" s="32">
        <f>_xlfn.XLOOKUP($C11,'GP4 (2)'!$B$6:$B$100,'GP4 (2)'!$F$6:$F$100,"")</f>
        <v>21</v>
      </c>
      <c r="AB11" s="27" t="str">
        <f>_xlfn.XLOOKUP($C11,'GP5 (1)'!$B$6:$B$100,'GP5 (1)'!$F$6:$F$100,"")</f>
        <v/>
      </c>
      <c r="AC11" s="29" t="str">
        <f>_xlfn.XLOOKUP($C11,'GP5 (2)'!$B$6:$B$100,'GP5 (2)'!$F$6:$F$100,"")</f>
        <v/>
      </c>
      <c r="AD11" s="13">
        <f t="shared" si="3"/>
        <v>96</v>
      </c>
      <c r="AE11" s="33">
        <f>_xlfn.XLOOKUP($C11,'MP (1)'!$B$6:$B$100,'MP (1)'!$H$6:$H$100,"")</f>
        <v>16</v>
      </c>
      <c r="AF11" s="32">
        <f>_xlfn.XLOOKUP($C11,'MP (2)'!$B$6:$B$100,'MP (2)'!$H$6:$H$100,"")</f>
        <v>16</v>
      </c>
      <c r="AG11" s="27">
        <f>_xlfn.XLOOKUP($C11,'GP1 (1)'!$B$6:$B$100,'GP1 (1)'!$H$6:$H$100,"")</f>
        <v>6</v>
      </c>
      <c r="AH11" s="28">
        <f>_xlfn.XLOOKUP($C11,'GP1 (2)'!$B$6:$B$100,'GP1 (2)'!$H$6:$H$100,"")</f>
        <v>15</v>
      </c>
      <c r="AI11" s="31" t="str">
        <f>_xlfn.XLOOKUP($C11,'GP2 (1)'!$B$8:$B$107,'GP2 (1)'!$H$8:$H$107,"")</f>
        <v/>
      </c>
      <c r="AJ11" s="32" t="str">
        <f>_xlfn.XLOOKUP($C11,'GP2 (2)'!$B$6:$B$99,'GP2 (2)'!$H$6:$H$99,"")</f>
        <v/>
      </c>
      <c r="AK11" s="27">
        <f>_xlfn.XLOOKUP($C11,'GP3 (1)'!$B$6:$B$100,'GP3 (1)'!$H$6:$H$100,"")</f>
        <v>7</v>
      </c>
      <c r="AL11" s="28">
        <f>_xlfn.XLOOKUP($C11,'GP3 (2)'!$B$6:$B$100,'GP3 (2)'!$H$6:$H$100,"")</f>
        <v>23</v>
      </c>
      <c r="AM11" s="31">
        <f>_xlfn.XLOOKUP($C11,'GP4 (1)'!$B$6:$B$86,'GP4 (1)'!$H$6:$H$86,"")</f>
        <v>4</v>
      </c>
      <c r="AN11" s="32">
        <f>_xlfn.XLOOKUP($C11,'GP4 (2)'!$B$6:$B$100,'GP4 (2)'!$H$6:$H$100,"")</f>
        <v>9</v>
      </c>
      <c r="AO11" s="27" t="str">
        <f>_xlfn.XLOOKUP($C11,'GP5 (1)'!$B$6:$B$100,'GP5 (1)'!$H$6:$H$100,"")</f>
        <v/>
      </c>
      <c r="AP11" s="30" t="str">
        <f>_xlfn.XLOOKUP($C11,'GP5 (2)'!$B$6:$B$100,'GP5 (2)'!$H$6:$H$100,"")</f>
        <v/>
      </c>
    </row>
    <row r="12" spans="1:44" ht="15" x14ac:dyDescent="0.25">
      <c r="A12" s="1">
        <f t="shared" si="0"/>
        <v>8</v>
      </c>
      <c r="B12" s="36">
        <v>0</v>
      </c>
      <c r="C12" s="4" t="s">
        <v>21</v>
      </c>
      <c r="D12" s="40">
        <f t="shared" si="1"/>
        <v>6.63</v>
      </c>
      <c r="E12" s="33">
        <f>_xlfn.XLOOKUP($C12,'MP (1)'!$B$6:$B$100,'MP (1)'!$E$6:$E$100,"")</f>
        <v>0.4</v>
      </c>
      <c r="F12" s="32">
        <f>_xlfn.XLOOKUP($C12,'MP (2)'!$B$6:$B$100,'MP (2)'!$E$6:$E$100,"")</f>
        <v>1</v>
      </c>
      <c r="G12" s="27" t="str">
        <f>_xlfn.XLOOKUP($C12,'GP1 (1)'!$B$6:$B$100,'GP1 (1)'!$E$6:$E$100,"")</f>
        <v/>
      </c>
      <c r="H12" s="28" t="str">
        <f>_xlfn.XLOOKUP($C12,'GP1 (2)'!$B$6:$B$100,'GP1 (2)'!$E$6:$E$100,"")</f>
        <v/>
      </c>
      <c r="I12" s="31">
        <f>_xlfn.XLOOKUP($C12,'GP2 (1)'!$B$6:$B$107,'GP2 (1)'!$E$6:$E$107,"")</f>
        <v>1</v>
      </c>
      <c r="J12" s="32">
        <f>_xlfn.XLOOKUP($C12,'GP2 (2)'!$B$6:$B$99,'GP2 (2)'!$E$6:$E$99,"")</f>
        <v>1</v>
      </c>
      <c r="K12" s="27">
        <f>_xlfn.XLOOKUP($C12,'GP3 (1)'!$B$6:$B$100,'GP3 (1)'!$E$6:$E$100,"")</f>
        <v>0.8</v>
      </c>
      <c r="L12" s="28">
        <f>_xlfn.XLOOKUP($C12,'GP3 (2)'!$B$6:$B$100,'GP3 (2)'!$E$6:$E$100,"")</f>
        <v>0.83</v>
      </c>
      <c r="M12" s="31">
        <f>_xlfn.XLOOKUP($C12,'GP4 (1)'!$B$6:$B$86,'GP4 (1)'!$E$6:$E$86,"")</f>
        <v>0.8</v>
      </c>
      <c r="N12" s="32">
        <f>_xlfn.XLOOKUP($C12,'GP4 (2)'!$B$6:$B$100,'GP4 (2)'!$E$6:$E$100,"")</f>
        <v>0.8</v>
      </c>
      <c r="O12" s="27" t="str">
        <f>_xlfn.XLOOKUP($C12,'GP5 (1)'!$B$6:$B$100,'GP5 (1)'!$E$6:$E$100,"")</f>
        <v/>
      </c>
      <c r="P12" s="29" t="str">
        <f>_xlfn.XLOOKUP($C12,'GP5 (2)'!$B$6:$B$100,'GP5 (2)'!$E$6:$E$100,"")</f>
        <v/>
      </c>
      <c r="Q12" s="13">
        <f t="shared" si="2"/>
        <v>190</v>
      </c>
      <c r="R12" s="33">
        <f>_xlfn.XLOOKUP($C12,'MP (1)'!$B$6:$B$100,'MP (1)'!$F$6:$F$100,"")</f>
        <v>18</v>
      </c>
      <c r="S12" s="32">
        <f>_xlfn.XLOOKUP($C12,'MP (2)'!$B$6:$B$100,'MP (2)'!$F$6:$F$100,"")</f>
        <v>25</v>
      </c>
      <c r="T12" s="27" t="str">
        <f>_xlfn.XLOOKUP($C12,'GP1 (1)'!$B$6:$B$100,'GP1 (1)'!$F$6:$F$100,"")</f>
        <v/>
      </c>
      <c r="U12" s="28" t="str">
        <f>_xlfn.XLOOKUP($C12,'GP1 (2)'!$B$6:$B$100,'GP1 (2)'!$F$6:$F$100,"")</f>
        <v/>
      </c>
      <c r="V12" s="31">
        <f>_xlfn.XLOOKUP($C12,'GP2 (1)'!$B$8:$B$107,'GP2 (1)'!$F$8:$F$107,"")</f>
        <v>25</v>
      </c>
      <c r="W12" s="32">
        <f>_xlfn.XLOOKUP($C12,'GP2 (2)'!$B$6:$B$99,'GP2 (2)'!$F$6:$F$99,"")</f>
        <v>25</v>
      </c>
      <c r="X12" s="27">
        <f>_xlfn.XLOOKUP($C12,'GP3 (1)'!$B$6:$B$100,'GP3 (1)'!$F$6:$F$100,"")</f>
        <v>22</v>
      </c>
      <c r="Y12" s="28">
        <f>_xlfn.XLOOKUP($C12,'GP3 (2)'!$B$6:$B$100,'GP3 (2)'!$F$6:$F$100,"")</f>
        <v>28</v>
      </c>
      <c r="Z12" s="31">
        <f>_xlfn.XLOOKUP($C12,'GP4 (1)'!$B$6:$B$86,'GP4 (1)'!$F$6:$F$86,"")</f>
        <v>24</v>
      </c>
      <c r="AA12" s="32">
        <f>_xlfn.XLOOKUP($C12,'GP4 (2)'!$B$6:$B$100,'GP4 (2)'!$F$6:$F$100,"")</f>
        <v>23</v>
      </c>
      <c r="AB12" s="27" t="str">
        <f>_xlfn.XLOOKUP($C12,'GP5 (1)'!$B$6:$B$100,'GP5 (1)'!$F$6:$F$100,"")</f>
        <v/>
      </c>
      <c r="AC12" s="29" t="str">
        <f>_xlfn.XLOOKUP($C12,'GP5 (2)'!$B$6:$B$100,'GP5 (2)'!$F$6:$F$100,"")</f>
        <v/>
      </c>
      <c r="AD12" s="13">
        <f t="shared" si="3"/>
        <v>94</v>
      </c>
      <c r="AE12" s="33">
        <f>_xlfn.XLOOKUP($C12,'MP (1)'!$B$6:$B$100,'MP (1)'!$H$6:$H$100,"")</f>
        <v>-1</v>
      </c>
      <c r="AF12" s="32">
        <f>_xlfn.XLOOKUP($C12,'MP (2)'!$B$6:$B$100,'MP (2)'!$H$6:$H$100,"")</f>
        <v>16</v>
      </c>
      <c r="AG12" s="27" t="str">
        <f>_xlfn.XLOOKUP($C12,'GP1 (1)'!$B$6:$B$100,'GP1 (1)'!$H$6:$H$100,"")</f>
        <v/>
      </c>
      <c r="AH12" s="28" t="str">
        <f>_xlfn.XLOOKUP($C12,'GP1 (2)'!$B$6:$B$100,'GP1 (2)'!$H$6:$H$100,"")</f>
        <v/>
      </c>
      <c r="AI12" s="31">
        <f>_xlfn.XLOOKUP($C12,'GP2 (1)'!$B$8:$B$107,'GP2 (1)'!$H$8:$H$107,"")</f>
        <v>16</v>
      </c>
      <c r="AJ12" s="32">
        <f>_xlfn.XLOOKUP($C12,'GP2 (2)'!$B$6:$B$99,'GP2 (2)'!$H$6:$H$99,"")</f>
        <v>17</v>
      </c>
      <c r="AK12" s="27">
        <f>_xlfn.XLOOKUP($C12,'GP3 (1)'!$B$6:$B$100,'GP3 (1)'!$H$6:$H$100,"")</f>
        <v>11</v>
      </c>
      <c r="AL12" s="28">
        <f>_xlfn.XLOOKUP($C12,'GP3 (2)'!$B$6:$B$100,'GP3 (2)'!$H$6:$H$100,"")</f>
        <v>7</v>
      </c>
      <c r="AM12" s="31">
        <f>_xlfn.XLOOKUP($C12,'GP4 (1)'!$B$6:$B$86,'GP4 (1)'!$H$6:$H$86,"")</f>
        <v>13</v>
      </c>
      <c r="AN12" s="32">
        <f>_xlfn.XLOOKUP($C12,'GP4 (2)'!$B$6:$B$100,'GP4 (2)'!$H$6:$H$100,"")</f>
        <v>15</v>
      </c>
      <c r="AO12" s="27" t="str">
        <f>_xlfn.XLOOKUP($C12,'GP5 (1)'!$B$6:$B$100,'GP5 (1)'!$H$6:$H$100,"")</f>
        <v/>
      </c>
      <c r="AP12" s="30" t="str">
        <f>_xlfn.XLOOKUP($C12,'GP5 (2)'!$B$6:$B$100,'GP5 (2)'!$H$6:$H$100,"")</f>
        <v/>
      </c>
    </row>
    <row r="13" spans="1:44" ht="15" x14ac:dyDescent="0.25">
      <c r="A13" s="1">
        <f t="shared" si="0"/>
        <v>9</v>
      </c>
      <c r="B13" s="36">
        <v>2</v>
      </c>
      <c r="C13" s="4" t="s">
        <v>22</v>
      </c>
      <c r="D13" s="40">
        <f t="shared" si="1"/>
        <v>6.1</v>
      </c>
      <c r="E13" s="33">
        <f>_xlfn.XLOOKUP($C13,'MP (1)'!$B$6:$B$100,'MP (1)'!$E$6:$E$100,"")</f>
        <v>0.6</v>
      </c>
      <c r="F13" s="32">
        <f>_xlfn.XLOOKUP($C13,'MP (2)'!$B$6:$B$100,'MP (2)'!$E$6:$E$100,"")</f>
        <v>0.8</v>
      </c>
      <c r="G13" s="27" t="str">
        <f>_xlfn.XLOOKUP($C13,'GP1 (1)'!$B$6:$B$100,'GP1 (1)'!$E$6:$E$100,"")</f>
        <v/>
      </c>
      <c r="H13" s="28" t="str">
        <f>_xlfn.XLOOKUP($C13,'GP1 (2)'!$B$6:$B$100,'GP1 (2)'!$E$6:$E$100,"")</f>
        <v/>
      </c>
      <c r="I13" s="31">
        <f>_xlfn.XLOOKUP($C13,'GP2 (1)'!$B$6:$B$107,'GP2 (1)'!$E$6:$E$107,"")</f>
        <v>0.8</v>
      </c>
      <c r="J13" s="32">
        <f>_xlfn.XLOOKUP($C13,'GP2 (2)'!$B$6:$B$99,'GP2 (2)'!$E$6:$E$99,"")</f>
        <v>0.8</v>
      </c>
      <c r="K13" s="27" t="str">
        <f>_xlfn.XLOOKUP($C13,'GP3 (1)'!$B$6:$B$100,'GP3 (1)'!$E$6:$E$100,"")</f>
        <v/>
      </c>
      <c r="L13" s="28" t="str">
        <f>_xlfn.XLOOKUP($C13,'GP3 (2)'!$B$6:$B$100,'GP3 (2)'!$E$6:$E$100,"")</f>
        <v/>
      </c>
      <c r="M13" s="31">
        <f>_xlfn.XLOOKUP($C13,'GP4 (1)'!$B$6:$B$86,'GP4 (1)'!$E$6:$E$86,"")</f>
        <v>0.8</v>
      </c>
      <c r="N13" s="32">
        <f>_xlfn.XLOOKUP($C13,'GP4 (2)'!$B$6:$B$100,'GP4 (2)'!$E$6:$E$100,"")</f>
        <v>0.8</v>
      </c>
      <c r="O13" s="27">
        <f>_xlfn.XLOOKUP($C13,'GP5 (1)'!$B$6:$B$100,'GP5 (1)'!$E$6:$E$100,"")</f>
        <v>0.75</v>
      </c>
      <c r="P13" s="29">
        <f>_xlfn.XLOOKUP($C13,'GP5 (2)'!$B$6:$B$100,'GP5 (2)'!$E$6:$E$100,"")</f>
        <v>0.75</v>
      </c>
      <c r="Q13" s="13">
        <f t="shared" si="2"/>
        <v>173</v>
      </c>
      <c r="R13" s="33">
        <f>_xlfn.XLOOKUP($C13,'MP (1)'!$B$6:$B$100,'MP (1)'!$F$6:$F$100,"")</f>
        <v>23</v>
      </c>
      <c r="S13" s="32">
        <f>_xlfn.XLOOKUP($C13,'MP (2)'!$B$6:$B$100,'MP (2)'!$F$6:$F$100,"")</f>
        <v>22</v>
      </c>
      <c r="T13" s="27" t="str">
        <f>_xlfn.XLOOKUP($C13,'GP1 (1)'!$B$6:$B$100,'GP1 (1)'!$F$6:$F$100,"")</f>
        <v/>
      </c>
      <c r="U13" s="28" t="str">
        <f>_xlfn.XLOOKUP($C13,'GP1 (2)'!$B$6:$B$100,'GP1 (2)'!$F$6:$F$100,"")</f>
        <v/>
      </c>
      <c r="V13" s="31">
        <f>_xlfn.XLOOKUP($C13,'GP2 (1)'!$B$8:$B$107,'GP2 (1)'!$F$8:$F$107,"")</f>
        <v>22</v>
      </c>
      <c r="W13" s="32">
        <f>_xlfn.XLOOKUP($C13,'GP2 (2)'!$B$6:$B$99,'GP2 (2)'!$F$6:$F$99,"")</f>
        <v>24</v>
      </c>
      <c r="X13" s="27" t="str">
        <f>_xlfn.XLOOKUP($C13,'GP3 (1)'!$B$6:$B$100,'GP3 (1)'!$F$6:$F$100,"")</f>
        <v/>
      </c>
      <c r="Y13" s="28" t="str">
        <f>_xlfn.XLOOKUP($C13,'GP3 (2)'!$B$6:$B$100,'GP3 (2)'!$F$6:$F$100,"")</f>
        <v/>
      </c>
      <c r="Z13" s="31">
        <f>_xlfn.XLOOKUP($C13,'GP4 (1)'!$B$6:$B$86,'GP4 (1)'!$F$6:$F$86,"")</f>
        <v>24</v>
      </c>
      <c r="AA13" s="32">
        <f>_xlfn.XLOOKUP($C13,'GP4 (2)'!$B$6:$B$100,'GP4 (2)'!$F$6:$F$100,"")</f>
        <v>24</v>
      </c>
      <c r="AB13" s="27">
        <f>_xlfn.XLOOKUP($C13,'GP5 (1)'!$B$6:$B$100,'GP5 (1)'!$F$6:$F$100,"")</f>
        <v>18</v>
      </c>
      <c r="AC13" s="29">
        <f>_xlfn.XLOOKUP($C13,'GP5 (2)'!$B$6:$B$100,'GP5 (2)'!$F$6:$F$100,"")</f>
        <v>16</v>
      </c>
      <c r="AD13" s="13">
        <f t="shared" si="3"/>
        <v>57</v>
      </c>
      <c r="AE13" s="33">
        <f>_xlfn.XLOOKUP($C13,'MP (1)'!$B$6:$B$100,'MP (1)'!$H$6:$H$100,"")</f>
        <v>7</v>
      </c>
      <c r="AF13" s="32">
        <f>_xlfn.XLOOKUP($C13,'MP (2)'!$B$6:$B$100,'MP (2)'!$H$6:$H$100,"")</f>
        <v>11</v>
      </c>
      <c r="AG13" s="27" t="str">
        <f>_xlfn.XLOOKUP($C13,'GP1 (1)'!$B$6:$B$100,'GP1 (1)'!$H$6:$H$100,"")</f>
        <v/>
      </c>
      <c r="AH13" s="28" t="str">
        <f>_xlfn.XLOOKUP($C13,'GP1 (2)'!$B$6:$B$100,'GP1 (2)'!$H$6:$H$100,"")</f>
        <v/>
      </c>
      <c r="AI13" s="31">
        <f>_xlfn.XLOOKUP($C13,'GP2 (1)'!$B$8:$B$107,'GP2 (1)'!$H$8:$H$107,"")</f>
        <v>6</v>
      </c>
      <c r="AJ13" s="32">
        <f>_xlfn.XLOOKUP($C13,'GP2 (2)'!$B$6:$B$99,'GP2 (2)'!$H$6:$H$99,"")</f>
        <v>6</v>
      </c>
      <c r="AK13" s="27" t="str">
        <f>_xlfn.XLOOKUP($C13,'GP3 (1)'!$B$6:$B$100,'GP3 (1)'!$H$6:$H$100,"")</f>
        <v/>
      </c>
      <c r="AL13" s="28" t="str">
        <f>_xlfn.XLOOKUP($C13,'GP3 (2)'!$B$6:$B$100,'GP3 (2)'!$H$6:$H$100,"")</f>
        <v/>
      </c>
      <c r="AM13" s="31">
        <f>_xlfn.XLOOKUP($C13,'GP4 (1)'!$B$6:$B$86,'GP4 (1)'!$H$6:$H$86,"")</f>
        <v>13</v>
      </c>
      <c r="AN13" s="32">
        <f>_xlfn.XLOOKUP($C13,'GP4 (2)'!$B$6:$B$100,'GP4 (2)'!$H$6:$H$100,"")</f>
        <v>9</v>
      </c>
      <c r="AO13" s="27">
        <f>_xlfn.XLOOKUP($C13,'GP5 (1)'!$B$6:$B$100,'GP5 (1)'!$H$6:$H$100,"")</f>
        <v>5</v>
      </c>
      <c r="AP13" s="30">
        <f>_xlfn.XLOOKUP($C13,'GP5 (2)'!$B$6:$B$100,'GP5 (2)'!$H$6:$H$100,"")</f>
        <v>6</v>
      </c>
    </row>
    <row r="14" spans="1:44" ht="15" x14ac:dyDescent="0.25">
      <c r="A14" s="1">
        <f t="shared" si="0"/>
        <v>10</v>
      </c>
      <c r="B14" s="36">
        <v>2</v>
      </c>
      <c r="C14" s="4" t="s">
        <v>20</v>
      </c>
      <c r="D14" s="40">
        <f t="shared" si="1"/>
        <v>5.77</v>
      </c>
      <c r="E14" s="33">
        <f>_xlfn.XLOOKUP($C14,'MP (1)'!$B$6:$B$100,'MP (1)'!$E$6:$E$100,"")</f>
        <v>0.8</v>
      </c>
      <c r="F14" s="32">
        <f>_xlfn.XLOOKUP($C14,'MP (2)'!$B$6:$B$100,'MP (2)'!$E$6:$E$100,"")</f>
        <v>0.6</v>
      </c>
      <c r="G14" s="27">
        <f>_xlfn.XLOOKUP($C14,'GP1 (1)'!$B$6:$B$100,'GP1 (1)'!$E$6:$E$100,"")</f>
        <v>0.6</v>
      </c>
      <c r="H14" s="28">
        <f>_xlfn.XLOOKUP($C14,'GP1 (2)'!$B$6:$B$100,'GP1 (2)'!$E$6:$E$100,"")</f>
        <v>0.67</v>
      </c>
      <c r="I14" s="31" t="str">
        <f>_xlfn.XLOOKUP($C14,'GP2 (1)'!$B$6:$B$107,'GP2 (1)'!$E$6:$E$107,"")</f>
        <v/>
      </c>
      <c r="J14" s="32" t="str">
        <f>_xlfn.XLOOKUP($C14,'GP2 (2)'!$B$6:$B$99,'GP2 (2)'!$E$6:$E$99,"")</f>
        <v/>
      </c>
      <c r="K14" s="27" t="str">
        <f>_xlfn.XLOOKUP($C14,'GP3 (1)'!$B$6:$B$100,'GP3 (1)'!$E$6:$E$100,"")</f>
        <v/>
      </c>
      <c r="L14" s="28" t="str">
        <f>_xlfn.XLOOKUP($C14,'GP3 (2)'!$B$6:$B$100,'GP3 (2)'!$E$6:$E$100,"")</f>
        <v/>
      </c>
      <c r="M14" s="31">
        <f>_xlfn.XLOOKUP($C14,'GP4 (1)'!$B$6:$B$86,'GP4 (1)'!$E$6:$E$86,"")</f>
        <v>0.8</v>
      </c>
      <c r="N14" s="32">
        <f>_xlfn.XLOOKUP($C14,'GP4 (2)'!$B$6:$B$100,'GP4 (2)'!$E$6:$E$100,"")</f>
        <v>0.8</v>
      </c>
      <c r="O14" s="27">
        <f>_xlfn.XLOOKUP($C14,'GP5 (1)'!$B$6:$B$100,'GP5 (1)'!$E$6:$E$100,"")</f>
        <v>0.75</v>
      </c>
      <c r="P14" s="29">
        <f>_xlfn.XLOOKUP($C14,'GP5 (2)'!$B$6:$B$100,'GP5 (2)'!$E$6:$E$100,"")</f>
        <v>0.75</v>
      </c>
      <c r="Q14" s="13">
        <f t="shared" si="2"/>
        <v>169</v>
      </c>
      <c r="R14" s="33">
        <f>_xlfn.XLOOKUP($C14,'MP (1)'!$B$6:$B$100,'MP (1)'!$F$6:$F$100,"")</f>
        <v>23</v>
      </c>
      <c r="S14" s="32">
        <f>_xlfn.XLOOKUP($C14,'MP (2)'!$B$6:$B$100,'MP (2)'!$F$6:$F$100,"")</f>
        <v>17</v>
      </c>
      <c r="T14" s="27">
        <f>_xlfn.XLOOKUP($C14,'GP1 (1)'!$B$6:$B$100,'GP1 (1)'!$F$6:$F$100,"")</f>
        <v>20</v>
      </c>
      <c r="U14" s="28">
        <f>_xlfn.XLOOKUP($C14,'GP1 (2)'!$B$6:$B$100,'GP1 (2)'!$F$6:$F$100,"")</f>
        <v>27</v>
      </c>
      <c r="V14" s="31" t="str">
        <f>_xlfn.XLOOKUP($C14,'GP2 (1)'!$B$8:$B$107,'GP2 (1)'!$F$8:$F$107,"")</f>
        <v/>
      </c>
      <c r="W14" s="32" t="str">
        <f>_xlfn.XLOOKUP($C14,'GP2 (2)'!$B$6:$B$99,'GP2 (2)'!$F$6:$F$99,"")</f>
        <v/>
      </c>
      <c r="X14" s="27" t="str">
        <f>_xlfn.XLOOKUP($C14,'GP3 (1)'!$B$6:$B$100,'GP3 (1)'!$F$6:$F$100,"")</f>
        <v/>
      </c>
      <c r="Y14" s="28" t="str">
        <f>_xlfn.XLOOKUP($C14,'GP3 (2)'!$B$6:$B$100,'GP3 (2)'!$F$6:$F$100,"")</f>
        <v/>
      </c>
      <c r="Z14" s="31">
        <f>_xlfn.XLOOKUP($C14,'GP4 (1)'!$B$6:$B$86,'GP4 (1)'!$F$6:$F$86,"")</f>
        <v>24</v>
      </c>
      <c r="AA14" s="32">
        <f>_xlfn.XLOOKUP($C14,'GP4 (2)'!$B$6:$B$100,'GP4 (2)'!$F$6:$F$100,"")</f>
        <v>23</v>
      </c>
      <c r="AB14" s="27">
        <f>_xlfn.XLOOKUP($C14,'GP5 (1)'!$B$6:$B$100,'GP5 (1)'!$F$6:$F$100,"")</f>
        <v>17</v>
      </c>
      <c r="AC14" s="29">
        <f>_xlfn.XLOOKUP($C14,'GP5 (2)'!$B$6:$B$100,'GP5 (2)'!$F$6:$F$100,"")</f>
        <v>18</v>
      </c>
      <c r="AD14" s="13">
        <f t="shared" si="3"/>
        <v>61</v>
      </c>
      <c r="AE14" s="33">
        <f>_xlfn.XLOOKUP($C14,'MP (1)'!$B$6:$B$100,'MP (1)'!$H$6:$H$100,"")</f>
        <v>10</v>
      </c>
      <c r="AF14" s="32">
        <f>_xlfn.XLOOKUP($C14,'MP (2)'!$B$6:$B$100,'MP (2)'!$H$6:$H$100,"")</f>
        <v>2</v>
      </c>
      <c r="AG14" s="27">
        <f>_xlfn.XLOOKUP($C14,'GP1 (1)'!$B$6:$B$100,'GP1 (1)'!$H$6:$H$100,"")</f>
        <v>3</v>
      </c>
      <c r="AH14" s="28">
        <f>_xlfn.XLOOKUP($C14,'GP1 (2)'!$B$6:$B$100,'GP1 (2)'!$H$6:$H$100,"")</f>
        <v>12</v>
      </c>
      <c r="AI14" s="31" t="str">
        <f>_xlfn.XLOOKUP($C14,'GP2 (1)'!$B$8:$B$107,'GP2 (1)'!$H$8:$H$107,"")</f>
        <v/>
      </c>
      <c r="AJ14" s="32" t="str">
        <f>_xlfn.XLOOKUP($C14,'GP2 (2)'!$B$6:$B$99,'GP2 (2)'!$H$6:$H$99,"")</f>
        <v/>
      </c>
      <c r="AK14" s="27" t="str">
        <f>_xlfn.XLOOKUP($C14,'GP3 (1)'!$B$6:$B$100,'GP3 (1)'!$H$6:$H$100,"")</f>
        <v/>
      </c>
      <c r="AL14" s="28" t="str">
        <f>_xlfn.XLOOKUP($C14,'GP3 (2)'!$B$6:$B$100,'GP3 (2)'!$H$6:$H$100,"")</f>
        <v/>
      </c>
      <c r="AM14" s="31">
        <f>_xlfn.XLOOKUP($C14,'GP4 (1)'!$B$6:$B$86,'GP4 (1)'!$H$6:$H$86,"")</f>
        <v>14</v>
      </c>
      <c r="AN14" s="32">
        <f>_xlfn.XLOOKUP($C14,'GP4 (2)'!$B$6:$B$100,'GP4 (2)'!$H$6:$H$100,"")</f>
        <v>9</v>
      </c>
      <c r="AO14" s="27">
        <f>_xlfn.XLOOKUP($C14,'GP5 (1)'!$B$6:$B$100,'GP5 (1)'!$H$6:$H$100,"")</f>
        <v>11</v>
      </c>
      <c r="AP14" s="30">
        <f>_xlfn.XLOOKUP($C14,'GP5 (2)'!$B$6:$B$100,'GP5 (2)'!$H$6:$H$100,"")</f>
        <v>12</v>
      </c>
    </row>
    <row r="15" spans="1:44" ht="15" x14ac:dyDescent="0.25">
      <c r="A15" s="1">
        <f t="shared" si="0"/>
        <v>11</v>
      </c>
      <c r="B15" s="36">
        <v>2</v>
      </c>
      <c r="C15" s="4" t="s">
        <v>24</v>
      </c>
      <c r="D15" s="40">
        <f t="shared" si="1"/>
        <v>5.5299999999999994</v>
      </c>
      <c r="E15" s="33">
        <f>_xlfn.XLOOKUP($C15,'MP (1)'!$B$6:$B$100,'MP (1)'!$E$6:$E$100,"")</f>
        <v>0.67</v>
      </c>
      <c r="F15" s="32">
        <f>_xlfn.XLOOKUP($C15,'MP (2)'!$B$6:$B$100,'MP (2)'!$E$6:$E$100,"")</f>
        <v>0.83</v>
      </c>
      <c r="G15" s="27">
        <f>_xlfn.XLOOKUP($C15,'GP1 (1)'!$B$6:$B$100,'GP1 (1)'!$E$6:$E$100,"")</f>
        <v>0.33</v>
      </c>
      <c r="H15" s="28">
        <f>_xlfn.XLOOKUP($C15,'GP1 (2)'!$B$6:$B$100,'GP1 (2)'!$E$6:$E$100,"")</f>
        <v>0.5</v>
      </c>
      <c r="I15" s="31">
        <f>_xlfn.XLOOKUP($C15,'GP2 (1)'!$B$6:$B$107,'GP2 (1)'!$E$6:$E$107,"")</f>
        <v>0.8</v>
      </c>
      <c r="J15" s="32">
        <f>_xlfn.XLOOKUP($C15,'GP2 (2)'!$B$6:$B$99,'GP2 (2)'!$E$6:$E$99,"")</f>
        <v>0.8</v>
      </c>
      <c r="K15" s="27" t="str">
        <f>_xlfn.XLOOKUP($C15,'GP3 (1)'!$B$6:$B$100,'GP3 (1)'!$E$6:$E$100,"")</f>
        <v/>
      </c>
      <c r="L15" s="28" t="str">
        <f>_xlfn.XLOOKUP($C15,'GP3 (2)'!$B$6:$B$100,'GP3 (2)'!$E$6:$E$100,"")</f>
        <v/>
      </c>
      <c r="M15" s="31">
        <f>_xlfn.XLOOKUP($C15,'GP4 (1)'!$B$6:$B$86,'GP4 (1)'!$E$6:$E$86,"")</f>
        <v>0.8</v>
      </c>
      <c r="N15" s="32">
        <f>_xlfn.XLOOKUP($C15,'GP4 (2)'!$B$6:$B$100,'GP4 (2)'!$E$6:$E$100,"")</f>
        <v>0.8</v>
      </c>
      <c r="O15" s="27" t="str">
        <f>_xlfn.XLOOKUP($C15,'GP5 (1)'!$B$6:$B$100,'GP5 (1)'!$E$6:$E$100,"")</f>
        <v/>
      </c>
      <c r="P15" s="29" t="str">
        <f>_xlfn.XLOOKUP($C15,'GP5 (2)'!$B$6:$B$100,'GP5 (2)'!$E$6:$E$100,"")</f>
        <v/>
      </c>
      <c r="Q15" s="13">
        <f t="shared" si="2"/>
        <v>177</v>
      </c>
      <c r="R15" s="33">
        <f>_xlfn.XLOOKUP($C15,'MP (1)'!$B$6:$B$100,'MP (1)'!$F$6:$F$100,"")</f>
        <v>27</v>
      </c>
      <c r="S15" s="32">
        <f>_xlfn.XLOOKUP($C15,'MP (2)'!$B$6:$B$100,'MP (2)'!$F$6:$F$100,"")</f>
        <v>27</v>
      </c>
      <c r="T15" s="27">
        <f>_xlfn.XLOOKUP($C15,'GP1 (1)'!$B$6:$B$100,'GP1 (1)'!$F$6:$F$100,"")</f>
        <v>16</v>
      </c>
      <c r="U15" s="28">
        <f>_xlfn.XLOOKUP($C15,'GP1 (2)'!$B$6:$B$100,'GP1 (2)'!$F$6:$F$100,"")</f>
        <v>20</v>
      </c>
      <c r="V15" s="31">
        <f>_xlfn.XLOOKUP($C15,'GP2 (1)'!$B$8:$B$107,'GP2 (1)'!$F$8:$F$107,"")</f>
        <v>24</v>
      </c>
      <c r="W15" s="32">
        <f>_xlfn.XLOOKUP($C15,'GP2 (2)'!$B$6:$B$99,'GP2 (2)'!$F$6:$F$99,"")</f>
        <v>21</v>
      </c>
      <c r="X15" s="27" t="str">
        <f>_xlfn.XLOOKUP($C15,'GP3 (1)'!$B$6:$B$100,'GP3 (1)'!$F$6:$F$100,"")</f>
        <v/>
      </c>
      <c r="Y15" s="28" t="str">
        <f>_xlfn.XLOOKUP($C15,'GP3 (2)'!$B$6:$B$100,'GP3 (2)'!$F$6:$F$100,"")</f>
        <v/>
      </c>
      <c r="Z15" s="31">
        <f>_xlfn.XLOOKUP($C15,'GP4 (1)'!$B$6:$B$86,'GP4 (1)'!$F$6:$F$86,"")</f>
        <v>20</v>
      </c>
      <c r="AA15" s="32">
        <f>_xlfn.XLOOKUP($C15,'GP4 (2)'!$B$6:$B$100,'GP4 (2)'!$F$6:$F$100,"")</f>
        <v>22</v>
      </c>
      <c r="AB15" s="27" t="str">
        <f>_xlfn.XLOOKUP($C15,'GP5 (1)'!$B$6:$B$100,'GP5 (1)'!$F$6:$F$100,"")</f>
        <v/>
      </c>
      <c r="AC15" s="29" t="str">
        <f>_xlfn.XLOOKUP($C15,'GP5 (2)'!$B$6:$B$100,'GP5 (2)'!$F$6:$F$100,"")</f>
        <v/>
      </c>
      <c r="AD15" s="13">
        <f t="shared" si="3"/>
        <v>61</v>
      </c>
      <c r="AE15" s="33">
        <f>_xlfn.XLOOKUP($C15,'MP (1)'!$B$6:$B$100,'MP (1)'!$H$6:$H$100,"")</f>
        <v>11</v>
      </c>
      <c r="AF15" s="32">
        <f>_xlfn.XLOOKUP($C15,'MP (2)'!$B$6:$B$100,'MP (2)'!$H$6:$H$100,"")</f>
        <v>16</v>
      </c>
      <c r="AG15" s="27">
        <f>_xlfn.XLOOKUP($C15,'GP1 (1)'!$B$6:$B$100,'GP1 (1)'!$H$6:$H$100,"")</f>
        <v>-6</v>
      </c>
      <c r="AH15" s="28">
        <f>_xlfn.XLOOKUP($C15,'GP1 (2)'!$B$6:$B$100,'GP1 (2)'!$H$6:$H$100,"")</f>
        <v>1</v>
      </c>
      <c r="AI15" s="31">
        <f>_xlfn.XLOOKUP($C15,'GP2 (1)'!$B$8:$B$107,'GP2 (1)'!$H$8:$H$107,"")</f>
        <v>15</v>
      </c>
      <c r="AJ15" s="32">
        <f>_xlfn.XLOOKUP($C15,'GP2 (2)'!$B$6:$B$99,'GP2 (2)'!$H$6:$H$99,"")</f>
        <v>9</v>
      </c>
      <c r="AK15" s="27" t="str">
        <f>_xlfn.XLOOKUP($C15,'GP3 (1)'!$B$6:$B$100,'GP3 (1)'!$H$6:$H$100,"")</f>
        <v/>
      </c>
      <c r="AL15" s="28" t="str">
        <f>_xlfn.XLOOKUP($C15,'GP3 (2)'!$B$6:$B$100,'GP3 (2)'!$H$6:$H$100,"")</f>
        <v/>
      </c>
      <c r="AM15" s="31">
        <f>_xlfn.XLOOKUP($C15,'GP4 (1)'!$B$6:$B$86,'GP4 (1)'!$H$6:$H$86,"")</f>
        <v>7</v>
      </c>
      <c r="AN15" s="32">
        <f>_xlfn.XLOOKUP($C15,'GP4 (2)'!$B$6:$B$100,'GP4 (2)'!$H$6:$H$100,"")</f>
        <v>8</v>
      </c>
      <c r="AO15" s="27" t="str">
        <f>_xlfn.XLOOKUP($C15,'GP5 (1)'!$B$6:$B$100,'GP5 (1)'!$H$6:$H$100,"")</f>
        <v/>
      </c>
      <c r="AP15" s="30" t="str">
        <f>_xlfn.XLOOKUP($C15,'GP5 (2)'!$B$6:$B$100,'GP5 (2)'!$H$6:$H$100,"")</f>
        <v/>
      </c>
    </row>
    <row r="16" spans="1:44" ht="15" x14ac:dyDescent="0.25">
      <c r="A16" s="1">
        <f t="shared" si="0"/>
        <v>12</v>
      </c>
      <c r="B16" s="36">
        <v>2</v>
      </c>
      <c r="C16" s="4" t="s">
        <v>29</v>
      </c>
      <c r="D16" s="40">
        <f t="shared" si="1"/>
        <v>5.2</v>
      </c>
      <c r="E16" s="33">
        <f>_xlfn.XLOOKUP($C16,'MP (1)'!$B$6:$B$100,'MP (1)'!$E$6:$E$100,"")</f>
        <v>0.33</v>
      </c>
      <c r="F16" s="32">
        <f>_xlfn.XLOOKUP($C16,'MP (2)'!$B$6:$B$100,'MP (2)'!$E$6:$E$100,"")</f>
        <v>0.33</v>
      </c>
      <c r="G16" s="27">
        <f>_xlfn.XLOOKUP($C16,'GP1 (1)'!$B$6:$B$100,'GP1 (1)'!$E$6:$E$100,"")</f>
        <v>0.67</v>
      </c>
      <c r="H16" s="28">
        <f>_xlfn.XLOOKUP($C16,'GP1 (2)'!$B$6:$B$100,'GP1 (2)'!$E$6:$E$100,"")</f>
        <v>0.5</v>
      </c>
      <c r="I16" s="31">
        <f>_xlfn.XLOOKUP($C16,'GP2 (1)'!$B$8:$B$107,'GP2 (1)'!$E$8:$E$107,"")</f>
        <v>0.4</v>
      </c>
      <c r="J16" s="32">
        <f>_xlfn.XLOOKUP($C16,'GP2 (2)'!$B$6:$B$99,'GP2 (2)'!$E$6:$E$99,"")</f>
        <v>0.2</v>
      </c>
      <c r="K16" s="27">
        <f>_xlfn.XLOOKUP($C16,'GP3 (1)'!$B$6:$B$100,'GP3 (1)'!$E$6:$E$100,"")</f>
        <v>0.6</v>
      </c>
      <c r="L16" s="28">
        <f>_xlfn.XLOOKUP($C16,'GP3 (2)'!$B$6:$B$100,'GP3 (2)'!$E$6:$E$100,"")</f>
        <v>0.67</v>
      </c>
      <c r="M16" s="31" t="str">
        <f>_xlfn.XLOOKUP($C16,'GP4 (1)'!$B$6:$B$86,'GP4 (1)'!$E$6:$E$86,"")</f>
        <v/>
      </c>
      <c r="N16" s="32" t="str">
        <f>_xlfn.XLOOKUP($C16,'GP4 (2)'!$B$6:$B$100,'GP4 (2)'!$E$6:$E$100,"")</f>
        <v/>
      </c>
      <c r="O16" s="27">
        <f>_xlfn.XLOOKUP($C16,'GP5 (1)'!$B$6:$B$100,'GP5 (1)'!$E$6:$E$100,"")</f>
        <v>0.75</v>
      </c>
      <c r="P16" s="29">
        <f>_xlfn.XLOOKUP($C16,'GP5 (2)'!$B$6:$B$100,'GP5 (2)'!$E$6:$E$100,"")</f>
        <v>0.75</v>
      </c>
      <c r="Q16" s="13">
        <f t="shared" si="2"/>
        <v>194</v>
      </c>
      <c r="R16" s="33">
        <f>_xlfn.XLOOKUP($C16,'MP (1)'!$B$6:$B$100,'MP (1)'!$F$6:$F$100,"")</f>
        <v>17</v>
      </c>
      <c r="S16" s="32">
        <f>_xlfn.XLOOKUP($C16,'MP (2)'!$B$6:$B$100,'MP (2)'!$F$6:$F$100,"")</f>
        <v>19</v>
      </c>
      <c r="T16" s="27">
        <f>_xlfn.XLOOKUP($C16,'GP1 (1)'!$B$6:$B$100,'GP1 (1)'!$F$6:$F$100,"")</f>
        <v>27</v>
      </c>
      <c r="U16" s="28">
        <f>_xlfn.XLOOKUP($C16,'GP1 (2)'!$B$6:$B$100,'GP1 (2)'!$F$6:$F$100,"")</f>
        <v>22</v>
      </c>
      <c r="V16" s="31">
        <f>_xlfn.XLOOKUP($C16,'GP2 (1)'!$B$8:$B$107,'GP2 (1)'!$F$8:$F$107,"")</f>
        <v>18</v>
      </c>
      <c r="W16" s="32">
        <f>_xlfn.XLOOKUP($C16,'GP2 (2)'!$B$6:$B$99,'GP2 (2)'!$F$6:$F$99,"")</f>
        <v>11</v>
      </c>
      <c r="X16" s="27">
        <f>_xlfn.XLOOKUP($C16,'GP3 (1)'!$B$6:$B$100,'GP3 (1)'!$F$6:$F$100,"")</f>
        <v>21</v>
      </c>
      <c r="Y16" s="28">
        <f>_xlfn.XLOOKUP($C16,'GP3 (2)'!$B$6:$B$100,'GP3 (2)'!$F$6:$F$100,"")</f>
        <v>23</v>
      </c>
      <c r="Z16" s="31" t="str">
        <f>_xlfn.XLOOKUP($C16,'GP4 (1)'!$B$6:$B$86,'GP4 (1)'!$F$6:$F$86,"")</f>
        <v/>
      </c>
      <c r="AA16" s="32" t="str">
        <f>_xlfn.XLOOKUP($C16,'GP4 (2)'!$B$6:$B$100,'GP4 (2)'!$F$6:$F$100,"")</f>
        <v/>
      </c>
      <c r="AB16" s="27">
        <f>_xlfn.XLOOKUP($C16,'GP5 (1)'!$B$6:$B$100,'GP5 (1)'!$F$6:$F$100,"")</f>
        <v>18</v>
      </c>
      <c r="AC16" s="29">
        <f>_xlfn.XLOOKUP($C16,'GP5 (2)'!$B$6:$B$100,'GP5 (2)'!$F$6:$F$100,"")</f>
        <v>18</v>
      </c>
      <c r="AD16" s="13">
        <f t="shared" si="3"/>
        <v>2</v>
      </c>
      <c r="AE16" s="33">
        <f>_xlfn.XLOOKUP($C16,'MP (1)'!$B$6:$B$100,'MP (1)'!$H$6:$H$100,"")</f>
        <v>-5</v>
      </c>
      <c r="AF16" s="32">
        <f>_xlfn.XLOOKUP($C16,'MP (2)'!$B$6:$B$100,'MP (2)'!$H$6:$H$100,"")</f>
        <v>-5</v>
      </c>
      <c r="AG16" s="27">
        <f>_xlfn.XLOOKUP($C16,'GP1 (1)'!$B$6:$B$100,'GP1 (1)'!$H$6:$H$100,"")</f>
        <v>7</v>
      </c>
      <c r="AH16" s="28">
        <f>_xlfn.XLOOKUP($C16,'GP1 (2)'!$B$6:$B$100,'GP1 (2)'!$H$6:$H$100,"")</f>
        <v>-2</v>
      </c>
      <c r="AI16" s="31">
        <f>_xlfn.XLOOKUP($C16,'GP2 (1)'!$B$8:$B$107,'GP2 (1)'!$H$8:$H$107,"")</f>
        <v>-2</v>
      </c>
      <c r="AJ16" s="32">
        <f>_xlfn.XLOOKUP($C16,'GP2 (2)'!$B$6:$B$99,'GP2 (2)'!$H$6:$H$99,"")</f>
        <v>-10</v>
      </c>
      <c r="AK16" s="27">
        <f>_xlfn.XLOOKUP($C16,'GP3 (1)'!$B$6:$B$100,'GP3 (1)'!$H$6:$H$100,"")</f>
        <v>6</v>
      </c>
      <c r="AL16" s="28">
        <f>_xlfn.XLOOKUP($C16,'GP3 (2)'!$B$6:$B$100,'GP3 (2)'!$H$6:$H$100,"")</f>
        <v>6</v>
      </c>
      <c r="AM16" s="31" t="str">
        <f>_xlfn.XLOOKUP($C16,'GP4 (1)'!$B$6:$B$86,'GP4 (1)'!$H$6:$H$86,"")</f>
        <v/>
      </c>
      <c r="AN16" s="32" t="str">
        <f>_xlfn.XLOOKUP($C16,'GP4 (2)'!$B$6:$B$100,'GP4 (2)'!$H$6:$H$100,"")</f>
        <v/>
      </c>
      <c r="AO16" s="27">
        <f>_xlfn.XLOOKUP($C16,'GP5 (1)'!$B$6:$B$100,'GP5 (1)'!$H$6:$H$100,"")</f>
        <v>7</v>
      </c>
      <c r="AP16" s="30">
        <f>_xlfn.XLOOKUP($C16,'GP5 (2)'!$B$6:$B$100,'GP5 (2)'!$H$6:$H$100,"")</f>
        <v>6</v>
      </c>
    </row>
    <row r="17" spans="1:42" ht="15" x14ac:dyDescent="0.25">
      <c r="A17" s="1">
        <f t="shared" si="0"/>
        <v>13</v>
      </c>
      <c r="B17" s="36">
        <v>3</v>
      </c>
      <c r="C17" s="4" t="s">
        <v>25</v>
      </c>
      <c r="D17" s="40">
        <f t="shared" si="1"/>
        <v>5.07</v>
      </c>
      <c r="E17" s="33">
        <f>_xlfn.XLOOKUP($C17,'MP (1)'!$B$6:$B$100,'MP (1)'!$E$6:$E$100,"")</f>
        <v>0.5</v>
      </c>
      <c r="F17" s="32">
        <f>_xlfn.XLOOKUP($C17,'MP (2)'!$B$6:$B$100,'MP (2)'!$E$6:$E$100,"")</f>
        <v>0.4</v>
      </c>
      <c r="G17" s="27">
        <f>_xlfn.XLOOKUP($C17,'GP1 (1)'!$B$6:$B$100,'GP1 (1)'!$E$6:$E$100,"")</f>
        <v>0.5</v>
      </c>
      <c r="H17" s="28">
        <f>_xlfn.XLOOKUP($C17,'GP1 (2)'!$B$6:$B$100,'GP1 (2)'!$E$6:$E$100,"")</f>
        <v>0.6</v>
      </c>
      <c r="I17" s="31">
        <f>_xlfn.XLOOKUP($C17,'GP2 (1)'!$B$6:$B$107,'GP2 (1)'!$E$6:$E$107,"")</f>
        <v>0.5</v>
      </c>
      <c r="J17" s="32">
        <f>_xlfn.XLOOKUP($C17,'GP2 (2)'!$B$6:$B$99,'GP2 (2)'!$E$6:$E$99,"")</f>
        <v>0.2</v>
      </c>
      <c r="K17" s="27">
        <f>_xlfn.XLOOKUP($C17,'GP3 (1)'!$B$6:$B$100,'GP3 (1)'!$E$6:$E$100,"")</f>
        <v>0.6</v>
      </c>
      <c r="L17" s="28">
        <f>_xlfn.XLOOKUP($C17,'GP3 (2)'!$B$6:$B$100,'GP3 (2)'!$E$6:$E$100,"")</f>
        <v>0.5</v>
      </c>
      <c r="M17" s="31">
        <f>_xlfn.XLOOKUP($C17,'GP4 (1)'!$B$6:$B$86,'GP4 (1)'!$E$6:$E$86,"")</f>
        <v>0.67</v>
      </c>
      <c r="N17" s="32">
        <f>_xlfn.XLOOKUP($C17,'GP4 (2)'!$B$6:$B$100,'GP4 (2)'!$E$6:$E$100,"")</f>
        <v>0.6</v>
      </c>
      <c r="O17" s="27" t="str">
        <f>_xlfn.XLOOKUP($C17,'GP5 (1)'!$B$6:$B$100,'GP5 (1)'!$E$6:$E$100,"")</f>
        <v/>
      </c>
      <c r="P17" s="29" t="str">
        <f>_xlfn.XLOOKUP($C17,'GP5 (2)'!$B$6:$B$100,'GP5 (2)'!$E$6:$E$100,"")</f>
        <v/>
      </c>
      <c r="Q17" s="13">
        <f t="shared" si="2"/>
        <v>194</v>
      </c>
      <c r="R17" s="33">
        <f>_xlfn.XLOOKUP($C17,'MP (1)'!$B$6:$B$100,'MP (1)'!$F$6:$F$100,"")</f>
        <v>21</v>
      </c>
      <c r="S17" s="32">
        <f>_xlfn.XLOOKUP($C17,'MP (2)'!$B$6:$B$100,'MP (2)'!$F$6:$F$100,"")</f>
        <v>15</v>
      </c>
      <c r="T17" s="27">
        <f>_xlfn.XLOOKUP($C17,'GP1 (1)'!$B$6:$B$100,'GP1 (1)'!$F$6:$F$100,"")</f>
        <v>22</v>
      </c>
      <c r="U17" s="28">
        <f>_xlfn.XLOOKUP($C17,'GP1 (2)'!$B$6:$B$100,'GP1 (2)'!$F$6:$F$100,"")</f>
        <v>18</v>
      </c>
      <c r="V17" s="31">
        <f>_xlfn.XLOOKUP($C17,'GP2 (1)'!$B$8:$B$107,'GP2 (1)'!$F$8:$F$107,"")</f>
        <v>20</v>
      </c>
      <c r="W17" s="32">
        <f>_xlfn.XLOOKUP($C17,'GP2 (2)'!$B$6:$B$99,'GP2 (2)'!$F$6:$F$99,"")</f>
        <v>17</v>
      </c>
      <c r="X17" s="27">
        <f>_xlfn.XLOOKUP($C17,'GP3 (1)'!$B$6:$B$100,'GP3 (1)'!$F$6:$F$100,"")</f>
        <v>18</v>
      </c>
      <c r="Y17" s="28">
        <f>_xlfn.XLOOKUP($C17,'GP3 (2)'!$B$6:$B$100,'GP3 (2)'!$F$6:$F$100,"")</f>
        <v>17</v>
      </c>
      <c r="Z17" s="31">
        <f>_xlfn.XLOOKUP($C17,'GP4 (1)'!$B$6:$B$86,'GP4 (1)'!$F$6:$F$86,"")</f>
        <v>28</v>
      </c>
      <c r="AA17" s="32">
        <f>_xlfn.XLOOKUP($C17,'GP4 (2)'!$B$6:$B$100,'GP4 (2)'!$F$6:$F$100,"")</f>
        <v>18</v>
      </c>
      <c r="AB17" s="27" t="str">
        <f>_xlfn.XLOOKUP($C17,'GP5 (1)'!$B$6:$B$100,'GP5 (1)'!$F$6:$F$100,"")</f>
        <v/>
      </c>
      <c r="AC17" s="29" t="str">
        <f>_xlfn.XLOOKUP($C17,'GP5 (2)'!$B$6:$B$100,'GP5 (2)'!$F$6:$F$100,"")</f>
        <v/>
      </c>
      <c r="AD17" s="13">
        <f t="shared" si="3"/>
        <v>2</v>
      </c>
      <c r="AE17" s="33">
        <f>_xlfn.XLOOKUP($C17,'MP (1)'!$B$6:$B$100,'MP (1)'!$H$6:$H$100,"")</f>
        <v>2</v>
      </c>
      <c r="AF17" s="32">
        <f>_xlfn.XLOOKUP($C17,'MP (2)'!$B$6:$B$100,'MP (2)'!$H$6:$H$100,"")</f>
        <v>-1</v>
      </c>
      <c r="AG17" s="27">
        <f>_xlfn.XLOOKUP($C17,'GP1 (1)'!$B$6:$B$100,'GP1 (1)'!$H$6:$H$100,"")</f>
        <v>2</v>
      </c>
      <c r="AH17" s="28">
        <f>_xlfn.XLOOKUP($C17,'GP1 (2)'!$B$6:$B$100,'GP1 (2)'!$H$6:$H$100,"")</f>
        <v>-1</v>
      </c>
      <c r="AI17" s="31">
        <f>_xlfn.XLOOKUP($C17,'GP2 (1)'!$B$8:$B$107,'GP2 (1)'!$H$8:$H$107,"")</f>
        <v>1</v>
      </c>
      <c r="AJ17" s="32">
        <f>_xlfn.XLOOKUP($C17,'GP2 (2)'!$B$6:$B$99,'GP2 (2)'!$H$6:$H$99,"")</f>
        <v>-4</v>
      </c>
      <c r="AK17" s="27">
        <f>_xlfn.XLOOKUP($C17,'GP3 (1)'!$B$6:$B$100,'GP3 (1)'!$H$6:$H$100,"")</f>
        <v>1</v>
      </c>
      <c r="AL17" s="28">
        <f>_xlfn.XLOOKUP($C17,'GP3 (2)'!$B$6:$B$100,'GP3 (2)'!$H$6:$H$100,"")</f>
        <v>-4</v>
      </c>
      <c r="AM17" s="31">
        <f>_xlfn.XLOOKUP($C17,'GP4 (1)'!$B$6:$B$86,'GP4 (1)'!$H$6:$H$86,"")</f>
        <v>7</v>
      </c>
      <c r="AN17" s="32">
        <f>_xlfn.XLOOKUP($C17,'GP4 (2)'!$B$6:$B$100,'GP4 (2)'!$H$6:$H$100,"")</f>
        <v>-1</v>
      </c>
      <c r="AO17" s="27" t="str">
        <f>_xlfn.XLOOKUP($C17,'GP5 (1)'!$B$6:$B$100,'GP5 (1)'!$H$6:$H$100,"")</f>
        <v/>
      </c>
      <c r="AP17" s="30" t="str">
        <f>_xlfn.XLOOKUP($C17,'GP5 (2)'!$B$6:$B$100,'GP5 (2)'!$H$6:$H$100,"")</f>
        <v/>
      </c>
    </row>
    <row r="18" spans="1:42" ht="13.15" customHeight="1" x14ac:dyDescent="0.25">
      <c r="A18" s="1">
        <f t="shared" si="0"/>
        <v>14</v>
      </c>
      <c r="B18" s="36">
        <v>3</v>
      </c>
      <c r="C18" s="4" t="s">
        <v>26</v>
      </c>
      <c r="D18" s="40">
        <f t="shared" si="1"/>
        <v>4.71</v>
      </c>
      <c r="E18" s="33">
        <f>_xlfn.XLOOKUP($C18,'MP (1)'!$B$6:$B$100,'MP (1)'!$E$6:$E$100,"")</f>
        <v>0.4</v>
      </c>
      <c r="F18" s="32">
        <f>_xlfn.XLOOKUP($C18,'MP (2)'!$B$6:$B$100,'MP (2)'!$E$6:$E$100,"")</f>
        <v>0.4</v>
      </c>
      <c r="G18" s="27">
        <f>_xlfn.XLOOKUP($C18,'GP1 (1)'!$B$6:$B$100,'GP1 (1)'!$E$6:$E$100,"")</f>
        <v>0.6</v>
      </c>
      <c r="H18" s="28">
        <f>_xlfn.XLOOKUP($C18,'GP1 (2)'!$B$6:$B$100,'GP1 (2)'!$E$6:$E$100,"")</f>
        <v>0.33</v>
      </c>
      <c r="I18" s="31">
        <f>_xlfn.XLOOKUP($C18,'GP2 (1)'!$B$6:$B$107,'GP2 (1)'!$E$6:$E$107,"")</f>
        <v>0.83</v>
      </c>
      <c r="J18" s="32">
        <f>_xlfn.XLOOKUP($C18,'GP2 (2)'!$B$6:$B$99,'GP2 (2)'!$E$6:$E$99,"")</f>
        <v>0.6</v>
      </c>
      <c r="K18" s="27" t="str">
        <f>_xlfn.XLOOKUP($C18,'GP3 (1)'!$B$6:$B$100,'GP3 (1)'!$E$6:$E$100,"")</f>
        <v/>
      </c>
      <c r="L18" s="28" t="str">
        <f>_xlfn.XLOOKUP($C18,'GP3 (2)'!$B$6:$B$100,'GP3 (2)'!$E$6:$E$100,"")</f>
        <v/>
      </c>
      <c r="M18" s="31">
        <f>_xlfn.XLOOKUP($C18,'GP4 (1)'!$B$6:$B$86,'GP4 (1)'!$E$6:$E$86,"")</f>
        <v>0.4</v>
      </c>
      <c r="N18" s="32">
        <f>_xlfn.XLOOKUP($C18,'GP4 (2)'!$B$6:$B$100,'GP4 (2)'!$E$6:$E$100,"")</f>
        <v>0.4</v>
      </c>
      <c r="O18" s="27">
        <f>_xlfn.XLOOKUP($C18,'GP5 (1)'!$B$6:$B$100,'GP5 (1)'!$E$6:$E$100,"")</f>
        <v>0.25</v>
      </c>
      <c r="P18" s="29">
        <f>_xlfn.XLOOKUP($C18,'GP5 (2)'!$B$6:$B$100,'GP5 (2)'!$E$6:$E$100,"")</f>
        <v>0.5</v>
      </c>
      <c r="Q18" s="13">
        <f t="shared" si="2"/>
        <v>173</v>
      </c>
      <c r="R18" s="33">
        <f>_xlfn.XLOOKUP($C18,'MP (1)'!$B$6:$B$100,'MP (1)'!$F$6:$F$100,"")</f>
        <v>16</v>
      </c>
      <c r="S18" s="32">
        <f>_xlfn.XLOOKUP($C18,'MP (2)'!$B$6:$B$100,'MP (2)'!$F$6:$F$100,"")</f>
        <v>13</v>
      </c>
      <c r="T18" s="27">
        <f>_xlfn.XLOOKUP($C18,'GP1 (1)'!$B$6:$B$100,'GP1 (1)'!$F$6:$F$100,"")</f>
        <v>19</v>
      </c>
      <c r="U18" s="28">
        <f>_xlfn.XLOOKUP($C18,'GP1 (2)'!$B$6:$B$100,'GP1 (2)'!$F$6:$F$100,"")</f>
        <v>17</v>
      </c>
      <c r="V18" s="31">
        <f>_xlfn.XLOOKUP($C18,'GP2 (1)'!$B$8:$B$107,'GP2 (1)'!$F$8:$F$107,"")</f>
        <v>28</v>
      </c>
      <c r="W18" s="32">
        <f>_xlfn.XLOOKUP($C18,'GP2 (2)'!$B$6:$B$99,'GP2 (2)'!$F$6:$F$99,"")</f>
        <v>20</v>
      </c>
      <c r="X18" s="27" t="str">
        <f>_xlfn.XLOOKUP($C18,'GP3 (1)'!$B$6:$B$100,'GP3 (1)'!$F$6:$F$100,"")</f>
        <v/>
      </c>
      <c r="Y18" s="28" t="str">
        <f>_xlfn.XLOOKUP($C18,'GP3 (2)'!$B$6:$B$100,'GP3 (2)'!$F$6:$F$100,"")</f>
        <v/>
      </c>
      <c r="Z18" s="31">
        <f>_xlfn.XLOOKUP($C18,'GP4 (1)'!$B$6:$B$86,'GP4 (1)'!$F$6:$F$86,"")</f>
        <v>15</v>
      </c>
      <c r="AA18" s="32">
        <f>_xlfn.XLOOKUP($C18,'GP4 (2)'!$B$6:$B$100,'GP4 (2)'!$F$6:$F$100,"")</f>
        <v>16</v>
      </c>
      <c r="AB18" s="27">
        <f>_xlfn.XLOOKUP($C18,'GP5 (1)'!$B$6:$B$100,'GP5 (1)'!$F$6:$F$100,"")</f>
        <v>14</v>
      </c>
      <c r="AC18" s="29">
        <f>_xlfn.XLOOKUP($C18,'GP5 (2)'!$B$6:$B$100,'GP5 (2)'!$F$6:$F$100,"")</f>
        <v>15</v>
      </c>
      <c r="AD18" s="13">
        <f t="shared" si="3"/>
        <v>-11</v>
      </c>
      <c r="AE18" s="33">
        <f>_xlfn.XLOOKUP($C18,'MP (1)'!$B$6:$B$100,'MP (1)'!$H$6:$H$100,"")</f>
        <v>-4</v>
      </c>
      <c r="AF18" s="32">
        <f>_xlfn.XLOOKUP($C18,'MP (2)'!$B$6:$B$100,'MP (2)'!$H$6:$H$100,"")</f>
        <v>-5</v>
      </c>
      <c r="AG18" s="27">
        <f>_xlfn.XLOOKUP($C18,'GP1 (1)'!$B$6:$B$100,'GP1 (1)'!$H$6:$H$100,"")</f>
        <v>3</v>
      </c>
      <c r="AH18" s="28">
        <f>_xlfn.XLOOKUP($C18,'GP1 (2)'!$B$6:$B$100,'GP1 (2)'!$H$6:$H$100,"")</f>
        <v>-8</v>
      </c>
      <c r="AI18" s="31">
        <f>_xlfn.XLOOKUP($C18,'GP2 (1)'!$B$8:$B$107,'GP2 (1)'!$H$8:$H$107,"")</f>
        <v>11</v>
      </c>
      <c r="AJ18" s="32">
        <f>_xlfn.XLOOKUP($C18,'GP2 (2)'!$B$6:$B$99,'GP2 (2)'!$H$6:$H$99,"")</f>
        <v>1</v>
      </c>
      <c r="AK18" s="27" t="str">
        <f>_xlfn.XLOOKUP($C18,'GP3 (1)'!$B$6:$B$100,'GP3 (1)'!$H$6:$H$100,"")</f>
        <v/>
      </c>
      <c r="AL18" s="28" t="str">
        <f>_xlfn.XLOOKUP($C18,'GP3 (2)'!$B$6:$B$100,'GP3 (2)'!$H$6:$H$100,"")</f>
        <v/>
      </c>
      <c r="AM18" s="31">
        <f>_xlfn.XLOOKUP($C18,'GP4 (1)'!$B$6:$B$86,'GP4 (1)'!$H$6:$H$86,"")</f>
        <v>-4</v>
      </c>
      <c r="AN18" s="32">
        <f>_xlfn.XLOOKUP($C18,'GP4 (2)'!$B$6:$B$100,'GP4 (2)'!$H$6:$H$100,"")</f>
        <v>-2</v>
      </c>
      <c r="AO18" s="27">
        <f>_xlfn.XLOOKUP($C18,'GP5 (1)'!$B$6:$B$100,'GP5 (1)'!$H$6:$H$100,"")</f>
        <v>-3</v>
      </c>
      <c r="AP18" s="30">
        <f>_xlfn.XLOOKUP($C18,'GP5 (2)'!$B$6:$B$100,'GP5 (2)'!$H$6:$H$100,"")</f>
        <v>-2</v>
      </c>
    </row>
    <row r="19" spans="1:42" ht="13.15" customHeight="1" x14ac:dyDescent="0.25">
      <c r="A19" s="1">
        <f t="shared" si="0"/>
        <v>15</v>
      </c>
      <c r="B19" s="36">
        <v>0</v>
      </c>
      <c r="C19" s="4" t="s">
        <v>28</v>
      </c>
      <c r="D19" s="40">
        <f t="shared" si="1"/>
        <v>4.5</v>
      </c>
      <c r="E19" s="33">
        <f>_xlfn.XLOOKUP($C19,'MP (1)'!$B$6:$B$100,'MP (1)'!$E$6:$E$100,"")</f>
        <v>0.67</v>
      </c>
      <c r="F19" s="32">
        <f>_xlfn.XLOOKUP($C19,'MP (2)'!$B$6:$B$100,'MP (2)'!$E$6:$E$100,"")</f>
        <v>0.67</v>
      </c>
      <c r="G19" s="27">
        <f>_xlfn.XLOOKUP($C19,'GP1 (1)'!$B$6:$B$100,'GP1 (1)'!$E$6:$E$100,"")</f>
        <v>0.33</v>
      </c>
      <c r="H19" s="28">
        <f>_xlfn.XLOOKUP($C19,'GP1 (2)'!$B$6:$B$100,'GP1 (2)'!$E$6:$E$100,"")</f>
        <v>0.83</v>
      </c>
      <c r="I19" s="31">
        <f>_xlfn.XLOOKUP($C19,'GP2 (1)'!$B$8:$B$107,'GP2 (1)'!$E$8:$E$107,"")</f>
        <v>0.6</v>
      </c>
      <c r="J19" s="32">
        <f>_xlfn.XLOOKUP($C19,'GP2 (2)'!$B$6:$B$99,'GP2 (2)'!$E$6:$E$99,"")</f>
        <v>0.2</v>
      </c>
      <c r="K19" s="27" t="str">
        <f>_xlfn.XLOOKUP($C19,'GP3 (1)'!$B$6:$B$100,'GP3 (1)'!$E$6:$E$100,"")</f>
        <v/>
      </c>
      <c r="L19" s="28" t="str">
        <f>_xlfn.XLOOKUP($C19,'GP3 (2)'!$B$6:$B$100,'GP3 (2)'!$E$6:$E$100,"")</f>
        <v/>
      </c>
      <c r="M19" s="31">
        <f>_xlfn.XLOOKUP($C19,'GP4 (1)'!$B$6:$B$86,'GP4 (1)'!$E$6:$E$86,"")</f>
        <v>0.6</v>
      </c>
      <c r="N19" s="32">
        <f>_xlfn.XLOOKUP($C19,'GP4 (2)'!$B$6:$B$100,'GP4 (2)'!$E$6:$E$100,"")</f>
        <v>0.6</v>
      </c>
      <c r="O19" s="27" t="str">
        <f>_xlfn.XLOOKUP($C19,'GP5 (1)'!$B$6:$B$100,'GP5 (1)'!$E$6:$E$100,"")</f>
        <v/>
      </c>
      <c r="P19" s="29" t="str">
        <f>_xlfn.XLOOKUP($C19,'GP5 (2)'!$B$6:$B$100,'GP5 (2)'!$E$6:$E$100,"")</f>
        <v/>
      </c>
      <c r="Q19" s="13">
        <f t="shared" si="2"/>
        <v>166</v>
      </c>
      <c r="R19" s="33">
        <f>_xlfn.XLOOKUP($C19,'MP (1)'!$B$6:$B$100,'MP (1)'!$F$6:$F$100,"")</f>
        <v>23</v>
      </c>
      <c r="S19" s="32">
        <f>_xlfn.XLOOKUP($C19,'MP (2)'!$B$6:$B$100,'MP (2)'!$F$6:$F$100,"")</f>
        <v>25</v>
      </c>
      <c r="T19" s="27">
        <f>_xlfn.XLOOKUP($C19,'GP1 (1)'!$B$6:$B$100,'GP1 (1)'!$F$6:$F$100,"")</f>
        <v>20</v>
      </c>
      <c r="U19" s="28">
        <f>_xlfn.XLOOKUP($C19,'GP1 (2)'!$B$6:$B$100,'GP1 (2)'!$F$6:$F$100,"")</f>
        <v>25</v>
      </c>
      <c r="V19" s="31">
        <f>_xlfn.XLOOKUP($C19,'GP2 (1)'!$B$8:$B$107,'GP2 (1)'!$F$8:$F$107,"")</f>
        <v>17</v>
      </c>
      <c r="W19" s="32">
        <f>_xlfn.XLOOKUP($C19,'GP2 (2)'!$B$6:$B$99,'GP2 (2)'!$F$6:$F$99,"")</f>
        <v>18</v>
      </c>
      <c r="X19" s="27" t="str">
        <f>_xlfn.XLOOKUP($C19,'GP3 (1)'!$B$6:$B$100,'GP3 (1)'!$F$6:$F$100,"")</f>
        <v/>
      </c>
      <c r="Y19" s="28" t="str">
        <f>_xlfn.XLOOKUP($C19,'GP3 (2)'!$B$6:$B$100,'GP3 (2)'!$F$6:$F$100,"")</f>
        <v/>
      </c>
      <c r="Z19" s="31">
        <f>_xlfn.XLOOKUP($C19,'GP4 (1)'!$B$6:$B$86,'GP4 (1)'!$F$6:$F$86,"")</f>
        <v>19</v>
      </c>
      <c r="AA19" s="32">
        <f>_xlfn.XLOOKUP($C19,'GP4 (2)'!$B$6:$B$100,'GP4 (2)'!$F$6:$F$100,"")</f>
        <v>19</v>
      </c>
      <c r="AB19" s="27" t="str">
        <f>_xlfn.XLOOKUP($C19,'GP5 (1)'!$B$6:$B$100,'GP5 (1)'!$F$6:$F$100,"")</f>
        <v/>
      </c>
      <c r="AC19" s="29" t="str">
        <f>_xlfn.XLOOKUP($C19,'GP5 (2)'!$B$6:$B$100,'GP5 (2)'!$F$6:$F$100,"")</f>
        <v/>
      </c>
      <c r="AD19" s="13">
        <f t="shared" si="3"/>
        <v>22</v>
      </c>
      <c r="AE19" s="33">
        <f>_xlfn.XLOOKUP($C19,'MP (1)'!$B$6:$B$100,'MP (1)'!$H$6:$H$100,"")</f>
        <v>2</v>
      </c>
      <c r="AF19" s="32">
        <f>_xlfn.XLOOKUP($C19,'MP (2)'!$B$6:$B$100,'MP (2)'!$H$6:$H$100,"")</f>
        <v>6</v>
      </c>
      <c r="AG19" s="27">
        <f>_xlfn.XLOOKUP($C19,'GP1 (1)'!$B$6:$B$100,'GP1 (1)'!$H$6:$H$100,"")</f>
        <v>-4</v>
      </c>
      <c r="AH19" s="28">
        <f>_xlfn.XLOOKUP($C19,'GP1 (2)'!$B$6:$B$100,'GP1 (2)'!$H$6:$H$100,"")</f>
        <v>12</v>
      </c>
      <c r="AI19" s="31">
        <f>_xlfn.XLOOKUP($C19,'GP2 (1)'!$B$8:$B$107,'GP2 (1)'!$H$8:$H$107,"")</f>
        <v>2</v>
      </c>
      <c r="AJ19" s="32">
        <f>_xlfn.XLOOKUP($C19,'GP2 (2)'!$B$6:$B$99,'GP2 (2)'!$H$6:$H$99,"")</f>
        <v>-6</v>
      </c>
      <c r="AK19" s="27" t="str">
        <f>_xlfn.XLOOKUP($C19,'GP3 (1)'!$B$6:$B$100,'GP3 (1)'!$H$6:$H$100,"")</f>
        <v/>
      </c>
      <c r="AL19" s="28" t="str">
        <f>_xlfn.XLOOKUP($C19,'GP3 (2)'!$B$6:$B$100,'GP3 (2)'!$H$6:$H$100,"")</f>
        <v/>
      </c>
      <c r="AM19" s="31">
        <f>_xlfn.XLOOKUP($C19,'GP4 (1)'!$B$6:$B$86,'GP4 (1)'!$H$6:$H$86,"")</f>
        <v>4</v>
      </c>
      <c r="AN19" s="32">
        <f>_xlfn.XLOOKUP($C19,'GP4 (2)'!$B$6:$B$100,'GP4 (2)'!$H$6:$H$100,"")</f>
        <v>6</v>
      </c>
      <c r="AO19" s="27" t="str">
        <f>_xlfn.XLOOKUP($C19,'GP5 (1)'!$B$6:$B$100,'GP5 (1)'!$H$6:$H$100,"")</f>
        <v/>
      </c>
      <c r="AP19" s="30" t="str">
        <f>_xlfn.XLOOKUP($C19,'GP5 (2)'!$B$6:$B$100,'GP5 (2)'!$H$6:$H$100,"")</f>
        <v/>
      </c>
    </row>
    <row r="20" spans="1:42" ht="13.15" customHeight="1" x14ac:dyDescent="0.25">
      <c r="A20" s="1">
        <f t="shared" si="0"/>
        <v>16</v>
      </c>
      <c r="B20" s="36">
        <v>0</v>
      </c>
      <c r="C20" s="4" t="s">
        <v>32</v>
      </c>
      <c r="D20" s="40">
        <f t="shared" si="1"/>
        <v>4.46</v>
      </c>
      <c r="E20" s="33">
        <f>_xlfn.XLOOKUP($C20,'MP (1)'!$B$6:$B$100,'MP (1)'!$E$6:$E$100,"")</f>
        <v>0.8</v>
      </c>
      <c r="F20" s="32">
        <f>_xlfn.XLOOKUP($C20,'MP (2)'!$B$6:$B$100,'MP (2)'!$E$6:$E$100,"")</f>
        <v>0.83</v>
      </c>
      <c r="G20" s="27">
        <f>_xlfn.XLOOKUP($C20,'GP1 (1)'!$B$6:$B$100,'GP1 (1)'!$E$6:$E$100,"")</f>
        <v>0.6</v>
      </c>
      <c r="H20" s="28">
        <f>_xlfn.XLOOKUP($C20,'GP1 (2)'!$B$6:$B$100,'GP1 (2)'!$E$6:$E$100,"")</f>
        <v>0.8</v>
      </c>
      <c r="I20" s="31">
        <f>_xlfn.XLOOKUP($C20,'GP2 (1)'!$B$6:$B$107,'GP2 (1)'!$E$6:$E$107,"")</f>
        <v>0.6</v>
      </c>
      <c r="J20" s="32">
        <f>_xlfn.XLOOKUP($C20,'GP2 (2)'!$B$6:$B$99,'GP2 (2)'!$E$6:$E$99,"")</f>
        <v>0.83</v>
      </c>
      <c r="K20" s="27" t="str">
        <f>_xlfn.XLOOKUP($C20,'GP3 (1)'!$B$6:$B$100,'GP3 (1)'!$E$6:$E$100,"")</f>
        <v/>
      </c>
      <c r="L20" s="28" t="str">
        <f>_xlfn.XLOOKUP($C20,'GP3 (2)'!$B$6:$B$100,'GP3 (2)'!$E$6:$E$100,"")</f>
        <v/>
      </c>
      <c r="M20" s="31" t="str">
        <f>_xlfn.XLOOKUP($C20,'GP4 (1)'!$B$6:$B$86,'GP4 (1)'!$E$6:$E$86,"")</f>
        <v/>
      </c>
      <c r="N20" s="32" t="str">
        <f>_xlfn.XLOOKUP($C20,'GP4 (2)'!$B$6:$B$100,'GP4 (2)'!$E$6:$E$100,"")</f>
        <v/>
      </c>
      <c r="O20" s="27" t="str">
        <f>_xlfn.XLOOKUP($C20,'GP5 (1)'!$B$6:$B$100,'GP5 (1)'!$E$6:$E$100,"")</f>
        <v/>
      </c>
      <c r="P20" s="29" t="str">
        <f>_xlfn.XLOOKUP($C20,'GP5 (2)'!$B$6:$B$100,'GP5 (2)'!$E$6:$E$100,"")</f>
        <v/>
      </c>
      <c r="Q20" s="13">
        <f t="shared" si="2"/>
        <v>143</v>
      </c>
      <c r="R20" s="33">
        <f>_xlfn.XLOOKUP($C20,'MP (1)'!$B$6:$B$100,'MP (1)'!$F$6:$F$100,"")</f>
        <v>24</v>
      </c>
      <c r="S20" s="32">
        <f>_xlfn.XLOOKUP($C20,'MP (2)'!$B$6:$B$100,'MP (2)'!$F$6:$F$100,"")</f>
        <v>28</v>
      </c>
      <c r="T20" s="27">
        <f>_xlfn.XLOOKUP($C20,'GP1 (1)'!$B$6:$B$100,'GP1 (1)'!$F$6:$F$100,"")</f>
        <v>20</v>
      </c>
      <c r="U20" s="28">
        <f>_xlfn.XLOOKUP($C20,'GP1 (2)'!$B$6:$B$100,'GP1 (2)'!$F$6:$F$100,"")</f>
        <v>23</v>
      </c>
      <c r="V20" s="31">
        <f>_xlfn.XLOOKUP($C20,'GP2 (1)'!$B$8:$B$107,'GP2 (1)'!$F$8:$F$107,"")</f>
        <v>20</v>
      </c>
      <c r="W20" s="32">
        <f>_xlfn.XLOOKUP($C20,'GP2 (2)'!$B$6:$B$99,'GP2 (2)'!$F$6:$F$99,"")</f>
        <v>28</v>
      </c>
      <c r="X20" s="27" t="str">
        <f>_xlfn.XLOOKUP($C20,'GP3 (1)'!$B$6:$B$100,'GP3 (1)'!$F$6:$F$100,"")</f>
        <v/>
      </c>
      <c r="Y20" s="28" t="str">
        <f>_xlfn.XLOOKUP($C20,'GP3 (2)'!$B$6:$B$100,'GP3 (2)'!$F$6:$F$100,"")</f>
        <v/>
      </c>
      <c r="Z20" s="31" t="str">
        <f>_xlfn.XLOOKUP($C20,'GP4 (1)'!$B$6:$B$86,'GP4 (1)'!$F$6:$F$86,"")</f>
        <v/>
      </c>
      <c r="AA20" s="32" t="str">
        <f>_xlfn.XLOOKUP($C20,'GP4 (2)'!$B$6:$B$100,'GP4 (2)'!$F$6:$F$100,"")</f>
        <v/>
      </c>
      <c r="AB20" s="27" t="str">
        <f>_xlfn.XLOOKUP($C20,'GP5 (1)'!$B$6:$B$100,'GP5 (1)'!$F$6:$F$100,"")</f>
        <v/>
      </c>
      <c r="AC20" s="29" t="str">
        <f>_xlfn.XLOOKUP($C20,'GP5 (2)'!$B$6:$B$100,'GP5 (2)'!$F$6:$F$100,"")</f>
        <v/>
      </c>
      <c r="AD20" s="13">
        <f t="shared" si="3"/>
        <v>54</v>
      </c>
      <c r="AE20" s="33">
        <f>_xlfn.XLOOKUP($C20,'MP (1)'!$B$6:$B$100,'MP (1)'!$H$6:$H$100,"")</f>
        <v>10</v>
      </c>
      <c r="AF20" s="32">
        <f>_xlfn.XLOOKUP($C20,'MP (2)'!$B$6:$B$100,'MP (2)'!$H$6:$H$100,"")</f>
        <v>17</v>
      </c>
      <c r="AG20" s="27">
        <f>_xlfn.XLOOKUP($C20,'GP1 (1)'!$B$6:$B$100,'GP1 (1)'!$H$6:$H$100,"")</f>
        <v>1</v>
      </c>
      <c r="AH20" s="28">
        <f>_xlfn.XLOOKUP($C20,'GP1 (2)'!$B$6:$B$100,'GP1 (2)'!$H$6:$H$100,"")</f>
        <v>6</v>
      </c>
      <c r="AI20" s="31">
        <f>_xlfn.XLOOKUP($C20,'GP2 (1)'!$B$8:$B$107,'GP2 (1)'!$H$8:$H$107,"")</f>
        <v>2</v>
      </c>
      <c r="AJ20" s="32">
        <f>_xlfn.XLOOKUP($C20,'GP2 (2)'!$B$6:$B$99,'GP2 (2)'!$H$6:$H$99,"")</f>
        <v>18</v>
      </c>
      <c r="AK20" s="27" t="str">
        <f>_xlfn.XLOOKUP($C20,'GP3 (1)'!$B$6:$B$100,'GP3 (1)'!$H$6:$H$100,"")</f>
        <v/>
      </c>
      <c r="AL20" s="28" t="str">
        <f>_xlfn.XLOOKUP($C20,'GP3 (2)'!$B$6:$B$100,'GP3 (2)'!$H$6:$H$100,"")</f>
        <v/>
      </c>
      <c r="AM20" s="31" t="str">
        <f>_xlfn.XLOOKUP($C20,'GP4 (1)'!$B$6:$B$86,'GP4 (1)'!$H$6:$H$86,"")</f>
        <v/>
      </c>
      <c r="AN20" s="32" t="str">
        <f>_xlfn.XLOOKUP($C20,'GP4 (2)'!$B$6:$B$100,'GP4 (2)'!$H$6:$H$100,"")</f>
        <v/>
      </c>
      <c r="AO20" s="27" t="str">
        <f>_xlfn.XLOOKUP($C20,'GP5 (1)'!$B$6:$B$100,'GP5 (1)'!$H$6:$H$100,"")</f>
        <v/>
      </c>
      <c r="AP20" s="30" t="str">
        <f>_xlfn.XLOOKUP($C20,'GP5 (2)'!$B$6:$B$100,'GP5 (2)'!$H$6:$H$100,"")</f>
        <v/>
      </c>
    </row>
    <row r="21" spans="1:42" ht="13.15" customHeight="1" x14ac:dyDescent="0.25">
      <c r="A21" s="1">
        <f t="shared" si="0"/>
        <v>17</v>
      </c>
      <c r="B21" s="36">
        <v>0</v>
      </c>
      <c r="C21" s="4" t="s">
        <v>36</v>
      </c>
      <c r="D21" s="40">
        <f t="shared" si="1"/>
        <v>4.0299999999999994</v>
      </c>
      <c r="E21" s="33">
        <f>_xlfn.XLOOKUP($C21,'MP (1)'!$B$6:$B$100,'MP (1)'!$E$6:$E$100,"")</f>
        <v>0.83</v>
      </c>
      <c r="F21" s="32">
        <f>_xlfn.XLOOKUP($C21,'MP (2)'!$B$6:$B$100,'MP (2)'!$E$6:$E$100,"")</f>
        <v>0.8</v>
      </c>
      <c r="G21" s="27">
        <f>_xlfn.XLOOKUP($C21,'GP1 (1)'!$B$6:$B$100,'GP1 (1)'!$E$6:$E$100,"")</f>
        <v>0.2</v>
      </c>
      <c r="H21" s="28">
        <f>_xlfn.XLOOKUP($C21,'GP1 (2)'!$B$6:$B$100,'GP1 (2)'!$E$6:$E$100,"")</f>
        <v>0.4</v>
      </c>
      <c r="I21" s="31">
        <f>_xlfn.XLOOKUP($C21,'GP2 (1)'!$B$8:$B$107,'GP2 (1)'!$E$8:$E$107,"")</f>
        <v>0.4</v>
      </c>
      <c r="J21" s="32">
        <f>_xlfn.XLOOKUP($C21,'GP2 (2)'!$B$6:$B$99,'GP2 (2)'!$E$6:$E$99,"")</f>
        <v>0.5</v>
      </c>
      <c r="K21" s="27">
        <f>_xlfn.XLOOKUP($C21,'GP3 (1)'!$B$6:$B$100,'GP3 (1)'!$E$6:$E$100,"")</f>
        <v>0.4</v>
      </c>
      <c r="L21" s="28">
        <f>_xlfn.XLOOKUP($C21,'GP3 (2)'!$B$6:$B$100,'GP3 (2)'!$E$6:$E$100,"")</f>
        <v>0.5</v>
      </c>
      <c r="M21" s="31" t="str">
        <f>_xlfn.XLOOKUP($C21,'GP4 (1)'!$B$6:$B$86,'GP4 (1)'!$E$6:$E$86,"")</f>
        <v/>
      </c>
      <c r="N21" s="32" t="str">
        <f>_xlfn.XLOOKUP($C21,'GP4 (2)'!$B$6:$B$100,'GP4 (2)'!$E$6:$E$100,"")</f>
        <v/>
      </c>
      <c r="O21" s="27" t="str">
        <f>_xlfn.XLOOKUP($C21,'GP5 (1)'!$B$6:$B$100,'GP5 (1)'!$E$6:$E$100,"")</f>
        <v/>
      </c>
      <c r="P21" s="29" t="str">
        <f>_xlfn.XLOOKUP($C21,'GP5 (2)'!$B$6:$B$100,'GP5 (2)'!$E$6:$E$100,"")</f>
        <v/>
      </c>
      <c r="Q21" s="13">
        <f t="shared" si="2"/>
        <v>154</v>
      </c>
      <c r="R21" s="33">
        <f>_xlfn.XLOOKUP($C21,'MP (1)'!$B$6:$B$100,'MP (1)'!$F$6:$F$100,"")</f>
        <v>26</v>
      </c>
      <c r="S21" s="32">
        <f>_xlfn.XLOOKUP($C21,'MP (2)'!$B$6:$B$100,'MP (2)'!$F$6:$F$100,"")</f>
        <v>21</v>
      </c>
      <c r="T21" s="27">
        <f>_xlfn.XLOOKUP($C21,'GP1 (1)'!$B$6:$B$100,'GP1 (1)'!$F$6:$F$100,"")</f>
        <v>16</v>
      </c>
      <c r="U21" s="28">
        <f>_xlfn.XLOOKUP($C21,'GP1 (2)'!$B$6:$B$100,'GP1 (2)'!$F$6:$F$100,"")</f>
        <v>17</v>
      </c>
      <c r="V21" s="31">
        <f>_xlfn.XLOOKUP($C21,'GP2 (1)'!$B$8:$B$107,'GP2 (1)'!$F$8:$F$107,"")</f>
        <v>16</v>
      </c>
      <c r="W21" s="32">
        <f>_xlfn.XLOOKUP($C21,'GP2 (2)'!$B$6:$B$99,'GP2 (2)'!$F$6:$F$99,"")</f>
        <v>19</v>
      </c>
      <c r="X21" s="27">
        <f>_xlfn.XLOOKUP($C21,'GP3 (1)'!$B$6:$B$100,'GP3 (1)'!$F$6:$F$100,"")</f>
        <v>15</v>
      </c>
      <c r="Y21" s="28">
        <f>_xlfn.XLOOKUP($C21,'GP3 (2)'!$B$6:$B$100,'GP3 (2)'!$F$6:$F$100,"")</f>
        <v>24</v>
      </c>
      <c r="Z21" s="31" t="str">
        <f>_xlfn.XLOOKUP($C21,'GP4 (1)'!$B$6:$B$86,'GP4 (1)'!$F$6:$F$86,"")</f>
        <v/>
      </c>
      <c r="AA21" s="32" t="str">
        <f>_xlfn.XLOOKUP($C21,'GP4 (2)'!$B$6:$B$100,'GP4 (2)'!$F$6:$F$100,"")</f>
        <v/>
      </c>
      <c r="AB21" s="27" t="str">
        <f>_xlfn.XLOOKUP($C21,'GP5 (1)'!$B$6:$B$100,'GP5 (1)'!$F$6:$F$100,"")</f>
        <v/>
      </c>
      <c r="AC21" s="29" t="str">
        <f>_xlfn.XLOOKUP($C21,'GP5 (2)'!$B$6:$B$100,'GP5 (2)'!$F$6:$F$100,"")</f>
        <v/>
      </c>
      <c r="AD21" s="13">
        <f t="shared" si="3"/>
        <v>16</v>
      </c>
      <c r="AE21" s="33">
        <f>_xlfn.XLOOKUP($C21,'MP (1)'!$B$6:$B$100,'MP (1)'!$H$6:$H$100,"")</f>
        <v>14</v>
      </c>
      <c r="AF21" s="32">
        <f>_xlfn.XLOOKUP($C21,'MP (2)'!$B$6:$B$100,'MP (2)'!$H$6:$H$100,"")</f>
        <v>12</v>
      </c>
      <c r="AG21" s="27">
        <f>_xlfn.XLOOKUP($C21,'GP1 (1)'!$B$6:$B$100,'GP1 (1)'!$H$6:$H$100,"")</f>
        <v>-7</v>
      </c>
      <c r="AH21" s="28">
        <f>_xlfn.XLOOKUP($C21,'GP1 (2)'!$B$6:$B$100,'GP1 (2)'!$H$6:$H$100,"")</f>
        <v>-1</v>
      </c>
      <c r="AI21" s="31">
        <f>_xlfn.XLOOKUP($C21,'GP2 (1)'!$B$8:$B$107,'GP2 (1)'!$H$8:$H$107,"")</f>
        <v>-5</v>
      </c>
      <c r="AJ21" s="32">
        <f>_xlfn.XLOOKUP($C21,'GP2 (2)'!$B$6:$B$99,'GP2 (2)'!$H$6:$H$99,"")</f>
        <v>0</v>
      </c>
      <c r="AK21" s="27">
        <f>_xlfn.XLOOKUP($C21,'GP3 (1)'!$B$6:$B$100,'GP3 (1)'!$H$6:$H$100,"")</f>
        <v>-2</v>
      </c>
      <c r="AL21" s="28">
        <f>_xlfn.XLOOKUP($C21,'GP3 (2)'!$B$6:$B$100,'GP3 (2)'!$H$6:$H$100,"")</f>
        <v>5</v>
      </c>
      <c r="AM21" s="31" t="str">
        <f>_xlfn.XLOOKUP($C21,'GP4 (1)'!$B$6:$B$86,'GP4 (1)'!$H$6:$H$86,"")</f>
        <v/>
      </c>
      <c r="AN21" s="32" t="str">
        <f>_xlfn.XLOOKUP($C21,'GP4 (2)'!$B$6:$B$100,'GP4 (2)'!$H$6:$H$100,"")</f>
        <v/>
      </c>
      <c r="AO21" s="27" t="str">
        <f>_xlfn.XLOOKUP($C21,'GP5 (1)'!$B$6:$B$100,'GP5 (1)'!$H$6:$H$100,"")</f>
        <v/>
      </c>
      <c r="AP21" s="30" t="str">
        <f>_xlfn.XLOOKUP($C21,'GP5 (2)'!$B$6:$B$100,'GP5 (2)'!$H$6:$H$100,"")</f>
        <v/>
      </c>
    </row>
    <row r="22" spans="1:42" ht="13.15" customHeight="1" x14ac:dyDescent="0.25">
      <c r="A22" s="1">
        <f t="shared" si="0"/>
        <v>18</v>
      </c>
      <c r="B22" s="36">
        <v>1</v>
      </c>
      <c r="C22" s="4" t="s">
        <v>37</v>
      </c>
      <c r="D22" s="40">
        <f t="shared" si="1"/>
        <v>3.4000000000000004</v>
      </c>
      <c r="E22" s="33">
        <f>_xlfn.XLOOKUP($C22,'MP (1)'!$B$6:$B$100,'MP (1)'!$E$6:$E$100,"")</f>
        <v>0.6</v>
      </c>
      <c r="F22" s="32">
        <f>_xlfn.XLOOKUP($C22,'MP (2)'!$B$6:$B$100,'MP (2)'!$E$6:$E$100,"")</f>
        <v>0.2</v>
      </c>
      <c r="G22" s="27">
        <f>_xlfn.XLOOKUP($C22,'GP1 (1)'!$B$6:$B$100,'GP1 (1)'!$E$6:$E$100,"")</f>
        <v>0</v>
      </c>
      <c r="H22" s="28">
        <f>_xlfn.XLOOKUP($C22,'GP1 (2)'!$B$6:$B$100,'GP1 (2)'!$E$6:$E$100,"")</f>
        <v>0.17</v>
      </c>
      <c r="I22" s="31">
        <f>_xlfn.XLOOKUP($C22,'GP2 (1)'!$B$6:$B$107,'GP2 (1)'!$E$6:$E$107,"")</f>
        <v>0.6</v>
      </c>
      <c r="J22" s="32">
        <f>_xlfn.XLOOKUP($C22,'GP2 (2)'!$B$6:$B$99,'GP2 (2)'!$E$6:$E$99,"")</f>
        <v>0.4</v>
      </c>
      <c r="K22" s="27">
        <f>_xlfn.XLOOKUP($C22,'GP3 (1)'!$B$6:$B$100,'GP3 (1)'!$E$6:$E$100,"")</f>
        <v>0.5</v>
      </c>
      <c r="L22" s="28">
        <f>_xlfn.XLOOKUP($C22,'GP3 (2)'!$B$6:$B$100,'GP3 (2)'!$E$6:$E$100,"")</f>
        <v>0.33</v>
      </c>
      <c r="M22" s="31">
        <f>_xlfn.XLOOKUP($C22,'GP4 (1)'!$B$6:$B$86,'GP4 (1)'!$E$6:$E$86,"")</f>
        <v>0.2</v>
      </c>
      <c r="N22" s="32">
        <f>_xlfn.XLOOKUP($C22,'GP4 (2)'!$B$6:$B$100,'GP4 (2)'!$E$6:$E$100,"")</f>
        <v>0.4</v>
      </c>
      <c r="O22" s="27" t="str">
        <f>_xlfn.XLOOKUP($C22,'GP5 (1)'!$B$6:$B$100,'GP5 (1)'!$E$6:$E$100,"")</f>
        <v/>
      </c>
      <c r="P22" s="29" t="str">
        <f>_xlfn.XLOOKUP($C22,'GP5 (2)'!$B$6:$B$100,'GP5 (2)'!$E$6:$E$100,"")</f>
        <v/>
      </c>
      <c r="Q22" s="13">
        <f t="shared" si="2"/>
        <v>162</v>
      </c>
      <c r="R22" s="33">
        <f>_xlfn.XLOOKUP($C22,'MP (1)'!$B$6:$B$100,'MP (1)'!$F$6:$F$100,"")</f>
        <v>15</v>
      </c>
      <c r="S22" s="32">
        <f>_xlfn.XLOOKUP($C22,'MP (2)'!$B$6:$B$100,'MP (2)'!$F$6:$F$100,"")</f>
        <v>13</v>
      </c>
      <c r="T22" s="27">
        <f>_xlfn.XLOOKUP($C22,'GP1 (1)'!$B$6:$B$100,'GP1 (1)'!$F$6:$F$100,"")</f>
        <v>12</v>
      </c>
      <c r="U22" s="28">
        <f>_xlfn.XLOOKUP($C22,'GP1 (2)'!$B$6:$B$100,'GP1 (2)'!$F$6:$F$100,"")</f>
        <v>16</v>
      </c>
      <c r="V22" s="31">
        <f>_xlfn.XLOOKUP($C22,'GP2 (1)'!$B$8:$B$107,'GP2 (1)'!$F$8:$F$107,"")</f>
        <v>19</v>
      </c>
      <c r="W22" s="32">
        <f>_xlfn.XLOOKUP($C22,'GP2 (2)'!$B$6:$B$99,'GP2 (2)'!$F$6:$F$99,"")</f>
        <v>17</v>
      </c>
      <c r="X22" s="27">
        <f>_xlfn.XLOOKUP($C22,'GP3 (1)'!$B$6:$B$100,'GP3 (1)'!$F$6:$F$100,"")</f>
        <v>16</v>
      </c>
      <c r="Y22" s="28">
        <f>_xlfn.XLOOKUP($C22,'GP3 (2)'!$B$6:$B$100,'GP3 (2)'!$F$6:$F$100,"")</f>
        <v>18</v>
      </c>
      <c r="Z22" s="31">
        <f>_xlfn.XLOOKUP($C22,'GP4 (1)'!$B$6:$B$86,'GP4 (1)'!$F$6:$F$86,"")</f>
        <v>16</v>
      </c>
      <c r="AA22" s="32">
        <f>_xlfn.XLOOKUP($C22,'GP4 (2)'!$B$6:$B$100,'GP4 (2)'!$F$6:$F$100,"")</f>
        <v>20</v>
      </c>
      <c r="AB22" s="27" t="str">
        <f>_xlfn.XLOOKUP($C22,'GP5 (1)'!$B$6:$B$100,'GP5 (1)'!$F$6:$F$100,"")</f>
        <v/>
      </c>
      <c r="AC22" s="29" t="str">
        <f>_xlfn.XLOOKUP($C22,'GP5 (2)'!$B$6:$B$100,'GP5 (2)'!$F$6:$F$100,"")</f>
        <v/>
      </c>
      <c r="AD22" s="13">
        <f t="shared" si="3"/>
        <v>-43</v>
      </c>
      <c r="AE22" s="33">
        <f>_xlfn.XLOOKUP($C22,'MP (1)'!$B$6:$B$100,'MP (1)'!$H$6:$H$100,"")</f>
        <v>-2</v>
      </c>
      <c r="AF22" s="32">
        <f>_xlfn.XLOOKUP($C22,'MP (2)'!$B$6:$B$100,'MP (2)'!$H$6:$H$100,"")</f>
        <v>-10</v>
      </c>
      <c r="AG22" s="27">
        <f>_xlfn.XLOOKUP($C22,'GP1 (1)'!$B$6:$B$100,'GP1 (1)'!$H$6:$H$100,"")</f>
        <v>-13</v>
      </c>
      <c r="AH22" s="28">
        <f>_xlfn.XLOOKUP($C22,'GP1 (2)'!$B$6:$B$100,'GP1 (2)'!$H$6:$H$100,"")</f>
        <v>-11</v>
      </c>
      <c r="AI22" s="31">
        <f>_xlfn.XLOOKUP($C22,'GP2 (1)'!$B$8:$B$107,'GP2 (1)'!$H$8:$H$107,"")</f>
        <v>1</v>
      </c>
      <c r="AJ22" s="32">
        <f>_xlfn.XLOOKUP($C22,'GP2 (2)'!$B$6:$B$99,'GP2 (2)'!$H$6:$H$99,"")</f>
        <v>0</v>
      </c>
      <c r="AK22" s="27">
        <f>_xlfn.XLOOKUP($C22,'GP3 (1)'!$B$6:$B$100,'GP3 (1)'!$H$6:$H$100,"")</f>
        <v>1</v>
      </c>
      <c r="AL22" s="28">
        <f>_xlfn.XLOOKUP($C22,'GP3 (2)'!$B$6:$B$100,'GP3 (2)'!$H$6:$H$100,"")</f>
        <v>-7</v>
      </c>
      <c r="AM22" s="31">
        <f>_xlfn.XLOOKUP($C22,'GP4 (1)'!$B$6:$B$86,'GP4 (1)'!$H$6:$H$86,"")</f>
        <v>-7</v>
      </c>
      <c r="AN22" s="32">
        <f>_xlfn.XLOOKUP($C22,'GP4 (2)'!$B$6:$B$100,'GP4 (2)'!$H$6:$H$100,"")</f>
        <v>5</v>
      </c>
      <c r="AO22" s="27" t="str">
        <f>_xlfn.XLOOKUP($C22,'GP5 (1)'!$B$6:$B$100,'GP5 (1)'!$H$6:$H$100,"")</f>
        <v/>
      </c>
      <c r="AP22" s="30" t="str">
        <f>_xlfn.XLOOKUP($C22,'GP5 (2)'!$B$6:$B$100,'GP5 (2)'!$H$6:$H$100,"")</f>
        <v/>
      </c>
    </row>
    <row r="23" spans="1:42" ht="13.15" customHeight="1" x14ac:dyDescent="0.25">
      <c r="A23" s="1">
        <f t="shared" si="0"/>
        <v>19</v>
      </c>
      <c r="B23" s="36">
        <v>4</v>
      </c>
      <c r="C23" s="4" t="s">
        <v>42</v>
      </c>
      <c r="D23" s="40">
        <f t="shared" si="1"/>
        <v>2.7499999999999996</v>
      </c>
      <c r="E23" s="33">
        <f>_xlfn.XLOOKUP($C23,'MP (1)'!$B$6:$B$100,'MP (1)'!$E$6:$E$100,"")</f>
        <v>0.33</v>
      </c>
      <c r="F23" s="32">
        <f>_xlfn.XLOOKUP($C23,'MP (2)'!$B$6:$B$100,'MP (2)'!$E$6:$E$100,"")</f>
        <v>0.4</v>
      </c>
      <c r="G23" s="27" t="str">
        <f>_xlfn.XLOOKUP($C23,'GP1 (1)'!$B$6:$B$100,'GP1 (1)'!$E$6:$E$100,"")</f>
        <v/>
      </c>
      <c r="H23" s="28" t="str">
        <f>_xlfn.XLOOKUP($C23,'GP1 (2)'!$B$6:$B$100,'GP1 (2)'!$E$6:$E$100,"")</f>
        <v/>
      </c>
      <c r="I23" s="31">
        <f>_xlfn.XLOOKUP($C23,'GP2 (1)'!$B$6:$B$107,'GP2 (1)'!$E$6:$E$107,"")</f>
        <v>0.4</v>
      </c>
      <c r="J23" s="32">
        <f>_xlfn.XLOOKUP($C23,'GP2 (2)'!$B$6:$B$99,'GP2 (2)'!$E$6:$E$99,"")</f>
        <v>0.2</v>
      </c>
      <c r="K23" s="27">
        <f>_xlfn.XLOOKUP($C23,'GP3 (1)'!$B$6:$B$100,'GP3 (1)'!$E$6:$E$100,"")</f>
        <v>0.25</v>
      </c>
      <c r="L23" s="28">
        <f>_xlfn.XLOOKUP($C23,'GP3 (2)'!$B$6:$B$100,'GP3 (2)'!$E$6:$E$100,"")</f>
        <v>0.17</v>
      </c>
      <c r="M23" s="31">
        <f>_xlfn.XLOOKUP($C23,'GP4 (1)'!$B$6:$B$86,'GP4 (1)'!$E$6:$E$86,"")</f>
        <v>0.6</v>
      </c>
      <c r="N23" s="32">
        <f>_xlfn.XLOOKUP($C23,'GP4 (2)'!$B$6:$B$100,'GP4 (2)'!$E$6:$E$100,"")</f>
        <v>0.4</v>
      </c>
      <c r="O23" s="27" t="str">
        <f>_xlfn.XLOOKUP($C23,'GP5 (1)'!$B$6:$B$100,'GP5 (1)'!$E$6:$E$100,"")</f>
        <v/>
      </c>
      <c r="P23" s="29" t="str">
        <f>_xlfn.XLOOKUP($C23,'GP5 (2)'!$B$6:$B$100,'GP5 (2)'!$E$6:$E$100,"")</f>
        <v/>
      </c>
      <c r="Q23" s="13">
        <f t="shared" si="2"/>
        <v>116</v>
      </c>
      <c r="R23" s="33">
        <f>_xlfn.XLOOKUP($C23,'MP (1)'!$B$6:$B$100,'MP (1)'!$F$6:$F$100,"")</f>
        <v>19</v>
      </c>
      <c r="S23" s="32">
        <f>_xlfn.XLOOKUP($C23,'MP (2)'!$B$6:$B$100,'MP (2)'!$F$6:$F$100,"")</f>
        <v>16</v>
      </c>
      <c r="T23" s="27" t="str">
        <f>_xlfn.XLOOKUP($C23,'GP1 (1)'!$B$6:$B$100,'GP1 (1)'!$F$6:$F$100,"")</f>
        <v/>
      </c>
      <c r="U23" s="28" t="str">
        <f>_xlfn.XLOOKUP($C23,'GP1 (2)'!$B$6:$B$100,'GP1 (2)'!$F$6:$F$100,"")</f>
        <v/>
      </c>
      <c r="V23" s="31">
        <f>_xlfn.XLOOKUP($C23,'GP2 (1)'!$B$8:$B$107,'GP2 (1)'!$F$8:$F$107,"")</f>
        <v>17</v>
      </c>
      <c r="W23" s="32">
        <f>_xlfn.XLOOKUP($C23,'GP2 (2)'!$B$6:$B$99,'GP2 (2)'!$F$6:$F$99,"")</f>
        <v>14</v>
      </c>
      <c r="X23" s="27">
        <f>_xlfn.XLOOKUP($C23,'GP3 (1)'!$B$6:$B$100,'GP3 (1)'!$F$6:$F$100,"")</f>
        <v>11</v>
      </c>
      <c r="Y23" s="28">
        <f>_xlfn.XLOOKUP($C23,'GP3 (2)'!$B$6:$B$100,'GP3 (2)'!$F$6:$F$100,"")</f>
        <v>10</v>
      </c>
      <c r="Z23" s="31">
        <f>_xlfn.XLOOKUP($C23,'GP4 (1)'!$B$6:$B$86,'GP4 (1)'!$F$6:$F$86,"")</f>
        <v>18</v>
      </c>
      <c r="AA23" s="32">
        <f>_xlfn.XLOOKUP($C23,'GP4 (2)'!$B$6:$B$100,'GP4 (2)'!$F$6:$F$100,"")</f>
        <v>11</v>
      </c>
      <c r="AB23" s="27" t="str">
        <f>_xlfn.XLOOKUP($C23,'GP5 (1)'!$B$6:$B$100,'GP5 (1)'!$F$6:$F$100,"")</f>
        <v/>
      </c>
      <c r="AC23" s="29" t="str">
        <f>_xlfn.XLOOKUP($C23,'GP5 (2)'!$B$6:$B$100,'GP5 (2)'!$F$6:$F$100,"")</f>
        <v/>
      </c>
      <c r="AD23" s="13">
        <f t="shared" si="3"/>
        <v>-51</v>
      </c>
      <c r="AE23" s="33">
        <f>_xlfn.XLOOKUP($C23,'MP (1)'!$B$6:$B$100,'MP (1)'!$H$6:$H$100,"")</f>
        <v>-8</v>
      </c>
      <c r="AF23" s="32">
        <f>_xlfn.XLOOKUP($C23,'MP (2)'!$B$6:$B$100,'MP (2)'!$H$6:$H$100,"")</f>
        <v>-4</v>
      </c>
      <c r="AG23" s="27" t="str">
        <f>_xlfn.XLOOKUP($C23,'GP1 (1)'!$B$6:$B$100,'GP1 (1)'!$H$6:$H$100,"")</f>
        <v/>
      </c>
      <c r="AH23" s="28" t="str">
        <f>_xlfn.XLOOKUP($C23,'GP1 (2)'!$B$6:$B$100,'GP1 (2)'!$H$6:$H$100,"")</f>
        <v/>
      </c>
      <c r="AI23" s="31">
        <f>_xlfn.XLOOKUP($C23,'GP2 (1)'!$B$8:$B$107,'GP2 (1)'!$H$8:$H$107,"")</f>
        <v>-2</v>
      </c>
      <c r="AJ23" s="32">
        <f>_xlfn.XLOOKUP($C23,'GP2 (2)'!$B$6:$B$99,'GP2 (2)'!$H$6:$H$99,"")</f>
        <v>-9</v>
      </c>
      <c r="AK23" s="27">
        <f>_xlfn.XLOOKUP($C23,'GP3 (1)'!$B$6:$B$100,'GP3 (1)'!$H$6:$H$100,"")</f>
        <v>-4</v>
      </c>
      <c r="AL23" s="28">
        <f>_xlfn.XLOOKUP($C23,'GP3 (2)'!$B$6:$B$100,'GP3 (2)'!$H$6:$H$100,"")</f>
        <v>-17</v>
      </c>
      <c r="AM23" s="31">
        <f>_xlfn.XLOOKUP($C23,'GP4 (1)'!$B$6:$B$86,'GP4 (1)'!$H$6:$H$86,"")</f>
        <v>0</v>
      </c>
      <c r="AN23" s="32">
        <f>_xlfn.XLOOKUP($C23,'GP4 (2)'!$B$6:$B$100,'GP4 (2)'!$H$6:$H$100,"")</f>
        <v>-7</v>
      </c>
      <c r="AO23" s="27" t="str">
        <f>_xlfn.XLOOKUP($C23,'GP5 (1)'!$B$6:$B$100,'GP5 (1)'!$H$6:$H$100,"")</f>
        <v/>
      </c>
      <c r="AP23" s="30" t="str">
        <f>_xlfn.XLOOKUP($C23,'GP5 (2)'!$B$6:$B$100,'GP5 (2)'!$H$6:$H$100,"")</f>
        <v/>
      </c>
    </row>
    <row r="24" spans="1:42" ht="13.15" customHeight="1" x14ac:dyDescent="0.25">
      <c r="A24" s="1">
        <f t="shared" si="0"/>
        <v>20</v>
      </c>
      <c r="B24" s="36">
        <v>2</v>
      </c>
      <c r="C24" s="39" t="s">
        <v>30</v>
      </c>
      <c r="D24" s="40">
        <f t="shared" si="1"/>
        <v>2.63</v>
      </c>
      <c r="E24" s="33">
        <f>_xlfn.XLOOKUP($C24,'MP (1)'!$B$6:$B$100,'MP (1)'!$E$6:$E$100,"")</f>
        <v>0.33</v>
      </c>
      <c r="F24" s="32">
        <f>_xlfn.XLOOKUP($C24,'MP (2)'!$B$6:$B$100,'MP (2)'!$E$6:$E$100,"")</f>
        <v>0.2</v>
      </c>
      <c r="G24" s="27">
        <f>_xlfn.XLOOKUP($C24,'GP1 (1)'!$B$6:$B$100,'GP1 (1)'!$E$6:$E$100,"")</f>
        <v>0</v>
      </c>
      <c r="H24" s="28">
        <f>_xlfn.XLOOKUP($C24,'GP1 (2)'!$B$6:$B$100,'GP1 (2)'!$E$6:$E$100,"")</f>
        <v>0.33</v>
      </c>
      <c r="I24" s="31" t="str">
        <f>_xlfn.XLOOKUP($C24,'GP2 (1)'!$B$6:$B$107,'GP2 (1)'!$E$6:$E$107,"")</f>
        <v/>
      </c>
      <c r="J24" s="32" t="str">
        <f>_xlfn.XLOOKUP($C24,'GP2 (2)'!$B$6:$B$99,'GP2 (2)'!$E$6:$E$99,"")</f>
        <v/>
      </c>
      <c r="K24" s="27">
        <f>_xlfn.XLOOKUP($C24,'GP3 (1)'!$B$6:$B$100,'GP3 (1)'!$E$6:$E$100,"")</f>
        <v>0.2</v>
      </c>
      <c r="L24" s="28">
        <f>_xlfn.XLOOKUP($C24,'GP3 (2)'!$B$6:$B$100,'GP3 (2)'!$E$6:$E$100,"")</f>
        <v>0.5</v>
      </c>
      <c r="M24" s="31">
        <f>_xlfn.XLOOKUP($C24,'GP4 (1)'!$B$6:$B$86,'GP4 (1)'!$E$6:$E$86,"")</f>
        <v>0.17</v>
      </c>
      <c r="N24" s="32">
        <f>_xlfn.XLOOKUP($C24,'GP4 (2)'!$B$6:$B$100,'GP4 (2)'!$E$6:$E$100,"")</f>
        <v>0.4</v>
      </c>
      <c r="O24" s="27">
        <f>_xlfn.XLOOKUP($C24,'GP5 (1)'!$B$6:$B$100,'GP5 (1)'!$E$6:$E$100,"")</f>
        <v>0.25</v>
      </c>
      <c r="P24" s="29">
        <f>_xlfn.XLOOKUP($C24,'GP5 (2)'!$B$6:$B$100,'GP5 (2)'!$E$6:$E$100,"")</f>
        <v>0.25</v>
      </c>
      <c r="Q24" s="13">
        <f t="shared" si="2"/>
        <v>126</v>
      </c>
      <c r="R24" s="33">
        <f>_xlfn.XLOOKUP($C24,'MP (1)'!$B$6:$B$100,'MP (1)'!$F$6:$F$100,"")</f>
        <v>19</v>
      </c>
      <c r="S24" s="32">
        <f>_xlfn.XLOOKUP($C24,'MP (2)'!$B$6:$B$100,'MP (2)'!$F$6:$F$100,"")</f>
        <v>8</v>
      </c>
      <c r="T24" s="27">
        <f>_xlfn.XLOOKUP($C24,'GP1 (1)'!$B$6:$B$100,'GP1 (1)'!$F$6:$F$100,"")</f>
        <v>7</v>
      </c>
      <c r="U24" s="28">
        <f>_xlfn.XLOOKUP($C24,'GP1 (2)'!$B$6:$B$100,'GP1 (2)'!$F$6:$F$100,"")</f>
        <v>16</v>
      </c>
      <c r="V24" s="31" t="str">
        <f>_xlfn.XLOOKUP($C24,'GP2 (1)'!$B$8:$B$107,'GP2 (1)'!$F$8:$F$107,"")</f>
        <v/>
      </c>
      <c r="W24" s="32" t="str">
        <f>_xlfn.XLOOKUP($C24,'GP2 (2)'!$B$6:$B$99,'GP2 (2)'!$F$6:$F$99,"")</f>
        <v/>
      </c>
      <c r="X24" s="27">
        <f>_xlfn.XLOOKUP($C24,'GP3 (1)'!$B$6:$B$100,'GP3 (1)'!$F$6:$F$100,"")</f>
        <v>10</v>
      </c>
      <c r="Y24" s="28">
        <f>_xlfn.XLOOKUP($C24,'GP3 (2)'!$B$6:$B$100,'GP3 (2)'!$F$6:$F$100,"")</f>
        <v>20</v>
      </c>
      <c r="Z24" s="31">
        <f>_xlfn.XLOOKUP($C24,'GP4 (1)'!$B$6:$B$86,'GP4 (1)'!$F$6:$F$86,"")</f>
        <v>9</v>
      </c>
      <c r="AA24" s="32">
        <f>_xlfn.XLOOKUP($C24,'GP4 (2)'!$B$6:$B$100,'GP4 (2)'!$F$6:$F$100,"")</f>
        <v>19</v>
      </c>
      <c r="AB24" s="27">
        <f>_xlfn.XLOOKUP($C24,'GP5 (1)'!$B$6:$B$100,'GP5 (1)'!$F$6:$F$100,"")</f>
        <v>9</v>
      </c>
      <c r="AC24" s="29">
        <f>_xlfn.XLOOKUP($C24,'GP5 (2)'!$B$6:$B$100,'GP5 (2)'!$F$6:$F$100,"")</f>
        <v>9</v>
      </c>
      <c r="AD24" s="13">
        <f t="shared" si="3"/>
        <v>-96</v>
      </c>
      <c r="AE24" s="33">
        <f>_xlfn.XLOOKUP($C24,'MP (1)'!$B$6:$B$100,'MP (1)'!$H$6:$H$100,"")</f>
        <v>-6</v>
      </c>
      <c r="AF24" s="32">
        <f>_xlfn.XLOOKUP($C24,'MP (2)'!$B$6:$B$100,'MP (2)'!$H$6:$H$100,"")</f>
        <v>-15</v>
      </c>
      <c r="AG24" s="27">
        <f>_xlfn.XLOOKUP($C24,'GP1 (1)'!$B$6:$B$100,'GP1 (1)'!$H$6:$H$100,"")</f>
        <v>-18</v>
      </c>
      <c r="AH24" s="28">
        <f>_xlfn.XLOOKUP($C24,'GP1 (2)'!$B$6:$B$100,'GP1 (2)'!$H$6:$H$100,"")</f>
        <v>-10</v>
      </c>
      <c r="AI24" s="31" t="str">
        <f>_xlfn.XLOOKUP($C24,'GP2 (1)'!$B$8:$B$107,'GP2 (1)'!$H$8:$H$107,"")</f>
        <v/>
      </c>
      <c r="AJ24" s="32" t="str">
        <f>_xlfn.XLOOKUP($C24,'GP2 (2)'!$B$6:$B$99,'GP2 (2)'!$H$6:$H$99,"")</f>
        <v/>
      </c>
      <c r="AK24" s="27">
        <f>_xlfn.XLOOKUP($C24,'GP3 (1)'!$B$6:$B$100,'GP3 (1)'!$H$6:$H$100,"")</f>
        <v>-14</v>
      </c>
      <c r="AL24" s="28">
        <f>_xlfn.XLOOKUP($C24,'GP3 (2)'!$B$6:$B$100,'GP3 (2)'!$H$6:$H$100,"")</f>
        <v>-6</v>
      </c>
      <c r="AM24" s="31">
        <f>_xlfn.XLOOKUP($C24,'GP4 (1)'!$B$6:$B$86,'GP4 (1)'!$H$6:$H$86,"")</f>
        <v>-19</v>
      </c>
      <c r="AN24" s="32">
        <f>_xlfn.XLOOKUP($C24,'GP4 (2)'!$B$6:$B$100,'GP4 (2)'!$H$6:$H$100,"")</f>
        <v>2</v>
      </c>
      <c r="AO24" s="27">
        <f>_xlfn.XLOOKUP($C24,'GP5 (1)'!$B$6:$B$100,'GP5 (1)'!$H$6:$H$100,"")</f>
        <v>-10</v>
      </c>
      <c r="AP24" s="30">
        <f>_xlfn.XLOOKUP($C24,'GP5 (2)'!$B$6:$B$100,'GP5 (2)'!$H$6:$H$100,"")</f>
        <v>-7</v>
      </c>
    </row>
    <row r="25" spans="1:42" ht="13.15" customHeight="1" x14ac:dyDescent="0.25">
      <c r="A25" s="1">
        <f t="shared" si="0"/>
        <v>21</v>
      </c>
      <c r="B25" s="36">
        <v>0</v>
      </c>
      <c r="C25" s="4" t="s">
        <v>39</v>
      </c>
      <c r="D25" s="40">
        <f t="shared" si="1"/>
        <v>2.6</v>
      </c>
      <c r="E25" s="33">
        <f>_xlfn.XLOOKUP($C25,'MP (1)'!$B$6:$B$100,'MP (1)'!$E$6:$E$100,"")</f>
        <v>0.6</v>
      </c>
      <c r="F25" s="32">
        <f>_xlfn.XLOOKUP($C25,'MP (2)'!$B$6:$B$100,'MP (2)'!$E$6:$E$100,"")</f>
        <v>0.6</v>
      </c>
      <c r="G25" s="27" t="str">
        <f>_xlfn.XLOOKUP($C25,'GP1 (1)'!$B$6:$B$100,'GP1 (1)'!$E$6:$E$100,"")</f>
        <v/>
      </c>
      <c r="H25" s="28" t="str">
        <f>_xlfn.XLOOKUP($C25,'GP1 (2)'!$B$6:$B$100,'GP1 (2)'!$E$6:$E$100,"")</f>
        <v/>
      </c>
      <c r="I25" s="31">
        <f>_xlfn.XLOOKUP($C25,'GP2 (1)'!$B$8:$B$107,'GP2 (1)'!$E$8:$E$107,"")</f>
        <v>0.2</v>
      </c>
      <c r="J25" s="32">
        <f>_xlfn.XLOOKUP($C25,'GP2 (2)'!$B$6:$B$99,'GP2 (2)'!$E$6:$E$99,"")</f>
        <v>0.6</v>
      </c>
      <c r="K25" s="27" t="str">
        <f>_xlfn.XLOOKUP($C25,'GP3 (1)'!$B$6:$B$100,'GP3 (1)'!$E$6:$E$100,"")</f>
        <v/>
      </c>
      <c r="L25" s="28" t="str">
        <f>_xlfn.XLOOKUP($C25,'GP3 (2)'!$B$6:$B$100,'GP3 (2)'!$E$6:$E$100,"")</f>
        <v/>
      </c>
      <c r="M25" s="31">
        <f>_xlfn.XLOOKUP($C25,'GP4 (1)'!$B$6:$B$86,'GP4 (1)'!$E$6:$E$86,"")</f>
        <v>0.4</v>
      </c>
      <c r="N25" s="32">
        <f>_xlfn.XLOOKUP($C25,'GP4 (2)'!$B$6:$B$100,'GP4 (2)'!$E$6:$E$100,"")</f>
        <v>0.2</v>
      </c>
      <c r="O25" s="27" t="str">
        <f>_xlfn.XLOOKUP($C25,'GP5 (1)'!$B$6:$B$100,'GP5 (1)'!$E$6:$E$100,"")</f>
        <v/>
      </c>
      <c r="P25" s="29" t="str">
        <f>_xlfn.XLOOKUP($C25,'GP5 (2)'!$B$6:$B$100,'GP5 (2)'!$E$6:$E$100,"")</f>
        <v/>
      </c>
      <c r="Q25" s="13">
        <f t="shared" si="2"/>
        <v>96</v>
      </c>
      <c r="R25" s="33">
        <f>_xlfn.XLOOKUP($C25,'MP (1)'!$B$6:$B$100,'MP (1)'!$F$6:$F$100,"")</f>
        <v>21</v>
      </c>
      <c r="S25" s="32">
        <f>_xlfn.XLOOKUP($C25,'MP (2)'!$B$6:$B$100,'MP (2)'!$F$6:$F$100,"")</f>
        <v>16</v>
      </c>
      <c r="T25" s="27" t="str">
        <f>_xlfn.XLOOKUP($C25,'GP1 (1)'!$B$6:$B$100,'GP1 (1)'!$F$6:$F$100,"")</f>
        <v/>
      </c>
      <c r="U25" s="28" t="str">
        <f>_xlfn.XLOOKUP($C25,'GP1 (2)'!$B$6:$B$100,'GP1 (2)'!$F$6:$F$100,"")</f>
        <v/>
      </c>
      <c r="V25" s="31">
        <f>_xlfn.XLOOKUP($C25,'GP2 (1)'!$B$8:$B$107,'GP2 (1)'!$F$8:$F$107,"")</f>
        <v>15</v>
      </c>
      <c r="W25" s="32">
        <f>_xlfn.XLOOKUP($C25,'GP2 (2)'!$B$6:$B$99,'GP2 (2)'!$F$6:$F$99,"")</f>
        <v>17</v>
      </c>
      <c r="X25" s="27" t="str">
        <f>_xlfn.XLOOKUP($C25,'GP3 (1)'!$B$6:$B$100,'GP3 (1)'!$F$6:$F$100,"")</f>
        <v/>
      </c>
      <c r="Y25" s="28" t="str">
        <f>_xlfn.XLOOKUP($C25,'GP3 (2)'!$B$6:$B$100,'GP3 (2)'!$F$6:$F$100,"")</f>
        <v/>
      </c>
      <c r="Z25" s="31">
        <f>_xlfn.XLOOKUP($C25,'GP4 (1)'!$B$6:$B$86,'GP4 (1)'!$F$6:$F$86,"")</f>
        <v>18</v>
      </c>
      <c r="AA25" s="32">
        <f>_xlfn.XLOOKUP($C25,'GP4 (2)'!$B$6:$B$100,'GP4 (2)'!$F$6:$F$100,"")</f>
        <v>9</v>
      </c>
      <c r="AB25" s="27" t="str">
        <f>_xlfn.XLOOKUP($C25,'GP5 (1)'!$B$6:$B$100,'GP5 (1)'!$F$6:$F$100,"")</f>
        <v/>
      </c>
      <c r="AC25" s="29" t="str">
        <f>_xlfn.XLOOKUP($C25,'GP5 (2)'!$B$6:$B$100,'GP5 (2)'!$F$6:$F$100,"")</f>
        <v/>
      </c>
      <c r="AD25" s="13">
        <f t="shared" si="3"/>
        <v>-11</v>
      </c>
      <c r="AE25" s="33">
        <f>_xlfn.XLOOKUP($C25,'MP (1)'!$B$6:$B$100,'MP (1)'!$H$6:$H$100,"")</f>
        <v>6</v>
      </c>
      <c r="AF25" s="32">
        <f>_xlfn.XLOOKUP($C25,'MP (2)'!$B$6:$B$100,'MP (2)'!$H$6:$H$100,"")</f>
        <v>-1</v>
      </c>
      <c r="AG25" s="27" t="str">
        <f>_xlfn.XLOOKUP($C25,'GP1 (1)'!$B$6:$B$100,'GP1 (1)'!$H$6:$H$100,"")</f>
        <v/>
      </c>
      <c r="AH25" s="28" t="str">
        <f>_xlfn.XLOOKUP($C25,'GP1 (2)'!$B$6:$B$100,'GP1 (2)'!$H$6:$H$100,"")</f>
        <v/>
      </c>
      <c r="AI25" s="31">
        <f>_xlfn.XLOOKUP($C25,'GP2 (1)'!$B$8:$B$107,'GP2 (1)'!$H$8:$H$107,"")</f>
        <v>-5</v>
      </c>
      <c r="AJ25" s="32">
        <f>_xlfn.XLOOKUP($C25,'GP2 (2)'!$B$6:$B$99,'GP2 (2)'!$H$6:$H$99,"")</f>
        <v>-1</v>
      </c>
      <c r="AK25" s="27" t="str">
        <f>_xlfn.XLOOKUP($C25,'GP3 (1)'!$B$6:$B$100,'GP3 (1)'!$H$6:$H$100,"")</f>
        <v/>
      </c>
      <c r="AL25" s="28" t="str">
        <f>_xlfn.XLOOKUP($C25,'GP3 (2)'!$B$6:$B$100,'GP3 (2)'!$H$6:$H$100,"")</f>
        <v/>
      </c>
      <c r="AM25" s="31">
        <f>_xlfn.XLOOKUP($C25,'GP4 (1)'!$B$6:$B$86,'GP4 (1)'!$H$6:$H$86,"")</f>
        <v>2</v>
      </c>
      <c r="AN25" s="32">
        <f>_xlfn.XLOOKUP($C25,'GP4 (2)'!$B$6:$B$100,'GP4 (2)'!$H$6:$H$100,"")</f>
        <v>-12</v>
      </c>
      <c r="AO25" s="27" t="str">
        <f>_xlfn.XLOOKUP($C25,'GP5 (1)'!$B$6:$B$100,'GP5 (1)'!$H$6:$H$100,"")</f>
        <v/>
      </c>
      <c r="AP25" s="30" t="str">
        <f>_xlfn.XLOOKUP($C25,'GP5 (2)'!$B$6:$B$100,'GP5 (2)'!$H$6:$H$100,"")</f>
        <v/>
      </c>
    </row>
    <row r="26" spans="1:42" ht="13.15" customHeight="1" x14ac:dyDescent="0.25">
      <c r="A26" s="1">
        <f t="shared" si="0"/>
        <v>22</v>
      </c>
      <c r="B26" s="36">
        <v>2</v>
      </c>
      <c r="C26" s="4" t="s">
        <v>34</v>
      </c>
      <c r="D26" s="40">
        <f t="shared" si="1"/>
        <v>2.4700000000000002</v>
      </c>
      <c r="E26" s="33" t="str">
        <f>_xlfn.XLOOKUP($C26,'MP (1)'!$B$6:$B$100,'MP (1)'!$E$6:$E$100,"")</f>
        <v/>
      </c>
      <c r="F26" s="32" t="str">
        <f>_xlfn.XLOOKUP($C26,'MP (2)'!$B$6:$B$100,'MP (2)'!$E$6:$E$100,"")</f>
        <v/>
      </c>
      <c r="G26" s="27" t="str">
        <f>_xlfn.XLOOKUP($C26,'GP1 (1)'!$B$6:$B$100,'GP1 (1)'!$E$6:$E$100,"")</f>
        <v/>
      </c>
      <c r="H26" s="28" t="str">
        <f>_xlfn.XLOOKUP($C26,'GP1 (2)'!$B$6:$B$100,'GP1 (2)'!$E$6:$E$100,"")</f>
        <v/>
      </c>
      <c r="I26" s="31">
        <f>_xlfn.XLOOKUP($C26,'GP2 (1)'!$B$6:$B$107,'GP2 (1)'!$E$6:$E$107,"")</f>
        <v>0.6</v>
      </c>
      <c r="J26" s="32">
        <f>_xlfn.XLOOKUP($C26,'GP2 (2)'!$B$6:$B$99,'GP2 (2)'!$E$6:$E$99,"")</f>
        <v>0.67</v>
      </c>
      <c r="K26" s="27" t="str">
        <f>_xlfn.XLOOKUP($C26,'GP3 (1)'!$B$6:$B$100,'GP3 (1)'!$E$6:$E$100,"")</f>
        <v/>
      </c>
      <c r="L26" s="28" t="str">
        <f>_xlfn.XLOOKUP($C26,'GP3 (2)'!$B$6:$B$100,'GP3 (2)'!$E$6:$E$100,"")</f>
        <v/>
      </c>
      <c r="M26" s="31">
        <f>_xlfn.XLOOKUP($C26,'GP4 (1)'!$B$6:$B$86,'GP4 (1)'!$E$6:$E$86,"")</f>
        <v>0.6</v>
      </c>
      <c r="N26" s="32">
        <f>_xlfn.XLOOKUP($C26,'GP4 (2)'!$B$6:$B$100,'GP4 (2)'!$E$6:$E$100,"")</f>
        <v>0.6</v>
      </c>
      <c r="O26" s="27" t="str">
        <f>_xlfn.XLOOKUP($C26,'GP5 (1)'!$B$6:$B$100,'GP5 (1)'!$E$6:$E$100,"")</f>
        <v/>
      </c>
      <c r="P26" s="29" t="str">
        <f>_xlfn.XLOOKUP($C26,'GP5 (2)'!$B$6:$B$100,'GP5 (2)'!$E$6:$E$100,"")</f>
        <v/>
      </c>
      <c r="Q26" s="13">
        <f t="shared" si="2"/>
        <v>81</v>
      </c>
      <c r="R26" s="33" t="str">
        <f>_xlfn.XLOOKUP($C26,'MP (1)'!$B$6:$B$100,'MP (1)'!$F$6:$F$100,"")</f>
        <v/>
      </c>
      <c r="S26" s="32" t="str">
        <f>_xlfn.XLOOKUP($C26,'MP (2)'!$B$6:$B$100,'MP (2)'!$F$6:$F$100,"")</f>
        <v/>
      </c>
      <c r="T26" s="27" t="str">
        <f>_xlfn.XLOOKUP($C26,'GP1 (1)'!$B$6:$B$100,'GP1 (1)'!$F$6:$F$100,"")</f>
        <v/>
      </c>
      <c r="U26" s="28" t="str">
        <f>_xlfn.XLOOKUP($C26,'GP1 (2)'!$B$6:$B$100,'GP1 (2)'!$F$6:$F$100,"")</f>
        <v/>
      </c>
      <c r="V26" s="31">
        <f>_xlfn.XLOOKUP($C26,'GP2 (1)'!$B$8:$B$107,'GP2 (1)'!$F$8:$F$107,"")</f>
        <v>20</v>
      </c>
      <c r="W26" s="32">
        <f>_xlfn.XLOOKUP($C26,'GP2 (2)'!$B$6:$B$99,'GP2 (2)'!$F$6:$F$99,"")</f>
        <v>21</v>
      </c>
      <c r="X26" s="27" t="str">
        <f>_xlfn.XLOOKUP($C26,'GP3 (1)'!$B$6:$B$100,'GP3 (1)'!$F$6:$F$100,"")</f>
        <v/>
      </c>
      <c r="Y26" s="28" t="str">
        <f>_xlfn.XLOOKUP($C26,'GP3 (2)'!$B$6:$B$100,'GP3 (2)'!$F$6:$F$100,"")</f>
        <v/>
      </c>
      <c r="Z26" s="31">
        <f>_xlfn.XLOOKUP($C26,'GP4 (1)'!$B$6:$B$86,'GP4 (1)'!$F$6:$F$86,"")</f>
        <v>21</v>
      </c>
      <c r="AA26" s="32">
        <f>_xlfn.XLOOKUP($C26,'GP4 (2)'!$B$6:$B$100,'GP4 (2)'!$F$6:$F$100,"")</f>
        <v>19</v>
      </c>
      <c r="AB26" s="27" t="str">
        <f>_xlfn.XLOOKUP($C26,'GP5 (1)'!$B$6:$B$100,'GP5 (1)'!$F$6:$F$100,"")</f>
        <v/>
      </c>
      <c r="AC26" s="29" t="str">
        <f>_xlfn.XLOOKUP($C26,'GP5 (2)'!$B$6:$B$100,'GP5 (2)'!$F$6:$F$100,"")</f>
        <v/>
      </c>
      <c r="AD26" s="13">
        <f t="shared" si="3"/>
        <v>19</v>
      </c>
      <c r="AE26" s="33" t="str">
        <f>_xlfn.XLOOKUP($C26,'MP (1)'!$B$6:$B$100,'MP (1)'!$H$6:$H$100,"")</f>
        <v/>
      </c>
      <c r="AF26" s="32" t="str">
        <f>_xlfn.XLOOKUP($C26,'MP (2)'!$B$6:$B$100,'MP (2)'!$H$6:$H$100,"")</f>
        <v/>
      </c>
      <c r="AG26" s="27" t="str">
        <f>_xlfn.XLOOKUP($C26,'GP1 (1)'!$B$6:$B$100,'GP1 (1)'!$H$6:$H$100,"")</f>
        <v/>
      </c>
      <c r="AH26" s="28" t="str">
        <f>_xlfn.XLOOKUP($C26,'GP1 (2)'!$B$6:$B$100,'GP1 (2)'!$H$6:$H$100,"")</f>
        <v/>
      </c>
      <c r="AI26" s="31">
        <f>_xlfn.XLOOKUP($C26,'GP2 (1)'!$B$8:$B$107,'GP2 (1)'!$H$8:$H$107,"")</f>
        <v>6</v>
      </c>
      <c r="AJ26" s="32">
        <f>_xlfn.XLOOKUP($C26,'GP2 (2)'!$B$6:$B$99,'GP2 (2)'!$H$6:$H$99,"")</f>
        <v>-1</v>
      </c>
      <c r="AK26" s="27" t="str">
        <f>_xlfn.XLOOKUP($C26,'GP3 (1)'!$B$6:$B$100,'GP3 (1)'!$H$6:$H$100,"")</f>
        <v/>
      </c>
      <c r="AL26" s="28" t="str">
        <f>_xlfn.XLOOKUP($C26,'GP3 (2)'!$B$6:$B$100,'GP3 (2)'!$H$6:$H$100,"")</f>
        <v/>
      </c>
      <c r="AM26" s="31">
        <f>_xlfn.XLOOKUP($C26,'GP4 (1)'!$B$6:$B$86,'GP4 (1)'!$H$6:$H$86,"")</f>
        <v>9</v>
      </c>
      <c r="AN26" s="32">
        <f>_xlfn.XLOOKUP($C26,'GP4 (2)'!$B$6:$B$100,'GP4 (2)'!$H$6:$H$100,"")</f>
        <v>5</v>
      </c>
      <c r="AO26" s="27" t="str">
        <f>_xlfn.XLOOKUP($C26,'GP5 (1)'!$B$6:$B$100,'GP5 (1)'!$H$6:$H$100,"")</f>
        <v/>
      </c>
      <c r="AP26" s="30" t="str">
        <f>_xlfn.XLOOKUP($C26,'GP5 (2)'!$B$6:$B$100,'GP5 (2)'!$H$6:$H$100,"")</f>
        <v/>
      </c>
    </row>
    <row r="27" spans="1:42" ht="13.15" customHeight="1" x14ac:dyDescent="0.25">
      <c r="A27" s="1">
        <f t="shared" si="0"/>
        <v>23</v>
      </c>
      <c r="B27" s="36">
        <v>3</v>
      </c>
      <c r="C27" s="4" t="s">
        <v>31</v>
      </c>
      <c r="D27" s="40">
        <f t="shared" si="1"/>
        <v>2.2999999999999998</v>
      </c>
      <c r="E27" s="33">
        <f>_xlfn.XLOOKUP($C27,'MP (1)'!$B$6:$B$100,'MP (1)'!$E$6:$E$100,"")</f>
        <v>0.5</v>
      </c>
      <c r="F27" s="32">
        <f>_xlfn.XLOOKUP($C27,'MP (2)'!$B$6:$B$100,'MP (2)'!$E$6:$E$100,"")</f>
        <v>0.4</v>
      </c>
      <c r="G27" s="27" t="str">
        <f>_xlfn.XLOOKUP($C27,'GP1 (1)'!$B$6:$B$100,'GP1 (1)'!$E$6:$E$100,"")</f>
        <v/>
      </c>
      <c r="H27" s="28" t="str">
        <f>_xlfn.XLOOKUP($C27,'GP1 (2)'!$B$6:$B$100,'GP1 (2)'!$E$6:$E$100,"")</f>
        <v/>
      </c>
      <c r="I27" s="31" t="str">
        <f>_xlfn.XLOOKUP($C27,'GP2 (1)'!$B$6:$B$107,'GP2 (1)'!$E$6:$E$107,"")</f>
        <v/>
      </c>
      <c r="J27" s="32" t="str">
        <f>_xlfn.XLOOKUP($C27,'GP2 (2)'!$B$6:$B$99,'GP2 (2)'!$E$6:$E$99,"")</f>
        <v/>
      </c>
      <c r="K27" s="27">
        <f>_xlfn.XLOOKUP($C27,'GP3 (1)'!$B$6:$B$100,'GP3 (1)'!$E$6:$E$100,"")</f>
        <v>0.25</v>
      </c>
      <c r="L27" s="28">
        <f>_xlfn.XLOOKUP($C27,'GP3 (2)'!$B$6:$B$100,'GP3 (2)'!$E$6:$E$100,"")</f>
        <v>0</v>
      </c>
      <c r="M27" s="31">
        <f>_xlfn.XLOOKUP($C27,'GP4 (1)'!$B$6:$B$86,'GP4 (1)'!$E$6:$E$86,"")</f>
        <v>0.2</v>
      </c>
      <c r="N27" s="32">
        <f>_xlfn.XLOOKUP($C27,'GP4 (2)'!$B$6:$B$100,'GP4 (2)'!$E$6:$E$100,"")</f>
        <v>0.2</v>
      </c>
      <c r="O27" s="27">
        <f>_xlfn.XLOOKUP($C27,'GP5 (1)'!$B$6:$B$100,'GP5 (1)'!$E$6:$E$100,"")</f>
        <v>0.5</v>
      </c>
      <c r="P27" s="29">
        <f>_xlfn.XLOOKUP($C27,'GP5 (2)'!$B$6:$B$100,'GP5 (2)'!$E$6:$E$100,"")</f>
        <v>0.25</v>
      </c>
      <c r="Q27" s="13">
        <f t="shared" si="2"/>
        <v>113</v>
      </c>
      <c r="R27" s="33">
        <f>_xlfn.XLOOKUP($C27,'MP (1)'!$B$6:$B$100,'MP (1)'!$F$6:$F$100,"")</f>
        <v>22</v>
      </c>
      <c r="S27" s="32">
        <f>_xlfn.XLOOKUP($C27,'MP (2)'!$B$6:$B$100,'MP (2)'!$F$6:$F$100,"")</f>
        <v>20</v>
      </c>
      <c r="T27" s="27" t="str">
        <f>_xlfn.XLOOKUP($C27,'GP1 (1)'!$B$6:$B$100,'GP1 (1)'!$F$6:$F$100,"")</f>
        <v/>
      </c>
      <c r="U27" s="28" t="str">
        <f>_xlfn.XLOOKUP($C27,'GP1 (2)'!$B$6:$B$100,'GP1 (2)'!$F$6:$F$100,"")</f>
        <v/>
      </c>
      <c r="V27" s="31" t="str">
        <f>_xlfn.XLOOKUP($C27,'GP2 (1)'!$B$8:$B$107,'GP2 (1)'!$F$8:$F$107,"")</f>
        <v/>
      </c>
      <c r="W27" s="32" t="str">
        <f>_xlfn.XLOOKUP($C27,'GP2 (2)'!$B$6:$B$99,'GP2 (2)'!$F$6:$F$99,"")</f>
        <v/>
      </c>
      <c r="X27" s="27">
        <f>_xlfn.XLOOKUP($C27,'GP3 (1)'!$B$6:$B$100,'GP3 (1)'!$F$6:$F$100,"")</f>
        <v>8</v>
      </c>
      <c r="Y27" s="28">
        <f>_xlfn.XLOOKUP($C27,'GP3 (2)'!$B$6:$B$100,'GP3 (2)'!$F$6:$F$100,"")</f>
        <v>15</v>
      </c>
      <c r="Z27" s="31">
        <f>_xlfn.XLOOKUP($C27,'GP4 (1)'!$B$6:$B$86,'GP4 (1)'!$F$6:$F$86,"")</f>
        <v>14</v>
      </c>
      <c r="AA27" s="32">
        <f>_xlfn.XLOOKUP($C27,'GP4 (2)'!$B$6:$B$100,'GP4 (2)'!$F$6:$F$100,"")</f>
        <v>12</v>
      </c>
      <c r="AB27" s="27">
        <f>_xlfn.XLOOKUP($C27,'GP5 (1)'!$B$6:$B$100,'GP5 (1)'!$F$6:$F$100,"")</f>
        <v>12</v>
      </c>
      <c r="AC27" s="29">
        <f>_xlfn.XLOOKUP($C27,'GP5 (2)'!$B$6:$B$100,'GP5 (2)'!$F$6:$F$100,"")</f>
        <v>10</v>
      </c>
      <c r="AD27" s="13">
        <f t="shared" si="3"/>
        <v>-46</v>
      </c>
      <c r="AE27" s="33">
        <f>_xlfn.XLOOKUP($C27,'MP (1)'!$B$6:$B$100,'MP (1)'!$H$6:$H$100,"")</f>
        <v>-1</v>
      </c>
      <c r="AF27" s="32">
        <f>_xlfn.XLOOKUP($C27,'MP (2)'!$B$6:$B$100,'MP (2)'!$H$6:$H$100,"")</f>
        <v>-1</v>
      </c>
      <c r="AG27" s="27" t="str">
        <f>_xlfn.XLOOKUP($C27,'GP1 (1)'!$B$6:$B$100,'GP1 (1)'!$H$6:$H$100,"")</f>
        <v/>
      </c>
      <c r="AH27" s="28" t="str">
        <f>_xlfn.XLOOKUP($C27,'GP1 (2)'!$B$6:$B$100,'GP1 (2)'!$H$6:$H$100,"")</f>
        <v/>
      </c>
      <c r="AI27" s="31" t="str">
        <f>_xlfn.XLOOKUP($C27,'GP2 (1)'!$B$8:$B$107,'GP2 (1)'!$H$8:$H$107,"")</f>
        <v/>
      </c>
      <c r="AJ27" s="32" t="str">
        <f>_xlfn.XLOOKUP($C27,'GP2 (2)'!$B$6:$B$99,'GP2 (2)'!$H$6:$H$99,"")</f>
        <v/>
      </c>
      <c r="AK27" s="27">
        <f>_xlfn.XLOOKUP($C27,'GP3 (1)'!$B$6:$B$100,'GP3 (1)'!$H$6:$H$100,"")</f>
        <v>-9</v>
      </c>
      <c r="AL27" s="28">
        <f>_xlfn.XLOOKUP($C27,'GP3 (2)'!$B$6:$B$100,'GP3 (2)'!$H$6:$H$100,"")</f>
        <v>-15</v>
      </c>
      <c r="AM27" s="31">
        <f>_xlfn.XLOOKUP($C27,'GP4 (1)'!$B$6:$B$86,'GP4 (1)'!$H$6:$H$86,"")</f>
        <v>-7</v>
      </c>
      <c r="AN27" s="32">
        <f>_xlfn.XLOOKUP($C27,'GP4 (2)'!$B$6:$B$100,'GP4 (2)'!$H$6:$H$100,"")</f>
        <v>-10</v>
      </c>
      <c r="AO27" s="27">
        <f>_xlfn.XLOOKUP($C27,'GP5 (1)'!$B$6:$B$100,'GP5 (1)'!$H$6:$H$100,"")</f>
        <v>-3</v>
      </c>
      <c r="AP27" s="30">
        <f>_xlfn.XLOOKUP($C27,'GP5 (2)'!$B$6:$B$100,'GP5 (2)'!$H$6:$H$100,"")</f>
        <v>-6</v>
      </c>
    </row>
    <row r="28" spans="1:42" ht="13.15" customHeight="1" x14ac:dyDescent="0.25">
      <c r="A28" s="1">
        <f t="shared" si="0"/>
        <v>24</v>
      </c>
      <c r="B28" s="36">
        <v>1</v>
      </c>
      <c r="C28" s="4" t="s">
        <v>50</v>
      </c>
      <c r="D28" s="40">
        <f t="shared" si="1"/>
        <v>2.2600000000000002</v>
      </c>
      <c r="E28" s="33" t="str">
        <f>_xlfn.XLOOKUP($C28,'MP (1)'!$B$6:$B$100,'MP (1)'!$E$6:$E$100,"")</f>
        <v/>
      </c>
      <c r="F28" s="32" t="str">
        <f>_xlfn.XLOOKUP($C28,'MP (2)'!$B$6:$B$100,'MP (2)'!$E$6:$E$100,"")</f>
        <v/>
      </c>
      <c r="G28" s="27">
        <f>_xlfn.XLOOKUP($C28,'GP1 (1)'!$B$6:$B$100,'GP1 (1)'!$E$6:$E$100,"")</f>
        <v>0.83</v>
      </c>
      <c r="H28" s="28">
        <f>_xlfn.XLOOKUP($C28,'GP1 (2)'!$B$6:$B$100,'GP1 (2)'!$E$6:$E$100,"")</f>
        <v>0.5</v>
      </c>
      <c r="I28" s="31">
        <f>_xlfn.XLOOKUP($C28,'GP2 (1)'!$B$6:$B$107,'GP2 (1)'!$E$6:$E$107,"")</f>
        <v>0.33</v>
      </c>
      <c r="J28" s="32">
        <f>_xlfn.XLOOKUP($C28,'GP2 (2)'!$B$6:$B$99,'GP2 (2)'!$E$6:$E$99,"")</f>
        <v>0.6</v>
      </c>
      <c r="K28" s="27" t="str">
        <f>_xlfn.XLOOKUP($C28,'GP3 (1)'!$B$6:$B$100,'GP3 (1)'!$E$6:$E$100,"")</f>
        <v/>
      </c>
      <c r="L28" s="28" t="str">
        <f>_xlfn.XLOOKUP($C28,'GP3 (2)'!$B$6:$B$100,'GP3 (2)'!$E$6:$E$100,"")</f>
        <v/>
      </c>
      <c r="M28" s="31" t="str">
        <f>_xlfn.XLOOKUP($C28,'GP4 (1)'!$B$6:$B$86,'GP4 (1)'!$E$6:$E$86,"")</f>
        <v/>
      </c>
      <c r="N28" s="32" t="str">
        <f>_xlfn.XLOOKUP($C28,'GP4 (2)'!$B$6:$B$100,'GP4 (2)'!$E$6:$E$100,"")</f>
        <v/>
      </c>
      <c r="O28" s="27" t="str">
        <f>_xlfn.XLOOKUP($C28,'GP5 (1)'!$B$6:$B$100,'GP5 (1)'!$E$6:$E$100,"")</f>
        <v/>
      </c>
      <c r="P28" s="29" t="str">
        <f>_xlfn.XLOOKUP($C28,'GP5 (2)'!$B$6:$B$100,'GP5 (2)'!$E$6:$E$100,"")</f>
        <v/>
      </c>
      <c r="Q28" s="13">
        <f t="shared" si="2"/>
        <v>89</v>
      </c>
      <c r="R28" s="33" t="str">
        <f>_xlfn.XLOOKUP($C28,'MP (1)'!$B$6:$B$100,'MP (1)'!$F$6:$F$100,"")</f>
        <v/>
      </c>
      <c r="S28" s="32" t="str">
        <f>_xlfn.XLOOKUP($C28,'MP (2)'!$B$6:$B$100,'MP (2)'!$F$6:$F$100,"")</f>
        <v/>
      </c>
      <c r="T28" s="27">
        <f>_xlfn.XLOOKUP($C28,'GP1 (1)'!$B$6:$B$100,'GP1 (1)'!$F$6:$F$100,"")</f>
        <v>27</v>
      </c>
      <c r="U28" s="28">
        <f>_xlfn.XLOOKUP($C28,'GP1 (2)'!$B$6:$B$100,'GP1 (2)'!$F$6:$F$100,"")</f>
        <v>23</v>
      </c>
      <c r="V28" s="31">
        <f>_xlfn.XLOOKUP($C28,'GP2 (1)'!$B$8:$B$107,'GP2 (1)'!$F$8:$F$107,"")</f>
        <v>16</v>
      </c>
      <c r="W28" s="32">
        <f>_xlfn.XLOOKUP($C28,'GP2 (2)'!$B$6:$B$99,'GP2 (2)'!$F$6:$F$99,"")</f>
        <v>23</v>
      </c>
      <c r="X28" s="27" t="str">
        <f>_xlfn.XLOOKUP($C28,'GP3 (1)'!$B$6:$B$100,'GP3 (1)'!$F$6:$F$100,"")</f>
        <v/>
      </c>
      <c r="Y28" s="28" t="str">
        <f>_xlfn.XLOOKUP($C28,'GP3 (2)'!$B$6:$B$100,'GP3 (2)'!$F$6:$F$100,"")</f>
        <v/>
      </c>
      <c r="Z28" s="31" t="str">
        <f>_xlfn.XLOOKUP($C28,'GP4 (1)'!$B$6:$B$86,'GP4 (1)'!$F$6:$F$86,"")</f>
        <v/>
      </c>
      <c r="AA28" s="32" t="str">
        <f>_xlfn.XLOOKUP($C28,'GP4 (2)'!$B$6:$B$100,'GP4 (2)'!$F$6:$F$100,"")</f>
        <v/>
      </c>
      <c r="AB28" s="27" t="str">
        <f>_xlfn.XLOOKUP($C28,'GP5 (1)'!$B$6:$B$100,'GP5 (1)'!$F$6:$F$100,"")</f>
        <v/>
      </c>
      <c r="AC28" s="29" t="str">
        <f>_xlfn.XLOOKUP($C28,'GP5 (2)'!$B$6:$B$100,'GP5 (2)'!$F$6:$F$100,"")</f>
        <v/>
      </c>
      <c r="AD28" s="13">
        <f t="shared" si="3"/>
        <v>9</v>
      </c>
      <c r="AE28" s="33" t="str">
        <f>_xlfn.XLOOKUP($C28,'MP (1)'!$B$6:$B$100,'MP (1)'!$H$6:$H$100,"")</f>
        <v/>
      </c>
      <c r="AF28" s="32" t="str">
        <f>_xlfn.XLOOKUP($C28,'MP (2)'!$B$6:$B$100,'MP (2)'!$H$6:$H$100,"")</f>
        <v/>
      </c>
      <c r="AG28" s="27">
        <f>_xlfn.XLOOKUP($C28,'GP1 (1)'!$B$6:$B$100,'GP1 (1)'!$H$6:$H$100,"")</f>
        <v>9</v>
      </c>
      <c r="AH28" s="28">
        <f>_xlfn.XLOOKUP($C28,'GP1 (2)'!$B$6:$B$100,'GP1 (2)'!$H$6:$H$100,"")</f>
        <v>5</v>
      </c>
      <c r="AI28" s="31">
        <f>_xlfn.XLOOKUP($C28,'GP2 (1)'!$B$8:$B$107,'GP2 (1)'!$H$8:$H$107,"")</f>
        <v>-8</v>
      </c>
      <c r="AJ28" s="32">
        <f>_xlfn.XLOOKUP($C28,'GP2 (2)'!$B$6:$B$99,'GP2 (2)'!$H$6:$H$99,"")</f>
        <v>3</v>
      </c>
      <c r="AK28" s="27" t="str">
        <f>_xlfn.XLOOKUP($C28,'GP3 (1)'!$B$6:$B$100,'GP3 (1)'!$H$6:$H$100,"")</f>
        <v/>
      </c>
      <c r="AL28" s="28" t="str">
        <f>_xlfn.XLOOKUP($C28,'GP3 (2)'!$B$6:$B$100,'GP3 (2)'!$H$6:$H$100,"")</f>
        <v/>
      </c>
      <c r="AM28" s="31" t="str">
        <f>_xlfn.XLOOKUP($C28,'GP4 (1)'!$B$6:$B$86,'GP4 (1)'!$H$6:$H$86,"")</f>
        <v/>
      </c>
      <c r="AN28" s="32" t="str">
        <f>_xlfn.XLOOKUP($C28,'GP4 (2)'!$B$6:$B$100,'GP4 (2)'!$H$6:$H$100,"")</f>
        <v/>
      </c>
      <c r="AO28" s="27" t="str">
        <f>_xlfn.XLOOKUP($C28,'GP5 (1)'!$B$6:$B$100,'GP5 (1)'!$H$6:$H$100,"")</f>
        <v/>
      </c>
      <c r="AP28" s="30" t="str">
        <f>_xlfn.XLOOKUP($C28,'GP5 (2)'!$B$6:$B$100,'GP5 (2)'!$H$6:$H$100,"")</f>
        <v/>
      </c>
    </row>
    <row r="29" spans="1:42" ht="13.15" customHeight="1" x14ac:dyDescent="0.25">
      <c r="A29" s="1">
        <f t="shared" si="0"/>
        <v>25</v>
      </c>
      <c r="B29" s="36">
        <v>3</v>
      </c>
      <c r="C29" s="4" t="s">
        <v>44</v>
      </c>
      <c r="D29" s="40">
        <f t="shared" si="1"/>
        <v>2.23</v>
      </c>
      <c r="E29" s="33">
        <f>_xlfn.XLOOKUP($C29,'MP (1)'!$B$6:$B$100,'MP (1)'!$E$6:$E$100,"")</f>
        <v>0.2</v>
      </c>
      <c r="F29" s="32">
        <f>_xlfn.XLOOKUP($C29,'MP (2)'!$B$6:$B$100,'MP (2)'!$E$6:$E$100,"")</f>
        <v>0.2</v>
      </c>
      <c r="G29" s="27">
        <f>_xlfn.XLOOKUP($C29,'GP1 (1)'!$B$6:$B$100,'GP1 (1)'!$E$6:$E$100,"")</f>
        <v>0.4</v>
      </c>
      <c r="H29" s="28">
        <f>_xlfn.XLOOKUP($C29,'GP1 (2)'!$B$6:$B$100,'GP1 (2)'!$E$6:$E$100,"")</f>
        <v>0.2</v>
      </c>
      <c r="I29" s="31">
        <f>_xlfn.XLOOKUP($C29,'GP2 (1)'!$B$8:$B$107,'GP2 (1)'!$E$8:$E$107,"")</f>
        <v>0.4</v>
      </c>
      <c r="J29" s="32">
        <f>_xlfn.XLOOKUP($C29,'GP2 (2)'!$B$6:$B$99,'GP2 (2)'!$E$6:$E$99,"")</f>
        <v>0.33</v>
      </c>
      <c r="K29" s="27" t="str">
        <f>_xlfn.XLOOKUP($C29,'GP3 (1)'!$B$6:$B$100,'GP3 (1)'!$E$6:$E$100,"")</f>
        <v/>
      </c>
      <c r="L29" s="28" t="str">
        <f>_xlfn.XLOOKUP($C29,'GP3 (2)'!$B$6:$B$100,'GP3 (2)'!$E$6:$E$100,"")</f>
        <v/>
      </c>
      <c r="M29" s="31">
        <f>_xlfn.XLOOKUP($C29,'GP4 (1)'!$B$6:$B$86,'GP4 (1)'!$E$6:$E$86,"")</f>
        <v>0</v>
      </c>
      <c r="N29" s="32">
        <f>_xlfn.XLOOKUP($C29,'GP4 (2)'!$B$6:$B$100,'GP4 (2)'!$E$6:$E$100,"")</f>
        <v>0</v>
      </c>
      <c r="O29" s="27">
        <f>_xlfn.XLOOKUP($C29,'GP5 (1)'!$B$6:$B$100,'GP5 (1)'!$E$6:$E$100,"")</f>
        <v>0.25</v>
      </c>
      <c r="P29" s="29">
        <f>_xlfn.XLOOKUP($C29,'GP5 (2)'!$B$6:$B$100,'GP5 (2)'!$E$6:$E$100,"")</f>
        <v>0.25</v>
      </c>
      <c r="Q29" s="13">
        <f t="shared" si="2"/>
        <v>116</v>
      </c>
      <c r="R29" s="33">
        <f>_xlfn.XLOOKUP($C29,'MP (1)'!$B$6:$B$100,'MP (1)'!$F$6:$F$100,"")</f>
        <v>12</v>
      </c>
      <c r="S29" s="32">
        <f>_xlfn.XLOOKUP($C29,'MP (2)'!$B$6:$B$100,'MP (2)'!$F$6:$F$100,"")</f>
        <v>11</v>
      </c>
      <c r="T29" s="27">
        <f>_xlfn.XLOOKUP($C29,'GP1 (1)'!$B$6:$B$100,'GP1 (1)'!$F$6:$F$100,"")</f>
        <v>15</v>
      </c>
      <c r="U29" s="28">
        <f>_xlfn.XLOOKUP($C29,'GP1 (2)'!$B$6:$B$100,'GP1 (2)'!$F$6:$F$100,"")</f>
        <v>18</v>
      </c>
      <c r="V29" s="31">
        <f>_xlfn.XLOOKUP($C29,'GP2 (1)'!$B$8:$B$107,'GP2 (1)'!$F$8:$F$107,"")</f>
        <v>12</v>
      </c>
      <c r="W29" s="32">
        <f>_xlfn.XLOOKUP($C29,'GP2 (2)'!$B$6:$B$99,'GP2 (2)'!$F$6:$F$99,"")</f>
        <v>20</v>
      </c>
      <c r="X29" s="27" t="str">
        <f>_xlfn.XLOOKUP($C29,'GP3 (1)'!$B$6:$B$100,'GP3 (1)'!$F$6:$F$100,"")</f>
        <v/>
      </c>
      <c r="Y29" s="28" t="str">
        <f>_xlfn.XLOOKUP($C29,'GP3 (2)'!$B$6:$B$100,'GP3 (2)'!$F$6:$F$100,"")</f>
        <v/>
      </c>
      <c r="Z29" s="31">
        <f>_xlfn.XLOOKUP($C29,'GP4 (1)'!$B$6:$B$86,'GP4 (1)'!$F$6:$F$86,"")</f>
        <v>6</v>
      </c>
      <c r="AA29" s="32">
        <f>_xlfn.XLOOKUP($C29,'GP4 (2)'!$B$6:$B$100,'GP4 (2)'!$F$6:$F$100,"")</f>
        <v>6</v>
      </c>
      <c r="AB29" s="27">
        <f>_xlfn.XLOOKUP($C29,'GP5 (1)'!$B$6:$B$100,'GP5 (1)'!$F$6:$F$100,"")</f>
        <v>9</v>
      </c>
      <c r="AC29" s="29">
        <f>_xlfn.XLOOKUP($C29,'GP5 (2)'!$B$6:$B$100,'GP5 (2)'!$F$6:$F$100,"")</f>
        <v>7</v>
      </c>
      <c r="AD29" s="13">
        <f t="shared" si="3"/>
        <v>-92</v>
      </c>
      <c r="AE29" s="33">
        <f>_xlfn.XLOOKUP($C29,'MP (1)'!$B$6:$B$100,'MP (1)'!$H$6:$H$100,"")</f>
        <v>-11</v>
      </c>
      <c r="AF29" s="32">
        <f>_xlfn.XLOOKUP($C29,'MP (2)'!$B$6:$B$100,'MP (2)'!$H$6:$H$100,"")</f>
        <v>-12</v>
      </c>
      <c r="AG29" s="27">
        <f>_xlfn.XLOOKUP($C29,'GP1 (1)'!$B$6:$B$100,'GP1 (1)'!$H$6:$H$100,"")</f>
        <v>-4</v>
      </c>
      <c r="AH29" s="28">
        <f>_xlfn.XLOOKUP($C29,'GP1 (2)'!$B$6:$B$100,'GP1 (2)'!$H$6:$H$100,"")</f>
        <v>-4</v>
      </c>
      <c r="AI29" s="31">
        <f>_xlfn.XLOOKUP($C29,'GP2 (1)'!$B$8:$B$107,'GP2 (1)'!$H$8:$H$107,"")</f>
        <v>-8</v>
      </c>
      <c r="AJ29" s="32">
        <f>_xlfn.XLOOKUP($C29,'GP2 (2)'!$B$6:$B$99,'GP2 (2)'!$H$6:$H$99,"")</f>
        <v>-1</v>
      </c>
      <c r="AK29" s="27" t="str">
        <f>_xlfn.XLOOKUP($C29,'GP3 (1)'!$B$6:$B$100,'GP3 (1)'!$H$6:$H$100,"")</f>
        <v/>
      </c>
      <c r="AL29" s="28" t="str">
        <f>_xlfn.XLOOKUP($C29,'GP3 (2)'!$B$6:$B$100,'GP3 (2)'!$H$6:$H$100,"")</f>
        <v/>
      </c>
      <c r="AM29" s="31">
        <f>_xlfn.XLOOKUP($C29,'GP4 (1)'!$B$6:$B$86,'GP4 (1)'!$H$6:$H$86,"")</f>
        <v>-24</v>
      </c>
      <c r="AN29" s="32">
        <f>_xlfn.XLOOKUP($C29,'GP4 (2)'!$B$6:$B$100,'GP4 (2)'!$H$6:$H$100,"")</f>
        <v>-19</v>
      </c>
      <c r="AO29" s="27">
        <f>_xlfn.XLOOKUP($C29,'GP5 (1)'!$B$6:$B$100,'GP5 (1)'!$H$6:$H$100,"")</f>
        <v>-9</v>
      </c>
      <c r="AP29" s="30">
        <f>_xlfn.XLOOKUP($C29,'GP5 (2)'!$B$6:$B$100,'GP5 (2)'!$H$6:$H$100,"")</f>
        <v>-11</v>
      </c>
    </row>
    <row r="30" spans="1:42" ht="13.15" customHeight="1" x14ac:dyDescent="0.25">
      <c r="A30" s="1">
        <f t="shared" si="0"/>
        <v>26</v>
      </c>
      <c r="B30" s="36">
        <v>4</v>
      </c>
      <c r="C30" s="4" t="s">
        <v>46</v>
      </c>
      <c r="D30" s="40">
        <f t="shared" si="1"/>
        <v>2.13</v>
      </c>
      <c r="E30" s="33">
        <f>_xlfn.XLOOKUP($C30,'MP (1)'!$B$6:$B$100,'MP (1)'!$E$6:$E$100,"")</f>
        <v>0.6</v>
      </c>
      <c r="F30" s="32">
        <f>_xlfn.XLOOKUP($C30,'MP (2)'!$B$6:$B$100,'MP (2)'!$E$6:$E$100,"")</f>
        <v>0.4</v>
      </c>
      <c r="G30" s="27" t="str">
        <f>_xlfn.XLOOKUP($C30,'GP1 (1)'!$B$6:$B$100,'GP1 (1)'!$E$6:$E$100,"")</f>
        <v/>
      </c>
      <c r="H30" s="28" t="str">
        <f>_xlfn.XLOOKUP($C30,'GP1 (2)'!$B$6:$B$100,'GP1 (2)'!$E$6:$E$100,"")</f>
        <v/>
      </c>
      <c r="I30" s="31" t="str">
        <f>_xlfn.XLOOKUP($C30,'GP2 (1)'!$B$6:$B$107,'GP2 (1)'!$E$6:$E$107,"")</f>
        <v/>
      </c>
      <c r="J30" s="32" t="str">
        <f>_xlfn.XLOOKUP($C30,'GP2 (2)'!$B$6:$B$99,'GP2 (2)'!$E$6:$E$99,"")</f>
        <v/>
      </c>
      <c r="K30" s="27">
        <f>_xlfn.XLOOKUP($C30,'GP3 (1)'!$B$6:$B$100,'GP3 (1)'!$E$6:$E$100,"")</f>
        <v>0.4</v>
      </c>
      <c r="L30" s="28">
        <f>_xlfn.XLOOKUP($C30,'GP3 (2)'!$B$6:$B$100,'GP3 (2)'!$E$6:$E$100,"")</f>
        <v>0.33</v>
      </c>
      <c r="M30" s="31">
        <f>_xlfn.XLOOKUP($C30,'GP4 (1)'!$B$6:$B$86,'GP4 (1)'!$E$6:$E$86,"")</f>
        <v>0.2</v>
      </c>
      <c r="N30" s="32">
        <f>_xlfn.XLOOKUP($C30,'GP4 (2)'!$B$6:$B$100,'GP4 (2)'!$E$6:$E$100,"")</f>
        <v>0.2</v>
      </c>
      <c r="O30" s="27" t="str">
        <f>_xlfn.XLOOKUP($C30,'GP5 (1)'!$B$6:$B$100,'GP5 (1)'!$E$6:$E$100,"")</f>
        <v/>
      </c>
      <c r="P30" s="29" t="str">
        <f>_xlfn.XLOOKUP($C30,'GP5 (2)'!$B$6:$B$100,'GP5 (2)'!$E$6:$E$100,"")</f>
        <v/>
      </c>
      <c r="Q30" s="13">
        <f t="shared" si="2"/>
        <v>87</v>
      </c>
      <c r="R30" s="33">
        <f>_xlfn.XLOOKUP($C30,'MP (1)'!$B$6:$B$100,'MP (1)'!$F$6:$F$100,"")</f>
        <v>17</v>
      </c>
      <c r="S30" s="32">
        <f>_xlfn.XLOOKUP($C30,'MP (2)'!$B$6:$B$100,'MP (2)'!$F$6:$F$100,"")</f>
        <v>17</v>
      </c>
      <c r="T30" s="27" t="str">
        <f>_xlfn.XLOOKUP($C30,'GP1 (1)'!$B$6:$B$100,'GP1 (1)'!$F$6:$F$100,"")</f>
        <v/>
      </c>
      <c r="U30" s="28" t="str">
        <f>_xlfn.XLOOKUP($C30,'GP1 (2)'!$B$6:$B$100,'GP1 (2)'!$F$6:$F$100,"")</f>
        <v/>
      </c>
      <c r="V30" s="31" t="str">
        <f>_xlfn.XLOOKUP($C30,'GP2 (1)'!$B$8:$B$107,'GP2 (1)'!$F$8:$F$107,"")</f>
        <v/>
      </c>
      <c r="W30" s="32" t="str">
        <f>_xlfn.XLOOKUP($C30,'GP2 (2)'!$B$6:$B$99,'GP2 (2)'!$F$6:$F$99,"")</f>
        <v/>
      </c>
      <c r="X30" s="27">
        <f>_xlfn.XLOOKUP($C30,'GP3 (1)'!$B$6:$B$100,'GP3 (1)'!$F$6:$F$100,"")</f>
        <v>11</v>
      </c>
      <c r="Y30" s="28">
        <f>_xlfn.XLOOKUP($C30,'GP3 (2)'!$B$6:$B$100,'GP3 (2)'!$F$6:$F$100,"")</f>
        <v>18</v>
      </c>
      <c r="Z30" s="31">
        <f>_xlfn.XLOOKUP($C30,'GP4 (1)'!$B$6:$B$86,'GP4 (1)'!$F$6:$F$86,"")</f>
        <v>9</v>
      </c>
      <c r="AA30" s="32">
        <f>_xlfn.XLOOKUP($C30,'GP4 (2)'!$B$6:$B$100,'GP4 (2)'!$F$6:$F$100,"")</f>
        <v>15</v>
      </c>
      <c r="AB30" s="27" t="str">
        <f>_xlfn.XLOOKUP($C30,'GP5 (1)'!$B$6:$B$100,'GP5 (1)'!$F$6:$F$100,"")</f>
        <v/>
      </c>
      <c r="AC30" s="29" t="str">
        <f>_xlfn.XLOOKUP($C30,'GP5 (2)'!$B$6:$B$100,'GP5 (2)'!$F$6:$F$100,"")</f>
        <v/>
      </c>
      <c r="AD30" s="13">
        <f t="shared" si="3"/>
        <v>-38</v>
      </c>
      <c r="AE30" s="33">
        <f>_xlfn.XLOOKUP($C30,'MP (1)'!$B$6:$B$100,'MP (1)'!$H$6:$H$100,"")</f>
        <v>2</v>
      </c>
      <c r="AF30" s="32">
        <f>_xlfn.XLOOKUP($C30,'MP (2)'!$B$6:$B$100,'MP (2)'!$H$6:$H$100,"")</f>
        <v>-3</v>
      </c>
      <c r="AG30" s="27" t="str">
        <f>_xlfn.XLOOKUP($C30,'GP1 (1)'!$B$6:$B$100,'GP1 (1)'!$H$6:$H$100,"")</f>
        <v/>
      </c>
      <c r="AH30" s="28" t="str">
        <f>_xlfn.XLOOKUP($C30,'GP1 (2)'!$B$6:$B$100,'GP1 (2)'!$H$6:$H$100,"")</f>
        <v/>
      </c>
      <c r="AI30" s="31" t="str">
        <f>_xlfn.XLOOKUP($C30,'GP2 (1)'!$B$8:$B$107,'GP2 (1)'!$H$8:$H$107,"")</f>
        <v/>
      </c>
      <c r="AJ30" s="32" t="str">
        <f>_xlfn.XLOOKUP($C30,'GP2 (2)'!$B$6:$B$99,'GP2 (2)'!$H$6:$H$99,"")</f>
        <v/>
      </c>
      <c r="AK30" s="27">
        <f>_xlfn.XLOOKUP($C30,'GP3 (1)'!$B$6:$B$100,'GP3 (1)'!$H$6:$H$100,"")</f>
        <v>-10</v>
      </c>
      <c r="AL30" s="28">
        <f>_xlfn.XLOOKUP($C30,'GP3 (2)'!$B$6:$B$100,'GP3 (2)'!$H$6:$H$100,"")</f>
        <v>-6</v>
      </c>
      <c r="AM30" s="31">
        <f>_xlfn.XLOOKUP($C30,'GP4 (1)'!$B$6:$B$86,'GP4 (1)'!$H$6:$H$86,"")</f>
        <v>-13</v>
      </c>
      <c r="AN30" s="32">
        <f>_xlfn.XLOOKUP($C30,'GP4 (2)'!$B$6:$B$100,'GP4 (2)'!$H$6:$H$100,"")</f>
        <v>-8</v>
      </c>
      <c r="AO30" s="27" t="str">
        <f>_xlfn.XLOOKUP($C30,'GP5 (1)'!$B$6:$B$100,'GP5 (1)'!$H$6:$H$100,"")</f>
        <v/>
      </c>
      <c r="AP30" s="30" t="str">
        <f>_xlfn.XLOOKUP($C30,'GP5 (2)'!$B$6:$B$100,'GP5 (2)'!$H$6:$H$100,"")</f>
        <v/>
      </c>
    </row>
    <row r="31" spans="1:42" ht="13.15" customHeight="1" x14ac:dyDescent="0.25">
      <c r="A31" s="1">
        <f t="shared" si="0"/>
        <v>27</v>
      </c>
      <c r="B31" s="36">
        <v>0</v>
      </c>
      <c r="C31" s="4" t="s">
        <v>53</v>
      </c>
      <c r="D31" s="40">
        <f t="shared" si="1"/>
        <v>2.1</v>
      </c>
      <c r="E31" s="33" t="str">
        <f>_xlfn.XLOOKUP($C31,'MP (1)'!$B$6:$B$100,'MP (1)'!$E$6:$E$100,"")</f>
        <v/>
      </c>
      <c r="F31" s="32" t="str">
        <f>_xlfn.XLOOKUP($C31,'MP (2)'!$B$6:$B$100,'MP (2)'!$E$6:$E$100,"")</f>
        <v/>
      </c>
      <c r="G31" s="27">
        <f>_xlfn.XLOOKUP($C31,'GP1 (1)'!$B$6:$B$100,'GP1 (1)'!$E$6:$E$100,"")</f>
        <v>0.6</v>
      </c>
      <c r="H31" s="28">
        <f>_xlfn.XLOOKUP($C31,'GP1 (2)'!$B$6:$B$100,'GP1 (2)'!$E$6:$E$100,"")</f>
        <v>0.6</v>
      </c>
      <c r="I31" s="31">
        <f>_xlfn.XLOOKUP($C31,'GP2 (1)'!$B$6:$B$107,'GP2 (1)'!$E$6:$E$107,"")</f>
        <v>0.5</v>
      </c>
      <c r="J31" s="32">
        <f>_xlfn.XLOOKUP($C31,'GP2 (2)'!$B$6:$B$99,'GP2 (2)'!$E$6:$E$99,"")</f>
        <v>0.4</v>
      </c>
      <c r="K31" s="27" t="str">
        <f>_xlfn.XLOOKUP($C31,'GP3 (1)'!$B$6:$B$100,'GP3 (1)'!$E$6:$E$100,"")</f>
        <v/>
      </c>
      <c r="L31" s="28" t="str">
        <f>_xlfn.XLOOKUP($C31,'GP3 (2)'!$B$6:$B$100,'GP3 (2)'!$E$6:$E$100,"")</f>
        <v/>
      </c>
      <c r="M31" s="31" t="str">
        <f>_xlfn.XLOOKUP($C31,'GP4 (1)'!$B$6:$B$86,'GP4 (1)'!$E$6:$E$86,"")</f>
        <v/>
      </c>
      <c r="N31" s="32" t="str">
        <f>_xlfn.XLOOKUP($C31,'GP4 (2)'!$B$6:$B$100,'GP4 (2)'!$E$6:$E$100,"")</f>
        <v/>
      </c>
      <c r="O31" s="27" t="str">
        <f>_xlfn.XLOOKUP($C31,'GP5 (1)'!$B$6:$B$100,'GP5 (1)'!$E$6:$E$100,"")</f>
        <v/>
      </c>
      <c r="P31" s="29" t="str">
        <f>_xlfn.XLOOKUP($C31,'GP5 (2)'!$B$6:$B$100,'GP5 (2)'!$E$6:$E$100,"")</f>
        <v/>
      </c>
      <c r="Q31" s="13">
        <f t="shared" si="2"/>
        <v>75</v>
      </c>
      <c r="R31" s="33" t="str">
        <f>_xlfn.XLOOKUP($C31,'MP (1)'!$B$6:$B$100,'MP (1)'!$F$6:$F$100,"")</f>
        <v/>
      </c>
      <c r="S31" s="32" t="str">
        <f>_xlfn.XLOOKUP($C31,'MP (2)'!$B$6:$B$100,'MP (2)'!$F$6:$F$100,"")</f>
        <v/>
      </c>
      <c r="T31" s="27">
        <f>_xlfn.XLOOKUP($C31,'GP1 (1)'!$B$6:$B$100,'GP1 (1)'!$F$6:$F$100,"")</f>
        <v>18</v>
      </c>
      <c r="U31" s="28">
        <f>_xlfn.XLOOKUP($C31,'GP1 (2)'!$B$6:$B$100,'GP1 (2)'!$F$6:$F$100,"")</f>
        <v>20</v>
      </c>
      <c r="V31" s="31">
        <f>_xlfn.XLOOKUP($C31,'GP2 (1)'!$B$8:$B$107,'GP2 (1)'!$F$8:$F$107,"")</f>
        <v>21</v>
      </c>
      <c r="W31" s="32">
        <f>_xlfn.XLOOKUP($C31,'GP2 (2)'!$B$6:$B$99,'GP2 (2)'!$F$6:$F$99,"")</f>
        <v>16</v>
      </c>
      <c r="X31" s="27" t="str">
        <f>_xlfn.XLOOKUP($C31,'GP3 (1)'!$B$6:$B$100,'GP3 (1)'!$F$6:$F$100,"")</f>
        <v/>
      </c>
      <c r="Y31" s="28" t="str">
        <f>_xlfn.XLOOKUP($C31,'GP3 (2)'!$B$6:$B$100,'GP3 (2)'!$F$6:$F$100,"")</f>
        <v/>
      </c>
      <c r="Z31" s="31" t="str">
        <f>_xlfn.XLOOKUP($C31,'GP4 (1)'!$B$6:$B$86,'GP4 (1)'!$F$6:$F$86,"")</f>
        <v/>
      </c>
      <c r="AA31" s="32" t="str">
        <f>_xlfn.XLOOKUP($C31,'GP4 (2)'!$B$6:$B$100,'GP4 (2)'!$F$6:$F$100,"")</f>
        <v/>
      </c>
      <c r="AB31" s="27" t="str">
        <f>_xlfn.XLOOKUP($C31,'GP5 (1)'!$B$6:$B$100,'GP5 (1)'!$F$6:$F$100,"")</f>
        <v/>
      </c>
      <c r="AC31" s="29" t="str">
        <f>_xlfn.XLOOKUP($C31,'GP5 (2)'!$B$6:$B$100,'GP5 (2)'!$F$6:$F$100,"")</f>
        <v/>
      </c>
      <c r="AD31" s="13">
        <f t="shared" si="3"/>
        <v>-4</v>
      </c>
      <c r="AE31" s="33" t="str">
        <f>_xlfn.XLOOKUP($C31,'MP (1)'!$B$6:$B$100,'MP (1)'!$H$6:$H$100,"")</f>
        <v/>
      </c>
      <c r="AF31" s="32" t="str">
        <f>_xlfn.XLOOKUP($C31,'MP (2)'!$B$6:$B$100,'MP (2)'!$H$6:$H$100,"")</f>
        <v/>
      </c>
      <c r="AG31" s="27">
        <f>_xlfn.XLOOKUP($C31,'GP1 (1)'!$B$6:$B$100,'GP1 (1)'!$H$6:$H$100,"")</f>
        <v>0</v>
      </c>
      <c r="AH31" s="28">
        <f>_xlfn.XLOOKUP($C31,'GP1 (2)'!$B$6:$B$100,'GP1 (2)'!$H$6:$H$100,"")</f>
        <v>1</v>
      </c>
      <c r="AI31" s="31">
        <f>_xlfn.XLOOKUP($C31,'GP2 (1)'!$B$8:$B$107,'GP2 (1)'!$H$8:$H$107,"")</f>
        <v>0</v>
      </c>
      <c r="AJ31" s="32">
        <f>_xlfn.XLOOKUP($C31,'GP2 (2)'!$B$6:$B$99,'GP2 (2)'!$H$6:$H$99,"")</f>
        <v>-5</v>
      </c>
      <c r="AK31" s="27" t="str">
        <f>_xlfn.XLOOKUP($C31,'GP3 (1)'!$B$6:$B$100,'GP3 (1)'!$H$6:$H$100,"")</f>
        <v/>
      </c>
      <c r="AL31" s="28" t="str">
        <f>_xlfn.XLOOKUP($C31,'GP3 (2)'!$B$6:$B$100,'GP3 (2)'!$H$6:$H$100,"")</f>
        <v/>
      </c>
      <c r="AM31" s="31" t="str">
        <f>_xlfn.XLOOKUP($C31,'GP4 (1)'!$B$6:$B$86,'GP4 (1)'!$H$6:$H$86,"")</f>
        <v/>
      </c>
      <c r="AN31" s="32" t="str">
        <f>_xlfn.XLOOKUP($C31,'GP4 (2)'!$B$6:$B$100,'GP4 (2)'!$H$6:$H$100,"")</f>
        <v/>
      </c>
      <c r="AO31" s="27" t="str">
        <f>_xlfn.XLOOKUP($C31,'GP5 (1)'!$B$6:$B$100,'GP5 (1)'!$H$6:$H$100,"")</f>
        <v/>
      </c>
      <c r="AP31" s="30" t="str">
        <f>_xlfn.XLOOKUP($C31,'GP5 (2)'!$B$6:$B$100,'GP5 (2)'!$H$6:$H$100,"")</f>
        <v/>
      </c>
    </row>
    <row r="32" spans="1:42" ht="13.15" customHeight="1" x14ac:dyDescent="0.25">
      <c r="A32" s="1">
        <f t="shared" si="0"/>
        <v>28</v>
      </c>
      <c r="B32" s="36">
        <v>2</v>
      </c>
      <c r="C32" s="4" t="s">
        <v>27</v>
      </c>
      <c r="D32" s="40">
        <f t="shared" si="1"/>
        <v>2.0700000000000003</v>
      </c>
      <c r="E32" s="33">
        <f>_xlfn.XLOOKUP($C32,'MP (1)'!$B$6:$B$100,'MP (1)'!$E$6:$E$100,"")</f>
        <v>0.8</v>
      </c>
      <c r="F32" s="32">
        <f>_xlfn.XLOOKUP($C32,'MP (2)'!$B$6:$B$100,'MP (2)'!$E$6:$E$100,"")</f>
        <v>0.67</v>
      </c>
      <c r="G32" s="27" t="str">
        <f>_xlfn.XLOOKUP($C32,'GP1 (1)'!$B$6:$B$100,'GP1 (1)'!$E$6:$E$100,"")</f>
        <v/>
      </c>
      <c r="H32" s="28" t="str">
        <f>_xlfn.XLOOKUP($C32,'GP1 (2)'!$B$6:$B$100,'GP1 (2)'!$E$6:$E$100,"")</f>
        <v/>
      </c>
      <c r="I32" s="31" t="str">
        <f>_xlfn.XLOOKUP($C32,'GP2 (1)'!$B$6:$B$107,'GP2 (1)'!$E$6:$E$107,"")</f>
        <v/>
      </c>
      <c r="J32" s="32" t="str">
        <f>_xlfn.XLOOKUP($C32,'GP2 (2)'!$B$6:$B$99,'GP2 (2)'!$E$6:$E$99,"")</f>
        <v/>
      </c>
      <c r="K32" s="27" t="str">
        <f>_xlfn.XLOOKUP($C32,'GP3 (1)'!$B$6:$B$100,'GP3 (1)'!$E$6:$E$100,"")</f>
        <v/>
      </c>
      <c r="L32" s="28" t="str">
        <f>_xlfn.XLOOKUP($C32,'GP3 (2)'!$B$6:$B$100,'GP3 (2)'!$E$6:$E$100,"")</f>
        <v/>
      </c>
      <c r="M32" s="31">
        <f>_xlfn.XLOOKUP($C32,'GP4 (1)'!$B$6:$B$86,'GP4 (1)'!$E$6:$E$86,"")</f>
        <v>0.4</v>
      </c>
      <c r="N32" s="32">
        <f>_xlfn.XLOOKUP($C32,'GP4 (2)'!$B$6:$B$100,'GP4 (2)'!$E$6:$E$100,"")</f>
        <v>0.2</v>
      </c>
      <c r="O32" s="27" t="str">
        <f>_xlfn.XLOOKUP($C32,'GP5 (1)'!$B$6:$B$100,'GP5 (1)'!$E$6:$E$100,"")</f>
        <v/>
      </c>
      <c r="P32" s="29" t="str">
        <f>_xlfn.XLOOKUP($C32,'GP5 (2)'!$B$6:$B$100,'GP5 (2)'!$E$6:$E$100,"")</f>
        <v/>
      </c>
      <c r="Q32" s="13">
        <f t="shared" si="2"/>
        <v>73</v>
      </c>
      <c r="R32" s="33">
        <f>_xlfn.XLOOKUP($C32,'MP (1)'!$B$6:$B$100,'MP (1)'!$F$6:$F$100,"")</f>
        <v>22</v>
      </c>
      <c r="S32" s="32">
        <f>_xlfn.XLOOKUP($C32,'MP (2)'!$B$6:$B$100,'MP (2)'!$F$6:$F$100,"")</f>
        <v>22</v>
      </c>
      <c r="T32" s="27" t="str">
        <f>_xlfn.XLOOKUP($C32,'GP1 (1)'!$B$6:$B$100,'GP1 (1)'!$F$6:$F$100,"")</f>
        <v/>
      </c>
      <c r="U32" s="28" t="str">
        <f>_xlfn.XLOOKUP($C32,'GP1 (2)'!$B$6:$B$100,'GP1 (2)'!$F$6:$F$100,"")</f>
        <v/>
      </c>
      <c r="V32" s="31" t="str">
        <f>_xlfn.XLOOKUP($C32,'GP2 (1)'!$B$8:$B$107,'GP2 (1)'!$F$8:$F$107,"")</f>
        <v/>
      </c>
      <c r="W32" s="32" t="str">
        <f>_xlfn.XLOOKUP($C32,'GP2 (2)'!$B$6:$B$99,'GP2 (2)'!$F$6:$F$99,"")</f>
        <v/>
      </c>
      <c r="X32" s="27" t="str">
        <f>_xlfn.XLOOKUP($C32,'GP3 (1)'!$B$6:$B$100,'GP3 (1)'!$F$6:$F$100,"")</f>
        <v/>
      </c>
      <c r="Y32" s="28" t="str">
        <f>_xlfn.XLOOKUP($C32,'GP3 (2)'!$B$6:$B$100,'GP3 (2)'!$F$6:$F$100,"")</f>
        <v/>
      </c>
      <c r="Z32" s="31">
        <f>_xlfn.XLOOKUP($C32,'GP4 (1)'!$B$6:$B$86,'GP4 (1)'!$F$6:$F$86,"")</f>
        <v>17</v>
      </c>
      <c r="AA32" s="32">
        <f>_xlfn.XLOOKUP($C32,'GP4 (2)'!$B$6:$B$100,'GP4 (2)'!$F$6:$F$100,"")</f>
        <v>12</v>
      </c>
      <c r="AB32" s="27" t="str">
        <f>_xlfn.XLOOKUP($C32,'GP5 (1)'!$B$6:$B$100,'GP5 (1)'!$F$6:$F$100,"")</f>
        <v/>
      </c>
      <c r="AC32" s="29" t="str">
        <f>_xlfn.XLOOKUP($C32,'GP5 (2)'!$B$6:$B$100,'GP5 (2)'!$F$6:$F$100,"")</f>
        <v/>
      </c>
      <c r="AD32" s="13">
        <f t="shared" si="3"/>
        <v>-5</v>
      </c>
      <c r="AE32" s="33">
        <f>_xlfn.XLOOKUP($C32,'MP (1)'!$B$6:$B$100,'MP (1)'!$H$6:$H$100,"")</f>
        <v>3</v>
      </c>
      <c r="AF32" s="32">
        <f>_xlfn.XLOOKUP($C32,'MP (2)'!$B$6:$B$100,'MP (2)'!$H$6:$H$100,"")</f>
        <v>5</v>
      </c>
      <c r="AG32" s="27" t="str">
        <f>_xlfn.XLOOKUP($C32,'GP1 (1)'!$B$6:$B$100,'GP1 (1)'!$H$6:$H$100,"")</f>
        <v/>
      </c>
      <c r="AH32" s="28" t="str">
        <f>_xlfn.XLOOKUP($C32,'GP1 (2)'!$B$6:$B$100,'GP1 (2)'!$H$6:$H$100,"")</f>
        <v/>
      </c>
      <c r="AI32" s="31" t="str">
        <f>_xlfn.XLOOKUP($C32,'GP2 (1)'!$B$8:$B$107,'GP2 (1)'!$H$8:$H$107,"")</f>
        <v/>
      </c>
      <c r="AJ32" s="32" t="str">
        <f>_xlfn.XLOOKUP($C32,'GP2 (2)'!$B$6:$B$99,'GP2 (2)'!$H$6:$H$99,"")</f>
        <v/>
      </c>
      <c r="AK32" s="27" t="str">
        <f>_xlfn.XLOOKUP($C32,'GP3 (1)'!$B$6:$B$100,'GP3 (1)'!$H$6:$H$100,"")</f>
        <v/>
      </c>
      <c r="AL32" s="28" t="str">
        <f>_xlfn.XLOOKUP($C32,'GP3 (2)'!$B$6:$B$100,'GP3 (2)'!$H$6:$H$100,"")</f>
        <v/>
      </c>
      <c r="AM32" s="31">
        <f>_xlfn.XLOOKUP($C32,'GP4 (1)'!$B$6:$B$86,'GP4 (1)'!$H$6:$H$86,"")</f>
        <v>-2</v>
      </c>
      <c r="AN32" s="32">
        <f>_xlfn.XLOOKUP($C32,'GP4 (2)'!$B$6:$B$100,'GP4 (2)'!$H$6:$H$100,"")</f>
        <v>-11</v>
      </c>
      <c r="AO32" s="27" t="str">
        <f>_xlfn.XLOOKUP($C32,'GP5 (1)'!$B$6:$B$100,'GP5 (1)'!$H$6:$H$100,"")</f>
        <v/>
      </c>
      <c r="AP32" s="30" t="str">
        <f>_xlfn.XLOOKUP($C32,'GP5 (2)'!$B$6:$B$100,'GP5 (2)'!$H$6:$H$100,"")</f>
        <v/>
      </c>
    </row>
    <row r="33" spans="1:42" ht="13.15" customHeight="1" x14ac:dyDescent="0.25">
      <c r="A33" s="1">
        <f t="shared" si="0"/>
        <v>29</v>
      </c>
      <c r="B33" s="36">
        <v>3</v>
      </c>
      <c r="C33" s="4" t="s">
        <v>49</v>
      </c>
      <c r="D33" s="40">
        <f t="shared" si="1"/>
        <v>2.06</v>
      </c>
      <c r="E33" s="33">
        <f>_xlfn.XLOOKUP($C33,'MP (1)'!$B$6:$B$100,'MP (1)'!$E$6:$E$100,"")</f>
        <v>0</v>
      </c>
      <c r="F33" s="32">
        <f>_xlfn.XLOOKUP($C33,'MP (2)'!$B$6:$B$100,'MP (2)'!$E$6:$E$100,"")</f>
        <v>0.33</v>
      </c>
      <c r="G33" s="27" t="str">
        <f>_xlfn.XLOOKUP($C33,'GP1 (1)'!$B$6:$B$100,'GP1 (1)'!$E$6:$E$100,"")</f>
        <v/>
      </c>
      <c r="H33" s="28" t="str">
        <f>_xlfn.XLOOKUP($C33,'GP1 (2)'!$B$6:$B$100,'GP1 (2)'!$E$6:$E$100,"")</f>
        <v/>
      </c>
      <c r="I33" s="31">
        <f>_xlfn.XLOOKUP($C33,'GP2 (1)'!$B$6:$B$107,'GP2 (1)'!$E$6:$E$107,"")</f>
        <v>0.33</v>
      </c>
      <c r="J33" s="32">
        <f>_xlfn.XLOOKUP($C33,'GP2 (2)'!$B$6:$B$99,'GP2 (2)'!$E$6:$E$99,"")</f>
        <v>0.4</v>
      </c>
      <c r="K33" s="27" t="str">
        <f>_xlfn.XLOOKUP($C33,'GP3 (1)'!$B$6:$B$100,'GP3 (1)'!$E$6:$E$100,"")</f>
        <v/>
      </c>
      <c r="L33" s="28" t="str">
        <f>_xlfn.XLOOKUP($C33,'GP3 (2)'!$B$6:$B$100,'GP3 (2)'!$E$6:$E$100,"")</f>
        <v/>
      </c>
      <c r="M33" s="31">
        <f>_xlfn.XLOOKUP($C33,'GP4 (1)'!$B$6:$B$86,'GP4 (1)'!$E$6:$E$86,"")</f>
        <v>0.6</v>
      </c>
      <c r="N33" s="32">
        <f>_xlfn.XLOOKUP($C33,'GP4 (2)'!$B$6:$B$100,'GP4 (2)'!$E$6:$E$100,"")</f>
        <v>0.4</v>
      </c>
      <c r="O33" s="27" t="str">
        <f>_xlfn.XLOOKUP($C33,'GP5 (1)'!$B$6:$B$100,'GP5 (1)'!$E$6:$E$100,"")</f>
        <v/>
      </c>
      <c r="P33" s="29" t="str">
        <f>_xlfn.XLOOKUP($C33,'GP5 (2)'!$B$6:$B$100,'GP5 (2)'!$E$6:$E$100,"")</f>
        <v/>
      </c>
      <c r="Q33" s="13">
        <f t="shared" si="2"/>
        <v>98</v>
      </c>
      <c r="R33" s="33">
        <f>_xlfn.XLOOKUP($C33,'MP (1)'!$B$6:$B$100,'MP (1)'!$F$6:$F$100,"")</f>
        <v>10</v>
      </c>
      <c r="S33" s="32">
        <f>_xlfn.XLOOKUP($C33,'MP (2)'!$B$6:$B$100,'MP (2)'!$F$6:$F$100,"")</f>
        <v>23</v>
      </c>
      <c r="T33" s="27" t="str">
        <f>_xlfn.XLOOKUP($C33,'GP1 (1)'!$B$6:$B$100,'GP1 (1)'!$F$6:$F$100,"")</f>
        <v/>
      </c>
      <c r="U33" s="28" t="str">
        <f>_xlfn.XLOOKUP($C33,'GP1 (2)'!$B$6:$B$100,'GP1 (2)'!$F$6:$F$100,"")</f>
        <v/>
      </c>
      <c r="V33" s="31">
        <f>_xlfn.XLOOKUP($C33,'GP2 (1)'!$B$8:$B$107,'GP2 (1)'!$F$8:$F$107,"")</f>
        <v>16</v>
      </c>
      <c r="W33" s="32">
        <f>_xlfn.XLOOKUP($C33,'GP2 (2)'!$B$6:$B$99,'GP2 (2)'!$F$6:$F$99,"")</f>
        <v>16</v>
      </c>
      <c r="X33" s="27" t="str">
        <f>_xlfn.XLOOKUP($C33,'GP3 (1)'!$B$6:$B$100,'GP3 (1)'!$F$6:$F$100,"")</f>
        <v/>
      </c>
      <c r="Y33" s="28" t="str">
        <f>_xlfn.XLOOKUP($C33,'GP3 (2)'!$B$6:$B$100,'GP3 (2)'!$F$6:$F$100,"")</f>
        <v/>
      </c>
      <c r="Z33" s="31">
        <f>_xlfn.XLOOKUP($C33,'GP4 (1)'!$B$6:$B$86,'GP4 (1)'!$F$6:$F$86,"")</f>
        <v>16</v>
      </c>
      <c r="AA33" s="32">
        <f>_xlfn.XLOOKUP($C33,'GP4 (2)'!$B$6:$B$100,'GP4 (2)'!$F$6:$F$100,"")</f>
        <v>17</v>
      </c>
      <c r="AB33" s="27" t="str">
        <f>_xlfn.XLOOKUP($C33,'GP5 (1)'!$B$6:$B$100,'GP5 (1)'!$F$6:$F$100,"")</f>
        <v/>
      </c>
      <c r="AC33" s="29" t="str">
        <f>_xlfn.XLOOKUP($C33,'GP5 (2)'!$B$6:$B$100,'GP5 (2)'!$F$6:$F$100,"")</f>
        <v/>
      </c>
      <c r="AD33" s="13">
        <f t="shared" si="3"/>
        <v>-26</v>
      </c>
      <c r="AE33" s="33">
        <f>_xlfn.XLOOKUP($C33,'MP (1)'!$B$6:$B$100,'MP (1)'!$H$6:$H$100,"")</f>
        <v>-15</v>
      </c>
      <c r="AF33" s="32">
        <f>_xlfn.XLOOKUP($C33,'MP (2)'!$B$6:$B$100,'MP (2)'!$H$6:$H$100,"")</f>
        <v>0</v>
      </c>
      <c r="AG33" s="27" t="str">
        <f>_xlfn.XLOOKUP($C33,'GP1 (1)'!$B$6:$B$100,'GP1 (1)'!$H$6:$H$100,"")</f>
        <v/>
      </c>
      <c r="AH33" s="28" t="str">
        <f>_xlfn.XLOOKUP($C33,'GP1 (2)'!$B$6:$B$100,'GP1 (2)'!$H$6:$H$100,"")</f>
        <v/>
      </c>
      <c r="AI33" s="31">
        <f>_xlfn.XLOOKUP($C33,'GP2 (1)'!$B$8:$B$107,'GP2 (1)'!$H$8:$H$107,"")</f>
        <v>-5</v>
      </c>
      <c r="AJ33" s="32">
        <f>_xlfn.XLOOKUP($C33,'GP2 (2)'!$B$6:$B$99,'GP2 (2)'!$H$6:$H$99,"")</f>
        <v>-5</v>
      </c>
      <c r="AK33" s="27" t="str">
        <f>_xlfn.XLOOKUP($C33,'GP3 (1)'!$B$6:$B$100,'GP3 (1)'!$H$6:$H$100,"")</f>
        <v/>
      </c>
      <c r="AL33" s="28" t="str">
        <f>_xlfn.XLOOKUP($C33,'GP3 (2)'!$B$6:$B$100,'GP3 (2)'!$H$6:$H$100,"")</f>
        <v/>
      </c>
      <c r="AM33" s="31">
        <f>_xlfn.XLOOKUP($C33,'GP4 (1)'!$B$6:$B$86,'GP4 (1)'!$H$6:$H$86,"")</f>
        <v>-1</v>
      </c>
      <c r="AN33" s="32">
        <f>_xlfn.XLOOKUP($C33,'GP4 (2)'!$B$6:$B$100,'GP4 (2)'!$H$6:$H$100,"")</f>
        <v>0</v>
      </c>
      <c r="AO33" s="27" t="str">
        <f>_xlfn.XLOOKUP($C33,'GP5 (1)'!$B$6:$B$100,'GP5 (1)'!$H$6:$H$100,"")</f>
        <v/>
      </c>
      <c r="AP33" s="30" t="str">
        <f>_xlfn.XLOOKUP($C33,'GP5 (2)'!$B$6:$B$100,'GP5 (2)'!$H$6:$H$100,"")</f>
        <v/>
      </c>
    </row>
    <row r="34" spans="1:42" ht="13.15" customHeight="1" x14ac:dyDescent="0.25">
      <c r="A34" s="1">
        <f t="shared" si="0"/>
        <v>30</v>
      </c>
      <c r="B34" s="36">
        <v>1</v>
      </c>
      <c r="C34" s="4" t="s">
        <v>38</v>
      </c>
      <c r="D34" s="40">
        <f t="shared" si="1"/>
        <v>2</v>
      </c>
      <c r="E34" s="33" t="str">
        <f>_xlfn.XLOOKUP($C34,'MP (1)'!$B$6:$B$100,'MP (1)'!$E$6:$E$100,"")</f>
        <v/>
      </c>
      <c r="F34" s="32" t="str">
        <f>_xlfn.XLOOKUP($C34,'MP (2)'!$B$6:$B$100,'MP (2)'!$E$6:$E$100,"")</f>
        <v/>
      </c>
      <c r="G34" s="27" t="str">
        <f>_xlfn.XLOOKUP($C34,'GP1 (1)'!$B$6:$B$100,'GP1 (1)'!$E$6:$E$100,"")</f>
        <v/>
      </c>
      <c r="H34" s="28" t="str">
        <f>_xlfn.XLOOKUP($C34,'GP1 (2)'!$B$6:$B$100,'GP1 (2)'!$E$6:$E$100,"")</f>
        <v/>
      </c>
      <c r="I34" s="31" t="str">
        <f>_xlfn.XLOOKUP($C34,'GP2 (1)'!$B$8:$B$107,'GP2 (1)'!$E$8:$E$107,"")</f>
        <v/>
      </c>
      <c r="J34" s="32" t="str">
        <f>_xlfn.XLOOKUP($C34,'GP2 (2)'!$B$6:$B$99,'GP2 (2)'!$E$6:$E$99,"")</f>
        <v/>
      </c>
      <c r="K34" s="27" t="str">
        <f>_xlfn.XLOOKUP($C34,'GP3 (1)'!$B$6:$B$100,'GP3 (1)'!$E$6:$E$100,"")</f>
        <v/>
      </c>
      <c r="L34" s="28" t="str">
        <f>_xlfn.XLOOKUP($C34,'GP3 (2)'!$B$6:$B$100,'GP3 (2)'!$E$6:$E$100,"")</f>
        <v/>
      </c>
      <c r="M34" s="31">
        <f>_xlfn.XLOOKUP($C34,'GP4 (1)'!$B$6:$B$86,'GP4 (1)'!$E$6:$E$86,"")</f>
        <v>1</v>
      </c>
      <c r="N34" s="32">
        <f>_xlfn.XLOOKUP($C34,'GP4 (2)'!$B$6:$B$100,'GP4 (2)'!$E$6:$E$100,"")</f>
        <v>1</v>
      </c>
      <c r="O34" s="27" t="str">
        <f>_xlfn.XLOOKUP($C34,'GP5 (1)'!$B$6:$B$100,'GP5 (1)'!$E$6:$E$100,"")</f>
        <v/>
      </c>
      <c r="P34" s="29" t="str">
        <f>_xlfn.XLOOKUP($C34,'GP5 (2)'!$B$6:$B$100,'GP5 (2)'!$E$6:$E$100,"")</f>
        <v/>
      </c>
      <c r="Q34" s="13">
        <f t="shared" si="2"/>
        <v>55</v>
      </c>
      <c r="R34" s="33" t="str">
        <f>_xlfn.XLOOKUP($C34,'MP (1)'!$B$6:$B$100,'MP (1)'!$F$6:$F$100,"")</f>
        <v/>
      </c>
      <c r="S34" s="32" t="str">
        <f>_xlfn.XLOOKUP($C34,'MP (2)'!$B$6:$B$100,'MP (2)'!$F$6:$F$100,"")</f>
        <v/>
      </c>
      <c r="T34" s="27" t="str">
        <f>_xlfn.XLOOKUP($C34,'GP1 (1)'!$B$6:$B$100,'GP1 (1)'!$F$6:$F$100,"")</f>
        <v/>
      </c>
      <c r="U34" s="28" t="str">
        <f>_xlfn.XLOOKUP($C34,'GP1 (2)'!$B$6:$B$100,'GP1 (2)'!$F$6:$F$100,"")</f>
        <v/>
      </c>
      <c r="V34" s="31" t="str">
        <f>_xlfn.XLOOKUP($C34,'GP2 (1)'!$B$8:$B$107,'GP2 (1)'!$F$8:$F$107,"")</f>
        <v/>
      </c>
      <c r="W34" s="32" t="str">
        <f>_xlfn.XLOOKUP($C34,'GP2 (2)'!$B$6:$B$99,'GP2 (2)'!$F$6:$F$99,"")</f>
        <v/>
      </c>
      <c r="X34" s="27" t="str">
        <f>_xlfn.XLOOKUP($C34,'GP3 (1)'!$B$6:$B$100,'GP3 (1)'!$F$6:$F$100,"")</f>
        <v/>
      </c>
      <c r="Y34" s="28" t="str">
        <f>_xlfn.XLOOKUP($C34,'GP3 (2)'!$B$6:$B$100,'GP3 (2)'!$F$6:$F$100,"")</f>
        <v/>
      </c>
      <c r="Z34" s="31">
        <f>_xlfn.XLOOKUP($C34,'GP4 (1)'!$B$6:$B$86,'GP4 (1)'!$F$6:$F$86,"")</f>
        <v>30</v>
      </c>
      <c r="AA34" s="32">
        <f>_xlfn.XLOOKUP($C34,'GP4 (2)'!$B$6:$B$100,'GP4 (2)'!$F$6:$F$100,"")</f>
        <v>25</v>
      </c>
      <c r="AB34" s="27" t="str">
        <f>_xlfn.XLOOKUP($C34,'GP5 (1)'!$B$6:$B$100,'GP5 (1)'!$F$6:$F$100,"")</f>
        <v/>
      </c>
      <c r="AC34" s="29" t="str">
        <f>_xlfn.XLOOKUP($C34,'GP5 (2)'!$B$6:$B$100,'GP5 (2)'!$F$6:$F$100,"")</f>
        <v/>
      </c>
      <c r="AD34" s="13">
        <f t="shared" si="3"/>
        <v>39</v>
      </c>
      <c r="AE34" s="33" t="str">
        <f>_xlfn.XLOOKUP($C34,'MP (1)'!$B$6:$B$100,'MP (1)'!$H$6:$H$100,"")</f>
        <v/>
      </c>
      <c r="AF34" s="32" t="str">
        <f>_xlfn.XLOOKUP($C34,'MP (2)'!$B$6:$B$100,'MP (2)'!$H$6:$H$100,"")</f>
        <v/>
      </c>
      <c r="AG34" s="27" t="str">
        <f>_xlfn.XLOOKUP($C34,'GP1 (1)'!$B$6:$B$100,'GP1 (1)'!$H$6:$H$100,"")</f>
        <v/>
      </c>
      <c r="AH34" s="28" t="str">
        <f>_xlfn.XLOOKUP($C34,'GP1 (2)'!$B$6:$B$100,'GP1 (2)'!$H$6:$H$100,"")</f>
        <v/>
      </c>
      <c r="AI34" s="31" t="str">
        <f>_xlfn.XLOOKUP($C34,'GP2 (1)'!$B$8:$B$107,'GP2 (1)'!$H$8:$H$107,"")</f>
        <v/>
      </c>
      <c r="AJ34" s="32" t="str">
        <f>_xlfn.XLOOKUP($C34,'GP2 (2)'!$B$6:$B$99,'GP2 (2)'!$H$6:$H$99,"")</f>
        <v/>
      </c>
      <c r="AK34" s="27" t="str">
        <f>_xlfn.XLOOKUP($C34,'GP3 (1)'!$B$6:$B$100,'GP3 (1)'!$H$6:$H$100,"")</f>
        <v/>
      </c>
      <c r="AL34" s="28" t="str">
        <f>_xlfn.XLOOKUP($C34,'GP3 (2)'!$B$6:$B$100,'GP3 (2)'!$H$6:$H$100,"")</f>
        <v/>
      </c>
      <c r="AM34" s="31">
        <f>_xlfn.XLOOKUP($C34,'GP4 (1)'!$B$6:$B$86,'GP4 (1)'!$H$6:$H$86,"")</f>
        <v>18</v>
      </c>
      <c r="AN34" s="32">
        <f>_xlfn.XLOOKUP($C34,'GP4 (2)'!$B$6:$B$100,'GP4 (2)'!$H$6:$H$100,"")</f>
        <v>21</v>
      </c>
      <c r="AO34" s="27" t="str">
        <f>_xlfn.XLOOKUP($C34,'GP5 (1)'!$B$6:$B$100,'GP5 (1)'!$H$6:$H$100,"")</f>
        <v/>
      </c>
      <c r="AP34" s="30" t="str">
        <f>_xlfn.XLOOKUP($C34,'GP5 (2)'!$B$6:$B$100,'GP5 (2)'!$H$6:$H$100,"")</f>
        <v/>
      </c>
    </row>
    <row r="35" spans="1:42" ht="13.15" customHeight="1" x14ac:dyDescent="0.25">
      <c r="A35" s="1">
        <f t="shared" si="0"/>
        <v>31</v>
      </c>
      <c r="B35" s="36">
        <v>2</v>
      </c>
      <c r="C35" s="4" t="s">
        <v>40</v>
      </c>
      <c r="D35" s="40">
        <f t="shared" si="1"/>
        <v>1.8</v>
      </c>
      <c r="E35" s="33" t="str">
        <f>_xlfn.XLOOKUP($C35,'MP (1)'!$B$6:$B$100,'MP (1)'!$E$6:$E$100,"")</f>
        <v/>
      </c>
      <c r="F35" s="32" t="str">
        <f>_xlfn.XLOOKUP($C35,'MP (2)'!$B$6:$B$100,'MP (2)'!$E$6:$E$100,"")</f>
        <v/>
      </c>
      <c r="G35" s="27" t="str">
        <f>_xlfn.XLOOKUP($C35,'GP1 (1)'!$B$6:$B$100,'GP1 (1)'!$E$6:$E$100,"")</f>
        <v/>
      </c>
      <c r="H35" s="28" t="str">
        <f>_xlfn.XLOOKUP($C35,'GP1 (2)'!$B$6:$B$100,'GP1 (2)'!$E$6:$E$100,"")</f>
        <v/>
      </c>
      <c r="I35" s="31" t="str">
        <f>_xlfn.XLOOKUP($C35,'GP2 (1)'!$B$8:$B$107,'GP2 (1)'!$E$8:$E$107,"")</f>
        <v/>
      </c>
      <c r="J35" s="32" t="str">
        <f>_xlfn.XLOOKUP($C35,'GP2 (2)'!$B$6:$B$99,'GP2 (2)'!$E$6:$E$99,"")</f>
        <v/>
      </c>
      <c r="K35" s="27" t="str">
        <f>_xlfn.XLOOKUP($C35,'GP3 (1)'!$B$6:$B$100,'GP3 (1)'!$E$6:$E$100,"")</f>
        <v/>
      </c>
      <c r="L35" s="28" t="str">
        <f>_xlfn.XLOOKUP($C35,'GP3 (2)'!$B$6:$B$100,'GP3 (2)'!$E$6:$E$100,"")</f>
        <v/>
      </c>
      <c r="M35" s="31">
        <f>_xlfn.XLOOKUP($C35,'GP4 (1)'!$B$6:$B$86,'GP4 (1)'!$E$6:$E$86,"")</f>
        <v>1</v>
      </c>
      <c r="N35" s="32">
        <f>_xlfn.XLOOKUP($C35,'GP4 (2)'!$B$6:$B$100,'GP4 (2)'!$E$6:$E$100,"")</f>
        <v>0.8</v>
      </c>
      <c r="O35" s="27" t="str">
        <f>_xlfn.XLOOKUP($C35,'GP5 (1)'!$B$6:$B$100,'GP5 (1)'!$E$6:$E$100,"")</f>
        <v/>
      </c>
      <c r="P35" s="29" t="str">
        <f>_xlfn.XLOOKUP($C35,'GP5 (2)'!$B$6:$B$100,'GP5 (2)'!$E$6:$E$100,"")</f>
        <v/>
      </c>
      <c r="Q35" s="13">
        <f t="shared" si="2"/>
        <v>49</v>
      </c>
      <c r="R35" s="33" t="str">
        <f>_xlfn.XLOOKUP($C35,'MP (1)'!$B$6:$B$100,'MP (1)'!$F$6:$F$100,"")</f>
        <v/>
      </c>
      <c r="S35" s="32" t="str">
        <f>_xlfn.XLOOKUP($C35,'MP (2)'!$B$6:$B$100,'MP (2)'!$F$6:$F$100,"")</f>
        <v/>
      </c>
      <c r="T35" s="27" t="str">
        <f>_xlfn.XLOOKUP($C35,'GP1 (1)'!$B$6:$B$100,'GP1 (1)'!$F$6:$F$100,"")</f>
        <v/>
      </c>
      <c r="U35" s="28" t="str">
        <f>_xlfn.XLOOKUP($C35,'GP1 (2)'!$B$6:$B$100,'GP1 (2)'!$F$6:$F$100,"")</f>
        <v/>
      </c>
      <c r="V35" s="31" t="str">
        <f>_xlfn.XLOOKUP($C35,'GP2 (1)'!$B$8:$B$107,'GP2 (1)'!$F$8:$F$107,"")</f>
        <v/>
      </c>
      <c r="W35" s="32" t="str">
        <f>_xlfn.XLOOKUP($C35,'GP2 (2)'!$B$6:$B$99,'GP2 (2)'!$F$6:$F$99,"")</f>
        <v/>
      </c>
      <c r="X35" s="27" t="str">
        <f>_xlfn.XLOOKUP($C35,'GP3 (1)'!$B$6:$B$100,'GP3 (1)'!$F$6:$F$100,"")</f>
        <v/>
      </c>
      <c r="Y35" s="28" t="str">
        <f>_xlfn.XLOOKUP($C35,'GP3 (2)'!$B$6:$B$100,'GP3 (2)'!$F$6:$F$100,"")</f>
        <v/>
      </c>
      <c r="Z35" s="31">
        <f>_xlfn.XLOOKUP($C35,'GP4 (1)'!$B$6:$B$86,'GP4 (1)'!$F$6:$F$86,"")</f>
        <v>25</v>
      </c>
      <c r="AA35" s="32">
        <f>_xlfn.XLOOKUP($C35,'GP4 (2)'!$B$6:$B$100,'GP4 (2)'!$F$6:$F$100,"")</f>
        <v>24</v>
      </c>
      <c r="AB35" s="27" t="str">
        <f>_xlfn.XLOOKUP($C35,'GP5 (1)'!$B$6:$B$100,'GP5 (1)'!$F$6:$F$100,"")</f>
        <v/>
      </c>
      <c r="AC35" s="29" t="str">
        <f>_xlfn.XLOOKUP($C35,'GP5 (2)'!$B$6:$B$100,'GP5 (2)'!$F$6:$F$100,"")</f>
        <v/>
      </c>
      <c r="AD35" s="13">
        <f t="shared" si="3"/>
        <v>27</v>
      </c>
      <c r="AE35" s="33" t="str">
        <f>_xlfn.XLOOKUP($C35,'MP (1)'!$B$6:$B$100,'MP (1)'!$H$6:$H$100,"")</f>
        <v/>
      </c>
      <c r="AF35" s="32" t="str">
        <f>_xlfn.XLOOKUP($C35,'MP (2)'!$B$6:$B$100,'MP (2)'!$H$6:$H$100,"")</f>
        <v/>
      </c>
      <c r="AG35" s="27" t="str">
        <f>_xlfn.XLOOKUP($C35,'GP1 (1)'!$B$6:$B$100,'GP1 (1)'!$H$6:$H$100,"")</f>
        <v/>
      </c>
      <c r="AH35" s="28" t="str">
        <f>_xlfn.XLOOKUP($C35,'GP1 (2)'!$B$6:$B$100,'GP1 (2)'!$H$6:$H$100,"")</f>
        <v/>
      </c>
      <c r="AI35" s="31" t="str">
        <f>_xlfn.XLOOKUP($C35,'GP2 (1)'!$B$8:$B$107,'GP2 (1)'!$H$8:$H$107,"")</f>
        <v/>
      </c>
      <c r="AJ35" s="32" t="str">
        <f>_xlfn.XLOOKUP($C35,'GP2 (2)'!$B$6:$B$99,'GP2 (2)'!$H$6:$H$99,"")</f>
        <v/>
      </c>
      <c r="AK35" s="27" t="str">
        <f>_xlfn.XLOOKUP($C35,'GP3 (1)'!$B$6:$B$100,'GP3 (1)'!$H$6:$H$100,"")</f>
        <v/>
      </c>
      <c r="AL35" s="28" t="str">
        <f>_xlfn.XLOOKUP($C35,'GP3 (2)'!$B$6:$B$100,'GP3 (2)'!$H$6:$H$100,"")</f>
        <v/>
      </c>
      <c r="AM35" s="31">
        <f>_xlfn.XLOOKUP($C35,'GP4 (1)'!$B$6:$B$86,'GP4 (1)'!$H$6:$H$86,"")</f>
        <v>15</v>
      </c>
      <c r="AN35" s="32">
        <f>_xlfn.XLOOKUP($C35,'GP4 (2)'!$B$6:$B$100,'GP4 (2)'!$H$6:$H$100,"")</f>
        <v>12</v>
      </c>
      <c r="AO35" s="27" t="str">
        <f>_xlfn.XLOOKUP($C35,'GP5 (1)'!$B$6:$B$100,'GP5 (1)'!$H$6:$H$100,"")</f>
        <v/>
      </c>
      <c r="AP35" s="30" t="str">
        <f>_xlfn.XLOOKUP($C35,'GP5 (2)'!$B$6:$B$100,'GP5 (2)'!$H$6:$H$100,"")</f>
        <v/>
      </c>
    </row>
    <row r="36" spans="1:42" ht="13.15" customHeight="1" x14ac:dyDescent="0.25">
      <c r="A36" s="1">
        <f t="shared" si="0"/>
        <v>32</v>
      </c>
      <c r="B36" s="36">
        <v>2</v>
      </c>
      <c r="C36" s="4" t="s">
        <v>69</v>
      </c>
      <c r="D36" s="40">
        <f t="shared" si="1"/>
        <v>1.67</v>
      </c>
      <c r="E36" s="33" t="str">
        <f>_xlfn.XLOOKUP($C36,'MP (1)'!$B$6:$B$100,'MP (1)'!$E$6:$E$100,"")</f>
        <v/>
      </c>
      <c r="F36" s="32" t="str">
        <f>_xlfn.XLOOKUP($C36,'MP (2)'!$B$6:$B$100,'MP (2)'!$E$6:$E$100,"")</f>
        <v/>
      </c>
      <c r="G36" s="27" t="str">
        <f>_xlfn.XLOOKUP($C36,'GP1 (1)'!$B$6:$B$100,'GP1 (1)'!$E$6:$E$100,"")</f>
        <v/>
      </c>
      <c r="H36" s="28" t="str">
        <f>_xlfn.XLOOKUP($C36,'GP1 (2)'!$B$6:$B$100,'GP1 (2)'!$E$6:$E$100,"")</f>
        <v/>
      </c>
      <c r="I36" s="31" t="str">
        <f>_xlfn.XLOOKUP($C36,'GP2 (1)'!$B$6:$B$107,'GP2 (1)'!$E$6:$E$107,"")</f>
        <v/>
      </c>
      <c r="J36" s="32" t="str">
        <f>_xlfn.XLOOKUP($C36,'GP2 (2)'!$B$6:$B$99,'GP2 (2)'!$E$6:$E$99,"")</f>
        <v/>
      </c>
      <c r="K36" s="27">
        <f>_xlfn.XLOOKUP($C36,'GP3 (1)'!$B$6:$B$100,'GP3 (1)'!$E$6:$E$100,"")</f>
        <v>1</v>
      </c>
      <c r="L36" s="28">
        <f>_xlfn.XLOOKUP($C36,'GP3 (2)'!$B$6:$B$100,'GP3 (2)'!$E$6:$E$100,"")</f>
        <v>0.67</v>
      </c>
      <c r="M36" s="31" t="str">
        <f>_xlfn.XLOOKUP($C36,'GP4 (1)'!$B$6:$B$86,'GP4 (1)'!$E$6:$E$86,"")</f>
        <v/>
      </c>
      <c r="N36" s="32" t="str">
        <f>_xlfn.XLOOKUP($C36,'GP4 (2)'!$B$6:$B$100,'GP4 (2)'!$E$6:$E$100,"")</f>
        <v/>
      </c>
      <c r="O36" s="27" t="str">
        <f>_xlfn.XLOOKUP($C36,'GP5 (1)'!$B$6:$B$100,'GP5 (1)'!$E$6:$E$100,"")</f>
        <v/>
      </c>
      <c r="P36" s="29" t="str">
        <f>_xlfn.XLOOKUP($C36,'GP5 (2)'!$B$6:$B$100,'GP5 (2)'!$E$6:$E$100,"")</f>
        <v/>
      </c>
      <c r="Q36" s="13">
        <f t="shared" si="2"/>
        <v>43</v>
      </c>
      <c r="R36" s="33" t="str">
        <f>_xlfn.XLOOKUP($C36,'MP (1)'!$B$6:$B$100,'MP (1)'!$F$6:$F$100,"")</f>
        <v/>
      </c>
      <c r="S36" s="32" t="str">
        <f>_xlfn.XLOOKUP($C36,'MP (2)'!$B$6:$B$100,'MP (2)'!$F$6:$F$100,"")</f>
        <v/>
      </c>
      <c r="T36" s="27" t="str">
        <f>_xlfn.XLOOKUP($C36,'GP1 (1)'!$B$6:$B$100,'GP1 (1)'!$F$6:$F$100,"")</f>
        <v/>
      </c>
      <c r="U36" s="28" t="str">
        <f>_xlfn.XLOOKUP($C36,'GP1 (2)'!$B$6:$B$100,'GP1 (2)'!$F$6:$F$100,"")</f>
        <v/>
      </c>
      <c r="V36" s="31" t="str">
        <f>_xlfn.XLOOKUP($C36,'GP2 (1)'!$B$8:$B$107,'GP2 (1)'!$F$8:$F$107,"")</f>
        <v/>
      </c>
      <c r="W36" s="32" t="str">
        <f>_xlfn.XLOOKUP($C36,'GP2 (2)'!$B$6:$B$99,'GP2 (2)'!$F$6:$F$99,"")</f>
        <v/>
      </c>
      <c r="X36" s="27">
        <f>_xlfn.XLOOKUP($C36,'GP3 (1)'!$B$6:$B$100,'GP3 (1)'!$F$6:$F$100,"")</f>
        <v>20</v>
      </c>
      <c r="Y36" s="28">
        <f>_xlfn.XLOOKUP($C36,'GP3 (2)'!$B$6:$B$100,'GP3 (2)'!$F$6:$F$100,"")</f>
        <v>23</v>
      </c>
      <c r="Z36" s="31" t="str">
        <f>_xlfn.XLOOKUP($C36,'GP4 (1)'!$B$6:$B$86,'GP4 (1)'!$F$6:$F$86,"")</f>
        <v/>
      </c>
      <c r="AA36" s="32" t="str">
        <f>_xlfn.XLOOKUP($C36,'GP4 (2)'!$B$6:$B$100,'GP4 (2)'!$F$6:$F$100,"")</f>
        <v/>
      </c>
      <c r="AB36" s="27" t="str">
        <f>_xlfn.XLOOKUP($C36,'GP5 (1)'!$B$6:$B$100,'GP5 (1)'!$F$6:$F$100,"")</f>
        <v/>
      </c>
      <c r="AC36" s="29" t="str">
        <f>_xlfn.XLOOKUP($C36,'GP5 (2)'!$B$6:$B$100,'GP5 (2)'!$F$6:$F$100,"")</f>
        <v/>
      </c>
      <c r="AD36" s="13">
        <f t="shared" si="3"/>
        <v>23</v>
      </c>
      <c r="AE36" s="33" t="str">
        <f>_xlfn.XLOOKUP($C36,'MP (1)'!$B$6:$B$100,'MP (1)'!$H$6:$H$100,"")</f>
        <v/>
      </c>
      <c r="AF36" s="32" t="str">
        <f>_xlfn.XLOOKUP($C36,'MP (2)'!$B$6:$B$100,'MP (2)'!$H$6:$H$100,"")</f>
        <v/>
      </c>
      <c r="AG36" s="27" t="str">
        <f>_xlfn.XLOOKUP($C36,'GP1 (1)'!$B$6:$B$100,'GP1 (1)'!$H$6:$H$100,"")</f>
        <v/>
      </c>
      <c r="AH36" s="28" t="str">
        <f>_xlfn.XLOOKUP($C36,'GP1 (2)'!$B$6:$B$100,'GP1 (2)'!$H$6:$H$100,"")</f>
        <v/>
      </c>
      <c r="AI36" s="31" t="str">
        <f>_xlfn.XLOOKUP($C36,'GP2 (1)'!$B$8:$B$107,'GP2 (1)'!$H$8:$H$107,"")</f>
        <v/>
      </c>
      <c r="AJ36" s="32" t="str">
        <f>_xlfn.XLOOKUP($C36,'GP2 (2)'!$B$6:$B$99,'GP2 (2)'!$H$6:$H$99,"")</f>
        <v/>
      </c>
      <c r="AK36" s="27">
        <f>_xlfn.XLOOKUP($C36,'GP3 (1)'!$B$6:$B$100,'GP3 (1)'!$H$6:$H$100,"")</f>
        <v>14</v>
      </c>
      <c r="AL36" s="28">
        <f>_xlfn.XLOOKUP($C36,'GP3 (2)'!$B$6:$B$100,'GP3 (2)'!$H$6:$H$100,"")</f>
        <v>9</v>
      </c>
      <c r="AM36" s="31" t="str">
        <f>_xlfn.XLOOKUP($C36,'GP4 (1)'!$B$6:$B$86,'GP4 (1)'!$H$6:$H$86,"")</f>
        <v/>
      </c>
      <c r="AN36" s="32" t="str">
        <f>_xlfn.XLOOKUP($C36,'GP4 (2)'!$B$6:$B$100,'GP4 (2)'!$H$6:$H$100,"")</f>
        <v/>
      </c>
      <c r="AO36" s="27" t="str">
        <f>_xlfn.XLOOKUP($C36,'GP5 (1)'!$B$6:$B$100,'GP5 (1)'!$H$6:$H$100,"")</f>
        <v/>
      </c>
      <c r="AP36" s="30" t="str">
        <f>_xlfn.XLOOKUP($C36,'GP5 (2)'!$B$6:$B$100,'GP5 (2)'!$H$6:$H$100,"")</f>
        <v/>
      </c>
    </row>
    <row r="37" spans="1:42" ht="13.15" customHeight="1" x14ac:dyDescent="0.25">
      <c r="A37" s="1">
        <f t="shared" ref="A37:A67" si="4">ROW()-4</f>
        <v>33</v>
      </c>
      <c r="B37" s="36">
        <v>3</v>
      </c>
      <c r="C37" s="4" t="s">
        <v>35</v>
      </c>
      <c r="D37" s="40">
        <f t="shared" ref="D37:D68" si="5">SUM(E37:P37)</f>
        <v>1.5</v>
      </c>
      <c r="E37" s="33">
        <f>_xlfn.XLOOKUP($C37,'MP (1)'!$B$6:$B$100,'MP (1)'!$E$6:$E$100,"")</f>
        <v>0.2</v>
      </c>
      <c r="F37" s="32">
        <f>_xlfn.XLOOKUP($C37,'MP (2)'!$B$6:$B$100,'MP (2)'!$E$6:$E$100,"")</f>
        <v>0.2</v>
      </c>
      <c r="G37" s="27" t="str">
        <f>_xlfn.XLOOKUP($C37,'GP1 (1)'!$B$6:$B$100,'GP1 (1)'!$E$6:$E$100,"")</f>
        <v/>
      </c>
      <c r="H37" s="28" t="str">
        <f>_xlfn.XLOOKUP($C37,'GP1 (2)'!$B$6:$B$100,'GP1 (2)'!$E$6:$E$100,"")</f>
        <v/>
      </c>
      <c r="I37" s="31" t="str">
        <f>_xlfn.XLOOKUP($C37,'GP2 (1)'!$B$6:$B$107,'GP2 (1)'!$E$6:$E$107,"")</f>
        <v/>
      </c>
      <c r="J37" s="32" t="str">
        <f>_xlfn.XLOOKUP($C37,'GP2 (2)'!$B$6:$B$99,'GP2 (2)'!$E$6:$E$99,"")</f>
        <v/>
      </c>
      <c r="K37" s="27">
        <f>_xlfn.XLOOKUP($C37,'GP3 (1)'!$B$6:$B$100,'GP3 (1)'!$E$6:$E$100,"")</f>
        <v>0</v>
      </c>
      <c r="L37" s="28" t="str">
        <f>_xlfn.XLOOKUP($C37,'GP3 (2)'!$B$6:$B$100,'GP3 (2)'!$E$6:$E$100,"")</f>
        <v/>
      </c>
      <c r="M37" s="31">
        <f>_xlfn.XLOOKUP($C37,'GP4 (1)'!$B$6:$B$86,'GP4 (1)'!$E$6:$E$86,"")</f>
        <v>0.2</v>
      </c>
      <c r="N37" s="32">
        <f>_xlfn.XLOOKUP($C37,'GP4 (2)'!$B$6:$B$100,'GP4 (2)'!$E$6:$E$100,"")</f>
        <v>0.4</v>
      </c>
      <c r="O37" s="27">
        <f>_xlfn.XLOOKUP($C37,'GP5 (1)'!$B$6:$B$100,'GP5 (1)'!$E$6:$E$100,"")</f>
        <v>0.25</v>
      </c>
      <c r="P37" s="29">
        <f>_xlfn.XLOOKUP($C37,'GP5 (2)'!$B$6:$B$100,'GP5 (2)'!$E$6:$E$100,"")</f>
        <v>0.25</v>
      </c>
      <c r="Q37" s="13">
        <f t="shared" ref="Q37:Q68" si="6">SUM(R37:AC37)</f>
        <v>70</v>
      </c>
      <c r="R37" s="33">
        <f>_xlfn.XLOOKUP($C37,'MP (1)'!$B$6:$B$100,'MP (1)'!$F$6:$F$100,"")</f>
        <v>10</v>
      </c>
      <c r="S37" s="32">
        <f>_xlfn.XLOOKUP($C37,'MP (2)'!$B$6:$B$100,'MP (2)'!$F$6:$F$100,"")</f>
        <v>11</v>
      </c>
      <c r="T37" s="27" t="str">
        <f>_xlfn.XLOOKUP($C37,'GP1 (1)'!$B$6:$B$100,'GP1 (1)'!$F$6:$F$100,"")</f>
        <v/>
      </c>
      <c r="U37" s="28" t="str">
        <f>_xlfn.XLOOKUP($C37,'GP1 (2)'!$B$6:$B$100,'GP1 (2)'!$F$6:$F$100,"")</f>
        <v/>
      </c>
      <c r="V37" s="31" t="str">
        <f>_xlfn.XLOOKUP($C37,'GP2 (1)'!$B$8:$B$107,'GP2 (1)'!$F$8:$F$107,"")</f>
        <v/>
      </c>
      <c r="W37" s="32" t="str">
        <f>_xlfn.XLOOKUP($C37,'GP2 (2)'!$B$6:$B$99,'GP2 (2)'!$F$6:$F$99,"")</f>
        <v/>
      </c>
      <c r="X37" s="27">
        <f>_xlfn.XLOOKUP($C37,'GP3 (1)'!$B$6:$B$100,'GP3 (1)'!$F$6:$F$100,"")</f>
        <v>2</v>
      </c>
      <c r="Y37" s="28" t="str">
        <f>_xlfn.XLOOKUP($C37,'GP3 (2)'!$B$6:$B$100,'GP3 (2)'!$F$6:$F$100,"")</f>
        <v/>
      </c>
      <c r="Z37" s="31">
        <f>_xlfn.XLOOKUP($C37,'GP4 (1)'!$B$6:$B$86,'GP4 (1)'!$F$6:$F$86,"")</f>
        <v>10</v>
      </c>
      <c r="AA37" s="32">
        <f>_xlfn.XLOOKUP($C37,'GP4 (2)'!$B$6:$B$100,'GP4 (2)'!$F$6:$F$100,"")</f>
        <v>18</v>
      </c>
      <c r="AB37" s="27">
        <f>_xlfn.XLOOKUP($C37,'GP5 (1)'!$B$6:$B$100,'GP5 (1)'!$F$6:$F$100,"")</f>
        <v>9</v>
      </c>
      <c r="AC37" s="29">
        <f>_xlfn.XLOOKUP($C37,'GP5 (2)'!$B$6:$B$100,'GP5 (2)'!$F$6:$F$100,"")</f>
        <v>10</v>
      </c>
      <c r="AD37" s="13">
        <f t="shared" ref="AD37:AD68" si="7">SUM(AE37:AO37)</f>
        <v>-62</v>
      </c>
      <c r="AE37" s="33">
        <f>_xlfn.XLOOKUP($C37,'MP (1)'!$B$6:$B$100,'MP (1)'!$H$6:$H$100,"")</f>
        <v>-11</v>
      </c>
      <c r="AF37" s="32">
        <f>_xlfn.XLOOKUP($C37,'MP (2)'!$B$6:$B$100,'MP (2)'!$H$6:$H$100,"")</f>
        <v>-10</v>
      </c>
      <c r="AG37" s="27" t="str">
        <f>_xlfn.XLOOKUP($C37,'GP1 (1)'!$B$6:$B$100,'GP1 (1)'!$H$6:$H$100,"")</f>
        <v/>
      </c>
      <c r="AH37" s="28" t="str">
        <f>_xlfn.XLOOKUP($C37,'GP1 (2)'!$B$6:$B$100,'GP1 (2)'!$H$6:$H$100,"")</f>
        <v/>
      </c>
      <c r="AI37" s="31" t="str">
        <f>_xlfn.XLOOKUP($C37,'GP2 (1)'!$B$8:$B$107,'GP2 (1)'!$H$8:$H$107,"")</f>
        <v/>
      </c>
      <c r="AJ37" s="32" t="str">
        <f>_xlfn.XLOOKUP($C37,'GP2 (2)'!$B$6:$B$99,'GP2 (2)'!$H$6:$H$99,"")</f>
        <v/>
      </c>
      <c r="AK37" s="27">
        <f>_xlfn.XLOOKUP($C37,'GP3 (1)'!$B$6:$B$100,'GP3 (1)'!$H$6:$H$100,"")</f>
        <v>-18</v>
      </c>
      <c r="AL37" s="28" t="str">
        <f>_xlfn.XLOOKUP($C37,'GP3 (2)'!$B$6:$B$100,'GP3 (2)'!$H$6:$H$100,"")</f>
        <v/>
      </c>
      <c r="AM37" s="31">
        <f>_xlfn.XLOOKUP($C37,'GP4 (1)'!$B$6:$B$86,'GP4 (1)'!$H$6:$H$86,"")</f>
        <v>-13</v>
      </c>
      <c r="AN37" s="32">
        <f>_xlfn.XLOOKUP($C37,'GP4 (2)'!$B$6:$B$100,'GP4 (2)'!$H$6:$H$100,"")</f>
        <v>-1</v>
      </c>
      <c r="AO37" s="27">
        <f>_xlfn.XLOOKUP($C37,'GP5 (1)'!$B$6:$B$100,'GP5 (1)'!$H$6:$H$100,"")</f>
        <v>-9</v>
      </c>
      <c r="AP37" s="30">
        <f>_xlfn.XLOOKUP($C37,'GP5 (2)'!$B$6:$B$100,'GP5 (2)'!$H$6:$H$100,"")</f>
        <v>-9</v>
      </c>
    </row>
    <row r="38" spans="1:42" ht="13.15" customHeight="1" x14ac:dyDescent="0.25">
      <c r="A38" s="1">
        <f t="shared" si="4"/>
        <v>34</v>
      </c>
      <c r="B38" s="36">
        <v>3</v>
      </c>
      <c r="C38" s="4" t="s">
        <v>45</v>
      </c>
      <c r="D38" s="40">
        <f t="shared" si="5"/>
        <v>1.48</v>
      </c>
      <c r="E38" s="33">
        <f>_xlfn.XLOOKUP($C38,'MP (1)'!$B$6:$B$100,'MP (1)'!$E$6:$E$100,"")</f>
        <v>0.33</v>
      </c>
      <c r="F38" s="32">
        <f>_xlfn.XLOOKUP($C38,'MP (2)'!$B$6:$B$100,'MP (2)'!$E$6:$E$100,"")</f>
        <v>0.33</v>
      </c>
      <c r="G38" s="27">
        <f>_xlfn.XLOOKUP($C38,'GP1 (1)'!$B$6:$B$100,'GP1 (1)'!$E$6:$E$100,"")</f>
        <v>0.17</v>
      </c>
      <c r="H38" s="28">
        <f>_xlfn.XLOOKUP($C38,'GP1 (2)'!$B$6:$B$100,'GP1 (2)'!$E$6:$E$100,"")</f>
        <v>0</v>
      </c>
      <c r="I38" s="31" t="str">
        <f>_xlfn.XLOOKUP($C38,'GP2 (1)'!$B$6:$B$107,'GP2 (1)'!$E$6:$E$107,"")</f>
        <v/>
      </c>
      <c r="J38" s="32" t="str">
        <f>_xlfn.XLOOKUP($C38,'GP2 (2)'!$B$6:$B$99,'GP2 (2)'!$E$6:$E$99,"")</f>
        <v/>
      </c>
      <c r="K38" s="27" t="str">
        <f>_xlfn.XLOOKUP($C38,'GP3 (1)'!$B$6:$B$100,'GP3 (1)'!$E$6:$E$100,"")</f>
        <v/>
      </c>
      <c r="L38" s="28" t="str">
        <f>_xlfn.XLOOKUP($C38,'GP3 (2)'!$B$6:$B$100,'GP3 (2)'!$E$6:$E$100,"")</f>
        <v/>
      </c>
      <c r="M38" s="31">
        <f>_xlfn.XLOOKUP($C38,'GP4 (1)'!$B$6:$B$86,'GP4 (1)'!$E$6:$E$86,"")</f>
        <v>0.2</v>
      </c>
      <c r="N38" s="32">
        <f>_xlfn.XLOOKUP($C38,'GP4 (2)'!$B$6:$B$100,'GP4 (2)'!$E$6:$E$100,"")</f>
        <v>0.2</v>
      </c>
      <c r="O38" s="27">
        <f>_xlfn.XLOOKUP($C38,'GP5 (1)'!$B$6:$B$100,'GP5 (1)'!$E$6:$E$100,"")</f>
        <v>0.25</v>
      </c>
      <c r="P38" s="29">
        <f>_xlfn.XLOOKUP($C38,'GP5 (2)'!$B$6:$B$100,'GP5 (2)'!$E$6:$E$100,"")</f>
        <v>0</v>
      </c>
      <c r="Q38" s="13">
        <f t="shared" si="6"/>
        <v>91</v>
      </c>
      <c r="R38" s="33">
        <f>_xlfn.XLOOKUP($C38,'MP (1)'!$B$6:$B$100,'MP (1)'!$F$6:$F$100,"")</f>
        <v>20</v>
      </c>
      <c r="S38" s="32">
        <f>_xlfn.XLOOKUP($C38,'MP (2)'!$B$6:$B$100,'MP (2)'!$F$6:$F$100,"")</f>
        <v>16</v>
      </c>
      <c r="T38" s="27">
        <f>_xlfn.XLOOKUP($C38,'GP1 (1)'!$B$6:$B$100,'GP1 (1)'!$F$6:$F$100,"")</f>
        <v>8</v>
      </c>
      <c r="U38" s="28">
        <f>_xlfn.XLOOKUP($C38,'GP1 (2)'!$B$6:$B$100,'GP1 (2)'!$F$6:$F$100,"")</f>
        <v>7</v>
      </c>
      <c r="V38" s="31" t="str">
        <f>_xlfn.XLOOKUP($C38,'GP2 (1)'!$B$8:$B$107,'GP2 (1)'!$F$8:$F$107,"")</f>
        <v/>
      </c>
      <c r="W38" s="32" t="str">
        <f>_xlfn.XLOOKUP($C38,'GP2 (2)'!$B$6:$B$99,'GP2 (2)'!$F$6:$F$99,"")</f>
        <v/>
      </c>
      <c r="X38" s="27" t="str">
        <f>_xlfn.XLOOKUP($C38,'GP3 (1)'!$B$6:$B$100,'GP3 (1)'!$F$6:$F$100,"")</f>
        <v/>
      </c>
      <c r="Y38" s="28" t="str">
        <f>_xlfn.XLOOKUP($C38,'GP3 (2)'!$B$6:$B$100,'GP3 (2)'!$F$6:$F$100,"")</f>
        <v/>
      </c>
      <c r="Z38" s="31">
        <f>_xlfn.XLOOKUP($C38,'GP4 (1)'!$B$6:$B$86,'GP4 (1)'!$F$6:$F$86,"")</f>
        <v>15</v>
      </c>
      <c r="AA38" s="32">
        <f>_xlfn.XLOOKUP($C38,'GP4 (2)'!$B$6:$B$100,'GP4 (2)'!$F$6:$F$100,"")</f>
        <v>9</v>
      </c>
      <c r="AB38" s="27">
        <f>_xlfn.XLOOKUP($C38,'GP5 (1)'!$B$6:$B$100,'GP5 (1)'!$F$6:$F$100,"")</f>
        <v>12</v>
      </c>
      <c r="AC38" s="29">
        <f>_xlfn.XLOOKUP($C38,'GP5 (2)'!$B$6:$B$100,'GP5 (2)'!$F$6:$F$100,"")</f>
        <v>4</v>
      </c>
      <c r="AD38" s="13">
        <f t="shared" si="7"/>
        <v>-78</v>
      </c>
      <c r="AE38" s="33">
        <f>_xlfn.XLOOKUP($C38,'MP (1)'!$B$6:$B$100,'MP (1)'!$H$6:$H$100,"")</f>
        <v>-2</v>
      </c>
      <c r="AF38" s="32">
        <f>_xlfn.XLOOKUP($C38,'MP (2)'!$B$6:$B$100,'MP (2)'!$H$6:$H$100,"")</f>
        <v>-11</v>
      </c>
      <c r="AG38" s="27">
        <f>_xlfn.XLOOKUP($C38,'GP1 (1)'!$B$6:$B$100,'GP1 (1)'!$H$6:$H$100,"")</f>
        <v>-20</v>
      </c>
      <c r="AH38" s="28">
        <f>_xlfn.XLOOKUP($C38,'GP1 (2)'!$B$6:$B$100,'GP1 (2)'!$H$6:$H$100,"")</f>
        <v>-18</v>
      </c>
      <c r="AI38" s="31" t="str">
        <f>_xlfn.XLOOKUP($C38,'GP2 (1)'!$B$8:$B$107,'GP2 (1)'!$H$8:$H$107,"")</f>
        <v/>
      </c>
      <c r="AJ38" s="32" t="str">
        <f>_xlfn.XLOOKUP($C38,'GP2 (2)'!$B$6:$B$99,'GP2 (2)'!$H$6:$H$99,"")</f>
        <v/>
      </c>
      <c r="AK38" s="27" t="str">
        <f>_xlfn.XLOOKUP($C38,'GP3 (1)'!$B$6:$B$100,'GP3 (1)'!$H$6:$H$100,"")</f>
        <v/>
      </c>
      <c r="AL38" s="28" t="str">
        <f>_xlfn.XLOOKUP($C38,'GP3 (2)'!$B$6:$B$100,'GP3 (2)'!$H$6:$H$100,"")</f>
        <v/>
      </c>
      <c r="AM38" s="31">
        <f>_xlfn.XLOOKUP($C38,'GP4 (1)'!$B$6:$B$86,'GP4 (1)'!$H$6:$H$86,"")</f>
        <v>-7</v>
      </c>
      <c r="AN38" s="32">
        <f>_xlfn.XLOOKUP($C38,'GP4 (2)'!$B$6:$B$100,'GP4 (2)'!$H$6:$H$100,"")</f>
        <v>-14</v>
      </c>
      <c r="AO38" s="27">
        <f>_xlfn.XLOOKUP($C38,'GP5 (1)'!$B$6:$B$100,'GP5 (1)'!$H$6:$H$100,"")</f>
        <v>-6</v>
      </c>
      <c r="AP38" s="30">
        <f>_xlfn.XLOOKUP($C38,'GP5 (2)'!$B$6:$B$100,'GP5 (2)'!$H$6:$H$100,"")</f>
        <v>-16</v>
      </c>
    </row>
    <row r="39" spans="1:42" ht="13.15" customHeight="1" x14ac:dyDescent="0.25">
      <c r="A39" s="1">
        <f t="shared" si="4"/>
        <v>35</v>
      </c>
      <c r="B39" s="36">
        <v>2</v>
      </c>
      <c r="C39" s="4" t="s">
        <v>57</v>
      </c>
      <c r="D39" s="40">
        <f t="shared" si="5"/>
        <v>1.44</v>
      </c>
      <c r="E39" s="33">
        <f>_xlfn.XLOOKUP($C39,'MP (1)'!$B$6:$B$100,'MP (1)'!$E$6:$E$100,"")</f>
        <v>0.17</v>
      </c>
      <c r="F39" s="32">
        <f>_xlfn.XLOOKUP($C39,'MP (2)'!$B$6:$B$100,'MP (2)'!$E$6:$E$100,"")</f>
        <v>0.5</v>
      </c>
      <c r="G39" s="27" t="str">
        <f>_xlfn.XLOOKUP($C39,'GP1 (1)'!$B$6:$B$100,'GP1 (1)'!$E$6:$E$100,"")</f>
        <v/>
      </c>
      <c r="H39" s="28" t="str">
        <f>_xlfn.XLOOKUP($C39,'GP1 (2)'!$B$6:$B$100,'GP1 (2)'!$E$6:$E$100,"")</f>
        <v/>
      </c>
      <c r="I39" s="31">
        <f>_xlfn.XLOOKUP($C39,'GP2 (1)'!$B$6:$B$107,'GP2 (1)'!$E$6:$E$107,"")</f>
        <v>0</v>
      </c>
      <c r="J39" s="32">
        <f>_xlfn.XLOOKUP($C39,'GP2 (2)'!$B$6:$B$99,'GP2 (2)'!$E$6:$E$99,"")</f>
        <v>0</v>
      </c>
      <c r="K39" s="27">
        <f>_xlfn.XLOOKUP($C39,'GP3 (1)'!$B$6:$B$100,'GP3 (1)'!$E$6:$E$100,"")</f>
        <v>0.4</v>
      </c>
      <c r="L39" s="28">
        <f>_xlfn.XLOOKUP($C39,'GP3 (2)'!$B$6:$B$100,'GP3 (2)'!$E$6:$E$100,"")</f>
        <v>0.17</v>
      </c>
      <c r="M39" s="31">
        <f>_xlfn.XLOOKUP($C39,'GP4 (1)'!$B$6:$B$86,'GP4 (1)'!$E$6:$E$86,"")</f>
        <v>0.2</v>
      </c>
      <c r="N39" s="32">
        <f>_xlfn.XLOOKUP($C39,'GP4 (2)'!$B$6:$B$100,'GP4 (2)'!$E$6:$E$100,"")</f>
        <v>0</v>
      </c>
      <c r="O39" s="27" t="str">
        <f>_xlfn.XLOOKUP($C39,'GP5 (1)'!$B$6:$B$100,'GP5 (1)'!$E$6:$E$100,"")</f>
        <v/>
      </c>
      <c r="P39" s="29" t="str">
        <f>_xlfn.XLOOKUP($C39,'GP5 (2)'!$B$6:$B$100,'GP5 (2)'!$E$6:$E$100,"")</f>
        <v/>
      </c>
      <c r="Q39" s="13">
        <f t="shared" si="6"/>
        <v>94</v>
      </c>
      <c r="R39" s="33">
        <f>_xlfn.XLOOKUP($C39,'MP (1)'!$B$6:$B$100,'MP (1)'!$F$6:$F$100,"")</f>
        <v>10</v>
      </c>
      <c r="S39" s="32">
        <f>_xlfn.XLOOKUP($C39,'MP (2)'!$B$6:$B$100,'MP (2)'!$F$6:$F$100,"")</f>
        <v>17</v>
      </c>
      <c r="T39" s="27" t="str">
        <f>_xlfn.XLOOKUP($C39,'GP1 (1)'!$B$6:$B$100,'GP1 (1)'!$F$6:$F$100,"")</f>
        <v/>
      </c>
      <c r="U39" s="28" t="str">
        <f>_xlfn.XLOOKUP($C39,'GP1 (2)'!$B$6:$B$100,'GP1 (2)'!$F$6:$F$100,"")</f>
        <v/>
      </c>
      <c r="V39" s="31">
        <f>_xlfn.XLOOKUP($C39,'GP2 (1)'!$B$8:$B$107,'GP2 (1)'!$F$8:$F$107,"")</f>
        <v>5</v>
      </c>
      <c r="W39" s="32">
        <f>_xlfn.XLOOKUP($C39,'GP2 (2)'!$B$6:$B$99,'GP2 (2)'!$F$6:$F$99,"")</f>
        <v>12</v>
      </c>
      <c r="X39" s="27">
        <f>_xlfn.XLOOKUP($C39,'GP3 (1)'!$B$6:$B$100,'GP3 (1)'!$F$6:$F$100,"")</f>
        <v>21</v>
      </c>
      <c r="Y39" s="28">
        <f>_xlfn.XLOOKUP($C39,'GP3 (2)'!$B$6:$B$100,'GP3 (2)'!$F$6:$F$100,"")</f>
        <v>13</v>
      </c>
      <c r="Z39" s="31">
        <f>_xlfn.XLOOKUP($C39,'GP4 (1)'!$B$6:$B$86,'GP4 (1)'!$F$6:$F$86,"")</f>
        <v>13</v>
      </c>
      <c r="AA39" s="32">
        <f>_xlfn.XLOOKUP($C39,'GP4 (2)'!$B$6:$B$100,'GP4 (2)'!$F$6:$F$100,"")</f>
        <v>3</v>
      </c>
      <c r="AB39" s="27" t="str">
        <f>_xlfn.XLOOKUP($C39,'GP5 (1)'!$B$6:$B$100,'GP5 (1)'!$F$6:$F$100,"")</f>
        <v/>
      </c>
      <c r="AC39" s="29" t="str">
        <f>_xlfn.XLOOKUP($C39,'GP5 (2)'!$B$6:$B$100,'GP5 (2)'!$F$6:$F$100,"")</f>
        <v/>
      </c>
      <c r="AD39" s="13">
        <f t="shared" si="7"/>
        <v>-101</v>
      </c>
      <c r="AE39" s="33">
        <f>_xlfn.XLOOKUP($C39,'MP (1)'!$B$6:$B$100,'MP (1)'!$H$6:$H$100,"")</f>
        <v>-19</v>
      </c>
      <c r="AF39" s="32">
        <f>_xlfn.XLOOKUP($C39,'MP (2)'!$B$6:$B$100,'MP (2)'!$H$6:$H$100,"")</f>
        <v>-5</v>
      </c>
      <c r="AG39" s="27" t="str">
        <f>_xlfn.XLOOKUP($C39,'GP1 (1)'!$B$6:$B$100,'GP1 (1)'!$H$6:$H$100,"")</f>
        <v/>
      </c>
      <c r="AH39" s="28" t="str">
        <f>_xlfn.XLOOKUP($C39,'GP1 (2)'!$B$6:$B$100,'GP1 (2)'!$H$6:$H$100,"")</f>
        <v/>
      </c>
      <c r="AI39" s="31">
        <f>_xlfn.XLOOKUP($C39,'GP2 (1)'!$B$8:$B$107,'GP2 (1)'!$H$8:$H$107,"")</f>
        <v>-20</v>
      </c>
      <c r="AJ39" s="32">
        <f>_xlfn.XLOOKUP($C39,'GP2 (2)'!$B$6:$B$99,'GP2 (2)'!$H$6:$H$99,"")</f>
        <v>-13</v>
      </c>
      <c r="AK39" s="27">
        <f>_xlfn.XLOOKUP($C39,'GP3 (1)'!$B$6:$B$100,'GP3 (1)'!$H$6:$H$100,"")</f>
        <v>-2</v>
      </c>
      <c r="AL39" s="28">
        <f>_xlfn.XLOOKUP($C39,'GP3 (2)'!$B$6:$B$100,'GP3 (2)'!$H$6:$H$100,"")</f>
        <v>-13</v>
      </c>
      <c r="AM39" s="31">
        <f>_xlfn.XLOOKUP($C39,'GP4 (1)'!$B$6:$B$86,'GP4 (1)'!$H$6:$H$86,"")</f>
        <v>-7</v>
      </c>
      <c r="AN39" s="32">
        <f>_xlfn.XLOOKUP($C39,'GP4 (2)'!$B$6:$B$100,'GP4 (2)'!$H$6:$H$100,"")</f>
        <v>-22</v>
      </c>
      <c r="AO39" s="27" t="str">
        <f>_xlfn.XLOOKUP($C39,'GP5 (1)'!$B$6:$B$100,'GP5 (1)'!$H$6:$H$100,"")</f>
        <v/>
      </c>
      <c r="AP39" s="30" t="str">
        <f>_xlfn.XLOOKUP($C39,'GP5 (2)'!$B$6:$B$100,'GP5 (2)'!$H$6:$H$100,"")</f>
        <v/>
      </c>
    </row>
    <row r="40" spans="1:42" ht="13.15" customHeight="1" x14ac:dyDescent="0.25">
      <c r="A40" s="1">
        <f t="shared" si="4"/>
        <v>36</v>
      </c>
      <c r="B40" s="36">
        <v>0</v>
      </c>
      <c r="C40" s="4" t="s">
        <v>48</v>
      </c>
      <c r="D40" s="40">
        <f t="shared" si="5"/>
        <v>1.4</v>
      </c>
      <c r="E40" s="33" t="str">
        <f>_xlfn.XLOOKUP($C40,'MP (1)'!$B$6:$B$100,'MP (1)'!$E$6:$E$100,"")</f>
        <v/>
      </c>
      <c r="F40" s="32" t="str">
        <f>_xlfn.XLOOKUP($C40,'MP (2)'!$B$6:$B$100,'MP (2)'!$E$6:$E$100,"")</f>
        <v/>
      </c>
      <c r="G40" s="27" t="str">
        <f>_xlfn.XLOOKUP($C40,'GP1 (1)'!$B$6:$B$100,'GP1 (1)'!$E$6:$E$100,"")</f>
        <v/>
      </c>
      <c r="H40" s="28" t="str">
        <f>_xlfn.XLOOKUP($C40,'GP1 (2)'!$B$6:$B$100,'GP1 (2)'!$E$6:$E$100,"")</f>
        <v/>
      </c>
      <c r="I40" s="31" t="str">
        <f>_xlfn.XLOOKUP($C40,'GP2 (1)'!$B$6:$B$107,'GP2 (1)'!$E$6:$E$107,"")</f>
        <v/>
      </c>
      <c r="J40" s="32" t="str">
        <f>_xlfn.XLOOKUP($C40,'GP2 (2)'!$B$6:$B$99,'GP2 (2)'!$E$6:$E$99,"")</f>
        <v/>
      </c>
      <c r="K40" s="27" t="str">
        <f>_xlfn.XLOOKUP($C40,'GP3 (1)'!$B$6:$B$100,'GP3 (1)'!$E$6:$E$100,"")</f>
        <v/>
      </c>
      <c r="L40" s="28" t="str">
        <f>_xlfn.XLOOKUP($C40,'GP3 (2)'!$B$6:$B$100,'GP3 (2)'!$E$6:$E$100,"")</f>
        <v/>
      </c>
      <c r="M40" s="31">
        <f>_xlfn.XLOOKUP($C40,'GP4 (1)'!$B$6:$B$86,'GP4 (1)'!$E$6:$E$86,"")</f>
        <v>0.6</v>
      </c>
      <c r="N40" s="32">
        <f>_xlfn.XLOOKUP($C40,'GP4 (2)'!$B$6:$B$100,'GP4 (2)'!$E$6:$E$100,"")</f>
        <v>0.8</v>
      </c>
      <c r="O40" s="27" t="str">
        <f>_xlfn.XLOOKUP($C40,'GP5 (1)'!$B$6:$B$100,'GP5 (1)'!$E$6:$E$100,"")</f>
        <v/>
      </c>
      <c r="P40" s="29" t="str">
        <f>_xlfn.XLOOKUP($C40,'GP5 (2)'!$B$6:$B$100,'GP5 (2)'!$E$6:$E$100,"")</f>
        <v/>
      </c>
      <c r="Q40" s="13">
        <f t="shared" si="6"/>
        <v>40</v>
      </c>
      <c r="R40" s="33" t="str">
        <f>_xlfn.XLOOKUP($C40,'MP (1)'!$B$6:$B$100,'MP (1)'!$F$6:$F$100,"")</f>
        <v/>
      </c>
      <c r="S40" s="32" t="str">
        <f>_xlfn.XLOOKUP($C40,'MP (2)'!$B$6:$B$100,'MP (2)'!$F$6:$F$100,"")</f>
        <v/>
      </c>
      <c r="T40" s="27" t="str">
        <f>_xlfn.XLOOKUP($C40,'GP1 (1)'!$B$6:$B$100,'GP1 (1)'!$F$6:$F$100,"")</f>
        <v/>
      </c>
      <c r="U40" s="28" t="str">
        <f>_xlfn.XLOOKUP($C40,'GP1 (2)'!$B$6:$B$100,'GP1 (2)'!$F$6:$F$100,"")</f>
        <v/>
      </c>
      <c r="V40" s="31" t="str">
        <f>_xlfn.XLOOKUP($C40,'GP2 (1)'!$B$8:$B$107,'GP2 (1)'!$F$8:$F$107,"")</f>
        <v/>
      </c>
      <c r="W40" s="32" t="str">
        <f>_xlfn.XLOOKUP($C40,'GP2 (2)'!$B$6:$B$99,'GP2 (2)'!$F$6:$F$99,"")</f>
        <v/>
      </c>
      <c r="X40" s="27" t="str">
        <f>_xlfn.XLOOKUP($C40,'GP3 (1)'!$B$6:$B$100,'GP3 (1)'!$F$6:$F$100,"")</f>
        <v/>
      </c>
      <c r="Y40" s="28" t="str">
        <f>_xlfn.XLOOKUP($C40,'GP3 (2)'!$B$6:$B$100,'GP3 (2)'!$F$6:$F$100,"")</f>
        <v/>
      </c>
      <c r="Z40" s="31">
        <f>_xlfn.XLOOKUP($C40,'GP4 (1)'!$B$6:$B$86,'GP4 (1)'!$F$6:$F$86,"")</f>
        <v>20</v>
      </c>
      <c r="AA40" s="32">
        <f>_xlfn.XLOOKUP($C40,'GP4 (2)'!$B$6:$B$100,'GP4 (2)'!$F$6:$F$100,"")</f>
        <v>20</v>
      </c>
      <c r="AB40" s="27" t="str">
        <f>_xlfn.XLOOKUP($C40,'GP5 (1)'!$B$6:$B$100,'GP5 (1)'!$F$6:$F$100,"")</f>
        <v/>
      </c>
      <c r="AC40" s="29" t="str">
        <f>_xlfn.XLOOKUP($C40,'GP5 (2)'!$B$6:$B$100,'GP5 (2)'!$F$6:$F$100,"")</f>
        <v/>
      </c>
      <c r="AD40" s="13">
        <f t="shared" si="7"/>
        <v>7</v>
      </c>
      <c r="AE40" s="33" t="str">
        <f>_xlfn.XLOOKUP($C40,'MP (1)'!$B$6:$B$100,'MP (1)'!$H$6:$H$100,"")</f>
        <v/>
      </c>
      <c r="AF40" s="32" t="str">
        <f>_xlfn.XLOOKUP($C40,'MP (2)'!$B$6:$B$100,'MP (2)'!$H$6:$H$100,"")</f>
        <v/>
      </c>
      <c r="AG40" s="27" t="str">
        <f>_xlfn.XLOOKUP($C40,'GP1 (1)'!$B$6:$B$100,'GP1 (1)'!$H$6:$H$100,"")</f>
        <v/>
      </c>
      <c r="AH40" s="28" t="str">
        <f>_xlfn.XLOOKUP($C40,'GP1 (2)'!$B$6:$B$100,'GP1 (2)'!$H$6:$H$100,"")</f>
        <v/>
      </c>
      <c r="AI40" s="31" t="str">
        <f>_xlfn.XLOOKUP($C40,'GP2 (1)'!$B$8:$B$107,'GP2 (1)'!$H$8:$H$107,"")</f>
        <v/>
      </c>
      <c r="AJ40" s="32" t="str">
        <f>_xlfn.XLOOKUP($C40,'GP2 (2)'!$B$6:$B$99,'GP2 (2)'!$H$6:$H$99,"")</f>
        <v/>
      </c>
      <c r="AK40" s="27" t="str">
        <f>_xlfn.XLOOKUP($C40,'GP3 (1)'!$B$6:$B$100,'GP3 (1)'!$H$6:$H$100,"")</f>
        <v/>
      </c>
      <c r="AL40" s="28" t="str">
        <f>_xlfn.XLOOKUP($C40,'GP3 (2)'!$B$6:$B$100,'GP3 (2)'!$H$6:$H$100,"")</f>
        <v/>
      </c>
      <c r="AM40" s="31">
        <f>_xlfn.XLOOKUP($C40,'GP4 (1)'!$B$6:$B$86,'GP4 (1)'!$H$6:$H$86,"")</f>
        <v>2</v>
      </c>
      <c r="AN40" s="32">
        <f>_xlfn.XLOOKUP($C40,'GP4 (2)'!$B$6:$B$100,'GP4 (2)'!$H$6:$H$100,"")</f>
        <v>5</v>
      </c>
      <c r="AO40" s="27" t="str">
        <f>_xlfn.XLOOKUP($C40,'GP5 (1)'!$B$6:$B$100,'GP5 (1)'!$H$6:$H$100,"")</f>
        <v/>
      </c>
      <c r="AP40" s="30" t="str">
        <f>_xlfn.XLOOKUP($C40,'GP5 (2)'!$B$6:$B$100,'GP5 (2)'!$H$6:$H$100,"")</f>
        <v/>
      </c>
    </row>
    <row r="41" spans="1:42" ht="13.15" customHeight="1" x14ac:dyDescent="0.25">
      <c r="A41" s="1">
        <f t="shared" si="4"/>
        <v>37</v>
      </c>
      <c r="B41" s="36">
        <v>0</v>
      </c>
      <c r="C41" s="4" t="s">
        <v>47</v>
      </c>
      <c r="D41" s="40">
        <f t="shared" si="5"/>
        <v>1.4</v>
      </c>
      <c r="E41" s="33">
        <f>_xlfn.XLOOKUP($C41,'MP (1)'!$B$6:$B$100,'MP (1)'!$E$6:$E$100,"")</f>
        <v>1</v>
      </c>
      <c r="F41" s="32">
        <f>_xlfn.XLOOKUP($C41,'MP (2)'!$B$6:$B$100,'MP (2)'!$E$6:$E$100,"")</f>
        <v>0.4</v>
      </c>
      <c r="G41" s="27" t="str">
        <f>_xlfn.XLOOKUP($C41,'GP1 (1)'!$B$6:$B$100,'GP1 (1)'!$E$6:$E$100,"")</f>
        <v/>
      </c>
      <c r="H41" s="28" t="str">
        <f>_xlfn.XLOOKUP($C41,'GP1 (2)'!$B$6:$B$100,'GP1 (2)'!$E$6:$E$100,"")</f>
        <v/>
      </c>
      <c r="I41" s="31" t="str">
        <f>_xlfn.XLOOKUP($C41,'GP2 (1)'!$B$6:$B$107,'GP2 (1)'!$E$6:$E$107,"")</f>
        <v/>
      </c>
      <c r="J41" s="32" t="str">
        <f>_xlfn.XLOOKUP($C41,'GP2 (2)'!$B$6:$B$99,'GP2 (2)'!$E$6:$E$99,"")</f>
        <v/>
      </c>
      <c r="K41" s="27" t="str">
        <f>_xlfn.XLOOKUP($C41,'GP3 (1)'!$B$6:$B$100,'GP3 (1)'!$E$6:$E$100,"")</f>
        <v/>
      </c>
      <c r="L41" s="28" t="str">
        <f>_xlfn.XLOOKUP($C41,'GP3 (2)'!$B$6:$B$100,'GP3 (2)'!$E$6:$E$100,"")</f>
        <v/>
      </c>
      <c r="M41" s="31" t="str">
        <f>_xlfn.XLOOKUP($C41,'GP4 (1)'!$B$6:$B$86,'GP4 (1)'!$E$6:$E$86,"")</f>
        <v/>
      </c>
      <c r="N41" s="32" t="str">
        <f>_xlfn.XLOOKUP($C41,'GP4 (2)'!$B$6:$B$100,'GP4 (2)'!$E$6:$E$100,"")</f>
        <v/>
      </c>
      <c r="O41" s="27" t="str">
        <f>_xlfn.XLOOKUP($C41,'GP5 (1)'!$B$6:$B$100,'GP5 (1)'!$E$6:$E$100,"")</f>
        <v/>
      </c>
      <c r="P41" s="29" t="str">
        <f>_xlfn.XLOOKUP($C41,'GP5 (2)'!$B$6:$B$100,'GP5 (2)'!$E$6:$E$100,"")</f>
        <v/>
      </c>
      <c r="Q41" s="13">
        <f t="shared" si="6"/>
        <v>50</v>
      </c>
      <c r="R41" s="33">
        <f>_xlfn.XLOOKUP($C41,'MP (1)'!$B$6:$B$100,'MP (1)'!$F$6:$F$100,"")</f>
        <v>30</v>
      </c>
      <c r="S41" s="32">
        <f>_xlfn.XLOOKUP($C41,'MP (2)'!$B$6:$B$100,'MP (2)'!$F$6:$F$100,"")</f>
        <v>20</v>
      </c>
      <c r="T41" s="27" t="str">
        <f>_xlfn.XLOOKUP($C41,'GP1 (1)'!$B$6:$B$100,'GP1 (1)'!$F$6:$F$100,"")</f>
        <v/>
      </c>
      <c r="U41" s="28" t="str">
        <f>_xlfn.XLOOKUP($C41,'GP1 (2)'!$B$6:$B$100,'GP1 (2)'!$F$6:$F$100,"")</f>
        <v/>
      </c>
      <c r="V41" s="31" t="str">
        <f>_xlfn.XLOOKUP($C41,'GP2 (1)'!$B$8:$B$107,'GP2 (1)'!$F$8:$F$107,"")</f>
        <v/>
      </c>
      <c r="W41" s="32" t="str">
        <f>_xlfn.XLOOKUP($C41,'GP2 (2)'!$B$6:$B$99,'GP2 (2)'!$F$6:$F$99,"")</f>
        <v/>
      </c>
      <c r="X41" s="27" t="str">
        <f>_xlfn.XLOOKUP($C41,'GP3 (1)'!$B$6:$B$100,'GP3 (1)'!$F$6:$F$100,"")</f>
        <v/>
      </c>
      <c r="Y41" s="28" t="str">
        <f>_xlfn.XLOOKUP($C41,'GP3 (2)'!$B$6:$B$100,'GP3 (2)'!$F$6:$F$100,"")</f>
        <v/>
      </c>
      <c r="Z41" s="31" t="str">
        <f>_xlfn.XLOOKUP($C41,'GP4 (1)'!$B$6:$B$86,'GP4 (1)'!$F$6:$F$86,"")</f>
        <v/>
      </c>
      <c r="AA41" s="32" t="str">
        <f>_xlfn.XLOOKUP($C41,'GP4 (2)'!$B$6:$B$100,'GP4 (2)'!$F$6:$F$100,"")</f>
        <v/>
      </c>
      <c r="AB41" s="27" t="str">
        <f>_xlfn.XLOOKUP($C41,'GP5 (1)'!$B$6:$B$100,'GP5 (1)'!$F$6:$F$100,"")</f>
        <v/>
      </c>
      <c r="AC41" s="29" t="str">
        <f>_xlfn.XLOOKUP($C41,'GP5 (2)'!$B$6:$B$100,'GP5 (2)'!$F$6:$F$100,"")</f>
        <v/>
      </c>
      <c r="AD41" s="13">
        <f t="shared" si="7"/>
        <v>21</v>
      </c>
      <c r="AE41" s="33">
        <f>_xlfn.XLOOKUP($C41,'MP (1)'!$B$6:$B$100,'MP (1)'!$H$6:$H$100,"")</f>
        <v>19</v>
      </c>
      <c r="AF41" s="32">
        <f>_xlfn.XLOOKUP($C41,'MP (2)'!$B$6:$B$100,'MP (2)'!$H$6:$H$100,"")</f>
        <v>2</v>
      </c>
      <c r="AG41" s="27" t="str">
        <f>_xlfn.XLOOKUP($C41,'GP1 (1)'!$B$6:$B$100,'GP1 (1)'!$H$6:$H$100,"")</f>
        <v/>
      </c>
      <c r="AH41" s="28" t="str">
        <f>_xlfn.XLOOKUP($C41,'GP1 (2)'!$B$6:$B$100,'GP1 (2)'!$H$6:$H$100,"")</f>
        <v/>
      </c>
      <c r="AI41" s="31" t="str">
        <f>_xlfn.XLOOKUP($C41,'GP2 (1)'!$B$8:$B$107,'GP2 (1)'!$H$8:$H$107,"")</f>
        <v/>
      </c>
      <c r="AJ41" s="32" t="str">
        <f>_xlfn.XLOOKUP($C41,'GP2 (2)'!$B$6:$B$99,'GP2 (2)'!$H$6:$H$99,"")</f>
        <v/>
      </c>
      <c r="AK41" s="27" t="str">
        <f>_xlfn.XLOOKUP($C41,'GP3 (1)'!$B$6:$B$100,'GP3 (1)'!$H$6:$H$100,"")</f>
        <v/>
      </c>
      <c r="AL41" s="28" t="str">
        <f>_xlfn.XLOOKUP($C41,'GP3 (2)'!$B$6:$B$100,'GP3 (2)'!$H$6:$H$100,"")</f>
        <v/>
      </c>
      <c r="AM41" s="31" t="str">
        <f>_xlfn.XLOOKUP($C41,'GP4 (1)'!$B$6:$B$86,'GP4 (1)'!$H$6:$H$86,"")</f>
        <v/>
      </c>
      <c r="AN41" s="32" t="str">
        <f>_xlfn.XLOOKUP($C41,'GP4 (2)'!$B$6:$B$100,'GP4 (2)'!$H$6:$H$100,"")</f>
        <v/>
      </c>
      <c r="AO41" s="27" t="str">
        <f>_xlfn.XLOOKUP($C41,'GP5 (1)'!$B$6:$B$100,'GP5 (1)'!$H$6:$H$100,"")</f>
        <v/>
      </c>
      <c r="AP41" s="30" t="str">
        <f>_xlfn.XLOOKUP($C41,'GP5 (2)'!$B$6:$B$100,'GP5 (2)'!$H$6:$H$100,"")</f>
        <v/>
      </c>
    </row>
    <row r="42" spans="1:42" ht="13.15" customHeight="1" x14ac:dyDescent="0.25">
      <c r="A42" s="1">
        <f t="shared" si="4"/>
        <v>38</v>
      </c>
      <c r="B42" s="36">
        <v>0</v>
      </c>
      <c r="C42" s="4" t="s">
        <v>58</v>
      </c>
      <c r="D42" s="40">
        <f t="shared" si="5"/>
        <v>1.37</v>
      </c>
      <c r="E42" s="33" t="str">
        <f>_xlfn.XLOOKUP($C42,'MP (1)'!$B$6:$B$100,'MP (1)'!$E$6:$E$100,"")</f>
        <v/>
      </c>
      <c r="F42" s="32" t="str">
        <f>_xlfn.XLOOKUP($C42,'MP (2)'!$B$6:$B$100,'MP (2)'!$E$6:$E$100,"")</f>
        <v/>
      </c>
      <c r="G42" s="27">
        <f>_xlfn.XLOOKUP($C42,'GP1 (1)'!$B$6:$B$100,'GP1 (1)'!$E$6:$E$100,"")</f>
        <v>0.2</v>
      </c>
      <c r="H42" s="28">
        <f>_xlfn.XLOOKUP($C42,'GP1 (2)'!$B$6:$B$100,'GP1 (2)'!$E$6:$E$100,"")</f>
        <v>0.17</v>
      </c>
      <c r="I42" s="31">
        <f>_xlfn.XLOOKUP($C42,'GP2 (1)'!$B$8:$B$107,'GP2 (1)'!$E$8:$E$107,"")</f>
        <v>0.2</v>
      </c>
      <c r="J42" s="32">
        <f>_xlfn.XLOOKUP($C42,'GP2 (2)'!$B$6:$B$99,'GP2 (2)'!$E$6:$E$99,"")</f>
        <v>0.4</v>
      </c>
      <c r="K42" s="27" t="str">
        <f>_xlfn.XLOOKUP($C42,'GP3 (1)'!$B$6:$B$100,'GP3 (1)'!$E$6:$E$100,"")</f>
        <v/>
      </c>
      <c r="L42" s="28" t="str">
        <f>_xlfn.XLOOKUP($C42,'GP3 (2)'!$B$6:$B$100,'GP3 (2)'!$E$6:$E$100,"")</f>
        <v/>
      </c>
      <c r="M42" s="31">
        <f>_xlfn.XLOOKUP($C42,'GP4 (1)'!$B$6:$B$86,'GP4 (1)'!$E$6:$E$86,"")</f>
        <v>0.2</v>
      </c>
      <c r="N42" s="32">
        <f>_xlfn.XLOOKUP($C42,'GP4 (2)'!$B$6:$B$100,'GP4 (2)'!$E$6:$E$100,"")</f>
        <v>0.2</v>
      </c>
      <c r="O42" s="27" t="str">
        <f>_xlfn.XLOOKUP($C42,'GP5 (1)'!$B$6:$B$100,'GP5 (1)'!$E$6:$E$100,"")</f>
        <v/>
      </c>
      <c r="P42" s="29" t="str">
        <f>_xlfn.XLOOKUP($C42,'GP5 (2)'!$B$6:$B$100,'GP5 (2)'!$E$6:$E$100,"")</f>
        <v/>
      </c>
      <c r="Q42" s="13">
        <f t="shared" si="6"/>
        <v>83</v>
      </c>
      <c r="R42" s="33" t="str">
        <f>_xlfn.XLOOKUP($C42,'MP (1)'!$B$6:$B$100,'MP (1)'!$F$6:$F$100,"")</f>
        <v/>
      </c>
      <c r="S42" s="32" t="str">
        <f>_xlfn.XLOOKUP($C42,'MP (2)'!$B$6:$B$100,'MP (2)'!$F$6:$F$100,"")</f>
        <v/>
      </c>
      <c r="T42" s="27">
        <f>_xlfn.XLOOKUP($C42,'GP1 (1)'!$B$6:$B$100,'GP1 (1)'!$F$6:$F$100,"")</f>
        <v>13</v>
      </c>
      <c r="U42" s="28">
        <f>_xlfn.XLOOKUP($C42,'GP1 (2)'!$B$6:$B$100,'GP1 (2)'!$F$6:$F$100,"")</f>
        <v>11</v>
      </c>
      <c r="V42" s="31">
        <f>_xlfn.XLOOKUP($C42,'GP2 (1)'!$B$8:$B$107,'GP2 (1)'!$F$8:$F$107,"")</f>
        <v>13</v>
      </c>
      <c r="W42" s="32">
        <f>_xlfn.XLOOKUP($C42,'GP2 (2)'!$B$6:$B$99,'GP2 (2)'!$F$6:$F$99,"")</f>
        <v>19</v>
      </c>
      <c r="X42" s="27" t="str">
        <f>_xlfn.XLOOKUP($C42,'GP3 (1)'!$B$6:$B$100,'GP3 (1)'!$F$6:$F$100,"")</f>
        <v/>
      </c>
      <c r="Y42" s="28" t="str">
        <f>_xlfn.XLOOKUP($C42,'GP3 (2)'!$B$6:$B$100,'GP3 (2)'!$F$6:$F$100,"")</f>
        <v/>
      </c>
      <c r="Z42" s="31">
        <f>_xlfn.XLOOKUP($C42,'GP4 (1)'!$B$6:$B$86,'GP4 (1)'!$F$6:$F$86,"")</f>
        <v>11</v>
      </c>
      <c r="AA42" s="32">
        <f>_xlfn.XLOOKUP($C42,'GP4 (2)'!$B$6:$B$100,'GP4 (2)'!$F$6:$F$100,"")</f>
        <v>16</v>
      </c>
      <c r="AB42" s="27" t="str">
        <f>_xlfn.XLOOKUP($C42,'GP5 (1)'!$B$6:$B$100,'GP5 (1)'!$F$6:$F$100,"")</f>
        <v/>
      </c>
      <c r="AC42" s="29" t="str">
        <f>_xlfn.XLOOKUP($C42,'GP5 (2)'!$B$6:$B$100,'GP5 (2)'!$F$6:$F$100,"")</f>
        <v/>
      </c>
      <c r="AD42" s="13">
        <f t="shared" si="7"/>
        <v>-48</v>
      </c>
      <c r="AE42" s="33" t="str">
        <f>_xlfn.XLOOKUP($C42,'MP (1)'!$B$6:$B$100,'MP (1)'!$H$6:$H$100,"")</f>
        <v/>
      </c>
      <c r="AF42" s="32" t="str">
        <f>_xlfn.XLOOKUP($C42,'MP (2)'!$B$6:$B$100,'MP (2)'!$H$6:$H$100,"")</f>
        <v/>
      </c>
      <c r="AG42" s="27">
        <f>_xlfn.XLOOKUP($C42,'GP1 (1)'!$B$6:$B$100,'GP1 (1)'!$H$6:$H$100,"")</f>
        <v>-8</v>
      </c>
      <c r="AH42" s="28">
        <f>_xlfn.XLOOKUP($C42,'GP1 (2)'!$B$6:$B$100,'GP1 (2)'!$H$6:$H$100,"")</f>
        <v>-16</v>
      </c>
      <c r="AI42" s="31">
        <f>_xlfn.XLOOKUP($C42,'GP2 (1)'!$B$8:$B$107,'GP2 (1)'!$H$8:$H$107,"")</f>
        <v>-7</v>
      </c>
      <c r="AJ42" s="32">
        <f>_xlfn.XLOOKUP($C42,'GP2 (2)'!$B$6:$B$99,'GP2 (2)'!$H$6:$H$99,"")</f>
        <v>0</v>
      </c>
      <c r="AK42" s="27" t="str">
        <f>_xlfn.XLOOKUP($C42,'GP3 (1)'!$B$6:$B$100,'GP3 (1)'!$H$6:$H$100,"")</f>
        <v/>
      </c>
      <c r="AL42" s="28" t="str">
        <f>_xlfn.XLOOKUP($C42,'GP3 (2)'!$B$6:$B$100,'GP3 (2)'!$H$6:$H$100,"")</f>
        <v/>
      </c>
      <c r="AM42" s="31">
        <f>_xlfn.XLOOKUP($C42,'GP4 (1)'!$B$6:$B$86,'GP4 (1)'!$H$6:$H$86,"")</f>
        <v>-11</v>
      </c>
      <c r="AN42" s="32">
        <f>_xlfn.XLOOKUP($C42,'GP4 (2)'!$B$6:$B$100,'GP4 (2)'!$H$6:$H$100,"")</f>
        <v>-6</v>
      </c>
      <c r="AO42" s="27" t="str">
        <f>_xlfn.XLOOKUP($C42,'GP5 (1)'!$B$6:$B$100,'GP5 (1)'!$H$6:$H$100,"")</f>
        <v/>
      </c>
      <c r="AP42" s="30" t="str">
        <f>_xlfn.XLOOKUP($C42,'GP5 (2)'!$B$6:$B$100,'GP5 (2)'!$H$6:$H$100,"")</f>
        <v/>
      </c>
    </row>
    <row r="43" spans="1:42" ht="13.15" customHeight="1" x14ac:dyDescent="0.25">
      <c r="A43" s="1">
        <f t="shared" si="4"/>
        <v>39</v>
      </c>
      <c r="B43" s="1">
        <v>1</v>
      </c>
      <c r="C43" s="4" t="s">
        <v>54</v>
      </c>
      <c r="D43" s="40">
        <f t="shared" si="5"/>
        <v>1.3299999999999998</v>
      </c>
      <c r="E43" s="33" t="str">
        <f>_xlfn.XLOOKUP($C43,'MP (1)'!$B$6:$B$100,'MP (1)'!$E$6:$E$100,"")</f>
        <v/>
      </c>
      <c r="F43" s="32" t="str">
        <f>_xlfn.XLOOKUP($C43,'MP (2)'!$B$6:$B$100,'MP (2)'!$E$6:$E$100,"")</f>
        <v/>
      </c>
      <c r="G43" s="27">
        <f>_xlfn.XLOOKUP($C43,'GP1 (1)'!$B$6:$B$100,'GP1 (1)'!$E$6:$E$100,"")</f>
        <v>0.33</v>
      </c>
      <c r="H43" s="28">
        <f>_xlfn.XLOOKUP($C43,'GP1 (2)'!$B$6:$B$100,'GP1 (2)'!$E$6:$E$100,"")</f>
        <v>0.6</v>
      </c>
      <c r="I43" s="31">
        <f>_xlfn.XLOOKUP($C43,'GP2 (1)'!$B$6:$B$107,'GP2 (1)'!$E$6:$E$107,"")</f>
        <v>0.2</v>
      </c>
      <c r="J43" s="32">
        <f>_xlfn.XLOOKUP($C43,'GP2 (2)'!$B$6:$B$99,'GP2 (2)'!$E$6:$E$99,"")</f>
        <v>0.2</v>
      </c>
      <c r="K43" s="27" t="str">
        <f>_xlfn.XLOOKUP($C43,'GP3 (1)'!$B$6:$B$100,'GP3 (1)'!$E$6:$E$100,"")</f>
        <v/>
      </c>
      <c r="L43" s="28" t="str">
        <f>_xlfn.XLOOKUP($C43,'GP3 (2)'!$B$6:$B$100,'GP3 (2)'!$E$6:$E$100,"")</f>
        <v/>
      </c>
      <c r="M43" s="31" t="str">
        <f>_xlfn.XLOOKUP($C43,'GP4 (1)'!$B$6:$B$86,'GP4 (1)'!$E$6:$E$86,"")</f>
        <v/>
      </c>
      <c r="N43" s="32" t="str">
        <f>_xlfn.XLOOKUP($C43,'GP4 (2)'!$B$6:$B$100,'GP4 (2)'!$E$6:$E$100,"")</f>
        <v/>
      </c>
      <c r="O43" s="27" t="str">
        <f>_xlfn.XLOOKUP($C43,'GP5 (1)'!$B$6:$B$100,'GP5 (1)'!$E$6:$E$100,"")</f>
        <v/>
      </c>
      <c r="P43" s="29" t="str">
        <f>_xlfn.XLOOKUP($C43,'GP5 (2)'!$B$6:$B$100,'GP5 (2)'!$E$6:$E$100,"")</f>
        <v/>
      </c>
      <c r="Q43" s="13">
        <f t="shared" si="6"/>
        <v>72</v>
      </c>
      <c r="R43" s="33" t="str">
        <f>_xlfn.XLOOKUP($C43,'MP (1)'!$B$6:$B$100,'MP (1)'!$F$6:$F$100,"")</f>
        <v/>
      </c>
      <c r="S43" s="32" t="str">
        <f>_xlfn.XLOOKUP($C43,'MP (2)'!$B$6:$B$100,'MP (2)'!$F$6:$F$100,"")</f>
        <v/>
      </c>
      <c r="T43" s="27">
        <f>_xlfn.XLOOKUP($C43,'GP1 (1)'!$B$6:$B$100,'GP1 (1)'!$F$6:$F$100,"")</f>
        <v>26</v>
      </c>
      <c r="U43" s="28">
        <f>_xlfn.XLOOKUP($C43,'GP1 (2)'!$B$6:$B$100,'GP1 (2)'!$F$6:$F$100,"")</f>
        <v>20</v>
      </c>
      <c r="V43" s="31">
        <f>_xlfn.XLOOKUP($C43,'GP2 (1)'!$B$8:$B$107,'GP2 (1)'!$F$8:$F$107,"")</f>
        <v>12</v>
      </c>
      <c r="W43" s="32">
        <f>_xlfn.XLOOKUP($C43,'GP2 (2)'!$B$6:$B$99,'GP2 (2)'!$F$6:$F$99,"")</f>
        <v>14</v>
      </c>
      <c r="X43" s="27" t="str">
        <f>_xlfn.XLOOKUP($C43,'GP3 (1)'!$B$6:$B$100,'GP3 (1)'!$F$6:$F$100,"")</f>
        <v/>
      </c>
      <c r="Y43" s="28" t="str">
        <f>_xlfn.XLOOKUP($C43,'GP3 (2)'!$B$6:$B$100,'GP3 (2)'!$F$6:$F$100,"")</f>
        <v/>
      </c>
      <c r="Z43" s="31" t="str">
        <f>_xlfn.XLOOKUP($C43,'GP4 (1)'!$B$6:$B$86,'GP4 (1)'!$F$6:$F$86,"")</f>
        <v/>
      </c>
      <c r="AA43" s="32" t="str">
        <f>_xlfn.XLOOKUP($C43,'GP4 (2)'!$B$6:$B$100,'GP4 (2)'!$F$6:$F$100,"")</f>
        <v/>
      </c>
      <c r="AB43" s="27" t="str">
        <f>_xlfn.XLOOKUP($C43,'GP5 (1)'!$B$6:$B$100,'GP5 (1)'!$F$6:$F$100,"")</f>
        <v/>
      </c>
      <c r="AC43" s="29" t="str">
        <f>_xlfn.XLOOKUP($C43,'GP5 (2)'!$B$6:$B$100,'GP5 (2)'!$F$6:$F$100,"")</f>
        <v/>
      </c>
      <c r="AD43" s="13">
        <f t="shared" si="7"/>
        <v>-13</v>
      </c>
      <c r="AE43" s="33" t="str">
        <f>_xlfn.XLOOKUP($C43,'MP (1)'!$B$6:$B$100,'MP (1)'!$H$6:$H$100,"")</f>
        <v/>
      </c>
      <c r="AF43" s="32" t="str">
        <f>_xlfn.XLOOKUP($C43,'MP (2)'!$B$6:$B$100,'MP (2)'!$H$6:$H$100,"")</f>
        <v/>
      </c>
      <c r="AG43" s="27">
        <f>_xlfn.XLOOKUP($C43,'GP1 (1)'!$B$6:$B$100,'GP1 (1)'!$H$6:$H$100,"")</f>
        <v>3</v>
      </c>
      <c r="AH43" s="28">
        <f>_xlfn.XLOOKUP($C43,'GP1 (2)'!$B$6:$B$100,'GP1 (2)'!$H$6:$H$100,"")</f>
        <v>2</v>
      </c>
      <c r="AI43" s="31">
        <f>_xlfn.XLOOKUP($C43,'GP2 (1)'!$B$8:$B$107,'GP2 (1)'!$H$8:$H$107,"")</f>
        <v>-9</v>
      </c>
      <c r="AJ43" s="32">
        <f>_xlfn.XLOOKUP($C43,'GP2 (2)'!$B$6:$B$99,'GP2 (2)'!$H$6:$H$99,"")</f>
        <v>-9</v>
      </c>
      <c r="AK43" s="27" t="str">
        <f>_xlfn.XLOOKUP($C43,'GP3 (1)'!$B$6:$B$100,'GP3 (1)'!$H$6:$H$100,"")</f>
        <v/>
      </c>
      <c r="AL43" s="28" t="str">
        <f>_xlfn.XLOOKUP($C43,'GP3 (2)'!$B$6:$B$100,'GP3 (2)'!$H$6:$H$100,"")</f>
        <v/>
      </c>
      <c r="AM43" s="31" t="str">
        <f>_xlfn.XLOOKUP($C43,'GP4 (1)'!$B$6:$B$86,'GP4 (1)'!$H$6:$H$86,"")</f>
        <v/>
      </c>
      <c r="AN43" s="32" t="str">
        <f>_xlfn.XLOOKUP($C43,'GP4 (2)'!$B$6:$B$100,'GP4 (2)'!$H$6:$H$100,"")</f>
        <v/>
      </c>
      <c r="AO43" s="27" t="str">
        <f>_xlfn.XLOOKUP($C43,'GP5 (1)'!$B$6:$B$100,'GP5 (1)'!$H$6:$H$100,"")</f>
        <v/>
      </c>
      <c r="AP43" s="30" t="str">
        <f>_xlfn.XLOOKUP($C43,'GP5 (2)'!$B$6:$B$100,'GP5 (2)'!$H$6:$H$100,"")</f>
        <v/>
      </c>
    </row>
    <row r="44" spans="1:42" ht="13.15" customHeight="1" x14ac:dyDescent="0.25">
      <c r="A44" s="1">
        <f t="shared" si="4"/>
        <v>40</v>
      </c>
      <c r="B44" s="36">
        <v>3</v>
      </c>
      <c r="C44" s="4" t="s">
        <v>56</v>
      </c>
      <c r="D44" s="40">
        <f t="shared" si="5"/>
        <v>1.07</v>
      </c>
      <c r="E44" s="33">
        <f>_xlfn.XLOOKUP($C44,'MP (1)'!$B$6:$B$100,'MP (1)'!$E$6:$E$100,"")</f>
        <v>0.4</v>
      </c>
      <c r="F44" s="32">
        <f>_xlfn.XLOOKUP($C44,'MP (2)'!$B$6:$B$100,'MP (2)'!$E$6:$E$100,"")</f>
        <v>0.33</v>
      </c>
      <c r="G44" s="27">
        <f>_xlfn.XLOOKUP($C44,'GP1 (1)'!$B$6:$B$100,'GP1 (1)'!$E$6:$E$100,"")</f>
        <v>0.17</v>
      </c>
      <c r="H44" s="28">
        <f>_xlfn.XLOOKUP($C44,'GP1 (2)'!$B$6:$B$100,'GP1 (2)'!$E$6:$E$100,"")</f>
        <v>0</v>
      </c>
      <c r="I44" s="31">
        <f>_xlfn.XLOOKUP($C44,'GP2 (1)'!$B$6:$B$107,'GP2 (1)'!$E$6:$E$107,"")</f>
        <v>0</v>
      </c>
      <c r="J44" s="32">
        <f>_xlfn.XLOOKUP($C44,'GP2 (2)'!$B$6:$B$99,'GP2 (2)'!$E$6:$E$99,"")</f>
        <v>0.17</v>
      </c>
      <c r="K44" s="27" t="str">
        <f>_xlfn.XLOOKUP($C44,'GP3 (1)'!$B$6:$B$100,'GP3 (1)'!$E$6:$E$100,"")</f>
        <v/>
      </c>
      <c r="L44" s="28" t="str">
        <f>_xlfn.XLOOKUP($C44,'GP3 (2)'!$B$6:$B$100,'GP3 (2)'!$E$6:$E$100,"")</f>
        <v/>
      </c>
      <c r="M44" s="31" t="str">
        <f>_xlfn.XLOOKUP($C44,'GP4 (1)'!$B$6:$B$86,'GP4 (1)'!$E$6:$E$86,"")</f>
        <v/>
      </c>
      <c r="N44" s="32" t="str">
        <f>_xlfn.XLOOKUP($C44,'GP4 (2)'!$B$6:$B$100,'GP4 (2)'!$E$6:$E$100,"")</f>
        <v/>
      </c>
      <c r="O44" s="27">
        <f>_xlfn.XLOOKUP($C44,'GP5 (1)'!$B$6:$B$100,'GP5 (1)'!$E$6:$E$100,"")</f>
        <v>0</v>
      </c>
      <c r="P44" s="29">
        <f>_xlfn.XLOOKUP($C44,'GP5 (2)'!$B$6:$B$100,'GP5 (2)'!$E$6:$E$100,"")</f>
        <v>0</v>
      </c>
      <c r="Q44" s="13">
        <f t="shared" si="6"/>
        <v>76</v>
      </c>
      <c r="R44" s="33">
        <f>_xlfn.XLOOKUP($C44,'MP (1)'!$B$6:$B$100,'MP (1)'!$F$6:$F$100,"")</f>
        <v>13</v>
      </c>
      <c r="S44" s="32">
        <f>_xlfn.XLOOKUP($C44,'MP (2)'!$B$6:$B$100,'MP (2)'!$F$6:$F$100,"")</f>
        <v>15</v>
      </c>
      <c r="T44" s="27">
        <f>_xlfn.XLOOKUP($C44,'GP1 (1)'!$B$6:$B$100,'GP1 (1)'!$F$6:$F$100,"")</f>
        <v>11</v>
      </c>
      <c r="U44" s="28">
        <f>_xlfn.XLOOKUP($C44,'GP1 (2)'!$B$6:$B$100,'GP1 (2)'!$F$6:$F$100,"")</f>
        <v>7</v>
      </c>
      <c r="V44" s="31">
        <f>_xlfn.XLOOKUP($C44,'GP2 (1)'!$B$8:$B$107,'GP2 (1)'!$F$8:$F$107,"")</f>
        <v>5</v>
      </c>
      <c r="W44" s="32">
        <f>_xlfn.XLOOKUP($C44,'GP2 (2)'!$B$6:$B$99,'GP2 (2)'!$F$6:$F$99,"")</f>
        <v>9</v>
      </c>
      <c r="X44" s="27" t="str">
        <f>_xlfn.XLOOKUP($C44,'GP3 (1)'!$B$6:$B$100,'GP3 (1)'!$F$6:$F$100,"")</f>
        <v/>
      </c>
      <c r="Y44" s="28" t="str">
        <f>_xlfn.XLOOKUP($C44,'GP3 (2)'!$B$6:$B$100,'GP3 (2)'!$F$6:$F$100,"")</f>
        <v/>
      </c>
      <c r="Z44" s="31" t="str">
        <f>_xlfn.XLOOKUP($C44,'GP4 (1)'!$B$6:$B$86,'GP4 (1)'!$F$6:$F$86,"")</f>
        <v/>
      </c>
      <c r="AA44" s="32" t="str">
        <f>_xlfn.XLOOKUP($C44,'GP4 (2)'!$B$6:$B$100,'GP4 (2)'!$F$6:$F$100,"")</f>
        <v/>
      </c>
      <c r="AB44" s="27">
        <f>_xlfn.XLOOKUP($C44,'GP5 (1)'!$B$6:$B$100,'GP5 (1)'!$F$6:$F$100,"")</f>
        <v>8</v>
      </c>
      <c r="AC44" s="29">
        <f>_xlfn.XLOOKUP($C44,'GP5 (2)'!$B$6:$B$100,'GP5 (2)'!$F$6:$F$100,"")</f>
        <v>8</v>
      </c>
      <c r="AD44" s="13">
        <f t="shared" si="7"/>
        <v>-99</v>
      </c>
      <c r="AE44" s="33">
        <f>_xlfn.XLOOKUP($C44,'MP (1)'!$B$6:$B$100,'MP (1)'!$H$6:$H$100,"")</f>
        <v>-5</v>
      </c>
      <c r="AF44" s="32">
        <f>_xlfn.XLOOKUP($C44,'MP (2)'!$B$6:$B$100,'MP (2)'!$H$6:$H$100,"")</f>
        <v>-9</v>
      </c>
      <c r="AG44" s="27">
        <f>_xlfn.XLOOKUP($C44,'GP1 (1)'!$B$6:$B$100,'GP1 (1)'!$H$6:$H$100,"")</f>
        <v>-18</v>
      </c>
      <c r="AH44" s="28">
        <f>_xlfn.XLOOKUP($C44,'GP1 (2)'!$B$6:$B$100,'GP1 (2)'!$H$6:$H$100,"")</f>
        <v>-18</v>
      </c>
      <c r="AI44" s="31">
        <f>_xlfn.XLOOKUP($C44,'GP2 (1)'!$B$8:$B$107,'GP2 (1)'!$H$8:$H$107,"")</f>
        <v>-20</v>
      </c>
      <c r="AJ44" s="32">
        <f>_xlfn.XLOOKUP($C44,'GP2 (2)'!$B$6:$B$99,'GP2 (2)'!$H$6:$H$99,"")</f>
        <v>-17</v>
      </c>
      <c r="AK44" s="27" t="str">
        <f>_xlfn.XLOOKUP($C44,'GP3 (1)'!$B$6:$B$100,'GP3 (1)'!$H$6:$H$100,"")</f>
        <v/>
      </c>
      <c r="AL44" s="28" t="str">
        <f>_xlfn.XLOOKUP($C44,'GP3 (2)'!$B$6:$B$100,'GP3 (2)'!$H$6:$H$100,"")</f>
        <v/>
      </c>
      <c r="AM44" s="31" t="str">
        <f>_xlfn.XLOOKUP($C44,'GP4 (1)'!$B$6:$B$86,'GP4 (1)'!$H$6:$H$86,"")</f>
        <v/>
      </c>
      <c r="AN44" s="32" t="str">
        <f>_xlfn.XLOOKUP($C44,'GP4 (2)'!$B$6:$B$100,'GP4 (2)'!$H$6:$H$100,"")</f>
        <v/>
      </c>
      <c r="AO44" s="27">
        <f>_xlfn.XLOOKUP($C44,'GP5 (1)'!$B$6:$B$100,'GP5 (1)'!$H$6:$H$100,"")</f>
        <v>-12</v>
      </c>
      <c r="AP44" s="30">
        <f>_xlfn.XLOOKUP($C44,'GP5 (2)'!$B$6:$B$100,'GP5 (2)'!$H$6:$H$100,"")</f>
        <v>-12</v>
      </c>
    </row>
    <row r="45" spans="1:42" ht="13.15" customHeight="1" x14ac:dyDescent="0.25">
      <c r="A45" s="1">
        <f t="shared" si="4"/>
        <v>41</v>
      </c>
      <c r="B45" s="1">
        <v>2</v>
      </c>
      <c r="C45" s="4" t="s">
        <v>146</v>
      </c>
      <c r="D45" s="12">
        <f t="shared" si="5"/>
        <v>1</v>
      </c>
      <c r="E45" s="33" t="str">
        <f>_xlfn.XLOOKUP($C45,'MP (1)'!$B$6:$B$100,'MP (1)'!$E$6:$E$100,"")</f>
        <v/>
      </c>
      <c r="F45" s="32" t="str">
        <f>_xlfn.XLOOKUP($C45,'MP (2)'!$B$6:$B$100,'MP (2)'!$E$6:$E$100,"")</f>
        <v/>
      </c>
      <c r="G45" s="27" t="str">
        <f>_xlfn.XLOOKUP($C45,'GP1 (1)'!$B$6:$B$100,'GP1 (1)'!$E$6:$E$100,"")</f>
        <v/>
      </c>
      <c r="H45" s="28" t="str">
        <f>_xlfn.XLOOKUP($C45,'GP1 (2)'!$B$6:$B$100,'GP1 (2)'!$E$6:$E$100,"")</f>
        <v/>
      </c>
      <c r="I45" s="31">
        <f>_xlfn.XLOOKUP($C45,'GP2 (1)'!$B$6:$B$107,'GP2 (1)'!$E$6:$E$107,"")</f>
        <v>0.4</v>
      </c>
      <c r="J45" s="32">
        <f>_xlfn.XLOOKUP($C45,'GP2 (2)'!$B$6:$B$99,'GP2 (2)'!$E$6:$E$99,"")</f>
        <v>0.6</v>
      </c>
      <c r="K45" s="27" t="str">
        <f>_xlfn.XLOOKUP($C45,'GP3 (1)'!$B$6:$B$100,'GP3 (1)'!$E$6:$E$100,"")</f>
        <v/>
      </c>
      <c r="L45" s="28" t="str">
        <f>_xlfn.XLOOKUP($C45,'GP3 (2)'!$B$6:$B$100,'GP3 (2)'!$E$6:$E$100,"")</f>
        <v/>
      </c>
      <c r="M45" s="31" t="str">
        <f>_xlfn.XLOOKUP($C45,'GP4 (1)'!$B$6:$B$86,'GP4 (1)'!$E$6:$E$86,"")</f>
        <v/>
      </c>
      <c r="N45" s="32" t="str">
        <f>_xlfn.XLOOKUP($C45,'GP4 (2)'!$B$6:$B$100,'GP4 (2)'!$E$6:$E$100,"")</f>
        <v/>
      </c>
      <c r="O45" s="27" t="str">
        <f>_xlfn.XLOOKUP($C45,'GP5 (1)'!$B$6:$B$100,'GP5 (1)'!$E$6:$E$100,"")</f>
        <v/>
      </c>
      <c r="P45" s="29" t="str">
        <f>_xlfn.XLOOKUP($C45,'GP5 (2)'!$B$6:$B$100,'GP5 (2)'!$E$6:$E$100,"")</f>
        <v/>
      </c>
      <c r="Q45" s="13">
        <f t="shared" si="6"/>
        <v>41</v>
      </c>
      <c r="R45" s="33" t="str">
        <f>_xlfn.XLOOKUP($C45,'MP (1)'!$B$6:$B$100,'MP (1)'!$F$6:$F$100,"")</f>
        <v/>
      </c>
      <c r="S45" s="32" t="str">
        <f>_xlfn.XLOOKUP($C45,'MP (2)'!$B$6:$B$100,'MP (2)'!$F$6:$F$100,"")</f>
        <v/>
      </c>
      <c r="T45" s="27" t="str">
        <f>_xlfn.XLOOKUP($C45,'GP1 (1)'!$B$6:$B$100,'GP1 (1)'!$F$6:$F$100,"")</f>
        <v/>
      </c>
      <c r="U45" s="28" t="str">
        <f>_xlfn.XLOOKUP($C45,'GP1 (2)'!$B$6:$B$100,'GP1 (2)'!$F$6:$F$100,"")</f>
        <v/>
      </c>
      <c r="V45" s="31">
        <f>_xlfn.XLOOKUP($C45,'GP2 (1)'!$B$8:$B$107,'GP2 (1)'!$F$8:$F$107,"")</f>
        <v>19</v>
      </c>
      <c r="W45" s="32">
        <f>_xlfn.XLOOKUP($C45,'GP2 (2)'!$B$6:$B$99,'GP2 (2)'!$F$6:$F$99,"")</f>
        <v>22</v>
      </c>
      <c r="X45" s="27" t="str">
        <f>_xlfn.XLOOKUP($C45,'GP3 (1)'!$B$6:$B$100,'GP3 (1)'!$F$6:$F$100,"")</f>
        <v/>
      </c>
      <c r="Y45" s="28" t="str">
        <f>_xlfn.XLOOKUP($C45,'GP3 (2)'!$B$6:$B$100,'GP3 (2)'!$F$6:$F$100,"")</f>
        <v/>
      </c>
      <c r="Z45" s="31" t="str">
        <f>_xlfn.XLOOKUP($C45,'GP4 (1)'!$B$6:$B$86,'GP4 (1)'!$F$6:$F$86,"")</f>
        <v/>
      </c>
      <c r="AA45" s="32" t="str">
        <f>_xlfn.XLOOKUP($C45,'GP4 (2)'!$B$6:$B$100,'GP4 (2)'!$F$6:$F$100,"")</f>
        <v/>
      </c>
      <c r="AB45" s="27" t="str">
        <f>_xlfn.XLOOKUP($C45,'GP5 (1)'!$B$6:$B$100,'GP5 (1)'!$F$6:$F$100,"")</f>
        <v/>
      </c>
      <c r="AC45" s="29" t="str">
        <f>_xlfn.XLOOKUP($C45,'GP5 (2)'!$B$6:$B$100,'GP5 (2)'!$F$6:$F$100,"")</f>
        <v/>
      </c>
      <c r="AD45" s="13">
        <f t="shared" si="7"/>
        <v>2</v>
      </c>
      <c r="AE45" s="33" t="str">
        <f>_xlfn.XLOOKUP($C45,'MP (1)'!$B$6:$B$100,'MP (1)'!$H$6:$H$100,"")</f>
        <v/>
      </c>
      <c r="AF45" s="32" t="str">
        <f>_xlfn.XLOOKUP($C45,'MP (2)'!$B$6:$B$100,'MP (2)'!$H$6:$H$100,"")</f>
        <v/>
      </c>
      <c r="AG45" s="27" t="str">
        <f>_xlfn.XLOOKUP($C45,'GP1 (1)'!$B$6:$B$100,'GP1 (1)'!$H$6:$H$100,"")</f>
        <v/>
      </c>
      <c r="AH45" s="28" t="str">
        <f>_xlfn.XLOOKUP($C45,'GP1 (2)'!$B$6:$B$100,'GP1 (2)'!$H$6:$H$100,"")</f>
        <v/>
      </c>
      <c r="AI45" s="31">
        <f>_xlfn.XLOOKUP($C45,'GP2 (1)'!$B$8:$B$107,'GP2 (1)'!$H$8:$H$107,"")</f>
        <v>-2</v>
      </c>
      <c r="AJ45" s="32">
        <f>_xlfn.XLOOKUP($C45,'GP2 (2)'!$B$6:$B$99,'GP2 (2)'!$H$6:$H$99,"")</f>
        <v>4</v>
      </c>
      <c r="AK45" s="27" t="str">
        <f>_xlfn.XLOOKUP($C45,'GP3 (1)'!$B$6:$B$100,'GP3 (1)'!$H$6:$H$100,"")</f>
        <v/>
      </c>
      <c r="AL45" s="28" t="str">
        <f>_xlfn.XLOOKUP($C45,'GP3 (2)'!$B$6:$B$100,'GP3 (2)'!$H$6:$H$100,"")</f>
        <v/>
      </c>
      <c r="AM45" s="31" t="str">
        <f>_xlfn.XLOOKUP($C45,'GP4 (1)'!$B$6:$B$86,'GP4 (1)'!$H$6:$H$86,"")</f>
        <v/>
      </c>
      <c r="AN45" s="32" t="str">
        <f>_xlfn.XLOOKUP($C45,'GP4 (2)'!$B$6:$B$100,'GP4 (2)'!$H$6:$H$100,"")</f>
        <v/>
      </c>
      <c r="AO45" s="27" t="str">
        <f>_xlfn.XLOOKUP($C45,'GP5 (1)'!$B$6:$B$100,'GP5 (1)'!$H$6:$H$100,"")</f>
        <v/>
      </c>
      <c r="AP45" s="30" t="str">
        <f>_xlfn.XLOOKUP($C45,'GP5 (2)'!$B$6:$B$100,'GP5 (2)'!$H$6:$H$100,"")</f>
        <v/>
      </c>
    </row>
    <row r="46" spans="1:42" ht="13.15" customHeight="1" x14ac:dyDescent="0.25">
      <c r="A46" s="1">
        <f t="shared" si="4"/>
        <v>42</v>
      </c>
      <c r="B46" s="1">
        <v>4</v>
      </c>
      <c r="C46" s="41" t="s">
        <v>55</v>
      </c>
      <c r="D46" s="40">
        <f t="shared" si="5"/>
        <v>0.92</v>
      </c>
      <c r="E46" s="33">
        <f>_xlfn.XLOOKUP($C46,'MP (1)'!$B$6:$B$100,'MP (1)'!$E$6:$E$100,"")</f>
        <v>0.5</v>
      </c>
      <c r="F46" s="32">
        <f>_xlfn.XLOOKUP($C46,'MP (2)'!$B$6:$B$100,'MP (2)'!$E$6:$E$100,"")</f>
        <v>0.17</v>
      </c>
      <c r="G46" s="27" t="str">
        <f>_xlfn.XLOOKUP($C46,'GP1 (1)'!$B$6:$B$100,'GP1 (1)'!$E$6:$E$100,"")</f>
        <v/>
      </c>
      <c r="H46" s="28" t="str">
        <f>_xlfn.XLOOKUP($C46,'GP1 (2)'!$B$6:$B$100,'GP1 (2)'!$E$6:$E$100,"")</f>
        <v/>
      </c>
      <c r="I46" s="31" t="str">
        <f>_xlfn.XLOOKUP($C46,'GP2 (1)'!$B$6:$B$107,'GP2 (1)'!$E$6:$E$107,"")</f>
        <v/>
      </c>
      <c r="J46" s="32" t="str">
        <f>_xlfn.XLOOKUP($C46,'GP2 (2)'!$B$6:$B$99,'GP2 (2)'!$E$6:$E$99,"")</f>
        <v/>
      </c>
      <c r="K46" s="27" t="str">
        <f>_xlfn.XLOOKUP($C46,'GP3 (1)'!$B$6:$B$100,'GP3 (1)'!$E$6:$E$100,"")</f>
        <v/>
      </c>
      <c r="L46" s="28" t="str">
        <f>_xlfn.XLOOKUP($C46,'GP3 (2)'!$B$6:$B$100,'GP3 (2)'!$E$6:$E$100,"")</f>
        <v/>
      </c>
      <c r="M46" s="31" t="str">
        <f>_xlfn.XLOOKUP($C46,'GP4 (1)'!$B$6:$B$86,'GP4 (1)'!$E$6:$E$86,"")</f>
        <v/>
      </c>
      <c r="N46" s="32" t="str">
        <f>_xlfn.XLOOKUP($C46,'GP4 (2)'!$B$6:$B$100,'GP4 (2)'!$E$6:$E$100,"")</f>
        <v/>
      </c>
      <c r="O46" s="27">
        <f>_xlfn.XLOOKUP($C46,'GP5 (1)'!$B$6:$B$100,'GP5 (1)'!$E$6:$E$100,"")</f>
        <v>0</v>
      </c>
      <c r="P46" s="29">
        <f>_xlfn.XLOOKUP($C46,'GP5 (2)'!$B$6:$B$100,'GP5 (2)'!$E$6:$E$100,"")</f>
        <v>0.25</v>
      </c>
      <c r="Q46" s="13">
        <f t="shared" si="6"/>
        <v>47</v>
      </c>
      <c r="R46" s="33">
        <f>_xlfn.XLOOKUP($C46,'MP (1)'!$B$6:$B$100,'MP (1)'!$F$6:$F$100,"")</f>
        <v>19</v>
      </c>
      <c r="S46" s="32">
        <f>_xlfn.XLOOKUP($C46,'MP (2)'!$B$6:$B$100,'MP (2)'!$F$6:$F$100,"")</f>
        <v>16</v>
      </c>
      <c r="T46" s="27" t="str">
        <f>_xlfn.XLOOKUP($C46,'GP1 (1)'!$B$6:$B$100,'GP1 (1)'!$F$6:$F$100,"")</f>
        <v/>
      </c>
      <c r="U46" s="28" t="str">
        <f>_xlfn.XLOOKUP($C46,'GP1 (2)'!$B$6:$B$100,'GP1 (2)'!$F$6:$F$100,"")</f>
        <v/>
      </c>
      <c r="V46" s="31" t="str">
        <f>_xlfn.XLOOKUP($C46,'GP2 (1)'!$B$8:$B$107,'GP2 (1)'!$F$8:$F$107,"")</f>
        <v/>
      </c>
      <c r="W46" s="32" t="str">
        <f>_xlfn.XLOOKUP($C46,'GP2 (2)'!$B$6:$B$99,'GP2 (2)'!$F$6:$F$99,"")</f>
        <v/>
      </c>
      <c r="X46" s="27" t="str">
        <f>_xlfn.XLOOKUP($C46,'GP3 (1)'!$B$6:$B$100,'GP3 (1)'!$F$6:$F$100,"")</f>
        <v/>
      </c>
      <c r="Y46" s="28" t="str">
        <f>_xlfn.XLOOKUP($C46,'GP3 (2)'!$B$6:$B$100,'GP3 (2)'!$F$6:$F$100,"")</f>
        <v/>
      </c>
      <c r="Z46" s="31" t="str">
        <f>_xlfn.XLOOKUP($C46,'GP4 (1)'!$B$6:$B$86,'GP4 (1)'!$F$6:$F$86,"")</f>
        <v/>
      </c>
      <c r="AA46" s="32" t="str">
        <f>_xlfn.XLOOKUP($C46,'GP4 (2)'!$B$6:$B$100,'GP4 (2)'!$F$6:$F$100,"")</f>
        <v/>
      </c>
      <c r="AB46" s="27">
        <f>_xlfn.XLOOKUP($C46,'GP5 (1)'!$B$6:$B$100,'GP5 (1)'!$F$6:$F$100,"")</f>
        <v>2</v>
      </c>
      <c r="AC46" s="29">
        <f>_xlfn.XLOOKUP($C46,'GP5 (2)'!$B$6:$B$100,'GP5 (2)'!$F$6:$F$100,"")</f>
        <v>10</v>
      </c>
      <c r="AD46" s="13">
        <f t="shared" si="7"/>
        <v>-32</v>
      </c>
      <c r="AE46" s="33">
        <f>_xlfn.XLOOKUP($C46,'MP (1)'!$B$6:$B$100,'MP (1)'!$H$6:$H$100,"")</f>
        <v>-2</v>
      </c>
      <c r="AF46" s="32">
        <f>_xlfn.XLOOKUP($C46,'MP (2)'!$B$6:$B$100,'MP (2)'!$H$6:$H$100,"")</f>
        <v>-12</v>
      </c>
      <c r="AG46" s="27" t="str">
        <f>_xlfn.XLOOKUP($C46,'GP1 (1)'!$B$6:$B$100,'GP1 (1)'!$H$6:$H$100,"")</f>
        <v/>
      </c>
      <c r="AH46" s="28" t="str">
        <f>_xlfn.XLOOKUP($C46,'GP1 (2)'!$B$6:$B$100,'GP1 (2)'!$H$6:$H$100,"")</f>
        <v/>
      </c>
      <c r="AI46" s="31" t="str">
        <f>_xlfn.XLOOKUP($C46,'GP2 (1)'!$B$8:$B$107,'GP2 (1)'!$H$8:$H$107,"")</f>
        <v/>
      </c>
      <c r="AJ46" s="32" t="str">
        <f>_xlfn.XLOOKUP($C46,'GP2 (2)'!$B$6:$B$99,'GP2 (2)'!$H$6:$H$99,"")</f>
        <v/>
      </c>
      <c r="AK46" s="27" t="str">
        <f>_xlfn.XLOOKUP($C46,'GP3 (1)'!$B$6:$B$100,'GP3 (1)'!$H$6:$H$100,"")</f>
        <v/>
      </c>
      <c r="AL46" s="28" t="str">
        <f>_xlfn.XLOOKUP($C46,'GP3 (2)'!$B$6:$B$100,'GP3 (2)'!$H$6:$H$100,"")</f>
        <v/>
      </c>
      <c r="AM46" s="31" t="str">
        <f>_xlfn.XLOOKUP($C46,'GP4 (1)'!$B$6:$B$86,'GP4 (1)'!$H$6:$H$86,"")</f>
        <v/>
      </c>
      <c r="AN46" s="32" t="str">
        <f>_xlfn.XLOOKUP($C46,'GP4 (2)'!$B$6:$B$100,'GP4 (2)'!$H$6:$H$100,"")</f>
        <v/>
      </c>
      <c r="AO46" s="27">
        <f>_xlfn.XLOOKUP($C46,'GP5 (1)'!$B$6:$B$100,'GP5 (1)'!$H$6:$H$100,"")</f>
        <v>-18</v>
      </c>
      <c r="AP46" s="30">
        <f>_xlfn.XLOOKUP($C46,'GP5 (2)'!$B$6:$B$100,'GP5 (2)'!$H$6:$H$100,"")</f>
        <v>-5</v>
      </c>
    </row>
    <row r="47" spans="1:42" ht="13.15" customHeight="1" x14ac:dyDescent="0.25">
      <c r="A47" s="1">
        <f t="shared" si="4"/>
        <v>43</v>
      </c>
      <c r="B47" s="1">
        <v>0</v>
      </c>
      <c r="C47" s="2" t="s">
        <v>59</v>
      </c>
      <c r="D47" s="40">
        <f t="shared" si="5"/>
        <v>0.73</v>
      </c>
      <c r="E47" s="33" t="str">
        <f>_xlfn.XLOOKUP($C47,'MP (1)'!$B$6:$B$100,'MP (1)'!$E$6:$E$100,"")</f>
        <v/>
      </c>
      <c r="F47" s="32" t="str">
        <f>_xlfn.XLOOKUP($C47,'MP (2)'!$B$6:$B$100,'MP (2)'!$E$6:$E$100,"")</f>
        <v/>
      </c>
      <c r="G47" s="27" t="str">
        <f>_xlfn.XLOOKUP($C47,'GP1 (1)'!$B$6:$B$100,'GP1 (1)'!$E$6:$E$100,"")</f>
        <v/>
      </c>
      <c r="H47" s="28" t="str">
        <f>_xlfn.XLOOKUP($C47,'GP1 (2)'!$B$6:$B$100,'GP1 (2)'!$E$6:$E$100,"")</f>
        <v/>
      </c>
      <c r="I47" s="31" t="str">
        <f>_xlfn.XLOOKUP($C47,'GP2 (1)'!$B$6:$B$107,'GP2 (1)'!$E$6:$E$107,"")</f>
        <v/>
      </c>
      <c r="J47" s="32" t="str">
        <f>_xlfn.XLOOKUP($C47,'GP2 (2)'!$B$6:$B$99,'GP2 (2)'!$E$6:$E$99,"")</f>
        <v/>
      </c>
      <c r="K47" s="27" t="str">
        <f>_xlfn.XLOOKUP($C47,'GP3 (1)'!$B$6:$B$100,'GP3 (1)'!$E$6:$E$100,"")</f>
        <v/>
      </c>
      <c r="L47" s="28" t="str">
        <f>_xlfn.XLOOKUP($C47,'GP3 (2)'!$B$6:$B$100,'GP3 (2)'!$E$6:$E$100,"")</f>
        <v/>
      </c>
      <c r="M47" s="31">
        <f>_xlfn.XLOOKUP($C47,'GP4 (1)'!$B$6:$B$86,'GP4 (1)'!$E$6:$E$86,"")</f>
        <v>0.33</v>
      </c>
      <c r="N47" s="32">
        <f>_xlfn.XLOOKUP($C47,'GP4 (2)'!$B$6:$B$100,'GP4 (2)'!$E$6:$E$100,"")</f>
        <v>0.4</v>
      </c>
      <c r="O47" s="27" t="str">
        <f>_xlfn.XLOOKUP($C47,'GP5 (1)'!$B$6:$B$100,'GP5 (1)'!$E$6:$E$100,"")</f>
        <v/>
      </c>
      <c r="P47" s="29" t="str">
        <f>_xlfn.XLOOKUP($C47,'GP5 (2)'!$B$6:$B$100,'GP5 (2)'!$E$6:$E$100,"")</f>
        <v/>
      </c>
      <c r="Q47" s="13">
        <f t="shared" si="6"/>
        <v>39</v>
      </c>
      <c r="R47" s="33" t="str">
        <f>_xlfn.XLOOKUP($C47,'MP (1)'!$B$6:$B$100,'MP (1)'!$F$6:$F$100,"")</f>
        <v/>
      </c>
      <c r="S47" s="32" t="str">
        <f>_xlfn.XLOOKUP($C47,'MP (2)'!$B$6:$B$100,'MP (2)'!$F$6:$F$100,"")</f>
        <v/>
      </c>
      <c r="T47" s="27" t="str">
        <f>_xlfn.XLOOKUP($C47,'GP1 (1)'!$B$6:$B$100,'GP1 (1)'!$F$6:$F$100,"")</f>
        <v/>
      </c>
      <c r="U47" s="28" t="str">
        <f>_xlfn.XLOOKUP($C47,'GP1 (2)'!$B$6:$B$100,'GP1 (2)'!$F$6:$F$100,"")</f>
        <v/>
      </c>
      <c r="V47" s="31" t="str">
        <f>_xlfn.XLOOKUP($C47,'GP2 (1)'!$B$8:$B$107,'GP2 (1)'!$F$8:$F$107,"")</f>
        <v/>
      </c>
      <c r="W47" s="32" t="str">
        <f>_xlfn.XLOOKUP($C47,'GP2 (2)'!$B$6:$B$99,'GP2 (2)'!$F$6:$F$99,"")</f>
        <v/>
      </c>
      <c r="X47" s="27" t="str">
        <f>_xlfn.XLOOKUP($C47,'GP3 (1)'!$B$6:$B$100,'GP3 (1)'!$F$6:$F$100,"")</f>
        <v/>
      </c>
      <c r="Y47" s="28" t="str">
        <f>_xlfn.XLOOKUP($C47,'GP3 (2)'!$B$6:$B$100,'GP3 (2)'!$F$6:$F$100,"")</f>
        <v/>
      </c>
      <c r="Z47" s="31">
        <f>_xlfn.XLOOKUP($C47,'GP4 (1)'!$B$6:$B$86,'GP4 (1)'!$F$6:$F$86,"")</f>
        <v>22</v>
      </c>
      <c r="AA47" s="32">
        <f>_xlfn.XLOOKUP($C47,'GP4 (2)'!$B$6:$B$100,'GP4 (2)'!$F$6:$F$100,"")</f>
        <v>17</v>
      </c>
      <c r="AB47" s="27" t="str">
        <f>_xlfn.XLOOKUP($C47,'GP5 (1)'!$B$6:$B$100,'GP5 (1)'!$F$6:$F$100,"")</f>
        <v/>
      </c>
      <c r="AC47" s="29" t="str">
        <f>_xlfn.XLOOKUP($C47,'GP5 (2)'!$B$6:$B$100,'GP5 (2)'!$F$6:$F$100,"")</f>
        <v/>
      </c>
      <c r="AD47" s="13">
        <f t="shared" si="7"/>
        <v>2</v>
      </c>
      <c r="AE47" s="33" t="str">
        <f>_xlfn.XLOOKUP($C47,'MP (1)'!$B$6:$B$100,'MP (1)'!$H$6:$H$100,"")</f>
        <v/>
      </c>
      <c r="AF47" s="32" t="str">
        <f>_xlfn.XLOOKUP($C47,'MP (2)'!$B$6:$B$100,'MP (2)'!$H$6:$H$100,"")</f>
        <v/>
      </c>
      <c r="AG47" s="27" t="str">
        <f>_xlfn.XLOOKUP($C47,'GP1 (1)'!$B$6:$B$100,'GP1 (1)'!$H$6:$H$100,"")</f>
        <v/>
      </c>
      <c r="AH47" s="28" t="str">
        <f>_xlfn.XLOOKUP($C47,'GP1 (2)'!$B$6:$B$100,'GP1 (2)'!$H$6:$H$100,"")</f>
        <v/>
      </c>
      <c r="AI47" s="31" t="str">
        <f>_xlfn.XLOOKUP($C47,'GP2 (1)'!$B$8:$B$107,'GP2 (1)'!$H$8:$H$107,"")</f>
        <v/>
      </c>
      <c r="AJ47" s="32" t="str">
        <f>_xlfn.XLOOKUP($C47,'GP2 (2)'!$B$6:$B$99,'GP2 (2)'!$H$6:$H$99,"")</f>
        <v/>
      </c>
      <c r="AK47" s="27" t="str">
        <f>_xlfn.XLOOKUP($C47,'GP3 (1)'!$B$6:$B$100,'GP3 (1)'!$H$6:$H$100,"")</f>
        <v/>
      </c>
      <c r="AL47" s="28" t="str">
        <f>_xlfn.XLOOKUP($C47,'GP3 (2)'!$B$6:$B$100,'GP3 (2)'!$H$6:$H$100,"")</f>
        <v/>
      </c>
      <c r="AM47" s="31">
        <f>_xlfn.XLOOKUP($C47,'GP4 (1)'!$B$6:$B$86,'GP4 (1)'!$H$6:$H$86,"")</f>
        <v>2</v>
      </c>
      <c r="AN47" s="32">
        <f>_xlfn.XLOOKUP($C47,'GP4 (2)'!$B$6:$B$100,'GP4 (2)'!$H$6:$H$100,"")</f>
        <v>0</v>
      </c>
      <c r="AO47" s="27" t="str">
        <f>_xlfn.XLOOKUP($C47,'GP5 (1)'!$B$6:$B$100,'GP5 (1)'!$H$6:$H$100,"")</f>
        <v/>
      </c>
      <c r="AP47" s="30" t="str">
        <f>_xlfn.XLOOKUP($C47,'GP5 (2)'!$B$6:$B$100,'GP5 (2)'!$H$6:$H$100,"")</f>
        <v/>
      </c>
    </row>
    <row r="48" spans="1:42" ht="13.15" customHeight="1" x14ac:dyDescent="0.25">
      <c r="A48" s="1">
        <f t="shared" si="4"/>
        <v>44</v>
      </c>
      <c r="B48" s="1"/>
      <c r="C48" s="2" t="s">
        <v>169</v>
      </c>
      <c r="D48" s="40">
        <f t="shared" si="5"/>
        <v>0.73</v>
      </c>
      <c r="E48" s="33" t="str">
        <f>_xlfn.XLOOKUP($C48,'MP (1)'!$B$6:$B$100,'MP (1)'!$E$6:$E$100,"")</f>
        <v/>
      </c>
      <c r="F48" s="32" t="str">
        <f>_xlfn.XLOOKUP($C48,'MP (2)'!$B$6:$B$100,'MP (2)'!$E$6:$E$100,"")</f>
        <v/>
      </c>
      <c r="G48" s="27" t="str">
        <f>_xlfn.XLOOKUP($C48,'GP1 (1)'!$B$6:$B$100,'GP1 (1)'!$E$6:$E$100,"")</f>
        <v/>
      </c>
      <c r="H48" s="28" t="str">
        <f>_xlfn.XLOOKUP($C48,'GP1 (2)'!$B$6:$B$100,'GP1 (2)'!$E$6:$E$100,"")</f>
        <v/>
      </c>
      <c r="I48" s="31" t="str">
        <f>_xlfn.XLOOKUP($C48,'GP2 (1)'!$B$6:$B$107,'GP2 (1)'!$E$6:$E$107,"")</f>
        <v/>
      </c>
      <c r="J48" s="32" t="str">
        <f>_xlfn.XLOOKUP($C48,'GP2 (2)'!$B$6:$B$99,'GP2 (2)'!$E$6:$E$99,"")</f>
        <v/>
      </c>
      <c r="K48" s="27">
        <f>_xlfn.XLOOKUP($C48,'GP3 (1)'!$B$6:$B$100,'GP3 (1)'!$E$6:$E$100,"")</f>
        <v>0.4</v>
      </c>
      <c r="L48" s="28">
        <f>_xlfn.XLOOKUP($C48,'GP3 (2)'!$B$6:$B$100,'GP3 (2)'!$E$6:$E$100,"")</f>
        <v>0.33</v>
      </c>
      <c r="M48" s="31" t="str">
        <f>_xlfn.XLOOKUP($C48,'GP4 (1)'!$B$6:$B$86,'GP4 (1)'!$E$6:$E$86,"")</f>
        <v/>
      </c>
      <c r="N48" s="32" t="str">
        <f>_xlfn.XLOOKUP($C48,'GP4 (2)'!$B$6:$B$100,'GP4 (2)'!$E$6:$E$100,"")</f>
        <v/>
      </c>
      <c r="O48" s="27" t="str">
        <f>_xlfn.XLOOKUP($C48,'GP5 (1)'!$B$6:$B$100,'GP5 (1)'!$E$6:$E$100,"")</f>
        <v/>
      </c>
      <c r="P48" s="29" t="str">
        <f>_xlfn.XLOOKUP($C48,'GP5 (2)'!$B$6:$B$100,'GP5 (2)'!$E$6:$E$100,"")</f>
        <v/>
      </c>
      <c r="Q48" s="13">
        <f t="shared" si="6"/>
        <v>33</v>
      </c>
      <c r="R48" s="33" t="str">
        <f>_xlfn.XLOOKUP($C48,'MP (1)'!$B$6:$B$100,'MP (1)'!$F$6:$F$100,"")</f>
        <v/>
      </c>
      <c r="S48" s="32" t="str">
        <f>_xlfn.XLOOKUP($C48,'MP (2)'!$B$6:$B$100,'MP (2)'!$F$6:$F$100,"")</f>
        <v/>
      </c>
      <c r="T48" s="27" t="str">
        <f>_xlfn.XLOOKUP($C48,'GP1 (1)'!$B$6:$B$100,'GP1 (1)'!$F$6:$F$100,"")</f>
        <v/>
      </c>
      <c r="U48" s="28" t="str">
        <f>_xlfn.XLOOKUP($C48,'GP1 (2)'!$B$6:$B$100,'GP1 (2)'!$F$6:$F$100,"")</f>
        <v/>
      </c>
      <c r="V48" s="31" t="str">
        <f>_xlfn.XLOOKUP($C48,'GP2 (1)'!$B$8:$B$107,'GP2 (1)'!$F$8:$F$107,"")</f>
        <v/>
      </c>
      <c r="W48" s="32" t="str">
        <f>_xlfn.XLOOKUP($C48,'GP2 (2)'!$B$6:$B$99,'GP2 (2)'!$F$6:$F$99,"")</f>
        <v/>
      </c>
      <c r="X48" s="27">
        <f>_xlfn.XLOOKUP($C48,'GP3 (1)'!$B$6:$B$100,'GP3 (1)'!$F$6:$F$100,"")</f>
        <v>14</v>
      </c>
      <c r="Y48" s="28">
        <f>_xlfn.XLOOKUP($C48,'GP3 (2)'!$B$6:$B$100,'GP3 (2)'!$F$6:$F$100,"")</f>
        <v>19</v>
      </c>
      <c r="Z48" s="31" t="str">
        <f>_xlfn.XLOOKUP($C48,'GP4 (1)'!$B$6:$B$86,'GP4 (1)'!$F$6:$F$86,"")</f>
        <v/>
      </c>
      <c r="AA48" s="32" t="str">
        <f>_xlfn.XLOOKUP($C48,'GP4 (2)'!$B$6:$B$100,'GP4 (2)'!$F$6:$F$100,"")</f>
        <v/>
      </c>
      <c r="AB48" s="27" t="str">
        <f>_xlfn.XLOOKUP($C48,'GP5 (1)'!$B$6:$B$100,'GP5 (1)'!$F$6:$F$100,"")</f>
        <v/>
      </c>
      <c r="AC48" s="29" t="str">
        <f>_xlfn.XLOOKUP($C48,'GP5 (2)'!$B$6:$B$100,'GP5 (2)'!$F$6:$F$100,"")</f>
        <v/>
      </c>
      <c r="AD48" s="13">
        <f t="shared" si="7"/>
        <v>-11</v>
      </c>
      <c r="AE48" s="33" t="str">
        <f>_xlfn.XLOOKUP($C48,'MP (1)'!$B$6:$B$100,'MP (1)'!$H$6:$H$100,"")</f>
        <v/>
      </c>
      <c r="AF48" s="32" t="str">
        <f>_xlfn.XLOOKUP($C48,'MP (2)'!$B$6:$B$100,'MP (2)'!$H$6:$H$100,"")</f>
        <v/>
      </c>
      <c r="AG48" s="27" t="str">
        <f>_xlfn.XLOOKUP($C48,'GP1 (1)'!$B$6:$B$100,'GP1 (1)'!$H$6:$H$100,"")</f>
        <v/>
      </c>
      <c r="AH48" s="28" t="str">
        <f>_xlfn.XLOOKUP($C48,'GP1 (2)'!$B$6:$B$100,'GP1 (2)'!$H$6:$H$100,"")</f>
        <v/>
      </c>
      <c r="AI48" s="31" t="str">
        <f>_xlfn.XLOOKUP($C48,'GP2 (1)'!$B$8:$B$107,'GP2 (1)'!$H$8:$H$107,"")</f>
        <v/>
      </c>
      <c r="AJ48" s="32" t="str">
        <f>_xlfn.XLOOKUP($C48,'GP2 (2)'!$B$6:$B$99,'GP2 (2)'!$H$6:$H$99,"")</f>
        <v/>
      </c>
      <c r="AK48" s="27">
        <f>_xlfn.XLOOKUP($C48,'GP3 (1)'!$B$6:$B$100,'GP3 (1)'!$H$6:$H$100,"")</f>
        <v>-5</v>
      </c>
      <c r="AL48" s="28">
        <f>_xlfn.XLOOKUP($C48,'GP3 (2)'!$B$6:$B$100,'GP3 (2)'!$H$6:$H$100,"")</f>
        <v>-6</v>
      </c>
      <c r="AM48" s="31" t="str">
        <f>_xlfn.XLOOKUP($C48,'GP4 (1)'!$B$6:$B$86,'GP4 (1)'!$H$6:$H$86,"")</f>
        <v/>
      </c>
      <c r="AN48" s="32" t="str">
        <f>_xlfn.XLOOKUP($C48,'GP4 (2)'!$B$6:$B$100,'GP4 (2)'!$H$6:$H$100,"")</f>
        <v/>
      </c>
      <c r="AO48" s="27" t="str">
        <f>_xlfn.XLOOKUP($C48,'GP5 (1)'!$B$6:$B$100,'GP5 (1)'!$H$6:$H$100,"")</f>
        <v/>
      </c>
      <c r="AP48" s="30" t="str">
        <f>_xlfn.XLOOKUP($C48,'GP5 (2)'!$B$6:$B$100,'GP5 (2)'!$H$6:$H$100,"")</f>
        <v/>
      </c>
    </row>
    <row r="49" spans="1:42" ht="13.15" customHeight="1" x14ac:dyDescent="0.25">
      <c r="A49" s="1">
        <f t="shared" si="4"/>
        <v>45</v>
      </c>
      <c r="B49" s="1">
        <v>3</v>
      </c>
      <c r="C49" s="4" t="s">
        <v>61</v>
      </c>
      <c r="D49" s="40">
        <f t="shared" si="5"/>
        <v>0.57000000000000006</v>
      </c>
      <c r="E49" s="33">
        <f>_xlfn.XLOOKUP($C49,'MP (1)'!$B$6:$B$100,'MP (1)'!$E$6:$E$100,"")</f>
        <v>0.17</v>
      </c>
      <c r="F49" s="32">
        <f>_xlfn.XLOOKUP($C49,'MP (2)'!$B$6:$B$100,'MP (2)'!$E$6:$E$100,"")</f>
        <v>0.4</v>
      </c>
      <c r="G49" s="27" t="str">
        <f>_xlfn.XLOOKUP($C49,'GP1 (1)'!$B$6:$B$100,'GP1 (1)'!$E$6:$E$100,"")</f>
        <v/>
      </c>
      <c r="H49" s="28" t="str">
        <f>_xlfn.XLOOKUP($C49,'GP1 (2)'!$B$6:$B$100,'GP1 (2)'!$E$6:$E$100,"")</f>
        <v/>
      </c>
      <c r="I49" s="31" t="str">
        <f>_xlfn.XLOOKUP($C49,'GP2 (1)'!$B$8:$B$107,'GP2 (1)'!$E$8:$E$107,"")</f>
        <v/>
      </c>
      <c r="J49" s="32" t="str">
        <f>_xlfn.XLOOKUP($C49,'GP2 (2)'!$B$6:$B$99,'GP2 (2)'!$E$6:$E$99,"")</f>
        <v/>
      </c>
      <c r="K49" s="27" t="str">
        <f>_xlfn.XLOOKUP($C49,'GP3 (1)'!$B$6:$B$100,'GP3 (1)'!$E$6:$E$100,"")</f>
        <v/>
      </c>
      <c r="L49" s="28" t="str">
        <f>_xlfn.XLOOKUP($C49,'GP3 (2)'!$B$6:$B$100,'GP3 (2)'!$E$6:$E$100,"")</f>
        <v/>
      </c>
      <c r="M49" s="31" t="str">
        <f>_xlfn.XLOOKUP($C49,'GP4 (1)'!$B$6:$B$86,'GP4 (1)'!$E$6:$E$86,"")</f>
        <v/>
      </c>
      <c r="N49" s="32" t="str">
        <f>_xlfn.XLOOKUP($C49,'GP4 (2)'!$B$6:$B$100,'GP4 (2)'!$E$6:$E$100,"")</f>
        <v/>
      </c>
      <c r="O49" s="27" t="str">
        <f>_xlfn.XLOOKUP($C49,'GP5 (1)'!$B$6:$B$100,'GP5 (1)'!$E$6:$E$100,"")</f>
        <v/>
      </c>
      <c r="P49" s="29" t="str">
        <f>_xlfn.XLOOKUP($C49,'GP5 (2)'!$B$6:$B$100,'GP5 (2)'!$E$6:$E$100,"")</f>
        <v/>
      </c>
      <c r="Q49" s="13">
        <f t="shared" si="6"/>
        <v>33</v>
      </c>
      <c r="R49" s="33">
        <f>_xlfn.XLOOKUP($C49,'MP (1)'!$B$6:$B$100,'MP (1)'!$F$6:$F$100,"")</f>
        <v>17</v>
      </c>
      <c r="S49" s="32">
        <f>_xlfn.XLOOKUP($C49,'MP (2)'!$B$6:$B$100,'MP (2)'!$F$6:$F$100,"")</f>
        <v>16</v>
      </c>
      <c r="T49" s="27" t="str">
        <f>_xlfn.XLOOKUP($C49,'GP1 (1)'!$B$6:$B$100,'GP1 (1)'!$F$6:$F$100,"")</f>
        <v/>
      </c>
      <c r="U49" s="28" t="str">
        <f>_xlfn.XLOOKUP($C49,'GP1 (2)'!$B$6:$B$100,'GP1 (2)'!$F$6:$F$100,"")</f>
        <v/>
      </c>
      <c r="V49" s="31" t="str">
        <f>_xlfn.XLOOKUP($C49,'GP2 (1)'!$B$8:$B$107,'GP2 (1)'!$F$8:$F$107,"")</f>
        <v/>
      </c>
      <c r="W49" s="32" t="str">
        <f>_xlfn.XLOOKUP($C49,'GP2 (2)'!$B$6:$B$99,'GP2 (2)'!$F$6:$F$99,"")</f>
        <v/>
      </c>
      <c r="X49" s="27" t="str">
        <f>_xlfn.XLOOKUP($C49,'GP3 (1)'!$B$6:$B$100,'GP3 (1)'!$F$6:$F$100,"")</f>
        <v/>
      </c>
      <c r="Y49" s="28" t="str">
        <f>_xlfn.XLOOKUP($C49,'GP3 (2)'!$B$6:$B$100,'GP3 (2)'!$F$6:$F$100,"")</f>
        <v/>
      </c>
      <c r="Z49" s="31" t="str">
        <f>_xlfn.XLOOKUP($C49,'GP4 (1)'!$B$6:$B$86,'GP4 (1)'!$F$6:$F$86,"")</f>
        <v/>
      </c>
      <c r="AA49" s="32" t="str">
        <f>_xlfn.XLOOKUP($C49,'GP4 (2)'!$B$6:$B$100,'GP4 (2)'!$F$6:$F$100,"")</f>
        <v/>
      </c>
      <c r="AB49" s="27" t="str">
        <f>_xlfn.XLOOKUP($C49,'GP5 (1)'!$B$6:$B$100,'GP5 (1)'!$F$6:$F$100,"")</f>
        <v/>
      </c>
      <c r="AC49" s="29" t="str">
        <f>_xlfn.XLOOKUP($C49,'GP5 (2)'!$B$6:$B$100,'GP5 (2)'!$F$6:$F$100,"")</f>
        <v/>
      </c>
      <c r="AD49" s="13">
        <f t="shared" si="7"/>
        <v>-16</v>
      </c>
      <c r="AE49" s="33">
        <f>_xlfn.XLOOKUP($C49,'MP (1)'!$B$6:$B$100,'MP (1)'!$H$6:$H$100,"")</f>
        <v>-11</v>
      </c>
      <c r="AF49" s="32">
        <f>_xlfn.XLOOKUP($C49,'MP (2)'!$B$6:$B$100,'MP (2)'!$H$6:$H$100,"")</f>
        <v>-5</v>
      </c>
      <c r="AG49" s="27" t="str">
        <f>_xlfn.XLOOKUP($C49,'GP1 (1)'!$B$6:$B$100,'GP1 (1)'!$H$6:$H$100,"")</f>
        <v/>
      </c>
      <c r="AH49" s="28" t="str">
        <f>_xlfn.XLOOKUP($C49,'GP1 (2)'!$B$6:$B$100,'GP1 (2)'!$H$6:$H$100,"")</f>
        <v/>
      </c>
      <c r="AI49" s="31" t="str">
        <f>_xlfn.XLOOKUP($C49,'GP2 (1)'!$B$8:$B$107,'GP2 (1)'!$H$8:$H$107,"")</f>
        <v/>
      </c>
      <c r="AJ49" s="32" t="str">
        <f>_xlfn.XLOOKUP($C49,'GP2 (2)'!$B$6:$B$99,'GP2 (2)'!$H$6:$H$99,"")</f>
        <v/>
      </c>
      <c r="AK49" s="27" t="str">
        <f>_xlfn.XLOOKUP($C49,'GP3 (1)'!$B$6:$B$100,'GP3 (1)'!$H$6:$H$100,"")</f>
        <v/>
      </c>
      <c r="AL49" s="28" t="str">
        <f>_xlfn.XLOOKUP($C49,'GP3 (2)'!$B$6:$B$100,'GP3 (2)'!$H$6:$H$100,"")</f>
        <v/>
      </c>
      <c r="AM49" s="31" t="str">
        <f>_xlfn.XLOOKUP($C49,'GP4 (1)'!$B$6:$B$86,'GP4 (1)'!$H$6:$H$86,"")</f>
        <v/>
      </c>
      <c r="AN49" s="32" t="str">
        <f>_xlfn.XLOOKUP($C49,'GP4 (2)'!$B$6:$B$100,'GP4 (2)'!$H$6:$H$100,"")</f>
        <v/>
      </c>
      <c r="AO49" s="27" t="str">
        <f>_xlfn.XLOOKUP($C49,'GP5 (1)'!$B$6:$B$100,'GP5 (1)'!$H$6:$H$100,"")</f>
        <v/>
      </c>
      <c r="AP49" s="30" t="str">
        <f>_xlfn.XLOOKUP($C49,'GP5 (2)'!$B$6:$B$100,'GP5 (2)'!$H$6:$H$100,"")</f>
        <v/>
      </c>
    </row>
    <row r="50" spans="1:42" ht="13.15" customHeight="1" x14ac:dyDescent="0.25">
      <c r="A50" s="1">
        <f t="shared" si="4"/>
        <v>46</v>
      </c>
      <c r="B50" s="1">
        <v>0</v>
      </c>
      <c r="C50" s="4" t="s">
        <v>66</v>
      </c>
      <c r="D50" s="40">
        <f t="shared" si="5"/>
        <v>0.54</v>
      </c>
      <c r="E50" s="33" t="str">
        <f>_xlfn.XLOOKUP($C50,'MP (1)'!$B$6:$B$100,'MP (1)'!$E$6:$E$100,"")</f>
        <v/>
      </c>
      <c r="F50" s="32" t="str">
        <f>_xlfn.XLOOKUP($C50,'MP (2)'!$B$6:$B$100,'MP (2)'!$E$6:$E$100,"")</f>
        <v/>
      </c>
      <c r="G50" s="27">
        <f>_xlfn.XLOOKUP($C50,'GP1 (1)'!$B$6:$B$100,'GP1 (1)'!$E$6:$E$100,"")</f>
        <v>0.17</v>
      </c>
      <c r="H50" s="28">
        <f>_xlfn.XLOOKUP($C50,'GP1 (2)'!$B$6:$B$100,'GP1 (2)'!$E$6:$E$100,"")</f>
        <v>0.17</v>
      </c>
      <c r="I50" s="31">
        <f>_xlfn.XLOOKUP($C50,'GP2 (1)'!$B$6:$B$107,'GP2 (1)'!$E$6:$E$107,"")</f>
        <v>0</v>
      </c>
      <c r="J50" s="32">
        <f>_xlfn.XLOOKUP($C50,'GP2 (2)'!$B$6:$B$99,'GP2 (2)'!$E$6:$E$99,"")</f>
        <v>0.2</v>
      </c>
      <c r="K50" s="27" t="str">
        <f>_xlfn.XLOOKUP($C50,'GP3 (1)'!$B$6:$B$100,'GP3 (1)'!$E$6:$E$100,"")</f>
        <v/>
      </c>
      <c r="L50" s="28" t="str">
        <f>_xlfn.XLOOKUP($C50,'GP3 (2)'!$B$6:$B$100,'GP3 (2)'!$E$6:$E$100,"")</f>
        <v/>
      </c>
      <c r="M50" s="31" t="str">
        <f>_xlfn.XLOOKUP($C50,'GP4 (1)'!$B$6:$B$86,'GP4 (1)'!$E$6:$E$86,"")</f>
        <v/>
      </c>
      <c r="N50" s="32" t="str">
        <f>_xlfn.XLOOKUP($C50,'GP4 (2)'!$B$6:$B$100,'GP4 (2)'!$E$6:$E$100,"")</f>
        <v/>
      </c>
      <c r="O50" s="27" t="str">
        <f>_xlfn.XLOOKUP($C50,'GP5 (1)'!$B$6:$B$100,'GP5 (1)'!$E$6:$E$100,"")</f>
        <v/>
      </c>
      <c r="P50" s="29" t="str">
        <f>_xlfn.XLOOKUP($C50,'GP5 (2)'!$B$6:$B$100,'GP5 (2)'!$E$6:$E$100,"")</f>
        <v/>
      </c>
      <c r="Q50" s="13">
        <f t="shared" si="6"/>
        <v>49</v>
      </c>
      <c r="R50" s="33" t="str">
        <f>_xlfn.XLOOKUP($C50,'MP (1)'!$B$6:$B$100,'MP (1)'!$F$6:$F$100,"")</f>
        <v/>
      </c>
      <c r="S50" s="32" t="str">
        <f>_xlfn.XLOOKUP($C50,'MP (2)'!$B$6:$B$100,'MP (2)'!$F$6:$F$100,"")</f>
        <v/>
      </c>
      <c r="T50" s="27">
        <f>_xlfn.XLOOKUP($C50,'GP1 (1)'!$B$6:$B$100,'GP1 (1)'!$F$6:$F$100,"")</f>
        <v>17</v>
      </c>
      <c r="U50" s="28">
        <f>_xlfn.XLOOKUP($C50,'GP1 (2)'!$B$6:$B$100,'GP1 (2)'!$F$6:$F$100,"")</f>
        <v>13</v>
      </c>
      <c r="V50" s="31">
        <f>_xlfn.XLOOKUP($C50,'GP2 (1)'!$B$8:$B$107,'GP2 (1)'!$F$8:$F$107,"")</f>
        <v>11</v>
      </c>
      <c r="W50" s="32">
        <f>_xlfn.XLOOKUP($C50,'GP2 (2)'!$B$6:$B$99,'GP2 (2)'!$F$6:$F$99,"")</f>
        <v>8</v>
      </c>
      <c r="X50" s="27" t="str">
        <f>_xlfn.XLOOKUP($C50,'GP3 (1)'!$B$6:$B$100,'GP3 (1)'!$F$6:$F$100,"")</f>
        <v/>
      </c>
      <c r="Y50" s="28" t="str">
        <f>_xlfn.XLOOKUP($C50,'GP3 (2)'!$B$6:$B$100,'GP3 (2)'!$F$6:$F$100,"")</f>
        <v/>
      </c>
      <c r="Z50" s="31" t="str">
        <f>_xlfn.XLOOKUP($C50,'GP4 (1)'!$B$6:$B$86,'GP4 (1)'!$F$6:$F$86,"")</f>
        <v/>
      </c>
      <c r="AA50" s="32" t="str">
        <f>_xlfn.XLOOKUP($C50,'GP4 (2)'!$B$6:$B$100,'GP4 (2)'!$F$6:$F$100,"")</f>
        <v/>
      </c>
      <c r="AB50" s="27" t="str">
        <f>_xlfn.XLOOKUP($C50,'GP5 (1)'!$B$6:$B$100,'GP5 (1)'!$F$6:$F$100,"")</f>
        <v/>
      </c>
      <c r="AC50" s="29" t="str">
        <f>_xlfn.XLOOKUP($C50,'GP5 (2)'!$B$6:$B$100,'GP5 (2)'!$F$6:$F$100,"")</f>
        <v/>
      </c>
      <c r="AD50" s="13">
        <f t="shared" si="7"/>
        <v>-54</v>
      </c>
      <c r="AE50" s="33" t="str">
        <f>_xlfn.XLOOKUP($C50,'MP (1)'!$B$6:$B$100,'MP (1)'!$H$6:$H$100,"")</f>
        <v/>
      </c>
      <c r="AF50" s="32" t="str">
        <f>_xlfn.XLOOKUP($C50,'MP (2)'!$B$6:$B$100,'MP (2)'!$H$6:$H$100,"")</f>
        <v/>
      </c>
      <c r="AG50" s="27">
        <f>_xlfn.XLOOKUP($C50,'GP1 (1)'!$B$6:$B$100,'GP1 (1)'!$H$6:$H$100,"")</f>
        <v>-10</v>
      </c>
      <c r="AH50" s="28">
        <f>_xlfn.XLOOKUP($C50,'GP1 (2)'!$B$6:$B$100,'GP1 (2)'!$H$6:$H$100,"")</f>
        <v>-16</v>
      </c>
      <c r="AI50" s="31">
        <f>_xlfn.XLOOKUP($C50,'GP2 (1)'!$B$8:$B$107,'GP2 (1)'!$H$8:$H$107,"")</f>
        <v>-14</v>
      </c>
      <c r="AJ50" s="32">
        <f>_xlfn.XLOOKUP($C50,'GP2 (2)'!$B$6:$B$99,'GP2 (2)'!$H$6:$H$99,"")</f>
        <v>-14</v>
      </c>
      <c r="AK50" s="27" t="str">
        <f>_xlfn.XLOOKUP($C50,'GP3 (1)'!$B$6:$B$100,'GP3 (1)'!$H$6:$H$100,"")</f>
        <v/>
      </c>
      <c r="AL50" s="28" t="str">
        <f>_xlfn.XLOOKUP($C50,'GP3 (2)'!$B$6:$B$100,'GP3 (2)'!$H$6:$H$100,"")</f>
        <v/>
      </c>
      <c r="AM50" s="31" t="str">
        <f>_xlfn.XLOOKUP($C50,'GP4 (1)'!$B$6:$B$86,'GP4 (1)'!$H$6:$H$86,"")</f>
        <v/>
      </c>
      <c r="AN50" s="32" t="str">
        <f>_xlfn.XLOOKUP($C50,'GP4 (2)'!$B$6:$B$100,'GP4 (2)'!$H$6:$H$100,"")</f>
        <v/>
      </c>
      <c r="AO50" s="27" t="str">
        <f>_xlfn.XLOOKUP($C50,'GP5 (1)'!$B$6:$B$100,'GP5 (1)'!$H$6:$H$100,"")</f>
        <v/>
      </c>
      <c r="AP50" s="30" t="str">
        <f>_xlfn.XLOOKUP($C50,'GP5 (2)'!$B$6:$B$100,'GP5 (2)'!$H$6:$H$100,"")</f>
        <v/>
      </c>
    </row>
    <row r="51" spans="1:42" ht="13.15" customHeight="1" x14ac:dyDescent="0.25">
      <c r="A51" s="1">
        <f t="shared" si="4"/>
        <v>47</v>
      </c>
      <c r="B51" s="1">
        <v>0</v>
      </c>
      <c r="C51" s="4" t="s">
        <v>62</v>
      </c>
      <c r="D51" s="40">
        <f t="shared" si="5"/>
        <v>0.53</v>
      </c>
      <c r="E51" s="33">
        <f>_xlfn.XLOOKUP($C51,'MP (1)'!$B$6:$B$100,'MP (1)'!$E$6:$E$100,"")</f>
        <v>0.33</v>
      </c>
      <c r="F51" s="32">
        <f>_xlfn.XLOOKUP($C51,'MP (2)'!$B$6:$B$100,'MP (2)'!$E$6:$E$100,"")</f>
        <v>0</v>
      </c>
      <c r="G51" s="27" t="str">
        <f>_xlfn.XLOOKUP($C51,'GP1 (1)'!$B$6:$B$100,'GP1 (1)'!$E$6:$E$100,"")</f>
        <v/>
      </c>
      <c r="H51" s="28" t="str">
        <f>_xlfn.XLOOKUP($C51,'GP1 (2)'!$B$6:$B$100,'GP1 (2)'!$E$6:$E$100,"")</f>
        <v/>
      </c>
      <c r="I51" s="31" t="str">
        <f>_xlfn.XLOOKUP($C51,'GP2 (1)'!$B$8:$B$107,'GP2 (1)'!$E$8:$E$107,"")</f>
        <v/>
      </c>
      <c r="J51" s="32" t="str">
        <f>_xlfn.XLOOKUP($C51,'GP2 (2)'!$B$6:$B$99,'GP2 (2)'!$E$6:$E$99,"")</f>
        <v/>
      </c>
      <c r="K51" s="27" t="str">
        <f>_xlfn.XLOOKUP($C51,'GP3 (1)'!$B$6:$B$100,'GP3 (1)'!$E$6:$E$100,"")</f>
        <v/>
      </c>
      <c r="L51" s="28" t="str">
        <f>_xlfn.XLOOKUP($C51,'GP3 (2)'!$B$6:$B$100,'GP3 (2)'!$E$6:$E$100,"")</f>
        <v/>
      </c>
      <c r="M51" s="31">
        <f>_xlfn.XLOOKUP($C51,'GP4 (1)'!$B$6:$B$86,'GP4 (1)'!$E$6:$E$86,"")</f>
        <v>0.2</v>
      </c>
      <c r="N51" s="32">
        <f>_xlfn.XLOOKUP($C51,'GP4 (2)'!$B$6:$B$100,'GP4 (2)'!$E$6:$E$100,"")</f>
        <v>0</v>
      </c>
      <c r="O51" s="27" t="str">
        <f>_xlfn.XLOOKUP($C51,'GP5 (1)'!$B$6:$B$100,'GP5 (1)'!$E$6:$E$100,"")</f>
        <v/>
      </c>
      <c r="P51" s="29" t="str">
        <f>_xlfn.XLOOKUP($C51,'GP5 (2)'!$B$6:$B$100,'GP5 (2)'!$E$6:$E$100,"")</f>
        <v/>
      </c>
      <c r="Q51" s="13">
        <f t="shared" si="6"/>
        <v>34</v>
      </c>
      <c r="R51" s="33">
        <f>_xlfn.XLOOKUP($C51,'MP (1)'!$B$6:$B$100,'MP (1)'!$F$6:$F$100,"")</f>
        <v>15</v>
      </c>
      <c r="S51" s="32">
        <f>_xlfn.XLOOKUP($C51,'MP (2)'!$B$6:$B$100,'MP (2)'!$F$6:$F$100,"")</f>
        <v>4</v>
      </c>
      <c r="T51" s="27" t="str">
        <f>_xlfn.XLOOKUP($C51,'GP1 (1)'!$B$6:$B$100,'GP1 (1)'!$F$6:$F$100,"")</f>
        <v/>
      </c>
      <c r="U51" s="28" t="str">
        <f>_xlfn.XLOOKUP($C51,'GP1 (2)'!$B$6:$B$100,'GP1 (2)'!$F$6:$F$100,"")</f>
        <v/>
      </c>
      <c r="V51" s="31" t="str">
        <f>_xlfn.XLOOKUP($C51,'GP2 (1)'!$B$8:$B$107,'GP2 (1)'!$F$8:$F$107,"")</f>
        <v/>
      </c>
      <c r="W51" s="32" t="str">
        <f>_xlfn.XLOOKUP($C51,'GP2 (2)'!$B$6:$B$99,'GP2 (2)'!$F$6:$F$99,"")</f>
        <v/>
      </c>
      <c r="X51" s="27" t="str">
        <f>_xlfn.XLOOKUP($C51,'GP3 (1)'!$B$6:$B$100,'GP3 (1)'!$F$6:$F$100,"")</f>
        <v/>
      </c>
      <c r="Y51" s="28" t="str">
        <f>_xlfn.XLOOKUP($C51,'GP3 (2)'!$B$6:$B$100,'GP3 (2)'!$F$6:$F$100,"")</f>
        <v/>
      </c>
      <c r="Z51" s="31">
        <f>_xlfn.XLOOKUP($C51,'GP4 (1)'!$B$6:$B$86,'GP4 (1)'!$F$6:$F$86,"")</f>
        <v>11</v>
      </c>
      <c r="AA51" s="32">
        <f>_xlfn.XLOOKUP($C51,'GP4 (2)'!$B$6:$B$100,'GP4 (2)'!$F$6:$F$100,"")</f>
        <v>4</v>
      </c>
      <c r="AB51" s="27" t="str">
        <f>_xlfn.XLOOKUP($C51,'GP5 (1)'!$B$6:$B$100,'GP5 (1)'!$F$6:$F$100,"")</f>
        <v/>
      </c>
      <c r="AC51" s="29" t="str">
        <f>_xlfn.XLOOKUP($C51,'GP5 (2)'!$B$6:$B$100,'GP5 (2)'!$F$6:$F$100,"")</f>
        <v/>
      </c>
      <c r="AD51" s="13">
        <f t="shared" si="7"/>
        <v>-63</v>
      </c>
      <c r="AE51" s="33">
        <f>_xlfn.XLOOKUP($C51,'MP (1)'!$B$6:$B$100,'MP (1)'!$H$6:$H$100,"")</f>
        <v>-9</v>
      </c>
      <c r="AF51" s="32">
        <f>_xlfn.XLOOKUP($C51,'MP (2)'!$B$6:$B$100,'MP (2)'!$H$6:$H$100,"")</f>
        <v>-21</v>
      </c>
      <c r="AG51" s="27" t="str">
        <f>_xlfn.XLOOKUP($C51,'GP1 (1)'!$B$6:$B$100,'GP1 (1)'!$H$6:$H$100,"")</f>
        <v/>
      </c>
      <c r="AH51" s="28" t="str">
        <f>_xlfn.XLOOKUP($C51,'GP1 (2)'!$B$6:$B$100,'GP1 (2)'!$H$6:$H$100,"")</f>
        <v/>
      </c>
      <c r="AI51" s="31" t="str">
        <f>_xlfn.XLOOKUP($C51,'GP2 (1)'!$B$8:$B$107,'GP2 (1)'!$H$8:$H$107,"")</f>
        <v/>
      </c>
      <c r="AJ51" s="32" t="str">
        <f>_xlfn.XLOOKUP($C51,'GP2 (2)'!$B$6:$B$99,'GP2 (2)'!$H$6:$H$99,"")</f>
        <v/>
      </c>
      <c r="AK51" s="27" t="str">
        <f>_xlfn.XLOOKUP($C51,'GP3 (1)'!$B$6:$B$100,'GP3 (1)'!$H$6:$H$100,"")</f>
        <v/>
      </c>
      <c r="AL51" s="28" t="str">
        <f>_xlfn.XLOOKUP($C51,'GP3 (2)'!$B$6:$B$100,'GP3 (2)'!$H$6:$H$100,"")</f>
        <v/>
      </c>
      <c r="AM51" s="31">
        <f>_xlfn.XLOOKUP($C51,'GP4 (1)'!$B$6:$B$86,'GP4 (1)'!$H$6:$H$86,"")</f>
        <v>-12</v>
      </c>
      <c r="AN51" s="32">
        <f>_xlfn.XLOOKUP($C51,'GP4 (2)'!$B$6:$B$100,'GP4 (2)'!$H$6:$H$100,"")</f>
        <v>-21</v>
      </c>
      <c r="AO51" s="27" t="str">
        <f>_xlfn.XLOOKUP($C51,'GP5 (1)'!$B$6:$B$100,'GP5 (1)'!$H$6:$H$100,"")</f>
        <v/>
      </c>
      <c r="AP51" s="30" t="str">
        <f>_xlfn.XLOOKUP($C51,'GP5 (2)'!$B$6:$B$100,'GP5 (2)'!$H$6:$H$100,"")</f>
        <v/>
      </c>
    </row>
    <row r="52" spans="1:42" ht="13.15" customHeight="1" x14ac:dyDescent="0.25">
      <c r="A52" s="1">
        <f t="shared" si="4"/>
        <v>48</v>
      </c>
      <c r="B52" s="1">
        <v>0</v>
      </c>
      <c r="C52" s="4" t="s">
        <v>65</v>
      </c>
      <c r="D52" s="40">
        <f t="shared" si="5"/>
        <v>0.4</v>
      </c>
      <c r="E52" s="33" t="str">
        <f>_xlfn.XLOOKUP($C52,'MP (1)'!$B$6:$B$100,'MP (1)'!$E$6:$E$100,"")</f>
        <v/>
      </c>
      <c r="F52" s="32" t="str">
        <f>_xlfn.XLOOKUP($C52,'MP (2)'!$B$6:$B$100,'MP (2)'!$E$6:$E$100,"")</f>
        <v/>
      </c>
      <c r="G52" s="27" t="str">
        <f>_xlfn.XLOOKUP($C52,'GP1 (1)'!$B$6:$B$100,'GP1 (1)'!$E$6:$E$100,"")</f>
        <v/>
      </c>
      <c r="H52" s="28" t="str">
        <f>_xlfn.XLOOKUP($C52,'GP1 (2)'!$B$6:$B$100,'GP1 (2)'!$E$6:$E$100,"")</f>
        <v/>
      </c>
      <c r="I52" s="31" t="str">
        <f>_xlfn.XLOOKUP($C52,'GP2 (1)'!$B$8:$B$107,'GP2 (1)'!$E$8:$E$107,"")</f>
        <v/>
      </c>
      <c r="J52" s="32" t="str">
        <f>_xlfn.XLOOKUP($C52,'GP2 (2)'!$B$6:$B$99,'GP2 (2)'!$E$6:$E$99,"")</f>
        <v/>
      </c>
      <c r="K52" s="27" t="str">
        <f>_xlfn.XLOOKUP($C52,'GP3 (1)'!$B$6:$B$100,'GP3 (1)'!$E$6:$E$100,"")</f>
        <v/>
      </c>
      <c r="L52" s="28" t="str">
        <f>_xlfn.XLOOKUP($C52,'GP3 (2)'!$B$6:$B$100,'GP3 (2)'!$E$6:$E$100,"")</f>
        <v/>
      </c>
      <c r="M52" s="31">
        <f>_xlfn.XLOOKUP($C52,'GP4 (1)'!$B$6:$B$86,'GP4 (1)'!$E$6:$E$86,"")</f>
        <v>0.2</v>
      </c>
      <c r="N52" s="32">
        <f>_xlfn.XLOOKUP($C52,'GP4 (2)'!$B$6:$B$100,'GP4 (2)'!$E$6:$E$100,"")</f>
        <v>0.2</v>
      </c>
      <c r="O52" s="27" t="str">
        <f>_xlfn.XLOOKUP($C52,'GP5 (1)'!$B$6:$B$100,'GP5 (1)'!$E$6:$E$100,"")</f>
        <v/>
      </c>
      <c r="P52" s="29" t="str">
        <f>_xlfn.XLOOKUP($C52,'GP5 (2)'!$B$6:$B$100,'GP5 (2)'!$E$6:$E$100,"")</f>
        <v/>
      </c>
      <c r="Q52" s="13">
        <f t="shared" si="6"/>
        <v>25</v>
      </c>
      <c r="R52" s="33" t="str">
        <f>_xlfn.XLOOKUP($C52,'MP (1)'!$B$6:$B$100,'MP (1)'!$F$6:$F$100,"")</f>
        <v/>
      </c>
      <c r="S52" s="32" t="str">
        <f>_xlfn.XLOOKUP($C52,'MP (2)'!$B$6:$B$100,'MP (2)'!$F$6:$F$100,"")</f>
        <v/>
      </c>
      <c r="T52" s="27" t="str">
        <f>_xlfn.XLOOKUP($C52,'GP1 (1)'!$B$6:$B$100,'GP1 (1)'!$F$6:$F$100,"")</f>
        <v/>
      </c>
      <c r="U52" s="28" t="str">
        <f>_xlfn.XLOOKUP($C52,'GP1 (2)'!$B$6:$B$100,'GP1 (2)'!$F$6:$F$100,"")</f>
        <v/>
      </c>
      <c r="V52" s="31" t="str">
        <f>_xlfn.XLOOKUP($C52,'GP2 (1)'!$B$8:$B$107,'GP2 (1)'!$F$8:$F$107,"")</f>
        <v/>
      </c>
      <c r="W52" s="32" t="str">
        <f>_xlfn.XLOOKUP($C52,'GP2 (2)'!$B$6:$B$99,'GP2 (2)'!$F$6:$F$99,"")</f>
        <v/>
      </c>
      <c r="X52" s="27" t="str">
        <f>_xlfn.XLOOKUP($C52,'GP3 (1)'!$B$6:$B$100,'GP3 (1)'!$F$6:$F$100,"")</f>
        <v/>
      </c>
      <c r="Y52" s="28" t="str">
        <f>_xlfn.XLOOKUP($C52,'GP3 (2)'!$B$6:$B$100,'GP3 (2)'!$F$6:$F$100,"")</f>
        <v/>
      </c>
      <c r="Z52" s="31">
        <f>_xlfn.XLOOKUP($C52,'GP4 (1)'!$B$6:$B$86,'GP4 (1)'!$F$6:$F$86,"")</f>
        <v>13</v>
      </c>
      <c r="AA52" s="32">
        <f>_xlfn.XLOOKUP($C52,'GP4 (2)'!$B$6:$B$100,'GP4 (2)'!$F$6:$F$100,"")</f>
        <v>12</v>
      </c>
      <c r="AB52" s="27" t="str">
        <f>_xlfn.XLOOKUP($C52,'GP5 (1)'!$B$6:$B$100,'GP5 (1)'!$F$6:$F$100,"")</f>
        <v/>
      </c>
      <c r="AC52" s="29" t="str">
        <f>_xlfn.XLOOKUP($C52,'GP5 (2)'!$B$6:$B$100,'GP5 (2)'!$F$6:$F$100,"")</f>
        <v/>
      </c>
      <c r="AD52" s="13">
        <f t="shared" si="7"/>
        <v>-21</v>
      </c>
      <c r="AE52" s="33" t="str">
        <f>_xlfn.XLOOKUP($C52,'MP (1)'!$B$6:$B$100,'MP (1)'!$H$6:$H$100,"")</f>
        <v/>
      </c>
      <c r="AF52" s="32" t="str">
        <f>_xlfn.XLOOKUP($C52,'MP (2)'!$B$6:$B$100,'MP (2)'!$H$6:$H$100,"")</f>
        <v/>
      </c>
      <c r="AG52" s="27" t="str">
        <f>_xlfn.XLOOKUP($C52,'GP1 (1)'!$B$6:$B$100,'GP1 (1)'!$H$6:$H$100,"")</f>
        <v/>
      </c>
      <c r="AH52" s="28" t="str">
        <f>_xlfn.XLOOKUP($C52,'GP1 (2)'!$B$6:$B$100,'GP1 (2)'!$H$6:$H$100,"")</f>
        <v/>
      </c>
      <c r="AI52" s="31" t="str">
        <f>_xlfn.XLOOKUP($C52,'GP2 (1)'!$B$8:$B$107,'GP2 (1)'!$H$8:$H$107,"")</f>
        <v/>
      </c>
      <c r="AJ52" s="32" t="str">
        <f>_xlfn.XLOOKUP($C52,'GP2 (2)'!$B$6:$B$99,'GP2 (2)'!$H$6:$H$99,"")</f>
        <v/>
      </c>
      <c r="AK52" s="27" t="str">
        <f>_xlfn.XLOOKUP($C52,'GP3 (1)'!$B$6:$B$100,'GP3 (1)'!$H$6:$H$100,"")</f>
        <v/>
      </c>
      <c r="AL52" s="28" t="str">
        <f>_xlfn.XLOOKUP($C52,'GP3 (2)'!$B$6:$B$100,'GP3 (2)'!$H$6:$H$100,"")</f>
        <v/>
      </c>
      <c r="AM52" s="31">
        <f>_xlfn.XLOOKUP($C52,'GP4 (1)'!$B$6:$B$86,'GP4 (1)'!$H$6:$H$86,"")</f>
        <v>-9</v>
      </c>
      <c r="AN52" s="32">
        <f>_xlfn.XLOOKUP($C52,'GP4 (2)'!$B$6:$B$100,'GP4 (2)'!$H$6:$H$100,"")</f>
        <v>-12</v>
      </c>
      <c r="AO52" s="27" t="str">
        <f>_xlfn.XLOOKUP($C52,'GP5 (1)'!$B$6:$B$100,'GP5 (1)'!$H$6:$H$100,"")</f>
        <v/>
      </c>
      <c r="AP52" s="30" t="str">
        <f>_xlfn.XLOOKUP($C52,'GP5 (2)'!$B$6:$B$100,'GP5 (2)'!$H$6:$H$100,"")</f>
        <v/>
      </c>
    </row>
    <row r="53" spans="1:42" ht="13.15" customHeight="1" x14ac:dyDescent="0.25">
      <c r="A53" s="1">
        <f t="shared" si="4"/>
        <v>49</v>
      </c>
      <c r="B53" s="1">
        <v>2</v>
      </c>
      <c r="C53" s="4" t="s">
        <v>67</v>
      </c>
      <c r="D53" s="40">
        <f t="shared" si="5"/>
        <v>0.2</v>
      </c>
      <c r="E53" s="33" t="str">
        <f>_xlfn.XLOOKUP($C53,'MP (1)'!$B$6:$B$100,'MP (1)'!$E$6:$E$100,"")</f>
        <v/>
      </c>
      <c r="F53" s="32" t="str">
        <f>_xlfn.XLOOKUP($C53,'MP (2)'!$B$6:$B$100,'MP (2)'!$E$6:$E$100,"")</f>
        <v/>
      </c>
      <c r="G53" s="27" t="str">
        <f>_xlfn.XLOOKUP($C53,'GP1 (1)'!$B$6:$B$100,'GP1 (1)'!$E$6:$E$100,"")</f>
        <v/>
      </c>
      <c r="H53" s="28" t="str">
        <f>_xlfn.XLOOKUP($C53,'GP1 (2)'!$B$6:$B$100,'GP1 (2)'!$E$6:$E$100,"")</f>
        <v/>
      </c>
      <c r="I53" s="31" t="str">
        <f>_xlfn.XLOOKUP($C53,'GP2 (1)'!$B$8:$B$107,'GP2 (1)'!$E$8:$E$107,"")</f>
        <v/>
      </c>
      <c r="J53" s="32" t="str">
        <f>_xlfn.XLOOKUP($C53,'GP2 (2)'!$B$6:$B$99,'GP2 (2)'!$E$6:$E$99,"")</f>
        <v/>
      </c>
      <c r="K53" s="27" t="str">
        <f>_xlfn.XLOOKUP($C53,'GP3 (1)'!$B$6:$B$100,'GP3 (1)'!$E$6:$E$100,"")</f>
        <v/>
      </c>
      <c r="L53" s="28" t="str">
        <f>_xlfn.XLOOKUP($C53,'GP3 (2)'!$B$6:$B$100,'GP3 (2)'!$E$6:$E$100,"")</f>
        <v/>
      </c>
      <c r="M53" s="31">
        <f>_xlfn.XLOOKUP($C53,'GP4 (1)'!$B$6:$B$86,'GP4 (1)'!$E$6:$E$86,"")</f>
        <v>0</v>
      </c>
      <c r="N53" s="32">
        <f>_xlfn.XLOOKUP($C53,'GP4 (2)'!$B$6:$B$100,'GP4 (2)'!$E$6:$E$100,"")</f>
        <v>0.2</v>
      </c>
      <c r="O53" s="27" t="str">
        <f>_xlfn.XLOOKUP($C53,'GP5 (1)'!$B$6:$B$100,'GP5 (1)'!$E$6:$E$100,"")</f>
        <v/>
      </c>
      <c r="P53" s="29" t="str">
        <f>_xlfn.XLOOKUP($C53,'GP5 (2)'!$B$6:$B$100,'GP5 (2)'!$E$6:$E$100,"")</f>
        <v/>
      </c>
      <c r="Q53" s="13">
        <f t="shared" si="6"/>
        <v>14</v>
      </c>
      <c r="R53" s="33" t="str">
        <f>_xlfn.XLOOKUP($C53,'MP (1)'!$B$6:$B$100,'MP (1)'!$F$6:$F$100,"")</f>
        <v/>
      </c>
      <c r="S53" s="32" t="str">
        <f>_xlfn.XLOOKUP($C53,'MP (2)'!$B$6:$B$100,'MP (2)'!$F$6:$F$100,"")</f>
        <v/>
      </c>
      <c r="T53" s="27" t="str">
        <f>_xlfn.XLOOKUP($C53,'GP1 (1)'!$B$6:$B$100,'GP1 (1)'!$F$6:$F$100,"")</f>
        <v/>
      </c>
      <c r="U53" s="28" t="str">
        <f>_xlfn.XLOOKUP($C53,'GP1 (2)'!$B$6:$B$100,'GP1 (2)'!$F$6:$F$100,"")</f>
        <v/>
      </c>
      <c r="V53" s="31" t="str">
        <f>_xlfn.XLOOKUP($C53,'GP2 (1)'!$B$8:$B$107,'GP2 (1)'!$F$8:$F$107,"")</f>
        <v/>
      </c>
      <c r="W53" s="32" t="str">
        <f>_xlfn.XLOOKUP($C53,'GP2 (2)'!$B$6:$B$99,'GP2 (2)'!$F$6:$F$99,"")</f>
        <v/>
      </c>
      <c r="X53" s="27" t="str">
        <f>_xlfn.XLOOKUP($C53,'GP3 (1)'!$B$6:$B$100,'GP3 (1)'!$F$6:$F$100,"")</f>
        <v/>
      </c>
      <c r="Y53" s="28" t="str">
        <f>_xlfn.XLOOKUP($C53,'GP3 (2)'!$B$6:$B$100,'GP3 (2)'!$F$6:$F$100,"")</f>
        <v/>
      </c>
      <c r="Z53" s="31">
        <f>_xlfn.XLOOKUP($C53,'GP4 (1)'!$B$6:$B$86,'GP4 (1)'!$F$6:$F$86,"")</f>
        <v>7</v>
      </c>
      <c r="AA53" s="32">
        <f>_xlfn.XLOOKUP($C53,'GP4 (2)'!$B$6:$B$100,'GP4 (2)'!$F$6:$F$100,"")</f>
        <v>7</v>
      </c>
      <c r="AB53" s="27" t="str">
        <f>_xlfn.XLOOKUP($C53,'GP5 (1)'!$B$6:$B$100,'GP5 (1)'!$F$6:$F$100,"")</f>
        <v/>
      </c>
      <c r="AC53" s="29" t="str">
        <f>_xlfn.XLOOKUP($C53,'GP5 (2)'!$B$6:$B$100,'GP5 (2)'!$F$6:$F$100,"")</f>
        <v/>
      </c>
      <c r="AD53" s="13">
        <f t="shared" si="7"/>
        <v>-31</v>
      </c>
      <c r="AE53" s="33" t="str">
        <f>_xlfn.XLOOKUP($C53,'MP (1)'!$B$6:$B$100,'MP (1)'!$H$6:$H$100,"")</f>
        <v/>
      </c>
      <c r="AF53" s="32" t="str">
        <f>_xlfn.XLOOKUP($C53,'MP (2)'!$B$6:$B$100,'MP (2)'!$H$6:$H$100,"")</f>
        <v/>
      </c>
      <c r="AG53" s="27" t="str">
        <f>_xlfn.XLOOKUP($C53,'GP1 (1)'!$B$6:$B$100,'GP1 (1)'!$H$6:$H$100,"")</f>
        <v/>
      </c>
      <c r="AH53" s="28" t="str">
        <f>_xlfn.XLOOKUP($C53,'GP1 (2)'!$B$6:$B$100,'GP1 (2)'!$H$6:$H$100,"")</f>
        <v/>
      </c>
      <c r="AI53" s="31" t="str">
        <f>_xlfn.XLOOKUP($C53,'GP2 (1)'!$B$8:$B$107,'GP2 (1)'!$H$8:$H$107,"")</f>
        <v/>
      </c>
      <c r="AJ53" s="32" t="str">
        <f>_xlfn.XLOOKUP($C53,'GP2 (2)'!$B$6:$B$99,'GP2 (2)'!$H$6:$H$99,"")</f>
        <v/>
      </c>
      <c r="AK53" s="27" t="str">
        <f>_xlfn.XLOOKUP($C53,'GP3 (1)'!$B$6:$B$100,'GP3 (1)'!$H$6:$H$100,"")</f>
        <v/>
      </c>
      <c r="AL53" s="28" t="str">
        <f>_xlfn.XLOOKUP($C53,'GP3 (2)'!$B$6:$B$100,'GP3 (2)'!$H$6:$H$100,"")</f>
        <v/>
      </c>
      <c r="AM53" s="31">
        <f>_xlfn.XLOOKUP($C53,'GP4 (1)'!$B$6:$B$86,'GP4 (1)'!$H$6:$H$86,"")</f>
        <v>-18</v>
      </c>
      <c r="AN53" s="32">
        <f>_xlfn.XLOOKUP($C53,'GP4 (2)'!$B$6:$B$100,'GP4 (2)'!$H$6:$H$100,"")</f>
        <v>-13</v>
      </c>
      <c r="AO53" s="27" t="str">
        <f>_xlfn.XLOOKUP($C53,'GP5 (1)'!$B$6:$B$100,'GP5 (1)'!$H$6:$H$100,"")</f>
        <v/>
      </c>
      <c r="AP53" s="30" t="str">
        <f>_xlfn.XLOOKUP($C53,'GP5 (2)'!$B$6:$B$100,'GP5 (2)'!$H$6:$H$100,"")</f>
        <v/>
      </c>
    </row>
    <row r="54" spans="1:42" ht="13.15" customHeight="1" x14ac:dyDescent="0.25">
      <c r="A54" s="1">
        <f t="shared" si="4"/>
        <v>50</v>
      </c>
      <c r="B54" s="1">
        <v>2</v>
      </c>
      <c r="C54" s="2" t="s">
        <v>73</v>
      </c>
      <c r="D54" s="40">
        <f t="shared" si="5"/>
        <v>0.2</v>
      </c>
      <c r="E54" s="33" t="str">
        <f>_xlfn.XLOOKUP($C54,'MP (1)'!$B$6:$B$100,'MP (1)'!$E$6:$E$100,"")</f>
        <v/>
      </c>
      <c r="F54" s="32" t="str">
        <f>_xlfn.XLOOKUP($C54,'MP (2)'!$B$6:$B$100,'MP (2)'!$E$6:$E$100,"")</f>
        <v/>
      </c>
      <c r="G54" s="27" t="str">
        <f>_xlfn.XLOOKUP($C54,'GP1 (1)'!$B$6:$B$100,'GP1 (1)'!$E$6:$E$100,"")</f>
        <v/>
      </c>
      <c r="H54" s="28" t="str">
        <f>_xlfn.XLOOKUP($C54,'GP1 (2)'!$B$6:$B$100,'GP1 (2)'!$E$6:$E$100,"")</f>
        <v/>
      </c>
      <c r="I54" s="31">
        <f>_xlfn.XLOOKUP($C54,'GP2 (1)'!$B$6:$B$107,'GP2 (1)'!$E$6:$E$107,"")</f>
        <v>0.2</v>
      </c>
      <c r="J54" s="32">
        <f>_xlfn.XLOOKUP($C54,'GP2 (2)'!$B$6:$B$99,'GP2 (2)'!$E$6:$E$99,"")</f>
        <v>0</v>
      </c>
      <c r="K54" s="27" t="str">
        <f>_xlfn.XLOOKUP($C54,'GP3 (1)'!$B$6:$B$100,'GP3 (1)'!$E$6:$E$100,"")</f>
        <v/>
      </c>
      <c r="L54" s="28" t="str">
        <f>_xlfn.XLOOKUP($C54,'GP3 (2)'!$B$6:$B$100,'GP3 (2)'!$E$6:$E$100,"")</f>
        <v/>
      </c>
      <c r="M54" s="31" t="str">
        <f>_xlfn.XLOOKUP($C54,'GP4 (1)'!$B$6:$B$86,'GP4 (1)'!$E$6:$E$86,"")</f>
        <v/>
      </c>
      <c r="N54" s="32" t="str">
        <f>_xlfn.XLOOKUP($C54,'GP4 (2)'!$B$6:$B$100,'GP4 (2)'!$E$6:$E$100,"")</f>
        <v/>
      </c>
      <c r="O54" s="27" t="str">
        <f>_xlfn.XLOOKUP($C54,'GP5 (1)'!$B$6:$B$100,'GP5 (1)'!$E$6:$E$100,"")</f>
        <v/>
      </c>
      <c r="P54" s="29" t="str">
        <f>_xlfn.XLOOKUP($C54,'GP5 (2)'!$B$6:$B$100,'GP5 (2)'!$E$6:$E$100,"")</f>
        <v/>
      </c>
      <c r="Q54" s="13">
        <f t="shared" si="6"/>
        <v>12</v>
      </c>
      <c r="R54" s="33" t="str">
        <f>_xlfn.XLOOKUP($C54,'MP (1)'!$B$6:$B$100,'MP (1)'!$F$6:$F$100,"")</f>
        <v/>
      </c>
      <c r="S54" s="32" t="str">
        <f>_xlfn.XLOOKUP($C54,'MP (2)'!$B$6:$B$100,'MP (2)'!$F$6:$F$100,"")</f>
        <v/>
      </c>
      <c r="T54" s="27" t="str">
        <f>_xlfn.XLOOKUP($C54,'GP1 (1)'!$B$6:$B$100,'GP1 (1)'!$F$6:$F$100,"")</f>
        <v/>
      </c>
      <c r="U54" s="28" t="str">
        <f>_xlfn.XLOOKUP($C54,'GP1 (2)'!$B$6:$B$100,'GP1 (2)'!$F$6:$F$100,"")</f>
        <v/>
      </c>
      <c r="V54" s="31">
        <f>_xlfn.XLOOKUP($C54,'GP2 (1)'!$B$8:$B$107,'GP2 (1)'!$F$8:$F$107,"")</f>
        <v>10</v>
      </c>
      <c r="W54" s="32">
        <f>_xlfn.XLOOKUP($C54,'GP2 (2)'!$B$6:$B$99,'GP2 (2)'!$F$6:$F$99,"")</f>
        <v>2</v>
      </c>
      <c r="X54" s="27" t="str">
        <f>_xlfn.XLOOKUP($C54,'GP3 (1)'!$B$6:$B$100,'GP3 (1)'!$F$6:$F$100,"")</f>
        <v/>
      </c>
      <c r="Y54" s="28" t="str">
        <f>_xlfn.XLOOKUP($C54,'GP3 (2)'!$B$6:$B$100,'GP3 (2)'!$F$6:$F$100,"")</f>
        <v/>
      </c>
      <c r="Z54" s="31" t="str">
        <f>_xlfn.XLOOKUP($C54,'GP4 (1)'!$B$6:$B$86,'GP4 (1)'!$F$6:$F$86,"")</f>
        <v/>
      </c>
      <c r="AA54" s="32" t="str">
        <f>_xlfn.XLOOKUP($C54,'GP4 (2)'!$B$6:$B$100,'GP4 (2)'!$F$6:$F$100,"")</f>
        <v/>
      </c>
      <c r="AB54" s="27" t="str">
        <f>_xlfn.XLOOKUP($C54,'GP5 (1)'!$B$6:$B$100,'GP5 (1)'!$F$6:$F$100,"")</f>
        <v/>
      </c>
      <c r="AC54" s="29" t="str">
        <f>_xlfn.XLOOKUP($C54,'GP5 (2)'!$B$6:$B$100,'GP5 (2)'!$F$6:$F$100,"")</f>
        <v/>
      </c>
      <c r="AD54" s="13">
        <f t="shared" si="7"/>
        <v>-36</v>
      </c>
      <c r="AE54" s="33" t="str">
        <f>_xlfn.XLOOKUP($C54,'MP (1)'!$B$6:$B$100,'MP (1)'!$H$6:$H$100,"")</f>
        <v/>
      </c>
      <c r="AF54" s="32" t="str">
        <f>_xlfn.XLOOKUP($C54,'MP (2)'!$B$6:$B$100,'MP (2)'!$H$6:$H$100,"")</f>
        <v/>
      </c>
      <c r="AG54" s="27" t="str">
        <f>_xlfn.XLOOKUP($C54,'GP1 (1)'!$B$6:$B$100,'GP1 (1)'!$H$6:$H$100,"")</f>
        <v/>
      </c>
      <c r="AH54" s="28" t="str">
        <f>_xlfn.XLOOKUP($C54,'GP1 (2)'!$B$6:$B$100,'GP1 (2)'!$H$6:$H$100,"")</f>
        <v/>
      </c>
      <c r="AI54" s="31">
        <f>_xlfn.XLOOKUP($C54,'GP2 (1)'!$B$8:$B$107,'GP2 (1)'!$H$8:$H$107,"")</f>
        <v>-13</v>
      </c>
      <c r="AJ54" s="32">
        <f>_xlfn.XLOOKUP($C54,'GP2 (2)'!$B$6:$B$99,'GP2 (2)'!$H$6:$H$99,"")</f>
        <v>-23</v>
      </c>
      <c r="AK54" s="27" t="str">
        <f>_xlfn.XLOOKUP($C54,'GP3 (1)'!$B$6:$B$100,'GP3 (1)'!$H$6:$H$100,"")</f>
        <v/>
      </c>
      <c r="AL54" s="28" t="str">
        <f>_xlfn.XLOOKUP($C54,'GP3 (2)'!$B$6:$B$100,'GP3 (2)'!$H$6:$H$100,"")</f>
        <v/>
      </c>
      <c r="AM54" s="31" t="str">
        <f>_xlfn.XLOOKUP($C54,'GP4 (1)'!$B$6:$B$86,'GP4 (1)'!$H$6:$H$86,"")</f>
        <v/>
      </c>
      <c r="AN54" s="32" t="str">
        <f>_xlfn.XLOOKUP($C54,'GP4 (2)'!$B$6:$B$100,'GP4 (2)'!$H$6:$H$100,"")</f>
        <v/>
      </c>
      <c r="AO54" s="27" t="str">
        <f>_xlfn.XLOOKUP($C54,'GP5 (1)'!$B$6:$B$100,'GP5 (1)'!$H$6:$H$100,"")</f>
        <v/>
      </c>
      <c r="AP54" s="30" t="str">
        <f>_xlfn.XLOOKUP($C54,'GP5 (2)'!$B$6:$B$100,'GP5 (2)'!$H$6:$H$100,"")</f>
        <v/>
      </c>
    </row>
    <row r="55" spans="1:42" ht="13.15" customHeight="1" x14ac:dyDescent="0.25">
      <c r="A55" s="1">
        <f t="shared" si="4"/>
        <v>51</v>
      </c>
      <c r="B55" s="1">
        <v>1</v>
      </c>
      <c r="C55" s="7" t="s">
        <v>174</v>
      </c>
      <c r="D55" s="40">
        <f t="shared" si="5"/>
        <v>0.2</v>
      </c>
      <c r="E55" s="33" t="str">
        <f>_xlfn.XLOOKUP($C55,'MP (1)'!$B$6:$B$100,'MP (1)'!$E$6:$E$100,"")</f>
        <v/>
      </c>
      <c r="F55" s="32" t="str">
        <f>_xlfn.XLOOKUP($C55,'MP (2)'!$B$6:$B$100,'MP (2)'!$E$6:$E$100,"")</f>
        <v/>
      </c>
      <c r="G55" s="27" t="str">
        <f>_xlfn.XLOOKUP($C55,'GP1 (1)'!$B$6:$B$100,'GP1 (1)'!$E$6:$E$100,"")</f>
        <v/>
      </c>
      <c r="H55" s="28" t="str">
        <f>_xlfn.XLOOKUP($C55,'GP1 (2)'!$B$6:$B$100,'GP1 (2)'!$E$6:$E$100,"")</f>
        <v/>
      </c>
      <c r="I55" s="31" t="str">
        <f>_xlfn.XLOOKUP($C55,'GP2 (1)'!$B$6:$B$107,'GP2 (1)'!$E$6:$E$107,"")</f>
        <v/>
      </c>
      <c r="J55" s="32" t="str">
        <f>_xlfn.XLOOKUP($C55,'GP2 (2)'!$B$6:$B$99,'GP2 (2)'!$E$6:$E$99,"")</f>
        <v/>
      </c>
      <c r="K55" s="27">
        <f>_xlfn.XLOOKUP($C55,'GP3 (1)'!$B$6:$B$100,'GP3 (1)'!$E$6:$E$100,"")</f>
        <v>0.2</v>
      </c>
      <c r="L55" s="28">
        <f>_xlfn.XLOOKUP($C55,'GP3 (2)'!$B$6:$B$100,'GP3 (2)'!$E$6:$E$100,"")</f>
        <v>0</v>
      </c>
      <c r="M55" s="31" t="str">
        <f>_xlfn.XLOOKUP($C55,'GP4 (1)'!$B$6:$B$86,'GP4 (1)'!$E$6:$E$86,"")</f>
        <v/>
      </c>
      <c r="N55" s="32" t="str">
        <f>_xlfn.XLOOKUP($C55,'GP4 (2)'!$B$6:$B$100,'GP4 (2)'!$E$6:$E$100,"")</f>
        <v/>
      </c>
      <c r="O55" s="27" t="str">
        <f>_xlfn.XLOOKUP($C55,'GP5 (1)'!$B$6:$B$100,'GP5 (1)'!$E$6:$E$100,"")</f>
        <v/>
      </c>
      <c r="P55" s="29" t="str">
        <f>_xlfn.XLOOKUP($C55,'GP5 (2)'!$B$6:$B$100,'GP5 (2)'!$E$6:$E$100,"")</f>
        <v/>
      </c>
      <c r="Q55" s="13">
        <f t="shared" si="6"/>
        <v>23</v>
      </c>
      <c r="R55" s="33" t="str">
        <f>_xlfn.XLOOKUP($C55,'MP (1)'!$B$6:$B$100,'MP (1)'!$F$6:$F$100,"")</f>
        <v/>
      </c>
      <c r="S55" s="32" t="str">
        <f>_xlfn.XLOOKUP($C55,'MP (2)'!$B$6:$B$100,'MP (2)'!$F$6:$F$100,"")</f>
        <v/>
      </c>
      <c r="T55" s="27" t="str">
        <f>_xlfn.XLOOKUP($C55,'GP1 (1)'!$B$6:$B$100,'GP1 (1)'!$F$6:$F$100,"")</f>
        <v/>
      </c>
      <c r="U55" s="28" t="str">
        <f>_xlfn.XLOOKUP($C55,'GP1 (2)'!$B$6:$B$100,'GP1 (2)'!$F$6:$F$100,"")</f>
        <v/>
      </c>
      <c r="V55" s="31" t="str">
        <f>_xlfn.XLOOKUP($C55,'GP2 (1)'!$B$8:$B$107,'GP2 (1)'!$F$8:$F$107,"")</f>
        <v/>
      </c>
      <c r="W55" s="32" t="str">
        <f>_xlfn.XLOOKUP($C55,'GP2 (2)'!$B$6:$B$99,'GP2 (2)'!$F$6:$F$99,"")</f>
        <v/>
      </c>
      <c r="X55" s="27">
        <f>_xlfn.XLOOKUP($C55,'GP3 (1)'!$B$6:$B$100,'GP3 (1)'!$F$6:$F$100,"")</f>
        <v>14</v>
      </c>
      <c r="Y55" s="28">
        <f>_xlfn.XLOOKUP($C55,'GP3 (2)'!$B$6:$B$100,'GP3 (2)'!$F$6:$F$100,"")</f>
        <v>9</v>
      </c>
      <c r="Z55" s="31" t="str">
        <f>_xlfn.XLOOKUP($C55,'GP4 (1)'!$B$6:$B$86,'GP4 (1)'!$F$6:$F$86,"")</f>
        <v/>
      </c>
      <c r="AA55" s="32" t="str">
        <f>_xlfn.XLOOKUP($C55,'GP4 (2)'!$B$6:$B$100,'GP4 (2)'!$F$6:$F$100,"")</f>
        <v/>
      </c>
      <c r="AB55" s="27" t="str">
        <f>_xlfn.XLOOKUP($C55,'GP5 (1)'!$B$6:$B$100,'GP5 (1)'!$F$6:$F$100,"")</f>
        <v/>
      </c>
      <c r="AC55" s="29" t="str">
        <f>_xlfn.XLOOKUP($C55,'GP5 (2)'!$B$6:$B$100,'GP5 (2)'!$F$6:$F$100,"")</f>
        <v/>
      </c>
      <c r="AD55" s="13">
        <f t="shared" si="7"/>
        <v>-29</v>
      </c>
      <c r="AE55" s="33" t="str">
        <f>_xlfn.XLOOKUP($C55,'MP (1)'!$B$6:$B$100,'MP (1)'!$H$6:$H$100,"")</f>
        <v/>
      </c>
      <c r="AF55" s="32" t="str">
        <f>_xlfn.XLOOKUP($C55,'MP (2)'!$B$6:$B$100,'MP (2)'!$H$6:$H$100,"")</f>
        <v/>
      </c>
      <c r="AG55" s="27" t="str">
        <f>_xlfn.XLOOKUP($C55,'GP1 (1)'!$B$6:$B$100,'GP1 (1)'!$H$6:$H$100,"")</f>
        <v/>
      </c>
      <c r="AH55" s="28" t="str">
        <f>_xlfn.XLOOKUP($C55,'GP1 (2)'!$B$6:$B$100,'GP1 (2)'!$H$6:$H$100,"")</f>
        <v/>
      </c>
      <c r="AI55" s="31" t="str">
        <f>_xlfn.XLOOKUP($C55,'GP2 (1)'!$B$8:$B$107,'GP2 (1)'!$H$8:$H$107,"")</f>
        <v/>
      </c>
      <c r="AJ55" s="32" t="str">
        <f>_xlfn.XLOOKUP($C55,'GP2 (2)'!$B$6:$B$99,'GP2 (2)'!$H$6:$H$99,"")</f>
        <v/>
      </c>
      <c r="AK55" s="27">
        <f>_xlfn.XLOOKUP($C55,'GP3 (1)'!$B$6:$B$100,'GP3 (1)'!$H$6:$H$100,"")</f>
        <v>-8</v>
      </c>
      <c r="AL55" s="28">
        <f>_xlfn.XLOOKUP($C55,'GP3 (2)'!$B$6:$B$100,'GP3 (2)'!$H$6:$H$100,"")</f>
        <v>-21</v>
      </c>
      <c r="AM55" s="31" t="str">
        <f>_xlfn.XLOOKUP($C55,'GP4 (1)'!$B$6:$B$86,'GP4 (1)'!$H$6:$H$86,"")</f>
        <v/>
      </c>
      <c r="AN55" s="32" t="str">
        <f>_xlfn.XLOOKUP($C55,'GP4 (2)'!$B$6:$B$100,'GP4 (2)'!$H$6:$H$100,"")</f>
        <v/>
      </c>
      <c r="AO55" s="27" t="str">
        <f>_xlfn.XLOOKUP($C55,'GP5 (1)'!$B$6:$B$100,'GP5 (1)'!$H$6:$H$100,"")</f>
        <v/>
      </c>
      <c r="AP55" s="30" t="str">
        <f>_xlfn.XLOOKUP($C55,'GP5 (2)'!$B$6:$B$100,'GP5 (2)'!$H$6:$H$100,"")</f>
        <v/>
      </c>
    </row>
    <row r="56" spans="1:42" ht="13.15" customHeight="1" x14ac:dyDescent="0.25">
      <c r="A56" s="1">
        <f t="shared" si="4"/>
        <v>52</v>
      </c>
      <c r="B56" s="1">
        <v>1</v>
      </c>
      <c r="C56" s="4" t="s">
        <v>68</v>
      </c>
      <c r="D56" s="40">
        <f t="shared" si="5"/>
        <v>0.17</v>
      </c>
      <c r="E56" s="33">
        <f>_xlfn.XLOOKUP($C56,'MP (1)'!$B$6:$B$100,'MP (1)'!$E$6:$E$100,"")</f>
        <v>0.17</v>
      </c>
      <c r="F56" s="32">
        <f>_xlfn.XLOOKUP($C56,'MP (2)'!$B$6:$B$100,'MP (2)'!$E$6:$E$100,"")</f>
        <v>0</v>
      </c>
      <c r="G56" s="27" t="str">
        <f>_xlfn.XLOOKUP($C56,'GP1 (1)'!$B$6:$B$100,'GP1 (1)'!$E$6:$E$100,"")</f>
        <v/>
      </c>
      <c r="H56" s="28" t="str">
        <f>_xlfn.XLOOKUP($C56,'GP1 (2)'!$B$6:$B$100,'GP1 (2)'!$E$6:$E$100,"")</f>
        <v/>
      </c>
      <c r="I56" s="31" t="str">
        <f>_xlfn.XLOOKUP($C56,'GP2 (1)'!$B$8:$B$107,'GP2 (1)'!$E$8:$E$107,"")</f>
        <v/>
      </c>
      <c r="J56" s="32" t="str">
        <f>_xlfn.XLOOKUP($C56,'GP2 (2)'!$B$6:$B$99,'GP2 (2)'!$E$6:$E$99,"")</f>
        <v/>
      </c>
      <c r="K56" s="27">
        <f>_xlfn.XLOOKUP($C56,'GP3 (1)'!$B$6:$B$100,'GP3 (1)'!$E$6:$E$100,"")</f>
        <v>0</v>
      </c>
      <c r="L56" s="28">
        <f>_xlfn.XLOOKUP($C56,'GP3 (2)'!$B$6:$B$100,'GP3 (2)'!$E$6:$E$100,"")</f>
        <v>0</v>
      </c>
      <c r="M56" s="31" t="str">
        <f>_xlfn.XLOOKUP($C56,'GP4 (1)'!$B$6:$B$86,'GP4 (1)'!$E$6:$E$86,"")</f>
        <v/>
      </c>
      <c r="N56" s="32" t="str">
        <f>_xlfn.XLOOKUP($C56,'GP4 (2)'!$B$6:$B$100,'GP4 (2)'!$E$6:$E$100,"")</f>
        <v/>
      </c>
      <c r="O56" s="27" t="str">
        <f>_xlfn.XLOOKUP($C56,'GP5 (1)'!$B$6:$B$100,'GP5 (1)'!$E$6:$E$100,"")</f>
        <v/>
      </c>
      <c r="P56" s="29" t="str">
        <f>_xlfn.XLOOKUP($C56,'GP5 (2)'!$B$6:$B$100,'GP5 (2)'!$E$6:$E$100,"")</f>
        <v/>
      </c>
      <c r="Q56" s="13">
        <f t="shared" si="6"/>
        <v>37</v>
      </c>
      <c r="R56" s="33">
        <f>_xlfn.XLOOKUP($C56,'MP (1)'!$B$6:$B$100,'MP (1)'!$F$6:$F$100,"")</f>
        <v>13</v>
      </c>
      <c r="S56" s="32">
        <f>_xlfn.XLOOKUP($C56,'MP (2)'!$B$6:$B$100,'MP (2)'!$F$6:$F$100,"")</f>
        <v>11</v>
      </c>
      <c r="T56" s="27" t="str">
        <f>_xlfn.XLOOKUP($C56,'GP1 (1)'!$B$6:$B$100,'GP1 (1)'!$F$6:$F$100,"")</f>
        <v/>
      </c>
      <c r="U56" s="28" t="str">
        <f>_xlfn.XLOOKUP($C56,'GP1 (2)'!$B$6:$B$100,'GP1 (2)'!$F$6:$F$100,"")</f>
        <v/>
      </c>
      <c r="V56" s="31" t="str">
        <f>_xlfn.XLOOKUP($C56,'GP2 (1)'!$B$8:$B$107,'GP2 (1)'!$F$8:$F$107,"")</f>
        <v/>
      </c>
      <c r="W56" s="32" t="str">
        <f>_xlfn.XLOOKUP($C56,'GP2 (2)'!$B$6:$B$99,'GP2 (2)'!$F$6:$F$99,"")</f>
        <v/>
      </c>
      <c r="X56" s="27">
        <f>_xlfn.XLOOKUP($C56,'GP3 (1)'!$B$6:$B$100,'GP3 (1)'!$F$6:$F$100,"")</f>
        <v>7</v>
      </c>
      <c r="Y56" s="28">
        <f>_xlfn.XLOOKUP($C56,'GP3 (2)'!$B$6:$B$100,'GP3 (2)'!$F$6:$F$100,"")</f>
        <v>6</v>
      </c>
      <c r="Z56" s="31" t="str">
        <f>_xlfn.XLOOKUP($C56,'GP4 (1)'!$B$6:$B$86,'GP4 (1)'!$F$6:$F$86,"")</f>
        <v/>
      </c>
      <c r="AA56" s="32" t="str">
        <f>_xlfn.XLOOKUP($C56,'GP4 (2)'!$B$6:$B$100,'GP4 (2)'!$F$6:$F$100,"")</f>
        <v/>
      </c>
      <c r="AB56" s="27" t="str">
        <f>_xlfn.XLOOKUP($C56,'GP5 (1)'!$B$6:$B$100,'GP5 (1)'!$F$6:$F$100,"")</f>
        <v/>
      </c>
      <c r="AC56" s="29" t="str">
        <f>_xlfn.XLOOKUP($C56,'GP5 (2)'!$B$6:$B$100,'GP5 (2)'!$F$6:$F$100,"")</f>
        <v/>
      </c>
      <c r="AD56" s="13">
        <f t="shared" si="7"/>
        <v>-67</v>
      </c>
      <c r="AE56" s="33">
        <f>_xlfn.XLOOKUP($C56,'MP (1)'!$B$6:$B$100,'MP (1)'!$H$6:$H$100,"")</f>
        <v>-12</v>
      </c>
      <c r="AF56" s="32">
        <f>_xlfn.XLOOKUP($C56,'MP (2)'!$B$6:$B$100,'MP (2)'!$H$6:$H$100,"")</f>
        <v>-14</v>
      </c>
      <c r="AG56" s="27" t="str">
        <f>_xlfn.XLOOKUP($C56,'GP1 (1)'!$B$6:$B$100,'GP1 (1)'!$H$6:$H$100,"")</f>
        <v/>
      </c>
      <c r="AH56" s="28" t="str">
        <f>_xlfn.XLOOKUP($C56,'GP1 (2)'!$B$6:$B$100,'GP1 (2)'!$H$6:$H$100,"")</f>
        <v/>
      </c>
      <c r="AI56" s="31" t="str">
        <f>_xlfn.XLOOKUP($C56,'GP2 (1)'!$B$8:$B$107,'GP2 (1)'!$H$8:$H$107,"")</f>
        <v/>
      </c>
      <c r="AJ56" s="32" t="str">
        <f>_xlfn.XLOOKUP($C56,'GP2 (2)'!$B$6:$B$99,'GP2 (2)'!$H$6:$H$99,"")</f>
        <v/>
      </c>
      <c r="AK56" s="27">
        <f>_xlfn.XLOOKUP($C56,'GP3 (1)'!$B$6:$B$100,'GP3 (1)'!$H$6:$H$100,"")</f>
        <v>-17</v>
      </c>
      <c r="AL56" s="28">
        <f>_xlfn.XLOOKUP($C56,'GP3 (2)'!$B$6:$B$100,'GP3 (2)'!$H$6:$H$100,"")</f>
        <v>-24</v>
      </c>
      <c r="AM56" s="31" t="str">
        <f>_xlfn.XLOOKUP($C56,'GP4 (1)'!$B$6:$B$86,'GP4 (1)'!$H$6:$H$86,"")</f>
        <v/>
      </c>
      <c r="AN56" s="32" t="str">
        <f>_xlfn.XLOOKUP($C56,'GP4 (2)'!$B$6:$B$100,'GP4 (2)'!$H$6:$H$100,"")</f>
        <v/>
      </c>
      <c r="AO56" s="27" t="str">
        <f>_xlfn.XLOOKUP($C56,'GP5 (1)'!$B$6:$B$100,'GP5 (1)'!$H$6:$H$100,"")</f>
        <v/>
      </c>
      <c r="AP56" s="30" t="str">
        <f>_xlfn.XLOOKUP($C56,'GP5 (2)'!$B$6:$B$100,'GP5 (2)'!$H$6:$H$100,"")</f>
        <v/>
      </c>
    </row>
    <row r="57" spans="1:42" ht="13.15" customHeight="1" x14ac:dyDescent="0.25">
      <c r="A57" s="1">
        <f t="shared" si="4"/>
        <v>53</v>
      </c>
      <c r="B57" s="1">
        <v>4</v>
      </c>
      <c r="C57" s="4" t="s">
        <v>70</v>
      </c>
      <c r="D57" s="40">
        <f t="shared" si="5"/>
        <v>0.17</v>
      </c>
      <c r="E57" s="33">
        <f>_xlfn.XLOOKUP($C57,'MP (1)'!$B$6:$B$100,'MP (1)'!$E$6:$E$100,"")</f>
        <v>0</v>
      </c>
      <c r="F57" s="32">
        <f>_xlfn.XLOOKUP($C57,'MP (2)'!$B$6:$B$100,'MP (2)'!$E$6:$E$100,"")</f>
        <v>0</v>
      </c>
      <c r="G57" s="27" t="str">
        <f>_xlfn.XLOOKUP($C57,'GP1 (1)'!$B$6:$B$100,'GP1 (1)'!$E$6:$E$100,"")</f>
        <v/>
      </c>
      <c r="H57" s="28" t="str">
        <f>_xlfn.XLOOKUP($C57,'GP1 (2)'!$B$6:$B$100,'GP1 (2)'!$E$6:$E$100,"")</f>
        <v/>
      </c>
      <c r="I57" s="31" t="str">
        <f>_xlfn.XLOOKUP($C57,'GP2 (1)'!$B$8:$B$107,'GP2 (1)'!$E$8:$E$107,"")</f>
        <v/>
      </c>
      <c r="J57" s="32" t="str">
        <f>_xlfn.XLOOKUP($C57,'GP2 (2)'!$B$6:$B$99,'GP2 (2)'!$E$6:$E$99,"")</f>
        <v/>
      </c>
      <c r="K57" s="27">
        <f>_xlfn.XLOOKUP($C57,'GP3 (1)'!$B$6:$B$100,'GP3 (1)'!$E$6:$E$100,"")</f>
        <v>0</v>
      </c>
      <c r="L57" s="28">
        <f>_xlfn.XLOOKUP($C57,'GP3 (2)'!$B$6:$B$100,'GP3 (2)'!$E$6:$E$100,"")</f>
        <v>0.17</v>
      </c>
      <c r="M57" s="31">
        <f>_xlfn.XLOOKUP($C57,'GP4 (1)'!$B$6:$B$86,'GP4 (1)'!$E$6:$E$86,"")</f>
        <v>0</v>
      </c>
      <c r="N57" s="32">
        <f>_xlfn.XLOOKUP($C57,'GP4 (2)'!$B$6:$B$100,'GP4 (2)'!$E$6:$E$100,"")</f>
        <v>0</v>
      </c>
      <c r="O57" s="27" t="str">
        <f>_xlfn.XLOOKUP($C57,'GP5 (1)'!$B$6:$B$100,'GP5 (1)'!$E$6:$E$100,"")</f>
        <v/>
      </c>
      <c r="P57" s="29" t="str">
        <f>_xlfn.XLOOKUP($C57,'GP5 (2)'!$B$6:$B$100,'GP5 (2)'!$E$6:$E$100,"")</f>
        <v/>
      </c>
      <c r="Q57" s="13">
        <f t="shared" si="6"/>
        <v>57</v>
      </c>
      <c r="R57" s="33">
        <f>_xlfn.XLOOKUP($C57,'MP (1)'!$B$6:$B$100,'MP (1)'!$F$6:$F$100,"")</f>
        <v>15</v>
      </c>
      <c r="S57" s="32">
        <f>_xlfn.XLOOKUP($C57,'MP (2)'!$B$6:$B$100,'MP (2)'!$F$6:$F$100,"")</f>
        <v>9</v>
      </c>
      <c r="T57" s="27" t="str">
        <f>_xlfn.XLOOKUP($C57,'GP1 (1)'!$B$6:$B$100,'GP1 (1)'!$F$6:$F$100,"")</f>
        <v/>
      </c>
      <c r="U57" s="28" t="str">
        <f>_xlfn.XLOOKUP($C57,'GP1 (2)'!$B$6:$B$100,'GP1 (2)'!$F$6:$F$100,"")</f>
        <v/>
      </c>
      <c r="V57" s="31" t="str">
        <f>_xlfn.XLOOKUP($C57,'GP2 (1)'!$B$8:$B$107,'GP2 (1)'!$F$8:$F$107,"")</f>
        <v/>
      </c>
      <c r="W57" s="32" t="str">
        <f>_xlfn.XLOOKUP($C57,'GP2 (2)'!$B$6:$B$99,'GP2 (2)'!$F$6:$F$99,"")</f>
        <v/>
      </c>
      <c r="X57" s="27">
        <f>_xlfn.XLOOKUP($C57,'GP3 (1)'!$B$6:$B$100,'GP3 (1)'!$F$6:$F$100,"")</f>
        <v>8</v>
      </c>
      <c r="Y57" s="28">
        <f>_xlfn.XLOOKUP($C57,'GP3 (2)'!$B$6:$B$100,'GP3 (2)'!$F$6:$F$100,"")</f>
        <v>16</v>
      </c>
      <c r="Z57" s="31">
        <f>_xlfn.XLOOKUP($C57,'GP4 (1)'!$B$6:$B$86,'GP4 (1)'!$F$6:$F$86,"")</f>
        <v>4</v>
      </c>
      <c r="AA57" s="32">
        <f>_xlfn.XLOOKUP($C57,'GP4 (2)'!$B$6:$B$100,'GP4 (2)'!$F$6:$F$100,"")</f>
        <v>5</v>
      </c>
      <c r="AB57" s="27" t="str">
        <f>_xlfn.XLOOKUP($C57,'GP5 (1)'!$B$6:$B$100,'GP5 (1)'!$F$6:$F$100,"")</f>
        <v/>
      </c>
      <c r="AC57" s="29" t="str">
        <f>_xlfn.XLOOKUP($C57,'GP5 (2)'!$B$6:$B$100,'GP5 (2)'!$F$6:$F$100,"")</f>
        <v/>
      </c>
      <c r="AD57" s="13">
        <f t="shared" si="7"/>
        <v>-97</v>
      </c>
      <c r="AE57" s="33">
        <f>_xlfn.XLOOKUP($C57,'MP (1)'!$B$6:$B$100,'MP (1)'!$H$6:$H$100,"")</f>
        <v>-15</v>
      </c>
      <c r="AF57" s="32">
        <f>_xlfn.XLOOKUP($C57,'MP (2)'!$B$6:$B$100,'MP (2)'!$H$6:$H$100,"")</f>
        <v>-16</v>
      </c>
      <c r="AG57" s="27" t="str">
        <f>_xlfn.XLOOKUP($C57,'GP1 (1)'!$B$6:$B$100,'GP1 (1)'!$H$6:$H$100,"")</f>
        <v/>
      </c>
      <c r="AH57" s="28" t="str">
        <f>_xlfn.XLOOKUP($C57,'GP1 (2)'!$B$6:$B$100,'GP1 (2)'!$H$6:$H$100,"")</f>
        <v/>
      </c>
      <c r="AI57" s="31" t="str">
        <f>_xlfn.XLOOKUP($C57,'GP2 (1)'!$B$8:$B$107,'GP2 (1)'!$H$8:$H$107,"")</f>
        <v/>
      </c>
      <c r="AJ57" s="32" t="str">
        <f>_xlfn.XLOOKUP($C57,'GP2 (2)'!$B$6:$B$99,'GP2 (2)'!$H$6:$H$99,"")</f>
        <v/>
      </c>
      <c r="AK57" s="27">
        <f>_xlfn.XLOOKUP($C57,'GP3 (1)'!$B$6:$B$100,'GP3 (1)'!$H$6:$H$100,"")</f>
        <v>-12</v>
      </c>
      <c r="AL57" s="28">
        <f>_xlfn.XLOOKUP($C57,'GP3 (2)'!$B$6:$B$100,'GP3 (2)'!$H$6:$H$100,"")</f>
        <v>-13</v>
      </c>
      <c r="AM57" s="31">
        <f>_xlfn.XLOOKUP($C57,'GP4 (1)'!$B$6:$B$86,'GP4 (1)'!$H$6:$H$86,"")</f>
        <v>-21</v>
      </c>
      <c r="AN57" s="32">
        <f>_xlfn.XLOOKUP($C57,'GP4 (2)'!$B$6:$B$100,'GP4 (2)'!$H$6:$H$100,"")</f>
        <v>-20</v>
      </c>
      <c r="AO57" s="27" t="str">
        <f>_xlfn.XLOOKUP($C57,'GP5 (1)'!$B$6:$B$100,'GP5 (1)'!$H$6:$H$100,"")</f>
        <v/>
      </c>
      <c r="AP57" s="30" t="str">
        <f>_xlfn.XLOOKUP($C57,'GP5 (2)'!$B$6:$B$100,'GP5 (2)'!$H$6:$H$100,"")</f>
        <v/>
      </c>
    </row>
    <row r="58" spans="1:42" ht="13.15" customHeight="1" x14ac:dyDescent="0.25">
      <c r="A58" s="1">
        <f t="shared" si="4"/>
        <v>54</v>
      </c>
      <c r="B58" s="1">
        <v>4</v>
      </c>
      <c r="C58" s="4" t="s">
        <v>60</v>
      </c>
      <c r="D58" s="40">
        <f t="shared" si="5"/>
        <v>0</v>
      </c>
      <c r="E58" s="33">
        <f>_xlfn.XLOOKUP($C58,'MP (1)'!$B$6:$B$100,'MP (1)'!$E$6:$E$100,"")</f>
        <v>0</v>
      </c>
      <c r="F58" s="32">
        <f>_xlfn.XLOOKUP($C58,'MP (2)'!$B$6:$B$100,'MP (2)'!$E$6:$E$100,"")</f>
        <v>0</v>
      </c>
      <c r="G58" s="27">
        <f>_xlfn.XLOOKUP($C58,'GP1 (1)'!$B$6:$B$100,'GP1 (1)'!$E$6:$E$100,"")</f>
        <v>0</v>
      </c>
      <c r="H58" s="28">
        <f>_xlfn.XLOOKUP($C58,'GP1 (2)'!$B$6:$B$100,'GP1 (2)'!$E$6:$E$100,"")</f>
        <v>0</v>
      </c>
      <c r="I58" s="31" t="str">
        <f>_xlfn.XLOOKUP($C58,'GP2 (1)'!$B$6:$B$107,'GP2 (1)'!$E$6:$E$107,"")</f>
        <v/>
      </c>
      <c r="J58" s="32" t="str">
        <f>_xlfn.XLOOKUP($C58,'GP2 (2)'!$B$6:$B$99,'GP2 (2)'!$E$6:$E$99,"")</f>
        <v/>
      </c>
      <c r="K58" s="27" t="str">
        <f>_xlfn.XLOOKUP($C58,'GP3 (1)'!$B$6:$B$100,'GP3 (1)'!$E$6:$E$100,"")</f>
        <v/>
      </c>
      <c r="L58" s="28" t="str">
        <f>_xlfn.XLOOKUP($C58,'GP3 (2)'!$B$6:$B$100,'GP3 (2)'!$E$6:$E$100,"")</f>
        <v/>
      </c>
      <c r="M58" s="31" t="str">
        <f>_xlfn.XLOOKUP($C58,'GP4 (1)'!$B$6:$B$86,'GP4 (1)'!$E$6:$E$86,"")</f>
        <v/>
      </c>
      <c r="N58" s="32" t="str">
        <f>_xlfn.XLOOKUP($C58,'GP4 (2)'!$B$6:$B$100,'GP4 (2)'!$E$6:$E$100,"")</f>
        <v/>
      </c>
      <c r="O58" s="27" t="str">
        <f>_xlfn.XLOOKUP($C58,'GP5 (1)'!$B$6:$B$100,'GP5 (1)'!$E$6:$E$100,"")</f>
        <v/>
      </c>
      <c r="P58" s="29" t="str">
        <f>_xlfn.XLOOKUP($C58,'GP5 (2)'!$B$6:$B$100,'GP5 (2)'!$E$6:$E$100,"")</f>
        <v/>
      </c>
      <c r="Q58" s="13">
        <f t="shared" si="6"/>
        <v>32</v>
      </c>
      <c r="R58" s="33">
        <f>_xlfn.XLOOKUP($C58,'MP (1)'!$B$6:$B$100,'MP (1)'!$F$6:$F$100,"")</f>
        <v>9</v>
      </c>
      <c r="S58" s="32">
        <f>_xlfn.XLOOKUP($C58,'MP (2)'!$B$6:$B$100,'MP (2)'!$F$6:$F$100,"")</f>
        <v>10</v>
      </c>
      <c r="T58" s="27">
        <f>_xlfn.XLOOKUP($C58,'GP1 (1)'!$B$6:$B$100,'GP1 (1)'!$F$6:$F$100,"")</f>
        <v>9</v>
      </c>
      <c r="U58" s="28">
        <f>_xlfn.XLOOKUP($C58,'GP1 (2)'!$B$6:$B$100,'GP1 (2)'!$F$6:$F$100,"")</f>
        <v>4</v>
      </c>
      <c r="V58" s="31" t="str">
        <f>_xlfn.XLOOKUP($C58,'GP2 (1)'!$B$8:$B$107,'GP2 (1)'!$F$8:$F$107,"")</f>
        <v/>
      </c>
      <c r="W58" s="32" t="str">
        <f>_xlfn.XLOOKUP($C58,'GP2 (2)'!$B$6:$B$99,'GP2 (2)'!$F$6:$F$99,"")</f>
        <v/>
      </c>
      <c r="X58" s="27" t="str">
        <f>_xlfn.XLOOKUP($C58,'GP3 (1)'!$B$6:$B$100,'GP3 (1)'!$F$6:$F$100,"")</f>
        <v/>
      </c>
      <c r="Y58" s="28" t="str">
        <f>_xlfn.XLOOKUP($C58,'GP3 (2)'!$B$6:$B$100,'GP3 (2)'!$F$6:$F$100,"")</f>
        <v/>
      </c>
      <c r="Z58" s="31" t="str">
        <f>_xlfn.XLOOKUP($C58,'GP4 (1)'!$B$6:$B$86,'GP4 (1)'!$F$6:$F$86,"")</f>
        <v/>
      </c>
      <c r="AA58" s="32" t="str">
        <f>_xlfn.XLOOKUP($C58,'GP4 (2)'!$B$6:$B$100,'GP4 (2)'!$F$6:$F$100,"")</f>
        <v/>
      </c>
      <c r="AB58" s="27" t="str">
        <f>_xlfn.XLOOKUP($C58,'GP5 (1)'!$B$6:$B$100,'GP5 (1)'!$F$6:$F$100,"")</f>
        <v/>
      </c>
      <c r="AC58" s="29" t="str">
        <f>_xlfn.XLOOKUP($C58,'GP5 (2)'!$B$6:$B$100,'GP5 (2)'!$F$6:$F$100,"")</f>
        <v/>
      </c>
      <c r="AD58" s="13">
        <f t="shared" si="7"/>
        <v>-83</v>
      </c>
      <c r="AE58" s="33">
        <f>_xlfn.XLOOKUP($C58,'MP (1)'!$B$6:$B$100,'MP (1)'!$H$6:$H$100,"")</f>
        <v>-16</v>
      </c>
      <c r="AF58" s="32">
        <f>_xlfn.XLOOKUP($C58,'MP (2)'!$B$6:$B$100,'MP (2)'!$H$6:$H$100,"")</f>
        <v>-20</v>
      </c>
      <c r="AG58" s="27">
        <f>_xlfn.XLOOKUP($C58,'GP1 (1)'!$B$6:$B$100,'GP1 (1)'!$H$6:$H$100,"")</f>
        <v>-21</v>
      </c>
      <c r="AH58" s="28">
        <f>_xlfn.XLOOKUP($C58,'GP1 (2)'!$B$6:$B$100,'GP1 (2)'!$H$6:$H$100,"")</f>
        <v>-26</v>
      </c>
      <c r="AI58" s="31" t="str">
        <f>_xlfn.XLOOKUP($C58,'GP2 (1)'!$B$8:$B$107,'GP2 (1)'!$H$8:$H$107,"")</f>
        <v/>
      </c>
      <c r="AJ58" s="32" t="str">
        <f>_xlfn.XLOOKUP($C58,'GP2 (2)'!$B$6:$B$99,'GP2 (2)'!$H$6:$H$99,"")</f>
        <v/>
      </c>
      <c r="AK58" s="27" t="str">
        <f>_xlfn.XLOOKUP($C58,'GP3 (1)'!$B$6:$B$100,'GP3 (1)'!$H$6:$H$100,"")</f>
        <v/>
      </c>
      <c r="AL58" s="28" t="str">
        <f>_xlfn.XLOOKUP($C58,'GP3 (2)'!$B$6:$B$100,'GP3 (2)'!$H$6:$H$100,"")</f>
        <v/>
      </c>
      <c r="AM58" s="31" t="str">
        <f>_xlfn.XLOOKUP($C58,'GP4 (1)'!$B$6:$B$86,'GP4 (1)'!$H$6:$H$86,"")</f>
        <v/>
      </c>
      <c r="AN58" s="32" t="str">
        <f>_xlfn.XLOOKUP($C58,'GP4 (2)'!$B$6:$B$100,'GP4 (2)'!$H$6:$H$100,"")</f>
        <v/>
      </c>
      <c r="AO58" s="27" t="str">
        <f>_xlfn.XLOOKUP($C58,'GP5 (1)'!$B$6:$B$100,'GP5 (1)'!$H$6:$H$100,"")</f>
        <v/>
      </c>
      <c r="AP58" s="30" t="str">
        <f>_xlfn.XLOOKUP($C58,'GP5 (2)'!$B$6:$B$100,'GP5 (2)'!$H$6:$H$100,"")</f>
        <v/>
      </c>
    </row>
    <row r="59" spans="1:42" ht="13.15" customHeight="1" x14ac:dyDescent="0.25">
      <c r="A59" s="1">
        <f t="shared" si="4"/>
        <v>55</v>
      </c>
      <c r="B59" s="1">
        <v>1</v>
      </c>
      <c r="C59" s="4" t="s">
        <v>41</v>
      </c>
      <c r="D59" s="40">
        <f t="shared" si="5"/>
        <v>0</v>
      </c>
      <c r="E59" s="33">
        <f>_xlfn.XLOOKUP($C59,'MP (1)'!$B$6:$B$100,'MP (1)'!$E$6:$E$100,"")</f>
        <v>0</v>
      </c>
      <c r="F59" s="32" t="str">
        <f>_xlfn.XLOOKUP($C59,'MP (2)'!$B$6:$B$100,'MP (2)'!$E$6:$E$100,"")</f>
        <v/>
      </c>
      <c r="G59" s="27" t="str">
        <f>_xlfn.XLOOKUP($C59,'GP1 (1)'!$B$6:$B$100,'GP1 (1)'!$E$6:$E$100,"")</f>
        <v/>
      </c>
      <c r="H59" s="28" t="str">
        <f>_xlfn.XLOOKUP($C59,'GP1 (2)'!$B$6:$B$100,'GP1 (2)'!$E$6:$E$100,"")</f>
        <v/>
      </c>
      <c r="I59" s="31" t="str">
        <f>_xlfn.XLOOKUP($C59,'GP2 (1)'!$B$6:$B$107,'GP2 (1)'!$E$6:$E$107,"")</f>
        <v/>
      </c>
      <c r="J59" s="32" t="str">
        <f>_xlfn.XLOOKUP($C59,'GP2 (2)'!$B$6:$B$99,'GP2 (2)'!$E$6:$E$99,"")</f>
        <v/>
      </c>
      <c r="K59" s="27" t="str">
        <f>_xlfn.XLOOKUP($C59,'GP3 (1)'!$B$6:$B$100,'GP3 (1)'!$E$6:$E$100,"")</f>
        <v/>
      </c>
      <c r="L59" s="28" t="str">
        <f>_xlfn.XLOOKUP($C59,'GP3 (2)'!$B$6:$B$100,'GP3 (2)'!$E$6:$E$100,"")</f>
        <v/>
      </c>
      <c r="M59" s="31" t="str">
        <f>_xlfn.XLOOKUP($C59,'GP4 (1)'!$B$6:$B$86,'GP4 (1)'!$E$6:$E$86,"")</f>
        <v/>
      </c>
      <c r="N59" s="32" t="str">
        <f>_xlfn.XLOOKUP($C59,'GP4 (2)'!$B$6:$B$100,'GP4 (2)'!$E$6:$E$100,"")</f>
        <v/>
      </c>
      <c r="O59" s="27" t="str">
        <f>_xlfn.XLOOKUP($C59,'GP5 (1)'!$B$6:$B$100,'GP5 (1)'!$E$6:$E$100,"")</f>
        <v/>
      </c>
      <c r="P59" s="29" t="str">
        <f>_xlfn.XLOOKUP($C59,'GP5 (2)'!$B$6:$B$100,'GP5 (2)'!$E$6:$E$100,"")</f>
        <v/>
      </c>
      <c r="Q59" s="13">
        <f t="shared" si="6"/>
        <v>0</v>
      </c>
      <c r="R59" s="33">
        <f>_xlfn.XLOOKUP($C59,'MP (1)'!$B$6:$B$100,'MP (1)'!$F$6:$F$100,"")</f>
        <v>0</v>
      </c>
      <c r="S59" s="32" t="str">
        <f>_xlfn.XLOOKUP($C59,'MP (2)'!$B$6:$B$100,'MP (2)'!$F$6:$F$100,"")</f>
        <v/>
      </c>
      <c r="T59" s="27" t="str">
        <f>_xlfn.XLOOKUP($C59,'GP1 (1)'!$B$6:$B$100,'GP1 (1)'!$F$6:$F$100,"")</f>
        <v/>
      </c>
      <c r="U59" s="28" t="str">
        <f>_xlfn.XLOOKUP($C59,'GP1 (2)'!$B$6:$B$100,'GP1 (2)'!$F$6:$F$100,"")</f>
        <v/>
      </c>
      <c r="V59" s="31" t="str">
        <f>_xlfn.XLOOKUP($C59,'GP2 (1)'!$B$8:$B$107,'GP2 (1)'!$F$8:$F$107,"")</f>
        <v/>
      </c>
      <c r="W59" s="32" t="str">
        <f>_xlfn.XLOOKUP($C59,'GP2 (2)'!$B$6:$B$99,'GP2 (2)'!$F$6:$F$99,"")</f>
        <v/>
      </c>
      <c r="X59" s="27" t="str">
        <f>_xlfn.XLOOKUP($C59,'GP3 (1)'!$B$6:$B$100,'GP3 (1)'!$F$6:$F$100,"")</f>
        <v/>
      </c>
      <c r="Y59" s="28" t="str">
        <f>_xlfn.XLOOKUP($C59,'GP3 (2)'!$B$6:$B$100,'GP3 (2)'!$F$6:$F$100,"")</f>
        <v/>
      </c>
      <c r="Z59" s="31" t="str">
        <f>_xlfn.XLOOKUP($C59,'GP4 (1)'!$B$6:$B$86,'GP4 (1)'!$F$6:$F$86,"")</f>
        <v/>
      </c>
      <c r="AA59" s="32" t="str">
        <f>_xlfn.XLOOKUP($C59,'GP4 (2)'!$B$6:$B$100,'GP4 (2)'!$F$6:$F$100,"")</f>
        <v/>
      </c>
      <c r="AB59" s="27" t="str">
        <f>_xlfn.XLOOKUP($C59,'GP5 (1)'!$B$6:$B$100,'GP5 (1)'!$F$6:$F$100,"")</f>
        <v/>
      </c>
      <c r="AC59" s="29" t="str">
        <f>_xlfn.XLOOKUP($C59,'GP5 (2)'!$B$6:$B$100,'GP5 (2)'!$F$6:$F$100,"")</f>
        <v/>
      </c>
      <c r="AD59" s="13">
        <f t="shared" si="7"/>
        <v>-30</v>
      </c>
      <c r="AE59" s="33">
        <f>_xlfn.XLOOKUP($C59,'MP (1)'!$B$6:$B$100,'MP (1)'!$H$6:$H$100,"")</f>
        <v>-30</v>
      </c>
      <c r="AF59" s="32" t="str">
        <f>_xlfn.XLOOKUP($C59,'MP (2)'!$B$6:$B$100,'MP (2)'!$H$6:$H$100,"")</f>
        <v/>
      </c>
      <c r="AG59" s="27" t="str">
        <f>_xlfn.XLOOKUP($C59,'GP1 (1)'!$B$6:$B$100,'GP1 (1)'!$H$6:$H$100,"")</f>
        <v/>
      </c>
      <c r="AH59" s="28" t="str">
        <f>_xlfn.XLOOKUP($C59,'GP1 (2)'!$B$6:$B$100,'GP1 (2)'!$H$6:$H$100,"")</f>
        <v/>
      </c>
      <c r="AI59" s="31" t="str">
        <f>_xlfn.XLOOKUP($C59,'GP2 (1)'!$B$8:$B$107,'GP2 (1)'!$H$8:$H$107,"")</f>
        <v/>
      </c>
      <c r="AJ59" s="32" t="str">
        <f>_xlfn.XLOOKUP($C59,'GP2 (2)'!$B$6:$B$99,'GP2 (2)'!$H$6:$H$99,"")</f>
        <v/>
      </c>
      <c r="AK59" s="27" t="str">
        <f>_xlfn.XLOOKUP($C59,'GP3 (1)'!$B$6:$B$100,'GP3 (1)'!$H$6:$H$100,"")</f>
        <v/>
      </c>
      <c r="AL59" s="28" t="str">
        <f>_xlfn.XLOOKUP($C59,'GP3 (2)'!$B$6:$B$100,'GP3 (2)'!$H$6:$H$100,"")</f>
        <v/>
      </c>
      <c r="AM59" s="31" t="str">
        <f>_xlfn.XLOOKUP($C59,'GP4 (1)'!$B$6:$B$86,'GP4 (1)'!$H$6:$H$86,"")</f>
        <v/>
      </c>
      <c r="AN59" s="32" t="str">
        <f>_xlfn.XLOOKUP($C59,'GP4 (2)'!$B$6:$B$100,'GP4 (2)'!$H$6:$H$100,"")</f>
        <v/>
      </c>
      <c r="AO59" s="27" t="str">
        <f>_xlfn.XLOOKUP($C59,'GP5 (1)'!$B$6:$B$100,'GP5 (1)'!$H$6:$H$100,"")</f>
        <v/>
      </c>
      <c r="AP59" s="30" t="str">
        <f>_xlfn.XLOOKUP($C59,'GP5 (2)'!$B$6:$B$100,'GP5 (2)'!$H$6:$H$100,"")</f>
        <v/>
      </c>
    </row>
    <row r="60" spans="1:42" ht="13.15" customHeight="1" x14ac:dyDescent="0.25">
      <c r="A60" s="1">
        <f t="shared" si="4"/>
        <v>56</v>
      </c>
      <c r="B60" s="1">
        <v>3</v>
      </c>
      <c r="C60" s="4" t="s">
        <v>33</v>
      </c>
      <c r="D60" s="40">
        <f t="shared" si="5"/>
        <v>0</v>
      </c>
      <c r="E60" s="33" t="str">
        <f>_xlfn.XLOOKUP($C60,'MP (1)'!$B$6:$B$100,'MP (1)'!$E$6:$E$100,"")</f>
        <v/>
      </c>
      <c r="F60" s="32" t="str">
        <f>_xlfn.XLOOKUP($C60,'MP (2)'!$B$6:$B$100,'MP (2)'!$E$6:$E$100,"")</f>
        <v/>
      </c>
      <c r="G60" s="27" t="str">
        <f>_xlfn.XLOOKUP($C60,'GP1 (1)'!$B$6:$B$100,'GP1 (1)'!$E$6:$E$100,"")</f>
        <v/>
      </c>
      <c r="H60" s="28" t="str">
        <f>_xlfn.XLOOKUP($C60,'GP1 (2)'!$B$6:$B$100,'GP1 (2)'!$E$6:$E$100,"")</f>
        <v/>
      </c>
      <c r="I60" s="31" t="str">
        <f>_xlfn.XLOOKUP($C60,'GP2 (1)'!$B$6:$B$107,'GP2 (1)'!$E$6:$E$107,"")</f>
        <v/>
      </c>
      <c r="J60" s="32" t="str">
        <f>_xlfn.XLOOKUP($C60,'GP2 (2)'!$B$6:$B$99,'GP2 (2)'!$E$6:$E$99,"")</f>
        <v/>
      </c>
      <c r="K60" s="27" t="str">
        <f>_xlfn.XLOOKUP($C60,'GP3 (1)'!$B$6:$B$100,'GP3 (1)'!$E$6:$E$100,"")</f>
        <v/>
      </c>
      <c r="L60" s="28" t="str">
        <f>_xlfn.XLOOKUP($C60,'GP3 (2)'!$B$6:$B$100,'GP3 (2)'!$E$6:$E$100,"")</f>
        <v/>
      </c>
      <c r="M60" s="31" t="str">
        <f>_xlfn.XLOOKUP($C60,'GP4 (1)'!$B$6:$B$86,'GP4 (1)'!$E$6:$E$86,"")</f>
        <v/>
      </c>
      <c r="N60" s="32" t="str">
        <f>_xlfn.XLOOKUP($C60,'GP4 (2)'!$B$6:$B$100,'GP4 (2)'!$E$6:$E$100,"")</f>
        <v/>
      </c>
      <c r="O60" s="27" t="str">
        <f>_xlfn.XLOOKUP($C60,'GP5 (1)'!$B$6:$B$100,'GP5 (1)'!$E$6:$E$100,"")</f>
        <v/>
      </c>
      <c r="P60" s="29" t="str">
        <f>_xlfn.XLOOKUP($C60,'GP5 (2)'!$B$6:$B$100,'GP5 (2)'!$E$6:$E$100,"")</f>
        <v/>
      </c>
      <c r="Q60" s="13">
        <f t="shared" si="6"/>
        <v>0</v>
      </c>
      <c r="R60" s="33" t="str">
        <f>_xlfn.XLOOKUP($C60,'MP (1)'!$B$6:$B$100,'MP (1)'!$F$6:$F$100,"")</f>
        <v/>
      </c>
      <c r="S60" s="32" t="str">
        <f>_xlfn.XLOOKUP($C60,'MP (2)'!$B$6:$B$100,'MP (2)'!$F$6:$F$100,"")</f>
        <v/>
      </c>
      <c r="T60" s="27" t="str">
        <f>_xlfn.XLOOKUP($C60,'GP1 (1)'!$B$6:$B$100,'GP1 (1)'!$F$6:$F$100,"")</f>
        <v/>
      </c>
      <c r="U60" s="28" t="str">
        <f>_xlfn.XLOOKUP($C60,'GP1 (2)'!$B$6:$B$100,'GP1 (2)'!$F$6:$F$100,"")</f>
        <v/>
      </c>
      <c r="V60" s="31" t="str">
        <f>_xlfn.XLOOKUP($C60,'GP2 (1)'!$B$8:$B$107,'GP2 (1)'!$F$8:$F$107,"")</f>
        <v/>
      </c>
      <c r="W60" s="32" t="str">
        <f>_xlfn.XLOOKUP($C60,'GP2 (2)'!$B$6:$B$99,'GP2 (2)'!$F$6:$F$99,"")</f>
        <v/>
      </c>
      <c r="X60" s="27" t="str">
        <f>_xlfn.XLOOKUP($C60,'GP3 (1)'!$B$6:$B$100,'GP3 (1)'!$F$6:$F$100,"")</f>
        <v/>
      </c>
      <c r="Y60" s="28" t="str">
        <f>_xlfn.XLOOKUP($C60,'GP3 (2)'!$B$6:$B$100,'GP3 (2)'!$F$6:$F$100,"")</f>
        <v/>
      </c>
      <c r="Z60" s="31" t="str">
        <f>_xlfn.XLOOKUP($C60,'GP4 (1)'!$B$6:$B$86,'GP4 (1)'!$F$6:$F$86,"")</f>
        <v/>
      </c>
      <c r="AA60" s="32" t="str">
        <f>_xlfn.XLOOKUP($C60,'GP4 (2)'!$B$6:$B$100,'GP4 (2)'!$F$6:$F$100,"")</f>
        <v/>
      </c>
      <c r="AB60" s="27" t="str">
        <f>_xlfn.XLOOKUP($C60,'GP5 (1)'!$B$6:$B$100,'GP5 (1)'!$F$6:$F$100,"")</f>
        <v/>
      </c>
      <c r="AC60" s="29" t="str">
        <f>_xlfn.XLOOKUP($C60,'GP5 (2)'!$B$6:$B$100,'GP5 (2)'!$F$6:$F$100,"")</f>
        <v/>
      </c>
      <c r="AD60" s="13">
        <f t="shared" si="7"/>
        <v>0</v>
      </c>
      <c r="AE60" s="33" t="str">
        <f>_xlfn.XLOOKUP($C60,'MP (1)'!$B$6:$B$100,'MP (1)'!$H$6:$H$100,"")</f>
        <v/>
      </c>
      <c r="AF60" s="32" t="str">
        <f>_xlfn.XLOOKUP($C60,'MP (2)'!$B$6:$B$100,'MP (2)'!$H$6:$H$100,"")</f>
        <v/>
      </c>
      <c r="AG60" s="27" t="str">
        <f>_xlfn.XLOOKUP($C60,'GP1 (1)'!$B$6:$B$100,'GP1 (1)'!$H$6:$H$100,"")</f>
        <v/>
      </c>
      <c r="AH60" s="28" t="str">
        <f>_xlfn.XLOOKUP($C60,'GP1 (2)'!$B$6:$B$100,'GP1 (2)'!$H$6:$H$100,"")</f>
        <v/>
      </c>
      <c r="AI60" s="31" t="str">
        <f>_xlfn.XLOOKUP($C60,'GP2 (1)'!$B$8:$B$107,'GP2 (1)'!$H$8:$H$107,"")</f>
        <v/>
      </c>
      <c r="AJ60" s="32" t="str">
        <f>_xlfn.XLOOKUP($C60,'GP2 (2)'!$B$6:$B$99,'GP2 (2)'!$H$6:$H$99,"")</f>
        <v/>
      </c>
      <c r="AK60" s="27" t="str">
        <f>_xlfn.XLOOKUP($C60,'GP3 (1)'!$B$6:$B$100,'GP3 (1)'!$H$6:$H$100,"")</f>
        <v/>
      </c>
      <c r="AL60" s="28" t="str">
        <f>_xlfn.XLOOKUP($C60,'GP3 (2)'!$B$6:$B$100,'GP3 (2)'!$H$6:$H$100,"")</f>
        <v/>
      </c>
      <c r="AM60" s="31" t="str">
        <f>_xlfn.XLOOKUP($C60,'GP4 (1)'!$B$6:$B$86,'GP4 (1)'!$H$6:$H$86,"")</f>
        <v/>
      </c>
      <c r="AN60" s="32" t="str">
        <f>_xlfn.XLOOKUP($C60,'GP4 (2)'!$B$6:$B$100,'GP4 (2)'!$H$6:$H$100,"")</f>
        <v/>
      </c>
      <c r="AO60" s="27" t="str">
        <f>_xlfn.XLOOKUP($C60,'GP5 (1)'!$B$6:$B$100,'GP5 (1)'!$H$6:$H$100,"")</f>
        <v/>
      </c>
      <c r="AP60" s="30" t="str">
        <f>_xlfn.XLOOKUP($C60,'GP5 (2)'!$B$6:$B$100,'GP5 (2)'!$H$6:$H$100,"")</f>
        <v/>
      </c>
    </row>
    <row r="61" spans="1:42" ht="13.15" customHeight="1" x14ac:dyDescent="0.25">
      <c r="A61" s="1">
        <f t="shared" si="4"/>
        <v>57</v>
      </c>
      <c r="B61" s="1">
        <v>2</v>
      </c>
      <c r="C61" s="4" t="s">
        <v>51</v>
      </c>
      <c r="D61" s="40">
        <f t="shared" si="5"/>
        <v>0</v>
      </c>
      <c r="E61" s="33" t="str">
        <f>_xlfn.XLOOKUP($C61,'MP (1)'!$B$6:$B$100,'MP (1)'!$E$6:$E$100,"")</f>
        <v/>
      </c>
      <c r="F61" s="32" t="str">
        <f>_xlfn.XLOOKUP($C61,'MP (2)'!$B$6:$B$100,'MP (2)'!$E$6:$E$100,"")</f>
        <v/>
      </c>
      <c r="G61" s="27" t="str">
        <f>_xlfn.XLOOKUP($C61,'GP1 (1)'!$B$6:$B$100,'GP1 (1)'!$E$6:$E$100,"")</f>
        <v/>
      </c>
      <c r="H61" s="28" t="str">
        <f>_xlfn.XLOOKUP($C61,'GP1 (2)'!$B$6:$B$100,'GP1 (2)'!$E$6:$E$100,"")</f>
        <v/>
      </c>
      <c r="I61" s="31" t="str">
        <f>_xlfn.XLOOKUP($C61,'GP2 (1)'!$B$8:$B$107,'GP2 (1)'!$E$8:$E$107,"")</f>
        <v/>
      </c>
      <c r="J61" s="32" t="str">
        <f>_xlfn.XLOOKUP($C61,'GP2 (2)'!$B$6:$B$99,'GP2 (2)'!$E$6:$E$99,"")</f>
        <v/>
      </c>
      <c r="K61" s="27" t="str">
        <f>_xlfn.XLOOKUP($C61,'GP3 (1)'!$B$6:$B$100,'GP3 (1)'!$E$6:$E$100,"")</f>
        <v/>
      </c>
      <c r="L61" s="28" t="str">
        <f>_xlfn.XLOOKUP($C61,'GP3 (2)'!$B$6:$B$100,'GP3 (2)'!$E$6:$E$100,"")</f>
        <v/>
      </c>
      <c r="M61" s="31" t="str">
        <f>_xlfn.XLOOKUP($C61,'GP4 (1)'!$B$6:$B$86,'GP4 (1)'!$E$6:$E$86,"")</f>
        <v/>
      </c>
      <c r="N61" s="32" t="str">
        <f>_xlfn.XLOOKUP($C61,'GP4 (2)'!$B$6:$B$100,'GP4 (2)'!$E$6:$E$100,"")</f>
        <v/>
      </c>
      <c r="O61" s="27" t="str">
        <f>_xlfn.XLOOKUP($C61,'GP5 (1)'!$B$6:$B$100,'GP5 (1)'!$E$6:$E$100,"")</f>
        <v/>
      </c>
      <c r="P61" s="29" t="str">
        <f>_xlfn.XLOOKUP($C61,'GP5 (2)'!$B$6:$B$100,'GP5 (2)'!$E$6:$E$100,"")</f>
        <v/>
      </c>
      <c r="Q61" s="13">
        <f t="shared" si="6"/>
        <v>0</v>
      </c>
      <c r="R61" s="33" t="str">
        <f>_xlfn.XLOOKUP($C61,'MP (1)'!$B$6:$B$100,'MP (1)'!$F$6:$F$100,"")</f>
        <v/>
      </c>
      <c r="S61" s="32" t="str">
        <f>_xlfn.XLOOKUP($C61,'MP (2)'!$B$6:$B$100,'MP (2)'!$F$6:$F$100,"")</f>
        <v/>
      </c>
      <c r="T61" s="27" t="str">
        <f>_xlfn.XLOOKUP($C61,'GP1 (1)'!$B$6:$B$100,'GP1 (1)'!$F$6:$F$100,"")</f>
        <v/>
      </c>
      <c r="U61" s="28" t="str">
        <f>_xlfn.XLOOKUP($C61,'GP1 (2)'!$B$6:$B$100,'GP1 (2)'!$F$6:$F$100,"")</f>
        <v/>
      </c>
      <c r="V61" s="31" t="str">
        <f>_xlfn.XLOOKUP($C61,'GP2 (1)'!$B$8:$B$107,'GP2 (1)'!$F$8:$F$107,"")</f>
        <v/>
      </c>
      <c r="W61" s="32" t="str">
        <f>_xlfn.XLOOKUP($C61,'GP2 (2)'!$B$6:$B$99,'GP2 (2)'!$F$6:$F$99,"")</f>
        <v/>
      </c>
      <c r="X61" s="27" t="str">
        <f>_xlfn.XLOOKUP($C61,'GP3 (1)'!$B$6:$B$100,'GP3 (1)'!$F$6:$F$100,"")</f>
        <v/>
      </c>
      <c r="Y61" s="28" t="str">
        <f>_xlfn.XLOOKUP($C61,'GP3 (2)'!$B$6:$B$100,'GP3 (2)'!$F$6:$F$100,"")</f>
        <v/>
      </c>
      <c r="Z61" s="31" t="str">
        <f>_xlfn.XLOOKUP($C61,'GP4 (1)'!$B$6:$B$86,'GP4 (1)'!$F$6:$F$86,"")</f>
        <v/>
      </c>
      <c r="AA61" s="32" t="str">
        <f>_xlfn.XLOOKUP($C61,'GP4 (2)'!$B$6:$B$100,'GP4 (2)'!$F$6:$F$100,"")</f>
        <v/>
      </c>
      <c r="AB61" s="27" t="str">
        <f>_xlfn.XLOOKUP($C61,'GP5 (1)'!$B$6:$B$100,'GP5 (1)'!$F$6:$F$100,"")</f>
        <v/>
      </c>
      <c r="AC61" s="29" t="str">
        <f>_xlfn.XLOOKUP($C61,'GP5 (2)'!$B$6:$B$100,'GP5 (2)'!$F$6:$F$100,"")</f>
        <v/>
      </c>
      <c r="AD61" s="13">
        <f t="shared" si="7"/>
        <v>0</v>
      </c>
      <c r="AE61" s="33" t="str">
        <f>_xlfn.XLOOKUP($C61,'MP (1)'!$B$6:$B$100,'MP (1)'!$H$6:$H$100,"")</f>
        <v/>
      </c>
      <c r="AF61" s="32" t="str">
        <f>_xlfn.XLOOKUP($C61,'MP (2)'!$B$6:$B$100,'MP (2)'!$H$6:$H$100,"")</f>
        <v/>
      </c>
      <c r="AG61" s="27" t="str">
        <f>_xlfn.XLOOKUP($C61,'GP1 (1)'!$B$6:$B$100,'GP1 (1)'!$H$6:$H$100,"")</f>
        <v/>
      </c>
      <c r="AH61" s="28" t="str">
        <f>_xlfn.XLOOKUP($C61,'GP1 (2)'!$B$6:$B$100,'GP1 (2)'!$H$6:$H$100,"")</f>
        <v/>
      </c>
      <c r="AI61" s="31" t="str">
        <f>_xlfn.XLOOKUP($C61,'GP2 (1)'!$B$8:$B$107,'GP2 (1)'!$H$8:$H$107,"")</f>
        <v/>
      </c>
      <c r="AJ61" s="32" t="str">
        <f>_xlfn.XLOOKUP($C61,'GP2 (2)'!$B$6:$B$99,'GP2 (2)'!$H$6:$H$99,"")</f>
        <v/>
      </c>
      <c r="AK61" s="27" t="str">
        <f>_xlfn.XLOOKUP($C61,'GP3 (1)'!$B$6:$B$100,'GP3 (1)'!$H$6:$H$100,"")</f>
        <v/>
      </c>
      <c r="AL61" s="28" t="str">
        <f>_xlfn.XLOOKUP($C61,'GP3 (2)'!$B$6:$B$100,'GP3 (2)'!$H$6:$H$100,"")</f>
        <v/>
      </c>
      <c r="AM61" s="31" t="str">
        <f>_xlfn.XLOOKUP($C61,'GP4 (1)'!$B$6:$B$86,'GP4 (1)'!$H$6:$H$86,"")</f>
        <v/>
      </c>
      <c r="AN61" s="32" t="str">
        <f>_xlfn.XLOOKUP($C61,'GP4 (2)'!$B$6:$B$100,'GP4 (2)'!$H$6:$H$100,"")</f>
        <v/>
      </c>
      <c r="AO61" s="27" t="str">
        <f>_xlfn.XLOOKUP($C61,'GP5 (1)'!$B$6:$B$100,'GP5 (1)'!$H$6:$H$100,"")</f>
        <v/>
      </c>
      <c r="AP61" s="30" t="str">
        <f>_xlfn.XLOOKUP($C61,'GP5 (2)'!$B$6:$B$100,'GP5 (2)'!$H$6:$H$100,"")</f>
        <v/>
      </c>
    </row>
    <row r="62" spans="1:42" ht="13.15" customHeight="1" x14ac:dyDescent="0.25">
      <c r="A62" s="1">
        <f t="shared" si="4"/>
        <v>58</v>
      </c>
      <c r="B62" s="1">
        <v>2</v>
      </c>
      <c r="C62" s="4" t="s">
        <v>72</v>
      </c>
      <c r="D62" s="40">
        <f t="shared" si="5"/>
        <v>0</v>
      </c>
      <c r="E62" s="33" t="str">
        <f>_xlfn.XLOOKUP($C62,'MP (1)'!$B$6:$B$100,'MP (1)'!$E$6:$E$100,"")</f>
        <v/>
      </c>
      <c r="F62" s="32" t="str">
        <f>_xlfn.XLOOKUP($C62,'MP (2)'!$B$6:$B$100,'MP (2)'!$E$6:$E$100,"")</f>
        <v/>
      </c>
      <c r="G62" s="27" t="str">
        <f>_xlfn.XLOOKUP($C62,'GP1 (1)'!$B$6:$B$100,'GP1 (1)'!$E$6:$E$100,"")</f>
        <v/>
      </c>
      <c r="H62" s="28" t="str">
        <f>_xlfn.XLOOKUP($C62,'GP1 (2)'!$B$6:$B$100,'GP1 (2)'!$E$6:$E$100,"")</f>
        <v/>
      </c>
      <c r="I62" s="31" t="str">
        <f>_xlfn.XLOOKUP($C62,'GP2 (1)'!$B$8:$B$107,'GP2 (1)'!$E$8:$E$107,"")</f>
        <v/>
      </c>
      <c r="J62" s="32" t="str">
        <f>_xlfn.XLOOKUP($C62,'GP2 (2)'!$B$6:$B$99,'GP2 (2)'!$E$6:$E$99,"")</f>
        <v/>
      </c>
      <c r="K62" s="27" t="str">
        <f>_xlfn.XLOOKUP($C62,'GP3 (1)'!$B$6:$B$100,'GP3 (1)'!$E$6:$E$100,"")</f>
        <v/>
      </c>
      <c r="L62" s="28" t="str">
        <f>_xlfn.XLOOKUP($C62,'GP3 (2)'!$B$6:$B$100,'GP3 (2)'!$E$6:$E$100,"")</f>
        <v/>
      </c>
      <c r="M62" s="31" t="str">
        <f>_xlfn.XLOOKUP($C62,'GP4 (1)'!$B$6:$B$86,'GP4 (1)'!$E$6:$E$86,"")</f>
        <v/>
      </c>
      <c r="N62" s="32" t="str">
        <f>_xlfn.XLOOKUP($C62,'GP4 (2)'!$B$6:$B$100,'GP4 (2)'!$E$6:$E$100,"")</f>
        <v/>
      </c>
      <c r="O62" s="27" t="str">
        <f>_xlfn.XLOOKUP($C62,'GP5 (1)'!$B$6:$B$100,'GP5 (1)'!$E$6:$E$100,"")</f>
        <v/>
      </c>
      <c r="P62" s="29" t="str">
        <f>_xlfn.XLOOKUP($C62,'GP5 (2)'!$B$6:$B$100,'GP5 (2)'!$E$6:$E$100,"")</f>
        <v/>
      </c>
      <c r="Q62" s="13">
        <f t="shared" si="6"/>
        <v>0</v>
      </c>
      <c r="R62" s="33" t="str">
        <f>_xlfn.XLOOKUP($C62,'MP (1)'!$B$6:$B$100,'MP (1)'!$F$6:$F$100,"")</f>
        <v/>
      </c>
      <c r="S62" s="32" t="str">
        <f>_xlfn.XLOOKUP($C62,'MP (2)'!$B$6:$B$100,'MP (2)'!$F$6:$F$100,"")</f>
        <v/>
      </c>
      <c r="T62" s="27" t="str">
        <f>_xlfn.XLOOKUP($C62,'GP1 (1)'!$B$6:$B$100,'GP1 (1)'!$F$6:$F$100,"")</f>
        <v/>
      </c>
      <c r="U62" s="28" t="str">
        <f>_xlfn.XLOOKUP($C62,'GP1 (2)'!$B$6:$B$100,'GP1 (2)'!$F$6:$F$100,"")</f>
        <v/>
      </c>
      <c r="V62" s="31" t="str">
        <f>_xlfn.XLOOKUP($C62,'GP2 (1)'!$B$8:$B$107,'GP2 (1)'!$F$8:$F$107,"")</f>
        <v/>
      </c>
      <c r="W62" s="32" t="str">
        <f>_xlfn.XLOOKUP($C62,'GP2 (2)'!$B$6:$B$99,'GP2 (2)'!$F$6:$F$99,"")</f>
        <v/>
      </c>
      <c r="X62" s="27" t="str">
        <f>_xlfn.XLOOKUP($C62,'GP3 (1)'!$B$6:$B$100,'GP3 (1)'!$F$6:$F$100,"")</f>
        <v/>
      </c>
      <c r="Y62" s="28" t="str">
        <f>_xlfn.XLOOKUP($C62,'GP3 (2)'!$B$6:$B$100,'GP3 (2)'!$F$6:$F$100,"")</f>
        <v/>
      </c>
      <c r="Z62" s="31" t="str">
        <f>_xlfn.XLOOKUP($C62,'GP4 (1)'!$B$6:$B$86,'GP4 (1)'!$F$6:$F$86,"")</f>
        <v/>
      </c>
      <c r="AA62" s="32" t="str">
        <f>_xlfn.XLOOKUP($C62,'GP4 (2)'!$B$6:$B$100,'GP4 (2)'!$F$6:$F$100,"")</f>
        <v/>
      </c>
      <c r="AB62" s="27" t="str">
        <f>_xlfn.XLOOKUP($C62,'GP5 (1)'!$B$6:$B$100,'GP5 (1)'!$F$6:$F$100,"")</f>
        <v/>
      </c>
      <c r="AC62" s="29" t="str">
        <f>_xlfn.XLOOKUP($C62,'GP5 (2)'!$B$6:$B$100,'GP5 (2)'!$F$6:$F$100,"")</f>
        <v/>
      </c>
      <c r="AD62" s="13">
        <f t="shared" si="7"/>
        <v>0</v>
      </c>
      <c r="AE62" s="33" t="str">
        <f>_xlfn.XLOOKUP($C62,'MP (1)'!$B$6:$B$100,'MP (1)'!$H$6:$H$100,"")</f>
        <v/>
      </c>
      <c r="AF62" s="32" t="str">
        <f>_xlfn.XLOOKUP($C62,'MP (2)'!$B$6:$B$100,'MP (2)'!$H$6:$H$100,"")</f>
        <v/>
      </c>
      <c r="AG62" s="27" t="str">
        <f>_xlfn.XLOOKUP($C62,'GP1 (1)'!$B$6:$B$100,'GP1 (1)'!$H$6:$H$100,"")</f>
        <v/>
      </c>
      <c r="AH62" s="28" t="str">
        <f>_xlfn.XLOOKUP($C62,'GP1 (2)'!$B$6:$B$100,'GP1 (2)'!$H$6:$H$100,"")</f>
        <v/>
      </c>
      <c r="AI62" s="31" t="str">
        <f>_xlfn.XLOOKUP($C62,'GP2 (1)'!$B$8:$B$107,'GP2 (1)'!$H$8:$H$107,"")</f>
        <v/>
      </c>
      <c r="AJ62" s="32" t="str">
        <f>_xlfn.XLOOKUP($C62,'GP2 (2)'!$B$6:$B$99,'GP2 (2)'!$H$6:$H$99,"")</f>
        <v/>
      </c>
      <c r="AK62" s="27" t="str">
        <f>_xlfn.XLOOKUP($C62,'GP3 (1)'!$B$6:$B$100,'GP3 (1)'!$H$6:$H$100,"")</f>
        <v/>
      </c>
      <c r="AL62" s="28" t="str">
        <f>_xlfn.XLOOKUP($C62,'GP3 (2)'!$B$6:$B$100,'GP3 (2)'!$H$6:$H$100,"")</f>
        <v/>
      </c>
      <c r="AM62" s="31" t="str">
        <f>_xlfn.XLOOKUP($C62,'GP4 (1)'!$B$6:$B$86,'GP4 (1)'!$H$6:$H$86,"")</f>
        <v/>
      </c>
      <c r="AN62" s="32" t="str">
        <f>_xlfn.XLOOKUP($C62,'GP4 (2)'!$B$6:$B$100,'GP4 (2)'!$H$6:$H$100,"")</f>
        <v/>
      </c>
      <c r="AO62" s="27" t="str">
        <f>_xlfn.XLOOKUP($C62,'GP5 (1)'!$B$6:$B$100,'GP5 (1)'!$H$6:$H$100,"")</f>
        <v/>
      </c>
      <c r="AP62" s="30" t="str">
        <f>_xlfn.XLOOKUP($C62,'GP5 (2)'!$B$6:$B$100,'GP5 (2)'!$H$6:$H$100,"")</f>
        <v/>
      </c>
    </row>
    <row r="63" spans="1:42" ht="13.15" customHeight="1" x14ac:dyDescent="0.25">
      <c r="A63" s="1">
        <f t="shared" si="4"/>
        <v>59</v>
      </c>
      <c r="B63" s="1">
        <v>1</v>
      </c>
      <c r="C63" s="4" t="s">
        <v>64</v>
      </c>
      <c r="D63" s="40">
        <f t="shared" si="5"/>
        <v>0</v>
      </c>
      <c r="E63" s="33" t="str">
        <f>_xlfn.XLOOKUP($C63,'MP (1)'!$B$6:$B$100,'MP (1)'!$E$6:$E$100,"")</f>
        <v/>
      </c>
      <c r="F63" s="32" t="str">
        <f>_xlfn.XLOOKUP($C63,'MP (2)'!$B$6:$B$100,'MP (2)'!$E$6:$E$100,"")</f>
        <v/>
      </c>
      <c r="G63" s="27" t="str">
        <f>_xlfn.XLOOKUP($C63,'GP1 (1)'!$B$6:$B$100,'GP1 (1)'!$E$6:$E$100,"")</f>
        <v/>
      </c>
      <c r="H63" s="28" t="str">
        <f>_xlfn.XLOOKUP($C63,'GP1 (2)'!$B$6:$B$100,'GP1 (2)'!$E$6:$E$100,"")</f>
        <v/>
      </c>
      <c r="I63" s="31" t="str">
        <f>_xlfn.XLOOKUP($C63,'GP2 (1)'!$B$6:$B$107,'GP2 (1)'!$E$6:$E$107,"")</f>
        <v/>
      </c>
      <c r="J63" s="32" t="str">
        <f>_xlfn.XLOOKUP($C63,'GP2 (2)'!$B$6:$B$99,'GP2 (2)'!$E$6:$E$99,"")</f>
        <v/>
      </c>
      <c r="K63" s="27" t="str">
        <f>_xlfn.XLOOKUP($C63,'GP3 (1)'!$B$6:$B$100,'GP3 (1)'!$E$6:$E$100,"")</f>
        <v/>
      </c>
      <c r="L63" s="28" t="str">
        <f>_xlfn.XLOOKUP($C63,'GP3 (2)'!$B$6:$B$100,'GP3 (2)'!$E$6:$E$100,"")</f>
        <v/>
      </c>
      <c r="M63" s="31" t="str">
        <f>_xlfn.XLOOKUP($C63,'GP4 (1)'!$B$6:$B$86,'GP4 (1)'!$E$6:$E$86,"")</f>
        <v/>
      </c>
      <c r="N63" s="32" t="str">
        <f>_xlfn.XLOOKUP($C63,'GP4 (2)'!$B$6:$B$100,'GP4 (2)'!$E$6:$E$100,"")</f>
        <v/>
      </c>
      <c r="O63" s="27" t="str">
        <f>_xlfn.XLOOKUP($C63,'GP5 (1)'!$B$6:$B$100,'GP5 (1)'!$E$6:$E$100,"")</f>
        <v/>
      </c>
      <c r="P63" s="29" t="str">
        <f>_xlfn.XLOOKUP($C63,'GP5 (2)'!$B$6:$B$100,'GP5 (2)'!$E$6:$E$100,"")</f>
        <v/>
      </c>
      <c r="Q63" s="13">
        <f t="shared" si="6"/>
        <v>0</v>
      </c>
      <c r="R63" s="33" t="str">
        <f>_xlfn.XLOOKUP($C63,'MP (1)'!$B$6:$B$100,'MP (1)'!$F$6:$F$100,"")</f>
        <v/>
      </c>
      <c r="S63" s="32" t="str">
        <f>_xlfn.XLOOKUP($C63,'MP (2)'!$B$6:$B$100,'MP (2)'!$F$6:$F$100,"")</f>
        <v/>
      </c>
      <c r="T63" s="27" t="str">
        <f>_xlfn.XLOOKUP($C63,'GP1 (1)'!$B$6:$B$100,'GP1 (1)'!$F$6:$F$100,"")</f>
        <v/>
      </c>
      <c r="U63" s="28" t="str">
        <f>_xlfn.XLOOKUP($C63,'GP1 (2)'!$B$6:$B$100,'GP1 (2)'!$F$6:$F$100,"")</f>
        <v/>
      </c>
      <c r="V63" s="31" t="str">
        <f>_xlfn.XLOOKUP($C63,'GP2 (1)'!$B$8:$B$107,'GP2 (1)'!$F$8:$F$107,"")</f>
        <v/>
      </c>
      <c r="W63" s="32" t="str">
        <f>_xlfn.XLOOKUP($C63,'GP2 (2)'!$B$6:$B$99,'GP2 (2)'!$F$6:$F$99,"")</f>
        <v/>
      </c>
      <c r="X63" s="27" t="str">
        <f>_xlfn.XLOOKUP($C63,'GP3 (1)'!$B$6:$B$100,'GP3 (1)'!$F$6:$F$100,"")</f>
        <v/>
      </c>
      <c r="Y63" s="28" t="str">
        <f>_xlfn.XLOOKUP($C63,'GP3 (2)'!$B$6:$B$100,'GP3 (2)'!$F$6:$F$100,"")</f>
        <v/>
      </c>
      <c r="Z63" s="31" t="str">
        <f>_xlfn.XLOOKUP($C63,'GP4 (1)'!$B$6:$B$86,'GP4 (1)'!$F$6:$F$86,"")</f>
        <v/>
      </c>
      <c r="AA63" s="32" t="str">
        <f>_xlfn.XLOOKUP($C63,'GP4 (2)'!$B$6:$B$100,'GP4 (2)'!$F$6:$F$100,"")</f>
        <v/>
      </c>
      <c r="AB63" s="27" t="str">
        <f>_xlfn.XLOOKUP($C63,'GP5 (1)'!$B$6:$B$100,'GP5 (1)'!$F$6:$F$100,"")</f>
        <v/>
      </c>
      <c r="AC63" s="29" t="str">
        <f>_xlfn.XLOOKUP($C63,'GP5 (2)'!$B$6:$B$100,'GP5 (2)'!$F$6:$F$100,"")</f>
        <v/>
      </c>
      <c r="AD63" s="13">
        <f t="shared" si="7"/>
        <v>0</v>
      </c>
      <c r="AE63" s="33" t="str">
        <f>_xlfn.XLOOKUP($C63,'MP (1)'!$B$6:$B$100,'MP (1)'!$H$6:$H$100,"")</f>
        <v/>
      </c>
      <c r="AF63" s="32" t="str">
        <f>_xlfn.XLOOKUP($C63,'MP (2)'!$B$6:$B$100,'MP (2)'!$H$6:$H$100,"")</f>
        <v/>
      </c>
      <c r="AG63" s="27" t="str">
        <f>_xlfn.XLOOKUP($C63,'GP1 (1)'!$B$6:$B$100,'GP1 (1)'!$H$6:$H$100,"")</f>
        <v/>
      </c>
      <c r="AH63" s="28" t="str">
        <f>_xlfn.XLOOKUP($C63,'GP1 (2)'!$B$6:$B$100,'GP1 (2)'!$H$6:$H$100,"")</f>
        <v/>
      </c>
      <c r="AI63" s="31" t="str">
        <f>_xlfn.XLOOKUP($C63,'GP2 (1)'!$B$8:$B$107,'GP2 (1)'!$H$8:$H$107,"")</f>
        <v/>
      </c>
      <c r="AJ63" s="32" t="str">
        <f>_xlfn.XLOOKUP($C63,'GP2 (2)'!$B$6:$B$99,'GP2 (2)'!$H$6:$H$99,"")</f>
        <v/>
      </c>
      <c r="AK63" s="27" t="str">
        <f>_xlfn.XLOOKUP($C63,'GP3 (1)'!$B$6:$B$100,'GP3 (1)'!$H$6:$H$100,"")</f>
        <v/>
      </c>
      <c r="AL63" s="28" t="str">
        <f>_xlfn.XLOOKUP($C63,'GP3 (2)'!$B$6:$B$100,'GP3 (2)'!$H$6:$H$100,"")</f>
        <v/>
      </c>
      <c r="AM63" s="31" t="str">
        <f>_xlfn.XLOOKUP($C63,'GP4 (1)'!$B$6:$B$86,'GP4 (1)'!$H$6:$H$86,"")</f>
        <v/>
      </c>
      <c r="AN63" s="32" t="str">
        <f>_xlfn.XLOOKUP($C63,'GP4 (2)'!$B$6:$B$100,'GP4 (2)'!$H$6:$H$100,"")</f>
        <v/>
      </c>
      <c r="AO63" s="27" t="str">
        <f>_xlfn.XLOOKUP($C63,'GP5 (1)'!$B$6:$B$100,'GP5 (1)'!$H$6:$H$100,"")</f>
        <v/>
      </c>
      <c r="AP63" s="30" t="str">
        <f>_xlfn.XLOOKUP($C63,'GP5 (2)'!$B$6:$B$100,'GP5 (2)'!$H$6:$H$100,"")</f>
        <v/>
      </c>
    </row>
    <row r="64" spans="1:42" ht="13.15" customHeight="1" x14ac:dyDescent="0.25">
      <c r="A64" s="1">
        <f t="shared" si="4"/>
        <v>60</v>
      </c>
      <c r="B64" s="1">
        <v>4</v>
      </c>
      <c r="C64" s="4" t="s">
        <v>71</v>
      </c>
      <c r="D64" s="40">
        <f t="shared" si="5"/>
        <v>0</v>
      </c>
      <c r="E64" s="33">
        <f>_xlfn.XLOOKUP($C64,'MP (1)'!$B$6:$B$100,'MP (1)'!$E$6:$E$100,"")</f>
        <v>0</v>
      </c>
      <c r="F64" s="32">
        <f>_xlfn.XLOOKUP($C64,'MP (2)'!$B$6:$B$100,'MP (2)'!$E$6:$E$100,"")</f>
        <v>0</v>
      </c>
      <c r="G64" s="27" t="str">
        <f>_xlfn.XLOOKUP($C64,'GP1 (1)'!$B$6:$B$100,'GP1 (1)'!$E$6:$E$100,"")</f>
        <v/>
      </c>
      <c r="H64" s="28" t="str">
        <f>_xlfn.XLOOKUP($C64,'GP1 (2)'!$B$6:$B$100,'GP1 (2)'!$E$6:$E$100,"")</f>
        <v/>
      </c>
      <c r="I64" s="31">
        <f>_xlfn.XLOOKUP($C64,'GP2 (1)'!$B$6:$B$107,'GP2 (1)'!$E$6:$E$107,"")</f>
        <v>0</v>
      </c>
      <c r="J64" s="32">
        <f>_xlfn.XLOOKUP($C64,'GP2 (2)'!$B$6:$B$99,'GP2 (2)'!$E$6:$E$99,"")</f>
        <v>0</v>
      </c>
      <c r="K64" s="27" t="str">
        <f>_xlfn.XLOOKUP($C64,'GP3 (1)'!$B$6:$B$100,'GP3 (1)'!$E$6:$E$100,"")</f>
        <v/>
      </c>
      <c r="L64" s="28" t="str">
        <f>_xlfn.XLOOKUP($C64,'GP3 (2)'!$B$6:$B$100,'GP3 (2)'!$E$6:$E$100,"")</f>
        <v/>
      </c>
      <c r="M64" s="31" t="str">
        <f>_xlfn.XLOOKUP($C64,'GP4 (1)'!$B$6:$B$86,'GP4 (1)'!$E$6:$E$86,"")</f>
        <v/>
      </c>
      <c r="N64" s="32" t="str">
        <f>_xlfn.XLOOKUP($C64,'GP4 (2)'!$B$6:$B$100,'GP4 (2)'!$E$6:$E$100,"")</f>
        <v/>
      </c>
      <c r="O64" s="27" t="str">
        <f>_xlfn.XLOOKUP($C64,'GP5 (1)'!$B$6:$B$100,'GP5 (1)'!$E$6:$E$100,"")</f>
        <v/>
      </c>
      <c r="P64" s="29" t="str">
        <f>_xlfn.XLOOKUP($C64,'GP5 (2)'!$B$6:$B$100,'GP5 (2)'!$E$6:$E$100,"")</f>
        <v/>
      </c>
      <c r="Q64" s="13">
        <f t="shared" si="6"/>
        <v>30</v>
      </c>
      <c r="R64" s="33">
        <f>_xlfn.XLOOKUP($C64,'MP (1)'!$B$6:$B$100,'MP (1)'!$F$6:$F$100,"")</f>
        <v>8</v>
      </c>
      <c r="S64" s="32">
        <f>_xlfn.XLOOKUP($C64,'MP (2)'!$B$6:$B$100,'MP (2)'!$F$6:$F$100,"")</f>
        <v>4</v>
      </c>
      <c r="T64" s="27" t="str">
        <f>_xlfn.XLOOKUP($C64,'GP1 (1)'!$B$6:$B$100,'GP1 (1)'!$F$6:$F$100,"")</f>
        <v/>
      </c>
      <c r="U64" s="28" t="str">
        <f>_xlfn.XLOOKUP($C64,'GP1 (2)'!$B$6:$B$100,'GP1 (2)'!$F$6:$F$100,"")</f>
        <v/>
      </c>
      <c r="V64" s="31">
        <f>_xlfn.XLOOKUP($C64,'GP2 (1)'!$B$8:$B$107,'GP2 (1)'!$F$8:$F$107,"")</f>
        <v>10</v>
      </c>
      <c r="W64" s="32">
        <f>_xlfn.XLOOKUP($C64,'GP2 (2)'!$B$6:$B$99,'GP2 (2)'!$F$6:$F$99,"")</f>
        <v>8</v>
      </c>
      <c r="X64" s="27" t="str">
        <f>_xlfn.XLOOKUP($C64,'GP3 (1)'!$B$6:$B$100,'GP3 (1)'!$F$6:$F$100,"")</f>
        <v/>
      </c>
      <c r="Y64" s="28" t="str">
        <f>_xlfn.XLOOKUP($C64,'GP3 (2)'!$B$6:$B$100,'GP3 (2)'!$F$6:$F$100,"")</f>
        <v/>
      </c>
      <c r="Z64" s="31" t="str">
        <f>_xlfn.XLOOKUP($C64,'GP4 (1)'!$B$6:$B$86,'GP4 (1)'!$F$6:$F$86,"")</f>
        <v/>
      </c>
      <c r="AA64" s="32" t="str">
        <f>_xlfn.XLOOKUP($C64,'GP4 (2)'!$B$6:$B$100,'GP4 (2)'!$F$6:$F$100,"")</f>
        <v/>
      </c>
      <c r="AB64" s="27" t="str">
        <f>_xlfn.XLOOKUP($C64,'GP5 (1)'!$B$6:$B$100,'GP5 (1)'!$F$6:$F$100,"")</f>
        <v/>
      </c>
      <c r="AC64" s="29" t="str">
        <f>_xlfn.XLOOKUP($C64,'GP5 (2)'!$B$6:$B$100,'GP5 (2)'!$F$6:$F$100,"")</f>
        <v/>
      </c>
      <c r="AD64" s="13">
        <f t="shared" si="7"/>
        <v>-85</v>
      </c>
      <c r="AE64" s="33">
        <f>_xlfn.XLOOKUP($C64,'MP (1)'!$B$6:$B$100,'MP (1)'!$H$6:$H$100,"")</f>
        <v>-17</v>
      </c>
      <c r="AF64" s="32">
        <f>_xlfn.XLOOKUP($C64,'MP (2)'!$B$6:$B$100,'MP (2)'!$H$6:$H$100,"")</f>
        <v>-26</v>
      </c>
      <c r="AG64" s="27" t="str">
        <f>_xlfn.XLOOKUP($C64,'GP1 (1)'!$B$6:$B$100,'GP1 (1)'!$H$6:$H$100,"")</f>
        <v/>
      </c>
      <c r="AH64" s="28" t="str">
        <f>_xlfn.XLOOKUP($C64,'GP1 (2)'!$B$6:$B$100,'GP1 (2)'!$H$6:$H$100,"")</f>
        <v/>
      </c>
      <c r="AI64" s="31">
        <f>_xlfn.XLOOKUP($C64,'GP2 (1)'!$B$8:$B$107,'GP2 (1)'!$H$8:$H$107,"")</f>
        <v>-20</v>
      </c>
      <c r="AJ64" s="32">
        <f>_xlfn.XLOOKUP($C64,'GP2 (2)'!$B$6:$B$99,'GP2 (2)'!$H$6:$H$99,"")</f>
        <v>-22</v>
      </c>
      <c r="AK64" s="27" t="str">
        <f>_xlfn.XLOOKUP($C64,'GP3 (1)'!$B$6:$B$100,'GP3 (1)'!$H$6:$H$100,"")</f>
        <v/>
      </c>
      <c r="AL64" s="28" t="str">
        <f>_xlfn.XLOOKUP($C64,'GP3 (2)'!$B$6:$B$100,'GP3 (2)'!$H$6:$H$100,"")</f>
        <v/>
      </c>
      <c r="AM64" s="31" t="str">
        <f>_xlfn.XLOOKUP($C64,'GP4 (1)'!$B$6:$B$86,'GP4 (1)'!$H$6:$H$86,"")</f>
        <v/>
      </c>
      <c r="AN64" s="32" t="str">
        <f>_xlfn.XLOOKUP($C64,'GP4 (2)'!$B$6:$B$100,'GP4 (2)'!$H$6:$H$100,"")</f>
        <v/>
      </c>
      <c r="AO64" s="27" t="str">
        <f>_xlfn.XLOOKUP($C64,'GP5 (1)'!$B$6:$B$100,'GP5 (1)'!$H$6:$H$100,"")</f>
        <v/>
      </c>
      <c r="AP64" s="30" t="str">
        <f>_xlfn.XLOOKUP($C64,'GP5 (2)'!$B$6:$B$100,'GP5 (2)'!$H$6:$H$100,"")</f>
        <v/>
      </c>
    </row>
    <row r="65" spans="1:42" ht="13.15" customHeight="1" x14ac:dyDescent="0.25">
      <c r="A65" s="1">
        <f t="shared" si="4"/>
        <v>61</v>
      </c>
      <c r="B65" s="1">
        <v>4</v>
      </c>
      <c r="C65" s="4" t="s">
        <v>63</v>
      </c>
      <c r="D65" s="40">
        <f t="shared" si="5"/>
        <v>0</v>
      </c>
      <c r="E65" s="33" t="str">
        <f>_xlfn.XLOOKUP($C65,'MP (1)'!$B$6:$B$100,'MP (1)'!$E$6:$E$100,"")</f>
        <v/>
      </c>
      <c r="F65" s="32" t="str">
        <f>_xlfn.XLOOKUP($C65,'MP (2)'!$B$6:$B$100,'MP (2)'!$E$6:$E$100,"")</f>
        <v/>
      </c>
      <c r="G65" s="27" t="str">
        <f>_xlfn.XLOOKUP($C65,'GP1 (1)'!$B$6:$B$100,'GP1 (1)'!$E$6:$E$100,"")</f>
        <v/>
      </c>
      <c r="H65" s="28" t="str">
        <f>_xlfn.XLOOKUP($C65,'GP1 (2)'!$B$6:$B$100,'GP1 (2)'!$E$6:$E$100,"")</f>
        <v/>
      </c>
      <c r="I65" s="31" t="str">
        <f>_xlfn.XLOOKUP($C65,'GP2 (1)'!$B$6:$B$107,'GP2 (1)'!$E$6:$E$107,"")</f>
        <v/>
      </c>
      <c r="J65" s="32" t="str">
        <f>_xlfn.XLOOKUP($C65,'GP2 (2)'!$B$6:$B$99,'GP2 (2)'!$E$6:$E$99,"")</f>
        <v/>
      </c>
      <c r="K65" s="27" t="str">
        <f>_xlfn.XLOOKUP($C65,'GP3 (1)'!$B$6:$B$100,'GP3 (1)'!$E$6:$E$100,"")</f>
        <v/>
      </c>
      <c r="L65" s="28" t="str">
        <f>_xlfn.XLOOKUP($C65,'GP3 (2)'!$B$6:$B$100,'GP3 (2)'!$E$6:$E$100,"")</f>
        <v/>
      </c>
      <c r="M65" s="31" t="str">
        <f>_xlfn.XLOOKUP($C65,'GP4 (1)'!$B$6:$B$86,'GP4 (1)'!$E$6:$E$86,"")</f>
        <v/>
      </c>
      <c r="N65" s="32" t="str">
        <f>_xlfn.XLOOKUP($C65,'GP4 (2)'!$B$6:$B$100,'GP4 (2)'!$E$6:$E$100,"")</f>
        <v/>
      </c>
      <c r="O65" s="27" t="str">
        <f>_xlfn.XLOOKUP($C65,'GP5 (1)'!$B$6:$B$100,'GP5 (1)'!$E$6:$E$100,"")</f>
        <v/>
      </c>
      <c r="P65" s="29" t="str">
        <f>_xlfn.XLOOKUP($C65,'GP5 (2)'!$B$6:$B$100,'GP5 (2)'!$E$6:$E$100,"")</f>
        <v/>
      </c>
      <c r="Q65" s="13">
        <f t="shared" si="6"/>
        <v>0</v>
      </c>
      <c r="R65" s="33" t="str">
        <f>_xlfn.XLOOKUP($C65,'MP (1)'!$B$6:$B$100,'MP (1)'!$F$6:$F$100,"")</f>
        <v/>
      </c>
      <c r="S65" s="32" t="str">
        <f>_xlfn.XLOOKUP($C65,'MP (2)'!$B$6:$B$100,'MP (2)'!$F$6:$F$100,"")</f>
        <v/>
      </c>
      <c r="T65" s="27" t="str">
        <f>_xlfn.XLOOKUP($C65,'GP1 (1)'!$B$6:$B$100,'GP1 (1)'!$F$6:$F$100,"")</f>
        <v/>
      </c>
      <c r="U65" s="28" t="str">
        <f>_xlfn.XLOOKUP($C65,'GP1 (2)'!$B$6:$B$100,'GP1 (2)'!$F$6:$F$100,"")</f>
        <v/>
      </c>
      <c r="V65" s="31" t="str">
        <f>_xlfn.XLOOKUP($C65,'GP2 (1)'!$B$8:$B$107,'GP2 (1)'!$F$8:$F$107,"")</f>
        <v/>
      </c>
      <c r="W65" s="32" t="str">
        <f>_xlfn.XLOOKUP($C65,'GP2 (2)'!$B$6:$B$99,'GP2 (2)'!$F$6:$F$99,"")</f>
        <v/>
      </c>
      <c r="X65" s="27" t="str">
        <f>_xlfn.XLOOKUP($C65,'GP3 (1)'!$B$6:$B$100,'GP3 (1)'!$F$6:$F$100,"")</f>
        <v/>
      </c>
      <c r="Y65" s="28" t="str">
        <f>_xlfn.XLOOKUP($C65,'GP3 (2)'!$B$6:$B$100,'GP3 (2)'!$F$6:$F$100,"")</f>
        <v/>
      </c>
      <c r="Z65" s="31" t="str">
        <f>_xlfn.XLOOKUP($C65,'GP4 (1)'!$B$6:$B$86,'GP4 (1)'!$F$6:$F$86,"")</f>
        <v/>
      </c>
      <c r="AA65" s="32" t="str">
        <f>_xlfn.XLOOKUP($C65,'GP4 (2)'!$B$6:$B$100,'GP4 (2)'!$F$6:$F$100,"")</f>
        <v/>
      </c>
      <c r="AB65" s="27" t="str">
        <f>_xlfn.XLOOKUP($C65,'GP5 (1)'!$B$6:$B$100,'GP5 (1)'!$F$6:$F$100,"")</f>
        <v/>
      </c>
      <c r="AC65" s="29" t="str">
        <f>_xlfn.XLOOKUP($C65,'GP5 (2)'!$B$6:$B$100,'GP5 (2)'!$F$6:$F$100,"")</f>
        <v/>
      </c>
      <c r="AD65" s="13">
        <f t="shared" si="7"/>
        <v>0</v>
      </c>
      <c r="AE65" s="33" t="str">
        <f>_xlfn.XLOOKUP($C65,'MP (1)'!$B$6:$B$100,'MP (1)'!$H$6:$H$100,"")</f>
        <v/>
      </c>
      <c r="AF65" s="32" t="str">
        <f>_xlfn.XLOOKUP($C65,'MP (2)'!$B$6:$B$100,'MP (2)'!$H$6:$H$100,"")</f>
        <v/>
      </c>
      <c r="AG65" s="27" t="str">
        <f>_xlfn.XLOOKUP($C65,'GP1 (1)'!$B$6:$B$100,'GP1 (1)'!$H$6:$H$100,"")</f>
        <v/>
      </c>
      <c r="AH65" s="28" t="str">
        <f>_xlfn.XLOOKUP($C65,'GP1 (2)'!$B$6:$B$100,'GP1 (2)'!$H$6:$H$100,"")</f>
        <v/>
      </c>
      <c r="AI65" s="31" t="str">
        <f>_xlfn.XLOOKUP($C65,'GP2 (1)'!$B$8:$B$107,'GP2 (1)'!$H$8:$H$107,"")</f>
        <v/>
      </c>
      <c r="AJ65" s="32" t="str">
        <f>_xlfn.XLOOKUP($C65,'GP2 (2)'!$B$6:$B$99,'GP2 (2)'!$H$6:$H$99,"")</f>
        <v/>
      </c>
      <c r="AK65" s="27" t="str">
        <f>_xlfn.XLOOKUP($C65,'GP3 (1)'!$B$6:$B$100,'GP3 (1)'!$H$6:$H$100,"")</f>
        <v/>
      </c>
      <c r="AL65" s="28" t="str">
        <f>_xlfn.XLOOKUP($C65,'GP3 (2)'!$B$6:$B$100,'GP3 (2)'!$H$6:$H$100,"")</f>
        <v/>
      </c>
      <c r="AM65" s="31" t="str">
        <f>_xlfn.XLOOKUP($C65,'GP4 (1)'!$B$6:$B$86,'GP4 (1)'!$H$6:$H$86,"")</f>
        <v/>
      </c>
      <c r="AN65" s="32" t="str">
        <f>_xlfn.XLOOKUP($C65,'GP4 (2)'!$B$6:$B$100,'GP4 (2)'!$H$6:$H$100,"")</f>
        <v/>
      </c>
      <c r="AO65" s="27" t="str">
        <f>_xlfn.XLOOKUP($C65,'GP5 (1)'!$B$6:$B$100,'GP5 (1)'!$H$6:$H$100,"")</f>
        <v/>
      </c>
      <c r="AP65" s="30" t="str">
        <f>_xlfn.XLOOKUP($C65,'GP5 (2)'!$B$6:$B$100,'GP5 (2)'!$H$6:$H$100,"")</f>
        <v/>
      </c>
    </row>
    <row r="66" spans="1:42" ht="13.15" customHeight="1" x14ac:dyDescent="0.25">
      <c r="A66" s="1">
        <f t="shared" si="4"/>
        <v>62</v>
      </c>
      <c r="B66" s="1">
        <v>0</v>
      </c>
      <c r="C66" s="39" t="s">
        <v>52</v>
      </c>
      <c r="D66" s="40">
        <f t="shared" si="5"/>
        <v>0</v>
      </c>
      <c r="E66" s="33" t="str">
        <f>_xlfn.XLOOKUP($C66,'MP (1)'!$B$6:$B$100,'MP (1)'!$E$6:$E$100,"")</f>
        <v/>
      </c>
      <c r="F66" s="32" t="str">
        <f>_xlfn.XLOOKUP($C66,'MP (2)'!$B$6:$B$100,'MP (2)'!$E$6:$E$100,"")</f>
        <v/>
      </c>
      <c r="G66" s="27" t="str">
        <f>_xlfn.XLOOKUP($C66,'GP1 (1)'!$B$6:$B$100,'GP1 (1)'!$E$6:$E$100,"")</f>
        <v/>
      </c>
      <c r="H66" s="28" t="str">
        <f>_xlfn.XLOOKUP($C66,'GP1 (2)'!$B$6:$B$100,'GP1 (2)'!$E$6:$E$100,"")</f>
        <v/>
      </c>
      <c r="I66" s="31" t="str">
        <f>_xlfn.XLOOKUP($C66,'GP2 (1)'!$B$6:$B$107,'GP2 (1)'!$E$6:$E$107,"")</f>
        <v/>
      </c>
      <c r="J66" s="32" t="str">
        <f>_xlfn.XLOOKUP($C66,'GP2 (2)'!$B$6:$B$99,'GP2 (2)'!$E$6:$E$99,"")</f>
        <v/>
      </c>
      <c r="K66" s="27" t="str">
        <f>_xlfn.XLOOKUP($C66,'GP3 (1)'!$B$6:$B$100,'GP3 (1)'!$E$6:$E$100,"")</f>
        <v/>
      </c>
      <c r="L66" s="28" t="str">
        <f>_xlfn.XLOOKUP($C66,'GP3 (2)'!$B$6:$B$100,'GP3 (2)'!$E$6:$E$100,"")</f>
        <v/>
      </c>
      <c r="M66" s="31" t="str">
        <f>_xlfn.XLOOKUP($C66,'GP4 (1)'!$B$6:$B$86,'GP4 (1)'!$E$6:$E$86,"")</f>
        <v/>
      </c>
      <c r="N66" s="32" t="str">
        <f>_xlfn.XLOOKUP($C66,'GP4 (2)'!$B$6:$B$100,'GP4 (2)'!$E$6:$E$100,"")</f>
        <v/>
      </c>
      <c r="O66" s="27" t="str">
        <f>_xlfn.XLOOKUP($C66,'GP5 (1)'!$B$6:$B$100,'GP5 (1)'!$E$6:$E$100,"")</f>
        <v/>
      </c>
      <c r="P66" s="29" t="str">
        <f>_xlfn.XLOOKUP($C66,'GP5 (2)'!$B$6:$B$100,'GP5 (2)'!$E$6:$E$100,"")</f>
        <v/>
      </c>
      <c r="Q66" s="13">
        <f t="shared" si="6"/>
        <v>0</v>
      </c>
      <c r="R66" s="33" t="str">
        <f>_xlfn.XLOOKUP($C66,'MP (1)'!$B$6:$B$100,'MP (1)'!$F$6:$F$100,"")</f>
        <v/>
      </c>
      <c r="S66" s="32" t="str">
        <f>_xlfn.XLOOKUP($C66,'MP (2)'!$B$6:$B$100,'MP (2)'!$F$6:$F$100,"")</f>
        <v/>
      </c>
      <c r="T66" s="27" t="str">
        <f>_xlfn.XLOOKUP($C66,'GP1 (1)'!$B$6:$B$100,'GP1 (1)'!$F$6:$F$100,"")</f>
        <v/>
      </c>
      <c r="U66" s="28" t="str">
        <f>_xlfn.XLOOKUP($C66,'GP1 (2)'!$B$6:$B$100,'GP1 (2)'!$F$6:$F$100,"")</f>
        <v/>
      </c>
      <c r="V66" s="31" t="str">
        <f>_xlfn.XLOOKUP($C66,'GP2 (1)'!$B$8:$B$107,'GP2 (1)'!$F$8:$F$107,"")</f>
        <v/>
      </c>
      <c r="W66" s="32" t="str">
        <f>_xlfn.XLOOKUP($C66,'GP2 (2)'!$B$6:$B$99,'GP2 (2)'!$F$6:$F$99,"")</f>
        <v/>
      </c>
      <c r="X66" s="27" t="str">
        <f>_xlfn.XLOOKUP($C66,'GP3 (1)'!$B$6:$B$100,'GP3 (1)'!$F$6:$F$100,"")</f>
        <v/>
      </c>
      <c r="Y66" s="28" t="str">
        <f>_xlfn.XLOOKUP($C66,'GP3 (2)'!$B$6:$B$100,'GP3 (2)'!$F$6:$F$100,"")</f>
        <v/>
      </c>
      <c r="Z66" s="31" t="str">
        <f>_xlfn.XLOOKUP($C66,'GP4 (1)'!$B$6:$B$86,'GP4 (1)'!$F$6:$F$86,"")</f>
        <v/>
      </c>
      <c r="AA66" s="32" t="str">
        <f>_xlfn.XLOOKUP($C66,'GP4 (2)'!$B$6:$B$100,'GP4 (2)'!$F$6:$F$100,"")</f>
        <v/>
      </c>
      <c r="AB66" s="27" t="str">
        <f>_xlfn.XLOOKUP($C66,'GP5 (1)'!$B$6:$B$100,'GP5 (1)'!$F$6:$F$100,"")</f>
        <v/>
      </c>
      <c r="AC66" s="29" t="str">
        <f>_xlfn.XLOOKUP($C66,'GP5 (2)'!$B$6:$B$100,'GP5 (2)'!$F$6:$F$100,"")</f>
        <v/>
      </c>
      <c r="AD66" s="13">
        <f t="shared" si="7"/>
        <v>0</v>
      </c>
      <c r="AE66" s="33" t="str">
        <f>_xlfn.XLOOKUP($C66,'MP (1)'!$B$6:$B$100,'MP (1)'!$H$6:$H$100,"")</f>
        <v/>
      </c>
      <c r="AF66" s="32" t="str">
        <f>_xlfn.XLOOKUP($C66,'MP (2)'!$B$6:$B$100,'MP (2)'!$H$6:$H$100,"")</f>
        <v/>
      </c>
      <c r="AG66" s="27" t="str">
        <f>_xlfn.XLOOKUP($C66,'GP1 (1)'!$B$6:$B$100,'GP1 (1)'!$H$6:$H$100,"")</f>
        <v/>
      </c>
      <c r="AH66" s="28" t="str">
        <f>_xlfn.XLOOKUP($C66,'GP1 (2)'!$B$6:$B$100,'GP1 (2)'!$H$6:$H$100,"")</f>
        <v/>
      </c>
      <c r="AI66" s="31" t="str">
        <f>_xlfn.XLOOKUP($C66,'GP2 (1)'!$B$8:$B$107,'GP2 (1)'!$H$8:$H$107,"")</f>
        <v/>
      </c>
      <c r="AJ66" s="32" t="str">
        <f>_xlfn.XLOOKUP($C66,'GP2 (2)'!$B$6:$B$99,'GP2 (2)'!$H$6:$H$99,"")</f>
        <v/>
      </c>
      <c r="AK66" s="27" t="str">
        <f>_xlfn.XLOOKUP($C66,'GP3 (1)'!$B$6:$B$100,'GP3 (1)'!$H$6:$H$100,"")</f>
        <v/>
      </c>
      <c r="AL66" s="28" t="str">
        <f>_xlfn.XLOOKUP($C66,'GP3 (2)'!$B$6:$B$100,'GP3 (2)'!$H$6:$H$100,"")</f>
        <v/>
      </c>
      <c r="AM66" s="31" t="str">
        <f>_xlfn.XLOOKUP($C66,'GP4 (1)'!$B$6:$B$86,'GP4 (1)'!$H$6:$H$86,"")</f>
        <v/>
      </c>
      <c r="AN66" s="32" t="str">
        <f>_xlfn.XLOOKUP($C66,'GP4 (2)'!$B$6:$B$100,'GP4 (2)'!$H$6:$H$100,"")</f>
        <v/>
      </c>
      <c r="AO66" s="27" t="str">
        <f>_xlfn.XLOOKUP($C66,'GP5 (1)'!$B$6:$B$100,'GP5 (1)'!$H$6:$H$100,"")</f>
        <v/>
      </c>
      <c r="AP66" s="30" t="str">
        <f>_xlfn.XLOOKUP($C66,'GP5 (2)'!$B$6:$B$100,'GP5 (2)'!$H$6:$H$100,"")</f>
        <v/>
      </c>
    </row>
    <row r="67" spans="1:42" ht="13.15" customHeight="1" x14ac:dyDescent="0.25">
      <c r="A67" s="1">
        <f t="shared" si="4"/>
        <v>63</v>
      </c>
      <c r="B67" s="1">
        <v>1</v>
      </c>
      <c r="C67" s="41" t="s">
        <v>43</v>
      </c>
      <c r="D67" s="40">
        <f t="shared" si="5"/>
        <v>0</v>
      </c>
      <c r="E67" s="33" t="str">
        <f>_xlfn.XLOOKUP($C67,'MP (1)'!$B$6:$B$100,'MP (1)'!$E$6:$E$100,"")</f>
        <v/>
      </c>
      <c r="F67" s="32" t="str">
        <f>_xlfn.XLOOKUP($C67,'MP (2)'!$B$6:$B$100,'MP (2)'!$E$6:$E$100,"")</f>
        <v/>
      </c>
      <c r="G67" s="27" t="str">
        <f>_xlfn.XLOOKUP($C67,'GP1 (1)'!$B$6:$B$100,'GP1 (1)'!$E$6:$E$100,"")</f>
        <v/>
      </c>
      <c r="H67" s="28" t="str">
        <f>_xlfn.XLOOKUP($C67,'GP1 (2)'!$B$6:$B$100,'GP1 (2)'!$E$6:$E$100,"")</f>
        <v/>
      </c>
      <c r="I67" s="31" t="str">
        <f>_xlfn.XLOOKUP($C67,'GP2 (1)'!$B$6:$B$107,'GP2 (1)'!$E$6:$E$107,"")</f>
        <v/>
      </c>
      <c r="J67" s="32" t="str">
        <f>_xlfn.XLOOKUP($C67,'GP2 (2)'!$B$6:$B$99,'GP2 (2)'!$E$6:$E$99,"")</f>
        <v/>
      </c>
      <c r="K67" s="27" t="str">
        <f>_xlfn.XLOOKUP($C67,'GP3 (1)'!$B$6:$B$100,'GP3 (1)'!$E$6:$E$100,"")</f>
        <v/>
      </c>
      <c r="L67" s="28" t="str">
        <f>_xlfn.XLOOKUP($C67,'GP3 (2)'!$B$6:$B$100,'GP3 (2)'!$E$6:$E$100,"")</f>
        <v/>
      </c>
      <c r="M67" s="31" t="str">
        <f>_xlfn.XLOOKUP($C67,'GP4 (1)'!$B$6:$B$86,'GP4 (1)'!$E$6:$E$86,"")</f>
        <v/>
      </c>
      <c r="N67" s="32" t="str">
        <f>_xlfn.XLOOKUP($C67,'GP4 (2)'!$B$6:$B$100,'GP4 (2)'!$E$6:$E$100,"")</f>
        <v/>
      </c>
      <c r="O67" s="27" t="str">
        <f>_xlfn.XLOOKUP($C67,'GP5 (1)'!$B$6:$B$100,'GP5 (1)'!$E$6:$E$100,"")</f>
        <v/>
      </c>
      <c r="P67" s="29" t="str">
        <f>_xlfn.XLOOKUP($C67,'GP5 (2)'!$B$6:$B$100,'GP5 (2)'!$E$6:$E$100,"")</f>
        <v/>
      </c>
      <c r="Q67" s="13">
        <f t="shared" si="6"/>
        <v>0</v>
      </c>
      <c r="R67" s="33" t="str">
        <f>_xlfn.XLOOKUP($C67,'MP (1)'!$B$6:$B$100,'MP (1)'!$F$6:$F$100,"")</f>
        <v/>
      </c>
      <c r="S67" s="32" t="str">
        <f>_xlfn.XLOOKUP($C67,'MP (2)'!$B$6:$B$100,'MP (2)'!$F$6:$F$100,"")</f>
        <v/>
      </c>
      <c r="T67" s="27" t="str">
        <f>_xlfn.XLOOKUP($C67,'GP1 (1)'!$B$6:$B$100,'GP1 (1)'!$F$6:$F$100,"")</f>
        <v/>
      </c>
      <c r="U67" s="28" t="str">
        <f>_xlfn.XLOOKUP($C67,'GP1 (2)'!$B$6:$B$100,'GP1 (2)'!$F$6:$F$100,"")</f>
        <v/>
      </c>
      <c r="V67" s="31" t="str">
        <f>_xlfn.XLOOKUP($C67,'GP2 (1)'!$B$8:$B$107,'GP2 (1)'!$F$8:$F$107,"")</f>
        <v/>
      </c>
      <c r="W67" s="32" t="str">
        <f>_xlfn.XLOOKUP($C67,'GP2 (2)'!$B$6:$B$99,'GP2 (2)'!$F$6:$F$99,"")</f>
        <v/>
      </c>
      <c r="X67" s="27" t="str">
        <f>_xlfn.XLOOKUP($C67,'GP3 (1)'!$B$6:$B$100,'GP3 (1)'!$F$6:$F$100,"")</f>
        <v/>
      </c>
      <c r="Y67" s="28" t="str">
        <f>_xlfn.XLOOKUP($C67,'GP3 (2)'!$B$6:$B$100,'GP3 (2)'!$F$6:$F$100,"")</f>
        <v/>
      </c>
      <c r="Z67" s="31" t="str">
        <f>_xlfn.XLOOKUP($C67,'GP4 (1)'!$B$6:$B$86,'GP4 (1)'!$F$6:$F$86,"")</f>
        <v/>
      </c>
      <c r="AA67" s="32" t="str">
        <f>_xlfn.XLOOKUP($C67,'GP4 (2)'!$B$6:$B$100,'GP4 (2)'!$F$6:$F$100,"")</f>
        <v/>
      </c>
      <c r="AB67" s="27" t="str">
        <f>_xlfn.XLOOKUP($C67,'GP5 (1)'!$B$6:$B$100,'GP5 (1)'!$F$6:$F$100,"")</f>
        <v/>
      </c>
      <c r="AC67" s="29" t="str">
        <f>_xlfn.XLOOKUP($C67,'GP5 (2)'!$B$6:$B$100,'GP5 (2)'!$F$6:$F$100,"")</f>
        <v/>
      </c>
      <c r="AD67" s="13">
        <f t="shared" si="7"/>
        <v>0</v>
      </c>
      <c r="AE67" s="33" t="str">
        <f>_xlfn.XLOOKUP($C67,'MP (1)'!$B$6:$B$100,'MP (1)'!$H$6:$H$100,"")</f>
        <v/>
      </c>
      <c r="AF67" s="32" t="str">
        <f>_xlfn.XLOOKUP($C67,'MP (2)'!$B$6:$B$100,'MP (2)'!$H$6:$H$100,"")</f>
        <v/>
      </c>
      <c r="AG67" s="27" t="str">
        <f>_xlfn.XLOOKUP($C67,'GP1 (1)'!$B$6:$B$100,'GP1 (1)'!$H$6:$H$100,"")</f>
        <v/>
      </c>
      <c r="AH67" s="28" t="str">
        <f>_xlfn.XLOOKUP($C67,'GP1 (2)'!$B$6:$B$100,'GP1 (2)'!$H$6:$H$100,"")</f>
        <v/>
      </c>
      <c r="AI67" s="31" t="str">
        <f>_xlfn.XLOOKUP($C67,'GP2 (1)'!$B$8:$B$107,'GP2 (1)'!$H$8:$H$107,"")</f>
        <v/>
      </c>
      <c r="AJ67" s="32" t="str">
        <f>_xlfn.XLOOKUP($C67,'GP2 (2)'!$B$6:$B$99,'GP2 (2)'!$H$6:$H$99,"")</f>
        <v/>
      </c>
      <c r="AK67" s="27" t="str">
        <f>_xlfn.XLOOKUP($C67,'GP3 (1)'!$B$6:$B$100,'GP3 (1)'!$H$6:$H$100,"")</f>
        <v/>
      </c>
      <c r="AL67" s="28" t="str">
        <f>_xlfn.XLOOKUP($C67,'GP3 (2)'!$B$6:$B$100,'GP3 (2)'!$H$6:$H$100,"")</f>
        <v/>
      </c>
      <c r="AM67" s="31" t="str">
        <f>_xlfn.XLOOKUP($C67,'GP4 (1)'!$B$6:$B$86,'GP4 (1)'!$H$6:$H$86,"")</f>
        <v/>
      </c>
      <c r="AN67" s="32" t="str">
        <f>_xlfn.XLOOKUP($C67,'GP4 (2)'!$B$6:$B$100,'GP4 (2)'!$H$6:$H$100,"")</f>
        <v/>
      </c>
      <c r="AO67" s="27" t="str">
        <f>_xlfn.XLOOKUP($C67,'GP5 (1)'!$B$6:$B$100,'GP5 (1)'!$H$6:$H$100,"")</f>
        <v/>
      </c>
      <c r="AP67" s="30" t="str">
        <f>_xlfn.XLOOKUP($C67,'GP5 (2)'!$B$6:$B$100,'GP5 (2)'!$H$6:$H$100,"")</f>
        <v/>
      </c>
    </row>
  </sheetData>
  <sheetProtection selectLockedCells="1" selectUnlockedCells="1"/>
  <autoFilter ref="A4:AR67" xr:uid="{00000000-0009-0000-0000-000000000000}">
    <sortState xmlns:xlrd2="http://schemas.microsoft.com/office/spreadsheetml/2017/richdata2" ref="A7:AR67">
      <sortCondition descending="1" ref="D4:D67"/>
    </sortState>
  </autoFilter>
  <mergeCells count="27">
    <mergeCell ref="Q2:Q4"/>
    <mergeCell ref="AD2:AD4"/>
    <mergeCell ref="E2:P2"/>
    <mergeCell ref="G3:H3"/>
    <mergeCell ref="I3:J3"/>
    <mergeCell ref="K3:L3"/>
    <mergeCell ref="M3:N3"/>
    <mergeCell ref="O3:P3"/>
    <mergeCell ref="R2:AC2"/>
    <mergeCell ref="R3:S3"/>
    <mergeCell ref="T3:U3"/>
    <mergeCell ref="V3:W3"/>
    <mergeCell ref="X3:Y3"/>
    <mergeCell ref="Z3:AA3"/>
    <mergeCell ref="AB3:AC3"/>
    <mergeCell ref="A2:A4"/>
    <mergeCell ref="B2:B4"/>
    <mergeCell ref="C2:C4"/>
    <mergeCell ref="D2:D4"/>
    <mergeCell ref="E3:F3"/>
    <mergeCell ref="AO3:AP3"/>
    <mergeCell ref="AE2:AP2"/>
    <mergeCell ref="AE3:AF3"/>
    <mergeCell ref="AG3:AH3"/>
    <mergeCell ref="AI3:AJ3"/>
    <mergeCell ref="AK3:AL3"/>
    <mergeCell ref="AM3:AN3"/>
  </mergeCells>
  <conditionalFormatting sqref="A5:A67">
    <cfRule type="cellIs" dxfId="2" priority="43" operator="equal">
      <formula>3</formula>
    </cfRule>
    <cfRule type="cellIs" dxfId="1" priority="44" operator="equal">
      <formula>2</formula>
    </cfRule>
    <cfRule type="cellIs" dxfId="0" priority="45" operator="equal">
      <formula>1</formula>
    </cfRule>
  </conditionalFormatting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 r:id="rId1"/>
  <headerFooter alignWithMargins="0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79998168889431442"/>
  </sheetPr>
  <dimension ref="A2:L51"/>
  <sheetViews>
    <sheetView workbookViewId="0">
      <selection activeCell="H11" sqref="H11"/>
    </sheetView>
  </sheetViews>
  <sheetFormatPr defaultRowHeight="12.75" x14ac:dyDescent="0.2"/>
  <cols>
    <col min="1" max="1" width="5.7109375" style="5" bestFit="1" customWidth="1"/>
    <col min="2" max="2" width="18.85546875" style="5" customWidth="1"/>
    <col min="3" max="3" width="3.85546875" style="5" customWidth="1"/>
    <col min="4" max="4" width="2.42578125" style="5" bestFit="1" customWidth="1"/>
    <col min="5" max="5" width="8.7109375" style="5" customWidth="1"/>
    <col min="6" max="6" width="3.28515625" style="5" bestFit="1" customWidth="1"/>
    <col min="7" max="7" width="3.42578125" style="5" bestFit="1" customWidth="1"/>
    <col min="8" max="8" width="3.7109375" style="5" bestFit="1" customWidth="1"/>
    <col min="9" max="9" width="11.28515625" style="5" customWidth="1"/>
    <col min="10" max="10" width="18.28515625" style="5" customWidth="1"/>
    <col min="11" max="11" width="7.85546875" style="5" bestFit="1" customWidth="1"/>
    <col min="12" max="12" width="8.140625" style="5" bestFit="1" customWidth="1"/>
  </cols>
  <sheetData>
    <row r="2" spans="1:12" x14ac:dyDescent="0.2">
      <c r="A2" s="56" t="s">
        <v>74</v>
      </c>
      <c r="B2" s="56"/>
      <c r="C2" s="57" t="s">
        <v>75</v>
      </c>
      <c r="D2" s="57"/>
      <c r="E2" s="57"/>
      <c r="F2" s="57"/>
      <c r="G2" s="57"/>
      <c r="H2" s="57"/>
      <c r="I2" s="57"/>
      <c r="J2" s="57"/>
      <c r="K2" s="57"/>
      <c r="L2" s="57"/>
    </row>
    <row r="3" spans="1:12" ht="13.15" customHeight="1" x14ac:dyDescent="0.2">
      <c r="B3" s="5" t="s">
        <v>76</v>
      </c>
      <c r="C3" s="58" t="s">
        <v>77</v>
      </c>
      <c r="D3" s="58"/>
      <c r="E3" s="58"/>
      <c r="F3" s="58"/>
      <c r="G3" s="58"/>
      <c r="H3" s="58"/>
      <c r="I3" s="58"/>
      <c r="J3" s="58"/>
      <c r="K3" s="58"/>
      <c r="L3" s="58"/>
    </row>
    <row r="4" spans="1:12" ht="13.15" customHeight="1" x14ac:dyDescent="0.2">
      <c r="C4" s="9"/>
      <c r="D4" s="9"/>
      <c r="E4" s="9"/>
      <c r="F4" s="9"/>
      <c r="G4" s="9"/>
      <c r="H4" s="9"/>
      <c r="I4" s="9"/>
      <c r="J4" s="9"/>
      <c r="K4" s="9"/>
      <c r="L4" s="9"/>
    </row>
    <row r="5" spans="1:12" ht="30" x14ac:dyDescent="0.2">
      <c r="A5" s="10" t="s">
        <v>78</v>
      </c>
      <c r="B5" s="10" t="s">
        <v>79</v>
      </c>
      <c r="C5" s="10" t="s">
        <v>80</v>
      </c>
      <c r="D5" s="10" t="s">
        <v>81</v>
      </c>
      <c r="E5" s="10" t="s">
        <v>82</v>
      </c>
      <c r="F5" s="10" t="s">
        <v>4</v>
      </c>
      <c r="G5" s="10" t="s">
        <v>83</v>
      </c>
      <c r="H5" s="10" t="s">
        <v>5</v>
      </c>
      <c r="I5" s="10" t="s">
        <v>84</v>
      </c>
      <c r="J5" s="10" t="s">
        <v>85</v>
      </c>
      <c r="K5" s="10" t="s">
        <v>86</v>
      </c>
      <c r="L5" s="10" t="s">
        <v>87</v>
      </c>
    </row>
    <row r="6" spans="1:12" ht="25.5" x14ac:dyDescent="0.2">
      <c r="A6" s="7">
        <v>1</v>
      </c>
      <c r="B6" s="7" t="s">
        <v>14</v>
      </c>
      <c r="C6" s="7">
        <v>6</v>
      </c>
      <c r="D6" s="7">
        <v>6</v>
      </c>
      <c r="E6" s="7">
        <v>1</v>
      </c>
      <c r="F6" s="7">
        <v>30</v>
      </c>
      <c r="G6" s="7">
        <v>9</v>
      </c>
      <c r="H6" s="7">
        <v>21</v>
      </c>
      <c r="I6" s="7" t="s">
        <v>88</v>
      </c>
      <c r="J6" s="7" t="s">
        <v>89</v>
      </c>
      <c r="K6" s="7"/>
      <c r="L6" s="7" t="s">
        <v>90</v>
      </c>
    </row>
    <row r="7" spans="1:12" ht="25.5" x14ac:dyDescent="0.2">
      <c r="A7" s="7" t="s">
        <v>91</v>
      </c>
      <c r="B7" s="7" t="s">
        <v>15</v>
      </c>
      <c r="C7" s="7">
        <v>6</v>
      </c>
      <c r="D7" s="7">
        <v>6</v>
      </c>
      <c r="E7" s="7">
        <v>1</v>
      </c>
      <c r="F7" s="7">
        <v>30</v>
      </c>
      <c r="G7" s="7">
        <v>11</v>
      </c>
      <c r="H7" s="7">
        <v>19</v>
      </c>
      <c r="I7" s="7" t="s">
        <v>88</v>
      </c>
      <c r="J7" s="7" t="s">
        <v>89</v>
      </c>
      <c r="K7" s="7"/>
      <c r="L7" s="7" t="s">
        <v>90</v>
      </c>
    </row>
    <row r="8" spans="1:12" x14ac:dyDescent="0.2">
      <c r="A8" s="7" t="s">
        <v>91</v>
      </c>
      <c r="B8" s="7" t="s">
        <v>47</v>
      </c>
      <c r="C8" s="7">
        <v>6</v>
      </c>
      <c r="D8" s="7">
        <v>6</v>
      </c>
      <c r="E8" s="7">
        <v>1</v>
      </c>
      <c r="F8" s="7">
        <v>30</v>
      </c>
      <c r="G8" s="7">
        <v>11</v>
      </c>
      <c r="H8" s="7">
        <v>19</v>
      </c>
      <c r="I8" s="7" t="s">
        <v>88</v>
      </c>
      <c r="J8" s="7" t="s">
        <v>92</v>
      </c>
      <c r="K8" s="7"/>
      <c r="L8" s="7" t="s">
        <v>90</v>
      </c>
    </row>
    <row r="9" spans="1:12" ht="25.5" x14ac:dyDescent="0.2">
      <c r="A9" s="7">
        <v>4</v>
      </c>
      <c r="B9" s="7" t="s">
        <v>18</v>
      </c>
      <c r="C9" s="7">
        <v>5</v>
      </c>
      <c r="D9" s="7">
        <v>5</v>
      </c>
      <c r="E9" s="7">
        <v>1</v>
      </c>
      <c r="F9" s="7">
        <v>25</v>
      </c>
      <c r="G9" s="7">
        <v>9</v>
      </c>
      <c r="H9" s="7">
        <v>16</v>
      </c>
      <c r="I9" s="7" t="s">
        <v>88</v>
      </c>
      <c r="J9" s="7" t="s">
        <v>93</v>
      </c>
      <c r="K9" s="7"/>
      <c r="L9" s="7" t="s">
        <v>90</v>
      </c>
    </row>
    <row r="10" spans="1:12" ht="25.5" x14ac:dyDescent="0.2">
      <c r="A10" s="7">
        <v>5</v>
      </c>
      <c r="B10" s="7" t="s">
        <v>17</v>
      </c>
      <c r="C10" s="7">
        <v>5</v>
      </c>
      <c r="D10" s="7">
        <v>6</v>
      </c>
      <c r="E10" s="7">
        <v>0.83</v>
      </c>
      <c r="F10" s="7">
        <v>29</v>
      </c>
      <c r="G10" s="7">
        <v>11</v>
      </c>
      <c r="H10" s="7">
        <v>18</v>
      </c>
      <c r="I10" s="7" t="s">
        <v>88</v>
      </c>
      <c r="J10" s="7" t="s">
        <v>89</v>
      </c>
      <c r="K10" s="7"/>
      <c r="L10" s="7" t="s">
        <v>90</v>
      </c>
    </row>
    <row r="11" spans="1:12" x14ac:dyDescent="0.2">
      <c r="A11" s="7">
        <v>6</v>
      </c>
      <c r="B11" s="7" t="s">
        <v>23</v>
      </c>
      <c r="C11" s="7">
        <v>5</v>
      </c>
      <c r="D11" s="7">
        <v>6</v>
      </c>
      <c r="E11" s="7">
        <v>0.83</v>
      </c>
      <c r="F11" s="7">
        <v>28</v>
      </c>
      <c r="G11" s="7">
        <v>14</v>
      </c>
      <c r="H11" s="7">
        <v>14</v>
      </c>
      <c r="I11" s="7" t="s">
        <v>88</v>
      </c>
      <c r="J11" s="7" t="s">
        <v>92</v>
      </c>
      <c r="K11" s="7"/>
      <c r="L11" s="7" t="s">
        <v>90</v>
      </c>
    </row>
    <row r="12" spans="1:12" ht="25.5" x14ac:dyDescent="0.2">
      <c r="A12" s="7">
        <v>7</v>
      </c>
      <c r="B12" s="7" t="s">
        <v>36</v>
      </c>
      <c r="C12" s="7">
        <v>5</v>
      </c>
      <c r="D12" s="7">
        <v>6</v>
      </c>
      <c r="E12" s="7">
        <v>0.83</v>
      </c>
      <c r="F12" s="7">
        <v>26</v>
      </c>
      <c r="G12" s="7">
        <v>12</v>
      </c>
      <c r="H12" s="7">
        <v>14</v>
      </c>
      <c r="I12" s="7" t="s">
        <v>88</v>
      </c>
      <c r="J12" s="7" t="s">
        <v>93</v>
      </c>
      <c r="K12" s="7"/>
      <c r="L12" s="7" t="s">
        <v>90</v>
      </c>
    </row>
    <row r="13" spans="1:12" ht="25.5" x14ac:dyDescent="0.2">
      <c r="A13" s="7">
        <v>8</v>
      </c>
      <c r="B13" s="7" t="s">
        <v>16</v>
      </c>
      <c r="C13" s="7">
        <v>4</v>
      </c>
      <c r="D13" s="7">
        <v>5</v>
      </c>
      <c r="E13" s="7">
        <v>0.8</v>
      </c>
      <c r="F13" s="7">
        <v>24</v>
      </c>
      <c r="G13" s="7">
        <v>10</v>
      </c>
      <c r="H13" s="7">
        <v>14</v>
      </c>
      <c r="I13" s="7" t="s">
        <v>88</v>
      </c>
      <c r="J13" s="7" t="s">
        <v>94</v>
      </c>
      <c r="K13" s="7"/>
      <c r="L13" s="7" t="s">
        <v>90</v>
      </c>
    </row>
    <row r="14" spans="1:12" ht="25.5" x14ac:dyDescent="0.2">
      <c r="A14" s="7">
        <v>9</v>
      </c>
      <c r="B14" s="7" t="s">
        <v>19</v>
      </c>
      <c r="C14" s="7">
        <v>4</v>
      </c>
      <c r="D14" s="7">
        <v>5</v>
      </c>
      <c r="E14" s="7">
        <v>0.8</v>
      </c>
      <c r="F14" s="7">
        <v>22</v>
      </c>
      <c r="G14" s="7">
        <v>8</v>
      </c>
      <c r="H14" s="7">
        <v>14</v>
      </c>
      <c r="I14" s="7" t="s">
        <v>88</v>
      </c>
      <c r="J14" s="7" t="s">
        <v>89</v>
      </c>
      <c r="K14" s="7"/>
      <c r="L14" s="7" t="s">
        <v>90</v>
      </c>
    </row>
    <row r="15" spans="1:12" ht="25.5" x14ac:dyDescent="0.2">
      <c r="A15" s="7">
        <v>10</v>
      </c>
      <c r="B15" s="7" t="s">
        <v>32</v>
      </c>
      <c r="C15" s="7">
        <v>4</v>
      </c>
      <c r="D15" s="7">
        <v>5</v>
      </c>
      <c r="E15" s="7">
        <v>0.8</v>
      </c>
      <c r="F15" s="7">
        <v>24</v>
      </c>
      <c r="G15" s="7">
        <v>14</v>
      </c>
      <c r="H15" s="7">
        <v>10</v>
      </c>
      <c r="I15" s="7" t="s">
        <v>88</v>
      </c>
      <c r="J15" s="7" t="s">
        <v>92</v>
      </c>
      <c r="K15" s="7"/>
      <c r="L15" s="7" t="s">
        <v>90</v>
      </c>
    </row>
    <row r="16" spans="1:12" ht="25.5" x14ac:dyDescent="0.2">
      <c r="A16" s="7">
        <v>11</v>
      </c>
      <c r="B16" s="7" t="s">
        <v>20</v>
      </c>
      <c r="C16" s="7">
        <v>4</v>
      </c>
      <c r="D16" s="7">
        <v>5</v>
      </c>
      <c r="E16" s="7">
        <v>0.8</v>
      </c>
      <c r="F16" s="7">
        <v>23</v>
      </c>
      <c r="G16" s="7">
        <v>13</v>
      </c>
      <c r="H16" s="7">
        <v>10</v>
      </c>
      <c r="I16" s="7" t="s">
        <v>88</v>
      </c>
      <c r="J16" s="7" t="s">
        <v>89</v>
      </c>
      <c r="K16" s="7"/>
      <c r="L16" s="7" t="s">
        <v>90</v>
      </c>
    </row>
    <row r="17" spans="1:12" ht="25.5" x14ac:dyDescent="0.2">
      <c r="A17" s="7">
        <v>12</v>
      </c>
      <c r="B17" s="7" t="s">
        <v>27</v>
      </c>
      <c r="C17" s="7">
        <v>4</v>
      </c>
      <c r="D17" s="7">
        <v>5</v>
      </c>
      <c r="E17" s="7">
        <v>0.8</v>
      </c>
      <c r="F17" s="7">
        <v>22</v>
      </c>
      <c r="G17" s="7">
        <v>19</v>
      </c>
      <c r="H17" s="7">
        <v>3</v>
      </c>
      <c r="I17" s="7" t="s">
        <v>88</v>
      </c>
      <c r="J17" s="7" t="s">
        <v>95</v>
      </c>
      <c r="K17" s="7"/>
      <c r="L17" s="7" t="s">
        <v>90</v>
      </c>
    </row>
    <row r="18" spans="1:12" ht="25.5" x14ac:dyDescent="0.2">
      <c r="A18" s="7">
        <v>13</v>
      </c>
      <c r="B18" s="7" t="s">
        <v>24</v>
      </c>
      <c r="C18" s="7">
        <v>4</v>
      </c>
      <c r="D18" s="7">
        <v>6</v>
      </c>
      <c r="E18" s="7">
        <v>0.67</v>
      </c>
      <c r="F18" s="7">
        <v>27</v>
      </c>
      <c r="G18" s="7">
        <v>16</v>
      </c>
      <c r="H18" s="7">
        <v>11</v>
      </c>
      <c r="I18" s="7" t="s">
        <v>88</v>
      </c>
      <c r="J18" s="7" t="s">
        <v>96</v>
      </c>
      <c r="K18" s="7"/>
      <c r="L18" s="7" t="s">
        <v>90</v>
      </c>
    </row>
    <row r="19" spans="1:12" x14ac:dyDescent="0.2">
      <c r="A19" s="7">
        <v>14</v>
      </c>
      <c r="B19" s="7" t="s">
        <v>28</v>
      </c>
      <c r="C19" s="7">
        <v>4</v>
      </c>
      <c r="D19" s="7">
        <v>6</v>
      </c>
      <c r="E19" s="7">
        <v>0.67</v>
      </c>
      <c r="F19" s="7">
        <v>23</v>
      </c>
      <c r="G19" s="7">
        <v>21</v>
      </c>
      <c r="H19" s="7">
        <v>2</v>
      </c>
      <c r="I19" s="7" t="s">
        <v>88</v>
      </c>
      <c r="J19" s="7" t="s">
        <v>93</v>
      </c>
      <c r="K19" s="7"/>
      <c r="L19" s="7" t="s">
        <v>90</v>
      </c>
    </row>
    <row r="20" spans="1:12" ht="25.5" x14ac:dyDescent="0.2">
      <c r="A20" s="7">
        <v>15</v>
      </c>
      <c r="B20" s="7" t="s">
        <v>22</v>
      </c>
      <c r="C20" s="7">
        <v>3</v>
      </c>
      <c r="D20" s="7">
        <v>5</v>
      </c>
      <c r="E20" s="7">
        <v>0.6</v>
      </c>
      <c r="F20" s="7">
        <v>23</v>
      </c>
      <c r="G20" s="7">
        <v>16</v>
      </c>
      <c r="H20" s="7">
        <v>7</v>
      </c>
      <c r="I20" s="7" t="s">
        <v>88</v>
      </c>
      <c r="J20" s="7" t="s">
        <v>89</v>
      </c>
      <c r="K20" s="7"/>
      <c r="L20" s="7" t="s">
        <v>90</v>
      </c>
    </row>
    <row r="21" spans="1:12" x14ac:dyDescent="0.2">
      <c r="A21" s="7">
        <v>16</v>
      </c>
      <c r="B21" s="7" t="s">
        <v>39</v>
      </c>
      <c r="C21" s="7">
        <v>3</v>
      </c>
      <c r="D21" s="7">
        <v>5</v>
      </c>
      <c r="E21" s="7">
        <v>0.6</v>
      </c>
      <c r="F21" s="7">
        <v>21</v>
      </c>
      <c r="G21" s="7">
        <v>15</v>
      </c>
      <c r="H21" s="7">
        <v>6</v>
      </c>
      <c r="I21" s="7" t="s">
        <v>88</v>
      </c>
      <c r="J21" s="7" t="s">
        <v>93</v>
      </c>
      <c r="K21" s="7"/>
      <c r="L21" s="7" t="s">
        <v>90</v>
      </c>
    </row>
    <row r="22" spans="1:12" x14ac:dyDescent="0.2">
      <c r="A22" s="7">
        <v>17</v>
      </c>
      <c r="B22" s="7" t="s">
        <v>46</v>
      </c>
      <c r="C22" s="7">
        <v>3</v>
      </c>
      <c r="D22" s="7">
        <v>5</v>
      </c>
      <c r="E22" s="7">
        <v>0.6</v>
      </c>
      <c r="F22" s="7">
        <v>17</v>
      </c>
      <c r="G22" s="7">
        <v>15</v>
      </c>
      <c r="H22" s="7">
        <v>2</v>
      </c>
      <c r="I22" s="7" t="s">
        <v>88</v>
      </c>
      <c r="J22" s="7" t="s">
        <v>92</v>
      </c>
      <c r="K22" s="7"/>
      <c r="L22" s="7" t="s">
        <v>90</v>
      </c>
    </row>
    <row r="23" spans="1:12" ht="25.5" x14ac:dyDescent="0.2">
      <c r="A23" s="7">
        <v>18</v>
      </c>
      <c r="B23" s="7" t="s">
        <v>37</v>
      </c>
      <c r="C23" s="7">
        <v>3</v>
      </c>
      <c r="D23" s="7">
        <v>5</v>
      </c>
      <c r="E23" s="7">
        <v>0.6</v>
      </c>
      <c r="F23" s="7">
        <v>15</v>
      </c>
      <c r="G23" s="7">
        <v>17</v>
      </c>
      <c r="H23" s="7">
        <v>-2</v>
      </c>
      <c r="I23" s="7" t="s">
        <v>88</v>
      </c>
      <c r="J23" s="7" t="s">
        <v>96</v>
      </c>
      <c r="K23" s="7"/>
      <c r="L23" s="7" t="s">
        <v>90</v>
      </c>
    </row>
    <row r="24" spans="1:12" ht="25.5" x14ac:dyDescent="0.2">
      <c r="A24" s="7">
        <v>19</v>
      </c>
      <c r="B24" s="7" t="s">
        <v>25</v>
      </c>
      <c r="C24" s="7">
        <v>3</v>
      </c>
      <c r="D24" s="7">
        <v>6</v>
      </c>
      <c r="E24" s="7">
        <v>0.5</v>
      </c>
      <c r="F24" s="7">
        <v>21</v>
      </c>
      <c r="G24" s="7">
        <v>19</v>
      </c>
      <c r="H24" s="7">
        <v>2</v>
      </c>
      <c r="I24" s="7" t="s">
        <v>88</v>
      </c>
      <c r="J24" s="7" t="s">
        <v>96</v>
      </c>
      <c r="K24" s="7"/>
      <c r="L24" s="7" t="s">
        <v>90</v>
      </c>
    </row>
    <row r="25" spans="1:12" ht="25.5" x14ac:dyDescent="0.2">
      <c r="A25" s="7">
        <v>20</v>
      </c>
      <c r="B25" s="7" t="s">
        <v>31</v>
      </c>
      <c r="C25" s="7">
        <v>3</v>
      </c>
      <c r="D25" s="7">
        <v>6</v>
      </c>
      <c r="E25" s="7">
        <v>0.5</v>
      </c>
      <c r="F25" s="7">
        <v>22</v>
      </c>
      <c r="G25" s="7">
        <v>23</v>
      </c>
      <c r="H25" s="7">
        <v>-1</v>
      </c>
      <c r="I25" s="7" t="s">
        <v>88</v>
      </c>
      <c r="J25" s="7" t="s">
        <v>97</v>
      </c>
      <c r="K25" s="7"/>
      <c r="L25" s="7" t="s">
        <v>90</v>
      </c>
    </row>
    <row r="26" spans="1:12" ht="25.5" x14ac:dyDescent="0.2">
      <c r="A26" s="7">
        <v>21</v>
      </c>
      <c r="B26" s="7" t="s">
        <v>55</v>
      </c>
      <c r="C26" s="7">
        <v>3</v>
      </c>
      <c r="D26" s="7">
        <v>6</v>
      </c>
      <c r="E26" s="7">
        <v>0.5</v>
      </c>
      <c r="F26" s="7">
        <v>19</v>
      </c>
      <c r="G26" s="7">
        <v>21</v>
      </c>
      <c r="H26" s="7">
        <v>-2</v>
      </c>
      <c r="I26" s="7" t="s">
        <v>88</v>
      </c>
      <c r="J26" s="7" t="s">
        <v>92</v>
      </c>
      <c r="K26" s="7"/>
      <c r="L26" s="7" t="s">
        <v>90</v>
      </c>
    </row>
    <row r="27" spans="1:12" x14ac:dyDescent="0.2">
      <c r="A27" s="7">
        <v>22</v>
      </c>
      <c r="B27" s="7" t="s">
        <v>21</v>
      </c>
      <c r="C27" s="7">
        <v>2</v>
      </c>
      <c r="D27" s="7">
        <v>5</v>
      </c>
      <c r="E27" s="7">
        <v>0.4</v>
      </c>
      <c r="F27" s="7">
        <v>18</v>
      </c>
      <c r="G27" s="7">
        <v>19</v>
      </c>
      <c r="H27" s="7">
        <v>-1</v>
      </c>
      <c r="I27" s="7" t="s">
        <v>88</v>
      </c>
      <c r="J27" s="7" t="s">
        <v>93</v>
      </c>
      <c r="K27" s="7"/>
      <c r="L27" s="7" t="s">
        <v>90</v>
      </c>
    </row>
    <row r="28" spans="1:12" ht="25.5" x14ac:dyDescent="0.2">
      <c r="A28" s="7">
        <v>23</v>
      </c>
      <c r="B28" s="7" t="s">
        <v>26</v>
      </c>
      <c r="C28" s="7">
        <v>2</v>
      </c>
      <c r="D28" s="7">
        <v>5</v>
      </c>
      <c r="E28" s="7">
        <v>0.4</v>
      </c>
      <c r="F28" s="7">
        <v>16</v>
      </c>
      <c r="G28" s="7">
        <v>20</v>
      </c>
      <c r="H28" s="7">
        <v>-4</v>
      </c>
      <c r="I28" s="7" t="s">
        <v>88</v>
      </c>
      <c r="J28" s="7" t="s">
        <v>89</v>
      </c>
      <c r="K28" s="7"/>
      <c r="L28" s="7" t="s">
        <v>90</v>
      </c>
    </row>
    <row r="29" spans="1:12" ht="25.5" x14ac:dyDescent="0.2">
      <c r="A29" s="7">
        <v>24</v>
      </c>
      <c r="B29" s="7" t="s">
        <v>56</v>
      </c>
      <c r="C29" s="7">
        <v>2</v>
      </c>
      <c r="D29" s="7">
        <v>5</v>
      </c>
      <c r="E29" s="7">
        <v>0.4</v>
      </c>
      <c r="F29" s="7">
        <v>13</v>
      </c>
      <c r="G29" s="7">
        <v>18</v>
      </c>
      <c r="H29" s="7">
        <v>-5</v>
      </c>
      <c r="I29" s="7" t="s">
        <v>88</v>
      </c>
      <c r="J29" s="7" t="s">
        <v>97</v>
      </c>
      <c r="K29" s="7"/>
      <c r="L29" s="7" t="s">
        <v>90</v>
      </c>
    </row>
    <row r="30" spans="1:12" ht="25.5" x14ac:dyDescent="0.2">
      <c r="A30" s="7">
        <v>25</v>
      </c>
      <c r="B30" s="7" t="s">
        <v>45</v>
      </c>
      <c r="C30" s="7">
        <v>2</v>
      </c>
      <c r="D30" s="7">
        <v>6</v>
      </c>
      <c r="E30" s="7">
        <v>0.33</v>
      </c>
      <c r="F30" s="7">
        <v>20</v>
      </c>
      <c r="G30" s="7">
        <v>22</v>
      </c>
      <c r="H30" s="7">
        <v>-2</v>
      </c>
      <c r="I30" s="7" t="s">
        <v>88</v>
      </c>
      <c r="J30" s="7" t="s">
        <v>97</v>
      </c>
      <c r="K30" s="7"/>
      <c r="L30" s="7" t="s">
        <v>90</v>
      </c>
    </row>
    <row r="31" spans="1:12" x14ac:dyDescent="0.2">
      <c r="A31" s="7">
        <v>26</v>
      </c>
      <c r="B31" s="7" t="s">
        <v>29</v>
      </c>
      <c r="C31" s="7">
        <v>2</v>
      </c>
      <c r="D31" s="7">
        <v>6</v>
      </c>
      <c r="E31" s="7">
        <v>0.33</v>
      </c>
      <c r="F31" s="7">
        <v>17</v>
      </c>
      <c r="G31" s="7">
        <v>22</v>
      </c>
      <c r="H31" s="7">
        <v>-5</v>
      </c>
      <c r="I31" s="7" t="s">
        <v>88</v>
      </c>
      <c r="J31" s="7" t="s">
        <v>94</v>
      </c>
      <c r="K31" s="7"/>
      <c r="L31" s="7" t="s">
        <v>90</v>
      </c>
    </row>
    <row r="32" spans="1:12" ht="38.25" x14ac:dyDescent="0.2">
      <c r="A32" s="7">
        <v>27</v>
      </c>
      <c r="B32" s="7" t="s">
        <v>30</v>
      </c>
      <c r="C32" s="7">
        <v>2</v>
      </c>
      <c r="D32" s="7">
        <v>6</v>
      </c>
      <c r="E32" s="7">
        <v>0.33</v>
      </c>
      <c r="F32" s="7">
        <v>19</v>
      </c>
      <c r="G32" s="7">
        <v>25</v>
      </c>
      <c r="H32" s="7">
        <v>-6</v>
      </c>
      <c r="I32" s="7" t="s">
        <v>88</v>
      </c>
      <c r="J32" s="7" t="s">
        <v>98</v>
      </c>
      <c r="K32" s="7" t="s">
        <v>99</v>
      </c>
      <c r="L32" s="7" t="s">
        <v>90</v>
      </c>
    </row>
    <row r="33" spans="1:12" ht="25.5" x14ac:dyDescent="0.2">
      <c r="A33" s="7">
        <v>28</v>
      </c>
      <c r="B33" s="7" t="s">
        <v>42</v>
      </c>
      <c r="C33" s="7">
        <v>2</v>
      </c>
      <c r="D33" s="7">
        <v>6</v>
      </c>
      <c r="E33" s="7">
        <v>0.33</v>
      </c>
      <c r="F33" s="7">
        <v>19</v>
      </c>
      <c r="G33" s="7">
        <v>27</v>
      </c>
      <c r="H33" s="7">
        <v>-8</v>
      </c>
      <c r="I33" s="7" t="s">
        <v>88</v>
      </c>
      <c r="J33" s="7" t="s">
        <v>100</v>
      </c>
      <c r="K33" s="7"/>
      <c r="L33" s="7" t="s">
        <v>90</v>
      </c>
    </row>
    <row r="34" spans="1:12" x14ac:dyDescent="0.2">
      <c r="A34" s="7">
        <v>29</v>
      </c>
      <c r="B34" s="7" t="s">
        <v>62</v>
      </c>
      <c r="C34" s="7">
        <v>2</v>
      </c>
      <c r="D34" s="7">
        <v>6</v>
      </c>
      <c r="E34" s="7">
        <v>0.33</v>
      </c>
      <c r="F34" s="7">
        <v>15</v>
      </c>
      <c r="G34" s="7">
        <v>24</v>
      </c>
      <c r="H34" s="7">
        <v>-9</v>
      </c>
      <c r="I34" s="7" t="s">
        <v>88</v>
      </c>
      <c r="J34" s="7" t="s">
        <v>101</v>
      </c>
      <c r="K34" s="7"/>
      <c r="L34" s="7" t="s">
        <v>90</v>
      </c>
    </row>
    <row r="35" spans="1:12" ht="25.5" x14ac:dyDescent="0.2">
      <c r="A35" s="7">
        <v>30</v>
      </c>
      <c r="B35" s="7" t="s">
        <v>44</v>
      </c>
      <c r="C35" s="7">
        <v>1</v>
      </c>
      <c r="D35" s="7">
        <v>5</v>
      </c>
      <c r="E35" s="7">
        <v>0.2</v>
      </c>
      <c r="F35" s="7">
        <v>12</v>
      </c>
      <c r="G35" s="7">
        <v>23</v>
      </c>
      <c r="H35" s="7">
        <v>-11</v>
      </c>
      <c r="I35" s="7" t="s">
        <v>88</v>
      </c>
      <c r="J35" s="7" t="s">
        <v>102</v>
      </c>
      <c r="K35" s="7" t="s">
        <v>99</v>
      </c>
      <c r="L35" s="7" t="s">
        <v>90</v>
      </c>
    </row>
    <row r="36" spans="1:12" ht="25.5" x14ac:dyDescent="0.2">
      <c r="A36" s="7">
        <v>31</v>
      </c>
      <c r="B36" s="7" t="s">
        <v>35</v>
      </c>
      <c r="C36" s="7">
        <v>1</v>
      </c>
      <c r="D36" s="7">
        <v>5</v>
      </c>
      <c r="E36" s="7">
        <v>0.2</v>
      </c>
      <c r="F36" s="7">
        <v>10</v>
      </c>
      <c r="G36" s="7">
        <v>21</v>
      </c>
      <c r="H36" s="7">
        <v>-11</v>
      </c>
      <c r="I36" s="7" t="s">
        <v>88</v>
      </c>
      <c r="J36" s="7" t="s">
        <v>102</v>
      </c>
      <c r="K36" s="7"/>
      <c r="L36" s="7" t="s">
        <v>90</v>
      </c>
    </row>
    <row r="37" spans="1:12" x14ac:dyDescent="0.2">
      <c r="A37" s="7">
        <v>32</v>
      </c>
      <c r="B37" s="7" t="s">
        <v>61</v>
      </c>
      <c r="C37" s="7">
        <v>1</v>
      </c>
      <c r="D37" s="7">
        <v>6</v>
      </c>
      <c r="E37" s="7">
        <v>0.17</v>
      </c>
      <c r="F37" s="7">
        <v>17</v>
      </c>
      <c r="G37" s="7">
        <v>28</v>
      </c>
      <c r="H37" s="7">
        <v>-11</v>
      </c>
      <c r="I37" s="7" t="s">
        <v>88</v>
      </c>
      <c r="J37" s="7" t="s">
        <v>103</v>
      </c>
      <c r="K37" s="7"/>
      <c r="L37" s="7" t="s">
        <v>90</v>
      </c>
    </row>
    <row r="38" spans="1:12" x14ac:dyDescent="0.2">
      <c r="A38" s="7">
        <v>33</v>
      </c>
      <c r="B38" s="7" t="s">
        <v>68</v>
      </c>
      <c r="C38" s="7">
        <v>1</v>
      </c>
      <c r="D38" s="7">
        <v>6</v>
      </c>
      <c r="E38" s="7">
        <v>0.17</v>
      </c>
      <c r="F38" s="7">
        <v>13</v>
      </c>
      <c r="G38" s="7">
        <v>25</v>
      </c>
      <c r="H38" s="7">
        <v>-12</v>
      </c>
      <c r="I38" s="7" t="s">
        <v>88</v>
      </c>
      <c r="J38" s="7" t="s">
        <v>101</v>
      </c>
      <c r="K38" s="7"/>
      <c r="L38" s="7" t="s">
        <v>90</v>
      </c>
    </row>
    <row r="39" spans="1:12" x14ac:dyDescent="0.2">
      <c r="A39" s="7">
        <v>34</v>
      </c>
      <c r="B39" s="7" t="s">
        <v>57</v>
      </c>
      <c r="C39" s="7">
        <v>1</v>
      </c>
      <c r="D39" s="7">
        <v>6</v>
      </c>
      <c r="E39" s="7">
        <v>0.17</v>
      </c>
      <c r="F39" s="7">
        <v>10</v>
      </c>
      <c r="G39" s="7">
        <v>29</v>
      </c>
      <c r="H39" s="7">
        <v>-19</v>
      </c>
      <c r="I39" s="7" t="s">
        <v>88</v>
      </c>
      <c r="J39" s="7" t="s">
        <v>93</v>
      </c>
      <c r="K39" s="7"/>
      <c r="L39" s="7" t="s">
        <v>90</v>
      </c>
    </row>
    <row r="40" spans="1:12" x14ac:dyDescent="0.2">
      <c r="A40" s="7">
        <v>35</v>
      </c>
      <c r="B40" s="7" t="s">
        <v>70</v>
      </c>
      <c r="C40" s="7">
        <v>0</v>
      </c>
      <c r="D40" s="7">
        <v>6</v>
      </c>
      <c r="E40" s="7">
        <v>0</v>
      </c>
      <c r="F40" s="7">
        <v>15</v>
      </c>
      <c r="G40" s="7">
        <v>30</v>
      </c>
      <c r="H40" s="7">
        <v>-15</v>
      </c>
      <c r="I40" s="7" t="s">
        <v>88</v>
      </c>
      <c r="J40" s="7" t="s">
        <v>101</v>
      </c>
      <c r="K40" s="7"/>
      <c r="L40" s="7" t="s">
        <v>90</v>
      </c>
    </row>
    <row r="41" spans="1:12" x14ac:dyDescent="0.2">
      <c r="A41" s="7">
        <v>36</v>
      </c>
      <c r="B41" s="7" t="s">
        <v>49</v>
      </c>
      <c r="C41" s="7">
        <v>0</v>
      </c>
      <c r="D41" s="7">
        <v>5</v>
      </c>
      <c r="E41" s="7">
        <v>0</v>
      </c>
      <c r="F41" s="7">
        <v>10</v>
      </c>
      <c r="G41" s="7">
        <v>25</v>
      </c>
      <c r="H41" s="7">
        <v>-15</v>
      </c>
      <c r="I41" s="7" t="s">
        <v>88</v>
      </c>
      <c r="J41" s="7" t="s">
        <v>104</v>
      </c>
      <c r="K41" s="7"/>
      <c r="L41" s="7" t="s">
        <v>90</v>
      </c>
    </row>
    <row r="42" spans="1:12" ht="25.5" x14ac:dyDescent="0.2">
      <c r="A42" s="7">
        <v>37</v>
      </c>
      <c r="B42" s="7" t="s">
        <v>60</v>
      </c>
      <c r="C42" s="7">
        <v>0</v>
      </c>
      <c r="D42" s="7">
        <v>5</v>
      </c>
      <c r="E42" s="7">
        <v>0</v>
      </c>
      <c r="F42" s="7">
        <v>9</v>
      </c>
      <c r="G42" s="7">
        <v>25</v>
      </c>
      <c r="H42" s="7">
        <v>-16</v>
      </c>
      <c r="I42" s="7" t="s">
        <v>88</v>
      </c>
      <c r="J42" s="7" t="s">
        <v>104</v>
      </c>
      <c r="K42" s="7"/>
      <c r="L42" s="7" t="s">
        <v>90</v>
      </c>
    </row>
    <row r="43" spans="1:12" x14ac:dyDescent="0.2">
      <c r="A43" s="7">
        <v>38</v>
      </c>
      <c r="B43" s="7" t="s">
        <v>71</v>
      </c>
      <c r="C43" s="7">
        <v>0</v>
      </c>
      <c r="D43" s="7">
        <v>5</v>
      </c>
      <c r="E43" s="7">
        <v>0</v>
      </c>
      <c r="F43" s="7">
        <v>8</v>
      </c>
      <c r="G43" s="7">
        <v>25</v>
      </c>
      <c r="H43" s="7">
        <v>-17</v>
      </c>
      <c r="I43" s="7" t="s">
        <v>88</v>
      </c>
      <c r="J43" s="7" t="s">
        <v>105</v>
      </c>
      <c r="K43" s="7"/>
      <c r="L43" s="7" t="s">
        <v>90</v>
      </c>
    </row>
    <row r="44" spans="1:12" x14ac:dyDescent="0.2">
      <c r="A44" s="7">
        <v>39</v>
      </c>
      <c r="B44" s="7" t="s">
        <v>41</v>
      </c>
      <c r="C44" s="7">
        <v>0</v>
      </c>
      <c r="D44" s="7">
        <v>6</v>
      </c>
      <c r="E44" s="7">
        <v>0</v>
      </c>
      <c r="F44" s="7">
        <v>0</v>
      </c>
      <c r="G44" s="7">
        <v>30</v>
      </c>
      <c r="H44" s="7">
        <v>-30</v>
      </c>
      <c r="I44" s="7" t="s">
        <v>88</v>
      </c>
      <c r="J44" s="7" t="s">
        <v>106</v>
      </c>
      <c r="K44" s="7"/>
      <c r="L44" s="7" t="s">
        <v>90</v>
      </c>
    </row>
    <row r="45" spans="1:12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12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12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1:12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  <row r="51" spans="1:12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</row>
  </sheetData>
  <autoFilter ref="A5:L5" xr:uid="{00000000-0009-0000-0000-000001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:L3" r:id="rId1" display="https://fencingtimelive.com/pools/results/3531C901598B4A9DBBDA4CC405FBB2E3/9665CC12AE90441DA083E869D4E1575C" xr:uid="{3ECFD397-E592-4087-9540-D111E8C04BD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79998168889431442"/>
  </sheetPr>
  <dimension ref="A2:L50"/>
  <sheetViews>
    <sheetView workbookViewId="0">
      <selection activeCell="B1" sqref="B1"/>
    </sheetView>
  </sheetViews>
  <sheetFormatPr defaultRowHeight="12.75" x14ac:dyDescent="0.2"/>
  <cols>
    <col min="1" max="1" width="5.7109375" style="5" bestFit="1" customWidth="1"/>
    <col min="2" max="2" width="18.85546875" style="5" customWidth="1"/>
    <col min="3" max="3" width="2.28515625" style="5" bestFit="1" customWidth="1"/>
    <col min="4" max="4" width="2.42578125" style="5" bestFit="1" customWidth="1"/>
    <col min="5" max="5" width="8.7109375" style="5" customWidth="1"/>
    <col min="6" max="6" width="3.28515625" style="5" bestFit="1" customWidth="1"/>
    <col min="7" max="7" width="3.42578125" style="5" bestFit="1" customWidth="1"/>
    <col min="8" max="8" width="3.7109375" style="5" bestFit="1" customWidth="1"/>
    <col min="9" max="9" width="11.28515625" style="5" customWidth="1"/>
    <col min="10" max="10" width="18.28515625" style="5" customWidth="1"/>
    <col min="11" max="11" width="7.85546875" style="5" bestFit="1" customWidth="1"/>
    <col min="12" max="12" width="8.140625" style="5" bestFit="1" customWidth="1"/>
  </cols>
  <sheetData>
    <row r="2" spans="1:12" ht="13.7" customHeight="1" x14ac:dyDescent="0.2">
      <c r="A2" s="56" t="s">
        <v>74</v>
      </c>
      <c r="B2" s="56"/>
      <c r="C2" s="57" t="s">
        <v>107</v>
      </c>
      <c r="D2" s="57"/>
      <c r="E2" s="57"/>
      <c r="F2" s="57"/>
      <c r="G2" s="57"/>
      <c r="H2" s="57"/>
      <c r="I2" s="57"/>
      <c r="J2" s="57"/>
      <c r="K2" s="57"/>
      <c r="L2" s="57"/>
    </row>
    <row r="3" spans="1:12" ht="13.15" customHeight="1" x14ac:dyDescent="0.2">
      <c r="B3" s="5" t="s">
        <v>108</v>
      </c>
      <c r="C3" s="58" t="s">
        <v>109</v>
      </c>
      <c r="D3" s="58"/>
      <c r="E3" s="58"/>
      <c r="F3" s="58"/>
      <c r="G3" s="58"/>
      <c r="H3" s="58"/>
      <c r="I3" s="58"/>
      <c r="J3" s="58"/>
      <c r="K3" s="58"/>
      <c r="L3" s="58"/>
    </row>
    <row r="4" spans="1:12" ht="13.15" customHeight="1" x14ac:dyDescent="0.2">
      <c r="C4" s="9"/>
      <c r="D4" s="9"/>
      <c r="E4" s="9"/>
      <c r="F4" s="9"/>
      <c r="G4" s="9"/>
      <c r="H4" s="9"/>
      <c r="I4" s="9"/>
      <c r="J4" s="9"/>
      <c r="K4" s="9"/>
      <c r="L4" s="9"/>
    </row>
    <row r="5" spans="1:12" ht="30" x14ac:dyDescent="0.2">
      <c r="A5" s="10" t="s">
        <v>78</v>
      </c>
      <c r="B5" s="10" t="s">
        <v>79</v>
      </c>
      <c r="C5" s="10" t="s">
        <v>80</v>
      </c>
      <c r="D5" s="10" t="s">
        <v>81</v>
      </c>
      <c r="E5" s="10" t="s">
        <v>82</v>
      </c>
      <c r="F5" s="10" t="s">
        <v>4</v>
      </c>
      <c r="G5" s="10" t="s">
        <v>83</v>
      </c>
      <c r="H5" s="10" t="s">
        <v>5</v>
      </c>
      <c r="I5" s="10" t="s">
        <v>84</v>
      </c>
      <c r="J5" s="10" t="s">
        <v>85</v>
      </c>
      <c r="K5" s="10" t="s">
        <v>86</v>
      </c>
      <c r="L5" s="10" t="s">
        <v>87</v>
      </c>
    </row>
    <row r="6" spans="1:12" ht="25.5" x14ac:dyDescent="0.2">
      <c r="A6" s="7">
        <v>1</v>
      </c>
      <c r="B6" s="7" t="s">
        <v>14</v>
      </c>
      <c r="C6" s="7">
        <v>6</v>
      </c>
      <c r="D6" s="7">
        <v>6</v>
      </c>
      <c r="E6" s="7">
        <v>1</v>
      </c>
      <c r="F6" s="7">
        <v>30</v>
      </c>
      <c r="G6" s="7">
        <v>3</v>
      </c>
      <c r="H6" s="7">
        <v>27</v>
      </c>
      <c r="I6" s="7" t="s">
        <v>88</v>
      </c>
      <c r="J6" s="7" t="s">
        <v>89</v>
      </c>
      <c r="K6" s="7"/>
      <c r="L6" s="7" t="s">
        <v>90</v>
      </c>
    </row>
    <row r="7" spans="1:12" ht="25.5" x14ac:dyDescent="0.2">
      <c r="A7" s="7">
        <v>2</v>
      </c>
      <c r="B7" s="7" t="s">
        <v>16</v>
      </c>
      <c r="C7" s="7">
        <v>5</v>
      </c>
      <c r="D7" s="7">
        <v>5</v>
      </c>
      <c r="E7" s="7">
        <v>1</v>
      </c>
      <c r="F7" s="7">
        <v>25</v>
      </c>
      <c r="G7" s="7">
        <v>4</v>
      </c>
      <c r="H7" s="7">
        <v>21</v>
      </c>
      <c r="I7" s="7" t="s">
        <v>88</v>
      </c>
      <c r="J7" s="7" t="s">
        <v>94</v>
      </c>
      <c r="K7" s="7"/>
      <c r="L7" s="7" t="s">
        <v>90</v>
      </c>
    </row>
    <row r="8" spans="1:12" x14ac:dyDescent="0.2">
      <c r="A8" s="7">
        <v>3</v>
      </c>
      <c r="B8" s="7" t="s">
        <v>23</v>
      </c>
      <c r="C8" s="7">
        <v>5</v>
      </c>
      <c r="D8" s="7">
        <v>5</v>
      </c>
      <c r="E8" s="7">
        <v>1</v>
      </c>
      <c r="F8" s="7">
        <v>25</v>
      </c>
      <c r="G8" s="7">
        <v>5</v>
      </c>
      <c r="H8" s="7">
        <v>20</v>
      </c>
      <c r="I8" s="7" t="s">
        <v>88</v>
      </c>
      <c r="J8" s="7" t="s">
        <v>92</v>
      </c>
      <c r="K8" s="7"/>
      <c r="L8" s="7" t="s">
        <v>90</v>
      </c>
    </row>
    <row r="9" spans="1:12" ht="25.5" x14ac:dyDescent="0.2">
      <c r="A9" s="7">
        <v>4</v>
      </c>
      <c r="B9" s="7" t="s">
        <v>15</v>
      </c>
      <c r="C9" s="7">
        <v>6</v>
      </c>
      <c r="D9" s="7">
        <v>6</v>
      </c>
      <c r="E9" s="7">
        <v>1</v>
      </c>
      <c r="F9" s="7">
        <v>30</v>
      </c>
      <c r="G9" s="7">
        <v>13</v>
      </c>
      <c r="H9" s="7">
        <v>17</v>
      </c>
      <c r="I9" s="7" t="s">
        <v>88</v>
      </c>
      <c r="J9" s="7" t="s">
        <v>89</v>
      </c>
      <c r="K9" s="7"/>
      <c r="L9" s="7" t="s">
        <v>90</v>
      </c>
    </row>
    <row r="10" spans="1:12" x14ac:dyDescent="0.2">
      <c r="A10" s="7" t="s">
        <v>110</v>
      </c>
      <c r="B10" s="7" t="s">
        <v>21</v>
      </c>
      <c r="C10" s="7">
        <v>5</v>
      </c>
      <c r="D10" s="7">
        <v>5</v>
      </c>
      <c r="E10" s="7">
        <v>1</v>
      </c>
      <c r="F10" s="7">
        <v>25</v>
      </c>
      <c r="G10" s="7">
        <v>9</v>
      </c>
      <c r="H10" s="7">
        <v>16</v>
      </c>
      <c r="I10" s="7" t="s">
        <v>88</v>
      </c>
      <c r="J10" s="7" t="s">
        <v>93</v>
      </c>
      <c r="K10" s="7"/>
      <c r="L10" s="7" t="s">
        <v>90</v>
      </c>
    </row>
    <row r="11" spans="1:12" ht="25.5" x14ac:dyDescent="0.2">
      <c r="A11" s="7" t="s">
        <v>110</v>
      </c>
      <c r="B11" s="7" t="s">
        <v>18</v>
      </c>
      <c r="C11" s="7">
        <v>5</v>
      </c>
      <c r="D11" s="7">
        <v>5</v>
      </c>
      <c r="E11" s="7">
        <v>1</v>
      </c>
      <c r="F11" s="7">
        <v>25</v>
      </c>
      <c r="G11" s="7">
        <v>9</v>
      </c>
      <c r="H11" s="7">
        <v>16</v>
      </c>
      <c r="I11" s="7" t="s">
        <v>88</v>
      </c>
      <c r="J11" s="7" t="s">
        <v>93</v>
      </c>
      <c r="K11" s="7"/>
      <c r="L11" s="7" t="s">
        <v>90</v>
      </c>
    </row>
    <row r="12" spans="1:12" ht="25.5" x14ac:dyDescent="0.2">
      <c r="A12" s="7">
        <v>7</v>
      </c>
      <c r="B12" s="7" t="s">
        <v>32</v>
      </c>
      <c r="C12" s="7">
        <v>5</v>
      </c>
      <c r="D12" s="7">
        <v>6</v>
      </c>
      <c r="E12" s="7">
        <v>0.83</v>
      </c>
      <c r="F12" s="7">
        <v>28</v>
      </c>
      <c r="G12" s="7">
        <v>11</v>
      </c>
      <c r="H12" s="7">
        <v>17</v>
      </c>
      <c r="I12" s="7" t="s">
        <v>88</v>
      </c>
      <c r="J12" s="7" t="s">
        <v>92</v>
      </c>
      <c r="K12" s="7"/>
      <c r="L12" s="7" t="s">
        <v>90</v>
      </c>
    </row>
    <row r="13" spans="1:12" ht="25.5" x14ac:dyDescent="0.2">
      <c r="A13" s="7">
        <v>8</v>
      </c>
      <c r="B13" s="7" t="s">
        <v>24</v>
      </c>
      <c r="C13" s="7">
        <v>5</v>
      </c>
      <c r="D13" s="7">
        <v>6</v>
      </c>
      <c r="E13" s="7">
        <v>0.83</v>
      </c>
      <c r="F13" s="7">
        <v>27</v>
      </c>
      <c r="G13" s="7">
        <v>11</v>
      </c>
      <c r="H13" s="7">
        <v>16</v>
      </c>
      <c r="I13" s="7" t="s">
        <v>88</v>
      </c>
      <c r="J13" s="7" t="s">
        <v>96</v>
      </c>
      <c r="K13" s="7"/>
      <c r="L13" s="7" t="s">
        <v>90</v>
      </c>
    </row>
    <row r="14" spans="1:12" ht="25.5" x14ac:dyDescent="0.2">
      <c r="A14" s="7">
        <v>9</v>
      </c>
      <c r="B14" s="7" t="s">
        <v>17</v>
      </c>
      <c r="C14" s="7">
        <v>4</v>
      </c>
      <c r="D14" s="7">
        <v>5</v>
      </c>
      <c r="E14" s="7">
        <v>0.8</v>
      </c>
      <c r="F14" s="7">
        <v>23</v>
      </c>
      <c r="G14" s="7">
        <v>11</v>
      </c>
      <c r="H14" s="7">
        <v>12</v>
      </c>
      <c r="I14" s="7" t="s">
        <v>88</v>
      </c>
      <c r="J14" s="7" t="s">
        <v>89</v>
      </c>
      <c r="K14" s="7"/>
      <c r="L14" s="7" t="s">
        <v>90</v>
      </c>
    </row>
    <row r="15" spans="1:12" ht="25.5" x14ac:dyDescent="0.2">
      <c r="A15" s="7">
        <v>10</v>
      </c>
      <c r="B15" s="7" t="s">
        <v>36</v>
      </c>
      <c r="C15" s="7">
        <v>4</v>
      </c>
      <c r="D15" s="7">
        <v>5</v>
      </c>
      <c r="E15" s="7">
        <v>0.8</v>
      </c>
      <c r="F15" s="7">
        <v>21</v>
      </c>
      <c r="G15" s="7">
        <v>9</v>
      </c>
      <c r="H15" s="7">
        <v>12</v>
      </c>
      <c r="I15" s="7" t="s">
        <v>88</v>
      </c>
      <c r="J15" s="7" t="s">
        <v>93</v>
      </c>
      <c r="K15" s="7"/>
      <c r="L15" s="7" t="s">
        <v>90</v>
      </c>
    </row>
    <row r="16" spans="1:12" ht="25.5" x14ac:dyDescent="0.2">
      <c r="A16" s="7">
        <v>11</v>
      </c>
      <c r="B16" s="7" t="s">
        <v>22</v>
      </c>
      <c r="C16" s="7">
        <v>4</v>
      </c>
      <c r="D16" s="7">
        <v>5</v>
      </c>
      <c r="E16" s="7">
        <v>0.8</v>
      </c>
      <c r="F16" s="7">
        <v>22</v>
      </c>
      <c r="G16" s="7">
        <v>11</v>
      </c>
      <c r="H16" s="7">
        <v>11</v>
      </c>
      <c r="I16" s="7" t="s">
        <v>88</v>
      </c>
      <c r="J16" s="7" t="s">
        <v>89</v>
      </c>
      <c r="K16" s="7"/>
      <c r="L16" s="7" t="s">
        <v>90</v>
      </c>
    </row>
    <row r="17" spans="1:12" ht="25.5" x14ac:dyDescent="0.2">
      <c r="A17" s="7">
        <v>12</v>
      </c>
      <c r="B17" s="7" t="s">
        <v>19</v>
      </c>
      <c r="C17" s="7">
        <v>4</v>
      </c>
      <c r="D17" s="7">
        <v>5</v>
      </c>
      <c r="E17" s="7">
        <v>0.8</v>
      </c>
      <c r="F17" s="7">
        <v>22</v>
      </c>
      <c r="G17" s="7">
        <v>16</v>
      </c>
      <c r="H17" s="7">
        <v>6</v>
      </c>
      <c r="I17" s="7" t="s">
        <v>88</v>
      </c>
      <c r="J17" s="7" t="s">
        <v>89</v>
      </c>
      <c r="K17" s="7"/>
      <c r="L17" s="7" t="s">
        <v>90</v>
      </c>
    </row>
    <row r="18" spans="1:12" x14ac:dyDescent="0.2">
      <c r="A18" s="7">
        <v>13</v>
      </c>
      <c r="B18" s="7" t="s">
        <v>28</v>
      </c>
      <c r="C18" s="7">
        <v>4</v>
      </c>
      <c r="D18" s="7">
        <v>6</v>
      </c>
      <c r="E18" s="7">
        <v>0.67</v>
      </c>
      <c r="F18" s="7">
        <v>25</v>
      </c>
      <c r="G18" s="7">
        <v>19</v>
      </c>
      <c r="H18" s="7">
        <v>6</v>
      </c>
      <c r="I18" s="7" t="s">
        <v>88</v>
      </c>
      <c r="J18" s="7" t="s">
        <v>93</v>
      </c>
      <c r="K18" s="7"/>
      <c r="L18" s="7" t="s">
        <v>90</v>
      </c>
    </row>
    <row r="19" spans="1:12" ht="25.5" x14ac:dyDescent="0.2">
      <c r="A19" s="7">
        <v>14</v>
      </c>
      <c r="B19" s="7" t="s">
        <v>27</v>
      </c>
      <c r="C19" s="7">
        <v>4</v>
      </c>
      <c r="D19" s="7">
        <v>6</v>
      </c>
      <c r="E19" s="7">
        <v>0.67</v>
      </c>
      <c r="F19" s="7">
        <v>22</v>
      </c>
      <c r="G19" s="7">
        <v>17</v>
      </c>
      <c r="H19" s="7">
        <v>5</v>
      </c>
      <c r="I19" s="7" t="s">
        <v>88</v>
      </c>
      <c r="J19" s="7" t="s">
        <v>95</v>
      </c>
      <c r="K19" s="7"/>
      <c r="L19" s="7" t="s">
        <v>90</v>
      </c>
    </row>
    <row r="20" spans="1:12" ht="25.5" x14ac:dyDescent="0.2">
      <c r="A20" s="7">
        <v>15</v>
      </c>
      <c r="B20" s="7" t="s">
        <v>20</v>
      </c>
      <c r="C20" s="7">
        <v>3</v>
      </c>
      <c r="D20" s="7">
        <v>5</v>
      </c>
      <c r="E20" s="7">
        <v>0.6</v>
      </c>
      <c r="F20" s="7">
        <v>17</v>
      </c>
      <c r="G20" s="7">
        <v>15</v>
      </c>
      <c r="H20" s="7">
        <v>2</v>
      </c>
      <c r="I20" s="7" t="s">
        <v>88</v>
      </c>
      <c r="J20" s="7" t="s">
        <v>89</v>
      </c>
      <c r="K20" s="7"/>
      <c r="L20" s="7" t="s">
        <v>90</v>
      </c>
    </row>
    <row r="21" spans="1:12" x14ac:dyDescent="0.2">
      <c r="A21" s="7">
        <v>16</v>
      </c>
      <c r="B21" s="7" t="s">
        <v>39</v>
      </c>
      <c r="C21" s="7">
        <v>3</v>
      </c>
      <c r="D21" s="7">
        <v>5</v>
      </c>
      <c r="E21" s="7">
        <v>0.6</v>
      </c>
      <c r="F21" s="7">
        <v>16</v>
      </c>
      <c r="G21" s="7">
        <v>17</v>
      </c>
      <c r="H21" s="7">
        <v>-1</v>
      </c>
      <c r="I21" s="7" t="s">
        <v>88</v>
      </c>
      <c r="J21" s="7" t="s">
        <v>93</v>
      </c>
      <c r="K21" s="7"/>
      <c r="L21" s="7" t="s">
        <v>90</v>
      </c>
    </row>
    <row r="22" spans="1:12" x14ac:dyDescent="0.2">
      <c r="A22" s="7">
        <v>17</v>
      </c>
      <c r="B22" s="7" t="s">
        <v>57</v>
      </c>
      <c r="C22" s="7">
        <v>3</v>
      </c>
      <c r="D22" s="7">
        <v>6</v>
      </c>
      <c r="E22" s="7">
        <v>0.5</v>
      </c>
      <c r="F22" s="7">
        <v>17</v>
      </c>
      <c r="G22" s="7">
        <v>22</v>
      </c>
      <c r="H22" s="7">
        <v>-5</v>
      </c>
      <c r="I22" s="7" t="s">
        <v>88</v>
      </c>
      <c r="J22" s="7" t="s">
        <v>93</v>
      </c>
      <c r="K22" s="7"/>
      <c r="L22" s="7" t="s">
        <v>90</v>
      </c>
    </row>
    <row r="23" spans="1:12" x14ac:dyDescent="0.2">
      <c r="A23" s="7">
        <v>18</v>
      </c>
      <c r="B23" s="7" t="s">
        <v>47</v>
      </c>
      <c r="C23" s="7">
        <v>2</v>
      </c>
      <c r="D23" s="7">
        <v>5</v>
      </c>
      <c r="E23" s="7">
        <v>0.4</v>
      </c>
      <c r="F23" s="7">
        <v>20</v>
      </c>
      <c r="G23" s="7">
        <v>18</v>
      </c>
      <c r="H23" s="7">
        <v>2</v>
      </c>
      <c r="I23" s="7" t="s">
        <v>88</v>
      </c>
      <c r="J23" s="7" t="s">
        <v>92</v>
      </c>
      <c r="K23" s="7"/>
      <c r="L23" s="7" t="s">
        <v>90</v>
      </c>
    </row>
    <row r="24" spans="1:12" ht="25.5" x14ac:dyDescent="0.2">
      <c r="A24" s="7">
        <v>19</v>
      </c>
      <c r="B24" s="7" t="s">
        <v>31</v>
      </c>
      <c r="C24" s="7">
        <v>2</v>
      </c>
      <c r="D24" s="7">
        <v>5</v>
      </c>
      <c r="E24" s="7">
        <v>0.4</v>
      </c>
      <c r="F24" s="7">
        <v>20</v>
      </c>
      <c r="G24" s="7">
        <v>21</v>
      </c>
      <c r="H24" s="7">
        <v>-1</v>
      </c>
      <c r="I24" s="7" t="s">
        <v>88</v>
      </c>
      <c r="J24" s="7" t="s">
        <v>97</v>
      </c>
      <c r="K24" s="7"/>
      <c r="L24" s="7" t="s">
        <v>90</v>
      </c>
    </row>
    <row r="25" spans="1:12" ht="25.5" x14ac:dyDescent="0.2">
      <c r="A25" s="7">
        <v>20</v>
      </c>
      <c r="B25" s="7" t="s">
        <v>25</v>
      </c>
      <c r="C25" s="7">
        <v>2</v>
      </c>
      <c r="D25" s="7">
        <v>5</v>
      </c>
      <c r="E25" s="7">
        <v>0.4</v>
      </c>
      <c r="F25" s="7">
        <v>15</v>
      </c>
      <c r="G25" s="7">
        <v>16</v>
      </c>
      <c r="H25" s="7">
        <v>-1</v>
      </c>
      <c r="I25" s="7" t="s">
        <v>88</v>
      </c>
      <c r="J25" s="7" t="s">
        <v>96</v>
      </c>
      <c r="K25" s="7"/>
      <c r="L25" s="7" t="s">
        <v>90</v>
      </c>
    </row>
    <row r="26" spans="1:12" x14ac:dyDescent="0.2">
      <c r="A26" s="7">
        <v>21</v>
      </c>
      <c r="B26" s="7" t="s">
        <v>46</v>
      </c>
      <c r="C26" s="7">
        <v>2</v>
      </c>
      <c r="D26" s="7">
        <v>5</v>
      </c>
      <c r="E26" s="7">
        <v>0.4</v>
      </c>
      <c r="F26" s="7">
        <v>17</v>
      </c>
      <c r="G26" s="7">
        <v>20</v>
      </c>
      <c r="H26" s="7">
        <v>-3</v>
      </c>
      <c r="I26" s="7" t="s">
        <v>88</v>
      </c>
      <c r="J26" s="7" t="s">
        <v>92</v>
      </c>
      <c r="K26" s="7"/>
      <c r="L26" s="7" t="s">
        <v>90</v>
      </c>
    </row>
    <row r="27" spans="1:12" ht="25.5" x14ac:dyDescent="0.2">
      <c r="A27" s="7">
        <v>22</v>
      </c>
      <c r="B27" s="7" t="s">
        <v>42</v>
      </c>
      <c r="C27" s="7">
        <v>2</v>
      </c>
      <c r="D27" s="7">
        <v>5</v>
      </c>
      <c r="E27" s="7">
        <v>0.4</v>
      </c>
      <c r="F27" s="7">
        <v>16</v>
      </c>
      <c r="G27" s="7">
        <v>20</v>
      </c>
      <c r="H27" s="7">
        <v>-4</v>
      </c>
      <c r="I27" s="7" t="s">
        <v>88</v>
      </c>
      <c r="J27" s="7" t="s">
        <v>100</v>
      </c>
      <c r="K27" s="7"/>
      <c r="L27" s="7" t="s">
        <v>90</v>
      </c>
    </row>
    <row r="28" spans="1:12" x14ac:dyDescent="0.2">
      <c r="A28" s="7">
        <v>23</v>
      </c>
      <c r="B28" s="7" t="s">
        <v>61</v>
      </c>
      <c r="C28" s="7">
        <v>2</v>
      </c>
      <c r="D28" s="7">
        <v>5</v>
      </c>
      <c r="E28" s="7">
        <v>0.4</v>
      </c>
      <c r="F28" s="7">
        <v>16</v>
      </c>
      <c r="G28" s="7">
        <v>21</v>
      </c>
      <c r="H28" s="7">
        <v>-5</v>
      </c>
      <c r="I28" s="7" t="s">
        <v>88</v>
      </c>
      <c r="J28" s="7" t="s">
        <v>103</v>
      </c>
      <c r="K28" s="7"/>
      <c r="L28" s="7" t="s">
        <v>90</v>
      </c>
    </row>
    <row r="29" spans="1:12" ht="25.5" x14ac:dyDescent="0.2">
      <c r="A29" s="6">
        <v>24</v>
      </c>
      <c r="B29" s="6" t="s">
        <v>26</v>
      </c>
      <c r="C29" s="6">
        <v>2</v>
      </c>
      <c r="D29" s="6">
        <v>5</v>
      </c>
      <c r="E29" s="6">
        <v>0.4</v>
      </c>
      <c r="F29" s="6">
        <v>13</v>
      </c>
      <c r="G29" s="6">
        <v>18</v>
      </c>
      <c r="H29" s="6">
        <v>-5</v>
      </c>
      <c r="I29" s="6" t="s">
        <v>88</v>
      </c>
      <c r="J29" s="6" t="s">
        <v>89</v>
      </c>
      <c r="K29" s="6"/>
      <c r="L29" s="6" t="s">
        <v>90</v>
      </c>
    </row>
    <row r="30" spans="1:12" x14ac:dyDescent="0.2">
      <c r="A30" s="6">
        <v>25</v>
      </c>
      <c r="B30" s="6" t="s">
        <v>49</v>
      </c>
      <c r="C30" s="6">
        <v>2</v>
      </c>
      <c r="D30" s="6">
        <v>6</v>
      </c>
      <c r="E30" s="6">
        <v>0.33</v>
      </c>
      <c r="F30" s="6">
        <v>23</v>
      </c>
      <c r="G30" s="6">
        <v>23</v>
      </c>
      <c r="H30" s="6">
        <v>0</v>
      </c>
      <c r="I30" s="6" t="s">
        <v>88</v>
      </c>
      <c r="J30" s="6" t="s">
        <v>104</v>
      </c>
      <c r="K30" s="6"/>
      <c r="L30" s="6" t="s">
        <v>90</v>
      </c>
    </row>
    <row r="31" spans="1:12" x14ac:dyDescent="0.2">
      <c r="A31" s="6">
        <v>26</v>
      </c>
      <c r="B31" s="6" t="s">
        <v>29</v>
      </c>
      <c r="C31" s="6">
        <v>2</v>
      </c>
      <c r="D31" s="6">
        <v>6</v>
      </c>
      <c r="E31" s="6">
        <v>0.33</v>
      </c>
      <c r="F31" s="6">
        <v>19</v>
      </c>
      <c r="G31" s="6">
        <v>24</v>
      </c>
      <c r="H31" s="6">
        <v>-5</v>
      </c>
      <c r="I31" s="6" t="s">
        <v>88</v>
      </c>
      <c r="J31" s="6" t="s">
        <v>94</v>
      </c>
      <c r="K31" s="6"/>
      <c r="L31" s="6" t="s">
        <v>90</v>
      </c>
    </row>
    <row r="32" spans="1:12" ht="25.5" x14ac:dyDescent="0.2">
      <c r="A32" s="6">
        <v>27</v>
      </c>
      <c r="B32" s="6" t="s">
        <v>56</v>
      </c>
      <c r="C32" s="6">
        <v>2</v>
      </c>
      <c r="D32" s="6">
        <v>6</v>
      </c>
      <c r="E32" s="6">
        <v>0.33</v>
      </c>
      <c r="F32" s="6">
        <v>15</v>
      </c>
      <c r="G32" s="6">
        <v>24</v>
      </c>
      <c r="H32" s="6">
        <v>-9</v>
      </c>
      <c r="I32" s="6" t="s">
        <v>88</v>
      </c>
      <c r="J32" s="6" t="s">
        <v>97</v>
      </c>
      <c r="K32" s="6"/>
      <c r="L32" s="6" t="s">
        <v>90</v>
      </c>
    </row>
    <row r="33" spans="1:12" ht="25.5" x14ac:dyDescent="0.2">
      <c r="A33" s="6">
        <v>28</v>
      </c>
      <c r="B33" s="6" t="s">
        <v>45</v>
      </c>
      <c r="C33" s="6">
        <v>2</v>
      </c>
      <c r="D33" s="6">
        <v>6</v>
      </c>
      <c r="E33" s="6">
        <v>0.33</v>
      </c>
      <c r="F33" s="6">
        <v>16</v>
      </c>
      <c r="G33" s="6">
        <v>27</v>
      </c>
      <c r="H33" s="6">
        <v>-11</v>
      </c>
      <c r="I33" s="6" t="s">
        <v>88</v>
      </c>
      <c r="J33" s="6" t="s">
        <v>97</v>
      </c>
      <c r="K33" s="6"/>
      <c r="L33" s="6" t="s">
        <v>90</v>
      </c>
    </row>
    <row r="34" spans="1:12" ht="25.5" x14ac:dyDescent="0.2">
      <c r="A34" s="6">
        <v>29</v>
      </c>
      <c r="B34" s="6" t="s">
        <v>37</v>
      </c>
      <c r="C34" s="6">
        <v>1</v>
      </c>
      <c r="D34" s="6">
        <v>5</v>
      </c>
      <c r="E34" s="6">
        <v>0.2</v>
      </c>
      <c r="F34" s="6">
        <v>13</v>
      </c>
      <c r="G34" s="6">
        <v>23</v>
      </c>
      <c r="H34" s="6">
        <v>-10</v>
      </c>
      <c r="I34" s="6" t="s">
        <v>88</v>
      </c>
      <c r="J34" s="6" t="s">
        <v>96</v>
      </c>
      <c r="K34" s="6"/>
      <c r="L34" s="6" t="s">
        <v>90</v>
      </c>
    </row>
    <row r="35" spans="1:12" ht="25.5" x14ac:dyDescent="0.2">
      <c r="A35" s="6">
        <v>30</v>
      </c>
      <c r="B35" s="6" t="s">
        <v>35</v>
      </c>
      <c r="C35" s="6">
        <v>1</v>
      </c>
      <c r="D35" s="6">
        <v>5</v>
      </c>
      <c r="E35" s="6">
        <v>0.2</v>
      </c>
      <c r="F35" s="6">
        <v>11</v>
      </c>
      <c r="G35" s="6">
        <v>21</v>
      </c>
      <c r="H35" s="6">
        <v>-10</v>
      </c>
      <c r="I35" s="6" t="s">
        <v>88</v>
      </c>
      <c r="J35" s="6" t="s">
        <v>102</v>
      </c>
      <c r="K35" s="6"/>
      <c r="L35" s="6" t="s">
        <v>90</v>
      </c>
    </row>
    <row r="36" spans="1:12" ht="25.5" x14ac:dyDescent="0.2">
      <c r="A36" s="6">
        <v>31</v>
      </c>
      <c r="B36" s="6" t="s">
        <v>44</v>
      </c>
      <c r="C36" s="6">
        <v>1</v>
      </c>
      <c r="D36" s="6">
        <v>5</v>
      </c>
      <c r="E36" s="6">
        <v>0.2</v>
      </c>
      <c r="F36" s="6">
        <v>11</v>
      </c>
      <c r="G36" s="6">
        <v>23</v>
      </c>
      <c r="H36" s="6">
        <v>-12</v>
      </c>
      <c r="I36" s="6" t="s">
        <v>88</v>
      </c>
      <c r="J36" s="6" t="s">
        <v>102</v>
      </c>
      <c r="K36" s="6" t="s">
        <v>99</v>
      </c>
      <c r="L36" s="6" t="s">
        <v>90</v>
      </c>
    </row>
    <row r="37" spans="1:12" ht="38.25" x14ac:dyDescent="0.2">
      <c r="A37" s="6">
        <v>32</v>
      </c>
      <c r="B37" s="6" t="s">
        <v>30</v>
      </c>
      <c r="C37" s="6">
        <v>1</v>
      </c>
      <c r="D37" s="6">
        <v>5</v>
      </c>
      <c r="E37" s="6">
        <v>0.2</v>
      </c>
      <c r="F37" s="6">
        <v>8</v>
      </c>
      <c r="G37" s="6">
        <v>23</v>
      </c>
      <c r="H37" s="6">
        <v>-15</v>
      </c>
      <c r="I37" s="6" t="s">
        <v>88</v>
      </c>
      <c r="J37" s="6" t="s">
        <v>98</v>
      </c>
      <c r="K37" s="6" t="s">
        <v>99</v>
      </c>
      <c r="L37" s="6" t="s">
        <v>90</v>
      </c>
    </row>
    <row r="38" spans="1:12" ht="25.5" x14ac:dyDescent="0.2">
      <c r="A38" s="6">
        <v>33</v>
      </c>
      <c r="B38" s="6" t="s">
        <v>55</v>
      </c>
      <c r="C38" s="6">
        <v>1</v>
      </c>
      <c r="D38" s="6">
        <v>6</v>
      </c>
      <c r="E38" s="6">
        <v>0.17</v>
      </c>
      <c r="F38" s="6">
        <v>16</v>
      </c>
      <c r="G38" s="6">
        <v>28</v>
      </c>
      <c r="H38" s="6">
        <v>-12</v>
      </c>
      <c r="I38" s="6" t="s">
        <v>88</v>
      </c>
      <c r="J38" s="6" t="s">
        <v>92</v>
      </c>
      <c r="K38" s="6"/>
      <c r="L38" s="6" t="s">
        <v>90</v>
      </c>
    </row>
    <row r="39" spans="1:12" x14ac:dyDescent="0.2">
      <c r="A39" s="6">
        <v>34</v>
      </c>
      <c r="B39" s="6" t="s">
        <v>68</v>
      </c>
      <c r="C39" s="6">
        <v>0</v>
      </c>
      <c r="D39" s="6">
        <v>5</v>
      </c>
      <c r="E39" s="6">
        <v>0</v>
      </c>
      <c r="F39" s="6">
        <v>11</v>
      </c>
      <c r="G39" s="6">
        <v>25</v>
      </c>
      <c r="H39" s="6">
        <v>-14</v>
      </c>
      <c r="I39" s="6" t="s">
        <v>88</v>
      </c>
      <c r="J39" s="6" t="s">
        <v>101</v>
      </c>
      <c r="K39" s="6"/>
      <c r="L39" s="6" t="s">
        <v>90</v>
      </c>
    </row>
    <row r="40" spans="1:12" x14ac:dyDescent="0.2">
      <c r="A40" s="6">
        <v>35</v>
      </c>
      <c r="B40" s="6" t="s">
        <v>70</v>
      </c>
      <c r="C40" s="6">
        <v>0</v>
      </c>
      <c r="D40" s="6">
        <v>5</v>
      </c>
      <c r="E40" s="6">
        <v>0</v>
      </c>
      <c r="F40" s="6">
        <v>9</v>
      </c>
      <c r="G40" s="6">
        <v>25</v>
      </c>
      <c r="H40" s="6">
        <v>-16</v>
      </c>
      <c r="I40" s="6" t="s">
        <v>88</v>
      </c>
      <c r="J40" s="6" t="s">
        <v>101</v>
      </c>
      <c r="K40" s="6"/>
      <c r="L40" s="6" t="s">
        <v>90</v>
      </c>
    </row>
    <row r="41" spans="1:12" ht="25.5" x14ac:dyDescent="0.2">
      <c r="A41" s="6">
        <v>36</v>
      </c>
      <c r="B41" s="6" t="s">
        <v>60</v>
      </c>
      <c r="C41" s="6">
        <v>0</v>
      </c>
      <c r="D41" s="6">
        <v>6</v>
      </c>
      <c r="E41" s="6">
        <v>0</v>
      </c>
      <c r="F41" s="6">
        <v>10</v>
      </c>
      <c r="G41" s="6">
        <v>30</v>
      </c>
      <c r="H41" s="6">
        <v>-20</v>
      </c>
      <c r="I41" s="6" t="s">
        <v>88</v>
      </c>
      <c r="J41" s="6" t="s">
        <v>104</v>
      </c>
      <c r="K41" s="6"/>
      <c r="L41" s="6" t="s">
        <v>90</v>
      </c>
    </row>
    <row r="42" spans="1:12" x14ac:dyDescent="0.2">
      <c r="A42" s="6">
        <v>37</v>
      </c>
      <c r="B42" s="6" t="s">
        <v>62</v>
      </c>
      <c r="C42" s="6">
        <v>0</v>
      </c>
      <c r="D42" s="6">
        <v>5</v>
      </c>
      <c r="E42" s="6">
        <v>0</v>
      </c>
      <c r="F42" s="6">
        <v>4</v>
      </c>
      <c r="G42" s="6">
        <v>25</v>
      </c>
      <c r="H42" s="6">
        <v>-21</v>
      </c>
      <c r="I42" s="6" t="s">
        <v>88</v>
      </c>
      <c r="J42" s="6" t="s">
        <v>101</v>
      </c>
      <c r="K42" s="6"/>
      <c r="L42" s="6" t="s">
        <v>90</v>
      </c>
    </row>
    <row r="43" spans="1:12" x14ac:dyDescent="0.2">
      <c r="A43" s="6">
        <v>38</v>
      </c>
      <c r="B43" s="6" t="s">
        <v>71</v>
      </c>
      <c r="C43" s="6">
        <v>0</v>
      </c>
      <c r="D43" s="6">
        <v>6</v>
      </c>
      <c r="E43" s="6">
        <v>0</v>
      </c>
      <c r="F43" s="6">
        <v>4</v>
      </c>
      <c r="G43" s="6">
        <v>30</v>
      </c>
      <c r="H43" s="6">
        <v>-26</v>
      </c>
      <c r="I43" s="6" t="s">
        <v>88</v>
      </c>
      <c r="J43" s="6" t="s">
        <v>105</v>
      </c>
      <c r="K43" s="6"/>
      <c r="L43" s="6" t="s">
        <v>90</v>
      </c>
    </row>
    <row r="44" spans="1:12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2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1:12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1:12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</sheetData>
  <autoFilter ref="A5:L5" xr:uid="{00000000-0009-0000-0000-000002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:L3" r:id="rId1" display="https://fencingtimelive.com/pools/results/3531C901598B4A9DBBDA4CC405FBB2E3/9665CC12AE90441DA083E869D4E1575C" xr:uid="{B6519C22-86A8-42C8-BB5A-9B503170FF1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2:L50"/>
  <sheetViews>
    <sheetView workbookViewId="0">
      <selection activeCell="A2" sqref="A2:L3"/>
    </sheetView>
  </sheetViews>
  <sheetFormatPr defaultRowHeight="12.75" x14ac:dyDescent="0.2"/>
  <cols>
    <col min="1" max="1" width="5.7109375" style="5" bestFit="1" customWidth="1"/>
    <col min="2" max="2" width="18.85546875" style="5" customWidth="1"/>
    <col min="3" max="3" width="2.28515625" style="5" bestFit="1" customWidth="1"/>
    <col min="4" max="4" width="2.42578125" style="5" bestFit="1" customWidth="1"/>
    <col min="5" max="5" width="8.7109375" style="5" customWidth="1"/>
    <col min="6" max="6" width="3.28515625" style="5" bestFit="1" customWidth="1"/>
    <col min="7" max="7" width="3.42578125" style="5" bestFit="1" customWidth="1"/>
    <col min="8" max="8" width="3.7109375" style="5" bestFit="1" customWidth="1"/>
    <col min="9" max="9" width="11.28515625" style="5" customWidth="1"/>
    <col min="10" max="10" width="18.28515625" style="5" customWidth="1"/>
    <col min="11" max="11" width="7.85546875" style="5" bestFit="1" customWidth="1"/>
    <col min="12" max="12" width="8.140625" style="5" bestFit="1" customWidth="1"/>
  </cols>
  <sheetData>
    <row r="2" spans="1:12" x14ac:dyDescent="0.2">
      <c r="A2" s="56" t="s">
        <v>74</v>
      </c>
      <c r="B2" s="56"/>
      <c r="C2" s="57" t="s">
        <v>111</v>
      </c>
      <c r="D2" s="57"/>
      <c r="E2" s="57"/>
      <c r="F2" s="57"/>
      <c r="G2" s="57"/>
      <c r="H2" s="57"/>
      <c r="I2" s="57"/>
      <c r="J2" s="57"/>
      <c r="K2" s="57"/>
      <c r="L2" s="57"/>
    </row>
    <row r="3" spans="1:12" x14ac:dyDescent="0.2">
      <c r="A3" s="8"/>
      <c r="B3" s="24">
        <v>44942</v>
      </c>
      <c r="C3" s="59" t="s">
        <v>112</v>
      </c>
      <c r="D3" s="59"/>
      <c r="E3" s="59"/>
      <c r="F3" s="59"/>
      <c r="G3" s="59"/>
      <c r="H3" s="59"/>
      <c r="I3" s="59"/>
      <c r="J3" s="59"/>
      <c r="K3" s="59"/>
      <c r="L3" s="59"/>
    </row>
    <row r="4" spans="1:12" ht="13.15" customHeight="1" x14ac:dyDescent="0.2"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12" ht="30" x14ac:dyDescent="0.2">
      <c r="A5" s="10" t="s">
        <v>78</v>
      </c>
      <c r="B5" s="10" t="s">
        <v>79</v>
      </c>
      <c r="C5" s="10" t="s">
        <v>80</v>
      </c>
      <c r="D5" s="10" t="s">
        <v>81</v>
      </c>
      <c r="E5" s="10" t="s">
        <v>82</v>
      </c>
      <c r="F5" s="10" t="s">
        <v>4</v>
      </c>
      <c r="G5" s="10" t="s">
        <v>83</v>
      </c>
      <c r="H5" s="10" t="s">
        <v>5</v>
      </c>
      <c r="I5" s="10" t="s">
        <v>84</v>
      </c>
      <c r="J5" s="10" t="s">
        <v>85</v>
      </c>
      <c r="K5" s="10" t="s">
        <v>86</v>
      </c>
      <c r="L5" s="10" t="s">
        <v>87</v>
      </c>
    </row>
    <row r="6" spans="1:12" ht="25.5" x14ac:dyDescent="0.2">
      <c r="A6" s="7">
        <v>1</v>
      </c>
      <c r="B6" s="7" t="s">
        <v>16</v>
      </c>
      <c r="C6" s="7">
        <v>5</v>
      </c>
      <c r="D6" s="7">
        <v>5</v>
      </c>
      <c r="E6" s="7">
        <v>1</v>
      </c>
      <c r="F6" s="7">
        <v>25</v>
      </c>
      <c r="G6" s="7">
        <v>4</v>
      </c>
      <c r="H6" s="7">
        <v>21</v>
      </c>
      <c r="I6" s="7" t="s">
        <v>88</v>
      </c>
      <c r="J6" s="7" t="s">
        <v>94</v>
      </c>
      <c r="K6" s="7"/>
      <c r="L6" s="7" t="s">
        <v>113</v>
      </c>
    </row>
    <row r="7" spans="1:12" x14ac:dyDescent="0.2">
      <c r="A7" s="7">
        <v>2</v>
      </c>
      <c r="B7" s="7" t="s">
        <v>23</v>
      </c>
      <c r="C7" s="7">
        <v>6</v>
      </c>
      <c r="D7" s="7">
        <v>6</v>
      </c>
      <c r="E7" s="7">
        <v>1</v>
      </c>
      <c r="F7" s="7">
        <v>30</v>
      </c>
      <c r="G7" s="7">
        <v>12</v>
      </c>
      <c r="H7" s="7">
        <v>18</v>
      </c>
      <c r="I7" s="7" t="s">
        <v>88</v>
      </c>
      <c r="J7" s="7" t="s">
        <v>114</v>
      </c>
      <c r="K7" s="7"/>
      <c r="L7" s="7" t="s">
        <v>113</v>
      </c>
    </row>
    <row r="8" spans="1:12" ht="25.5" x14ac:dyDescent="0.2">
      <c r="A8" s="7">
        <v>3</v>
      </c>
      <c r="B8" s="7" t="s">
        <v>17</v>
      </c>
      <c r="C8" s="7">
        <v>5</v>
      </c>
      <c r="D8" s="7">
        <v>5</v>
      </c>
      <c r="E8" s="7">
        <v>1</v>
      </c>
      <c r="F8" s="7">
        <v>25</v>
      </c>
      <c r="G8" s="7">
        <v>9</v>
      </c>
      <c r="H8" s="7">
        <v>16</v>
      </c>
      <c r="I8" s="7" t="s">
        <v>88</v>
      </c>
      <c r="J8" s="7" t="s">
        <v>89</v>
      </c>
      <c r="K8" s="7"/>
      <c r="L8" s="7" t="s">
        <v>113</v>
      </c>
    </row>
    <row r="9" spans="1:12" ht="25.5" x14ac:dyDescent="0.2">
      <c r="A9" s="7">
        <v>4</v>
      </c>
      <c r="B9" s="7" t="s">
        <v>14</v>
      </c>
      <c r="C9" s="7">
        <v>5</v>
      </c>
      <c r="D9" s="7">
        <v>6</v>
      </c>
      <c r="E9" s="7">
        <v>0.83</v>
      </c>
      <c r="F9" s="7">
        <v>29</v>
      </c>
      <c r="G9" s="7">
        <v>14</v>
      </c>
      <c r="H9" s="7">
        <v>15</v>
      </c>
      <c r="I9" s="7" t="s">
        <v>88</v>
      </c>
      <c r="J9" s="7" t="s">
        <v>89</v>
      </c>
      <c r="K9" s="7"/>
      <c r="L9" s="7" t="s">
        <v>113</v>
      </c>
    </row>
    <row r="10" spans="1:12" ht="25.5" x14ac:dyDescent="0.2">
      <c r="A10" s="7">
        <v>5</v>
      </c>
      <c r="B10" s="7" t="s">
        <v>15</v>
      </c>
      <c r="C10" s="7">
        <v>5</v>
      </c>
      <c r="D10" s="7">
        <v>6</v>
      </c>
      <c r="E10" s="7">
        <v>0.83</v>
      </c>
      <c r="F10" s="7">
        <v>28</v>
      </c>
      <c r="G10" s="7">
        <v>14</v>
      </c>
      <c r="H10" s="7">
        <v>14</v>
      </c>
      <c r="I10" s="7" t="s">
        <v>88</v>
      </c>
      <c r="J10" s="7" t="s">
        <v>89</v>
      </c>
      <c r="K10" s="7"/>
      <c r="L10" s="7" t="s">
        <v>113</v>
      </c>
    </row>
    <row r="11" spans="1:12" ht="25.5" x14ac:dyDescent="0.2">
      <c r="A11" s="7">
        <v>6</v>
      </c>
      <c r="B11" s="7" t="s">
        <v>19</v>
      </c>
      <c r="C11" s="7">
        <v>5</v>
      </c>
      <c r="D11" s="7">
        <v>6</v>
      </c>
      <c r="E11" s="7">
        <v>0.83</v>
      </c>
      <c r="F11" s="7">
        <v>29</v>
      </c>
      <c r="G11" s="7">
        <v>18</v>
      </c>
      <c r="H11" s="7">
        <v>11</v>
      </c>
      <c r="I11" s="7" t="s">
        <v>88</v>
      </c>
      <c r="J11" s="7" t="s">
        <v>89</v>
      </c>
      <c r="K11" s="7"/>
      <c r="L11" s="7" t="s">
        <v>113</v>
      </c>
    </row>
    <row r="12" spans="1:12" ht="25.5" x14ac:dyDescent="0.2">
      <c r="A12" s="7">
        <v>7</v>
      </c>
      <c r="B12" s="7" t="s">
        <v>50</v>
      </c>
      <c r="C12" s="7">
        <v>5</v>
      </c>
      <c r="D12" s="7">
        <v>6</v>
      </c>
      <c r="E12" s="7">
        <v>0.83</v>
      </c>
      <c r="F12" s="7">
        <v>27</v>
      </c>
      <c r="G12" s="7">
        <v>18</v>
      </c>
      <c r="H12" s="7">
        <v>9</v>
      </c>
      <c r="I12" s="7" t="s">
        <v>88</v>
      </c>
      <c r="J12" s="7" t="s">
        <v>115</v>
      </c>
      <c r="K12" s="7"/>
      <c r="L12" s="7" t="s">
        <v>113</v>
      </c>
    </row>
    <row r="13" spans="1:12" ht="25.5" x14ac:dyDescent="0.2">
      <c r="A13" s="7">
        <v>8</v>
      </c>
      <c r="B13" s="7" t="s">
        <v>18</v>
      </c>
      <c r="C13" s="7">
        <v>4</v>
      </c>
      <c r="D13" s="7">
        <v>5</v>
      </c>
      <c r="E13" s="7">
        <v>0.8</v>
      </c>
      <c r="F13" s="7">
        <v>21</v>
      </c>
      <c r="G13" s="7">
        <v>15</v>
      </c>
      <c r="H13" s="7">
        <v>6</v>
      </c>
      <c r="I13" s="7" t="s">
        <v>88</v>
      </c>
      <c r="J13" s="7" t="s">
        <v>116</v>
      </c>
      <c r="K13" s="7"/>
      <c r="L13" s="7" t="s">
        <v>113</v>
      </c>
    </row>
    <row r="14" spans="1:12" x14ac:dyDescent="0.2">
      <c r="A14" s="7">
        <v>9</v>
      </c>
      <c r="B14" s="7" t="s">
        <v>29</v>
      </c>
      <c r="C14" s="7">
        <v>4</v>
      </c>
      <c r="D14" s="7">
        <v>6</v>
      </c>
      <c r="E14" s="7">
        <v>0.67</v>
      </c>
      <c r="F14" s="7">
        <v>27</v>
      </c>
      <c r="G14" s="7">
        <v>20</v>
      </c>
      <c r="H14" s="7">
        <v>7</v>
      </c>
      <c r="I14" s="7" t="s">
        <v>88</v>
      </c>
      <c r="J14" s="7" t="s">
        <v>94</v>
      </c>
      <c r="K14" s="7"/>
      <c r="L14" s="7" t="s">
        <v>113</v>
      </c>
    </row>
    <row r="15" spans="1:12" ht="25.5" x14ac:dyDescent="0.2">
      <c r="A15" s="7">
        <v>10</v>
      </c>
      <c r="B15" s="7" t="s">
        <v>20</v>
      </c>
      <c r="C15" s="7">
        <v>3</v>
      </c>
      <c r="D15" s="7">
        <v>5</v>
      </c>
      <c r="E15" s="7">
        <v>0.6</v>
      </c>
      <c r="F15" s="7">
        <v>20</v>
      </c>
      <c r="G15" s="7">
        <v>17</v>
      </c>
      <c r="H15" s="7">
        <v>3</v>
      </c>
      <c r="I15" s="7" t="s">
        <v>88</v>
      </c>
      <c r="J15" s="7" t="s">
        <v>89</v>
      </c>
      <c r="K15" s="7"/>
      <c r="L15" s="7" t="s">
        <v>113</v>
      </c>
    </row>
    <row r="16" spans="1:12" ht="25.5" x14ac:dyDescent="0.2">
      <c r="A16" s="7">
        <v>11</v>
      </c>
      <c r="B16" s="7" t="s">
        <v>26</v>
      </c>
      <c r="C16" s="7">
        <v>3</v>
      </c>
      <c r="D16" s="7">
        <v>5</v>
      </c>
      <c r="E16" s="7">
        <v>0.6</v>
      </c>
      <c r="F16" s="7">
        <v>19</v>
      </c>
      <c r="G16" s="7">
        <v>16</v>
      </c>
      <c r="H16" s="7">
        <v>3</v>
      </c>
      <c r="I16" s="7" t="s">
        <v>88</v>
      </c>
      <c r="J16" s="7" t="s">
        <v>89</v>
      </c>
      <c r="K16" s="7"/>
      <c r="L16" s="7" t="s">
        <v>113</v>
      </c>
    </row>
    <row r="17" spans="1:12" ht="25.5" x14ac:dyDescent="0.2">
      <c r="A17" s="7">
        <v>12</v>
      </c>
      <c r="B17" s="7" t="s">
        <v>32</v>
      </c>
      <c r="C17" s="7">
        <v>3</v>
      </c>
      <c r="D17" s="7">
        <v>5</v>
      </c>
      <c r="E17" s="7">
        <v>0.6</v>
      </c>
      <c r="F17" s="7">
        <v>20</v>
      </c>
      <c r="G17" s="7">
        <v>19</v>
      </c>
      <c r="H17" s="7">
        <v>1</v>
      </c>
      <c r="I17" s="7" t="s">
        <v>88</v>
      </c>
      <c r="J17" s="7" t="s">
        <v>114</v>
      </c>
      <c r="K17" s="7"/>
      <c r="L17" s="7" t="s">
        <v>113</v>
      </c>
    </row>
    <row r="18" spans="1:12" ht="25.5" x14ac:dyDescent="0.2">
      <c r="A18" s="7">
        <v>13</v>
      </c>
      <c r="B18" s="7" t="s">
        <v>53</v>
      </c>
      <c r="C18" s="7">
        <v>3</v>
      </c>
      <c r="D18" s="7">
        <v>5</v>
      </c>
      <c r="E18" s="7">
        <v>0.6</v>
      </c>
      <c r="F18" s="7">
        <v>18</v>
      </c>
      <c r="G18" s="7">
        <v>18</v>
      </c>
      <c r="H18" s="7">
        <v>0</v>
      </c>
      <c r="I18" s="7" t="s">
        <v>88</v>
      </c>
      <c r="J18" s="7" t="s">
        <v>94</v>
      </c>
      <c r="K18" s="7"/>
      <c r="L18" s="7" t="s">
        <v>113</v>
      </c>
    </row>
    <row r="19" spans="1:12" ht="25.5" x14ac:dyDescent="0.2">
      <c r="A19" s="7">
        <v>14</v>
      </c>
      <c r="B19" s="7" t="s">
        <v>25</v>
      </c>
      <c r="C19" s="7">
        <v>3</v>
      </c>
      <c r="D19" s="7">
        <v>6</v>
      </c>
      <c r="E19" s="7">
        <v>0.5</v>
      </c>
      <c r="F19" s="7">
        <v>22</v>
      </c>
      <c r="G19" s="7">
        <v>20</v>
      </c>
      <c r="H19" s="7">
        <v>2</v>
      </c>
      <c r="I19" s="7" t="s">
        <v>88</v>
      </c>
      <c r="J19" s="7" t="s">
        <v>96</v>
      </c>
      <c r="K19" s="7"/>
      <c r="L19" s="7" t="s">
        <v>113</v>
      </c>
    </row>
    <row r="20" spans="1:12" ht="25.5" x14ac:dyDescent="0.2">
      <c r="A20" s="7">
        <v>15</v>
      </c>
      <c r="B20" s="7" t="s">
        <v>44</v>
      </c>
      <c r="C20" s="7">
        <v>2</v>
      </c>
      <c r="D20" s="7">
        <v>5</v>
      </c>
      <c r="E20" s="7">
        <v>0.4</v>
      </c>
      <c r="F20" s="7">
        <v>15</v>
      </c>
      <c r="G20" s="7">
        <v>19</v>
      </c>
      <c r="H20" s="7">
        <v>-4</v>
      </c>
      <c r="I20" s="7" t="s">
        <v>88</v>
      </c>
      <c r="J20" s="7" t="s">
        <v>102</v>
      </c>
      <c r="K20" s="7"/>
      <c r="L20" s="7" t="s">
        <v>113</v>
      </c>
    </row>
    <row r="21" spans="1:12" x14ac:dyDescent="0.2">
      <c r="A21" s="7">
        <v>16</v>
      </c>
      <c r="B21" s="7" t="s">
        <v>54</v>
      </c>
      <c r="C21" s="7">
        <v>2</v>
      </c>
      <c r="D21" s="7">
        <v>6</v>
      </c>
      <c r="E21" s="7">
        <v>0.33</v>
      </c>
      <c r="F21" s="7">
        <v>26</v>
      </c>
      <c r="G21" s="7">
        <v>23</v>
      </c>
      <c r="H21" s="7">
        <v>3</v>
      </c>
      <c r="I21" s="7" t="s">
        <v>88</v>
      </c>
      <c r="J21" s="7" t="s">
        <v>94</v>
      </c>
      <c r="K21" s="7"/>
      <c r="L21" s="7" t="s">
        <v>113</v>
      </c>
    </row>
    <row r="22" spans="1:12" ht="25.5" x14ac:dyDescent="0.2">
      <c r="A22" s="7">
        <v>17</v>
      </c>
      <c r="B22" s="7" t="s">
        <v>28</v>
      </c>
      <c r="C22" s="7">
        <v>2</v>
      </c>
      <c r="D22" s="7">
        <v>6</v>
      </c>
      <c r="E22" s="7">
        <v>0.33</v>
      </c>
      <c r="F22" s="7">
        <v>20</v>
      </c>
      <c r="G22" s="7">
        <v>24</v>
      </c>
      <c r="H22" s="7">
        <v>-4</v>
      </c>
      <c r="I22" s="7" t="s">
        <v>88</v>
      </c>
      <c r="J22" s="7" t="s">
        <v>116</v>
      </c>
      <c r="K22" s="7"/>
      <c r="L22" s="7" t="s">
        <v>113</v>
      </c>
    </row>
    <row r="23" spans="1:12" ht="25.5" x14ac:dyDescent="0.2">
      <c r="A23" s="7">
        <v>18</v>
      </c>
      <c r="B23" s="7" t="s">
        <v>24</v>
      </c>
      <c r="C23" s="7">
        <v>2</v>
      </c>
      <c r="D23" s="7">
        <v>6</v>
      </c>
      <c r="E23" s="7">
        <v>0.33</v>
      </c>
      <c r="F23" s="7">
        <v>16</v>
      </c>
      <c r="G23" s="7">
        <v>22</v>
      </c>
      <c r="H23" s="7">
        <v>-6</v>
      </c>
      <c r="I23" s="7" t="s">
        <v>88</v>
      </c>
      <c r="J23" s="7" t="s">
        <v>96</v>
      </c>
      <c r="K23" s="7"/>
      <c r="L23" s="7" t="s">
        <v>113</v>
      </c>
    </row>
    <row r="24" spans="1:12" ht="25.5" x14ac:dyDescent="0.2">
      <c r="A24" s="7">
        <v>19</v>
      </c>
      <c r="B24" s="7" t="s">
        <v>36</v>
      </c>
      <c r="C24" s="7">
        <v>1</v>
      </c>
      <c r="D24" s="7">
        <v>5</v>
      </c>
      <c r="E24" s="7">
        <v>0.2</v>
      </c>
      <c r="F24" s="7">
        <v>16</v>
      </c>
      <c r="G24" s="7">
        <v>23</v>
      </c>
      <c r="H24" s="7">
        <v>-7</v>
      </c>
      <c r="I24" s="7" t="s">
        <v>88</v>
      </c>
      <c r="J24" s="7" t="s">
        <v>116</v>
      </c>
      <c r="K24" s="7"/>
      <c r="L24" s="7" t="s">
        <v>113</v>
      </c>
    </row>
    <row r="25" spans="1:12" ht="25.5" x14ac:dyDescent="0.2">
      <c r="A25" s="7">
        <v>20</v>
      </c>
      <c r="B25" s="7" t="s">
        <v>58</v>
      </c>
      <c r="C25" s="7">
        <v>1</v>
      </c>
      <c r="D25" s="7">
        <v>5</v>
      </c>
      <c r="E25" s="7">
        <v>0.2</v>
      </c>
      <c r="F25" s="7">
        <v>13</v>
      </c>
      <c r="G25" s="7">
        <v>21</v>
      </c>
      <c r="H25" s="7">
        <v>-8</v>
      </c>
      <c r="I25" s="7" t="s">
        <v>88</v>
      </c>
      <c r="J25" s="7" t="s">
        <v>117</v>
      </c>
      <c r="K25" s="7"/>
      <c r="L25" s="7" t="s">
        <v>113</v>
      </c>
    </row>
    <row r="26" spans="1:12" ht="25.5" x14ac:dyDescent="0.2">
      <c r="A26" s="7">
        <v>21</v>
      </c>
      <c r="B26" s="7" t="s">
        <v>66</v>
      </c>
      <c r="C26" s="7">
        <v>1</v>
      </c>
      <c r="D26" s="7">
        <v>6</v>
      </c>
      <c r="E26" s="7">
        <v>0.17</v>
      </c>
      <c r="F26" s="7">
        <v>17</v>
      </c>
      <c r="G26" s="7">
        <v>27</v>
      </c>
      <c r="H26" s="7">
        <v>-10</v>
      </c>
      <c r="I26" s="7" t="s">
        <v>88</v>
      </c>
      <c r="J26" s="7" t="s">
        <v>89</v>
      </c>
      <c r="K26" s="7"/>
      <c r="L26" s="7" t="s">
        <v>113</v>
      </c>
    </row>
    <row r="27" spans="1:12" ht="25.5" x14ac:dyDescent="0.2">
      <c r="A27" s="7">
        <v>22</v>
      </c>
      <c r="B27" s="7" t="s">
        <v>56</v>
      </c>
      <c r="C27" s="7">
        <v>1</v>
      </c>
      <c r="D27" s="7">
        <v>6</v>
      </c>
      <c r="E27" s="7">
        <v>0.17</v>
      </c>
      <c r="F27" s="7">
        <v>11</v>
      </c>
      <c r="G27" s="7">
        <v>29</v>
      </c>
      <c r="H27" s="7">
        <v>-18</v>
      </c>
      <c r="I27" s="7" t="s">
        <v>88</v>
      </c>
      <c r="J27" s="7" t="s">
        <v>97</v>
      </c>
      <c r="K27" s="7"/>
      <c r="L27" s="7" t="s">
        <v>113</v>
      </c>
    </row>
    <row r="28" spans="1:12" ht="25.5" x14ac:dyDescent="0.2">
      <c r="A28" s="7">
        <v>23</v>
      </c>
      <c r="B28" s="7" t="s">
        <v>45</v>
      </c>
      <c r="C28" s="7">
        <v>1</v>
      </c>
      <c r="D28" s="7">
        <v>6</v>
      </c>
      <c r="E28" s="7">
        <v>0.17</v>
      </c>
      <c r="F28" s="7">
        <v>8</v>
      </c>
      <c r="G28" s="7">
        <v>28</v>
      </c>
      <c r="H28" s="7">
        <v>-20</v>
      </c>
      <c r="I28" s="7" t="s">
        <v>88</v>
      </c>
      <c r="J28" s="7" t="s">
        <v>97</v>
      </c>
      <c r="K28" s="7"/>
      <c r="L28" s="7" t="s">
        <v>113</v>
      </c>
    </row>
    <row r="29" spans="1:12" ht="25.5" x14ac:dyDescent="0.2">
      <c r="A29" s="7">
        <v>24</v>
      </c>
      <c r="B29" s="7" t="s">
        <v>37</v>
      </c>
      <c r="C29" s="7">
        <v>0</v>
      </c>
      <c r="D29" s="7">
        <v>5</v>
      </c>
      <c r="E29" s="7">
        <v>0</v>
      </c>
      <c r="F29" s="7">
        <v>12</v>
      </c>
      <c r="G29" s="7">
        <v>25</v>
      </c>
      <c r="H29" s="7">
        <v>-13</v>
      </c>
      <c r="I29" s="7" t="s">
        <v>88</v>
      </c>
      <c r="J29" s="7" t="s">
        <v>96</v>
      </c>
      <c r="K29" s="7"/>
      <c r="L29" s="7" t="s">
        <v>113</v>
      </c>
    </row>
    <row r="30" spans="1:12" ht="38.25" x14ac:dyDescent="0.2">
      <c r="A30" s="7">
        <v>25</v>
      </c>
      <c r="B30" s="7" t="s">
        <v>30</v>
      </c>
      <c r="C30" s="7">
        <v>0</v>
      </c>
      <c r="D30" s="7">
        <v>5</v>
      </c>
      <c r="E30" s="7">
        <v>0</v>
      </c>
      <c r="F30" s="7">
        <v>7</v>
      </c>
      <c r="G30" s="7">
        <v>25</v>
      </c>
      <c r="H30" s="7">
        <v>-18</v>
      </c>
      <c r="I30" s="7" t="s">
        <v>88</v>
      </c>
      <c r="J30" s="7" t="s">
        <v>118</v>
      </c>
      <c r="K30" s="7"/>
      <c r="L30" s="7" t="s">
        <v>113</v>
      </c>
    </row>
    <row r="31" spans="1:12" ht="25.5" x14ac:dyDescent="0.2">
      <c r="A31" s="7">
        <v>26</v>
      </c>
      <c r="B31" s="7" t="s">
        <v>60</v>
      </c>
      <c r="C31" s="7">
        <v>0</v>
      </c>
      <c r="D31" s="7">
        <v>6</v>
      </c>
      <c r="E31" s="7">
        <v>0</v>
      </c>
      <c r="F31" s="7">
        <v>9</v>
      </c>
      <c r="G31" s="7">
        <v>30</v>
      </c>
      <c r="H31" s="7">
        <v>-21</v>
      </c>
      <c r="I31" s="7" t="s">
        <v>88</v>
      </c>
      <c r="J31" s="7" t="s">
        <v>119</v>
      </c>
      <c r="K31" s="7"/>
      <c r="L31" s="7" t="s">
        <v>113</v>
      </c>
    </row>
    <row r="32" spans="1:12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 spans="1:12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1:12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spans="1:12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 spans="1:12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 spans="1:12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1:12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1:12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12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1:12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2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1:12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1:12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</sheetData>
  <autoFilter ref="A5:L5" xr:uid="{00000000-0009-0000-0000-000003000000}">
    <sortState xmlns:xlrd2="http://schemas.microsoft.com/office/spreadsheetml/2017/richdata2" ref="A6:L37">
      <sortCondition ref="A5"/>
    </sortState>
  </autoFilter>
  <mergeCells count="3">
    <mergeCell ref="A2:B2"/>
    <mergeCell ref="C2:L2"/>
    <mergeCell ref="C3:L3"/>
  </mergeCells>
  <hyperlinks>
    <hyperlink ref="C3:L3" r:id="rId1" display="https://www.fencingtimelive.com/pools/results/31A6DC9D57BF4A248E0AB24A86AB105A/A66AB24881EA4D3DA97C36B43D8D1AEE" xr:uid="{0F6BC06B-0103-44C8-941C-7078AC21855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2:L50"/>
  <sheetViews>
    <sheetView topLeftCell="A14" workbookViewId="0">
      <selection activeCell="R33" sqref="R33"/>
    </sheetView>
  </sheetViews>
  <sheetFormatPr defaultRowHeight="12.75" x14ac:dyDescent="0.2"/>
  <cols>
    <col min="1" max="1" width="5.7109375" style="5" bestFit="1" customWidth="1"/>
    <col min="2" max="2" width="18.85546875" style="5" customWidth="1"/>
    <col min="3" max="3" width="2.28515625" style="5" bestFit="1" customWidth="1"/>
    <col min="4" max="4" width="2.42578125" style="5" bestFit="1" customWidth="1"/>
    <col min="5" max="5" width="8.7109375" style="5" customWidth="1"/>
    <col min="6" max="6" width="3.28515625" style="5" bestFit="1" customWidth="1"/>
    <col min="7" max="7" width="3.42578125" style="5" bestFit="1" customWidth="1"/>
    <col min="8" max="8" width="3.7109375" style="5" bestFit="1" customWidth="1"/>
    <col min="9" max="9" width="11.28515625" style="5" customWidth="1"/>
    <col min="10" max="10" width="18.28515625" style="5" customWidth="1"/>
    <col min="11" max="11" width="7.85546875" style="5" bestFit="1" customWidth="1"/>
    <col min="12" max="12" width="8.140625" style="5" bestFit="1" customWidth="1"/>
  </cols>
  <sheetData>
    <row r="2" spans="1:12" ht="13.7" customHeight="1" x14ac:dyDescent="0.2">
      <c r="A2" s="56" t="s">
        <v>74</v>
      </c>
      <c r="B2" s="56"/>
      <c r="C2" s="57" t="s">
        <v>111</v>
      </c>
      <c r="D2" s="57"/>
      <c r="E2" s="57"/>
      <c r="F2" s="57"/>
      <c r="G2" s="57"/>
      <c r="H2" s="57"/>
      <c r="I2" s="57"/>
      <c r="J2" s="57"/>
      <c r="K2" s="57"/>
      <c r="L2" s="57"/>
    </row>
    <row r="3" spans="1:12" ht="13.7" customHeight="1" x14ac:dyDescent="0.2">
      <c r="A3" s="8"/>
      <c r="B3" s="24" t="s">
        <v>120</v>
      </c>
      <c r="C3" s="59" t="s">
        <v>121</v>
      </c>
      <c r="D3" s="59"/>
      <c r="E3" s="59"/>
      <c r="F3" s="59"/>
      <c r="G3" s="59"/>
      <c r="H3" s="59"/>
      <c r="I3" s="59"/>
      <c r="J3" s="59"/>
      <c r="K3" s="59"/>
      <c r="L3" s="59"/>
    </row>
    <row r="4" spans="1:12" ht="13.15" customHeight="1" x14ac:dyDescent="0.2"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12" ht="30" x14ac:dyDescent="0.2">
      <c r="A5" s="10" t="s">
        <v>78</v>
      </c>
      <c r="B5" s="10" t="s">
        <v>79</v>
      </c>
      <c r="C5" s="10" t="s">
        <v>80</v>
      </c>
      <c r="D5" s="10" t="s">
        <v>81</v>
      </c>
      <c r="E5" s="10" t="s">
        <v>82</v>
      </c>
      <c r="F5" s="10" t="s">
        <v>4</v>
      </c>
      <c r="G5" s="10" t="s">
        <v>83</v>
      </c>
      <c r="H5" s="10" t="s">
        <v>5</v>
      </c>
      <c r="I5" s="10" t="s">
        <v>84</v>
      </c>
      <c r="J5" s="10" t="s">
        <v>85</v>
      </c>
      <c r="K5" s="10" t="s">
        <v>86</v>
      </c>
      <c r="L5" s="10" t="s">
        <v>87</v>
      </c>
    </row>
    <row r="6" spans="1:12" ht="25.5" x14ac:dyDescent="0.2">
      <c r="A6" s="7">
        <v>1</v>
      </c>
      <c r="B6" s="7" t="s">
        <v>16</v>
      </c>
      <c r="C6" s="7">
        <v>6</v>
      </c>
      <c r="D6" s="7">
        <v>6</v>
      </c>
      <c r="E6" s="7">
        <v>1</v>
      </c>
      <c r="F6" s="7">
        <v>30</v>
      </c>
      <c r="G6" s="7">
        <v>6</v>
      </c>
      <c r="H6" s="7">
        <v>24</v>
      </c>
      <c r="I6" s="7" t="s">
        <v>88</v>
      </c>
      <c r="J6" s="7" t="s">
        <v>94</v>
      </c>
      <c r="K6" s="7"/>
      <c r="L6" s="7" t="s">
        <v>113</v>
      </c>
    </row>
    <row r="7" spans="1:12" x14ac:dyDescent="0.2">
      <c r="A7" s="7">
        <v>2</v>
      </c>
      <c r="B7" s="7" t="s">
        <v>23</v>
      </c>
      <c r="C7" s="7">
        <v>6</v>
      </c>
      <c r="D7" s="7">
        <v>6</v>
      </c>
      <c r="E7" s="7">
        <v>1</v>
      </c>
      <c r="F7" s="7">
        <v>30</v>
      </c>
      <c r="G7" s="7">
        <v>10</v>
      </c>
      <c r="H7" s="7">
        <v>20</v>
      </c>
      <c r="I7" s="7" t="s">
        <v>88</v>
      </c>
      <c r="J7" s="7" t="s">
        <v>114</v>
      </c>
      <c r="K7" s="7"/>
      <c r="L7" s="7" t="s">
        <v>113</v>
      </c>
    </row>
    <row r="8" spans="1:12" ht="25.5" x14ac:dyDescent="0.2">
      <c r="A8" s="7">
        <v>3</v>
      </c>
      <c r="B8" s="7" t="s">
        <v>14</v>
      </c>
      <c r="C8" s="7">
        <v>5</v>
      </c>
      <c r="D8" s="7">
        <v>5</v>
      </c>
      <c r="E8" s="7">
        <v>1</v>
      </c>
      <c r="F8" s="7">
        <v>25</v>
      </c>
      <c r="G8" s="7">
        <v>7</v>
      </c>
      <c r="H8" s="7">
        <v>18</v>
      </c>
      <c r="I8" s="7" t="s">
        <v>88</v>
      </c>
      <c r="J8" s="7" t="s">
        <v>89</v>
      </c>
      <c r="K8" s="7"/>
      <c r="L8" s="7" t="s">
        <v>113</v>
      </c>
    </row>
    <row r="9" spans="1:12" ht="25.5" x14ac:dyDescent="0.2">
      <c r="A9" s="7">
        <v>4</v>
      </c>
      <c r="B9" s="7" t="s">
        <v>18</v>
      </c>
      <c r="C9" s="7">
        <v>5</v>
      </c>
      <c r="D9" s="7">
        <v>6</v>
      </c>
      <c r="E9" s="7">
        <v>0.83</v>
      </c>
      <c r="F9" s="7">
        <v>26</v>
      </c>
      <c r="G9" s="7">
        <v>11</v>
      </c>
      <c r="H9" s="7">
        <v>15</v>
      </c>
      <c r="I9" s="7" t="s">
        <v>88</v>
      </c>
      <c r="J9" s="7" t="s">
        <v>122</v>
      </c>
      <c r="K9" s="7"/>
      <c r="L9" s="7" t="s">
        <v>113</v>
      </c>
    </row>
    <row r="10" spans="1:12" ht="25.5" x14ac:dyDescent="0.2">
      <c r="A10" s="7">
        <v>5</v>
      </c>
      <c r="B10" s="7" t="s">
        <v>28</v>
      </c>
      <c r="C10" s="7">
        <v>5</v>
      </c>
      <c r="D10" s="7">
        <v>6</v>
      </c>
      <c r="E10" s="7">
        <v>0.83</v>
      </c>
      <c r="F10" s="7">
        <v>25</v>
      </c>
      <c r="G10" s="7">
        <v>13</v>
      </c>
      <c r="H10" s="7">
        <v>12</v>
      </c>
      <c r="I10" s="7" t="s">
        <v>88</v>
      </c>
      <c r="J10" s="7" t="s">
        <v>122</v>
      </c>
      <c r="K10" s="7"/>
      <c r="L10" s="7" t="s">
        <v>113</v>
      </c>
    </row>
    <row r="11" spans="1:12" ht="25.5" x14ac:dyDescent="0.2">
      <c r="A11" s="7">
        <v>6</v>
      </c>
      <c r="B11" s="7" t="s">
        <v>19</v>
      </c>
      <c r="C11" s="7">
        <v>4</v>
      </c>
      <c r="D11" s="7">
        <v>5</v>
      </c>
      <c r="E11" s="7">
        <v>0.8</v>
      </c>
      <c r="F11" s="7">
        <v>24</v>
      </c>
      <c r="G11" s="7">
        <v>18</v>
      </c>
      <c r="H11" s="7">
        <v>6</v>
      </c>
      <c r="I11" s="7" t="s">
        <v>88</v>
      </c>
      <c r="J11" s="7" t="s">
        <v>89</v>
      </c>
      <c r="K11" s="7"/>
      <c r="L11" s="7" t="s">
        <v>113</v>
      </c>
    </row>
    <row r="12" spans="1:12" ht="25.5" x14ac:dyDescent="0.2">
      <c r="A12" s="7">
        <v>7</v>
      </c>
      <c r="B12" s="7" t="s">
        <v>32</v>
      </c>
      <c r="C12" s="7">
        <v>4</v>
      </c>
      <c r="D12" s="7">
        <v>5</v>
      </c>
      <c r="E12" s="7">
        <v>0.8</v>
      </c>
      <c r="F12" s="7">
        <v>23</v>
      </c>
      <c r="G12" s="7">
        <v>17</v>
      </c>
      <c r="H12" s="7">
        <v>6</v>
      </c>
      <c r="I12" s="7" t="s">
        <v>88</v>
      </c>
      <c r="J12" s="7" t="s">
        <v>114</v>
      </c>
      <c r="K12" s="7"/>
      <c r="L12" s="7" t="s">
        <v>113</v>
      </c>
    </row>
    <row r="13" spans="1:12" ht="25.5" x14ac:dyDescent="0.2">
      <c r="A13" s="7">
        <v>8</v>
      </c>
      <c r="B13" s="7" t="s">
        <v>20</v>
      </c>
      <c r="C13" s="7">
        <v>4</v>
      </c>
      <c r="D13" s="7">
        <v>6</v>
      </c>
      <c r="E13" s="7">
        <v>0.67</v>
      </c>
      <c r="F13" s="7">
        <v>27</v>
      </c>
      <c r="G13" s="7">
        <v>15</v>
      </c>
      <c r="H13" s="7">
        <v>12</v>
      </c>
      <c r="I13" s="7" t="s">
        <v>88</v>
      </c>
      <c r="J13" s="7" t="s">
        <v>89</v>
      </c>
      <c r="K13" s="7"/>
      <c r="L13" s="7" t="s">
        <v>113</v>
      </c>
    </row>
    <row r="14" spans="1:12" ht="25.5" x14ac:dyDescent="0.2">
      <c r="A14" s="7">
        <v>9</v>
      </c>
      <c r="B14" s="7" t="s">
        <v>17</v>
      </c>
      <c r="C14" s="7">
        <v>3</v>
      </c>
      <c r="D14" s="7">
        <v>5</v>
      </c>
      <c r="E14" s="7">
        <v>0.6</v>
      </c>
      <c r="F14" s="7">
        <v>23</v>
      </c>
      <c r="G14" s="7">
        <v>15</v>
      </c>
      <c r="H14" s="7">
        <v>8</v>
      </c>
      <c r="I14" s="7" t="s">
        <v>88</v>
      </c>
      <c r="J14" s="7" t="s">
        <v>89</v>
      </c>
      <c r="K14" s="7"/>
      <c r="L14" s="7" t="s">
        <v>113</v>
      </c>
    </row>
    <row r="15" spans="1:12" x14ac:dyDescent="0.2">
      <c r="A15" s="7">
        <v>10</v>
      </c>
      <c r="B15" s="7" t="s">
        <v>54</v>
      </c>
      <c r="C15" s="7">
        <v>3</v>
      </c>
      <c r="D15" s="7">
        <v>5</v>
      </c>
      <c r="E15" s="7">
        <v>0.6</v>
      </c>
      <c r="F15" s="7">
        <v>20</v>
      </c>
      <c r="G15" s="7">
        <v>18</v>
      </c>
      <c r="H15" s="7">
        <v>2</v>
      </c>
      <c r="I15" s="7" t="s">
        <v>88</v>
      </c>
      <c r="J15" s="7" t="s">
        <v>94</v>
      </c>
      <c r="K15" s="7"/>
      <c r="L15" s="7" t="s">
        <v>113</v>
      </c>
    </row>
    <row r="16" spans="1:12" ht="25.5" x14ac:dyDescent="0.2">
      <c r="A16" s="7">
        <v>11</v>
      </c>
      <c r="B16" s="7" t="s">
        <v>53</v>
      </c>
      <c r="C16" s="7">
        <v>3</v>
      </c>
      <c r="D16" s="7">
        <v>5</v>
      </c>
      <c r="E16" s="7">
        <v>0.6</v>
      </c>
      <c r="F16" s="7">
        <v>20</v>
      </c>
      <c r="G16" s="7">
        <v>19</v>
      </c>
      <c r="H16" s="7">
        <v>1</v>
      </c>
      <c r="I16" s="7" t="s">
        <v>88</v>
      </c>
      <c r="J16" s="7" t="s">
        <v>94</v>
      </c>
      <c r="K16" s="7"/>
      <c r="L16" s="7" t="s">
        <v>113</v>
      </c>
    </row>
    <row r="17" spans="1:12" ht="25.5" x14ac:dyDescent="0.2">
      <c r="A17" s="7">
        <v>12</v>
      </c>
      <c r="B17" s="7" t="s">
        <v>25</v>
      </c>
      <c r="C17" s="7">
        <v>3</v>
      </c>
      <c r="D17" s="7">
        <v>5</v>
      </c>
      <c r="E17" s="7">
        <v>0.6</v>
      </c>
      <c r="F17" s="7">
        <v>18</v>
      </c>
      <c r="G17" s="7">
        <v>19</v>
      </c>
      <c r="H17" s="7">
        <v>-1</v>
      </c>
      <c r="I17" s="7" t="s">
        <v>88</v>
      </c>
      <c r="J17" s="7" t="s">
        <v>96</v>
      </c>
      <c r="K17" s="7"/>
      <c r="L17" s="7" t="s">
        <v>113</v>
      </c>
    </row>
    <row r="18" spans="1:12" ht="25.5" x14ac:dyDescent="0.2">
      <c r="A18" s="7">
        <v>13</v>
      </c>
      <c r="B18" s="7" t="s">
        <v>50</v>
      </c>
      <c r="C18" s="7">
        <v>3</v>
      </c>
      <c r="D18" s="7">
        <v>6</v>
      </c>
      <c r="E18" s="7">
        <v>0.5</v>
      </c>
      <c r="F18" s="7">
        <v>23</v>
      </c>
      <c r="G18" s="7">
        <v>18</v>
      </c>
      <c r="H18" s="7">
        <v>5</v>
      </c>
      <c r="I18" s="7" t="s">
        <v>88</v>
      </c>
      <c r="J18" s="7" t="s">
        <v>123</v>
      </c>
      <c r="K18" s="7"/>
      <c r="L18" s="7" t="s">
        <v>113</v>
      </c>
    </row>
    <row r="19" spans="1:12" ht="25.5" x14ac:dyDescent="0.2">
      <c r="A19" s="7">
        <v>14</v>
      </c>
      <c r="B19" s="7" t="s">
        <v>24</v>
      </c>
      <c r="C19" s="7">
        <v>3</v>
      </c>
      <c r="D19" s="7">
        <v>6</v>
      </c>
      <c r="E19" s="7">
        <v>0.5</v>
      </c>
      <c r="F19" s="7">
        <v>20</v>
      </c>
      <c r="G19" s="7">
        <v>19</v>
      </c>
      <c r="H19" s="7">
        <v>1</v>
      </c>
      <c r="I19" s="7" t="s">
        <v>88</v>
      </c>
      <c r="J19" s="7" t="s">
        <v>96</v>
      </c>
      <c r="K19" s="7"/>
      <c r="L19" s="7" t="s">
        <v>113</v>
      </c>
    </row>
    <row r="20" spans="1:12" x14ac:dyDescent="0.2">
      <c r="A20" s="7">
        <v>15</v>
      </c>
      <c r="B20" s="7" t="s">
        <v>29</v>
      </c>
      <c r="C20" s="7">
        <v>3</v>
      </c>
      <c r="D20" s="7">
        <v>6</v>
      </c>
      <c r="E20" s="7">
        <v>0.5</v>
      </c>
      <c r="F20" s="7">
        <v>22</v>
      </c>
      <c r="G20" s="7">
        <v>24</v>
      </c>
      <c r="H20" s="7">
        <v>-2</v>
      </c>
      <c r="I20" s="7" t="s">
        <v>88</v>
      </c>
      <c r="J20" s="7" t="s">
        <v>94</v>
      </c>
      <c r="K20" s="7"/>
      <c r="L20" s="7" t="s">
        <v>113</v>
      </c>
    </row>
    <row r="21" spans="1:12" ht="25.5" x14ac:dyDescent="0.2">
      <c r="A21" s="7">
        <v>16</v>
      </c>
      <c r="B21" s="7" t="s">
        <v>15</v>
      </c>
      <c r="C21" s="7">
        <v>2</v>
      </c>
      <c r="D21" s="7">
        <v>5</v>
      </c>
      <c r="E21" s="7">
        <v>0.4</v>
      </c>
      <c r="F21" s="7">
        <v>21</v>
      </c>
      <c r="G21" s="7">
        <v>20</v>
      </c>
      <c r="H21" s="7">
        <v>1</v>
      </c>
      <c r="I21" s="7" t="s">
        <v>88</v>
      </c>
      <c r="J21" s="7" t="s">
        <v>89</v>
      </c>
      <c r="K21" s="7"/>
      <c r="L21" s="7" t="s">
        <v>113</v>
      </c>
    </row>
    <row r="22" spans="1:12" ht="25.5" x14ac:dyDescent="0.2">
      <c r="A22" s="7">
        <v>17</v>
      </c>
      <c r="B22" s="7" t="s">
        <v>36</v>
      </c>
      <c r="C22" s="7">
        <v>2</v>
      </c>
      <c r="D22" s="7">
        <v>5</v>
      </c>
      <c r="E22" s="7">
        <v>0.4</v>
      </c>
      <c r="F22" s="7">
        <v>17</v>
      </c>
      <c r="G22" s="7">
        <v>18</v>
      </c>
      <c r="H22" s="7">
        <v>-1</v>
      </c>
      <c r="I22" s="7" t="s">
        <v>88</v>
      </c>
      <c r="J22" s="7" t="s">
        <v>122</v>
      </c>
      <c r="K22" s="7"/>
      <c r="L22" s="7" t="s">
        <v>113</v>
      </c>
    </row>
    <row r="23" spans="1:12" ht="25.5" x14ac:dyDescent="0.2">
      <c r="A23" s="7">
        <v>18</v>
      </c>
      <c r="B23" s="7" t="s">
        <v>26</v>
      </c>
      <c r="C23" s="7">
        <v>2</v>
      </c>
      <c r="D23" s="7">
        <v>6</v>
      </c>
      <c r="E23" s="7">
        <v>0.33</v>
      </c>
      <c r="F23" s="7">
        <v>17</v>
      </c>
      <c r="G23" s="7">
        <v>25</v>
      </c>
      <c r="H23" s="7">
        <v>-8</v>
      </c>
      <c r="I23" s="7" t="s">
        <v>88</v>
      </c>
      <c r="J23" s="7" t="s">
        <v>89</v>
      </c>
      <c r="K23" s="7"/>
      <c r="L23" s="7" t="s">
        <v>113</v>
      </c>
    </row>
    <row r="24" spans="1:12" ht="38.25" x14ac:dyDescent="0.2">
      <c r="A24" s="7">
        <v>19</v>
      </c>
      <c r="B24" s="7" t="s">
        <v>30</v>
      </c>
      <c r="C24" s="7">
        <v>2</v>
      </c>
      <c r="D24" s="7">
        <v>6</v>
      </c>
      <c r="E24" s="7">
        <v>0.33</v>
      </c>
      <c r="F24" s="7">
        <v>16</v>
      </c>
      <c r="G24" s="7">
        <v>26</v>
      </c>
      <c r="H24" s="7">
        <v>-10</v>
      </c>
      <c r="I24" s="7" t="s">
        <v>88</v>
      </c>
      <c r="J24" s="7" t="s">
        <v>118</v>
      </c>
      <c r="K24" s="7"/>
      <c r="L24" s="7" t="s">
        <v>113</v>
      </c>
    </row>
    <row r="25" spans="1:12" ht="25.5" x14ac:dyDescent="0.2">
      <c r="A25" s="7">
        <v>20</v>
      </c>
      <c r="B25" s="7" t="s">
        <v>44</v>
      </c>
      <c r="C25" s="7">
        <v>1</v>
      </c>
      <c r="D25" s="7">
        <v>5</v>
      </c>
      <c r="E25" s="7">
        <v>0.2</v>
      </c>
      <c r="F25" s="7">
        <v>18</v>
      </c>
      <c r="G25" s="7">
        <v>22</v>
      </c>
      <c r="H25" s="7">
        <v>-4</v>
      </c>
      <c r="I25" s="7" t="s">
        <v>88</v>
      </c>
      <c r="J25" s="7" t="s">
        <v>102</v>
      </c>
      <c r="K25" s="7"/>
      <c r="L25" s="7" t="s">
        <v>113</v>
      </c>
    </row>
    <row r="26" spans="1:12" ht="25.5" x14ac:dyDescent="0.2">
      <c r="A26" s="7">
        <v>21</v>
      </c>
      <c r="B26" s="7" t="s">
        <v>37</v>
      </c>
      <c r="C26" s="7">
        <v>1</v>
      </c>
      <c r="D26" s="7">
        <v>6</v>
      </c>
      <c r="E26" s="7">
        <v>0.17</v>
      </c>
      <c r="F26" s="7">
        <v>16</v>
      </c>
      <c r="G26" s="7">
        <v>27</v>
      </c>
      <c r="H26" s="7">
        <v>-11</v>
      </c>
      <c r="I26" s="7" t="s">
        <v>88</v>
      </c>
      <c r="J26" s="7" t="s">
        <v>96</v>
      </c>
      <c r="K26" s="7"/>
      <c r="L26" s="7" t="s">
        <v>113</v>
      </c>
    </row>
    <row r="27" spans="1:12" ht="25.5" x14ac:dyDescent="0.2">
      <c r="A27" s="7">
        <v>22</v>
      </c>
      <c r="B27" s="7" t="s">
        <v>66</v>
      </c>
      <c r="C27" s="7">
        <v>1</v>
      </c>
      <c r="D27" s="7">
        <v>6</v>
      </c>
      <c r="E27" s="7">
        <v>0.17</v>
      </c>
      <c r="F27" s="7">
        <v>13</v>
      </c>
      <c r="G27" s="7">
        <v>29</v>
      </c>
      <c r="H27" s="7">
        <v>-16</v>
      </c>
      <c r="I27" s="7" t="s">
        <v>88</v>
      </c>
      <c r="J27" s="7" t="s">
        <v>89</v>
      </c>
      <c r="K27" s="7"/>
      <c r="L27" s="7" t="s">
        <v>113</v>
      </c>
    </row>
    <row r="28" spans="1:12" ht="25.5" x14ac:dyDescent="0.2">
      <c r="A28" s="7">
        <v>23</v>
      </c>
      <c r="B28" s="7" t="s">
        <v>58</v>
      </c>
      <c r="C28" s="7">
        <v>1</v>
      </c>
      <c r="D28" s="7">
        <v>6</v>
      </c>
      <c r="E28" s="7">
        <v>0.17</v>
      </c>
      <c r="F28" s="7">
        <v>11</v>
      </c>
      <c r="G28" s="7">
        <v>27</v>
      </c>
      <c r="H28" s="7">
        <v>-16</v>
      </c>
      <c r="I28" s="7" t="s">
        <v>88</v>
      </c>
      <c r="J28" s="7" t="s">
        <v>117</v>
      </c>
      <c r="K28" s="7"/>
      <c r="L28" s="7" t="s">
        <v>113</v>
      </c>
    </row>
    <row r="29" spans="1:12" ht="25.5" x14ac:dyDescent="0.2">
      <c r="A29" s="7" t="s">
        <v>124</v>
      </c>
      <c r="B29" s="7" t="s">
        <v>45</v>
      </c>
      <c r="C29" s="7">
        <v>0</v>
      </c>
      <c r="D29" s="7">
        <v>5</v>
      </c>
      <c r="E29" s="7">
        <v>0</v>
      </c>
      <c r="F29" s="7">
        <v>7</v>
      </c>
      <c r="G29" s="7">
        <v>25</v>
      </c>
      <c r="H29" s="7">
        <v>-18</v>
      </c>
      <c r="I29" s="7" t="s">
        <v>88</v>
      </c>
      <c r="J29" s="7" t="s">
        <v>97</v>
      </c>
      <c r="K29" s="7"/>
      <c r="L29" s="7" t="s">
        <v>113</v>
      </c>
    </row>
    <row r="30" spans="1:12" ht="25.5" x14ac:dyDescent="0.2">
      <c r="A30" s="7" t="s">
        <v>124</v>
      </c>
      <c r="B30" s="7" t="s">
        <v>56</v>
      </c>
      <c r="C30" s="7">
        <v>0</v>
      </c>
      <c r="D30" s="7">
        <v>5</v>
      </c>
      <c r="E30" s="7">
        <v>0</v>
      </c>
      <c r="F30" s="7">
        <v>7</v>
      </c>
      <c r="G30" s="7">
        <v>25</v>
      </c>
      <c r="H30" s="7">
        <v>-18</v>
      </c>
      <c r="I30" s="7" t="s">
        <v>88</v>
      </c>
      <c r="J30" s="7" t="s">
        <v>97</v>
      </c>
      <c r="K30" s="7"/>
      <c r="L30" s="7" t="s">
        <v>113</v>
      </c>
    </row>
    <row r="31" spans="1:12" ht="25.5" x14ac:dyDescent="0.2">
      <c r="A31" s="7">
        <v>26</v>
      </c>
      <c r="B31" s="7" t="s">
        <v>60</v>
      </c>
      <c r="C31" s="7">
        <v>0</v>
      </c>
      <c r="D31" s="7">
        <v>6</v>
      </c>
      <c r="E31" s="7">
        <v>0</v>
      </c>
      <c r="F31" s="7">
        <v>4</v>
      </c>
      <c r="G31" s="7">
        <v>30</v>
      </c>
      <c r="H31" s="7">
        <v>-26</v>
      </c>
      <c r="I31" s="7" t="s">
        <v>88</v>
      </c>
      <c r="J31" s="7" t="s">
        <v>119</v>
      </c>
      <c r="K31" s="7"/>
      <c r="L31" s="7" t="s">
        <v>113</v>
      </c>
    </row>
    <row r="32" spans="1:12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 spans="1:12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1:12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spans="1:12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 spans="1:12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 spans="1:12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1:12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1:12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12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1:12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2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1:12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1:12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</sheetData>
  <mergeCells count="3">
    <mergeCell ref="A2:B2"/>
    <mergeCell ref="C2:L2"/>
    <mergeCell ref="C3:L3"/>
  </mergeCells>
  <hyperlinks>
    <hyperlink ref="C3:L3" r:id="rId1" display="https://www.fencingtimelive.com/pools/results/31A6DC9D57BF4A248E0AB24A86AB105A/C41B3439A303430E8D56C54BA72E6C02" xr:uid="{6B28D2AC-D84C-4825-9D24-945B5EE3B14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2:L57"/>
  <sheetViews>
    <sheetView topLeftCell="A6" workbookViewId="0">
      <selection activeCell="B22" sqref="B22"/>
    </sheetView>
  </sheetViews>
  <sheetFormatPr defaultRowHeight="12.75" x14ac:dyDescent="0.2"/>
  <cols>
    <col min="1" max="1" width="5.7109375" style="5" bestFit="1" customWidth="1"/>
    <col min="2" max="2" width="18.85546875" style="5" customWidth="1"/>
    <col min="3" max="3" width="2.28515625" style="5" bestFit="1" customWidth="1"/>
    <col min="4" max="4" width="2.42578125" style="5" bestFit="1" customWidth="1"/>
    <col min="5" max="5" width="8.7109375" style="5" customWidth="1"/>
    <col min="6" max="6" width="3.28515625" style="5" bestFit="1" customWidth="1"/>
    <col min="7" max="7" width="3.42578125" style="5" bestFit="1" customWidth="1"/>
    <col min="8" max="8" width="3.7109375" style="5" bestFit="1" customWidth="1"/>
    <col min="9" max="9" width="11.28515625" style="5" customWidth="1"/>
    <col min="10" max="10" width="27.7109375" style="5" bestFit="1" customWidth="1"/>
    <col min="11" max="11" width="7.85546875" style="5" bestFit="1" customWidth="1"/>
    <col min="12" max="12" width="8.140625" style="5" bestFit="1" customWidth="1"/>
  </cols>
  <sheetData>
    <row r="2" spans="1:12" x14ac:dyDescent="0.2">
      <c r="A2" s="56" t="s">
        <v>74</v>
      </c>
      <c r="B2" s="56"/>
      <c r="C2" s="57" t="s">
        <v>144</v>
      </c>
      <c r="D2" s="57"/>
      <c r="E2" s="57"/>
      <c r="F2" s="57"/>
      <c r="G2" s="57"/>
      <c r="H2" s="57"/>
      <c r="I2" s="57"/>
      <c r="J2" s="57"/>
      <c r="K2" s="57"/>
      <c r="L2" s="57"/>
    </row>
    <row r="3" spans="1:12" ht="13.15" customHeight="1" x14ac:dyDescent="0.2">
      <c r="C3" s="58" t="s">
        <v>143</v>
      </c>
      <c r="D3" s="58"/>
      <c r="E3" s="58"/>
      <c r="F3" s="58"/>
      <c r="G3" s="58"/>
      <c r="H3" s="58"/>
      <c r="I3" s="58"/>
      <c r="J3" s="58"/>
      <c r="K3" s="58"/>
      <c r="L3" s="58"/>
    </row>
    <row r="4" spans="1:12" ht="13.15" customHeight="1" x14ac:dyDescent="0.2">
      <c r="C4" s="9"/>
      <c r="D4" s="9"/>
      <c r="E4" s="9"/>
      <c r="F4" s="9"/>
      <c r="G4" s="9"/>
      <c r="H4" s="9"/>
      <c r="I4" s="9"/>
      <c r="J4" s="9"/>
      <c r="K4" s="9"/>
      <c r="L4" s="9"/>
    </row>
    <row r="5" spans="1:12" ht="30" x14ac:dyDescent="0.2">
      <c r="A5" s="10" t="s">
        <v>78</v>
      </c>
      <c r="B5" s="10" t="s">
        <v>79</v>
      </c>
      <c r="C5" s="10" t="s">
        <v>80</v>
      </c>
      <c r="D5" s="10" t="s">
        <v>81</v>
      </c>
      <c r="E5" s="10" t="s">
        <v>82</v>
      </c>
      <c r="F5" s="10" t="s">
        <v>4</v>
      </c>
      <c r="G5" s="10" t="s">
        <v>83</v>
      </c>
      <c r="H5" s="10" t="s">
        <v>5</v>
      </c>
      <c r="I5" s="10"/>
      <c r="J5" s="10"/>
      <c r="K5" s="10"/>
      <c r="L5" s="10"/>
    </row>
    <row r="6" spans="1:12" x14ac:dyDescent="0.2">
      <c r="A6" s="7">
        <v>1</v>
      </c>
      <c r="B6" s="7" t="s">
        <v>14</v>
      </c>
      <c r="C6" s="7">
        <v>6</v>
      </c>
      <c r="D6" s="5">
        <v>6</v>
      </c>
      <c r="E6" s="7">
        <v>1</v>
      </c>
      <c r="F6" s="7">
        <v>30</v>
      </c>
      <c r="G6" s="7">
        <v>9</v>
      </c>
      <c r="H6" s="7">
        <v>21</v>
      </c>
      <c r="I6" s="6" t="s">
        <v>88</v>
      </c>
      <c r="J6" s="6" t="s">
        <v>89</v>
      </c>
      <c r="K6" s="6" t="s">
        <v>113</v>
      </c>
      <c r="L6" s="6"/>
    </row>
    <row r="7" spans="1:12" x14ac:dyDescent="0.2">
      <c r="A7" s="7">
        <v>2</v>
      </c>
      <c r="B7" s="7" t="s">
        <v>15</v>
      </c>
      <c r="C7" s="7">
        <v>5</v>
      </c>
      <c r="D7" s="5">
        <v>5</v>
      </c>
      <c r="E7" s="7">
        <v>1</v>
      </c>
      <c r="F7" s="7">
        <v>25</v>
      </c>
      <c r="G7" s="7">
        <v>7</v>
      </c>
      <c r="H7" s="7">
        <v>18</v>
      </c>
      <c r="I7" s="6" t="s">
        <v>88</v>
      </c>
      <c r="J7" s="6" t="s">
        <v>89</v>
      </c>
      <c r="K7" s="6" t="s">
        <v>113</v>
      </c>
      <c r="L7" s="6"/>
    </row>
    <row r="8" spans="1:12" x14ac:dyDescent="0.2">
      <c r="A8" s="7">
        <v>3</v>
      </c>
      <c r="B8" s="7" t="s">
        <v>21</v>
      </c>
      <c r="C8" s="7">
        <v>5</v>
      </c>
      <c r="D8" s="5">
        <v>5</v>
      </c>
      <c r="E8" s="7">
        <v>1</v>
      </c>
      <c r="F8" s="7">
        <v>25</v>
      </c>
      <c r="G8" s="7">
        <v>9</v>
      </c>
      <c r="H8" s="7">
        <v>16</v>
      </c>
      <c r="I8" s="6" t="s">
        <v>88</v>
      </c>
      <c r="J8" s="6" t="s">
        <v>116</v>
      </c>
      <c r="K8" s="6" t="s">
        <v>113</v>
      </c>
      <c r="L8" s="6"/>
    </row>
    <row r="9" spans="1:12" x14ac:dyDescent="0.2">
      <c r="A9" s="7">
        <v>4</v>
      </c>
      <c r="B9" s="7" t="s">
        <v>17</v>
      </c>
      <c r="C9" s="7">
        <v>5</v>
      </c>
      <c r="D9" s="5">
        <v>5</v>
      </c>
      <c r="E9" s="7">
        <v>1</v>
      </c>
      <c r="F9" s="7">
        <v>25</v>
      </c>
      <c r="G9" s="7">
        <v>10</v>
      </c>
      <c r="H9" s="7">
        <v>15</v>
      </c>
      <c r="I9" s="6" t="s">
        <v>88</v>
      </c>
      <c r="J9" s="6" t="s">
        <v>89</v>
      </c>
      <c r="K9" s="6" t="s">
        <v>113</v>
      </c>
      <c r="L9" s="6"/>
    </row>
    <row r="10" spans="1:12" ht="25.5" x14ac:dyDescent="0.2">
      <c r="A10" s="7">
        <v>5</v>
      </c>
      <c r="B10" s="7" t="s">
        <v>16</v>
      </c>
      <c r="C10" s="7">
        <v>5</v>
      </c>
      <c r="D10" s="5">
        <v>5</v>
      </c>
      <c r="E10" s="7">
        <v>1</v>
      </c>
      <c r="F10" s="7">
        <v>25</v>
      </c>
      <c r="G10" s="7">
        <v>13</v>
      </c>
      <c r="H10" s="7">
        <v>12</v>
      </c>
      <c r="I10" s="6" t="s">
        <v>88</v>
      </c>
      <c r="J10" s="6" t="s">
        <v>94</v>
      </c>
      <c r="K10" s="6" t="s">
        <v>113</v>
      </c>
      <c r="L10" s="6"/>
    </row>
    <row r="11" spans="1:12" x14ac:dyDescent="0.2">
      <c r="A11" s="7">
        <v>6</v>
      </c>
      <c r="B11" s="7" t="s">
        <v>26</v>
      </c>
      <c r="C11" s="7">
        <v>5</v>
      </c>
      <c r="D11" s="5">
        <v>6</v>
      </c>
      <c r="E11" s="7">
        <v>0.83</v>
      </c>
      <c r="F11" s="7">
        <v>28</v>
      </c>
      <c r="G11" s="7">
        <v>17</v>
      </c>
      <c r="H11" s="7">
        <v>11</v>
      </c>
      <c r="I11" s="6" t="s">
        <v>88</v>
      </c>
      <c r="J11" s="6" t="s">
        <v>89</v>
      </c>
      <c r="K11" s="6" t="s">
        <v>113</v>
      </c>
      <c r="L11" s="6"/>
    </row>
    <row r="12" spans="1:12" ht="25.5" x14ac:dyDescent="0.2">
      <c r="A12" s="7">
        <v>7</v>
      </c>
      <c r="B12" s="7" t="s">
        <v>24</v>
      </c>
      <c r="C12" s="7">
        <v>4</v>
      </c>
      <c r="D12" s="5">
        <v>5</v>
      </c>
      <c r="E12" s="7">
        <v>0.8</v>
      </c>
      <c r="F12" s="7">
        <v>24</v>
      </c>
      <c r="G12" s="7">
        <v>9</v>
      </c>
      <c r="H12" s="7">
        <v>15</v>
      </c>
      <c r="I12" s="6" t="s">
        <v>88</v>
      </c>
      <c r="J12" s="6" t="s">
        <v>96</v>
      </c>
      <c r="K12" s="6" t="s">
        <v>113</v>
      </c>
      <c r="L12" s="6"/>
    </row>
    <row r="13" spans="1:12" x14ac:dyDescent="0.2">
      <c r="A13" s="7">
        <v>8</v>
      </c>
      <c r="B13" s="7" t="s">
        <v>23</v>
      </c>
      <c r="C13" s="7">
        <v>4</v>
      </c>
      <c r="D13" s="5">
        <v>5</v>
      </c>
      <c r="E13" s="7">
        <v>0.8</v>
      </c>
      <c r="F13" s="7">
        <v>24</v>
      </c>
      <c r="G13" s="7">
        <v>13</v>
      </c>
      <c r="H13" s="7">
        <v>11</v>
      </c>
      <c r="I13" s="6" t="s">
        <v>88</v>
      </c>
      <c r="J13" s="6" t="s">
        <v>115</v>
      </c>
      <c r="K13" s="6" t="s">
        <v>113</v>
      </c>
      <c r="L13" s="6"/>
    </row>
    <row r="14" spans="1:12" x14ac:dyDescent="0.2">
      <c r="A14" s="7">
        <v>9</v>
      </c>
      <c r="B14" s="7" t="s">
        <v>22</v>
      </c>
      <c r="C14" s="7">
        <v>4</v>
      </c>
      <c r="D14" s="5">
        <v>5</v>
      </c>
      <c r="E14" s="7">
        <v>0.8</v>
      </c>
      <c r="F14" s="7">
        <v>22</v>
      </c>
      <c r="G14" s="7">
        <v>16</v>
      </c>
      <c r="H14" s="7">
        <v>6</v>
      </c>
      <c r="I14" s="6" t="s">
        <v>88</v>
      </c>
      <c r="J14" s="6" t="s">
        <v>89</v>
      </c>
      <c r="K14" s="6" t="s">
        <v>113</v>
      </c>
      <c r="L14" s="6"/>
    </row>
    <row r="15" spans="1:12" ht="25.5" x14ac:dyDescent="0.2">
      <c r="A15" s="7">
        <v>10</v>
      </c>
      <c r="B15" s="7" t="s">
        <v>34</v>
      </c>
      <c r="C15" s="7">
        <v>3</v>
      </c>
      <c r="D15" s="5">
        <v>5</v>
      </c>
      <c r="E15" s="7">
        <v>0.6</v>
      </c>
      <c r="F15" s="7">
        <v>20</v>
      </c>
      <c r="G15" s="7">
        <v>14</v>
      </c>
      <c r="H15" s="7">
        <v>6</v>
      </c>
      <c r="I15" s="6" t="s">
        <v>88</v>
      </c>
      <c r="J15" s="6" t="s">
        <v>96</v>
      </c>
      <c r="K15" s="6" t="s">
        <v>113</v>
      </c>
      <c r="L15" s="6"/>
    </row>
    <row r="16" spans="1:12" ht="25.5" x14ac:dyDescent="0.2">
      <c r="A16" s="7">
        <v>11</v>
      </c>
      <c r="B16" s="7" t="s">
        <v>32</v>
      </c>
      <c r="C16" s="7">
        <v>3</v>
      </c>
      <c r="D16" s="5">
        <v>5</v>
      </c>
      <c r="E16" s="7">
        <v>0.6</v>
      </c>
      <c r="F16" s="7">
        <v>20</v>
      </c>
      <c r="G16" s="7">
        <v>18</v>
      </c>
      <c r="H16" s="7">
        <v>2</v>
      </c>
      <c r="I16" s="6" t="s">
        <v>88</v>
      </c>
      <c r="J16" s="6" t="s">
        <v>115</v>
      </c>
      <c r="K16" s="6" t="s">
        <v>113</v>
      </c>
      <c r="L16" s="6"/>
    </row>
    <row r="17" spans="1:12" x14ac:dyDescent="0.2">
      <c r="A17" s="7">
        <v>12</v>
      </c>
      <c r="B17" s="7" t="s">
        <v>28</v>
      </c>
      <c r="C17" s="7">
        <v>3</v>
      </c>
      <c r="D17" s="5">
        <v>5</v>
      </c>
      <c r="E17" s="7">
        <v>0.6</v>
      </c>
      <c r="F17" s="7">
        <v>17</v>
      </c>
      <c r="G17" s="7">
        <v>15</v>
      </c>
      <c r="H17" s="7">
        <v>2</v>
      </c>
      <c r="I17" s="6" t="s">
        <v>88</v>
      </c>
      <c r="J17" s="6" t="s">
        <v>145</v>
      </c>
      <c r="K17" s="6" t="s">
        <v>113</v>
      </c>
      <c r="L17" s="6"/>
    </row>
    <row r="18" spans="1:12" x14ac:dyDescent="0.2">
      <c r="A18" s="7">
        <v>13</v>
      </c>
      <c r="B18" s="7" t="s">
        <v>37</v>
      </c>
      <c r="C18" s="7">
        <v>3</v>
      </c>
      <c r="D18" s="5">
        <v>5</v>
      </c>
      <c r="E18" s="7">
        <v>0.6</v>
      </c>
      <c r="F18" s="7">
        <v>19</v>
      </c>
      <c r="G18" s="7">
        <v>18</v>
      </c>
      <c r="H18" s="7">
        <v>1</v>
      </c>
      <c r="I18" s="6" t="s">
        <v>88</v>
      </c>
      <c r="J18" s="6" t="s">
        <v>96</v>
      </c>
      <c r="K18" s="6" t="s">
        <v>113</v>
      </c>
      <c r="L18" s="6"/>
    </row>
    <row r="19" spans="1:12" ht="25.5" x14ac:dyDescent="0.2">
      <c r="A19" s="7">
        <v>14</v>
      </c>
      <c r="B19" s="7" t="s">
        <v>25</v>
      </c>
      <c r="C19" s="7">
        <v>3</v>
      </c>
      <c r="D19" s="5">
        <v>6</v>
      </c>
      <c r="E19" s="7">
        <v>0.5</v>
      </c>
      <c r="F19" s="7">
        <v>20</v>
      </c>
      <c r="G19" s="7">
        <v>19</v>
      </c>
      <c r="H19" s="7">
        <v>1</v>
      </c>
      <c r="I19" s="6" t="s">
        <v>88</v>
      </c>
      <c r="J19" s="6" t="s">
        <v>96</v>
      </c>
      <c r="K19" s="6" t="s">
        <v>113</v>
      </c>
      <c r="L19" s="6"/>
    </row>
    <row r="20" spans="1:12" ht="25.5" x14ac:dyDescent="0.2">
      <c r="A20" s="7">
        <v>15</v>
      </c>
      <c r="B20" s="7" t="s">
        <v>53</v>
      </c>
      <c r="C20" s="7">
        <v>3</v>
      </c>
      <c r="D20" s="5">
        <v>6</v>
      </c>
      <c r="E20" s="7">
        <v>0.5</v>
      </c>
      <c r="F20" s="7">
        <v>21</v>
      </c>
      <c r="G20" s="7">
        <v>21</v>
      </c>
      <c r="H20" s="7">
        <v>0</v>
      </c>
      <c r="I20" s="6" t="s">
        <v>88</v>
      </c>
      <c r="J20" s="6" t="s">
        <v>94</v>
      </c>
      <c r="K20" s="6" t="s">
        <v>113</v>
      </c>
      <c r="L20" s="6"/>
    </row>
    <row r="21" spans="1:12" x14ac:dyDescent="0.2">
      <c r="A21" s="7">
        <v>16</v>
      </c>
      <c r="B21" s="7" t="s">
        <v>19</v>
      </c>
      <c r="C21" s="7">
        <v>2</v>
      </c>
      <c r="D21" s="5">
        <v>5</v>
      </c>
      <c r="E21" s="7">
        <v>0.4</v>
      </c>
      <c r="F21" s="7">
        <v>20</v>
      </c>
      <c r="G21" s="7">
        <v>17</v>
      </c>
      <c r="H21" s="7">
        <v>3</v>
      </c>
      <c r="I21" s="6" t="s">
        <v>88</v>
      </c>
      <c r="J21" s="6" t="s">
        <v>89</v>
      </c>
      <c r="K21" s="6" t="s">
        <v>113</v>
      </c>
      <c r="L21" s="6"/>
    </row>
    <row r="22" spans="1:12" x14ac:dyDescent="0.2">
      <c r="A22" s="7">
        <v>17</v>
      </c>
      <c r="B22" s="7" t="s">
        <v>146</v>
      </c>
      <c r="C22" s="7">
        <v>2</v>
      </c>
      <c r="D22" s="5">
        <v>5</v>
      </c>
      <c r="E22" s="7">
        <v>0.4</v>
      </c>
      <c r="F22" s="7">
        <v>19</v>
      </c>
      <c r="G22" s="7">
        <v>21</v>
      </c>
      <c r="H22" s="7">
        <v>-2</v>
      </c>
      <c r="I22" s="6" t="s">
        <v>88</v>
      </c>
      <c r="J22" s="6" t="s">
        <v>96</v>
      </c>
      <c r="K22" s="6" t="s">
        <v>113</v>
      </c>
      <c r="L22" s="6"/>
    </row>
    <row r="23" spans="1:12" x14ac:dyDescent="0.2">
      <c r="A23" s="7">
        <v>18</v>
      </c>
      <c r="B23" s="7" t="s">
        <v>29</v>
      </c>
      <c r="C23" s="7">
        <v>2</v>
      </c>
      <c r="D23" s="5">
        <v>5</v>
      </c>
      <c r="E23" s="7">
        <v>0.4</v>
      </c>
      <c r="F23" s="7">
        <v>18</v>
      </c>
      <c r="G23" s="7">
        <v>20</v>
      </c>
      <c r="H23" s="7">
        <v>-2</v>
      </c>
      <c r="I23" s="6" t="s">
        <v>88</v>
      </c>
      <c r="J23" s="6" t="s">
        <v>94</v>
      </c>
      <c r="K23" s="6" t="s">
        <v>113</v>
      </c>
      <c r="L23" s="6"/>
    </row>
    <row r="24" spans="1:12" x14ac:dyDescent="0.2">
      <c r="A24" s="7">
        <v>19</v>
      </c>
      <c r="B24" s="7" t="s">
        <v>42</v>
      </c>
      <c r="C24" s="7">
        <v>2</v>
      </c>
      <c r="D24" s="5">
        <v>5</v>
      </c>
      <c r="E24" s="7">
        <v>0.4</v>
      </c>
      <c r="F24" s="7">
        <v>17</v>
      </c>
      <c r="G24" s="7">
        <v>19</v>
      </c>
      <c r="H24" s="7">
        <v>-2</v>
      </c>
      <c r="I24" s="6" t="s">
        <v>88</v>
      </c>
      <c r="J24" s="6"/>
      <c r="K24" s="6" t="s">
        <v>113</v>
      </c>
      <c r="L24" s="6"/>
    </row>
    <row r="25" spans="1:12" ht="25.5" x14ac:dyDescent="0.2">
      <c r="A25" s="7">
        <v>20</v>
      </c>
      <c r="B25" s="7" t="s">
        <v>36</v>
      </c>
      <c r="C25" s="7">
        <v>2</v>
      </c>
      <c r="D25" s="5">
        <v>5</v>
      </c>
      <c r="E25" s="7">
        <v>0.4</v>
      </c>
      <c r="F25" s="7">
        <v>16</v>
      </c>
      <c r="G25" s="7">
        <v>21</v>
      </c>
      <c r="H25" s="7">
        <v>-5</v>
      </c>
      <c r="I25" s="6" t="s">
        <v>88</v>
      </c>
      <c r="J25" s="6" t="s">
        <v>116</v>
      </c>
      <c r="K25" s="6" t="s">
        <v>113</v>
      </c>
      <c r="L25" s="6"/>
    </row>
    <row r="26" spans="1:12" ht="25.5" x14ac:dyDescent="0.2">
      <c r="A26" s="7">
        <v>21</v>
      </c>
      <c r="B26" s="7" t="s">
        <v>44</v>
      </c>
      <c r="C26" s="7">
        <v>2</v>
      </c>
      <c r="D26" s="5">
        <v>5</v>
      </c>
      <c r="E26" s="7">
        <v>0.4</v>
      </c>
      <c r="F26" s="7">
        <v>12</v>
      </c>
      <c r="G26" s="7">
        <v>20</v>
      </c>
      <c r="H26" s="7">
        <v>-8</v>
      </c>
      <c r="I26" s="6" t="s">
        <v>88</v>
      </c>
      <c r="J26" s="6" t="s">
        <v>102</v>
      </c>
      <c r="K26" s="6" t="s">
        <v>113</v>
      </c>
      <c r="L26" s="6"/>
    </row>
    <row r="27" spans="1:12" x14ac:dyDescent="0.2">
      <c r="A27" s="7">
        <v>22</v>
      </c>
      <c r="B27" s="7" t="s">
        <v>49</v>
      </c>
      <c r="C27" s="7">
        <v>2</v>
      </c>
      <c r="D27" s="5">
        <v>6</v>
      </c>
      <c r="E27" s="7">
        <v>0.33</v>
      </c>
      <c r="F27" s="7">
        <v>16</v>
      </c>
      <c r="G27" s="7">
        <v>21</v>
      </c>
      <c r="H27" s="7">
        <v>-5</v>
      </c>
      <c r="I27" s="6" t="s">
        <v>88</v>
      </c>
      <c r="J27" s="6" t="s">
        <v>119</v>
      </c>
      <c r="K27" s="6" t="s">
        <v>113</v>
      </c>
      <c r="L27" s="6"/>
    </row>
    <row r="28" spans="1:12" ht="25.5" x14ac:dyDescent="0.2">
      <c r="A28" s="7">
        <v>23</v>
      </c>
      <c r="B28" s="7" t="s">
        <v>50</v>
      </c>
      <c r="C28" s="7">
        <v>2</v>
      </c>
      <c r="D28" s="5">
        <v>6</v>
      </c>
      <c r="E28" s="7">
        <v>0.33</v>
      </c>
      <c r="F28" s="7">
        <v>16</v>
      </c>
      <c r="G28" s="7">
        <v>24</v>
      </c>
      <c r="H28" s="7">
        <v>-8</v>
      </c>
      <c r="I28" s="6" t="s">
        <v>88</v>
      </c>
      <c r="J28" s="6" t="s">
        <v>115</v>
      </c>
      <c r="K28" s="6" t="s">
        <v>113</v>
      </c>
      <c r="L28" s="6"/>
    </row>
    <row r="29" spans="1:12" x14ac:dyDescent="0.2">
      <c r="A29" s="7">
        <v>24</v>
      </c>
      <c r="B29" s="7" t="s">
        <v>39</v>
      </c>
      <c r="C29" s="7">
        <v>1</v>
      </c>
      <c r="D29" s="5">
        <v>5</v>
      </c>
      <c r="E29" s="7">
        <v>0.2</v>
      </c>
      <c r="F29" s="7">
        <v>15</v>
      </c>
      <c r="G29" s="7">
        <v>20</v>
      </c>
      <c r="H29" s="7">
        <v>-5</v>
      </c>
      <c r="I29" s="6" t="s">
        <v>88</v>
      </c>
      <c r="J29" s="6" t="s">
        <v>145</v>
      </c>
      <c r="K29" s="6" t="s">
        <v>113</v>
      </c>
      <c r="L29" s="6"/>
    </row>
    <row r="30" spans="1:12" ht="25.5" x14ac:dyDescent="0.2">
      <c r="A30" s="7">
        <v>25</v>
      </c>
      <c r="B30" s="7" t="s">
        <v>58</v>
      </c>
      <c r="C30" s="7">
        <v>1</v>
      </c>
      <c r="D30" s="5">
        <v>5</v>
      </c>
      <c r="E30" s="7">
        <v>0.2</v>
      </c>
      <c r="F30" s="7">
        <v>13</v>
      </c>
      <c r="G30" s="7">
        <v>20</v>
      </c>
      <c r="H30" s="7">
        <v>-7</v>
      </c>
      <c r="I30" s="6" t="s">
        <v>88</v>
      </c>
      <c r="J30" s="6" t="s">
        <v>117</v>
      </c>
      <c r="K30" s="6" t="s">
        <v>113</v>
      </c>
      <c r="L30" s="6"/>
    </row>
    <row r="31" spans="1:12" x14ac:dyDescent="0.2">
      <c r="A31" s="5">
        <v>26</v>
      </c>
      <c r="B31" s="5" t="s">
        <v>54</v>
      </c>
      <c r="C31" s="5">
        <v>1</v>
      </c>
      <c r="D31" s="5">
        <v>5</v>
      </c>
      <c r="E31" s="5">
        <v>0.2</v>
      </c>
      <c r="F31" s="5">
        <v>12</v>
      </c>
      <c r="G31" s="5">
        <v>21</v>
      </c>
      <c r="H31" s="5">
        <v>-9</v>
      </c>
      <c r="I31" s="5" t="s">
        <v>88</v>
      </c>
      <c r="J31" s="5" t="s">
        <v>94</v>
      </c>
    </row>
    <row r="32" spans="1:12" x14ac:dyDescent="0.2">
      <c r="A32" s="5">
        <v>27</v>
      </c>
      <c r="B32" s="5" t="s">
        <v>73</v>
      </c>
      <c r="C32" s="5">
        <v>1</v>
      </c>
      <c r="D32" s="5">
        <v>5</v>
      </c>
      <c r="E32" s="5">
        <v>0.2</v>
      </c>
      <c r="F32" s="5">
        <v>10</v>
      </c>
      <c r="G32" s="5">
        <v>23</v>
      </c>
      <c r="H32" s="5">
        <v>-13</v>
      </c>
      <c r="I32" s="5" t="s">
        <v>88</v>
      </c>
      <c r="J32" s="5" t="s">
        <v>147</v>
      </c>
    </row>
    <row r="33" spans="1:12" x14ac:dyDescent="0.2">
      <c r="A33" s="5">
        <v>28</v>
      </c>
      <c r="B33" s="5" t="s">
        <v>66</v>
      </c>
      <c r="C33" s="5">
        <v>0</v>
      </c>
      <c r="D33" s="5">
        <v>5</v>
      </c>
      <c r="E33" s="5">
        <v>0</v>
      </c>
      <c r="F33" s="5">
        <v>11</v>
      </c>
      <c r="G33" s="5">
        <v>25</v>
      </c>
      <c r="H33" s="5">
        <v>-14</v>
      </c>
      <c r="I33" s="5" t="s">
        <v>88</v>
      </c>
      <c r="J33" s="5" t="s">
        <v>89</v>
      </c>
    </row>
    <row r="34" spans="1:12" x14ac:dyDescent="0.2">
      <c r="A34" s="5">
        <v>29</v>
      </c>
      <c r="B34" s="5" t="s">
        <v>71</v>
      </c>
      <c r="C34" s="5">
        <v>0</v>
      </c>
      <c r="D34" s="5">
        <v>6</v>
      </c>
      <c r="E34" s="5">
        <v>0</v>
      </c>
      <c r="F34" s="5">
        <v>10</v>
      </c>
      <c r="G34" s="5">
        <v>30</v>
      </c>
      <c r="H34" s="5">
        <v>-20</v>
      </c>
      <c r="I34" s="5" t="s">
        <v>88</v>
      </c>
      <c r="J34" s="5" t="s">
        <v>148</v>
      </c>
    </row>
    <row r="35" spans="1:12" x14ac:dyDescent="0.2">
      <c r="A35" s="5" t="s">
        <v>149</v>
      </c>
      <c r="B35" s="5" t="s">
        <v>56</v>
      </c>
      <c r="C35" s="5">
        <v>0</v>
      </c>
      <c r="D35" s="5">
        <v>5</v>
      </c>
      <c r="E35" s="5">
        <v>0</v>
      </c>
      <c r="F35" s="5">
        <v>5</v>
      </c>
      <c r="G35" s="5">
        <v>25</v>
      </c>
      <c r="H35" s="5">
        <v>-20</v>
      </c>
      <c r="I35" s="5" t="s">
        <v>88</v>
      </c>
      <c r="J35" s="5" t="s">
        <v>97</v>
      </c>
    </row>
    <row r="36" spans="1:12" x14ac:dyDescent="0.2">
      <c r="A36" s="5" t="s">
        <v>149</v>
      </c>
      <c r="B36" s="5" t="s">
        <v>57</v>
      </c>
      <c r="C36" s="5">
        <v>0</v>
      </c>
      <c r="D36" s="5">
        <v>5</v>
      </c>
      <c r="E36" s="5">
        <v>0</v>
      </c>
      <c r="F36" s="5">
        <v>5</v>
      </c>
      <c r="G36" s="5">
        <v>25</v>
      </c>
      <c r="H36" s="5">
        <v>-20</v>
      </c>
      <c r="I36" s="5" t="s">
        <v>88</v>
      </c>
      <c r="J36" s="5" t="s">
        <v>116</v>
      </c>
    </row>
    <row r="39" spans="1:12" x14ac:dyDescent="0.2">
      <c r="A39" s="7"/>
      <c r="B39" s="7"/>
      <c r="C39" s="7"/>
      <c r="E39" s="7"/>
      <c r="F39" s="7"/>
      <c r="G39" s="7"/>
      <c r="H39" s="7"/>
      <c r="I39" s="6"/>
      <c r="J39" s="6"/>
      <c r="K39" s="6"/>
      <c r="L39" s="6"/>
    </row>
    <row r="40" spans="1:12" x14ac:dyDescent="0.2">
      <c r="A40" s="7"/>
      <c r="B40" s="7"/>
      <c r="C40" s="7"/>
      <c r="E40" s="7"/>
      <c r="F40" s="7"/>
      <c r="G40" s="7"/>
      <c r="H40" s="7"/>
      <c r="I40" s="6"/>
      <c r="J40" s="6"/>
      <c r="K40" s="6"/>
      <c r="L40" s="6"/>
    </row>
    <row r="41" spans="1:12" x14ac:dyDescent="0.2">
      <c r="A41" s="7"/>
      <c r="B41" s="7"/>
      <c r="C41" s="7"/>
      <c r="E41" s="7"/>
      <c r="F41" s="7"/>
      <c r="G41" s="7"/>
      <c r="H41" s="7"/>
      <c r="I41" s="6"/>
      <c r="J41" s="6"/>
      <c r="K41" s="6"/>
      <c r="L41" s="6"/>
    </row>
    <row r="42" spans="1:12" x14ac:dyDescent="0.2">
      <c r="A42" s="7"/>
      <c r="B42" s="7"/>
      <c r="C42" s="7"/>
      <c r="E42" s="7"/>
      <c r="F42" s="7"/>
      <c r="G42" s="7"/>
      <c r="H42" s="7"/>
      <c r="I42" s="6"/>
      <c r="J42" s="6"/>
      <c r="K42" s="6"/>
      <c r="L42" s="6"/>
    </row>
    <row r="43" spans="1:12" x14ac:dyDescent="0.2">
      <c r="A43" s="7"/>
      <c r="B43" s="7"/>
      <c r="C43" s="7"/>
      <c r="E43" s="7"/>
      <c r="F43" s="7"/>
      <c r="G43" s="7"/>
      <c r="H43" s="7"/>
      <c r="I43" s="6"/>
      <c r="J43" s="6"/>
      <c r="K43" s="6"/>
      <c r="L43" s="6"/>
    </row>
    <row r="44" spans="1:12" x14ac:dyDescent="0.2">
      <c r="A44" s="7"/>
      <c r="B44" s="7"/>
      <c r="C44" s="7"/>
      <c r="E44" s="7"/>
      <c r="F44" s="7"/>
      <c r="G44" s="7"/>
      <c r="H44" s="7"/>
      <c r="I44" s="6"/>
      <c r="J44" s="6"/>
      <c r="K44" s="6"/>
      <c r="L44" s="6"/>
    </row>
    <row r="45" spans="1:12" x14ac:dyDescent="0.2">
      <c r="A45" s="7"/>
      <c r="B45" s="7"/>
      <c r="C45" s="7"/>
      <c r="E45" s="7"/>
      <c r="F45" s="7"/>
      <c r="G45" s="7"/>
      <c r="H45" s="7"/>
      <c r="I45" s="6"/>
      <c r="J45" s="6"/>
      <c r="K45" s="6"/>
      <c r="L45" s="6"/>
    </row>
    <row r="46" spans="1:12" x14ac:dyDescent="0.2">
      <c r="A46" s="7"/>
      <c r="B46" s="7"/>
      <c r="C46" s="7"/>
      <c r="E46" s="7"/>
      <c r="F46" s="7"/>
      <c r="G46" s="7"/>
      <c r="H46" s="7"/>
      <c r="I46" s="6"/>
      <c r="J46" s="6"/>
      <c r="K46" s="6"/>
      <c r="L46" s="6"/>
    </row>
    <row r="47" spans="1:12" x14ac:dyDescent="0.2">
      <c r="A47" s="7"/>
      <c r="B47" s="7"/>
      <c r="C47" s="7"/>
      <c r="E47" s="7"/>
      <c r="F47" s="7"/>
      <c r="G47" s="7"/>
      <c r="H47" s="7"/>
      <c r="I47" s="6"/>
      <c r="J47" s="6"/>
      <c r="K47" s="6"/>
      <c r="L47" s="6"/>
    </row>
    <row r="48" spans="1:12" x14ac:dyDescent="0.2">
      <c r="A48" s="7"/>
      <c r="B48" s="7"/>
      <c r="C48" s="7"/>
      <c r="E48" s="7"/>
      <c r="F48" s="7"/>
      <c r="G48" s="7"/>
      <c r="H48" s="7"/>
      <c r="I48" s="6"/>
      <c r="J48" s="6"/>
      <c r="K48" s="6"/>
      <c r="L48" s="6"/>
    </row>
    <row r="49" spans="1:12" x14ac:dyDescent="0.2">
      <c r="A49" s="7"/>
      <c r="B49" s="7"/>
      <c r="C49" s="7"/>
      <c r="D49" s="7"/>
      <c r="E49" s="7"/>
      <c r="F49" s="7"/>
      <c r="G49" s="7"/>
      <c r="H49" s="7"/>
      <c r="I49" s="6"/>
      <c r="J49" s="6"/>
      <c r="K49" s="6"/>
      <c r="L49" s="6"/>
    </row>
    <row r="50" spans="1:12" x14ac:dyDescent="0.2">
      <c r="A50" s="7"/>
      <c r="B50" s="7"/>
      <c r="C50" s="7"/>
      <c r="D50" s="7"/>
      <c r="E50" s="7"/>
      <c r="F50" s="7"/>
      <c r="G50" s="7"/>
      <c r="H50" s="7"/>
      <c r="I50" s="6"/>
      <c r="J50" s="6"/>
      <c r="K50" s="6"/>
      <c r="L50" s="6"/>
    </row>
    <row r="51" spans="1:12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1:12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2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 spans="1:12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</sheetData>
  <autoFilter ref="A5:L5" xr:uid="{00000000-0009-0000-0000-000005000000}">
    <sortState xmlns:xlrd2="http://schemas.microsoft.com/office/spreadsheetml/2017/richdata2" ref="A6:L30">
      <sortCondition ref="A5"/>
    </sortState>
  </autoFilter>
  <mergeCells count="3">
    <mergeCell ref="A2:B2"/>
    <mergeCell ref="C2:L2"/>
    <mergeCell ref="C3:L3"/>
  </mergeCells>
  <hyperlinks>
    <hyperlink ref="C3" r:id="rId1" xr:uid="{6873CCB3-2396-47AB-BE42-F7772C22BCE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2:AA49"/>
  <sheetViews>
    <sheetView topLeftCell="A4" workbookViewId="0">
      <selection activeCell="M13" sqref="M13"/>
    </sheetView>
  </sheetViews>
  <sheetFormatPr defaultRowHeight="12.75" x14ac:dyDescent="0.2"/>
  <cols>
    <col min="1" max="1" width="5.7109375" style="5" bestFit="1" customWidth="1"/>
    <col min="2" max="2" width="18.85546875" style="5" customWidth="1"/>
    <col min="3" max="3" width="2.28515625" style="5" bestFit="1" customWidth="1"/>
    <col min="4" max="4" width="2.42578125" style="5" bestFit="1" customWidth="1"/>
    <col min="5" max="5" width="8.7109375" style="5" customWidth="1"/>
    <col min="6" max="8" width="3.7109375" style="5" bestFit="1" customWidth="1"/>
    <col min="9" max="9" width="11.28515625" style="5" customWidth="1"/>
    <col min="10" max="10" width="18.28515625" style="5" customWidth="1"/>
    <col min="11" max="11" width="7.85546875" style="5" bestFit="1" customWidth="1"/>
    <col min="12" max="12" width="8.140625" style="5" bestFit="1" customWidth="1"/>
  </cols>
  <sheetData>
    <row r="2" spans="1:27" x14ac:dyDescent="0.2">
      <c r="A2" s="56" t="s">
        <v>74</v>
      </c>
      <c r="B2" s="56"/>
      <c r="C2" s="57" t="s">
        <v>144</v>
      </c>
      <c r="D2" s="57"/>
      <c r="E2" s="57"/>
      <c r="F2" s="57"/>
      <c r="G2" s="57"/>
      <c r="H2" s="57"/>
      <c r="I2" s="57"/>
      <c r="J2" s="57"/>
      <c r="K2" s="57"/>
      <c r="L2" s="57"/>
    </row>
    <row r="3" spans="1:27" ht="13.15" customHeight="1" x14ac:dyDescent="0.2">
      <c r="C3" s="58" t="s">
        <v>150</v>
      </c>
      <c r="D3" s="58"/>
      <c r="E3" s="58"/>
      <c r="F3" s="58"/>
      <c r="G3" s="58"/>
      <c r="H3" s="58"/>
      <c r="I3" s="58"/>
      <c r="J3" s="58"/>
      <c r="K3" s="58"/>
      <c r="L3" s="58"/>
    </row>
    <row r="4" spans="1:27" ht="13.15" customHeight="1" x14ac:dyDescent="0.2">
      <c r="C4" s="9"/>
      <c r="D4" s="9"/>
      <c r="E4" s="9"/>
      <c r="F4" s="9"/>
      <c r="G4" s="9"/>
      <c r="H4" s="9"/>
      <c r="I4" s="9"/>
      <c r="J4" s="9"/>
      <c r="K4" s="9"/>
      <c r="L4" s="9"/>
    </row>
    <row r="5" spans="1:27" ht="30" x14ac:dyDescent="0.2">
      <c r="A5" s="10" t="s">
        <v>78</v>
      </c>
      <c r="B5" s="10" t="s">
        <v>79</v>
      </c>
      <c r="C5" s="10" t="s">
        <v>80</v>
      </c>
      <c r="D5" s="10" t="s">
        <v>81</v>
      </c>
      <c r="E5" s="10" t="s">
        <v>82</v>
      </c>
      <c r="F5" s="10" t="s">
        <v>4</v>
      </c>
      <c r="G5" s="10" t="s">
        <v>83</v>
      </c>
      <c r="H5" s="10" t="s">
        <v>5</v>
      </c>
      <c r="I5" s="10"/>
      <c r="J5" s="10"/>
      <c r="K5" s="10"/>
      <c r="L5" s="10"/>
    </row>
    <row r="6" spans="1:27" ht="25.5" x14ac:dyDescent="0.2">
      <c r="A6" s="7">
        <v>1</v>
      </c>
      <c r="B6" s="7" t="s">
        <v>14</v>
      </c>
      <c r="C6" s="7">
        <v>6</v>
      </c>
      <c r="D6" s="7">
        <v>6</v>
      </c>
      <c r="E6" s="7">
        <v>1</v>
      </c>
      <c r="F6" s="7">
        <v>30</v>
      </c>
      <c r="G6" s="7">
        <v>7</v>
      </c>
      <c r="H6" s="7">
        <v>23</v>
      </c>
      <c r="I6" s="7" t="s">
        <v>88</v>
      </c>
      <c r="J6" s="7" t="s">
        <v>89</v>
      </c>
      <c r="K6" s="7" t="s">
        <v>113</v>
      </c>
      <c r="L6" s="6"/>
      <c r="N6" s="37"/>
      <c r="O6" s="37"/>
      <c r="P6" s="37"/>
      <c r="Q6" s="7"/>
      <c r="R6" s="7"/>
      <c r="S6" s="7"/>
      <c r="T6" s="7"/>
      <c r="U6" s="7"/>
      <c r="V6" s="37"/>
      <c r="W6" s="38"/>
      <c r="X6" s="7"/>
      <c r="Y6" s="7"/>
      <c r="Z6" s="7"/>
    </row>
    <row r="7" spans="1:27" ht="25.5" x14ac:dyDescent="0.2">
      <c r="A7" s="7">
        <v>2</v>
      </c>
      <c r="B7" s="7" t="s">
        <v>16</v>
      </c>
      <c r="C7" s="7">
        <v>5</v>
      </c>
      <c r="D7" s="7">
        <v>5</v>
      </c>
      <c r="E7" s="7">
        <v>1</v>
      </c>
      <c r="F7" s="7">
        <v>25</v>
      </c>
      <c r="G7" s="7">
        <v>6</v>
      </c>
      <c r="H7" s="7">
        <v>19</v>
      </c>
      <c r="I7" s="7" t="s">
        <v>88</v>
      </c>
      <c r="J7" s="7" t="s">
        <v>94</v>
      </c>
      <c r="K7" s="7" t="s">
        <v>113</v>
      </c>
      <c r="L7" s="6"/>
      <c r="N7" s="7"/>
      <c r="O7" s="37"/>
      <c r="P7" s="7"/>
      <c r="Q7" s="37"/>
      <c r="R7" s="7"/>
      <c r="S7" s="7"/>
      <c r="T7" s="7"/>
      <c r="U7" s="7"/>
      <c r="V7" s="37"/>
      <c r="W7" s="38"/>
      <c r="X7" s="7"/>
      <c r="Y7" s="7"/>
      <c r="Z7" s="7"/>
      <c r="AA7" s="7"/>
    </row>
    <row r="8" spans="1:27" ht="25.5" x14ac:dyDescent="0.2">
      <c r="A8" s="7">
        <v>3</v>
      </c>
      <c r="B8" s="7" t="s">
        <v>21</v>
      </c>
      <c r="C8" s="7">
        <v>5</v>
      </c>
      <c r="D8" s="7">
        <v>5</v>
      </c>
      <c r="E8" s="7">
        <v>1</v>
      </c>
      <c r="F8" s="7">
        <v>25</v>
      </c>
      <c r="G8" s="7">
        <v>8</v>
      </c>
      <c r="H8" s="7">
        <v>17</v>
      </c>
      <c r="I8" s="7" t="s">
        <v>88</v>
      </c>
      <c r="J8" s="7" t="s">
        <v>116</v>
      </c>
      <c r="K8" s="7" t="s">
        <v>113</v>
      </c>
      <c r="L8" s="6"/>
      <c r="N8" s="7"/>
      <c r="O8" s="37"/>
      <c r="P8" s="7"/>
      <c r="Q8" s="7"/>
      <c r="R8" s="37"/>
      <c r="S8" s="7"/>
      <c r="T8" s="7"/>
      <c r="U8" s="7"/>
      <c r="V8" s="37"/>
      <c r="W8" s="38"/>
      <c r="X8" s="7"/>
      <c r="Y8" s="7"/>
      <c r="Z8" s="7"/>
      <c r="AA8" s="7"/>
    </row>
    <row r="9" spans="1:27" ht="25.5" x14ac:dyDescent="0.2">
      <c r="A9" s="7">
        <v>4</v>
      </c>
      <c r="B9" s="7" t="s">
        <v>17</v>
      </c>
      <c r="C9" s="7">
        <v>5</v>
      </c>
      <c r="D9" s="7">
        <v>5</v>
      </c>
      <c r="E9" s="7">
        <v>1</v>
      </c>
      <c r="F9" s="7">
        <v>25</v>
      </c>
      <c r="G9" s="7">
        <v>10</v>
      </c>
      <c r="H9" s="7">
        <v>15</v>
      </c>
      <c r="I9" s="7" t="s">
        <v>88</v>
      </c>
      <c r="J9" s="7" t="s">
        <v>89</v>
      </c>
      <c r="K9" s="7" t="s">
        <v>113</v>
      </c>
      <c r="L9" s="6"/>
      <c r="N9" s="7"/>
      <c r="O9" s="37"/>
      <c r="P9" s="7"/>
      <c r="Q9" s="7"/>
      <c r="R9" s="7"/>
      <c r="S9" s="37"/>
      <c r="T9" s="7"/>
      <c r="U9" s="7"/>
      <c r="V9" s="37"/>
      <c r="W9" s="38"/>
      <c r="X9" s="7"/>
      <c r="Y9" s="7"/>
      <c r="Z9" s="7"/>
      <c r="AA9" s="7"/>
    </row>
    <row r="10" spans="1:27" ht="25.5" x14ac:dyDescent="0.2">
      <c r="A10" s="7">
        <v>5</v>
      </c>
      <c r="B10" s="7" t="s">
        <v>32</v>
      </c>
      <c r="C10" s="7">
        <v>5</v>
      </c>
      <c r="D10" s="7">
        <v>6</v>
      </c>
      <c r="E10" s="7">
        <v>0.83</v>
      </c>
      <c r="F10" s="7">
        <v>28</v>
      </c>
      <c r="G10" s="7">
        <v>10</v>
      </c>
      <c r="H10" s="7">
        <v>18</v>
      </c>
      <c r="I10" s="7" t="s">
        <v>88</v>
      </c>
      <c r="J10" s="7" t="s">
        <v>115</v>
      </c>
      <c r="K10" s="7" t="s">
        <v>113</v>
      </c>
      <c r="L10" s="6"/>
      <c r="N10" s="7"/>
      <c r="O10" s="37"/>
      <c r="P10" s="7"/>
      <c r="Q10" s="7"/>
      <c r="R10" s="7"/>
      <c r="S10" s="7"/>
      <c r="T10" s="37"/>
      <c r="U10" s="7"/>
      <c r="V10" s="37"/>
      <c r="W10" s="7"/>
      <c r="X10" s="7"/>
      <c r="Y10" s="7"/>
      <c r="Z10" s="7"/>
      <c r="AA10" s="7"/>
    </row>
    <row r="11" spans="1:27" ht="25.5" x14ac:dyDescent="0.2">
      <c r="A11" s="7">
        <v>6</v>
      </c>
      <c r="B11" s="7" t="s">
        <v>15</v>
      </c>
      <c r="C11" s="7">
        <v>4</v>
      </c>
      <c r="D11" s="7">
        <v>5</v>
      </c>
      <c r="E11" s="7">
        <v>0.8</v>
      </c>
      <c r="F11" s="7">
        <v>24</v>
      </c>
      <c r="G11" s="7">
        <v>14</v>
      </c>
      <c r="H11" s="7">
        <v>10</v>
      </c>
      <c r="I11" s="7" t="s">
        <v>88</v>
      </c>
      <c r="J11" s="7" t="s">
        <v>89</v>
      </c>
      <c r="K11" s="7" t="s">
        <v>113</v>
      </c>
      <c r="L11" s="6"/>
      <c r="N11" s="37"/>
      <c r="O11" s="37"/>
      <c r="P11" s="37"/>
      <c r="Q11" s="7"/>
      <c r="R11" s="7"/>
      <c r="S11" s="7"/>
      <c r="T11" s="7"/>
      <c r="U11" s="7"/>
      <c r="V11" s="37"/>
      <c r="W11" s="38"/>
      <c r="X11" s="7"/>
      <c r="Y11" s="7"/>
      <c r="Z11" s="7"/>
      <c r="AA11" s="7"/>
    </row>
    <row r="12" spans="1:27" ht="25.5" x14ac:dyDescent="0.2">
      <c r="A12" s="7">
        <v>7</v>
      </c>
      <c r="B12" s="7" t="s">
        <v>24</v>
      </c>
      <c r="C12" s="7">
        <v>4</v>
      </c>
      <c r="D12" s="7">
        <v>5</v>
      </c>
      <c r="E12" s="7">
        <v>0.8</v>
      </c>
      <c r="F12" s="7">
        <v>21</v>
      </c>
      <c r="G12" s="7">
        <v>12</v>
      </c>
      <c r="H12" s="7">
        <v>9</v>
      </c>
      <c r="I12" s="7" t="s">
        <v>88</v>
      </c>
      <c r="J12" s="7" t="s">
        <v>96</v>
      </c>
      <c r="K12" s="7" t="s">
        <v>113</v>
      </c>
      <c r="L12" s="6"/>
      <c r="N12" s="7"/>
      <c r="O12" s="37"/>
      <c r="P12" s="7"/>
      <c r="Q12" s="37"/>
      <c r="R12" s="7"/>
      <c r="S12" s="7"/>
      <c r="T12" s="7"/>
      <c r="U12" s="7"/>
      <c r="V12" s="37"/>
      <c r="W12" s="38"/>
      <c r="X12" s="7"/>
      <c r="Y12" s="7"/>
      <c r="Z12" s="7"/>
      <c r="AA12" s="7"/>
    </row>
    <row r="13" spans="1:27" ht="25.5" x14ac:dyDescent="0.2">
      <c r="A13" s="7">
        <v>8</v>
      </c>
      <c r="B13" s="7" t="s">
        <v>19</v>
      </c>
      <c r="C13" s="7">
        <v>4</v>
      </c>
      <c r="D13" s="7">
        <v>5</v>
      </c>
      <c r="E13" s="7">
        <v>0.8</v>
      </c>
      <c r="F13" s="7">
        <v>22</v>
      </c>
      <c r="G13" s="7">
        <v>15</v>
      </c>
      <c r="H13" s="7">
        <v>7</v>
      </c>
      <c r="I13" s="7" t="s">
        <v>88</v>
      </c>
      <c r="J13" s="7" t="s">
        <v>89</v>
      </c>
      <c r="K13" s="7" t="s">
        <v>113</v>
      </c>
      <c r="L13" s="6"/>
      <c r="N13" s="7"/>
      <c r="O13" s="37"/>
      <c r="P13" s="7"/>
      <c r="Q13" s="7"/>
      <c r="R13" s="37"/>
      <c r="S13" s="7"/>
      <c r="T13" s="7"/>
      <c r="U13" s="7"/>
      <c r="V13" s="37"/>
      <c r="W13" s="38"/>
      <c r="X13" s="7"/>
      <c r="Y13" s="7"/>
      <c r="Z13" s="7"/>
    </row>
    <row r="14" spans="1:27" ht="25.5" x14ac:dyDescent="0.2">
      <c r="A14" s="7">
        <v>9</v>
      </c>
      <c r="B14" s="7" t="s">
        <v>22</v>
      </c>
      <c r="C14" s="7">
        <v>4</v>
      </c>
      <c r="D14" s="7">
        <v>5</v>
      </c>
      <c r="E14" s="7">
        <v>0.8</v>
      </c>
      <c r="F14" s="7">
        <v>24</v>
      </c>
      <c r="G14" s="7">
        <v>18</v>
      </c>
      <c r="H14" s="7">
        <v>6</v>
      </c>
      <c r="I14" s="7" t="s">
        <v>88</v>
      </c>
      <c r="J14" s="7" t="s">
        <v>89</v>
      </c>
      <c r="K14" s="7" t="s">
        <v>113</v>
      </c>
      <c r="L14" s="6"/>
      <c r="N14" s="7"/>
      <c r="O14" s="37"/>
      <c r="P14" s="7"/>
      <c r="Q14" s="7"/>
      <c r="R14" s="7"/>
      <c r="S14" s="37"/>
      <c r="T14" s="7"/>
      <c r="U14" s="7"/>
      <c r="V14" s="37"/>
      <c r="W14" s="38"/>
      <c r="X14" s="7"/>
      <c r="Y14" s="7"/>
      <c r="Z14" s="7"/>
    </row>
    <row r="15" spans="1:27" ht="25.5" x14ac:dyDescent="0.2">
      <c r="A15" s="7">
        <v>10</v>
      </c>
      <c r="B15" s="7" t="s">
        <v>34</v>
      </c>
      <c r="C15" s="7">
        <v>4</v>
      </c>
      <c r="D15" s="7">
        <v>6</v>
      </c>
      <c r="E15" s="7">
        <v>0.67</v>
      </c>
      <c r="F15" s="7">
        <v>21</v>
      </c>
      <c r="G15" s="7">
        <v>22</v>
      </c>
      <c r="H15" s="7">
        <v>-1</v>
      </c>
      <c r="I15" s="7" t="s">
        <v>88</v>
      </c>
      <c r="J15" s="7" t="s">
        <v>96</v>
      </c>
      <c r="K15" s="7" t="s">
        <v>113</v>
      </c>
      <c r="L15" s="6"/>
      <c r="N15" s="7"/>
      <c r="O15" s="37"/>
      <c r="P15" s="7"/>
      <c r="Q15" s="7"/>
      <c r="R15" s="7"/>
      <c r="S15" s="7"/>
      <c r="T15" s="37"/>
      <c r="U15" s="7"/>
      <c r="V15" s="37"/>
      <c r="W15" s="38"/>
      <c r="X15" s="7"/>
      <c r="Y15" s="7"/>
      <c r="Z15" s="7"/>
    </row>
    <row r="16" spans="1:27" ht="25.5" x14ac:dyDescent="0.2">
      <c r="A16" s="7">
        <v>11</v>
      </c>
      <c r="B16" s="7" t="s">
        <v>23</v>
      </c>
      <c r="C16" s="7">
        <v>3</v>
      </c>
      <c r="D16" s="7">
        <v>5</v>
      </c>
      <c r="E16" s="7">
        <v>0.6</v>
      </c>
      <c r="F16" s="7">
        <v>23</v>
      </c>
      <c r="G16" s="7">
        <v>15</v>
      </c>
      <c r="H16" s="7">
        <v>8</v>
      </c>
      <c r="I16" s="7" t="s">
        <v>88</v>
      </c>
      <c r="J16" s="7" t="s">
        <v>115</v>
      </c>
      <c r="K16" s="7" t="s">
        <v>113</v>
      </c>
      <c r="L16" s="6"/>
      <c r="N16" s="7"/>
      <c r="O16" s="37"/>
      <c r="P16" s="7"/>
      <c r="Q16" s="7"/>
      <c r="R16" s="7"/>
      <c r="S16" s="7"/>
      <c r="T16" s="7"/>
      <c r="U16" s="37"/>
      <c r="V16" s="37"/>
      <c r="W16" s="38"/>
      <c r="X16" s="7"/>
      <c r="Y16" s="7"/>
      <c r="Z16" s="7"/>
    </row>
    <row r="17" spans="1:12" ht="25.5" x14ac:dyDescent="0.2">
      <c r="A17" s="7">
        <v>12</v>
      </c>
      <c r="B17" s="7" t="s">
        <v>146</v>
      </c>
      <c r="C17" s="7">
        <v>3</v>
      </c>
      <c r="D17" s="7">
        <v>5</v>
      </c>
      <c r="E17" s="7">
        <v>0.6</v>
      </c>
      <c r="F17" s="7">
        <v>22</v>
      </c>
      <c r="G17" s="7">
        <v>18</v>
      </c>
      <c r="H17" s="7">
        <v>4</v>
      </c>
      <c r="I17" s="7" t="s">
        <v>88</v>
      </c>
      <c r="J17" s="7" t="s">
        <v>96</v>
      </c>
      <c r="K17" s="7" t="s">
        <v>113</v>
      </c>
      <c r="L17" s="6"/>
    </row>
    <row r="18" spans="1:12" ht="25.5" x14ac:dyDescent="0.2">
      <c r="A18" s="7">
        <v>13</v>
      </c>
      <c r="B18" s="7" t="s">
        <v>50</v>
      </c>
      <c r="C18" s="7">
        <v>3</v>
      </c>
      <c r="D18" s="7">
        <v>5</v>
      </c>
      <c r="E18" s="7">
        <v>0.6</v>
      </c>
      <c r="F18" s="7">
        <v>23</v>
      </c>
      <c r="G18" s="7">
        <v>20</v>
      </c>
      <c r="H18" s="7">
        <v>3</v>
      </c>
      <c r="I18" s="7" t="s">
        <v>88</v>
      </c>
      <c r="J18" s="7" t="s">
        <v>115</v>
      </c>
      <c r="K18" s="7" t="s">
        <v>113</v>
      </c>
      <c r="L18" s="6"/>
    </row>
    <row r="19" spans="1:12" ht="25.5" x14ac:dyDescent="0.2">
      <c r="A19" s="7">
        <v>14</v>
      </c>
      <c r="B19" s="7" t="s">
        <v>26</v>
      </c>
      <c r="C19" s="7">
        <v>3</v>
      </c>
      <c r="D19" s="7">
        <v>5</v>
      </c>
      <c r="E19" s="7">
        <v>0.6</v>
      </c>
      <c r="F19" s="7">
        <v>20</v>
      </c>
      <c r="G19" s="7">
        <v>19</v>
      </c>
      <c r="H19" s="7">
        <v>1</v>
      </c>
      <c r="I19" s="7" t="s">
        <v>88</v>
      </c>
      <c r="J19" s="7" t="s">
        <v>89</v>
      </c>
      <c r="K19" s="7" t="s">
        <v>113</v>
      </c>
      <c r="L19" s="6"/>
    </row>
    <row r="20" spans="1:12" x14ac:dyDescent="0.2">
      <c r="A20" s="7">
        <v>15</v>
      </c>
      <c r="B20" s="7" t="s">
        <v>39</v>
      </c>
      <c r="C20" s="7">
        <v>3</v>
      </c>
      <c r="D20" s="7">
        <v>5</v>
      </c>
      <c r="E20" s="7">
        <v>0.6</v>
      </c>
      <c r="F20" s="7">
        <v>17</v>
      </c>
      <c r="G20" s="7">
        <v>18</v>
      </c>
      <c r="H20" s="7">
        <v>-1</v>
      </c>
      <c r="I20" s="7" t="s">
        <v>88</v>
      </c>
      <c r="J20" s="7" t="s">
        <v>145</v>
      </c>
      <c r="K20" s="7" t="s">
        <v>113</v>
      </c>
      <c r="L20" s="6"/>
    </row>
    <row r="21" spans="1:12" ht="25.5" x14ac:dyDescent="0.2">
      <c r="A21" s="7">
        <v>16</v>
      </c>
      <c r="B21" s="7" t="s">
        <v>36</v>
      </c>
      <c r="C21" s="7">
        <v>3</v>
      </c>
      <c r="D21" s="7">
        <v>6</v>
      </c>
      <c r="E21" s="7">
        <v>0.5</v>
      </c>
      <c r="F21" s="7">
        <v>19</v>
      </c>
      <c r="G21" s="7">
        <v>19</v>
      </c>
      <c r="H21" s="7">
        <v>0</v>
      </c>
      <c r="I21" s="7" t="s">
        <v>88</v>
      </c>
      <c r="J21" s="7" t="s">
        <v>116</v>
      </c>
      <c r="K21" s="7" t="s">
        <v>113</v>
      </c>
      <c r="L21" s="6"/>
    </row>
    <row r="22" spans="1:12" ht="25.5" x14ac:dyDescent="0.2">
      <c r="A22" s="7">
        <v>17</v>
      </c>
      <c r="B22" s="7" t="s">
        <v>58</v>
      </c>
      <c r="C22" s="7">
        <v>2</v>
      </c>
      <c r="D22" s="7">
        <v>5</v>
      </c>
      <c r="E22" s="7">
        <v>0.4</v>
      </c>
      <c r="F22" s="7">
        <v>19</v>
      </c>
      <c r="G22" s="7">
        <v>19</v>
      </c>
      <c r="H22" s="7">
        <v>0</v>
      </c>
      <c r="I22" s="7" t="s">
        <v>88</v>
      </c>
      <c r="J22" s="7" t="s">
        <v>117</v>
      </c>
      <c r="K22" s="7" t="s">
        <v>113</v>
      </c>
      <c r="L22" s="6"/>
    </row>
    <row r="23" spans="1:12" ht="25.5" x14ac:dyDescent="0.2">
      <c r="A23" s="7">
        <v>18</v>
      </c>
      <c r="B23" s="7" t="s">
        <v>37</v>
      </c>
      <c r="C23" s="7">
        <v>2</v>
      </c>
      <c r="D23" s="7">
        <v>5</v>
      </c>
      <c r="E23" s="7">
        <v>0.4</v>
      </c>
      <c r="F23" s="7">
        <v>17</v>
      </c>
      <c r="G23" s="7">
        <v>17</v>
      </c>
      <c r="H23" s="7">
        <v>0</v>
      </c>
      <c r="I23" s="7" t="s">
        <v>88</v>
      </c>
      <c r="J23" s="7" t="s">
        <v>96</v>
      </c>
      <c r="K23" s="7" t="s">
        <v>113</v>
      </c>
      <c r="L23" s="6"/>
    </row>
    <row r="24" spans="1:12" ht="25.5" x14ac:dyDescent="0.2">
      <c r="A24" s="7" t="s">
        <v>151</v>
      </c>
      <c r="B24" s="7" t="s">
        <v>49</v>
      </c>
      <c r="C24" s="7">
        <v>2</v>
      </c>
      <c r="D24" s="7">
        <v>5</v>
      </c>
      <c r="E24" s="7">
        <v>0.4</v>
      </c>
      <c r="F24" s="7">
        <v>16</v>
      </c>
      <c r="G24" s="7">
        <v>21</v>
      </c>
      <c r="H24" s="7">
        <v>-5</v>
      </c>
      <c r="I24" s="7" t="s">
        <v>88</v>
      </c>
      <c r="J24" s="7" t="s">
        <v>119</v>
      </c>
      <c r="K24" s="7" t="s">
        <v>113</v>
      </c>
      <c r="L24" s="6"/>
    </row>
    <row r="25" spans="1:12" ht="25.5" x14ac:dyDescent="0.2">
      <c r="A25" s="7" t="s">
        <v>151</v>
      </c>
      <c r="B25" s="7" t="s">
        <v>53</v>
      </c>
      <c r="C25" s="7">
        <v>2</v>
      </c>
      <c r="D25" s="7">
        <v>5</v>
      </c>
      <c r="E25" s="7">
        <v>0.4</v>
      </c>
      <c r="F25" s="7">
        <v>16</v>
      </c>
      <c r="G25" s="7">
        <v>21</v>
      </c>
      <c r="H25" s="7">
        <v>-5</v>
      </c>
      <c r="I25" s="7" t="s">
        <v>88</v>
      </c>
      <c r="J25" s="7" t="s">
        <v>94</v>
      </c>
      <c r="K25" s="7" t="s">
        <v>113</v>
      </c>
      <c r="L25" s="6"/>
    </row>
    <row r="26" spans="1:12" ht="25.5" x14ac:dyDescent="0.2">
      <c r="A26" s="7">
        <v>21</v>
      </c>
      <c r="B26" s="7" t="s">
        <v>44</v>
      </c>
      <c r="C26" s="7">
        <v>2</v>
      </c>
      <c r="D26" s="7">
        <v>6</v>
      </c>
      <c r="E26" s="7">
        <v>0.33</v>
      </c>
      <c r="F26" s="7">
        <v>20</v>
      </c>
      <c r="G26" s="7">
        <v>21</v>
      </c>
      <c r="H26" s="7">
        <v>-1</v>
      </c>
      <c r="I26" s="7" t="s">
        <v>88</v>
      </c>
      <c r="J26" s="7" t="s">
        <v>102</v>
      </c>
      <c r="K26" s="7" t="s">
        <v>113</v>
      </c>
      <c r="L26" s="6"/>
    </row>
    <row r="27" spans="1:12" ht="25.5" x14ac:dyDescent="0.2">
      <c r="A27" s="7">
        <v>22</v>
      </c>
      <c r="B27" s="7" t="s">
        <v>25</v>
      </c>
      <c r="C27" s="7">
        <v>1</v>
      </c>
      <c r="D27" s="7">
        <v>5</v>
      </c>
      <c r="E27" s="7">
        <v>0.2</v>
      </c>
      <c r="F27" s="7">
        <v>17</v>
      </c>
      <c r="G27" s="7">
        <v>21</v>
      </c>
      <c r="H27" s="7">
        <v>-4</v>
      </c>
      <c r="I27" s="7" t="s">
        <v>88</v>
      </c>
      <c r="J27" s="7" t="s">
        <v>96</v>
      </c>
      <c r="K27" s="7" t="s">
        <v>113</v>
      </c>
      <c r="L27" s="6"/>
    </row>
    <row r="28" spans="1:12" x14ac:dyDescent="0.2">
      <c r="A28" s="7">
        <v>23</v>
      </c>
      <c r="B28" s="7" t="s">
        <v>28</v>
      </c>
      <c r="C28" s="7">
        <v>1</v>
      </c>
      <c r="D28" s="7">
        <v>5</v>
      </c>
      <c r="E28" s="7">
        <v>0.2</v>
      </c>
      <c r="F28" s="7">
        <v>18</v>
      </c>
      <c r="G28" s="7">
        <v>24</v>
      </c>
      <c r="H28" s="7">
        <v>-6</v>
      </c>
      <c r="I28" s="7" t="s">
        <v>88</v>
      </c>
      <c r="J28" s="7" t="s">
        <v>145</v>
      </c>
      <c r="K28" s="7" t="s">
        <v>113</v>
      </c>
      <c r="L28" s="6"/>
    </row>
    <row r="29" spans="1:12" x14ac:dyDescent="0.2">
      <c r="A29" s="7" t="s">
        <v>124</v>
      </c>
      <c r="B29" s="7" t="s">
        <v>54</v>
      </c>
      <c r="C29" s="7">
        <v>1</v>
      </c>
      <c r="D29" s="7">
        <v>5</v>
      </c>
      <c r="E29" s="7">
        <v>0.2</v>
      </c>
      <c r="F29" s="7">
        <v>14</v>
      </c>
      <c r="G29" s="7">
        <v>23</v>
      </c>
      <c r="H29" s="7">
        <v>-9</v>
      </c>
      <c r="I29" s="7" t="s">
        <v>88</v>
      </c>
      <c r="J29" s="7" t="s">
        <v>94</v>
      </c>
      <c r="K29" s="7" t="s">
        <v>113</v>
      </c>
      <c r="L29" s="6"/>
    </row>
    <row r="30" spans="1:12" x14ac:dyDescent="0.2">
      <c r="A30" s="7" t="s">
        <v>124</v>
      </c>
      <c r="B30" s="7" t="s">
        <v>42</v>
      </c>
      <c r="C30" s="7">
        <v>1</v>
      </c>
      <c r="D30" s="7">
        <v>5</v>
      </c>
      <c r="E30" s="7">
        <v>0.2</v>
      </c>
      <c r="F30" s="7">
        <v>14</v>
      </c>
      <c r="G30" s="7">
        <v>23</v>
      </c>
      <c r="H30" s="7">
        <v>-9</v>
      </c>
      <c r="I30" s="7" t="s">
        <v>88</v>
      </c>
      <c r="J30" s="7"/>
      <c r="K30" s="7" t="s">
        <v>113</v>
      </c>
      <c r="L30" s="6"/>
    </row>
    <row r="31" spans="1:12" x14ac:dyDescent="0.2">
      <c r="A31" s="7">
        <v>26</v>
      </c>
      <c r="B31" s="7" t="s">
        <v>29</v>
      </c>
      <c r="C31" s="7">
        <v>1</v>
      </c>
      <c r="D31" s="7">
        <v>5</v>
      </c>
      <c r="E31" s="7">
        <v>0.2</v>
      </c>
      <c r="F31" s="7">
        <v>11</v>
      </c>
      <c r="G31" s="7">
        <v>21</v>
      </c>
      <c r="H31" s="7">
        <v>-10</v>
      </c>
      <c r="I31" s="6" t="s">
        <v>88</v>
      </c>
      <c r="J31" s="6" t="s">
        <v>94</v>
      </c>
      <c r="K31" s="6"/>
      <c r="L31" s="6"/>
    </row>
    <row r="32" spans="1:12" ht="25.5" x14ac:dyDescent="0.2">
      <c r="A32" s="7">
        <v>27</v>
      </c>
      <c r="B32" s="7" t="s">
        <v>66</v>
      </c>
      <c r="C32" s="7">
        <v>1</v>
      </c>
      <c r="D32" s="7">
        <v>5</v>
      </c>
      <c r="E32" s="7">
        <v>0.2</v>
      </c>
      <c r="F32" s="7">
        <v>8</v>
      </c>
      <c r="G32" s="7">
        <v>22</v>
      </c>
      <c r="H32" s="7">
        <v>-14</v>
      </c>
      <c r="I32" s="6" t="s">
        <v>88</v>
      </c>
      <c r="J32" s="6" t="s">
        <v>89</v>
      </c>
      <c r="K32" s="6"/>
      <c r="L32" s="6"/>
    </row>
    <row r="33" spans="1:12" ht="25.5" x14ac:dyDescent="0.2">
      <c r="A33" s="7">
        <v>28</v>
      </c>
      <c r="B33" s="7" t="s">
        <v>56</v>
      </c>
      <c r="C33" s="7">
        <v>1</v>
      </c>
      <c r="D33" s="7">
        <v>6</v>
      </c>
      <c r="E33" s="7">
        <v>0.17</v>
      </c>
      <c r="F33" s="7">
        <v>9</v>
      </c>
      <c r="G33" s="7">
        <v>26</v>
      </c>
      <c r="H33" s="7">
        <v>-17</v>
      </c>
      <c r="I33" s="6" t="s">
        <v>88</v>
      </c>
      <c r="J33" s="6" t="s">
        <v>97</v>
      </c>
      <c r="K33" s="6"/>
      <c r="L33" s="6"/>
    </row>
    <row r="34" spans="1:12" ht="25.5" x14ac:dyDescent="0.2">
      <c r="A34" s="7">
        <v>29</v>
      </c>
      <c r="B34" s="7" t="s">
        <v>57</v>
      </c>
      <c r="C34" s="7">
        <v>0</v>
      </c>
      <c r="D34" s="7">
        <v>5</v>
      </c>
      <c r="E34" s="7">
        <v>0</v>
      </c>
      <c r="F34" s="7">
        <v>12</v>
      </c>
      <c r="G34" s="7">
        <v>25</v>
      </c>
      <c r="H34" s="7">
        <v>-13</v>
      </c>
      <c r="I34" s="6" t="s">
        <v>88</v>
      </c>
      <c r="J34" s="6" t="s">
        <v>116</v>
      </c>
      <c r="K34" s="6"/>
      <c r="L34" s="6"/>
    </row>
    <row r="35" spans="1:12" x14ac:dyDescent="0.2">
      <c r="A35" s="7">
        <v>30</v>
      </c>
      <c r="B35" s="7" t="s">
        <v>71</v>
      </c>
      <c r="C35" s="7">
        <v>0</v>
      </c>
      <c r="D35" s="7">
        <v>6</v>
      </c>
      <c r="E35" s="7">
        <v>0</v>
      </c>
      <c r="F35" s="7">
        <v>8</v>
      </c>
      <c r="G35" s="7">
        <v>30</v>
      </c>
      <c r="H35" s="7">
        <v>-22</v>
      </c>
      <c r="I35" s="6" t="s">
        <v>88</v>
      </c>
      <c r="J35" s="6" t="s">
        <v>148</v>
      </c>
      <c r="K35" s="6"/>
      <c r="L35" s="6"/>
    </row>
    <row r="36" spans="1:12" ht="25.5" x14ac:dyDescent="0.2">
      <c r="A36" s="7">
        <v>31</v>
      </c>
      <c r="B36" s="7" t="s">
        <v>73</v>
      </c>
      <c r="C36" s="7">
        <v>0</v>
      </c>
      <c r="D36" s="7">
        <v>5</v>
      </c>
      <c r="E36" s="7">
        <v>0</v>
      </c>
      <c r="F36" s="7">
        <v>2</v>
      </c>
      <c r="G36" s="7">
        <v>25</v>
      </c>
      <c r="H36" s="7">
        <v>-23</v>
      </c>
      <c r="I36" s="6" t="s">
        <v>88</v>
      </c>
      <c r="J36" s="6" t="s">
        <v>147</v>
      </c>
      <c r="K36" s="6"/>
      <c r="L36" s="6"/>
    </row>
    <row r="37" spans="1:12" x14ac:dyDescent="0.2">
      <c r="A37" s="7"/>
      <c r="B37" s="7"/>
      <c r="C37" s="7"/>
      <c r="D37" s="7"/>
      <c r="E37" s="7"/>
      <c r="F37" s="7"/>
      <c r="G37" s="7"/>
      <c r="H37" s="7"/>
      <c r="I37" s="6"/>
      <c r="J37" s="6"/>
      <c r="K37" s="6"/>
      <c r="L37" s="6"/>
    </row>
    <row r="38" spans="1:12" x14ac:dyDescent="0.2">
      <c r="A38" s="7"/>
      <c r="B38" s="7"/>
      <c r="C38" s="7"/>
      <c r="D38" s="7"/>
      <c r="E38" s="7"/>
      <c r="F38" s="7"/>
      <c r="G38" s="7"/>
      <c r="H38" s="7"/>
      <c r="I38" s="6"/>
      <c r="J38" s="6"/>
      <c r="K38" s="6"/>
      <c r="L38" s="6"/>
    </row>
    <row r="39" spans="1:12" x14ac:dyDescent="0.2">
      <c r="A39" s="7"/>
      <c r="B39" s="7"/>
      <c r="C39" s="7"/>
      <c r="D39" s="7"/>
      <c r="E39" s="7"/>
      <c r="F39" s="7"/>
      <c r="G39" s="7"/>
      <c r="H39" s="7"/>
      <c r="I39" s="6"/>
      <c r="J39" s="6"/>
      <c r="K39" s="6"/>
      <c r="L39" s="6"/>
    </row>
    <row r="40" spans="1:12" x14ac:dyDescent="0.2">
      <c r="A40" s="7"/>
      <c r="B40" s="7"/>
      <c r="C40" s="7"/>
      <c r="D40" s="7"/>
      <c r="E40" s="7"/>
      <c r="F40" s="7"/>
      <c r="G40" s="7"/>
      <c r="H40" s="7"/>
      <c r="I40" s="6"/>
      <c r="J40" s="6"/>
      <c r="K40" s="6"/>
      <c r="L40" s="6"/>
    </row>
    <row r="41" spans="1:12" x14ac:dyDescent="0.2">
      <c r="A41" s="7"/>
      <c r="B41" s="7"/>
      <c r="C41" s="7"/>
      <c r="D41" s="7"/>
      <c r="E41" s="7"/>
      <c r="F41" s="7"/>
      <c r="G41" s="7"/>
      <c r="H41" s="7"/>
      <c r="I41" s="6"/>
      <c r="J41" s="6"/>
      <c r="K41" s="6"/>
      <c r="L41" s="6"/>
    </row>
    <row r="42" spans="1:12" x14ac:dyDescent="0.2">
      <c r="A42" s="7"/>
      <c r="B42" s="7"/>
      <c r="C42" s="7"/>
      <c r="D42" s="7"/>
      <c r="E42" s="7"/>
      <c r="F42" s="7"/>
      <c r="G42" s="7"/>
      <c r="H42" s="7"/>
      <c r="I42" s="6"/>
      <c r="J42" s="6"/>
      <c r="K42" s="6"/>
      <c r="L42" s="6"/>
    </row>
    <row r="43" spans="1:12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2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1:12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</sheetData>
  <autoFilter ref="A5:L5" xr:uid="{00000000-0009-0000-0000-000006000000}">
    <sortState xmlns:xlrd2="http://schemas.microsoft.com/office/spreadsheetml/2017/richdata2" ref="A6:L41">
      <sortCondition ref="B5"/>
    </sortState>
  </autoFilter>
  <mergeCells count="3">
    <mergeCell ref="A2:B2"/>
    <mergeCell ref="C2:L2"/>
    <mergeCell ref="C3:L3"/>
  </mergeCells>
  <hyperlinks>
    <hyperlink ref="C3" r:id="rId1" xr:uid="{56EA084B-24A7-4089-B313-2F6482D717CE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2:L50"/>
  <sheetViews>
    <sheetView topLeftCell="A4" workbookViewId="0">
      <selection activeCell="B19" sqref="B19"/>
    </sheetView>
  </sheetViews>
  <sheetFormatPr defaultRowHeight="12.75" x14ac:dyDescent="0.2"/>
  <cols>
    <col min="1" max="1" width="5.7109375" style="5" bestFit="1" customWidth="1"/>
    <col min="2" max="2" width="18.85546875" style="5" customWidth="1"/>
    <col min="3" max="3" width="2.28515625" style="5" bestFit="1" customWidth="1"/>
    <col min="4" max="4" width="2.42578125" style="5" bestFit="1" customWidth="1"/>
    <col min="5" max="5" width="8.7109375" style="5" customWidth="1"/>
    <col min="6" max="6" width="3.28515625" style="5" bestFit="1" customWidth="1"/>
    <col min="7" max="7" width="3.42578125" style="5" bestFit="1" customWidth="1"/>
    <col min="8" max="8" width="3.7109375" style="5" bestFit="1" customWidth="1"/>
    <col min="9" max="9" width="11.28515625" style="5" customWidth="1"/>
    <col min="10" max="10" width="18.28515625" style="5" customWidth="1"/>
    <col min="11" max="11" width="7.85546875" style="5" bestFit="1" customWidth="1"/>
    <col min="12" max="12" width="8.140625" style="5" bestFit="1" customWidth="1"/>
  </cols>
  <sheetData>
    <row r="2" spans="1:12" x14ac:dyDescent="0.2">
      <c r="A2" s="56" t="s">
        <v>74</v>
      </c>
      <c r="B2" s="56"/>
      <c r="C2" s="57" t="s">
        <v>152</v>
      </c>
      <c r="D2" s="57"/>
      <c r="E2" s="57"/>
      <c r="F2" s="57"/>
      <c r="G2" s="57"/>
      <c r="H2" s="57"/>
      <c r="I2" s="57"/>
      <c r="J2" s="57"/>
      <c r="K2" s="57"/>
      <c r="L2" s="57"/>
    </row>
    <row r="3" spans="1:12" ht="13.15" customHeight="1" x14ac:dyDescent="0.2">
      <c r="C3" s="58" t="s">
        <v>153</v>
      </c>
      <c r="D3" s="58"/>
      <c r="E3" s="58"/>
      <c r="F3" s="58"/>
      <c r="G3" s="58"/>
      <c r="H3" s="58"/>
      <c r="I3" s="58"/>
      <c r="J3" s="58"/>
      <c r="K3" s="58"/>
      <c r="L3" s="58"/>
    </row>
    <row r="4" spans="1:12" ht="13.15" customHeight="1" x14ac:dyDescent="0.2">
      <c r="C4" s="9"/>
      <c r="D4" s="9"/>
      <c r="E4" s="9"/>
      <c r="F4" s="9"/>
      <c r="G4" s="9"/>
      <c r="H4" s="9"/>
      <c r="I4" s="9"/>
      <c r="J4" s="9"/>
      <c r="K4" s="9"/>
      <c r="L4" s="9"/>
    </row>
    <row r="5" spans="1:12" ht="30" x14ac:dyDescent="0.2">
      <c r="A5" s="10" t="s">
        <v>78</v>
      </c>
      <c r="B5" s="10" t="s">
        <v>79</v>
      </c>
      <c r="C5" s="10" t="s">
        <v>80</v>
      </c>
      <c r="D5" s="10" t="s">
        <v>81</v>
      </c>
      <c r="E5" s="10" t="s">
        <v>82</v>
      </c>
      <c r="F5" s="10" t="s">
        <v>4</v>
      </c>
      <c r="G5" s="10" t="s">
        <v>83</v>
      </c>
      <c r="H5" s="10" t="s">
        <v>5</v>
      </c>
      <c r="I5" s="10" t="s">
        <v>84</v>
      </c>
      <c r="J5" s="10" t="s">
        <v>85</v>
      </c>
      <c r="K5" s="10" t="s">
        <v>86</v>
      </c>
      <c r="L5" s="10" t="s">
        <v>87</v>
      </c>
    </row>
    <row r="6" spans="1:12" ht="25.5" x14ac:dyDescent="0.2">
      <c r="A6" s="7" t="s">
        <v>154</v>
      </c>
      <c r="B6" s="7" t="s">
        <v>15</v>
      </c>
      <c r="C6" s="7">
        <v>5</v>
      </c>
      <c r="D6" s="7">
        <v>5</v>
      </c>
      <c r="E6" s="7">
        <v>1</v>
      </c>
      <c r="F6" s="7">
        <v>25</v>
      </c>
      <c r="G6" s="7">
        <v>2</v>
      </c>
      <c r="H6" s="7">
        <v>23</v>
      </c>
      <c r="I6" s="7" t="s">
        <v>88</v>
      </c>
      <c r="J6" s="7" t="s">
        <v>89</v>
      </c>
      <c r="K6" s="7" t="s">
        <v>155</v>
      </c>
      <c r="L6" s="7" t="s">
        <v>113</v>
      </c>
    </row>
    <row r="7" spans="1:12" ht="25.5" x14ac:dyDescent="0.2">
      <c r="A7" s="7" t="s">
        <v>156</v>
      </c>
      <c r="B7" s="7" t="s">
        <v>14</v>
      </c>
      <c r="C7" s="7">
        <v>5</v>
      </c>
      <c r="D7" s="7">
        <v>5</v>
      </c>
      <c r="E7" s="7">
        <v>1</v>
      </c>
      <c r="F7" s="7">
        <v>25</v>
      </c>
      <c r="G7" s="7">
        <v>8</v>
      </c>
      <c r="H7" s="7">
        <v>17</v>
      </c>
      <c r="I7" s="7" t="s">
        <v>88</v>
      </c>
      <c r="J7" s="7" t="s">
        <v>89</v>
      </c>
      <c r="K7" s="7" t="s">
        <v>155</v>
      </c>
      <c r="L7" s="7" t="s">
        <v>113</v>
      </c>
    </row>
    <row r="8" spans="1:12" ht="25.5" x14ac:dyDescent="0.2">
      <c r="A8" s="7" t="s">
        <v>128</v>
      </c>
      <c r="B8" s="7" t="s">
        <v>17</v>
      </c>
      <c r="C8" s="7">
        <v>4</v>
      </c>
      <c r="D8" s="7">
        <v>4</v>
      </c>
      <c r="E8" s="7">
        <v>1</v>
      </c>
      <c r="F8" s="7">
        <v>20</v>
      </c>
      <c r="G8" s="7">
        <v>6</v>
      </c>
      <c r="H8" s="7">
        <v>14</v>
      </c>
      <c r="I8" s="7" t="s">
        <v>88</v>
      </c>
      <c r="J8" s="7" t="s">
        <v>89</v>
      </c>
      <c r="K8" s="7" t="s">
        <v>155</v>
      </c>
      <c r="L8" s="7" t="s">
        <v>113</v>
      </c>
    </row>
    <row r="9" spans="1:12" ht="25.5" x14ac:dyDescent="0.2">
      <c r="A9" s="7" t="s">
        <v>128</v>
      </c>
      <c r="B9" s="7" t="s">
        <v>69</v>
      </c>
      <c r="C9" s="7">
        <v>4</v>
      </c>
      <c r="D9" s="7">
        <v>4</v>
      </c>
      <c r="E9" s="7">
        <v>1</v>
      </c>
      <c r="F9" s="7">
        <v>20</v>
      </c>
      <c r="G9" s="7">
        <v>6</v>
      </c>
      <c r="H9" s="7">
        <v>14</v>
      </c>
      <c r="I9" s="7" t="s">
        <v>88</v>
      </c>
      <c r="J9" s="7" t="s">
        <v>116</v>
      </c>
      <c r="K9" s="7" t="s">
        <v>155</v>
      </c>
      <c r="L9" s="7" t="s">
        <v>113</v>
      </c>
    </row>
    <row r="10" spans="1:12" ht="25.5" x14ac:dyDescent="0.2">
      <c r="A10" s="7" t="s">
        <v>157</v>
      </c>
      <c r="B10" s="7" t="s">
        <v>21</v>
      </c>
      <c r="C10" s="7">
        <v>4</v>
      </c>
      <c r="D10" s="7">
        <v>5</v>
      </c>
      <c r="E10" s="7">
        <v>0.8</v>
      </c>
      <c r="F10" s="7">
        <v>22</v>
      </c>
      <c r="G10" s="7">
        <v>11</v>
      </c>
      <c r="H10" s="7">
        <v>11</v>
      </c>
      <c r="I10" s="7" t="s">
        <v>88</v>
      </c>
      <c r="J10" s="7" t="s">
        <v>116</v>
      </c>
      <c r="K10" s="7" t="s">
        <v>155</v>
      </c>
      <c r="L10" s="7" t="s">
        <v>113</v>
      </c>
    </row>
    <row r="11" spans="1:12" ht="25.5" x14ac:dyDescent="0.2">
      <c r="A11" s="7" t="s">
        <v>158</v>
      </c>
      <c r="B11" s="7" t="s">
        <v>18</v>
      </c>
      <c r="C11" s="7">
        <v>3</v>
      </c>
      <c r="D11" s="7">
        <v>4</v>
      </c>
      <c r="E11" s="7">
        <v>0.75</v>
      </c>
      <c r="F11" s="7">
        <v>18</v>
      </c>
      <c r="G11" s="7">
        <v>11</v>
      </c>
      <c r="H11" s="7">
        <v>7</v>
      </c>
      <c r="I11" s="7" t="s">
        <v>88</v>
      </c>
      <c r="J11" s="7" t="s">
        <v>116</v>
      </c>
      <c r="K11" s="7" t="s">
        <v>155</v>
      </c>
      <c r="L11" s="7" t="s">
        <v>113</v>
      </c>
    </row>
    <row r="12" spans="1:12" ht="25.5" x14ac:dyDescent="0.2">
      <c r="A12" s="7" t="s">
        <v>159</v>
      </c>
      <c r="B12" s="7" t="s">
        <v>19</v>
      </c>
      <c r="C12" s="7">
        <v>3</v>
      </c>
      <c r="D12" s="7">
        <v>4</v>
      </c>
      <c r="E12" s="7">
        <v>0.75</v>
      </c>
      <c r="F12" s="7">
        <v>16</v>
      </c>
      <c r="G12" s="7">
        <v>11</v>
      </c>
      <c r="H12" s="7">
        <v>5</v>
      </c>
      <c r="I12" s="7" t="s">
        <v>88</v>
      </c>
      <c r="J12" s="7" t="s">
        <v>89</v>
      </c>
      <c r="K12" s="7" t="s">
        <v>155</v>
      </c>
      <c r="L12" s="7" t="s">
        <v>113</v>
      </c>
    </row>
    <row r="13" spans="1:12" x14ac:dyDescent="0.2">
      <c r="A13" s="7" t="s">
        <v>160</v>
      </c>
      <c r="B13" s="7" t="s">
        <v>161</v>
      </c>
      <c r="C13" s="7">
        <v>3</v>
      </c>
      <c r="D13" s="7">
        <v>5</v>
      </c>
      <c r="E13" s="7">
        <v>0.6</v>
      </c>
      <c r="F13" s="7">
        <v>21</v>
      </c>
      <c r="G13" s="7">
        <v>15</v>
      </c>
      <c r="H13" s="7">
        <v>6</v>
      </c>
      <c r="I13" s="7" t="s">
        <v>88</v>
      </c>
      <c r="J13" s="7" t="s">
        <v>162</v>
      </c>
      <c r="K13" s="7" t="s">
        <v>155</v>
      </c>
      <c r="L13" s="7" t="s">
        <v>113</v>
      </c>
    </row>
    <row r="14" spans="1:12" ht="25.5" x14ac:dyDescent="0.2">
      <c r="A14" s="7" t="s">
        <v>163</v>
      </c>
      <c r="B14" s="7" t="s">
        <v>25</v>
      </c>
      <c r="C14" s="7">
        <v>3</v>
      </c>
      <c r="D14" s="7">
        <v>5</v>
      </c>
      <c r="E14" s="7">
        <v>0.6</v>
      </c>
      <c r="F14" s="7">
        <v>18</v>
      </c>
      <c r="G14" s="7">
        <v>17</v>
      </c>
      <c r="H14" s="7">
        <v>1</v>
      </c>
      <c r="I14" s="7" t="s">
        <v>88</v>
      </c>
      <c r="J14" s="7" t="s">
        <v>96</v>
      </c>
      <c r="K14" s="7" t="s">
        <v>155</v>
      </c>
      <c r="L14" s="7" t="s">
        <v>113</v>
      </c>
    </row>
    <row r="15" spans="1:12" ht="25.5" x14ac:dyDescent="0.2">
      <c r="A15" s="7" t="s">
        <v>164</v>
      </c>
      <c r="B15" s="7" t="s">
        <v>23</v>
      </c>
      <c r="C15" s="7">
        <v>2</v>
      </c>
      <c r="D15" s="7">
        <v>4</v>
      </c>
      <c r="E15" s="7">
        <v>0.5</v>
      </c>
      <c r="F15" s="7">
        <v>14</v>
      </c>
      <c r="G15" s="7">
        <v>12</v>
      </c>
      <c r="H15" s="7">
        <v>2</v>
      </c>
      <c r="I15" s="7" t="s">
        <v>88</v>
      </c>
      <c r="J15" s="7" t="s">
        <v>115</v>
      </c>
      <c r="K15" s="7" t="s">
        <v>155</v>
      </c>
      <c r="L15" s="7" t="s">
        <v>113</v>
      </c>
    </row>
    <row r="16" spans="1:12" ht="25.5" x14ac:dyDescent="0.2">
      <c r="A16" s="7" t="s">
        <v>165</v>
      </c>
      <c r="B16" s="7" t="s">
        <v>37</v>
      </c>
      <c r="C16" s="7">
        <v>2</v>
      </c>
      <c r="D16" s="7">
        <v>4</v>
      </c>
      <c r="E16" s="7">
        <v>0.5</v>
      </c>
      <c r="F16" s="7">
        <v>16</v>
      </c>
      <c r="G16" s="7">
        <v>15</v>
      </c>
      <c r="H16" s="7">
        <v>1</v>
      </c>
      <c r="I16" s="7" t="s">
        <v>88</v>
      </c>
      <c r="J16" s="7" t="s">
        <v>96</v>
      </c>
      <c r="K16" s="7" t="s">
        <v>155</v>
      </c>
      <c r="L16" s="7" t="s">
        <v>113</v>
      </c>
    </row>
    <row r="17" spans="1:12" ht="25.5" x14ac:dyDescent="0.2">
      <c r="A17" s="7" t="s">
        <v>166</v>
      </c>
      <c r="B17" s="7" t="s">
        <v>57</v>
      </c>
      <c r="C17" s="7">
        <v>2</v>
      </c>
      <c r="D17" s="7">
        <v>5</v>
      </c>
      <c r="E17" s="7">
        <v>0.4</v>
      </c>
      <c r="F17" s="7">
        <v>21</v>
      </c>
      <c r="G17" s="7">
        <v>23</v>
      </c>
      <c r="H17" s="7">
        <v>-2</v>
      </c>
      <c r="I17" s="7" t="s">
        <v>88</v>
      </c>
      <c r="J17" s="7" t="s">
        <v>116</v>
      </c>
      <c r="K17" s="7" t="s">
        <v>155</v>
      </c>
      <c r="L17" s="7" t="s">
        <v>113</v>
      </c>
    </row>
    <row r="18" spans="1:12" ht="25.5" x14ac:dyDescent="0.2">
      <c r="A18" s="7" t="s">
        <v>167</v>
      </c>
      <c r="B18" s="7" t="s">
        <v>36</v>
      </c>
      <c r="C18" s="7">
        <v>2</v>
      </c>
      <c r="D18" s="7">
        <v>5</v>
      </c>
      <c r="E18" s="7">
        <v>0.4</v>
      </c>
      <c r="F18" s="7">
        <v>15</v>
      </c>
      <c r="G18" s="7">
        <v>17</v>
      </c>
      <c r="H18" s="7">
        <v>-2</v>
      </c>
      <c r="I18" s="7" t="s">
        <v>88</v>
      </c>
      <c r="J18" s="7" t="s">
        <v>116</v>
      </c>
      <c r="K18" s="7" t="s">
        <v>155</v>
      </c>
      <c r="L18" s="7" t="s">
        <v>113</v>
      </c>
    </row>
    <row r="19" spans="1:12" x14ac:dyDescent="0.2">
      <c r="A19" s="7" t="s">
        <v>168</v>
      </c>
      <c r="B19" s="7" t="s">
        <v>169</v>
      </c>
      <c r="C19" s="7">
        <v>2</v>
      </c>
      <c r="D19" s="7">
        <v>5</v>
      </c>
      <c r="E19" s="7">
        <v>0.4</v>
      </c>
      <c r="F19" s="7">
        <v>14</v>
      </c>
      <c r="G19" s="7">
        <v>19</v>
      </c>
      <c r="H19" s="7">
        <v>-5</v>
      </c>
      <c r="I19" s="7" t="s">
        <v>88</v>
      </c>
      <c r="J19" s="7" t="s">
        <v>155</v>
      </c>
      <c r="K19" s="7" t="s">
        <v>155</v>
      </c>
      <c r="L19" s="7" t="s">
        <v>113</v>
      </c>
    </row>
    <row r="20" spans="1:12" x14ac:dyDescent="0.2">
      <c r="A20" s="7" t="s">
        <v>170</v>
      </c>
      <c r="B20" s="7" t="s">
        <v>46</v>
      </c>
      <c r="C20" s="7">
        <v>2</v>
      </c>
      <c r="D20" s="7">
        <v>5</v>
      </c>
      <c r="E20" s="7">
        <v>0.4</v>
      </c>
      <c r="F20" s="7">
        <v>11</v>
      </c>
      <c r="G20" s="7">
        <v>21</v>
      </c>
      <c r="H20" s="7">
        <v>-10</v>
      </c>
      <c r="I20" s="7" t="s">
        <v>88</v>
      </c>
      <c r="J20" s="7" t="s">
        <v>114</v>
      </c>
      <c r="K20" s="7" t="s">
        <v>155</v>
      </c>
      <c r="L20" s="7" t="s">
        <v>113</v>
      </c>
    </row>
    <row r="21" spans="1:12" x14ac:dyDescent="0.2">
      <c r="A21" s="7" t="s">
        <v>171</v>
      </c>
      <c r="B21" s="7" t="s">
        <v>42</v>
      </c>
      <c r="C21" s="7">
        <v>1</v>
      </c>
      <c r="D21" s="7">
        <v>4</v>
      </c>
      <c r="E21" s="7">
        <v>0.25</v>
      </c>
      <c r="F21" s="7">
        <v>11</v>
      </c>
      <c r="G21" s="7">
        <v>15</v>
      </c>
      <c r="H21" s="7">
        <v>-4</v>
      </c>
      <c r="I21" s="7" t="s">
        <v>88</v>
      </c>
      <c r="J21" s="7" t="s">
        <v>155</v>
      </c>
      <c r="K21" s="7" t="s">
        <v>155</v>
      </c>
      <c r="L21" s="7" t="s">
        <v>113</v>
      </c>
    </row>
    <row r="22" spans="1:12" ht="25.5" x14ac:dyDescent="0.2">
      <c r="A22" s="7" t="s">
        <v>172</v>
      </c>
      <c r="B22" s="7" t="s">
        <v>31</v>
      </c>
      <c r="C22" s="7">
        <v>1</v>
      </c>
      <c r="D22" s="7">
        <v>4</v>
      </c>
      <c r="E22" s="7">
        <v>0.25</v>
      </c>
      <c r="F22" s="7">
        <v>8</v>
      </c>
      <c r="G22" s="7">
        <v>17</v>
      </c>
      <c r="H22" s="7">
        <v>-9</v>
      </c>
      <c r="I22" s="7" t="s">
        <v>88</v>
      </c>
      <c r="J22" s="7" t="s">
        <v>97</v>
      </c>
      <c r="K22" s="7" t="s">
        <v>155</v>
      </c>
      <c r="L22" s="7" t="s">
        <v>113</v>
      </c>
    </row>
    <row r="23" spans="1:12" ht="25.5" x14ac:dyDescent="0.2">
      <c r="A23" s="7" t="s">
        <v>173</v>
      </c>
      <c r="B23" s="7" t="s">
        <v>174</v>
      </c>
      <c r="C23" s="7">
        <v>1</v>
      </c>
      <c r="D23" s="7">
        <v>5</v>
      </c>
      <c r="E23" s="7">
        <v>0.2</v>
      </c>
      <c r="F23" s="7">
        <v>14</v>
      </c>
      <c r="G23" s="7">
        <v>22</v>
      </c>
      <c r="H23" s="7">
        <v>-8</v>
      </c>
      <c r="I23" s="7" t="s">
        <v>88</v>
      </c>
      <c r="J23" s="7" t="s">
        <v>175</v>
      </c>
      <c r="K23" s="7" t="s">
        <v>155</v>
      </c>
      <c r="L23" s="7" t="s">
        <v>113</v>
      </c>
    </row>
    <row r="24" spans="1:12" ht="38.25" x14ac:dyDescent="0.2">
      <c r="A24" s="7" t="s">
        <v>176</v>
      </c>
      <c r="B24" s="7" t="s">
        <v>30</v>
      </c>
      <c r="C24" s="7">
        <v>1</v>
      </c>
      <c r="D24" s="7">
        <v>5</v>
      </c>
      <c r="E24" s="7">
        <v>0.2</v>
      </c>
      <c r="F24" s="7">
        <v>10</v>
      </c>
      <c r="G24" s="7">
        <v>24</v>
      </c>
      <c r="H24" s="7">
        <v>-14</v>
      </c>
      <c r="I24" s="7" t="s">
        <v>88</v>
      </c>
      <c r="J24" s="7" t="s">
        <v>118</v>
      </c>
      <c r="K24" s="7" t="s">
        <v>155</v>
      </c>
      <c r="L24" s="7" t="s">
        <v>113</v>
      </c>
    </row>
    <row r="25" spans="1:12" x14ac:dyDescent="0.2">
      <c r="A25" s="7" t="s">
        <v>177</v>
      </c>
      <c r="B25" s="7" t="s">
        <v>70</v>
      </c>
      <c r="C25" s="7">
        <v>0</v>
      </c>
      <c r="D25" s="7">
        <v>4</v>
      </c>
      <c r="E25" s="7">
        <v>0</v>
      </c>
      <c r="F25" s="7">
        <v>8</v>
      </c>
      <c r="G25" s="7">
        <v>20</v>
      </c>
      <c r="H25" s="7">
        <v>-12</v>
      </c>
      <c r="I25" s="7" t="s">
        <v>88</v>
      </c>
      <c r="J25" s="7" t="s">
        <v>155</v>
      </c>
      <c r="K25" s="7" t="s">
        <v>155</v>
      </c>
      <c r="L25" s="7" t="s">
        <v>113</v>
      </c>
    </row>
    <row r="26" spans="1:12" x14ac:dyDescent="0.2">
      <c r="A26" s="7" t="s">
        <v>178</v>
      </c>
      <c r="B26" s="7" t="s">
        <v>68</v>
      </c>
      <c r="C26" s="7">
        <v>0</v>
      </c>
      <c r="D26" s="7">
        <v>5</v>
      </c>
      <c r="E26" s="7">
        <v>0</v>
      </c>
      <c r="F26" s="7">
        <v>7</v>
      </c>
      <c r="G26" s="7">
        <v>24</v>
      </c>
      <c r="H26" s="7">
        <v>-17</v>
      </c>
      <c r="I26" s="7" t="s">
        <v>88</v>
      </c>
      <c r="J26" s="7" t="s">
        <v>155</v>
      </c>
      <c r="K26" s="7" t="s">
        <v>155</v>
      </c>
      <c r="L26" s="7" t="s">
        <v>113</v>
      </c>
    </row>
    <row r="27" spans="1:12" ht="25.5" x14ac:dyDescent="0.2">
      <c r="A27" s="7" t="s">
        <v>179</v>
      </c>
      <c r="B27" s="7" t="s">
        <v>35</v>
      </c>
      <c r="C27" s="7">
        <v>0</v>
      </c>
      <c r="D27" s="7">
        <v>4</v>
      </c>
      <c r="E27" s="7">
        <v>0</v>
      </c>
      <c r="F27" s="7">
        <v>2</v>
      </c>
      <c r="G27" s="7">
        <v>20</v>
      </c>
      <c r="H27" s="7">
        <v>-18</v>
      </c>
      <c r="I27" s="7" t="s">
        <v>88</v>
      </c>
      <c r="J27" s="7" t="s">
        <v>127</v>
      </c>
      <c r="K27" s="7" t="s">
        <v>155</v>
      </c>
      <c r="L27" s="7" t="s">
        <v>113</v>
      </c>
    </row>
    <row r="28" spans="1:12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</row>
    <row r="29" spans="1:12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</row>
    <row r="30" spans="1:12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 spans="1:12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 spans="1:12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1:12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spans="1:12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 spans="1:12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 spans="1:12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1:12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1:12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spans="1:12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2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spans="1:12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2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1:12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1:12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</sheetData>
  <autoFilter ref="A5:L50" xr:uid="{00000000-0009-0000-0000-000007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" r:id="rId1" xr:uid="{F4D85563-55E4-4EC6-A8F2-7BA4882C3DC6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0.79998168889431442"/>
  </sheetPr>
  <dimension ref="A2:L50"/>
  <sheetViews>
    <sheetView workbookViewId="0">
      <selection activeCell="S10" sqref="S10"/>
    </sheetView>
  </sheetViews>
  <sheetFormatPr defaultRowHeight="12.75" x14ac:dyDescent="0.2"/>
  <cols>
    <col min="1" max="1" width="5.7109375" style="5" bestFit="1" customWidth="1"/>
    <col min="2" max="2" width="18.85546875" style="5" customWidth="1"/>
    <col min="3" max="3" width="2.28515625" style="5" bestFit="1" customWidth="1"/>
    <col min="4" max="4" width="2.42578125" style="5" bestFit="1" customWidth="1"/>
    <col min="5" max="5" width="8.7109375" style="5" customWidth="1"/>
    <col min="6" max="6" width="3.28515625" style="5" bestFit="1" customWidth="1"/>
    <col min="7" max="7" width="3.42578125" style="5" bestFit="1" customWidth="1"/>
    <col min="8" max="8" width="3.7109375" style="5" bestFit="1" customWidth="1"/>
    <col min="9" max="9" width="11.28515625" style="5" customWidth="1"/>
    <col min="10" max="10" width="18.28515625" style="5" customWidth="1"/>
    <col min="11" max="11" width="7.85546875" style="5" bestFit="1" customWidth="1"/>
    <col min="12" max="12" width="8.140625" style="5" bestFit="1" customWidth="1"/>
  </cols>
  <sheetData>
    <row r="2" spans="1:12" x14ac:dyDescent="0.2">
      <c r="A2" s="56" t="s">
        <v>74</v>
      </c>
      <c r="B2" s="56"/>
      <c r="C2" s="57" t="s">
        <v>152</v>
      </c>
      <c r="D2" s="57"/>
      <c r="E2" s="57"/>
      <c r="F2" s="57"/>
      <c r="G2" s="57"/>
      <c r="H2" s="57"/>
      <c r="I2" s="57"/>
      <c r="J2" s="57"/>
      <c r="K2" s="57"/>
      <c r="L2" s="57"/>
    </row>
    <row r="3" spans="1:12" ht="13.15" customHeight="1" x14ac:dyDescent="0.2">
      <c r="C3" s="58" t="s">
        <v>180</v>
      </c>
      <c r="D3" s="58"/>
      <c r="E3" s="58"/>
      <c r="F3" s="58"/>
      <c r="G3" s="58"/>
      <c r="H3" s="58"/>
      <c r="I3" s="58"/>
      <c r="J3" s="58"/>
      <c r="K3" s="58"/>
      <c r="L3" s="58"/>
    </row>
    <row r="4" spans="1:12" ht="13.15" customHeight="1" x14ac:dyDescent="0.2">
      <c r="C4" s="9"/>
      <c r="D4" s="9"/>
      <c r="E4" s="9"/>
      <c r="F4" s="9"/>
      <c r="G4" s="9"/>
      <c r="H4" s="9"/>
      <c r="I4" s="9"/>
      <c r="J4" s="9"/>
      <c r="K4" s="9"/>
      <c r="L4" s="9"/>
    </row>
    <row r="5" spans="1:12" ht="30" x14ac:dyDescent="0.2">
      <c r="A5" s="10" t="s">
        <v>78</v>
      </c>
      <c r="B5" s="10" t="s">
        <v>79</v>
      </c>
      <c r="C5" s="10" t="s">
        <v>80</v>
      </c>
      <c r="D5" s="10" t="s">
        <v>81</v>
      </c>
      <c r="E5" s="10" t="s">
        <v>82</v>
      </c>
      <c r="F5" s="10" t="s">
        <v>4</v>
      </c>
      <c r="G5" s="10" t="s">
        <v>83</v>
      </c>
      <c r="H5" s="10" t="s">
        <v>5</v>
      </c>
      <c r="I5" s="10" t="s">
        <v>84</v>
      </c>
      <c r="J5" s="10" t="s">
        <v>85</v>
      </c>
      <c r="K5" s="10" t="s">
        <v>86</v>
      </c>
      <c r="L5" s="10" t="s">
        <v>87</v>
      </c>
    </row>
    <row r="6" spans="1:12" ht="25.5" x14ac:dyDescent="0.2">
      <c r="A6" s="7">
        <v>1</v>
      </c>
      <c r="B6" s="7" t="s">
        <v>18</v>
      </c>
      <c r="C6" s="7">
        <v>6</v>
      </c>
      <c r="D6" s="7">
        <v>6</v>
      </c>
      <c r="E6" s="7">
        <v>1</v>
      </c>
      <c r="F6" s="7">
        <v>30</v>
      </c>
      <c r="G6" s="7">
        <v>7</v>
      </c>
      <c r="H6" s="7">
        <v>23</v>
      </c>
      <c r="I6" s="7" t="s">
        <v>88</v>
      </c>
      <c r="J6" s="7" t="s">
        <v>116</v>
      </c>
      <c r="K6" s="7" t="s">
        <v>155</v>
      </c>
      <c r="L6" s="7" t="s">
        <v>113</v>
      </c>
    </row>
    <row r="7" spans="1:12" ht="25.5" x14ac:dyDescent="0.2">
      <c r="A7" s="7">
        <v>2</v>
      </c>
      <c r="B7" s="7" t="s">
        <v>17</v>
      </c>
      <c r="C7" s="7">
        <v>6</v>
      </c>
      <c r="D7" s="7">
        <v>6</v>
      </c>
      <c r="E7" s="7">
        <v>1</v>
      </c>
      <c r="F7" s="7">
        <v>30</v>
      </c>
      <c r="G7" s="7">
        <v>8</v>
      </c>
      <c r="H7" s="7">
        <v>22</v>
      </c>
      <c r="I7" s="7" t="s">
        <v>88</v>
      </c>
      <c r="J7" s="7" t="s">
        <v>89</v>
      </c>
      <c r="K7" s="7" t="s">
        <v>155</v>
      </c>
      <c r="L7" s="7" t="s">
        <v>113</v>
      </c>
    </row>
    <row r="8" spans="1:12" ht="25.5" x14ac:dyDescent="0.2">
      <c r="A8" s="7">
        <v>3</v>
      </c>
      <c r="B8" s="7" t="s">
        <v>14</v>
      </c>
      <c r="C8" s="7">
        <v>6</v>
      </c>
      <c r="D8" s="7">
        <v>6</v>
      </c>
      <c r="E8" s="7">
        <v>1</v>
      </c>
      <c r="F8" s="7">
        <v>30</v>
      </c>
      <c r="G8" s="7">
        <v>13</v>
      </c>
      <c r="H8" s="7">
        <v>17</v>
      </c>
      <c r="I8" s="7" t="s">
        <v>88</v>
      </c>
      <c r="J8" s="7" t="s">
        <v>89</v>
      </c>
      <c r="K8" s="7" t="s">
        <v>155</v>
      </c>
      <c r="L8" s="7" t="s">
        <v>113</v>
      </c>
    </row>
    <row r="9" spans="1:12" ht="25.5" x14ac:dyDescent="0.2">
      <c r="A9" s="7">
        <v>4</v>
      </c>
      <c r="B9" s="7" t="s">
        <v>15</v>
      </c>
      <c r="C9" s="7">
        <v>5</v>
      </c>
      <c r="D9" s="7">
        <v>6</v>
      </c>
      <c r="E9" s="7">
        <v>0.83</v>
      </c>
      <c r="F9" s="7">
        <v>29</v>
      </c>
      <c r="G9" s="7">
        <v>9</v>
      </c>
      <c r="H9" s="7">
        <v>20</v>
      </c>
      <c r="I9" s="7" t="s">
        <v>88</v>
      </c>
      <c r="J9" s="7" t="s">
        <v>89</v>
      </c>
      <c r="K9" s="7" t="s">
        <v>155</v>
      </c>
      <c r="L9" s="7" t="s">
        <v>113</v>
      </c>
    </row>
    <row r="10" spans="1:12" ht="25.5" x14ac:dyDescent="0.2">
      <c r="A10" s="7">
        <v>5</v>
      </c>
      <c r="B10" s="7" t="s">
        <v>23</v>
      </c>
      <c r="C10" s="7">
        <v>5</v>
      </c>
      <c r="D10" s="7">
        <v>6</v>
      </c>
      <c r="E10" s="7">
        <v>0.83</v>
      </c>
      <c r="F10" s="7">
        <v>27</v>
      </c>
      <c r="G10" s="7">
        <v>7</v>
      </c>
      <c r="H10" s="7">
        <v>20</v>
      </c>
      <c r="I10" s="7" t="s">
        <v>88</v>
      </c>
      <c r="J10" s="7" t="s">
        <v>115</v>
      </c>
      <c r="K10" s="7" t="s">
        <v>155</v>
      </c>
      <c r="L10" s="7" t="s">
        <v>113</v>
      </c>
    </row>
    <row r="11" spans="1:12" ht="25.5" x14ac:dyDescent="0.2">
      <c r="A11" s="7">
        <v>6</v>
      </c>
      <c r="B11" s="7" t="s">
        <v>21</v>
      </c>
      <c r="C11" s="7">
        <v>5</v>
      </c>
      <c r="D11" s="7">
        <v>6</v>
      </c>
      <c r="E11" s="7">
        <v>0.83</v>
      </c>
      <c r="F11" s="7">
        <v>28</v>
      </c>
      <c r="G11" s="7">
        <v>21</v>
      </c>
      <c r="H11" s="7">
        <v>7</v>
      </c>
      <c r="I11" s="7" t="s">
        <v>88</v>
      </c>
      <c r="J11" s="7" t="s">
        <v>116</v>
      </c>
      <c r="K11" s="7" t="s">
        <v>155</v>
      </c>
      <c r="L11" s="7" t="s">
        <v>113</v>
      </c>
    </row>
    <row r="12" spans="1:12" ht="25.5" x14ac:dyDescent="0.2">
      <c r="A12" s="7">
        <v>7</v>
      </c>
      <c r="B12" s="7" t="s">
        <v>69</v>
      </c>
      <c r="C12" s="7">
        <v>4</v>
      </c>
      <c r="D12" s="7">
        <v>6</v>
      </c>
      <c r="E12" s="7">
        <v>0.67</v>
      </c>
      <c r="F12" s="7">
        <v>23</v>
      </c>
      <c r="G12" s="7">
        <v>14</v>
      </c>
      <c r="H12" s="7">
        <v>9</v>
      </c>
      <c r="I12" s="7" t="s">
        <v>88</v>
      </c>
      <c r="J12" s="7" t="s">
        <v>116</v>
      </c>
      <c r="K12" s="7" t="s">
        <v>155</v>
      </c>
      <c r="L12" s="7" t="s">
        <v>113</v>
      </c>
    </row>
    <row r="13" spans="1:12" x14ac:dyDescent="0.2">
      <c r="A13" s="7">
        <v>8</v>
      </c>
      <c r="B13" s="7" t="s">
        <v>161</v>
      </c>
      <c r="C13" s="7">
        <v>4</v>
      </c>
      <c r="D13" s="7">
        <v>6</v>
      </c>
      <c r="E13" s="7">
        <v>0.67</v>
      </c>
      <c r="F13" s="7">
        <v>23</v>
      </c>
      <c r="G13" s="7">
        <v>17</v>
      </c>
      <c r="H13" s="7">
        <v>6</v>
      </c>
      <c r="I13" s="7" t="s">
        <v>88</v>
      </c>
      <c r="J13" s="7" t="s">
        <v>162</v>
      </c>
      <c r="K13" s="7" t="s">
        <v>155</v>
      </c>
      <c r="L13" s="7" t="s">
        <v>113</v>
      </c>
    </row>
    <row r="14" spans="1:12" ht="25.5" x14ac:dyDescent="0.2">
      <c r="A14" s="7">
        <v>9</v>
      </c>
      <c r="B14" s="7" t="s">
        <v>19</v>
      </c>
      <c r="C14" s="7">
        <v>4</v>
      </c>
      <c r="D14" s="7">
        <v>6</v>
      </c>
      <c r="E14" s="7">
        <v>0.67</v>
      </c>
      <c r="F14" s="7">
        <v>21</v>
      </c>
      <c r="G14" s="7">
        <v>18</v>
      </c>
      <c r="H14" s="7">
        <v>3</v>
      </c>
      <c r="I14" s="7" t="s">
        <v>88</v>
      </c>
      <c r="J14" s="7" t="s">
        <v>89</v>
      </c>
      <c r="K14" s="7" t="s">
        <v>155</v>
      </c>
      <c r="L14" s="7" t="s">
        <v>113</v>
      </c>
    </row>
    <row r="15" spans="1:12" ht="25.5" x14ac:dyDescent="0.2">
      <c r="A15" s="7">
        <v>10</v>
      </c>
      <c r="B15" s="7" t="s">
        <v>36</v>
      </c>
      <c r="C15" s="7">
        <v>3</v>
      </c>
      <c r="D15" s="7">
        <v>6</v>
      </c>
      <c r="E15" s="7">
        <v>0.5</v>
      </c>
      <c r="F15" s="7">
        <v>24</v>
      </c>
      <c r="G15" s="7">
        <v>19</v>
      </c>
      <c r="H15" s="7">
        <v>5</v>
      </c>
      <c r="I15" s="7" t="s">
        <v>88</v>
      </c>
      <c r="J15" s="7" t="s">
        <v>116</v>
      </c>
      <c r="K15" s="7" t="s">
        <v>155</v>
      </c>
      <c r="L15" s="7" t="s">
        <v>113</v>
      </c>
    </row>
    <row r="16" spans="1:12" ht="25.5" x14ac:dyDescent="0.2">
      <c r="A16" s="7">
        <v>11</v>
      </c>
      <c r="B16" s="7" t="s">
        <v>25</v>
      </c>
      <c r="C16" s="7">
        <v>3</v>
      </c>
      <c r="D16" s="7">
        <v>6</v>
      </c>
      <c r="E16" s="7">
        <v>0.5</v>
      </c>
      <c r="F16" s="7">
        <v>17</v>
      </c>
      <c r="G16" s="7">
        <v>21</v>
      </c>
      <c r="H16" s="7">
        <v>-4</v>
      </c>
      <c r="I16" s="7" t="s">
        <v>88</v>
      </c>
      <c r="J16" s="7" t="s">
        <v>96</v>
      </c>
      <c r="K16" s="7" t="s">
        <v>155</v>
      </c>
      <c r="L16" s="7" t="s">
        <v>113</v>
      </c>
    </row>
    <row r="17" spans="1:12" ht="38.25" x14ac:dyDescent="0.2">
      <c r="A17" s="7">
        <v>12</v>
      </c>
      <c r="B17" s="7" t="s">
        <v>30</v>
      </c>
      <c r="C17" s="7">
        <v>3</v>
      </c>
      <c r="D17" s="7">
        <v>6</v>
      </c>
      <c r="E17" s="7">
        <v>0.5</v>
      </c>
      <c r="F17" s="7">
        <v>20</v>
      </c>
      <c r="G17" s="7">
        <v>26</v>
      </c>
      <c r="H17" s="7">
        <v>-6</v>
      </c>
      <c r="I17" s="7" t="s">
        <v>88</v>
      </c>
      <c r="J17" s="7" t="s">
        <v>118</v>
      </c>
      <c r="K17" s="7" t="s">
        <v>155</v>
      </c>
      <c r="L17" s="7" t="s">
        <v>113</v>
      </c>
    </row>
    <row r="18" spans="1:12" x14ac:dyDescent="0.2">
      <c r="A18" s="7">
        <v>13</v>
      </c>
      <c r="B18" s="7" t="s">
        <v>169</v>
      </c>
      <c r="C18" s="7">
        <v>2</v>
      </c>
      <c r="D18" s="7">
        <v>6</v>
      </c>
      <c r="E18" s="7">
        <v>0.33</v>
      </c>
      <c r="F18" s="7">
        <v>19</v>
      </c>
      <c r="G18" s="7">
        <v>25</v>
      </c>
      <c r="H18" s="7">
        <v>-6</v>
      </c>
      <c r="I18" s="7" t="s">
        <v>88</v>
      </c>
      <c r="J18" s="7" t="s">
        <v>155</v>
      </c>
      <c r="K18" s="7" t="s">
        <v>155</v>
      </c>
      <c r="L18" s="7" t="s">
        <v>113</v>
      </c>
    </row>
    <row r="19" spans="1:12" x14ac:dyDescent="0.2">
      <c r="A19" s="7">
        <v>14</v>
      </c>
      <c r="B19" s="7" t="s">
        <v>46</v>
      </c>
      <c r="C19" s="7">
        <v>2</v>
      </c>
      <c r="D19" s="7">
        <v>6</v>
      </c>
      <c r="E19" s="7">
        <v>0.33</v>
      </c>
      <c r="F19" s="7">
        <v>18</v>
      </c>
      <c r="G19" s="7">
        <v>24</v>
      </c>
      <c r="H19" s="7">
        <v>-6</v>
      </c>
      <c r="I19" s="7" t="s">
        <v>88</v>
      </c>
      <c r="J19" s="7" t="s">
        <v>114</v>
      </c>
      <c r="K19" s="7" t="s">
        <v>155</v>
      </c>
      <c r="L19" s="7" t="s">
        <v>113</v>
      </c>
    </row>
    <row r="20" spans="1:12" ht="25.5" x14ac:dyDescent="0.2">
      <c r="A20" s="7">
        <v>15</v>
      </c>
      <c r="B20" s="7" t="s">
        <v>37</v>
      </c>
      <c r="C20" s="7">
        <v>2</v>
      </c>
      <c r="D20" s="7">
        <v>6</v>
      </c>
      <c r="E20" s="7">
        <v>0.33</v>
      </c>
      <c r="F20" s="7">
        <v>18</v>
      </c>
      <c r="G20" s="7">
        <v>25</v>
      </c>
      <c r="H20" s="7">
        <v>-7</v>
      </c>
      <c r="I20" s="7" t="s">
        <v>88</v>
      </c>
      <c r="J20" s="7" t="s">
        <v>96</v>
      </c>
      <c r="K20" s="7" t="s">
        <v>155</v>
      </c>
      <c r="L20" s="7" t="s">
        <v>113</v>
      </c>
    </row>
    <row r="21" spans="1:12" x14ac:dyDescent="0.2">
      <c r="A21" s="7">
        <v>16</v>
      </c>
      <c r="B21" s="7" t="s">
        <v>70</v>
      </c>
      <c r="C21" s="7">
        <v>1</v>
      </c>
      <c r="D21" s="7">
        <v>6</v>
      </c>
      <c r="E21" s="7">
        <v>0.17</v>
      </c>
      <c r="F21" s="7">
        <v>16</v>
      </c>
      <c r="G21" s="7">
        <v>29</v>
      </c>
      <c r="H21" s="7">
        <v>-13</v>
      </c>
      <c r="I21" s="7" t="s">
        <v>88</v>
      </c>
      <c r="J21" s="7" t="s">
        <v>155</v>
      </c>
      <c r="K21" s="7" t="s">
        <v>155</v>
      </c>
      <c r="L21" s="7" t="s">
        <v>113</v>
      </c>
    </row>
    <row r="22" spans="1:12" ht="25.5" x14ac:dyDescent="0.2">
      <c r="A22" s="7">
        <v>17</v>
      </c>
      <c r="B22" s="7" t="s">
        <v>57</v>
      </c>
      <c r="C22" s="7">
        <v>1</v>
      </c>
      <c r="D22" s="7">
        <v>6</v>
      </c>
      <c r="E22" s="7">
        <v>0.17</v>
      </c>
      <c r="F22" s="7">
        <v>13</v>
      </c>
      <c r="G22" s="7">
        <v>26</v>
      </c>
      <c r="H22" s="7">
        <v>-13</v>
      </c>
      <c r="I22" s="7" t="s">
        <v>88</v>
      </c>
      <c r="J22" s="7" t="s">
        <v>116</v>
      </c>
      <c r="K22" s="7" t="s">
        <v>155</v>
      </c>
      <c r="L22" s="7" t="s">
        <v>113</v>
      </c>
    </row>
    <row r="23" spans="1:12" x14ac:dyDescent="0.2">
      <c r="A23" s="7">
        <v>18</v>
      </c>
      <c r="B23" s="7" t="s">
        <v>42</v>
      </c>
      <c r="C23" s="7">
        <v>1</v>
      </c>
      <c r="D23" s="7">
        <v>6</v>
      </c>
      <c r="E23" s="7">
        <v>0.17</v>
      </c>
      <c r="F23" s="7">
        <v>10</v>
      </c>
      <c r="G23" s="7">
        <v>27</v>
      </c>
      <c r="H23" s="7">
        <v>-17</v>
      </c>
      <c r="I23" s="7" t="s">
        <v>88</v>
      </c>
      <c r="J23" s="7" t="s">
        <v>155</v>
      </c>
      <c r="K23" s="7" t="s">
        <v>155</v>
      </c>
      <c r="L23" s="7" t="s">
        <v>113</v>
      </c>
    </row>
    <row r="24" spans="1:12" ht="25.5" x14ac:dyDescent="0.2">
      <c r="A24" s="7">
        <v>19</v>
      </c>
      <c r="B24" s="7" t="s">
        <v>31</v>
      </c>
      <c r="C24" s="7">
        <v>0</v>
      </c>
      <c r="D24" s="7">
        <v>6</v>
      </c>
      <c r="E24" s="7">
        <v>0</v>
      </c>
      <c r="F24" s="7">
        <v>15</v>
      </c>
      <c r="G24" s="7">
        <v>30</v>
      </c>
      <c r="H24" s="7">
        <v>-15</v>
      </c>
      <c r="I24" s="7" t="s">
        <v>88</v>
      </c>
      <c r="J24" s="7" t="s">
        <v>97</v>
      </c>
      <c r="K24" s="7" t="s">
        <v>155</v>
      </c>
      <c r="L24" s="7" t="s">
        <v>113</v>
      </c>
    </row>
    <row r="25" spans="1:12" ht="25.5" x14ac:dyDescent="0.2">
      <c r="A25" s="7">
        <v>20</v>
      </c>
      <c r="B25" s="7" t="s">
        <v>174</v>
      </c>
      <c r="C25" s="7">
        <v>0</v>
      </c>
      <c r="D25" s="7">
        <v>6</v>
      </c>
      <c r="E25" s="7">
        <v>0</v>
      </c>
      <c r="F25" s="7">
        <v>9</v>
      </c>
      <c r="G25" s="7">
        <v>30</v>
      </c>
      <c r="H25" s="7">
        <v>-21</v>
      </c>
      <c r="I25" s="7" t="s">
        <v>88</v>
      </c>
      <c r="J25" s="7" t="s">
        <v>175</v>
      </c>
      <c r="K25" s="7" t="s">
        <v>155</v>
      </c>
      <c r="L25" s="7" t="s">
        <v>113</v>
      </c>
    </row>
    <row r="26" spans="1:12" x14ac:dyDescent="0.2">
      <c r="A26" s="7">
        <v>21</v>
      </c>
      <c r="B26" s="7" t="s">
        <v>68</v>
      </c>
      <c r="C26" s="7">
        <v>0</v>
      </c>
      <c r="D26" s="7">
        <v>6</v>
      </c>
      <c r="E26" s="7">
        <v>0</v>
      </c>
      <c r="F26" s="7">
        <v>6</v>
      </c>
      <c r="G26" s="7">
        <v>30</v>
      </c>
      <c r="H26" s="7">
        <v>-24</v>
      </c>
      <c r="I26" s="7" t="s">
        <v>88</v>
      </c>
      <c r="J26" s="7" t="s">
        <v>155</v>
      </c>
      <c r="K26" s="7" t="s">
        <v>155</v>
      </c>
      <c r="L26" s="7" t="s">
        <v>113</v>
      </c>
    </row>
    <row r="27" spans="1:12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 spans="1:12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</row>
    <row r="29" spans="1:12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</row>
    <row r="30" spans="1:12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 spans="1:12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 spans="1:12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1:12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spans="1:12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 spans="1:12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 spans="1:12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1:12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1:12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spans="1:12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2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spans="1:12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2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1:12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1:12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</sheetData>
  <autoFilter ref="A5:L5" xr:uid="{00000000-0009-0000-0000-000008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" r:id="rId1" xr:uid="{039C601C-54B2-4B11-8D6B-0EDC87F7463C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79998168889431442"/>
  </sheetPr>
  <dimension ref="A2:L42"/>
  <sheetViews>
    <sheetView topLeftCell="A29" workbookViewId="0">
      <selection activeCell="M52" sqref="M52"/>
    </sheetView>
  </sheetViews>
  <sheetFormatPr defaultRowHeight="12.75" x14ac:dyDescent="0.2"/>
  <cols>
    <col min="1" max="1" width="5.7109375" style="5" bestFit="1" customWidth="1"/>
    <col min="2" max="2" width="18.85546875" style="5" customWidth="1"/>
    <col min="3" max="3" width="2.28515625" style="5" bestFit="1" customWidth="1"/>
    <col min="4" max="4" width="2.42578125" style="5" bestFit="1" customWidth="1"/>
    <col min="5" max="5" width="8.7109375" style="5" customWidth="1"/>
    <col min="6" max="6" width="3.28515625" style="5" bestFit="1" customWidth="1"/>
    <col min="7" max="7" width="3.42578125" style="5" bestFit="1" customWidth="1"/>
    <col min="8" max="8" width="3.7109375" style="5" bestFit="1" customWidth="1"/>
    <col min="9" max="9" width="11.28515625" style="5" customWidth="1"/>
    <col min="10" max="10" width="18.28515625" style="5" customWidth="1"/>
    <col min="11" max="11" width="7.85546875" style="5" bestFit="1" customWidth="1"/>
    <col min="12" max="12" width="8.140625" style="5" bestFit="1" customWidth="1"/>
  </cols>
  <sheetData>
    <row r="2" spans="1:12" x14ac:dyDescent="0.2">
      <c r="A2" s="56" t="s">
        <v>74</v>
      </c>
      <c r="B2" s="56"/>
      <c r="C2" s="57" t="s">
        <v>129</v>
      </c>
      <c r="D2" s="57"/>
      <c r="E2" s="57"/>
      <c r="F2" s="57"/>
      <c r="G2" s="57"/>
      <c r="H2" s="57"/>
      <c r="I2" s="57"/>
      <c r="J2" s="57"/>
      <c r="K2" s="57"/>
      <c r="L2" s="57"/>
    </row>
    <row r="3" spans="1:12" ht="13.15" customHeight="1" x14ac:dyDescent="0.2">
      <c r="C3" s="58" t="s">
        <v>130</v>
      </c>
      <c r="D3" s="58"/>
      <c r="E3" s="58"/>
      <c r="F3" s="58"/>
      <c r="G3" s="58"/>
      <c r="H3" s="58"/>
      <c r="I3" s="58"/>
      <c r="J3" s="58"/>
      <c r="K3" s="58"/>
      <c r="L3" s="58"/>
    </row>
    <row r="4" spans="1:12" ht="13.15" customHeight="1" x14ac:dyDescent="0.2">
      <c r="C4" s="9"/>
      <c r="D4" s="9"/>
      <c r="E4" s="9"/>
      <c r="F4" s="9"/>
      <c r="G4" s="9"/>
      <c r="H4" s="9"/>
      <c r="I4" s="9"/>
      <c r="J4" s="9"/>
      <c r="K4" s="9"/>
      <c r="L4" s="9"/>
    </row>
    <row r="5" spans="1:12" ht="30" x14ac:dyDescent="0.2">
      <c r="A5" s="10" t="s">
        <v>78</v>
      </c>
      <c r="B5" s="10" t="s">
        <v>79</v>
      </c>
      <c r="C5" s="10" t="s">
        <v>80</v>
      </c>
      <c r="D5" s="10" t="s">
        <v>81</v>
      </c>
      <c r="E5" s="10" t="s">
        <v>82</v>
      </c>
      <c r="F5" s="10" t="s">
        <v>4</v>
      </c>
      <c r="G5" s="10" t="s">
        <v>83</v>
      </c>
      <c r="H5" s="10" t="s">
        <v>5</v>
      </c>
      <c r="I5" s="10" t="s">
        <v>84</v>
      </c>
      <c r="J5" s="10" t="s">
        <v>85</v>
      </c>
      <c r="K5" s="10" t="s">
        <v>86</v>
      </c>
      <c r="L5" s="10" t="s">
        <v>87</v>
      </c>
    </row>
    <row r="6" spans="1:12" x14ac:dyDescent="0.2">
      <c r="A6" t="s">
        <v>125</v>
      </c>
      <c r="B6" t="s">
        <v>16</v>
      </c>
      <c r="C6">
        <v>5</v>
      </c>
      <c r="D6">
        <v>5</v>
      </c>
      <c r="E6">
        <v>1</v>
      </c>
      <c r="F6">
        <v>25</v>
      </c>
      <c r="G6">
        <v>2</v>
      </c>
      <c r="H6">
        <v>23</v>
      </c>
      <c r="I6" t="s">
        <v>88</v>
      </c>
      <c r="J6"/>
      <c r="K6"/>
      <c r="L6" t="s">
        <v>113</v>
      </c>
    </row>
    <row r="7" spans="1:12" x14ac:dyDescent="0.2">
      <c r="A7" t="s">
        <v>125</v>
      </c>
      <c r="B7" t="s">
        <v>23</v>
      </c>
      <c r="C7">
        <v>5</v>
      </c>
      <c r="D7">
        <v>5</v>
      </c>
      <c r="E7">
        <v>1</v>
      </c>
      <c r="F7">
        <v>25</v>
      </c>
      <c r="G7">
        <v>2</v>
      </c>
      <c r="H7">
        <v>23</v>
      </c>
      <c r="I7" t="s">
        <v>88</v>
      </c>
      <c r="J7"/>
      <c r="K7"/>
      <c r="L7" t="s">
        <v>113</v>
      </c>
    </row>
    <row r="8" spans="1:12" x14ac:dyDescent="0.2">
      <c r="A8">
        <v>3</v>
      </c>
      <c r="B8" t="s">
        <v>38</v>
      </c>
      <c r="C8">
        <v>6</v>
      </c>
      <c r="D8">
        <v>6</v>
      </c>
      <c r="E8">
        <v>1</v>
      </c>
      <c r="F8">
        <v>30</v>
      </c>
      <c r="G8">
        <v>12</v>
      </c>
      <c r="H8">
        <v>18</v>
      </c>
      <c r="I8" t="s">
        <v>88</v>
      </c>
      <c r="J8" t="s">
        <v>89</v>
      </c>
      <c r="K8"/>
      <c r="L8" t="s">
        <v>113</v>
      </c>
    </row>
    <row r="9" spans="1:12" x14ac:dyDescent="0.2">
      <c r="A9">
        <v>4</v>
      </c>
      <c r="B9" t="s">
        <v>14</v>
      </c>
      <c r="C9">
        <v>5</v>
      </c>
      <c r="D9">
        <v>5</v>
      </c>
      <c r="E9">
        <v>1</v>
      </c>
      <c r="F9">
        <v>25</v>
      </c>
      <c r="G9">
        <v>9</v>
      </c>
      <c r="H9">
        <v>16</v>
      </c>
      <c r="I9" t="s">
        <v>88</v>
      </c>
      <c r="J9"/>
      <c r="K9"/>
      <c r="L9" t="s">
        <v>113</v>
      </c>
    </row>
    <row r="10" spans="1:12" x14ac:dyDescent="0.2">
      <c r="A10">
        <v>5</v>
      </c>
      <c r="B10" t="s">
        <v>40</v>
      </c>
      <c r="C10">
        <v>5</v>
      </c>
      <c r="D10">
        <v>5</v>
      </c>
      <c r="E10">
        <v>1</v>
      </c>
      <c r="F10">
        <v>25</v>
      </c>
      <c r="G10">
        <v>10</v>
      </c>
      <c r="H10">
        <v>15</v>
      </c>
      <c r="I10" t="s">
        <v>88</v>
      </c>
      <c r="J10" t="s">
        <v>96</v>
      </c>
      <c r="K10"/>
      <c r="L10" t="s">
        <v>113</v>
      </c>
    </row>
    <row r="11" spans="1:12" x14ac:dyDescent="0.2">
      <c r="A11">
        <v>6</v>
      </c>
      <c r="B11" t="s">
        <v>15</v>
      </c>
      <c r="C11">
        <v>5</v>
      </c>
      <c r="D11">
        <v>5</v>
      </c>
      <c r="E11">
        <v>1</v>
      </c>
      <c r="F11">
        <v>25</v>
      </c>
      <c r="G11">
        <v>11</v>
      </c>
      <c r="H11">
        <v>14</v>
      </c>
      <c r="I11" t="s">
        <v>88</v>
      </c>
      <c r="J11" t="s">
        <v>89</v>
      </c>
      <c r="K11"/>
      <c r="L11" t="s">
        <v>113</v>
      </c>
    </row>
    <row r="12" spans="1:12" x14ac:dyDescent="0.2">
      <c r="A12">
        <v>7</v>
      </c>
      <c r="B12" t="s">
        <v>20</v>
      </c>
      <c r="C12">
        <v>4</v>
      </c>
      <c r="D12">
        <v>5</v>
      </c>
      <c r="E12">
        <v>0.8</v>
      </c>
      <c r="F12">
        <v>24</v>
      </c>
      <c r="G12">
        <v>10</v>
      </c>
      <c r="H12">
        <v>14</v>
      </c>
      <c r="I12" t="s">
        <v>88</v>
      </c>
      <c r="J12" t="s">
        <v>89</v>
      </c>
      <c r="K12"/>
      <c r="L12" t="s">
        <v>113</v>
      </c>
    </row>
    <row r="13" spans="1:12" x14ac:dyDescent="0.2">
      <c r="A13" t="s">
        <v>131</v>
      </c>
      <c r="B13" t="s">
        <v>22</v>
      </c>
      <c r="C13">
        <v>4</v>
      </c>
      <c r="D13">
        <v>5</v>
      </c>
      <c r="E13">
        <v>0.8</v>
      </c>
      <c r="F13">
        <v>24</v>
      </c>
      <c r="G13">
        <v>11</v>
      </c>
      <c r="H13">
        <v>13</v>
      </c>
      <c r="I13" t="s">
        <v>88</v>
      </c>
      <c r="J13" t="s">
        <v>89</v>
      </c>
      <c r="K13"/>
      <c r="L13" t="s">
        <v>113</v>
      </c>
    </row>
    <row r="14" spans="1:12" x14ac:dyDescent="0.2">
      <c r="A14" t="s">
        <v>131</v>
      </c>
      <c r="B14" t="s">
        <v>21</v>
      </c>
      <c r="C14">
        <v>4</v>
      </c>
      <c r="D14">
        <v>5</v>
      </c>
      <c r="E14">
        <v>0.8</v>
      </c>
      <c r="F14">
        <v>24</v>
      </c>
      <c r="G14">
        <v>11</v>
      </c>
      <c r="H14">
        <v>13</v>
      </c>
      <c r="I14" t="s">
        <v>88</v>
      </c>
      <c r="J14" t="s">
        <v>116</v>
      </c>
      <c r="K14"/>
      <c r="L14" t="s">
        <v>113</v>
      </c>
    </row>
    <row r="15" spans="1:12" x14ac:dyDescent="0.2">
      <c r="A15">
        <v>10</v>
      </c>
      <c r="B15" t="s">
        <v>24</v>
      </c>
      <c r="C15">
        <v>4</v>
      </c>
      <c r="D15">
        <v>5</v>
      </c>
      <c r="E15">
        <v>0.8</v>
      </c>
      <c r="F15">
        <v>20</v>
      </c>
      <c r="G15">
        <v>13</v>
      </c>
      <c r="H15">
        <v>7</v>
      </c>
      <c r="I15" t="s">
        <v>88</v>
      </c>
      <c r="J15" t="s">
        <v>96</v>
      </c>
      <c r="K15"/>
      <c r="L15" t="s">
        <v>113</v>
      </c>
    </row>
    <row r="16" spans="1:12" x14ac:dyDescent="0.2">
      <c r="A16">
        <v>11</v>
      </c>
      <c r="B16" t="s">
        <v>19</v>
      </c>
      <c r="C16">
        <v>4</v>
      </c>
      <c r="D16">
        <v>5</v>
      </c>
      <c r="E16">
        <v>0.8</v>
      </c>
      <c r="F16">
        <v>21</v>
      </c>
      <c r="G16">
        <v>19</v>
      </c>
      <c r="H16">
        <v>2</v>
      </c>
      <c r="I16" t="s">
        <v>88</v>
      </c>
      <c r="J16" t="s">
        <v>89</v>
      </c>
      <c r="K16"/>
      <c r="L16" t="s">
        <v>113</v>
      </c>
    </row>
    <row r="17" spans="1:12" x14ac:dyDescent="0.2">
      <c r="A17">
        <v>12</v>
      </c>
      <c r="B17" t="s">
        <v>17</v>
      </c>
      <c r="C17">
        <v>4</v>
      </c>
      <c r="D17">
        <v>6</v>
      </c>
      <c r="E17">
        <v>0.67</v>
      </c>
      <c r="F17">
        <v>28</v>
      </c>
      <c r="G17">
        <v>16</v>
      </c>
      <c r="H17">
        <v>12</v>
      </c>
      <c r="I17" t="s">
        <v>88</v>
      </c>
      <c r="J17" t="s">
        <v>126</v>
      </c>
      <c r="K17"/>
      <c r="L17" t="s">
        <v>113</v>
      </c>
    </row>
    <row r="18" spans="1:12" x14ac:dyDescent="0.2">
      <c r="A18">
        <v>13</v>
      </c>
      <c r="B18" t="s">
        <v>25</v>
      </c>
      <c r="C18">
        <v>4</v>
      </c>
      <c r="D18">
        <v>6</v>
      </c>
      <c r="E18">
        <v>0.67</v>
      </c>
      <c r="F18">
        <v>28</v>
      </c>
      <c r="G18">
        <v>21</v>
      </c>
      <c r="H18">
        <v>7</v>
      </c>
      <c r="I18" t="s">
        <v>88</v>
      </c>
      <c r="J18" t="s">
        <v>96</v>
      </c>
      <c r="K18"/>
      <c r="L18" t="s">
        <v>113</v>
      </c>
    </row>
    <row r="19" spans="1:12" x14ac:dyDescent="0.2">
      <c r="A19">
        <v>14</v>
      </c>
      <c r="B19" t="s">
        <v>18</v>
      </c>
      <c r="C19">
        <v>4</v>
      </c>
      <c r="D19">
        <v>6</v>
      </c>
      <c r="E19">
        <v>0.67</v>
      </c>
      <c r="F19">
        <v>24</v>
      </c>
      <c r="G19">
        <v>20</v>
      </c>
      <c r="H19">
        <v>4</v>
      </c>
      <c r="I19" t="s">
        <v>88</v>
      </c>
      <c r="J19" t="s">
        <v>116</v>
      </c>
      <c r="K19"/>
      <c r="L19" t="s">
        <v>113</v>
      </c>
    </row>
    <row r="20" spans="1:12" x14ac:dyDescent="0.2">
      <c r="A20">
        <v>15</v>
      </c>
      <c r="B20" t="s">
        <v>34</v>
      </c>
      <c r="C20">
        <v>3</v>
      </c>
      <c r="D20">
        <v>5</v>
      </c>
      <c r="E20">
        <v>0.6</v>
      </c>
      <c r="F20">
        <v>21</v>
      </c>
      <c r="G20">
        <v>12</v>
      </c>
      <c r="H20">
        <v>9</v>
      </c>
      <c r="I20" t="s">
        <v>88</v>
      </c>
      <c r="J20" t="s">
        <v>96</v>
      </c>
      <c r="K20"/>
      <c r="L20" t="s">
        <v>113</v>
      </c>
    </row>
    <row r="21" spans="1:12" x14ac:dyDescent="0.2">
      <c r="A21">
        <v>16</v>
      </c>
      <c r="B21" t="s">
        <v>28</v>
      </c>
      <c r="C21">
        <v>3</v>
      </c>
      <c r="D21">
        <v>5</v>
      </c>
      <c r="E21">
        <v>0.6</v>
      </c>
      <c r="F21">
        <v>19</v>
      </c>
      <c r="G21">
        <v>15</v>
      </c>
      <c r="H21">
        <v>4</v>
      </c>
      <c r="I21" t="s">
        <v>88</v>
      </c>
      <c r="J21" t="s">
        <v>116</v>
      </c>
      <c r="K21"/>
      <c r="L21" t="s">
        <v>113</v>
      </c>
    </row>
    <row r="22" spans="1:12" x14ac:dyDescent="0.2">
      <c r="A22">
        <v>17</v>
      </c>
      <c r="B22" t="s">
        <v>48</v>
      </c>
      <c r="C22">
        <v>3</v>
      </c>
      <c r="D22">
        <v>5</v>
      </c>
      <c r="E22">
        <v>0.6</v>
      </c>
      <c r="F22">
        <v>20</v>
      </c>
      <c r="G22">
        <v>18</v>
      </c>
      <c r="H22">
        <v>2</v>
      </c>
      <c r="I22" t="s">
        <v>88</v>
      </c>
      <c r="J22"/>
      <c r="K22"/>
      <c r="L22" t="s">
        <v>113</v>
      </c>
    </row>
    <row r="23" spans="1:12" x14ac:dyDescent="0.2">
      <c r="A23">
        <v>18</v>
      </c>
      <c r="B23" t="s">
        <v>42</v>
      </c>
      <c r="C23">
        <v>3</v>
      </c>
      <c r="D23">
        <v>5</v>
      </c>
      <c r="E23">
        <v>0.6</v>
      </c>
      <c r="F23">
        <v>18</v>
      </c>
      <c r="G23">
        <v>18</v>
      </c>
      <c r="H23">
        <v>0</v>
      </c>
      <c r="I23" t="s">
        <v>88</v>
      </c>
      <c r="J23"/>
      <c r="K23"/>
      <c r="L23" t="s">
        <v>113</v>
      </c>
    </row>
    <row r="24" spans="1:12" x14ac:dyDescent="0.2">
      <c r="A24">
        <v>19</v>
      </c>
      <c r="B24" t="s">
        <v>49</v>
      </c>
      <c r="C24">
        <v>3</v>
      </c>
      <c r="D24">
        <v>5</v>
      </c>
      <c r="E24">
        <v>0.6</v>
      </c>
      <c r="F24">
        <v>16</v>
      </c>
      <c r="G24">
        <v>17</v>
      </c>
      <c r="H24">
        <v>-1</v>
      </c>
      <c r="I24" t="s">
        <v>88</v>
      </c>
      <c r="J24" t="s">
        <v>119</v>
      </c>
      <c r="K24"/>
      <c r="L24" t="s">
        <v>113</v>
      </c>
    </row>
    <row r="25" spans="1:12" x14ac:dyDescent="0.2">
      <c r="A25">
        <v>20</v>
      </c>
      <c r="B25" t="s">
        <v>39</v>
      </c>
      <c r="C25">
        <v>2</v>
      </c>
      <c r="D25">
        <v>5</v>
      </c>
      <c r="E25">
        <v>0.4</v>
      </c>
      <c r="F25">
        <v>18</v>
      </c>
      <c r="G25">
        <v>16</v>
      </c>
      <c r="H25">
        <v>2</v>
      </c>
      <c r="I25" t="s">
        <v>88</v>
      </c>
      <c r="J25" t="s">
        <v>116</v>
      </c>
      <c r="K25"/>
      <c r="L25" t="s">
        <v>113</v>
      </c>
    </row>
    <row r="26" spans="1:12" x14ac:dyDescent="0.2">
      <c r="A26">
        <v>21</v>
      </c>
      <c r="B26" t="s">
        <v>27</v>
      </c>
      <c r="C26">
        <v>2</v>
      </c>
      <c r="D26">
        <v>5</v>
      </c>
      <c r="E26">
        <v>0.4</v>
      </c>
      <c r="F26">
        <v>17</v>
      </c>
      <c r="G26">
        <v>19</v>
      </c>
      <c r="H26">
        <v>-2</v>
      </c>
      <c r="I26" t="s">
        <v>88</v>
      </c>
      <c r="J26" t="s">
        <v>95</v>
      </c>
      <c r="K26"/>
      <c r="L26" t="s">
        <v>113</v>
      </c>
    </row>
    <row r="27" spans="1:12" x14ac:dyDescent="0.2">
      <c r="A27">
        <v>22</v>
      </c>
      <c r="B27" t="s">
        <v>26</v>
      </c>
      <c r="C27">
        <v>2</v>
      </c>
      <c r="D27">
        <v>5</v>
      </c>
      <c r="E27">
        <v>0.4</v>
      </c>
      <c r="F27">
        <v>15</v>
      </c>
      <c r="G27">
        <v>19</v>
      </c>
      <c r="H27">
        <v>-4</v>
      </c>
      <c r="I27" t="s">
        <v>88</v>
      </c>
      <c r="J27" t="s">
        <v>89</v>
      </c>
      <c r="K27"/>
      <c r="L27" t="s">
        <v>113</v>
      </c>
    </row>
    <row r="28" spans="1:12" x14ac:dyDescent="0.2">
      <c r="A28">
        <v>23</v>
      </c>
      <c r="B28" t="s">
        <v>59</v>
      </c>
      <c r="C28">
        <v>2</v>
      </c>
      <c r="D28">
        <v>6</v>
      </c>
      <c r="E28">
        <v>0.33</v>
      </c>
      <c r="F28">
        <v>22</v>
      </c>
      <c r="G28">
        <v>20</v>
      </c>
      <c r="H28">
        <v>2</v>
      </c>
      <c r="I28" t="s">
        <v>88</v>
      </c>
      <c r="J28"/>
      <c r="K28"/>
      <c r="L28" t="s">
        <v>113</v>
      </c>
    </row>
    <row r="29" spans="1:12" x14ac:dyDescent="0.2">
      <c r="A29">
        <v>24</v>
      </c>
      <c r="B29" t="s">
        <v>37</v>
      </c>
      <c r="C29">
        <v>1</v>
      </c>
      <c r="D29">
        <v>5</v>
      </c>
      <c r="E29">
        <v>0.2</v>
      </c>
      <c r="F29">
        <v>16</v>
      </c>
      <c r="G29">
        <v>23</v>
      </c>
      <c r="H29">
        <v>-7</v>
      </c>
      <c r="I29" t="s">
        <v>88</v>
      </c>
      <c r="J29" t="s">
        <v>96</v>
      </c>
      <c r="K29"/>
      <c r="L29" t="s">
        <v>113</v>
      </c>
    </row>
    <row r="30" spans="1:12" x14ac:dyDescent="0.2">
      <c r="A30">
        <v>25</v>
      </c>
      <c r="B30" t="s">
        <v>45</v>
      </c>
      <c r="C30">
        <v>1</v>
      </c>
      <c r="D30">
        <v>5</v>
      </c>
      <c r="E30">
        <v>0.2</v>
      </c>
      <c r="F30">
        <v>15</v>
      </c>
      <c r="G30">
        <v>22</v>
      </c>
      <c r="H30">
        <v>-7</v>
      </c>
      <c r="I30" t="s">
        <v>88</v>
      </c>
      <c r="J30" t="s">
        <v>126</v>
      </c>
      <c r="K30"/>
      <c r="L30" t="s">
        <v>113</v>
      </c>
    </row>
    <row r="31" spans="1:12" x14ac:dyDescent="0.2">
      <c r="A31">
        <v>26</v>
      </c>
      <c r="B31" t="s">
        <v>31</v>
      </c>
      <c r="C31">
        <v>1</v>
      </c>
      <c r="D31">
        <v>5</v>
      </c>
      <c r="E31">
        <v>0.2</v>
      </c>
      <c r="F31">
        <v>14</v>
      </c>
      <c r="G31">
        <v>21</v>
      </c>
      <c r="H31">
        <v>-7</v>
      </c>
      <c r="I31" t="s">
        <v>88</v>
      </c>
      <c r="J31" t="s">
        <v>97</v>
      </c>
      <c r="K31"/>
      <c r="L31" t="s">
        <v>113</v>
      </c>
    </row>
    <row r="32" spans="1:12" x14ac:dyDescent="0.2">
      <c r="A32">
        <v>27</v>
      </c>
      <c r="B32" t="s">
        <v>57</v>
      </c>
      <c r="C32">
        <v>1</v>
      </c>
      <c r="D32">
        <v>5</v>
      </c>
      <c r="E32">
        <v>0.2</v>
      </c>
      <c r="F32">
        <v>13</v>
      </c>
      <c r="G32">
        <v>20</v>
      </c>
      <c r="H32">
        <v>-7</v>
      </c>
      <c r="I32" t="s">
        <v>88</v>
      </c>
      <c r="J32"/>
      <c r="K32"/>
      <c r="L32" t="s">
        <v>113</v>
      </c>
    </row>
    <row r="33" spans="1:12" x14ac:dyDescent="0.2">
      <c r="A33">
        <v>28</v>
      </c>
      <c r="B33" t="s">
        <v>65</v>
      </c>
      <c r="C33">
        <v>1</v>
      </c>
      <c r="D33">
        <v>5</v>
      </c>
      <c r="E33">
        <v>0.2</v>
      </c>
      <c r="F33">
        <v>13</v>
      </c>
      <c r="G33">
        <v>22</v>
      </c>
      <c r="H33">
        <v>-9</v>
      </c>
      <c r="I33" t="s">
        <v>88</v>
      </c>
      <c r="J33"/>
      <c r="K33"/>
      <c r="L33" t="s">
        <v>113</v>
      </c>
    </row>
    <row r="34" spans="1:12" x14ac:dyDescent="0.2">
      <c r="A34">
        <v>29</v>
      </c>
      <c r="B34" t="s">
        <v>58</v>
      </c>
      <c r="C34">
        <v>1</v>
      </c>
      <c r="D34">
        <v>5</v>
      </c>
      <c r="E34">
        <v>0.2</v>
      </c>
      <c r="F34">
        <v>11</v>
      </c>
      <c r="G34">
        <v>22</v>
      </c>
      <c r="H34">
        <v>-11</v>
      </c>
      <c r="I34" t="s">
        <v>88</v>
      </c>
      <c r="J34"/>
      <c r="K34"/>
      <c r="L34" t="s">
        <v>113</v>
      </c>
    </row>
    <row r="35" spans="1:12" x14ac:dyDescent="0.2">
      <c r="A35">
        <v>30</v>
      </c>
      <c r="B35" t="s">
        <v>62</v>
      </c>
      <c r="C35">
        <v>1</v>
      </c>
      <c r="D35">
        <v>5</v>
      </c>
      <c r="E35">
        <v>0.2</v>
      </c>
      <c r="F35">
        <v>11</v>
      </c>
      <c r="G35">
        <v>23</v>
      </c>
      <c r="H35">
        <v>-12</v>
      </c>
      <c r="I35" t="s">
        <v>88</v>
      </c>
      <c r="J35" t="s">
        <v>132</v>
      </c>
      <c r="K35"/>
      <c r="L35" t="s">
        <v>113</v>
      </c>
    </row>
    <row r="36" spans="1:12" x14ac:dyDescent="0.2">
      <c r="A36">
        <v>31</v>
      </c>
      <c r="B36" t="s">
        <v>35</v>
      </c>
      <c r="C36">
        <v>1</v>
      </c>
      <c r="D36">
        <v>5</v>
      </c>
      <c r="E36">
        <v>0.2</v>
      </c>
      <c r="F36">
        <v>10</v>
      </c>
      <c r="G36">
        <v>23</v>
      </c>
      <c r="H36">
        <v>-13</v>
      </c>
      <c r="I36" t="s">
        <v>88</v>
      </c>
      <c r="J36" t="s">
        <v>127</v>
      </c>
      <c r="K36"/>
      <c r="L36" t="s">
        <v>113</v>
      </c>
    </row>
    <row r="37" spans="1:12" x14ac:dyDescent="0.2">
      <c r="A37">
        <v>32</v>
      </c>
      <c r="B37" t="s">
        <v>46</v>
      </c>
      <c r="C37">
        <v>1</v>
      </c>
      <c r="D37">
        <v>5</v>
      </c>
      <c r="E37">
        <v>0.2</v>
      </c>
      <c r="F37">
        <v>9</v>
      </c>
      <c r="G37">
        <v>22</v>
      </c>
      <c r="H37">
        <v>-13</v>
      </c>
      <c r="I37" t="s">
        <v>88</v>
      </c>
      <c r="J37"/>
      <c r="K37"/>
      <c r="L37" t="s">
        <v>113</v>
      </c>
    </row>
    <row r="38" spans="1:12" x14ac:dyDescent="0.2">
      <c r="A38">
        <v>33</v>
      </c>
      <c r="B38" t="s">
        <v>30</v>
      </c>
      <c r="C38">
        <v>1</v>
      </c>
      <c r="D38">
        <v>6</v>
      </c>
      <c r="E38">
        <v>0.17</v>
      </c>
      <c r="F38">
        <v>9</v>
      </c>
      <c r="G38">
        <v>28</v>
      </c>
      <c r="H38">
        <v>-19</v>
      </c>
      <c r="I38" t="s">
        <v>88</v>
      </c>
      <c r="J38" t="s">
        <v>118</v>
      </c>
      <c r="K38"/>
      <c r="L38" t="s">
        <v>113</v>
      </c>
    </row>
    <row r="39" spans="1:12" x14ac:dyDescent="0.2">
      <c r="A39">
        <v>34</v>
      </c>
      <c r="B39" t="s">
        <v>67</v>
      </c>
      <c r="C39">
        <v>0</v>
      </c>
      <c r="D39">
        <v>5</v>
      </c>
      <c r="E39">
        <v>0</v>
      </c>
      <c r="F39">
        <v>7</v>
      </c>
      <c r="G39">
        <v>25</v>
      </c>
      <c r="H39">
        <v>-18</v>
      </c>
      <c r="I39" t="s">
        <v>88</v>
      </c>
      <c r="J39" t="s">
        <v>132</v>
      </c>
      <c r="K39"/>
      <c r="L39" t="s">
        <v>113</v>
      </c>
    </row>
    <row r="40" spans="1:12" x14ac:dyDescent="0.2">
      <c r="A40">
        <v>35</v>
      </c>
      <c r="B40" t="s">
        <v>70</v>
      </c>
      <c r="C40">
        <v>0</v>
      </c>
      <c r="D40">
        <v>5</v>
      </c>
      <c r="E40">
        <v>0</v>
      </c>
      <c r="F40">
        <v>4</v>
      </c>
      <c r="G40">
        <v>25</v>
      </c>
      <c r="H40">
        <v>-21</v>
      </c>
      <c r="I40" t="s">
        <v>88</v>
      </c>
      <c r="J40"/>
      <c r="K40"/>
      <c r="L40" t="s">
        <v>113</v>
      </c>
    </row>
    <row r="41" spans="1:12" x14ac:dyDescent="0.2">
      <c r="A41">
        <v>36</v>
      </c>
      <c r="B41" t="s">
        <v>44</v>
      </c>
      <c r="C41">
        <v>0</v>
      </c>
      <c r="D41">
        <v>6</v>
      </c>
      <c r="E41">
        <v>0</v>
      </c>
      <c r="F41">
        <v>6</v>
      </c>
      <c r="G41">
        <v>30</v>
      </c>
      <c r="H41">
        <v>-24</v>
      </c>
      <c r="I41" t="s">
        <v>88</v>
      </c>
      <c r="J41"/>
      <c r="K41"/>
      <c r="L41" t="s">
        <v>113</v>
      </c>
    </row>
    <row r="42" spans="1:12" x14ac:dyDescent="0.2">
      <c r="A42"/>
      <c r="B42"/>
      <c r="C42"/>
      <c r="D42"/>
      <c r="E42"/>
      <c r="F42"/>
      <c r="G42"/>
      <c r="H42"/>
      <c r="I42"/>
      <c r="J42"/>
      <c r="K42"/>
      <c r="L42"/>
    </row>
  </sheetData>
  <autoFilter ref="A5:L23" xr:uid="{00000000-0009-0000-0000-000009000000}">
    <sortState xmlns:xlrd2="http://schemas.microsoft.com/office/spreadsheetml/2017/richdata2" ref="A6:L38">
      <sortCondition ref="A5:A23"/>
    </sortState>
  </autoFilter>
  <mergeCells count="3">
    <mergeCell ref="A2:B2"/>
    <mergeCell ref="C2:L2"/>
    <mergeCell ref="C3:L3"/>
  </mergeCells>
  <hyperlinks>
    <hyperlink ref="C3:L3" r:id="rId1" display="https://www.fencingtimelive.com/pools/results/32B616C3AFDA4D4A83FF3673BD13A9F6/EFCA0E8AA4D04948BBE10A7CA3375C98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0.79998168889431442"/>
  </sheetPr>
  <dimension ref="A2:AA50"/>
  <sheetViews>
    <sheetView workbookViewId="0">
      <selection activeCell="G24" sqref="G24"/>
    </sheetView>
  </sheetViews>
  <sheetFormatPr defaultRowHeight="12.75" x14ac:dyDescent="0.2"/>
  <cols>
    <col min="1" max="1" width="5.7109375" style="5" bestFit="1" customWidth="1"/>
    <col min="2" max="2" width="18.85546875" style="5" customWidth="1"/>
    <col min="3" max="3" width="2.28515625" style="5" bestFit="1" customWidth="1"/>
    <col min="4" max="4" width="2.42578125" style="5" bestFit="1" customWidth="1"/>
    <col min="5" max="5" width="8.7109375" style="5" customWidth="1"/>
    <col min="6" max="6" width="3.28515625" style="5" bestFit="1" customWidth="1"/>
    <col min="7" max="7" width="3.42578125" style="5" bestFit="1" customWidth="1"/>
    <col min="8" max="8" width="3.7109375" style="5" bestFit="1" customWidth="1"/>
    <col min="9" max="9" width="11.28515625" style="5" customWidth="1"/>
    <col min="10" max="10" width="18.28515625" style="5" customWidth="1"/>
    <col min="11" max="11" width="7.85546875" style="5" bestFit="1" customWidth="1"/>
    <col min="12" max="12" width="8.140625" style="5" bestFit="1" customWidth="1"/>
  </cols>
  <sheetData>
    <row r="2" spans="1:27" ht="13.15" customHeight="1" x14ac:dyDescent="0.2">
      <c r="A2" s="56" t="s">
        <v>74</v>
      </c>
      <c r="B2" s="56"/>
      <c r="C2" s="57" t="s">
        <v>133</v>
      </c>
      <c r="D2" s="57"/>
      <c r="E2" s="57"/>
      <c r="F2" s="57"/>
      <c r="G2" s="57"/>
      <c r="H2" s="57"/>
      <c r="I2" s="57"/>
      <c r="J2" s="57"/>
      <c r="K2" s="57"/>
      <c r="L2" s="57"/>
    </row>
    <row r="3" spans="1:27" ht="13.15" customHeight="1" x14ac:dyDescent="0.2">
      <c r="C3" s="58" t="s">
        <v>134</v>
      </c>
      <c r="D3" s="58"/>
      <c r="E3" s="58"/>
      <c r="F3" s="58"/>
      <c r="G3" s="58"/>
      <c r="H3" s="58"/>
      <c r="I3" s="58"/>
      <c r="J3" s="58"/>
      <c r="K3" s="58"/>
      <c r="L3" s="58"/>
    </row>
    <row r="4" spans="1:27" ht="13.15" customHeight="1" x14ac:dyDescent="0.2">
      <c r="C4" s="9"/>
      <c r="D4" s="9"/>
      <c r="E4" s="9"/>
      <c r="F4" s="9"/>
      <c r="G4" s="9"/>
      <c r="H4" s="9"/>
      <c r="I4" s="9"/>
      <c r="J4" s="9"/>
      <c r="K4" s="9"/>
      <c r="L4" s="9"/>
    </row>
    <row r="5" spans="1:27" ht="30" x14ac:dyDescent="0.2">
      <c r="A5" s="10" t="s">
        <v>78</v>
      </c>
      <c r="B5" s="10" t="s">
        <v>79</v>
      </c>
      <c r="C5" s="10" t="s">
        <v>80</v>
      </c>
      <c r="D5" s="10" t="s">
        <v>81</v>
      </c>
      <c r="E5" s="10" t="s">
        <v>82</v>
      </c>
      <c r="F5" s="10" t="s">
        <v>4</v>
      </c>
      <c r="G5" s="10" t="s">
        <v>83</v>
      </c>
      <c r="H5" s="10" t="s">
        <v>5</v>
      </c>
      <c r="I5" s="10" t="s">
        <v>84</v>
      </c>
      <c r="J5" s="10" t="s">
        <v>85</v>
      </c>
      <c r="K5" s="10" t="s">
        <v>86</v>
      </c>
      <c r="L5" s="10" t="s">
        <v>87</v>
      </c>
    </row>
    <row r="6" spans="1:27" x14ac:dyDescent="0.2">
      <c r="A6">
        <v>1</v>
      </c>
      <c r="B6" t="s">
        <v>38</v>
      </c>
      <c r="C6">
        <v>5</v>
      </c>
      <c r="D6">
        <v>5</v>
      </c>
      <c r="E6">
        <v>1</v>
      </c>
      <c r="F6">
        <v>25</v>
      </c>
      <c r="G6">
        <v>4</v>
      </c>
      <c r="H6">
        <v>21</v>
      </c>
      <c r="I6" t="s">
        <v>88</v>
      </c>
      <c r="J6" t="s">
        <v>89</v>
      </c>
      <c r="K6"/>
      <c r="L6" t="s">
        <v>113</v>
      </c>
    </row>
    <row r="7" spans="1:27" x14ac:dyDescent="0.2">
      <c r="A7">
        <v>2</v>
      </c>
      <c r="B7" t="s">
        <v>23</v>
      </c>
      <c r="C7">
        <v>5</v>
      </c>
      <c r="D7">
        <v>5</v>
      </c>
      <c r="E7">
        <v>1</v>
      </c>
      <c r="F7">
        <v>25</v>
      </c>
      <c r="G7">
        <v>6</v>
      </c>
      <c r="H7">
        <v>19</v>
      </c>
      <c r="I7" t="s">
        <v>88</v>
      </c>
      <c r="J7"/>
      <c r="K7"/>
      <c r="L7" t="s">
        <v>113</v>
      </c>
    </row>
    <row r="8" spans="1:27" x14ac:dyDescent="0.2">
      <c r="A8">
        <v>3</v>
      </c>
      <c r="B8" t="s">
        <v>16</v>
      </c>
      <c r="C8">
        <v>5</v>
      </c>
      <c r="D8">
        <v>5</v>
      </c>
      <c r="E8">
        <v>1</v>
      </c>
      <c r="F8">
        <v>25</v>
      </c>
      <c r="G8">
        <v>10</v>
      </c>
      <c r="H8">
        <v>15</v>
      </c>
      <c r="I8" t="s">
        <v>88</v>
      </c>
      <c r="J8"/>
      <c r="K8"/>
      <c r="L8" t="s">
        <v>113</v>
      </c>
    </row>
    <row r="9" spans="1:27" x14ac:dyDescent="0.2">
      <c r="A9">
        <v>4</v>
      </c>
      <c r="B9" t="s">
        <v>15</v>
      </c>
      <c r="C9">
        <v>5</v>
      </c>
      <c r="D9">
        <v>5</v>
      </c>
      <c r="E9">
        <v>1</v>
      </c>
      <c r="F9">
        <v>25</v>
      </c>
      <c r="G9">
        <v>11</v>
      </c>
      <c r="H9">
        <v>14</v>
      </c>
      <c r="I9" t="s">
        <v>88</v>
      </c>
      <c r="J9" t="s">
        <v>89</v>
      </c>
      <c r="K9"/>
      <c r="L9" t="s">
        <v>113</v>
      </c>
    </row>
    <row r="10" spans="1:27" x14ac:dyDescent="0.2">
      <c r="A10">
        <v>5</v>
      </c>
      <c r="B10" t="s">
        <v>21</v>
      </c>
      <c r="C10">
        <v>4</v>
      </c>
      <c r="D10">
        <v>5</v>
      </c>
      <c r="E10">
        <v>0.8</v>
      </c>
      <c r="F10">
        <v>23</v>
      </c>
      <c r="G10">
        <v>8</v>
      </c>
      <c r="H10">
        <v>15</v>
      </c>
      <c r="I10" t="s">
        <v>88</v>
      </c>
      <c r="J10" t="s">
        <v>122</v>
      </c>
      <c r="K10"/>
      <c r="L10" t="s">
        <v>113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x14ac:dyDescent="0.2">
      <c r="A11">
        <v>6</v>
      </c>
      <c r="B11" t="s">
        <v>17</v>
      </c>
      <c r="C11">
        <v>4</v>
      </c>
      <c r="D11">
        <v>5</v>
      </c>
      <c r="E11">
        <v>0.8</v>
      </c>
      <c r="F11">
        <v>23</v>
      </c>
      <c r="G11">
        <v>10</v>
      </c>
      <c r="H11">
        <v>13</v>
      </c>
      <c r="I11" t="s">
        <v>88</v>
      </c>
      <c r="J11" t="s">
        <v>135</v>
      </c>
      <c r="K11"/>
      <c r="L11" t="s">
        <v>113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x14ac:dyDescent="0.2">
      <c r="A12">
        <v>7</v>
      </c>
      <c r="B12" t="s">
        <v>40</v>
      </c>
      <c r="C12">
        <v>4</v>
      </c>
      <c r="D12">
        <v>5</v>
      </c>
      <c r="E12">
        <v>0.8</v>
      </c>
      <c r="F12">
        <v>24</v>
      </c>
      <c r="G12">
        <v>12</v>
      </c>
      <c r="H12">
        <v>12</v>
      </c>
      <c r="I12" t="s">
        <v>88</v>
      </c>
      <c r="J12" t="s">
        <v>96</v>
      </c>
      <c r="K12"/>
      <c r="L12" t="s">
        <v>113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x14ac:dyDescent="0.2">
      <c r="A13">
        <v>8</v>
      </c>
      <c r="B13" t="s">
        <v>22</v>
      </c>
      <c r="C13">
        <v>4</v>
      </c>
      <c r="D13">
        <v>5</v>
      </c>
      <c r="E13">
        <v>0.8</v>
      </c>
      <c r="F13">
        <v>24</v>
      </c>
      <c r="G13">
        <v>15</v>
      </c>
      <c r="H13">
        <v>9</v>
      </c>
      <c r="I13" t="s">
        <v>88</v>
      </c>
      <c r="J13" t="s">
        <v>89</v>
      </c>
      <c r="K13"/>
      <c r="L13" t="s">
        <v>113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x14ac:dyDescent="0.2">
      <c r="A14">
        <v>9</v>
      </c>
      <c r="B14" t="s">
        <v>20</v>
      </c>
      <c r="C14">
        <v>4</v>
      </c>
      <c r="D14">
        <v>5</v>
      </c>
      <c r="E14">
        <v>0.8</v>
      </c>
      <c r="F14">
        <v>23</v>
      </c>
      <c r="G14">
        <v>14</v>
      </c>
      <c r="H14">
        <v>9</v>
      </c>
      <c r="I14" t="s">
        <v>88</v>
      </c>
      <c r="J14" t="s">
        <v>89</v>
      </c>
      <c r="K14"/>
      <c r="L14" t="s">
        <v>113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x14ac:dyDescent="0.2">
      <c r="A15">
        <v>10</v>
      </c>
      <c r="B15" t="s">
        <v>18</v>
      </c>
      <c r="C15">
        <v>4</v>
      </c>
      <c r="D15">
        <v>5</v>
      </c>
      <c r="E15">
        <v>0.8</v>
      </c>
      <c r="F15">
        <v>21</v>
      </c>
      <c r="G15">
        <v>12</v>
      </c>
      <c r="H15">
        <v>9</v>
      </c>
      <c r="I15" t="s">
        <v>88</v>
      </c>
      <c r="J15" t="s">
        <v>122</v>
      </c>
      <c r="K15"/>
      <c r="L15" t="s">
        <v>113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x14ac:dyDescent="0.2">
      <c r="A16">
        <v>11</v>
      </c>
      <c r="B16" t="s">
        <v>24</v>
      </c>
      <c r="C16">
        <v>4</v>
      </c>
      <c r="D16">
        <v>5</v>
      </c>
      <c r="E16">
        <v>0.8</v>
      </c>
      <c r="F16">
        <v>22</v>
      </c>
      <c r="G16">
        <v>14</v>
      </c>
      <c r="H16">
        <v>8</v>
      </c>
      <c r="I16" t="s">
        <v>88</v>
      </c>
      <c r="J16" t="s">
        <v>96</v>
      </c>
      <c r="K16"/>
      <c r="L16" t="s">
        <v>113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x14ac:dyDescent="0.2">
      <c r="A17">
        <v>12</v>
      </c>
      <c r="B17" t="s">
        <v>14</v>
      </c>
      <c r="C17">
        <v>4</v>
      </c>
      <c r="D17">
        <v>5</v>
      </c>
      <c r="E17">
        <v>0.8</v>
      </c>
      <c r="F17">
        <v>22</v>
      </c>
      <c r="G17">
        <v>15</v>
      </c>
      <c r="H17">
        <v>7</v>
      </c>
      <c r="I17" t="s">
        <v>88</v>
      </c>
      <c r="J17"/>
      <c r="K17"/>
      <c r="L17" t="s">
        <v>113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x14ac:dyDescent="0.2">
      <c r="A18">
        <v>13</v>
      </c>
      <c r="B18" t="s">
        <v>48</v>
      </c>
      <c r="C18">
        <v>4</v>
      </c>
      <c r="D18">
        <v>5</v>
      </c>
      <c r="E18">
        <v>0.8</v>
      </c>
      <c r="F18">
        <v>20</v>
      </c>
      <c r="G18">
        <v>15</v>
      </c>
      <c r="H18">
        <v>5</v>
      </c>
      <c r="I18" t="s">
        <v>88</v>
      </c>
      <c r="J18"/>
      <c r="K18"/>
      <c r="L18" t="s">
        <v>113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x14ac:dyDescent="0.2">
      <c r="A19">
        <v>14</v>
      </c>
      <c r="B19" t="s">
        <v>28</v>
      </c>
      <c r="C19">
        <v>3</v>
      </c>
      <c r="D19">
        <v>5</v>
      </c>
      <c r="E19">
        <v>0.6</v>
      </c>
      <c r="F19">
        <v>19</v>
      </c>
      <c r="G19">
        <v>13</v>
      </c>
      <c r="H19">
        <v>6</v>
      </c>
      <c r="I19" t="s">
        <v>88</v>
      </c>
      <c r="J19" t="s">
        <v>122</v>
      </c>
      <c r="K19"/>
      <c r="L19" t="s">
        <v>113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x14ac:dyDescent="0.2">
      <c r="A20">
        <v>15</v>
      </c>
      <c r="B20" t="s">
        <v>19</v>
      </c>
      <c r="C20">
        <v>3</v>
      </c>
      <c r="D20">
        <v>5</v>
      </c>
      <c r="E20">
        <v>0.6</v>
      </c>
      <c r="F20">
        <v>21</v>
      </c>
      <c r="G20">
        <v>16</v>
      </c>
      <c r="H20">
        <v>5</v>
      </c>
      <c r="I20" t="s">
        <v>88</v>
      </c>
      <c r="J20" t="s">
        <v>89</v>
      </c>
      <c r="K20"/>
      <c r="L20" t="s">
        <v>113</v>
      </c>
    </row>
    <row r="21" spans="1:27" x14ac:dyDescent="0.2">
      <c r="A21">
        <v>16</v>
      </c>
      <c r="B21" t="s">
        <v>34</v>
      </c>
      <c r="C21">
        <v>3</v>
      </c>
      <c r="D21">
        <v>5</v>
      </c>
      <c r="E21">
        <v>0.6</v>
      </c>
      <c r="F21">
        <v>19</v>
      </c>
      <c r="G21">
        <v>14</v>
      </c>
      <c r="H21">
        <v>5</v>
      </c>
      <c r="I21" t="s">
        <v>88</v>
      </c>
      <c r="J21" t="s">
        <v>96</v>
      </c>
      <c r="K21"/>
      <c r="L21" t="s">
        <v>113</v>
      </c>
    </row>
    <row r="22" spans="1:27" x14ac:dyDescent="0.2">
      <c r="A22">
        <v>17</v>
      </c>
      <c r="B22" t="s">
        <v>25</v>
      </c>
      <c r="C22">
        <v>3</v>
      </c>
      <c r="D22">
        <v>5</v>
      </c>
      <c r="E22">
        <v>0.6</v>
      </c>
      <c r="F22">
        <v>18</v>
      </c>
      <c r="G22">
        <v>19</v>
      </c>
      <c r="H22">
        <v>-1</v>
      </c>
      <c r="I22" t="s">
        <v>88</v>
      </c>
      <c r="J22" t="s">
        <v>96</v>
      </c>
      <c r="K22"/>
      <c r="L22" t="s">
        <v>113</v>
      </c>
    </row>
    <row r="23" spans="1:27" x14ac:dyDescent="0.2">
      <c r="A23">
        <v>18</v>
      </c>
      <c r="B23" t="s">
        <v>37</v>
      </c>
      <c r="C23">
        <v>2</v>
      </c>
      <c r="D23">
        <v>5</v>
      </c>
      <c r="E23">
        <v>0.4</v>
      </c>
      <c r="F23">
        <v>20</v>
      </c>
      <c r="G23">
        <v>15</v>
      </c>
      <c r="H23">
        <v>5</v>
      </c>
      <c r="I23" t="s">
        <v>88</v>
      </c>
      <c r="J23" t="s">
        <v>96</v>
      </c>
      <c r="K23"/>
      <c r="L23" t="s">
        <v>113</v>
      </c>
    </row>
    <row r="24" spans="1:27" x14ac:dyDescent="0.2">
      <c r="A24">
        <v>19</v>
      </c>
      <c r="B24" t="s">
        <v>30</v>
      </c>
      <c r="C24">
        <v>2</v>
      </c>
      <c r="D24">
        <v>5</v>
      </c>
      <c r="E24">
        <v>0.4</v>
      </c>
      <c r="F24">
        <v>19</v>
      </c>
      <c r="G24">
        <v>17</v>
      </c>
      <c r="H24">
        <v>2</v>
      </c>
      <c r="I24" t="s">
        <v>88</v>
      </c>
      <c r="J24" t="s">
        <v>118</v>
      </c>
      <c r="K24"/>
      <c r="L24" t="s">
        <v>113</v>
      </c>
    </row>
    <row r="25" spans="1:27" x14ac:dyDescent="0.2">
      <c r="A25" t="s">
        <v>136</v>
      </c>
      <c r="B25" t="s">
        <v>59</v>
      </c>
      <c r="C25">
        <v>2</v>
      </c>
      <c r="D25">
        <v>5</v>
      </c>
      <c r="E25">
        <v>0.4</v>
      </c>
      <c r="F25">
        <v>17</v>
      </c>
      <c r="G25">
        <v>17</v>
      </c>
      <c r="H25">
        <v>0</v>
      </c>
      <c r="I25" t="s">
        <v>88</v>
      </c>
      <c r="J25"/>
      <c r="K25"/>
      <c r="L25" t="s">
        <v>113</v>
      </c>
    </row>
    <row r="26" spans="1:27" x14ac:dyDescent="0.2">
      <c r="A26" t="s">
        <v>136</v>
      </c>
      <c r="B26" t="s">
        <v>49</v>
      </c>
      <c r="C26">
        <v>2</v>
      </c>
      <c r="D26">
        <v>5</v>
      </c>
      <c r="E26">
        <v>0.4</v>
      </c>
      <c r="F26">
        <v>17</v>
      </c>
      <c r="G26">
        <v>17</v>
      </c>
      <c r="H26">
        <v>0</v>
      </c>
      <c r="I26" t="s">
        <v>88</v>
      </c>
      <c r="J26" t="s">
        <v>119</v>
      </c>
      <c r="K26"/>
      <c r="L26" t="s">
        <v>113</v>
      </c>
    </row>
    <row r="27" spans="1:27" x14ac:dyDescent="0.2">
      <c r="A27">
        <v>22</v>
      </c>
      <c r="B27" t="s">
        <v>35</v>
      </c>
      <c r="C27">
        <v>2</v>
      </c>
      <c r="D27">
        <v>5</v>
      </c>
      <c r="E27">
        <v>0.4</v>
      </c>
      <c r="F27">
        <v>18</v>
      </c>
      <c r="G27">
        <v>19</v>
      </c>
      <c r="H27">
        <v>-1</v>
      </c>
      <c r="I27" t="s">
        <v>88</v>
      </c>
      <c r="J27" t="s">
        <v>127</v>
      </c>
      <c r="K27"/>
      <c r="L27" t="s">
        <v>113</v>
      </c>
    </row>
    <row r="28" spans="1:27" x14ac:dyDescent="0.2">
      <c r="A28">
        <v>23</v>
      </c>
      <c r="B28" t="s">
        <v>26</v>
      </c>
      <c r="C28">
        <v>2</v>
      </c>
      <c r="D28">
        <v>5</v>
      </c>
      <c r="E28">
        <v>0.4</v>
      </c>
      <c r="F28">
        <v>16</v>
      </c>
      <c r="G28">
        <v>18</v>
      </c>
      <c r="H28">
        <v>-2</v>
      </c>
      <c r="I28" t="s">
        <v>88</v>
      </c>
      <c r="J28" t="s">
        <v>89</v>
      </c>
      <c r="K28"/>
      <c r="L28" t="s">
        <v>113</v>
      </c>
    </row>
    <row r="29" spans="1:27" x14ac:dyDescent="0.2">
      <c r="A29">
        <v>24</v>
      </c>
      <c r="B29" t="s">
        <v>42</v>
      </c>
      <c r="C29">
        <v>2</v>
      </c>
      <c r="D29">
        <v>5</v>
      </c>
      <c r="E29">
        <v>0.4</v>
      </c>
      <c r="F29">
        <v>11</v>
      </c>
      <c r="G29">
        <v>18</v>
      </c>
      <c r="H29">
        <v>-7</v>
      </c>
      <c r="I29" t="s">
        <v>88</v>
      </c>
      <c r="J29"/>
      <c r="K29"/>
      <c r="L29" t="s">
        <v>113</v>
      </c>
    </row>
    <row r="30" spans="1:27" x14ac:dyDescent="0.2">
      <c r="A30">
        <v>25</v>
      </c>
      <c r="B30" t="s">
        <v>58</v>
      </c>
      <c r="C30">
        <v>1</v>
      </c>
      <c r="D30">
        <v>5</v>
      </c>
      <c r="E30">
        <v>0.2</v>
      </c>
      <c r="F30">
        <v>16</v>
      </c>
      <c r="G30">
        <v>22</v>
      </c>
      <c r="H30">
        <v>-6</v>
      </c>
      <c r="I30" t="s">
        <v>88</v>
      </c>
      <c r="J30"/>
      <c r="K30"/>
      <c r="L30" t="s">
        <v>113</v>
      </c>
    </row>
    <row r="31" spans="1:27" x14ac:dyDescent="0.2">
      <c r="A31">
        <v>26</v>
      </c>
      <c r="B31" t="s">
        <v>46</v>
      </c>
      <c r="C31">
        <v>1</v>
      </c>
      <c r="D31">
        <v>5</v>
      </c>
      <c r="E31">
        <v>0.2</v>
      </c>
      <c r="F31">
        <v>15</v>
      </c>
      <c r="G31">
        <v>23</v>
      </c>
      <c r="H31">
        <v>-8</v>
      </c>
      <c r="I31" t="s">
        <v>88</v>
      </c>
      <c r="J31"/>
      <c r="K31"/>
      <c r="L31" t="s">
        <v>113</v>
      </c>
    </row>
    <row r="32" spans="1:27" x14ac:dyDescent="0.2">
      <c r="A32">
        <v>27</v>
      </c>
      <c r="B32" t="s">
        <v>31</v>
      </c>
      <c r="C32">
        <v>1</v>
      </c>
      <c r="D32">
        <v>5</v>
      </c>
      <c r="E32">
        <v>0.2</v>
      </c>
      <c r="F32">
        <v>12</v>
      </c>
      <c r="G32">
        <v>22</v>
      </c>
      <c r="H32">
        <v>-10</v>
      </c>
      <c r="I32" t="s">
        <v>88</v>
      </c>
      <c r="J32" t="s">
        <v>97</v>
      </c>
      <c r="K32"/>
      <c r="L32" t="s">
        <v>113</v>
      </c>
    </row>
    <row r="33" spans="1:12" x14ac:dyDescent="0.2">
      <c r="A33">
        <v>28</v>
      </c>
      <c r="B33" t="s">
        <v>27</v>
      </c>
      <c r="C33">
        <v>1</v>
      </c>
      <c r="D33">
        <v>5</v>
      </c>
      <c r="E33">
        <v>0.2</v>
      </c>
      <c r="F33">
        <v>12</v>
      </c>
      <c r="G33">
        <v>23</v>
      </c>
      <c r="H33">
        <v>-11</v>
      </c>
      <c r="I33" t="s">
        <v>88</v>
      </c>
      <c r="J33" t="s">
        <v>95</v>
      </c>
      <c r="K33"/>
      <c r="L33" t="s">
        <v>113</v>
      </c>
    </row>
    <row r="34" spans="1:12" x14ac:dyDescent="0.2">
      <c r="A34">
        <v>29</v>
      </c>
      <c r="B34" t="s">
        <v>65</v>
      </c>
      <c r="C34">
        <v>1</v>
      </c>
      <c r="D34">
        <v>5</v>
      </c>
      <c r="E34">
        <v>0.2</v>
      </c>
      <c r="F34">
        <v>12</v>
      </c>
      <c r="G34">
        <v>24</v>
      </c>
      <c r="H34">
        <v>-12</v>
      </c>
      <c r="I34" t="s">
        <v>88</v>
      </c>
      <c r="J34"/>
      <c r="K34"/>
      <c r="L34" t="s">
        <v>113</v>
      </c>
    </row>
    <row r="35" spans="1:12" x14ac:dyDescent="0.2">
      <c r="A35">
        <v>30</v>
      </c>
      <c r="B35" t="s">
        <v>39</v>
      </c>
      <c r="C35">
        <v>1</v>
      </c>
      <c r="D35">
        <v>5</v>
      </c>
      <c r="E35">
        <v>0.2</v>
      </c>
      <c r="F35">
        <v>9</v>
      </c>
      <c r="G35">
        <v>21</v>
      </c>
      <c r="H35">
        <v>-12</v>
      </c>
      <c r="I35" t="s">
        <v>88</v>
      </c>
      <c r="J35" t="s">
        <v>122</v>
      </c>
      <c r="K35"/>
      <c r="L35" t="s">
        <v>113</v>
      </c>
    </row>
    <row r="36" spans="1:12" x14ac:dyDescent="0.2">
      <c r="A36">
        <v>31</v>
      </c>
      <c r="B36" t="s">
        <v>67</v>
      </c>
      <c r="C36">
        <v>1</v>
      </c>
      <c r="D36">
        <v>5</v>
      </c>
      <c r="E36">
        <v>0.2</v>
      </c>
      <c r="F36">
        <v>7</v>
      </c>
      <c r="G36">
        <v>20</v>
      </c>
      <c r="H36">
        <v>-13</v>
      </c>
      <c r="I36" t="s">
        <v>88</v>
      </c>
      <c r="J36" t="s">
        <v>132</v>
      </c>
      <c r="K36"/>
      <c r="L36" t="s">
        <v>113</v>
      </c>
    </row>
    <row r="37" spans="1:12" x14ac:dyDescent="0.2">
      <c r="A37">
        <v>32</v>
      </c>
      <c r="B37" t="s">
        <v>45</v>
      </c>
      <c r="C37">
        <v>1</v>
      </c>
      <c r="D37">
        <v>5</v>
      </c>
      <c r="E37">
        <v>0.2</v>
      </c>
      <c r="F37">
        <v>9</v>
      </c>
      <c r="G37">
        <v>23</v>
      </c>
      <c r="H37">
        <v>-14</v>
      </c>
      <c r="I37" t="s">
        <v>88</v>
      </c>
      <c r="J37" t="s">
        <v>135</v>
      </c>
      <c r="K37"/>
      <c r="L37" t="s">
        <v>113</v>
      </c>
    </row>
    <row r="38" spans="1:12" x14ac:dyDescent="0.2">
      <c r="A38">
        <v>33</v>
      </c>
      <c r="B38" t="s">
        <v>44</v>
      </c>
      <c r="C38">
        <v>0</v>
      </c>
      <c r="D38">
        <v>5</v>
      </c>
      <c r="E38">
        <v>0</v>
      </c>
      <c r="F38">
        <v>6</v>
      </c>
      <c r="G38">
        <v>25</v>
      </c>
      <c r="H38">
        <v>-19</v>
      </c>
      <c r="I38" t="s">
        <v>88</v>
      </c>
      <c r="J38"/>
      <c r="K38"/>
      <c r="L38" t="s">
        <v>113</v>
      </c>
    </row>
    <row r="39" spans="1:12" x14ac:dyDescent="0.2">
      <c r="A39">
        <v>34</v>
      </c>
      <c r="B39" t="s">
        <v>70</v>
      </c>
      <c r="C39">
        <v>0</v>
      </c>
      <c r="D39">
        <v>5</v>
      </c>
      <c r="E39">
        <v>0</v>
      </c>
      <c r="F39">
        <v>5</v>
      </c>
      <c r="G39">
        <v>25</v>
      </c>
      <c r="H39">
        <v>-20</v>
      </c>
      <c r="I39" t="s">
        <v>88</v>
      </c>
      <c r="J39"/>
      <c r="K39"/>
      <c r="L39" t="s">
        <v>113</v>
      </c>
    </row>
    <row r="40" spans="1:12" x14ac:dyDescent="0.2">
      <c r="A40">
        <v>35</v>
      </c>
      <c r="B40" t="s">
        <v>62</v>
      </c>
      <c r="C40">
        <v>0</v>
      </c>
      <c r="D40">
        <v>5</v>
      </c>
      <c r="E40">
        <v>0</v>
      </c>
      <c r="F40">
        <v>4</v>
      </c>
      <c r="G40">
        <v>25</v>
      </c>
      <c r="H40">
        <v>-21</v>
      </c>
      <c r="I40" t="s">
        <v>88</v>
      </c>
      <c r="J40" t="s">
        <v>132</v>
      </c>
      <c r="K40"/>
      <c r="L40" t="s">
        <v>113</v>
      </c>
    </row>
    <row r="41" spans="1:12" x14ac:dyDescent="0.2">
      <c r="A41">
        <v>36</v>
      </c>
      <c r="B41" t="s">
        <v>57</v>
      </c>
      <c r="C41">
        <v>0</v>
      </c>
      <c r="D41">
        <v>5</v>
      </c>
      <c r="E41">
        <v>0</v>
      </c>
      <c r="F41">
        <v>3</v>
      </c>
      <c r="G41">
        <v>25</v>
      </c>
      <c r="H41">
        <v>-22</v>
      </c>
      <c r="I41" t="s">
        <v>88</v>
      </c>
      <c r="J41"/>
      <c r="K41"/>
      <c r="L41" t="s">
        <v>113</v>
      </c>
    </row>
    <row r="42" spans="1:12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6"/>
    </row>
    <row r="43" spans="1:12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6"/>
    </row>
    <row r="44" spans="1:12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6"/>
    </row>
    <row r="45" spans="1:12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6"/>
    </row>
    <row r="46" spans="1:12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6"/>
    </row>
    <row r="47" spans="1:12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6"/>
    </row>
    <row r="50" spans="1:12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6"/>
    </row>
  </sheetData>
  <autoFilter ref="A5:L38" xr:uid="{00000000-0009-0000-0000-00000A000000}">
    <sortState xmlns:xlrd2="http://schemas.microsoft.com/office/spreadsheetml/2017/richdata2" ref="A6:L38">
      <sortCondition descending="1" ref="E5:E38"/>
    </sortState>
  </autoFilter>
  <mergeCells count="3">
    <mergeCell ref="A2:B2"/>
    <mergeCell ref="C2:L2"/>
    <mergeCell ref="C3:L3"/>
  </mergeCells>
  <hyperlinks>
    <hyperlink ref="C3:L3" r:id="rId1" display="https://www.fencingtimelive.com/pools/results/32B616C3AFDA4D4A83FF3673BD13A9F6/D65EAEBA11A44BA19F706FDE156B8B85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7" tint="0.79998168889431442"/>
  </sheetPr>
  <dimension ref="A2:L50"/>
  <sheetViews>
    <sheetView workbookViewId="0">
      <selection activeCell="U13" sqref="U13"/>
    </sheetView>
  </sheetViews>
  <sheetFormatPr defaultRowHeight="12.75" x14ac:dyDescent="0.2"/>
  <cols>
    <col min="1" max="1" width="5.7109375" style="5" bestFit="1" customWidth="1"/>
    <col min="2" max="2" width="18.85546875" style="5" customWidth="1"/>
    <col min="3" max="3" width="2.28515625" style="5" bestFit="1" customWidth="1"/>
    <col min="4" max="4" width="2.42578125" style="5" bestFit="1" customWidth="1"/>
    <col min="5" max="5" width="8.7109375" style="5" customWidth="1"/>
    <col min="6" max="6" width="3.28515625" style="5" bestFit="1" customWidth="1"/>
    <col min="7" max="7" width="3.42578125" style="5" bestFit="1" customWidth="1"/>
    <col min="8" max="8" width="3.7109375" style="5" bestFit="1" customWidth="1"/>
    <col min="9" max="9" width="11.28515625" style="5" customWidth="1"/>
    <col min="10" max="10" width="18.28515625" style="5" customWidth="1"/>
    <col min="11" max="11" width="7.85546875" style="5" bestFit="1" customWidth="1"/>
    <col min="12" max="12" width="8.140625" style="5" bestFit="1" customWidth="1"/>
  </cols>
  <sheetData>
    <row r="2" spans="1:12" x14ac:dyDescent="0.2">
      <c r="A2" s="56" t="s">
        <v>74</v>
      </c>
      <c r="B2" s="56"/>
      <c r="C2" s="57" t="s">
        <v>137</v>
      </c>
      <c r="D2" s="57"/>
      <c r="E2" s="57"/>
      <c r="F2" s="57"/>
      <c r="G2" s="57"/>
      <c r="H2" s="57"/>
      <c r="I2" s="57"/>
      <c r="J2" s="57"/>
      <c r="K2" s="57"/>
      <c r="L2" s="57"/>
    </row>
    <row r="3" spans="1:12" ht="13.15" customHeight="1" x14ac:dyDescent="0.2">
      <c r="C3" s="58" t="s">
        <v>138</v>
      </c>
      <c r="D3" s="58"/>
      <c r="E3" s="58"/>
      <c r="F3" s="58"/>
      <c r="G3" s="58"/>
      <c r="H3" s="58"/>
      <c r="I3" s="58"/>
      <c r="J3" s="58"/>
      <c r="K3" s="58"/>
      <c r="L3" s="58"/>
    </row>
    <row r="4" spans="1:12" ht="13.15" customHeight="1" x14ac:dyDescent="0.2">
      <c r="C4" s="9"/>
      <c r="D4" s="9"/>
      <c r="E4" s="9"/>
      <c r="F4" s="9"/>
      <c r="G4" s="9"/>
      <c r="H4" s="9"/>
      <c r="I4" s="9"/>
      <c r="J4" s="9"/>
      <c r="K4" s="9"/>
      <c r="L4" s="9"/>
    </row>
    <row r="5" spans="1:12" ht="30" x14ac:dyDescent="0.2">
      <c r="A5" s="10" t="s">
        <v>78</v>
      </c>
      <c r="B5" s="10" t="s">
        <v>79</v>
      </c>
      <c r="C5" s="10" t="s">
        <v>80</v>
      </c>
      <c r="D5" s="10" t="s">
        <v>81</v>
      </c>
      <c r="E5" s="10" t="s">
        <v>82</v>
      </c>
      <c r="F5" s="10" t="s">
        <v>4</v>
      </c>
      <c r="G5" s="10" t="s">
        <v>83</v>
      </c>
      <c r="H5" s="10" t="s">
        <v>5</v>
      </c>
      <c r="I5" s="10" t="s">
        <v>84</v>
      </c>
      <c r="J5" s="10" t="s">
        <v>85</v>
      </c>
      <c r="K5" s="10" t="s">
        <v>86</v>
      </c>
      <c r="L5" s="10" t="s">
        <v>87</v>
      </c>
    </row>
    <row r="6" spans="1:12" ht="25.5" x14ac:dyDescent="0.2">
      <c r="A6" s="7">
        <v>1</v>
      </c>
      <c r="B6" s="7" t="s">
        <v>139</v>
      </c>
      <c r="C6" s="7">
        <v>4</v>
      </c>
      <c r="D6" s="5">
        <v>4</v>
      </c>
      <c r="E6" s="7">
        <v>1</v>
      </c>
      <c r="F6" s="7">
        <v>20</v>
      </c>
      <c r="G6" s="6">
        <v>3</v>
      </c>
      <c r="H6" s="7">
        <v>17</v>
      </c>
      <c r="I6" s="6" t="s">
        <v>88</v>
      </c>
      <c r="J6" s="6" t="s">
        <v>89</v>
      </c>
      <c r="K6" s="6"/>
      <c r="L6" s="6" t="s">
        <v>90</v>
      </c>
    </row>
    <row r="7" spans="1:12" ht="25.5" x14ac:dyDescent="0.2">
      <c r="A7" s="7">
        <v>2</v>
      </c>
      <c r="B7" s="7" t="s">
        <v>14</v>
      </c>
      <c r="C7" s="7">
        <v>4</v>
      </c>
      <c r="D7" s="5">
        <v>4</v>
      </c>
      <c r="E7" s="7">
        <v>1</v>
      </c>
      <c r="F7" s="7">
        <v>20</v>
      </c>
      <c r="G7" s="6">
        <v>4</v>
      </c>
      <c r="H7" s="7">
        <v>16</v>
      </c>
      <c r="I7" s="6" t="s">
        <v>88</v>
      </c>
      <c r="J7" s="6" t="s">
        <v>89</v>
      </c>
      <c r="K7" s="6"/>
      <c r="L7" s="6" t="s">
        <v>90</v>
      </c>
    </row>
    <row r="8" spans="1:12" ht="25.5" x14ac:dyDescent="0.2">
      <c r="A8" s="7">
        <v>3</v>
      </c>
      <c r="B8" s="7" t="s">
        <v>20</v>
      </c>
      <c r="C8" s="7">
        <v>3</v>
      </c>
      <c r="D8" s="5">
        <v>4</v>
      </c>
      <c r="E8" s="7">
        <v>0.75</v>
      </c>
      <c r="F8" s="7">
        <v>17</v>
      </c>
      <c r="G8" s="6">
        <v>6</v>
      </c>
      <c r="H8" s="7">
        <v>11</v>
      </c>
      <c r="I8" s="6" t="s">
        <v>88</v>
      </c>
      <c r="J8" s="6" t="s">
        <v>89</v>
      </c>
      <c r="K8" s="6"/>
      <c r="L8" s="6" t="s">
        <v>90</v>
      </c>
    </row>
    <row r="9" spans="1:12" ht="51" x14ac:dyDescent="0.2">
      <c r="A9" s="7">
        <v>4</v>
      </c>
      <c r="B9" s="7" t="s">
        <v>17</v>
      </c>
      <c r="C9" s="7">
        <v>3</v>
      </c>
      <c r="D9" s="5">
        <v>4</v>
      </c>
      <c r="E9" s="7">
        <v>0.75</v>
      </c>
      <c r="F9" s="7">
        <v>17</v>
      </c>
      <c r="G9" s="6">
        <v>9</v>
      </c>
      <c r="H9" s="7">
        <v>8</v>
      </c>
      <c r="I9" s="6" t="s">
        <v>88</v>
      </c>
      <c r="J9" s="6" t="s">
        <v>140</v>
      </c>
      <c r="K9" s="6"/>
      <c r="L9" s="6" t="s">
        <v>90</v>
      </c>
    </row>
    <row r="10" spans="1:12" x14ac:dyDescent="0.2">
      <c r="A10" s="7">
        <v>5</v>
      </c>
      <c r="B10" s="7" t="s">
        <v>29</v>
      </c>
      <c r="C10" s="7">
        <v>3</v>
      </c>
      <c r="D10" s="5">
        <v>4</v>
      </c>
      <c r="E10" s="7">
        <v>0.75</v>
      </c>
      <c r="F10" s="7">
        <v>18</v>
      </c>
      <c r="G10" s="6">
        <v>11</v>
      </c>
      <c r="H10" s="7">
        <v>7</v>
      </c>
      <c r="I10" s="6" t="s">
        <v>88</v>
      </c>
      <c r="J10" s="6" t="s">
        <v>94</v>
      </c>
      <c r="K10" s="6"/>
      <c r="L10" s="6" t="s">
        <v>90</v>
      </c>
    </row>
    <row r="11" spans="1:12" ht="25.5" x14ac:dyDescent="0.2">
      <c r="A11" s="7">
        <v>6</v>
      </c>
      <c r="B11" s="7" t="s">
        <v>19</v>
      </c>
      <c r="C11" s="7">
        <v>3</v>
      </c>
      <c r="D11" s="5">
        <v>4</v>
      </c>
      <c r="E11" s="7">
        <v>0.75</v>
      </c>
      <c r="F11" s="7">
        <v>17</v>
      </c>
      <c r="G11" s="6">
        <v>11</v>
      </c>
      <c r="H11" s="7">
        <v>6</v>
      </c>
      <c r="I11" s="6" t="s">
        <v>88</v>
      </c>
      <c r="J11" s="6" t="s">
        <v>89</v>
      </c>
      <c r="K11" s="6"/>
      <c r="L11" s="6" t="s">
        <v>90</v>
      </c>
    </row>
    <row r="12" spans="1:12" ht="25.5" x14ac:dyDescent="0.2">
      <c r="A12" s="7">
        <v>7</v>
      </c>
      <c r="B12" s="7" t="s">
        <v>22</v>
      </c>
      <c r="C12" s="7">
        <v>3</v>
      </c>
      <c r="D12" s="5">
        <v>4</v>
      </c>
      <c r="E12" s="7">
        <v>0.75</v>
      </c>
      <c r="F12" s="7">
        <v>18</v>
      </c>
      <c r="G12" s="6">
        <v>13</v>
      </c>
      <c r="H12" s="7">
        <v>5</v>
      </c>
      <c r="I12" s="6" t="s">
        <v>88</v>
      </c>
      <c r="J12" s="6" t="s">
        <v>89</v>
      </c>
      <c r="K12" s="6"/>
      <c r="L12" s="6" t="s">
        <v>90</v>
      </c>
    </row>
    <row r="13" spans="1:12" ht="25.5" x14ac:dyDescent="0.2">
      <c r="A13" s="7">
        <v>8</v>
      </c>
      <c r="B13" s="7" t="s">
        <v>31</v>
      </c>
      <c r="C13" s="7">
        <v>2</v>
      </c>
      <c r="D13" s="5">
        <v>4</v>
      </c>
      <c r="E13" s="7">
        <v>0.5</v>
      </c>
      <c r="F13" s="7">
        <v>12</v>
      </c>
      <c r="G13" s="6">
        <v>15</v>
      </c>
      <c r="H13" s="7">
        <v>-3</v>
      </c>
      <c r="I13" s="6" t="s">
        <v>88</v>
      </c>
      <c r="J13" s="6" t="s">
        <v>97</v>
      </c>
      <c r="K13" s="6"/>
      <c r="L13" s="6" t="s">
        <v>90</v>
      </c>
    </row>
    <row r="14" spans="1:12" ht="25.5" x14ac:dyDescent="0.2">
      <c r="A14" s="7">
        <v>9</v>
      </c>
      <c r="B14" s="7" t="s">
        <v>26</v>
      </c>
      <c r="C14" s="7">
        <v>1</v>
      </c>
      <c r="D14" s="5">
        <v>4</v>
      </c>
      <c r="E14" s="7">
        <v>0.25</v>
      </c>
      <c r="F14" s="7">
        <v>14</v>
      </c>
      <c r="G14" s="6">
        <v>17</v>
      </c>
      <c r="H14" s="7">
        <v>-3</v>
      </c>
      <c r="I14" s="6" t="s">
        <v>88</v>
      </c>
      <c r="J14" s="6" t="s">
        <v>89</v>
      </c>
      <c r="K14" s="6"/>
      <c r="L14" s="6" t="s">
        <v>90</v>
      </c>
    </row>
    <row r="15" spans="1:12" ht="51" x14ac:dyDescent="0.2">
      <c r="A15" s="7">
        <v>10</v>
      </c>
      <c r="B15" s="7" t="s">
        <v>45</v>
      </c>
      <c r="C15" s="7">
        <v>1</v>
      </c>
      <c r="D15" s="5">
        <v>4</v>
      </c>
      <c r="E15" s="7">
        <v>0.25</v>
      </c>
      <c r="F15" s="7">
        <v>12</v>
      </c>
      <c r="G15" s="6">
        <v>18</v>
      </c>
      <c r="H15" s="7">
        <v>-6</v>
      </c>
      <c r="I15" s="6" t="s">
        <v>88</v>
      </c>
      <c r="J15" s="6" t="s">
        <v>140</v>
      </c>
      <c r="K15" s="6"/>
      <c r="L15" s="6" t="s">
        <v>90</v>
      </c>
    </row>
    <row r="16" spans="1:12" ht="25.5" x14ac:dyDescent="0.2">
      <c r="A16" s="7" t="s">
        <v>141</v>
      </c>
      <c r="B16" s="7" t="s">
        <v>44</v>
      </c>
      <c r="C16" s="7">
        <v>1</v>
      </c>
      <c r="D16" s="5">
        <v>4</v>
      </c>
      <c r="E16" s="7">
        <v>0.25</v>
      </c>
      <c r="F16" s="7">
        <v>9</v>
      </c>
      <c r="G16" s="6">
        <v>18</v>
      </c>
      <c r="H16" s="7">
        <v>-9</v>
      </c>
      <c r="I16" s="6" t="s">
        <v>88</v>
      </c>
      <c r="J16" s="6" t="s">
        <v>102</v>
      </c>
      <c r="K16" s="6" t="s">
        <v>99</v>
      </c>
      <c r="L16" s="6" t="s">
        <v>90</v>
      </c>
    </row>
    <row r="17" spans="1:12" ht="51" x14ac:dyDescent="0.2">
      <c r="A17" s="7" t="s">
        <v>141</v>
      </c>
      <c r="B17" s="7" t="s">
        <v>35</v>
      </c>
      <c r="C17" s="7">
        <v>1</v>
      </c>
      <c r="D17" s="5">
        <v>4</v>
      </c>
      <c r="E17" s="7">
        <v>0.25</v>
      </c>
      <c r="F17" s="7">
        <v>9</v>
      </c>
      <c r="G17" s="6">
        <v>18</v>
      </c>
      <c r="H17" s="7">
        <v>-9</v>
      </c>
      <c r="I17" s="6" t="s">
        <v>88</v>
      </c>
      <c r="J17" s="6" t="s">
        <v>140</v>
      </c>
      <c r="K17" s="6"/>
      <c r="L17" s="6" t="s">
        <v>90</v>
      </c>
    </row>
    <row r="18" spans="1:12" ht="38.25" x14ac:dyDescent="0.2">
      <c r="A18" s="7">
        <v>13</v>
      </c>
      <c r="B18" s="7" t="s">
        <v>30</v>
      </c>
      <c r="C18" s="7">
        <v>1</v>
      </c>
      <c r="D18" s="5">
        <v>4</v>
      </c>
      <c r="E18" s="7">
        <v>0.25</v>
      </c>
      <c r="F18" s="7">
        <v>9</v>
      </c>
      <c r="G18" s="6">
        <v>19</v>
      </c>
      <c r="H18" s="7">
        <v>-10</v>
      </c>
      <c r="I18" s="6" t="s">
        <v>88</v>
      </c>
      <c r="J18" s="6" t="s">
        <v>98</v>
      </c>
      <c r="K18" s="6" t="s">
        <v>99</v>
      </c>
      <c r="L18" s="6" t="s">
        <v>90</v>
      </c>
    </row>
    <row r="19" spans="1:12" ht="51" x14ac:dyDescent="0.2">
      <c r="A19" s="7">
        <v>14</v>
      </c>
      <c r="B19" s="7" t="s">
        <v>56</v>
      </c>
      <c r="C19" s="7">
        <v>0</v>
      </c>
      <c r="D19" s="5">
        <v>4</v>
      </c>
      <c r="E19" s="7">
        <v>0</v>
      </c>
      <c r="F19" s="7">
        <v>8</v>
      </c>
      <c r="G19" s="6">
        <v>20</v>
      </c>
      <c r="H19" s="7">
        <v>-12</v>
      </c>
      <c r="I19" s="6" t="s">
        <v>88</v>
      </c>
      <c r="J19" s="6" t="s">
        <v>140</v>
      </c>
      <c r="K19" s="6"/>
      <c r="L19" s="6" t="s">
        <v>90</v>
      </c>
    </row>
    <row r="20" spans="1:12" ht="25.5" x14ac:dyDescent="0.2">
      <c r="A20" s="7">
        <v>15</v>
      </c>
      <c r="B20" s="7" t="s">
        <v>55</v>
      </c>
      <c r="C20" s="7">
        <v>0</v>
      </c>
      <c r="D20" s="5">
        <v>4</v>
      </c>
      <c r="E20" s="7">
        <v>0</v>
      </c>
      <c r="F20" s="7">
        <v>2</v>
      </c>
      <c r="G20" s="6">
        <v>20</v>
      </c>
      <c r="H20" s="7">
        <v>-18</v>
      </c>
      <c r="I20" s="6" t="s">
        <v>88</v>
      </c>
      <c r="J20" s="6" t="s">
        <v>92</v>
      </c>
      <c r="K20" s="6"/>
      <c r="L20" s="6" t="s">
        <v>90</v>
      </c>
    </row>
    <row r="21" spans="1:12" x14ac:dyDescent="0.2">
      <c r="A21" s="7"/>
      <c r="B21" s="7"/>
      <c r="C21" s="7"/>
      <c r="E21" s="7"/>
      <c r="F21" s="7"/>
      <c r="G21" s="6"/>
      <c r="H21" s="7"/>
      <c r="I21" s="6"/>
      <c r="J21" s="6"/>
      <c r="K21" s="6"/>
      <c r="L21" s="6"/>
    </row>
    <row r="22" spans="1:12" x14ac:dyDescent="0.2">
      <c r="A22" s="7"/>
      <c r="B22" s="7"/>
      <c r="C22" s="7"/>
      <c r="E22" s="7"/>
      <c r="F22" s="7"/>
      <c r="G22" s="6"/>
      <c r="H22" s="7"/>
      <c r="I22" s="6"/>
      <c r="J22" s="6"/>
      <c r="K22" s="6"/>
      <c r="L22" s="6"/>
    </row>
    <row r="23" spans="1:12" x14ac:dyDescent="0.2">
      <c r="A23" s="7"/>
      <c r="B23" s="7"/>
      <c r="C23" s="7"/>
      <c r="E23" s="7"/>
      <c r="F23" s="7"/>
      <c r="G23" s="6"/>
      <c r="H23" s="7"/>
      <c r="I23" s="6"/>
      <c r="J23" s="6"/>
      <c r="K23" s="6"/>
      <c r="L23" s="6"/>
    </row>
    <row r="24" spans="1:12" x14ac:dyDescent="0.2">
      <c r="A24" s="7"/>
      <c r="B24" s="7"/>
      <c r="C24" s="7"/>
      <c r="E24" s="7"/>
      <c r="F24" s="7"/>
      <c r="G24" s="6"/>
      <c r="H24" s="7"/>
      <c r="I24" s="6"/>
      <c r="J24" s="6"/>
      <c r="K24" s="6"/>
      <c r="L24" s="6"/>
    </row>
    <row r="25" spans="1:12" x14ac:dyDescent="0.2">
      <c r="A25" s="7"/>
      <c r="B25" s="7"/>
      <c r="C25" s="7"/>
      <c r="E25" s="7"/>
      <c r="F25" s="7"/>
      <c r="G25" s="6"/>
      <c r="H25" s="7"/>
      <c r="I25" s="6"/>
      <c r="J25" s="6"/>
      <c r="K25" s="6"/>
      <c r="L25" s="6"/>
    </row>
    <row r="26" spans="1:12" x14ac:dyDescent="0.2">
      <c r="A26" s="7"/>
      <c r="B26" s="7"/>
      <c r="C26" s="7"/>
      <c r="E26" s="7"/>
      <c r="F26" s="7"/>
      <c r="G26" s="6"/>
      <c r="H26" s="7"/>
      <c r="I26" s="6"/>
      <c r="J26" s="6"/>
      <c r="K26" s="6"/>
      <c r="L26" s="6"/>
    </row>
    <row r="27" spans="1:12" x14ac:dyDescent="0.2">
      <c r="A27" s="7"/>
      <c r="B27" s="7"/>
      <c r="C27" s="7"/>
      <c r="E27" s="7"/>
      <c r="F27" s="7"/>
      <c r="G27" s="6"/>
      <c r="H27" s="7"/>
      <c r="I27" s="6"/>
      <c r="J27" s="6"/>
      <c r="K27" s="6"/>
      <c r="L27" s="6"/>
    </row>
    <row r="28" spans="1:12" x14ac:dyDescent="0.2">
      <c r="A28" s="7"/>
      <c r="B28" s="7"/>
      <c r="C28" s="7"/>
      <c r="E28" s="7"/>
      <c r="F28" s="7"/>
      <c r="G28" s="6"/>
      <c r="H28" s="7"/>
      <c r="I28" s="6"/>
      <c r="J28" s="6"/>
      <c r="K28" s="6"/>
      <c r="L28" s="6"/>
    </row>
    <row r="29" spans="1:12" x14ac:dyDescent="0.2">
      <c r="A29" s="7"/>
      <c r="B29" s="7"/>
      <c r="C29" s="7"/>
      <c r="E29" s="7"/>
      <c r="F29" s="7"/>
      <c r="G29" s="6"/>
      <c r="H29" s="7"/>
      <c r="I29" s="6"/>
      <c r="J29" s="6"/>
      <c r="K29" s="6"/>
      <c r="L29" s="6"/>
    </row>
    <row r="30" spans="1:12" x14ac:dyDescent="0.2">
      <c r="A30" s="7"/>
      <c r="B30" s="7"/>
      <c r="C30" s="7"/>
      <c r="E30" s="7"/>
      <c r="F30" s="7"/>
      <c r="G30" s="6"/>
      <c r="H30" s="7"/>
      <c r="I30" s="6"/>
      <c r="J30" s="6"/>
      <c r="K30" s="6"/>
      <c r="L30" s="6"/>
    </row>
    <row r="31" spans="1:12" x14ac:dyDescent="0.2">
      <c r="A31" s="7"/>
      <c r="B31" s="7"/>
      <c r="C31" s="7"/>
      <c r="E31" s="7"/>
      <c r="F31" s="7"/>
      <c r="G31" s="6"/>
      <c r="H31" s="7"/>
      <c r="I31" s="6"/>
      <c r="J31" s="6"/>
      <c r="K31" s="6"/>
      <c r="L31" s="6"/>
    </row>
    <row r="32" spans="1:12" x14ac:dyDescent="0.2">
      <c r="A32" s="7"/>
      <c r="B32" s="7"/>
      <c r="C32" s="7"/>
      <c r="E32" s="7"/>
      <c r="F32" s="7"/>
      <c r="G32" s="6"/>
      <c r="H32" s="7"/>
      <c r="I32" s="6"/>
      <c r="J32" s="6"/>
      <c r="K32" s="6"/>
      <c r="L32" s="6"/>
    </row>
    <row r="33" spans="1:12" x14ac:dyDescent="0.2">
      <c r="A33" s="7"/>
      <c r="B33" s="7"/>
      <c r="C33" s="7"/>
      <c r="E33" s="7"/>
      <c r="F33" s="7"/>
      <c r="G33" s="6"/>
      <c r="H33" s="7"/>
      <c r="I33" s="6"/>
      <c r="J33" s="6"/>
      <c r="K33" s="6"/>
      <c r="L33" s="6"/>
    </row>
    <row r="34" spans="1:12" x14ac:dyDescent="0.2">
      <c r="A34" s="7"/>
      <c r="B34" s="7"/>
      <c r="C34" s="7"/>
      <c r="E34" s="7"/>
      <c r="F34" s="7"/>
      <c r="G34" s="6"/>
      <c r="H34" s="7"/>
      <c r="I34" s="6"/>
      <c r="J34" s="6"/>
      <c r="K34" s="6"/>
      <c r="L34" s="6"/>
    </row>
    <row r="35" spans="1:12" x14ac:dyDescent="0.2">
      <c r="A35" s="7"/>
      <c r="B35" s="7"/>
      <c r="C35" s="7"/>
      <c r="E35" s="7"/>
      <c r="F35" s="7"/>
      <c r="G35" s="6"/>
      <c r="H35" s="7"/>
      <c r="I35" s="6"/>
      <c r="J35" s="6"/>
      <c r="K35" s="6"/>
      <c r="L35" s="6"/>
    </row>
    <row r="36" spans="1:12" x14ac:dyDescent="0.2">
      <c r="A36" s="7"/>
      <c r="B36" s="7"/>
      <c r="C36" s="7"/>
      <c r="E36" s="7"/>
      <c r="F36" s="7"/>
      <c r="G36" s="6"/>
      <c r="H36" s="7"/>
      <c r="I36" s="6"/>
      <c r="J36" s="6"/>
      <c r="K36" s="6"/>
      <c r="L36" s="6"/>
    </row>
    <row r="37" spans="1:12" x14ac:dyDescent="0.2">
      <c r="A37" s="7"/>
      <c r="B37" s="7"/>
      <c r="C37" s="7"/>
      <c r="E37" s="7"/>
      <c r="F37" s="7"/>
      <c r="G37" s="6"/>
      <c r="H37" s="7"/>
      <c r="I37" s="6"/>
      <c r="J37" s="6"/>
      <c r="K37" s="6"/>
      <c r="L37" s="6"/>
    </row>
    <row r="38" spans="1:12" x14ac:dyDescent="0.2">
      <c r="A38" s="7"/>
      <c r="B38" s="7"/>
      <c r="C38" s="7"/>
      <c r="E38" s="7"/>
      <c r="F38" s="7"/>
      <c r="G38" s="6"/>
      <c r="H38" s="7"/>
      <c r="I38" s="6"/>
      <c r="J38" s="6"/>
      <c r="K38" s="6"/>
      <c r="L38" s="6"/>
    </row>
    <row r="39" spans="1:12" x14ac:dyDescent="0.2">
      <c r="A39" s="7"/>
      <c r="B39" s="7"/>
      <c r="C39" s="7"/>
      <c r="E39" s="7"/>
      <c r="F39" s="7"/>
      <c r="G39" s="6"/>
      <c r="H39" s="7"/>
      <c r="I39" s="6"/>
      <c r="J39" s="6"/>
      <c r="K39" s="6"/>
      <c r="L39" s="6"/>
    </row>
    <row r="40" spans="1:12" x14ac:dyDescent="0.2">
      <c r="A40" s="7"/>
      <c r="B40" s="7"/>
      <c r="C40" s="7"/>
      <c r="E40" s="7"/>
      <c r="F40" s="7"/>
      <c r="G40" s="6"/>
      <c r="H40" s="7"/>
      <c r="I40" s="6"/>
      <c r="J40" s="6"/>
      <c r="K40" s="6"/>
      <c r="L40" s="6"/>
    </row>
    <row r="41" spans="1:12" x14ac:dyDescent="0.2">
      <c r="A41" s="7"/>
      <c r="B41" s="7"/>
      <c r="C41" s="7"/>
      <c r="E41" s="7"/>
      <c r="F41" s="7"/>
      <c r="G41" s="6"/>
      <c r="H41" s="7"/>
      <c r="I41" s="6"/>
      <c r="J41" s="6"/>
      <c r="K41" s="6"/>
      <c r="L41" s="6"/>
    </row>
    <row r="42" spans="1:12" x14ac:dyDescent="0.2">
      <c r="A42" s="7"/>
      <c r="B42" s="7"/>
      <c r="C42" s="7"/>
      <c r="E42" s="7"/>
      <c r="F42" s="7"/>
      <c r="G42" s="6"/>
      <c r="H42" s="7"/>
      <c r="I42" s="6"/>
      <c r="J42" s="6"/>
      <c r="K42" s="6"/>
      <c r="L42" s="6"/>
    </row>
    <row r="43" spans="1:12" x14ac:dyDescent="0.2">
      <c r="A43" s="7"/>
      <c r="B43" s="7"/>
      <c r="C43" s="7"/>
      <c r="E43" s="7"/>
      <c r="F43" s="7"/>
      <c r="G43" s="6"/>
      <c r="H43" s="7"/>
      <c r="I43" s="6"/>
      <c r="J43" s="6"/>
      <c r="K43" s="6"/>
      <c r="L43" s="6"/>
    </row>
    <row r="44" spans="1:12" x14ac:dyDescent="0.2">
      <c r="A44" s="7"/>
      <c r="B44" s="7"/>
      <c r="C44" s="7"/>
      <c r="E44" s="7"/>
      <c r="F44" s="7"/>
      <c r="G44" s="6"/>
      <c r="H44" s="7"/>
      <c r="I44" s="6"/>
      <c r="J44" s="6"/>
      <c r="K44" s="6"/>
      <c r="L44" s="6"/>
    </row>
    <row r="45" spans="1:12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1:12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1:12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</sheetData>
  <autoFilter ref="A5:L5" xr:uid="{00000000-0009-0000-0000-00000B000000}">
    <sortState xmlns:xlrd2="http://schemas.microsoft.com/office/spreadsheetml/2017/richdata2" ref="A6:L44">
      <sortCondition ref="A5"/>
    </sortState>
  </autoFilter>
  <mergeCells count="3">
    <mergeCell ref="A2:B2"/>
    <mergeCell ref="C2:L2"/>
    <mergeCell ref="C3:L3"/>
  </mergeCells>
  <hyperlinks>
    <hyperlink ref="C3:L3" r:id="rId1" display="https://www.fencingtimelive.com/pools/results/2AE4C8C73BE14FA6863FC02128FCDE09/36A6DA86D57D4245879F06BFB7CDC04C" xr:uid="{F964F296-E77A-4D5B-B130-6F8CE17026AA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7" tint="0.79998168889431442"/>
  </sheetPr>
  <dimension ref="A2:Y58"/>
  <sheetViews>
    <sheetView workbookViewId="0">
      <selection activeCell="B1" sqref="B1"/>
    </sheetView>
  </sheetViews>
  <sheetFormatPr defaultRowHeight="12.75" x14ac:dyDescent="0.2"/>
  <cols>
    <col min="1" max="1" width="5.7109375" style="5" bestFit="1" customWidth="1"/>
    <col min="2" max="2" width="18.85546875" style="5" customWidth="1"/>
    <col min="3" max="3" width="3.28515625" style="5" customWidth="1"/>
    <col min="4" max="4" width="2.42578125" style="5" bestFit="1" customWidth="1"/>
    <col min="5" max="5" width="8.7109375" style="5" customWidth="1"/>
    <col min="6" max="6" width="3.28515625" style="5" bestFit="1" customWidth="1"/>
    <col min="7" max="7" width="3.42578125" style="5" bestFit="1" customWidth="1"/>
    <col min="8" max="8" width="3.7109375" style="5" bestFit="1" customWidth="1"/>
    <col min="9" max="9" width="11.28515625" style="5" customWidth="1"/>
    <col min="10" max="10" width="18.28515625" style="5" customWidth="1"/>
    <col min="11" max="11" width="7.85546875" style="5" bestFit="1" customWidth="1"/>
    <col min="12" max="12" width="8.140625" style="5" bestFit="1" customWidth="1"/>
  </cols>
  <sheetData>
    <row r="2" spans="1:25" ht="13.7" customHeight="1" x14ac:dyDescent="0.2">
      <c r="A2" s="56" t="s">
        <v>74</v>
      </c>
      <c r="B2" s="56"/>
      <c r="C2" s="57" t="s">
        <v>137</v>
      </c>
      <c r="D2" s="57"/>
      <c r="E2" s="57"/>
      <c r="F2" s="57"/>
      <c r="G2" s="57"/>
      <c r="H2" s="57"/>
      <c r="I2" s="57"/>
      <c r="J2" s="57"/>
      <c r="K2" s="57"/>
      <c r="L2" s="57"/>
    </row>
    <row r="3" spans="1:25" ht="13.15" customHeight="1" x14ac:dyDescent="0.2">
      <c r="C3" s="58" t="s">
        <v>142</v>
      </c>
      <c r="D3" s="58"/>
      <c r="E3" s="58"/>
      <c r="F3" s="58"/>
      <c r="G3" s="58"/>
      <c r="H3" s="58"/>
      <c r="I3" s="58"/>
      <c r="J3" s="58"/>
      <c r="K3" s="58"/>
      <c r="L3" s="58"/>
    </row>
    <row r="4" spans="1:25" ht="13.15" customHeight="1" x14ac:dyDescent="0.2">
      <c r="C4" s="9"/>
      <c r="D4" s="9"/>
      <c r="E4" s="9"/>
      <c r="F4" s="9"/>
      <c r="G4" s="9"/>
      <c r="H4" s="9"/>
      <c r="I4" s="9"/>
      <c r="J4" s="9"/>
      <c r="K4" s="9"/>
      <c r="L4" s="9"/>
    </row>
    <row r="5" spans="1:25" ht="30" x14ac:dyDescent="0.2">
      <c r="A5" s="10" t="s">
        <v>78</v>
      </c>
      <c r="B5" s="10" t="s">
        <v>79</v>
      </c>
      <c r="C5" s="10" t="s">
        <v>80</v>
      </c>
      <c r="D5" s="10" t="s">
        <v>81</v>
      </c>
      <c r="E5" s="10" t="s">
        <v>82</v>
      </c>
      <c r="F5" s="10" t="s">
        <v>4</v>
      </c>
      <c r="G5" s="10" t="s">
        <v>83</v>
      </c>
      <c r="H5" s="10" t="s">
        <v>5</v>
      </c>
      <c r="I5" s="10" t="s">
        <v>84</v>
      </c>
      <c r="J5" s="10" t="s">
        <v>85</v>
      </c>
      <c r="K5" s="10" t="s">
        <v>86</v>
      </c>
      <c r="L5" s="10" t="s">
        <v>87</v>
      </c>
    </row>
    <row r="6" spans="1:25" ht="25.5" x14ac:dyDescent="0.2">
      <c r="A6" s="7">
        <v>1</v>
      </c>
      <c r="B6" s="7" t="s">
        <v>139</v>
      </c>
      <c r="C6" s="7">
        <v>4</v>
      </c>
      <c r="D6" s="7">
        <v>4</v>
      </c>
      <c r="E6" s="7">
        <v>1</v>
      </c>
      <c r="F6" s="7">
        <v>20</v>
      </c>
      <c r="G6" s="6">
        <v>7</v>
      </c>
      <c r="H6" s="7">
        <v>13</v>
      </c>
      <c r="I6" s="6" t="s">
        <v>88</v>
      </c>
      <c r="J6" s="6" t="s">
        <v>89</v>
      </c>
      <c r="K6" s="6"/>
      <c r="L6" s="6" t="s">
        <v>90</v>
      </c>
    </row>
    <row r="7" spans="1:25" ht="51" x14ac:dyDescent="0.2">
      <c r="A7" s="7">
        <v>2</v>
      </c>
      <c r="B7" s="7" t="s">
        <v>17</v>
      </c>
      <c r="C7" s="7">
        <v>4</v>
      </c>
      <c r="D7" s="7">
        <v>4</v>
      </c>
      <c r="E7" s="7">
        <v>1</v>
      </c>
      <c r="F7" s="7">
        <v>20</v>
      </c>
      <c r="G7" s="6">
        <v>9</v>
      </c>
      <c r="H7" s="7">
        <v>11</v>
      </c>
      <c r="I7" s="6" t="s">
        <v>88</v>
      </c>
      <c r="J7" s="6" t="s">
        <v>140</v>
      </c>
      <c r="K7" s="6"/>
      <c r="L7" s="6" t="s">
        <v>90</v>
      </c>
    </row>
    <row r="8" spans="1:25" ht="25.5" x14ac:dyDescent="0.2">
      <c r="A8" s="7">
        <v>3</v>
      </c>
      <c r="B8" s="7" t="s">
        <v>20</v>
      </c>
      <c r="C8" s="6">
        <v>3</v>
      </c>
      <c r="D8" s="6">
        <v>4</v>
      </c>
      <c r="E8" s="7">
        <v>0.75</v>
      </c>
      <c r="F8" s="7">
        <v>18</v>
      </c>
      <c r="G8" s="6">
        <v>6</v>
      </c>
      <c r="H8" s="7">
        <v>12</v>
      </c>
      <c r="I8" s="6" t="s">
        <v>88</v>
      </c>
      <c r="J8" s="6" t="s">
        <v>89</v>
      </c>
      <c r="K8" s="6"/>
      <c r="L8" s="6" t="s">
        <v>90</v>
      </c>
      <c r="N8" s="37"/>
      <c r="O8" s="37"/>
      <c r="P8" s="37"/>
      <c r="Q8" s="7"/>
      <c r="R8" s="7"/>
      <c r="S8" s="7"/>
      <c r="T8" s="7"/>
      <c r="U8" s="37"/>
      <c r="V8" s="38"/>
      <c r="W8" s="7"/>
      <c r="X8" s="7"/>
      <c r="Y8" s="7"/>
    </row>
    <row r="9" spans="1:25" ht="25.5" x14ac:dyDescent="0.2">
      <c r="A9" s="7">
        <v>4</v>
      </c>
      <c r="B9" s="7" t="s">
        <v>14</v>
      </c>
      <c r="C9" s="6">
        <v>3</v>
      </c>
      <c r="D9" s="6">
        <v>4</v>
      </c>
      <c r="E9" s="7">
        <v>0.75</v>
      </c>
      <c r="F9" s="7">
        <v>18</v>
      </c>
      <c r="G9" s="6">
        <v>7</v>
      </c>
      <c r="H9" s="7">
        <v>11</v>
      </c>
      <c r="I9" s="6" t="s">
        <v>88</v>
      </c>
      <c r="J9" s="6" t="s">
        <v>89</v>
      </c>
      <c r="K9" s="6"/>
      <c r="L9" s="6" t="s">
        <v>90</v>
      </c>
      <c r="N9" s="7"/>
      <c r="O9" s="37"/>
      <c r="P9" s="7"/>
      <c r="Q9" s="37"/>
      <c r="R9" s="7"/>
      <c r="S9" s="7"/>
      <c r="T9" s="7"/>
      <c r="U9" s="37"/>
      <c r="V9" s="38"/>
      <c r="W9" s="7"/>
      <c r="X9" s="7"/>
      <c r="Y9" s="7"/>
    </row>
    <row r="10" spans="1:25" ht="25.5" x14ac:dyDescent="0.2">
      <c r="A10" s="7">
        <v>5</v>
      </c>
      <c r="B10" s="7" t="s">
        <v>19</v>
      </c>
      <c r="C10" s="6">
        <v>3</v>
      </c>
      <c r="D10" s="6">
        <v>4</v>
      </c>
      <c r="E10" s="7">
        <v>0.75</v>
      </c>
      <c r="F10" s="7">
        <v>18</v>
      </c>
      <c r="G10" s="6">
        <v>9</v>
      </c>
      <c r="H10" s="7">
        <v>9</v>
      </c>
      <c r="I10" s="6" t="s">
        <v>88</v>
      </c>
      <c r="J10" s="6" t="s">
        <v>89</v>
      </c>
      <c r="K10" s="6"/>
      <c r="L10" s="6" t="s">
        <v>90</v>
      </c>
      <c r="N10" s="7"/>
      <c r="O10" s="37"/>
      <c r="P10" s="7"/>
      <c r="Q10" s="7"/>
      <c r="R10" s="37"/>
      <c r="S10" s="7"/>
      <c r="T10" s="7"/>
      <c r="U10" s="37"/>
      <c r="V10" s="38"/>
      <c r="W10" s="7"/>
      <c r="X10" s="7"/>
      <c r="Y10" s="7"/>
    </row>
    <row r="11" spans="1:25" x14ac:dyDescent="0.2">
      <c r="A11" s="7">
        <v>6</v>
      </c>
      <c r="B11" s="7" t="s">
        <v>29</v>
      </c>
      <c r="C11" s="6">
        <v>3</v>
      </c>
      <c r="D11" s="6">
        <v>4</v>
      </c>
      <c r="E11" s="7">
        <v>0.75</v>
      </c>
      <c r="F11" s="7">
        <v>18</v>
      </c>
      <c r="G11" s="6">
        <v>12</v>
      </c>
      <c r="H11" s="7">
        <v>6</v>
      </c>
      <c r="I11" s="6" t="s">
        <v>88</v>
      </c>
      <c r="J11" s="6" t="s">
        <v>94</v>
      </c>
      <c r="K11" s="6"/>
      <c r="L11" s="6" t="s">
        <v>90</v>
      </c>
      <c r="N11" s="7"/>
      <c r="O11" s="37"/>
      <c r="P11" s="7"/>
      <c r="Q11" s="7"/>
      <c r="R11" s="7"/>
      <c r="S11" s="37"/>
      <c r="T11" s="7"/>
      <c r="U11" s="37"/>
      <c r="V11" s="7"/>
      <c r="W11" s="7"/>
      <c r="X11" s="7"/>
      <c r="Y11" s="7"/>
    </row>
    <row r="12" spans="1:25" ht="25.5" x14ac:dyDescent="0.2">
      <c r="A12" s="7">
        <v>7</v>
      </c>
      <c r="B12" s="7" t="s">
        <v>22</v>
      </c>
      <c r="C12" s="7">
        <v>3</v>
      </c>
      <c r="D12" s="7">
        <v>4</v>
      </c>
      <c r="E12" s="7">
        <v>0.75</v>
      </c>
      <c r="F12" s="7">
        <v>16</v>
      </c>
      <c r="G12" s="6">
        <v>10</v>
      </c>
      <c r="H12" s="7">
        <v>6</v>
      </c>
      <c r="I12" s="6" t="s">
        <v>88</v>
      </c>
      <c r="J12" s="6" t="s">
        <v>89</v>
      </c>
      <c r="K12" s="6"/>
      <c r="L12" s="6" t="s">
        <v>90</v>
      </c>
      <c r="N12" s="7"/>
      <c r="O12" s="37"/>
      <c r="P12" s="7"/>
      <c r="Q12" s="7"/>
      <c r="R12" s="7"/>
      <c r="S12" s="7"/>
      <c r="T12" s="37"/>
      <c r="U12" s="37"/>
      <c r="V12" s="38"/>
      <c r="W12" s="7"/>
      <c r="X12" s="7"/>
      <c r="Y12" s="7"/>
    </row>
    <row r="13" spans="1:25" ht="25.5" x14ac:dyDescent="0.2">
      <c r="A13" s="7">
        <v>8</v>
      </c>
      <c r="B13" s="7" t="s">
        <v>26</v>
      </c>
      <c r="C13" s="6">
        <v>2</v>
      </c>
      <c r="D13" s="6">
        <v>4</v>
      </c>
      <c r="E13" s="7">
        <v>0.5</v>
      </c>
      <c r="F13" s="7">
        <v>15</v>
      </c>
      <c r="G13" s="6">
        <v>17</v>
      </c>
      <c r="H13" s="7">
        <v>-2</v>
      </c>
      <c r="I13" s="6" t="s">
        <v>88</v>
      </c>
      <c r="J13" s="6" t="s">
        <v>89</v>
      </c>
      <c r="K13" s="6"/>
      <c r="L13" s="6" t="s">
        <v>90</v>
      </c>
    </row>
    <row r="14" spans="1:25" ht="25.5" x14ac:dyDescent="0.2">
      <c r="A14" s="7">
        <v>9</v>
      </c>
      <c r="B14" s="7" t="s">
        <v>55</v>
      </c>
      <c r="C14" s="7">
        <v>1</v>
      </c>
      <c r="D14" s="7">
        <v>4</v>
      </c>
      <c r="E14" s="7">
        <v>0.25</v>
      </c>
      <c r="F14" s="7">
        <v>10</v>
      </c>
      <c r="G14" s="6">
        <v>15</v>
      </c>
      <c r="H14" s="7">
        <v>-5</v>
      </c>
      <c r="I14" s="6" t="s">
        <v>88</v>
      </c>
      <c r="J14" s="6" t="s">
        <v>92</v>
      </c>
      <c r="K14" s="6"/>
      <c r="L14" s="6" t="s">
        <v>90</v>
      </c>
    </row>
    <row r="15" spans="1:25" ht="25.5" x14ac:dyDescent="0.2">
      <c r="A15" s="7">
        <v>10</v>
      </c>
      <c r="B15" s="7" t="s">
        <v>31</v>
      </c>
      <c r="C15" s="7">
        <v>1</v>
      </c>
      <c r="D15" s="7">
        <v>4</v>
      </c>
      <c r="E15" s="7">
        <v>0.25</v>
      </c>
      <c r="F15" s="7">
        <v>10</v>
      </c>
      <c r="G15" s="6">
        <v>16</v>
      </c>
      <c r="H15" s="7">
        <v>-6</v>
      </c>
      <c r="I15" s="6" t="s">
        <v>88</v>
      </c>
      <c r="J15" s="6" t="s">
        <v>97</v>
      </c>
      <c r="K15" s="6"/>
      <c r="L15" s="6" t="s">
        <v>90</v>
      </c>
    </row>
    <row r="16" spans="1:25" ht="38.25" x14ac:dyDescent="0.2">
      <c r="A16" s="7">
        <v>11</v>
      </c>
      <c r="B16" s="7" t="s">
        <v>30</v>
      </c>
      <c r="C16" s="6">
        <v>1</v>
      </c>
      <c r="D16" s="6">
        <v>4</v>
      </c>
      <c r="E16" s="7">
        <v>0.25</v>
      </c>
      <c r="F16" s="7">
        <v>9</v>
      </c>
      <c r="G16" s="6">
        <v>16</v>
      </c>
      <c r="H16" s="7">
        <v>-7</v>
      </c>
      <c r="I16" s="6" t="s">
        <v>88</v>
      </c>
      <c r="J16" s="6" t="s">
        <v>98</v>
      </c>
      <c r="K16" s="6" t="s">
        <v>99</v>
      </c>
      <c r="L16" s="6" t="s">
        <v>90</v>
      </c>
    </row>
    <row r="17" spans="1:12" ht="51" x14ac:dyDescent="0.2">
      <c r="A17" s="7">
        <v>12</v>
      </c>
      <c r="B17" s="7" t="s">
        <v>35</v>
      </c>
      <c r="C17" s="7">
        <v>1</v>
      </c>
      <c r="D17" s="7">
        <v>4</v>
      </c>
      <c r="E17" s="7">
        <v>0.25</v>
      </c>
      <c r="F17" s="7">
        <v>10</v>
      </c>
      <c r="G17" s="6">
        <v>19</v>
      </c>
      <c r="H17" s="7">
        <v>-9</v>
      </c>
      <c r="I17" s="6" t="s">
        <v>88</v>
      </c>
      <c r="J17" s="6" t="s">
        <v>140</v>
      </c>
      <c r="K17" s="6"/>
      <c r="L17" s="6" t="s">
        <v>90</v>
      </c>
    </row>
    <row r="18" spans="1:12" ht="25.5" x14ac:dyDescent="0.2">
      <c r="A18" s="7">
        <v>13</v>
      </c>
      <c r="B18" s="7" t="s">
        <v>44</v>
      </c>
      <c r="C18" s="6">
        <v>1</v>
      </c>
      <c r="D18" s="6">
        <v>4</v>
      </c>
      <c r="E18" s="7">
        <v>0.25</v>
      </c>
      <c r="F18" s="7">
        <v>7</v>
      </c>
      <c r="G18" s="6">
        <v>18</v>
      </c>
      <c r="H18" s="7">
        <v>-11</v>
      </c>
      <c r="I18" s="6" t="s">
        <v>88</v>
      </c>
      <c r="J18" s="6" t="s">
        <v>102</v>
      </c>
      <c r="K18" s="6" t="s">
        <v>99</v>
      </c>
      <c r="L18" s="6" t="s">
        <v>90</v>
      </c>
    </row>
    <row r="19" spans="1:12" ht="51" x14ac:dyDescent="0.2">
      <c r="A19" s="7">
        <v>14</v>
      </c>
      <c r="B19" s="7" t="s">
        <v>56</v>
      </c>
      <c r="C19" s="7">
        <v>0</v>
      </c>
      <c r="D19" s="7">
        <v>4</v>
      </c>
      <c r="E19" s="7">
        <v>0</v>
      </c>
      <c r="F19" s="7">
        <v>8</v>
      </c>
      <c r="G19" s="6">
        <v>20</v>
      </c>
      <c r="H19" s="7">
        <v>-12</v>
      </c>
      <c r="I19" s="6" t="s">
        <v>88</v>
      </c>
      <c r="J19" s="6" t="s">
        <v>140</v>
      </c>
      <c r="K19" s="6"/>
      <c r="L19" s="6" t="s">
        <v>90</v>
      </c>
    </row>
    <row r="20" spans="1:12" ht="51" x14ac:dyDescent="0.2">
      <c r="A20" s="7">
        <v>15</v>
      </c>
      <c r="B20" s="7" t="s">
        <v>45</v>
      </c>
      <c r="C20" s="7">
        <v>0</v>
      </c>
      <c r="D20" s="7">
        <v>4</v>
      </c>
      <c r="E20" s="7">
        <v>0</v>
      </c>
      <c r="F20" s="7">
        <v>4</v>
      </c>
      <c r="G20" s="6">
        <v>20</v>
      </c>
      <c r="H20" s="7">
        <v>-16</v>
      </c>
      <c r="I20" s="6" t="s">
        <v>88</v>
      </c>
      <c r="J20" s="6" t="s">
        <v>140</v>
      </c>
      <c r="K20" s="6"/>
      <c r="L20" s="6" t="s">
        <v>90</v>
      </c>
    </row>
    <row r="21" spans="1:12" x14ac:dyDescent="0.2">
      <c r="A21" s="7"/>
      <c r="B21" s="7"/>
      <c r="C21" s="7"/>
      <c r="D21" s="7"/>
      <c r="E21" s="7"/>
      <c r="F21" s="7"/>
      <c r="G21" s="6"/>
      <c r="H21" s="7"/>
      <c r="I21" s="6"/>
      <c r="J21" s="6"/>
      <c r="K21" s="6"/>
      <c r="L21" s="6"/>
    </row>
    <row r="22" spans="1:12" ht="13.15" customHeight="1" x14ac:dyDescent="0.2">
      <c r="A22" s="7"/>
      <c r="B22" s="7"/>
      <c r="C22" s="7"/>
      <c r="D22" s="7"/>
      <c r="E22" s="7"/>
      <c r="F22" s="7"/>
      <c r="G22" s="6"/>
      <c r="H22" s="7"/>
      <c r="I22" s="6"/>
      <c r="J22" s="6"/>
      <c r="K22" s="6"/>
      <c r="L22" s="6"/>
    </row>
    <row r="23" spans="1:12" ht="13.15" customHeight="1" x14ac:dyDescent="0.2">
      <c r="A23" s="7"/>
      <c r="B23" s="7"/>
      <c r="C23" s="6"/>
      <c r="D23" s="6"/>
      <c r="E23" s="7"/>
      <c r="F23" s="7"/>
      <c r="G23" s="6"/>
      <c r="H23" s="7"/>
      <c r="I23" s="6"/>
      <c r="J23" s="6"/>
      <c r="K23" s="6"/>
      <c r="L23" s="6"/>
    </row>
    <row r="24" spans="1:12" x14ac:dyDescent="0.2">
      <c r="A24" s="7"/>
      <c r="B24" s="7"/>
      <c r="C24" s="7"/>
      <c r="D24" s="7"/>
      <c r="E24" s="7"/>
      <c r="F24" s="7"/>
      <c r="G24" s="6"/>
      <c r="H24" s="7"/>
      <c r="I24" s="6"/>
      <c r="J24" s="6"/>
      <c r="K24" s="6"/>
      <c r="L24" s="6"/>
    </row>
    <row r="25" spans="1:12" ht="13.15" customHeight="1" x14ac:dyDescent="0.2">
      <c r="A25" s="7"/>
      <c r="B25" s="7"/>
      <c r="C25" s="6"/>
      <c r="D25" s="6"/>
      <c r="E25" s="7"/>
      <c r="F25" s="7"/>
      <c r="G25" s="6"/>
      <c r="H25" s="7"/>
      <c r="I25" s="6"/>
      <c r="J25" s="6"/>
      <c r="K25" s="6"/>
      <c r="L25" s="6"/>
    </row>
    <row r="26" spans="1:12" x14ac:dyDescent="0.2">
      <c r="A26" s="7"/>
      <c r="B26" s="7"/>
      <c r="C26" s="6"/>
      <c r="D26" s="6"/>
      <c r="E26" s="7"/>
      <c r="F26" s="6"/>
      <c r="G26" s="6"/>
      <c r="H26" s="6"/>
      <c r="I26" s="6"/>
      <c r="J26" s="6"/>
      <c r="K26" s="6"/>
      <c r="L26" s="6"/>
    </row>
    <row r="27" spans="1:12" x14ac:dyDescent="0.2">
      <c r="A27" s="7"/>
      <c r="B27" s="7"/>
      <c r="C27" s="7"/>
      <c r="D27" s="7"/>
      <c r="E27" s="7"/>
      <c r="F27" s="7"/>
      <c r="G27" s="6"/>
      <c r="H27" s="7"/>
      <c r="I27" s="6"/>
      <c r="J27" s="6"/>
      <c r="K27" s="6"/>
      <c r="L27" s="6"/>
    </row>
    <row r="28" spans="1:12" x14ac:dyDescent="0.2">
      <c r="A28" s="7"/>
      <c r="B28" s="7"/>
      <c r="C28" s="6"/>
      <c r="D28" s="6"/>
      <c r="E28" s="7"/>
      <c r="F28" s="7"/>
      <c r="G28" s="6"/>
      <c r="H28" s="7"/>
      <c r="I28" s="6"/>
      <c r="J28" s="6"/>
      <c r="K28" s="6"/>
      <c r="L28" s="6"/>
    </row>
    <row r="29" spans="1:12" x14ac:dyDescent="0.2">
      <c r="A29" s="7"/>
      <c r="B29" s="7"/>
      <c r="C29" s="7"/>
      <c r="D29" s="7"/>
      <c r="E29" s="7"/>
      <c r="F29" s="7"/>
      <c r="G29" s="6"/>
      <c r="H29" s="7"/>
      <c r="I29" s="6"/>
      <c r="J29" s="6"/>
      <c r="K29" s="6"/>
      <c r="L29" s="6"/>
    </row>
    <row r="30" spans="1:12" x14ac:dyDescent="0.2">
      <c r="A30" s="7"/>
      <c r="B30" s="7"/>
      <c r="C30" s="7"/>
      <c r="D30" s="7"/>
      <c r="E30" s="7"/>
      <c r="F30" s="7"/>
      <c r="G30" s="6"/>
      <c r="H30" s="7"/>
      <c r="I30" s="6"/>
      <c r="J30" s="6"/>
      <c r="K30" s="6"/>
      <c r="L30" s="6"/>
    </row>
    <row r="31" spans="1:12" x14ac:dyDescent="0.2">
      <c r="A31" s="7"/>
      <c r="B31" s="7"/>
      <c r="C31" s="6"/>
      <c r="D31" s="6"/>
      <c r="E31" s="7"/>
      <c r="F31" s="6"/>
      <c r="G31" s="6"/>
      <c r="H31" s="6"/>
      <c r="I31" s="6"/>
      <c r="J31" s="6"/>
      <c r="K31" s="6"/>
      <c r="L31" s="6"/>
    </row>
    <row r="32" spans="1:12" x14ac:dyDescent="0.2">
      <c r="A32" s="7"/>
      <c r="B32" s="7"/>
      <c r="C32" s="6"/>
      <c r="D32" s="6"/>
      <c r="E32" s="7"/>
      <c r="F32" s="6"/>
      <c r="G32" s="6"/>
      <c r="H32" s="6"/>
      <c r="I32" s="6"/>
      <c r="J32" s="6"/>
      <c r="K32" s="6"/>
      <c r="L32" s="6"/>
    </row>
    <row r="33" spans="1:24" x14ac:dyDescent="0.2">
      <c r="A33" s="7"/>
      <c r="B33" s="7"/>
      <c r="C33" s="7"/>
      <c r="D33" s="7"/>
      <c r="E33" s="7"/>
      <c r="F33" s="7"/>
      <c r="G33" s="6"/>
      <c r="H33" s="7"/>
      <c r="I33" s="6"/>
      <c r="J33" s="6"/>
      <c r="K33" s="6"/>
      <c r="L33" s="6"/>
    </row>
    <row r="34" spans="1:24" x14ac:dyDescent="0.2">
      <c r="A34" s="7"/>
      <c r="B34" s="7"/>
      <c r="C34" s="7"/>
      <c r="D34" s="7"/>
      <c r="E34" s="7"/>
      <c r="F34" s="7"/>
      <c r="H34" s="7"/>
      <c r="I34" s="6"/>
      <c r="J34" s="6"/>
      <c r="K34" s="6"/>
      <c r="L34" s="6"/>
    </row>
    <row r="35" spans="1:24" x14ac:dyDescent="0.2">
      <c r="A35" s="7"/>
      <c r="B35" s="7"/>
      <c r="C35" s="6"/>
      <c r="D35" s="6"/>
      <c r="E35" s="7"/>
      <c r="F35" s="6"/>
      <c r="G35" s="6"/>
      <c r="H35" s="6"/>
      <c r="I35" s="6"/>
      <c r="J35" s="6"/>
      <c r="K35" s="6"/>
      <c r="L35" s="6"/>
    </row>
    <row r="36" spans="1:24" x14ac:dyDescent="0.2">
      <c r="A36" s="7"/>
      <c r="B36" s="7"/>
      <c r="C36" s="7"/>
      <c r="D36" s="7"/>
      <c r="E36" s="7"/>
      <c r="F36" s="7"/>
      <c r="G36" s="6"/>
      <c r="H36" s="7"/>
      <c r="I36" s="6"/>
      <c r="J36" s="6"/>
      <c r="K36" s="6"/>
      <c r="L36" s="6"/>
    </row>
    <row r="37" spans="1:24" x14ac:dyDescent="0.2">
      <c r="A37" s="7"/>
      <c r="B37" s="7"/>
      <c r="C37" s="6"/>
      <c r="D37" s="6"/>
      <c r="E37" s="7"/>
      <c r="F37" s="6"/>
      <c r="G37" s="6"/>
      <c r="H37" s="6"/>
      <c r="I37" s="6"/>
      <c r="J37" s="6"/>
      <c r="K37" s="6"/>
      <c r="L37" s="6"/>
    </row>
    <row r="38" spans="1:24" x14ac:dyDescent="0.2">
      <c r="A38" s="7"/>
      <c r="B38" s="7"/>
      <c r="C38" s="6"/>
      <c r="D38" s="6"/>
      <c r="E38" s="7"/>
      <c r="F38" s="7"/>
      <c r="G38" s="6"/>
      <c r="H38" s="7"/>
      <c r="I38" s="6"/>
      <c r="J38" s="6"/>
      <c r="K38" s="6"/>
      <c r="L38" s="6"/>
    </row>
    <row r="39" spans="1:24" x14ac:dyDescent="0.2">
      <c r="A39" s="7"/>
      <c r="B39" s="7"/>
      <c r="C39" s="6"/>
      <c r="D39" s="6"/>
      <c r="E39" s="7"/>
      <c r="F39" s="7"/>
      <c r="G39" s="6"/>
      <c r="H39" s="7"/>
      <c r="I39" s="6"/>
      <c r="J39" s="6"/>
      <c r="K39" s="6"/>
      <c r="L39" s="6"/>
    </row>
    <row r="40" spans="1:24" x14ac:dyDescent="0.2">
      <c r="A40" s="7"/>
      <c r="B40" s="7"/>
      <c r="C40" s="7"/>
      <c r="D40" s="7"/>
      <c r="E40" s="7"/>
      <c r="F40" s="7"/>
      <c r="G40" s="6"/>
      <c r="H40" s="7"/>
      <c r="I40" s="6"/>
      <c r="J40" s="6"/>
      <c r="K40" s="6"/>
      <c r="L40" s="6"/>
    </row>
    <row r="41" spans="1:24" x14ac:dyDescent="0.2">
      <c r="A41" s="7"/>
      <c r="B41" s="7"/>
      <c r="C41" s="7"/>
      <c r="D41" s="7"/>
      <c r="E41" s="7"/>
      <c r="F41" s="7"/>
      <c r="G41" s="6"/>
      <c r="H41" s="7"/>
      <c r="I41" s="6"/>
      <c r="J41" s="6"/>
      <c r="K41" s="6"/>
      <c r="L41" s="6"/>
    </row>
    <row r="42" spans="1:24" x14ac:dyDescent="0.2">
      <c r="A42" s="7"/>
      <c r="B42" s="7"/>
      <c r="C42" s="7"/>
      <c r="D42" s="7"/>
      <c r="E42" s="7"/>
      <c r="F42" s="7"/>
      <c r="G42" s="6"/>
      <c r="H42" s="7"/>
      <c r="I42" s="6"/>
      <c r="J42" s="6"/>
      <c r="K42" s="6"/>
      <c r="L42" s="6"/>
    </row>
    <row r="43" spans="1:24" x14ac:dyDescent="0.2">
      <c r="A43" s="7"/>
      <c r="B43" s="7"/>
      <c r="C43" s="7"/>
      <c r="D43" s="7"/>
      <c r="E43" s="7"/>
      <c r="F43" s="7"/>
      <c r="G43" s="6"/>
      <c r="H43" s="7"/>
      <c r="I43" s="6"/>
      <c r="J43" s="6"/>
      <c r="K43" s="6"/>
      <c r="L43" s="6"/>
    </row>
    <row r="44" spans="1:24" x14ac:dyDescent="0.2">
      <c r="A44" s="7"/>
      <c r="B44" s="7"/>
      <c r="C44" s="6"/>
      <c r="D44" s="6"/>
      <c r="E44" s="7"/>
      <c r="F44" s="7"/>
      <c r="G44" s="6"/>
      <c r="H44" s="7"/>
      <c r="I44" s="6"/>
      <c r="J44" s="6"/>
      <c r="K44" s="6"/>
      <c r="L44" s="6"/>
    </row>
    <row r="45" spans="1:24" x14ac:dyDescent="0.2">
      <c r="A45" s="6"/>
      <c r="B45" s="6"/>
      <c r="C45" s="6"/>
      <c r="D45" s="6"/>
      <c r="E45" s="6"/>
      <c r="F45" s="6"/>
      <c r="G45" s="6"/>
      <c r="H45" s="6"/>
      <c r="I45" s="6"/>
      <c r="J45"/>
      <c r="K45" s="6"/>
      <c r="L45" s="6"/>
    </row>
    <row r="46" spans="1:24" x14ac:dyDescent="0.2">
      <c r="A46" s="6"/>
      <c r="B46" s="6"/>
      <c r="C46" s="6"/>
      <c r="D46" s="6"/>
      <c r="E46" s="6"/>
      <c r="F46" s="6"/>
      <c r="G46" s="6"/>
      <c r="H46" s="6"/>
      <c r="I46" s="6"/>
      <c r="J46"/>
      <c r="K46" s="6"/>
      <c r="L46" s="6"/>
    </row>
    <row r="47" spans="1:24" x14ac:dyDescent="0.2">
      <c r="A47" s="6"/>
      <c r="B47" s="6"/>
      <c r="C47" s="6"/>
      <c r="D47" s="6"/>
      <c r="E47" s="6"/>
      <c r="F47" s="6"/>
      <c r="G47" s="6"/>
      <c r="H47" s="6"/>
      <c r="I47" s="6"/>
      <c r="J47" s="7"/>
      <c r="K47" s="38"/>
      <c r="N47" s="7"/>
      <c r="O47" s="7"/>
      <c r="P47" s="7"/>
      <c r="Q47" s="7"/>
      <c r="R47" s="37"/>
    </row>
    <row r="48" spans="1:24" x14ac:dyDescent="0.2">
      <c r="A48" s="6"/>
      <c r="B48" s="6"/>
      <c r="C48" s="6"/>
      <c r="D48" s="6"/>
      <c r="E48" s="6"/>
      <c r="F48" s="6"/>
      <c r="G48" s="6"/>
      <c r="H48" s="6"/>
      <c r="I48" s="6"/>
      <c r="J48" s="7"/>
      <c r="K48" s="38"/>
      <c r="N48" s="7"/>
      <c r="O48" s="7"/>
      <c r="P48" s="7"/>
      <c r="Q48" s="7"/>
      <c r="R48" s="37"/>
      <c r="W48" s="7"/>
      <c r="X48" s="7"/>
    </row>
    <row r="49" spans="1:24" x14ac:dyDescent="0.2">
      <c r="A49" s="6"/>
      <c r="B49" s="6"/>
      <c r="C49" s="6"/>
      <c r="D49" s="6"/>
      <c r="E49" s="6"/>
      <c r="F49" s="6"/>
      <c r="G49" s="6"/>
      <c r="H49" s="6"/>
      <c r="I49" s="6"/>
      <c r="J49" s="7"/>
      <c r="K49" s="38"/>
      <c r="N49" s="7"/>
      <c r="O49" s="7"/>
      <c r="P49" s="7"/>
      <c r="Q49" s="7"/>
      <c r="R49" s="37"/>
      <c r="V49" s="7"/>
      <c r="W49" s="7"/>
      <c r="X49" s="7"/>
    </row>
    <row r="50" spans="1:24" x14ac:dyDescent="0.2">
      <c r="A50" s="6"/>
      <c r="B50" s="6"/>
      <c r="C50" s="6"/>
      <c r="D50" s="6"/>
      <c r="E50" s="6"/>
      <c r="F50" s="6"/>
      <c r="G50" s="6"/>
      <c r="H50" s="6"/>
      <c r="I50" s="6"/>
      <c r="J50" s="7"/>
      <c r="K50" s="38"/>
      <c r="N50" s="7"/>
      <c r="O50" s="7"/>
      <c r="P50" s="7"/>
      <c r="Q50" s="7"/>
      <c r="R50" s="37"/>
      <c r="V50" s="7"/>
      <c r="W50" s="7"/>
      <c r="X50" s="7"/>
    </row>
    <row r="51" spans="1:24" x14ac:dyDescent="0.2">
      <c r="J51" s="37"/>
      <c r="K51" s="38"/>
      <c r="N51" s="37"/>
      <c r="O51" s="7"/>
      <c r="P51" s="7"/>
      <c r="Q51" s="7"/>
      <c r="R51" s="37"/>
      <c r="V51" s="7"/>
      <c r="W51" s="7"/>
      <c r="X51" s="7"/>
    </row>
    <row r="52" spans="1:24" x14ac:dyDescent="0.2">
      <c r="J52" s="7"/>
      <c r="K52" s="38"/>
      <c r="N52" s="7"/>
      <c r="O52" s="37"/>
      <c r="P52" s="7"/>
      <c r="Q52" s="7"/>
      <c r="R52" s="37"/>
      <c r="V52" s="7"/>
      <c r="W52" s="7"/>
      <c r="X52" s="7"/>
    </row>
    <row r="53" spans="1:24" x14ac:dyDescent="0.2">
      <c r="I53" s="37"/>
      <c r="J53" s="7"/>
      <c r="K53" s="38"/>
      <c r="N53" s="7"/>
      <c r="O53" s="7"/>
      <c r="P53" s="37"/>
      <c r="Q53" s="7"/>
      <c r="R53" s="37"/>
      <c r="V53" s="7"/>
    </row>
    <row r="54" spans="1:24" x14ac:dyDescent="0.2">
      <c r="I54" s="7"/>
      <c r="J54" s="7"/>
      <c r="K54" s="7"/>
      <c r="N54" s="7"/>
      <c r="O54" s="7"/>
      <c r="P54" s="7"/>
      <c r="Q54" s="37"/>
      <c r="R54" s="37"/>
      <c r="V54" s="7"/>
    </row>
    <row r="55" spans="1:24" x14ac:dyDescent="0.2">
      <c r="I55" s="7"/>
      <c r="J55" s="37"/>
      <c r="K55" s="7"/>
      <c r="L55"/>
      <c r="M55" s="7"/>
      <c r="N55" s="37"/>
      <c r="O55" s="7"/>
      <c r="P55" s="7"/>
      <c r="Q55" s="37"/>
      <c r="R55" s="38"/>
    </row>
    <row r="56" spans="1:24" x14ac:dyDescent="0.2">
      <c r="I56" s="7"/>
      <c r="J56" s="7"/>
      <c r="K56" s="37"/>
      <c r="L56" s="7"/>
      <c r="M56" s="7"/>
      <c r="N56" s="7"/>
      <c r="O56" s="37"/>
      <c r="P56" s="7"/>
      <c r="Q56" s="37"/>
      <c r="R56" s="38"/>
      <c r="U56" s="7"/>
    </row>
    <row r="57" spans="1:24" x14ac:dyDescent="0.2">
      <c r="I57" s="7"/>
      <c r="J57" s="7"/>
      <c r="K57" s="37"/>
      <c r="L57" s="7"/>
      <c r="M57" s="7"/>
      <c r="N57" s="7"/>
      <c r="O57" s="7"/>
      <c r="P57" s="37"/>
      <c r="Q57" s="37"/>
      <c r="R57" s="7"/>
      <c r="S57" s="7"/>
      <c r="T57" s="7"/>
      <c r="U57" s="7"/>
    </row>
    <row r="58" spans="1:24" x14ac:dyDescent="0.2">
      <c r="J58"/>
    </row>
  </sheetData>
  <autoFilter ref="A5:L44" xr:uid="{00000000-0009-0000-0000-00000C000000}">
    <sortState xmlns:xlrd2="http://schemas.microsoft.com/office/spreadsheetml/2017/richdata2" ref="A6:L44">
      <sortCondition ref="B5"/>
    </sortState>
  </autoFilter>
  <mergeCells count="3">
    <mergeCell ref="A2:B2"/>
    <mergeCell ref="C2:L2"/>
    <mergeCell ref="C3:L3"/>
  </mergeCells>
  <hyperlinks>
    <hyperlink ref="C3:L3" r:id="rId1" display="https://www.fencingtimelive.com/pools/results/2AE4C8C73BE14FA6863FC02128FCDE09/36A6DA86D57D4245879F06BFB7CDC04C" xr:uid="{8CEDE0B3-0367-429D-B1D9-38267B4E85E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0FBC29-CCB3-4293-BE02-AFD607807A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13</vt:i4>
      </vt:variant>
    </vt:vector>
  </HeadingPairs>
  <TitlesOfParts>
    <vt:vector size="13" baseType="lpstr">
      <vt:lpstr>All</vt:lpstr>
      <vt:lpstr>MP (1)</vt:lpstr>
      <vt:lpstr>MP (2)</vt:lpstr>
      <vt:lpstr>GP1 (1)</vt:lpstr>
      <vt:lpstr>GP1 (2)</vt:lpstr>
      <vt:lpstr>GP2 (1)</vt:lpstr>
      <vt:lpstr>GP2 (2)</vt:lpstr>
      <vt:lpstr>GP3 (1)</vt:lpstr>
      <vt:lpstr>GP3 (2)</vt:lpstr>
      <vt:lpstr>GP4 (1)</vt:lpstr>
      <vt:lpstr>GP4 (2)</vt:lpstr>
      <vt:lpstr>GP5 (1)</vt:lpstr>
      <vt:lpstr>GP5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Sadowska</cp:lastModifiedBy>
  <cp:revision/>
  <dcterms:created xsi:type="dcterms:W3CDTF">2021-12-21T01:02:02Z</dcterms:created>
  <dcterms:modified xsi:type="dcterms:W3CDTF">2023-06-26T21:29:27Z</dcterms:modified>
  <cp:category/>
  <cp:contentStatus/>
</cp:coreProperties>
</file>